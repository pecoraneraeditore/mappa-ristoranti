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02EA6A5-4E19-4C00-BAEB-AA75457D11A2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7" i="6" l="1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AD186" i="6"/>
  <c r="AE186" i="6"/>
  <c r="AF186" i="6"/>
  <c r="AG186" i="6"/>
  <c r="S186" i="6"/>
  <c r="AH186" i="6"/>
  <c r="AI186" i="6"/>
  <c r="AD151" i="6"/>
  <c r="AE151" i="6"/>
  <c r="AF151" i="6"/>
  <c r="AG151" i="6"/>
  <c r="S151" i="6"/>
  <c r="AH151" i="6"/>
  <c r="AI151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AD242" i="6"/>
  <c r="AE242" i="6"/>
  <c r="AF242" i="6"/>
  <c r="AG242" i="6"/>
  <c r="AH242" i="6"/>
  <c r="AI242" i="6"/>
  <c r="S239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AD195" i="6"/>
  <c r="AE195" i="6"/>
  <c r="AF195" i="6"/>
  <c r="S193" i="6"/>
  <c r="AG193" i="6"/>
  <c r="AH193" i="6"/>
  <c r="AI193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7" i="6"/>
  <c r="AE197" i="6"/>
  <c r="AF197" i="6"/>
  <c r="AD198" i="6"/>
  <c r="AE198" i="6"/>
  <c r="AF198" i="6"/>
  <c r="S198" i="6"/>
  <c r="AG198" i="6"/>
  <c r="AH198" i="6"/>
  <c r="AI198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2" i="6"/>
  <c r="AG192" i="6"/>
  <c r="AH192" i="6"/>
  <c r="AI192" i="6"/>
  <c r="S194" i="6"/>
  <c r="AG194" i="6"/>
  <c r="AH194" i="6"/>
  <c r="AI194" i="6"/>
  <c r="S195" i="6"/>
  <c r="AG195" i="6"/>
  <c r="AH195" i="6"/>
  <c r="AI195" i="6"/>
  <c r="S196" i="6"/>
  <c r="AD196" i="6"/>
  <c r="AE196" i="6"/>
  <c r="AF196" i="6"/>
  <c r="AG196" i="6"/>
  <c r="AH196" i="6"/>
  <c r="AI196" i="6"/>
  <c r="S197" i="6"/>
  <c r="AG197" i="6"/>
  <c r="AH197" i="6"/>
  <c r="AI197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40" i="6"/>
  <c r="S241" i="6"/>
  <c r="S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86" i="6" l="1"/>
  <c r="T151" i="6"/>
  <c r="T239" i="6"/>
  <c r="T291" i="6"/>
  <c r="T85" i="6"/>
  <c r="T35" i="6"/>
  <c r="T34" i="6"/>
  <c r="T33" i="6"/>
  <c r="T32" i="6"/>
  <c r="T173" i="6"/>
  <c r="T172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3" i="6"/>
  <c r="T490" i="6"/>
  <c r="T495" i="6"/>
  <c r="T492" i="6"/>
  <c r="T494" i="6"/>
  <c r="T491" i="6"/>
  <c r="T493" i="6"/>
  <c r="T497" i="6"/>
  <c r="T496" i="6"/>
  <c r="T489" i="6"/>
  <c r="T488" i="6"/>
  <c r="T198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4" i="6"/>
  <c r="T192" i="6"/>
  <c r="T65" i="6"/>
  <c r="T386" i="6"/>
  <c r="T385" i="6"/>
  <c r="T384" i="6"/>
  <c r="T465" i="6"/>
  <c r="T277" i="6"/>
  <c r="T247" i="6"/>
  <c r="T278" i="6"/>
  <c r="T224" i="6"/>
  <c r="T223" i="6"/>
  <c r="T362" i="6"/>
  <c r="T348" i="6"/>
  <c r="T143" i="6"/>
  <c r="T106" i="6"/>
  <c r="T144" i="6"/>
  <c r="T328" i="6"/>
  <c r="T105" i="6"/>
  <c r="T96" i="6"/>
  <c r="T95" i="6"/>
  <c r="T94" i="6"/>
  <c r="T303" i="6"/>
  <c r="T248" i="6"/>
  <c r="T379" i="6"/>
  <c r="T363" i="6"/>
  <c r="T327" i="6"/>
  <c r="T299" i="6"/>
  <c r="T275" i="6"/>
  <c r="T246" i="6"/>
  <c r="T222" i="6"/>
  <c r="T190" i="6"/>
  <c r="T71" i="6"/>
  <c r="T142" i="6"/>
  <c r="T102" i="6"/>
  <c r="T383" i="6"/>
  <c r="T350" i="6"/>
  <c r="T326" i="6"/>
  <c r="T298" i="6"/>
  <c r="T274" i="6"/>
  <c r="T245" i="6"/>
  <c r="T219" i="6"/>
  <c r="T189" i="6"/>
  <c r="T134" i="6"/>
  <c r="T66" i="6"/>
  <c r="T297" i="6"/>
  <c r="T188" i="6"/>
  <c r="T214" i="6"/>
  <c r="T401" i="6"/>
  <c r="T69" i="6"/>
  <c r="T212" i="6"/>
  <c r="T372" i="6"/>
  <c r="T409" i="6"/>
  <c r="T338" i="6"/>
  <c r="T315" i="6"/>
  <c r="T292" i="6"/>
  <c r="T81" i="6"/>
  <c r="T238" i="6"/>
  <c r="T211" i="6"/>
  <c r="T92" i="6"/>
  <c r="T126" i="6"/>
  <c r="T91" i="6"/>
  <c r="T129" i="6"/>
  <c r="T241" i="6"/>
  <c r="T354" i="6"/>
  <c r="T376" i="6"/>
  <c r="T420" i="6"/>
  <c r="T260" i="6"/>
  <c r="T314" i="6"/>
  <c r="T290" i="6"/>
  <c r="T254" i="6"/>
  <c r="T235" i="6"/>
  <c r="T210" i="6"/>
  <c r="T175" i="6"/>
  <c r="T125" i="6"/>
  <c r="T49" i="6"/>
  <c r="T336" i="6"/>
  <c r="T130" i="6"/>
  <c r="T268" i="6"/>
  <c r="T337" i="6"/>
  <c r="T264" i="6"/>
  <c r="T180" i="6"/>
  <c r="T405" i="6"/>
  <c r="T313" i="6"/>
  <c r="T255" i="6"/>
  <c r="T231" i="6"/>
  <c r="T208" i="6"/>
  <c r="T166" i="6"/>
  <c r="T156" i="6"/>
  <c r="T123" i="6"/>
  <c r="T48" i="6"/>
  <c r="T271" i="6"/>
  <c r="T61" i="6"/>
  <c r="T243" i="6"/>
  <c r="T295" i="6"/>
  <c r="T178" i="6"/>
  <c r="T380" i="6"/>
  <c r="T339" i="6"/>
  <c r="T289" i="6"/>
  <c r="T258" i="6"/>
  <c r="T312" i="6"/>
  <c r="T286" i="6"/>
  <c r="T256" i="6"/>
  <c r="T230" i="6"/>
  <c r="T207" i="6"/>
  <c r="T176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7" i="6"/>
  <c r="T229" i="6"/>
  <c r="T199" i="6"/>
  <c r="T70" i="6"/>
  <c r="T154" i="6"/>
  <c r="T118" i="6"/>
  <c r="T45" i="6"/>
  <c r="T244" i="6"/>
  <c r="T353" i="6"/>
  <c r="T184" i="6"/>
  <c r="T213" i="6"/>
  <c r="T368" i="6"/>
  <c r="T319" i="6"/>
  <c r="T240" i="6"/>
  <c r="T59" i="6"/>
  <c r="T333" i="6"/>
  <c r="T310" i="6"/>
  <c r="T197" i="6"/>
  <c r="T150" i="6"/>
  <c r="T402" i="6"/>
  <c r="T262" i="6"/>
  <c r="T308" i="6"/>
  <c r="T280" i="6"/>
  <c r="T179" i="6"/>
  <c r="T227" i="6"/>
  <c r="T196" i="6"/>
  <c r="T93" i="6"/>
  <c r="T146" i="6"/>
  <c r="T109" i="6"/>
  <c r="T41" i="6"/>
  <c r="T215" i="6"/>
  <c r="T323" i="6"/>
  <c r="T87" i="6"/>
  <c r="T294" i="6"/>
  <c r="T398" i="6"/>
  <c r="T281" i="6"/>
  <c r="T228" i="6"/>
  <c r="T60" i="6"/>
  <c r="T114" i="6"/>
  <c r="T43" i="6"/>
  <c r="T406" i="6"/>
  <c r="T347" i="6"/>
  <c r="T263" i="6"/>
  <c r="T307" i="6"/>
  <c r="T279" i="6"/>
  <c r="T252" i="6"/>
  <c r="T226" i="6"/>
  <c r="T195" i="6"/>
  <c r="T75" i="6"/>
  <c r="T145" i="6"/>
  <c r="T107" i="6"/>
  <c r="T38" i="6"/>
  <c r="T62" i="6"/>
  <c r="T56" i="6"/>
  <c r="T141" i="6"/>
  <c r="T113" i="6"/>
  <c r="T80" i="6"/>
  <c r="T31" i="6"/>
  <c r="T206" i="6"/>
  <c r="T164" i="6"/>
  <c r="T139" i="6"/>
  <c r="T112" i="6"/>
  <c r="T64" i="6"/>
  <c r="T30" i="6"/>
  <c r="T203" i="6"/>
  <c r="T174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186" i="6" s="1"/>
  <c r="T444" i="6"/>
  <c r="T381" i="6"/>
  <c r="T480" i="6"/>
  <c r="T394" i="6"/>
  <c r="T397" i="6"/>
  <c r="T259" i="6"/>
  <c r="T355" i="6"/>
  <c r="T325" i="6"/>
  <c r="T309" i="6"/>
  <c r="T293" i="6"/>
  <c r="T276" i="6"/>
  <c r="T257" i="6"/>
  <c r="T242" i="6"/>
  <c r="T225" i="6"/>
  <c r="T209" i="6"/>
  <c r="T191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237" i="6"/>
  <c r="T221" i="6"/>
  <c r="T205" i="6"/>
  <c r="T187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1" i="6"/>
  <c r="T320" i="6"/>
  <c r="T304" i="6"/>
  <c r="T287" i="6"/>
  <c r="T269" i="6"/>
  <c r="T253" i="6"/>
  <c r="T236" i="6"/>
  <c r="T220" i="6"/>
  <c r="T204" i="6"/>
  <c r="T185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1" i="6"/>
  <c r="T234" i="6"/>
  <c r="T218" i="6"/>
  <c r="T202" i="6"/>
  <c r="T183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50" i="6"/>
  <c r="T233" i="6"/>
  <c r="T217" i="6"/>
  <c r="T201" i="6"/>
  <c r="T182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9" i="6"/>
  <c r="T232" i="6"/>
  <c r="T216" i="6"/>
  <c r="T200" i="6"/>
  <c r="T181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9" i="6" l="1"/>
  <c r="U151" i="6"/>
  <c r="U85" i="6"/>
  <c r="U291" i="6"/>
  <c r="U32" i="6"/>
  <c r="U33" i="6"/>
  <c r="U34" i="6"/>
  <c r="U35" i="6"/>
  <c r="U411" i="6"/>
  <c r="U172" i="6"/>
  <c r="U173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3" i="6"/>
  <c r="U52" i="6"/>
  <c r="U53" i="6"/>
  <c r="U54" i="6"/>
  <c r="U490" i="6"/>
  <c r="U496" i="6"/>
  <c r="U497" i="6"/>
  <c r="U493" i="6"/>
  <c r="U491" i="6"/>
  <c r="U494" i="6"/>
  <c r="U492" i="6"/>
  <c r="U495" i="6"/>
  <c r="U198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8" i="6"/>
  <c r="U463" i="6"/>
  <c r="U426" i="6"/>
  <c r="U467" i="6"/>
  <c r="U301" i="6"/>
  <c r="U227" i="6"/>
  <c r="U237" i="6"/>
  <c r="U319" i="6"/>
  <c r="U178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80" i="6"/>
  <c r="U213" i="6"/>
  <c r="U121" i="6"/>
  <c r="U334" i="6"/>
  <c r="U207" i="6"/>
  <c r="U303" i="6"/>
  <c r="U183" i="6"/>
  <c r="U45" i="6"/>
  <c r="U22" i="6"/>
  <c r="U195" i="6"/>
  <c r="U36" i="6"/>
  <c r="U24" i="6"/>
  <c r="U307" i="6"/>
  <c r="U124" i="6"/>
  <c r="U234" i="6"/>
  <c r="U210" i="6"/>
  <c r="U482" i="6"/>
  <c r="U487" i="6"/>
  <c r="U470" i="6"/>
  <c r="U20" i="6"/>
  <c r="U454" i="6"/>
  <c r="U331" i="6"/>
  <c r="U71" i="6"/>
  <c r="U469" i="6"/>
  <c r="U461" i="6"/>
  <c r="U243" i="6"/>
  <c r="U155" i="6"/>
  <c r="U323" i="6"/>
  <c r="U247" i="6"/>
  <c r="U236" i="6"/>
  <c r="U113" i="6"/>
  <c r="U206" i="6"/>
  <c r="U238" i="6"/>
  <c r="V7" i="6"/>
  <c r="V186" i="6" s="1"/>
  <c r="U27" i="6"/>
  <c r="U472" i="6"/>
  <c r="U254" i="6"/>
  <c r="U452" i="6"/>
  <c r="U21" i="6"/>
  <c r="U112" i="6"/>
  <c r="U19" i="6"/>
  <c r="U69" i="6"/>
  <c r="U423" i="6"/>
  <c r="U140" i="6"/>
  <c r="U351" i="6"/>
  <c r="U222" i="6"/>
  <c r="U359" i="6"/>
  <c r="U79" i="6"/>
  <c r="U274" i="6"/>
  <c r="U212" i="6"/>
  <c r="U290" i="6"/>
  <c r="U460" i="6"/>
  <c r="U471" i="6"/>
  <c r="U57" i="6"/>
  <c r="U107" i="6"/>
  <c r="U73" i="6"/>
  <c r="U142" i="6"/>
  <c r="U133" i="6"/>
  <c r="U135" i="6"/>
  <c r="U342" i="6"/>
  <c r="U181" i="6"/>
  <c r="U278" i="6"/>
  <c r="U449" i="6"/>
  <c r="U9" i="6"/>
  <c r="U68" i="6"/>
  <c r="U177" i="6"/>
  <c r="U154" i="6"/>
  <c r="U109" i="6"/>
  <c r="U11" i="6"/>
  <c r="U297" i="6"/>
  <c r="U360" i="6"/>
  <c r="U197" i="6"/>
  <c r="U447" i="6"/>
  <c r="U200" i="6"/>
  <c r="U77" i="6"/>
  <c r="U299" i="6"/>
  <c r="U440" i="6"/>
  <c r="U281" i="6"/>
  <c r="U185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5" i="6"/>
  <c r="U163" i="6"/>
  <c r="U421" i="6"/>
  <c r="U86" i="6"/>
  <c r="U137" i="6"/>
  <c r="U431" i="6"/>
  <c r="U120" i="6"/>
  <c r="U152" i="6"/>
  <c r="U25" i="6"/>
  <c r="U313" i="6"/>
  <c r="U428" i="6"/>
  <c r="U214" i="6"/>
  <c r="U216" i="6"/>
  <c r="U318" i="6"/>
  <c r="U182" i="6"/>
  <c r="U321" i="6"/>
  <c r="U215" i="6"/>
  <c r="U59" i="6"/>
  <c r="U485" i="6"/>
  <c r="U126" i="6"/>
  <c r="U62" i="6"/>
  <c r="U8" i="6"/>
  <c r="U444" i="6"/>
  <c r="U361" i="6"/>
  <c r="U40" i="6"/>
  <c r="U228" i="6"/>
  <c r="U459" i="6"/>
  <c r="U89" i="6"/>
  <c r="U87" i="6"/>
  <c r="U430" i="6"/>
  <c r="U51" i="6"/>
  <c r="U91" i="6"/>
  <c r="U422" i="6"/>
  <c r="U104" i="6"/>
  <c r="U429" i="6"/>
  <c r="U261" i="6"/>
  <c r="U191" i="6"/>
  <c r="U174" i="6"/>
  <c r="U41" i="6"/>
  <c r="U230" i="6"/>
  <c r="U464" i="6"/>
  <c r="U232" i="6"/>
  <c r="U262" i="6"/>
  <c r="U208" i="6"/>
  <c r="U376" i="6"/>
  <c r="U179" i="6"/>
  <c r="U419" i="6"/>
  <c r="U253" i="6"/>
  <c r="U82" i="6"/>
  <c r="U438" i="6"/>
  <c r="U458" i="6"/>
  <c r="U43" i="6"/>
  <c r="U38" i="6"/>
  <c r="U60" i="6"/>
  <c r="U55" i="6"/>
  <c r="U486" i="6"/>
  <c r="U468" i="6"/>
  <c r="U129" i="6"/>
  <c r="U446" i="6"/>
  <c r="U225" i="6"/>
  <c r="U450" i="6"/>
  <c r="U194" i="6"/>
  <c r="U75" i="6"/>
  <c r="U484" i="6"/>
  <c r="U266" i="6"/>
  <c r="U407" i="6"/>
  <c r="U241" i="6"/>
  <c r="U283" i="6"/>
  <c r="U16" i="6"/>
  <c r="U217" i="6"/>
  <c r="U455" i="6"/>
  <c r="U29" i="6"/>
  <c r="U442" i="6"/>
  <c r="U97" i="6"/>
  <c r="U451" i="6"/>
  <c r="U18" i="6"/>
  <c r="U448" i="6"/>
  <c r="U209" i="6"/>
  <c r="U136" i="6"/>
  <c r="U58" i="6"/>
  <c r="U445" i="6"/>
  <c r="U358" i="6"/>
  <c r="U257" i="6"/>
  <c r="U352" i="6"/>
  <c r="U235" i="6"/>
  <c r="U15" i="6"/>
  <c r="U437" i="6"/>
  <c r="U156" i="6"/>
  <c r="U439" i="6"/>
  <c r="U466" i="6"/>
  <c r="U130" i="6"/>
  <c r="U211" i="6"/>
  <c r="U92" i="6"/>
  <c r="U462" i="6"/>
  <c r="U284" i="6"/>
  <c r="U80" i="6"/>
  <c r="U279" i="6"/>
  <c r="U410" i="6"/>
  <c r="U187" i="6"/>
  <c r="U49" i="6"/>
  <c r="U90" i="6"/>
  <c r="U119" i="6"/>
  <c r="U304" i="6"/>
  <c r="U378" i="6"/>
  <c r="U122" i="6"/>
  <c r="U131" i="6"/>
  <c r="U302" i="6"/>
  <c r="U322" i="6"/>
  <c r="U396" i="6"/>
  <c r="U324" i="6"/>
  <c r="U196" i="6"/>
  <c r="U374" i="6"/>
  <c r="U320" i="6"/>
  <c r="U357" i="6"/>
  <c r="U425" i="6"/>
  <c r="U289" i="6"/>
  <c r="U373" i="6"/>
  <c r="U251" i="6"/>
  <c r="U392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4" i="6"/>
  <c r="U48" i="6"/>
  <c r="U344" i="6"/>
  <c r="U382" i="6"/>
  <c r="U175" i="6"/>
  <c r="U46" i="6"/>
  <c r="U249" i="6"/>
  <c r="U81" i="6"/>
  <c r="U115" i="6"/>
  <c r="U400" i="6"/>
  <c r="U345" i="6"/>
  <c r="U123" i="6"/>
  <c r="U218" i="6"/>
  <c r="U256" i="6"/>
  <c r="U294" i="6"/>
  <c r="U240" i="6"/>
  <c r="U363" i="6"/>
  <c r="U259" i="6"/>
  <c r="U219" i="6"/>
  <c r="U248" i="6"/>
  <c r="U50" i="6"/>
  <c r="U165" i="6"/>
  <c r="U223" i="6"/>
  <c r="U265" i="6"/>
  <c r="U298" i="6"/>
  <c r="U252" i="6"/>
  <c r="U368" i="6"/>
  <c r="U399" i="6"/>
  <c r="U116" i="6"/>
  <c r="U402" i="6"/>
  <c r="U202" i="6"/>
  <c r="U98" i="6"/>
  <c r="U147" i="6"/>
  <c r="U480" i="6"/>
  <c r="U102" i="6"/>
  <c r="U224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5" i="6"/>
  <c r="U347" i="6"/>
  <c r="U39" i="6"/>
  <c r="U296" i="6"/>
  <c r="U56" i="6"/>
  <c r="U226" i="6"/>
  <c r="U308" i="6"/>
  <c r="U371" i="6"/>
  <c r="U287" i="6"/>
  <c r="U293" i="6"/>
  <c r="U220" i="6"/>
  <c r="U61" i="6"/>
  <c r="U117" i="6"/>
  <c r="U153" i="6"/>
  <c r="U229" i="6"/>
  <c r="U270" i="6"/>
  <c r="U309" i="6"/>
  <c r="U356" i="6"/>
  <c r="U403" i="6"/>
  <c r="U148" i="6"/>
  <c r="U362" i="6"/>
  <c r="U398" i="6"/>
  <c r="U63" i="6"/>
  <c r="U118" i="6"/>
  <c r="U189" i="6"/>
  <c r="U231" i="6"/>
  <c r="U271" i="6"/>
  <c r="U311" i="6"/>
  <c r="U330" i="6"/>
  <c r="U372" i="6"/>
  <c r="U404" i="6"/>
  <c r="U233" i="6"/>
  <c r="U339" i="6"/>
  <c r="U379" i="6"/>
  <c r="U138" i="6"/>
  <c r="U260" i="6"/>
  <c r="U37" i="6"/>
  <c r="U64" i="6"/>
  <c r="U127" i="6"/>
  <c r="U190" i="6"/>
  <c r="U275" i="6"/>
  <c r="U312" i="6"/>
  <c r="U405" i="6"/>
  <c r="U276" i="6"/>
  <c r="U380" i="6"/>
  <c r="U139" i="6"/>
  <c r="U65" i="6"/>
  <c r="U143" i="6"/>
  <c r="U192" i="6"/>
  <c r="U314" i="6"/>
  <c r="U406" i="6"/>
  <c r="U141" i="6"/>
  <c r="U250" i="6"/>
  <c r="U367" i="6"/>
  <c r="U17" i="6"/>
  <c r="U66" i="6"/>
  <c r="U176" i="6"/>
  <c r="U199" i="6"/>
  <c r="U146" i="6"/>
  <c r="U277" i="6"/>
  <c r="U315" i="6"/>
  <c r="U338" i="6"/>
  <c r="U381" i="6"/>
  <c r="U286" i="6"/>
  <c r="U316" i="6"/>
  <c r="U383" i="6"/>
  <c r="U205" i="6"/>
  <c r="U397" i="6"/>
  <c r="U26" i="6"/>
  <c r="U67" i="6"/>
  <c r="U132" i="6"/>
  <c r="U201" i="6"/>
  <c r="U164" i="6"/>
  <c r="U354" i="6"/>
  <c r="U28" i="6"/>
  <c r="U337" i="6"/>
  <c r="U349" i="6"/>
  <c r="U295" i="6"/>
  <c r="U31" i="6"/>
  <c r="U84" i="6"/>
  <c r="U157" i="6"/>
  <c r="U203" i="6"/>
  <c r="U242" i="6"/>
  <c r="U288" i="6"/>
  <c r="U325" i="6"/>
  <c r="U353" i="6"/>
  <c r="U420" i="6"/>
  <c r="U244" i="6"/>
  <c r="U264" i="6"/>
  <c r="U88" i="6"/>
  <c r="U150" i="6"/>
  <c r="U204" i="6"/>
  <c r="U246" i="6"/>
  <c r="U292" i="6"/>
  <c r="U326" i="6"/>
  <c r="U336" i="6"/>
  <c r="U387" i="6"/>
  <c r="U348" i="6"/>
  <c r="U364" i="6"/>
  <c r="U221" i="6"/>
  <c r="U258" i="6"/>
  <c r="U268" i="6"/>
  <c r="F5" i="6"/>
  <c r="G5" i="6"/>
  <c r="E5" i="6"/>
  <c r="H4" i="6"/>
  <c r="H3" i="6"/>
  <c r="T5" i="6"/>
  <c r="V239" i="6" l="1"/>
  <c r="V151" i="6"/>
  <c r="V85" i="6"/>
  <c r="V291" i="6"/>
  <c r="V32" i="6"/>
  <c r="V33" i="6"/>
  <c r="V34" i="6"/>
  <c r="V35" i="6"/>
  <c r="V411" i="6"/>
  <c r="V172" i="6"/>
  <c r="V173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3" i="6"/>
  <c r="V480" i="6"/>
  <c r="V490" i="6"/>
  <c r="V496" i="6"/>
  <c r="V497" i="6"/>
  <c r="V493" i="6"/>
  <c r="V491" i="6"/>
  <c r="V494" i="6"/>
  <c r="V492" i="6"/>
  <c r="V495" i="6"/>
  <c r="V387" i="6"/>
  <c r="V195" i="6"/>
  <c r="V362" i="6"/>
  <c r="V245" i="6"/>
  <c r="V198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290" i="6"/>
  <c r="V296" i="6"/>
  <c r="V233" i="6"/>
  <c r="V329" i="6"/>
  <c r="V28" i="6"/>
  <c r="V18" i="6"/>
  <c r="V240" i="6"/>
  <c r="V448" i="6"/>
  <c r="V188" i="6"/>
  <c r="V465" i="6"/>
  <c r="V384" i="6"/>
  <c r="V385" i="6"/>
  <c r="V386" i="6"/>
  <c r="V94" i="6"/>
  <c r="V95" i="6"/>
  <c r="V96" i="6"/>
  <c r="V156" i="6"/>
  <c r="V428" i="6"/>
  <c r="V210" i="6"/>
  <c r="V482" i="6"/>
  <c r="V258" i="6"/>
  <c r="V73" i="6"/>
  <c r="V365" i="6"/>
  <c r="V106" i="6"/>
  <c r="V398" i="6"/>
  <c r="V136" i="6"/>
  <c r="V259" i="6"/>
  <c r="V207" i="6"/>
  <c r="V261" i="6"/>
  <c r="V56" i="6"/>
  <c r="V287" i="6"/>
  <c r="V12" i="6"/>
  <c r="V236" i="6"/>
  <c r="V352" i="6"/>
  <c r="V51" i="6"/>
  <c r="V284" i="6"/>
  <c r="V460" i="6"/>
  <c r="V201" i="6"/>
  <c r="V299" i="6"/>
  <c r="V256" i="6"/>
  <c r="V401" i="6"/>
  <c r="V126" i="6"/>
  <c r="V450" i="6"/>
  <c r="V364" i="6"/>
  <c r="V65" i="6"/>
  <c r="V467" i="6"/>
  <c r="V355" i="6"/>
  <c r="V380" i="6"/>
  <c r="V120" i="6"/>
  <c r="V241" i="6"/>
  <c r="V449" i="6"/>
  <c r="V189" i="6"/>
  <c r="V149" i="6"/>
  <c r="V269" i="6"/>
  <c r="V483" i="6"/>
  <c r="V220" i="6"/>
  <c r="V333" i="6"/>
  <c r="V19" i="6"/>
  <c r="V266" i="6"/>
  <c r="V443" i="6"/>
  <c r="V182" i="6"/>
  <c r="V282" i="6"/>
  <c r="V403" i="6"/>
  <c r="V141" i="6"/>
  <c r="V246" i="6"/>
  <c r="V274" i="6"/>
  <c r="V462" i="6"/>
  <c r="V309" i="6"/>
  <c r="V487" i="6"/>
  <c r="V9" i="6"/>
  <c r="V254" i="6"/>
  <c r="V90" i="6"/>
  <c r="V438" i="6"/>
  <c r="V326" i="6"/>
  <c r="V66" i="6"/>
  <c r="V363" i="6"/>
  <c r="V104" i="6"/>
  <c r="V224" i="6"/>
  <c r="V176" i="6"/>
  <c r="V395" i="6"/>
  <c r="V133" i="6"/>
  <c r="V81" i="6"/>
  <c r="V463" i="6"/>
  <c r="V204" i="6"/>
  <c r="V318" i="6"/>
  <c r="V80" i="6"/>
  <c r="V251" i="6"/>
  <c r="W7" i="6"/>
  <c r="W186" i="6" s="1"/>
  <c r="V93" i="6"/>
  <c r="V264" i="6"/>
  <c r="V125" i="6"/>
  <c r="V229" i="6"/>
  <c r="V486" i="6"/>
  <c r="V215" i="6"/>
  <c r="V454" i="6"/>
  <c r="V371" i="6"/>
  <c r="V471" i="6"/>
  <c r="V422" i="6"/>
  <c r="V310" i="6"/>
  <c r="V67" i="6"/>
  <c r="V356" i="6"/>
  <c r="V31" i="6"/>
  <c r="V208" i="6"/>
  <c r="V345" i="6"/>
  <c r="V82" i="6"/>
  <c r="V377" i="6"/>
  <c r="V117" i="6"/>
  <c r="V237" i="6"/>
  <c r="V446" i="6"/>
  <c r="V185" i="6"/>
  <c r="V302" i="6"/>
  <c r="V40" i="6"/>
  <c r="V234" i="6"/>
  <c r="V425" i="6"/>
  <c r="V249" i="6"/>
  <c r="V369" i="6"/>
  <c r="V109" i="6"/>
  <c r="V213" i="6"/>
  <c r="V458" i="6"/>
  <c r="V260" i="6"/>
  <c r="V177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90" i="6"/>
  <c r="V150" i="6"/>
  <c r="V350" i="6"/>
  <c r="V79" i="6"/>
  <c r="V221" i="6"/>
  <c r="V429" i="6"/>
  <c r="V92" i="6"/>
  <c r="V285" i="6"/>
  <c r="V481" i="6"/>
  <c r="V218" i="6"/>
  <c r="V406" i="6"/>
  <c r="V144" i="6"/>
  <c r="V232" i="6"/>
  <c r="V354" i="6"/>
  <c r="V41" i="6"/>
  <c r="V196" i="6"/>
  <c r="V77" i="6"/>
  <c r="V314" i="6"/>
  <c r="V456" i="6"/>
  <c r="V383" i="6"/>
  <c r="V192" i="6"/>
  <c r="V473" i="6"/>
  <c r="V424" i="6"/>
  <c r="V243" i="6"/>
  <c r="V277" i="6"/>
  <c r="V105" i="6"/>
  <c r="V308" i="6"/>
  <c r="V175" i="6"/>
  <c r="V396" i="6"/>
  <c r="V134" i="6"/>
  <c r="V341" i="6"/>
  <c r="V25" i="6"/>
  <c r="V205" i="6"/>
  <c r="V347" i="6"/>
  <c r="V165" i="6"/>
  <c r="V267" i="6"/>
  <c r="V461" i="6"/>
  <c r="V202" i="6"/>
  <c r="V128" i="6"/>
  <c r="V216" i="6"/>
  <c r="V263" i="6"/>
  <c r="V98" i="6"/>
  <c r="V60" i="6"/>
  <c r="V76" i="6"/>
  <c r="V228" i="6"/>
  <c r="V361" i="6"/>
  <c r="V293" i="6"/>
  <c r="V110" i="6"/>
  <c r="V442" i="6"/>
  <c r="V339" i="6"/>
  <c r="V292" i="6"/>
  <c r="V20" i="6"/>
  <c r="V378" i="6"/>
  <c r="V118" i="6"/>
  <c r="V321" i="6"/>
  <c r="V59" i="6"/>
  <c r="V187" i="6"/>
  <c r="V409" i="6"/>
  <c r="V147" i="6"/>
  <c r="V252" i="6"/>
  <c r="V444" i="6"/>
  <c r="V183" i="6"/>
  <c r="V372" i="6"/>
  <c r="V112" i="6"/>
  <c r="V200" i="6"/>
  <c r="V313" i="6"/>
  <c r="V30" i="6"/>
  <c r="V71" i="6"/>
  <c r="V154" i="6"/>
  <c r="V399" i="6"/>
  <c r="V199" i="6"/>
  <c r="V248" i="6"/>
  <c r="V70" i="6"/>
  <c r="V244" i="6"/>
  <c r="V61" i="6"/>
  <c r="V275" i="6"/>
  <c r="V152" i="6"/>
  <c r="V334" i="6"/>
  <c r="V102" i="6"/>
  <c r="V305" i="6"/>
  <c r="V46" i="6"/>
  <c r="V393" i="6"/>
  <c r="V131" i="6"/>
  <c r="V235" i="6"/>
  <c r="V343" i="6"/>
  <c r="V62" i="6"/>
  <c r="V47" i="6"/>
  <c r="V181" i="6"/>
  <c r="V297" i="6"/>
  <c r="V421" i="6"/>
  <c r="V157" i="6"/>
  <c r="V26" i="6"/>
  <c r="V298" i="6"/>
  <c r="V123" i="6"/>
  <c r="V447" i="6"/>
  <c r="V337" i="6"/>
  <c r="V58" i="6"/>
  <c r="V427" i="6"/>
  <c r="V227" i="6"/>
  <c r="V55" i="6"/>
  <c r="V179" i="6"/>
  <c r="V397" i="6"/>
  <c r="V135" i="6"/>
  <c r="V357" i="6"/>
  <c r="V27" i="6"/>
  <c r="V288" i="6"/>
  <c r="V14" i="6"/>
  <c r="V166" i="6"/>
  <c r="V375" i="6"/>
  <c r="V115" i="6"/>
  <c r="V219" i="6"/>
  <c r="V348" i="6"/>
  <c r="V163" i="6"/>
  <c r="V330" i="6"/>
  <c r="V15" i="6"/>
  <c r="V75" i="6"/>
  <c r="V280" i="6"/>
  <c r="V402" i="6"/>
  <c r="V140" i="6"/>
  <c r="V459" i="6"/>
  <c r="V212" i="6"/>
  <c r="V484" i="6"/>
  <c r="V11" i="6"/>
  <c r="V257" i="6"/>
  <c r="V72" i="6"/>
  <c r="V470" i="6"/>
  <c r="V211" i="6"/>
  <c r="V22" i="6"/>
  <c r="V242" i="6"/>
  <c r="V379" i="6"/>
  <c r="V119" i="6"/>
  <c r="V322" i="6"/>
  <c r="V83" i="6"/>
  <c r="V270" i="6"/>
  <c r="V410" i="6"/>
  <c r="V148" i="6"/>
  <c r="V335" i="6"/>
  <c r="V203" i="6"/>
  <c r="V407" i="6"/>
  <c r="V145" i="6"/>
  <c r="V316" i="6"/>
  <c r="V64" i="6"/>
  <c r="V255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4" i="6"/>
  <c r="V426" i="6"/>
  <c r="V225" i="6"/>
  <c r="V349" i="6"/>
  <c r="V103" i="6"/>
  <c r="V306" i="6"/>
  <c r="V48" i="6"/>
  <c r="V394" i="6"/>
  <c r="V132" i="6"/>
  <c r="V342" i="6"/>
  <c r="V21" i="6"/>
  <c r="V184" i="6"/>
  <c r="V129" i="6"/>
  <c r="V300" i="6"/>
  <c r="V36" i="6"/>
  <c r="V143" i="6"/>
  <c r="V247" i="6"/>
  <c r="V368" i="6"/>
  <c r="V108" i="6"/>
  <c r="V231" i="6"/>
  <c r="V445" i="6"/>
  <c r="V122" i="6"/>
  <c r="V431" i="6"/>
  <c r="V253" i="6"/>
  <c r="V89" i="6"/>
  <c r="V464" i="6"/>
  <c r="V404" i="6"/>
  <c r="V360" i="6"/>
  <c r="V8" i="6"/>
  <c r="V276" i="6"/>
  <c r="V37" i="6"/>
  <c r="V439" i="6"/>
  <c r="V437" i="6"/>
  <c r="V174" i="6"/>
  <c r="V468" i="6"/>
  <c r="V209" i="6"/>
  <c r="V340" i="6"/>
  <c r="V29" i="6"/>
  <c r="V289" i="6"/>
  <c r="V16" i="6"/>
  <c r="V238" i="6"/>
  <c r="V376" i="6"/>
  <c r="V116" i="6"/>
  <c r="V319" i="6"/>
  <c r="V91" i="6"/>
  <c r="V84" i="6"/>
  <c r="V373" i="6"/>
  <c r="V113" i="6"/>
  <c r="V283" i="6"/>
  <c r="V405" i="6"/>
  <c r="V127" i="6"/>
  <c r="V230" i="6"/>
  <c r="V338" i="6"/>
  <c r="V39" i="6"/>
  <c r="V311" i="6"/>
  <c r="V455" i="6"/>
  <c r="V381" i="6"/>
  <c r="V180" i="6"/>
  <c r="V472" i="6"/>
  <c r="V423" i="6"/>
  <c r="V344" i="6"/>
  <c r="V451" i="6"/>
  <c r="V191" i="6"/>
  <c r="V323" i="6"/>
  <c r="V69" i="6"/>
  <c r="V271" i="6"/>
  <c r="V485" i="6"/>
  <c r="V222" i="6"/>
  <c r="V351" i="6"/>
  <c r="V63" i="6"/>
  <c r="V303" i="6"/>
  <c r="V42" i="6"/>
  <c r="V164" i="6"/>
  <c r="V336" i="6"/>
  <c r="V49" i="6"/>
  <c r="V265" i="6"/>
  <c r="V111" i="6"/>
  <c r="V214" i="6"/>
  <c r="V328" i="6"/>
  <c r="V121" i="6"/>
  <c r="V382" i="6"/>
  <c r="V223" i="6"/>
  <c r="V44" i="6"/>
  <c r="V301" i="6"/>
  <c r="V217" i="6"/>
  <c r="V279" i="6"/>
  <c r="V420" i="6"/>
  <c r="V226" i="6"/>
  <c r="V346" i="6"/>
  <c r="V281" i="6"/>
  <c r="V107" i="6"/>
  <c r="V441" i="6"/>
  <c r="V262" i="6"/>
  <c r="V419" i="6"/>
  <c r="V155" i="6"/>
  <c r="V78" i="6"/>
  <c r="V307" i="6"/>
  <c r="V50" i="6"/>
  <c r="V178" i="6"/>
  <c r="V466" i="6"/>
  <c r="V206" i="6"/>
  <c r="V358" i="6"/>
  <c r="V23" i="6"/>
  <c r="V286" i="6"/>
  <c r="V408" i="6"/>
  <c r="V146" i="6"/>
  <c r="V331" i="6"/>
  <c r="V17" i="6"/>
  <c r="V250" i="6"/>
  <c r="V353" i="6"/>
  <c r="V45" i="6"/>
  <c r="V197" i="6"/>
  <c r="V312" i="6"/>
  <c r="V88" i="6"/>
  <c r="U5" i="6"/>
  <c r="H5" i="6"/>
  <c r="W239" i="6" l="1"/>
  <c r="W151" i="6"/>
  <c r="W85" i="6"/>
  <c r="W291" i="6"/>
  <c r="W32" i="6"/>
  <c r="W33" i="6"/>
  <c r="W34" i="6"/>
  <c r="W35" i="6"/>
  <c r="W411" i="6"/>
  <c r="W172" i="6"/>
  <c r="W173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3" i="6"/>
  <c r="W52" i="6"/>
  <c r="W53" i="6"/>
  <c r="W54" i="6"/>
  <c r="W495" i="6"/>
  <c r="W490" i="6"/>
  <c r="W496" i="6"/>
  <c r="W497" i="6"/>
  <c r="W493" i="6"/>
  <c r="W491" i="6"/>
  <c r="W494" i="6"/>
  <c r="W492" i="6"/>
  <c r="W198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7" i="6"/>
  <c r="W191" i="6"/>
  <c r="W285" i="6"/>
  <c r="W17" i="6"/>
  <c r="W421" i="6"/>
  <c r="W12" i="6"/>
  <c r="W37" i="6"/>
  <c r="W149" i="6"/>
  <c r="W326" i="6"/>
  <c r="W370" i="6"/>
  <c r="W362" i="6"/>
  <c r="W60" i="6"/>
  <c r="W442" i="6"/>
  <c r="W205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50" i="6"/>
  <c r="W184" i="6"/>
  <c r="W43" i="6"/>
  <c r="W267" i="6"/>
  <c r="W395" i="6"/>
  <c r="W111" i="6"/>
  <c r="W214" i="6"/>
  <c r="W36" i="6"/>
  <c r="W50" i="6"/>
  <c r="W294" i="6"/>
  <c r="W350" i="6"/>
  <c r="W408" i="6"/>
  <c r="W344" i="6"/>
  <c r="W429" i="6"/>
  <c r="W443" i="6"/>
  <c r="W261" i="6"/>
  <c r="W481" i="6"/>
  <c r="W461" i="6"/>
  <c r="W29" i="6"/>
  <c r="W57" i="6"/>
  <c r="W82" i="6"/>
  <c r="W118" i="6"/>
  <c r="W145" i="6"/>
  <c r="W342" i="6"/>
  <c r="W27" i="6"/>
  <c r="W228" i="6"/>
  <c r="W453" i="6"/>
  <c r="W377" i="6"/>
  <c r="W89" i="6"/>
  <c r="W313" i="6"/>
  <c r="W20" i="6"/>
  <c r="W277" i="6"/>
  <c r="W77" i="6"/>
  <c r="W194" i="6"/>
  <c r="W235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4" i="6"/>
  <c r="W424" i="6"/>
  <c r="W144" i="6"/>
  <c r="W328" i="6"/>
  <c r="W71" i="6"/>
  <c r="W297" i="6"/>
  <c r="W311" i="6"/>
  <c r="W18" i="6"/>
  <c r="W233" i="6"/>
  <c r="W76" i="6"/>
  <c r="W358" i="6"/>
  <c r="W359" i="6"/>
  <c r="W211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1" i="6"/>
  <c r="W128" i="6"/>
  <c r="W355" i="6"/>
  <c r="W55" i="6"/>
  <c r="W280" i="6"/>
  <c r="W295" i="6"/>
  <c r="X7" i="6"/>
  <c r="X186" i="6" s="1"/>
  <c r="W245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60" i="6"/>
  <c r="W396" i="6"/>
  <c r="W112" i="6"/>
  <c r="W230" i="6"/>
  <c r="W38" i="6"/>
  <c r="W248" i="6"/>
  <c r="W278" i="6"/>
  <c r="W431" i="6"/>
  <c r="W183" i="6"/>
  <c r="W480" i="6"/>
  <c r="W279" i="6"/>
  <c r="W276" i="6"/>
  <c r="W306" i="6"/>
  <c r="W222" i="6"/>
  <c r="W336" i="6"/>
  <c r="W329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5" i="6"/>
  <c r="W240" i="6"/>
  <c r="W10" i="6"/>
  <c r="W179" i="6"/>
  <c r="W220" i="6"/>
  <c r="W195" i="6"/>
  <c r="W275" i="6"/>
  <c r="W305" i="6"/>
  <c r="W206" i="6"/>
  <c r="W197" i="6"/>
  <c r="W263" i="6"/>
  <c r="W353" i="6"/>
  <c r="W354" i="6"/>
  <c r="W371" i="6"/>
  <c r="W397" i="6"/>
  <c r="W360" i="6"/>
  <c r="W470" i="6"/>
  <c r="W458" i="6"/>
  <c r="W451" i="6"/>
  <c r="W19" i="6"/>
  <c r="W180" i="6"/>
  <c r="W146" i="6"/>
  <c r="W334" i="6"/>
  <c r="W72" i="6"/>
  <c r="W299" i="6"/>
  <c r="W485" i="6"/>
  <c r="W210" i="6"/>
  <c r="W249" i="6"/>
  <c r="W460" i="6"/>
  <c r="W177" i="6"/>
  <c r="W236" i="6"/>
  <c r="W93" i="6"/>
  <c r="W242" i="6"/>
  <c r="W229" i="6"/>
  <c r="W253" i="6"/>
  <c r="W274" i="6"/>
  <c r="W303" i="6"/>
  <c r="W301" i="6"/>
  <c r="W298" i="6"/>
  <c r="W182" i="6"/>
  <c r="W323" i="6"/>
  <c r="W339" i="6"/>
  <c r="W369" i="6"/>
  <c r="W394" i="6"/>
  <c r="W345" i="6"/>
  <c r="W9" i="6"/>
  <c r="W469" i="6"/>
  <c r="W199" i="6"/>
  <c r="W348" i="6"/>
  <c r="W130" i="6"/>
  <c r="W338" i="6"/>
  <c r="W56" i="6"/>
  <c r="W282" i="6"/>
  <c r="W455" i="6"/>
  <c r="W181" i="6"/>
  <c r="W192" i="6"/>
  <c r="W247" i="6"/>
  <c r="W155" i="6"/>
  <c r="W309" i="6"/>
  <c r="W246" i="6"/>
  <c r="W140" i="6"/>
  <c r="W178" i="6"/>
  <c r="W213" i="6"/>
  <c r="W241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7" i="6"/>
  <c r="W398" i="6"/>
  <c r="W114" i="6"/>
  <c r="W238" i="6"/>
  <c r="W39" i="6"/>
  <c r="W264" i="6"/>
  <c r="W446" i="6"/>
  <c r="W175" i="6"/>
  <c r="W258" i="6"/>
  <c r="W227" i="6"/>
  <c r="W138" i="6"/>
  <c r="W281" i="6"/>
  <c r="W113" i="6"/>
  <c r="W137" i="6"/>
  <c r="W136" i="6"/>
  <c r="W187" i="6"/>
  <c r="W231" i="6"/>
  <c r="W223" i="6"/>
  <c r="W215" i="6"/>
  <c r="W266" i="6"/>
  <c r="W252" i="6"/>
  <c r="W292" i="6"/>
  <c r="W321" i="6"/>
  <c r="W340" i="6"/>
  <c r="W367" i="6"/>
  <c r="W251" i="6"/>
  <c r="W450" i="6"/>
  <c r="W200" i="6"/>
  <c r="W380" i="6"/>
  <c r="W92" i="6"/>
  <c r="W316" i="6"/>
  <c r="W23" i="6"/>
  <c r="W204" i="6"/>
  <c r="W243" i="6"/>
  <c r="W176" i="6"/>
  <c r="W406" i="6"/>
  <c r="W122" i="6"/>
  <c r="W78" i="6"/>
  <c r="W110" i="6"/>
  <c r="W108" i="6"/>
  <c r="W135" i="6"/>
  <c r="W165" i="6"/>
  <c r="W259" i="6"/>
  <c r="W232" i="6"/>
  <c r="W207" i="6"/>
  <c r="W189" i="6"/>
  <c r="W244" i="6"/>
  <c r="W290" i="6"/>
  <c r="W319" i="6"/>
  <c r="W219" i="6"/>
  <c r="W364" i="6"/>
  <c r="W440" i="6"/>
  <c r="W363" i="6"/>
  <c r="W75" i="6"/>
  <c r="W300" i="6"/>
  <c r="W438" i="6"/>
  <c r="W226" i="6"/>
  <c r="W11" i="6"/>
  <c r="W141" i="6"/>
  <c r="W156" i="6"/>
  <c r="W106" i="6"/>
  <c r="W46" i="6"/>
  <c r="W45" i="6"/>
  <c r="W73" i="6"/>
  <c r="W105" i="6"/>
  <c r="W134" i="6"/>
  <c r="W163" i="6"/>
  <c r="W157" i="6"/>
  <c r="W224" i="6"/>
  <c r="W216" i="6"/>
  <c r="W255" i="6"/>
  <c r="W225" i="6"/>
  <c r="W289" i="6"/>
  <c r="W317" i="6"/>
  <c r="W357" i="6"/>
  <c r="W349" i="6"/>
  <c r="W331" i="6"/>
  <c r="W148" i="6"/>
  <c r="W337" i="6"/>
  <c r="W58" i="6"/>
  <c r="W283" i="6"/>
  <c r="W324" i="6"/>
  <c r="W196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8" i="6"/>
  <c r="W218" i="6"/>
  <c r="W217" i="6"/>
  <c r="W288" i="6"/>
  <c r="W314" i="6"/>
  <c r="W341" i="6"/>
  <c r="W203" i="6"/>
  <c r="W132" i="6"/>
  <c r="W343" i="6"/>
  <c r="W41" i="6"/>
  <c r="W265" i="6"/>
  <c r="W449" i="6"/>
  <c r="W174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90" i="6"/>
  <c r="W202" i="6"/>
  <c r="W209" i="6"/>
  <c r="W286" i="6"/>
  <c r="W312" i="6"/>
  <c r="W400" i="6"/>
  <c r="W116" i="6"/>
  <c r="W318" i="6"/>
  <c r="W25" i="6"/>
  <c r="W212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256" i="6"/>
  <c r="W201" i="6"/>
  <c r="W284" i="6"/>
  <c r="W382" i="6"/>
  <c r="W97" i="6"/>
  <c r="W302" i="6"/>
  <c r="W234" i="6"/>
  <c r="W347" i="6"/>
  <c r="W143" i="6"/>
  <c r="W325" i="6"/>
  <c r="W69" i="6"/>
  <c r="W84" i="6"/>
  <c r="W188" i="6"/>
  <c r="X239" i="6" l="1"/>
  <c r="X151" i="6"/>
  <c r="X85" i="6"/>
  <c r="X291" i="6"/>
  <c r="X32" i="6"/>
  <c r="X33" i="6"/>
  <c r="X34" i="6"/>
  <c r="X35" i="6"/>
  <c r="X411" i="6"/>
  <c r="X172" i="6"/>
  <c r="X173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3" i="6"/>
  <c r="X52" i="6"/>
  <c r="X53" i="6"/>
  <c r="X54" i="6"/>
  <c r="X495" i="6"/>
  <c r="X490" i="6"/>
  <c r="X496" i="6"/>
  <c r="X497" i="6"/>
  <c r="X493" i="6"/>
  <c r="X491" i="6"/>
  <c r="X494" i="6"/>
  <c r="X492" i="6"/>
  <c r="X198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26" i="6"/>
  <c r="X327" i="6"/>
  <c r="X256" i="6"/>
  <c r="X224" i="6"/>
  <c r="X458" i="6"/>
  <c r="X318" i="6"/>
  <c r="X82" i="6"/>
  <c r="X442" i="6"/>
  <c r="X428" i="6"/>
  <c r="X376" i="6"/>
  <c r="X231" i="6"/>
  <c r="X455" i="6"/>
  <c r="X257" i="6"/>
  <c r="X320" i="6"/>
  <c r="X334" i="6"/>
  <c r="X184" i="6"/>
  <c r="X88" i="6"/>
  <c r="X134" i="6"/>
  <c r="X403" i="6"/>
  <c r="X367" i="6"/>
  <c r="X152" i="6"/>
  <c r="X353" i="6"/>
  <c r="X298" i="6"/>
  <c r="X281" i="6"/>
  <c r="X199" i="6"/>
  <c r="X339" i="6"/>
  <c r="X361" i="6"/>
  <c r="X29" i="6"/>
  <c r="X94" i="6"/>
  <c r="X95" i="6"/>
  <c r="X96" i="6"/>
  <c r="X365" i="6"/>
  <c r="X174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2" i="6"/>
  <c r="X182" i="6"/>
  <c r="X43" i="6"/>
  <c r="X244" i="6"/>
  <c r="X240" i="6"/>
  <c r="X233" i="6"/>
  <c r="X446" i="6"/>
  <c r="X194" i="6"/>
  <c r="X216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5" i="6"/>
  <c r="X22" i="6"/>
  <c r="X249" i="6"/>
  <c r="X137" i="6"/>
  <c r="X25" i="6"/>
  <c r="X24" i="6"/>
  <c r="X76" i="6"/>
  <c r="X471" i="6"/>
  <c r="X399" i="6"/>
  <c r="X190" i="6"/>
  <c r="X358" i="6"/>
  <c r="X387" i="6"/>
  <c r="Y7" i="6"/>
  <c r="Y186" i="6" s="1"/>
  <c r="X191" i="6"/>
  <c r="X218" i="6"/>
  <c r="X297" i="6"/>
  <c r="X202" i="6"/>
  <c r="X192" i="6"/>
  <c r="X183" i="6"/>
  <c r="X427" i="6"/>
  <c r="X157" i="6"/>
  <c r="X175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7" i="6"/>
  <c r="X280" i="6"/>
  <c r="X481" i="6"/>
  <c r="X258" i="6"/>
  <c r="X259" i="6"/>
  <c r="X232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5" i="6"/>
  <c r="X248" i="6"/>
  <c r="X219" i="6"/>
  <c r="X211" i="6"/>
  <c r="X203" i="6"/>
  <c r="X392" i="6"/>
  <c r="X124" i="6"/>
  <c r="X139" i="6"/>
  <c r="X341" i="6"/>
  <c r="X58" i="6"/>
  <c r="X57" i="6"/>
  <c r="X197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2" i="6"/>
  <c r="X404" i="6"/>
  <c r="X438" i="6"/>
  <c r="X86" i="6"/>
  <c r="X185" i="6"/>
  <c r="X487" i="6"/>
  <c r="X179" i="6"/>
  <c r="X178" i="6"/>
  <c r="X177" i="6"/>
  <c r="X374" i="6"/>
  <c r="X108" i="6"/>
  <c r="X123" i="6"/>
  <c r="X323" i="6"/>
  <c r="X37" i="6"/>
  <c r="X359" i="6"/>
  <c r="X228" i="6"/>
  <c r="X220" i="6"/>
  <c r="X212" i="6"/>
  <c r="X204" i="6"/>
  <c r="X50" i="6"/>
  <c r="X443" i="6"/>
  <c r="X136" i="6"/>
  <c r="X313" i="6"/>
  <c r="X245" i="6"/>
  <c r="X397" i="6"/>
  <c r="X207" i="6"/>
  <c r="X369" i="6"/>
  <c r="X449" i="6"/>
  <c r="X344" i="6"/>
  <c r="X379" i="6"/>
  <c r="X453" i="6"/>
  <c r="X163" i="6"/>
  <c r="X210" i="6"/>
  <c r="X347" i="6"/>
  <c r="X335" i="6"/>
  <c r="X83" i="6"/>
  <c r="X107" i="6"/>
  <c r="X307" i="6"/>
  <c r="X12" i="6"/>
  <c r="X98" i="6"/>
  <c r="X319" i="6"/>
  <c r="X30" i="6"/>
  <c r="X254" i="6"/>
  <c r="X255" i="6"/>
  <c r="X234" i="6"/>
  <c r="X226" i="6"/>
  <c r="X363" i="6"/>
  <c r="X122" i="6"/>
  <c r="X381" i="6"/>
  <c r="X104" i="6"/>
  <c r="X330" i="6"/>
  <c r="X393" i="6"/>
  <c r="X362" i="6"/>
  <c r="X462" i="6"/>
  <c r="X288" i="6"/>
  <c r="X188" i="6"/>
  <c r="X145" i="6"/>
  <c r="X181" i="6"/>
  <c r="X143" i="6"/>
  <c r="X142" i="6"/>
  <c r="X141" i="6"/>
  <c r="X230" i="6"/>
  <c r="X60" i="6"/>
  <c r="X91" i="6"/>
  <c r="X290" i="6"/>
  <c r="X306" i="6"/>
  <c r="X56" i="6"/>
  <c r="X303" i="6"/>
  <c r="X448" i="6"/>
  <c r="X221" i="6"/>
  <c r="X213" i="6"/>
  <c r="X205" i="6"/>
  <c r="X196" i="6"/>
  <c r="X18" i="6"/>
  <c r="X426" i="6"/>
  <c r="X371" i="6"/>
  <c r="X441" i="6"/>
  <c r="X316" i="6"/>
  <c r="X364" i="6"/>
  <c r="X463" i="6"/>
  <c r="X153" i="6"/>
  <c r="X326" i="6"/>
  <c r="X400" i="6"/>
  <c r="X129" i="6"/>
  <c r="X227" i="6"/>
  <c r="X395" i="6"/>
  <c r="X127" i="6"/>
  <c r="X126" i="6"/>
  <c r="X125" i="6"/>
  <c r="X325" i="6"/>
  <c r="X39" i="6"/>
  <c r="X59" i="6"/>
  <c r="X274" i="6"/>
  <c r="X289" i="6"/>
  <c r="X286" i="6"/>
  <c r="X452" i="6"/>
  <c r="X251" i="6"/>
  <c r="X247" i="6"/>
  <c r="X243" i="6"/>
  <c r="X238" i="6"/>
  <c r="X64" i="6"/>
  <c r="X402" i="6"/>
  <c r="X336" i="6"/>
  <c r="X439" i="6"/>
  <c r="X237" i="6"/>
  <c r="X206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9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3" i="6"/>
  <c r="X201" i="6"/>
  <c r="X55" i="6"/>
  <c r="X236" i="6"/>
  <c r="X214" i="6"/>
  <c r="X166" i="6"/>
  <c r="X165" i="6"/>
  <c r="X164" i="6"/>
  <c r="X31" i="6"/>
  <c r="X253" i="6"/>
  <c r="X331" i="6"/>
  <c r="X424" i="6"/>
  <c r="X464" i="6"/>
  <c r="X260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50" i="6"/>
  <c r="X215" i="6"/>
  <c r="X189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80" i="6"/>
  <c r="X23" i="6"/>
  <c r="X128" i="6"/>
  <c r="X328" i="6"/>
  <c r="X42" i="6"/>
  <c r="X41" i="6"/>
  <c r="X40" i="6"/>
  <c r="X225" i="6"/>
  <c r="X275" i="6"/>
  <c r="X472" i="6"/>
  <c r="X208" i="6"/>
  <c r="X246" i="6"/>
  <c r="X485" i="6"/>
  <c r="X229" i="6"/>
  <c r="X401" i="6"/>
  <c r="X133" i="6"/>
  <c r="X132" i="6"/>
  <c r="X131" i="6"/>
  <c r="X130" i="6"/>
  <c r="X45" i="6"/>
  <c r="X176" i="6"/>
  <c r="X242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1" i="6"/>
  <c r="X217" i="6"/>
  <c r="X460" i="6"/>
  <c r="X78" i="6"/>
  <c r="X200" i="6"/>
  <c r="X469" i="6"/>
  <c r="X261" i="6"/>
  <c r="X383" i="6"/>
  <c r="X117" i="6"/>
  <c r="X116" i="6"/>
  <c r="X115" i="6"/>
  <c r="X114" i="6"/>
  <c r="Y239" i="6" l="1"/>
  <c r="Y151" i="6"/>
  <c r="Y85" i="6"/>
  <c r="Y291" i="6"/>
  <c r="Y32" i="6"/>
  <c r="Y33" i="6"/>
  <c r="Y34" i="6"/>
  <c r="Y35" i="6"/>
  <c r="Y411" i="6"/>
  <c r="Y172" i="6"/>
  <c r="Y173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3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8" i="6"/>
  <c r="Y481" i="6"/>
  <c r="Y409" i="6"/>
  <c r="Y406" i="6"/>
  <c r="Y146" i="6"/>
  <c r="Y42" i="6"/>
  <c r="Y75" i="6"/>
  <c r="Y123" i="6"/>
  <c r="Y204" i="6"/>
  <c r="Y432" i="6"/>
  <c r="Y433" i="6"/>
  <c r="Y434" i="6"/>
  <c r="Y435" i="6"/>
  <c r="Y436" i="6"/>
  <c r="Y275" i="6"/>
  <c r="Y221" i="6"/>
  <c r="Y180" i="6"/>
  <c r="Y129" i="6"/>
  <c r="Y78" i="6"/>
  <c r="Y57" i="6"/>
  <c r="Y372" i="6"/>
  <c r="Y210" i="6"/>
  <c r="Y14" i="6"/>
  <c r="Y288" i="6"/>
  <c r="Y441" i="6"/>
  <c r="Y282" i="6"/>
  <c r="Y430" i="6"/>
  <c r="Y27" i="6"/>
  <c r="Y297" i="6"/>
  <c r="Y145" i="6"/>
  <c r="Y65" i="6"/>
  <c r="Y105" i="6"/>
  <c r="Y18" i="6"/>
  <c r="Y226" i="6"/>
  <c r="Y110" i="6"/>
  <c r="Y247" i="6"/>
  <c r="Y182" i="6"/>
  <c r="Y149" i="6"/>
  <c r="Y87" i="6"/>
  <c r="Y224" i="6"/>
  <c r="Y72" i="6"/>
  <c r="Y61" i="6"/>
  <c r="Y124" i="6"/>
  <c r="Y355" i="6"/>
  <c r="Y278" i="6"/>
  <c r="Y404" i="6"/>
  <c r="Y311" i="6"/>
  <c r="Y222" i="6"/>
  <c r="Y115" i="6"/>
  <c r="Y332" i="6"/>
  <c r="Y99" i="6"/>
  <c r="Y100" i="6"/>
  <c r="Y101" i="6"/>
  <c r="Y346" i="6"/>
  <c r="Y176" i="6"/>
  <c r="Y237" i="6"/>
  <c r="Y84" i="6"/>
  <c r="Y62" i="6"/>
  <c r="Y419" i="6"/>
  <c r="Y82" i="6"/>
  <c r="Y321" i="6"/>
  <c r="Y191" i="6"/>
  <c r="Y467" i="6"/>
  <c r="Y148" i="6"/>
  <c r="Y104" i="6"/>
  <c r="Y362" i="6"/>
  <c r="Y353" i="6"/>
  <c r="Y259" i="6"/>
  <c r="Y12" i="6"/>
  <c r="Y119" i="6"/>
  <c r="Y235" i="6"/>
  <c r="Y370" i="6"/>
  <c r="Y456" i="6"/>
  <c r="Y132" i="6"/>
  <c r="Y335" i="6"/>
  <c r="Y207" i="6"/>
  <c r="Y134" i="6"/>
  <c r="Y442" i="6"/>
  <c r="Y426" i="6"/>
  <c r="Y401" i="6"/>
  <c r="Y49" i="6"/>
  <c r="Y127" i="6"/>
  <c r="Y199" i="6"/>
  <c r="Y197" i="6"/>
  <c r="Y218" i="6"/>
  <c r="Y319" i="6"/>
  <c r="Y16" i="6"/>
  <c r="Y38" i="6"/>
  <c r="Y60" i="6"/>
  <c r="Y9" i="6"/>
  <c r="Y113" i="6"/>
  <c r="Y192" i="6"/>
  <c r="Y208" i="6"/>
  <c r="Y185" i="6"/>
  <c r="Y46" i="6"/>
  <c r="Y264" i="6"/>
  <c r="Y334" i="6"/>
  <c r="Y243" i="6"/>
  <c r="Y17" i="6"/>
  <c r="Y112" i="6"/>
  <c r="Y377" i="6"/>
  <c r="Y402" i="6"/>
  <c r="Y26" i="6"/>
  <c r="Y102" i="6"/>
  <c r="Y89" i="6"/>
  <c r="Y195" i="6"/>
  <c r="Y368" i="6"/>
  <c r="Y283" i="6"/>
  <c r="Y13" i="6"/>
  <c r="Y36" i="6"/>
  <c r="Y405" i="6"/>
  <c r="Y73" i="6"/>
  <c r="Y175" i="6"/>
  <c r="Y157" i="6"/>
  <c r="Y30" i="6"/>
  <c r="Y396" i="6"/>
  <c r="Y280" i="6"/>
  <c r="Y8" i="6"/>
  <c r="Y58" i="6"/>
  <c r="Y252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1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7" i="6"/>
  <c r="Y314" i="6"/>
  <c r="Y471" i="6"/>
  <c r="Y241" i="6"/>
  <c r="Y344" i="6"/>
  <c r="Y379" i="6"/>
  <c r="Y320" i="6"/>
  <c r="Y15" i="6"/>
  <c r="Y303" i="6"/>
  <c r="Y446" i="6"/>
  <c r="Y109" i="6"/>
  <c r="Y316" i="6"/>
  <c r="Y447" i="6"/>
  <c r="Y133" i="6"/>
  <c r="Y205" i="6"/>
  <c r="Y250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8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2" i="6"/>
  <c r="Y461" i="6"/>
  <c r="Y217" i="6"/>
  <c r="Y156" i="6"/>
  <c r="Y230" i="6"/>
  <c r="Y79" i="6"/>
  <c r="Y131" i="6"/>
  <c r="Y225" i="6"/>
  <c r="Y323" i="6"/>
  <c r="Y484" i="6"/>
  <c r="Y194" i="6"/>
  <c r="Y238" i="6"/>
  <c r="Y318" i="6"/>
  <c r="Y310" i="6"/>
  <c r="Y302" i="6"/>
  <c r="Y277" i="6"/>
  <c r="Y329" i="6"/>
  <c r="Y472" i="6"/>
  <c r="Y284" i="6"/>
  <c r="Y118" i="6"/>
  <c r="Y25" i="6"/>
  <c r="Y181" i="6"/>
  <c r="Y10" i="6"/>
  <c r="Y67" i="6"/>
  <c r="Y473" i="6"/>
  <c r="Y31" i="6"/>
  <c r="Y11" i="6"/>
  <c r="Y437" i="6"/>
  <c r="Y427" i="6"/>
  <c r="Y285" i="6"/>
  <c r="Y336" i="6"/>
  <c r="Y179" i="6"/>
  <c r="Y246" i="6"/>
  <c r="Y270" i="6"/>
  <c r="Y356" i="6"/>
  <c r="Y381" i="6"/>
  <c r="Y281" i="6"/>
  <c r="Y206" i="6"/>
  <c r="Y422" i="6"/>
  <c r="Y254" i="6"/>
  <c r="Y41" i="6"/>
  <c r="Y269" i="6"/>
  <c r="Y107" i="6"/>
  <c r="Y154" i="6"/>
  <c r="Y201" i="6"/>
  <c r="Y345" i="6"/>
  <c r="Y324" i="6"/>
  <c r="Y350" i="6"/>
  <c r="Y458" i="6"/>
  <c r="Y93" i="6"/>
  <c r="Y215" i="6"/>
  <c r="Y240" i="6"/>
  <c r="Y233" i="6"/>
  <c r="Y213" i="6"/>
  <c r="Y304" i="6"/>
  <c r="Y460" i="6"/>
  <c r="Y455" i="6"/>
  <c r="Y330" i="6"/>
  <c r="Y92" i="6"/>
  <c r="Y144" i="6"/>
  <c r="Y256" i="6"/>
  <c r="Y453" i="6"/>
  <c r="Y245" i="6"/>
  <c r="Y174" i="6"/>
  <c r="Y266" i="6"/>
  <c r="Y212" i="6"/>
  <c r="Y468" i="6"/>
  <c r="Y28" i="6"/>
  <c r="Y121" i="6"/>
  <c r="Y423" i="6"/>
  <c r="Y23" i="6"/>
  <c r="Y333" i="6"/>
  <c r="Y444" i="6"/>
  <c r="Y483" i="6"/>
  <c r="Y400" i="6"/>
  <c r="Y130" i="6"/>
  <c r="Y242" i="6"/>
  <c r="Y276" i="6"/>
  <c r="Y189" i="6"/>
  <c r="Y214" i="6"/>
  <c r="Y211" i="6"/>
  <c r="Y196" i="6"/>
  <c r="Y360" i="6"/>
  <c r="Y443" i="6"/>
  <c r="Y395" i="6"/>
  <c r="Y267" i="6"/>
  <c r="Y376" i="6"/>
  <c r="Y216" i="6"/>
  <c r="Y232" i="6"/>
  <c r="Y106" i="6"/>
  <c r="Y150" i="6"/>
  <c r="Y223" i="6"/>
  <c r="Y307" i="6"/>
  <c r="Y299" i="6"/>
  <c r="Y263" i="6"/>
  <c r="Y141" i="6"/>
  <c r="Y188" i="6"/>
  <c r="Y164" i="6"/>
  <c r="Y183" i="6"/>
  <c r="Y325" i="6"/>
  <c r="Y326" i="6"/>
  <c r="Y143" i="6"/>
  <c r="Y251" i="6"/>
  <c r="Y29" i="6"/>
  <c r="Y209" i="6"/>
  <c r="Y424" i="6"/>
  <c r="Y378" i="6"/>
  <c r="Y50" i="6"/>
  <c r="Y128" i="6"/>
  <c r="Y200" i="6"/>
  <c r="Y327" i="6"/>
  <c r="Y305" i="6"/>
  <c r="Y354" i="6"/>
  <c r="Y91" i="6"/>
  <c r="Y117" i="6"/>
  <c r="Y139" i="6"/>
  <c r="Y138" i="6"/>
  <c r="Y163" i="6"/>
  <c r="Y261" i="6"/>
  <c r="Y249" i="6"/>
  <c r="Y293" i="6"/>
  <c r="Y135" i="6"/>
  <c r="Y340" i="6"/>
  <c r="Y343" i="6"/>
  <c r="Y165" i="6"/>
  <c r="Y234" i="6"/>
  <c r="Y279" i="6"/>
  <c r="Y364" i="6"/>
  <c r="Y420" i="6"/>
  <c r="Y88" i="6"/>
  <c r="Y177" i="6"/>
  <c r="Y359" i="6"/>
  <c r="Y313" i="6"/>
  <c r="Y351" i="6"/>
  <c r="Y338" i="6"/>
  <c r="Y294" i="6"/>
  <c r="Y56" i="6"/>
  <c r="Y155" i="6"/>
  <c r="Y227" i="6"/>
  <c r="Y341" i="6"/>
  <c r="Y463" i="6"/>
  <c r="Y292" i="6"/>
  <c r="Y45" i="6"/>
  <c r="Y90" i="6"/>
  <c r="Y178" i="6"/>
  <c r="Y300" i="6"/>
  <c r="Y39" i="6"/>
  <c r="Y116" i="6"/>
  <c r="Y187" i="6"/>
  <c r="Y253" i="6"/>
  <c r="Y339" i="6"/>
  <c r="Y462" i="6"/>
  <c r="Y140" i="6"/>
  <c r="Y255" i="6"/>
  <c r="Y465" i="6"/>
  <c r="Y384" i="6"/>
  <c r="Y385" i="6"/>
  <c r="Y386" i="6"/>
  <c r="Y114" i="6"/>
  <c r="Y248" i="6"/>
  <c r="Y286" i="6"/>
  <c r="Y328" i="6"/>
  <c r="Y392" i="6"/>
  <c r="Y153" i="6"/>
  <c r="Y219" i="6"/>
  <c r="Y83" i="6"/>
  <c r="Y258" i="6"/>
  <c r="Y408" i="6"/>
  <c r="Y142" i="6"/>
  <c r="Y337" i="6"/>
  <c r="Y367" i="6"/>
  <c r="Y136" i="6"/>
  <c r="Y203" i="6"/>
  <c r="Y71" i="6"/>
  <c r="Y147" i="6"/>
  <c r="Y260" i="6"/>
  <c r="Y66" i="6"/>
  <c r="Y166" i="6"/>
  <c r="Y244" i="6"/>
  <c r="Y407" i="6"/>
  <c r="Z7" i="6"/>
  <c r="Z186" i="6" s="1"/>
  <c r="Y59" i="6"/>
  <c r="Y229" i="6"/>
  <c r="Y482" i="6"/>
  <c r="Y126" i="6"/>
  <c r="Y287" i="6"/>
  <c r="Y394" i="6"/>
  <c r="Y120" i="6"/>
  <c r="Y184" i="6"/>
  <c r="X5" i="6"/>
  <c r="Y63" i="6"/>
  <c r="Y94" i="6"/>
  <c r="Y95" i="6"/>
  <c r="Y96" i="6"/>
  <c r="Y431" i="6"/>
  <c r="Y98" i="6"/>
  <c r="Y290" i="6"/>
  <c r="Y21" i="6"/>
  <c r="Y190" i="6"/>
  <c r="Y439" i="6"/>
  <c r="Y64" i="6"/>
  <c r="Y152" i="6"/>
  <c r="Y274" i="6"/>
  <c r="Y19" i="6"/>
  <c r="Y236" i="6"/>
  <c r="Y80" i="6"/>
  <c r="Y331" i="6"/>
  <c r="Y220" i="6"/>
  <c r="Y322" i="6"/>
  <c r="Z239" i="6" l="1"/>
  <c r="Z151" i="6"/>
  <c r="Z85" i="6"/>
  <c r="Z291" i="6"/>
  <c r="Z32" i="6"/>
  <c r="Z33" i="6"/>
  <c r="Z34" i="6"/>
  <c r="Z35" i="6"/>
  <c r="Z411" i="6"/>
  <c r="Z172" i="6"/>
  <c r="Z173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3" i="6"/>
  <c r="Z52" i="6"/>
  <c r="Z53" i="6"/>
  <c r="Z54" i="6"/>
  <c r="Z492" i="6"/>
  <c r="Z495" i="6"/>
  <c r="Z490" i="6"/>
  <c r="Z496" i="6"/>
  <c r="Z497" i="6"/>
  <c r="Z493" i="6"/>
  <c r="Z491" i="6"/>
  <c r="Z494" i="6"/>
  <c r="Z198" i="6"/>
  <c r="Z488" i="6"/>
  <c r="Z489" i="6"/>
  <c r="Z205" i="6"/>
  <c r="Z187" i="6"/>
  <c r="Z373" i="6"/>
  <c r="Z432" i="6"/>
  <c r="Z433" i="6"/>
  <c r="Z434" i="6"/>
  <c r="Z435" i="6"/>
  <c r="Z436" i="6"/>
  <c r="Z135" i="6"/>
  <c r="Z332" i="6"/>
  <c r="Z99" i="6"/>
  <c r="Z100" i="6"/>
  <c r="Z101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3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6" i="6"/>
  <c r="Z357" i="6"/>
  <c r="Z89" i="6"/>
  <c r="Z248" i="6"/>
  <c r="Z238" i="6"/>
  <c r="Z287" i="6"/>
  <c r="Z262" i="6"/>
  <c r="Z314" i="6"/>
  <c r="Z420" i="6"/>
  <c r="Z266" i="6"/>
  <c r="Z215" i="6"/>
  <c r="Z401" i="6"/>
  <c r="Z358" i="6"/>
  <c r="Z279" i="6"/>
  <c r="Z350" i="6"/>
  <c r="Z243" i="6"/>
  <c r="Z422" i="6"/>
  <c r="Z134" i="6"/>
  <c r="Z382" i="6"/>
  <c r="Z118" i="6"/>
  <c r="Z281" i="6"/>
  <c r="Z86" i="6"/>
  <c r="Z334" i="6"/>
  <c r="Z337" i="6"/>
  <c r="Z343" i="6"/>
  <c r="Z255" i="6"/>
  <c r="Z259" i="6"/>
  <c r="Z484" i="6"/>
  <c r="Z440" i="6"/>
  <c r="Z121" i="6"/>
  <c r="Z37" i="6"/>
  <c r="Z143" i="6"/>
  <c r="Z462" i="6"/>
  <c r="Z242" i="6"/>
  <c r="Z374" i="6"/>
  <c r="Z341" i="6"/>
  <c r="Z249" i="6"/>
  <c r="Z365" i="6"/>
  <c r="Z319" i="6"/>
  <c r="Z114" i="6"/>
  <c r="Z62" i="6"/>
  <c r="Z301" i="6"/>
  <c r="Z405" i="6"/>
  <c r="Z487" i="6"/>
  <c r="Z43" i="6"/>
  <c r="Z348" i="6"/>
  <c r="Z383" i="6"/>
  <c r="Z207" i="6"/>
  <c r="Z347" i="6"/>
  <c r="Z467" i="6"/>
  <c r="Z25" i="6"/>
  <c r="Z265" i="6"/>
  <c r="Z51" i="6"/>
  <c r="Z367" i="6"/>
  <c r="Z453" i="6"/>
  <c r="Z292" i="6"/>
  <c r="Z217" i="6"/>
  <c r="Z443" i="6"/>
  <c r="Z56" i="6"/>
  <c r="Z356" i="6"/>
  <c r="Z372" i="6"/>
  <c r="Z181" i="6"/>
  <c r="Z407" i="6"/>
  <c r="Z317" i="6"/>
  <c r="Z31" i="6"/>
  <c r="Z231" i="6"/>
  <c r="Z112" i="6"/>
  <c r="Z111" i="6"/>
  <c r="Z294" i="6"/>
  <c r="Z285" i="6"/>
  <c r="Z328" i="6"/>
  <c r="Z226" i="6"/>
  <c r="Z225" i="6"/>
  <c r="Z222" i="6"/>
  <c r="Z152" i="6"/>
  <c r="Z295" i="6"/>
  <c r="Z73" i="6"/>
  <c r="Z321" i="6"/>
  <c r="Z109" i="6"/>
  <c r="Z447" i="6"/>
  <c r="Z70" i="6"/>
  <c r="Z320" i="6"/>
  <c r="Z406" i="6"/>
  <c r="Z200" i="6"/>
  <c r="Z428" i="6"/>
  <c r="Z29" i="6"/>
  <c r="Z282" i="6"/>
  <c r="Z342" i="6"/>
  <c r="Z375" i="6"/>
  <c r="Z199" i="6"/>
  <c r="Z325" i="6"/>
  <c r="Z93" i="6"/>
  <c r="Z81" i="6"/>
  <c r="Z330" i="6"/>
  <c r="Z329" i="6"/>
  <c r="Z421" i="6"/>
  <c r="Z192" i="6"/>
  <c r="Z191" i="6"/>
  <c r="Z188" i="6"/>
  <c r="Z441" i="6"/>
  <c r="Z119" i="6"/>
  <c r="Z296" i="6"/>
  <c r="Z252" i="6"/>
  <c r="Z84" i="6"/>
  <c r="Z95" i="6"/>
  <c r="Z97" i="6"/>
  <c r="Z210" i="6"/>
  <c r="Z206" i="6"/>
  <c r="Z289" i="6"/>
  <c r="Z398" i="6"/>
  <c r="Z180" i="6"/>
  <c r="Z45" i="6"/>
  <c r="Z44" i="6"/>
  <c r="Z245" i="6"/>
  <c r="Z244" i="6"/>
  <c r="Z376" i="6"/>
  <c r="Z176" i="6"/>
  <c r="Z175" i="6"/>
  <c r="Z403" i="6"/>
  <c r="Z102" i="6"/>
  <c r="Z264" i="6"/>
  <c r="Z15" i="6"/>
  <c r="Z235" i="6"/>
  <c r="Z49" i="6"/>
  <c r="Z94" i="6"/>
  <c r="Z72" i="6"/>
  <c r="Z254" i="6"/>
  <c r="Z240" i="6"/>
  <c r="Z284" i="6"/>
  <c r="Z426" i="6"/>
  <c r="Z165" i="6"/>
  <c r="Z354" i="6"/>
  <c r="Z423" i="6"/>
  <c r="Z208" i="6"/>
  <c r="Z437" i="6"/>
  <c r="Z47" i="6"/>
  <c r="Z307" i="6"/>
  <c r="Z363" i="6"/>
  <c r="Z260" i="6"/>
  <c r="Z275" i="6"/>
  <c r="Z163" i="6"/>
  <c r="Z326" i="6"/>
  <c r="Z27" i="6"/>
  <c r="Z26" i="6"/>
  <c r="Z228" i="6"/>
  <c r="Z227" i="6"/>
  <c r="Z483" i="6"/>
  <c r="Z157" i="6"/>
  <c r="Z156" i="6"/>
  <c r="Z153" i="6"/>
  <c r="Z303" i="6"/>
  <c r="Z92" i="6"/>
  <c r="Z327" i="6"/>
  <c r="Z400" i="6"/>
  <c r="Z219" i="6"/>
  <c r="AA7" i="6"/>
  <c r="AA186" i="6" s="1"/>
  <c r="Z90" i="6"/>
  <c r="Z344" i="6"/>
  <c r="Z481" i="6"/>
  <c r="Z138" i="6"/>
  <c r="Z268" i="6"/>
  <c r="Z190" i="6"/>
  <c r="Z250" i="6"/>
  <c r="Z460" i="6"/>
  <c r="Z104" i="6"/>
  <c r="Z251" i="6"/>
  <c r="Z468" i="6"/>
  <c r="Z145" i="6"/>
  <c r="Z310" i="6"/>
  <c r="Z302" i="6"/>
  <c r="Z283" i="6"/>
  <c r="Z212" i="6"/>
  <c r="Z211" i="6"/>
  <c r="Z463" i="6"/>
  <c r="Z140" i="6"/>
  <c r="Z139" i="6"/>
  <c r="Z136" i="6"/>
  <c r="Z336" i="6"/>
  <c r="Z258" i="6"/>
  <c r="Z393" i="6"/>
  <c r="Z203" i="6"/>
  <c r="Z17" i="6"/>
  <c r="Z130" i="6"/>
  <c r="Z379" i="6"/>
  <c r="Z232" i="6"/>
  <c r="Z444" i="6"/>
  <c r="Z269" i="6"/>
  <c r="Z182" i="6"/>
  <c r="Z19" i="6"/>
  <c r="Z234" i="6"/>
  <c r="Z451" i="6"/>
  <c r="Z129" i="6"/>
  <c r="Z280" i="6"/>
  <c r="Z270" i="6"/>
  <c r="Z371" i="6"/>
  <c r="Z195" i="6"/>
  <c r="Z194" i="6"/>
  <c r="Z446" i="6"/>
  <c r="Z124" i="6"/>
  <c r="Z123" i="6"/>
  <c r="Z120" i="6"/>
  <c r="Z304" i="6"/>
  <c r="Z75" i="6"/>
  <c r="Z424" i="6"/>
  <c r="Z184" i="6"/>
  <c r="Z14" i="6"/>
  <c r="Z409" i="6"/>
  <c r="Z486" i="6"/>
  <c r="Z223" i="6"/>
  <c r="Z58" i="6"/>
  <c r="Z122" i="6"/>
  <c r="Z164" i="6"/>
  <c r="Z154" i="6"/>
  <c r="Z349" i="6"/>
  <c r="Z261" i="6"/>
  <c r="Z38" i="6"/>
  <c r="Z115" i="6"/>
  <c r="Z271" i="6"/>
  <c r="Z396" i="6"/>
  <c r="Z218" i="6"/>
  <c r="Z113" i="6"/>
  <c r="Z333" i="6"/>
  <c r="Z331" i="6"/>
  <c r="Z300" i="6"/>
  <c r="Z178" i="6"/>
  <c r="Z177" i="6"/>
  <c r="Z429" i="6"/>
  <c r="Z107" i="6"/>
  <c r="Z106" i="6"/>
  <c r="Z103" i="6"/>
  <c r="Z274" i="6"/>
  <c r="Z16" i="6"/>
  <c r="Z236" i="6"/>
  <c r="Z425" i="6"/>
  <c r="Z465" i="6"/>
  <c r="Z384" i="6"/>
  <c r="Z385" i="6"/>
  <c r="Z386" i="6"/>
  <c r="Z233" i="6"/>
  <c r="Z464" i="6"/>
  <c r="Z201" i="6"/>
  <c r="Z290" i="6"/>
  <c r="Z67" i="6"/>
  <c r="Z247" i="6"/>
  <c r="Z246" i="6"/>
  <c r="Z485" i="6"/>
  <c r="Z419" i="6"/>
  <c r="Z66" i="6"/>
  <c r="Z345" i="6"/>
  <c r="Z220" i="6"/>
  <c r="Z472" i="6"/>
  <c r="Z149" i="6"/>
  <c r="Z68" i="6"/>
  <c r="Z79" i="6"/>
  <c r="Z430" i="6"/>
  <c r="Z91" i="6"/>
  <c r="Z449" i="6"/>
  <c r="Z10" i="6"/>
  <c r="Z306" i="6"/>
  <c r="Z241" i="6"/>
  <c r="Z410" i="6"/>
  <c r="Z183" i="6"/>
  <c r="Z335" i="6"/>
  <c r="Z46" i="6"/>
  <c r="Z230" i="6"/>
  <c r="Z229" i="6"/>
  <c r="Z466" i="6"/>
  <c r="Z142" i="6"/>
  <c r="Z141" i="6"/>
  <c r="Z298" i="6"/>
  <c r="Z60" i="6"/>
  <c r="Z59" i="6"/>
  <c r="Z55" i="6"/>
  <c r="Z257" i="6"/>
  <c r="Z397" i="6"/>
  <c r="Z204" i="6"/>
  <c r="Z455" i="6"/>
  <c r="Z133" i="6"/>
  <c r="Z57" i="6"/>
  <c r="Z96" i="6"/>
  <c r="Z380" i="6"/>
  <c r="Z470" i="6"/>
  <c r="Z80" i="6"/>
  <c r="Z30" i="6"/>
  <c r="Z202" i="6"/>
  <c r="Z98" i="6"/>
  <c r="Z48" i="6"/>
  <c r="Z166" i="6"/>
  <c r="Z28" i="6"/>
  <c r="Z213" i="6"/>
  <c r="Z448" i="6"/>
  <c r="Z126" i="6"/>
  <c r="Z125" i="6"/>
  <c r="Z338" i="6"/>
  <c r="Z41" i="6"/>
  <c r="Z39" i="6"/>
  <c r="Z36" i="6"/>
  <c r="Z9" i="6"/>
  <c r="Z185" i="6"/>
  <c r="Z439" i="6"/>
  <c r="Z117" i="6"/>
  <c r="Z40" i="6"/>
  <c r="Z346" i="6"/>
  <c r="Z209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7" i="6"/>
  <c r="Z196" i="6"/>
  <c r="Z431" i="6"/>
  <c r="Z110" i="6"/>
  <c r="Z108" i="6"/>
  <c r="Z315" i="6"/>
  <c r="Z22" i="6"/>
  <c r="Z21" i="6"/>
  <c r="Z18" i="6"/>
  <c r="Z237" i="6"/>
  <c r="Z263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6" i="6"/>
  <c r="Z442" i="6"/>
  <c r="Z323" i="6"/>
  <c r="Z368" i="6"/>
  <c r="Z174" i="6"/>
  <c r="Z293" i="6"/>
  <c r="Z214" i="6"/>
  <c r="Z452" i="6"/>
  <c r="Z322" i="6"/>
  <c r="Z224" i="6"/>
  <c r="Z445" i="6"/>
  <c r="Z312" i="6"/>
  <c r="Z402" i="6"/>
  <c r="Z189" i="6"/>
  <c r="Z427" i="6"/>
  <c r="Z20" i="6"/>
  <c r="Z454" i="6"/>
  <c r="Z132" i="6"/>
  <c r="Z318" i="6"/>
  <c r="Z394" i="6"/>
  <c r="Z179" i="6"/>
  <c r="Z78" i="6"/>
  <c r="Z364" i="6"/>
  <c r="Z87" i="6"/>
  <c r="Z69" i="6"/>
  <c r="Z277" i="6"/>
  <c r="Z267" i="6"/>
  <c r="Z361" i="6"/>
  <c r="Z408" i="6"/>
  <c r="Z221" i="6"/>
  <c r="Z473" i="6"/>
  <c r="Z150" i="6"/>
  <c r="Z286" i="6"/>
  <c r="Z64" i="6"/>
  <c r="Z77" i="6"/>
  <c r="AA239" i="6" l="1"/>
  <c r="AA151" i="6"/>
  <c r="AA85" i="6"/>
  <c r="AA291" i="6"/>
  <c r="AA32" i="6"/>
  <c r="AA33" i="6"/>
  <c r="AA34" i="6"/>
  <c r="AA35" i="6"/>
  <c r="AA411" i="6"/>
  <c r="AA172" i="6"/>
  <c r="AA173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3" i="6"/>
  <c r="AA52" i="6"/>
  <c r="AA53" i="6"/>
  <c r="AA54" i="6"/>
  <c r="AA492" i="6"/>
  <c r="AA495" i="6"/>
  <c r="AA490" i="6"/>
  <c r="AA496" i="6"/>
  <c r="AA497" i="6"/>
  <c r="AA493" i="6"/>
  <c r="AA491" i="6"/>
  <c r="AA494" i="6"/>
  <c r="AA198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2" i="6"/>
  <c r="AA327" i="6"/>
  <c r="AA141" i="6"/>
  <c r="AA166" i="6"/>
  <c r="AA92" i="6"/>
  <c r="AA283" i="6"/>
  <c r="AA294" i="6"/>
  <c r="AA257" i="6"/>
  <c r="AA315" i="6"/>
  <c r="AA353" i="6"/>
  <c r="AA66" i="6"/>
  <c r="AA319" i="6"/>
  <c r="AA189" i="6"/>
  <c r="AA204" i="6"/>
  <c r="AA155" i="6"/>
  <c r="AA242" i="6"/>
  <c r="AA276" i="6"/>
  <c r="AA295" i="6"/>
  <c r="AA181" i="6"/>
  <c r="AA81" i="6"/>
  <c r="AA108" i="6"/>
  <c r="AA287" i="6"/>
  <c r="AA49" i="6"/>
  <c r="AA89" i="6"/>
  <c r="AA341" i="6"/>
  <c r="AA29" i="6"/>
  <c r="AA469" i="6"/>
  <c r="AA133" i="6"/>
  <c r="AA209" i="6"/>
  <c r="AA105" i="6"/>
  <c r="AA13" i="6"/>
  <c r="AA368" i="6"/>
  <c r="AA131" i="6"/>
  <c r="AA199" i="6"/>
  <c r="AA399" i="6"/>
  <c r="AA379" i="6"/>
  <c r="AA392" i="6"/>
  <c r="AA258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1" i="6"/>
  <c r="AA94" i="6"/>
  <c r="AA185" i="6"/>
  <c r="AA75" i="6"/>
  <c r="AA207" i="6"/>
  <c r="AA277" i="6"/>
  <c r="AA444" i="6"/>
  <c r="AA364" i="6"/>
  <c r="AA187" i="6"/>
  <c r="AA321" i="6"/>
  <c r="AA212" i="6"/>
  <c r="Z5" i="6"/>
  <c r="AA465" i="6"/>
  <c r="AA384" i="6"/>
  <c r="AA385" i="6"/>
  <c r="AA386" i="6"/>
  <c r="AA245" i="6"/>
  <c r="AA336" i="6"/>
  <c r="AA342" i="6"/>
  <c r="AA395" i="6"/>
  <c r="AA314" i="6"/>
  <c r="AA397" i="6"/>
  <c r="AA65" i="6"/>
  <c r="AA64" i="6"/>
  <c r="AA183" i="6"/>
  <c r="AA285" i="6"/>
  <c r="AA354" i="6"/>
  <c r="AA453" i="6"/>
  <c r="AA298" i="6"/>
  <c r="AA163" i="6"/>
  <c r="AA17" i="6"/>
  <c r="AA401" i="6"/>
  <c r="AA224" i="6"/>
  <c r="AA284" i="6"/>
  <c r="AA58" i="6"/>
  <c r="AA221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9" i="6"/>
  <c r="AA30" i="6"/>
  <c r="AA325" i="6"/>
  <c r="AA211" i="6"/>
  <c r="AA240" i="6"/>
  <c r="AA41" i="6"/>
  <c r="AA229" i="6"/>
  <c r="AA247" i="6"/>
  <c r="AA122" i="6"/>
  <c r="AA219" i="6"/>
  <c r="AA260" i="6"/>
  <c r="AA296" i="6"/>
  <c r="AA59" i="6"/>
  <c r="AA191" i="6"/>
  <c r="AA256" i="6"/>
  <c r="AA188" i="6"/>
  <c r="AA375" i="6"/>
  <c r="AA8" i="6"/>
  <c r="AA114" i="6"/>
  <c r="AA154" i="6"/>
  <c r="AA269" i="6"/>
  <c r="AA442" i="6"/>
  <c r="AA10" i="6"/>
  <c r="AA393" i="6"/>
  <c r="AA378" i="6"/>
  <c r="AA123" i="6"/>
  <c r="AA254" i="6"/>
  <c r="AA360" i="6"/>
  <c r="AA333" i="6"/>
  <c r="AA311" i="6"/>
  <c r="AA80" i="6"/>
  <c r="AA14" i="6"/>
  <c r="AA286" i="6"/>
  <c r="AA174" i="6"/>
  <c r="AA252" i="6"/>
  <c r="AA25" i="6"/>
  <c r="AA251" i="6"/>
  <c r="AA381" i="6"/>
  <c r="AA84" i="6"/>
  <c r="AA226" i="6"/>
  <c r="AA482" i="6"/>
  <c r="AA470" i="6"/>
  <c r="AA142" i="6"/>
  <c r="AA78" i="6"/>
  <c r="AA200" i="6"/>
  <c r="AA280" i="6"/>
  <c r="AA356" i="6"/>
  <c r="AA441" i="6"/>
  <c r="AA487" i="6"/>
  <c r="AA382" i="6"/>
  <c r="AA93" i="6"/>
  <c r="AA235" i="6"/>
  <c r="AA241" i="6"/>
  <c r="AA299" i="6"/>
  <c r="AA430" i="6"/>
  <c r="AA306" i="6"/>
  <c r="AA21" i="6"/>
  <c r="AA227" i="6"/>
  <c r="AA462" i="6"/>
  <c r="AA140" i="6"/>
  <c r="AA347" i="6"/>
  <c r="AA426" i="6"/>
  <c r="AA111" i="6"/>
  <c r="AA129" i="6"/>
  <c r="AA355" i="6"/>
  <c r="AA50" i="6"/>
  <c r="AA362" i="6"/>
  <c r="AA253" i="6"/>
  <c r="AA377" i="6"/>
  <c r="AA463" i="6"/>
  <c r="AA63" i="6"/>
  <c r="AA237" i="6"/>
  <c r="AA361" i="6"/>
  <c r="AA322" i="6"/>
  <c r="AA473" i="6"/>
  <c r="AA205" i="6"/>
  <c r="AA113" i="6"/>
  <c r="AA445" i="6"/>
  <c r="AA180" i="6"/>
  <c r="AA125" i="6"/>
  <c r="AA471" i="6"/>
  <c r="AA137" i="6"/>
  <c r="AA152" i="6"/>
  <c r="AA330" i="6"/>
  <c r="AA278" i="6"/>
  <c r="AA458" i="6"/>
  <c r="AA317" i="6"/>
  <c r="AA233" i="6"/>
  <c r="AA339" i="6"/>
  <c r="AA428" i="6"/>
  <c r="AA60" i="6"/>
  <c r="AA215" i="6"/>
  <c r="AA454" i="6"/>
  <c r="AA130" i="6"/>
  <c r="AA318" i="6"/>
  <c r="AA18" i="6"/>
  <c r="AA12" i="6"/>
  <c r="AA230" i="6"/>
  <c r="AA346" i="6"/>
  <c r="AA451" i="6"/>
  <c r="AA109" i="6"/>
  <c r="AA352" i="6"/>
  <c r="AA67" i="6"/>
  <c r="AA232" i="6"/>
  <c r="AA47" i="6"/>
  <c r="AA343" i="6"/>
  <c r="AA422" i="6"/>
  <c r="AA421" i="6"/>
  <c r="AA177" i="6"/>
  <c r="AA440" i="6"/>
  <c r="AA178" i="6"/>
  <c r="AA450" i="6"/>
  <c r="AA423" i="6"/>
  <c r="AA407" i="6"/>
  <c r="AA408" i="6"/>
  <c r="AA190" i="6"/>
  <c r="AA373" i="6"/>
  <c r="AA396" i="6"/>
  <c r="AA126" i="6"/>
  <c r="AA290" i="6"/>
  <c r="AA429" i="6"/>
  <c r="AA144" i="6"/>
  <c r="AA157" i="6"/>
  <c r="AA9" i="6"/>
  <c r="AA250" i="6"/>
  <c r="AA438" i="6"/>
  <c r="AA138" i="6"/>
  <c r="AA86" i="6"/>
  <c r="AA305" i="6"/>
  <c r="AA77" i="6"/>
  <c r="AA448" i="6"/>
  <c r="AA329" i="6"/>
  <c r="AA197" i="6"/>
  <c r="AA344" i="6"/>
  <c r="AA268" i="6"/>
  <c r="AA203" i="6"/>
  <c r="AA57" i="6"/>
  <c r="AA313" i="6"/>
  <c r="AA16" i="6"/>
  <c r="AA218" i="6"/>
  <c r="AA398" i="6"/>
  <c r="AA184" i="6"/>
  <c r="AA238" i="6"/>
  <c r="AA323" i="6"/>
  <c r="AA447" i="6"/>
  <c r="AB7" i="6"/>
  <c r="AB186" i="6" s="1"/>
  <c r="AA472" i="6"/>
  <c r="AA146" i="6"/>
  <c r="AA236" i="6"/>
  <c r="AA340" i="6"/>
  <c r="AA486" i="6"/>
  <c r="AA91" i="6"/>
  <c r="AA255" i="6"/>
  <c r="AA43" i="6"/>
  <c r="AA484" i="6"/>
  <c r="AA246" i="6"/>
  <c r="AA358" i="6"/>
  <c r="AA297" i="6"/>
  <c r="AA328" i="6"/>
  <c r="AA449" i="6"/>
  <c r="AA72" i="6"/>
  <c r="AA165" i="6"/>
  <c r="AA210" i="6"/>
  <c r="AA310" i="6"/>
  <c r="AA309" i="6"/>
  <c r="AA461" i="6"/>
  <c r="AA383" i="6"/>
  <c r="AA61" i="6"/>
  <c r="AA119" i="6"/>
  <c r="AA259" i="6"/>
  <c r="AA345" i="6"/>
  <c r="AA303" i="6"/>
  <c r="AA175" i="6"/>
  <c r="AA182" i="6"/>
  <c r="AA301" i="6"/>
  <c r="AA27" i="6"/>
  <c r="AA208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6" i="6"/>
  <c r="AA46" i="6"/>
  <c r="AA201" i="6"/>
  <c r="AA427" i="6"/>
  <c r="AA349" i="6"/>
  <c r="AA42" i="6"/>
  <c r="AA115" i="6"/>
  <c r="AA326" i="6"/>
  <c r="AA439" i="6"/>
  <c r="AA31" i="6"/>
  <c r="AA88" i="6"/>
  <c r="AA106" i="6"/>
  <c r="AA225" i="6"/>
  <c r="AA320" i="6"/>
  <c r="AA107" i="6"/>
  <c r="AA97" i="6"/>
  <c r="AA279" i="6"/>
  <c r="AA424" i="6"/>
  <c r="AA194" i="6"/>
  <c r="AA334" i="6"/>
  <c r="AA69" i="6"/>
  <c r="AA51" i="6"/>
  <c r="AA195" i="6"/>
  <c r="AA464" i="6"/>
  <c r="AA394" i="6"/>
  <c r="AA483" i="6"/>
  <c r="AA350" i="6"/>
  <c r="AA228" i="6"/>
  <c r="AA302" i="6"/>
  <c r="AA369" i="6"/>
  <c r="AA348" i="6"/>
  <c r="AA56" i="6"/>
  <c r="AA116" i="6"/>
  <c r="AA223" i="6"/>
  <c r="AA282" i="6"/>
  <c r="AA135" i="6"/>
  <c r="AA79" i="6"/>
  <c r="AA274" i="6"/>
  <c r="AA214" i="6"/>
  <c r="AA156" i="6"/>
  <c r="AA338" i="6"/>
  <c r="AA234" i="6"/>
  <c r="AA480" i="6"/>
  <c r="AA292" i="6"/>
  <c r="AA118" i="6"/>
  <c r="AA293" i="6"/>
  <c r="AA62" i="6"/>
  <c r="AA213" i="6"/>
  <c r="AA112" i="6"/>
  <c r="AA261" i="6"/>
  <c r="AA248" i="6"/>
  <c r="AA249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2" i="6"/>
  <c r="AA220" i="6"/>
  <c r="AA459" i="6"/>
  <c r="AA372" i="6"/>
  <c r="AA24" i="6"/>
  <c r="AA103" i="6"/>
  <c r="AA196" i="6"/>
  <c r="AA331" i="6"/>
  <c r="AA117" i="6"/>
  <c r="AA206" i="6"/>
  <c r="AA176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192" i="6"/>
  <c r="AA244" i="6"/>
  <c r="AA437" i="6"/>
  <c r="AA481" i="6"/>
  <c r="AA400" i="6"/>
  <c r="AA82" i="6"/>
  <c r="AA263" i="6"/>
  <c r="AA217" i="6"/>
  <c r="AA83" i="6"/>
  <c r="AA45" i="6"/>
  <c r="AA324" i="6"/>
  <c r="AA460" i="6"/>
  <c r="AA124" i="6"/>
  <c r="AA359" i="6"/>
  <c r="AA20" i="6"/>
  <c r="AA289" i="6"/>
  <c r="AA243" i="6"/>
  <c r="AA95" i="6"/>
  <c r="AB239" i="6" l="1"/>
  <c r="AB151" i="6"/>
  <c r="AB85" i="6"/>
  <c r="AB291" i="6"/>
  <c r="AB32" i="6"/>
  <c r="AB33" i="6"/>
  <c r="AB34" i="6"/>
  <c r="AB35" i="6"/>
  <c r="AB411" i="6"/>
  <c r="AB172" i="6"/>
  <c r="AB173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3" i="6"/>
  <c r="AB52" i="6"/>
  <c r="AB53" i="6"/>
  <c r="AB54" i="6"/>
  <c r="AB492" i="6"/>
  <c r="AB495" i="6"/>
  <c r="AB490" i="6"/>
  <c r="AB496" i="6"/>
  <c r="AB497" i="6"/>
  <c r="AB493" i="6"/>
  <c r="AB491" i="6"/>
  <c r="AB494" i="6"/>
  <c r="AB198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370" i="6"/>
  <c r="AB371" i="6"/>
  <c r="AB226" i="6"/>
  <c r="AB311" i="6"/>
  <c r="AB312" i="6"/>
  <c r="AB322" i="6"/>
  <c r="AB246" i="6"/>
  <c r="AB64" i="6"/>
  <c r="AB431" i="6"/>
  <c r="AB56" i="6"/>
  <c r="AB47" i="6"/>
  <c r="AB72" i="6"/>
  <c r="AB375" i="6"/>
  <c r="AB39" i="6"/>
  <c r="AB31" i="6"/>
  <c r="AB112" i="6"/>
  <c r="AB242" i="6"/>
  <c r="AB134" i="6"/>
  <c r="AB189" i="6"/>
  <c r="AB292" i="6"/>
  <c r="AB275" i="6"/>
  <c r="AB17" i="6"/>
  <c r="AB354" i="6"/>
  <c r="AB225" i="6"/>
  <c r="AB443" i="6"/>
  <c r="AB486" i="6"/>
  <c r="AB360" i="6"/>
  <c r="AB115" i="6"/>
  <c r="AB424" i="6"/>
  <c r="AB130" i="6"/>
  <c r="AB258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4" i="6"/>
  <c r="AB314" i="6"/>
  <c r="AB174" i="6"/>
  <c r="AB351" i="6"/>
  <c r="AB79" i="6"/>
  <c r="AB110" i="6"/>
  <c r="AB335" i="6"/>
  <c r="AB190" i="6"/>
  <c r="AB62" i="6"/>
  <c r="AB410" i="6"/>
  <c r="AB274" i="6"/>
  <c r="AB254" i="6"/>
  <c r="AB313" i="6"/>
  <c r="AB427" i="6"/>
  <c r="AB157" i="6"/>
  <c r="AB116" i="6"/>
  <c r="AB320" i="6"/>
  <c r="AB397" i="6"/>
  <c r="AB23" i="6"/>
  <c r="AB209" i="6"/>
  <c r="AB138" i="6"/>
  <c r="AB175" i="6"/>
  <c r="AB45" i="6"/>
  <c r="AB247" i="6"/>
  <c r="AB144" i="6"/>
  <c r="AB180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7" i="6"/>
  <c r="AB252" i="6"/>
  <c r="AB152" i="6"/>
  <c r="AB220" i="6"/>
  <c r="AB253" i="6"/>
  <c r="AB229" i="6"/>
  <c r="AB44" i="6"/>
  <c r="AB228" i="6"/>
  <c r="AB156" i="6"/>
  <c r="AB319" i="6"/>
  <c r="AB440" i="6"/>
  <c r="AB208" i="6"/>
  <c r="AB11" i="6"/>
  <c r="AB255" i="6"/>
  <c r="AB469" i="6"/>
  <c r="AB341" i="6"/>
  <c r="AB76" i="6"/>
  <c r="AB406" i="6"/>
  <c r="AB78" i="6"/>
  <c r="AB60" i="6"/>
  <c r="AB425" i="6"/>
  <c r="AB361" i="6"/>
  <c r="AB205" i="6"/>
  <c r="AB59" i="6"/>
  <c r="AB49" i="6"/>
  <c r="AB323" i="6"/>
  <c r="AB395" i="6"/>
  <c r="AB28" i="6"/>
  <c r="AB212" i="6"/>
  <c r="AB211" i="6"/>
  <c r="AB303" i="6"/>
  <c r="AB369" i="6"/>
  <c r="AB88" i="6"/>
  <c r="AB461" i="6"/>
  <c r="AB238" i="6"/>
  <c r="AB407" i="6"/>
  <c r="AB80" i="6"/>
  <c r="AB455" i="6"/>
  <c r="AB484" i="6"/>
  <c r="AB236" i="6"/>
  <c r="AB9" i="6"/>
  <c r="AB109" i="6"/>
  <c r="AB55" i="6"/>
  <c r="AB195" i="6"/>
  <c r="AB464" i="6"/>
  <c r="AB481" i="6"/>
  <c r="AB262" i="6"/>
  <c r="AB378" i="6"/>
  <c r="AB306" i="6"/>
  <c r="AB108" i="6"/>
  <c r="AB298" i="6"/>
  <c r="AB67" i="6"/>
  <c r="AB42" i="6"/>
  <c r="AB448" i="6"/>
  <c r="AB194" i="6"/>
  <c r="AB222" i="6"/>
  <c r="AB63" i="6"/>
  <c r="AB129" i="6"/>
  <c r="AB104" i="6"/>
  <c r="AB164" i="6"/>
  <c r="AB268" i="6"/>
  <c r="AB153" i="6"/>
  <c r="AB21" i="6"/>
  <c r="AB206" i="6"/>
  <c r="AB452" i="6"/>
  <c r="AB46" i="6"/>
  <c r="AB261" i="6"/>
  <c r="AB269" i="6"/>
  <c r="AB12" i="6"/>
  <c r="AB487" i="6"/>
  <c r="AB221" i="6"/>
  <c r="AB380" i="6"/>
  <c r="AB214" i="6"/>
  <c r="AB43" i="6"/>
  <c r="AB429" i="6"/>
  <c r="AB355" i="6"/>
  <c r="AB372" i="6"/>
  <c r="AB92" i="6"/>
  <c r="AB91" i="6"/>
  <c r="AB147" i="6"/>
  <c r="AB349" i="6"/>
  <c r="AB10" i="6"/>
  <c r="AB256" i="6"/>
  <c r="AB122" i="6"/>
  <c r="AB419" i="6"/>
  <c r="AB30" i="6"/>
  <c r="AB350" i="6"/>
  <c r="AB245" i="6"/>
  <c r="AB83" i="6"/>
  <c r="AB286" i="6"/>
  <c r="AB148" i="6"/>
  <c r="AB422" i="6"/>
  <c r="AB18" i="6"/>
  <c r="AB204" i="6"/>
  <c r="AB420" i="6"/>
  <c r="AB27" i="6"/>
  <c r="AB339" i="6"/>
  <c r="AB450" i="6"/>
  <c r="AB368" i="6"/>
  <c r="AB73" i="6"/>
  <c r="AB166" i="6"/>
  <c r="AB267" i="6"/>
  <c r="AB437" i="6"/>
  <c r="AB240" i="6"/>
  <c r="AB86" i="6"/>
  <c r="AB358" i="6"/>
  <c r="AB14" i="6"/>
  <c r="AB297" i="6"/>
  <c r="AB196" i="6"/>
  <c r="AB446" i="6"/>
  <c r="AB377" i="6"/>
  <c r="AB105" i="6"/>
  <c r="AB438" i="6"/>
  <c r="AB342" i="6"/>
  <c r="AB66" i="6"/>
  <c r="AB453" i="6"/>
  <c r="AB324" i="6"/>
  <c r="AB381" i="6"/>
  <c r="AB57" i="6"/>
  <c r="AB139" i="6"/>
  <c r="AB223" i="6"/>
  <c r="AB367" i="6"/>
  <c r="AB396" i="6"/>
  <c r="AB290" i="6"/>
  <c r="AB423" i="6"/>
  <c r="AB392" i="6"/>
  <c r="AB456" i="6"/>
  <c r="AB308" i="6"/>
  <c r="AB468" i="6"/>
  <c r="AB467" i="6"/>
  <c r="AB40" i="6"/>
  <c r="AB259" i="6"/>
  <c r="AB163" i="6"/>
  <c r="AB348" i="6"/>
  <c r="AB207" i="6"/>
  <c r="AB454" i="6"/>
  <c r="AB327" i="6"/>
  <c r="AB401" i="6"/>
  <c r="AB326" i="6"/>
  <c r="AB340" i="6"/>
  <c r="AB36" i="6"/>
  <c r="AB19" i="6"/>
  <c r="AB235" i="6"/>
  <c r="AB251" i="6"/>
  <c r="AB310" i="6"/>
  <c r="AB325" i="6"/>
  <c r="AB480" i="6"/>
  <c r="AB301" i="6"/>
  <c r="AB347" i="6"/>
  <c r="AB20" i="6"/>
  <c r="AB408" i="6"/>
  <c r="AB219" i="6"/>
  <c r="AB234" i="6"/>
  <c r="AB294" i="6"/>
  <c r="AB309" i="6"/>
  <c r="AB38" i="6"/>
  <c r="AB330" i="6"/>
  <c r="AB203" i="6"/>
  <c r="AB277" i="6"/>
  <c r="AB293" i="6"/>
  <c r="AB471" i="6"/>
  <c r="AB187" i="6"/>
  <c r="AB118" i="6"/>
  <c r="AB136" i="6"/>
  <c r="AB93" i="6"/>
  <c r="AB263" i="6"/>
  <c r="AB120" i="6"/>
  <c r="AB75" i="6"/>
  <c r="AB176" i="6"/>
  <c r="AB444" i="6"/>
  <c r="AB210" i="6"/>
  <c r="AB333" i="6"/>
  <c r="AB22" i="6"/>
  <c r="AB131" i="6"/>
  <c r="AB316" i="6"/>
  <c r="AB402" i="6"/>
  <c r="AB184" i="6"/>
  <c r="AB202" i="6"/>
  <c r="AB133" i="6"/>
  <c r="AB276" i="6"/>
  <c r="AB218" i="6"/>
  <c r="AB289" i="6"/>
  <c r="AB459" i="6"/>
  <c r="AB237" i="6"/>
  <c r="AB26" i="6"/>
  <c r="AB352" i="6"/>
  <c r="AB58" i="6"/>
  <c r="AB260" i="6"/>
  <c r="AB373" i="6"/>
  <c r="AB192" i="6"/>
  <c r="AB318" i="6"/>
  <c r="AB362" i="6"/>
  <c r="AB154" i="6"/>
  <c r="AB300" i="6"/>
  <c r="AB299" i="6"/>
  <c r="AB472" i="6"/>
  <c r="AB183" i="6"/>
  <c r="AB201" i="6"/>
  <c r="AB125" i="6"/>
  <c r="AA5" i="6"/>
  <c r="AB353" i="6"/>
  <c r="AB344" i="6"/>
  <c r="AB50" i="6"/>
  <c r="AB307" i="6"/>
  <c r="AB248" i="6"/>
  <c r="AB140" i="6"/>
  <c r="AB280" i="6"/>
  <c r="AB271" i="6"/>
  <c r="AB387" i="6"/>
  <c r="AB117" i="6"/>
  <c r="AB126" i="6"/>
  <c r="AB383" i="6"/>
  <c r="AB231" i="6"/>
  <c r="AB336" i="6"/>
  <c r="AB25" i="6"/>
  <c r="AB244" i="6"/>
  <c r="AB466" i="6"/>
  <c r="AB155" i="6"/>
  <c r="AB302" i="6"/>
  <c r="AB284" i="6"/>
  <c r="AB257" i="6"/>
  <c r="AB283" i="6"/>
  <c r="AB282" i="6"/>
  <c r="AB82" i="6"/>
  <c r="AB182" i="6"/>
  <c r="AB142" i="6"/>
  <c r="AB266" i="6"/>
  <c r="AB382" i="6"/>
  <c r="AB213" i="6"/>
  <c r="AB143" i="6"/>
  <c r="AB482" i="6"/>
  <c r="AB230" i="6"/>
  <c r="AB460" i="6"/>
  <c r="AB215" i="6"/>
  <c r="AB305" i="6"/>
  <c r="AB374" i="6"/>
  <c r="AB227" i="6"/>
  <c r="AB441" i="6"/>
  <c r="AB90" i="6"/>
  <c r="AB285" i="6"/>
  <c r="AB178" i="6"/>
  <c r="AB241" i="6"/>
  <c r="AB265" i="6"/>
  <c r="AB264" i="6"/>
  <c r="AB483" i="6"/>
  <c r="AB398" i="6"/>
  <c r="AB81" i="6"/>
  <c r="AB98" i="6"/>
  <c r="AB465" i="6"/>
  <c r="AB384" i="6"/>
  <c r="AB385" i="6"/>
  <c r="AB386" i="6"/>
  <c r="AB188" i="6"/>
  <c r="AB343" i="6"/>
  <c r="AB65" i="6"/>
  <c r="AB295" i="6"/>
  <c r="AB15" i="6"/>
  <c r="AB150" i="6"/>
  <c r="AB249" i="6"/>
  <c r="AB96" i="6"/>
  <c r="AB48" i="6"/>
  <c r="AB278" i="6"/>
  <c r="AB400" i="6"/>
  <c r="AB177" i="6"/>
  <c r="AB463" i="6"/>
  <c r="AB232" i="6"/>
  <c r="AB95" i="6"/>
  <c r="AB141" i="6"/>
  <c r="AB405" i="6"/>
  <c r="AB119" i="6"/>
  <c r="AB399" i="6"/>
  <c r="AB216" i="6"/>
  <c r="AB94" i="6"/>
  <c r="AB70" i="6"/>
  <c r="AB123" i="6"/>
  <c r="AB346" i="6"/>
  <c r="AB68" i="6"/>
  <c r="AB296" i="6"/>
  <c r="AB16" i="6"/>
  <c r="AB394" i="6"/>
  <c r="AB250" i="6"/>
  <c r="AB200" i="6"/>
  <c r="AB37" i="6"/>
  <c r="AB329" i="6"/>
  <c r="AB51" i="6"/>
  <c r="AB279" i="6"/>
  <c r="AB404" i="6"/>
  <c r="AB233" i="6"/>
  <c r="AB449" i="6"/>
  <c r="AB181" i="6"/>
  <c r="AB191" i="6"/>
  <c r="AB364" i="6"/>
  <c r="AB145" i="6"/>
  <c r="AB114" i="6"/>
  <c r="AB84" i="6"/>
  <c r="AB281" i="6"/>
  <c r="AB470" i="6"/>
  <c r="AB337" i="6"/>
  <c r="AB185" i="6"/>
  <c r="AB430" i="6"/>
  <c r="AB179" i="6"/>
  <c r="AB473" i="6"/>
  <c r="AB199" i="6"/>
  <c r="AB321" i="6"/>
  <c r="AB41" i="6"/>
  <c r="AB124" i="6"/>
  <c r="AB363" i="6"/>
  <c r="AB243" i="6"/>
  <c r="AB439" i="6"/>
  <c r="AB146" i="6"/>
  <c r="AB462" i="6"/>
  <c r="AB421" i="6"/>
  <c r="AB315" i="6"/>
  <c r="AB149" i="6"/>
  <c r="AB8" i="6"/>
  <c r="AB127" i="6"/>
  <c r="AB403" i="6"/>
  <c r="AB217" i="6"/>
  <c r="AB97" i="6"/>
  <c r="AB5" i="6" l="1"/>
</calcChain>
</file>

<file path=xl/sharedStrings.xml><?xml version="1.0" encoding="utf-8"?>
<sst xmlns="http://schemas.openxmlformats.org/spreadsheetml/2006/main" count="4772" uniqueCount="2089">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</sst>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103" activePane="bottomLeft" state="frozen"/>
      <selection pane="bottomLeft" activeCell="A103" sqref="A103:XFD103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121</v>
      </c>
      <c r="F3" s="5">
        <f>+AD6</f>
        <v>112</v>
      </c>
      <c r="G3" s="5">
        <f>+AF6</f>
        <v>107</v>
      </c>
      <c r="H3" s="5">
        <f>+E3-G3</f>
        <v>14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329</v>
      </c>
      <c r="F4" s="7">
        <f>+AE6</f>
        <v>189</v>
      </c>
      <c r="G4" s="7">
        <f>+AG6</f>
        <v>171</v>
      </c>
      <c r="H4" s="5">
        <f>+E4-G4</f>
        <v>158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450</v>
      </c>
      <c r="F5" s="8">
        <f>+F3+F4</f>
        <v>301</v>
      </c>
      <c r="G5" s="8">
        <f>+G3+G4</f>
        <v>278</v>
      </c>
      <c r="H5" s="8">
        <f>+H3+H4</f>
        <v>172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112</v>
      </c>
      <c r="AE6" s="1">
        <f t="shared" si="1"/>
        <v>189</v>
      </c>
      <c r="AF6" s="1">
        <f t="shared" si="1"/>
        <v>107</v>
      </c>
      <c r="AG6" s="1">
        <f t="shared" si="1"/>
        <v>171</v>
      </c>
      <c r="AH6" s="1">
        <f t="shared" si="1"/>
        <v>121</v>
      </c>
      <c r="AI6" s="1">
        <f t="shared" si="1"/>
        <v>329</v>
      </c>
    </row>
    <row r="7" spans="1:35" s="69" customFormat="1" ht="14.25" customHeight="1" x14ac:dyDescent="0.3">
      <c r="A7" s="27" t="s">
        <v>1366</v>
      </c>
      <c r="B7" s="27" t="s">
        <v>1367</v>
      </c>
      <c r="C7" s="27" t="s">
        <v>1368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1369</v>
      </c>
      <c r="K7" s="27" t="s">
        <v>1628</v>
      </c>
      <c r="L7" s="27" t="s">
        <v>17</v>
      </c>
      <c r="M7" s="29" t="s">
        <v>1370</v>
      </c>
      <c r="N7" s="28" t="s">
        <v>0</v>
      </c>
      <c r="O7" s="18" t="s">
        <v>1</v>
      </c>
      <c r="P7" s="18" t="s">
        <v>2</v>
      </c>
      <c r="Q7" s="29" t="s">
        <v>1876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124</v>
      </c>
      <c r="E8" s="32" t="s">
        <v>903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1738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1586</v>
      </c>
      <c r="E9" s="32" t="s">
        <v>170</v>
      </c>
      <c r="F9" s="32" t="s">
        <v>1536</v>
      </c>
      <c r="G9" s="32" t="s">
        <v>39</v>
      </c>
      <c r="H9" s="32" t="s">
        <v>361</v>
      </c>
      <c r="I9" s="31" t="s">
        <v>1537</v>
      </c>
      <c r="J9" s="31">
        <v>99</v>
      </c>
      <c r="K9" s="33" t="s">
        <v>959</v>
      </c>
      <c r="L9" s="33" t="s">
        <v>1696</v>
      </c>
      <c r="M9" s="34" t="s">
        <v>1374</v>
      </c>
      <c r="N9" s="34" t="s">
        <v>1722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959</v>
      </c>
      <c r="L10" s="46" t="s">
        <v>1697</v>
      </c>
      <c r="M10" s="47" t="s">
        <v>1371</v>
      </c>
      <c r="N10" s="47" t="s">
        <v>1742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1027</v>
      </c>
      <c r="E11" s="32" t="s">
        <v>173</v>
      </c>
      <c r="F11" s="32" t="s">
        <v>1085</v>
      </c>
      <c r="G11" s="32" t="s">
        <v>39</v>
      </c>
      <c r="H11" s="32" t="s">
        <v>1028</v>
      </c>
      <c r="I11" s="31" t="s">
        <v>1107</v>
      </c>
      <c r="J11" s="31">
        <v>16</v>
      </c>
      <c r="K11" s="33" t="s">
        <v>957</v>
      </c>
      <c r="L11" s="33">
        <v>45</v>
      </c>
      <c r="M11" s="34" t="s">
        <v>1372</v>
      </c>
      <c r="N11" s="34" t="s">
        <v>1820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961</v>
      </c>
      <c r="L12" s="46" t="s">
        <v>1700</v>
      </c>
      <c r="M12" s="47" t="s">
        <v>1114</v>
      </c>
      <c r="N12" s="47" t="s">
        <v>1731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959</v>
      </c>
      <c r="L13" s="46" t="s">
        <v>1701</v>
      </c>
      <c r="M13" s="47" t="s">
        <v>1114</v>
      </c>
      <c r="N13" s="47" t="s">
        <v>1731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1288</v>
      </c>
      <c r="G14" s="32" t="s">
        <v>239</v>
      </c>
      <c r="H14" s="32" t="s">
        <v>352</v>
      </c>
      <c r="I14" s="31" t="s">
        <v>1355</v>
      </c>
      <c r="J14" s="31">
        <v>1</v>
      </c>
      <c r="K14" s="33" t="s">
        <v>955</v>
      </c>
      <c r="L14" s="33" t="s">
        <v>1703</v>
      </c>
      <c r="M14" s="34" t="s">
        <v>1373</v>
      </c>
      <c r="N14" s="34" t="s">
        <v>1743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959</v>
      </c>
      <c r="L15" s="46" t="s">
        <v>1701</v>
      </c>
      <c r="M15" s="47" t="s">
        <v>1114</v>
      </c>
      <c r="N15" s="47" t="s">
        <v>1742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1693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1086</v>
      </c>
      <c r="G17" s="45" t="s">
        <v>39</v>
      </c>
      <c r="H17" s="45" t="s">
        <v>353</v>
      </c>
      <c r="I17" s="44" t="s">
        <v>1108</v>
      </c>
      <c r="J17" s="44">
        <v>11</v>
      </c>
      <c r="K17" s="46" t="s">
        <v>961</v>
      </c>
      <c r="L17" s="46" t="s">
        <v>1709</v>
      </c>
      <c r="M17" s="47" t="s">
        <v>1374</v>
      </c>
      <c r="N17" s="47" t="s">
        <v>1736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955</v>
      </c>
      <c r="L18" s="46">
        <v>75</v>
      </c>
      <c r="M18" s="47" t="s">
        <v>1374</v>
      </c>
      <c r="N18" s="47" t="s">
        <v>1797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960</v>
      </c>
      <c r="L19" s="33">
        <v>200</v>
      </c>
      <c r="M19" s="34" t="s">
        <v>39</v>
      </c>
      <c r="N19" s="34" t="s">
        <v>1844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962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1888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892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955</v>
      </c>
      <c r="L21" s="33" t="s">
        <v>39</v>
      </c>
      <c r="M21" s="34" t="s">
        <v>39</v>
      </c>
      <c r="N21" s="34" t="s">
        <v>1722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962</v>
      </c>
      <c r="L22" s="33" t="s">
        <v>39</v>
      </c>
      <c r="M22" s="34" t="s">
        <v>39</v>
      </c>
      <c r="N22" s="34" t="s">
        <v>1728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1161</v>
      </c>
      <c r="H23" s="32" t="s">
        <v>352</v>
      </c>
      <c r="I23" s="31" t="s">
        <v>483</v>
      </c>
      <c r="J23" s="31">
        <v>1</v>
      </c>
      <c r="K23" s="33" t="s">
        <v>955</v>
      </c>
      <c r="L23" s="33" t="s">
        <v>1701</v>
      </c>
      <c r="M23" s="34" t="s">
        <v>1114</v>
      </c>
      <c r="N23" s="34" t="s">
        <v>1738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1583</v>
      </c>
      <c r="E24" s="32" t="s">
        <v>170</v>
      </c>
      <c r="F24" s="32" t="s">
        <v>1584</v>
      </c>
      <c r="G24" s="32" t="s">
        <v>212</v>
      </c>
      <c r="H24" s="32" t="s">
        <v>352</v>
      </c>
      <c r="I24" s="31" t="s">
        <v>1585</v>
      </c>
      <c r="J24" s="31">
        <v>1</v>
      </c>
      <c r="K24" s="33" t="s">
        <v>961</v>
      </c>
      <c r="L24" s="33" t="s">
        <v>39</v>
      </c>
      <c r="M24" s="34" t="s">
        <v>39</v>
      </c>
      <c r="N24" s="34" t="s">
        <v>1722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1046</v>
      </c>
      <c r="E25" s="32" t="s">
        <v>170</v>
      </c>
      <c r="F25" s="32" t="s">
        <v>1090</v>
      </c>
      <c r="G25" s="32" t="s">
        <v>1033</v>
      </c>
      <c r="H25" s="32" t="s">
        <v>352</v>
      </c>
      <c r="I25" s="31" t="s">
        <v>1047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1744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959</v>
      </c>
      <c r="L27" s="46" t="s">
        <v>1710</v>
      </c>
      <c r="M27" s="47" t="s">
        <v>1375</v>
      </c>
      <c r="N27" s="47" t="s">
        <v>1731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962</v>
      </c>
      <c r="L28" s="33" t="s">
        <v>39</v>
      </c>
      <c r="M28" s="34" t="s">
        <v>39</v>
      </c>
      <c r="N28" s="34" t="s">
        <v>1728</v>
      </c>
      <c r="O28" s="35">
        <v>1</v>
      </c>
      <c r="P28" s="35">
        <v>1</v>
      </c>
      <c r="Q28" s="32" t="s">
        <v>1907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852</v>
      </c>
      <c r="E29" s="32" t="s">
        <v>170</v>
      </c>
      <c r="F29" s="32" t="s">
        <v>853</v>
      </c>
      <c r="G29" s="32" t="s">
        <v>219</v>
      </c>
      <c r="H29" s="32" t="s">
        <v>352</v>
      </c>
      <c r="I29" s="31" t="s">
        <v>854</v>
      </c>
      <c r="J29" s="31">
        <v>8</v>
      </c>
      <c r="K29" s="33" t="s">
        <v>959</v>
      </c>
      <c r="L29" s="33" t="s">
        <v>1705</v>
      </c>
      <c r="M29" s="34" t="s">
        <v>1555</v>
      </c>
      <c r="N29" s="34" t="s">
        <v>1751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955</v>
      </c>
      <c r="L30" s="33" t="s">
        <v>39</v>
      </c>
      <c r="M30" s="34" t="s">
        <v>39</v>
      </c>
      <c r="N30" s="34" t="s">
        <v>1728</v>
      </c>
      <c r="O30" s="35">
        <v>1</v>
      </c>
      <c r="P30" s="35">
        <v>1</v>
      </c>
      <c r="Q30" s="3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1</v>
      </c>
      <c r="AE30" s="1">
        <f t="shared" si="18"/>
        <v>0</v>
      </c>
      <c r="AF30" s="1">
        <f t="shared" si="3"/>
        <v>1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959</v>
      </c>
      <c r="L31" s="46">
        <v>70</v>
      </c>
      <c r="M31" s="47" t="s">
        <v>1376</v>
      </c>
      <c r="N31" s="47" t="s">
        <v>1729</v>
      </c>
      <c r="O31" s="48"/>
      <c r="P31" s="48"/>
      <c r="Q31" s="65" t="s">
        <v>1901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955</v>
      </c>
      <c r="L32" s="33" t="s">
        <v>1701</v>
      </c>
      <c r="M32" s="34" t="s">
        <v>1377</v>
      </c>
      <c r="N32" s="34" t="s">
        <v>1751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1544</v>
      </c>
      <c r="E33" s="36" t="s">
        <v>1241</v>
      </c>
      <c r="F33" s="36" t="s">
        <v>1545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1784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1457</v>
      </c>
      <c r="E34" s="36" t="s">
        <v>1459</v>
      </c>
      <c r="F34" s="36" t="s">
        <v>1458</v>
      </c>
      <c r="G34" s="36"/>
      <c r="H34" s="36" t="s">
        <v>1133</v>
      </c>
      <c r="I34" s="37" t="s">
        <v>1460</v>
      </c>
      <c r="J34" s="31">
        <v>99</v>
      </c>
      <c r="K34" s="33" t="s">
        <v>699</v>
      </c>
      <c r="L34" s="33"/>
      <c r="M34" s="34"/>
      <c r="N34" s="34" t="s">
        <v>1722</v>
      </c>
      <c r="O34" s="35">
        <v>1</v>
      </c>
      <c r="P34" s="35">
        <v>1</v>
      </c>
      <c r="Q34" s="36" t="s">
        <v>1915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951</v>
      </c>
      <c r="L35" s="46" t="s">
        <v>685</v>
      </c>
      <c r="M35" s="47" t="s">
        <v>1378</v>
      </c>
      <c r="N35" s="47" t="s">
        <v>1742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1863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1797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1757</v>
      </c>
      <c r="E37" s="36" t="s">
        <v>154</v>
      </c>
      <c r="F37" s="36" t="s">
        <v>1758</v>
      </c>
      <c r="G37" s="36"/>
      <c r="H37" s="36" t="s">
        <v>1759</v>
      </c>
      <c r="I37" s="37" t="s">
        <v>1760</v>
      </c>
      <c r="J37" s="31">
        <v>18</v>
      </c>
      <c r="K37" s="33" t="s">
        <v>699</v>
      </c>
      <c r="L37" s="33">
        <v>55</v>
      </c>
      <c r="M37" s="34" t="s">
        <v>1472</v>
      </c>
      <c r="N37" s="34" t="s">
        <v>1728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951</v>
      </c>
      <c r="L38" s="33" t="s">
        <v>1698</v>
      </c>
      <c r="M38" s="34" t="s">
        <v>1377</v>
      </c>
      <c r="N38" s="34" t="s">
        <v>1743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1746</v>
      </c>
      <c r="E39" s="36" t="s">
        <v>1747</v>
      </c>
      <c r="F39" s="36" t="s">
        <v>1748</v>
      </c>
      <c r="G39" s="36" t="s">
        <v>319</v>
      </c>
      <c r="H39" s="36" t="s">
        <v>352</v>
      </c>
      <c r="I39" s="37" t="s">
        <v>1749</v>
      </c>
      <c r="J39" s="31">
        <v>99</v>
      </c>
      <c r="K39" s="33" t="s">
        <v>699</v>
      </c>
      <c r="L39" s="33"/>
      <c r="M39" s="34"/>
      <c r="N39" s="34" t="s">
        <v>1728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1106</v>
      </c>
      <c r="J40" s="44">
        <v>8</v>
      </c>
      <c r="K40" s="46" t="s">
        <v>951</v>
      </c>
      <c r="L40" s="46" t="s">
        <v>1695</v>
      </c>
      <c r="M40" s="47" t="s">
        <v>1372</v>
      </c>
      <c r="N40" s="47" t="s">
        <v>1732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1507</v>
      </c>
      <c r="E41" s="36" t="s">
        <v>174</v>
      </c>
      <c r="F41" s="36" t="s">
        <v>1655</v>
      </c>
      <c r="G41" s="36" t="s">
        <v>1509</v>
      </c>
      <c r="H41" s="36" t="s">
        <v>352</v>
      </c>
      <c r="I41" s="37" t="s">
        <v>1508</v>
      </c>
      <c r="J41" s="31">
        <v>99</v>
      </c>
      <c r="K41" s="33" t="s">
        <v>952</v>
      </c>
      <c r="L41" s="33" t="s">
        <v>39</v>
      </c>
      <c r="M41" s="34" t="s">
        <v>39</v>
      </c>
      <c r="N41" s="34" t="s">
        <v>1722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876</v>
      </c>
      <c r="E42" s="32" t="s">
        <v>173</v>
      </c>
      <c r="F42" s="32" t="s">
        <v>877</v>
      </c>
      <c r="G42" s="32" t="s">
        <v>39</v>
      </c>
      <c r="H42" s="32" t="s">
        <v>373</v>
      </c>
      <c r="I42" s="31" t="s">
        <v>878</v>
      </c>
      <c r="J42" s="31">
        <v>12</v>
      </c>
      <c r="K42" s="33" t="s">
        <v>698</v>
      </c>
      <c r="L42" s="33" t="s">
        <v>1699</v>
      </c>
      <c r="M42" s="34" t="s">
        <v>1379</v>
      </c>
      <c r="N42" s="34" t="s">
        <v>1820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1810</v>
      </c>
      <c r="E43" s="45" t="s">
        <v>174</v>
      </c>
      <c r="F43" s="45" t="s">
        <v>1811</v>
      </c>
      <c r="G43" s="45" t="s">
        <v>193</v>
      </c>
      <c r="H43" s="45" t="s">
        <v>352</v>
      </c>
      <c r="I43" s="44" t="s">
        <v>1812</v>
      </c>
      <c r="J43" s="44">
        <v>9</v>
      </c>
      <c r="K43" s="46" t="s">
        <v>699</v>
      </c>
      <c r="L43" s="46">
        <v>60</v>
      </c>
      <c r="M43" s="47" t="s">
        <v>1813</v>
      </c>
      <c r="N43" s="47" t="s">
        <v>1804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1874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951</v>
      </c>
      <c r="L44" s="46" t="s">
        <v>689</v>
      </c>
      <c r="M44" s="47" t="s">
        <v>687</v>
      </c>
      <c r="N44" s="47" t="s">
        <v>1733</v>
      </c>
      <c r="O44" s="48"/>
      <c r="P44" s="48"/>
      <c r="Q44" s="65" t="s">
        <v>1902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834</v>
      </c>
      <c r="E45" s="32" t="s">
        <v>174</v>
      </c>
      <c r="F45" s="32" t="s">
        <v>836</v>
      </c>
      <c r="G45" s="32" t="s">
        <v>39</v>
      </c>
      <c r="H45" s="32" t="s">
        <v>352</v>
      </c>
      <c r="I45" s="31" t="s">
        <v>835</v>
      </c>
      <c r="J45" s="31">
        <v>99</v>
      </c>
      <c r="K45" s="33" t="s">
        <v>957</v>
      </c>
      <c r="L45" s="33" t="s">
        <v>39</v>
      </c>
      <c r="M45" s="34" t="s">
        <v>39</v>
      </c>
      <c r="N45" s="34" t="s">
        <v>1728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911</v>
      </c>
      <c r="E46" s="45" t="s">
        <v>174</v>
      </c>
      <c r="F46" s="45" t="s">
        <v>779</v>
      </c>
      <c r="G46" s="45" t="s">
        <v>39</v>
      </c>
      <c r="H46" s="45" t="s">
        <v>373</v>
      </c>
      <c r="I46" s="44" t="s">
        <v>780</v>
      </c>
      <c r="J46" s="44">
        <v>12</v>
      </c>
      <c r="K46" s="46" t="s">
        <v>718</v>
      </c>
      <c r="L46" s="46" t="s">
        <v>1694</v>
      </c>
      <c r="M46" s="47" t="s">
        <v>1114</v>
      </c>
      <c r="N46" s="47" t="s">
        <v>1797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1630</v>
      </c>
      <c r="E47" s="39" t="s">
        <v>173</v>
      </c>
      <c r="F47" s="39" t="s">
        <v>1656</v>
      </c>
      <c r="G47" s="39" t="s">
        <v>250</v>
      </c>
      <c r="H47" s="39" t="s">
        <v>352</v>
      </c>
      <c r="I47" s="38" t="s">
        <v>1558</v>
      </c>
      <c r="J47" s="38">
        <v>99</v>
      </c>
      <c r="K47" s="40" t="s">
        <v>952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1526</v>
      </c>
      <c r="E48" s="32" t="s">
        <v>1644</v>
      </c>
      <c r="F48" s="32" t="s">
        <v>1527</v>
      </c>
      <c r="G48" s="32" t="s">
        <v>199</v>
      </c>
      <c r="H48" s="32" t="s">
        <v>352</v>
      </c>
      <c r="I48" s="31" t="s">
        <v>1528</v>
      </c>
      <c r="J48" s="31">
        <v>2</v>
      </c>
      <c r="K48" s="33" t="s">
        <v>951</v>
      </c>
      <c r="L48" s="33">
        <v>70</v>
      </c>
      <c r="M48" s="34" t="s">
        <v>39</v>
      </c>
      <c r="N48" s="34" t="s">
        <v>1784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1462</v>
      </c>
      <c r="E49" s="45" t="s">
        <v>1645</v>
      </c>
      <c r="F49" s="45" t="s">
        <v>1461</v>
      </c>
      <c r="G49" s="45" t="s">
        <v>219</v>
      </c>
      <c r="H49" s="45" t="s">
        <v>352</v>
      </c>
      <c r="I49" s="44" t="s">
        <v>1682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1732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807</v>
      </c>
      <c r="E50" s="32" t="s">
        <v>174</v>
      </c>
      <c r="F50" s="32" t="s">
        <v>808</v>
      </c>
      <c r="G50" s="32" t="s">
        <v>39</v>
      </c>
      <c r="H50" s="32" t="s">
        <v>809</v>
      </c>
      <c r="I50" s="31" t="s">
        <v>810</v>
      </c>
      <c r="J50" s="31">
        <v>11</v>
      </c>
      <c r="K50" s="33" t="s">
        <v>699</v>
      </c>
      <c r="L50" s="33">
        <v>50</v>
      </c>
      <c r="M50" s="34" t="s">
        <v>1114</v>
      </c>
      <c r="N50" s="34" t="s">
        <v>1941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1466</v>
      </c>
      <c r="E51" s="32"/>
      <c r="F51" s="32" t="s">
        <v>1467</v>
      </c>
      <c r="G51" s="32" t="s">
        <v>1468</v>
      </c>
      <c r="H51" s="32" t="s">
        <v>352</v>
      </c>
      <c r="I51" s="31" t="s">
        <v>1469</v>
      </c>
      <c r="J51" s="31">
        <v>99</v>
      </c>
      <c r="K51" s="33" t="s">
        <v>699</v>
      </c>
      <c r="L51" s="33">
        <v>35</v>
      </c>
      <c r="M51" s="34" t="s">
        <v>1474</v>
      </c>
      <c r="N51" s="34" t="s">
        <v>1743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1996</v>
      </c>
      <c r="E52" s="32" t="s">
        <v>174</v>
      </c>
      <c r="F52" s="32" t="s">
        <v>1997</v>
      </c>
      <c r="G52" s="32" t="s">
        <v>1998</v>
      </c>
      <c r="H52" s="32" t="s">
        <v>352</v>
      </c>
      <c r="I52" s="31" t="s">
        <v>1999</v>
      </c>
      <c r="J52" s="31">
        <v>99</v>
      </c>
      <c r="K52" s="33" t="s">
        <v>699</v>
      </c>
      <c r="L52" s="33"/>
      <c r="M52" s="34"/>
      <c r="N52" s="34" t="s">
        <v>1728</v>
      </c>
      <c r="O52" s="35">
        <v>1</v>
      </c>
      <c r="P52" s="35">
        <v>1</v>
      </c>
      <c r="Q52" s="32" t="s">
        <v>2000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1797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1049</v>
      </c>
      <c r="E54" s="32" t="s">
        <v>174</v>
      </c>
      <c r="F54" s="32" t="s">
        <v>1050</v>
      </c>
      <c r="G54" s="32" t="s">
        <v>1051</v>
      </c>
      <c r="H54" s="32" t="s">
        <v>352</v>
      </c>
      <c r="I54" s="31" t="s">
        <v>1052</v>
      </c>
      <c r="J54" s="31">
        <v>1</v>
      </c>
      <c r="K54" s="33" t="s">
        <v>718</v>
      </c>
      <c r="L54" s="33" t="s">
        <v>683</v>
      </c>
      <c r="M54" s="34" t="s">
        <v>1114</v>
      </c>
      <c r="N54" s="34" t="s">
        <v>1784</v>
      </c>
      <c r="O54" s="35">
        <v>1</v>
      </c>
      <c r="P54" s="35"/>
      <c r="Q54" s="32" t="s">
        <v>1905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1634</v>
      </c>
      <c r="E55" s="32" t="s">
        <v>174</v>
      </c>
      <c r="F55" s="32" t="s">
        <v>1660</v>
      </c>
      <c r="G55" s="32" t="s">
        <v>1661</v>
      </c>
      <c r="H55" s="32" t="s">
        <v>352</v>
      </c>
      <c r="I55" s="31" t="s">
        <v>1473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1750</v>
      </c>
      <c r="O55" s="35">
        <v>1</v>
      </c>
      <c r="P55" s="35"/>
      <c r="Q55" s="32" t="s">
        <v>2047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1695</v>
      </c>
      <c r="M56" s="47" t="s">
        <v>1380</v>
      </c>
      <c r="N56" s="47" t="s">
        <v>1730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1185</v>
      </c>
      <c r="E57" s="16" t="s">
        <v>173</v>
      </c>
      <c r="F57" s="16" t="s">
        <v>1186</v>
      </c>
      <c r="G57" s="16" t="s">
        <v>39</v>
      </c>
      <c r="H57" s="16" t="s">
        <v>1188</v>
      </c>
      <c r="I57" s="15" t="s">
        <v>1187</v>
      </c>
      <c r="J57" s="15">
        <v>17</v>
      </c>
      <c r="K57" s="10" t="s">
        <v>699</v>
      </c>
      <c r="L57" s="10" t="s">
        <v>1381</v>
      </c>
      <c r="M57" s="19" t="s">
        <v>1382</v>
      </c>
      <c r="N57" s="17"/>
      <c r="Q57" s="16" t="s">
        <v>1881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1196</v>
      </c>
      <c r="E58" s="16" t="s">
        <v>173</v>
      </c>
      <c r="F58" s="16" t="s">
        <v>1197</v>
      </c>
      <c r="G58" s="16" t="s">
        <v>39</v>
      </c>
      <c r="H58" s="16" t="s">
        <v>1198</v>
      </c>
      <c r="I58" s="15" t="s">
        <v>1199</v>
      </c>
      <c r="J58" s="15">
        <v>18</v>
      </c>
      <c r="K58" s="10" t="s">
        <v>952</v>
      </c>
      <c r="L58" s="10" t="s">
        <v>691</v>
      </c>
      <c r="M58" s="19" t="s">
        <v>965</v>
      </c>
      <c r="N58" s="17"/>
      <c r="Q58" s="16" t="s">
        <v>1880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1024</v>
      </c>
      <c r="E59" s="16" t="s">
        <v>174</v>
      </c>
      <c r="F59" s="16" t="s">
        <v>1026</v>
      </c>
      <c r="G59" s="16" t="s">
        <v>39</v>
      </c>
      <c r="H59" s="16" t="s">
        <v>363</v>
      </c>
      <c r="I59" s="15" t="s">
        <v>1025</v>
      </c>
      <c r="J59" s="15">
        <v>18</v>
      </c>
      <c r="K59" s="10" t="s">
        <v>698</v>
      </c>
      <c r="L59" s="10" t="s">
        <v>1136</v>
      </c>
      <c r="M59" s="19" t="s">
        <v>687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1587</v>
      </c>
      <c r="E60" s="32" t="s">
        <v>174</v>
      </c>
      <c r="F60" s="32" t="s">
        <v>1588</v>
      </c>
      <c r="G60" s="32" t="s">
        <v>1589</v>
      </c>
      <c r="H60" s="32" t="s">
        <v>352</v>
      </c>
      <c r="I60" s="31" t="s">
        <v>1482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1722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1615</v>
      </c>
      <c r="E61" s="32" t="s">
        <v>169</v>
      </c>
      <c r="F61" s="32" t="s">
        <v>1616</v>
      </c>
      <c r="G61" s="32" t="s">
        <v>39</v>
      </c>
      <c r="H61" s="32" t="s">
        <v>353</v>
      </c>
      <c r="I61" s="31" t="s">
        <v>1617</v>
      </c>
      <c r="J61" s="31">
        <v>11</v>
      </c>
      <c r="K61" s="33" t="s">
        <v>952</v>
      </c>
      <c r="L61" s="33" t="s">
        <v>39</v>
      </c>
      <c r="M61" s="34" t="s">
        <v>39</v>
      </c>
      <c r="N61" s="34" t="s">
        <v>1722</v>
      </c>
      <c r="O61" s="35">
        <v>1</v>
      </c>
      <c r="P61" s="35">
        <v>1</v>
      </c>
      <c r="Q61" s="36" t="s">
        <v>1900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1612</v>
      </c>
      <c r="E62" s="32" t="s">
        <v>173</v>
      </c>
      <c r="F62" s="32" t="s">
        <v>1613</v>
      </c>
      <c r="G62" s="32" t="s">
        <v>1478</v>
      </c>
      <c r="H62" s="32" t="s">
        <v>352</v>
      </c>
      <c r="I62" s="31" t="s">
        <v>1614</v>
      </c>
      <c r="J62" s="31">
        <v>99</v>
      </c>
      <c r="K62" s="33" t="s">
        <v>957</v>
      </c>
      <c r="L62" s="33" t="s">
        <v>39</v>
      </c>
      <c r="M62" s="34" t="s">
        <v>39</v>
      </c>
      <c r="N62" s="34" t="s">
        <v>1722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951</v>
      </c>
      <c r="L63" s="33" t="s">
        <v>39</v>
      </c>
      <c r="M63" s="34" t="s">
        <v>39</v>
      </c>
      <c r="N63" s="34" t="s">
        <v>1722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795</v>
      </c>
      <c r="E64" s="32" t="s">
        <v>173</v>
      </c>
      <c r="F64" s="32" t="s">
        <v>797</v>
      </c>
      <c r="G64" s="32" t="s">
        <v>39</v>
      </c>
      <c r="H64" s="32" t="s">
        <v>796</v>
      </c>
      <c r="I64" s="31" t="s">
        <v>798</v>
      </c>
      <c r="J64" s="31">
        <v>14</v>
      </c>
      <c r="K64" s="33" t="s">
        <v>959</v>
      </c>
      <c r="L64" s="33" t="s">
        <v>1701</v>
      </c>
      <c r="M64" s="34" t="s">
        <v>1374</v>
      </c>
      <c r="N64" s="34" t="s">
        <v>1744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1317</v>
      </c>
      <c r="E65" s="16" t="s">
        <v>174</v>
      </c>
      <c r="F65" s="16" t="s">
        <v>1341</v>
      </c>
      <c r="G65" s="16" t="s">
        <v>39</v>
      </c>
      <c r="H65" s="16" t="s">
        <v>361</v>
      </c>
      <c r="I65" s="15" t="s">
        <v>1137</v>
      </c>
      <c r="J65" s="15">
        <v>14</v>
      </c>
      <c r="K65" s="10" t="s">
        <v>718</v>
      </c>
      <c r="L65" s="10" t="s">
        <v>1694</v>
      </c>
      <c r="M65" s="19" t="s">
        <v>967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1510</v>
      </c>
      <c r="E66" s="45" t="s">
        <v>169</v>
      </c>
      <c r="F66" s="45" t="s">
        <v>1512</v>
      </c>
      <c r="G66" s="45" t="s">
        <v>1160</v>
      </c>
      <c r="H66" s="45" t="s">
        <v>352</v>
      </c>
      <c r="I66" s="44" t="s">
        <v>1511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1804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1132</v>
      </c>
      <c r="E67" s="32" t="s">
        <v>174</v>
      </c>
      <c r="F67" s="32" t="s">
        <v>1135</v>
      </c>
      <c r="G67" s="32" t="s">
        <v>39</v>
      </c>
      <c r="H67" s="32" t="s">
        <v>1133</v>
      </c>
      <c r="I67" s="31" t="s">
        <v>1134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1744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2086</v>
      </c>
      <c r="G68" s="32" t="s">
        <v>2087</v>
      </c>
      <c r="H68" s="32" t="s">
        <v>352</v>
      </c>
      <c r="I68" s="31"/>
      <c r="J68" s="31">
        <v>1</v>
      </c>
      <c r="K68" s="33" t="s">
        <v>955</v>
      </c>
      <c r="L68" s="33" t="s">
        <v>39</v>
      </c>
      <c r="M68" s="34" t="s">
        <v>39</v>
      </c>
      <c r="N68" s="34" t="s">
        <v>1728</v>
      </c>
      <c r="O68" s="35">
        <v>1</v>
      </c>
      <c r="P68" s="35">
        <v>1</v>
      </c>
      <c r="Q68" s="32" t="s">
        <v>2088</v>
      </c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1</v>
      </c>
      <c r="AE68" s="1">
        <f t="shared" si="18"/>
        <v>0</v>
      </c>
      <c r="AF68" s="1">
        <f t="shared" si="3"/>
        <v>1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1442</v>
      </c>
      <c r="E69" s="32" t="s">
        <v>174</v>
      </c>
      <c r="F69" s="32" t="s">
        <v>1439</v>
      </c>
      <c r="G69" s="32" t="s">
        <v>39</v>
      </c>
      <c r="H69" s="32" t="s">
        <v>352</v>
      </c>
      <c r="I69" s="31" t="s">
        <v>1440</v>
      </c>
      <c r="J69" s="31">
        <v>99</v>
      </c>
      <c r="K69" s="33" t="s">
        <v>698</v>
      </c>
      <c r="L69" s="33" t="s">
        <v>685</v>
      </c>
      <c r="M69" s="34" t="s">
        <v>1441</v>
      </c>
      <c r="N69" s="34" t="s">
        <v>1722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811</v>
      </c>
      <c r="E70" s="39" t="s">
        <v>174</v>
      </c>
      <c r="F70" s="39" t="s">
        <v>931</v>
      </c>
      <c r="G70" s="39" t="s">
        <v>212</v>
      </c>
      <c r="H70" s="39" t="s">
        <v>352</v>
      </c>
      <c r="I70" s="38" t="s">
        <v>812</v>
      </c>
      <c r="J70" s="38">
        <v>1</v>
      </c>
      <c r="K70" s="40" t="s">
        <v>951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1318</v>
      </c>
      <c r="E71" s="32" t="s">
        <v>174</v>
      </c>
      <c r="F71" s="32" t="s">
        <v>1121</v>
      </c>
      <c r="G71" s="32" t="s">
        <v>39</v>
      </c>
      <c r="H71" s="32" t="s">
        <v>1120</v>
      </c>
      <c r="I71" s="31" t="s">
        <v>1119</v>
      </c>
      <c r="J71" s="31">
        <v>15</v>
      </c>
      <c r="K71" s="33" t="s">
        <v>952</v>
      </c>
      <c r="L71" s="33">
        <v>75</v>
      </c>
      <c r="M71" s="34" t="s">
        <v>1383</v>
      </c>
      <c r="N71" s="34" t="s">
        <v>1728</v>
      </c>
      <c r="O71" s="35">
        <v>1</v>
      </c>
      <c r="P71" s="35">
        <v>1</v>
      </c>
      <c r="Q71" s="32" t="s">
        <v>1982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1042</v>
      </c>
      <c r="E72" s="32" t="s">
        <v>173</v>
      </c>
      <c r="F72" s="32" t="s">
        <v>1043</v>
      </c>
      <c r="G72" s="32" t="s">
        <v>624</v>
      </c>
      <c r="H72" s="32" t="s">
        <v>352</v>
      </c>
      <c r="I72" s="31" t="s">
        <v>1044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1728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2052</v>
      </c>
      <c r="E73" s="32" t="s">
        <v>1978</v>
      </c>
      <c r="F73" s="32" t="s">
        <v>2053</v>
      </c>
      <c r="G73" s="32" t="s">
        <v>283</v>
      </c>
      <c r="H73" s="32" t="s">
        <v>352</v>
      </c>
      <c r="I73" s="31" t="s">
        <v>2054</v>
      </c>
      <c r="J73" s="31">
        <v>10</v>
      </c>
      <c r="K73" s="33" t="s">
        <v>699</v>
      </c>
      <c r="L73" s="33"/>
      <c r="M73" s="34"/>
      <c r="N73" s="34" t="s">
        <v>1728</v>
      </c>
      <c r="O73" s="35">
        <v>1</v>
      </c>
      <c r="P73" s="35">
        <v>1</v>
      </c>
      <c r="Q73" s="36" t="s">
        <v>2055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2008</v>
      </c>
      <c r="E74" s="32" t="s">
        <v>174</v>
      </c>
      <c r="F74" s="36" t="s">
        <v>2009</v>
      </c>
      <c r="G74" s="36" t="s">
        <v>219</v>
      </c>
      <c r="H74" s="36" t="s">
        <v>352</v>
      </c>
      <c r="I74" s="37" t="s">
        <v>2010</v>
      </c>
      <c r="J74" s="31">
        <v>8</v>
      </c>
      <c r="K74" s="33" t="s">
        <v>699</v>
      </c>
      <c r="L74" s="33"/>
      <c r="M74" s="34"/>
      <c r="N74" s="34" t="s">
        <v>1728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955</v>
      </c>
      <c r="L75" s="46" t="s">
        <v>1707</v>
      </c>
      <c r="M75" s="47" t="s">
        <v>1374</v>
      </c>
      <c r="N75" s="47" t="s">
        <v>1733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1837</v>
      </c>
      <c r="E76" s="32" t="s">
        <v>173</v>
      </c>
      <c r="F76" s="32" t="s">
        <v>1838</v>
      </c>
      <c r="G76" s="32"/>
      <c r="H76" s="32" t="s">
        <v>1839</v>
      </c>
      <c r="I76" s="31" t="s">
        <v>1840</v>
      </c>
      <c r="J76" s="31">
        <v>14</v>
      </c>
      <c r="K76" s="33" t="s">
        <v>699</v>
      </c>
      <c r="L76" s="33">
        <v>75</v>
      </c>
      <c r="M76" s="34" t="s">
        <v>966</v>
      </c>
      <c r="N76" s="34" t="s">
        <v>1738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1719</v>
      </c>
      <c r="E77" s="32" t="s">
        <v>174</v>
      </c>
      <c r="F77" s="36" t="s">
        <v>1720</v>
      </c>
      <c r="G77" s="36" t="s">
        <v>206</v>
      </c>
      <c r="H77" s="36" t="s">
        <v>352</v>
      </c>
      <c r="I77" s="37" t="s">
        <v>1721</v>
      </c>
      <c r="J77" s="31">
        <v>99</v>
      </c>
      <c r="K77" s="33" t="s">
        <v>699</v>
      </c>
      <c r="L77" s="33"/>
      <c r="M77" s="34"/>
      <c r="N77" s="34" t="s">
        <v>1722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1053</v>
      </c>
      <c r="E78" s="32" t="s">
        <v>174</v>
      </c>
      <c r="F78" s="36" t="s">
        <v>1092</v>
      </c>
      <c r="G78" s="36" t="s">
        <v>39</v>
      </c>
      <c r="H78" s="36" t="s">
        <v>1054</v>
      </c>
      <c r="I78" s="37" t="s">
        <v>1156</v>
      </c>
      <c r="J78" s="31">
        <v>13</v>
      </c>
      <c r="K78" s="33" t="s">
        <v>698</v>
      </c>
      <c r="L78" s="33" t="s">
        <v>685</v>
      </c>
      <c r="M78" s="34" t="s">
        <v>1436</v>
      </c>
      <c r="N78" s="34" t="s">
        <v>1744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1590</v>
      </c>
      <c r="E79" s="32" t="s">
        <v>174</v>
      </c>
      <c r="F79" s="36" t="s">
        <v>1591</v>
      </c>
      <c r="G79" s="36" t="s">
        <v>234</v>
      </c>
      <c r="H79" s="36" t="s">
        <v>352</v>
      </c>
      <c r="I79" s="37" t="s">
        <v>1592</v>
      </c>
      <c r="J79" s="31">
        <v>99</v>
      </c>
      <c r="K79" s="33" t="s">
        <v>951</v>
      </c>
      <c r="L79" s="33">
        <v>45</v>
      </c>
      <c r="M79" s="34" t="s">
        <v>39</v>
      </c>
      <c r="N79" s="34" t="s">
        <v>1784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1320</v>
      </c>
      <c r="E80" s="39" t="s">
        <v>173</v>
      </c>
      <c r="F80" s="39" t="s">
        <v>1263</v>
      </c>
      <c r="G80" s="39" t="s">
        <v>206</v>
      </c>
      <c r="H80" s="39" t="s">
        <v>352</v>
      </c>
      <c r="I80" s="38" t="s">
        <v>1264</v>
      </c>
      <c r="J80" s="38">
        <v>99</v>
      </c>
      <c r="K80" s="40" t="s">
        <v>957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1794</v>
      </c>
      <c r="E81" s="32" t="s">
        <v>169</v>
      </c>
      <c r="F81" s="36" t="s">
        <v>1792</v>
      </c>
      <c r="G81" s="36" t="s">
        <v>231</v>
      </c>
      <c r="H81" s="36" t="s">
        <v>352</v>
      </c>
      <c r="I81" s="37" t="s">
        <v>1793</v>
      </c>
      <c r="J81" s="31">
        <v>99</v>
      </c>
      <c r="K81" s="33" t="s">
        <v>699</v>
      </c>
      <c r="L81" s="33"/>
      <c r="M81" s="34"/>
      <c r="N81" s="34" t="s">
        <v>1722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1153</v>
      </c>
      <c r="E82" s="32" t="s">
        <v>169</v>
      </c>
      <c r="F82" s="36" t="s">
        <v>1154</v>
      </c>
      <c r="G82" s="36" t="s">
        <v>39</v>
      </c>
      <c r="H82" s="36" t="s">
        <v>1354</v>
      </c>
      <c r="I82" s="37" t="s">
        <v>1155</v>
      </c>
      <c r="J82" s="31">
        <v>11</v>
      </c>
      <c r="K82" s="33" t="s">
        <v>698</v>
      </c>
      <c r="L82" s="33" t="s">
        <v>1694</v>
      </c>
      <c r="M82" s="34" t="s">
        <v>1384</v>
      </c>
      <c r="N82" s="34" t="s">
        <v>1744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1820</v>
      </c>
      <c r="O83" s="35">
        <v>1</v>
      </c>
      <c r="P83" s="35"/>
      <c r="Q83" s="36" t="s">
        <v>1877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1005</v>
      </c>
      <c r="E84" s="32" t="s">
        <v>171</v>
      </c>
      <c r="F84" s="36" t="s">
        <v>1006</v>
      </c>
      <c r="G84" s="36" t="s">
        <v>1007</v>
      </c>
      <c r="H84" s="36" t="s">
        <v>352</v>
      </c>
      <c r="I84" s="37" t="s">
        <v>1008</v>
      </c>
      <c r="J84" s="31">
        <v>99</v>
      </c>
      <c r="K84" s="33" t="s">
        <v>951</v>
      </c>
      <c r="L84" s="33" t="s">
        <v>39</v>
      </c>
      <c r="M84" s="34" t="s">
        <v>39</v>
      </c>
      <c r="N84" s="34" t="s">
        <v>1728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952</v>
      </c>
      <c r="L85" s="33" t="s">
        <v>683</v>
      </c>
      <c r="M85" s="34" t="s">
        <v>687</v>
      </c>
      <c r="N85" s="34" t="s">
        <v>1738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1781</v>
      </c>
      <c r="E86" s="16" t="s">
        <v>171</v>
      </c>
      <c r="F86" s="16" t="s">
        <v>1783</v>
      </c>
      <c r="G86" s="16"/>
      <c r="H86" s="16" t="s">
        <v>362</v>
      </c>
      <c r="I86" s="15" t="s">
        <v>1782</v>
      </c>
      <c r="J86" s="15">
        <v>17</v>
      </c>
      <c r="K86" s="10" t="s">
        <v>699</v>
      </c>
      <c r="L86" s="10" t="s">
        <v>1737</v>
      </c>
      <c r="M86" s="19" t="s">
        <v>687</v>
      </c>
      <c r="N86" s="17"/>
      <c r="Q86" s="20" t="s">
        <v>1909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1805</v>
      </c>
      <c r="E87" s="32" t="s">
        <v>171</v>
      </c>
      <c r="F87" s="32" t="s">
        <v>1806</v>
      </c>
      <c r="G87" s="32" t="s">
        <v>1807</v>
      </c>
      <c r="H87" s="32" t="s">
        <v>352</v>
      </c>
      <c r="I87" s="31" t="s">
        <v>1808</v>
      </c>
      <c r="J87" s="31">
        <v>1</v>
      </c>
      <c r="K87" s="33" t="s">
        <v>699</v>
      </c>
      <c r="L87" s="33">
        <v>60</v>
      </c>
      <c r="M87" s="34" t="s">
        <v>1809</v>
      </c>
      <c r="N87" s="34" t="s">
        <v>1844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2062</v>
      </c>
      <c r="E88" s="36" t="s">
        <v>175</v>
      </c>
      <c r="F88" s="36" t="s">
        <v>2060</v>
      </c>
      <c r="G88" s="36" t="s">
        <v>219</v>
      </c>
      <c r="H88" s="36" t="s">
        <v>352</v>
      </c>
      <c r="I88" s="37" t="s">
        <v>2061</v>
      </c>
      <c r="J88" s="31">
        <v>8</v>
      </c>
      <c r="K88" s="33" t="s">
        <v>699</v>
      </c>
      <c r="L88" s="33"/>
      <c r="M88" s="34"/>
      <c r="N88" s="34" t="s">
        <v>1728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1593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1750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1875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951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786</v>
      </c>
      <c r="E91" s="45" t="s">
        <v>606</v>
      </c>
      <c r="F91" s="45" t="s">
        <v>788</v>
      </c>
      <c r="G91" s="45" t="s">
        <v>213</v>
      </c>
      <c r="H91" s="45" t="s">
        <v>352</v>
      </c>
      <c r="I91" s="44" t="s">
        <v>787</v>
      </c>
      <c r="J91" s="44">
        <v>99</v>
      </c>
      <c r="K91" s="46" t="s">
        <v>718</v>
      </c>
      <c r="L91" s="46" t="s">
        <v>1694</v>
      </c>
      <c r="M91" s="47" t="s">
        <v>1385</v>
      </c>
      <c r="N91" s="47" t="s">
        <v>1742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951</v>
      </c>
      <c r="L92" s="33" t="s">
        <v>1694</v>
      </c>
      <c r="M92" s="34" t="s">
        <v>965</v>
      </c>
      <c r="N92" s="34" t="s">
        <v>1738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1947</v>
      </c>
      <c r="E93" s="20" t="s">
        <v>1978</v>
      </c>
      <c r="F93" s="20" t="s">
        <v>1979</v>
      </c>
      <c r="G93" s="20"/>
      <c r="H93" s="20" t="s">
        <v>1975</v>
      </c>
      <c r="I93" s="21" t="s">
        <v>1980</v>
      </c>
      <c r="J93" s="15">
        <v>18</v>
      </c>
      <c r="K93" s="10" t="s">
        <v>699</v>
      </c>
      <c r="L93" s="10" t="s">
        <v>1737</v>
      </c>
      <c r="M93" s="19" t="s">
        <v>966</v>
      </c>
      <c r="N93" s="17"/>
      <c r="Q93" s="20" t="s">
        <v>1981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1520</v>
      </c>
      <c r="E94" s="32" t="s">
        <v>175</v>
      </c>
      <c r="F94" s="36" t="s">
        <v>1521</v>
      </c>
      <c r="G94" s="36" t="s">
        <v>39</v>
      </c>
      <c r="H94" s="36" t="s">
        <v>902</v>
      </c>
      <c r="I94" s="37" t="s">
        <v>1522</v>
      </c>
      <c r="J94" s="31">
        <v>11</v>
      </c>
      <c r="K94" s="33" t="s">
        <v>959</v>
      </c>
      <c r="L94" s="33" t="s">
        <v>39</v>
      </c>
      <c r="M94" s="34" t="s">
        <v>39</v>
      </c>
      <c r="N94" s="34" t="s">
        <v>1728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1849</v>
      </c>
      <c r="E95" s="36" t="s">
        <v>171</v>
      </c>
      <c r="F95" s="36" t="s">
        <v>1850</v>
      </c>
      <c r="G95" s="36"/>
      <c r="H95" s="36" t="s">
        <v>1851</v>
      </c>
      <c r="I95" s="37" t="s">
        <v>1852</v>
      </c>
      <c r="J95" s="31">
        <v>15</v>
      </c>
      <c r="K95" s="33" t="s">
        <v>699</v>
      </c>
      <c r="L95" s="33"/>
      <c r="M95" s="34"/>
      <c r="N95" s="34" t="s">
        <v>1728</v>
      </c>
      <c r="O95" s="35">
        <v>1</v>
      </c>
      <c r="P95" s="35">
        <v>1</v>
      </c>
      <c r="Q95" s="36" t="s">
        <v>1887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31">
        <v>0</v>
      </c>
      <c r="B96" s="31">
        <v>1</v>
      </c>
      <c r="C96" s="31">
        <v>3</v>
      </c>
      <c r="D96" s="32" t="s">
        <v>732</v>
      </c>
      <c r="E96" s="32" t="s">
        <v>1326</v>
      </c>
      <c r="F96" s="32" t="s">
        <v>1653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965</v>
      </c>
      <c r="N96" s="34" t="s">
        <v>1844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1541</v>
      </c>
      <c r="E97" s="32" t="s">
        <v>171</v>
      </c>
      <c r="F97" s="32" t="s">
        <v>1542</v>
      </c>
      <c r="G97" s="32" t="s">
        <v>39</v>
      </c>
      <c r="H97" s="32" t="s">
        <v>362</v>
      </c>
      <c r="I97" s="31" t="s">
        <v>1543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1722</v>
      </c>
      <c r="O97" s="35">
        <v>1</v>
      </c>
      <c r="P97" s="35">
        <v>1</v>
      </c>
      <c r="Q97" s="36" t="s">
        <v>1911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951</v>
      </c>
      <c r="L98" s="33" t="s">
        <v>690</v>
      </c>
      <c r="M98" s="34" t="s">
        <v>687</v>
      </c>
      <c r="N98" s="34" t="s">
        <v>1743</v>
      </c>
      <c r="O98" s="35">
        <v>1</v>
      </c>
      <c r="P98" s="35"/>
      <c r="Q98" s="36" t="s">
        <v>1884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1728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1927</v>
      </c>
      <c r="E100" s="32" t="s">
        <v>1928</v>
      </c>
      <c r="F100" s="36" t="s">
        <v>1929</v>
      </c>
      <c r="G100" s="36"/>
      <c r="H100" s="36" t="s">
        <v>364</v>
      </c>
      <c r="I100" s="37" t="s">
        <v>1931</v>
      </c>
      <c r="J100" s="31">
        <v>18</v>
      </c>
      <c r="K100" s="33" t="s">
        <v>699</v>
      </c>
      <c r="L100" s="33"/>
      <c r="M100" s="34"/>
      <c r="N100" s="34" t="s">
        <v>1728</v>
      </c>
      <c r="O100" s="35">
        <v>1</v>
      </c>
      <c r="P100" s="35">
        <v>1</v>
      </c>
      <c r="Q100" s="36" t="s">
        <v>1930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1202</v>
      </c>
      <c r="E101" s="45" t="s">
        <v>174</v>
      </c>
      <c r="F101" s="45" t="s">
        <v>1334</v>
      </c>
      <c r="G101" s="45" t="s">
        <v>39</v>
      </c>
      <c r="H101" s="45" t="s">
        <v>607</v>
      </c>
      <c r="I101" s="44" t="s">
        <v>1203</v>
      </c>
      <c r="J101" s="44">
        <v>14</v>
      </c>
      <c r="K101" s="46" t="s">
        <v>951</v>
      </c>
      <c r="L101" s="46" t="s">
        <v>1694</v>
      </c>
      <c r="M101" s="47" t="s">
        <v>1386</v>
      </c>
      <c r="N101" s="47" t="s">
        <v>1797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817</v>
      </c>
      <c r="E102" s="32" t="s">
        <v>175</v>
      </c>
      <c r="F102" s="36" t="s">
        <v>923</v>
      </c>
      <c r="G102" s="36" t="s">
        <v>39</v>
      </c>
      <c r="H102" s="36" t="s">
        <v>370</v>
      </c>
      <c r="I102" s="37" t="s">
        <v>818</v>
      </c>
      <c r="J102" s="31">
        <v>16</v>
      </c>
      <c r="K102" s="33" t="s">
        <v>952</v>
      </c>
      <c r="L102" s="33" t="s">
        <v>684</v>
      </c>
      <c r="M102" s="34" t="s">
        <v>965</v>
      </c>
      <c r="N102" s="34" t="s">
        <v>1722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s="1" customFormat="1" ht="14.25" customHeight="1" x14ac:dyDescent="0.3">
      <c r="A103" s="44">
        <v>0</v>
      </c>
      <c r="B103" s="44">
        <v>1</v>
      </c>
      <c r="C103" s="44">
        <v>3</v>
      </c>
      <c r="D103" s="45" t="s">
        <v>103</v>
      </c>
      <c r="E103" s="45" t="s">
        <v>169</v>
      </c>
      <c r="F103" s="45" t="s">
        <v>301</v>
      </c>
      <c r="G103" s="45" t="s">
        <v>39</v>
      </c>
      <c r="H103" s="45" t="s">
        <v>355</v>
      </c>
      <c r="I103" s="44" t="s">
        <v>448</v>
      </c>
      <c r="J103" s="44">
        <v>18</v>
      </c>
      <c r="K103" s="46" t="s">
        <v>698</v>
      </c>
      <c r="L103" s="46" t="s">
        <v>684</v>
      </c>
      <c r="M103" s="47" t="s">
        <v>687</v>
      </c>
      <c r="N103" s="47" t="s">
        <v>1730</v>
      </c>
      <c r="O103" s="48"/>
      <c r="P103" s="48"/>
      <c r="Q103" s="45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951</v>
      </c>
      <c r="L104" s="46" t="s">
        <v>690</v>
      </c>
      <c r="M104" s="47" t="s">
        <v>687</v>
      </c>
      <c r="N104" s="47" t="s">
        <v>1742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1640</v>
      </c>
      <c r="E105" s="16" t="s">
        <v>1082</v>
      </c>
      <c r="F105" s="16" t="s">
        <v>1214</v>
      </c>
      <c r="G105" s="16" t="s">
        <v>39</v>
      </c>
      <c r="H105" s="16" t="s">
        <v>1215</v>
      </c>
      <c r="I105" s="15" t="s">
        <v>1216</v>
      </c>
      <c r="J105" s="15">
        <v>18</v>
      </c>
      <c r="K105" s="10" t="s">
        <v>953</v>
      </c>
      <c r="L105" s="10" t="s">
        <v>684</v>
      </c>
      <c r="M105" s="19" t="s">
        <v>965</v>
      </c>
      <c r="N105" s="17"/>
      <c r="Q105" s="16" t="s">
        <v>1879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s="1" customFormat="1" ht="14.25" customHeight="1" x14ac:dyDescent="0.3">
      <c r="A106" s="44">
        <v>0</v>
      </c>
      <c r="B106" s="44">
        <v>1</v>
      </c>
      <c r="C106" s="44">
        <v>3</v>
      </c>
      <c r="D106" s="45" t="s">
        <v>1553</v>
      </c>
      <c r="E106" s="45" t="s">
        <v>169</v>
      </c>
      <c r="F106" s="45" t="s">
        <v>1672</v>
      </c>
      <c r="G106" s="45" t="s">
        <v>39</v>
      </c>
      <c r="H106" s="45" t="s">
        <v>355</v>
      </c>
      <c r="I106" s="44" t="s">
        <v>1554</v>
      </c>
      <c r="J106" s="44">
        <v>18</v>
      </c>
      <c r="K106" s="46" t="s">
        <v>718</v>
      </c>
      <c r="L106" s="46" t="s">
        <v>684</v>
      </c>
      <c r="M106" s="47" t="s">
        <v>687</v>
      </c>
      <c r="N106" s="47" t="s">
        <v>1730</v>
      </c>
      <c r="O106" s="48"/>
      <c r="P106" s="48"/>
      <c r="Q106" s="45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1314</v>
      </c>
      <c r="E107" s="32" t="s">
        <v>174</v>
      </c>
      <c r="F107" s="32" t="s">
        <v>1335</v>
      </c>
      <c r="G107" s="32" t="s">
        <v>39</v>
      </c>
      <c r="H107" s="32" t="s">
        <v>352</v>
      </c>
      <c r="I107" s="31" t="s">
        <v>1131</v>
      </c>
      <c r="J107" s="31">
        <v>99</v>
      </c>
      <c r="K107" s="33" t="s">
        <v>698</v>
      </c>
      <c r="L107" s="33" t="s">
        <v>1694</v>
      </c>
      <c r="M107" s="34" t="s">
        <v>1387</v>
      </c>
      <c r="N107" s="34" t="s">
        <v>1744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1258</v>
      </c>
      <c r="E108" s="32" t="s">
        <v>169</v>
      </c>
      <c r="F108" s="32" t="s">
        <v>1336</v>
      </c>
      <c r="G108" s="32" t="s">
        <v>1189</v>
      </c>
      <c r="H108" s="32" t="s">
        <v>352</v>
      </c>
      <c r="I108" s="31" t="s">
        <v>1190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1796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1014</v>
      </c>
      <c r="E109" s="32" t="s">
        <v>606</v>
      </c>
      <c r="F109" s="32" t="s">
        <v>1015</v>
      </c>
      <c r="G109" s="32" t="s">
        <v>1016</v>
      </c>
      <c r="H109" s="32" t="s">
        <v>352</v>
      </c>
      <c r="I109" s="31" t="s">
        <v>1017</v>
      </c>
      <c r="J109" s="31">
        <v>99</v>
      </c>
      <c r="K109" s="33" t="s">
        <v>951</v>
      </c>
      <c r="L109" s="33" t="s">
        <v>39</v>
      </c>
      <c r="M109" s="34" t="s">
        <v>39</v>
      </c>
      <c r="N109" s="34" t="s">
        <v>1728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1388</v>
      </c>
      <c r="N110" s="34" t="s">
        <v>1743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813</v>
      </c>
      <c r="E111" s="32" t="s">
        <v>171</v>
      </c>
      <c r="F111" s="32" t="s">
        <v>814</v>
      </c>
      <c r="G111" s="32" t="s">
        <v>39</v>
      </c>
      <c r="H111" s="32" t="s">
        <v>815</v>
      </c>
      <c r="I111" s="31" t="s">
        <v>816</v>
      </c>
      <c r="J111" s="31">
        <v>16</v>
      </c>
      <c r="K111" s="33" t="s">
        <v>698</v>
      </c>
      <c r="L111" s="33" t="s">
        <v>684</v>
      </c>
      <c r="M111" s="34" t="s">
        <v>1388</v>
      </c>
      <c r="N111" s="34" t="s">
        <v>1722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1878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1500</v>
      </c>
      <c r="E113" s="32" t="s">
        <v>169</v>
      </c>
      <c r="F113" s="32" t="s">
        <v>1501</v>
      </c>
      <c r="G113" s="32" t="s">
        <v>39</v>
      </c>
      <c r="H113" s="32" t="s">
        <v>372</v>
      </c>
      <c r="I113" s="31" t="s">
        <v>1502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1744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1729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1744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989</v>
      </c>
      <c r="E116" s="32" t="s">
        <v>169</v>
      </c>
      <c r="F116" s="32" t="s">
        <v>1088</v>
      </c>
      <c r="G116" s="32" t="s">
        <v>231</v>
      </c>
      <c r="H116" s="32" t="s">
        <v>352</v>
      </c>
      <c r="I116" s="31" t="s">
        <v>990</v>
      </c>
      <c r="J116" s="31">
        <v>99</v>
      </c>
      <c r="K116" s="33" t="s">
        <v>951</v>
      </c>
      <c r="L116" s="33">
        <v>40</v>
      </c>
      <c r="M116" s="34" t="s">
        <v>39</v>
      </c>
      <c r="N116" s="34" t="s">
        <v>1941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1722</v>
      </c>
      <c r="O117" s="35">
        <v>1</v>
      </c>
      <c r="P117" s="35">
        <v>1</v>
      </c>
      <c r="Q117" s="32" t="s">
        <v>2035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1315</v>
      </c>
      <c r="E118" s="16" t="s">
        <v>171</v>
      </c>
      <c r="F118" s="16" t="s">
        <v>1338</v>
      </c>
      <c r="G118" s="16" t="s">
        <v>39</v>
      </c>
      <c r="H118" s="16" t="s">
        <v>983</v>
      </c>
      <c r="I118" s="15" t="s">
        <v>984</v>
      </c>
      <c r="J118" s="15">
        <v>14</v>
      </c>
      <c r="K118" s="10" t="s">
        <v>699</v>
      </c>
      <c r="L118" s="10">
        <v>30</v>
      </c>
      <c r="M118" s="19" t="s">
        <v>966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695</v>
      </c>
      <c r="E119" s="45" t="s">
        <v>174</v>
      </c>
      <c r="F119" s="45" t="s">
        <v>696</v>
      </c>
      <c r="G119" s="45" t="s">
        <v>39</v>
      </c>
      <c r="H119" s="45" t="s">
        <v>697</v>
      </c>
      <c r="I119" s="44" t="s">
        <v>1110</v>
      </c>
      <c r="J119" s="44">
        <v>13</v>
      </c>
      <c r="K119" s="46" t="s">
        <v>698</v>
      </c>
      <c r="L119" s="46" t="s">
        <v>1694</v>
      </c>
      <c r="M119" s="47" t="s">
        <v>965</v>
      </c>
      <c r="N119" s="47" t="s">
        <v>1797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1515</v>
      </c>
      <c r="E120" s="32" t="s">
        <v>169</v>
      </c>
      <c r="F120" s="32" t="s">
        <v>1662</v>
      </c>
      <c r="G120" s="32" t="s">
        <v>39</v>
      </c>
      <c r="H120" s="32" t="s">
        <v>1516</v>
      </c>
      <c r="I120" s="31" t="s">
        <v>1517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1722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951</v>
      </c>
      <c r="L121" s="10" t="s">
        <v>693</v>
      </c>
      <c r="M121" s="19" t="s">
        <v>965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1973</v>
      </c>
      <c r="E122" s="20" t="s">
        <v>171</v>
      </c>
      <c r="F122" s="20" t="s">
        <v>1970</v>
      </c>
      <c r="G122" s="20"/>
      <c r="H122" s="20" t="s">
        <v>1971</v>
      </c>
      <c r="I122" s="21" t="s">
        <v>1969</v>
      </c>
      <c r="J122" s="15">
        <v>17</v>
      </c>
      <c r="K122" s="10" t="s">
        <v>699</v>
      </c>
      <c r="L122" s="10" t="s">
        <v>1737</v>
      </c>
      <c r="M122" s="19" t="s">
        <v>966</v>
      </c>
      <c r="N122" s="17"/>
      <c r="Q122" s="20" t="s">
        <v>1972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995</v>
      </c>
      <c r="E123" s="45" t="s">
        <v>171</v>
      </c>
      <c r="F123" s="65" t="s">
        <v>1862</v>
      </c>
      <c r="G123" s="45" t="s">
        <v>39</v>
      </c>
      <c r="H123" s="45" t="s">
        <v>996</v>
      </c>
      <c r="I123" s="44" t="s">
        <v>1111</v>
      </c>
      <c r="J123" s="44">
        <v>16</v>
      </c>
      <c r="K123" s="46" t="s">
        <v>718</v>
      </c>
      <c r="L123" s="46" t="s">
        <v>1737</v>
      </c>
      <c r="M123" s="47" t="s">
        <v>1389</v>
      </c>
      <c r="N123" s="47" t="s">
        <v>1797</v>
      </c>
      <c r="O123" s="48"/>
      <c r="P123" s="48"/>
      <c r="Q123" s="65" t="s">
        <v>1885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1122</v>
      </c>
      <c r="E124" s="16" t="s">
        <v>171</v>
      </c>
      <c r="F124" s="16" t="s">
        <v>1339</v>
      </c>
      <c r="G124" s="16" t="s">
        <v>39</v>
      </c>
      <c r="H124" s="16" t="s">
        <v>1124</v>
      </c>
      <c r="I124" s="15" t="s">
        <v>1123</v>
      </c>
      <c r="J124" s="15">
        <v>14</v>
      </c>
      <c r="K124" s="10" t="s">
        <v>953</v>
      </c>
      <c r="L124" s="10" t="s">
        <v>1694</v>
      </c>
      <c r="M124" s="19" t="s">
        <v>1390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1073</v>
      </c>
      <c r="E125" s="32" t="s">
        <v>171</v>
      </c>
      <c r="F125" s="32" t="s">
        <v>1035</v>
      </c>
      <c r="G125" s="32" t="s">
        <v>1099</v>
      </c>
      <c r="H125" s="32" t="s">
        <v>352</v>
      </c>
      <c r="I125" s="31" t="s">
        <v>1036</v>
      </c>
      <c r="J125" s="31">
        <v>1</v>
      </c>
      <c r="K125" s="33" t="s">
        <v>953</v>
      </c>
      <c r="L125" s="33" t="s">
        <v>683</v>
      </c>
      <c r="M125" s="34" t="s">
        <v>966</v>
      </c>
      <c r="N125" s="34" t="s">
        <v>1750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1624</v>
      </c>
      <c r="E126" s="32" t="s">
        <v>1082</v>
      </c>
      <c r="F126" s="32" t="s">
        <v>1625</v>
      </c>
      <c r="G126" s="32" t="s">
        <v>39</v>
      </c>
      <c r="H126" s="32" t="s">
        <v>1626</v>
      </c>
      <c r="I126" s="31" t="s">
        <v>1627</v>
      </c>
      <c r="J126" s="31">
        <v>15</v>
      </c>
      <c r="K126" s="33" t="s">
        <v>953</v>
      </c>
      <c r="L126" s="33" t="s">
        <v>39</v>
      </c>
      <c r="M126" s="34" t="s">
        <v>39</v>
      </c>
      <c r="N126" s="34" t="s">
        <v>1743</v>
      </c>
      <c r="O126" s="35">
        <v>1</v>
      </c>
      <c r="P126" s="35"/>
      <c r="Q126" s="36" t="s">
        <v>1890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609</v>
      </c>
      <c r="E127" s="16" t="s">
        <v>169</v>
      </c>
      <c r="F127" s="16" t="s">
        <v>610</v>
      </c>
      <c r="G127" s="16" t="s">
        <v>39</v>
      </c>
      <c r="H127" s="16" t="s">
        <v>364</v>
      </c>
      <c r="I127" s="15" t="s">
        <v>611</v>
      </c>
      <c r="J127" s="15">
        <v>18</v>
      </c>
      <c r="K127" s="10" t="s">
        <v>718</v>
      </c>
      <c r="L127" s="10" t="s">
        <v>1737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1945</v>
      </c>
      <c r="E128" s="20" t="s">
        <v>171</v>
      </c>
      <c r="F128" s="20" t="s">
        <v>1966</v>
      </c>
      <c r="G128" s="20"/>
      <c r="H128" s="20" t="s">
        <v>1965</v>
      </c>
      <c r="I128" s="21" t="s">
        <v>1967</v>
      </c>
      <c r="J128" s="15">
        <v>15</v>
      </c>
      <c r="K128" s="10" t="s">
        <v>699</v>
      </c>
      <c r="L128" s="10" t="s">
        <v>1737</v>
      </c>
      <c r="M128" s="19" t="s">
        <v>966</v>
      </c>
      <c r="N128" s="17"/>
      <c r="Q128" s="20" t="s">
        <v>1968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916</v>
      </c>
      <c r="E129" s="32" t="s">
        <v>171</v>
      </c>
      <c r="F129" s="32" t="s">
        <v>1152</v>
      </c>
      <c r="G129" s="32" t="s">
        <v>39</v>
      </c>
      <c r="H129" s="32" t="s">
        <v>361</v>
      </c>
      <c r="I129" s="31" t="s">
        <v>887</v>
      </c>
      <c r="J129" s="31">
        <v>14</v>
      </c>
      <c r="K129" s="33" t="s">
        <v>952</v>
      </c>
      <c r="L129" s="33" t="s">
        <v>39</v>
      </c>
      <c r="M129" s="34" t="s">
        <v>39</v>
      </c>
      <c r="N129" s="34" t="s">
        <v>1728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44">
        <v>0</v>
      </c>
      <c r="B130" s="44">
        <v>1</v>
      </c>
      <c r="C130" s="44">
        <v>3</v>
      </c>
      <c r="D130" s="45" t="s">
        <v>104</v>
      </c>
      <c r="E130" s="45" t="s">
        <v>171</v>
      </c>
      <c r="F130" s="45" t="s">
        <v>927</v>
      </c>
      <c r="G130" s="45" t="s">
        <v>39</v>
      </c>
      <c r="H130" s="45" t="s">
        <v>356</v>
      </c>
      <c r="I130" s="44" t="s">
        <v>449</v>
      </c>
      <c r="J130" s="44">
        <v>18</v>
      </c>
      <c r="K130" s="46" t="s">
        <v>951</v>
      </c>
      <c r="L130" s="46" t="s">
        <v>693</v>
      </c>
      <c r="M130" s="47" t="s">
        <v>687</v>
      </c>
      <c r="N130" s="47" t="s">
        <v>1730</v>
      </c>
      <c r="O130" s="48"/>
      <c r="P130" s="48"/>
      <c r="Q130" s="45" t="s">
        <v>1883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1503</v>
      </c>
      <c r="E131" s="32" t="s">
        <v>1647</v>
      </c>
      <c r="F131" s="32" t="s">
        <v>1505</v>
      </c>
      <c r="G131" s="32" t="s">
        <v>39</v>
      </c>
      <c r="H131" s="32" t="s">
        <v>1506</v>
      </c>
      <c r="I131" s="31" t="s">
        <v>1504</v>
      </c>
      <c r="J131" s="31">
        <v>14</v>
      </c>
      <c r="K131" s="33" t="s">
        <v>957</v>
      </c>
      <c r="L131" s="33" t="s">
        <v>683</v>
      </c>
      <c r="M131" s="34" t="s">
        <v>1391</v>
      </c>
      <c r="N131" s="34" t="s">
        <v>1722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44">
        <v>0</v>
      </c>
      <c r="B132" s="44">
        <v>1</v>
      </c>
      <c r="C132" s="44">
        <v>3</v>
      </c>
      <c r="D132" s="45" t="s">
        <v>1251</v>
      </c>
      <c r="E132" s="45" t="s">
        <v>171</v>
      </c>
      <c r="F132" s="45" t="s">
        <v>1252</v>
      </c>
      <c r="G132" s="45" t="s">
        <v>1254</v>
      </c>
      <c r="H132" s="45" t="s">
        <v>352</v>
      </c>
      <c r="I132" s="44" t="s">
        <v>1253</v>
      </c>
      <c r="J132" s="44">
        <v>99</v>
      </c>
      <c r="K132" s="46" t="s">
        <v>953</v>
      </c>
      <c r="L132" s="46" t="s">
        <v>689</v>
      </c>
      <c r="M132" s="47" t="s">
        <v>966</v>
      </c>
      <c r="N132" s="47" t="s">
        <v>1797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15">
        <v>0</v>
      </c>
      <c r="B133" s="15">
        <v>1</v>
      </c>
      <c r="C133" s="15">
        <v>3</v>
      </c>
      <c r="D133" s="16" t="s">
        <v>1497</v>
      </c>
      <c r="E133" s="16" t="s">
        <v>171</v>
      </c>
      <c r="F133" s="16" t="s">
        <v>1498</v>
      </c>
      <c r="G133" s="16" t="s">
        <v>39</v>
      </c>
      <c r="H133" s="16" t="s">
        <v>363</v>
      </c>
      <c r="I133" s="15" t="s">
        <v>1499</v>
      </c>
      <c r="J133" s="15">
        <v>18</v>
      </c>
      <c r="K133" s="10" t="s">
        <v>951</v>
      </c>
      <c r="L133" s="10" t="s">
        <v>1737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1618</v>
      </c>
      <c r="E134" s="16" t="s">
        <v>171</v>
      </c>
      <c r="F134" s="16" t="s">
        <v>1621</v>
      </c>
      <c r="G134" s="16" t="s">
        <v>39</v>
      </c>
      <c r="H134" s="16" t="s">
        <v>1619</v>
      </c>
      <c r="I134" s="15" t="s">
        <v>1620</v>
      </c>
      <c r="J134" s="15">
        <v>15</v>
      </c>
      <c r="K134" s="10" t="s">
        <v>718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1239</v>
      </c>
      <c r="E135" s="32" t="s">
        <v>1241</v>
      </c>
      <c r="F135" s="32" t="s">
        <v>1242</v>
      </c>
      <c r="G135" s="32" t="s">
        <v>39</v>
      </c>
      <c r="H135" s="32" t="s">
        <v>367</v>
      </c>
      <c r="I135" s="31" t="s">
        <v>1240</v>
      </c>
      <c r="J135" s="31">
        <v>14</v>
      </c>
      <c r="K135" s="33" t="s">
        <v>953</v>
      </c>
      <c r="L135" s="33" t="s">
        <v>683</v>
      </c>
      <c r="M135" s="34" t="s">
        <v>1391</v>
      </c>
      <c r="N135" s="34" t="s">
        <v>1728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129</v>
      </c>
      <c r="E136" s="32" t="s">
        <v>175</v>
      </c>
      <c r="F136" s="32" t="s">
        <v>329</v>
      </c>
      <c r="G136" s="32" t="s">
        <v>181</v>
      </c>
      <c r="H136" s="32" t="s">
        <v>352</v>
      </c>
      <c r="I136" s="31" t="s">
        <v>476</v>
      </c>
      <c r="J136" s="31">
        <v>99</v>
      </c>
      <c r="K136" s="33" t="s">
        <v>952</v>
      </c>
      <c r="L136" s="33" t="s">
        <v>39</v>
      </c>
      <c r="M136" s="34" t="s">
        <v>39</v>
      </c>
      <c r="N136" s="34" t="s">
        <v>1728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917</v>
      </c>
      <c r="E137" s="32" t="s">
        <v>171</v>
      </c>
      <c r="F137" s="32" t="s">
        <v>929</v>
      </c>
      <c r="G137" s="32" t="s">
        <v>234</v>
      </c>
      <c r="H137" s="32" t="s">
        <v>352</v>
      </c>
      <c r="I137" s="31" t="s">
        <v>942</v>
      </c>
      <c r="J137" s="31">
        <v>99</v>
      </c>
      <c r="K137" s="33" t="s">
        <v>718</v>
      </c>
      <c r="L137" s="33">
        <v>45</v>
      </c>
      <c r="M137" s="34" t="s">
        <v>39</v>
      </c>
      <c r="N137" s="34" t="s">
        <v>1796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606</v>
      </c>
      <c r="F138" s="45" t="s">
        <v>306</v>
      </c>
      <c r="G138" s="45" t="s">
        <v>39</v>
      </c>
      <c r="H138" s="45" t="s">
        <v>360</v>
      </c>
      <c r="I138" s="44" t="s">
        <v>454</v>
      </c>
      <c r="J138" s="44">
        <v>12</v>
      </c>
      <c r="K138" s="46" t="s">
        <v>699</v>
      </c>
      <c r="L138" s="46">
        <v>40</v>
      </c>
      <c r="M138" s="47" t="s">
        <v>966</v>
      </c>
      <c r="N138" s="47" t="s">
        <v>1797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1577</v>
      </c>
      <c r="E139" s="16" t="s">
        <v>169</v>
      </c>
      <c r="F139" s="16" t="s">
        <v>1579</v>
      </c>
      <c r="G139" s="16"/>
      <c r="H139" s="16" t="s">
        <v>363</v>
      </c>
      <c r="I139" s="15" t="s">
        <v>1578</v>
      </c>
      <c r="J139" s="15">
        <v>18</v>
      </c>
      <c r="K139" s="10" t="s">
        <v>699</v>
      </c>
      <c r="L139" s="10" t="s">
        <v>684</v>
      </c>
      <c r="M139" s="19" t="s">
        <v>966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1282</v>
      </c>
      <c r="E140" s="32" t="s">
        <v>171</v>
      </c>
      <c r="F140" s="32" t="s">
        <v>1283</v>
      </c>
      <c r="G140" s="32" t="s">
        <v>237</v>
      </c>
      <c r="H140" s="32" t="s">
        <v>352</v>
      </c>
      <c r="I140" s="31" t="s">
        <v>1284</v>
      </c>
      <c r="J140" s="31">
        <v>4</v>
      </c>
      <c r="K140" s="33" t="s">
        <v>952</v>
      </c>
      <c r="L140" s="33" t="s">
        <v>39</v>
      </c>
      <c r="M140" s="34" t="s">
        <v>39</v>
      </c>
      <c r="N140" s="34" t="s">
        <v>1722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10" si="113">+O140*P140*(1-A140)</f>
        <v>1</v>
      </c>
      <c r="AG140" s="1">
        <f t="shared" ref="AG140:AG210" si="114">O140*(1-P140)*(1-A140)</f>
        <v>0</v>
      </c>
      <c r="AH140" s="1">
        <f t="shared" ref="AH140:AH210" si="115">+P140*(1-A140)</f>
        <v>1</v>
      </c>
      <c r="AI140" s="1">
        <f t="shared" ref="AI140:AI210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644</v>
      </c>
      <c r="E141" s="32" t="s">
        <v>171</v>
      </c>
      <c r="F141" s="32" t="s">
        <v>653</v>
      </c>
      <c r="G141" s="32" t="s">
        <v>231</v>
      </c>
      <c r="H141" s="32" t="s">
        <v>352</v>
      </c>
      <c r="I141" s="31" t="s">
        <v>608</v>
      </c>
      <c r="J141" s="31">
        <v>99</v>
      </c>
      <c r="K141" s="33" t="s">
        <v>698</v>
      </c>
      <c r="L141" s="33" t="s">
        <v>39</v>
      </c>
      <c r="M141" s="34" t="s">
        <v>39</v>
      </c>
      <c r="N141" s="34" t="s">
        <v>1728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869</v>
      </c>
      <c r="E142" s="39" t="s">
        <v>870</v>
      </c>
      <c r="F142" s="39" t="s">
        <v>871</v>
      </c>
      <c r="G142" s="39" t="s">
        <v>39</v>
      </c>
      <c r="H142" s="39" t="s">
        <v>364</v>
      </c>
      <c r="I142" s="38" t="s">
        <v>872</v>
      </c>
      <c r="J142" s="38">
        <v>18</v>
      </c>
      <c r="K142" s="40" t="s">
        <v>951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1302</v>
      </c>
      <c r="E143" s="32" t="s">
        <v>171</v>
      </c>
      <c r="F143" s="32" t="s">
        <v>1303</v>
      </c>
      <c r="G143" s="32" t="s">
        <v>207</v>
      </c>
      <c r="H143" s="32" t="s">
        <v>352</v>
      </c>
      <c r="I143" s="31" t="s">
        <v>1304</v>
      </c>
      <c r="J143" s="31">
        <v>3</v>
      </c>
      <c r="K143" s="33" t="s">
        <v>951</v>
      </c>
      <c r="L143" s="33" t="s">
        <v>39</v>
      </c>
      <c r="M143" s="34" t="s">
        <v>39</v>
      </c>
      <c r="N143" s="34" t="s">
        <v>1728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2" t="s">
        <v>863</v>
      </c>
      <c r="E144" s="32" t="s">
        <v>169</v>
      </c>
      <c r="F144" s="32" t="s">
        <v>864</v>
      </c>
      <c r="G144" s="32" t="s">
        <v>39</v>
      </c>
      <c r="H144" s="32" t="s">
        <v>865</v>
      </c>
      <c r="I144" s="31" t="s">
        <v>943</v>
      </c>
      <c r="J144" s="31">
        <v>11</v>
      </c>
      <c r="K144" s="33" t="s">
        <v>698</v>
      </c>
      <c r="L144" s="33" t="s">
        <v>685</v>
      </c>
      <c r="M144" s="34" t="s">
        <v>966</v>
      </c>
      <c r="N144" s="34" t="s">
        <v>1750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502</v>
      </c>
      <c r="E145" s="36" t="s">
        <v>169</v>
      </c>
      <c r="F145" s="36" t="s">
        <v>503</v>
      </c>
      <c r="G145" s="36" t="s">
        <v>500</v>
      </c>
      <c r="H145" s="36" t="s">
        <v>352</v>
      </c>
      <c r="I145" s="37" t="s">
        <v>504</v>
      </c>
      <c r="J145" s="31">
        <v>99</v>
      </c>
      <c r="K145" s="33" t="s">
        <v>699</v>
      </c>
      <c r="L145" s="33">
        <v>40</v>
      </c>
      <c r="M145" s="34" t="s">
        <v>966</v>
      </c>
      <c r="N145" s="34" t="s">
        <v>1941</v>
      </c>
      <c r="O145" s="35">
        <v>1</v>
      </c>
      <c r="P145" s="35"/>
      <c r="Q145" s="36"/>
      <c r="S145" s="1">
        <f t="shared" ref="S145:S215" si="117">IF(J145=$S$7,1,0)</f>
        <v>0</v>
      </c>
      <c r="T145" s="1">
        <f t="shared" ref="T145:T215" si="118">IF(J145=$T$7,1,0)</f>
        <v>0</v>
      </c>
      <c r="U145" s="1">
        <f t="shared" ref="U145:U215" si="119">IF(J145=$U$7,1,0)</f>
        <v>0</v>
      </c>
      <c r="V145" s="1">
        <f t="shared" ref="V145:V215" si="120">IF(J145=$V$7,1,0)</f>
        <v>0</v>
      </c>
      <c r="W145" s="1">
        <f t="shared" ref="W145:W215" si="121">IF(J145=$W$7,1,0)</f>
        <v>0</v>
      </c>
      <c r="X145" s="1">
        <f t="shared" ref="X145:X215" si="122">IF(J145=$X$7,1,0)</f>
        <v>0</v>
      </c>
      <c r="Y145" s="1">
        <f t="shared" ref="Y145:Y215" si="123">IF(J145=$Y$7,1,0)</f>
        <v>0</v>
      </c>
      <c r="Z145" s="1">
        <f t="shared" ref="Z145:Z215" si="124">IF(J145=$Z$7,1,0)</f>
        <v>0</v>
      </c>
      <c r="AA145" s="1">
        <f t="shared" ref="AA145:AA215" si="125">IF(J145=$AA$7,1,0)</f>
        <v>0</v>
      </c>
      <c r="AB145" s="1">
        <f t="shared" ref="AB145:AB215" si="126">IF(J145=$AB$7,1,0)</f>
        <v>0</v>
      </c>
      <c r="AD145" s="1">
        <f t="shared" ref="AD145:AD215" si="127">+O145*P145</f>
        <v>0</v>
      </c>
      <c r="AE145" s="1">
        <f t="shared" ref="AE145:AE215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1787</v>
      </c>
      <c r="E146" s="36" t="s">
        <v>1788</v>
      </c>
      <c r="F146" s="36" t="s">
        <v>1789</v>
      </c>
      <c r="G146" s="36" t="s">
        <v>1790</v>
      </c>
      <c r="H146" s="36" t="s">
        <v>352</v>
      </c>
      <c r="I146" s="37" t="s">
        <v>1791</v>
      </c>
      <c r="J146" s="31">
        <v>99</v>
      </c>
      <c r="K146" s="33" t="s">
        <v>699</v>
      </c>
      <c r="L146" s="33"/>
      <c r="M146" s="34"/>
      <c r="N146" s="34" t="s">
        <v>1728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525</v>
      </c>
      <c r="E147" s="32" t="s">
        <v>169</v>
      </c>
      <c r="F147" s="32" t="s">
        <v>654</v>
      </c>
      <c r="G147" s="32" t="s">
        <v>39</v>
      </c>
      <c r="H147" s="32" t="s">
        <v>526</v>
      </c>
      <c r="I147" s="31" t="s">
        <v>527</v>
      </c>
      <c r="J147" s="31">
        <v>18</v>
      </c>
      <c r="K147" s="33" t="s">
        <v>951</v>
      </c>
      <c r="L147" s="33" t="s">
        <v>1737</v>
      </c>
      <c r="M147" s="34" t="s">
        <v>965</v>
      </c>
      <c r="N147" s="34" t="s">
        <v>1728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31">
        <v>0</v>
      </c>
      <c r="B148" s="31">
        <v>1</v>
      </c>
      <c r="C148" s="31">
        <v>3</v>
      </c>
      <c r="D148" s="32" t="s">
        <v>970</v>
      </c>
      <c r="E148" s="32" t="s">
        <v>174</v>
      </c>
      <c r="F148" s="32" t="s">
        <v>801</v>
      </c>
      <c r="G148" s="32" t="s">
        <v>39</v>
      </c>
      <c r="H148" s="32" t="s">
        <v>802</v>
      </c>
      <c r="I148" s="31" t="s">
        <v>803</v>
      </c>
      <c r="J148" s="31">
        <v>16</v>
      </c>
      <c r="K148" s="33" t="s">
        <v>952</v>
      </c>
      <c r="L148" s="33" t="s">
        <v>1136</v>
      </c>
      <c r="M148" s="34" t="s">
        <v>965</v>
      </c>
      <c r="N148" s="34" t="s">
        <v>1743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1193</v>
      </c>
      <c r="E149" s="32" t="s">
        <v>171</v>
      </c>
      <c r="F149" s="32" t="s">
        <v>1194</v>
      </c>
      <c r="G149" s="32" t="s">
        <v>237</v>
      </c>
      <c r="H149" s="32" t="s">
        <v>352</v>
      </c>
      <c r="I149" s="31" t="s">
        <v>1195</v>
      </c>
      <c r="J149" s="31">
        <v>4</v>
      </c>
      <c r="K149" s="33" t="s">
        <v>958</v>
      </c>
      <c r="L149" s="33" t="s">
        <v>1694</v>
      </c>
      <c r="M149" s="34" t="s">
        <v>1599</v>
      </c>
      <c r="N149" s="34" t="s">
        <v>1722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1636</v>
      </c>
      <c r="E150" s="32" t="s">
        <v>169</v>
      </c>
      <c r="F150" s="32" t="s">
        <v>1471</v>
      </c>
      <c r="G150" s="32" t="s">
        <v>1664</v>
      </c>
      <c r="H150" s="32" t="s">
        <v>352</v>
      </c>
      <c r="I150" s="31" t="s">
        <v>1470</v>
      </c>
      <c r="J150" s="31">
        <v>99</v>
      </c>
      <c r="K150" s="33" t="s">
        <v>698</v>
      </c>
      <c r="L150" s="33" t="s">
        <v>1699</v>
      </c>
      <c r="M150" s="34" t="s">
        <v>1472</v>
      </c>
      <c r="N150" s="34" t="s">
        <v>1744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2074</v>
      </c>
      <c r="E151" s="36" t="s">
        <v>171</v>
      </c>
      <c r="F151" s="36" t="s">
        <v>2075</v>
      </c>
      <c r="G151" s="32"/>
      <c r="H151" s="36" t="s">
        <v>607</v>
      </c>
      <c r="I151" s="37" t="s">
        <v>2076</v>
      </c>
      <c r="J151" s="31">
        <v>14</v>
      </c>
      <c r="K151" s="33" t="s">
        <v>699</v>
      </c>
      <c r="L151" s="33"/>
      <c r="M151" s="34"/>
      <c r="N151" s="34" t="s">
        <v>1728</v>
      </c>
      <c r="O151" s="35">
        <v>1</v>
      </c>
      <c r="P151" s="35">
        <v>1</v>
      </c>
      <c r="Q151" s="32" t="s">
        <v>2077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1943</v>
      </c>
      <c r="E152" s="20" t="s">
        <v>171</v>
      </c>
      <c r="F152" s="20" t="s">
        <v>1959</v>
      </c>
      <c r="G152" s="20"/>
      <c r="H152" s="20" t="s">
        <v>1958</v>
      </c>
      <c r="I152" s="21" t="s">
        <v>1957</v>
      </c>
      <c r="J152" s="15">
        <v>14</v>
      </c>
      <c r="K152" s="10" t="s">
        <v>699</v>
      </c>
      <c r="L152" s="10" t="s">
        <v>693</v>
      </c>
      <c r="M152" s="19" t="s">
        <v>966</v>
      </c>
      <c r="N152" s="17"/>
      <c r="Q152" s="20" t="s">
        <v>1960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144</v>
      </c>
      <c r="E153" s="32" t="s">
        <v>171</v>
      </c>
      <c r="F153" s="32" t="s">
        <v>345</v>
      </c>
      <c r="G153" s="32" t="s">
        <v>39</v>
      </c>
      <c r="H153" s="32" t="s">
        <v>376</v>
      </c>
      <c r="I153" s="31" t="s">
        <v>1357</v>
      </c>
      <c r="J153" s="31">
        <v>14</v>
      </c>
      <c r="K153" s="33" t="s">
        <v>951</v>
      </c>
      <c r="L153" s="33" t="s">
        <v>685</v>
      </c>
      <c r="M153" s="34" t="s">
        <v>687</v>
      </c>
      <c r="N153" s="34" t="s">
        <v>1743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1562</v>
      </c>
      <c r="E154" s="32" t="s">
        <v>171</v>
      </c>
      <c r="F154" s="32" t="s">
        <v>1563</v>
      </c>
      <c r="G154" s="32" t="s">
        <v>39</v>
      </c>
      <c r="H154" s="32" t="s">
        <v>1564</v>
      </c>
      <c r="I154" s="31" t="s">
        <v>1565</v>
      </c>
      <c r="J154" s="31">
        <v>17</v>
      </c>
      <c r="K154" s="33" t="s">
        <v>718</v>
      </c>
      <c r="L154" s="33" t="s">
        <v>39</v>
      </c>
      <c r="M154" s="34" t="s">
        <v>39</v>
      </c>
      <c r="N154" s="34" t="s">
        <v>1728</v>
      </c>
      <c r="O154" s="35">
        <v>1</v>
      </c>
      <c r="P154" s="35">
        <v>1</v>
      </c>
      <c r="Q154" s="32" t="s">
        <v>1908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152</v>
      </c>
      <c r="E155" s="32" t="s">
        <v>171</v>
      </c>
      <c r="F155" s="32" t="s">
        <v>351</v>
      </c>
      <c r="G155" s="32" t="s">
        <v>39</v>
      </c>
      <c r="H155" s="32" t="s">
        <v>1864</v>
      </c>
      <c r="I155" s="31" t="s">
        <v>497</v>
      </c>
      <c r="J155" s="31">
        <v>14</v>
      </c>
      <c r="K155" s="33" t="s">
        <v>698</v>
      </c>
      <c r="L155" s="33" t="s">
        <v>685</v>
      </c>
      <c r="M155" s="34" t="s">
        <v>965</v>
      </c>
      <c r="N155" s="34" t="s">
        <v>1743</v>
      </c>
      <c r="O155" s="35">
        <v>1</v>
      </c>
      <c r="P155" s="35"/>
      <c r="Q155" s="32" t="s">
        <v>1891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735</v>
      </c>
      <c r="E156" s="16" t="s">
        <v>171</v>
      </c>
      <c r="F156" s="16" t="s">
        <v>736</v>
      </c>
      <c r="G156" s="16" t="s">
        <v>39</v>
      </c>
      <c r="H156" s="16" t="s">
        <v>737</v>
      </c>
      <c r="I156" s="15" t="s">
        <v>738</v>
      </c>
      <c r="J156" s="15">
        <v>17</v>
      </c>
      <c r="K156" s="10" t="s">
        <v>718</v>
      </c>
      <c r="L156" s="10" t="s">
        <v>693</v>
      </c>
      <c r="M156" s="19" t="s">
        <v>687</v>
      </c>
      <c r="N156" s="17"/>
      <c r="Q156" s="16" t="s">
        <v>1882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900</v>
      </c>
      <c r="E157" s="45" t="s">
        <v>171</v>
      </c>
      <c r="F157" s="45" t="s">
        <v>1091</v>
      </c>
      <c r="G157" s="45" t="s">
        <v>39</v>
      </c>
      <c r="H157" s="45" t="s">
        <v>902</v>
      </c>
      <c r="I157" s="44" t="s">
        <v>901</v>
      </c>
      <c r="J157" s="44">
        <v>11</v>
      </c>
      <c r="K157" s="46" t="s">
        <v>952</v>
      </c>
      <c r="L157" s="46">
        <v>60</v>
      </c>
      <c r="M157" s="47" t="s">
        <v>39</v>
      </c>
      <c r="N157" s="47" t="s">
        <v>1734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122</v>
      </c>
      <c r="E158" s="32" t="s">
        <v>174</v>
      </c>
      <c r="F158" s="32" t="s">
        <v>322</v>
      </c>
      <c r="G158" s="32" t="s">
        <v>39</v>
      </c>
      <c r="H158" s="32" t="s">
        <v>361</v>
      </c>
      <c r="I158" s="31" t="s">
        <v>467</v>
      </c>
      <c r="J158" s="31">
        <v>14</v>
      </c>
      <c r="K158" s="33" t="s">
        <v>718</v>
      </c>
      <c r="L158" s="33" t="s">
        <v>689</v>
      </c>
      <c r="M158" s="34" t="s">
        <v>1374</v>
      </c>
      <c r="N158" s="34" t="s">
        <v>1844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1164</v>
      </c>
      <c r="E159" s="32" t="s">
        <v>171</v>
      </c>
      <c r="F159" s="32" t="s">
        <v>1166</v>
      </c>
      <c r="G159" s="32" t="s">
        <v>763</v>
      </c>
      <c r="H159" s="32" t="s">
        <v>352</v>
      </c>
      <c r="I159" s="31" t="s">
        <v>1165</v>
      </c>
      <c r="J159" s="31">
        <v>99</v>
      </c>
      <c r="K159" s="33" t="s">
        <v>699</v>
      </c>
      <c r="L159" s="33">
        <v>30</v>
      </c>
      <c r="M159" s="34" t="s">
        <v>965</v>
      </c>
      <c r="N159" s="34" t="s">
        <v>1820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2036</v>
      </c>
      <c r="E160" s="32" t="s">
        <v>171</v>
      </c>
      <c r="F160" s="32" t="s">
        <v>2037</v>
      </c>
      <c r="G160" s="32"/>
      <c r="H160" s="32" t="s">
        <v>352</v>
      </c>
      <c r="I160" s="31" t="s">
        <v>2038</v>
      </c>
      <c r="J160" s="31">
        <v>18</v>
      </c>
      <c r="K160" s="33" t="s">
        <v>699</v>
      </c>
      <c r="L160" s="33"/>
      <c r="M160" s="34"/>
      <c r="N160" s="34" t="s">
        <v>1728</v>
      </c>
      <c r="O160" s="35">
        <v>1</v>
      </c>
      <c r="P160" s="35">
        <v>1</v>
      </c>
      <c r="Q160" s="36" t="s">
        <v>2039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739</v>
      </c>
      <c r="E161" s="16" t="s">
        <v>169</v>
      </c>
      <c r="F161" s="16" t="s">
        <v>740</v>
      </c>
      <c r="G161" s="16" t="s">
        <v>39</v>
      </c>
      <c r="H161" s="16" t="s">
        <v>741</v>
      </c>
      <c r="I161" s="15" t="s">
        <v>742</v>
      </c>
      <c r="J161" s="15">
        <v>17</v>
      </c>
      <c r="K161" s="10" t="s">
        <v>699</v>
      </c>
      <c r="L161" s="10" t="s">
        <v>693</v>
      </c>
      <c r="M161" s="19" t="s">
        <v>966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1942</v>
      </c>
      <c r="E162" s="20" t="s">
        <v>171</v>
      </c>
      <c r="F162" s="20" t="s">
        <v>1953</v>
      </c>
      <c r="G162" s="20"/>
      <c r="H162" s="20" t="s">
        <v>1954</v>
      </c>
      <c r="I162" s="21" t="s">
        <v>1955</v>
      </c>
      <c r="J162" s="15">
        <v>16</v>
      </c>
      <c r="K162" s="10" t="s">
        <v>699</v>
      </c>
      <c r="L162" s="10" t="s">
        <v>693</v>
      </c>
      <c r="M162" s="19" t="s">
        <v>966</v>
      </c>
      <c r="N162" s="17"/>
      <c r="Q162" s="20" t="s">
        <v>1952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830</v>
      </c>
      <c r="E163" s="45" t="s">
        <v>910</v>
      </c>
      <c r="F163" s="45" t="s">
        <v>831</v>
      </c>
      <c r="G163" s="45" t="s">
        <v>207</v>
      </c>
      <c r="H163" s="45" t="s">
        <v>352</v>
      </c>
      <c r="I163" s="44" t="s">
        <v>832</v>
      </c>
      <c r="J163" s="44">
        <v>3</v>
      </c>
      <c r="K163" s="46" t="s">
        <v>718</v>
      </c>
      <c r="L163" s="46" t="s">
        <v>689</v>
      </c>
      <c r="M163" s="47" t="s">
        <v>694</v>
      </c>
      <c r="N163" s="47" t="s">
        <v>1735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1948</v>
      </c>
      <c r="E164" s="20" t="s">
        <v>171</v>
      </c>
      <c r="F164" s="20" t="s">
        <v>1950</v>
      </c>
      <c r="G164" s="20"/>
      <c r="H164" s="20" t="s">
        <v>1951</v>
      </c>
      <c r="I164" s="21" t="s">
        <v>1949</v>
      </c>
      <c r="J164" s="15">
        <v>16</v>
      </c>
      <c r="K164" s="10" t="s">
        <v>699</v>
      </c>
      <c r="L164" s="10" t="s">
        <v>693</v>
      </c>
      <c r="M164" s="19" t="s">
        <v>966</v>
      </c>
      <c r="N164" s="17"/>
      <c r="Q164" s="20" t="s">
        <v>1956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1204</v>
      </c>
      <c r="E165" s="32" t="s">
        <v>171</v>
      </c>
      <c r="F165" s="32" t="s">
        <v>1206</v>
      </c>
      <c r="G165" s="32" t="s">
        <v>184</v>
      </c>
      <c r="H165" s="32" t="s">
        <v>352</v>
      </c>
      <c r="I165" s="31" t="s">
        <v>1205</v>
      </c>
      <c r="J165" s="31">
        <v>99</v>
      </c>
      <c r="K165" s="33" t="s">
        <v>953</v>
      </c>
      <c r="L165" s="33" t="s">
        <v>685</v>
      </c>
      <c r="M165" s="34" t="s">
        <v>966</v>
      </c>
      <c r="N165" s="34" t="s">
        <v>1744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628</v>
      </c>
      <c r="E166" s="32" t="s">
        <v>169</v>
      </c>
      <c r="F166" s="32" t="s">
        <v>629</v>
      </c>
      <c r="G166" s="32" t="s">
        <v>193</v>
      </c>
      <c r="H166" s="32" t="s">
        <v>352</v>
      </c>
      <c r="I166" s="31" t="s">
        <v>630</v>
      </c>
      <c r="J166" s="31">
        <v>9</v>
      </c>
      <c r="K166" s="33" t="s">
        <v>952</v>
      </c>
      <c r="L166" s="33" t="s">
        <v>1694</v>
      </c>
      <c r="M166" s="34" t="s">
        <v>965</v>
      </c>
      <c r="N166" s="34" t="s">
        <v>1722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3">
      <c r="A167" s="44">
        <v>0</v>
      </c>
      <c r="B167" s="44">
        <v>1</v>
      </c>
      <c r="C167" s="44">
        <v>3</v>
      </c>
      <c r="D167" s="45" t="s">
        <v>131</v>
      </c>
      <c r="E167" s="45" t="s">
        <v>679</v>
      </c>
      <c r="F167" s="45" t="s">
        <v>332</v>
      </c>
      <c r="G167" s="45" t="s">
        <v>39</v>
      </c>
      <c r="H167" s="45" t="s">
        <v>360</v>
      </c>
      <c r="I167" s="44" t="s">
        <v>478</v>
      </c>
      <c r="J167" s="44">
        <v>12</v>
      </c>
      <c r="K167" s="46" t="s">
        <v>718</v>
      </c>
      <c r="L167" s="46">
        <v>35</v>
      </c>
      <c r="M167" s="47" t="s">
        <v>39</v>
      </c>
      <c r="N167" s="47" t="s">
        <v>1797</v>
      </c>
      <c r="O167" s="48"/>
      <c r="P167" s="48"/>
      <c r="Q167" s="45"/>
      <c r="S167" s="1">
        <f t="shared" ref="S167:S171" si="145">IF(J167=$S$7,1,0)</f>
        <v>0</v>
      </c>
      <c r="T167" s="1">
        <f t="shared" ref="T167:T171" si="146">IF(J167=$T$7,1,0)</f>
        <v>0</v>
      </c>
      <c r="U167" s="1">
        <f t="shared" ref="U167:U171" si="147">IF(J167=$U$7,1,0)</f>
        <v>0</v>
      </c>
      <c r="V167" s="1">
        <f t="shared" ref="V167:V171" si="148">IF(J167=$V$7,1,0)</f>
        <v>0</v>
      </c>
      <c r="W167" s="1">
        <f t="shared" ref="W167:W171" si="149">IF(J167=$W$7,1,0)</f>
        <v>0</v>
      </c>
      <c r="X167" s="1">
        <f t="shared" ref="X167:X171" si="150">IF(J167=$X$7,1,0)</f>
        <v>0</v>
      </c>
      <c r="Y167" s="1">
        <f t="shared" ref="Y167:Y171" si="151">IF(J167=$Y$7,1,0)</f>
        <v>0</v>
      </c>
      <c r="Z167" s="1">
        <f t="shared" ref="Z167:Z171" si="152">IF(J167=$Z$7,1,0)</f>
        <v>0</v>
      </c>
      <c r="AA167" s="1">
        <f t="shared" ref="AA167:AA171" si="153">IF(J167=$AA$7,1,0)</f>
        <v>0</v>
      </c>
      <c r="AB167" s="1">
        <f t="shared" ref="AB167:AB171" si="154">IF(J167=$AB$7,1,0)</f>
        <v>0</v>
      </c>
      <c r="AD167" s="1">
        <f t="shared" ref="AD167:AD171" si="155">+O167*P167</f>
        <v>0</v>
      </c>
      <c r="AE167" s="1">
        <f t="shared" ref="AE167:AE171" si="156">O167*(1-P167)</f>
        <v>0</v>
      </c>
      <c r="AF167" s="1">
        <f t="shared" ref="AF167:AF171" si="157">+O167*P167*(1-A167)</f>
        <v>0</v>
      </c>
      <c r="AG167" s="1">
        <f t="shared" ref="AG167:AG171" si="158">O167*(1-P167)*(1-A167)</f>
        <v>0</v>
      </c>
      <c r="AH167" s="1">
        <f t="shared" ref="AH167:AH171" si="159">+P167*(1-A167)</f>
        <v>0</v>
      </c>
      <c r="AI167" s="1">
        <f t="shared" ref="AI167:AI171" si="160">+(1-A167)*(1-P167)</f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2082</v>
      </c>
      <c r="E168" s="16" t="s">
        <v>171</v>
      </c>
      <c r="F168" s="16" t="s">
        <v>2083</v>
      </c>
      <c r="G168" s="16" t="s">
        <v>206</v>
      </c>
      <c r="H168" s="16" t="s">
        <v>352</v>
      </c>
      <c r="I168" s="15" t="s">
        <v>2084</v>
      </c>
      <c r="J168" s="15">
        <v>99</v>
      </c>
      <c r="K168" s="10" t="s">
        <v>699</v>
      </c>
      <c r="L168" s="10">
        <v>30</v>
      </c>
      <c r="M168" s="19" t="s">
        <v>965</v>
      </c>
      <c r="N168" s="19"/>
      <c r="Q168" s="16" t="s">
        <v>2085</v>
      </c>
      <c r="S168" s="1">
        <f t="shared" si="145"/>
        <v>0</v>
      </c>
      <c r="T168" s="1">
        <f t="shared" si="146"/>
        <v>0</v>
      </c>
      <c r="U168" s="1">
        <f t="shared" si="147"/>
        <v>0</v>
      </c>
      <c r="V168" s="1">
        <f t="shared" si="148"/>
        <v>0</v>
      </c>
      <c r="W168" s="1">
        <f t="shared" si="149"/>
        <v>0</v>
      </c>
      <c r="X168" s="1">
        <f t="shared" si="150"/>
        <v>0</v>
      </c>
      <c r="Y168" s="1">
        <f t="shared" si="151"/>
        <v>0</v>
      </c>
      <c r="Z168" s="1">
        <f t="shared" si="152"/>
        <v>0</v>
      </c>
      <c r="AA168" s="1">
        <f t="shared" si="153"/>
        <v>0</v>
      </c>
      <c r="AB168" s="1">
        <f t="shared" si="154"/>
        <v>0</v>
      </c>
      <c r="AD168" s="1">
        <f t="shared" si="155"/>
        <v>0</v>
      </c>
      <c r="AE168" s="1">
        <f t="shared" si="156"/>
        <v>0</v>
      </c>
      <c r="AF168" s="1">
        <f t="shared" si="157"/>
        <v>0</v>
      </c>
      <c r="AG168" s="1">
        <f t="shared" si="158"/>
        <v>0</v>
      </c>
      <c r="AH168" s="1">
        <f t="shared" si="159"/>
        <v>0</v>
      </c>
      <c r="AI168" s="1">
        <f t="shared" si="160"/>
        <v>1</v>
      </c>
    </row>
    <row r="169" spans="1:35" ht="14.25" customHeight="1" x14ac:dyDescent="0.3">
      <c r="A169" s="15">
        <v>0</v>
      </c>
      <c r="B169" s="15">
        <v>1</v>
      </c>
      <c r="C169" s="15">
        <v>3</v>
      </c>
      <c r="D169" s="16" t="s">
        <v>822</v>
      </c>
      <c r="E169" s="16" t="s">
        <v>171</v>
      </c>
      <c r="F169" s="16" t="s">
        <v>823</v>
      </c>
      <c r="G169" s="16" t="s">
        <v>39</v>
      </c>
      <c r="H169" s="16" t="s">
        <v>373</v>
      </c>
      <c r="I169" s="15" t="s">
        <v>821</v>
      </c>
      <c r="J169" s="15">
        <v>12</v>
      </c>
      <c r="K169" s="10" t="s">
        <v>699</v>
      </c>
      <c r="L169" s="10">
        <v>40</v>
      </c>
      <c r="M169" s="19" t="s">
        <v>965</v>
      </c>
      <c r="N169" s="19"/>
      <c r="Q169" s="16"/>
      <c r="S169" s="1">
        <f t="shared" si="145"/>
        <v>0</v>
      </c>
      <c r="T169" s="1">
        <f t="shared" si="146"/>
        <v>0</v>
      </c>
      <c r="U169" s="1">
        <f t="shared" si="147"/>
        <v>0</v>
      </c>
      <c r="V169" s="1">
        <f t="shared" si="148"/>
        <v>0</v>
      </c>
      <c r="W169" s="1">
        <f t="shared" si="149"/>
        <v>0</v>
      </c>
      <c r="X169" s="1">
        <f t="shared" si="150"/>
        <v>0</v>
      </c>
      <c r="Y169" s="1">
        <f t="shared" si="151"/>
        <v>0</v>
      </c>
      <c r="Z169" s="1">
        <f t="shared" si="152"/>
        <v>0</v>
      </c>
      <c r="AA169" s="1">
        <f t="shared" si="153"/>
        <v>0</v>
      </c>
      <c r="AB169" s="1">
        <f t="shared" si="154"/>
        <v>0</v>
      </c>
      <c r="AD169" s="1">
        <f t="shared" si="155"/>
        <v>0</v>
      </c>
      <c r="AE169" s="1">
        <f t="shared" si="156"/>
        <v>0</v>
      </c>
      <c r="AF169" s="1">
        <f t="shared" si="157"/>
        <v>0</v>
      </c>
      <c r="AG169" s="1">
        <f t="shared" si="158"/>
        <v>0</v>
      </c>
      <c r="AH169" s="1">
        <f t="shared" si="159"/>
        <v>0</v>
      </c>
      <c r="AI169" s="1">
        <f t="shared" si="160"/>
        <v>1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2" t="s">
        <v>141</v>
      </c>
      <c r="E170" s="32" t="s">
        <v>171</v>
      </c>
      <c r="F170" s="32" t="s">
        <v>341</v>
      </c>
      <c r="G170" s="32" t="s">
        <v>39</v>
      </c>
      <c r="H170" s="32" t="s">
        <v>375</v>
      </c>
      <c r="I170" s="31" t="s">
        <v>487</v>
      </c>
      <c r="J170" s="31">
        <v>15</v>
      </c>
      <c r="K170" s="33" t="s">
        <v>698</v>
      </c>
      <c r="L170" s="33" t="s">
        <v>688</v>
      </c>
      <c r="M170" s="34" t="s">
        <v>687</v>
      </c>
      <c r="N170" s="34" t="s">
        <v>1728</v>
      </c>
      <c r="O170" s="35">
        <v>1</v>
      </c>
      <c r="P170" s="35">
        <v>1</v>
      </c>
      <c r="Q170" s="36" t="s">
        <v>1886</v>
      </c>
      <c r="S170" s="1">
        <f t="shared" si="145"/>
        <v>0</v>
      </c>
      <c r="T170" s="1">
        <f t="shared" si="146"/>
        <v>0</v>
      </c>
      <c r="U170" s="1">
        <f t="shared" si="147"/>
        <v>0</v>
      </c>
      <c r="V170" s="1">
        <f t="shared" si="148"/>
        <v>0</v>
      </c>
      <c r="W170" s="1">
        <f t="shared" si="149"/>
        <v>0</v>
      </c>
      <c r="X170" s="1">
        <f t="shared" si="150"/>
        <v>0</v>
      </c>
      <c r="Y170" s="1">
        <f t="shared" si="151"/>
        <v>0</v>
      </c>
      <c r="Z170" s="1">
        <f t="shared" si="152"/>
        <v>0</v>
      </c>
      <c r="AA170" s="1">
        <f t="shared" si="153"/>
        <v>0</v>
      </c>
      <c r="AB170" s="1">
        <f t="shared" si="154"/>
        <v>0</v>
      </c>
      <c r="AD170" s="1">
        <f t="shared" si="155"/>
        <v>1</v>
      </c>
      <c r="AE170" s="1">
        <f t="shared" si="156"/>
        <v>0</v>
      </c>
      <c r="AF170" s="1">
        <f t="shared" si="157"/>
        <v>1</v>
      </c>
      <c r="AG170" s="1">
        <f t="shared" si="158"/>
        <v>0</v>
      </c>
      <c r="AH170" s="1">
        <f t="shared" si="159"/>
        <v>1</v>
      </c>
      <c r="AI170" s="1">
        <f t="shared" si="160"/>
        <v>0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2" t="s">
        <v>743</v>
      </c>
      <c r="E171" s="32" t="s">
        <v>606</v>
      </c>
      <c r="F171" s="32" t="s">
        <v>744</v>
      </c>
      <c r="G171" s="32" t="s">
        <v>39</v>
      </c>
      <c r="H171" s="32" t="s">
        <v>745</v>
      </c>
      <c r="I171" s="31" t="s">
        <v>746</v>
      </c>
      <c r="J171" s="31">
        <v>18</v>
      </c>
      <c r="K171" s="33" t="s">
        <v>699</v>
      </c>
      <c r="L171" s="33" t="s">
        <v>693</v>
      </c>
      <c r="M171" s="34" t="s">
        <v>687</v>
      </c>
      <c r="N171" s="34" t="s">
        <v>1844</v>
      </c>
      <c r="O171" s="35">
        <v>1</v>
      </c>
      <c r="P171" s="35"/>
      <c r="Q171" s="36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0</v>
      </c>
      <c r="AE171" s="1">
        <f t="shared" si="156"/>
        <v>1</v>
      </c>
      <c r="AF171" s="1">
        <f t="shared" si="157"/>
        <v>0</v>
      </c>
      <c r="AG171" s="1">
        <f t="shared" si="158"/>
        <v>1</v>
      </c>
      <c r="AH171" s="1">
        <f t="shared" si="159"/>
        <v>0</v>
      </c>
      <c r="AI171" s="1">
        <f t="shared" si="160"/>
        <v>1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6" t="s">
        <v>1836</v>
      </c>
      <c r="E172" s="32" t="s">
        <v>1082</v>
      </c>
      <c r="F172" s="32" t="s">
        <v>1821</v>
      </c>
      <c r="G172" s="32"/>
      <c r="H172" s="32" t="s">
        <v>370</v>
      </c>
      <c r="I172" s="31" t="s">
        <v>1822</v>
      </c>
      <c r="J172" s="31">
        <v>16</v>
      </c>
      <c r="K172" s="33" t="s">
        <v>699</v>
      </c>
      <c r="L172" s="33"/>
      <c r="M172" s="34"/>
      <c r="N172" s="34" t="s">
        <v>1722</v>
      </c>
      <c r="O172" s="35">
        <v>1</v>
      </c>
      <c r="P172" s="35">
        <v>1</v>
      </c>
      <c r="Q172" s="32"/>
      <c r="S172" s="1">
        <f t="shared" ref="S172:S173" si="161">IF(J172=$S$7,1,0)</f>
        <v>0</v>
      </c>
      <c r="T172" s="1">
        <f t="shared" ref="T172:T173" si="162">IF(J172=$T$7,1,0)</f>
        <v>0</v>
      </c>
      <c r="U172" s="1">
        <f t="shared" ref="U172:U173" si="163">IF(J172=$U$7,1,0)</f>
        <v>0</v>
      </c>
      <c r="V172" s="1">
        <f t="shared" ref="V172:V173" si="164">IF(J172=$V$7,1,0)</f>
        <v>0</v>
      </c>
      <c r="W172" s="1">
        <f t="shared" ref="W172:W173" si="165">IF(J172=$W$7,1,0)</f>
        <v>0</v>
      </c>
      <c r="X172" s="1">
        <f t="shared" ref="X172:X173" si="166">IF(J172=$X$7,1,0)</f>
        <v>0</v>
      </c>
      <c r="Y172" s="1">
        <f t="shared" ref="Y172:Y173" si="167">IF(J172=$Y$7,1,0)</f>
        <v>0</v>
      </c>
      <c r="Z172" s="1">
        <f t="shared" ref="Z172:Z173" si="168">IF(J172=$Z$7,1,0)</f>
        <v>0</v>
      </c>
      <c r="AA172" s="1">
        <f t="shared" ref="AA172:AA173" si="169">IF(J172=$AA$7,1,0)</f>
        <v>0</v>
      </c>
      <c r="AB172" s="1">
        <f t="shared" ref="AB172:AB173" si="170">IF(J172=$AB$7,1,0)</f>
        <v>0</v>
      </c>
      <c r="AD172" s="1">
        <f t="shared" ref="AD172:AD173" si="171">+O172*P172</f>
        <v>1</v>
      </c>
      <c r="AE172" s="1">
        <f t="shared" ref="AE172:AE173" si="172">O172*(1-P172)</f>
        <v>0</v>
      </c>
      <c r="AF172" s="1">
        <f t="shared" ref="AF172:AF173" si="173">+O172*P172*(1-A172)</f>
        <v>1</v>
      </c>
      <c r="AG172" s="1">
        <f t="shared" ref="AG172:AG173" si="174">O172*(1-P172)*(1-A172)</f>
        <v>0</v>
      </c>
      <c r="AH172" s="1">
        <f t="shared" ref="AH172:AH173" si="175">+P172*(1-A172)</f>
        <v>1</v>
      </c>
      <c r="AI172" s="1">
        <f t="shared" ref="AI172:AI173" si="176">+(1-A172)*(1-P172)</f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974</v>
      </c>
      <c r="E173" s="32" t="s">
        <v>606</v>
      </c>
      <c r="F173" s="32" t="s">
        <v>975</v>
      </c>
      <c r="G173" s="32" t="s">
        <v>202</v>
      </c>
      <c r="H173" s="32" t="s">
        <v>352</v>
      </c>
      <c r="I173" s="31" t="s">
        <v>976</v>
      </c>
      <c r="J173" s="31">
        <v>99</v>
      </c>
      <c r="K173" s="33" t="s">
        <v>951</v>
      </c>
      <c r="L173" s="33" t="s">
        <v>39</v>
      </c>
      <c r="M173" s="34" t="s">
        <v>39</v>
      </c>
      <c r="N173" s="34" t="s">
        <v>1722</v>
      </c>
      <c r="O173" s="35">
        <v>1</v>
      </c>
      <c r="P173" s="35">
        <v>1</v>
      </c>
      <c r="Q173" s="32"/>
      <c r="S173" s="1">
        <f t="shared" si="161"/>
        <v>0</v>
      </c>
      <c r="T173" s="1">
        <f t="shared" si="162"/>
        <v>0</v>
      </c>
      <c r="U173" s="1">
        <f t="shared" si="163"/>
        <v>0</v>
      </c>
      <c r="V173" s="1">
        <f t="shared" si="164"/>
        <v>0</v>
      </c>
      <c r="W173" s="1">
        <f t="shared" si="165"/>
        <v>0</v>
      </c>
      <c r="X173" s="1">
        <f t="shared" si="166"/>
        <v>0</v>
      </c>
      <c r="Y173" s="1">
        <f t="shared" si="167"/>
        <v>0</v>
      </c>
      <c r="Z173" s="1">
        <f t="shared" si="168"/>
        <v>0</v>
      </c>
      <c r="AA173" s="1">
        <f t="shared" si="169"/>
        <v>0</v>
      </c>
      <c r="AB173" s="1">
        <f t="shared" si="170"/>
        <v>0</v>
      </c>
      <c r="AD173" s="1">
        <f t="shared" si="171"/>
        <v>1</v>
      </c>
      <c r="AE173" s="1">
        <f t="shared" si="172"/>
        <v>0</v>
      </c>
      <c r="AF173" s="1">
        <f t="shared" si="173"/>
        <v>1</v>
      </c>
      <c r="AG173" s="1">
        <f t="shared" si="174"/>
        <v>0</v>
      </c>
      <c r="AH173" s="1">
        <f t="shared" si="175"/>
        <v>1</v>
      </c>
      <c r="AI173" s="1">
        <f t="shared" si="17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148</v>
      </c>
      <c r="E174" s="32" t="s">
        <v>171</v>
      </c>
      <c r="F174" s="32" t="s">
        <v>348</v>
      </c>
      <c r="G174" s="32" t="s">
        <v>39</v>
      </c>
      <c r="H174" s="32" t="s">
        <v>378</v>
      </c>
      <c r="I174" s="31" t="s">
        <v>493</v>
      </c>
      <c r="J174" s="31">
        <v>14</v>
      </c>
      <c r="K174" s="33" t="s">
        <v>959</v>
      </c>
      <c r="L174" s="33" t="s">
        <v>39</v>
      </c>
      <c r="M174" s="34" t="s">
        <v>39</v>
      </c>
      <c r="N174" s="34" t="s">
        <v>1728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1984</v>
      </c>
      <c r="E175" s="32" t="s">
        <v>1985</v>
      </c>
      <c r="F175" s="32" t="s">
        <v>1986</v>
      </c>
      <c r="G175" s="32" t="s">
        <v>531</v>
      </c>
      <c r="H175" s="32" t="s">
        <v>352</v>
      </c>
      <c r="I175" s="31" t="s">
        <v>1987</v>
      </c>
      <c r="J175" s="31"/>
      <c r="K175" s="33" t="s">
        <v>699</v>
      </c>
      <c r="L175" s="33"/>
      <c r="M175" s="34"/>
      <c r="N175" s="34" t="s">
        <v>1728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3">
      <c r="A176" s="31">
        <v>0</v>
      </c>
      <c r="B176" s="31">
        <v>1</v>
      </c>
      <c r="C176" s="31">
        <v>3</v>
      </c>
      <c r="D176" s="32" t="s">
        <v>631</v>
      </c>
      <c r="E176" s="32" t="s">
        <v>171</v>
      </c>
      <c r="F176" s="32" t="s">
        <v>633</v>
      </c>
      <c r="G176" s="32" t="s">
        <v>237</v>
      </c>
      <c r="H176" s="32" t="s">
        <v>352</v>
      </c>
      <c r="I176" s="31" t="s">
        <v>632</v>
      </c>
      <c r="J176" s="31">
        <v>4</v>
      </c>
      <c r="K176" s="33" t="s">
        <v>951</v>
      </c>
      <c r="L176" s="33" t="s">
        <v>39</v>
      </c>
      <c r="M176" s="34" t="s">
        <v>39</v>
      </c>
      <c r="N176" s="34" t="s">
        <v>1728</v>
      </c>
      <c r="O176" s="35">
        <v>1</v>
      </c>
      <c r="P176" s="35">
        <v>1</v>
      </c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1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1</v>
      </c>
      <c r="AE176" s="1">
        <f t="shared" si="128"/>
        <v>0</v>
      </c>
      <c r="AF176" s="1">
        <f t="shared" si="113"/>
        <v>1</v>
      </c>
      <c r="AG176" s="1">
        <f t="shared" si="114"/>
        <v>0</v>
      </c>
      <c r="AH176" s="1">
        <f t="shared" si="115"/>
        <v>1</v>
      </c>
      <c r="AI176" s="1">
        <f t="shared" si="116"/>
        <v>0</v>
      </c>
    </row>
    <row r="177" spans="1:35" ht="14.25" customHeight="1" x14ac:dyDescent="0.3">
      <c r="A177" s="15">
        <v>0</v>
      </c>
      <c r="B177" s="15">
        <v>1</v>
      </c>
      <c r="C177" s="15">
        <v>3</v>
      </c>
      <c r="D177" s="16" t="s">
        <v>1523</v>
      </c>
      <c r="E177" s="16" t="s">
        <v>1082</v>
      </c>
      <c r="F177" s="16" t="s">
        <v>1524</v>
      </c>
      <c r="G177" s="16" t="s">
        <v>217</v>
      </c>
      <c r="H177" s="16" t="s">
        <v>352</v>
      </c>
      <c r="I177" s="15" t="s">
        <v>1525</v>
      </c>
      <c r="J177" s="15">
        <v>99</v>
      </c>
      <c r="K177" s="10" t="s">
        <v>699</v>
      </c>
      <c r="L177" s="10">
        <v>40</v>
      </c>
      <c r="M177" s="19" t="s">
        <v>965</v>
      </c>
      <c r="N177" s="19"/>
      <c r="Q177" s="16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31">
        <v>0</v>
      </c>
      <c r="B178" s="31">
        <v>1</v>
      </c>
      <c r="C178" s="31">
        <v>3</v>
      </c>
      <c r="D178" s="32" t="s">
        <v>101</v>
      </c>
      <c r="E178" s="32" t="s">
        <v>171</v>
      </c>
      <c r="F178" s="32" t="s">
        <v>297</v>
      </c>
      <c r="G178" s="32" t="s">
        <v>298</v>
      </c>
      <c r="H178" s="32" t="s">
        <v>352</v>
      </c>
      <c r="I178" s="31" t="s">
        <v>446</v>
      </c>
      <c r="J178" s="31">
        <v>99</v>
      </c>
      <c r="K178" s="33" t="s">
        <v>953</v>
      </c>
      <c r="L178" s="33" t="s">
        <v>689</v>
      </c>
      <c r="M178" s="34" t="s">
        <v>687</v>
      </c>
      <c r="N178" s="34" t="s">
        <v>1738</v>
      </c>
      <c r="O178" s="35">
        <v>1</v>
      </c>
      <c r="P178" s="35"/>
      <c r="Q178" s="32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1</v>
      </c>
      <c r="AF178" s="1">
        <f t="shared" si="113"/>
        <v>0</v>
      </c>
      <c r="AG178" s="1">
        <f t="shared" si="114"/>
        <v>1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44">
        <v>0</v>
      </c>
      <c r="B179" s="44">
        <v>1</v>
      </c>
      <c r="C179" s="44">
        <v>3</v>
      </c>
      <c r="D179" s="45" t="s">
        <v>985</v>
      </c>
      <c r="E179" s="45" t="s">
        <v>171</v>
      </c>
      <c r="F179" s="45" t="s">
        <v>988</v>
      </c>
      <c r="G179" s="45" t="s">
        <v>39</v>
      </c>
      <c r="H179" s="45" t="s">
        <v>987</v>
      </c>
      <c r="I179" s="44" t="s">
        <v>986</v>
      </c>
      <c r="J179" s="44">
        <v>14</v>
      </c>
      <c r="K179" s="46" t="s">
        <v>718</v>
      </c>
      <c r="L179" s="46" t="s">
        <v>690</v>
      </c>
      <c r="M179" s="47" t="s">
        <v>966</v>
      </c>
      <c r="N179" s="47" t="s">
        <v>1730</v>
      </c>
      <c r="O179" s="48"/>
      <c r="P179" s="48"/>
      <c r="Q179" s="45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57">
        <v>0</v>
      </c>
      <c r="B180" s="57">
        <v>1</v>
      </c>
      <c r="C180" s="57">
        <v>3</v>
      </c>
      <c r="D180" s="58" t="s">
        <v>1639</v>
      </c>
      <c r="E180" s="58" t="s">
        <v>171</v>
      </c>
      <c r="F180" s="58" t="s">
        <v>769</v>
      </c>
      <c r="G180" s="58" t="s">
        <v>39</v>
      </c>
      <c r="H180" s="58" t="s">
        <v>365</v>
      </c>
      <c r="I180" s="57" t="s">
        <v>777</v>
      </c>
      <c r="J180" s="57">
        <v>18</v>
      </c>
      <c r="K180" s="59" t="s">
        <v>1692</v>
      </c>
      <c r="L180" s="59" t="s">
        <v>39</v>
      </c>
      <c r="M180" s="60" t="s">
        <v>770</v>
      </c>
      <c r="N180" s="61"/>
      <c r="O180" s="62"/>
      <c r="P180" s="62"/>
      <c r="Q180" s="58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49">
        <v>0</v>
      </c>
      <c r="B181" s="49">
        <v>1</v>
      </c>
      <c r="C181" s="49">
        <v>3</v>
      </c>
      <c r="D181" s="50" t="s">
        <v>134</v>
      </c>
      <c r="E181" s="50" t="s">
        <v>171</v>
      </c>
      <c r="F181" s="50" t="s">
        <v>655</v>
      </c>
      <c r="G181" s="50" t="s">
        <v>256</v>
      </c>
      <c r="H181" s="50" t="s">
        <v>352</v>
      </c>
      <c r="I181" s="49" t="s">
        <v>1688</v>
      </c>
      <c r="J181" s="49">
        <v>99</v>
      </c>
      <c r="K181" s="51" t="s">
        <v>718</v>
      </c>
      <c r="L181" s="51" t="s">
        <v>683</v>
      </c>
      <c r="M181" s="52" t="s">
        <v>1392</v>
      </c>
      <c r="N181" s="52" t="s">
        <v>1738</v>
      </c>
      <c r="O181" s="53">
        <v>1</v>
      </c>
      <c r="P181" s="53"/>
      <c r="Q181" s="50" t="s">
        <v>1925</v>
      </c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3">
      <c r="A182" s="15">
        <v>0</v>
      </c>
      <c r="B182" s="15">
        <v>1</v>
      </c>
      <c r="C182" s="15">
        <v>3</v>
      </c>
      <c r="D182" s="16" t="s">
        <v>919</v>
      </c>
      <c r="E182" s="16" t="s">
        <v>169</v>
      </c>
      <c r="F182" s="16" t="s">
        <v>935</v>
      </c>
      <c r="G182" s="16" t="s">
        <v>39</v>
      </c>
      <c r="H182" s="16" t="s">
        <v>363</v>
      </c>
      <c r="I182" s="15" t="s">
        <v>879</v>
      </c>
      <c r="J182" s="15">
        <v>18</v>
      </c>
      <c r="K182" s="10" t="s">
        <v>698</v>
      </c>
      <c r="L182" s="10" t="s">
        <v>693</v>
      </c>
      <c r="M182" s="19" t="s">
        <v>966</v>
      </c>
      <c r="N182" s="17"/>
      <c r="Q182" s="16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0</v>
      </c>
      <c r="AF182" s="1">
        <f t="shared" si="113"/>
        <v>0</v>
      </c>
      <c r="AG182" s="1">
        <f t="shared" si="114"/>
        <v>0</v>
      </c>
      <c r="AH182" s="1">
        <f t="shared" si="115"/>
        <v>0</v>
      </c>
      <c r="AI182" s="1">
        <f t="shared" si="116"/>
        <v>1</v>
      </c>
    </row>
    <row r="183" spans="1:35" ht="14.25" customHeight="1" x14ac:dyDescent="0.3">
      <c r="A183" s="31">
        <v>0</v>
      </c>
      <c r="B183" s="31">
        <v>1</v>
      </c>
      <c r="C183" s="31">
        <v>3</v>
      </c>
      <c r="D183" s="32" t="s">
        <v>1255</v>
      </c>
      <c r="E183" s="32" t="s">
        <v>169</v>
      </c>
      <c r="F183" s="32" t="s">
        <v>1671</v>
      </c>
      <c r="G183" s="32" t="s">
        <v>39</v>
      </c>
      <c r="H183" s="32" t="s">
        <v>767</v>
      </c>
      <c r="I183" s="31" t="s">
        <v>1256</v>
      </c>
      <c r="J183" s="31">
        <v>11</v>
      </c>
      <c r="K183" s="33" t="s">
        <v>718</v>
      </c>
      <c r="L183" s="33" t="s">
        <v>685</v>
      </c>
      <c r="M183" s="34" t="s">
        <v>1393</v>
      </c>
      <c r="N183" s="34" t="s">
        <v>1744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3">
      <c r="A184" s="31">
        <v>0</v>
      </c>
      <c r="B184" s="31">
        <v>1</v>
      </c>
      <c r="C184" s="31">
        <v>4</v>
      </c>
      <c r="D184" s="32" t="s">
        <v>991</v>
      </c>
      <c r="E184" s="32" t="s">
        <v>768</v>
      </c>
      <c r="F184" s="32" t="s">
        <v>1089</v>
      </c>
      <c r="G184" s="32" t="s">
        <v>199</v>
      </c>
      <c r="H184" s="32" t="s">
        <v>352</v>
      </c>
      <c r="I184" s="31" t="s">
        <v>992</v>
      </c>
      <c r="J184" s="31">
        <v>2</v>
      </c>
      <c r="K184" s="33" t="s">
        <v>951</v>
      </c>
      <c r="L184" s="33" t="s">
        <v>689</v>
      </c>
      <c r="M184" s="34" t="s">
        <v>1394</v>
      </c>
      <c r="N184" s="34" t="s">
        <v>1722</v>
      </c>
      <c r="O184" s="35">
        <v>1</v>
      </c>
      <c r="P184" s="35">
        <v>1</v>
      </c>
      <c r="Q184" s="32"/>
      <c r="S184" s="1">
        <f t="shared" si="117"/>
        <v>0</v>
      </c>
      <c r="T184" s="1">
        <f t="shared" si="118"/>
        <v>1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1</v>
      </c>
      <c r="AE184" s="1">
        <f t="shared" si="128"/>
        <v>0</v>
      </c>
      <c r="AF184" s="1">
        <f t="shared" si="113"/>
        <v>1</v>
      </c>
      <c r="AG184" s="1">
        <f t="shared" si="114"/>
        <v>0</v>
      </c>
      <c r="AH184" s="1">
        <f t="shared" si="115"/>
        <v>1</v>
      </c>
      <c r="AI184" s="1">
        <f t="shared" si="116"/>
        <v>0</v>
      </c>
    </row>
    <row r="185" spans="1:35" ht="14.25" customHeight="1" x14ac:dyDescent="0.3">
      <c r="A185" s="31">
        <v>0</v>
      </c>
      <c r="B185" s="31">
        <v>1</v>
      </c>
      <c r="C185" s="31">
        <v>4</v>
      </c>
      <c r="D185" s="32" t="s">
        <v>50</v>
      </c>
      <c r="E185" s="32" t="s">
        <v>768</v>
      </c>
      <c r="F185" s="32" t="s">
        <v>192</v>
      </c>
      <c r="G185" s="32" t="s">
        <v>193</v>
      </c>
      <c r="H185" s="32" t="s">
        <v>352</v>
      </c>
      <c r="I185" s="31" t="s">
        <v>385</v>
      </c>
      <c r="J185" s="31">
        <v>9</v>
      </c>
      <c r="K185" s="33" t="s">
        <v>951</v>
      </c>
      <c r="L185" s="33" t="s">
        <v>690</v>
      </c>
      <c r="M185" s="34" t="s">
        <v>964</v>
      </c>
      <c r="N185" s="34" t="s">
        <v>1796</v>
      </c>
      <c r="O185" s="35">
        <v>1</v>
      </c>
      <c r="P185" s="35"/>
      <c r="Q185" s="32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1</v>
      </c>
      <c r="AB185" s="1">
        <f t="shared" si="126"/>
        <v>0</v>
      </c>
      <c r="AD185" s="1">
        <f t="shared" si="127"/>
        <v>0</v>
      </c>
      <c r="AE185" s="1">
        <f t="shared" si="128"/>
        <v>1</v>
      </c>
      <c r="AF185" s="1">
        <f t="shared" si="113"/>
        <v>0</v>
      </c>
      <c r="AG185" s="1">
        <f t="shared" si="114"/>
        <v>1</v>
      </c>
      <c r="AH185" s="1">
        <f t="shared" si="115"/>
        <v>0</v>
      </c>
      <c r="AI185" s="1">
        <f t="shared" si="116"/>
        <v>1</v>
      </c>
    </row>
    <row r="186" spans="1:35" ht="14.25" customHeight="1" x14ac:dyDescent="0.3">
      <c r="A186" s="31">
        <v>0</v>
      </c>
      <c r="B186" s="31">
        <v>1</v>
      </c>
      <c r="C186" s="31">
        <v>4</v>
      </c>
      <c r="D186" s="36" t="s">
        <v>2078</v>
      </c>
      <c r="E186" s="32" t="s">
        <v>768</v>
      </c>
      <c r="F186" s="36" t="s">
        <v>2079</v>
      </c>
      <c r="G186" s="36" t="s">
        <v>212</v>
      </c>
      <c r="H186" s="36" t="s">
        <v>352</v>
      </c>
      <c r="I186" s="37" t="s">
        <v>2080</v>
      </c>
      <c r="J186" s="31">
        <v>1</v>
      </c>
      <c r="K186" s="33" t="s">
        <v>699</v>
      </c>
      <c r="L186" s="33"/>
      <c r="M186" s="34"/>
      <c r="N186" s="34" t="s">
        <v>1728</v>
      </c>
      <c r="O186" s="35">
        <v>1</v>
      </c>
      <c r="P186" s="35">
        <v>1</v>
      </c>
      <c r="Q186" s="32" t="s">
        <v>2081</v>
      </c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1</v>
      </c>
      <c r="AE186" s="1">
        <f t="shared" si="128"/>
        <v>0</v>
      </c>
      <c r="AF186" s="1">
        <f t="shared" si="113"/>
        <v>1</v>
      </c>
      <c r="AG186" s="1">
        <f t="shared" si="114"/>
        <v>0</v>
      </c>
      <c r="AH186" s="1">
        <f t="shared" si="115"/>
        <v>1</v>
      </c>
      <c r="AI186" s="1">
        <f t="shared" si="116"/>
        <v>0</v>
      </c>
    </row>
    <row r="187" spans="1:35" ht="14.25" customHeight="1" x14ac:dyDescent="0.3">
      <c r="A187" s="31">
        <v>0</v>
      </c>
      <c r="B187" s="31">
        <v>1</v>
      </c>
      <c r="C187" s="31">
        <v>4</v>
      </c>
      <c r="D187" s="32" t="s">
        <v>133</v>
      </c>
      <c r="E187" s="32" t="s">
        <v>176</v>
      </c>
      <c r="F187" s="32" t="s">
        <v>334</v>
      </c>
      <c r="G187" s="32" t="s">
        <v>212</v>
      </c>
      <c r="H187" s="32" t="s">
        <v>352</v>
      </c>
      <c r="I187" s="31" t="s">
        <v>480</v>
      </c>
      <c r="J187" s="31">
        <v>1</v>
      </c>
      <c r="K187" s="33" t="s">
        <v>951</v>
      </c>
      <c r="L187" s="33" t="s">
        <v>685</v>
      </c>
      <c r="M187" s="34" t="s">
        <v>687</v>
      </c>
      <c r="N187" s="34" t="s">
        <v>1738</v>
      </c>
      <c r="O187" s="35">
        <v>1</v>
      </c>
      <c r="P187" s="35"/>
      <c r="Q187" s="32"/>
      <c r="S187" s="1">
        <f t="shared" si="117"/>
        <v>1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ht="14.25" customHeight="1" x14ac:dyDescent="0.3">
      <c r="A188" s="15">
        <v>0</v>
      </c>
      <c r="B188" s="15">
        <v>1</v>
      </c>
      <c r="C188" s="15">
        <v>4</v>
      </c>
      <c r="D188" s="16" t="s">
        <v>880</v>
      </c>
      <c r="E188" s="16" t="s">
        <v>768</v>
      </c>
      <c r="F188" s="16" t="s">
        <v>881</v>
      </c>
      <c r="G188" s="16" t="s">
        <v>39</v>
      </c>
      <c r="H188" s="16" t="s">
        <v>882</v>
      </c>
      <c r="I188" s="15" t="s">
        <v>945</v>
      </c>
      <c r="J188" s="15">
        <v>17</v>
      </c>
      <c r="K188" s="10" t="s">
        <v>699</v>
      </c>
      <c r="L188" s="10" t="s">
        <v>1136</v>
      </c>
      <c r="M188" s="19" t="s">
        <v>967</v>
      </c>
      <c r="N188" s="17"/>
      <c r="Q188" s="16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0</v>
      </c>
      <c r="AF188" s="1">
        <f t="shared" si="113"/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125</v>
      </c>
      <c r="E189" s="32" t="s">
        <v>522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698</v>
      </c>
      <c r="L189" s="33" t="s">
        <v>685</v>
      </c>
      <c r="M189" s="34" t="s">
        <v>965</v>
      </c>
      <c r="N189" s="34" t="s">
        <v>1738</v>
      </c>
      <c r="O189" s="35">
        <v>1</v>
      </c>
      <c r="P189" s="35"/>
      <c r="Q189" s="32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0</v>
      </c>
      <c r="AE189" s="1">
        <f t="shared" si="128"/>
        <v>1</v>
      </c>
      <c r="AF189" s="1">
        <f t="shared" si="11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3">
      <c r="A190" s="31">
        <v>0</v>
      </c>
      <c r="B190" s="31">
        <v>1</v>
      </c>
      <c r="C190" s="31">
        <v>5</v>
      </c>
      <c r="D190" s="32" t="s">
        <v>1724</v>
      </c>
      <c r="E190" s="32" t="s">
        <v>165</v>
      </c>
      <c r="F190" s="32" t="s">
        <v>1725</v>
      </c>
      <c r="G190" s="32" t="s">
        <v>1726</v>
      </c>
      <c r="H190" s="32" t="s">
        <v>352</v>
      </c>
      <c r="I190" s="31" t="s">
        <v>1727</v>
      </c>
      <c r="J190" s="31">
        <v>2</v>
      </c>
      <c r="K190" s="33" t="s">
        <v>699</v>
      </c>
      <c r="L190" s="33"/>
      <c r="M190" s="34"/>
      <c r="N190" s="34" t="s">
        <v>1728</v>
      </c>
      <c r="O190" s="35">
        <v>1</v>
      </c>
      <c r="P190" s="35">
        <v>1</v>
      </c>
      <c r="Q190" s="32"/>
      <c r="S190" s="1">
        <f t="shared" si="117"/>
        <v>0</v>
      </c>
      <c r="T190" s="1">
        <f t="shared" si="118"/>
        <v>1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27"/>
        <v>1</v>
      </c>
      <c r="AE190" s="1">
        <f t="shared" si="128"/>
        <v>0</v>
      </c>
      <c r="AF190" s="1">
        <f t="shared" si="113"/>
        <v>1</v>
      </c>
      <c r="AG190" s="1">
        <f t="shared" si="114"/>
        <v>0</v>
      </c>
      <c r="AH190" s="1">
        <f t="shared" si="115"/>
        <v>1</v>
      </c>
      <c r="AI190" s="1">
        <f t="shared" si="116"/>
        <v>0</v>
      </c>
    </row>
    <row r="191" spans="1:35" ht="14.25" customHeight="1" x14ac:dyDescent="0.3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573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951</v>
      </c>
      <c r="L191" s="46" t="s">
        <v>692</v>
      </c>
      <c r="M191" s="47" t="s">
        <v>687</v>
      </c>
      <c r="N191" s="47" t="s">
        <v>1730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1</v>
      </c>
      <c r="AB191" s="1">
        <f t="shared" si="126"/>
        <v>0</v>
      </c>
      <c r="AD191" s="1">
        <f t="shared" ref="AD191:AD195" si="177">+O191*P191</f>
        <v>0</v>
      </c>
      <c r="AE191" s="1">
        <f t="shared" ref="AE191:AE195" si="178">O191*(1-P191)</f>
        <v>0</v>
      </c>
      <c r="AF191" s="1">
        <f t="shared" ref="AF191:AF195" si="179">+O191*P191*(1-A191)</f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4.25" customHeight="1" x14ac:dyDescent="0.3">
      <c r="A192" s="31">
        <v>0</v>
      </c>
      <c r="B192" s="31">
        <v>1</v>
      </c>
      <c r="C192" s="31">
        <v>5</v>
      </c>
      <c r="D192" s="32" t="s">
        <v>1991</v>
      </c>
      <c r="E192" s="32" t="s">
        <v>165</v>
      </c>
      <c r="F192" s="32" t="s">
        <v>1992</v>
      </c>
      <c r="G192" s="32" t="s">
        <v>1995</v>
      </c>
      <c r="H192" s="32" t="s">
        <v>352</v>
      </c>
      <c r="I192" s="31" t="s">
        <v>1993</v>
      </c>
      <c r="J192" s="31">
        <v>99</v>
      </c>
      <c r="K192" s="33" t="s">
        <v>699</v>
      </c>
      <c r="L192" s="33">
        <v>25</v>
      </c>
      <c r="M192" s="34" t="s">
        <v>687</v>
      </c>
      <c r="N192" s="34" t="s">
        <v>1738</v>
      </c>
      <c r="O192" s="35">
        <v>1</v>
      </c>
      <c r="P192" s="35"/>
      <c r="Q192" s="32" t="s">
        <v>1994</v>
      </c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0</v>
      </c>
      <c r="AD192" s="1">
        <f t="shared" si="177"/>
        <v>0</v>
      </c>
      <c r="AE192" s="1">
        <f t="shared" si="178"/>
        <v>1</v>
      </c>
      <c r="AF192" s="1">
        <f t="shared" si="179"/>
        <v>0</v>
      </c>
      <c r="AG192" s="1">
        <f t="shared" si="114"/>
        <v>1</v>
      </c>
      <c r="AH192" s="1">
        <f t="shared" si="115"/>
        <v>0</v>
      </c>
      <c r="AI192" s="1">
        <f t="shared" si="116"/>
        <v>1</v>
      </c>
    </row>
    <row r="193" spans="1:35" ht="14.25" customHeight="1" x14ac:dyDescent="0.3">
      <c r="A193" s="44">
        <v>0</v>
      </c>
      <c r="B193" s="44">
        <v>1</v>
      </c>
      <c r="C193" s="44">
        <v>5</v>
      </c>
      <c r="D193" s="45" t="s">
        <v>126</v>
      </c>
      <c r="E193" s="45" t="s">
        <v>165</v>
      </c>
      <c r="F193" s="45" t="s">
        <v>326</v>
      </c>
      <c r="G193" s="45" t="s">
        <v>179</v>
      </c>
      <c r="H193" s="45" t="s">
        <v>352</v>
      </c>
      <c r="I193" s="44" t="s">
        <v>473</v>
      </c>
      <c r="J193" s="44">
        <v>10</v>
      </c>
      <c r="K193" s="46" t="s">
        <v>953</v>
      </c>
      <c r="L193" s="46" t="s">
        <v>690</v>
      </c>
      <c r="M193" s="47" t="s">
        <v>687</v>
      </c>
      <c r="N193" s="47" t="s">
        <v>1735</v>
      </c>
      <c r="O193" s="48"/>
      <c r="P193" s="48"/>
      <c r="Q193" s="45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77"/>
        <v>0</v>
      </c>
      <c r="AE193" s="1">
        <f t="shared" si="178"/>
        <v>0</v>
      </c>
      <c r="AF193" s="1">
        <f t="shared" si="179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544</v>
      </c>
      <c r="G194" s="32" t="s">
        <v>219</v>
      </c>
      <c r="H194" s="32" t="s">
        <v>352</v>
      </c>
      <c r="I194" s="31" t="s">
        <v>536</v>
      </c>
      <c r="J194" s="31">
        <v>8</v>
      </c>
      <c r="K194" s="33" t="s">
        <v>951</v>
      </c>
      <c r="L194" s="33" t="s">
        <v>690</v>
      </c>
      <c r="M194" s="34" t="s">
        <v>687</v>
      </c>
      <c r="N194" s="34" t="s">
        <v>1738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1</v>
      </c>
      <c r="AA194" s="1">
        <f t="shared" si="125"/>
        <v>0</v>
      </c>
      <c r="AB194" s="1">
        <f t="shared" si="126"/>
        <v>0</v>
      </c>
      <c r="AD194" s="1">
        <f t="shared" si="177"/>
        <v>0</v>
      </c>
      <c r="AE194" s="1">
        <f t="shared" si="178"/>
        <v>1</v>
      </c>
      <c r="AF194" s="1">
        <f t="shared" si="179"/>
        <v>0</v>
      </c>
      <c r="AG194" s="1">
        <f t="shared" si="114"/>
        <v>1</v>
      </c>
      <c r="AH194" s="1">
        <f t="shared" si="115"/>
        <v>0</v>
      </c>
      <c r="AI194" s="1">
        <f t="shared" si="116"/>
        <v>1</v>
      </c>
    </row>
    <row r="195" spans="1:35" ht="14.25" customHeight="1" x14ac:dyDescent="0.3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951</v>
      </c>
      <c r="L195" s="33" t="s">
        <v>690</v>
      </c>
      <c r="M195" s="34" t="s">
        <v>687</v>
      </c>
      <c r="N195" s="34" t="s">
        <v>1738</v>
      </c>
      <c r="O195" s="35">
        <v>1</v>
      </c>
      <c r="P195" s="35"/>
      <c r="Q195" s="32"/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1</v>
      </c>
      <c r="AD195" s="1">
        <f t="shared" si="177"/>
        <v>0</v>
      </c>
      <c r="AE195" s="1">
        <f t="shared" si="178"/>
        <v>1</v>
      </c>
      <c r="AF195" s="1">
        <f t="shared" si="179"/>
        <v>0</v>
      </c>
      <c r="AG195" s="1">
        <f t="shared" si="114"/>
        <v>0</v>
      </c>
      <c r="AH195" s="1">
        <f t="shared" si="115"/>
        <v>0</v>
      </c>
      <c r="AI195" s="1">
        <f t="shared" si="116"/>
        <v>0</v>
      </c>
    </row>
    <row r="196" spans="1:35" ht="14.25" customHeight="1" x14ac:dyDescent="0.3">
      <c r="A196" s="44">
        <v>0</v>
      </c>
      <c r="B196" s="44">
        <v>1</v>
      </c>
      <c r="C196" s="44">
        <v>5</v>
      </c>
      <c r="D196" s="45" t="s">
        <v>1632</v>
      </c>
      <c r="E196" s="45" t="s">
        <v>165</v>
      </c>
      <c r="F196" s="45" t="s">
        <v>861</v>
      </c>
      <c r="G196" s="45" t="s">
        <v>1659</v>
      </c>
      <c r="H196" s="45" t="s">
        <v>352</v>
      </c>
      <c r="I196" s="44" t="s">
        <v>862</v>
      </c>
      <c r="J196" s="44">
        <v>1</v>
      </c>
      <c r="K196" s="46" t="s">
        <v>718</v>
      </c>
      <c r="L196" s="46" t="s">
        <v>1702</v>
      </c>
      <c r="M196" s="47" t="s">
        <v>1395</v>
      </c>
      <c r="N196" s="47" t="s">
        <v>1730</v>
      </c>
      <c r="O196" s="48"/>
      <c r="P196" s="48"/>
      <c r="Q196" s="45"/>
      <c r="S196" s="1">
        <f t="shared" si="117"/>
        <v>1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0</v>
      </c>
      <c r="AF196" s="1">
        <f t="shared" si="113"/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15">
        <v>0</v>
      </c>
      <c r="B197" s="15">
        <v>1</v>
      </c>
      <c r="C197" s="15">
        <v>5</v>
      </c>
      <c r="D197" s="20" t="s">
        <v>1944</v>
      </c>
      <c r="E197" s="20" t="s">
        <v>889</v>
      </c>
      <c r="F197" s="20" t="s">
        <v>1962</v>
      </c>
      <c r="G197" s="20"/>
      <c r="H197" s="20" t="s">
        <v>1963</v>
      </c>
      <c r="I197" s="21" t="s">
        <v>1961</v>
      </c>
      <c r="J197" s="15">
        <v>15</v>
      </c>
      <c r="K197" s="10" t="s">
        <v>699</v>
      </c>
      <c r="L197" s="10" t="s">
        <v>693</v>
      </c>
      <c r="M197" s="19" t="s">
        <v>966</v>
      </c>
      <c r="N197" s="17"/>
      <c r="Q197" s="20" t="s">
        <v>1964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ref="AD197:AD198" si="180">+O197*P197</f>
        <v>0</v>
      </c>
      <c r="AE197" s="1">
        <f t="shared" ref="AE197:AE198" si="181">O197*(1-P197)</f>
        <v>0</v>
      </c>
      <c r="AF197" s="1">
        <f t="shared" ref="AF197:AF198" si="182">+O197*P197*(1-A197)</f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883</v>
      </c>
      <c r="E198" s="32" t="s">
        <v>884</v>
      </c>
      <c r="F198" s="32" t="s">
        <v>1087</v>
      </c>
      <c r="G198" s="32" t="s">
        <v>39</v>
      </c>
      <c r="H198" s="32" t="s">
        <v>885</v>
      </c>
      <c r="I198" s="31" t="s">
        <v>886</v>
      </c>
      <c r="J198" s="31">
        <v>16</v>
      </c>
      <c r="K198" s="33" t="s">
        <v>699</v>
      </c>
      <c r="L198" s="33" t="s">
        <v>688</v>
      </c>
      <c r="M198" s="34" t="s">
        <v>965</v>
      </c>
      <c r="N198" s="34" t="s">
        <v>1728</v>
      </c>
      <c r="O198" s="35">
        <v>1</v>
      </c>
      <c r="P198" s="35">
        <v>1</v>
      </c>
      <c r="Q198" s="36" t="s">
        <v>1889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80"/>
        <v>1</v>
      </c>
      <c r="AE198" s="1">
        <f t="shared" si="181"/>
        <v>0</v>
      </c>
      <c r="AF198" s="1">
        <f t="shared" si="182"/>
        <v>1</v>
      </c>
      <c r="AG198" s="1">
        <f t="shared" si="114"/>
        <v>0</v>
      </c>
      <c r="AH198" s="1">
        <f t="shared" si="115"/>
        <v>1</v>
      </c>
      <c r="AI198" s="1">
        <f t="shared" si="116"/>
        <v>0</v>
      </c>
    </row>
    <row r="199" spans="1:35" ht="14.25" customHeight="1" x14ac:dyDescent="0.3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951</v>
      </c>
      <c r="L199" s="33" t="s">
        <v>689</v>
      </c>
      <c r="M199" s="34" t="s">
        <v>965</v>
      </c>
      <c r="N199" s="34" t="s">
        <v>1738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15">
        <v>0</v>
      </c>
      <c r="B200" s="15">
        <v>1</v>
      </c>
      <c r="C200" s="15">
        <v>5</v>
      </c>
      <c r="D200" s="20" t="s">
        <v>1946</v>
      </c>
      <c r="E200" s="20" t="s">
        <v>889</v>
      </c>
      <c r="F200" s="20" t="s">
        <v>1976</v>
      </c>
      <c r="G200" s="20"/>
      <c r="H200" s="20" t="s">
        <v>1975</v>
      </c>
      <c r="I200" s="21" t="s">
        <v>1974</v>
      </c>
      <c r="J200" s="15">
        <v>18</v>
      </c>
      <c r="K200" s="10" t="s">
        <v>699</v>
      </c>
      <c r="L200" s="10" t="s">
        <v>693</v>
      </c>
      <c r="M200" s="19" t="s">
        <v>966</v>
      </c>
      <c r="N200" s="17"/>
      <c r="Q200" s="20" t="s">
        <v>1977</v>
      </c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44">
        <v>0</v>
      </c>
      <c r="B201" s="44">
        <v>1</v>
      </c>
      <c r="C201" s="44">
        <v>5</v>
      </c>
      <c r="D201" s="45" t="s">
        <v>509</v>
      </c>
      <c r="E201" s="45" t="s">
        <v>171</v>
      </c>
      <c r="F201" s="45" t="s">
        <v>545</v>
      </c>
      <c r="G201" s="45" t="s">
        <v>39</v>
      </c>
      <c r="H201" s="45" t="s">
        <v>360</v>
      </c>
      <c r="I201" s="44" t="s">
        <v>1109</v>
      </c>
      <c r="J201" s="44">
        <v>12</v>
      </c>
      <c r="K201" s="46" t="s">
        <v>699</v>
      </c>
      <c r="L201" s="46">
        <v>35</v>
      </c>
      <c r="M201" s="47" t="s">
        <v>965</v>
      </c>
      <c r="N201" s="47" t="s">
        <v>1797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ht="14.25" customHeight="1" x14ac:dyDescent="0.3">
      <c r="A202" s="31">
        <v>0</v>
      </c>
      <c r="B202" s="31">
        <v>1</v>
      </c>
      <c r="C202" s="31">
        <v>5</v>
      </c>
      <c r="D202" s="32" t="s">
        <v>150</v>
      </c>
      <c r="E202" s="32" t="s">
        <v>165</v>
      </c>
      <c r="F202" s="36" t="s">
        <v>1865</v>
      </c>
      <c r="G202" s="32" t="s">
        <v>196</v>
      </c>
      <c r="H202" s="32" t="s">
        <v>352</v>
      </c>
      <c r="I202" s="31" t="s">
        <v>495</v>
      </c>
      <c r="J202" s="31">
        <v>99</v>
      </c>
      <c r="K202" s="33" t="s">
        <v>951</v>
      </c>
      <c r="L202" s="33" t="s">
        <v>689</v>
      </c>
      <c r="M202" s="34" t="s">
        <v>965</v>
      </c>
      <c r="N202" s="34" t="s">
        <v>1743</v>
      </c>
      <c r="O202" s="35">
        <v>1</v>
      </c>
      <c r="P202" s="35"/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1</v>
      </c>
      <c r="AF202" s="1">
        <f t="shared" si="113"/>
        <v>0</v>
      </c>
      <c r="AG202" s="1">
        <f t="shared" si="114"/>
        <v>1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31">
        <v>0</v>
      </c>
      <c r="B203" s="31">
        <v>1</v>
      </c>
      <c r="C203" s="31">
        <v>5</v>
      </c>
      <c r="D203" s="32" t="s">
        <v>645</v>
      </c>
      <c r="E203" s="32" t="s">
        <v>680</v>
      </c>
      <c r="F203" s="32" t="s">
        <v>641</v>
      </c>
      <c r="G203" s="32" t="s">
        <v>184</v>
      </c>
      <c r="H203" s="32" t="s">
        <v>352</v>
      </c>
      <c r="I203" s="31" t="s">
        <v>642</v>
      </c>
      <c r="J203" s="31">
        <v>99</v>
      </c>
      <c r="K203" s="33" t="s">
        <v>718</v>
      </c>
      <c r="L203" s="33" t="s">
        <v>689</v>
      </c>
      <c r="M203" s="34" t="s">
        <v>965</v>
      </c>
      <c r="N203" s="34" t="s">
        <v>1744</v>
      </c>
      <c r="O203" s="35">
        <v>1</v>
      </c>
      <c r="P203" s="35"/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1</v>
      </c>
      <c r="AF203" s="1">
        <f t="shared" si="113"/>
        <v>0</v>
      </c>
      <c r="AG203" s="1">
        <f t="shared" si="114"/>
        <v>1</v>
      </c>
      <c r="AH203" s="1">
        <f t="shared" si="115"/>
        <v>0</v>
      </c>
      <c r="AI203" s="1">
        <f t="shared" si="116"/>
        <v>1</v>
      </c>
    </row>
    <row r="204" spans="1:35" ht="14.25" customHeight="1" x14ac:dyDescent="0.3">
      <c r="A204" s="31">
        <v>0</v>
      </c>
      <c r="B204" s="31">
        <v>1</v>
      </c>
      <c r="C204" s="31">
        <v>5</v>
      </c>
      <c r="D204" s="32" t="s">
        <v>1305</v>
      </c>
      <c r="E204" s="32" t="s">
        <v>165</v>
      </c>
      <c r="F204" s="32" t="s">
        <v>1306</v>
      </c>
      <c r="G204" s="32" t="s">
        <v>281</v>
      </c>
      <c r="H204" s="32" t="s">
        <v>352</v>
      </c>
      <c r="I204" s="31" t="s">
        <v>1307</v>
      </c>
      <c r="J204" s="31">
        <v>99</v>
      </c>
      <c r="K204" s="33" t="s">
        <v>698</v>
      </c>
      <c r="L204" s="33" t="s">
        <v>39</v>
      </c>
      <c r="M204" s="34" t="s">
        <v>39</v>
      </c>
      <c r="N204" s="34" t="s">
        <v>1728</v>
      </c>
      <c r="O204" s="35">
        <v>1</v>
      </c>
      <c r="P204" s="35">
        <v>1</v>
      </c>
      <c r="Q204" s="32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1</v>
      </c>
      <c r="AE204" s="1">
        <f t="shared" si="128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3">
      <c r="A205" s="44">
        <v>0</v>
      </c>
      <c r="B205" s="44">
        <v>1</v>
      </c>
      <c r="C205" s="44">
        <v>5</v>
      </c>
      <c r="D205" s="45" t="s">
        <v>888</v>
      </c>
      <c r="E205" s="45" t="s">
        <v>889</v>
      </c>
      <c r="F205" s="45" t="s">
        <v>930</v>
      </c>
      <c r="G205" s="45" t="s">
        <v>39</v>
      </c>
      <c r="H205" s="45" t="s">
        <v>890</v>
      </c>
      <c r="I205" s="44" t="s">
        <v>891</v>
      </c>
      <c r="J205" s="44">
        <v>17</v>
      </c>
      <c r="K205" s="46" t="s">
        <v>699</v>
      </c>
      <c r="L205" s="46" t="s">
        <v>693</v>
      </c>
      <c r="M205" s="47" t="s">
        <v>965</v>
      </c>
      <c r="N205" s="47" t="s">
        <v>1736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15">
        <v>0</v>
      </c>
      <c r="B206" s="15">
        <v>1</v>
      </c>
      <c r="C206" s="15">
        <v>5</v>
      </c>
      <c r="D206" s="16" t="s">
        <v>1936</v>
      </c>
      <c r="E206" s="16" t="s">
        <v>889</v>
      </c>
      <c r="F206" s="16" t="s">
        <v>1938</v>
      </c>
      <c r="G206" s="16"/>
      <c r="H206" s="16" t="s">
        <v>1937</v>
      </c>
      <c r="I206" s="15" t="s">
        <v>1939</v>
      </c>
      <c r="J206" s="15">
        <v>16</v>
      </c>
      <c r="K206" s="10" t="s">
        <v>699</v>
      </c>
      <c r="L206" s="10" t="s">
        <v>693</v>
      </c>
      <c r="M206" s="19" t="s">
        <v>965</v>
      </c>
      <c r="N206" s="17"/>
      <c r="Q206" s="20" t="s">
        <v>1940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3">
      <c r="A207" s="44">
        <v>0</v>
      </c>
      <c r="B207" s="44">
        <v>1</v>
      </c>
      <c r="C207" s="44">
        <v>5</v>
      </c>
      <c r="D207" s="45" t="s">
        <v>130</v>
      </c>
      <c r="E207" s="45" t="s">
        <v>165</v>
      </c>
      <c r="F207" s="45" t="s">
        <v>330</v>
      </c>
      <c r="G207" s="45" t="s">
        <v>331</v>
      </c>
      <c r="H207" s="45" t="s">
        <v>352</v>
      </c>
      <c r="I207" s="44" t="s">
        <v>477</v>
      </c>
      <c r="J207" s="44">
        <v>99</v>
      </c>
      <c r="K207" s="46" t="s">
        <v>718</v>
      </c>
      <c r="L207" s="46" t="s">
        <v>690</v>
      </c>
      <c r="M207" s="47" t="s">
        <v>965</v>
      </c>
      <c r="N207" s="47" t="s">
        <v>1742</v>
      </c>
      <c r="O207" s="48"/>
      <c r="P207" s="48"/>
      <c r="Q207" s="45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108</v>
      </c>
      <c r="E208" s="32" t="s">
        <v>165</v>
      </c>
      <c r="F208" s="32" t="s">
        <v>305</v>
      </c>
      <c r="G208" s="32" t="s">
        <v>230</v>
      </c>
      <c r="H208" s="32" t="s">
        <v>352</v>
      </c>
      <c r="I208" s="31" t="s">
        <v>453</v>
      </c>
      <c r="J208" s="31">
        <v>99</v>
      </c>
      <c r="K208" s="33" t="s">
        <v>718</v>
      </c>
      <c r="L208" s="33" t="s">
        <v>692</v>
      </c>
      <c r="M208" s="34" t="s">
        <v>687</v>
      </c>
      <c r="N208" s="34" t="s">
        <v>1738</v>
      </c>
      <c r="O208" s="35">
        <v>1</v>
      </c>
      <c r="P208" s="35"/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0</v>
      </c>
      <c r="AE208" s="1">
        <f t="shared" si="128"/>
        <v>1</v>
      </c>
      <c r="AF208" s="1">
        <f t="shared" si="113"/>
        <v>0</v>
      </c>
      <c r="AG208" s="1">
        <f t="shared" si="114"/>
        <v>1</v>
      </c>
      <c r="AH208" s="1">
        <f t="shared" si="115"/>
        <v>0</v>
      </c>
      <c r="AI208" s="1">
        <f t="shared" si="116"/>
        <v>1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110</v>
      </c>
      <c r="E209" s="32" t="s">
        <v>171</v>
      </c>
      <c r="F209" s="32" t="s">
        <v>308</v>
      </c>
      <c r="G209" s="32" t="s">
        <v>39</v>
      </c>
      <c r="H209" s="32" t="s">
        <v>362</v>
      </c>
      <c r="I209" s="31" t="s">
        <v>456</v>
      </c>
      <c r="J209" s="31">
        <v>17</v>
      </c>
      <c r="K209" s="33" t="s">
        <v>699</v>
      </c>
      <c r="L209" s="33" t="s">
        <v>693</v>
      </c>
      <c r="M209" s="34" t="s">
        <v>687</v>
      </c>
      <c r="N209" s="34" t="s">
        <v>1728</v>
      </c>
      <c r="O209" s="35">
        <v>1</v>
      </c>
      <c r="P209" s="35">
        <v>1</v>
      </c>
      <c r="Q209" s="32" t="s">
        <v>1910</v>
      </c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3">
      <c r="A210" s="31">
        <v>0</v>
      </c>
      <c r="B210" s="31">
        <v>1</v>
      </c>
      <c r="C210" s="31">
        <v>5</v>
      </c>
      <c r="D210" s="32" t="s">
        <v>521</v>
      </c>
      <c r="E210" s="32" t="s">
        <v>522</v>
      </c>
      <c r="F210" s="32" t="s">
        <v>523</v>
      </c>
      <c r="G210" s="32" t="s">
        <v>201</v>
      </c>
      <c r="H210" s="32" t="s">
        <v>352</v>
      </c>
      <c r="I210" s="31" t="s">
        <v>524</v>
      </c>
      <c r="J210" s="31">
        <v>10</v>
      </c>
      <c r="K210" s="33" t="s">
        <v>698</v>
      </c>
      <c r="L210" s="33" t="s">
        <v>689</v>
      </c>
      <c r="M210" s="34" t="s">
        <v>965</v>
      </c>
      <c r="N210" s="34" t="s">
        <v>1728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si="113"/>
        <v>1</v>
      </c>
      <c r="AG210" s="1">
        <f t="shared" si="114"/>
        <v>0</v>
      </c>
      <c r="AH210" s="1">
        <f t="shared" si="115"/>
        <v>1</v>
      </c>
      <c r="AI210" s="1">
        <f t="shared" si="116"/>
        <v>0</v>
      </c>
    </row>
    <row r="211" spans="1:35" ht="14.25" customHeight="1" x14ac:dyDescent="0.3">
      <c r="A211" s="31">
        <v>0</v>
      </c>
      <c r="B211" s="31">
        <v>1</v>
      </c>
      <c r="C211" s="31">
        <v>5</v>
      </c>
      <c r="D211" s="32" t="s">
        <v>1494</v>
      </c>
      <c r="E211" s="32" t="s">
        <v>165</v>
      </c>
      <c r="F211" s="32" t="s">
        <v>1495</v>
      </c>
      <c r="G211" s="32" t="s">
        <v>179</v>
      </c>
      <c r="H211" s="32" t="s">
        <v>352</v>
      </c>
      <c r="I211" s="31" t="s">
        <v>1496</v>
      </c>
      <c r="J211" s="31">
        <v>10</v>
      </c>
      <c r="K211" s="33" t="s">
        <v>951</v>
      </c>
      <c r="L211" s="33" t="s">
        <v>689</v>
      </c>
      <c r="M211" s="34" t="s">
        <v>965</v>
      </c>
      <c r="N211" s="34" t="s">
        <v>1722</v>
      </c>
      <c r="O211" s="35">
        <v>1</v>
      </c>
      <c r="P211" s="35">
        <v>1</v>
      </c>
      <c r="Q211" s="32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1</v>
      </c>
      <c r="AD211" s="1">
        <f t="shared" si="127"/>
        <v>1</v>
      </c>
      <c r="AE211" s="1">
        <f t="shared" si="128"/>
        <v>0</v>
      </c>
      <c r="AF211" s="1">
        <f t="shared" ref="AF211:AF276" si="183">+O211*P211*(1-A211)</f>
        <v>1</v>
      </c>
      <c r="AG211" s="1">
        <f t="shared" ref="AG211:AG276" si="184">O211*(1-P211)*(1-A211)</f>
        <v>0</v>
      </c>
      <c r="AH211" s="1">
        <f t="shared" ref="AH211:AH276" si="185">+P211*(1-A211)</f>
        <v>1</v>
      </c>
      <c r="AI211" s="1">
        <f t="shared" ref="AI211:AI276" si="186">+(1-A211)*(1-P211)</f>
        <v>0</v>
      </c>
    </row>
    <row r="212" spans="1:35" ht="14.25" customHeight="1" x14ac:dyDescent="0.3">
      <c r="A212" s="31">
        <v>0</v>
      </c>
      <c r="B212" s="31">
        <v>1</v>
      </c>
      <c r="C212" s="31">
        <v>5</v>
      </c>
      <c r="D212" s="32" t="s">
        <v>1752</v>
      </c>
      <c r="E212" s="32" t="s">
        <v>165</v>
      </c>
      <c r="F212" s="32" t="s">
        <v>1753</v>
      </c>
      <c r="G212" s="32" t="s">
        <v>1754</v>
      </c>
      <c r="H212" s="32" t="s">
        <v>352</v>
      </c>
      <c r="I212" s="31" t="s">
        <v>1755</v>
      </c>
      <c r="J212" s="31">
        <v>1</v>
      </c>
      <c r="K212" s="33" t="s">
        <v>699</v>
      </c>
      <c r="L212" s="33"/>
      <c r="M212" s="34"/>
      <c r="N212" s="34" t="s">
        <v>1743</v>
      </c>
      <c r="O212" s="35">
        <v>1</v>
      </c>
      <c r="P212" s="35"/>
      <c r="Q212" s="32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83"/>
        <v>0</v>
      </c>
      <c r="AG212" s="1">
        <f t="shared" si="184"/>
        <v>1</v>
      </c>
      <c r="AH212" s="1">
        <f t="shared" si="185"/>
        <v>0</v>
      </c>
      <c r="AI212" s="1">
        <f t="shared" si="186"/>
        <v>1</v>
      </c>
    </row>
    <row r="213" spans="1:35" ht="14.25" customHeight="1" x14ac:dyDescent="0.3">
      <c r="A213" s="44">
        <v>0</v>
      </c>
      <c r="B213" s="44">
        <v>1</v>
      </c>
      <c r="C213" s="44">
        <v>5</v>
      </c>
      <c r="D213" s="45" t="s">
        <v>1021</v>
      </c>
      <c r="E213" s="45" t="s">
        <v>1082</v>
      </c>
      <c r="F213" s="45" t="s">
        <v>1022</v>
      </c>
      <c r="G213" s="45" t="s">
        <v>193</v>
      </c>
      <c r="H213" s="45" t="s">
        <v>352</v>
      </c>
      <c r="I213" s="44" t="s">
        <v>1023</v>
      </c>
      <c r="J213" s="44">
        <v>9</v>
      </c>
      <c r="K213" s="46" t="s">
        <v>718</v>
      </c>
      <c r="L213" s="46" t="s">
        <v>1699</v>
      </c>
      <c r="M213" s="47" t="s">
        <v>1599</v>
      </c>
      <c r="N213" s="47" t="s">
        <v>1730</v>
      </c>
      <c r="O213" s="48"/>
      <c r="P213" s="48"/>
      <c r="Q213" s="45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1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83"/>
        <v>0</v>
      </c>
      <c r="AG213" s="1">
        <f t="shared" si="184"/>
        <v>0</v>
      </c>
      <c r="AH213" s="1">
        <f t="shared" si="185"/>
        <v>0</v>
      </c>
      <c r="AI213" s="1">
        <f t="shared" si="186"/>
        <v>1</v>
      </c>
    </row>
    <row r="214" spans="1:35" ht="14.25" customHeight="1" x14ac:dyDescent="0.3">
      <c r="A214" s="44">
        <v>0</v>
      </c>
      <c r="B214" s="44">
        <v>1</v>
      </c>
      <c r="C214" s="44">
        <v>5</v>
      </c>
      <c r="D214" s="45" t="s">
        <v>1609</v>
      </c>
      <c r="E214" s="45" t="s">
        <v>165</v>
      </c>
      <c r="F214" s="45" t="s">
        <v>1610</v>
      </c>
      <c r="G214" s="45" t="s">
        <v>212</v>
      </c>
      <c r="H214" s="45" t="s">
        <v>352</v>
      </c>
      <c r="I214" s="44" t="s">
        <v>1611</v>
      </c>
      <c r="J214" s="44">
        <v>1</v>
      </c>
      <c r="K214" s="46" t="s">
        <v>718</v>
      </c>
      <c r="L214" s="46" t="s">
        <v>690</v>
      </c>
      <c r="M214" s="47" t="s">
        <v>965</v>
      </c>
      <c r="N214" s="47" t="s">
        <v>1731</v>
      </c>
      <c r="O214" s="48"/>
      <c r="P214" s="48"/>
      <c r="Q214" s="4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0</v>
      </c>
      <c r="AF214" s="1">
        <f t="shared" si="183"/>
        <v>0</v>
      </c>
      <c r="AG214" s="1">
        <f t="shared" si="184"/>
        <v>0</v>
      </c>
      <c r="AH214" s="1">
        <f t="shared" si="185"/>
        <v>0</v>
      </c>
      <c r="AI214" s="1">
        <f t="shared" si="186"/>
        <v>1</v>
      </c>
    </row>
    <row r="215" spans="1:35" ht="14.25" customHeight="1" x14ac:dyDescent="0.3">
      <c r="A215" s="31">
        <v>0</v>
      </c>
      <c r="B215" s="31">
        <v>1</v>
      </c>
      <c r="C215" s="31">
        <v>5</v>
      </c>
      <c r="D215" s="32" t="s">
        <v>146</v>
      </c>
      <c r="E215" s="32" t="s">
        <v>541</v>
      </c>
      <c r="F215" s="32" t="s">
        <v>1594</v>
      </c>
      <c r="G215" s="32" t="s">
        <v>1668</v>
      </c>
      <c r="H215" s="32" t="s">
        <v>352</v>
      </c>
      <c r="I215" s="31" t="s">
        <v>491</v>
      </c>
      <c r="J215" s="31">
        <v>99</v>
      </c>
      <c r="K215" s="33" t="s">
        <v>698</v>
      </c>
      <c r="L215" s="33" t="s">
        <v>685</v>
      </c>
      <c r="M215" s="34" t="s">
        <v>965</v>
      </c>
      <c r="N215" s="34" t="s">
        <v>1820</v>
      </c>
      <c r="O215" s="35">
        <v>1</v>
      </c>
      <c r="P215" s="35"/>
      <c r="Q215" s="32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0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83"/>
        <v>0</v>
      </c>
      <c r="AG215" s="1">
        <f t="shared" si="184"/>
        <v>1</v>
      </c>
      <c r="AH215" s="1">
        <f t="shared" si="185"/>
        <v>0</v>
      </c>
      <c r="AI215" s="1">
        <f t="shared" si="186"/>
        <v>1</v>
      </c>
    </row>
    <row r="216" spans="1:35" ht="14.25" customHeight="1" x14ac:dyDescent="0.3">
      <c r="A216" s="15">
        <v>0</v>
      </c>
      <c r="B216" s="15">
        <v>1</v>
      </c>
      <c r="C216" s="15">
        <v>5</v>
      </c>
      <c r="D216" s="16" t="s">
        <v>1207</v>
      </c>
      <c r="E216" s="16" t="s">
        <v>165</v>
      </c>
      <c r="F216" s="16" t="s">
        <v>1208</v>
      </c>
      <c r="G216" s="16" t="s">
        <v>1209</v>
      </c>
      <c r="H216" s="16" t="s">
        <v>352</v>
      </c>
      <c r="I216" s="15" t="s">
        <v>1210</v>
      </c>
      <c r="J216" s="15">
        <v>99</v>
      </c>
      <c r="K216" s="10" t="s">
        <v>699</v>
      </c>
      <c r="L216" s="10">
        <v>30</v>
      </c>
      <c r="M216" s="19" t="s">
        <v>965</v>
      </c>
      <c r="N216" s="19"/>
      <c r="Q216" s="16"/>
      <c r="S216" s="1">
        <f t="shared" ref="S216:S280" si="187">IF(J216=$S$7,1,0)</f>
        <v>0</v>
      </c>
      <c r="T216" s="1">
        <f t="shared" ref="T216:T280" si="188">IF(J216=$T$7,1,0)</f>
        <v>0</v>
      </c>
      <c r="U216" s="1">
        <f t="shared" ref="U216:U280" si="189">IF(J216=$U$7,1,0)</f>
        <v>0</v>
      </c>
      <c r="V216" s="1">
        <f t="shared" ref="V216:V280" si="190">IF(J216=$V$7,1,0)</f>
        <v>0</v>
      </c>
      <c r="W216" s="1">
        <f t="shared" ref="W216:W280" si="191">IF(J216=$W$7,1,0)</f>
        <v>0</v>
      </c>
      <c r="X216" s="1">
        <f t="shared" ref="X216:X280" si="192">IF(J216=$X$7,1,0)</f>
        <v>0</v>
      </c>
      <c r="Y216" s="1">
        <f t="shared" ref="Y216:Y280" si="193">IF(J216=$Y$7,1,0)</f>
        <v>0</v>
      </c>
      <c r="Z216" s="1">
        <f t="shared" ref="Z216:Z280" si="194">IF(J216=$Z$7,1,0)</f>
        <v>0</v>
      </c>
      <c r="AA216" s="1">
        <f t="shared" ref="AA216:AA280" si="195">IF(J216=$AA$7,1,0)</f>
        <v>0</v>
      </c>
      <c r="AB216" s="1">
        <f t="shared" ref="AB216:AB280" si="196">IF(J216=$AB$7,1,0)</f>
        <v>0</v>
      </c>
      <c r="AD216" s="1">
        <f t="shared" ref="AD216:AD280" si="197">+O216*P216</f>
        <v>0</v>
      </c>
      <c r="AE216" s="1">
        <f t="shared" ref="AE216:AE280" si="198">O216*(1-P216)</f>
        <v>0</v>
      </c>
      <c r="AF216" s="1">
        <f t="shared" si="183"/>
        <v>0</v>
      </c>
      <c r="AG216" s="1">
        <f t="shared" si="184"/>
        <v>0</v>
      </c>
      <c r="AH216" s="1">
        <f t="shared" si="185"/>
        <v>0</v>
      </c>
      <c r="AI216" s="1">
        <f t="shared" si="186"/>
        <v>1</v>
      </c>
    </row>
    <row r="217" spans="1:35" ht="14.25" customHeight="1" x14ac:dyDescent="0.3">
      <c r="A217" s="31">
        <v>0</v>
      </c>
      <c r="B217" s="31">
        <v>1</v>
      </c>
      <c r="C217" s="31">
        <v>5</v>
      </c>
      <c r="D217" s="32" t="s">
        <v>1595</v>
      </c>
      <c r="E217" s="32" t="s">
        <v>171</v>
      </c>
      <c r="F217" s="32" t="s">
        <v>804</v>
      </c>
      <c r="G217" s="32" t="s">
        <v>39</v>
      </c>
      <c r="H217" s="32" t="s">
        <v>805</v>
      </c>
      <c r="I217" s="31" t="s">
        <v>806</v>
      </c>
      <c r="J217" s="31">
        <v>16</v>
      </c>
      <c r="K217" s="33" t="s">
        <v>952</v>
      </c>
      <c r="L217" s="33" t="s">
        <v>1737</v>
      </c>
      <c r="M217" s="34" t="s">
        <v>965</v>
      </c>
      <c r="N217" s="34" t="s">
        <v>1743</v>
      </c>
      <c r="O217" s="35">
        <v>1</v>
      </c>
      <c r="P217" s="35"/>
      <c r="Q217" s="32"/>
      <c r="S217" s="1">
        <f t="shared" si="187"/>
        <v>0</v>
      </c>
      <c r="T217" s="1">
        <f t="shared" si="188"/>
        <v>0</v>
      </c>
      <c r="U217" s="1">
        <f t="shared" si="189"/>
        <v>0</v>
      </c>
      <c r="V217" s="1">
        <f t="shared" si="190"/>
        <v>0</v>
      </c>
      <c r="W217" s="1">
        <f t="shared" si="191"/>
        <v>0</v>
      </c>
      <c r="X217" s="1">
        <f t="shared" si="192"/>
        <v>0</v>
      </c>
      <c r="Y217" s="1">
        <f t="shared" si="193"/>
        <v>0</v>
      </c>
      <c r="Z217" s="1">
        <f t="shared" si="194"/>
        <v>0</v>
      </c>
      <c r="AA217" s="1">
        <f t="shared" si="195"/>
        <v>0</v>
      </c>
      <c r="AB217" s="1">
        <f t="shared" si="196"/>
        <v>0</v>
      </c>
      <c r="AD217" s="1">
        <f t="shared" si="197"/>
        <v>0</v>
      </c>
      <c r="AE217" s="1">
        <f t="shared" si="198"/>
        <v>1</v>
      </c>
      <c r="AF217" s="1">
        <f t="shared" si="183"/>
        <v>0</v>
      </c>
      <c r="AG217" s="1">
        <f t="shared" si="184"/>
        <v>1</v>
      </c>
      <c r="AH217" s="1">
        <f t="shared" si="185"/>
        <v>0</v>
      </c>
      <c r="AI217" s="1">
        <f t="shared" si="186"/>
        <v>1</v>
      </c>
    </row>
    <row r="218" spans="1:35" ht="14.25" customHeight="1" x14ac:dyDescent="0.3">
      <c r="A218" s="31">
        <v>0</v>
      </c>
      <c r="B218" s="31">
        <v>1</v>
      </c>
      <c r="C218" s="31">
        <v>5</v>
      </c>
      <c r="D218" s="32" t="s">
        <v>498</v>
      </c>
      <c r="E218" s="32" t="s">
        <v>165</v>
      </c>
      <c r="F218" s="32" t="s">
        <v>499</v>
      </c>
      <c r="G218" s="32" t="s">
        <v>500</v>
      </c>
      <c r="H218" s="32" t="s">
        <v>352</v>
      </c>
      <c r="I218" s="31" t="s">
        <v>501</v>
      </c>
      <c r="J218" s="31">
        <v>99</v>
      </c>
      <c r="K218" s="33" t="s">
        <v>952</v>
      </c>
      <c r="L218" s="33" t="s">
        <v>690</v>
      </c>
      <c r="M218" s="34" t="s">
        <v>687</v>
      </c>
      <c r="N218" s="34" t="s">
        <v>1722</v>
      </c>
      <c r="O218" s="35">
        <v>1</v>
      </c>
      <c r="P218" s="35">
        <v>1</v>
      </c>
      <c r="Q218" s="32"/>
      <c r="S218" s="1">
        <f t="shared" si="187"/>
        <v>0</v>
      </c>
      <c r="T218" s="1">
        <f t="shared" si="188"/>
        <v>0</v>
      </c>
      <c r="U218" s="1">
        <f t="shared" si="189"/>
        <v>0</v>
      </c>
      <c r="V218" s="1">
        <f t="shared" si="190"/>
        <v>0</v>
      </c>
      <c r="W218" s="1">
        <f t="shared" si="191"/>
        <v>0</v>
      </c>
      <c r="X218" s="1">
        <f t="shared" si="192"/>
        <v>0</v>
      </c>
      <c r="Y218" s="1">
        <f t="shared" si="193"/>
        <v>0</v>
      </c>
      <c r="Z218" s="1">
        <f t="shared" si="194"/>
        <v>0</v>
      </c>
      <c r="AA218" s="1">
        <f t="shared" si="195"/>
        <v>0</v>
      </c>
      <c r="AB218" s="1">
        <f t="shared" si="196"/>
        <v>0</v>
      </c>
      <c r="AD218" s="1">
        <f t="shared" si="197"/>
        <v>1</v>
      </c>
      <c r="AE218" s="1">
        <f t="shared" si="198"/>
        <v>0</v>
      </c>
      <c r="AF218" s="1">
        <f t="shared" si="183"/>
        <v>1</v>
      </c>
      <c r="AG218" s="1">
        <f t="shared" si="184"/>
        <v>0</v>
      </c>
      <c r="AH218" s="1">
        <f t="shared" si="185"/>
        <v>1</v>
      </c>
      <c r="AI218" s="1">
        <f t="shared" si="186"/>
        <v>0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1445</v>
      </c>
      <c r="E219" s="32" t="s">
        <v>166</v>
      </c>
      <c r="F219" s="32" t="s">
        <v>1446</v>
      </c>
      <c r="G219" s="32" t="s">
        <v>178</v>
      </c>
      <c r="H219" s="32" t="s">
        <v>352</v>
      </c>
      <c r="I219" s="31" t="s">
        <v>1447</v>
      </c>
      <c r="J219" s="31">
        <v>99</v>
      </c>
      <c r="K219" s="33" t="s">
        <v>951</v>
      </c>
      <c r="L219" s="33" t="s">
        <v>692</v>
      </c>
      <c r="M219" s="34" t="s">
        <v>1448</v>
      </c>
      <c r="N219" s="34" t="s">
        <v>1744</v>
      </c>
      <c r="O219" s="35">
        <v>1</v>
      </c>
      <c r="P219" s="35"/>
      <c r="Q219" s="36"/>
      <c r="S219" s="1">
        <f t="shared" si="187"/>
        <v>0</v>
      </c>
      <c r="T219" s="1">
        <f t="shared" si="188"/>
        <v>0</v>
      </c>
      <c r="U219" s="1">
        <f t="shared" si="189"/>
        <v>0</v>
      </c>
      <c r="V219" s="1">
        <f t="shared" si="190"/>
        <v>0</v>
      </c>
      <c r="W219" s="1">
        <f t="shared" si="191"/>
        <v>0</v>
      </c>
      <c r="X219" s="1">
        <f t="shared" si="192"/>
        <v>0</v>
      </c>
      <c r="Y219" s="1">
        <f t="shared" si="193"/>
        <v>0</v>
      </c>
      <c r="Z219" s="1">
        <f t="shared" si="194"/>
        <v>0</v>
      </c>
      <c r="AA219" s="1">
        <f t="shared" si="195"/>
        <v>0</v>
      </c>
      <c r="AB219" s="1">
        <f t="shared" si="196"/>
        <v>0</v>
      </c>
      <c r="AD219" s="1">
        <f t="shared" si="197"/>
        <v>0</v>
      </c>
      <c r="AE219" s="1">
        <f t="shared" si="198"/>
        <v>1</v>
      </c>
      <c r="AF219" s="1">
        <f t="shared" si="183"/>
        <v>0</v>
      </c>
      <c r="AG219" s="1">
        <f t="shared" si="184"/>
        <v>1</v>
      </c>
      <c r="AH219" s="1">
        <f t="shared" si="185"/>
        <v>0</v>
      </c>
      <c r="AI219" s="1">
        <f t="shared" si="186"/>
        <v>1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1181</v>
      </c>
      <c r="E220" s="32" t="s">
        <v>1184</v>
      </c>
      <c r="F220" s="32" t="s">
        <v>1182</v>
      </c>
      <c r="G220" s="32" t="s">
        <v>39</v>
      </c>
      <c r="H220" s="32" t="s">
        <v>352</v>
      </c>
      <c r="I220" s="31" t="s">
        <v>1183</v>
      </c>
      <c r="J220" s="31">
        <v>99</v>
      </c>
      <c r="K220" s="33" t="s">
        <v>957</v>
      </c>
      <c r="L220" s="33" t="s">
        <v>39</v>
      </c>
      <c r="M220" s="34" t="s">
        <v>39</v>
      </c>
      <c r="N220" s="34" t="s">
        <v>1728</v>
      </c>
      <c r="O220" s="35">
        <v>1</v>
      </c>
      <c r="P220" s="35">
        <v>1</v>
      </c>
      <c r="Q220" s="36" t="s">
        <v>1903</v>
      </c>
      <c r="S220" s="1">
        <f t="shared" si="187"/>
        <v>0</v>
      </c>
      <c r="T220" s="1">
        <f t="shared" si="188"/>
        <v>0</v>
      </c>
      <c r="U220" s="1">
        <f t="shared" si="189"/>
        <v>0</v>
      </c>
      <c r="V220" s="1">
        <f t="shared" si="190"/>
        <v>0</v>
      </c>
      <c r="W220" s="1">
        <f t="shared" si="191"/>
        <v>0</v>
      </c>
      <c r="X220" s="1">
        <f t="shared" si="192"/>
        <v>0</v>
      </c>
      <c r="Y220" s="1">
        <f t="shared" si="193"/>
        <v>0</v>
      </c>
      <c r="Z220" s="1">
        <f t="shared" si="194"/>
        <v>0</v>
      </c>
      <c r="AA220" s="1">
        <f t="shared" si="195"/>
        <v>0</v>
      </c>
      <c r="AB220" s="1">
        <f t="shared" si="196"/>
        <v>0</v>
      </c>
      <c r="AD220" s="1">
        <f t="shared" si="197"/>
        <v>1</v>
      </c>
      <c r="AE220" s="1">
        <f t="shared" si="198"/>
        <v>0</v>
      </c>
      <c r="AF220" s="1">
        <f t="shared" si="183"/>
        <v>1</v>
      </c>
      <c r="AG220" s="1">
        <f t="shared" si="184"/>
        <v>0</v>
      </c>
      <c r="AH220" s="1">
        <f t="shared" si="185"/>
        <v>1</v>
      </c>
      <c r="AI220" s="1">
        <f t="shared" si="186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1643</v>
      </c>
      <c r="E221" s="32" t="s">
        <v>1651</v>
      </c>
      <c r="F221" s="32" t="s">
        <v>1678</v>
      </c>
      <c r="G221" s="32" t="s">
        <v>1679</v>
      </c>
      <c r="H221" s="32" t="s">
        <v>352</v>
      </c>
      <c r="I221" s="31" t="s">
        <v>1691</v>
      </c>
      <c r="J221" s="31">
        <v>1</v>
      </c>
      <c r="K221" s="33" t="s">
        <v>953</v>
      </c>
      <c r="L221" s="33" t="s">
        <v>39</v>
      </c>
      <c r="M221" s="34" t="s">
        <v>39</v>
      </c>
      <c r="N221" s="34" t="s">
        <v>1722</v>
      </c>
      <c r="O221" s="35">
        <v>1</v>
      </c>
      <c r="P221" s="35">
        <v>1</v>
      </c>
      <c r="Q221" s="32"/>
      <c r="S221" s="1">
        <f t="shared" si="187"/>
        <v>1</v>
      </c>
      <c r="T221" s="1">
        <f t="shared" si="188"/>
        <v>0</v>
      </c>
      <c r="U221" s="1">
        <f t="shared" si="189"/>
        <v>0</v>
      </c>
      <c r="V221" s="1">
        <f t="shared" si="190"/>
        <v>0</v>
      </c>
      <c r="W221" s="1">
        <f t="shared" si="191"/>
        <v>0</v>
      </c>
      <c r="X221" s="1">
        <f t="shared" si="192"/>
        <v>0</v>
      </c>
      <c r="Y221" s="1">
        <f t="shared" si="193"/>
        <v>0</v>
      </c>
      <c r="Z221" s="1">
        <f t="shared" si="194"/>
        <v>0</v>
      </c>
      <c r="AA221" s="1">
        <f t="shared" si="195"/>
        <v>0</v>
      </c>
      <c r="AB221" s="1">
        <f t="shared" si="196"/>
        <v>0</v>
      </c>
      <c r="AD221" s="1">
        <f t="shared" si="197"/>
        <v>1</v>
      </c>
      <c r="AE221" s="1">
        <f t="shared" si="198"/>
        <v>0</v>
      </c>
      <c r="AF221" s="1">
        <f t="shared" si="183"/>
        <v>1</v>
      </c>
      <c r="AG221" s="1">
        <f t="shared" si="184"/>
        <v>0</v>
      </c>
      <c r="AH221" s="1">
        <f t="shared" si="185"/>
        <v>1</v>
      </c>
      <c r="AI221" s="1">
        <f t="shared" si="186"/>
        <v>0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89</v>
      </c>
      <c r="E222" s="32" t="s">
        <v>167</v>
      </c>
      <c r="F222" s="32" t="s">
        <v>282</v>
      </c>
      <c r="G222" s="32" t="s">
        <v>229</v>
      </c>
      <c r="H222" s="32" t="s">
        <v>352</v>
      </c>
      <c r="I222" s="31" t="s">
        <v>435</v>
      </c>
      <c r="J222" s="31">
        <v>7</v>
      </c>
      <c r="K222" s="33" t="s">
        <v>718</v>
      </c>
      <c r="L222" s="33">
        <v>40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87"/>
        <v>0</v>
      </c>
      <c r="T222" s="1">
        <f t="shared" si="188"/>
        <v>0</v>
      </c>
      <c r="U222" s="1">
        <f t="shared" si="189"/>
        <v>0</v>
      </c>
      <c r="V222" s="1">
        <f t="shared" si="190"/>
        <v>0</v>
      </c>
      <c r="W222" s="1">
        <f t="shared" si="191"/>
        <v>0</v>
      </c>
      <c r="X222" s="1">
        <f t="shared" si="192"/>
        <v>0</v>
      </c>
      <c r="Y222" s="1">
        <f t="shared" si="193"/>
        <v>1</v>
      </c>
      <c r="Z222" s="1">
        <f t="shared" si="194"/>
        <v>0</v>
      </c>
      <c r="AA222" s="1">
        <f t="shared" si="195"/>
        <v>0</v>
      </c>
      <c r="AB222" s="1">
        <f t="shared" si="196"/>
        <v>0</v>
      </c>
      <c r="AD222" s="1">
        <f t="shared" si="197"/>
        <v>0</v>
      </c>
      <c r="AE222" s="1">
        <f t="shared" si="198"/>
        <v>1</v>
      </c>
      <c r="AF222" s="1">
        <f t="shared" si="183"/>
        <v>0</v>
      </c>
      <c r="AG222" s="1">
        <f t="shared" si="184"/>
        <v>1</v>
      </c>
      <c r="AH222" s="1">
        <f t="shared" si="185"/>
        <v>0</v>
      </c>
      <c r="AI222" s="1">
        <f t="shared" si="186"/>
        <v>1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90</v>
      </c>
      <c r="E223" s="32" t="s">
        <v>164</v>
      </c>
      <c r="F223" s="36" t="s">
        <v>1866</v>
      </c>
      <c r="G223" s="32" t="s">
        <v>239</v>
      </c>
      <c r="H223" s="32" t="s">
        <v>352</v>
      </c>
      <c r="I223" s="31" t="s">
        <v>436</v>
      </c>
      <c r="J223" s="31">
        <v>1</v>
      </c>
      <c r="K223" s="33" t="s">
        <v>959</v>
      </c>
      <c r="L223" s="33" t="s">
        <v>39</v>
      </c>
      <c r="M223" s="34" t="s">
        <v>39</v>
      </c>
      <c r="N223" s="34" t="s">
        <v>1722</v>
      </c>
      <c r="O223" s="35">
        <v>1</v>
      </c>
      <c r="P223" s="35">
        <v>1</v>
      </c>
      <c r="Q223" s="32"/>
      <c r="S223" s="1">
        <f t="shared" si="187"/>
        <v>1</v>
      </c>
      <c r="T223" s="1">
        <f t="shared" si="188"/>
        <v>0</v>
      </c>
      <c r="U223" s="1">
        <f t="shared" si="189"/>
        <v>0</v>
      </c>
      <c r="V223" s="1">
        <f t="shared" si="190"/>
        <v>0</v>
      </c>
      <c r="W223" s="1">
        <f t="shared" si="191"/>
        <v>0</v>
      </c>
      <c r="X223" s="1">
        <f t="shared" si="192"/>
        <v>0</v>
      </c>
      <c r="Y223" s="1">
        <f t="shared" si="193"/>
        <v>0</v>
      </c>
      <c r="Z223" s="1">
        <f t="shared" si="194"/>
        <v>0</v>
      </c>
      <c r="AA223" s="1">
        <f t="shared" si="195"/>
        <v>0</v>
      </c>
      <c r="AB223" s="1">
        <f t="shared" si="196"/>
        <v>0</v>
      </c>
      <c r="AD223" s="1">
        <f t="shared" si="197"/>
        <v>1</v>
      </c>
      <c r="AE223" s="1">
        <f t="shared" si="198"/>
        <v>0</v>
      </c>
      <c r="AF223" s="1">
        <f t="shared" si="183"/>
        <v>1</v>
      </c>
      <c r="AG223" s="1">
        <f t="shared" si="184"/>
        <v>0</v>
      </c>
      <c r="AH223" s="1">
        <f t="shared" si="185"/>
        <v>1</v>
      </c>
      <c r="AI223" s="1">
        <f t="shared" si="186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91</v>
      </c>
      <c r="E224" s="32" t="s">
        <v>166</v>
      </c>
      <c r="F224" s="32" t="s">
        <v>284</v>
      </c>
      <c r="G224" s="32" t="s">
        <v>199</v>
      </c>
      <c r="H224" s="32" t="s">
        <v>352</v>
      </c>
      <c r="I224" s="31" t="s">
        <v>437</v>
      </c>
      <c r="J224" s="31">
        <v>2</v>
      </c>
      <c r="K224" s="33" t="s">
        <v>957</v>
      </c>
      <c r="L224" s="33" t="s">
        <v>39</v>
      </c>
      <c r="M224" s="34" t="s">
        <v>39</v>
      </c>
      <c r="N224" s="34" t="s">
        <v>1722</v>
      </c>
      <c r="O224" s="35">
        <v>1</v>
      </c>
      <c r="P224" s="35">
        <v>1</v>
      </c>
      <c r="Q224" s="32"/>
      <c r="S224" s="1">
        <f t="shared" si="187"/>
        <v>0</v>
      </c>
      <c r="T224" s="1">
        <f t="shared" si="188"/>
        <v>1</v>
      </c>
      <c r="U224" s="1">
        <f t="shared" si="189"/>
        <v>0</v>
      </c>
      <c r="V224" s="1">
        <f t="shared" si="190"/>
        <v>0</v>
      </c>
      <c r="W224" s="1">
        <f t="shared" si="191"/>
        <v>0</v>
      </c>
      <c r="X224" s="1">
        <f t="shared" si="192"/>
        <v>0</v>
      </c>
      <c r="Y224" s="1">
        <f t="shared" si="193"/>
        <v>0</v>
      </c>
      <c r="Z224" s="1">
        <f t="shared" si="194"/>
        <v>0</v>
      </c>
      <c r="AA224" s="1">
        <f t="shared" si="195"/>
        <v>0</v>
      </c>
      <c r="AB224" s="1">
        <f t="shared" si="196"/>
        <v>0</v>
      </c>
      <c r="AD224" s="1">
        <f t="shared" si="197"/>
        <v>1</v>
      </c>
      <c r="AE224" s="1">
        <f t="shared" si="198"/>
        <v>0</v>
      </c>
      <c r="AF224" s="1">
        <f t="shared" si="183"/>
        <v>1</v>
      </c>
      <c r="AG224" s="1">
        <f t="shared" si="184"/>
        <v>0</v>
      </c>
      <c r="AH224" s="1">
        <f t="shared" si="185"/>
        <v>1</v>
      </c>
      <c r="AI224" s="1">
        <f t="shared" si="186"/>
        <v>0</v>
      </c>
    </row>
    <row r="225" spans="1:16384" s="1" customFormat="1" ht="14.25" customHeight="1" x14ac:dyDescent="0.3">
      <c r="A225" s="31">
        <v>0</v>
      </c>
      <c r="B225" s="31">
        <v>1</v>
      </c>
      <c r="C225" s="31">
        <v>6</v>
      </c>
      <c r="D225" s="32" t="s">
        <v>1271</v>
      </c>
      <c r="E225" s="32" t="s">
        <v>166</v>
      </c>
      <c r="F225" s="32" t="s">
        <v>1143</v>
      </c>
      <c r="G225" s="32" t="s">
        <v>1337</v>
      </c>
      <c r="H225" s="32" t="s">
        <v>352</v>
      </c>
      <c r="I225" s="31" t="s">
        <v>1144</v>
      </c>
      <c r="J225" s="31">
        <v>99</v>
      </c>
      <c r="K225" s="33" t="s">
        <v>698</v>
      </c>
      <c r="L225" s="33">
        <v>45</v>
      </c>
      <c r="M225" s="34" t="s">
        <v>39</v>
      </c>
      <c r="N225" s="34" t="s">
        <v>1738</v>
      </c>
      <c r="O225" s="35">
        <v>1</v>
      </c>
      <c r="P225" s="35"/>
      <c r="Q225" s="32"/>
      <c r="S225" s="1">
        <f t="shared" si="187"/>
        <v>0</v>
      </c>
      <c r="T225" s="1">
        <f t="shared" si="188"/>
        <v>0</v>
      </c>
      <c r="U225" s="1">
        <f t="shared" si="189"/>
        <v>0</v>
      </c>
      <c r="V225" s="1">
        <f t="shared" si="190"/>
        <v>0</v>
      </c>
      <c r="W225" s="1">
        <f t="shared" si="191"/>
        <v>0</v>
      </c>
      <c r="X225" s="1">
        <f t="shared" si="192"/>
        <v>0</v>
      </c>
      <c r="Y225" s="1">
        <f t="shared" si="193"/>
        <v>0</v>
      </c>
      <c r="Z225" s="1">
        <f t="shared" si="194"/>
        <v>0</v>
      </c>
      <c r="AA225" s="1">
        <f t="shared" si="195"/>
        <v>0</v>
      </c>
      <c r="AB225" s="1">
        <f t="shared" si="196"/>
        <v>0</v>
      </c>
      <c r="AD225" s="1">
        <f t="shared" si="197"/>
        <v>0</v>
      </c>
      <c r="AE225" s="1">
        <f t="shared" si="198"/>
        <v>1</v>
      </c>
      <c r="AF225" s="1">
        <f t="shared" si="183"/>
        <v>0</v>
      </c>
      <c r="AG225" s="1">
        <f t="shared" si="184"/>
        <v>1</v>
      </c>
      <c r="AH225" s="1">
        <f t="shared" si="185"/>
        <v>0</v>
      </c>
      <c r="AI225" s="1">
        <f t="shared" si="186"/>
        <v>1</v>
      </c>
    </row>
    <row r="226" spans="1:16384" s="1" customFormat="1" ht="14.25" customHeight="1" x14ac:dyDescent="0.3">
      <c r="A226" s="31">
        <v>0</v>
      </c>
      <c r="B226" s="31">
        <v>1</v>
      </c>
      <c r="C226" s="31">
        <v>6</v>
      </c>
      <c r="D226" s="32" t="s">
        <v>1786</v>
      </c>
      <c r="E226" s="32" t="s">
        <v>166</v>
      </c>
      <c r="F226" s="32" t="s">
        <v>1761</v>
      </c>
      <c r="G226" s="32"/>
      <c r="H226" s="32" t="s">
        <v>352</v>
      </c>
      <c r="I226" s="31" t="s">
        <v>1762</v>
      </c>
      <c r="J226" s="31"/>
      <c r="K226" s="33" t="s">
        <v>699</v>
      </c>
      <c r="L226" s="33"/>
      <c r="M226" s="34"/>
      <c r="N226" s="34" t="s">
        <v>1722</v>
      </c>
      <c r="O226" s="35">
        <v>1</v>
      </c>
      <c r="P226" s="35">
        <v>1</v>
      </c>
      <c r="Q226" s="32"/>
      <c r="S226" s="1">
        <f t="shared" si="187"/>
        <v>0</v>
      </c>
      <c r="T226" s="1">
        <f t="shared" si="188"/>
        <v>0</v>
      </c>
      <c r="U226" s="1">
        <f t="shared" si="189"/>
        <v>0</v>
      </c>
      <c r="V226" s="1">
        <f t="shared" si="190"/>
        <v>0</v>
      </c>
      <c r="W226" s="1">
        <f t="shared" si="191"/>
        <v>0</v>
      </c>
      <c r="X226" s="1">
        <f t="shared" si="192"/>
        <v>0</v>
      </c>
      <c r="Y226" s="1">
        <f t="shared" si="193"/>
        <v>0</v>
      </c>
      <c r="Z226" s="1">
        <f t="shared" si="194"/>
        <v>0</v>
      </c>
      <c r="AA226" s="1">
        <f t="shared" si="195"/>
        <v>0</v>
      </c>
      <c r="AB226" s="1">
        <f t="shared" si="196"/>
        <v>0</v>
      </c>
      <c r="AD226" s="1">
        <f t="shared" si="197"/>
        <v>1</v>
      </c>
      <c r="AE226" s="1">
        <f t="shared" si="198"/>
        <v>0</v>
      </c>
      <c r="AF226" s="1">
        <f t="shared" si="183"/>
        <v>1</v>
      </c>
      <c r="AG226" s="1">
        <f t="shared" si="184"/>
        <v>0</v>
      </c>
      <c r="AH226" s="1">
        <f t="shared" si="185"/>
        <v>1</v>
      </c>
      <c r="AI226" s="1">
        <f t="shared" si="186"/>
        <v>0</v>
      </c>
    </row>
    <row r="227" spans="1:16384" s="1" customFormat="1" ht="14.25" customHeight="1" x14ac:dyDescent="0.3">
      <c r="A227" s="31">
        <v>0</v>
      </c>
      <c r="B227" s="31">
        <v>1</v>
      </c>
      <c r="C227" s="31">
        <v>6</v>
      </c>
      <c r="D227" s="32" t="s">
        <v>1785</v>
      </c>
      <c r="E227" s="32" t="s">
        <v>166</v>
      </c>
      <c r="F227" s="32" t="s">
        <v>1763</v>
      </c>
      <c r="G227" s="32"/>
      <c r="H227" s="32" t="s">
        <v>352</v>
      </c>
      <c r="I227" s="31" t="s">
        <v>1764</v>
      </c>
      <c r="J227" s="31"/>
      <c r="K227" s="33" t="s">
        <v>699</v>
      </c>
      <c r="L227" s="33">
        <v>30</v>
      </c>
      <c r="M227" s="34" t="s">
        <v>1765</v>
      </c>
      <c r="N227" s="34" t="s">
        <v>1743</v>
      </c>
      <c r="O227" s="35">
        <v>1</v>
      </c>
      <c r="P227" s="35"/>
      <c r="Q227" s="32"/>
      <c r="S227" s="1">
        <f t="shared" si="187"/>
        <v>0</v>
      </c>
      <c r="T227" s="1">
        <f t="shared" si="188"/>
        <v>0</v>
      </c>
      <c r="U227" s="1">
        <f t="shared" si="189"/>
        <v>0</v>
      </c>
      <c r="V227" s="1">
        <f t="shared" si="190"/>
        <v>0</v>
      </c>
      <c r="W227" s="1">
        <f t="shared" si="191"/>
        <v>0</v>
      </c>
      <c r="X227" s="1">
        <f t="shared" si="192"/>
        <v>0</v>
      </c>
      <c r="Y227" s="1">
        <f t="shared" si="193"/>
        <v>0</v>
      </c>
      <c r="Z227" s="1">
        <f t="shared" si="194"/>
        <v>0</v>
      </c>
      <c r="AA227" s="1">
        <f t="shared" si="195"/>
        <v>0</v>
      </c>
      <c r="AB227" s="1">
        <f t="shared" si="196"/>
        <v>0</v>
      </c>
      <c r="AD227" s="1">
        <f t="shared" si="197"/>
        <v>0</v>
      </c>
      <c r="AE227" s="1">
        <f t="shared" si="198"/>
        <v>1</v>
      </c>
      <c r="AF227" s="1">
        <f t="shared" si="183"/>
        <v>0</v>
      </c>
      <c r="AG227" s="1">
        <f t="shared" si="184"/>
        <v>1</v>
      </c>
      <c r="AH227" s="1">
        <f t="shared" si="185"/>
        <v>0</v>
      </c>
      <c r="AI227" s="1">
        <f t="shared" si="186"/>
        <v>1</v>
      </c>
    </row>
    <row r="228" spans="1:16384" s="1" customFormat="1" ht="14.25" customHeight="1" x14ac:dyDescent="0.3">
      <c r="A228" s="31">
        <v>0</v>
      </c>
      <c r="B228" s="31">
        <v>1</v>
      </c>
      <c r="C228" s="31">
        <v>6</v>
      </c>
      <c r="D228" s="32" t="s">
        <v>1009</v>
      </c>
      <c r="E228" s="32" t="s">
        <v>166</v>
      </c>
      <c r="F228" s="32" t="s">
        <v>1010</v>
      </c>
      <c r="G228" s="32" t="s">
        <v>1098</v>
      </c>
      <c r="H228" s="32" t="s">
        <v>352</v>
      </c>
      <c r="I228" s="31" t="s">
        <v>1011</v>
      </c>
      <c r="J228" s="31">
        <v>99</v>
      </c>
      <c r="K228" s="33" t="s">
        <v>959</v>
      </c>
      <c r="L228" s="33" t="s">
        <v>39</v>
      </c>
      <c r="M228" s="34" t="s">
        <v>39</v>
      </c>
      <c r="N228" s="34" t="s">
        <v>1722</v>
      </c>
      <c r="O228" s="35">
        <v>1</v>
      </c>
      <c r="P228" s="35">
        <v>1</v>
      </c>
      <c r="Q228" s="32"/>
      <c r="S228" s="1">
        <f t="shared" si="187"/>
        <v>0</v>
      </c>
      <c r="T228" s="1">
        <f t="shared" si="188"/>
        <v>0</v>
      </c>
      <c r="U228" s="1">
        <f t="shared" si="189"/>
        <v>0</v>
      </c>
      <c r="V228" s="1">
        <f t="shared" si="190"/>
        <v>0</v>
      </c>
      <c r="W228" s="1">
        <f t="shared" si="191"/>
        <v>0</v>
      </c>
      <c r="X228" s="1">
        <f t="shared" si="192"/>
        <v>0</v>
      </c>
      <c r="Y228" s="1">
        <f t="shared" si="193"/>
        <v>0</v>
      </c>
      <c r="Z228" s="1">
        <f t="shared" si="194"/>
        <v>0</v>
      </c>
      <c r="AA228" s="1">
        <f t="shared" si="195"/>
        <v>0</v>
      </c>
      <c r="AB228" s="1">
        <f t="shared" si="196"/>
        <v>0</v>
      </c>
      <c r="AD228" s="1">
        <f t="shared" si="197"/>
        <v>1</v>
      </c>
      <c r="AE228" s="1">
        <f t="shared" si="198"/>
        <v>0</v>
      </c>
      <c r="AF228" s="1">
        <f t="shared" si="183"/>
        <v>1</v>
      </c>
      <c r="AG228" s="1">
        <f t="shared" si="184"/>
        <v>0</v>
      </c>
      <c r="AH228" s="1">
        <f t="shared" si="185"/>
        <v>1</v>
      </c>
      <c r="AI228" s="1">
        <f t="shared" si="186"/>
        <v>0</v>
      </c>
    </row>
    <row r="229" spans="1:16384" s="1" customFormat="1" ht="14.25" customHeight="1" x14ac:dyDescent="0.3">
      <c r="A229" s="31">
        <v>0</v>
      </c>
      <c r="B229" s="31">
        <v>1</v>
      </c>
      <c r="C229" s="31">
        <v>6</v>
      </c>
      <c r="D229" s="32" t="s">
        <v>93</v>
      </c>
      <c r="E229" s="32" t="s">
        <v>168</v>
      </c>
      <c r="F229" s="32" t="s">
        <v>287</v>
      </c>
      <c r="G229" s="32" t="s">
        <v>193</v>
      </c>
      <c r="H229" s="32" t="s">
        <v>352</v>
      </c>
      <c r="I229" s="31" t="s">
        <v>439</v>
      </c>
      <c r="J229" s="31">
        <v>9</v>
      </c>
      <c r="K229" s="33" t="s">
        <v>698</v>
      </c>
      <c r="L229" s="33" t="s">
        <v>690</v>
      </c>
      <c r="M229" s="34" t="s">
        <v>702</v>
      </c>
      <c r="N229" s="34" t="s">
        <v>1743</v>
      </c>
      <c r="O229" s="35">
        <v>1</v>
      </c>
      <c r="P229" s="35"/>
      <c r="Q229" s="32"/>
      <c r="S229" s="1">
        <f t="shared" si="187"/>
        <v>0</v>
      </c>
      <c r="T229" s="1">
        <f t="shared" si="188"/>
        <v>0</v>
      </c>
      <c r="U229" s="1">
        <f t="shared" si="189"/>
        <v>0</v>
      </c>
      <c r="V229" s="1">
        <f t="shared" si="190"/>
        <v>0</v>
      </c>
      <c r="W229" s="1">
        <f t="shared" si="191"/>
        <v>0</v>
      </c>
      <c r="X229" s="1">
        <f t="shared" si="192"/>
        <v>0</v>
      </c>
      <c r="Y229" s="1">
        <f t="shared" si="193"/>
        <v>0</v>
      </c>
      <c r="Z229" s="1">
        <f t="shared" si="194"/>
        <v>0</v>
      </c>
      <c r="AA229" s="1">
        <f t="shared" si="195"/>
        <v>1</v>
      </c>
      <c r="AB229" s="1">
        <f t="shared" si="196"/>
        <v>0</v>
      </c>
      <c r="AD229" s="1">
        <f t="shared" si="197"/>
        <v>0</v>
      </c>
      <c r="AE229" s="1">
        <f t="shared" si="198"/>
        <v>1</v>
      </c>
      <c r="AF229" s="1">
        <f t="shared" si="183"/>
        <v>0</v>
      </c>
      <c r="AG229" s="1">
        <f t="shared" si="184"/>
        <v>1</v>
      </c>
      <c r="AH229" s="1">
        <f t="shared" si="185"/>
        <v>0</v>
      </c>
      <c r="AI229" s="1">
        <f t="shared" si="186"/>
        <v>1</v>
      </c>
    </row>
    <row r="230" spans="1:16384" s="1" customFormat="1" ht="14.25" customHeight="1" x14ac:dyDescent="0.3">
      <c r="A230" s="38">
        <v>0</v>
      </c>
      <c r="B230" s="38">
        <v>1</v>
      </c>
      <c r="C230" s="38">
        <v>6</v>
      </c>
      <c r="D230" s="54" t="s">
        <v>1604</v>
      </c>
      <c r="E230" s="39" t="s">
        <v>1605</v>
      </c>
      <c r="F230" s="39" t="s">
        <v>1606</v>
      </c>
      <c r="G230" s="39" t="s">
        <v>191</v>
      </c>
      <c r="H230" s="39" t="s">
        <v>352</v>
      </c>
      <c r="I230" s="38" t="s">
        <v>1607</v>
      </c>
      <c r="J230" s="38">
        <v>10</v>
      </c>
      <c r="K230" s="40" t="s">
        <v>951</v>
      </c>
      <c r="L230" s="40" t="s">
        <v>683</v>
      </c>
      <c r="M230" s="41" t="s">
        <v>1608</v>
      </c>
      <c r="N230" s="42"/>
      <c r="O230" s="43"/>
      <c r="P230" s="43">
        <v>1</v>
      </c>
      <c r="Q230" s="39"/>
      <c r="S230" s="1">
        <f t="shared" si="187"/>
        <v>0</v>
      </c>
      <c r="T230" s="1">
        <f t="shared" si="188"/>
        <v>0</v>
      </c>
      <c r="U230" s="1">
        <f t="shared" si="189"/>
        <v>0</v>
      </c>
      <c r="V230" s="1">
        <f t="shared" si="190"/>
        <v>0</v>
      </c>
      <c r="W230" s="1">
        <f t="shared" si="191"/>
        <v>0</v>
      </c>
      <c r="X230" s="1">
        <f t="shared" si="192"/>
        <v>0</v>
      </c>
      <c r="Y230" s="1">
        <f t="shared" si="193"/>
        <v>0</v>
      </c>
      <c r="Z230" s="1">
        <f t="shared" si="194"/>
        <v>0</v>
      </c>
      <c r="AA230" s="1">
        <f t="shared" si="195"/>
        <v>0</v>
      </c>
      <c r="AB230" s="1">
        <f t="shared" si="196"/>
        <v>1</v>
      </c>
      <c r="AD230" s="1">
        <f t="shared" si="197"/>
        <v>0</v>
      </c>
      <c r="AE230" s="1">
        <f t="shared" si="198"/>
        <v>0</v>
      </c>
      <c r="AF230" s="1">
        <f t="shared" si="183"/>
        <v>0</v>
      </c>
      <c r="AG230" s="1">
        <f t="shared" si="184"/>
        <v>0</v>
      </c>
      <c r="AH230" s="1">
        <f t="shared" si="185"/>
        <v>1</v>
      </c>
      <c r="AI230" s="1">
        <f t="shared" si="186"/>
        <v>0</v>
      </c>
    </row>
    <row r="231" spans="1:16384" s="1" customFormat="1" ht="14.25" customHeight="1" x14ac:dyDescent="0.3">
      <c r="A231" s="31">
        <v>0</v>
      </c>
      <c r="B231" s="31">
        <v>1</v>
      </c>
      <c r="C231" s="31">
        <v>6</v>
      </c>
      <c r="D231" s="32" t="s">
        <v>94</v>
      </c>
      <c r="E231" s="32" t="s">
        <v>164</v>
      </c>
      <c r="F231" s="32" t="s">
        <v>288</v>
      </c>
      <c r="G231" s="32" t="s">
        <v>289</v>
      </c>
      <c r="H231" s="32" t="s">
        <v>352</v>
      </c>
      <c r="I231" s="31" t="s">
        <v>440</v>
      </c>
      <c r="J231" s="31">
        <v>7</v>
      </c>
      <c r="K231" s="33" t="s">
        <v>698</v>
      </c>
      <c r="L231" s="33" t="s">
        <v>690</v>
      </c>
      <c r="M231" s="34" t="s">
        <v>694</v>
      </c>
      <c r="N231" s="34" t="s">
        <v>1744</v>
      </c>
      <c r="O231" s="35">
        <v>1</v>
      </c>
      <c r="P231" s="35"/>
      <c r="Q231" s="32"/>
      <c r="R231" s="31"/>
      <c r="S231" s="31">
        <f t="shared" si="187"/>
        <v>0</v>
      </c>
      <c r="T231" s="31">
        <f t="shared" si="188"/>
        <v>0</v>
      </c>
      <c r="U231" s="32">
        <f t="shared" si="189"/>
        <v>0</v>
      </c>
      <c r="V231" s="32">
        <f t="shared" si="190"/>
        <v>0</v>
      </c>
      <c r="W231" s="32">
        <f t="shared" si="191"/>
        <v>0</v>
      </c>
      <c r="X231" s="32">
        <f t="shared" si="192"/>
        <v>0</v>
      </c>
      <c r="Y231" s="32">
        <f t="shared" si="193"/>
        <v>1</v>
      </c>
      <c r="Z231" s="31">
        <f t="shared" si="194"/>
        <v>0</v>
      </c>
      <c r="AA231" s="31">
        <f t="shared" si="195"/>
        <v>0</v>
      </c>
      <c r="AB231" s="33">
        <f t="shared" si="196"/>
        <v>0</v>
      </c>
      <c r="AC231" s="33"/>
      <c r="AD231" s="34">
        <f t="shared" si="197"/>
        <v>0</v>
      </c>
      <c r="AE231" s="34">
        <f t="shared" si="198"/>
        <v>1</v>
      </c>
      <c r="AF231" s="35">
        <f t="shared" si="183"/>
        <v>0</v>
      </c>
      <c r="AG231" s="35">
        <f t="shared" si="184"/>
        <v>1</v>
      </c>
      <c r="AH231" s="32">
        <f t="shared" si="185"/>
        <v>0</v>
      </c>
      <c r="AI231" s="31">
        <f t="shared" si="186"/>
        <v>1</v>
      </c>
      <c r="AJ231" s="31"/>
      <c r="AK231" s="31"/>
      <c r="AL231" s="32"/>
      <c r="AM231" s="32"/>
      <c r="AN231" s="32"/>
      <c r="AO231" s="32"/>
      <c r="AP231" s="32"/>
      <c r="AQ231" s="31"/>
      <c r="AR231" s="31"/>
      <c r="AS231" s="33"/>
      <c r="AT231" s="33"/>
      <c r="AU231" s="34"/>
      <c r="AV231" s="34"/>
      <c r="AW231" s="35"/>
      <c r="AX231" s="35"/>
      <c r="AY231" s="32"/>
      <c r="AZ231" s="31"/>
      <c r="BA231" s="31"/>
      <c r="BB231" s="31"/>
      <c r="BC231" s="32"/>
      <c r="BD231" s="32"/>
      <c r="BE231" s="32"/>
      <c r="BF231" s="32"/>
      <c r="BG231" s="32"/>
      <c r="BH231" s="31"/>
      <c r="BI231" s="31"/>
      <c r="BJ231" s="33"/>
      <c r="BK231" s="33"/>
      <c r="BL231" s="34"/>
      <c r="BM231" s="34"/>
      <c r="BN231" s="35"/>
      <c r="BO231" s="35"/>
      <c r="BP231" s="32"/>
      <c r="BQ231" s="31"/>
      <c r="BR231" s="31"/>
      <c r="BS231" s="31"/>
      <c r="BT231" s="32"/>
      <c r="BU231" s="32"/>
      <c r="BV231" s="32"/>
      <c r="BW231" s="32"/>
      <c r="BX231" s="32"/>
      <c r="BY231" s="31"/>
      <c r="BZ231" s="31"/>
      <c r="CA231" s="33"/>
      <c r="CB231" s="33"/>
      <c r="CC231" s="34"/>
      <c r="CD231" s="34"/>
      <c r="CE231" s="35"/>
      <c r="CF231" s="35"/>
      <c r="CG231" s="32"/>
      <c r="CH231" s="31"/>
      <c r="CI231" s="31"/>
      <c r="CJ231" s="31"/>
      <c r="CK231" s="32"/>
      <c r="CL231" s="32"/>
      <c r="CM231" s="32"/>
      <c r="CN231" s="32"/>
      <c r="CO231" s="32"/>
      <c r="CP231" s="31"/>
      <c r="CQ231" s="31"/>
      <c r="CR231" s="33"/>
      <c r="CS231" s="33"/>
      <c r="CT231" s="34"/>
      <c r="CU231" s="34"/>
      <c r="CV231" s="35"/>
      <c r="CW231" s="35"/>
      <c r="CX231" s="32"/>
      <c r="CY231" s="31"/>
      <c r="CZ231" s="31"/>
      <c r="DA231" s="31"/>
      <c r="DB231" s="32"/>
      <c r="DC231" s="32"/>
      <c r="DD231" s="32"/>
      <c r="DE231" s="32"/>
      <c r="DF231" s="32"/>
      <c r="DG231" s="31"/>
      <c r="DH231" s="31"/>
      <c r="DI231" s="33"/>
      <c r="DJ231" s="33"/>
      <c r="DK231" s="34"/>
      <c r="DL231" s="34"/>
      <c r="DM231" s="35"/>
      <c r="DN231" s="35"/>
      <c r="DO231" s="32"/>
      <c r="DP231" s="31"/>
      <c r="DQ231" s="31"/>
      <c r="DR231" s="31"/>
      <c r="DS231" s="32"/>
      <c r="DT231" s="32"/>
      <c r="DU231" s="32"/>
      <c r="DV231" s="32"/>
      <c r="DW231" s="32"/>
      <c r="DX231" s="31"/>
      <c r="DY231" s="31"/>
      <c r="DZ231" s="33"/>
      <c r="EA231" s="33"/>
      <c r="EB231" s="34"/>
      <c r="EC231" s="34"/>
      <c r="ED231" s="35"/>
      <c r="EE231" s="35"/>
      <c r="EF231" s="32"/>
      <c r="EG231" s="31"/>
      <c r="EH231" s="31"/>
      <c r="EI231" s="31"/>
      <c r="EJ231" s="32"/>
      <c r="EK231" s="32"/>
      <c r="EL231" s="32"/>
      <c r="EM231" s="32"/>
      <c r="EN231" s="32"/>
      <c r="EO231" s="31"/>
      <c r="EP231" s="31"/>
      <c r="EQ231" s="33"/>
      <c r="ER231" s="33"/>
      <c r="ES231" s="34"/>
      <c r="ET231" s="34"/>
      <c r="EU231" s="35"/>
      <c r="EV231" s="35"/>
      <c r="EW231" s="32"/>
      <c r="EX231" s="31"/>
      <c r="EY231" s="31"/>
      <c r="EZ231" s="31"/>
      <c r="FA231" s="32"/>
      <c r="FB231" s="32"/>
      <c r="FC231" s="32"/>
      <c r="FD231" s="32"/>
      <c r="FE231" s="32"/>
      <c r="FF231" s="31"/>
      <c r="FG231" s="31"/>
      <c r="FH231" s="33"/>
      <c r="FI231" s="33"/>
      <c r="FJ231" s="34"/>
      <c r="FK231" s="34"/>
      <c r="FL231" s="35"/>
      <c r="FM231" s="35"/>
      <c r="FN231" s="32"/>
      <c r="FO231" s="31"/>
      <c r="FP231" s="31"/>
      <c r="FQ231" s="31"/>
      <c r="FR231" s="32"/>
      <c r="FS231" s="32"/>
      <c r="FT231" s="32"/>
      <c r="FU231" s="32"/>
      <c r="FV231" s="32"/>
      <c r="FW231" s="31"/>
      <c r="FX231" s="31"/>
      <c r="FY231" s="33"/>
      <c r="FZ231" s="33"/>
      <c r="GA231" s="34"/>
      <c r="GB231" s="34"/>
      <c r="GC231" s="35"/>
      <c r="GD231" s="35"/>
      <c r="GE231" s="32"/>
      <c r="GF231" s="31"/>
      <c r="GG231" s="31"/>
      <c r="GH231" s="31"/>
      <c r="GI231" s="32"/>
      <c r="GJ231" s="32"/>
      <c r="GK231" s="32"/>
      <c r="GL231" s="32"/>
      <c r="GM231" s="32"/>
      <c r="GN231" s="31"/>
      <c r="GO231" s="31"/>
      <c r="GP231" s="33"/>
      <c r="GQ231" s="33"/>
      <c r="GR231" s="34"/>
      <c r="GS231" s="34"/>
      <c r="GT231" s="35"/>
      <c r="GU231" s="35"/>
      <c r="GV231" s="32"/>
      <c r="GW231" s="31"/>
      <c r="GX231" s="31"/>
      <c r="GY231" s="31"/>
      <c r="GZ231" s="32"/>
      <c r="HA231" s="32"/>
      <c r="HB231" s="32"/>
      <c r="HC231" s="32"/>
      <c r="HD231" s="32"/>
      <c r="HE231" s="31"/>
      <c r="HF231" s="31"/>
      <c r="HG231" s="33"/>
      <c r="HH231" s="33"/>
      <c r="HI231" s="34"/>
      <c r="HJ231" s="34"/>
      <c r="HK231" s="35"/>
      <c r="HL231" s="35"/>
      <c r="HM231" s="32"/>
      <c r="HN231" s="31"/>
      <c r="HO231" s="31"/>
      <c r="HP231" s="31"/>
      <c r="HQ231" s="32"/>
      <c r="HR231" s="32"/>
      <c r="HS231" s="32"/>
      <c r="HT231" s="32"/>
      <c r="HU231" s="32"/>
      <c r="HV231" s="31"/>
      <c r="HW231" s="31"/>
      <c r="HX231" s="33"/>
      <c r="HY231" s="33"/>
      <c r="HZ231" s="34"/>
      <c r="IA231" s="34"/>
      <c r="IB231" s="35"/>
      <c r="IC231" s="35"/>
      <c r="ID231" s="32"/>
      <c r="IE231" s="31"/>
      <c r="IF231" s="31"/>
      <c r="IG231" s="31"/>
      <c r="IH231" s="32"/>
      <c r="II231" s="32"/>
      <c r="IJ231" s="32"/>
      <c r="IK231" s="32"/>
      <c r="IL231" s="32"/>
      <c r="IM231" s="31"/>
      <c r="IN231" s="31"/>
      <c r="IO231" s="33"/>
      <c r="IP231" s="33"/>
      <c r="IQ231" s="34"/>
      <c r="IR231" s="34"/>
      <c r="IS231" s="35"/>
      <c r="IT231" s="35"/>
      <c r="IU231" s="32"/>
      <c r="IV231" s="31"/>
      <c r="IW231" s="31"/>
      <c r="IX231" s="31"/>
      <c r="IY231" s="32"/>
      <c r="IZ231" s="32"/>
      <c r="JA231" s="32"/>
      <c r="JB231" s="32"/>
      <c r="JC231" s="32"/>
      <c r="JD231" s="31"/>
      <c r="JE231" s="31"/>
      <c r="JF231" s="33"/>
      <c r="JG231" s="33"/>
      <c r="JH231" s="34"/>
      <c r="JI231" s="34"/>
      <c r="JJ231" s="35"/>
      <c r="JK231" s="35"/>
      <c r="JL231" s="32"/>
      <c r="JM231" s="31"/>
      <c r="JN231" s="31"/>
      <c r="JO231" s="31"/>
      <c r="JP231" s="32"/>
      <c r="JQ231" s="32"/>
      <c r="JR231" s="32"/>
      <c r="JS231" s="32"/>
      <c r="JT231" s="32"/>
      <c r="JU231" s="31"/>
      <c r="JV231" s="31"/>
      <c r="JW231" s="33"/>
      <c r="JX231" s="33"/>
      <c r="JY231" s="34"/>
      <c r="JZ231" s="34"/>
      <c r="KA231" s="35"/>
      <c r="KB231" s="35"/>
      <c r="KC231" s="32"/>
      <c r="KD231" s="31"/>
      <c r="KE231" s="31"/>
      <c r="KF231" s="31"/>
      <c r="KG231" s="32"/>
      <c r="KH231" s="32"/>
      <c r="KI231" s="32"/>
      <c r="KJ231" s="32"/>
      <c r="KK231" s="32"/>
      <c r="KL231" s="31"/>
      <c r="KM231" s="31"/>
      <c r="KN231" s="33"/>
      <c r="KO231" s="33"/>
      <c r="KP231" s="34"/>
      <c r="KQ231" s="34"/>
      <c r="KR231" s="35"/>
      <c r="KS231" s="35"/>
      <c r="KT231" s="32"/>
      <c r="KU231" s="31"/>
      <c r="KV231" s="31"/>
      <c r="KW231" s="31"/>
      <c r="KX231" s="32"/>
      <c r="KY231" s="32"/>
      <c r="KZ231" s="32"/>
      <c r="LA231" s="32"/>
      <c r="LB231" s="32"/>
      <c r="LC231" s="31"/>
      <c r="LD231" s="31"/>
      <c r="LE231" s="33"/>
      <c r="LF231" s="33"/>
      <c r="LG231" s="34"/>
      <c r="LH231" s="34"/>
      <c r="LI231" s="35"/>
      <c r="LJ231" s="35"/>
      <c r="LK231" s="32"/>
      <c r="LL231" s="31"/>
      <c r="LM231" s="31"/>
      <c r="LN231" s="31"/>
      <c r="LO231" s="32"/>
      <c r="LP231" s="32"/>
      <c r="LQ231" s="32"/>
      <c r="LR231" s="32"/>
      <c r="LS231" s="32"/>
      <c r="LT231" s="31"/>
      <c r="LU231" s="31"/>
      <c r="LV231" s="33"/>
      <c r="LW231" s="33"/>
      <c r="LX231" s="34"/>
      <c r="LY231" s="34"/>
      <c r="LZ231" s="35"/>
      <c r="MA231" s="35"/>
      <c r="MB231" s="32"/>
      <c r="MC231" s="31"/>
      <c r="MD231" s="31"/>
      <c r="ME231" s="31"/>
      <c r="MF231" s="32"/>
      <c r="MG231" s="32"/>
      <c r="MH231" s="32"/>
      <c r="MI231" s="32"/>
      <c r="MJ231" s="32"/>
      <c r="MK231" s="31"/>
      <c r="ML231" s="31"/>
      <c r="MM231" s="33"/>
      <c r="MN231" s="33"/>
      <c r="MO231" s="34"/>
      <c r="MP231" s="34"/>
      <c r="MQ231" s="35"/>
      <c r="MR231" s="35"/>
      <c r="MS231" s="32"/>
      <c r="MT231" s="31"/>
      <c r="MU231" s="31"/>
      <c r="MV231" s="31"/>
      <c r="MW231" s="32"/>
      <c r="MX231" s="32"/>
      <c r="MY231" s="32"/>
      <c r="MZ231" s="32"/>
      <c r="NA231" s="32"/>
      <c r="NB231" s="31"/>
      <c r="NC231" s="31"/>
      <c r="ND231" s="33"/>
      <c r="NE231" s="33"/>
      <c r="NF231" s="34"/>
      <c r="NG231" s="34"/>
      <c r="NH231" s="35"/>
      <c r="NI231" s="35"/>
      <c r="NJ231" s="32"/>
      <c r="NK231" s="31"/>
      <c r="NL231" s="31"/>
      <c r="NM231" s="31"/>
      <c r="NN231" s="32"/>
      <c r="NO231" s="32"/>
      <c r="NP231" s="32"/>
      <c r="NQ231" s="32"/>
      <c r="NR231" s="32"/>
      <c r="NS231" s="31"/>
      <c r="NT231" s="31"/>
      <c r="NU231" s="33"/>
      <c r="NV231" s="33"/>
      <c r="NW231" s="34"/>
      <c r="NX231" s="34"/>
      <c r="NY231" s="35"/>
      <c r="NZ231" s="35"/>
      <c r="OA231" s="32"/>
      <c r="OB231" s="31"/>
      <c r="OC231" s="31"/>
      <c r="OD231" s="31"/>
      <c r="OE231" s="32"/>
      <c r="OF231" s="32"/>
      <c r="OG231" s="32"/>
      <c r="OH231" s="32"/>
      <c r="OI231" s="32"/>
      <c r="OJ231" s="31"/>
      <c r="OK231" s="31"/>
      <c r="OL231" s="33"/>
      <c r="OM231" s="33"/>
      <c r="ON231" s="34"/>
      <c r="OO231" s="34"/>
      <c r="OP231" s="35"/>
      <c r="OQ231" s="35"/>
      <c r="OR231" s="32"/>
      <c r="OS231" s="31"/>
      <c r="OT231" s="31"/>
      <c r="OU231" s="31"/>
      <c r="OV231" s="32"/>
      <c r="OW231" s="32"/>
      <c r="OX231" s="32"/>
      <c r="OY231" s="32"/>
      <c r="OZ231" s="32"/>
      <c r="PA231" s="31"/>
      <c r="PB231" s="31"/>
      <c r="PC231" s="33"/>
      <c r="PD231" s="33"/>
      <c r="PE231" s="34"/>
      <c r="PF231" s="34"/>
      <c r="PG231" s="35"/>
      <c r="PH231" s="35"/>
      <c r="PI231" s="32"/>
      <c r="PJ231" s="31"/>
      <c r="PK231" s="31"/>
      <c r="PL231" s="31"/>
      <c r="PM231" s="32"/>
      <c r="PN231" s="32"/>
      <c r="PO231" s="32"/>
      <c r="PP231" s="32"/>
      <c r="PQ231" s="32"/>
      <c r="PR231" s="31"/>
      <c r="PS231" s="31"/>
      <c r="PT231" s="33"/>
      <c r="PU231" s="33"/>
      <c r="PV231" s="34"/>
      <c r="PW231" s="34"/>
      <c r="PX231" s="35"/>
      <c r="PY231" s="35"/>
      <c r="PZ231" s="32"/>
      <c r="QA231" s="31"/>
      <c r="QB231" s="31"/>
      <c r="QC231" s="31"/>
      <c r="QD231" s="32"/>
      <c r="QE231" s="32"/>
      <c r="QF231" s="32"/>
      <c r="QG231" s="32"/>
      <c r="QH231" s="32"/>
      <c r="QI231" s="31"/>
      <c r="QJ231" s="31"/>
      <c r="QK231" s="33"/>
      <c r="QL231" s="33"/>
      <c r="QM231" s="34"/>
      <c r="QN231" s="34"/>
      <c r="QO231" s="35"/>
      <c r="QP231" s="35"/>
      <c r="QQ231" s="32"/>
      <c r="QR231" s="31"/>
      <c r="QS231" s="31"/>
      <c r="QT231" s="31"/>
      <c r="QU231" s="32"/>
      <c r="QV231" s="32"/>
      <c r="QW231" s="32"/>
      <c r="QX231" s="32"/>
      <c r="QY231" s="32"/>
      <c r="QZ231" s="31"/>
      <c r="RA231" s="31"/>
      <c r="RB231" s="33"/>
      <c r="RC231" s="33"/>
      <c r="RD231" s="34"/>
      <c r="RE231" s="34"/>
      <c r="RF231" s="35"/>
      <c r="RG231" s="35"/>
      <c r="RH231" s="32"/>
      <c r="RI231" s="31"/>
      <c r="RJ231" s="31"/>
      <c r="RK231" s="31"/>
      <c r="RL231" s="32"/>
      <c r="RM231" s="32"/>
      <c r="RN231" s="32"/>
      <c r="RO231" s="32"/>
      <c r="RP231" s="32"/>
      <c r="RQ231" s="31"/>
      <c r="RR231" s="31"/>
      <c r="RS231" s="33"/>
      <c r="RT231" s="33"/>
      <c r="RU231" s="34"/>
      <c r="RV231" s="34"/>
      <c r="RW231" s="35"/>
      <c r="RX231" s="35"/>
      <c r="RY231" s="32"/>
      <c r="RZ231" s="31"/>
      <c r="SA231" s="31"/>
      <c r="SB231" s="31"/>
      <c r="SC231" s="32"/>
      <c r="SD231" s="32"/>
      <c r="SE231" s="32"/>
      <c r="SF231" s="32"/>
      <c r="SG231" s="32"/>
      <c r="SH231" s="31"/>
      <c r="SI231" s="31"/>
      <c r="SJ231" s="33"/>
      <c r="SK231" s="33"/>
      <c r="SL231" s="34"/>
      <c r="SM231" s="34"/>
      <c r="SN231" s="35"/>
      <c r="SO231" s="35"/>
      <c r="SP231" s="32"/>
      <c r="SQ231" s="31"/>
      <c r="SR231" s="31"/>
      <c r="SS231" s="31"/>
      <c r="ST231" s="32"/>
      <c r="SU231" s="32"/>
      <c r="SV231" s="32"/>
      <c r="SW231" s="32"/>
      <c r="SX231" s="32"/>
      <c r="SY231" s="31"/>
      <c r="SZ231" s="31"/>
      <c r="TA231" s="33"/>
      <c r="TB231" s="33"/>
      <c r="TC231" s="34"/>
      <c r="TD231" s="34"/>
      <c r="TE231" s="35"/>
      <c r="TF231" s="35"/>
      <c r="TG231" s="32"/>
      <c r="TH231" s="31"/>
      <c r="TI231" s="31"/>
      <c r="TJ231" s="31"/>
      <c r="TK231" s="32"/>
      <c r="TL231" s="32"/>
      <c r="TM231" s="32"/>
      <c r="TN231" s="32"/>
      <c r="TO231" s="32"/>
      <c r="TP231" s="31"/>
      <c r="TQ231" s="31"/>
      <c r="TR231" s="33"/>
      <c r="TS231" s="33"/>
      <c r="TT231" s="34"/>
      <c r="TU231" s="34"/>
      <c r="TV231" s="35"/>
      <c r="TW231" s="35"/>
      <c r="TX231" s="32"/>
      <c r="TY231" s="31"/>
      <c r="TZ231" s="31"/>
      <c r="UA231" s="31"/>
      <c r="UB231" s="32"/>
      <c r="UC231" s="32"/>
      <c r="UD231" s="32"/>
      <c r="UE231" s="32"/>
      <c r="UF231" s="32"/>
      <c r="UG231" s="31"/>
      <c r="UH231" s="31"/>
      <c r="UI231" s="33"/>
      <c r="UJ231" s="33"/>
      <c r="UK231" s="34"/>
      <c r="UL231" s="34"/>
      <c r="UM231" s="35"/>
      <c r="UN231" s="35"/>
      <c r="UO231" s="32"/>
      <c r="UP231" s="31"/>
      <c r="UQ231" s="31"/>
      <c r="UR231" s="31"/>
      <c r="US231" s="32"/>
      <c r="UT231" s="32"/>
      <c r="UU231" s="32"/>
      <c r="UV231" s="32"/>
      <c r="UW231" s="32"/>
      <c r="UX231" s="31"/>
      <c r="UY231" s="31"/>
      <c r="UZ231" s="33"/>
      <c r="VA231" s="33"/>
      <c r="VB231" s="34"/>
      <c r="VC231" s="34"/>
      <c r="VD231" s="35"/>
      <c r="VE231" s="35"/>
      <c r="VF231" s="32"/>
      <c r="VG231" s="31"/>
      <c r="VH231" s="31"/>
      <c r="VI231" s="31"/>
      <c r="VJ231" s="32"/>
      <c r="VK231" s="32"/>
      <c r="VL231" s="32"/>
      <c r="VM231" s="32"/>
      <c r="VN231" s="32"/>
      <c r="VO231" s="31"/>
      <c r="VP231" s="31"/>
      <c r="VQ231" s="33"/>
      <c r="VR231" s="33"/>
      <c r="VS231" s="34"/>
      <c r="VT231" s="34"/>
      <c r="VU231" s="35"/>
      <c r="VV231" s="35"/>
      <c r="VW231" s="32"/>
      <c r="VX231" s="31"/>
      <c r="VY231" s="31"/>
      <c r="VZ231" s="31"/>
      <c r="WA231" s="32"/>
      <c r="WB231" s="32"/>
      <c r="WC231" s="32"/>
      <c r="WD231" s="32"/>
      <c r="WE231" s="32"/>
      <c r="WF231" s="31"/>
      <c r="WG231" s="31"/>
      <c r="WH231" s="33"/>
      <c r="WI231" s="33"/>
      <c r="WJ231" s="34"/>
      <c r="WK231" s="34"/>
      <c r="WL231" s="35"/>
      <c r="WM231" s="35"/>
      <c r="WN231" s="32"/>
      <c r="WO231" s="31"/>
      <c r="WP231" s="31"/>
      <c r="WQ231" s="31"/>
      <c r="WR231" s="32"/>
      <c r="WS231" s="32"/>
      <c r="WT231" s="32"/>
      <c r="WU231" s="32"/>
      <c r="WV231" s="32"/>
      <c r="WW231" s="31"/>
      <c r="WX231" s="31"/>
      <c r="WY231" s="33"/>
      <c r="WZ231" s="33"/>
      <c r="XA231" s="34"/>
      <c r="XB231" s="34"/>
      <c r="XC231" s="35"/>
      <c r="XD231" s="35"/>
      <c r="XE231" s="32"/>
      <c r="XF231" s="31"/>
      <c r="XG231" s="31"/>
      <c r="XH231" s="31"/>
      <c r="XI231" s="32"/>
      <c r="XJ231" s="32"/>
      <c r="XK231" s="32"/>
      <c r="XL231" s="32"/>
      <c r="XM231" s="32"/>
      <c r="XN231" s="31"/>
      <c r="XO231" s="31"/>
      <c r="XP231" s="33"/>
      <c r="XQ231" s="33"/>
      <c r="XR231" s="34"/>
      <c r="XS231" s="34"/>
      <c r="XT231" s="35"/>
      <c r="XU231" s="35"/>
      <c r="XV231" s="32"/>
      <c r="XW231" s="31"/>
      <c r="XX231" s="31"/>
      <c r="XY231" s="31"/>
      <c r="XZ231" s="32"/>
      <c r="YA231" s="32"/>
      <c r="YB231" s="32"/>
      <c r="YC231" s="32"/>
      <c r="YD231" s="32"/>
      <c r="YE231" s="31"/>
      <c r="YF231" s="31"/>
      <c r="YG231" s="33"/>
      <c r="YH231" s="33"/>
      <c r="YI231" s="34"/>
      <c r="YJ231" s="34"/>
      <c r="YK231" s="35"/>
      <c r="YL231" s="35"/>
      <c r="YM231" s="32"/>
      <c r="YN231" s="31"/>
      <c r="YO231" s="31"/>
      <c r="YP231" s="31"/>
      <c r="YQ231" s="32"/>
      <c r="YR231" s="32"/>
      <c r="YS231" s="32"/>
      <c r="YT231" s="32"/>
      <c r="YU231" s="32"/>
      <c r="YV231" s="31"/>
      <c r="YW231" s="31"/>
      <c r="YX231" s="33"/>
      <c r="YY231" s="33"/>
      <c r="YZ231" s="34"/>
      <c r="ZA231" s="34"/>
      <c r="ZB231" s="35"/>
      <c r="ZC231" s="35"/>
      <c r="ZD231" s="32"/>
      <c r="ZE231" s="31"/>
      <c r="ZF231" s="31"/>
      <c r="ZG231" s="31"/>
      <c r="ZH231" s="32"/>
      <c r="ZI231" s="32"/>
      <c r="ZJ231" s="32"/>
      <c r="ZK231" s="32"/>
      <c r="ZL231" s="32"/>
      <c r="ZM231" s="31"/>
      <c r="ZN231" s="31"/>
      <c r="ZO231" s="33"/>
      <c r="ZP231" s="33"/>
      <c r="ZQ231" s="34"/>
      <c r="ZR231" s="34"/>
      <c r="ZS231" s="35"/>
      <c r="ZT231" s="35"/>
      <c r="ZU231" s="32"/>
      <c r="ZV231" s="31"/>
      <c r="ZW231" s="31"/>
      <c r="ZX231" s="31"/>
      <c r="ZY231" s="32"/>
      <c r="ZZ231" s="32"/>
      <c r="AAA231" s="32"/>
      <c r="AAB231" s="32"/>
      <c r="AAC231" s="32"/>
      <c r="AAD231" s="31"/>
      <c r="AAE231" s="31"/>
      <c r="AAF231" s="33"/>
      <c r="AAG231" s="33"/>
      <c r="AAH231" s="34"/>
      <c r="AAI231" s="34"/>
      <c r="AAJ231" s="35"/>
      <c r="AAK231" s="35"/>
      <c r="AAL231" s="32"/>
      <c r="AAM231" s="31"/>
      <c r="AAN231" s="31"/>
      <c r="AAO231" s="31"/>
      <c r="AAP231" s="32"/>
      <c r="AAQ231" s="32"/>
      <c r="AAR231" s="32"/>
      <c r="AAS231" s="32"/>
      <c r="AAT231" s="32"/>
      <c r="AAU231" s="31"/>
      <c r="AAV231" s="31"/>
      <c r="AAW231" s="33"/>
      <c r="AAX231" s="33"/>
      <c r="AAY231" s="34"/>
      <c r="AAZ231" s="34"/>
      <c r="ABA231" s="35"/>
      <c r="ABB231" s="35"/>
      <c r="ABC231" s="32"/>
      <c r="ABD231" s="31"/>
      <c r="ABE231" s="31"/>
      <c r="ABF231" s="31"/>
      <c r="ABG231" s="32"/>
      <c r="ABH231" s="32"/>
      <c r="ABI231" s="32"/>
      <c r="ABJ231" s="32"/>
      <c r="ABK231" s="32"/>
      <c r="ABL231" s="31"/>
      <c r="ABM231" s="31"/>
      <c r="ABN231" s="33"/>
      <c r="ABO231" s="33"/>
      <c r="ABP231" s="34"/>
      <c r="ABQ231" s="34"/>
      <c r="ABR231" s="35"/>
      <c r="ABS231" s="35"/>
      <c r="ABT231" s="32"/>
      <c r="ABU231" s="31"/>
      <c r="ABV231" s="31"/>
      <c r="ABW231" s="31"/>
      <c r="ABX231" s="32"/>
      <c r="ABY231" s="32"/>
      <c r="ABZ231" s="32"/>
      <c r="ACA231" s="32"/>
      <c r="ACB231" s="32"/>
      <c r="ACC231" s="31"/>
      <c r="ACD231" s="31"/>
      <c r="ACE231" s="33"/>
      <c r="ACF231" s="33"/>
      <c r="ACG231" s="34"/>
      <c r="ACH231" s="34"/>
      <c r="ACI231" s="35"/>
      <c r="ACJ231" s="35"/>
      <c r="ACK231" s="32"/>
      <c r="ACL231" s="31"/>
      <c r="ACM231" s="31"/>
      <c r="ACN231" s="31"/>
      <c r="ACO231" s="32"/>
      <c r="ACP231" s="32"/>
      <c r="ACQ231" s="32"/>
      <c r="ACR231" s="32"/>
      <c r="ACS231" s="32"/>
      <c r="ACT231" s="31"/>
      <c r="ACU231" s="31"/>
      <c r="ACV231" s="33"/>
      <c r="ACW231" s="33"/>
      <c r="ACX231" s="34"/>
      <c r="ACY231" s="34"/>
      <c r="ACZ231" s="35"/>
      <c r="ADA231" s="35"/>
      <c r="ADB231" s="32"/>
      <c r="ADC231" s="31"/>
      <c r="ADD231" s="31"/>
      <c r="ADE231" s="31"/>
      <c r="ADF231" s="32"/>
      <c r="ADG231" s="32"/>
      <c r="ADH231" s="32"/>
      <c r="ADI231" s="32"/>
      <c r="ADJ231" s="32"/>
      <c r="ADK231" s="31"/>
      <c r="ADL231" s="31"/>
      <c r="ADM231" s="33"/>
      <c r="ADN231" s="33"/>
      <c r="ADO231" s="34"/>
      <c r="ADP231" s="34"/>
      <c r="ADQ231" s="35"/>
      <c r="ADR231" s="35"/>
      <c r="ADS231" s="32"/>
      <c r="ADT231" s="31"/>
      <c r="ADU231" s="31"/>
      <c r="ADV231" s="31"/>
      <c r="ADW231" s="32"/>
      <c r="ADX231" s="32"/>
      <c r="ADY231" s="32"/>
      <c r="ADZ231" s="32"/>
      <c r="AEA231" s="32"/>
      <c r="AEB231" s="31"/>
      <c r="AEC231" s="31"/>
      <c r="AED231" s="33"/>
      <c r="AEE231" s="33"/>
      <c r="AEF231" s="34"/>
      <c r="AEG231" s="34"/>
      <c r="AEH231" s="35"/>
      <c r="AEI231" s="35"/>
      <c r="AEJ231" s="32"/>
      <c r="AEK231" s="31"/>
      <c r="AEL231" s="31"/>
      <c r="AEM231" s="31"/>
      <c r="AEN231" s="32"/>
      <c r="AEO231" s="32"/>
      <c r="AEP231" s="32"/>
      <c r="AEQ231" s="32"/>
      <c r="AER231" s="32"/>
      <c r="AES231" s="31"/>
      <c r="AET231" s="31"/>
      <c r="AEU231" s="33"/>
      <c r="AEV231" s="33"/>
      <c r="AEW231" s="34"/>
      <c r="AEX231" s="34"/>
      <c r="AEY231" s="35"/>
      <c r="AEZ231" s="35"/>
      <c r="AFA231" s="32"/>
      <c r="AFB231" s="31"/>
      <c r="AFC231" s="31"/>
      <c r="AFD231" s="31"/>
      <c r="AFE231" s="32"/>
      <c r="AFF231" s="32"/>
      <c r="AFG231" s="32"/>
      <c r="AFH231" s="32"/>
      <c r="AFI231" s="32"/>
      <c r="AFJ231" s="31"/>
      <c r="AFK231" s="31"/>
      <c r="AFL231" s="33"/>
      <c r="AFM231" s="33"/>
      <c r="AFN231" s="34"/>
      <c r="AFO231" s="34"/>
      <c r="AFP231" s="35"/>
      <c r="AFQ231" s="35"/>
      <c r="AFR231" s="32"/>
      <c r="AFS231" s="31"/>
      <c r="AFT231" s="31"/>
      <c r="AFU231" s="31"/>
      <c r="AFV231" s="32"/>
      <c r="AFW231" s="32"/>
      <c r="AFX231" s="32"/>
      <c r="AFY231" s="32"/>
      <c r="AFZ231" s="32"/>
      <c r="AGA231" s="31"/>
      <c r="AGB231" s="31"/>
      <c r="AGC231" s="33"/>
      <c r="AGD231" s="33"/>
      <c r="AGE231" s="34"/>
      <c r="AGF231" s="34"/>
      <c r="AGG231" s="35"/>
      <c r="AGH231" s="35"/>
      <c r="AGI231" s="32"/>
      <c r="AGJ231" s="31"/>
      <c r="AGK231" s="31"/>
      <c r="AGL231" s="31"/>
      <c r="AGM231" s="32"/>
      <c r="AGN231" s="32"/>
      <c r="AGO231" s="32"/>
      <c r="AGP231" s="32"/>
      <c r="AGQ231" s="32"/>
      <c r="AGR231" s="31"/>
      <c r="AGS231" s="31"/>
      <c r="AGT231" s="33"/>
      <c r="AGU231" s="33"/>
      <c r="AGV231" s="34"/>
      <c r="AGW231" s="34"/>
      <c r="AGX231" s="35"/>
      <c r="AGY231" s="35"/>
      <c r="AGZ231" s="32"/>
      <c r="AHA231" s="31"/>
      <c r="AHB231" s="31"/>
      <c r="AHC231" s="31"/>
      <c r="AHD231" s="32"/>
      <c r="AHE231" s="32"/>
      <c r="AHF231" s="32"/>
      <c r="AHG231" s="32"/>
      <c r="AHH231" s="32"/>
      <c r="AHI231" s="31"/>
      <c r="AHJ231" s="31"/>
      <c r="AHK231" s="33"/>
      <c r="AHL231" s="33"/>
      <c r="AHM231" s="34"/>
      <c r="AHN231" s="34"/>
      <c r="AHO231" s="35"/>
      <c r="AHP231" s="35"/>
      <c r="AHQ231" s="32"/>
      <c r="AHR231" s="31"/>
      <c r="AHS231" s="31"/>
      <c r="AHT231" s="31"/>
      <c r="AHU231" s="32"/>
      <c r="AHV231" s="32"/>
      <c r="AHW231" s="32"/>
      <c r="AHX231" s="32"/>
      <c r="AHY231" s="32"/>
      <c r="AHZ231" s="31"/>
      <c r="AIA231" s="31"/>
      <c r="AIB231" s="33"/>
      <c r="AIC231" s="33"/>
      <c r="AID231" s="34"/>
      <c r="AIE231" s="34"/>
      <c r="AIF231" s="35"/>
      <c r="AIG231" s="35"/>
      <c r="AIH231" s="32"/>
      <c r="AII231" s="31"/>
      <c r="AIJ231" s="31"/>
      <c r="AIK231" s="31"/>
      <c r="AIL231" s="32"/>
      <c r="AIM231" s="32"/>
      <c r="AIN231" s="32"/>
      <c r="AIO231" s="32"/>
      <c r="AIP231" s="32"/>
      <c r="AIQ231" s="31"/>
      <c r="AIR231" s="31"/>
      <c r="AIS231" s="33"/>
      <c r="AIT231" s="33"/>
      <c r="AIU231" s="34"/>
      <c r="AIV231" s="34"/>
      <c r="AIW231" s="35"/>
      <c r="AIX231" s="35"/>
      <c r="AIY231" s="32"/>
      <c r="AIZ231" s="31"/>
      <c r="AJA231" s="31"/>
      <c r="AJB231" s="31"/>
      <c r="AJC231" s="32"/>
      <c r="AJD231" s="32"/>
      <c r="AJE231" s="32"/>
      <c r="AJF231" s="32"/>
      <c r="AJG231" s="32"/>
      <c r="AJH231" s="31"/>
      <c r="AJI231" s="31"/>
      <c r="AJJ231" s="33"/>
      <c r="AJK231" s="33"/>
      <c r="AJL231" s="34"/>
      <c r="AJM231" s="34"/>
      <c r="AJN231" s="35"/>
      <c r="AJO231" s="35"/>
      <c r="AJP231" s="32"/>
      <c r="AJQ231" s="31"/>
      <c r="AJR231" s="31"/>
      <c r="AJS231" s="31"/>
      <c r="AJT231" s="32"/>
      <c r="AJU231" s="32"/>
      <c r="AJV231" s="32"/>
      <c r="AJW231" s="32"/>
      <c r="AJX231" s="32"/>
      <c r="AJY231" s="31"/>
      <c r="AJZ231" s="31"/>
      <c r="AKA231" s="33"/>
      <c r="AKB231" s="33"/>
      <c r="AKC231" s="34"/>
      <c r="AKD231" s="34"/>
      <c r="AKE231" s="35"/>
      <c r="AKF231" s="35"/>
      <c r="AKG231" s="32"/>
      <c r="AKH231" s="31"/>
      <c r="AKI231" s="31"/>
      <c r="AKJ231" s="31"/>
      <c r="AKK231" s="32"/>
      <c r="AKL231" s="32"/>
      <c r="AKM231" s="32"/>
      <c r="AKN231" s="32"/>
      <c r="AKO231" s="32"/>
      <c r="AKP231" s="31"/>
      <c r="AKQ231" s="31"/>
      <c r="AKR231" s="33"/>
      <c r="AKS231" s="33"/>
      <c r="AKT231" s="34"/>
      <c r="AKU231" s="34"/>
      <c r="AKV231" s="35"/>
      <c r="AKW231" s="35"/>
      <c r="AKX231" s="32"/>
      <c r="AKY231" s="31"/>
      <c r="AKZ231" s="31"/>
      <c r="ALA231" s="31"/>
      <c r="ALB231" s="32"/>
      <c r="ALC231" s="32"/>
      <c r="ALD231" s="32"/>
      <c r="ALE231" s="32"/>
      <c r="ALF231" s="32"/>
      <c r="ALG231" s="31"/>
      <c r="ALH231" s="31"/>
      <c r="ALI231" s="33"/>
      <c r="ALJ231" s="33"/>
      <c r="ALK231" s="34"/>
      <c r="ALL231" s="34"/>
      <c r="ALM231" s="35"/>
      <c r="ALN231" s="35"/>
      <c r="ALO231" s="32"/>
      <c r="ALP231" s="31"/>
      <c r="ALQ231" s="31"/>
      <c r="ALR231" s="31"/>
      <c r="ALS231" s="32"/>
      <c r="ALT231" s="32"/>
      <c r="ALU231" s="32"/>
      <c r="ALV231" s="32"/>
      <c r="ALW231" s="32"/>
      <c r="ALX231" s="31"/>
      <c r="ALY231" s="31"/>
      <c r="ALZ231" s="33"/>
      <c r="AMA231" s="33"/>
      <c r="AMB231" s="34"/>
      <c r="AMC231" s="34"/>
      <c r="AMD231" s="35"/>
      <c r="AME231" s="35"/>
      <c r="AMF231" s="32"/>
      <c r="AMG231" s="31"/>
      <c r="AMH231" s="31"/>
      <c r="AMI231" s="31"/>
      <c r="AMJ231" s="32"/>
      <c r="AMK231" s="32"/>
      <c r="AML231" s="32"/>
      <c r="AMM231" s="32"/>
      <c r="AMN231" s="32"/>
      <c r="AMO231" s="31"/>
      <c r="AMP231" s="31"/>
      <c r="AMQ231" s="33"/>
      <c r="AMR231" s="33"/>
      <c r="AMS231" s="34"/>
      <c r="AMT231" s="34"/>
      <c r="AMU231" s="35"/>
      <c r="AMV231" s="35"/>
      <c r="AMW231" s="32"/>
      <c r="AMX231" s="31"/>
      <c r="AMY231" s="31"/>
      <c r="AMZ231" s="31"/>
      <c r="ANA231" s="32"/>
      <c r="ANB231" s="32"/>
      <c r="ANC231" s="32"/>
      <c r="AND231" s="32"/>
      <c r="ANE231" s="32"/>
      <c r="ANF231" s="31"/>
      <c r="ANG231" s="31"/>
      <c r="ANH231" s="33"/>
      <c r="ANI231" s="33"/>
      <c r="ANJ231" s="34"/>
      <c r="ANK231" s="34"/>
      <c r="ANL231" s="35"/>
      <c r="ANM231" s="35"/>
      <c r="ANN231" s="32"/>
      <c r="ANO231" s="31"/>
      <c r="ANP231" s="31"/>
      <c r="ANQ231" s="31"/>
      <c r="ANR231" s="32"/>
      <c r="ANS231" s="32"/>
      <c r="ANT231" s="32"/>
      <c r="ANU231" s="32"/>
      <c r="ANV231" s="32"/>
      <c r="ANW231" s="31"/>
      <c r="ANX231" s="31"/>
      <c r="ANY231" s="33"/>
      <c r="ANZ231" s="33"/>
      <c r="AOA231" s="34"/>
      <c r="AOB231" s="34"/>
      <c r="AOC231" s="35"/>
      <c r="AOD231" s="35"/>
      <c r="AOE231" s="32"/>
      <c r="AOF231" s="31"/>
      <c r="AOG231" s="31"/>
      <c r="AOH231" s="31"/>
      <c r="AOI231" s="32"/>
      <c r="AOJ231" s="32"/>
      <c r="AOK231" s="32"/>
      <c r="AOL231" s="32"/>
      <c r="AOM231" s="32"/>
      <c r="AON231" s="31"/>
      <c r="AOO231" s="31"/>
      <c r="AOP231" s="33"/>
      <c r="AOQ231" s="33"/>
      <c r="AOR231" s="34"/>
      <c r="AOS231" s="34"/>
      <c r="AOT231" s="35"/>
      <c r="AOU231" s="35"/>
      <c r="AOV231" s="32"/>
      <c r="AOW231" s="31"/>
      <c r="AOX231" s="31"/>
      <c r="AOY231" s="31"/>
      <c r="AOZ231" s="32"/>
      <c r="APA231" s="32"/>
      <c r="APB231" s="32"/>
      <c r="APC231" s="32"/>
      <c r="APD231" s="32"/>
      <c r="APE231" s="31"/>
      <c r="APF231" s="31"/>
      <c r="APG231" s="33"/>
      <c r="APH231" s="33"/>
      <c r="API231" s="34"/>
      <c r="APJ231" s="34"/>
      <c r="APK231" s="35"/>
      <c r="APL231" s="35"/>
      <c r="APM231" s="32"/>
      <c r="APN231" s="31"/>
      <c r="APO231" s="31"/>
      <c r="APP231" s="31"/>
      <c r="APQ231" s="32"/>
      <c r="APR231" s="32"/>
      <c r="APS231" s="32"/>
      <c r="APT231" s="32"/>
      <c r="APU231" s="32"/>
      <c r="APV231" s="31"/>
      <c r="APW231" s="31"/>
      <c r="APX231" s="33"/>
      <c r="APY231" s="33"/>
      <c r="APZ231" s="34"/>
      <c r="AQA231" s="34"/>
      <c r="AQB231" s="35"/>
      <c r="AQC231" s="35"/>
      <c r="AQD231" s="32"/>
      <c r="AQE231" s="31"/>
      <c r="AQF231" s="31"/>
      <c r="AQG231" s="31"/>
      <c r="AQH231" s="32"/>
      <c r="AQI231" s="32"/>
      <c r="AQJ231" s="32"/>
      <c r="AQK231" s="32"/>
      <c r="AQL231" s="32"/>
      <c r="AQM231" s="31"/>
      <c r="AQN231" s="31"/>
      <c r="AQO231" s="33"/>
      <c r="AQP231" s="33"/>
      <c r="AQQ231" s="34"/>
      <c r="AQR231" s="34"/>
      <c r="AQS231" s="35"/>
      <c r="AQT231" s="35"/>
      <c r="AQU231" s="32"/>
      <c r="AQV231" s="31"/>
      <c r="AQW231" s="31"/>
      <c r="AQX231" s="31"/>
      <c r="AQY231" s="32"/>
      <c r="AQZ231" s="32"/>
      <c r="ARA231" s="32"/>
      <c r="ARB231" s="32"/>
      <c r="ARC231" s="32"/>
      <c r="ARD231" s="31"/>
      <c r="ARE231" s="31"/>
      <c r="ARF231" s="33"/>
      <c r="ARG231" s="33"/>
      <c r="ARH231" s="34"/>
      <c r="ARI231" s="34"/>
      <c r="ARJ231" s="35"/>
      <c r="ARK231" s="35"/>
      <c r="ARL231" s="32"/>
      <c r="ARM231" s="31"/>
      <c r="ARN231" s="31"/>
      <c r="ARO231" s="31"/>
      <c r="ARP231" s="32"/>
      <c r="ARQ231" s="32"/>
      <c r="ARR231" s="32"/>
      <c r="ARS231" s="32"/>
      <c r="ART231" s="32"/>
      <c r="ARU231" s="31"/>
      <c r="ARV231" s="31"/>
      <c r="ARW231" s="33"/>
      <c r="ARX231" s="33"/>
      <c r="ARY231" s="34"/>
      <c r="ARZ231" s="34"/>
      <c r="ASA231" s="35"/>
      <c r="ASB231" s="35"/>
      <c r="ASC231" s="32"/>
      <c r="ASD231" s="31"/>
      <c r="ASE231" s="31"/>
      <c r="ASF231" s="31"/>
      <c r="ASG231" s="32"/>
      <c r="ASH231" s="32"/>
      <c r="ASI231" s="32"/>
      <c r="ASJ231" s="32"/>
      <c r="ASK231" s="32"/>
      <c r="ASL231" s="31"/>
      <c r="ASM231" s="31"/>
      <c r="ASN231" s="33"/>
      <c r="ASO231" s="33"/>
      <c r="ASP231" s="34"/>
      <c r="ASQ231" s="34"/>
      <c r="ASR231" s="35"/>
      <c r="ASS231" s="35"/>
      <c r="AST231" s="32"/>
      <c r="ASU231" s="31"/>
      <c r="ASV231" s="31"/>
      <c r="ASW231" s="31"/>
      <c r="ASX231" s="32"/>
      <c r="ASY231" s="32"/>
      <c r="ASZ231" s="32"/>
      <c r="ATA231" s="32"/>
      <c r="ATB231" s="32"/>
      <c r="ATC231" s="31"/>
      <c r="ATD231" s="31"/>
      <c r="ATE231" s="33"/>
      <c r="ATF231" s="33"/>
      <c r="ATG231" s="34"/>
      <c r="ATH231" s="34"/>
      <c r="ATI231" s="35"/>
      <c r="ATJ231" s="35"/>
      <c r="ATK231" s="32"/>
      <c r="ATL231" s="31"/>
      <c r="ATM231" s="31"/>
      <c r="ATN231" s="31"/>
      <c r="ATO231" s="32"/>
      <c r="ATP231" s="32"/>
      <c r="ATQ231" s="32"/>
      <c r="ATR231" s="32"/>
      <c r="ATS231" s="32"/>
      <c r="ATT231" s="31"/>
      <c r="ATU231" s="31"/>
      <c r="ATV231" s="33"/>
      <c r="ATW231" s="33"/>
      <c r="ATX231" s="34"/>
      <c r="ATY231" s="34"/>
      <c r="ATZ231" s="35"/>
      <c r="AUA231" s="35"/>
      <c r="AUB231" s="32"/>
      <c r="AUC231" s="31"/>
      <c r="AUD231" s="31"/>
      <c r="AUE231" s="31"/>
      <c r="AUF231" s="32"/>
      <c r="AUG231" s="32"/>
      <c r="AUH231" s="32"/>
      <c r="AUI231" s="32"/>
      <c r="AUJ231" s="32"/>
      <c r="AUK231" s="31"/>
      <c r="AUL231" s="31"/>
      <c r="AUM231" s="33"/>
      <c r="AUN231" s="33"/>
      <c r="AUO231" s="34"/>
      <c r="AUP231" s="34"/>
      <c r="AUQ231" s="35"/>
      <c r="AUR231" s="35"/>
      <c r="AUS231" s="32"/>
      <c r="AUT231" s="31"/>
      <c r="AUU231" s="31"/>
      <c r="AUV231" s="31"/>
      <c r="AUW231" s="32"/>
      <c r="AUX231" s="32"/>
      <c r="AUY231" s="32"/>
      <c r="AUZ231" s="32"/>
      <c r="AVA231" s="32"/>
      <c r="AVB231" s="31"/>
      <c r="AVC231" s="31"/>
      <c r="AVD231" s="33"/>
      <c r="AVE231" s="33"/>
      <c r="AVF231" s="34"/>
      <c r="AVG231" s="34"/>
      <c r="AVH231" s="35"/>
      <c r="AVI231" s="35"/>
      <c r="AVJ231" s="32"/>
      <c r="AVK231" s="31"/>
      <c r="AVL231" s="31"/>
      <c r="AVM231" s="31"/>
      <c r="AVN231" s="32"/>
      <c r="AVO231" s="32"/>
      <c r="AVP231" s="32"/>
      <c r="AVQ231" s="32"/>
      <c r="AVR231" s="32"/>
      <c r="AVS231" s="31"/>
      <c r="AVT231" s="31"/>
      <c r="AVU231" s="33"/>
      <c r="AVV231" s="33"/>
      <c r="AVW231" s="34"/>
      <c r="AVX231" s="34"/>
      <c r="AVY231" s="35"/>
      <c r="AVZ231" s="35"/>
      <c r="AWA231" s="32"/>
      <c r="AWB231" s="31"/>
      <c r="AWC231" s="31"/>
      <c r="AWD231" s="31"/>
      <c r="AWE231" s="32"/>
      <c r="AWF231" s="32"/>
      <c r="AWG231" s="32"/>
      <c r="AWH231" s="32"/>
      <c r="AWI231" s="32"/>
      <c r="AWJ231" s="31"/>
      <c r="AWK231" s="31"/>
      <c r="AWL231" s="33"/>
      <c r="AWM231" s="33"/>
      <c r="AWN231" s="34"/>
      <c r="AWO231" s="34"/>
      <c r="AWP231" s="35"/>
      <c r="AWQ231" s="35"/>
      <c r="AWR231" s="32"/>
      <c r="AWS231" s="31"/>
      <c r="AWT231" s="31"/>
      <c r="AWU231" s="31"/>
      <c r="AWV231" s="32"/>
      <c r="AWW231" s="32"/>
      <c r="AWX231" s="32"/>
      <c r="AWY231" s="32"/>
      <c r="AWZ231" s="32"/>
      <c r="AXA231" s="31"/>
      <c r="AXB231" s="31"/>
      <c r="AXC231" s="33"/>
      <c r="AXD231" s="33"/>
      <c r="AXE231" s="34"/>
      <c r="AXF231" s="34"/>
      <c r="AXG231" s="35"/>
      <c r="AXH231" s="35"/>
      <c r="AXI231" s="32"/>
      <c r="AXJ231" s="31"/>
      <c r="AXK231" s="31"/>
      <c r="AXL231" s="31"/>
      <c r="AXM231" s="32"/>
      <c r="AXN231" s="32"/>
      <c r="AXO231" s="32"/>
      <c r="AXP231" s="32"/>
      <c r="AXQ231" s="32"/>
      <c r="AXR231" s="31"/>
      <c r="AXS231" s="31"/>
      <c r="AXT231" s="33"/>
      <c r="AXU231" s="33"/>
      <c r="AXV231" s="34"/>
      <c r="AXW231" s="34"/>
      <c r="AXX231" s="35"/>
      <c r="AXY231" s="35"/>
      <c r="AXZ231" s="32"/>
      <c r="AYA231" s="31"/>
      <c r="AYB231" s="31"/>
      <c r="AYC231" s="31"/>
      <c r="AYD231" s="32"/>
      <c r="AYE231" s="32"/>
      <c r="AYF231" s="32"/>
      <c r="AYG231" s="32"/>
      <c r="AYH231" s="32"/>
      <c r="AYI231" s="31"/>
      <c r="AYJ231" s="31"/>
      <c r="AYK231" s="33"/>
      <c r="AYL231" s="33"/>
      <c r="AYM231" s="34"/>
      <c r="AYN231" s="34"/>
      <c r="AYO231" s="35"/>
      <c r="AYP231" s="35"/>
      <c r="AYQ231" s="32"/>
      <c r="AYR231" s="31"/>
      <c r="AYS231" s="31"/>
      <c r="AYT231" s="31"/>
      <c r="AYU231" s="32"/>
      <c r="AYV231" s="32"/>
      <c r="AYW231" s="32"/>
      <c r="AYX231" s="32"/>
      <c r="AYY231" s="32"/>
      <c r="AYZ231" s="31"/>
      <c r="AZA231" s="31"/>
      <c r="AZB231" s="33"/>
      <c r="AZC231" s="33"/>
      <c r="AZD231" s="34"/>
      <c r="AZE231" s="34"/>
      <c r="AZF231" s="35"/>
      <c r="AZG231" s="35"/>
      <c r="AZH231" s="32"/>
      <c r="AZI231" s="31"/>
      <c r="AZJ231" s="31"/>
      <c r="AZK231" s="31"/>
      <c r="AZL231" s="32"/>
      <c r="AZM231" s="32"/>
      <c r="AZN231" s="32"/>
      <c r="AZO231" s="32"/>
      <c r="AZP231" s="32"/>
      <c r="AZQ231" s="31"/>
      <c r="AZR231" s="31"/>
      <c r="AZS231" s="33"/>
      <c r="AZT231" s="33"/>
      <c r="AZU231" s="34"/>
      <c r="AZV231" s="34"/>
      <c r="AZW231" s="35"/>
      <c r="AZX231" s="35"/>
      <c r="AZY231" s="32"/>
      <c r="AZZ231" s="31"/>
      <c r="BAA231" s="31"/>
      <c r="BAB231" s="31"/>
      <c r="BAC231" s="32"/>
      <c r="BAD231" s="32"/>
      <c r="BAE231" s="32"/>
      <c r="BAF231" s="32"/>
      <c r="BAG231" s="32"/>
      <c r="BAH231" s="31"/>
      <c r="BAI231" s="31"/>
      <c r="BAJ231" s="33"/>
      <c r="BAK231" s="33"/>
      <c r="BAL231" s="34"/>
      <c r="BAM231" s="34"/>
      <c r="BAN231" s="35"/>
      <c r="BAO231" s="35"/>
      <c r="BAP231" s="32"/>
      <c r="BAQ231" s="31"/>
      <c r="BAR231" s="31"/>
      <c r="BAS231" s="31"/>
      <c r="BAT231" s="32"/>
      <c r="BAU231" s="32"/>
      <c r="BAV231" s="32"/>
      <c r="BAW231" s="32"/>
      <c r="BAX231" s="32"/>
      <c r="BAY231" s="31"/>
      <c r="BAZ231" s="31"/>
      <c r="BBA231" s="33"/>
      <c r="BBB231" s="33"/>
      <c r="BBC231" s="34"/>
      <c r="BBD231" s="34"/>
      <c r="BBE231" s="35"/>
      <c r="BBF231" s="35"/>
      <c r="BBG231" s="32"/>
      <c r="BBH231" s="31"/>
      <c r="BBI231" s="31"/>
      <c r="BBJ231" s="31"/>
      <c r="BBK231" s="32"/>
      <c r="BBL231" s="32"/>
      <c r="BBM231" s="32"/>
      <c r="BBN231" s="32"/>
      <c r="BBO231" s="32"/>
      <c r="BBP231" s="31"/>
      <c r="BBQ231" s="31"/>
      <c r="BBR231" s="33"/>
      <c r="BBS231" s="33"/>
      <c r="BBT231" s="34"/>
      <c r="BBU231" s="34"/>
      <c r="BBV231" s="35"/>
      <c r="BBW231" s="35"/>
      <c r="BBX231" s="32"/>
      <c r="BBY231" s="31"/>
      <c r="BBZ231" s="31"/>
      <c r="BCA231" s="31"/>
      <c r="BCB231" s="32"/>
      <c r="BCC231" s="32"/>
      <c r="BCD231" s="32"/>
      <c r="BCE231" s="32"/>
      <c r="BCF231" s="32"/>
      <c r="BCG231" s="31"/>
      <c r="BCH231" s="31"/>
      <c r="BCI231" s="33"/>
      <c r="BCJ231" s="33"/>
      <c r="BCK231" s="34"/>
      <c r="BCL231" s="34"/>
      <c r="BCM231" s="35"/>
      <c r="BCN231" s="35"/>
      <c r="BCO231" s="32"/>
      <c r="BCP231" s="31"/>
      <c r="BCQ231" s="31"/>
      <c r="BCR231" s="31"/>
      <c r="BCS231" s="32"/>
      <c r="BCT231" s="32"/>
      <c r="BCU231" s="32"/>
      <c r="BCV231" s="32"/>
      <c r="BCW231" s="32"/>
      <c r="BCX231" s="31"/>
      <c r="BCY231" s="31"/>
      <c r="BCZ231" s="33"/>
      <c r="BDA231" s="33"/>
      <c r="BDB231" s="34"/>
      <c r="BDC231" s="34"/>
      <c r="BDD231" s="35"/>
      <c r="BDE231" s="35"/>
      <c r="BDF231" s="32"/>
      <c r="BDG231" s="31"/>
      <c r="BDH231" s="31"/>
      <c r="BDI231" s="31"/>
      <c r="BDJ231" s="32"/>
      <c r="BDK231" s="32"/>
      <c r="BDL231" s="32"/>
      <c r="BDM231" s="32"/>
      <c r="BDN231" s="32"/>
      <c r="BDO231" s="31"/>
      <c r="BDP231" s="31"/>
      <c r="BDQ231" s="33"/>
      <c r="BDR231" s="33"/>
      <c r="BDS231" s="34"/>
      <c r="BDT231" s="34"/>
      <c r="BDU231" s="35"/>
      <c r="BDV231" s="35"/>
      <c r="BDW231" s="32"/>
      <c r="BDX231" s="31"/>
      <c r="BDY231" s="31"/>
      <c r="BDZ231" s="31"/>
      <c r="BEA231" s="32"/>
      <c r="BEB231" s="32"/>
      <c r="BEC231" s="32"/>
      <c r="BED231" s="32"/>
      <c r="BEE231" s="32"/>
      <c r="BEF231" s="31"/>
      <c r="BEG231" s="31"/>
      <c r="BEH231" s="33"/>
      <c r="BEI231" s="33"/>
      <c r="BEJ231" s="34"/>
      <c r="BEK231" s="34"/>
      <c r="BEL231" s="35"/>
      <c r="BEM231" s="35"/>
      <c r="BEN231" s="32"/>
      <c r="BEO231" s="31"/>
      <c r="BEP231" s="31"/>
      <c r="BEQ231" s="31"/>
      <c r="BER231" s="32"/>
      <c r="BES231" s="32"/>
      <c r="BET231" s="32"/>
      <c r="BEU231" s="32"/>
      <c r="BEV231" s="32"/>
      <c r="BEW231" s="31"/>
      <c r="BEX231" s="31"/>
      <c r="BEY231" s="33"/>
      <c r="BEZ231" s="33"/>
      <c r="BFA231" s="34"/>
      <c r="BFB231" s="34"/>
      <c r="BFC231" s="35"/>
      <c r="BFD231" s="35"/>
      <c r="BFE231" s="32"/>
      <c r="BFF231" s="31"/>
      <c r="BFG231" s="31"/>
      <c r="BFH231" s="31"/>
      <c r="BFI231" s="32"/>
      <c r="BFJ231" s="32"/>
      <c r="BFK231" s="32"/>
      <c r="BFL231" s="32"/>
      <c r="BFM231" s="32"/>
      <c r="BFN231" s="31"/>
      <c r="BFO231" s="31"/>
      <c r="BFP231" s="33"/>
      <c r="BFQ231" s="33"/>
      <c r="BFR231" s="34"/>
      <c r="BFS231" s="34"/>
      <c r="BFT231" s="35"/>
      <c r="BFU231" s="35"/>
      <c r="BFV231" s="32"/>
      <c r="BFW231" s="31"/>
      <c r="BFX231" s="31"/>
      <c r="BFY231" s="31"/>
      <c r="BFZ231" s="32"/>
      <c r="BGA231" s="32"/>
      <c r="BGB231" s="32"/>
      <c r="BGC231" s="32"/>
      <c r="BGD231" s="32"/>
      <c r="BGE231" s="31"/>
      <c r="BGF231" s="31"/>
      <c r="BGG231" s="33"/>
      <c r="BGH231" s="33"/>
      <c r="BGI231" s="34"/>
      <c r="BGJ231" s="34"/>
      <c r="BGK231" s="35"/>
      <c r="BGL231" s="35"/>
      <c r="BGM231" s="32"/>
      <c r="BGN231" s="31"/>
      <c r="BGO231" s="31"/>
      <c r="BGP231" s="31"/>
      <c r="BGQ231" s="32"/>
      <c r="BGR231" s="32"/>
      <c r="BGS231" s="32"/>
      <c r="BGT231" s="32"/>
      <c r="BGU231" s="32"/>
      <c r="BGV231" s="31"/>
      <c r="BGW231" s="31"/>
      <c r="BGX231" s="33"/>
      <c r="BGY231" s="33"/>
      <c r="BGZ231" s="34"/>
      <c r="BHA231" s="34"/>
      <c r="BHB231" s="35"/>
      <c r="BHC231" s="35"/>
      <c r="BHD231" s="32"/>
      <c r="BHE231" s="31"/>
      <c r="BHF231" s="31"/>
      <c r="BHG231" s="31"/>
      <c r="BHH231" s="32"/>
      <c r="BHI231" s="32"/>
      <c r="BHJ231" s="32"/>
      <c r="BHK231" s="32"/>
      <c r="BHL231" s="32"/>
      <c r="BHM231" s="31"/>
      <c r="BHN231" s="31"/>
      <c r="BHO231" s="33"/>
      <c r="BHP231" s="33"/>
      <c r="BHQ231" s="34"/>
      <c r="BHR231" s="34"/>
      <c r="BHS231" s="35"/>
      <c r="BHT231" s="35"/>
      <c r="BHU231" s="32"/>
      <c r="BHV231" s="31"/>
      <c r="BHW231" s="31"/>
      <c r="BHX231" s="31"/>
      <c r="BHY231" s="32"/>
      <c r="BHZ231" s="32"/>
      <c r="BIA231" s="32"/>
      <c r="BIB231" s="32"/>
      <c r="BIC231" s="32"/>
      <c r="BID231" s="31"/>
      <c r="BIE231" s="31"/>
      <c r="BIF231" s="33"/>
      <c r="BIG231" s="33"/>
      <c r="BIH231" s="34"/>
      <c r="BII231" s="34"/>
      <c r="BIJ231" s="35"/>
      <c r="BIK231" s="35"/>
      <c r="BIL231" s="32"/>
      <c r="BIM231" s="31"/>
      <c r="BIN231" s="31"/>
      <c r="BIO231" s="31"/>
      <c r="BIP231" s="32"/>
      <c r="BIQ231" s="32"/>
      <c r="BIR231" s="32"/>
      <c r="BIS231" s="32"/>
      <c r="BIT231" s="32"/>
      <c r="BIU231" s="31"/>
      <c r="BIV231" s="31"/>
      <c r="BIW231" s="33"/>
      <c r="BIX231" s="33"/>
      <c r="BIY231" s="34"/>
      <c r="BIZ231" s="34"/>
      <c r="BJA231" s="35"/>
      <c r="BJB231" s="35"/>
      <c r="BJC231" s="32"/>
      <c r="BJD231" s="31"/>
      <c r="BJE231" s="31"/>
      <c r="BJF231" s="31"/>
      <c r="BJG231" s="32"/>
      <c r="BJH231" s="32"/>
      <c r="BJI231" s="32"/>
      <c r="BJJ231" s="32"/>
      <c r="BJK231" s="32"/>
      <c r="BJL231" s="31"/>
      <c r="BJM231" s="31"/>
      <c r="BJN231" s="33"/>
      <c r="BJO231" s="33"/>
      <c r="BJP231" s="34"/>
      <c r="BJQ231" s="34"/>
      <c r="BJR231" s="35"/>
      <c r="BJS231" s="35"/>
      <c r="BJT231" s="32"/>
      <c r="BJU231" s="31"/>
      <c r="BJV231" s="31"/>
      <c r="BJW231" s="31"/>
      <c r="BJX231" s="32"/>
      <c r="BJY231" s="32"/>
      <c r="BJZ231" s="32"/>
      <c r="BKA231" s="32"/>
      <c r="BKB231" s="32"/>
      <c r="BKC231" s="31"/>
      <c r="BKD231" s="31"/>
      <c r="BKE231" s="33"/>
      <c r="BKF231" s="33"/>
      <c r="BKG231" s="34"/>
      <c r="BKH231" s="34"/>
      <c r="BKI231" s="35"/>
      <c r="BKJ231" s="35"/>
      <c r="BKK231" s="32"/>
      <c r="BKL231" s="31"/>
      <c r="BKM231" s="31"/>
      <c r="BKN231" s="31"/>
      <c r="BKO231" s="32"/>
      <c r="BKP231" s="32"/>
      <c r="BKQ231" s="32"/>
      <c r="BKR231" s="32"/>
      <c r="BKS231" s="32"/>
      <c r="BKT231" s="31"/>
      <c r="BKU231" s="31"/>
      <c r="BKV231" s="33"/>
      <c r="BKW231" s="33"/>
      <c r="BKX231" s="34"/>
      <c r="BKY231" s="34"/>
      <c r="BKZ231" s="35"/>
      <c r="BLA231" s="35"/>
      <c r="BLB231" s="32"/>
      <c r="BLC231" s="31"/>
      <c r="BLD231" s="31"/>
      <c r="BLE231" s="31"/>
      <c r="BLF231" s="32"/>
      <c r="BLG231" s="32"/>
      <c r="BLH231" s="32"/>
      <c r="BLI231" s="32"/>
      <c r="BLJ231" s="32"/>
      <c r="BLK231" s="31"/>
      <c r="BLL231" s="31"/>
      <c r="BLM231" s="33"/>
      <c r="BLN231" s="33"/>
      <c r="BLO231" s="34"/>
      <c r="BLP231" s="34"/>
      <c r="BLQ231" s="35"/>
      <c r="BLR231" s="35"/>
      <c r="BLS231" s="32"/>
      <c r="BLT231" s="31"/>
      <c r="BLU231" s="31"/>
      <c r="BLV231" s="31"/>
      <c r="BLW231" s="32"/>
      <c r="BLX231" s="32"/>
      <c r="BLY231" s="32"/>
      <c r="BLZ231" s="32"/>
      <c r="BMA231" s="32"/>
      <c r="BMB231" s="31"/>
      <c r="BMC231" s="31"/>
      <c r="BMD231" s="33"/>
      <c r="BME231" s="33"/>
      <c r="BMF231" s="34"/>
      <c r="BMG231" s="34"/>
      <c r="BMH231" s="35"/>
      <c r="BMI231" s="35"/>
      <c r="BMJ231" s="32"/>
      <c r="BMK231" s="31"/>
      <c r="BML231" s="31"/>
      <c r="BMM231" s="31"/>
      <c r="BMN231" s="32"/>
      <c r="BMO231" s="32"/>
      <c r="BMP231" s="32"/>
      <c r="BMQ231" s="32"/>
      <c r="BMR231" s="32"/>
      <c r="BMS231" s="31"/>
      <c r="BMT231" s="31"/>
      <c r="BMU231" s="33"/>
      <c r="BMV231" s="33"/>
      <c r="BMW231" s="34"/>
      <c r="BMX231" s="34"/>
      <c r="BMY231" s="35"/>
      <c r="BMZ231" s="35"/>
      <c r="BNA231" s="32"/>
      <c r="BNB231" s="31"/>
      <c r="BNC231" s="31"/>
      <c r="BND231" s="31"/>
      <c r="BNE231" s="32"/>
      <c r="BNF231" s="32"/>
      <c r="BNG231" s="32"/>
      <c r="BNH231" s="32"/>
      <c r="BNI231" s="32"/>
      <c r="BNJ231" s="31"/>
      <c r="BNK231" s="31"/>
      <c r="BNL231" s="33"/>
      <c r="BNM231" s="33"/>
      <c r="BNN231" s="34"/>
      <c r="BNO231" s="34"/>
      <c r="BNP231" s="35"/>
      <c r="BNQ231" s="35"/>
      <c r="BNR231" s="32"/>
      <c r="BNS231" s="31"/>
      <c r="BNT231" s="31"/>
      <c r="BNU231" s="31"/>
      <c r="BNV231" s="32"/>
      <c r="BNW231" s="32"/>
      <c r="BNX231" s="32"/>
      <c r="BNY231" s="32"/>
      <c r="BNZ231" s="32"/>
      <c r="BOA231" s="31"/>
      <c r="BOB231" s="31"/>
      <c r="BOC231" s="33"/>
      <c r="BOD231" s="33"/>
      <c r="BOE231" s="34"/>
      <c r="BOF231" s="34"/>
      <c r="BOG231" s="35"/>
      <c r="BOH231" s="35"/>
      <c r="BOI231" s="32"/>
      <c r="BOJ231" s="31"/>
      <c r="BOK231" s="31"/>
      <c r="BOL231" s="31"/>
      <c r="BOM231" s="32"/>
      <c r="BON231" s="32"/>
      <c r="BOO231" s="32"/>
      <c r="BOP231" s="32"/>
      <c r="BOQ231" s="32"/>
      <c r="BOR231" s="31"/>
      <c r="BOS231" s="31"/>
      <c r="BOT231" s="33"/>
      <c r="BOU231" s="33"/>
      <c r="BOV231" s="34"/>
      <c r="BOW231" s="34"/>
      <c r="BOX231" s="35"/>
      <c r="BOY231" s="35"/>
      <c r="BOZ231" s="32"/>
      <c r="BPA231" s="31"/>
      <c r="BPB231" s="31"/>
      <c r="BPC231" s="31"/>
      <c r="BPD231" s="32"/>
      <c r="BPE231" s="32"/>
      <c r="BPF231" s="32"/>
      <c r="BPG231" s="32"/>
      <c r="BPH231" s="32"/>
      <c r="BPI231" s="31"/>
      <c r="BPJ231" s="31"/>
      <c r="BPK231" s="33"/>
      <c r="BPL231" s="33"/>
      <c r="BPM231" s="34"/>
      <c r="BPN231" s="34"/>
      <c r="BPO231" s="35"/>
      <c r="BPP231" s="35"/>
      <c r="BPQ231" s="32"/>
      <c r="BPR231" s="31"/>
      <c r="BPS231" s="31"/>
      <c r="BPT231" s="31"/>
      <c r="BPU231" s="32"/>
      <c r="BPV231" s="32"/>
      <c r="BPW231" s="32"/>
      <c r="BPX231" s="32"/>
      <c r="BPY231" s="32"/>
      <c r="BPZ231" s="31"/>
      <c r="BQA231" s="31"/>
      <c r="BQB231" s="33"/>
      <c r="BQC231" s="33"/>
      <c r="BQD231" s="34"/>
      <c r="BQE231" s="34"/>
      <c r="BQF231" s="35"/>
      <c r="BQG231" s="35"/>
      <c r="BQH231" s="32"/>
      <c r="BQI231" s="31"/>
      <c r="BQJ231" s="31"/>
      <c r="BQK231" s="31"/>
      <c r="BQL231" s="32"/>
      <c r="BQM231" s="32"/>
      <c r="BQN231" s="32"/>
      <c r="BQO231" s="32"/>
      <c r="BQP231" s="32"/>
      <c r="BQQ231" s="31"/>
      <c r="BQR231" s="31"/>
      <c r="BQS231" s="33"/>
      <c r="BQT231" s="33"/>
      <c r="BQU231" s="34"/>
      <c r="BQV231" s="34"/>
      <c r="BQW231" s="35"/>
      <c r="BQX231" s="35"/>
      <c r="BQY231" s="32"/>
      <c r="BQZ231" s="31"/>
      <c r="BRA231" s="31"/>
      <c r="BRB231" s="31"/>
      <c r="BRC231" s="32"/>
      <c r="BRD231" s="32"/>
      <c r="BRE231" s="32"/>
      <c r="BRF231" s="32"/>
      <c r="BRG231" s="32"/>
      <c r="BRH231" s="31"/>
      <c r="BRI231" s="31"/>
      <c r="BRJ231" s="33"/>
      <c r="BRK231" s="33"/>
      <c r="BRL231" s="34"/>
      <c r="BRM231" s="34"/>
      <c r="BRN231" s="35"/>
      <c r="BRO231" s="35"/>
      <c r="BRP231" s="32"/>
      <c r="BRQ231" s="31"/>
      <c r="BRR231" s="31"/>
      <c r="BRS231" s="31"/>
      <c r="BRT231" s="32"/>
      <c r="BRU231" s="32"/>
      <c r="BRV231" s="32"/>
      <c r="BRW231" s="32"/>
      <c r="BRX231" s="32"/>
      <c r="BRY231" s="31"/>
      <c r="BRZ231" s="31"/>
      <c r="BSA231" s="33"/>
      <c r="BSB231" s="33"/>
      <c r="BSC231" s="34"/>
      <c r="BSD231" s="34"/>
      <c r="BSE231" s="35"/>
      <c r="BSF231" s="35"/>
      <c r="BSG231" s="32"/>
      <c r="BSH231" s="31"/>
      <c r="BSI231" s="31"/>
      <c r="BSJ231" s="31"/>
      <c r="BSK231" s="32"/>
      <c r="BSL231" s="32"/>
      <c r="BSM231" s="32"/>
      <c r="BSN231" s="32"/>
      <c r="BSO231" s="32"/>
      <c r="BSP231" s="31"/>
      <c r="BSQ231" s="31"/>
      <c r="BSR231" s="33"/>
      <c r="BSS231" s="33"/>
      <c r="BST231" s="34"/>
      <c r="BSU231" s="34"/>
      <c r="BSV231" s="35"/>
      <c r="BSW231" s="35"/>
      <c r="BSX231" s="32"/>
      <c r="BSY231" s="31"/>
      <c r="BSZ231" s="31"/>
      <c r="BTA231" s="31"/>
      <c r="BTB231" s="32"/>
      <c r="BTC231" s="32"/>
      <c r="BTD231" s="32"/>
      <c r="BTE231" s="32"/>
      <c r="BTF231" s="32"/>
      <c r="BTG231" s="31"/>
      <c r="BTH231" s="31"/>
      <c r="BTI231" s="33"/>
      <c r="BTJ231" s="33"/>
      <c r="BTK231" s="34"/>
      <c r="BTL231" s="34"/>
      <c r="BTM231" s="35"/>
      <c r="BTN231" s="35"/>
      <c r="BTO231" s="32"/>
      <c r="BTP231" s="31"/>
      <c r="BTQ231" s="31"/>
      <c r="BTR231" s="31"/>
      <c r="BTS231" s="32"/>
      <c r="BTT231" s="32"/>
      <c r="BTU231" s="32"/>
      <c r="BTV231" s="32"/>
      <c r="BTW231" s="32"/>
      <c r="BTX231" s="31"/>
      <c r="BTY231" s="31"/>
      <c r="BTZ231" s="33"/>
      <c r="BUA231" s="33"/>
      <c r="BUB231" s="34"/>
      <c r="BUC231" s="34"/>
      <c r="BUD231" s="35"/>
      <c r="BUE231" s="35"/>
      <c r="BUF231" s="32"/>
      <c r="BUG231" s="31"/>
      <c r="BUH231" s="31"/>
      <c r="BUI231" s="31"/>
      <c r="BUJ231" s="32"/>
      <c r="BUK231" s="32"/>
      <c r="BUL231" s="32"/>
      <c r="BUM231" s="32"/>
      <c r="BUN231" s="32"/>
      <c r="BUO231" s="31"/>
      <c r="BUP231" s="31"/>
      <c r="BUQ231" s="33"/>
      <c r="BUR231" s="33"/>
      <c r="BUS231" s="34"/>
      <c r="BUT231" s="34"/>
      <c r="BUU231" s="35"/>
      <c r="BUV231" s="35"/>
      <c r="BUW231" s="32"/>
      <c r="BUX231" s="31"/>
      <c r="BUY231" s="31"/>
      <c r="BUZ231" s="31"/>
      <c r="BVA231" s="32"/>
      <c r="BVB231" s="32"/>
      <c r="BVC231" s="32"/>
      <c r="BVD231" s="32"/>
      <c r="BVE231" s="32"/>
      <c r="BVF231" s="31"/>
      <c r="BVG231" s="31"/>
      <c r="BVH231" s="33"/>
      <c r="BVI231" s="33"/>
      <c r="BVJ231" s="34"/>
      <c r="BVK231" s="34"/>
      <c r="BVL231" s="35"/>
      <c r="BVM231" s="35"/>
      <c r="BVN231" s="32"/>
      <c r="BVO231" s="31"/>
      <c r="BVP231" s="31"/>
      <c r="BVQ231" s="31"/>
      <c r="BVR231" s="32"/>
      <c r="BVS231" s="32"/>
      <c r="BVT231" s="32"/>
      <c r="BVU231" s="32"/>
      <c r="BVV231" s="32"/>
      <c r="BVW231" s="31"/>
      <c r="BVX231" s="31"/>
      <c r="BVY231" s="33"/>
      <c r="BVZ231" s="33"/>
      <c r="BWA231" s="34"/>
      <c r="BWB231" s="34"/>
      <c r="BWC231" s="35"/>
      <c r="BWD231" s="35"/>
      <c r="BWE231" s="32"/>
      <c r="BWF231" s="31"/>
      <c r="BWG231" s="31"/>
      <c r="BWH231" s="31"/>
      <c r="BWI231" s="32"/>
      <c r="BWJ231" s="32"/>
      <c r="BWK231" s="32"/>
      <c r="BWL231" s="32"/>
      <c r="BWM231" s="32"/>
      <c r="BWN231" s="31"/>
      <c r="BWO231" s="31"/>
      <c r="BWP231" s="33"/>
      <c r="BWQ231" s="33"/>
      <c r="BWR231" s="34"/>
      <c r="BWS231" s="34"/>
      <c r="BWT231" s="35"/>
      <c r="BWU231" s="35"/>
      <c r="BWV231" s="32"/>
      <c r="BWW231" s="31"/>
      <c r="BWX231" s="31"/>
      <c r="BWY231" s="31"/>
      <c r="BWZ231" s="32"/>
      <c r="BXA231" s="32"/>
      <c r="BXB231" s="32"/>
      <c r="BXC231" s="32"/>
      <c r="BXD231" s="32"/>
      <c r="BXE231" s="31"/>
      <c r="BXF231" s="31"/>
      <c r="BXG231" s="33"/>
      <c r="BXH231" s="33"/>
      <c r="BXI231" s="34"/>
      <c r="BXJ231" s="34"/>
      <c r="BXK231" s="35"/>
      <c r="BXL231" s="35"/>
      <c r="BXM231" s="32"/>
      <c r="BXN231" s="31"/>
      <c r="BXO231" s="31"/>
      <c r="BXP231" s="31"/>
      <c r="BXQ231" s="32"/>
      <c r="BXR231" s="32"/>
      <c r="BXS231" s="32"/>
      <c r="BXT231" s="32"/>
      <c r="BXU231" s="32"/>
      <c r="BXV231" s="31"/>
      <c r="BXW231" s="31"/>
      <c r="BXX231" s="33"/>
      <c r="BXY231" s="33"/>
      <c r="BXZ231" s="34"/>
      <c r="BYA231" s="34"/>
      <c r="BYB231" s="35"/>
      <c r="BYC231" s="35"/>
      <c r="BYD231" s="32"/>
      <c r="BYE231" s="31"/>
      <c r="BYF231" s="31"/>
      <c r="BYG231" s="31"/>
      <c r="BYH231" s="32"/>
      <c r="BYI231" s="32"/>
      <c r="BYJ231" s="32"/>
      <c r="BYK231" s="32"/>
      <c r="BYL231" s="32"/>
      <c r="BYM231" s="31"/>
      <c r="BYN231" s="31"/>
      <c r="BYO231" s="33"/>
      <c r="BYP231" s="33"/>
      <c r="BYQ231" s="34"/>
      <c r="BYR231" s="34"/>
      <c r="BYS231" s="35"/>
      <c r="BYT231" s="35"/>
      <c r="BYU231" s="32"/>
      <c r="BYV231" s="31"/>
      <c r="BYW231" s="31"/>
      <c r="BYX231" s="31"/>
      <c r="BYY231" s="32"/>
      <c r="BYZ231" s="32"/>
      <c r="BZA231" s="32"/>
      <c r="BZB231" s="32"/>
      <c r="BZC231" s="32"/>
      <c r="BZD231" s="31"/>
      <c r="BZE231" s="31"/>
      <c r="BZF231" s="33"/>
      <c r="BZG231" s="33"/>
      <c r="BZH231" s="34"/>
      <c r="BZI231" s="34"/>
      <c r="BZJ231" s="35"/>
      <c r="BZK231" s="35"/>
      <c r="BZL231" s="32"/>
      <c r="BZM231" s="31"/>
      <c r="BZN231" s="31"/>
      <c r="BZO231" s="31"/>
      <c r="BZP231" s="32"/>
      <c r="BZQ231" s="32"/>
      <c r="BZR231" s="32"/>
      <c r="BZS231" s="32"/>
      <c r="BZT231" s="32"/>
      <c r="BZU231" s="31"/>
      <c r="BZV231" s="31"/>
      <c r="BZW231" s="33"/>
      <c r="BZX231" s="33"/>
      <c r="BZY231" s="34"/>
      <c r="BZZ231" s="34"/>
      <c r="CAA231" s="35"/>
      <c r="CAB231" s="35"/>
      <c r="CAC231" s="32"/>
      <c r="CAD231" s="31"/>
      <c r="CAE231" s="31"/>
      <c r="CAF231" s="31"/>
      <c r="CAG231" s="32"/>
      <c r="CAH231" s="32"/>
      <c r="CAI231" s="32"/>
      <c r="CAJ231" s="32"/>
      <c r="CAK231" s="32"/>
      <c r="CAL231" s="31"/>
      <c r="CAM231" s="31"/>
      <c r="CAN231" s="33"/>
      <c r="CAO231" s="33"/>
      <c r="CAP231" s="34"/>
      <c r="CAQ231" s="34"/>
      <c r="CAR231" s="35"/>
      <c r="CAS231" s="35"/>
      <c r="CAT231" s="32"/>
      <c r="CAU231" s="31"/>
      <c r="CAV231" s="31"/>
      <c r="CAW231" s="31"/>
      <c r="CAX231" s="32"/>
      <c r="CAY231" s="32"/>
      <c r="CAZ231" s="32"/>
      <c r="CBA231" s="32"/>
      <c r="CBB231" s="32"/>
      <c r="CBC231" s="31"/>
      <c r="CBD231" s="31"/>
      <c r="CBE231" s="33"/>
      <c r="CBF231" s="33"/>
      <c r="CBG231" s="34"/>
      <c r="CBH231" s="34"/>
      <c r="CBI231" s="35"/>
      <c r="CBJ231" s="35"/>
      <c r="CBK231" s="32"/>
      <c r="CBL231" s="31"/>
      <c r="CBM231" s="31"/>
      <c r="CBN231" s="31"/>
      <c r="CBO231" s="32"/>
      <c r="CBP231" s="32"/>
      <c r="CBQ231" s="32"/>
      <c r="CBR231" s="32"/>
      <c r="CBS231" s="32"/>
      <c r="CBT231" s="31"/>
      <c r="CBU231" s="31"/>
      <c r="CBV231" s="33"/>
      <c r="CBW231" s="33"/>
      <c r="CBX231" s="34"/>
      <c r="CBY231" s="34"/>
      <c r="CBZ231" s="35"/>
      <c r="CCA231" s="35"/>
      <c r="CCB231" s="32"/>
      <c r="CCC231" s="31"/>
      <c r="CCD231" s="31"/>
      <c r="CCE231" s="31"/>
      <c r="CCF231" s="32"/>
      <c r="CCG231" s="32"/>
      <c r="CCH231" s="32"/>
      <c r="CCI231" s="32"/>
      <c r="CCJ231" s="32"/>
      <c r="CCK231" s="31"/>
      <c r="CCL231" s="31"/>
      <c r="CCM231" s="33"/>
      <c r="CCN231" s="33"/>
      <c r="CCO231" s="34"/>
      <c r="CCP231" s="34"/>
      <c r="CCQ231" s="35"/>
      <c r="CCR231" s="35"/>
      <c r="CCS231" s="32"/>
      <c r="CCT231" s="31"/>
      <c r="CCU231" s="31"/>
      <c r="CCV231" s="31"/>
      <c r="CCW231" s="32"/>
      <c r="CCX231" s="32"/>
      <c r="CCY231" s="32"/>
      <c r="CCZ231" s="32"/>
      <c r="CDA231" s="32"/>
      <c r="CDB231" s="31"/>
      <c r="CDC231" s="31"/>
      <c r="CDD231" s="33"/>
      <c r="CDE231" s="33"/>
      <c r="CDF231" s="34"/>
      <c r="CDG231" s="34"/>
      <c r="CDH231" s="35"/>
      <c r="CDI231" s="35"/>
      <c r="CDJ231" s="32"/>
      <c r="CDK231" s="31"/>
      <c r="CDL231" s="31"/>
      <c r="CDM231" s="31"/>
      <c r="CDN231" s="32"/>
      <c r="CDO231" s="32"/>
      <c r="CDP231" s="32"/>
      <c r="CDQ231" s="32"/>
      <c r="CDR231" s="32"/>
      <c r="CDS231" s="31"/>
      <c r="CDT231" s="31"/>
      <c r="CDU231" s="33"/>
      <c r="CDV231" s="33"/>
      <c r="CDW231" s="34"/>
      <c r="CDX231" s="34"/>
      <c r="CDY231" s="35"/>
      <c r="CDZ231" s="35"/>
      <c r="CEA231" s="32"/>
      <c r="CEB231" s="31"/>
      <c r="CEC231" s="31"/>
      <c r="CED231" s="31"/>
      <c r="CEE231" s="32"/>
      <c r="CEF231" s="32"/>
      <c r="CEG231" s="32"/>
      <c r="CEH231" s="32"/>
      <c r="CEI231" s="32"/>
      <c r="CEJ231" s="31"/>
      <c r="CEK231" s="31"/>
      <c r="CEL231" s="33"/>
      <c r="CEM231" s="33"/>
      <c r="CEN231" s="34"/>
      <c r="CEO231" s="34"/>
      <c r="CEP231" s="35"/>
      <c r="CEQ231" s="35"/>
      <c r="CER231" s="32"/>
      <c r="CES231" s="31"/>
      <c r="CET231" s="31"/>
      <c r="CEU231" s="31"/>
      <c r="CEV231" s="32"/>
      <c r="CEW231" s="32"/>
      <c r="CEX231" s="32"/>
      <c r="CEY231" s="32"/>
      <c r="CEZ231" s="32"/>
      <c r="CFA231" s="31"/>
      <c r="CFB231" s="31"/>
      <c r="CFC231" s="33"/>
      <c r="CFD231" s="33"/>
      <c r="CFE231" s="34"/>
      <c r="CFF231" s="34"/>
      <c r="CFG231" s="35"/>
      <c r="CFH231" s="35"/>
      <c r="CFI231" s="32"/>
      <c r="CFJ231" s="31"/>
      <c r="CFK231" s="31"/>
      <c r="CFL231" s="31"/>
      <c r="CFM231" s="32"/>
      <c r="CFN231" s="32"/>
      <c r="CFO231" s="32"/>
      <c r="CFP231" s="32"/>
      <c r="CFQ231" s="32"/>
      <c r="CFR231" s="31"/>
      <c r="CFS231" s="31"/>
      <c r="CFT231" s="33"/>
      <c r="CFU231" s="33"/>
      <c r="CFV231" s="34"/>
      <c r="CFW231" s="34"/>
      <c r="CFX231" s="35"/>
      <c r="CFY231" s="35"/>
      <c r="CFZ231" s="32"/>
      <c r="CGA231" s="31"/>
      <c r="CGB231" s="31"/>
      <c r="CGC231" s="31"/>
      <c r="CGD231" s="32"/>
      <c r="CGE231" s="32"/>
      <c r="CGF231" s="32"/>
      <c r="CGG231" s="32"/>
      <c r="CGH231" s="32"/>
      <c r="CGI231" s="31"/>
      <c r="CGJ231" s="31"/>
      <c r="CGK231" s="33"/>
      <c r="CGL231" s="33"/>
      <c r="CGM231" s="34"/>
      <c r="CGN231" s="34"/>
      <c r="CGO231" s="35"/>
      <c r="CGP231" s="35"/>
      <c r="CGQ231" s="32"/>
      <c r="CGR231" s="31"/>
      <c r="CGS231" s="31"/>
      <c r="CGT231" s="31"/>
      <c r="CGU231" s="32"/>
      <c r="CGV231" s="32"/>
      <c r="CGW231" s="32"/>
      <c r="CGX231" s="32"/>
      <c r="CGY231" s="32"/>
      <c r="CGZ231" s="31"/>
      <c r="CHA231" s="31"/>
      <c r="CHB231" s="33"/>
      <c r="CHC231" s="33"/>
      <c r="CHD231" s="34"/>
      <c r="CHE231" s="34"/>
      <c r="CHF231" s="35"/>
      <c r="CHG231" s="35"/>
      <c r="CHH231" s="32"/>
      <c r="CHI231" s="31"/>
      <c r="CHJ231" s="31"/>
      <c r="CHK231" s="31"/>
      <c r="CHL231" s="32"/>
      <c r="CHM231" s="32"/>
      <c r="CHN231" s="32"/>
      <c r="CHO231" s="32"/>
      <c r="CHP231" s="32"/>
      <c r="CHQ231" s="31"/>
      <c r="CHR231" s="31"/>
      <c r="CHS231" s="33"/>
      <c r="CHT231" s="33"/>
      <c r="CHU231" s="34"/>
      <c r="CHV231" s="34"/>
      <c r="CHW231" s="35"/>
      <c r="CHX231" s="35"/>
      <c r="CHY231" s="32"/>
      <c r="CHZ231" s="31"/>
      <c r="CIA231" s="31"/>
      <c r="CIB231" s="31"/>
      <c r="CIC231" s="32"/>
      <c r="CID231" s="32"/>
      <c r="CIE231" s="32"/>
      <c r="CIF231" s="32"/>
      <c r="CIG231" s="32"/>
      <c r="CIH231" s="31"/>
      <c r="CII231" s="31"/>
      <c r="CIJ231" s="33"/>
      <c r="CIK231" s="33"/>
      <c r="CIL231" s="34"/>
      <c r="CIM231" s="34"/>
      <c r="CIN231" s="35"/>
      <c r="CIO231" s="35"/>
      <c r="CIP231" s="32"/>
      <c r="CIQ231" s="31"/>
      <c r="CIR231" s="31"/>
      <c r="CIS231" s="31"/>
      <c r="CIT231" s="32"/>
      <c r="CIU231" s="32"/>
      <c r="CIV231" s="32"/>
      <c r="CIW231" s="32"/>
      <c r="CIX231" s="32"/>
      <c r="CIY231" s="31"/>
      <c r="CIZ231" s="31"/>
      <c r="CJA231" s="33"/>
      <c r="CJB231" s="33"/>
      <c r="CJC231" s="34"/>
      <c r="CJD231" s="34"/>
      <c r="CJE231" s="35"/>
      <c r="CJF231" s="35"/>
      <c r="CJG231" s="32"/>
      <c r="CJH231" s="31"/>
      <c r="CJI231" s="31"/>
      <c r="CJJ231" s="31"/>
      <c r="CJK231" s="32"/>
      <c r="CJL231" s="32"/>
      <c r="CJM231" s="32"/>
      <c r="CJN231" s="32"/>
      <c r="CJO231" s="32"/>
      <c r="CJP231" s="31"/>
      <c r="CJQ231" s="31"/>
      <c r="CJR231" s="33"/>
      <c r="CJS231" s="33"/>
      <c r="CJT231" s="34"/>
      <c r="CJU231" s="34"/>
      <c r="CJV231" s="35"/>
      <c r="CJW231" s="35"/>
      <c r="CJX231" s="32"/>
      <c r="CJY231" s="31"/>
      <c r="CJZ231" s="31"/>
      <c r="CKA231" s="31"/>
      <c r="CKB231" s="32"/>
      <c r="CKC231" s="32"/>
      <c r="CKD231" s="32"/>
      <c r="CKE231" s="32"/>
      <c r="CKF231" s="32"/>
      <c r="CKG231" s="31"/>
      <c r="CKH231" s="31"/>
      <c r="CKI231" s="33"/>
      <c r="CKJ231" s="33"/>
      <c r="CKK231" s="34"/>
      <c r="CKL231" s="34"/>
      <c r="CKM231" s="35"/>
      <c r="CKN231" s="35"/>
      <c r="CKO231" s="32"/>
      <c r="CKP231" s="31"/>
      <c r="CKQ231" s="31"/>
      <c r="CKR231" s="31"/>
      <c r="CKS231" s="32"/>
      <c r="CKT231" s="32"/>
      <c r="CKU231" s="32"/>
      <c r="CKV231" s="32"/>
      <c r="CKW231" s="32"/>
      <c r="CKX231" s="31"/>
      <c r="CKY231" s="31"/>
      <c r="CKZ231" s="33"/>
      <c r="CLA231" s="33"/>
      <c r="CLB231" s="34"/>
      <c r="CLC231" s="34"/>
      <c r="CLD231" s="35"/>
      <c r="CLE231" s="35"/>
      <c r="CLF231" s="32"/>
      <c r="CLG231" s="31"/>
      <c r="CLH231" s="31"/>
      <c r="CLI231" s="31"/>
      <c r="CLJ231" s="32"/>
      <c r="CLK231" s="32"/>
      <c r="CLL231" s="32"/>
      <c r="CLM231" s="32"/>
      <c r="CLN231" s="32"/>
      <c r="CLO231" s="31"/>
      <c r="CLP231" s="31"/>
      <c r="CLQ231" s="33"/>
      <c r="CLR231" s="33"/>
      <c r="CLS231" s="34"/>
      <c r="CLT231" s="34"/>
      <c r="CLU231" s="35"/>
      <c r="CLV231" s="35"/>
      <c r="CLW231" s="32"/>
      <c r="CLX231" s="31"/>
      <c r="CLY231" s="31"/>
      <c r="CLZ231" s="31"/>
      <c r="CMA231" s="32"/>
      <c r="CMB231" s="32"/>
      <c r="CMC231" s="32"/>
      <c r="CMD231" s="32"/>
      <c r="CME231" s="32"/>
      <c r="CMF231" s="31"/>
      <c r="CMG231" s="31"/>
      <c r="CMH231" s="33"/>
      <c r="CMI231" s="33"/>
      <c r="CMJ231" s="34"/>
      <c r="CMK231" s="34"/>
      <c r="CML231" s="35"/>
      <c r="CMM231" s="35"/>
      <c r="CMN231" s="32"/>
      <c r="CMO231" s="31"/>
      <c r="CMP231" s="31"/>
      <c r="CMQ231" s="31"/>
      <c r="CMR231" s="32"/>
      <c r="CMS231" s="32"/>
      <c r="CMT231" s="32"/>
      <c r="CMU231" s="32"/>
      <c r="CMV231" s="32"/>
      <c r="CMW231" s="31"/>
      <c r="CMX231" s="31"/>
      <c r="CMY231" s="33"/>
      <c r="CMZ231" s="33"/>
      <c r="CNA231" s="34"/>
      <c r="CNB231" s="34"/>
      <c r="CNC231" s="35"/>
      <c r="CND231" s="35"/>
      <c r="CNE231" s="32"/>
      <c r="CNF231" s="31"/>
      <c r="CNG231" s="31"/>
      <c r="CNH231" s="31"/>
      <c r="CNI231" s="32"/>
      <c r="CNJ231" s="32"/>
      <c r="CNK231" s="32"/>
      <c r="CNL231" s="32"/>
      <c r="CNM231" s="32"/>
      <c r="CNN231" s="31"/>
      <c r="CNO231" s="31"/>
      <c r="CNP231" s="33"/>
      <c r="CNQ231" s="33"/>
      <c r="CNR231" s="34"/>
      <c r="CNS231" s="34"/>
      <c r="CNT231" s="35"/>
      <c r="CNU231" s="35"/>
      <c r="CNV231" s="32"/>
      <c r="CNW231" s="31"/>
      <c r="CNX231" s="31"/>
      <c r="CNY231" s="31"/>
      <c r="CNZ231" s="32"/>
      <c r="COA231" s="32"/>
      <c r="COB231" s="32"/>
      <c r="COC231" s="32"/>
      <c r="COD231" s="32"/>
      <c r="COE231" s="31"/>
      <c r="COF231" s="31"/>
      <c r="COG231" s="33"/>
      <c r="COH231" s="33"/>
      <c r="COI231" s="34"/>
      <c r="COJ231" s="34"/>
      <c r="COK231" s="35"/>
      <c r="COL231" s="35"/>
      <c r="COM231" s="32"/>
      <c r="CON231" s="31"/>
      <c r="COO231" s="31"/>
      <c r="COP231" s="31"/>
      <c r="COQ231" s="32"/>
      <c r="COR231" s="32"/>
      <c r="COS231" s="32"/>
      <c r="COT231" s="32"/>
      <c r="COU231" s="32"/>
      <c r="COV231" s="31"/>
      <c r="COW231" s="31"/>
      <c r="COX231" s="33"/>
      <c r="COY231" s="33"/>
      <c r="COZ231" s="34"/>
      <c r="CPA231" s="34"/>
      <c r="CPB231" s="35"/>
      <c r="CPC231" s="35"/>
      <c r="CPD231" s="32"/>
      <c r="CPE231" s="31"/>
      <c r="CPF231" s="31"/>
      <c r="CPG231" s="31"/>
      <c r="CPH231" s="32"/>
      <c r="CPI231" s="32"/>
      <c r="CPJ231" s="32"/>
      <c r="CPK231" s="32"/>
      <c r="CPL231" s="32"/>
      <c r="CPM231" s="31"/>
      <c r="CPN231" s="31"/>
      <c r="CPO231" s="33"/>
      <c r="CPP231" s="33"/>
      <c r="CPQ231" s="34"/>
      <c r="CPR231" s="34"/>
      <c r="CPS231" s="35"/>
      <c r="CPT231" s="35"/>
      <c r="CPU231" s="32"/>
      <c r="CPV231" s="31"/>
      <c r="CPW231" s="31"/>
      <c r="CPX231" s="31"/>
      <c r="CPY231" s="32"/>
      <c r="CPZ231" s="32"/>
      <c r="CQA231" s="32"/>
      <c r="CQB231" s="32"/>
      <c r="CQC231" s="32"/>
      <c r="CQD231" s="31"/>
      <c r="CQE231" s="31"/>
      <c r="CQF231" s="33"/>
      <c r="CQG231" s="33"/>
      <c r="CQH231" s="34"/>
      <c r="CQI231" s="34"/>
      <c r="CQJ231" s="35"/>
      <c r="CQK231" s="35"/>
      <c r="CQL231" s="32"/>
      <c r="CQM231" s="31"/>
      <c r="CQN231" s="31"/>
      <c r="CQO231" s="31"/>
      <c r="CQP231" s="32"/>
      <c r="CQQ231" s="32"/>
      <c r="CQR231" s="32"/>
      <c r="CQS231" s="32"/>
      <c r="CQT231" s="32"/>
      <c r="CQU231" s="31"/>
      <c r="CQV231" s="31"/>
      <c r="CQW231" s="33"/>
      <c r="CQX231" s="33"/>
      <c r="CQY231" s="34"/>
      <c r="CQZ231" s="34"/>
      <c r="CRA231" s="35"/>
      <c r="CRB231" s="35"/>
      <c r="CRC231" s="32"/>
      <c r="CRD231" s="31"/>
      <c r="CRE231" s="31"/>
      <c r="CRF231" s="31"/>
      <c r="CRG231" s="32"/>
      <c r="CRH231" s="32"/>
      <c r="CRI231" s="32"/>
      <c r="CRJ231" s="32"/>
      <c r="CRK231" s="32"/>
      <c r="CRL231" s="31"/>
      <c r="CRM231" s="31"/>
      <c r="CRN231" s="33"/>
      <c r="CRO231" s="33"/>
      <c r="CRP231" s="34"/>
      <c r="CRQ231" s="34"/>
      <c r="CRR231" s="35"/>
      <c r="CRS231" s="35"/>
      <c r="CRT231" s="32"/>
      <c r="CRU231" s="31"/>
      <c r="CRV231" s="31"/>
      <c r="CRW231" s="31"/>
      <c r="CRX231" s="32"/>
      <c r="CRY231" s="32"/>
      <c r="CRZ231" s="32"/>
      <c r="CSA231" s="32"/>
      <c r="CSB231" s="32"/>
      <c r="CSC231" s="31"/>
      <c r="CSD231" s="31"/>
      <c r="CSE231" s="33"/>
      <c r="CSF231" s="33"/>
      <c r="CSG231" s="34"/>
      <c r="CSH231" s="34"/>
      <c r="CSI231" s="35"/>
      <c r="CSJ231" s="35"/>
      <c r="CSK231" s="32"/>
      <c r="CSL231" s="31"/>
      <c r="CSM231" s="31"/>
      <c r="CSN231" s="31"/>
      <c r="CSO231" s="32"/>
      <c r="CSP231" s="32"/>
      <c r="CSQ231" s="32"/>
      <c r="CSR231" s="32"/>
      <c r="CSS231" s="32"/>
      <c r="CST231" s="31"/>
      <c r="CSU231" s="31"/>
      <c r="CSV231" s="33"/>
      <c r="CSW231" s="33"/>
      <c r="CSX231" s="34"/>
      <c r="CSY231" s="34"/>
      <c r="CSZ231" s="35"/>
      <c r="CTA231" s="35"/>
      <c r="CTB231" s="32"/>
      <c r="CTC231" s="31"/>
      <c r="CTD231" s="31"/>
      <c r="CTE231" s="31"/>
      <c r="CTF231" s="32"/>
      <c r="CTG231" s="32"/>
      <c r="CTH231" s="32"/>
      <c r="CTI231" s="32"/>
      <c r="CTJ231" s="32"/>
      <c r="CTK231" s="31"/>
      <c r="CTL231" s="31"/>
      <c r="CTM231" s="33"/>
      <c r="CTN231" s="33"/>
      <c r="CTO231" s="34"/>
      <c r="CTP231" s="34"/>
      <c r="CTQ231" s="35"/>
      <c r="CTR231" s="35"/>
      <c r="CTS231" s="32"/>
      <c r="CTT231" s="31"/>
      <c r="CTU231" s="31"/>
      <c r="CTV231" s="31"/>
      <c r="CTW231" s="32"/>
      <c r="CTX231" s="32"/>
      <c r="CTY231" s="32"/>
      <c r="CTZ231" s="32"/>
      <c r="CUA231" s="32"/>
      <c r="CUB231" s="31"/>
      <c r="CUC231" s="31"/>
      <c r="CUD231" s="33"/>
      <c r="CUE231" s="33"/>
      <c r="CUF231" s="34"/>
      <c r="CUG231" s="34"/>
      <c r="CUH231" s="35"/>
      <c r="CUI231" s="35"/>
      <c r="CUJ231" s="32"/>
      <c r="CUK231" s="31"/>
      <c r="CUL231" s="31"/>
      <c r="CUM231" s="31"/>
      <c r="CUN231" s="32"/>
      <c r="CUO231" s="32"/>
      <c r="CUP231" s="32"/>
      <c r="CUQ231" s="32"/>
      <c r="CUR231" s="32"/>
      <c r="CUS231" s="31"/>
      <c r="CUT231" s="31"/>
      <c r="CUU231" s="33"/>
      <c r="CUV231" s="33"/>
      <c r="CUW231" s="34"/>
      <c r="CUX231" s="34"/>
      <c r="CUY231" s="35"/>
      <c r="CUZ231" s="35"/>
      <c r="CVA231" s="32"/>
      <c r="CVB231" s="31"/>
      <c r="CVC231" s="31"/>
      <c r="CVD231" s="31"/>
      <c r="CVE231" s="32"/>
      <c r="CVF231" s="32"/>
      <c r="CVG231" s="32"/>
      <c r="CVH231" s="32"/>
      <c r="CVI231" s="32"/>
      <c r="CVJ231" s="31"/>
      <c r="CVK231" s="31"/>
      <c r="CVL231" s="33"/>
      <c r="CVM231" s="33"/>
      <c r="CVN231" s="34"/>
      <c r="CVO231" s="34"/>
      <c r="CVP231" s="35"/>
      <c r="CVQ231" s="35"/>
      <c r="CVR231" s="32"/>
      <c r="CVS231" s="31"/>
      <c r="CVT231" s="31"/>
      <c r="CVU231" s="31"/>
      <c r="CVV231" s="32"/>
      <c r="CVW231" s="32"/>
      <c r="CVX231" s="32"/>
      <c r="CVY231" s="32"/>
      <c r="CVZ231" s="32"/>
      <c r="CWA231" s="31"/>
      <c r="CWB231" s="31"/>
      <c r="CWC231" s="33"/>
      <c r="CWD231" s="33"/>
      <c r="CWE231" s="34"/>
      <c r="CWF231" s="34"/>
      <c r="CWG231" s="35"/>
      <c r="CWH231" s="35"/>
      <c r="CWI231" s="32"/>
      <c r="CWJ231" s="31"/>
      <c r="CWK231" s="31"/>
      <c r="CWL231" s="31"/>
      <c r="CWM231" s="32"/>
      <c r="CWN231" s="32"/>
      <c r="CWO231" s="32"/>
      <c r="CWP231" s="32"/>
      <c r="CWQ231" s="32"/>
      <c r="CWR231" s="31"/>
      <c r="CWS231" s="31"/>
      <c r="CWT231" s="33"/>
      <c r="CWU231" s="33"/>
      <c r="CWV231" s="34"/>
      <c r="CWW231" s="34"/>
      <c r="CWX231" s="35"/>
      <c r="CWY231" s="35"/>
      <c r="CWZ231" s="32"/>
      <c r="CXA231" s="31"/>
      <c r="CXB231" s="31"/>
      <c r="CXC231" s="31"/>
      <c r="CXD231" s="32"/>
      <c r="CXE231" s="32"/>
      <c r="CXF231" s="32"/>
      <c r="CXG231" s="32"/>
      <c r="CXH231" s="32"/>
      <c r="CXI231" s="31"/>
      <c r="CXJ231" s="31"/>
      <c r="CXK231" s="33"/>
      <c r="CXL231" s="33"/>
      <c r="CXM231" s="34"/>
      <c r="CXN231" s="34"/>
      <c r="CXO231" s="35"/>
      <c r="CXP231" s="35"/>
      <c r="CXQ231" s="32"/>
      <c r="CXR231" s="31"/>
      <c r="CXS231" s="31"/>
      <c r="CXT231" s="31"/>
      <c r="CXU231" s="32"/>
      <c r="CXV231" s="32"/>
      <c r="CXW231" s="32"/>
      <c r="CXX231" s="32"/>
      <c r="CXY231" s="32"/>
      <c r="CXZ231" s="31"/>
      <c r="CYA231" s="31"/>
      <c r="CYB231" s="33"/>
      <c r="CYC231" s="33"/>
      <c r="CYD231" s="34"/>
      <c r="CYE231" s="34"/>
      <c r="CYF231" s="35"/>
      <c r="CYG231" s="35"/>
      <c r="CYH231" s="32"/>
      <c r="CYI231" s="31"/>
      <c r="CYJ231" s="31"/>
      <c r="CYK231" s="31"/>
      <c r="CYL231" s="32"/>
      <c r="CYM231" s="32"/>
      <c r="CYN231" s="32"/>
      <c r="CYO231" s="32"/>
      <c r="CYP231" s="32"/>
      <c r="CYQ231" s="31"/>
      <c r="CYR231" s="31"/>
      <c r="CYS231" s="33"/>
      <c r="CYT231" s="33"/>
      <c r="CYU231" s="34"/>
      <c r="CYV231" s="34"/>
      <c r="CYW231" s="35"/>
      <c r="CYX231" s="35"/>
      <c r="CYY231" s="32"/>
      <c r="CYZ231" s="31"/>
      <c r="CZA231" s="31"/>
      <c r="CZB231" s="31"/>
      <c r="CZC231" s="32"/>
      <c r="CZD231" s="32"/>
      <c r="CZE231" s="32"/>
      <c r="CZF231" s="32"/>
      <c r="CZG231" s="32"/>
      <c r="CZH231" s="31"/>
      <c r="CZI231" s="31"/>
      <c r="CZJ231" s="33"/>
      <c r="CZK231" s="33"/>
      <c r="CZL231" s="34"/>
      <c r="CZM231" s="34"/>
      <c r="CZN231" s="35"/>
      <c r="CZO231" s="35"/>
      <c r="CZP231" s="32"/>
      <c r="CZQ231" s="31"/>
      <c r="CZR231" s="31"/>
      <c r="CZS231" s="31"/>
      <c r="CZT231" s="32"/>
      <c r="CZU231" s="32"/>
      <c r="CZV231" s="32"/>
      <c r="CZW231" s="32"/>
      <c r="CZX231" s="32"/>
      <c r="CZY231" s="31"/>
      <c r="CZZ231" s="31"/>
      <c r="DAA231" s="33"/>
      <c r="DAB231" s="33"/>
      <c r="DAC231" s="34"/>
      <c r="DAD231" s="34"/>
      <c r="DAE231" s="35"/>
      <c r="DAF231" s="35"/>
      <c r="DAG231" s="32"/>
      <c r="DAH231" s="31"/>
      <c r="DAI231" s="31"/>
      <c r="DAJ231" s="31"/>
      <c r="DAK231" s="32"/>
      <c r="DAL231" s="32"/>
      <c r="DAM231" s="32"/>
      <c r="DAN231" s="32"/>
      <c r="DAO231" s="32"/>
      <c r="DAP231" s="31"/>
      <c r="DAQ231" s="31"/>
      <c r="DAR231" s="33"/>
      <c r="DAS231" s="33"/>
      <c r="DAT231" s="34"/>
      <c r="DAU231" s="34"/>
      <c r="DAV231" s="35"/>
      <c r="DAW231" s="35"/>
      <c r="DAX231" s="32"/>
      <c r="DAY231" s="31"/>
      <c r="DAZ231" s="31"/>
      <c r="DBA231" s="31"/>
      <c r="DBB231" s="32"/>
      <c r="DBC231" s="32"/>
      <c r="DBD231" s="32"/>
      <c r="DBE231" s="32"/>
      <c r="DBF231" s="32"/>
      <c r="DBG231" s="31"/>
      <c r="DBH231" s="31"/>
      <c r="DBI231" s="33"/>
      <c r="DBJ231" s="33"/>
      <c r="DBK231" s="34"/>
      <c r="DBL231" s="34"/>
      <c r="DBM231" s="35"/>
      <c r="DBN231" s="35"/>
      <c r="DBO231" s="32"/>
      <c r="DBP231" s="31"/>
      <c r="DBQ231" s="31"/>
      <c r="DBR231" s="31"/>
      <c r="DBS231" s="32"/>
      <c r="DBT231" s="32"/>
      <c r="DBU231" s="32"/>
      <c r="DBV231" s="32"/>
      <c r="DBW231" s="32"/>
      <c r="DBX231" s="31"/>
      <c r="DBY231" s="31"/>
      <c r="DBZ231" s="33"/>
      <c r="DCA231" s="33"/>
      <c r="DCB231" s="34"/>
      <c r="DCC231" s="34"/>
      <c r="DCD231" s="35"/>
      <c r="DCE231" s="35"/>
      <c r="DCF231" s="32"/>
      <c r="DCG231" s="31"/>
      <c r="DCH231" s="31"/>
      <c r="DCI231" s="31"/>
      <c r="DCJ231" s="32"/>
      <c r="DCK231" s="32"/>
      <c r="DCL231" s="32"/>
      <c r="DCM231" s="32"/>
      <c r="DCN231" s="32"/>
      <c r="DCO231" s="31"/>
      <c r="DCP231" s="31"/>
      <c r="DCQ231" s="33"/>
      <c r="DCR231" s="33"/>
      <c r="DCS231" s="34"/>
      <c r="DCT231" s="34"/>
      <c r="DCU231" s="35"/>
      <c r="DCV231" s="35"/>
      <c r="DCW231" s="32"/>
      <c r="DCX231" s="31"/>
      <c r="DCY231" s="31"/>
      <c r="DCZ231" s="31"/>
      <c r="DDA231" s="32"/>
      <c r="DDB231" s="32"/>
      <c r="DDC231" s="32"/>
      <c r="DDD231" s="32"/>
      <c r="DDE231" s="32"/>
      <c r="DDF231" s="31"/>
      <c r="DDG231" s="31"/>
      <c r="DDH231" s="33"/>
      <c r="DDI231" s="33"/>
      <c r="DDJ231" s="34"/>
      <c r="DDK231" s="34"/>
      <c r="DDL231" s="35"/>
      <c r="DDM231" s="35"/>
      <c r="DDN231" s="32"/>
      <c r="DDO231" s="31"/>
      <c r="DDP231" s="31"/>
      <c r="DDQ231" s="31"/>
      <c r="DDR231" s="32"/>
      <c r="DDS231" s="32"/>
      <c r="DDT231" s="32"/>
      <c r="DDU231" s="32"/>
      <c r="DDV231" s="32"/>
      <c r="DDW231" s="31"/>
      <c r="DDX231" s="31"/>
      <c r="DDY231" s="33"/>
      <c r="DDZ231" s="33"/>
      <c r="DEA231" s="34"/>
      <c r="DEB231" s="34"/>
      <c r="DEC231" s="35"/>
      <c r="DED231" s="35"/>
      <c r="DEE231" s="32"/>
      <c r="DEF231" s="31"/>
      <c r="DEG231" s="31"/>
      <c r="DEH231" s="31"/>
      <c r="DEI231" s="32"/>
      <c r="DEJ231" s="32"/>
      <c r="DEK231" s="32"/>
      <c r="DEL231" s="32"/>
      <c r="DEM231" s="32"/>
      <c r="DEN231" s="31"/>
      <c r="DEO231" s="31"/>
      <c r="DEP231" s="33"/>
      <c r="DEQ231" s="33"/>
      <c r="DER231" s="34"/>
      <c r="DES231" s="34"/>
      <c r="DET231" s="35"/>
      <c r="DEU231" s="35"/>
      <c r="DEV231" s="32"/>
      <c r="DEW231" s="31"/>
      <c r="DEX231" s="31"/>
      <c r="DEY231" s="31"/>
      <c r="DEZ231" s="32"/>
      <c r="DFA231" s="32"/>
      <c r="DFB231" s="32"/>
      <c r="DFC231" s="32"/>
      <c r="DFD231" s="32"/>
      <c r="DFE231" s="31"/>
      <c r="DFF231" s="31"/>
      <c r="DFG231" s="33"/>
      <c r="DFH231" s="33"/>
      <c r="DFI231" s="34"/>
      <c r="DFJ231" s="34"/>
      <c r="DFK231" s="35"/>
      <c r="DFL231" s="35"/>
      <c r="DFM231" s="32"/>
      <c r="DFN231" s="31"/>
      <c r="DFO231" s="31"/>
      <c r="DFP231" s="31"/>
      <c r="DFQ231" s="32"/>
      <c r="DFR231" s="32"/>
      <c r="DFS231" s="32"/>
      <c r="DFT231" s="32"/>
      <c r="DFU231" s="32"/>
      <c r="DFV231" s="31"/>
      <c r="DFW231" s="31"/>
      <c r="DFX231" s="33"/>
      <c r="DFY231" s="33"/>
      <c r="DFZ231" s="34"/>
      <c r="DGA231" s="34"/>
      <c r="DGB231" s="35"/>
      <c r="DGC231" s="35"/>
      <c r="DGD231" s="32"/>
      <c r="DGE231" s="31"/>
      <c r="DGF231" s="31"/>
      <c r="DGG231" s="31"/>
      <c r="DGH231" s="32"/>
      <c r="DGI231" s="32"/>
      <c r="DGJ231" s="32"/>
      <c r="DGK231" s="32"/>
      <c r="DGL231" s="32"/>
      <c r="DGM231" s="31"/>
      <c r="DGN231" s="31"/>
      <c r="DGO231" s="33"/>
      <c r="DGP231" s="33"/>
      <c r="DGQ231" s="34"/>
      <c r="DGR231" s="34"/>
      <c r="DGS231" s="35"/>
      <c r="DGT231" s="35"/>
      <c r="DGU231" s="32"/>
      <c r="DGV231" s="31"/>
      <c r="DGW231" s="31"/>
      <c r="DGX231" s="31"/>
      <c r="DGY231" s="32"/>
      <c r="DGZ231" s="32"/>
      <c r="DHA231" s="32"/>
      <c r="DHB231" s="32"/>
      <c r="DHC231" s="32"/>
      <c r="DHD231" s="31"/>
      <c r="DHE231" s="31"/>
      <c r="DHF231" s="33"/>
      <c r="DHG231" s="33"/>
      <c r="DHH231" s="34"/>
      <c r="DHI231" s="34"/>
      <c r="DHJ231" s="35"/>
      <c r="DHK231" s="35"/>
      <c r="DHL231" s="32"/>
      <c r="DHM231" s="31"/>
      <c r="DHN231" s="31"/>
      <c r="DHO231" s="31"/>
      <c r="DHP231" s="32"/>
      <c r="DHQ231" s="32"/>
      <c r="DHR231" s="32"/>
      <c r="DHS231" s="32"/>
      <c r="DHT231" s="32"/>
      <c r="DHU231" s="31"/>
      <c r="DHV231" s="31"/>
      <c r="DHW231" s="33"/>
      <c r="DHX231" s="33"/>
      <c r="DHY231" s="34"/>
      <c r="DHZ231" s="34"/>
      <c r="DIA231" s="35"/>
      <c r="DIB231" s="35"/>
      <c r="DIC231" s="32"/>
      <c r="DID231" s="31"/>
      <c r="DIE231" s="31"/>
      <c r="DIF231" s="31"/>
      <c r="DIG231" s="32"/>
      <c r="DIH231" s="32"/>
      <c r="DII231" s="32"/>
      <c r="DIJ231" s="32"/>
      <c r="DIK231" s="32"/>
      <c r="DIL231" s="31"/>
      <c r="DIM231" s="31"/>
      <c r="DIN231" s="33"/>
      <c r="DIO231" s="33"/>
      <c r="DIP231" s="34"/>
      <c r="DIQ231" s="34"/>
      <c r="DIR231" s="35"/>
      <c r="DIS231" s="35"/>
      <c r="DIT231" s="32"/>
      <c r="DIU231" s="31"/>
      <c r="DIV231" s="31"/>
      <c r="DIW231" s="31"/>
      <c r="DIX231" s="32"/>
      <c r="DIY231" s="32"/>
      <c r="DIZ231" s="32"/>
      <c r="DJA231" s="32"/>
      <c r="DJB231" s="32"/>
      <c r="DJC231" s="31"/>
      <c r="DJD231" s="31"/>
      <c r="DJE231" s="33"/>
      <c r="DJF231" s="33"/>
      <c r="DJG231" s="34"/>
      <c r="DJH231" s="34"/>
      <c r="DJI231" s="35"/>
      <c r="DJJ231" s="35"/>
      <c r="DJK231" s="32"/>
      <c r="DJL231" s="31"/>
      <c r="DJM231" s="31"/>
      <c r="DJN231" s="31"/>
      <c r="DJO231" s="32"/>
      <c r="DJP231" s="32"/>
      <c r="DJQ231" s="32"/>
      <c r="DJR231" s="32"/>
      <c r="DJS231" s="32"/>
      <c r="DJT231" s="31"/>
      <c r="DJU231" s="31"/>
      <c r="DJV231" s="33"/>
      <c r="DJW231" s="33"/>
      <c r="DJX231" s="34"/>
      <c r="DJY231" s="34"/>
      <c r="DJZ231" s="35"/>
      <c r="DKA231" s="35"/>
      <c r="DKB231" s="32"/>
      <c r="DKC231" s="31"/>
      <c r="DKD231" s="31"/>
      <c r="DKE231" s="31"/>
      <c r="DKF231" s="32"/>
      <c r="DKG231" s="32"/>
      <c r="DKH231" s="32"/>
      <c r="DKI231" s="32"/>
      <c r="DKJ231" s="32"/>
      <c r="DKK231" s="31"/>
      <c r="DKL231" s="31"/>
      <c r="DKM231" s="33"/>
      <c r="DKN231" s="33"/>
      <c r="DKO231" s="34"/>
      <c r="DKP231" s="34"/>
      <c r="DKQ231" s="35"/>
      <c r="DKR231" s="35"/>
      <c r="DKS231" s="32"/>
      <c r="DKT231" s="31"/>
      <c r="DKU231" s="31"/>
      <c r="DKV231" s="31"/>
      <c r="DKW231" s="32"/>
      <c r="DKX231" s="32"/>
      <c r="DKY231" s="32"/>
      <c r="DKZ231" s="32"/>
      <c r="DLA231" s="32"/>
      <c r="DLB231" s="31"/>
      <c r="DLC231" s="31"/>
      <c r="DLD231" s="33"/>
      <c r="DLE231" s="33"/>
      <c r="DLF231" s="34"/>
      <c r="DLG231" s="34"/>
      <c r="DLH231" s="35"/>
      <c r="DLI231" s="35"/>
      <c r="DLJ231" s="32"/>
      <c r="DLK231" s="31"/>
      <c r="DLL231" s="31"/>
      <c r="DLM231" s="31"/>
      <c r="DLN231" s="32"/>
      <c r="DLO231" s="32"/>
      <c r="DLP231" s="32"/>
      <c r="DLQ231" s="32"/>
      <c r="DLR231" s="32"/>
      <c r="DLS231" s="31"/>
      <c r="DLT231" s="31"/>
      <c r="DLU231" s="33"/>
      <c r="DLV231" s="33"/>
      <c r="DLW231" s="34"/>
      <c r="DLX231" s="34"/>
      <c r="DLY231" s="35"/>
      <c r="DLZ231" s="35"/>
      <c r="DMA231" s="32"/>
      <c r="DMB231" s="31"/>
      <c r="DMC231" s="31"/>
      <c r="DMD231" s="31"/>
      <c r="DME231" s="32"/>
      <c r="DMF231" s="32"/>
      <c r="DMG231" s="32"/>
      <c r="DMH231" s="32"/>
      <c r="DMI231" s="32"/>
      <c r="DMJ231" s="31"/>
      <c r="DMK231" s="31"/>
      <c r="DML231" s="33"/>
      <c r="DMM231" s="33"/>
      <c r="DMN231" s="34"/>
      <c r="DMO231" s="34"/>
      <c r="DMP231" s="35"/>
      <c r="DMQ231" s="35"/>
      <c r="DMR231" s="32"/>
      <c r="DMS231" s="31"/>
      <c r="DMT231" s="31"/>
      <c r="DMU231" s="31"/>
      <c r="DMV231" s="32"/>
      <c r="DMW231" s="32"/>
      <c r="DMX231" s="32"/>
      <c r="DMY231" s="32"/>
      <c r="DMZ231" s="32"/>
      <c r="DNA231" s="31"/>
      <c r="DNB231" s="31"/>
      <c r="DNC231" s="33"/>
      <c r="DND231" s="33"/>
      <c r="DNE231" s="34"/>
      <c r="DNF231" s="34"/>
      <c r="DNG231" s="35"/>
      <c r="DNH231" s="35"/>
      <c r="DNI231" s="32"/>
      <c r="DNJ231" s="31"/>
      <c r="DNK231" s="31"/>
      <c r="DNL231" s="31"/>
      <c r="DNM231" s="32"/>
      <c r="DNN231" s="32"/>
      <c r="DNO231" s="32"/>
      <c r="DNP231" s="32"/>
      <c r="DNQ231" s="32"/>
      <c r="DNR231" s="31"/>
      <c r="DNS231" s="31"/>
      <c r="DNT231" s="33"/>
      <c r="DNU231" s="33"/>
      <c r="DNV231" s="34"/>
      <c r="DNW231" s="34"/>
      <c r="DNX231" s="35"/>
      <c r="DNY231" s="35"/>
      <c r="DNZ231" s="32"/>
      <c r="DOA231" s="31"/>
      <c r="DOB231" s="31"/>
      <c r="DOC231" s="31"/>
      <c r="DOD231" s="32"/>
      <c r="DOE231" s="32"/>
      <c r="DOF231" s="32"/>
      <c r="DOG231" s="32"/>
      <c r="DOH231" s="32"/>
      <c r="DOI231" s="31"/>
      <c r="DOJ231" s="31"/>
      <c r="DOK231" s="33"/>
      <c r="DOL231" s="33"/>
      <c r="DOM231" s="34"/>
      <c r="DON231" s="34"/>
      <c r="DOO231" s="35"/>
      <c r="DOP231" s="35"/>
      <c r="DOQ231" s="32"/>
      <c r="DOR231" s="31"/>
      <c r="DOS231" s="31"/>
      <c r="DOT231" s="31"/>
      <c r="DOU231" s="32"/>
      <c r="DOV231" s="32"/>
      <c r="DOW231" s="32"/>
      <c r="DOX231" s="32"/>
      <c r="DOY231" s="32"/>
      <c r="DOZ231" s="31"/>
      <c r="DPA231" s="31"/>
      <c r="DPB231" s="33"/>
      <c r="DPC231" s="33"/>
      <c r="DPD231" s="34"/>
      <c r="DPE231" s="34"/>
      <c r="DPF231" s="35"/>
      <c r="DPG231" s="35"/>
      <c r="DPH231" s="32"/>
      <c r="DPI231" s="31"/>
      <c r="DPJ231" s="31"/>
      <c r="DPK231" s="31"/>
      <c r="DPL231" s="32"/>
      <c r="DPM231" s="32"/>
      <c r="DPN231" s="32"/>
      <c r="DPO231" s="32"/>
      <c r="DPP231" s="32"/>
      <c r="DPQ231" s="31"/>
      <c r="DPR231" s="31"/>
      <c r="DPS231" s="33"/>
      <c r="DPT231" s="33"/>
      <c r="DPU231" s="34"/>
      <c r="DPV231" s="34"/>
      <c r="DPW231" s="35"/>
      <c r="DPX231" s="35"/>
      <c r="DPY231" s="32"/>
      <c r="DPZ231" s="31"/>
      <c r="DQA231" s="31"/>
      <c r="DQB231" s="31"/>
      <c r="DQC231" s="32"/>
      <c r="DQD231" s="32"/>
      <c r="DQE231" s="32"/>
      <c r="DQF231" s="32"/>
      <c r="DQG231" s="32"/>
      <c r="DQH231" s="31"/>
      <c r="DQI231" s="31"/>
      <c r="DQJ231" s="33"/>
      <c r="DQK231" s="33"/>
      <c r="DQL231" s="34"/>
      <c r="DQM231" s="34"/>
      <c r="DQN231" s="35"/>
      <c r="DQO231" s="35"/>
      <c r="DQP231" s="32"/>
      <c r="DQQ231" s="31"/>
      <c r="DQR231" s="31"/>
      <c r="DQS231" s="31"/>
      <c r="DQT231" s="32"/>
      <c r="DQU231" s="32"/>
      <c r="DQV231" s="32"/>
      <c r="DQW231" s="32"/>
      <c r="DQX231" s="32"/>
      <c r="DQY231" s="31"/>
      <c r="DQZ231" s="31"/>
      <c r="DRA231" s="33"/>
      <c r="DRB231" s="33"/>
      <c r="DRC231" s="34"/>
      <c r="DRD231" s="34"/>
      <c r="DRE231" s="35"/>
      <c r="DRF231" s="35"/>
      <c r="DRG231" s="32"/>
      <c r="DRH231" s="31"/>
      <c r="DRI231" s="31"/>
      <c r="DRJ231" s="31"/>
      <c r="DRK231" s="32"/>
      <c r="DRL231" s="32"/>
      <c r="DRM231" s="32"/>
      <c r="DRN231" s="32"/>
      <c r="DRO231" s="32"/>
      <c r="DRP231" s="31"/>
      <c r="DRQ231" s="31"/>
      <c r="DRR231" s="33"/>
      <c r="DRS231" s="33"/>
      <c r="DRT231" s="34"/>
      <c r="DRU231" s="34"/>
      <c r="DRV231" s="35"/>
      <c r="DRW231" s="35"/>
      <c r="DRX231" s="32"/>
      <c r="DRY231" s="31"/>
      <c r="DRZ231" s="31"/>
      <c r="DSA231" s="31"/>
      <c r="DSB231" s="32"/>
      <c r="DSC231" s="32"/>
      <c r="DSD231" s="32"/>
      <c r="DSE231" s="32"/>
      <c r="DSF231" s="32"/>
      <c r="DSG231" s="31"/>
      <c r="DSH231" s="31"/>
      <c r="DSI231" s="33"/>
      <c r="DSJ231" s="33"/>
      <c r="DSK231" s="34"/>
      <c r="DSL231" s="34"/>
      <c r="DSM231" s="35"/>
      <c r="DSN231" s="35"/>
      <c r="DSO231" s="32"/>
      <c r="DSP231" s="31"/>
      <c r="DSQ231" s="31"/>
      <c r="DSR231" s="31"/>
      <c r="DSS231" s="32"/>
      <c r="DST231" s="32"/>
      <c r="DSU231" s="32"/>
      <c r="DSV231" s="32"/>
      <c r="DSW231" s="32"/>
      <c r="DSX231" s="31"/>
      <c r="DSY231" s="31"/>
      <c r="DSZ231" s="33"/>
      <c r="DTA231" s="33"/>
      <c r="DTB231" s="34"/>
      <c r="DTC231" s="34"/>
      <c r="DTD231" s="35"/>
      <c r="DTE231" s="35"/>
      <c r="DTF231" s="32"/>
      <c r="DTG231" s="31"/>
      <c r="DTH231" s="31"/>
      <c r="DTI231" s="31"/>
      <c r="DTJ231" s="32"/>
      <c r="DTK231" s="32"/>
      <c r="DTL231" s="32"/>
      <c r="DTM231" s="32"/>
      <c r="DTN231" s="32"/>
      <c r="DTO231" s="31"/>
      <c r="DTP231" s="31"/>
      <c r="DTQ231" s="33"/>
      <c r="DTR231" s="33"/>
      <c r="DTS231" s="34"/>
      <c r="DTT231" s="34"/>
      <c r="DTU231" s="35"/>
      <c r="DTV231" s="35"/>
      <c r="DTW231" s="32"/>
      <c r="DTX231" s="31"/>
      <c r="DTY231" s="31"/>
      <c r="DTZ231" s="31"/>
      <c r="DUA231" s="32"/>
      <c r="DUB231" s="32"/>
      <c r="DUC231" s="32"/>
      <c r="DUD231" s="32"/>
      <c r="DUE231" s="32"/>
      <c r="DUF231" s="31"/>
      <c r="DUG231" s="31"/>
      <c r="DUH231" s="33"/>
      <c r="DUI231" s="33"/>
      <c r="DUJ231" s="34"/>
      <c r="DUK231" s="34"/>
      <c r="DUL231" s="35"/>
      <c r="DUM231" s="35"/>
      <c r="DUN231" s="32"/>
      <c r="DUO231" s="31"/>
      <c r="DUP231" s="31"/>
      <c r="DUQ231" s="31"/>
      <c r="DUR231" s="32"/>
      <c r="DUS231" s="32"/>
      <c r="DUT231" s="32"/>
      <c r="DUU231" s="32"/>
      <c r="DUV231" s="32"/>
      <c r="DUW231" s="31"/>
      <c r="DUX231" s="31"/>
      <c r="DUY231" s="33"/>
      <c r="DUZ231" s="33"/>
      <c r="DVA231" s="34"/>
      <c r="DVB231" s="34"/>
      <c r="DVC231" s="35"/>
      <c r="DVD231" s="35"/>
      <c r="DVE231" s="32"/>
      <c r="DVF231" s="31"/>
      <c r="DVG231" s="31"/>
      <c r="DVH231" s="31"/>
      <c r="DVI231" s="32"/>
      <c r="DVJ231" s="32"/>
      <c r="DVK231" s="32"/>
      <c r="DVL231" s="32"/>
      <c r="DVM231" s="32"/>
      <c r="DVN231" s="31"/>
      <c r="DVO231" s="31"/>
      <c r="DVP231" s="33"/>
      <c r="DVQ231" s="33"/>
      <c r="DVR231" s="34"/>
      <c r="DVS231" s="34"/>
      <c r="DVT231" s="35"/>
      <c r="DVU231" s="35"/>
      <c r="DVV231" s="32"/>
      <c r="DVW231" s="31"/>
      <c r="DVX231" s="31"/>
      <c r="DVY231" s="31"/>
      <c r="DVZ231" s="32"/>
      <c r="DWA231" s="32"/>
      <c r="DWB231" s="32"/>
      <c r="DWC231" s="32"/>
      <c r="DWD231" s="32"/>
      <c r="DWE231" s="31"/>
      <c r="DWF231" s="31"/>
      <c r="DWG231" s="33"/>
      <c r="DWH231" s="33"/>
      <c r="DWI231" s="34"/>
      <c r="DWJ231" s="34"/>
      <c r="DWK231" s="35"/>
      <c r="DWL231" s="35"/>
      <c r="DWM231" s="32"/>
      <c r="DWN231" s="31"/>
      <c r="DWO231" s="31"/>
      <c r="DWP231" s="31"/>
      <c r="DWQ231" s="32"/>
      <c r="DWR231" s="32"/>
      <c r="DWS231" s="32"/>
      <c r="DWT231" s="32"/>
      <c r="DWU231" s="32"/>
      <c r="DWV231" s="31"/>
      <c r="DWW231" s="31"/>
      <c r="DWX231" s="33"/>
      <c r="DWY231" s="33"/>
      <c r="DWZ231" s="34"/>
      <c r="DXA231" s="34"/>
      <c r="DXB231" s="35"/>
      <c r="DXC231" s="35"/>
      <c r="DXD231" s="32"/>
      <c r="DXE231" s="31"/>
      <c r="DXF231" s="31"/>
      <c r="DXG231" s="31"/>
      <c r="DXH231" s="32"/>
      <c r="DXI231" s="32"/>
      <c r="DXJ231" s="32"/>
      <c r="DXK231" s="32"/>
      <c r="DXL231" s="32"/>
      <c r="DXM231" s="31"/>
      <c r="DXN231" s="31"/>
      <c r="DXO231" s="33"/>
      <c r="DXP231" s="33"/>
      <c r="DXQ231" s="34"/>
      <c r="DXR231" s="34"/>
      <c r="DXS231" s="35"/>
      <c r="DXT231" s="35"/>
      <c r="DXU231" s="32"/>
      <c r="DXV231" s="31"/>
      <c r="DXW231" s="31"/>
      <c r="DXX231" s="31"/>
      <c r="DXY231" s="32"/>
      <c r="DXZ231" s="32"/>
      <c r="DYA231" s="32"/>
      <c r="DYB231" s="32"/>
      <c r="DYC231" s="32"/>
      <c r="DYD231" s="31"/>
      <c r="DYE231" s="31"/>
      <c r="DYF231" s="33"/>
      <c r="DYG231" s="33"/>
      <c r="DYH231" s="34"/>
      <c r="DYI231" s="34"/>
      <c r="DYJ231" s="35"/>
      <c r="DYK231" s="35"/>
      <c r="DYL231" s="32"/>
      <c r="DYM231" s="31"/>
      <c r="DYN231" s="31"/>
      <c r="DYO231" s="31"/>
      <c r="DYP231" s="32"/>
      <c r="DYQ231" s="32"/>
      <c r="DYR231" s="32"/>
      <c r="DYS231" s="32"/>
      <c r="DYT231" s="32"/>
      <c r="DYU231" s="31"/>
      <c r="DYV231" s="31"/>
      <c r="DYW231" s="33"/>
      <c r="DYX231" s="33"/>
      <c r="DYY231" s="34"/>
      <c r="DYZ231" s="34"/>
      <c r="DZA231" s="35"/>
      <c r="DZB231" s="35"/>
      <c r="DZC231" s="32"/>
      <c r="DZD231" s="31"/>
      <c r="DZE231" s="31"/>
      <c r="DZF231" s="31"/>
      <c r="DZG231" s="32"/>
      <c r="DZH231" s="32"/>
      <c r="DZI231" s="32"/>
      <c r="DZJ231" s="32"/>
      <c r="DZK231" s="32"/>
      <c r="DZL231" s="31"/>
      <c r="DZM231" s="31"/>
      <c r="DZN231" s="33"/>
      <c r="DZO231" s="33"/>
      <c r="DZP231" s="34"/>
      <c r="DZQ231" s="34"/>
      <c r="DZR231" s="35"/>
      <c r="DZS231" s="35"/>
      <c r="DZT231" s="32"/>
      <c r="DZU231" s="31"/>
      <c r="DZV231" s="31"/>
      <c r="DZW231" s="31"/>
      <c r="DZX231" s="32"/>
      <c r="DZY231" s="32"/>
      <c r="DZZ231" s="32"/>
      <c r="EAA231" s="32"/>
      <c r="EAB231" s="32"/>
      <c r="EAC231" s="31"/>
      <c r="EAD231" s="31"/>
      <c r="EAE231" s="33"/>
      <c r="EAF231" s="33"/>
      <c r="EAG231" s="34"/>
      <c r="EAH231" s="34"/>
      <c r="EAI231" s="35"/>
      <c r="EAJ231" s="35"/>
      <c r="EAK231" s="32"/>
      <c r="EAL231" s="31"/>
      <c r="EAM231" s="31"/>
      <c r="EAN231" s="31"/>
      <c r="EAO231" s="32"/>
      <c r="EAP231" s="32"/>
      <c r="EAQ231" s="32"/>
      <c r="EAR231" s="32"/>
      <c r="EAS231" s="32"/>
      <c r="EAT231" s="31"/>
      <c r="EAU231" s="31"/>
      <c r="EAV231" s="33"/>
      <c r="EAW231" s="33"/>
      <c r="EAX231" s="34"/>
      <c r="EAY231" s="34"/>
      <c r="EAZ231" s="35"/>
      <c r="EBA231" s="35"/>
      <c r="EBB231" s="32"/>
      <c r="EBC231" s="31"/>
      <c r="EBD231" s="31"/>
      <c r="EBE231" s="31"/>
      <c r="EBF231" s="32"/>
      <c r="EBG231" s="32"/>
      <c r="EBH231" s="32"/>
      <c r="EBI231" s="32"/>
      <c r="EBJ231" s="32"/>
      <c r="EBK231" s="31"/>
      <c r="EBL231" s="31"/>
      <c r="EBM231" s="33"/>
      <c r="EBN231" s="33"/>
      <c r="EBO231" s="34"/>
      <c r="EBP231" s="34"/>
      <c r="EBQ231" s="35"/>
      <c r="EBR231" s="35"/>
      <c r="EBS231" s="32"/>
      <c r="EBT231" s="31"/>
      <c r="EBU231" s="31"/>
      <c r="EBV231" s="31"/>
      <c r="EBW231" s="32"/>
      <c r="EBX231" s="32"/>
      <c r="EBY231" s="32"/>
      <c r="EBZ231" s="32"/>
      <c r="ECA231" s="32"/>
      <c r="ECB231" s="31"/>
      <c r="ECC231" s="31"/>
      <c r="ECD231" s="33"/>
      <c r="ECE231" s="33"/>
      <c r="ECF231" s="34"/>
      <c r="ECG231" s="34"/>
      <c r="ECH231" s="35"/>
      <c r="ECI231" s="35"/>
      <c r="ECJ231" s="32"/>
      <c r="ECK231" s="31"/>
      <c r="ECL231" s="31"/>
      <c r="ECM231" s="31"/>
      <c r="ECN231" s="32"/>
      <c r="ECO231" s="32"/>
      <c r="ECP231" s="32"/>
      <c r="ECQ231" s="32"/>
      <c r="ECR231" s="32"/>
      <c r="ECS231" s="31"/>
      <c r="ECT231" s="31"/>
      <c r="ECU231" s="33"/>
      <c r="ECV231" s="33"/>
      <c r="ECW231" s="34"/>
      <c r="ECX231" s="34"/>
      <c r="ECY231" s="35"/>
      <c r="ECZ231" s="35"/>
      <c r="EDA231" s="32"/>
      <c r="EDB231" s="31"/>
      <c r="EDC231" s="31"/>
      <c r="EDD231" s="31"/>
      <c r="EDE231" s="32"/>
      <c r="EDF231" s="32"/>
      <c r="EDG231" s="32"/>
      <c r="EDH231" s="32"/>
      <c r="EDI231" s="32"/>
      <c r="EDJ231" s="31"/>
      <c r="EDK231" s="31"/>
      <c r="EDL231" s="33"/>
      <c r="EDM231" s="33"/>
      <c r="EDN231" s="34"/>
      <c r="EDO231" s="34"/>
      <c r="EDP231" s="35"/>
      <c r="EDQ231" s="35"/>
      <c r="EDR231" s="32"/>
      <c r="EDS231" s="31"/>
      <c r="EDT231" s="31"/>
      <c r="EDU231" s="31"/>
      <c r="EDV231" s="32"/>
      <c r="EDW231" s="32"/>
      <c r="EDX231" s="32"/>
      <c r="EDY231" s="32"/>
      <c r="EDZ231" s="32"/>
      <c r="EEA231" s="31"/>
      <c r="EEB231" s="31"/>
      <c r="EEC231" s="33"/>
      <c r="EED231" s="33"/>
      <c r="EEE231" s="34"/>
      <c r="EEF231" s="34"/>
      <c r="EEG231" s="35"/>
      <c r="EEH231" s="35"/>
      <c r="EEI231" s="32"/>
      <c r="EEJ231" s="31"/>
      <c r="EEK231" s="31"/>
      <c r="EEL231" s="31"/>
      <c r="EEM231" s="32"/>
      <c r="EEN231" s="32"/>
      <c r="EEO231" s="32"/>
      <c r="EEP231" s="32"/>
      <c r="EEQ231" s="32"/>
      <c r="EER231" s="31"/>
      <c r="EES231" s="31"/>
      <c r="EET231" s="33"/>
      <c r="EEU231" s="33"/>
      <c r="EEV231" s="34"/>
      <c r="EEW231" s="34"/>
      <c r="EEX231" s="35"/>
      <c r="EEY231" s="35"/>
      <c r="EEZ231" s="32"/>
      <c r="EFA231" s="31"/>
      <c r="EFB231" s="31"/>
      <c r="EFC231" s="31"/>
      <c r="EFD231" s="32"/>
      <c r="EFE231" s="32"/>
      <c r="EFF231" s="32"/>
      <c r="EFG231" s="32"/>
      <c r="EFH231" s="32"/>
      <c r="EFI231" s="31"/>
      <c r="EFJ231" s="31"/>
      <c r="EFK231" s="33"/>
      <c r="EFL231" s="33"/>
      <c r="EFM231" s="34"/>
      <c r="EFN231" s="34"/>
      <c r="EFO231" s="35"/>
      <c r="EFP231" s="35"/>
      <c r="EFQ231" s="32"/>
      <c r="EFR231" s="31"/>
      <c r="EFS231" s="31"/>
      <c r="EFT231" s="31"/>
      <c r="EFU231" s="32"/>
      <c r="EFV231" s="32"/>
      <c r="EFW231" s="32"/>
      <c r="EFX231" s="32"/>
      <c r="EFY231" s="32"/>
      <c r="EFZ231" s="31"/>
      <c r="EGA231" s="31"/>
      <c r="EGB231" s="33"/>
      <c r="EGC231" s="33"/>
      <c r="EGD231" s="34"/>
      <c r="EGE231" s="34"/>
      <c r="EGF231" s="35"/>
      <c r="EGG231" s="35"/>
      <c r="EGH231" s="32"/>
      <c r="EGI231" s="31"/>
      <c r="EGJ231" s="31"/>
      <c r="EGK231" s="31"/>
      <c r="EGL231" s="32"/>
      <c r="EGM231" s="32"/>
      <c r="EGN231" s="32"/>
      <c r="EGO231" s="32"/>
      <c r="EGP231" s="32"/>
      <c r="EGQ231" s="31"/>
      <c r="EGR231" s="31"/>
      <c r="EGS231" s="33"/>
      <c r="EGT231" s="33"/>
      <c r="EGU231" s="34"/>
      <c r="EGV231" s="34"/>
      <c r="EGW231" s="35"/>
      <c r="EGX231" s="35"/>
      <c r="EGY231" s="32"/>
      <c r="EGZ231" s="31"/>
      <c r="EHA231" s="31"/>
      <c r="EHB231" s="31"/>
      <c r="EHC231" s="32"/>
      <c r="EHD231" s="32"/>
      <c r="EHE231" s="32"/>
      <c r="EHF231" s="32"/>
      <c r="EHG231" s="32"/>
      <c r="EHH231" s="31"/>
      <c r="EHI231" s="31"/>
      <c r="EHJ231" s="33"/>
      <c r="EHK231" s="33"/>
      <c r="EHL231" s="34"/>
      <c r="EHM231" s="34"/>
      <c r="EHN231" s="35"/>
      <c r="EHO231" s="35"/>
      <c r="EHP231" s="32"/>
      <c r="EHQ231" s="31"/>
      <c r="EHR231" s="31"/>
      <c r="EHS231" s="31"/>
      <c r="EHT231" s="32"/>
      <c r="EHU231" s="32"/>
      <c r="EHV231" s="32"/>
      <c r="EHW231" s="32"/>
      <c r="EHX231" s="32"/>
      <c r="EHY231" s="31"/>
      <c r="EHZ231" s="31"/>
      <c r="EIA231" s="33"/>
      <c r="EIB231" s="33"/>
      <c r="EIC231" s="34"/>
      <c r="EID231" s="34"/>
      <c r="EIE231" s="35"/>
      <c r="EIF231" s="35"/>
      <c r="EIG231" s="32"/>
      <c r="EIH231" s="31"/>
      <c r="EII231" s="31"/>
      <c r="EIJ231" s="31"/>
      <c r="EIK231" s="32"/>
      <c r="EIL231" s="32"/>
      <c r="EIM231" s="32"/>
      <c r="EIN231" s="32"/>
      <c r="EIO231" s="32"/>
      <c r="EIP231" s="31"/>
      <c r="EIQ231" s="31"/>
      <c r="EIR231" s="33"/>
      <c r="EIS231" s="33"/>
      <c r="EIT231" s="34"/>
      <c r="EIU231" s="34"/>
      <c r="EIV231" s="35"/>
      <c r="EIW231" s="35"/>
      <c r="EIX231" s="32"/>
      <c r="EIY231" s="31"/>
      <c r="EIZ231" s="31"/>
      <c r="EJA231" s="31"/>
      <c r="EJB231" s="32"/>
      <c r="EJC231" s="32"/>
      <c r="EJD231" s="32"/>
      <c r="EJE231" s="32"/>
      <c r="EJF231" s="32"/>
      <c r="EJG231" s="31"/>
      <c r="EJH231" s="31"/>
      <c r="EJI231" s="33"/>
      <c r="EJJ231" s="33"/>
      <c r="EJK231" s="34"/>
      <c r="EJL231" s="34"/>
      <c r="EJM231" s="35"/>
      <c r="EJN231" s="35"/>
      <c r="EJO231" s="32"/>
      <c r="EJP231" s="31"/>
      <c r="EJQ231" s="31"/>
      <c r="EJR231" s="31"/>
      <c r="EJS231" s="32"/>
      <c r="EJT231" s="32"/>
      <c r="EJU231" s="32"/>
      <c r="EJV231" s="32"/>
      <c r="EJW231" s="32"/>
      <c r="EJX231" s="31"/>
      <c r="EJY231" s="31"/>
      <c r="EJZ231" s="33"/>
      <c r="EKA231" s="33"/>
      <c r="EKB231" s="34"/>
      <c r="EKC231" s="34"/>
      <c r="EKD231" s="35"/>
      <c r="EKE231" s="35"/>
      <c r="EKF231" s="32"/>
      <c r="EKG231" s="31"/>
      <c r="EKH231" s="31"/>
      <c r="EKI231" s="31"/>
      <c r="EKJ231" s="32"/>
      <c r="EKK231" s="32"/>
      <c r="EKL231" s="32"/>
      <c r="EKM231" s="32"/>
      <c r="EKN231" s="32"/>
      <c r="EKO231" s="31"/>
      <c r="EKP231" s="31"/>
      <c r="EKQ231" s="33"/>
      <c r="EKR231" s="33"/>
      <c r="EKS231" s="34"/>
      <c r="EKT231" s="34"/>
      <c r="EKU231" s="35"/>
      <c r="EKV231" s="35"/>
      <c r="EKW231" s="32"/>
      <c r="EKX231" s="31"/>
      <c r="EKY231" s="31"/>
      <c r="EKZ231" s="31"/>
      <c r="ELA231" s="32"/>
      <c r="ELB231" s="32"/>
      <c r="ELC231" s="32"/>
      <c r="ELD231" s="32"/>
      <c r="ELE231" s="32"/>
      <c r="ELF231" s="31"/>
      <c r="ELG231" s="31"/>
      <c r="ELH231" s="33"/>
      <c r="ELI231" s="33"/>
      <c r="ELJ231" s="34"/>
      <c r="ELK231" s="34"/>
      <c r="ELL231" s="35"/>
      <c r="ELM231" s="35"/>
      <c r="ELN231" s="32"/>
      <c r="ELO231" s="31"/>
      <c r="ELP231" s="31"/>
      <c r="ELQ231" s="31"/>
      <c r="ELR231" s="32"/>
      <c r="ELS231" s="32"/>
      <c r="ELT231" s="32"/>
      <c r="ELU231" s="32"/>
      <c r="ELV231" s="32"/>
      <c r="ELW231" s="31"/>
      <c r="ELX231" s="31"/>
      <c r="ELY231" s="33"/>
      <c r="ELZ231" s="33"/>
      <c r="EMA231" s="34"/>
      <c r="EMB231" s="34"/>
      <c r="EMC231" s="35"/>
      <c r="EMD231" s="35"/>
      <c r="EME231" s="32"/>
      <c r="EMF231" s="31"/>
      <c r="EMG231" s="31"/>
      <c r="EMH231" s="31"/>
      <c r="EMI231" s="32"/>
      <c r="EMJ231" s="32"/>
      <c r="EMK231" s="32"/>
      <c r="EML231" s="32"/>
      <c r="EMM231" s="32"/>
      <c r="EMN231" s="31"/>
      <c r="EMO231" s="31"/>
      <c r="EMP231" s="33"/>
      <c r="EMQ231" s="33"/>
      <c r="EMR231" s="34"/>
      <c r="EMS231" s="34"/>
      <c r="EMT231" s="35"/>
      <c r="EMU231" s="35"/>
      <c r="EMV231" s="32"/>
      <c r="EMW231" s="31"/>
      <c r="EMX231" s="31"/>
      <c r="EMY231" s="31"/>
      <c r="EMZ231" s="32"/>
      <c r="ENA231" s="32"/>
      <c r="ENB231" s="32"/>
      <c r="ENC231" s="32"/>
      <c r="END231" s="32"/>
      <c r="ENE231" s="31"/>
      <c r="ENF231" s="31"/>
      <c r="ENG231" s="33"/>
      <c r="ENH231" s="33"/>
      <c r="ENI231" s="34"/>
      <c r="ENJ231" s="34"/>
      <c r="ENK231" s="35"/>
      <c r="ENL231" s="35"/>
      <c r="ENM231" s="32"/>
      <c r="ENN231" s="31"/>
      <c r="ENO231" s="31"/>
      <c r="ENP231" s="31"/>
      <c r="ENQ231" s="32"/>
      <c r="ENR231" s="32"/>
      <c r="ENS231" s="32"/>
      <c r="ENT231" s="32"/>
      <c r="ENU231" s="32"/>
      <c r="ENV231" s="31"/>
      <c r="ENW231" s="31"/>
      <c r="ENX231" s="33"/>
      <c r="ENY231" s="33"/>
      <c r="ENZ231" s="34"/>
      <c r="EOA231" s="34"/>
      <c r="EOB231" s="35"/>
      <c r="EOC231" s="35"/>
      <c r="EOD231" s="32"/>
      <c r="EOE231" s="31"/>
      <c r="EOF231" s="31"/>
      <c r="EOG231" s="31"/>
      <c r="EOH231" s="32"/>
      <c r="EOI231" s="32"/>
      <c r="EOJ231" s="32"/>
      <c r="EOK231" s="32"/>
      <c r="EOL231" s="32"/>
      <c r="EOM231" s="31"/>
      <c r="EON231" s="31"/>
      <c r="EOO231" s="33"/>
      <c r="EOP231" s="33"/>
      <c r="EOQ231" s="34"/>
      <c r="EOR231" s="34"/>
      <c r="EOS231" s="35"/>
      <c r="EOT231" s="35"/>
      <c r="EOU231" s="32"/>
      <c r="EOV231" s="31"/>
      <c r="EOW231" s="31"/>
      <c r="EOX231" s="31"/>
      <c r="EOY231" s="32"/>
      <c r="EOZ231" s="32"/>
      <c r="EPA231" s="32"/>
      <c r="EPB231" s="32"/>
      <c r="EPC231" s="32"/>
      <c r="EPD231" s="31"/>
      <c r="EPE231" s="31"/>
      <c r="EPF231" s="33"/>
      <c r="EPG231" s="33"/>
      <c r="EPH231" s="34"/>
      <c r="EPI231" s="34"/>
      <c r="EPJ231" s="35"/>
      <c r="EPK231" s="35"/>
      <c r="EPL231" s="32"/>
      <c r="EPM231" s="31"/>
      <c r="EPN231" s="31"/>
      <c r="EPO231" s="31"/>
      <c r="EPP231" s="32"/>
      <c r="EPQ231" s="32"/>
      <c r="EPR231" s="32"/>
      <c r="EPS231" s="32"/>
      <c r="EPT231" s="32"/>
      <c r="EPU231" s="31"/>
      <c r="EPV231" s="31"/>
      <c r="EPW231" s="33"/>
      <c r="EPX231" s="33"/>
      <c r="EPY231" s="34"/>
      <c r="EPZ231" s="34"/>
      <c r="EQA231" s="35"/>
      <c r="EQB231" s="35"/>
      <c r="EQC231" s="32"/>
      <c r="EQD231" s="31"/>
      <c r="EQE231" s="31"/>
      <c r="EQF231" s="31"/>
      <c r="EQG231" s="32"/>
      <c r="EQH231" s="32"/>
      <c r="EQI231" s="32"/>
      <c r="EQJ231" s="32"/>
      <c r="EQK231" s="32"/>
      <c r="EQL231" s="31"/>
      <c r="EQM231" s="31"/>
      <c r="EQN231" s="33"/>
      <c r="EQO231" s="33"/>
      <c r="EQP231" s="34"/>
      <c r="EQQ231" s="34"/>
      <c r="EQR231" s="35"/>
      <c r="EQS231" s="35"/>
      <c r="EQT231" s="32"/>
      <c r="EQU231" s="31"/>
      <c r="EQV231" s="31"/>
      <c r="EQW231" s="31"/>
      <c r="EQX231" s="32"/>
      <c r="EQY231" s="32"/>
      <c r="EQZ231" s="32"/>
      <c r="ERA231" s="32"/>
      <c r="ERB231" s="32"/>
      <c r="ERC231" s="31"/>
      <c r="ERD231" s="31"/>
      <c r="ERE231" s="33"/>
      <c r="ERF231" s="33"/>
      <c r="ERG231" s="34"/>
      <c r="ERH231" s="34"/>
      <c r="ERI231" s="35"/>
      <c r="ERJ231" s="35"/>
      <c r="ERK231" s="32"/>
      <c r="ERL231" s="31"/>
      <c r="ERM231" s="31"/>
      <c r="ERN231" s="31"/>
      <c r="ERO231" s="32"/>
      <c r="ERP231" s="32"/>
      <c r="ERQ231" s="32"/>
      <c r="ERR231" s="32"/>
      <c r="ERS231" s="32"/>
      <c r="ERT231" s="31"/>
      <c r="ERU231" s="31"/>
      <c r="ERV231" s="33"/>
      <c r="ERW231" s="33"/>
      <c r="ERX231" s="34"/>
      <c r="ERY231" s="34"/>
      <c r="ERZ231" s="35"/>
      <c r="ESA231" s="35"/>
      <c r="ESB231" s="32"/>
      <c r="ESC231" s="31"/>
      <c r="ESD231" s="31"/>
      <c r="ESE231" s="31"/>
      <c r="ESF231" s="32"/>
      <c r="ESG231" s="32"/>
      <c r="ESH231" s="32"/>
      <c r="ESI231" s="32"/>
      <c r="ESJ231" s="32"/>
      <c r="ESK231" s="31"/>
      <c r="ESL231" s="31"/>
      <c r="ESM231" s="33"/>
      <c r="ESN231" s="33"/>
      <c r="ESO231" s="34"/>
      <c r="ESP231" s="34"/>
      <c r="ESQ231" s="35"/>
      <c r="ESR231" s="35"/>
      <c r="ESS231" s="32"/>
      <c r="EST231" s="31"/>
      <c r="ESU231" s="31"/>
      <c r="ESV231" s="31"/>
      <c r="ESW231" s="32"/>
      <c r="ESX231" s="32"/>
      <c r="ESY231" s="32"/>
      <c r="ESZ231" s="32"/>
      <c r="ETA231" s="32"/>
      <c r="ETB231" s="31"/>
      <c r="ETC231" s="31"/>
      <c r="ETD231" s="33"/>
      <c r="ETE231" s="33"/>
      <c r="ETF231" s="34"/>
      <c r="ETG231" s="34"/>
      <c r="ETH231" s="35"/>
      <c r="ETI231" s="35"/>
      <c r="ETJ231" s="32"/>
      <c r="ETK231" s="31"/>
      <c r="ETL231" s="31"/>
      <c r="ETM231" s="31"/>
      <c r="ETN231" s="32"/>
      <c r="ETO231" s="32"/>
      <c r="ETP231" s="32"/>
      <c r="ETQ231" s="32"/>
      <c r="ETR231" s="32"/>
      <c r="ETS231" s="31"/>
      <c r="ETT231" s="31"/>
      <c r="ETU231" s="33"/>
      <c r="ETV231" s="33"/>
      <c r="ETW231" s="34"/>
      <c r="ETX231" s="34"/>
      <c r="ETY231" s="35"/>
      <c r="ETZ231" s="35"/>
      <c r="EUA231" s="32"/>
      <c r="EUB231" s="31"/>
      <c r="EUC231" s="31"/>
      <c r="EUD231" s="31"/>
      <c r="EUE231" s="32"/>
      <c r="EUF231" s="32"/>
      <c r="EUG231" s="32"/>
      <c r="EUH231" s="32"/>
      <c r="EUI231" s="32"/>
      <c r="EUJ231" s="31"/>
      <c r="EUK231" s="31"/>
      <c r="EUL231" s="33"/>
      <c r="EUM231" s="33"/>
      <c r="EUN231" s="34"/>
      <c r="EUO231" s="34"/>
      <c r="EUP231" s="35"/>
      <c r="EUQ231" s="35"/>
      <c r="EUR231" s="32"/>
      <c r="EUS231" s="31"/>
      <c r="EUT231" s="31"/>
      <c r="EUU231" s="31"/>
      <c r="EUV231" s="32"/>
      <c r="EUW231" s="32"/>
      <c r="EUX231" s="32"/>
      <c r="EUY231" s="32"/>
      <c r="EUZ231" s="32"/>
      <c r="EVA231" s="31"/>
      <c r="EVB231" s="31"/>
      <c r="EVC231" s="33"/>
      <c r="EVD231" s="33"/>
      <c r="EVE231" s="34"/>
      <c r="EVF231" s="34"/>
      <c r="EVG231" s="35"/>
      <c r="EVH231" s="35"/>
      <c r="EVI231" s="32"/>
      <c r="EVJ231" s="31"/>
      <c r="EVK231" s="31"/>
      <c r="EVL231" s="31"/>
      <c r="EVM231" s="32"/>
      <c r="EVN231" s="32"/>
      <c r="EVO231" s="32"/>
      <c r="EVP231" s="32"/>
      <c r="EVQ231" s="32"/>
      <c r="EVR231" s="31"/>
      <c r="EVS231" s="31"/>
      <c r="EVT231" s="33"/>
      <c r="EVU231" s="33"/>
      <c r="EVV231" s="34"/>
      <c r="EVW231" s="34"/>
      <c r="EVX231" s="35"/>
      <c r="EVY231" s="35"/>
      <c r="EVZ231" s="32"/>
      <c r="EWA231" s="31"/>
      <c r="EWB231" s="31"/>
      <c r="EWC231" s="31"/>
      <c r="EWD231" s="32"/>
      <c r="EWE231" s="32"/>
      <c r="EWF231" s="32"/>
      <c r="EWG231" s="32"/>
      <c r="EWH231" s="32"/>
      <c r="EWI231" s="31"/>
      <c r="EWJ231" s="31"/>
      <c r="EWK231" s="33"/>
      <c r="EWL231" s="33"/>
      <c r="EWM231" s="34"/>
      <c r="EWN231" s="34"/>
      <c r="EWO231" s="35"/>
      <c r="EWP231" s="35"/>
      <c r="EWQ231" s="32"/>
      <c r="EWR231" s="31"/>
      <c r="EWS231" s="31"/>
      <c r="EWT231" s="31"/>
      <c r="EWU231" s="32"/>
      <c r="EWV231" s="32"/>
      <c r="EWW231" s="32"/>
      <c r="EWX231" s="32"/>
      <c r="EWY231" s="32"/>
      <c r="EWZ231" s="31"/>
      <c r="EXA231" s="31"/>
      <c r="EXB231" s="33"/>
      <c r="EXC231" s="33"/>
      <c r="EXD231" s="34"/>
      <c r="EXE231" s="34"/>
      <c r="EXF231" s="35"/>
      <c r="EXG231" s="35"/>
      <c r="EXH231" s="32"/>
      <c r="EXI231" s="31"/>
      <c r="EXJ231" s="31"/>
      <c r="EXK231" s="31"/>
      <c r="EXL231" s="32"/>
      <c r="EXM231" s="32"/>
      <c r="EXN231" s="32"/>
      <c r="EXO231" s="32"/>
      <c r="EXP231" s="32"/>
      <c r="EXQ231" s="31"/>
      <c r="EXR231" s="31"/>
      <c r="EXS231" s="33"/>
      <c r="EXT231" s="33"/>
      <c r="EXU231" s="34"/>
      <c r="EXV231" s="34"/>
      <c r="EXW231" s="35"/>
      <c r="EXX231" s="35"/>
      <c r="EXY231" s="32"/>
      <c r="EXZ231" s="31"/>
      <c r="EYA231" s="31"/>
      <c r="EYB231" s="31"/>
      <c r="EYC231" s="32"/>
      <c r="EYD231" s="32"/>
      <c r="EYE231" s="32"/>
      <c r="EYF231" s="32"/>
      <c r="EYG231" s="32"/>
      <c r="EYH231" s="31"/>
      <c r="EYI231" s="31"/>
      <c r="EYJ231" s="33"/>
      <c r="EYK231" s="33"/>
      <c r="EYL231" s="34"/>
      <c r="EYM231" s="34"/>
      <c r="EYN231" s="35"/>
      <c r="EYO231" s="35"/>
      <c r="EYP231" s="32"/>
      <c r="EYQ231" s="31"/>
      <c r="EYR231" s="31"/>
      <c r="EYS231" s="31"/>
      <c r="EYT231" s="32"/>
      <c r="EYU231" s="32"/>
      <c r="EYV231" s="32"/>
      <c r="EYW231" s="32"/>
      <c r="EYX231" s="32"/>
      <c r="EYY231" s="31"/>
      <c r="EYZ231" s="31"/>
      <c r="EZA231" s="33"/>
      <c r="EZB231" s="33"/>
      <c r="EZC231" s="34"/>
      <c r="EZD231" s="34"/>
      <c r="EZE231" s="35"/>
      <c r="EZF231" s="35"/>
      <c r="EZG231" s="32"/>
      <c r="EZH231" s="31"/>
      <c r="EZI231" s="31"/>
      <c r="EZJ231" s="31"/>
      <c r="EZK231" s="32"/>
      <c r="EZL231" s="32"/>
      <c r="EZM231" s="32"/>
      <c r="EZN231" s="32"/>
      <c r="EZO231" s="32"/>
      <c r="EZP231" s="31"/>
      <c r="EZQ231" s="31"/>
      <c r="EZR231" s="33"/>
      <c r="EZS231" s="33"/>
      <c r="EZT231" s="34"/>
      <c r="EZU231" s="34"/>
      <c r="EZV231" s="35"/>
      <c r="EZW231" s="35"/>
      <c r="EZX231" s="32"/>
      <c r="EZY231" s="31"/>
      <c r="EZZ231" s="31"/>
      <c r="FAA231" s="31"/>
      <c r="FAB231" s="32"/>
      <c r="FAC231" s="32"/>
      <c r="FAD231" s="32"/>
      <c r="FAE231" s="32"/>
      <c r="FAF231" s="32"/>
      <c r="FAG231" s="31"/>
      <c r="FAH231" s="31"/>
      <c r="FAI231" s="33"/>
      <c r="FAJ231" s="33"/>
      <c r="FAK231" s="34"/>
      <c r="FAL231" s="34"/>
      <c r="FAM231" s="35"/>
      <c r="FAN231" s="35"/>
      <c r="FAO231" s="32"/>
      <c r="FAP231" s="31"/>
      <c r="FAQ231" s="31"/>
      <c r="FAR231" s="31"/>
      <c r="FAS231" s="32"/>
      <c r="FAT231" s="32"/>
      <c r="FAU231" s="32"/>
      <c r="FAV231" s="32"/>
      <c r="FAW231" s="32"/>
      <c r="FAX231" s="31"/>
      <c r="FAY231" s="31"/>
      <c r="FAZ231" s="33"/>
      <c r="FBA231" s="33"/>
      <c r="FBB231" s="34"/>
      <c r="FBC231" s="34"/>
      <c r="FBD231" s="35"/>
      <c r="FBE231" s="35"/>
      <c r="FBF231" s="32"/>
      <c r="FBG231" s="31"/>
      <c r="FBH231" s="31"/>
      <c r="FBI231" s="31"/>
      <c r="FBJ231" s="32"/>
      <c r="FBK231" s="32"/>
      <c r="FBL231" s="32"/>
      <c r="FBM231" s="32"/>
      <c r="FBN231" s="32"/>
      <c r="FBO231" s="31"/>
      <c r="FBP231" s="31"/>
      <c r="FBQ231" s="33"/>
      <c r="FBR231" s="33"/>
      <c r="FBS231" s="34"/>
      <c r="FBT231" s="34"/>
      <c r="FBU231" s="35"/>
      <c r="FBV231" s="35"/>
      <c r="FBW231" s="32"/>
      <c r="FBX231" s="31"/>
      <c r="FBY231" s="31"/>
      <c r="FBZ231" s="31"/>
      <c r="FCA231" s="32"/>
      <c r="FCB231" s="32"/>
      <c r="FCC231" s="32"/>
      <c r="FCD231" s="32"/>
      <c r="FCE231" s="32"/>
      <c r="FCF231" s="31"/>
      <c r="FCG231" s="31"/>
      <c r="FCH231" s="33"/>
      <c r="FCI231" s="33"/>
      <c r="FCJ231" s="34"/>
      <c r="FCK231" s="34"/>
      <c r="FCL231" s="35"/>
      <c r="FCM231" s="35"/>
      <c r="FCN231" s="32"/>
      <c r="FCO231" s="31"/>
      <c r="FCP231" s="31"/>
      <c r="FCQ231" s="31"/>
      <c r="FCR231" s="32"/>
      <c r="FCS231" s="32"/>
      <c r="FCT231" s="32"/>
      <c r="FCU231" s="32"/>
      <c r="FCV231" s="32"/>
      <c r="FCW231" s="31"/>
      <c r="FCX231" s="31"/>
      <c r="FCY231" s="33"/>
      <c r="FCZ231" s="33"/>
      <c r="FDA231" s="34"/>
      <c r="FDB231" s="34"/>
      <c r="FDC231" s="35"/>
      <c r="FDD231" s="35"/>
      <c r="FDE231" s="32"/>
      <c r="FDF231" s="31"/>
      <c r="FDG231" s="31"/>
      <c r="FDH231" s="31"/>
      <c r="FDI231" s="32"/>
      <c r="FDJ231" s="32"/>
      <c r="FDK231" s="32"/>
      <c r="FDL231" s="32"/>
      <c r="FDM231" s="32"/>
      <c r="FDN231" s="31"/>
      <c r="FDO231" s="31"/>
      <c r="FDP231" s="33"/>
      <c r="FDQ231" s="33"/>
      <c r="FDR231" s="34"/>
      <c r="FDS231" s="34"/>
      <c r="FDT231" s="35"/>
      <c r="FDU231" s="35"/>
      <c r="FDV231" s="32"/>
      <c r="FDW231" s="31"/>
      <c r="FDX231" s="31"/>
      <c r="FDY231" s="31"/>
      <c r="FDZ231" s="32"/>
      <c r="FEA231" s="32"/>
      <c r="FEB231" s="32"/>
      <c r="FEC231" s="32"/>
      <c r="FED231" s="32"/>
      <c r="FEE231" s="31"/>
      <c r="FEF231" s="31"/>
      <c r="FEG231" s="33"/>
      <c r="FEH231" s="33"/>
      <c r="FEI231" s="34"/>
      <c r="FEJ231" s="34"/>
      <c r="FEK231" s="35"/>
      <c r="FEL231" s="35"/>
      <c r="FEM231" s="32"/>
      <c r="FEN231" s="31"/>
      <c r="FEO231" s="31"/>
      <c r="FEP231" s="31"/>
      <c r="FEQ231" s="32"/>
      <c r="FER231" s="32"/>
      <c r="FES231" s="32"/>
      <c r="FET231" s="32"/>
      <c r="FEU231" s="32"/>
      <c r="FEV231" s="31"/>
      <c r="FEW231" s="31"/>
      <c r="FEX231" s="33"/>
      <c r="FEY231" s="33"/>
      <c r="FEZ231" s="34"/>
      <c r="FFA231" s="34"/>
      <c r="FFB231" s="35"/>
      <c r="FFC231" s="35"/>
      <c r="FFD231" s="32"/>
      <c r="FFE231" s="31"/>
      <c r="FFF231" s="31"/>
      <c r="FFG231" s="31"/>
      <c r="FFH231" s="32"/>
      <c r="FFI231" s="32"/>
      <c r="FFJ231" s="32"/>
      <c r="FFK231" s="32"/>
      <c r="FFL231" s="32"/>
      <c r="FFM231" s="31"/>
      <c r="FFN231" s="31"/>
      <c r="FFO231" s="33"/>
      <c r="FFP231" s="33"/>
      <c r="FFQ231" s="34"/>
      <c r="FFR231" s="34"/>
      <c r="FFS231" s="35"/>
      <c r="FFT231" s="35"/>
      <c r="FFU231" s="32"/>
      <c r="FFV231" s="31"/>
      <c r="FFW231" s="31"/>
      <c r="FFX231" s="31"/>
      <c r="FFY231" s="32"/>
      <c r="FFZ231" s="32"/>
      <c r="FGA231" s="32"/>
      <c r="FGB231" s="32"/>
      <c r="FGC231" s="32"/>
      <c r="FGD231" s="31"/>
      <c r="FGE231" s="31"/>
      <c r="FGF231" s="33"/>
      <c r="FGG231" s="33"/>
      <c r="FGH231" s="34"/>
      <c r="FGI231" s="34"/>
      <c r="FGJ231" s="35"/>
      <c r="FGK231" s="35"/>
      <c r="FGL231" s="32"/>
      <c r="FGM231" s="31"/>
      <c r="FGN231" s="31"/>
      <c r="FGO231" s="31"/>
      <c r="FGP231" s="32"/>
      <c r="FGQ231" s="32"/>
      <c r="FGR231" s="32"/>
      <c r="FGS231" s="32"/>
      <c r="FGT231" s="32"/>
      <c r="FGU231" s="31"/>
      <c r="FGV231" s="31"/>
      <c r="FGW231" s="33"/>
      <c r="FGX231" s="33"/>
      <c r="FGY231" s="34"/>
      <c r="FGZ231" s="34"/>
      <c r="FHA231" s="35"/>
      <c r="FHB231" s="35"/>
      <c r="FHC231" s="32"/>
      <c r="FHD231" s="31"/>
      <c r="FHE231" s="31"/>
      <c r="FHF231" s="31"/>
      <c r="FHG231" s="32"/>
      <c r="FHH231" s="32"/>
      <c r="FHI231" s="32"/>
      <c r="FHJ231" s="32"/>
      <c r="FHK231" s="32"/>
      <c r="FHL231" s="31"/>
      <c r="FHM231" s="31"/>
      <c r="FHN231" s="33"/>
      <c r="FHO231" s="33"/>
      <c r="FHP231" s="34"/>
      <c r="FHQ231" s="34"/>
      <c r="FHR231" s="35"/>
      <c r="FHS231" s="35"/>
      <c r="FHT231" s="32"/>
      <c r="FHU231" s="31"/>
      <c r="FHV231" s="31"/>
      <c r="FHW231" s="31"/>
      <c r="FHX231" s="32"/>
      <c r="FHY231" s="32"/>
      <c r="FHZ231" s="32"/>
      <c r="FIA231" s="32"/>
      <c r="FIB231" s="32"/>
      <c r="FIC231" s="31"/>
      <c r="FID231" s="31"/>
      <c r="FIE231" s="33"/>
      <c r="FIF231" s="33"/>
      <c r="FIG231" s="34"/>
      <c r="FIH231" s="34"/>
      <c r="FII231" s="35"/>
      <c r="FIJ231" s="35"/>
      <c r="FIK231" s="32"/>
      <c r="FIL231" s="31"/>
      <c r="FIM231" s="31"/>
      <c r="FIN231" s="31"/>
      <c r="FIO231" s="32"/>
      <c r="FIP231" s="32"/>
      <c r="FIQ231" s="32"/>
      <c r="FIR231" s="32"/>
      <c r="FIS231" s="32"/>
      <c r="FIT231" s="31"/>
      <c r="FIU231" s="31"/>
      <c r="FIV231" s="33"/>
      <c r="FIW231" s="33"/>
      <c r="FIX231" s="34"/>
      <c r="FIY231" s="34"/>
      <c r="FIZ231" s="35"/>
      <c r="FJA231" s="35"/>
      <c r="FJB231" s="32"/>
      <c r="FJC231" s="31"/>
      <c r="FJD231" s="31"/>
      <c r="FJE231" s="31"/>
      <c r="FJF231" s="32"/>
      <c r="FJG231" s="32"/>
      <c r="FJH231" s="32"/>
      <c r="FJI231" s="32"/>
      <c r="FJJ231" s="32"/>
      <c r="FJK231" s="31"/>
      <c r="FJL231" s="31"/>
      <c r="FJM231" s="33"/>
      <c r="FJN231" s="33"/>
      <c r="FJO231" s="34"/>
      <c r="FJP231" s="34"/>
      <c r="FJQ231" s="35"/>
      <c r="FJR231" s="35"/>
      <c r="FJS231" s="32"/>
      <c r="FJT231" s="31"/>
      <c r="FJU231" s="31"/>
      <c r="FJV231" s="31"/>
      <c r="FJW231" s="32"/>
      <c r="FJX231" s="32"/>
      <c r="FJY231" s="32"/>
      <c r="FJZ231" s="32"/>
      <c r="FKA231" s="32"/>
      <c r="FKB231" s="31"/>
      <c r="FKC231" s="31"/>
      <c r="FKD231" s="33"/>
      <c r="FKE231" s="33"/>
      <c r="FKF231" s="34"/>
      <c r="FKG231" s="34"/>
      <c r="FKH231" s="35"/>
      <c r="FKI231" s="35"/>
      <c r="FKJ231" s="32"/>
      <c r="FKK231" s="31"/>
      <c r="FKL231" s="31"/>
      <c r="FKM231" s="31"/>
      <c r="FKN231" s="32"/>
      <c r="FKO231" s="32"/>
      <c r="FKP231" s="32"/>
      <c r="FKQ231" s="32"/>
      <c r="FKR231" s="32"/>
      <c r="FKS231" s="31"/>
      <c r="FKT231" s="31"/>
      <c r="FKU231" s="33"/>
      <c r="FKV231" s="33"/>
      <c r="FKW231" s="34"/>
      <c r="FKX231" s="34"/>
      <c r="FKY231" s="35"/>
      <c r="FKZ231" s="35"/>
      <c r="FLA231" s="32"/>
      <c r="FLB231" s="31"/>
      <c r="FLC231" s="31"/>
      <c r="FLD231" s="31"/>
      <c r="FLE231" s="32"/>
      <c r="FLF231" s="32"/>
      <c r="FLG231" s="32"/>
      <c r="FLH231" s="32"/>
      <c r="FLI231" s="32"/>
      <c r="FLJ231" s="31"/>
      <c r="FLK231" s="31"/>
      <c r="FLL231" s="33"/>
      <c r="FLM231" s="33"/>
      <c r="FLN231" s="34"/>
      <c r="FLO231" s="34"/>
      <c r="FLP231" s="35"/>
      <c r="FLQ231" s="35"/>
      <c r="FLR231" s="32"/>
      <c r="FLS231" s="31"/>
      <c r="FLT231" s="31"/>
      <c r="FLU231" s="31"/>
      <c r="FLV231" s="32"/>
      <c r="FLW231" s="32"/>
      <c r="FLX231" s="32"/>
      <c r="FLY231" s="32"/>
      <c r="FLZ231" s="32"/>
      <c r="FMA231" s="31"/>
      <c r="FMB231" s="31"/>
      <c r="FMC231" s="33"/>
      <c r="FMD231" s="33"/>
      <c r="FME231" s="34"/>
      <c r="FMF231" s="34"/>
      <c r="FMG231" s="35"/>
      <c r="FMH231" s="35"/>
      <c r="FMI231" s="32"/>
      <c r="FMJ231" s="31"/>
      <c r="FMK231" s="31"/>
      <c r="FML231" s="31"/>
      <c r="FMM231" s="32"/>
      <c r="FMN231" s="32"/>
      <c r="FMO231" s="32"/>
      <c r="FMP231" s="32"/>
      <c r="FMQ231" s="32"/>
      <c r="FMR231" s="31"/>
      <c r="FMS231" s="31"/>
      <c r="FMT231" s="33"/>
      <c r="FMU231" s="33"/>
      <c r="FMV231" s="34"/>
      <c r="FMW231" s="34"/>
      <c r="FMX231" s="35"/>
      <c r="FMY231" s="35"/>
      <c r="FMZ231" s="32"/>
      <c r="FNA231" s="31"/>
      <c r="FNB231" s="31"/>
      <c r="FNC231" s="31"/>
      <c r="FND231" s="32"/>
      <c r="FNE231" s="32"/>
      <c r="FNF231" s="32"/>
      <c r="FNG231" s="32"/>
      <c r="FNH231" s="32"/>
      <c r="FNI231" s="31"/>
      <c r="FNJ231" s="31"/>
      <c r="FNK231" s="33"/>
      <c r="FNL231" s="33"/>
      <c r="FNM231" s="34"/>
      <c r="FNN231" s="34"/>
      <c r="FNO231" s="35"/>
      <c r="FNP231" s="35"/>
      <c r="FNQ231" s="32"/>
      <c r="FNR231" s="31"/>
      <c r="FNS231" s="31"/>
      <c r="FNT231" s="31"/>
      <c r="FNU231" s="32"/>
      <c r="FNV231" s="32"/>
      <c r="FNW231" s="32"/>
      <c r="FNX231" s="32"/>
      <c r="FNY231" s="32"/>
      <c r="FNZ231" s="31"/>
      <c r="FOA231" s="31"/>
      <c r="FOB231" s="33"/>
      <c r="FOC231" s="33"/>
      <c r="FOD231" s="34"/>
      <c r="FOE231" s="34"/>
      <c r="FOF231" s="35"/>
      <c r="FOG231" s="35"/>
      <c r="FOH231" s="32"/>
      <c r="FOI231" s="31"/>
      <c r="FOJ231" s="31"/>
      <c r="FOK231" s="31"/>
      <c r="FOL231" s="32"/>
      <c r="FOM231" s="32"/>
      <c r="FON231" s="32"/>
      <c r="FOO231" s="32"/>
      <c r="FOP231" s="32"/>
      <c r="FOQ231" s="31"/>
      <c r="FOR231" s="31"/>
      <c r="FOS231" s="33"/>
      <c r="FOT231" s="33"/>
      <c r="FOU231" s="34"/>
      <c r="FOV231" s="34"/>
      <c r="FOW231" s="35"/>
      <c r="FOX231" s="35"/>
      <c r="FOY231" s="32"/>
      <c r="FOZ231" s="31"/>
      <c r="FPA231" s="31"/>
      <c r="FPB231" s="31"/>
      <c r="FPC231" s="32"/>
      <c r="FPD231" s="32"/>
      <c r="FPE231" s="32"/>
      <c r="FPF231" s="32"/>
      <c r="FPG231" s="32"/>
      <c r="FPH231" s="31"/>
      <c r="FPI231" s="31"/>
      <c r="FPJ231" s="33"/>
      <c r="FPK231" s="33"/>
      <c r="FPL231" s="34"/>
      <c r="FPM231" s="34"/>
      <c r="FPN231" s="35"/>
      <c r="FPO231" s="35"/>
      <c r="FPP231" s="32"/>
      <c r="FPQ231" s="31"/>
      <c r="FPR231" s="31"/>
      <c r="FPS231" s="31"/>
      <c r="FPT231" s="32"/>
      <c r="FPU231" s="32"/>
      <c r="FPV231" s="32"/>
      <c r="FPW231" s="32"/>
      <c r="FPX231" s="32"/>
      <c r="FPY231" s="31"/>
      <c r="FPZ231" s="31"/>
      <c r="FQA231" s="33"/>
      <c r="FQB231" s="33"/>
      <c r="FQC231" s="34"/>
      <c r="FQD231" s="34"/>
      <c r="FQE231" s="35"/>
      <c r="FQF231" s="35"/>
      <c r="FQG231" s="32"/>
      <c r="FQH231" s="31"/>
      <c r="FQI231" s="31"/>
      <c r="FQJ231" s="31"/>
      <c r="FQK231" s="32"/>
      <c r="FQL231" s="32"/>
      <c r="FQM231" s="32"/>
      <c r="FQN231" s="32"/>
      <c r="FQO231" s="32"/>
      <c r="FQP231" s="31"/>
      <c r="FQQ231" s="31"/>
      <c r="FQR231" s="33"/>
      <c r="FQS231" s="33"/>
      <c r="FQT231" s="34"/>
      <c r="FQU231" s="34"/>
      <c r="FQV231" s="35"/>
      <c r="FQW231" s="35"/>
      <c r="FQX231" s="32"/>
      <c r="FQY231" s="31"/>
      <c r="FQZ231" s="31"/>
      <c r="FRA231" s="31"/>
      <c r="FRB231" s="32"/>
      <c r="FRC231" s="32"/>
      <c r="FRD231" s="32"/>
      <c r="FRE231" s="32"/>
      <c r="FRF231" s="32"/>
      <c r="FRG231" s="31"/>
      <c r="FRH231" s="31"/>
      <c r="FRI231" s="33"/>
      <c r="FRJ231" s="33"/>
      <c r="FRK231" s="34"/>
      <c r="FRL231" s="34"/>
      <c r="FRM231" s="35"/>
      <c r="FRN231" s="35"/>
      <c r="FRO231" s="32"/>
      <c r="FRP231" s="31"/>
      <c r="FRQ231" s="31"/>
      <c r="FRR231" s="31"/>
      <c r="FRS231" s="32"/>
      <c r="FRT231" s="32"/>
      <c r="FRU231" s="32"/>
      <c r="FRV231" s="32"/>
      <c r="FRW231" s="32"/>
      <c r="FRX231" s="31"/>
      <c r="FRY231" s="31"/>
      <c r="FRZ231" s="33"/>
      <c r="FSA231" s="33"/>
      <c r="FSB231" s="34"/>
      <c r="FSC231" s="34"/>
      <c r="FSD231" s="35"/>
      <c r="FSE231" s="35"/>
      <c r="FSF231" s="32"/>
      <c r="FSG231" s="31"/>
      <c r="FSH231" s="31"/>
      <c r="FSI231" s="31"/>
      <c r="FSJ231" s="32"/>
      <c r="FSK231" s="32"/>
      <c r="FSL231" s="32"/>
      <c r="FSM231" s="32"/>
      <c r="FSN231" s="32"/>
      <c r="FSO231" s="31"/>
      <c r="FSP231" s="31"/>
      <c r="FSQ231" s="33"/>
      <c r="FSR231" s="33"/>
      <c r="FSS231" s="34"/>
      <c r="FST231" s="34"/>
      <c r="FSU231" s="35"/>
      <c r="FSV231" s="35"/>
      <c r="FSW231" s="32"/>
      <c r="FSX231" s="31"/>
      <c r="FSY231" s="31"/>
      <c r="FSZ231" s="31"/>
      <c r="FTA231" s="32"/>
      <c r="FTB231" s="32"/>
      <c r="FTC231" s="32"/>
      <c r="FTD231" s="32"/>
      <c r="FTE231" s="32"/>
      <c r="FTF231" s="31"/>
      <c r="FTG231" s="31"/>
      <c r="FTH231" s="33"/>
      <c r="FTI231" s="33"/>
      <c r="FTJ231" s="34"/>
      <c r="FTK231" s="34"/>
      <c r="FTL231" s="35"/>
      <c r="FTM231" s="35"/>
      <c r="FTN231" s="32"/>
      <c r="FTO231" s="31"/>
      <c r="FTP231" s="31"/>
      <c r="FTQ231" s="31"/>
      <c r="FTR231" s="32"/>
      <c r="FTS231" s="32"/>
      <c r="FTT231" s="32"/>
      <c r="FTU231" s="32"/>
      <c r="FTV231" s="32"/>
      <c r="FTW231" s="31"/>
      <c r="FTX231" s="31"/>
      <c r="FTY231" s="33"/>
      <c r="FTZ231" s="33"/>
      <c r="FUA231" s="34"/>
      <c r="FUB231" s="34"/>
      <c r="FUC231" s="35"/>
      <c r="FUD231" s="35"/>
      <c r="FUE231" s="32"/>
      <c r="FUF231" s="31"/>
      <c r="FUG231" s="31"/>
      <c r="FUH231" s="31"/>
      <c r="FUI231" s="32"/>
      <c r="FUJ231" s="32"/>
      <c r="FUK231" s="32"/>
      <c r="FUL231" s="32"/>
      <c r="FUM231" s="32"/>
      <c r="FUN231" s="31"/>
      <c r="FUO231" s="31"/>
      <c r="FUP231" s="33"/>
      <c r="FUQ231" s="33"/>
      <c r="FUR231" s="34"/>
      <c r="FUS231" s="34"/>
      <c r="FUT231" s="35"/>
      <c r="FUU231" s="35"/>
      <c r="FUV231" s="32"/>
      <c r="FUW231" s="31"/>
      <c r="FUX231" s="31"/>
      <c r="FUY231" s="31"/>
      <c r="FUZ231" s="32"/>
      <c r="FVA231" s="32"/>
      <c r="FVB231" s="32"/>
      <c r="FVC231" s="32"/>
      <c r="FVD231" s="32"/>
      <c r="FVE231" s="31"/>
      <c r="FVF231" s="31"/>
      <c r="FVG231" s="33"/>
      <c r="FVH231" s="33"/>
      <c r="FVI231" s="34"/>
      <c r="FVJ231" s="34"/>
      <c r="FVK231" s="35"/>
      <c r="FVL231" s="35"/>
      <c r="FVM231" s="32"/>
      <c r="FVN231" s="31"/>
      <c r="FVO231" s="31"/>
      <c r="FVP231" s="31"/>
      <c r="FVQ231" s="32"/>
      <c r="FVR231" s="32"/>
      <c r="FVS231" s="32"/>
      <c r="FVT231" s="32"/>
      <c r="FVU231" s="32"/>
      <c r="FVV231" s="31"/>
      <c r="FVW231" s="31"/>
      <c r="FVX231" s="33"/>
      <c r="FVY231" s="33"/>
      <c r="FVZ231" s="34"/>
      <c r="FWA231" s="34"/>
      <c r="FWB231" s="35"/>
      <c r="FWC231" s="35"/>
      <c r="FWD231" s="32"/>
      <c r="FWE231" s="31"/>
      <c r="FWF231" s="31"/>
      <c r="FWG231" s="31"/>
      <c r="FWH231" s="32"/>
      <c r="FWI231" s="32"/>
      <c r="FWJ231" s="32"/>
      <c r="FWK231" s="32"/>
      <c r="FWL231" s="32"/>
      <c r="FWM231" s="31"/>
      <c r="FWN231" s="31"/>
      <c r="FWO231" s="33"/>
      <c r="FWP231" s="33"/>
      <c r="FWQ231" s="34"/>
      <c r="FWR231" s="34"/>
      <c r="FWS231" s="35"/>
      <c r="FWT231" s="35"/>
      <c r="FWU231" s="32"/>
      <c r="FWV231" s="31"/>
      <c r="FWW231" s="31"/>
      <c r="FWX231" s="31"/>
      <c r="FWY231" s="32"/>
      <c r="FWZ231" s="32"/>
      <c r="FXA231" s="32"/>
      <c r="FXB231" s="32"/>
      <c r="FXC231" s="32"/>
      <c r="FXD231" s="31"/>
      <c r="FXE231" s="31"/>
      <c r="FXF231" s="33"/>
      <c r="FXG231" s="33"/>
      <c r="FXH231" s="34"/>
      <c r="FXI231" s="34"/>
      <c r="FXJ231" s="35"/>
      <c r="FXK231" s="35"/>
      <c r="FXL231" s="32"/>
      <c r="FXM231" s="31"/>
      <c r="FXN231" s="31"/>
      <c r="FXO231" s="31"/>
      <c r="FXP231" s="32"/>
      <c r="FXQ231" s="32"/>
      <c r="FXR231" s="32"/>
      <c r="FXS231" s="32"/>
      <c r="FXT231" s="32"/>
      <c r="FXU231" s="31"/>
      <c r="FXV231" s="31"/>
      <c r="FXW231" s="33"/>
      <c r="FXX231" s="33"/>
      <c r="FXY231" s="34"/>
      <c r="FXZ231" s="34"/>
      <c r="FYA231" s="35"/>
      <c r="FYB231" s="35"/>
      <c r="FYC231" s="32"/>
      <c r="FYD231" s="31"/>
      <c r="FYE231" s="31"/>
      <c r="FYF231" s="31"/>
      <c r="FYG231" s="32"/>
      <c r="FYH231" s="32"/>
      <c r="FYI231" s="32"/>
      <c r="FYJ231" s="32"/>
      <c r="FYK231" s="32"/>
      <c r="FYL231" s="31"/>
      <c r="FYM231" s="31"/>
      <c r="FYN231" s="33"/>
      <c r="FYO231" s="33"/>
      <c r="FYP231" s="34"/>
      <c r="FYQ231" s="34"/>
      <c r="FYR231" s="35"/>
      <c r="FYS231" s="35"/>
      <c r="FYT231" s="32"/>
      <c r="FYU231" s="31"/>
      <c r="FYV231" s="31"/>
      <c r="FYW231" s="31"/>
      <c r="FYX231" s="32"/>
      <c r="FYY231" s="32"/>
      <c r="FYZ231" s="32"/>
      <c r="FZA231" s="32"/>
      <c r="FZB231" s="32"/>
      <c r="FZC231" s="31"/>
      <c r="FZD231" s="31"/>
      <c r="FZE231" s="33"/>
      <c r="FZF231" s="33"/>
      <c r="FZG231" s="34"/>
      <c r="FZH231" s="34"/>
      <c r="FZI231" s="35"/>
      <c r="FZJ231" s="35"/>
      <c r="FZK231" s="32"/>
      <c r="FZL231" s="31"/>
      <c r="FZM231" s="31"/>
      <c r="FZN231" s="31"/>
      <c r="FZO231" s="32"/>
      <c r="FZP231" s="32"/>
      <c r="FZQ231" s="32"/>
      <c r="FZR231" s="32"/>
      <c r="FZS231" s="32"/>
      <c r="FZT231" s="31"/>
      <c r="FZU231" s="31"/>
      <c r="FZV231" s="33"/>
      <c r="FZW231" s="33"/>
      <c r="FZX231" s="34"/>
      <c r="FZY231" s="34"/>
      <c r="FZZ231" s="35"/>
      <c r="GAA231" s="35"/>
      <c r="GAB231" s="32"/>
      <c r="GAC231" s="31"/>
      <c r="GAD231" s="31"/>
      <c r="GAE231" s="31"/>
      <c r="GAF231" s="32"/>
      <c r="GAG231" s="32"/>
      <c r="GAH231" s="32"/>
      <c r="GAI231" s="32"/>
      <c r="GAJ231" s="32"/>
      <c r="GAK231" s="31"/>
      <c r="GAL231" s="31"/>
      <c r="GAM231" s="33"/>
      <c r="GAN231" s="33"/>
      <c r="GAO231" s="34"/>
      <c r="GAP231" s="34"/>
      <c r="GAQ231" s="35"/>
      <c r="GAR231" s="35"/>
      <c r="GAS231" s="32"/>
      <c r="GAT231" s="31"/>
      <c r="GAU231" s="31"/>
      <c r="GAV231" s="31"/>
      <c r="GAW231" s="32"/>
      <c r="GAX231" s="32"/>
      <c r="GAY231" s="32"/>
      <c r="GAZ231" s="32"/>
      <c r="GBA231" s="32"/>
      <c r="GBB231" s="31"/>
      <c r="GBC231" s="31"/>
      <c r="GBD231" s="33"/>
      <c r="GBE231" s="33"/>
      <c r="GBF231" s="34"/>
      <c r="GBG231" s="34"/>
      <c r="GBH231" s="35"/>
      <c r="GBI231" s="35"/>
      <c r="GBJ231" s="32"/>
      <c r="GBK231" s="31"/>
      <c r="GBL231" s="31"/>
      <c r="GBM231" s="31"/>
      <c r="GBN231" s="32"/>
      <c r="GBO231" s="32"/>
      <c r="GBP231" s="32"/>
      <c r="GBQ231" s="32"/>
      <c r="GBR231" s="32"/>
      <c r="GBS231" s="31"/>
      <c r="GBT231" s="31"/>
      <c r="GBU231" s="33"/>
      <c r="GBV231" s="33"/>
      <c r="GBW231" s="34"/>
      <c r="GBX231" s="34"/>
      <c r="GBY231" s="35"/>
      <c r="GBZ231" s="35"/>
      <c r="GCA231" s="32"/>
      <c r="GCB231" s="31"/>
      <c r="GCC231" s="31"/>
      <c r="GCD231" s="31"/>
      <c r="GCE231" s="32"/>
      <c r="GCF231" s="32"/>
      <c r="GCG231" s="32"/>
      <c r="GCH231" s="32"/>
      <c r="GCI231" s="32"/>
      <c r="GCJ231" s="31"/>
      <c r="GCK231" s="31"/>
      <c r="GCL231" s="33"/>
      <c r="GCM231" s="33"/>
      <c r="GCN231" s="34"/>
      <c r="GCO231" s="34"/>
      <c r="GCP231" s="35"/>
      <c r="GCQ231" s="35"/>
      <c r="GCR231" s="32"/>
      <c r="GCS231" s="31"/>
      <c r="GCT231" s="31"/>
      <c r="GCU231" s="31"/>
      <c r="GCV231" s="32"/>
      <c r="GCW231" s="32"/>
      <c r="GCX231" s="32"/>
      <c r="GCY231" s="32"/>
      <c r="GCZ231" s="32"/>
      <c r="GDA231" s="31"/>
      <c r="GDB231" s="31"/>
      <c r="GDC231" s="33"/>
      <c r="GDD231" s="33"/>
      <c r="GDE231" s="34"/>
      <c r="GDF231" s="34"/>
      <c r="GDG231" s="35"/>
      <c r="GDH231" s="35"/>
      <c r="GDI231" s="32"/>
      <c r="GDJ231" s="31"/>
      <c r="GDK231" s="31"/>
      <c r="GDL231" s="31"/>
      <c r="GDM231" s="32"/>
      <c r="GDN231" s="32"/>
      <c r="GDO231" s="32"/>
      <c r="GDP231" s="32"/>
      <c r="GDQ231" s="32"/>
      <c r="GDR231" s="31"/>
      <c r="GDS231" s="31"/>
      <c r="GDT231" s="33"/>
      <c r="GDU231" s="33"/>
      <c r="GDV231" s="34"/>
      <c r="GDW231" s="34"/>
      <c r="GDX231" s="35"/>
      <c r="GDY231" s="35"/>
      <c r="GDZ231" s="32"/>
      <c r="GEA231" s="31"/>
      <c r="GEB231" s="31"/>
      <c r="GEC231" s="31"/>
      <c r="GED231" s="32"/>
      <c r="GEE231" s="32"/>
      <c r="GEF231" s="32"/>
      <c r="GEG231" s="32"/>
      <c r="GEH231" s="32"/>
      <c r="GEI231" s="31"/>
      <c r="GEJ231" s="31"/>
      <c r="GEK231" s="33"/>
      <c r="GEL231" s="33"/>
      <c r="GEM231" s="34"/>
      <c r="GEN231" s="34"/>
      <c r="GEO231" s="35"/>
      <c r="GEP231" s="35"/>
      <c r="GEQ231" s="32"/>
      <c r="GER231" s="31"/>
      <c r="GES231" s="31"/>
      <c r="GET231" s="31"/>
      <c r="GEU231" s="32"/>
      <c r="GEV231" s="32"/>
      <c r="GEW231" s="32"/>
      <c r="GEX231" s="32"/>
      <c r="GEY231" s="32"/>
      <c r="GEZ231" s="31"/>
      <c r="GFA231" s="31"/>
      <c r="GFB231" s="33"/>
      <c r="GFC231" s="33"/>
      <c r="GFD231" s="34"/>
      <c r="GFE231" s="34"/>
      <c r="GFF231" s="35"/>
      <c r="GFG231" s="35"/>
      <c r="GFH231" s="32"/>
      <c r="GFI231" s="31"/>
      <c r="GFJ231" s="31"/>
      <c r="GFK231" s="31"/>
      <c r="GFL231" s="32"/>
      <c r="GFM231" s="32"/>
      <c r="GFN231" s="32"/>
      <c r="GFO231" s="32"/>
      <c r="GFP231" s="32"/>
      <c r="GFQ231" s="31"/>
      <c r="GFR231" s="31"/>
      <c r="GFS231" s="33"/>
      <c r="GFT231" s="33"/>
      <c r="GFU231" s="34"/>
      <c r="GFV231" s="34"/>
      <c r="GFW231" s="35"/>
      <c r="GFX231" s="35"/>
      <c r="GFY231" s="32"/>
      <c r="GFZ231" s="31"/>
      <c r="GGA231" s="31"/>
      <c r="GGB231" s="31"/>
      <c r="GGC231" s="32"/>
      <c r="GGD231" s="32"/>
      <c r="GGE231" s="32"/>
      <c r="GGF231" s="32"/>
      <c r="GGG231" s="32"/>
      <c r="GGH231" s="31"/>
      <c r="GGI231" s="31"/>
      <c r="GGJ231" s="33"/>
      <c r="GGK231" s="33"/>
      <c r="GGL231" s="34"/>
      <c r="GGM231" s="34"/>
      <c r="GGN231" s="35"/>
      <c r="GGO231" s="35"/>
      <c r="GGP231" s="32"/>
      <c r="GGQ231" s="31"/>
      <c r="GGR231" s="31"/>
      <c r="GGS231" s="31"/>
      <c r="GGT231" s="32"/>
      <c r="GGU231" s="32"/>
      <c r="GGV231" s="32"/>
      <c r="GGW231" s="32"/>
      <c r="GGX231" s="32"/>
      <c r="GGY231" s="31"/>
      <c r="GGZ231" s="31"/>
      <c r="GHA231" s="33"/>
      <c r="GHB231" s="33"/>
      <c r="GHC231" s="34"/>
      <c r="GHD231" s="34"/>
      <c r="GHE231" s="35"/>
      <c r="GHF231" s="35"/>
      <c r="GHG231" s="32"/>
      <c r="GHH231" s="31"/>
      <c r="GHI231" s="31"/>
      <c r="GHJ231" s="31"/>
      <c r="GHK231" s="32"/>
      <c r="GHL231" s="32"/>
      <c r="GHM231" s="32"/>
      <c r="GHN231" s="32"/>
      <c r="GHO231" s="32"/>
      <c r="GHP231" s="31"/>
      <c r="GHQ231" s="31"/>
      <c r="GHR231" s="33"/>
      <c r="GHS231" s="33"/>
      <c r="GHT231" s="34"/>
      <c r="GHU231" s="34"/>
      <c r="GHV231" s="35"/>
      <c r="GHW231" s="35"/>
      <c r="GHX231" s="32"/>
      <c r="GHY231" s="31"/>
      <c r="GHZ231" s="31"/>
      <c r="GIA231" s="31"/>
      <c r="GIB231" s="32"/>
      <c r="GIC231" s="32"/>
      <c r="GID231" s="32"/>
      <c r="GIE231" s="32"/>
      <c r="GIF231" s="32"/>
      <c r="GIG231" s="31"/>
      <c r="GIH231" s="31"/>
      <c r="GII231" s="33"/>
      <c r="GIJ231" s="33"/>
      <c r="GIK231" s="34"/>
      <c r="GIL231" s="34"/>
      <c r="GIM231" s="35"/>
      <c r="GIN231" s="35"/>
      <c r="GIO231" s="32"/>
      <c r="GIP231" s="31"/>
      <c r="GIQ231" s="31"/>
      <c r="GIR231" s="31"/>
      <c r="GIS231" s="32"/>
      <c r="GIT231" s="32"/>
      <c r="GIU231" s="32"/>
      <c r="GIV231" s="32"/>
      <c r="GIW231" s="32"/>
      <c r="GIX231" s="31"/>
      <c r="GIY231" s="31"/>
      <c r="GIZ231" s="33"/>
      <c r="GJA231" s="33"/>
      <c r="GJB231" s="34"/>
      <c r="GJC231" s="34"/>
      <c r="GJD231" s="35"/>
      <c r="GJE231" s="35"/>
      <c r="GJF231" s="32"/>
      <c r="GJG231" s="31"/>
      <c r="GJH231" s="31"/>
      <c r="GJI231" s="31"/>
      <c r="GJJ231" s="32"/>
      <c r="GJK231" s="32"/>
      <c r="GJL231" s="32"/>
      <c r="GJM231" s="32"/>
      <c r="GJN231" s="32"/>
      <c r="GJO231" s="31"/>
      <c r="GJP231" s="31"/>
      <c r="GJQ231" s="33"/>
      <c r="GJR231" s="33"/>
      <c r="GJS231" s="34"/>
      <c r="GJT231" s="34"/>
      <c r="GJU231" s="35"/>
      <c r="GJV231" s="35"/>
      <c r="GJW231" s="32"/>
      <c r="GJX231" s="31"/>
      <c r="GJY231" s="31"/>
      <c r="GJZ231" s="31"/>
      <c r="GKA231" s="32"/>
      <c r="GKB231" s="32"/>
      <c r="GKC231" s="32"/>
      <c r="GKD231" s="32"/>
      <c r="GKE231" s="32"/>
      <c r="GKF231" s="31"/>
      <c r="GKG231" s="31"/>
      <c r="GKH231" s="33"/>
      <c r="GKI231" s="33"/>
      <c r="GKJ231" s="34"/>
      <c r="GKK231" s="34"/>
      <c r="GKL231" s="35"/>
      <c r="GKM231" s="35"/>
      <c r="GKN231" s="32"/>
      <c r="GKO231" s="31"/>
      <c r="GKP231" s="31"/>
      <c r="GKQ231" s="31"/>
      <c r="GKR231" s="32"/>
      <c r="GKS231" s="32"/>
      <c r="GKT231" s="32"/>
      <c r="GKU231" s="32"/>
      <c r="GKV231" s="32"/>
      <c r="GKW231" s="31"/>
      <c r="GKX231" s="31"/>
      <c r="GKY231" s="33"/>
      <c r="GKZ231" s="33"/>
      <c r="GLA231" s="34"/>
      <c r="GLB231" s="34"/>
      <c r="GLC231" s="35"/>
      <c r="GLD231" s="35"/>
      <c r="GLE231" s="32"/>
      <c r="GLF231" s="31"/>
      <c r="GLG231" s="31"/>
      <c r="GLH231" s="31"/>
      <c r="GLI231" s="32"/>
      <c r="GLJ231" s="32"/>
      <c r="GLK231" s="32"/>
      <c r="GLL231" s="32"/>
      <c r="GLM231" s="32"/>
      <c r="GLN231" s="31"/>
      <c r="GLO231" s="31"/>
      <c r="GLP231" s="33"/>
      <c r="GLQ231" s="33"/>
      <c r="GLR231" s="34"/>
      <c r="GLS231" s="34"/>
      <c r="GLT231" s="35"/>
      <c r="GLU231" s="35"/>
      <c r="GLV231" s="32"/>
      <c r="GLW231" s="31"/>
      <c r="GLX231" s="31"/>
      <c r="GLY231" s="31"/>
      <c r="GLZ231" s="32"/>
      <c r="GMA231" s="32"/>
      <c r="GMB231" s="32"/>
      <c r="GMC231" s="32"/>
      <c r="GMD231" s="32"/>
      <c r="GME231" s="31"/>
      <c r="GMF231" s="31"/>
      <c r="GMG231" s="33"/>
      <c r="GMH231" s="33"/>
      <c r="GMI231" s="34"/>
      <c r="GMJ231" s="34"/>
      <c r="GMK231" s="35"/>
      <c r="GML231" s="35"/>
      <c r="GMM231" s="32"/>
      <c r="GMN231" s="31"/>
      <c r="GMO231" s="31"/>
      <c r="GMP231" s="31"/>
      <c r="GMQ231" s="32"/>
      <c r="GMR231" s="32"/>
      <c r="GMS231" s="32"/>
      <c r="GMT231" s="32"/>
      <c r="GMU231" s="32"/>
      <c r="GMV231" s="31"/>
      <c r="GMW231" s="31"/>
      <c r="GMX231" s="33"/>
      <c r="GMY231" s="33"/>
      <c r="GMZ231" s="34"/>
      <c r="GNA231" s="34"/>
      <c r="GNB231" s="35"/>
      <c r="GNC231" s="35"/>
      <c r="GND231" s="32"/>
      <c r="GNE231" s="31"/>
      <c r="GNF231" s="31"/>
      <c r="GNG231" s="31"/>
      <c r="GNH231" s="32"/>
      <c r="GNI231" s="32"/>
      <c r="GNJ231" s="32"/>
      <c r="GNK231" s="32"/>
      <c r="GNL231" s="32"/>
      <c r="GNM231" s="31"/>
      <c r="GNN231" s="31"/>
      <c r="GNO231" s="33"/>
      <c r="GNP231" s="33"/>
      <c r="GNQ231" s="34"/>
      <c r="GNR231" s="34"/>
      <c r="GNS231" s="35"/>
      <c r="GNT231" s="35"/>
      <c r="GNU231" s="32"/>
      <c r="GNV231" s="31"/>
      <c r="GNW231" s="31"/>
      <c r="GNX231" s="31"/>
      <c r="GNY231" s="32"/>
      <c r="GNZ231" s="32"/>
      <c r="GOA231" s="32"/>
      <c r="GOB231" s="32"/>
      <c r="GOC231" s="32"/>
      <c r="GOD231" s="31"/>
      <c r="GOE231" s="31"/>
      <c r="GOF231" s="33"/>
      <c r="GOG231" s="33"/>
      <c r="GOH231" s="34"/>
      <c r="GOI231" s="34"/>
      <c r="GOJ231" s="35"/>
      <c r="GOK231" s="35"/>
      <c r="GOL231" s="32"/>
      <c r="GOM231" s="31"/>
      <c r="GON231" s="31"/>
      <c r="GOO231" s="31"/>
      <c r="GOP231" s="32"/>
      <c r="GOQ231" s="32"/>
      <c r="GOR231" s="32"/>
      <c r="GOS231" s="32"/>
      <c r="GOT231" s="32"/>
      <c r="GOU231" s="31"/>
      <c r="GOV231" s="31"/>
      <c r="GOW231" s="33"/>
      <c r="GOX231" s="33"/>
      <c r="GOY231" s="34"/>
      <c r="GOZ231" s="34"/>
      <c r="GPA231" s="35"/>
      <c r="GPB231" s="35"/>
      <c r="GPC231" s="32"/>
      <c r="GPD231" s="31"/>
      <c r="GPE231" s="31"/>
      <c r="GPF231" s="31"/>
      <c r="GPG231" s="32"/>
      <c r="GPH231" s="32"/>
      <c r="GPI231" s="32"/>
      <c r="GPJ231" s="32"/>
      <c r="GPK231" s="32"/>
      <c r="GPL231" s="31"/>
      <c r="GPM231" s="31"/>
      <c r="GPN231" s="33"/>
      <c r="GPO231" s="33"/>
      <c r="GPP231" s="34"/>
      <c r="GPQ231" s="34"/>
      <c r="GPR231" s="35"/>
      <c r="GPS231" s="35"/>
      <c r="GPT231" s="32"/>
      <c r="GPU231" s="31"/>
      <c r="GPV231" s="31"/>
      <c r="GPW231" s="31"/>
      <c r="GPX231" s="32"/>
      <c r="GPY231" s="32"/>
      <c r="GPZ231" s="32"/>
      <c r="GQA231" s="32"/>
      <c r="GQB231" s="32"/>
      <c r="GQC231" s="31"/>
      <c r="GQD231" s="31"/>
      <c r="GQE231" s="33"/>
      <c r="GQF231" s="33"/>
      <c r="GQG231" s="34"/>
      <c r="GQH231" s="34"/>
      <c r="GQI231" s="35"/>
      <c r="GQJ231" s="35"/>
      <c r="GQK231" s="32"/>
      <c r="GQL231" s="31"/>
      <c r="GQM231" s="31"/>
      <c r="GQN231" s="31"/>
      <c r="GQO231" s="32"/>
      <c r="GQP231" s="32"/>
      <c r="GQQ231" s="32"/>
      <c r="GQR231" s="32"/>
      <c r="GQS231" s="32"/>
      <c r="GQT231" s="31"/>
      <c r="GQU231" s="31"/>
      <c r="GQV231" s="33"/>
      <c r="GQW231" s="33"/>
      <c r="GQX231" s="34"/>
      <c r="GQY231" s="34"/>
      <c r="GQZ231" s="35"/>
      <c r="GRA231" s="35"/>
      <c r="GRB231" s="32"/>
      <c r="GRC231" s="31"/>
      <c r="GRD231" s="31"/>
      <c r="GRE231" s="31"/>
      <c r="GRF231" s="32"/>
      <c r="GRG231" s="32"/>
      <c r="GRH231" s="32"/>
      <c r="GRI231" s="32"/>
      <c r="GRJ231" s="32"/>
      <c r="GRK231" s="31"/>
      <c r="GRL231" s="31"/>
      <c r="GRM231" s="33"/>
      <c r="GRN231" s="33"/>
      <c r="GRO231" s="34"/>
      <c r="GRP231" s="34"/>
      <c r="GRQ231" s="35"/>
      <c r="GRR231" s="35"/>
      <c r="GRS231" s="32"/>
      <c r="GRT231" s="31"/>
      <c r="GRU231" s="31"/>
      <c r="GRV231" s="31"/>
      <c r="GRW231" s="32"/>
      <c r="GRX231" s="32"/>
      <c r="GRY231" s="32"/>
      <c r="GRZ231" s="32"/>
      <c r="GSA231" s="32"/>
      <c r="GSB231" s="31"/>
      <c r="GSC231" s="31"/>
      <c r="GSD231" s="33"/>
      <c r="GSE231" s="33"/>
      <c r="GSF231" s="34"/>
      <c r="GSG231" s="34"/>
      <c r="GSH231" s="35"/>
      <c r="GSI231" s="35"/>
      <c r="GSJ231" s="32"/>
      <c r="GSK231" s="31"/>
      <c r="GSL231" s="31"/>
      <c r="GSM231" s="31"/>
      <c r="GSN231" s="32"/>
      <c r="GSO231" s="32"/>
      <c r="GSP231" s="32"/>
      <c r="GSQ231" s="32"/>
      <c r="GSR231" s="32"/>
      <c r="GSS231" s="31"/>
      <c r="GST231" s="31"/>
      <c r="GSU231" s="33"/>
      <c r="GSV231" s="33"/>
      <c r="GSW231" s="34"/>
      <c r="GSX231" s="34"/>
      <c r="GSY231" s="35"/>
      <c r="GSZ231" s="35"/>
      <c r="GTA231" s="32"/>
      <c r="GTB231" s="31"/>
      <c r="GTC231" s="31"/>
      <c r="GTD231" s="31"/>
      <c r="GTE231" s="32"/>
      <c r="GTF231" s="32"/>
      <c r="GTG231" s="32"/>
      <c r="GTH231" s="32"/>
      <c r="GTI231" s="32"/>
      <c r="GTJ231" s="31"/>
      <c r="GTK231" s="31"/>
      <c r="GTL231" s="33"/>
      <c r="GTM231" s="33"/>
      <c r="GTN231" s="34"/>
      <c r="GTO231" s="34"/>
      <c r="GTP231" s="35"/>
      <c r="GTQ231" s="35"/>
      <c r="GTR231" s="32"/>
      <c r="GTS231" s="31"/>
      <c r="GTT231" s="31"/>
      <c r="GTU231" s="31"/>
      <c r="GTV231" s="32"/>
      <c r="GTW231" s="32"/>
      <c r="GTX231" s="32"/>
      <c r="GTY231" s="32"/>
      <c r="GTZ231" s="32"/>
      <c r="GUA231" s="31"/>
      <c r="GUB231" s="31"/>
      <c r="GUC231" s="33"/>
      <c r="GUD231" s="33"/>
      <c r="GUE231" s="34"/>
      <c r="GUF231" s="34"/>
      <c r="GUG231" s="35"/>
      <c r="GUH231" s="35"/>
      <c r="GUI231" s="32"/>
      <c r="GUJ231" s="31"/>
      <c r="GUK231" s="31"/>
      <c r="GUL231" s="31"/>
      <c r="GUM231" s="32"/>
      <c r="GUN231" s="32"/>
      <c r="GUO231" s="32"/>
      <c r="GUP231" s="32"/>
      <c r="GUQ231" s="32"/>
      <c r="GUR231" s="31"/>
      <c r="GUS231" s="31"/>
      <c r="GUT231" s="33"/>
      <c r="GUU231" s="33"/>
      <c r="GUV231" s="34"/>
      <c r="GUW231" s="34"/>
      <c r="GUX231" s="35"/>
      <c r="GUY231" s="35"/>
      <c r="GUZ231" s="32"/>
      <c r="GVA231" s="31"/>
      <c r="GVB231" s="31"/>
      <c r="GVC231" s="31"/>
      <c r="GVD231" s="32"/>
      <c r="GVE231" s="32"/>
      <c r="GVF231" s="32"/>
      <c r="GVG231" s="32"/>
      <c r="GVH231" s="32"/>
      <c r="GVI231" s="31"/>
      <c r="GVJ231" s="31"/>
      <c r="GVK231" s="33"/>
      <c r="GVL231" s="33"/>
      <c r="GVM231" s="34"/>
      <c r="GVN231" s="34"/>
      <c r="GVO231" s="35"/>
      <c r="GVP231" s="35"/>
      <c r="GVQ231" s="32"/>
      <c r="GVR231" s="31"/>
      <c r="GVS231" s="31"/>
      <c r="GVT231" s="31"/>
      <c r="GVU231" s="32"/>
      <c r="GVV231" s="32"/>
      <c r="GVW231" s="32"/>
      <c r="GVX231" s="32"/>
      <c r="GVY231" s="32"/>
      <c r="GVZ231" s="31"/>
      <c r="GWA231" s="31"/>
      <c r="GWB231" s="33"/>
      <c r="GWC231" s="33"/>
      <c r="GWD231" s="34"/>
      <c r="GWE231" s="34"/>
      <c r="GWF231" s="35"/>
      <c r="GWG231" s="35"/>
      <c r="GWH231" s="32"/>
      <c r="GWI231" s="31"/>
      <c r="GWJ231" s="31"/>
      <c r="GWK231" s="31"/>
      <c r="GWL231" s="32"/>
      <c r="GWM231" s="32"/>
      <c r="GWN231" s="32"/>
      <c r="GWO231" s="32"/>
      <c r="GWP231" s="32"/>
      <c r="GWQ231" s="31"/>
      <c r="GWR231" s="31"/>
      <c r="GWS231" s="33"/>
      <c r="GWT231" s="33"/>
      <c r="GWU231" s="34"/>
      <c r="GWV231" s="34"/>
      <c r="GWW231" s="35"/>
      <c r="GWX231" s="35"/>
      <c r="GWY231" s="32"/>
      <c r="GWZ231" s="31"/>
      <c r="GXA231" s="31"/>
      <c r="GXB231" s="31"/>
      <c r="GXC231" s="32"/>
      <c r="GXD231" s="32"/>
      <c r="GXE231" s="32"/>
      <c r="GXF231" s="32"/>
      <c r="GXG231" s="32"/>
      <c r="GXH231" s="31"/>
      <c r="GXI231" s="31"/>
      <c r="GXJ231" s="33"/>
      <c r="GXK231" s="33"/>
      <c r="GXL231" s="34"/>
      <c r="GXM231" s="34"/>
      <c r="GXN231" s="35"/>
      <c r="GXO231" s="35"/>
      <c r="GXP231" s="32"/>
      <c r="GXQ231" s="31"/>
      <c r="GXR231" s="31"/>
      <c r="GXS231" s="31"/>
      <c r="GXT231" s="32"/>
      <c r="GXU231" s="32"/>
      <c r="GXV231" s="32"/>
      <c r="GXW231" s="32"/>
      <c r="GXX231" s="32"/>
      <c r="GXY231" s="31"/>
      <c r="GXZ231" s="31"/>
      <c r="GYA231" s="33"/>
      <c r="GYB231" s="33"/>
      <c r="GYC231" s="34"/>
      <c r="GYD231" s="34"/>
      <c r="GYE231" s="35"/>
      <c r="GYF231" s="35"/>
      <c r="GYG231" s="32"/>
      <c r="GYH231" s="31"/>
      <c r="GYI231" s="31"/>
      <c r="GYJ231" s="31"/>
      <c r="GYK231" s="32"/>
      <c r="GYL231" s="32"/>
      <c r="GYM231" s="32"/>
      <c r="GYN231" s="32"/>
      <c r="GYO231" s="32"/>
      <c r="GYP231" s="31"/>
      <c r="GYQ231" s="31"/>
      <c r="GYR231" s="33"/>
      <c r="GYS231" s="33"/>
      <c r="GYT231" s="34"/>
      <c r="GYU231" s="34"/>
      <c r="GYV231" s="35"/>
      <c r="GYW231" s="35"/>
      <c r="GYX231" s="32"/>
      <c r="GYY231" s="31"/>
      <c r="GYZ231" s="31"/>
      <c r="GZA231" s="31"/>
      <c r="GZB231" s="32"/>
      <c r="GZC231" s="32"/>
      <c r="GZD231" s="32"/>
      <c r="GZE231" s="32"/>
      <c r="GZF231" s="32"/>
      <c r="GZG231" s="31"/>
      <c r="GZH231" s="31"/>
      <c r="GZI231" s="33"/>
      <c r="GZJ231" s="33"/>
      <c r="GZK231" s="34"/>
      <c r="GZL231" s="34"/>
      <c r="GZM231" s="35"/>
      <c r="GZN231" s="35"/>
      <c r="GZO231" s="32"/>
      <c r="GZP231" s="31"/>
      <c r="GZQ231" s="31"/>
      <c r="GZR231" s="31"/>
      <c r="GZS231" s="32"/>
      <c r="GZT231" s="32"/>
      <c r="GZU231" s="32"/>
      <c r="GZV231" s="32"/>
      <c r="GZW231" s="32"/>
      <c r="GZX231" s="31"/>
      <c r="GZY231" s="31"/>
      <c r="GZZ231" s="33"/>
      <c r="HAA231" s="33"/>
      <c r="HAB231" s="34"/>
      <c r="HAC231" s="34"/>
      <c r="HAD231" s="35"/>
      <c r="HAE231" s="35"/>
      <c r="HAF231" s="32"/>
      <c r="HAG231" s="31"/>
      <c r="HAH231" s="31"/>
      <c r="HAI231" s="31"/>
      <c r="HAJ231" s="32"/>
      <c r="HAK231" s="32"/>
      <c r="HAL231" s="32"/>
      <c r="HAM231" s="32"/>
      <c r="HAN231" s="32"/>
      <c r="HAO231" s="31"/>
      <c r="HAP231" s="31"/>
      <c r="HAQ231" s="33"/>
      <c r="HAR231" s="33"/>
      <c r="HAS231" s="34"/>
      <c r="HAT231" s="34"/>
      <c r="HAU231" s="35"/>
      <c r="HAV231" s="35"/>
      <c r="HAW231" s="32"/>
      <c r="HAX231" s="31"/>
      <c r="HAY231" s="31"/>
      <c r="HAZ231" s="31"/>
      <c r="HBA231" s="32"/>
      <c r="HBB231" s="32"/>
      <c r="HBC231" s="32"/>
      <c r="HBD231" s="32"/>
      <c r="HBE231" s="32"/>
      <c r="HBF231" s="31"/>
      <c r="HBG231" s="31"/>
      <c r="HBH231" s="33"/>
      <c r="HBI231" s="33"/>
      <c r="HBJ231" s="34"/>
      <c r="HBK231" s="34"/>
      <c r="HBL231" s="35"/>
      <c r="HBM231" s="35"/>
      <c r="HBN231" s="32"/>
      <c r="HBO231" s="31"/>
      <c r="HBP231" s="31"/>
      <c r="HBQ231" s="31"/>
      <c r="HBR231" s="32"/>
      <c r="HBS231" s="32"/>
      <c r="HBT231" s="32"/>
      <c r="HBU231" s="32"/>
      <c r="HBV231" s="32"/>
      <c r="HBW231" s="31"/>
      <c r="HBX231" s="31"/>
      <c r="HBY231" s="33"/>
      <c r="HBZ231" s="33"/>
      <c r="HCA231" s="34"/>
      <c r="HCB231" s="34"/>
      <c r="HCC231" s="35"/>
      <c r="HCD231" s="35"/>
      <c r="HCE231" s="32"/>
      <c r="HCF231" s="31"/>
      <c r="HCG231" s="31"/>
      <c r="HCH231" s="31"/>
      <c r="HCI231" s="32"/>
      <c r="HCJ231" s="32"/>
      <c r="HCK231" s="32"/>
      <c r="HCL231" s="32"/>
      <c r="HCM231" s="32"/>
      <c r="HCN231" s="31"/>
      <c r="HCO231" s="31"/>
      <c r="HCP231" s="33"/>
      <c r="HCQ231" s="33"/>
      <c r="HCR231" s="34"/>
      <c r="HCS231" s="34"/>
      <c r="HCT231" s="35"/>
      <c r="HCU231" s="35"/>
      <c r="HCV231" s="32"/>
      <c r="HCW231" s="31"/>
      <c r="HCX231" s="31"/>
      <c r="HCY231" s="31"/>
      <c r="HCZ231" s="32"/>
      <c r="HDA231" s="32"/>
      <c r="HDB231" s="32"/>
      <c r="HDC231" s="32"/>
      <c r="HDD231" s="32"/>
      <c r="HDE231" s="31"/>
      <c r="HDF231" s="31"/>
      <c r="HDG231" s="33"/>
      <c r="HDH231" s="33"/>
      <c r="HDI231" s="34"/>
      <c r="HDJ231" s="34"/>
      <c r="HDK231" s="35"/>
      <c r="HDL231" s="35"/>
      <c r="HDM231" s="32"/>
      <c r="HDN231" s="31"/>
      <c r="HDO231" s="31"/>
      <c r="HDP231" s="31"/>
      <c r="HDQ231" s="32"/>
      <c r="HDR231" s="32"/>
      <c r="HDS231" s="32"/>
      <c r="HDT231" s="32"/>
      <c r="HDU231" s="32"/>
      <c r="HDV231" s="31"/>
      <c r="HDW231" s="31"/>
      <c r="HDX231" s="33"/>
      <c r="HDY231" s="33"/>
      <c r="HDZ231" s="34"/>
      <c r="HEA231" s="34"/>
      <c r="HEB231" s="35"/>
      <c r="HEC231" s="35"/>
      <c r="HED231" s="32"/>
      <c r="HEE231" s="31"/>
      <c r="HEF231" s="31"/>
      <c r="HEG231" s="31"/>
      <c r="HEH231" s="32"/>
      <c r="HEI231" s="32"/>
      <c r="HEJ231" s="32"/>
      <c r="HEK231" s="32"/>
      <c r="HEL231" s="32"/>
      <c r="HEM231" s="31"/>
      <c r="HEN231" s="31"/>
      <c r="HEO231" s="33"/>
      <c r="HEP231" s="33"/>
      <c r="HEQ231" s="34"/>
      <c r="HER231" s="34"/>
      <c r="HES231" s="35"/>
      <c r="HET231" s="35"/>
      <c r="HEU231" s="32"/>
      <c r="HEV231" s="31"/>
      <c r="HEW231" s="31"/>
      <c r="HEX231" s="31"/>
      <c r="HEY231" s="32"/>
      <c r="HEZ231" s="32"/>
      <c r="HFA231" s="32"/>
      <c r="HFB231" s="32"/>
      <c r="HFC231" s="32"/>
      <c r="HFD231" s="31"/>
      <c r="HFE231" s="31"/>
      <c r="HFF231" s="33"/>
      <c r="HFG231" s="33"/>
      <c r="HFH231" s="34"/>
      <c r="HFI231" s="34"/>
      <c r="HFJ231" s="35"/>
      <c r="HFK231" s="35"/>
      <c r="HFL231" s="32"/>
      <c r="HFM231" s="31"/>
      <c r="HFN231" s="31"/>
      <c r="HFO231" s="31"/>
      <c r="HFP231" s="32"/>
      <c r="HFQ231" s="32"/>
      <c r="HFR231" s="32"/>
      <c r="HFS231" s="32"/>
      <c r="HFT231" s="32"/>
      <c r="HFU231" s="31"/>
      <c r="HFV231" s="31"/>
      <c r="HFW231" s="33"/>
      <c r="HFX231" s="33"/>
      <c r="HFY231" s="34"/>
      <c r="HFZ231" s="34"/>
      <c r="HGA231" s="35"/>
      <c r="HGB231" s="35"/>
      <c r="HGC231" s="32"/>
      <c r="HGD231" s="31"/>
      <c r="HGE231" s="31"/>
      <c r="HGF231" s="31"/>
      <c r="HGG231" s="32"/>
      <c r="HGH231" s="32"/>
      <c r="HGI231" s="32"/>
      <c r="HGJ231" s="32"/>
      <c r="HGK231" s="32"/>
      <c r="HGL231" s="31"/>
      <c r="HGM231" s="31"/>
      <c r="HGN231" s="33"/>
      <c r="HGO231" s="33"/>
      <c r="HGP231" s="34"/>
      <c r="HGQ231" s="34"/>
      <c r="HGR231" s="35"/>
      <c r="HGS231" s="35"/>
      <c r="HGT231" s="32"/>
      <c r="HGU231" s="31"/>
      <c r="HGV231" s="31"/>
      <c r="HGW231" s="31"/>
      <c r="HGX231" s="32"/>
      <c r="HGY231" s="32"/>
      <c r="HGZ231" s="32"/>
      <c r="HHA231" s="32"/>
      <c r="HHB231" s="32"/>
      <c r="HHC231" s="31"/>
      <c r="HHD231" s="31"/>
      <c r="HHE231" s="33"/>
      <c r="HHF231" s="33"/>
      <c r="HHG231" s="34"/>
      <c r="HHH231" s="34"/>
      <c r="HHI231" s="35"/>
      <c r="HHJ231" s="35"/>
      <c r="HHK231" s="32"/>
      <c r="HHL231" s="31"/>
      <c r="HHM231" s="31"/>
      <c r="HHN231" s="31"/>
      <c r="HHO231" s="32"/>
      <c r="HHP231" s="32"/>
      <c r="HHQ231" s="32"/>
      <c r="HHR231" s="32"/>
      <c r="HHS231" s="32"/>
      <c r="HHT231" s="31"/>
      <c r="HHU231" s="31"/>
      <c r="HHV231" s="33"/>
      <c r="HHW231" s="33"/>
      <c r="HHX231" s="34"/>
      <c r="HHY231" s="34"/>
      <c r="HHZ231" s="35"/>
      <c r="HIA231" s="35"/>
      <c r="HIB231" s="32"/>
      <c r="HIC231" s="31"/>
      <c r="HID231" s="31"/>
      <c r="HIE231" s="31"/>
      <c r="HIF231" s="32"/>
      <c r="HIG231" s="32"/>
      <c r="HIH231" s="32"/>
      <c r="HII231" s="32"/>
      <c r="HIJ231" s="32"/>
      <c r="HIK231" s="31"/>
      <c r="HIL231" s="31"/>
      <c r="HIM231" s="33"/>
      <c r="HIN231" s="33"/>
      <c r="HIO231" s="34"/>
      <c r="HIP231" s="34"/>
      <c r="HIQ231" s="35"/>
      <c r="HIR231" s="35"/>
      <c r="HIS231" s="32"/>
      <c r="HIT231" s="31"/>
      <c r="HIU231" s="31"/>
      <c r="HIV231" s="31"/>
      <c r="HIW231" s="32"/>
      <c r="HIX231" s="32"/>
      <c r="HIY231" s="32"/>
      <c r="HIZ231" s="32"/>
      <c r="HJA231" s="32"/>
      <c r="HJB231" s="31"/>
      <c r="HJC231" s="31"/>
      <c r="HJD231" s="33"/>
      <c r="HJE231" s="33"/>
      <c r="HJF231" s="34"/>
      <c r="HJG231" s="34"/>
      <c r="HJH231" s="35"/>
      <c r="HJI231" s="35"/>
      <c r="HJJ231" s="32"/>
      <c r="HJK231" s="31"/>
      <c r="HJL231" s="31"/>
      <c r="HJM231" s="31"/>
      <c r="HJN231" s="32"/>
      <c r="HJO231" s="32"/>
      <c r="HJP231" s="32"/>
      <c r="HJQ231" s="32"/>
      <c r="HJR231" s="32"/>
      <c r="HJS231" s="31"/>
      <c r="HJT231" s="31"/>
      <c r="HJU231" s="33"/>
      <c r="HJV231" s="33"/>
      <c r="HJW231" s="34"/>
      <c r="HJX231" s="34"/>
      <c r="HJY231" s="35"/>
      <c r="HJZ231" s="35"/>
      <c r="HKA231" s="32"/>
      <c r="HKB231" s="31"/>
      <c r="HKC231" s="31"/>
      <c r="HKD231" s="31"/>
      <c r="HKE231" s="32"/>
      <c r="HKF231" s="32"/>
      <c r="HKG231" s="32"/>
      <c r="HKH231" s="32"/>
      <c r="HKI231" s="32"/>
      <c r="HKJ231" s="31"/>
      <c r="HKK231" s="31"/>
      <c r="HKL231" s="33"/>
      <c r="HKM231" s="33"/>
      <c r="HKN231" s="34"/>
      <c r="HKO231" s="34"/>
      <c r="HKP231" s="35"/>
      <c r="HKQ231" s="35"/>
      <c r="HKR231" s="32"/>
      <c r="HKS231" s="31"/>
      <c r="HKT231" s="31"/>
      <c r="HKU231" s="31"/>
      <c r="HKV231" s="32"/>
      <c r="HKW231" s="32"/>
      <c r="HKX231" s="32"/>
      <c r="HKY231" s="32"/>
      <c r="HKZ231" s="32"/>
      <c r="HLA231" s="31"/>
      <c r="HLB231" s="31"/>
      <c r="HLC231" s="33"/>
      <c r="HLD231" s="33"/>
      <c r="HLE231" s="34"/>
      <c r="HLF231" s="34"/>
      <c r="HLG231" s="35"/>
      <c r="HLH231" s="35"/>
      <c r="HLI231" s="32"/>
      <c r="HLJ231" s="31"/>
      <c r="HLK231" s="31"/>
      <c r="HLL231" s="31"/>
      <c r="HLM231" s="32"/>
      <c r="HLN231" s="32"/>
      <c r="HLO231" s="32"/>
      <c r="HLP231" s="32"/>
      <c r="HLQ231" s="32"/>
      <c r="HLR231" s="31"/>
      <c r="HLS231" s="31"/>
      <c r="HLT231" s="33"/>
      <c r="HLU231" s="33"/>
      <c r="HLV231" s="34"/>
      <c r="HLW231" s="34"/>
      <c r="HLX231" s="35"/>
      <c r="HLY231" s="35"/>
      <c r="HLZ231" s="32"/>
      <c r="HMA231" s="31"/>
      <c r="HMB231" s="31"/>
      <c r="HMC231" s="31"/>
      <c r="HMD231" s="32"/>
      <c r="HME231" s="32"/>
      <c r="HMF231" s="32"/>
      <c r="HMG231" s="32"/>
      <c r="HMH231" s="32"/>
      <c r="HMI231" s="31"/>
      <c r="HMJ231" s="31"/>
      <c r="HMK231" s="33"/>
      <c r="HML231" s="33"/>
      <c r="HMM231" s="34"/>
      <c r="HMN231" s="34"/>
      <c r="HMO231" s="35"/>
      <c r="HMP231" s="35"/>
      <c r="HMQ231" s="32"/>
      <c r="HMR231" s="31"/>
      <c r="HMS231" s="31"/>
      <c r="HMT231" s="31"/>
      <c r="HMU231" s="32"/>
      <c r="HMV231" s="32"/>
      <c r="HMW231" s="32"/>
      <c r="HMX231" s="32"/>
      <c r="HMY231" s="32"/>
      <c r="HMZ231" s="31"/>
      <c r="HNA231" s="31"/>
      <c r="HNB231" s="33"/>
      <c r="HNC231" s="33"/>
      <c r="HND231" s="34"/>
      <c r="HNE231" s="34"/>
      <c r="HNF231" s="35"/>
      <c r="HNG231" s="35"/>
      <c r="HNH231" s="32"/>
      <c r="HNI231" s="31"/>
      <c r="HNJ231" s="31"/>
      <c r="HNK231" s="31"/>
      <c r="HNL231" s="32"/>
      <c r="HNM231" s="32"/>
      <c r="HNN231" s="32"/>
      <c r="HNO231" s="32"/>
      <c r="HNP231" s="32"/>
      <c r="HNQ231" s="31"/>
      <c r="HNR231" s="31"/>
      <c r="HNS231" s="33"/>
      <c r="HNT231" s="33"/>
      <c r="HNU231" s="34"/>
      <c r="HNV231" s="34"/>
      <c r="HNW231" s="35"/>
      <c r="HNX231" s="35"/>
      <c r="HNY231" s="32"/>
      <c r="HNZ231" s="31"/>
      <c r="HOA231" s="31"/>
      <c r="HOB231" s="31"/>
      <c r="HOC231" s="32"/>
      <c r="HOD231" s="32"/>
      <c r="HOE231" s="32"/>
      <c r="HOF231" s="32"/>
      <c r="HOG231" s="32"/>
      <c r="HOH231" s="31"/>
      <c r="HOI231" s="31"/>
      <c r="HOJ231" s="33"/>
      <c r="HOK231" s="33"/>
      <c r="HOL231" s="34"/>
      <c r="HOM231" s="34"/>
      <c r="HON231" s="35"/>
      <c r="HOO231" s="35"/>
      <c r="HOP231" s="32"/>
      <c r="HOQ231" s="31"/>
      <c r="HOR231" s="31"/>
      <c r="HOS231" s="31"/>
      <c r="HOT231" s="32"/>
      <c r="HOU231" s="32"/>
      <c r="HOV231" s="32"/>
      <c r="HOW231" s="32"/>
      <c r="HOX231" s="32"/>
      <c r="HOY231" s="31"/>
      <c r="HOZ231" s="31"/>
      <c r="HPA231" s="33"/>
      <c r="HPB231" s="33"/>
      <c r="HPC231" s="34"/>
      <c r="HPD231" s="34"/>
      <c r="HPE231" s="35"/>
      <c r="HPF231" s="35"/>
      <c r="HPG231" s="32"/>
      <c r="HPH231" s="31"/>
      <c r="HPI231" s="31"/>
      <c r="HPJ231" s="31"/>
      <c r="HPK231" s="32"/>
      <c r="HPL231" s="32"/>
      <c r="HPM231" s="32"/>
      <c r="HPN231" s="32"/>
      <c r="HPO231" s="32"/>
      <c r="HPP231" s="31"/>
      <c r="HPQ231" s="31"/>
      <c r="HPR231" s="33"/>
      <c r="HPS231" s="33"/>
      <c r="HPT231" s="34"/>
      <c r="HPU231" s="34"/>
      <c r="HPV231" s="35"/>
      <c r="HPW231" s="35"/>
      <c r="HPX231" s="32"/>
      <c r="HPY231" s="31"/>
      <c r="HPZ231" s="31"/>
      <c r="HQA231" s="31"/>
      <c r="HQB231" s="32"/>
      <c r="HQC231" s="32"/>
      <c r="HQD231" s="32"/>
      <c r="HQE231" s="32"/>
      <c r="HQF231" s="32"/>
      <c r="HQG231" s="31"/>
      <c r="HQH231" s="31"/>
      <c r="HQI231" s="33"/>
      <c r="HQJ231" s="33"/>
      <c r="HQK231" s="34"/>
      <c r="HQL231" s="34"/>
      <c r="HQM231" s="35"/>
      <c r="HQN231" s="35"/>
      <c r="HQO231" s="32"/>
      <c r="HQP231" s="31"/>
      <c r="HQQ231" s="31"/>
      <c r="HQR231" s="31"/>
      <c r="HQS231" s="32"/>
      <c r="HQT231" s="32"/>
      <c r="HQU231" s="32"/>
      <c r="HQV231" s="32"/>
      <c r="HQW231" s="32"/>
      <c r="HQX231" s="31"/>
      <c r="HQY231" s="31"/>
      <c r="HQZ231" s="33"/>
      <c r="HRA231" s="33"/>
      <c r="HRB231" s="34"/>
      <c r="HRC231" s="34"/>
      <c r="HRD231" s="35"/>
      <c r="HRE231" s="35"/>
      <c r="HRF231" s="32"/>
      <c r="HRG231" s="31"/>
      <c r="HRH231" s="31"/>
      <c r="HRI231" s="31"/>
      <c r="HRJ231" s="32"/>
      <c r="HRK231" s="32"/>
      <c r="HRL231" s="32"/>
      <c r="HRM231" s="32"/>
      <c r="HRN231" s="32"/>
      <c r="HRO231" s="31"/>
      <c r="HRP231" s="31"/>
      <c r="HRQ231" s="33"/>
      <c r="HRR231" s="33"/>
      <c r="HRS231" s="34"/>
      <c r="HRT231" s="34"/>
      <c r="HRU231" s="35"/>
      <c r="HRV231" s="35"/>
      <c r="HRW231" s="32"/>
      <c r="HRX231" s="31"/>
      <c r="HRY231" s="31"/>
      <c r="HRZ231" s="31"/>
      <c r="HSA231" s="32"/>
      <c r="HSB231" s="32"/>
      <c r="HSC231" s="32"/>
      <c r="HSD231" s="32"/>
      <c r="HSE231" s="32"/>
      <c r="HSF231" s="31"/>
      <c r="HSG231" s="31"/>
      <c r="HSH231" s="33"/>
      <c r="HSI231" s="33"/>
      <c r="HSJ231" s="34"/>
      <c r="HSK231" s="34"/>
      <c r="HSL231" s="35"/>
      <c r="HSM231" s="35"/>
      <c r="HSN231" s="32"/>
      <c r="HSO231" s="31"/>
      <c r="HSP231" s="31"/>
      <c r="HSQ231" s="31"/>
      <c r="HSR231" s="32"/>
      <c r="HSS231" s="32"/>
      <c r="HST231" s="32"/>
      <c r="HSU231" s="32"/>
      <c r="HSV231" s="32"/>
      <c r="HSW231" s="31"/>
      <c r="HSX231" s="31"/>
      <c r="HSY231" s="33"/>
      <c r="HSZ231" s="33"/>
      <c r="HTA231" s="34"/>
      <c r="HTB231" s="34"/>
      <c r="HTC231" s="35"/>
      <c r="HTD231" s="35"/>
      <c r="HTE231" s="32"/>
      <c r="HTF231" s="31"/>
      <c r="HTG231" s="31"/>
      <c r="HTH231" s="31"/>
      <c r="HTI231" s="32"/>
      <c r="HTJ231" s="32"/>
      <c r="HTK231" s="32"/>
      <c r="HTL231" s="32"/>
      <c r="HTM231" s="32"/>
      <c r="HTN231" s="31"/>
      <c r="HTO231" s="31"/>
      <c r="HTP231" s="33"/>
      <c r="HTQ231" s="33"/>
      <c r="HTR231" s="34"/>
      <c r="HTS231" s="34"/>
      <c r="HTT231" s="35"/>
      <c r="HTU231" s="35"/>
      <c r="HTV231" s="32"/>
      <c r="HTW231" s="31"/>
      <c r="HTX231" s="31"/>
      <c r="HTY231" s="31"/>
      <c r="HTZ231" s="32"/>
      <c r="HUA231" s="32"/>
      <c r="HUB231" s="32"/>
      <c r="HUC231" s="32"/>
      <c r="HUD231" s="32"/>
      <c r="HUE231" s="31"/>
      <c r="HUF231" s="31"/>
      <c r="HUG231" s="33"/>
      <c r="HUH231" s="33"/>
      <c r="HUI231" s="34"/>
      <c r="HUJ231" s="34"/>
      <c r="HUK231" s="35"/>
      <c r="HUL231" s="35"/>
      <c r="HUM231" s="32"/>
      <c r="HUN231" s="31"/>
      <c r="HUO231" s="31"/>
      <c r="HUP231" s="31"/>
      <c r="HUQ231" s="32"/>
      <c r="HUR231" s="32"/>
      <c r="HUS231" s="32"/>
      <c r="HUT231" s="32"/>
      <c r="HUU231" s="32"/>
      <c r="HUV231" s="31"/>
      <c r="HUW231" s="31"/>
      <c r="HUX231" s="33"/>
      <c r="HUY231" s="33"/>
      <c r="HUZ231" s="34"/>
      <c r="HVA231" s="34"/>
      <c r="HVB231" s="35"/>
      <c r="HVC231" s="35"/>
      <c r="HVD231" s="32"/>
      <c r="HVE231" s="31"/>
      <c r="HVF231" s="31"/>
      <c r="HVG231" s="31"/>
      <c r="HVH231" s="32"/>
      <c r="HVI231" s="32"/>
      <c r="HVJ231" s="32"/>
      <c r="HVK231" s="32"/>
      <c r="HVL231" s="32"/>
      <c r="HVM231" s="31"/>
      <c r="HVN231" s="31"/>
      <c r="HVO231" s="33"/>
      <c r="HVP231" s="33"/>
      <c r="HVQ231" s="34"/>
      <c r="HVR231" s="34"/>
      <c r="HVS231" s="35"/>
      <c r="HVT231" s="35"/>
      <c r="HVU231" s="32"/>
      <c r="HVV231" s="31"/>
      <c r="HVW231" s="31"/>
      <c r="HVX231" s="31"/>
      <c r="HVY231" s="32"/>
      <c r="HVZ231" s="32"/>
      <c r="HWA231" s="32"/>
      <c r="HWB231" s="32"/>
      <c r="HWC231" s="32"/>
      <c r="HWD231" s="31"/>
      <c r="HWE231" s="31"/>
      <c r="HWF231" s="33"/>
      <c r="HWG231" s="33"/>
      <c r="HWH231" s="34"/>
      <c r="HWI231" s="34"/>
      <c r="HWJ231" s="35"/>
      <c r="HWK231" s="35"/>
      <c r="HWL231" s="32"/>
      <c r="HWM231" s="31"/>
      <c r="HWN231" s="31"/>
      <c r="HWO231" s="31"/>
      <c r="HWP231" s="32"/>
      <c r="HWQ231" s="32"/>
      <c r="HWR231" s="32"/>
      <c r="HWS231" s="32"/>
      <c r="HWT231" s="32"/>
      <c r="HWU231" s="31"/>
      <c r="HWV231" s="31"/>
      <c r="HWW231" s="33"/>
      <c r="HWX231" s="33"/>
      <c r="HWY231" s="34"/>
      <c r="HWZ231" s="34"/>
      <c r="HXA231" s="35"/>
      <c r="HXB231" s="35"/>
      <c r="HXC231" s="32"/>
      <c r="HXD231" s="31"/>
      <c r="HXE231" s="31"/>
      <c r="HXF231" s="31"/>
      <c r="HXG231" s="32"/>
      <c r="HXH231" s="32"/>
      <c r="HXI231" s="32"/>
      <c r="HXJ231" s="32"/>
      <c r="HXK231" s="32"/>
      <c r="HXL231" s="31"/>
      <c r="HXM231" s="31"/>
      <c r="HXN231" s="33"/>
      <c r="HXO231" s="33"/>
      <c r="HXP231" s="34"/>
      <c r="HXQ231" s="34"/>
      <c r="HXR231" s="35"/>
      <c r="HXS231" s="35"/>
      <c r="HXT231" s="32"/>
      <c r="HXU231" s="31"/>
      <c r="HXV231" s="31"/>
      <c r="HXW231" s="31"/>
      <c r="HXX231" s="32"/>
      <c r="HXY231" s="32"/>
      <c r="HXZ231" s="32"/>
      <c r="HYA231" s="32"/>
      <c r="HYB231" s="32"/>
      <c r="HYC231" s="31"/>
      <c r="HYD231" s="31"/>
      <c r="HYE231" s="33"/>
      <c r="HYF231" s="33"/>
      <c r="HYG231" s="34"/>
      <c r="HYH231" s="34"/>
      <c r="HYI231" s="35"/>
      <c r="HYJ231" s="35"/>
      <c r="HYK231" s="32"/>
      <c r="HYL231" s="31"/>
      <c r="HYM231" s="31"/>
      <c r="HYN231" s="31"/>
      <c r="HYO231" s="32"/>
      <c r="HYP231" s="32"/>
      <c r="HYQ231" s="32"/>
      <c r="HYR231" s="32"/>
      <c r="HYS231" s="32"/>
      <c r="HYT231" s="31"/>
      <c r="HYU231" s="31"/>
      <c r="HYV231" s="33"/>
      <c r="HYW231" s="33"/>
      <c r="HYX231" s="34"/>
      <c r="HYY231" s="34"/>
      <c r="HYZ231" s="35"/>
      <c r="HZA231" s="35"/>
      <c r="HZB231" s="32"/>
      <c r="HZC231" s="31"/>
      <c r="HZD231" s="31"/>
      <c r="HZE231" s="31"/>
      <c r="HZF231" s="32"/>
      <c r="HZG231" s="32"/>
      <c r="HZH231" s="32"/>
      <c r="HZI231" s="32"/>
      <c r="HZJ231" s="32"/>
      <c r="HZK231" s="31"/>
      <c r="HZL231" s="31"/>
      <c r="HZM231" s="33"/>
      <c r="HZN231" s="33"/>
      <c r="HZO231" s="34"/>
      <c r="HZP231" s="34"/>
      <c r="HZQ231" s="35"/>
      <c r="HZR231" s="35"/>
      <c r="HZS231" s="32"/>
      <c r="HZT231" s="31"/>
      <c r="HZU231" s="31"/>
      <c r="HZV231" s="31"/>
      <c r="HZW231" s="32"/>
      <c r="HZX231" s="32"/>
      <c r="HZY231" s="32"/>
      <c r="HZZ231" s="32"/>
      <c r="IAA231" s="32"/>
      <c r="IAB231" s="31"/>
      <c r="IAC231" s="31"/>
      <c r="IAD231" s="33"/>
      <c r="IAE231" s="33"/>
      <c r="IAF231" s="34"/>
      <c r="IAG231" s="34"/>
      <c r="IAH231" s="35"/>
      <c r="IAI231" s="35"/>
      <c r="IAJ231" s="32"/>
      <c r="IAK231" s="31"/>
      <c r="IAL231" s="31"/>
      <c r="IAM231" s="31"/>
      <c r="IAN231" s="32"/>
      <c r="IAO231" s="32"/>
      <c r="IAP231" s="32"/>
      <c r="IAQ231" s="32"/>
      <c r="IAR231" s="32"/>
      <c r="IAS231" s="31"/>
      <c r="IAT231" s="31"/>
      <c r="IAU231" s="33"/>
      <c r="IAV231" s="33"/>
      <c r="IAW231" s="34"/>
      <c r="IAX231" s="34"/>
      <c r="IAY231" s="35"/>
      <c r="IAZ231" s="35"/>
      <c r="IBA231" s="32"/>
      <c r="IBB231" s="31"/>
      <c r="IBC231" s="31"/>
      <c r="IBD231" s="31"/>
      <c r="IBE231" s="32"/>
      <c r="IBF231" s="32"/>
      <c r="IBG231" s="32"/>
      <c r="IBH231" s="32"/>
      <c r="IBI231" s="32"/>
      <c r="IBJ231" s="31"/>
      <c r="IBK231" s="31"/>
      <c r="IBL231" s="33"/>
      <c r="IBM231" s="33"/>
      <c r="IBN231" s="34"/>
      <c r="IBO231" s="34"/>
      <c r="IBP231" s="35"/>
      <c r="IBQ231" s="35"/>
      <c r="IBR231" s="32"/>
      <c r="IBS231" s="31"/>
      <c r="IBT231" s="31"/>
      <c r="IBU231" s="31"/>
      <c r="IBV231" s="32"/>
      <c r="IBW231" s="32"/>
      <c r="IBX231" s="32"/>
      <c r="IBY231" s="32"/>
      <c r="IBZ231" s="32"/>
      <c r="ICA231" s="31"/>
      <c r="ICB231" s="31"/>
      <c r="ICC231" s="33"/>
      <c r="ICD231" s="33"/>
      <c r="ICE231" s="34"/>
      <c r="ICF231" s="34"/>
      <c r="ICG231" s="35"/>
      <c r="ICH231" s="35"/>
      <c r="ICI231" s="32"/>
      <c r="ICJ231" s="31"/>
      <c r="ICK231" s="31"/>
      <c r="ICL231" s="31"/>
      <c r="ICM231" s="32"/>
      <c r="ICN231" s="32"/>
      <c r="ICO231" s="32"/>
      <c r="ICP231" s="32"/>
      <c r="ICQ231" s="32"/>
      <c r="ICR231" s="31"/>
      <c r="ICS231" s="31"/>
      <c r="ICT231" s="33"/>
      <c r="ICU231" s="33"/>
      <c r="ICV231" s="34"/>
      <c r="ICW231" s="34"/>
      <c r="ICX231" s="35"/>
      <c r="ICY231" s="35"/>
      <c r="ICZ231" s="32"/>
      <c r="IDA231" s="31"/>
      <c r="IDB231" s="31"/>
      <c r="IDC231" s="31"/>
      <c r="IDD231" s="32"/>
      <c r="IDE231" s="32"/>
      <c r="IDF231" s="32"/>
      <c r="IDG231" s="32"/>
      <c r="IDH231" s="32"/>
      <c r="IDI231" s="31"/>
      <c r="IDJ231" s="31"/>
      <c r="IDK231" s="33"/>
      <c r="IDL231" s="33"/>
      <c r="IDM231" s="34"/>
      <c r="IDN231" s="34"/>
      <c r="IDO231" s="35"/>
      <c r="IDP231" s="35"/>
      <c r="IDQ231" s="32"/>
      <c r="IDR231" s="31"/>
      <c r="IDS231" s="31"/>
      <c r="IDT231" s="31"/>
      <c r="IDU231" s="32"/>
      <c r="IDV231" s="32"/>
      <c r="IDW231" s="32"/>
      <c r="IDX231" s="32"/>
      <c r="IDY231" s="32"/>
      <c r="IDZ231" s="31"/>
      <c r="IEA231" s="31"/>
      <c r="IEB231" s="33"/>
      <c r="IEC231" s="33"/>
      <c r="IED231" s="34"/>
      <c r="IEE231" s="34"/>
      <c r="IEF231" s="35"/>
      <c r="IEG231" s="35"/>
      <c r="IEH231" s="32"/>
      <c r="IEI231" s="31"/>
      <c r="IEJ231" s="31"/>
      <c r="IEK231" s="31"/>
      <c r="IEL231" s="32"/>
      <c r="IEM231" s="32"/>
      <c r="IEN231" s="32"/>
      <c r="IEO231" s="32"/>
      <c r="IEP231" s="32"/>
      <c r="IEQ231" s="31"/>
      <c r="IER231" s="31"/>
      <c r="IES231" s="33"/>
      <c r="IET231" s="33"/>
      <c r="IEU231" s="34"/>
      <c r="IEV231" s="34"/>
      <c r="IEW231" s="35"/>
      <c r="IEX231" s="35"/>
      <c r="IEY231" s="32"/>
      <c r="IEZ231" s="31"/>
      <c r="IFA231" s="31"/>
      <c r="IFB231" s="31"/>
      <c r="IFC231" s="32"/>
      <c r="IFD231" s="32"/>
      <c r="IFE231" s="32"/>
      <c r="IFF231" s="32"/>
      <c r="IFG231" s="32"/>
      <c r="IFH231" s="31"/>
      <c r="IFI231" s="31"/>
      <c r="IFJ231" s="33"/>
      <c r="IFK231" s="33"/>
      <c r="IFL231" s="34"/>
      <c r="IFM231" s="34"/>
      <c r="IFN231" s="35"/>
      <c r="IFO231" s="35"/>
      <c r="IFP231" s="32"/>
      <c r="IFQ231" s="31"/>
      <c r="IFR231" s="31"/>
      <c r="IFS231" s="31"/>
      <c r="IFT231" s="32"/>
      <c r="IFU231" s="32"/>
      <c r="IFV231" s="32"/>
      <c r="IFW231" s="32"/>
      <c r="IFX231" s="32"/>
      <c r="IFY231" s="31"/>
      <c r="IFZ231" s="31"/>
      <c r="IGA231" s="33"/>
      <c r="IGB231" s="33"/>
      <c r="IGC231" s="34"/>
      <c r="IGD231" s="34"/>
      <c r="IGE231" s="35"/>
      <c r="IGF231" s="35"/>
      <c r="IGG231" s="32"/>
      <c r="IGH231" s="31"/>
      <c r="IGI231" s="31"/>
      <c r="IGJ231" s="31"/>
      <c r="IGK231" s="32"/>
      <c r="IGL231" s="32"/>
      <c r="IGM231" s="32"/>
      <c r="IGN231" s="32"/>
      <c r="IGO231" s="32"/>
      <c r="IGP231" s="31"/>
      <c r="IGQ231" s="31"/>
      <c r="IGR231" s="33"/>
      <c r="IGS231" s="33"/>
      <c r="IGT231" s="34"/>
      <c r="IGU231" s="34"/>
      <c r="IGV231" s="35"/>
      <c r="IGW231" s="35"/>
      <c r="IGX231" s="32"/>
      <c r="IGY231" s="31"/>
      <c r="IGZ231" s="31"/>
      <c r="IHA231" s="31"/>
      <c r="IHB231" s="32"/>
      <c r="IHC231" s="32"/>
      <c r="IHD231" s="32"/>
      <c r="IHE231" s="32"/>
      <c r="IHF231" s="32"/>
      <c r="IHG231" s="31"/>
      <c r="IHH231" s="31"/>
      <c r="IHI231" s="33"/>
      <c r="IHJ231" s="33"/>
      <c r="IHK231" s="34"/>
      <c r="IHL231" s="34"/>
      <c r="IHM231" s="35"/>
      <c r="IHN231" s="35"/>
      <c r="IHO231" s="32"/>
      <c r="IHP231" s="31"/>
      <c r="IHQ231" s="31"/>
      <c r="IHR231" s="31"/>
      <c r="IHS231" s="32"/>
      <c r="IHT231" s="32"/>
      <c r="IHU231" s="32"/>
      <c r="IHV231" s="32"/>
      <c r="IHW231" s="32"/>
      <c r="IHX231" s="31"/>
      <c r="IHY231" s="31"/>
      <c r="IHZ231" s="33"/>
      <c r="IIA231" s="33"/>
      <c r="IIB231" s="34"/>
      <c r="IIC231" s="34"/>
      <c r="IID231" s="35"/>
      <c r="IIE231" s="35"/>
      <c r="IIF231" s="32"/>
      <c r="IIG231" s="31"/>
      <c r="IIH231" s="31"/>
      <c r="III231" s="31"/>
      <c r="IIJ231" s="32"/>
      <c r="IIK231" s="32"/>
      <c r="IIL231" s="32"/>
      <c r="IIM231" s="32"/>
      <c r="IIN231" s="32"/>
      <c r="IIO231" s="31"/>
      <c r="IIP231" s="31"/>
      <c r="IIQ231" s="33"/>
      <c r="IIR231" s="33"/>
      <c r="IIS231" s="34"/>
      <c r="IIT231" s="34"/>
      <c r="IIU231" s="35"/>
      <c r="IIV231" s="35"/>
      <c r="IIW231" s="32"/>
      <c r="IIX231" s="31"/>
      <c r="IIY231" s="31"/>
      <c r="IIZ231" s="31"/>
      <c r="IJA231" s="32"/>
      <c r="IJB231" s="32"/>
      <c r="IJC231" s="32"/>
      <c r="IJD231" s="32"/>
      <c r="IJE231" s="32"/>
      <c r="IJF231" s="31"/>
      <c r="IJG231" s="31"/>
      <c r="IJH231" s="33"/>
      <c r="IJI231" s="33"/>
      <c r="IJJ231" s="34"/>
      <c r="IJK231" s="34"/>
      <c r="IJL231" s="35"/>
      <c r="IJM231" s="35"/>
      <c r="IJN231" s="32"/>
      <c r="IJO231" s="31"/>
      <c r="IJP231" s="31"/>
      <c r="IJQ231" s="31"/>
      <c r="IJR231" s="32"/>
      <c r="IJS231" s="32"/>
      <c r="IJT231" s="32"/>
      <c r="IJU231" s="32"/>
      <c r="IJV231" s="32"/>
      <c r="IJW231" s="31"/>
      <c r="IJX231" s="31"/>
      <c r="IJY231" s="33"/>
      <c r="IJZ231" s="33"/>
      <c r="IKA231" s="34"/>
      <c r="IKB231" s="34"/>
      <c r="IKC231" s="35"/>
      <c r="IKD231" s="35"/>
      <c r="IKE231" s="32"/>
      <c r="IKF231" s="31"/>
      <c r="IKG231" s="31"/>
      <c r="IKH231" s="31"/>
      <c r="IKI231" s="32"/>
      <c r="IKJ231" s="32"/>
      <c r="IKK231" s="32"/>
      <c r="IKL231" s="32"/>
      <c r="IKM231" s="32"/>
      <c r="IKN231" s="31"/>
      <c r="IKO231" s="31"/>
      <c r="IKP231" s="33"/>
      <c r="IKQ231" s="33"/>
      <c r="IKR231" s="34"/>
      <c r="IKS231" s="34"/>
      <c r="IKT231" s="35"/>
      <c r="IKU231" s="35"/>
      <c r="IKV231" s="32"/>
      <c r="IKW231" s="31"/>
      <c r="IKX231" s="31"/>
      <c r="IKY231" s="31"/>
      <c r="IKZ231" s="32"/>
      <c r="ILA231" s="32"/>
      <c r="ILB231" s="32"/>
      <c r="ILC231" s="32"/>
      <c r="ILD231" s="32"/>
      <c r="ILE231" s="31"/>
      <c r="ILF231" s="31"/>
      <c r="ILG231" s="33"/>
      <c r="ILH231" s="33"/>
      <c r="ILI231" s="34"/>
      <c r="ILJ231" s="34"/>
      <c r="ILK231" s="35"/>
      <c r="ILL231" s="35"/>
      <c r="ILM231" s="32"/>
      <c r="ILN231" s="31"/>
      <c r="ILO231" s="31"/>
      <c r="ILP231" s="31"/>
      <c r="ILQ231" s="32"/>
      <c r="ILR231" s="32"/>
      <c r="ILS231" s="32"/>
      <c r="ILT231" s="32"/>
      <c r="ILU231" s="32"/>
      <c r="ILV231" s="31"/>
      <c r="ILW231" s="31"/>
      <c r="ILX231" s="33"/>
      <c r="ILY231" s="33"/>
      <c r="ILZ231" s="34"/>
      <c r="IMA231" s="34"/>
      <c r="IMB231" s="35"/>
      <c r="IMC231" s="35"/>
      <c r="IMD231" s="32"/>
      <c r="IME231" s="31"/>
      <c r="IMF231" s="31"/>
      <c r="IMG231" s="31"/>
      <c r="IMH231" s="32"/>
      <c r="IMI231" s="32"/>
      <c r="IMJ231" s="32"/>
      <c r="IMK231" s="32"/>
      <c r="IML231" s="32"/>
      <c r="IMM231" s="31"/>
      <c r="IMN231" s="31"/>
      <c r="IMO231" s="33"/>
      <c r="IMP231" s="33"/>
      <c r="IMQ231" s="34"/>
      <c r="IMR231" s="34"/>
      <c r="IMS231" s="35"/>
      <c r="IMT231" s="35"/>
      <c r="IMU231" s="32"/>
      <c r="IMV231" s="31"/>
      <c r="IMW231" s="31"/>
      <c r="IMX231" s="31"/>
      <c r="IMY231" s="32"/>
      <c r="IMZ231" s="32"/>
      <c r="INA231" s="32"/>
      <c r="INB231" s="32"/>
      <c r="INC231" s="32"/>
      <c r="IND231" s="31"/>
      <c r="INE231" s="31"/>
      <c r="INF231" s="33"/>
      <c r="ING231" s="33"/>
      <c r="INH231" s="34"/>
      <c r="INI231" s="34"/>
      <c r="INJ231" s="35"/>
      <c r="INK231" s="35"/>
      <c r="INL231" s="32"/>
      <c r="INM231" s="31"/>
      <c r="INN231" s="31"/>
      <c r="INO231" s="31"/>
      <c r="INP231" s="32"/>
      <c r="INQ231" s="32"/>
      <c r="INR231" s="32"/>
      <c r="INS231" s="32"/>
      <c r="INT231" s="32"/>
      <c r="INU231" s="31"/>
      <c r="INV231" s="31"/>
      <c r="INW231" s="33"/>
      <c r="INX231" s="33"/>
      <c r="INY231" s="34"/>
      <c r="INZ231" s="34"/>
      <c r="IOA231" s="35"/>
      <c r="IOB231" s="35"/>
      <c r="IOC231" s="32"/>
      <c r="IOD231" s="31"/>
      <c r="IOE231" s="31"/>
      <c r="IOF231" s="31"/>
      <c r="IOG231" s="32"/>
      <c r="IOH231" s="32"/>
      <c r="IOI231" s="32"/>
      <c r="IOJ231" s="32"/>
      <c r="IOK231" s="32"/>
      <c r="IOL231" s="31"/>
      <c r="IOM231" s="31"/>
      <c r="ION231" s="33"/>
      <c r="IOO231" s="33"/>
      <c r="IOP231" s="34"/>
      <c r="IOQ231" s="34"/>
      <c r="IOR231" s="35"/>
      <c r="IOS231" s="35"/>
      <c r="IOT231" s="32"/>
      <c r="IOU231" s="31"/>
      <c r="IOV231" s="31"/>
      <c r="IOW231" s="31"/>
      <c r="IOX231" s="32"/>
      <c r="IOY231" s="32"/>
      <c r="IOZ231" s="32"/>
      <c r="IPA231" s="32"/>
      <c r="IPB231" s="32"/>
      <c r="IPC231" s="31"/>
      <c r="IPD231" s="31"/>
      <c r="IPE231" s="33"/>
      <c r="IPF231" s="33"/>
      <c r="IPG231" s="34"/>
      <c r="IPH231" s="34"/>
      <c r="IPI231" s="35"/>
      <c r="IPJ231" s="35"/>
      <c r="IPK231" s="32"/>
      <c r="IPL231" s="31"/>
      <c r="IPM231" s="31"/>
      <c r="IPN231" s="31"/>
      <c r="IPO231" s="32"/>
      <c r="IPP231" s="32"/>
      <c r="IPQ231" s="32"/>
      <c r="IPR231" s="32"/>
      <c r="IPS231" s="32"/>
      <c r="IPT231" s="31"/>
      <c r="IPU231" s="31"/>
      <c r="IPV231" s="33"/>
      <c r="IPW231" s="33"/>
      <c r="IPX231" s="34"/>
      <c r="IPY231" s="34"/>
      <c r="IPZ231" s="35"/>
      <c r="IQA231" s="35"/>
      <c r="IQB231" s="32"/>
      <c r="IQC231" s="31"/>
      <c r="IQD231" s="31"/>
      <c r="IQE231" s="31"/>
      <c r="IQF231" s="32"/>
      <c r="IQG231" s="32"/>
      <c r="IQH231" s="32"/>
      <c r="IQI231" s="32"/>
      <c r="IQJ231" s="32"/>
      <c r="IQK231" s="31"/>
      <c r="IQL231" s="31"/>
      <c r="IQM231" s="33"/>
      <c r="IQN231" s="33"/>
      <c r="IQO231" s="34"/>
      <c r="IQP231" s="34"/>
      <c r="IQQ231" s="35"/>
      <c r="IQR231" s="35"/>
      <c r="IQS231" s="32"/>
      <c r="IQT231" s="31"/>
      <c r="IQU231" s="31"/>
      <c r="IQV231" s="31"/>
      <c r="IQW231" s="32"/>
      <c r="IQX231" s="32"/>
      <c r="IQY231" s="32"/>
      <c r="IQZ231" s="32"/>
      <c r="IRA231" s="32"/>
      <c r="IRB231" s="31"/>
      <c r="IRC231" s="31"/>
      <c r="IRD231" s="33"/>
      <c r="IRE231" s="33"/>
      <c r="IRF231" s="34"/>
      <c r="IRG231" s="34"/>
      <c r="IRH231" s="35"/>
      <c r="IRI231" s="35"/>
      <c r="IRJ231" s="32"/>
      <c r="IRK231" s="31"/>
      <c r="IRL231" s="31"/>
      <c r="IRM231" s="31"/>
      <c r="IRN231" s="32"/>
      <c r="IRO231" s="32"/>
      <c r="IRP231" s="32"/>
      <c r="IRQ231" s="32"/>
      <c r="IRR231" s="32"/>
      <c r="IRS231" s="31"/>
      <c r="IRT231" s="31"/>
      <c r="IRU231" s="33"/>
      <c r="IRV231" s="33"/>
      <c r="IRW231" s="34"/>
      <c r="IRX231" s="34"/>
      <c r="IRY231" s="35"/>
      <c r="IRZ231" s="35"/>
      <c r="ISA231" s="32"/>
      <c r="ISB231" s="31"/>
      <c r="ISC231" s="31"/>
      <c r="ISD231" s="31"/>
      <c r="ISE231" s="32"/>
      <c r="ISF231" s="32"/>
      <c r="ISG231" s="32"/>
      <c r="ISH231" s="32"/>
      <c r="ISI231" s="32"/>
      <c r="ISJ231" s="31"/>
      <c r="ISK231" s="31"/>
      <c r="ISL231" s="33"/>
      <c r="ISM231" s="33"/>
      <c r="ISN231" s="34"/>
      <c r="ISO231" s="34"/>
      <c r="ISP231" s="35"/>
      <c r="ISQ231" s="35"/>
      <c r="ISR231" s="32"/>
      <c r="ISS231" s="31"/>
      <c r="IST231" s="31"/>
      <c r="ISU231" s="31"/>
      <c r="ISV231" s="32"/>
      <c r="ISW231" s="32"/>
      <c r="ISX231" s="32"/>
      <c r="ISY231" s="32"/>
      <c r="ISZ231" s="32"/>
      <c r="ITA231" s="31"/>
      <c r="ITB231" s="31"/>
      <c r="ITC231" s="33"/>
      <c r="ITD231" s="33"/>
      <c r="ITE231" s="34"/>
      <c r="ITF231" s="34"/>
      <c r="ITG231" s="35"/>
      <c r="ITH231" s="35"/>
      <c r="ITI231" s="32"/>
      <c r="ITJ231" s="31"/>
      <c r="ITK231" s="31"/>
      <c r="ITL231" s="31"/>
      <c r="ITM231" s="32"/>
      <c r="ITN231" s="32"/>
      <c r="ITO231" s="32"/>
      <c r="ITP231" s="32"/>
      <c r="ITQ231" s="32"/>
      <c r="ITR231" s="31"/>
      <c r="ITS231" s="31"/>
      <c r="ITT231" s="33"/>
      <c r="ITU231" s="33"/>
      <c r="ITV231" s="34"/>
      <c r="ITW231" s="34"/>
      <c r="ITX231" s="35"/>
      <c r="ITY231" s="35"/>
      <c r="ITZ231" s="32"/>
      <c r="IUA231" s="31"/>
      <c r="IUB231" s="31"/>
      <c r="IUC231" s="31"/>
      <c r="IUD231" s="32"/>
      <c r="IUE231" s="32"/>
      <c r="IUF231" s="32"/>
      <c r="IUG231" s="32"/>
      <c r="IUH231" s="32"/>
      <c r="IUI231" s="31"/>
      <c r="IUJ231" s="31"/>
      <c r="IUK231" s="33"/>
      <c r="IUL231" s="33"/>
      <c r="IUM231" s="34"/>
      <c r="IUN231" s="34"/>
      <c r="IUO231" s="35"/>
      <c r="IUP231" s="35"/>
      <c r="IUQ231" s="32"/>
      <c r="IUR231" s="31"/>
      <c r="IUS231" s="31"/>
      <c r="IUT231" s="31"/>
      <c r="IUU231" s="32"/>
      <c r="IUV231" s="32"/>
      <c r="IUW231" s="32"/>
      <c r="IUX231" s="32"/>
      <c r="IUY231" s="32"/>
      <c r="IUZ231" s="31"/>
      <c r="IVA231" s="31"/>
      <c r="IVB231" s="33"/>
      <c r="IVC231" s="33"/>
      <c r="IVD231" s="34"/>
      <c r="IVE231" s="34"/>
      <c r="IVF231" s="35"/>
      <c r="IVG231" s="35"/>
      <c r="IVH231" s="32"/>
      <c r="IVI231" s="31"/>
      <c r="IVJ231" s="31"/>
      <c r="IVK231" s="31"/>
      <c r="IVL231" s="32"/>
      <c r="IVM231" s="32"/>
      <c r="IVN231" s="32"/>
      <c r="IVO231" s="32"/>
      <c r="IVP231" s="32"/>
      <c r="IVQ231" s="31"/>
      <c r="IVR231" s="31"/>
      <c r="IVS231" s="33"/>
      <c r="IVT231" s="33"/>
      <c r="IVU231" s="34"/>
      <c r="IVV231" s="34"/>
      <c r="IVW231" s="35"/>
      <c r="IVX231" s="35"/>
      <c r="IVY231" s="32"/>
      <c r="IVZ231" s="31"/>
      <c r="IWA231" s="31"/>
      <c r="IWB231" s="31"/>
      <c r="IWC231" s="32"/>
      <c r="IWD231" s="32"/>
      <c r="IWE231" s="32"/>
      <c r="IWF231" s="32"/>
      <c r="IWG231" s="32"/>
      <c r="IWH231" s="31"/>
      <c r="IWI231" s="31"/>
      <c r="IWJ231" s="33"/>
      <c r="IWK231" s="33"/>
      <c r="IWL231" s="34"/>
      <c r="IWM231" s="34"/>
      <c r="IWN231" s="35"/>
      <c r="IWO231" s="35"/>
      <c r="IWP231" s="32"/>
      <c r="IWQ231" s="31"/>
      <c r="IWR231" s="31"/>
      <c r="IWS231" s="31"/>
      <c r="IWT231" s="32"/>
      <c r="IWU231" s="32"/>
      <c r="IWV231" s="32"/>
      <c r="IWW231" s="32"/>
      <c r="IWX231" s="32"/>
      <c r="IWY231" s="31"/>
      <c r="IWZ231" s="31"/>
      <c r="IXA231" s="33"/>
      <c r="IXB231" s="33"/>
      <c r="IXC231" s="34"/>
      <c r="IXD231" s="34"/>
      <c r="IXE231" s="35"/>
      <c r="IXF231" s="35"/>
      <c r="IXG231" s="32"/>
      <c r="IXH231" s="31"/>
      <c r="IXI231" s="31"/>
      <c r="IXJ231" s="31"/>
      <c r="IXK231" s="32"/>
      <c r="IXL231" s="32"/>
      <c r="IXM231" s="32"/>
      <c r="IXN231" s="32"/>
      <c r="IXO231" s="32"/>
      <c r="IXP231" s="31"/>
      <c r="IXQ231" s="31"/>
      <c r="IXR231" s="33"/>
      <c r="IXS231" s="33"/>
      <c r="IXT231" s="34"/>
      <c r="IXU231" s="34"/>
      <c r="IXV231" s="35"/>
      <c r="IXW231" s="35"/>
      <c r="IXX231" s="32"/>
      <c r="IXY231" s="31"/>
      <c r="IXZ231" s="31"/>
      <c r="IYA231" s="31"/>
      <c r="IYB231" s="32"/>
      <c r="IYC231" s="32"/>
      <c r="IYD231" s="32"/>
      <c r="IYE231" s="32"/>
      <c r="IYF231" s="32"/>
      <c r="IYG231" s="31"/>
      <c r="IYH231" s="31"/>
      <c r="IYI231" s="33"/>
      <c r="IYJ231" s="33"/>
      <c r="IYK231" s="34"/>
      <c r="IYL231" s="34"/>
      <c r="IYM231" s="35"/>
      <c r="IYN231" s="35"/>
      <c r="IYO231" s="32"/>
      <c r="IYP231" s="31"/>
      <c r="IYQ231" s="31"/>
      <c r="IYR231" s="31"/>
      <c r="IYS231" s="32"/>
      <c r="IYT231" s="32"/>
      <c r="IYU231" s="32"/>
      <c r="IYV231" s="32"/>
      <c r="IYW231" s="32"/>
      <c r="IYX231" s="31"/>
      <c r="IYY231" s="31"/>
      <c r="IYZ231" s="33"/>
      <c r="IZA231" s="33"/>
      <c r="IZB231" s="34"/>
      <c r="IZC231" s="34"/>
      <c r="IZD231" s="35"/>
      <c r="IZE231" s="35"/>
      <c r="IZF231" s="32"/>
      <c r="IZG231" s="31"/>
      <c r="IZH231" s="31"/>
      <c r="IZI231" s="31"/>
      <c r="IZJ231" s="32"/>
      <c r="IZK231" s="32"/>
      <c r="IZL231" s="32"/>
      <c r="IZM231" s="32"/>
      <c r="IZN231" s="32"/>
      <c r="IZO231" s="31"/>
      <c r="IZP231" s="31"/>
      <c r="IZQ231" s="33"/>
      <c r="IZR231" s="33"/>
      <c r="IZS231" s="34"/>
      <c r="IZT231" s="34"/>
      <c r="IZU231" s="35"/>
      <c r="IZV231" s="35"/>
      <c r="IZW231" s="32"/>
      <c r="IZX231" s="31"/>
      <c r="IZY231" s="31"/>
      <c r="IZZ231" s="31"/>
      <c r="JAA231" s="32"/>
      <c r="JAB231" s="32"/>
      <c r="JAC231" s="32"/>
      <c r="JAD231" s="32"/>
      <c r="JAE231" s="32"/>
      <c r="JAF231" s="31"/>
      <c r="JAG231" s="31"/>
      <c r="JAH231" s="33"/>
      <c r="JAI231" s="33"/>
      <c r="JAJ231" s="34"/>
      <c r="JAK231" s="34"/>
      <c r="JAL231" s="35"/>
      <c r="JAM231" s="35"/>
      <c r="JAN231" s="32"/>
      <c r="JAO231" s="31"/>
      <c r="JAP231" s="31"/>
      <c r="JAQ231" s="31"/>
      <c r="JAR231" s="32"/>
      <c r="JAS231" s="32"/>
      <c r="JAT231" s="32"/>
      <c r="JAU231" s="32"/>
      <c r="JAV231" s="32"/>
      <c r="JAW231" s="31"/>
      <c r="JAX231" s="31"/>
      <c r="JAY231" s="33"/>
      <c r="JAZ231" s="33"/>
      <c r="JBA231" s="34"/>
      <c r="JBB231" s="34"/>
      <c r="JBC231" s="35"/>
      <c r="JBD231" s="35"/>
      <c r="JBE231" s="32"/>
      <c r="JBF231" s="31"/>
      <c r="JBG231" s="31"/>
      <c r="JBH231" s="31"/>
      <c r="JBI231" s="32"/>
      <c r="JBJ231" s="32"/>
      <c r="JBK231" s="32"/>
      <c r="JBL231" s="32"/>
      <c r="JBM231" s="32"/>
      <c r="JBN231" s="31"/>
      <c r="JBO231" s="31"/>
      <c r="JBP231" s="33"/>
      <c r="JBQ231" s="33"/>
      <c r="JBR231" s="34"/>
      <c r="JBS231" s="34"/>
      <c r="JBT231" s="35"/>
      <c r="JBU231" s="35"/>
      <c r="JBV231" s="32"/>
      <c r="JBW231" s="31"/>
      <c r="JBX231" s="31"/>
      <c r="JBY231" s="31"/>
      <c r="JBZ231" s="32"/>
      <c r="JCA231" s="32"/>
      <c r="JCB231" s="32"/>
      <c r="JCC231" s="32"/>
      <c r="JCD231" s="32"/>
      <c r="JCE231" s="31"/>
      <c r="JCF231" s="31"/>
      <c r="JCG231" s="33"/>
      <c r="JCH231" s="33"/>
      <c r="JCI231" s="34"/>
      <c r="JCJ231" s="34"/>
      <c r="JCK231" s="35"/>
      <c r="JCL231" s="35"/>
      <c r="JCM231" s="32"/>
      <c r="JCN231" s="31"/>
      <c r="JCO231" s="31"/>
      <c r="JCP231" s="31"/>
      <c r="JCQ231" s="32"/>
      <c r="JCR231" s="32"/>
      <c r="JCS231" s="32"/>
      <c r="JCT231" s="32"/>
      <c r="JCU231" s="32"/>
      <c r="JCV231" s="31"/>
      <c r="JCW231" s="31"/>
      <c r="JCX231" s="33"/>
      <c r="JCY231" s="33"/>
      <c r="JCZ231" s="34"/>
      <c r="JDA231" s="34"/>
      <c r="JDB231" s="35"/>
      <c r="JDC231" s="35"/>
      <c r="JDD231" s="32"/>
      <c r="JDE231" s="31"/>
      <c r="JDF231" s="31"/>
      <c r="JDG231" s="31"/>
      <c r="JDH231" s="32"/>
      <c r="JDI231" s="32"/>
      <c r="JDJ231" s="32"/>
      <c r="JDK231" s="32"/>
      <c r="JDL231" s="32"/>
      <c r="JDM231" s="31"/>
      <c r="JDN231" s="31"/>
      <c r="JDO231" s="33"/>
      <c r="JDP231" s="33"/>
      <c r="JDQ231" s="34"/>
      <c r="JDR231" s="34"/>
      <c r="JDS231" s="35"/>
      <c r="JDT231" s="35"/>
      <c r="JDU231" s="32"/>
      <c r="JDV231" s="31"/>
      <c r="JDW231" s="31"/>
      <c r="JDX231" s="31"/>
      <c r="JDY231" s="32"/>
      <c r="JDZ231" s="32"/>
      <c r="JEA231" s="32"/>
      <c r="JEB231" s="32"/>
      <c r="JEC231" s="32"/>
      <c r="JED231" s="31"/>
      <c r="JEE231" s="31"/>
      <c r="JEF231" s="33"/>
      <c r="JEG231" s="33"/>
      <c r="JEH231" s="34"/>
      <c r="JEI231" s="34"/>
      <c r="JEJ231" s="35"/>
      <c r="JEK231" s="35"/>
      <c r="JEL231" s="32"/>
      <c r="JEM231" s="31"/>
      <c r="JEN231" s="31"/>
      <c r="JEO231" s="31"/>
      <c r="JEP231" s="32"/>
      <c r="JEQ231" s="32"/>
      <c r="JER231" s="32"/>
      <c r="JES231" s="32"/>
      <c r="JET231" s="32"/>
      <c r="JEU231" s="31"/>
      <c r="JEV231" s="31"/>
      <c r="JEW231" s="33"/>
      <c r="JEX231" s="33"/>
      <c r="JEY231" s="34"/>
      <c r="JEZ231" s="34"/>
      <c r="JFA231" s="35"/>
      <c r="JFB231" s="35"/>
      <c r="JFC231" s="32"/>
      <c r="JFD231" s="31"/>
      <c r="JFE231" s="31"/>
      <c r="JFF231" s="31"/>
      <c r="JFG231" s="32"/>
      <c r="JFH231" s="32"/>
      <c r="JFI231" s="32"/>
      <c r="JFJ231" s="32"/>
      <c r="JFK231" s="32"/>
      <c r="JFL231" s="31"/>
      <c r="JFM231" s="31"/>
      <c r="JFN231" s="33"/>
      <c r="JFO231" s="33"/>
      <c r="JFP231" s="34"/>
      <c r="JFQ231" s="34"/>
      <c r="JFR231" s="35"/>
      <c r="JFS231" s="35"/>
      <c r="JFT231" s="32"/>
      <c r="JFU231" s="31"/>
      <c r="JFV231" s="31"/>
      <c r="JFW231" s="31"/>
      <c r="JFX231" s="32"/>
      <c r="JFY231" s="32"/>
      <c r="JFZ231" s="32"/>
      <c r="JGA231" s="32"/>
      <c r="JGB231" s="32"/>
      <c r="JGC231" s="31"/>
      <c r="JGD231" s="31"/>
      <c r="JGE231" s="33"/>
      <c r="JGF231" s="33"/>
      <c r="JGG231" s="34"/>
      <c r="JGH231" s="34"/>
      <c r="JGI231" s="35"/>
      <c r="JGJ231" s="35"/>
      <c r="JGK231" s="32"/>
      <c r="JGL231" s="31"/>
      <c r="JGM231" s="31"/>
      <c r="JGN231" s="31"/>
      <c r="JGO231" s="32"/>
      <c r="JGP231" s="32"/>
      <c r="JGQ231" s="32"/>
      <c r="JGR231" s="32"/>
      <c r="JGS231" s="32"/>
      <c r="JGT231" s="31"/>
      <c r="JGU231" s="31"/>
      <c r="JGV231" s="33"/>
      <c r="JGW231" s="33"/>
      <c r="JGX231" s="34"/>
      <c r="JGY231" s="34"/>
      <c r="JGZ231" s="35"/>
      <c r="JHA231" s="35"/>
      <c r="JHB231" s="32"/>
      <c r="JHC231" s="31"/>
      <c r="JHD231" s="31"/>
      <c r="JHE231" s="31"/>
      <c r="JHF231" s="32"/>
      <c r="JHG231" s="32"/>
      <c r="JHH231" s="32"/>
      <c r="JHI231" s="32"/>
      <c r="JHJ231" s="32"/>
      <c r="JHK231" s="31"/>
      <c r="JHL231" s="31"/>
      <c r="JHM231" s="33"/>
      <c r="JHN231" s="33"/>
      <c r="JHO231" s="34"/>
      <c r="JHP231" s="34"/>
      <c r="JHQ231" s="35"/>
      <c r="JHR231" s="35"/>
      <c r="JHS231" s="32"/>
      <c r="JHT231" s="31"/>
      <c r="JHU231" s="31"/>
      <c r="JHV231" s="31"/>
      <c r="JHW231" s="32"/>
      <c r="JHX231" s="32"/>
      <c r="JHY231" s="32"/>
      <c r="JHZ231" s="32"/>
      <c r="JIA231" s="32"/>
      <c r="JIB231" s="31"/>
      <c r="JIC231" s="31"/>
      <c r="JID231" s="33"/>
      <c r="JIE231" s="33"/>
      <c r="JIF231" s="34"/>
      <c r="JIG231" s="34"/>
      <c r="JIH231" s="35"/>
      <c r="JII231" s="35"/>
      <c r="JIJ231" s="32"/>
      <c r="JIK231" s="31"/>
      <c r="JIL231" s="31"/>
      <c r="JIM231" s="31"/>
      <c r="JIN231" s="32"/>
      <c r="JIO231" s="32"/>
      <c r="JIP231" s="32"/>
      <c r="JIQ231" s="32"/>
      <c r="JIR231" s="32"/>
      <c r="JIS231" s="31"/>
      <c r="JIT231" s="31"/>
      <c r="JIU231" s="33"/>
      <c r="JIV231" s="33"/>
      <c r="JIW231" s="34"/>
      <c r="JIX231" s="34"/>
      <c r="JIY231" s="35"/>
      <c r="JIZ231" s="35"/>
      <c r="JJA231" s="32"/>
      <c r="JJB231" s="31"/>
      <c r="JJC231" s="31"/>
      <c r="JJD231" s="31"/>
      <c r="JJE231" s="32"/>
      <c r="JJF231" s="32"/>
      <c r="JJG231" s="32"/>
      <c r="JJH231" s="32"/>
      <c r="JJI231" s="32"/>
      <c r="JJJ231" s="31"/>
      <c r="JJK231" s="31"/>
      <c r="JJL231" s="33"/>
      <c r="JJM231" s="33"/>
      <c r="JJN231" s="34"/>
      <c r="JJO231" s="34"/>
      <c r="JJP231" s="35"/>
      <c r="JJQ231" s="35"/>
      <c r="JJR231" s="32"/>
      <c r="JJS231" s="31"/>
      <c r="JJT231" s="31"/>
      <c r="JJU231" s="31"/>
      <c r="JJV231" s="32"/>
      <c r="JJW231" s="32"/>
      <c r="JJX231" s="32"/>
      <c r="JJY231" s="32"/>
      <c r="JJZ231" s="32"/>
      <c r="JKA231" s="31"/>
      <c r="JKB231" s="31"/>
      <c r="JKC231" s="33"/>
      <c r="JKD231" s="33"/>
      <c r="JKE231" s="34"/>
      <c r="JKF231" s="34"/>
      <c r="JKG231" s="35"/>
      <c r="JKH231" s="35"/>
      <c r="JKI231" s="32"/>
      <c r="JKJ231" s="31"/>
      <c r="JKK231" s="31"/>
      <c r="JKL231" s="31"/>
      <c r="JKM231" s="32"/>
      <c r="JKN231" s="32"/>
      <c r="JKO231" s="32"/>
      <c r="JKP231" s="32"/>
      <c r="JKQ231" s="32"/>
      <c r="JKR231" s="31"/>
      <c r="JKS231" s="31"/>
      <c r="JKT231" s="33"/>
      <c r="JKU231" s="33"/>
      <c r="JKV231" s="34"/>
      <c r="JKW231" s="34"/>
      <c r="JKX231" s="35"/>
      <c r="JKY231" s="35"/>
      <c r="JKZ231" s="32"/>
      <c r="JLA231" s="31"/>
      <c r="JLB231" s="31"/>
      <c r="JLC231" s="31"/>
      <c r="JLD231" s="32"/>
      <c r="JLE231" s="32"/>
      <c r="JLF231" s="32"/>
      <c r="JLG231" s="32"/>
      <c r="JLH231" s="32"/>
      <c r="JLI231" s="31"/>
      <c r="JLJ231" s="31"/>
      <c r="JLK231" s="33"/>
      <c r="JLL231" s="33"/>
      <c r="JLM231" s="34"/>
      <c r="JLN231" s="34"/>
      <c r="JLO231" s="35"/>
      <c r="JLP231" s="35"/>
      <c r="JLQ231" s="32"/>
      <c r="JLR231" s="31"/>
      <c r="JLS231" s="31"/>
      <c r="JLT231" s="31"/>
      <c r="JLU231" s="32"/>
      <c r="JLV231" s="32"/>
      <c r="JLW231" s="32"/>
      <c r="JLX231" s="32"/>
      <c r="JLY231" s="32"/>
      <c r="JLZ231" s="31"/>
      <c r="JMA231" s="31"/>
      <c r="JMB231" s="33"/>
      <c r="JMC231" s="33"/>
      <c r="JMD231" s="34"/>
      <c r="JME231" s="34"/>
      <c r="JMF231" s="35"/>
      <c r="JMG231" s="35"/>
      <c r="JMH231" s="32"/>
      <c r="JMI231" s="31"/>
      <c r="JMJ231" s="31"/>
      <c r="JMK231" s="31"/>
      <c r="JML231" s="32"/>
      <c r="JMM231" s="32"/>
      <c r="JMN231" s="32"/>
      <c r="JMO231" s="32"/>
      <c r="JMP231" s="32"/>
      <c r="JMQ231" s="31"/>
      <c r="JMR231" s="31"/>
      <c r="JMS231" s="33"/>
      <c r="JMT231" s="33"/>
      <c r="JMU231" s="34"/>
      <c r="JMV231" s="34"/>
      <c r="JMW231" s="35"/>
      <c r="JMX231" s="35"/>
      <c r="JMY231" s="32"/>
      <c r="JMZ231" s="31"/>
      <c r="JNA231" s="31"/>
      <c r="JNB231" s="31"/>
      <c r="JNC231" s="32"/>
      <c r="JND231" s="32"/>
      <c r="JNE231" s="32"/>
      <c r="JNF231" s="32"/>
      <c r="JNG231" s="32"/>
      <c r="JNH231" s="31"/>
      <c r="JNI231" s="31"/>
      <c r="JNJ231" s="33"/>
      <c r="JNK231" s="33"/>
      <c r="JNL231" s="34"/>
      <c r="JNM231" s="34"/>
      <c r="JNN231" s="35"/>
      <c r="JNO231" s="35"/>
      <c r="JNP231" s="32"/>
      <c r="JNQ231" s="31"/>
      <c r="JNR231" s="31"/>
      <c r="JNS231" s="31"/>
      <c r="JNT231" s="32"/>
      <c r="JNU231" s="32"/>
      <c r="JNV231" s="32"/>
      <c r="JNW231" s="32"/>
      <c r="JNX231" s="32"/>
      <c r="JNY231" s="31"/>
      <c r="JNZ231" s="31"/>
      <c r="JOA231" s="33"/>
      <c r="JOB231" s="33"/>
      <c r="JOC231" s="34"/>
      <c r="JOD231" s="34"/>
      <c r="JOE231" s="35"/>
      <c r="JOF231" s="35"/>
      <c r="JOG231" s="32"/>
      <c r="JOH231" s="31"/>
      <c r="JOI231" s="31"/>
      <c r="JOJ231" s="31"/>
      <c r="JOK231" s="32"/>
      <c r="JOL231" s="32"/>
      <c r="JOM231" s="32"/>
      <c r="JON231" s="32"/>
      <c r="JOO231" s="32"/>
      <c r="JOP231" s="31"/>
      <c r="JOQ231" s="31"/>
      <c r="JOR231" s="33"/>
      <c r="JOS231" s="33"/>
      <c r="JOT231" s="34"/>
      <c r="JOU231" s="34"/>
      <c r="JOV231" s="35"/>
      <c r="JOW231" s="35"/>
      <c r="JOX231" s="32"/>
      <c r="JOY231" s="31"/>
      <c r="JOZ231" s="31"/>
      <c r="JPA231" s="31"/>
      <c r="JPB231" s="32"/>
      <c r="JPC231" s="32"/>
      <c r="JPD231" s="32"/>
      <c r="JPE231" s="32"/>
      <c r="JPF231" s="32"/>
      <c r="JPG231" s="31"/>
      <c r="JPH231" s="31"/>
      <c r="JPI231" s="33"/>
      <c r="JPJ231" s="33"/>
      <c r="JPK231" s="34"/>
      <c r="JPL231" s="34"/>
      <c r="JPM231" s="35"/>
      <c r="JPN231" s="35"/>
      <c r="JPO231" s="32"/>
      <c r="JPP231" s="31"/>
      <c r="JPQ231" s="31"/>
      <c r="JPR231" s="31"/>
      <c r="JPS231" s="32"/>
      <c r="JPT231" s="32"/>
      <c r="JPU231" s="32"/>
      <c r="JPV231" s="32"/>
      <c r="JPW231" s="32"/>
      <c r="JPX231" s="31"/>
      <c r="JPY231" s="31"/>
      <c r="JPZ231" s="33"/>
      <c r="JQA231" s="33"/>
      <c r="JQB231" s="34"/>
      <c r="JQC231" s="34"/>
      <c r="JQD231" s="35"/>
      <c r="JQE231" s="35"/>
      <c r="JQF231" s="32"/>
      <c r="JQG231" s="31"/>
      <c r="JQH231" s="31"/>
      <c r="JQI231" s="31"/>
      <c r="JQJ231" s="32"/>
      <c r="JQK231" s="32"/>
      <c r="JQL231" s="32"/>
      <c r="JQM231" s="32"/>
      <c r="JQN231" s="32"/>
      <c r="JQO231" s="31"/>
      <c r="JQP231" s="31"/>
      <c r="JQQ231" s="33"/>
      <c r="JQR231" s="33"/>
      <c r="JQS231" s="34"/>
      <c r="JQT231" s="34"/>
      <c r="JQU231" s="35"/>
      <c r="JQV231" s="35"/>
      <c r="JQW231" s="32"/>
      <c r="JQX231" s="31"/>
      <c r="JQY231" s="31"/>
      <c r="JQZ231" s="31"/>
      <c r="JRA231" s="32"/>
      <c r="JRB231" s="32"/>
      <c r="JRC231" s="32"/>
      <c r="JRD231" s="32"/>
      <c r="JRE231" s="32"/>
      <c r="JRF231" s="31"/>
      <c r="JRG231" s="31"/>
      <c r="JRH231" s="33"/>
      <c r="JRI231" s="33"/>
      <c r="JRJ231" s="34"/>
      <c r="JRK231" s="34"/>
      <c r="JRL231" s="35"/>
      <c r="JRM231" s="35"/>
      <c r="JRN231" s="32"/>
      <c r="JRO231" s="31"/>
      <c r="JRP231" s="31"/>
      <c r="JRQ231" s="31"/>
      <c r="JRR231" s="32"/>
      <c r="JRS231" s="32"/>
      <c r="JRT231" s="32"/>
      <c r="JRU231" s="32"/>
      <c r="JRV231" s="32"/>
      <c r="JRW231" s="31"/>
      <c r="JRX231" s="31"/>
      <c r="JRY231" s="33"/>
      <c r="JRZ231" s="33"/>
      <c r="JSA231" s="34"/>
      <c r="JSB231" s="34"/>
      <c r="JSC231" s="35"/>
      <c r="JSD231" s="35"/>
      <c r="JSE231" s="32"/>
      <c r="JSF231" s="31"/>
      <c r="JSG231" s="31"/>
      <c r="JSH231" s="31"/>
      <c r="JSI231" s="32"/>
      <c r="JSJ231" s="32"/>
      <c r="JSK231" s="32"/>
      <c r="JSL231" s="32"/>
      <c r="JSM231" s="32"/>
      <c r="JSN231" s="31"/>
      <c r="JSO231" s="31"/>
      <c r="JSP231" s="33"/>
      <c r="JSQ231" s="33"/>
      <c r="JSR231" s="34"/>
      <c r="JSS231" s="34"/>
      <c r="JST231" s="35"/>
      <c r="JSU231" s="35"/>
      <c r="JSV231" s="32"/>
      <c r="JSW231" s="31"/>
      <c r="JSX231" s="31"/>
      <c r="JSY231" s="31"/>
      <c r="JSZ231" s="32"/>
      <c r="JTA231" s="32"/>
      <c r="JTB231" s="32"/>
      <c r="JTC231" s="32"/>
      <c r="JTD231" s="32"/>
      <c r="JTE231" s="31"/>
      <c r="JTF231" s="31"/>
      <c r="JTG231" s="33"/>
      <c r="JTH231" s="33"/>
      <c r="JTI231" s="34"/>
      <c r="JTJ231" s="34"/>
      <c r="JTK231" s="35"/>
      <c r="JTL231" s="35"/>
      <c r="JTM231" s="32"/>
      <c r="JTN231" s="31"/>
      <c r="JTO231" s="31"/>
      <c r="JTP231" s="31"/>
      <c r="JTQ231" s="32"/>
      <c r="JTR231" s="32"/>
      <c r="JTS231" s="32"/>
      <c r="JTT231" s="32"/>
      <c r="JTU231" s="32"/>
      <c r="JTV231" s="31"/>
      <c r="JTW231" s="31"/>
      <c r="JTX231" s="33"/>
      <c r="JTY231" s="33"/>
      <c r="JTZ231" s="34"/>
      <c r="JUA231" s="34"/>
      <c r="JUB231" s="35"/>
      <c r="JUC231" s="35"/>
      <c r="JUD231" s="32"/>
      <c r="JUE231" s="31"/>
      <c r="JUF231" s="31"/>
      <c r="JUG231" s="31"/>
      <c r="JUH231" s="32"/>
      <c r="JUI231" s="32"/>
      <c r="JUJ231" s="32"/>
      <c r="JUK231" s="32"/>
      <c r="JUL231" s="32"/>
      <c r="JUM231" s="31"/>
      <c r="JUN231" s="31"/>
      <c r="JUO231" s="33"/>
      <c r="JUP231" s="33"/>
      <c r="JUQ231" s="34"/>
      <c r="JUR231" s="34"/>
      <c r="JUS231" s="35"/>
      <c r="JUT231" s="35"/>
      <c r="JUU231" s="32"/>
      <c r="JUV231" s="31"/>
      <c r="JUW231" s="31"/>
      <c r="JUX231" s="31"/>
      <c r="JUY231" s="32"/>
      <c r="JUZ231" s="32"/>
      <c r="JVA231" s="32"/>
      <c r="JVB231" s="32"/>
      <c r="JVC231" s="32"/>
      <c r="JVD231" s="31"/>
      <c r="JVE231" s="31"/>
      <c r="JVF231" s="33"/>
      <c r="JVG231" s="33"/>
      <c r="JVH231" s="34"/>
      <c r="JVI231" s="34"/>
      <c r="JVJ231" s="35"/>
      <c r="JVK231" s="35"/>
      <c r="JVL231" s="32"/>
      <c r="JVM231" s="31"/>
      <c r="JVN231" s="31"/>
      <c r="JVO231" s="31"/>
      <c r="JVP231" s="32"/>
      <c r="JVQ231" s="32"/>
      <c r="JVR231" s="32"/>
      <c r="JVS231" s="32"/>
      <c r="JVT231" s="32"/>
      <c r="JVU231" s="31"/>
      <c r="JVV231" s="31"/>
      <c r="JVW231" s="33"/>
      <c r="JVX231" s="33"/>
      <c r="JVY231" s="34"/>
      <c r="JVZ231" s="34"/>
      <c r="JWA231" s="35"/>
      <c r="JWB231" s="35"/>
      <c r="JWC231" s="32"/>
      <c r="JWD231" s="31"/>
      <c r="JWE231" s="31"/>
      <c r="JWF231" s="31"/>
      <c r="JWG231" s="32"/>
      <c r="JWH231" s="32"/>
      <c r="JWI231" s="32"/>
      <c r="JWJ231" s="32"/>
      <c r="JWK231" s="32"/>
      <c r="JWL231" s="31"/>
      <c r="JWM231" s="31"/>
      <c r="JWN231" s="33"/>
      <c r="JWO231" s="33"/>
      <c r="JWP231" s="34"/>
      <c r="JWQ231" s="34"/>
      <c r="JWR231" s="35"/>
      <c r="JWS231" s="35"/>
      <c r="JWT231" s="32"/>
      <c r="JWU231" s="31"/>
      <c r="JWV231" s="31"/>
      <c r="JWW231" s="31"/>
      <c r="JWX231" s="32"/>
      <c r="JWY231" s="32"/>
      <c r="JWZ231" s="32"/>
      <c r="JXA231" s="32"/>
      <c r="JXB231" s="32"/>
      <c r="JXC231" s="31"/>
      <c r="JXD231" s="31"/>
      <c r="JXE231" s="33"/>
      <c r="JXF231" s="33"/>
      <c r="JXG231" s="34"/>
      <c r="JXH231" s="34"/>
      <c r="JXI231" s="35"/>
      <c r="JXJ231" s="35"/>
      <c r="JXK231" s="32"/>
      <c r="JXL231" s="31"/>
      <c r="JXM231" s="31"/>
      <c r="JXN231" s="31"/>
      <c r="JXO231" s="32"/>
      <c r="JXP231" s="32"/>
      <c r="JXQ231" s="32"/>
      <c r="JXR231" s="32"/>
      <c r="JXS231" s="32"/>
      <c r="JXT231" s="31"/>
      <c r="JXU231" s="31"/>
      <c r="JXV231" s="33"/>
      <c r="JXW231" s="33"/>
      <c r="JXX231" s="34"/>
      <c r="JXY231" s="34"/>
      <c r="JXZ231" s="35"/>
      <c r="JYA231" s="35"/>
      <c r="JYB231" s="32"/>
      <c r="JYC231" s="31"/>
      <c r="JYD231" s="31"/>
      <c r="JYE231" s="31"/>
      <c r="JYF231" s="32"/>
      <c r="JYG231" s="32"/>
      <c r="JYH231" s="32"/>
      <c r="JYI231" s="32"/>
      <c r="JYJ231" s="32"/>
      <c r="JYK231" s="31"/>
      <c r="JYL231" s="31"/>
      <c r="JYM231" s="33"/>
      <c r="JYN231" s="33"/>
      <c r="JYO231" s="34"/>
      <c r="JYP231" s="34"/>
      <c r="JYQ231" s="35"/>
      <c r="JYR231" s="35"/>
      <c r="JYS231" s="32"/>
      <c r="JYT231" s="31"/>
      <c r="JYU231" s="31"/>
      <c r="JYV231" s="31"/>
      <c r="JYW231" s="32"/>
      <c r="JYX231" s="32"/>
      <c r="JYY231" s="32"/>
      <c r="JYZ231" s="32"/>
      <c r="JZA231" s="32"/>
      <c r="JZB231" s="31"/>
      <c r="JZC231" s="31"/>
      <c r="JZD231" s="33"/>
      <c r="JZE231" s="33"/>
      <c r="JZF231" s="34"/>
      <c r="JZG231" s="34"/>
      <c r="JZH231" s="35"/>
      <c r="JZI231" s="35"/>
      <c r="JZJ231" s="32"/>
      <c r="JZK231" s="31"/>
      <c r="JZL231" s="31"/>
      <c r="JZM231" s="31"/>
      <c r="JZN231" s="32"/>
      <c r="JZO231" s="32"/>
      <c r="JZP231" s="32"/>
      <c r="JZQ231" s="32"/>
      <c r="JZR231" s="32"/>
      <c r="JZS231" s="31"/>
      <c r="JZT231" s="31"/>
      <c r="JZU231" s="33"/>
      <c r="JZV231" s="33"/>
      <c r="JZW231" s="34"/>
      <c r="JZX231" s="34"/>
      <c r="JZY231" s="35"/>
      <c r="JZZ231" s="35"/>
      <c r="KAA231" s="32"/>
      <c r="KAB231" s="31"/>
      <c r="KAC231" s="31"/>
      <c r="KAD231" s="31"/>
      <c r="KAE231" s="32"/>
      <c r="KAF231" s="32"/>
      <c r="KAG231" s="32"/>
      <c r="KAH231" s="32"/>
      <c r="KAI231" s="32"/>
      <c r="KAJ231" s="31"/>
      <c r="KAK231" s="31"/>
      <c r="KAL231" s="33"/>
      <c r="KAM231" s="33"/>
      <c r="KAN231" s="34"/>
      <c r="KAO231" s="34"/>
      <c r="KAP231" s="35"/>
      <c r="KAQ231" s="35"/>
      <c r="KAR231" s="32"/>
      <c r="KAS231" s="31"/>
      <c r="KAT231" s="31"/>
      <c r="KAU231" s="31"/>
      <c r="KAV231" s="32"/>
      <c r="KAW231" s="32"/>
      <c r="KAX231" s="32"/>
      <c r="KAY231" s="32"/>
      <c r="KAZ231" s="32"/>
      <c r="KBA231" s="31"/>
      <c r="KBB231" s="31"/>
      <c r="KBC231" s="33"/>
      <c r="KBD231" s="33"/>
      <c r="KBE231" s="34"/>
      <c r="KBF231" s="34"/>
      <c r="KBG231" s="35"/>
      <c r="KBH231" s="35"/>
      <c r="KBI231" s="32"/>
      <c r="KBJ231" s="31"/>
      <c r="KBK231" s="31"/>
      <c r="KBL231" s="31"/>
      <c r="KBM231" s="32"/>
      <c r="KBN231" s="32"/>
      <c r="KBO231" s="32"/>
      <c r="KBP231" s="32"/>
      <c r="KBQ231" s="32"/>
      <c r="KBR231" s="31"/>
      <c r="KBS231" s="31"/>
      <c r="KBT231" s="33"/>
      <c r="KBU231" s="33"/>
      <c r="KBV231" s="34"/>
      <c r="KBW231" s="34"/>
      <c r="KBX231" s="35"/>
      <c r="KBY231" s="35"/>
      <c r="KBZ231" s="32"/>
      <c r="KCA231" s="31"/>
      <c r="KCB231" s="31"/>
      <c r="KCC231" s="31"/>
      <c r="KCD231" s="32"/>
      <c r="KCE231" s="32"/>
      <c r="KCF231" s="32"/>
      <c r="KCG231" s="32"/>
      <c r="KCH231" s="32"/>
      <c r="KCI231" s="31"/>
      <c r="KCJ231" s="31"/>
      <c r="KCK231" s="33"/>
      <c r="KCL231" s="33"/>
      <c r="KCM231" s="34"/>
      <c r="KCN231" s="34"/>
      <c r="KCO231" s="35"/>
      <c r="KCP231" s="35"/>
      <c r="KCQ231" s="32"/>
      <c r="KCR231" s="31"/>
      <c r="KCS231" s="31"/>
      <c r="KCT231" s="31"/>
      <c r="KCU231" s="32"/>
      <c r="KCV231" s="32"/>
      <c r="KCW231" s="32"/>
      <c r="KCX231" s="32"/>
      <c r="KCY231" s="32"/>
      <c r="KCZ231" s="31"/>
      <c r="KDA231" s="31"/>
      <c r="KDB231" s="33"/>
      <c r="KDC231" s="33"/>
      <c r="KDD231" s="34"/>
      <c r="KDE231" s="34"/>
      <c r="KDF231" s="35"/>
      <c r="KDG231" s="35"/>
      <c r="KDH231" s="32"/>
      <c r="KDI231" s="31"/>
      <c r="KDJ231" s="31"/>
      <c r="KDK231" s="31"/>
      <c r="KDL231" s="32"/>
      <c r="KDM231" s="32"/>
      <c r="KDN231" s="32"/>
      <c r="KDO231" s="32"/>
      <c r="KDP231" s="32"/>
      <c r="KDQ231" s="31"/>
      <c r="KDR231" s="31"/>
      <c r="KDS231" s="33"/>
      <c r="KDT231" s="33"/>
      <c r="KDU231" s="34"/>
      <c r="KDV231" s="34"/>
      <c r="KDW231" s="35"/>
      <c r="KDX231" s="35"/>
      <c r="KDY231" s="32"/>
      <c r="KDZ231" s="31"/>
      <c r="KEA231" s="31"/>
      <c r="KEB231" s="31"/>
      <c r="KEC231" s="32"/>
      <c r="KED231" s="32"/>
      <c r="KEE231" s="32"/>
      <c r="KEF231" s="32"/>
      <c r="KEG231" s="32"/>
      <c r="KEH231" s="31"/>
      <c r="KEI231" s="31"/>
      <c r="KEJ231" s="33"/>
      <c r="KEK231" s="33"/>
      <c r="KEL231" s="34"/>
      <c r="KEM231" s="34"/>
      <c r="KEN231" s="35"/>
      <c r="KEO231" s="35"/>
      <c r="KEP231" s="32"/>
      <c r="KEQ231" s="31"/>
      <c r="KER231" s="31"/>
      <c r="KES231" s="31"/>
      <c r="KET231" s="32"/>
      <c r="KEU231" s="32"/>
      <c r="KEV231" s="32"/>
      <c r="KEW231" s="32"/>
      <c r="KEX231" s="32"/>
      <c r="KEY231" s="31"/>
      <c r="KEZ231" s="31"/>
      <c r="KFA231" s="33"/>
      <c r="KFB231" s="33"/>
      <c r="KFC231" s="34"/>
      <c r="KFD231" s="34"/>
      <c r="KFE231" s="35"/>
      <c r="KFF231" s="35"/>
      <c r="KFG231" s="32"/>
      <c r="KFH231" s="31"/>
      <c r="KFI231" s="31"/>
      <c r="KFJ231" s="31"/>
      <c r="KFK231" s="32"/>
      <c r="KFL231" s="32"/>
      <c r="KFM231" s="32"/>
      <c r="KFN231" s="32"/>
      <c r="KFO231" s="32"/>
      <c r="KFP231" s="31"/>
      <c r="KFQ231" s="31"/>
      <c r="KFR231" s="33"/>
      <c r="KFS231" s="33"/>
      <c r="KFT231" s="34"/>
      <c r="KFU231" s="34"/>
      <c r="KFV231" s="35"/>
      <c r="KFW231" s="35"/>
      <c r="KFX231" s="32"/>
      <c r="KFY231" s="31"/>
      <c r="KFZ231" s="31"/>
      <c r="KGA231" s="31"/>
      <c r="KGB231" s="32"/>
      <c r="KGC231" s="32"/>
      <c r="KGD231" s="32"/>
      <c r="KGE231" s="32"/>
      <c r="KGF231" s="32"/>
      <c r="KGG231" s="31"/>
      <c r="KGH231" s="31"/>
      <c r="KGI231" s="33"/>
      <c r="KGJ231" s="33"/>
      <c r="KGK231" s="34"/>
      <c r="KGL231" s="34"/>
      <c r="KGM231" s="35"/>
      <c r="KGN231" s="35"/>
      <c r="KGO231" s="32"/>
      <c r="KGP231" s="31"/>
      <c r="KGQ231" s="31"/>
      <c r="KGR231" s="31"/>
      <c r="KGS231" s="32"/>
      <c r="KGT231" s="32"/>
      <c r="KGU231" s="32"/>
      <c r="KGV231" s="32"/>
      <c r="KGW231" s="32"/>
      <c r="KGX231" s="31"/>
      <c r="KGY231" s="31"/>
      <c r="KGZ231" s="33"/>
      <c r="KHA231" s="33"/>
      <c r="KHB231" s="34"/>
      <c r="KHC231" s="34"/>
      <c r="KHD231" s="35"/>
      <c r="KHE231" s="35"/>
      <c r="KHF231" s="32"/>
      <c r="KHG231" s="31"/>
      <c r="KHH231" s="31"/>
      <c r="KHI231" s="31"/>
      <c r="KHJ231" s="32"/>
      <c r="KHK231" s="32"/>
      <c r="KHL231" s="32"/>
      <c r="KHM231" s="32"/>
      <c r="KHN231" s="32"/>
      <c r="KHO231" s="31"/>
      <c r="KHP231" s="31"/>
      <c r="KHQ231" s="33"/>
      <c r="KHR231" s="33"/>
      <c r="KHS231" s="34"/>
      <c r="KHT231" s="34"/>
      <c r="KHU231" s="35"/>
      <c r="KHV231" s="35"/>
      <c r="KHW231" s="32"/>
      <c r="KHX231" s="31"/>
      <c r="KHY231" s="31"/>
      <c r="KHZ231" s="31"/>
      <c r="KIA231" s="32"/>
      <c r="KIB231" s="32"/>
      <c r="KIC231" s="32"/>
      <c r="KID231" s="32"/>
      <c r="KIE231" s="32"/>
      <c r="KIF231" s="31"/>
      <c r="KIG231" s="31"/>
      <c r="KIH231" s="33"/>
      <c r="KII231" s="33"/>
      <c r="KIJ231" s="34"/>
      <c r="KIK231" s="34"/>
      <c r="KIL231" s="35"/>
      <c r="KIM231" s="35"/>
      <c r="KIN231" s="32"/>
      <c r="KIO231" s="31"/>
      <c r="KIP231" s="31"/>
      <c r="KIQ231" s="31"/>
      <c r="KIR231" s="32"/>
      <c r="KIS231" s="32"/>
      <c r="KIT231" s="32"/>
      <c r="KIU231" s="32"/>
      <c r="KIV231" s="32"/>
      <c r="KIW231" s="31"/>
      <c r="KIX231" s="31"/>
      <c r="KIY231" s="33"/>
      <c r="KIZ231" s="33"/>
      <c r="KJA231" s="34"/>
      <c r="KJB231" s="34"/>
      <c r="KJC231" s="35"/>
      <c r="KJD231" s="35"/>
      <c r="KJE231" s="32"/>
      <c r="KJF231" s="31"/>
      <c r="KJG231" s="31"/>
      <c r="KJH231" s="31"/>
      <c r="KJI231" s="32"/>
      <c r="KJJ231" s="32"/>
      <c r="KJK231" s="32"/>
      <c r="KJL231" s="32"/>
      <c r="KJM231" s="32"/>
      <c r="KJN231" s="31"/>
      <c r="KJO231" s="31"/>
      <c r="KJP231" s="33"/>
      <c r="KJQ231" s="33"/>
      <c r="KJR231" s="34"/>
      <c r="KJS231" s="34"/>
      <c r="KJT231" s="35"/>
      <c r="KJU231" s="35"/>
      <c r="KJV231" s="32"/>
      <c r="KJW231" s="31"/>
      <c r="KJX231" s="31"/>
      <c r="KJY231" s="31"/>
      <c r="KJZ231" s="32"/>
      <c r="KKA231" s="32"/>
      <c r="KKB231" s="32"/>
      <c r="KKC231" s="32"/>
      <c r="KKD231" s="32"/>
      <c r="KKE231" s="31"/>
      <c r="KKF231" s="31"/>
      <c r="KKG231" s="33"/>
      <c r="KKH231" s="33"/>
      <c r="KKI231" s="34"/>
      <c r="KKJ231" s="34"/>
      <c r="KKK231" s="35"/>
      <c r="KKL231" s="35"/>
      <c r="KKM231" s="32"/>
      <c r="KKN231" s="31"/>
      <c r="KKO231" s="31"/>
      <c r="KKP231" s="31"/>
      <c r="KKQ231" s="32"/>
      <c r="KKR231" s="32"/>
      <c r="KKS231" s="32"/>
      <c r="KKT231" s="32"/>
      <c r="KKU231" s="32"/>
      <c r="KKV231" s="31"/>
      <c r="KKW231" s="31"/>
      <c r="KKX231" s="33"/>
      <c r="KKY231" s="33"/>
      <c r="KKZ231" s="34"/>
      <c r="KLA231" s="34"/>
      <c r="KLB231" s="35"/>
      <c r="KLC231" s="35"/>
      <c r="KLD231" s="32"/>
      <c r="KLE231" s="31"/>
      <c r="KLF231" s="31"/>
      <c r="KLG231" s="31"/>
      <c r="KLH231" s="32"/>
      <c r="KLI231" s="32"/>
      <c r="KLJ231" s="32"/>
      <c r="KLK231" s="32"/>
      <c r="KLL231" s="32"/>
      <c r="KLM231" s="31"/>
      <c r="KLN231" s="31"/>
      <c r="KLO231" s="33"/>
      <c r="KLP231" s="33"/>
      <c r="KLQ231" s="34"/>
      <c r="KLR231" s="34"/>
      <c r="KLS231" s="35"/>
      <c r="KLT231" s="35"/>
      <c r="KLU231" s="32"/>
      <c r="KLV231" s="31"/>
      <c r="KLW231" s="31"/>
      <c r="KLX231" s="31"/>
      <c r="KLY231" s="32"/>
      <c r="KLZ231" s="32"/>
      <c r="KMA231" s="32"/>
      <c r="KMB231" s="32"/>
      <c r="KMC231" s="32"/>
      <c r="KMD231" s="31"/>
      <c r="KME231" s="31"/>
      <c r="KMF231" s="33"/>
      <c r="KMG231" s="33"/>
      <c r="KMH231" s="34"/>
      <c r="KMI231" s="34"/>
      <c r="KMJ231" s="35"/>
      <c r="KMK231" s="35"/>
      <c r="KML231" s="32"/>
      <c r="KMM231" s="31"/>
      <c r="KMN231" s="31"/>
      <c r="KMO231" s="31"/>
      <c r="KMP231" s="32"/>
      <c r="KMQ231" s="32"/>
      <c r="KMR231" s="32"/>
      <c r="KMS231" s="32"/>
      <c r="KMT231" s="32"/>
      <c r="KMU231" s="31"/>
      <c r="KMV231" s="31"/>
      <c r="KMW231" s="33"/>
      <c r="KMX231" s="33"/>
      <c r="KMY231" s="34"/>
      <c r="KMZ231" s="34"/>
      <c r="KNA231" s="35"/>
      <c r="KNB231" s="35"/>
      <c r="KNC231" s="32"/>
      <c r="KND231" s="31"/>
      <c r="KNE231" s="31"/>
      <c r="KNF231" s="31"/>
      <c r="KNG231" s="32"/>
      <c r="KNH231" s="32"/>
      <c r="KNI231" s="32"/>
      <c r="KNJ231" s="32"/>
      <c r="KNK231" s="32"/>
      <c r="KNL231" s="31"/>
      <c r="KNM231" s="31"/>
      <c r="KNN231" s="33"/>
      <c r="KNO231" s="33"/>
      <c r="KNP231" s="34"/>
      <c r="KNQ231" s="34"/>
      <c r="KNR231" s="35"/>
      <c r="KNS231" s="35"/>
      <c r="KNT231" s="32"/>
      <c r="KNU231" s="31"/>
      <c r="KNV231" s="31"/>
      <c r="KNW231" s="31"/>
      <c r="KNX231" s="32"/>
      <c r="KNY231" s="32"/>
      <c r="KNZ231" s="32"/>
      <c r="KOA231" s="32"/>
      <c r="KOB231" s="32"/>
      <c r="KOC231" s="31"/>
      <c r="KOD231" s="31"/>
      <c r="KOE231" s="33"/>
      <c r="KOF231" s="33"/>
      <c r="KOG231" s="34"/>
      <c r="KOH231" s="34"/>
      <c r="KOI231" s="35"/>
      <c r="KOJ231" s="35"/>
      <c r="KOK231" s="32"/>
      <c r="KOL231" s="31"/>
      <c r="KOM231" s="31"/>
      <c r="KON231" s="31"/>
      <c r="KOO231" s="32"/>
      <c r="KOP231" s="32"/>
      <c r="KOQ231" s="32"/>
      <c r="KOR231" s="32"/>
      <c r="KOS231" s="32"/>
      <c r="KOT231" s="31"/>
      <c r="KOU231" s="31"/>
      <c r="KOV231" s="33"/>
      <c r="KOW231" s="33"/>
      <c r="KOX231" s="34"/>
      <c r="KOY231" s="34"/>
      <c r="KOZ231" s="35"/>
      <c r="KPA231" s="35"/>
      <c r="KPB231" s="32"/>
      <c r="KPC231" s="31"/>
      <c r="KPD231" s="31"/>
      <c r="KPE231" s="31"/>
      <c r="KPF231" s="32"/>
      <c r="KPG231" s="32"/>
      <c r="KPH231" s="32"/>
      <c r="KPI231" s="32"/>
      <c r="KPJ231" s="32"/>
      <c r="KPK231" s="31"/>
      <c r="KPL231" s="31"/>
      <c r="KPM231" s="33"/>
      <c r="KPN231" s="33"/>
      <c r="KPO231" s="34"/>
      <c r="KPP231" s="34"/>
      <c r="KPQ231" s="35"/>
      <c r="KPR231" s="35"/>
      <c r="KPS231" s="32"/>
      <c r="KPT231" s="31"/>
      <c r="KPU231" s="31"/>
      <c r="KPV231" s="31"/>
      <c r="KPW231" s="32"/>
      <c r="KPX231" s="32"/>
      <c r="KPY231" s="32"/>
      <c r="KPZ231" s="32"/>
      <c r="KQA231" s="32"/>
      <c r="KQB231" s="31"/>
      <c r="KQC231" s="31"/>
      <c r="KQD231" s="33"/>
      <c r="KQE231" s="33"/>
      <c r="KQF231" s="34"/>
      <c r="KQG231" s="34"/>
      <c r="KQH231" s="35"/>
      <c r="KQI231" s="35"/>
      <c r="KQJ231" s="32"/>
      <c r="KQK231" s="31"/>
      <c r="KQL231" s="31"/>
      <c r="KQM231" s="31"/>
      <c r="KQN231" s="32"/>
      <c r="KQO231" s="32"/>
      <c r="KQP231" s="32"/>
      <c r="KQQ231" s="32"/>
      <c r="KQR231" s="32"/>
      <c r="KQS231" s="31"/>
      <c r="KQT231" s="31"/>
      <c r="KQU231" s="33"/>
      <c r="KQV231" s="33"/>
      <c r="KQW231" s="34"/>
      <c r="KQX231" s="34"/>
      <c r="KQY231" s="35"/>
      <c r="KQZ231" s="35"/>
      <c r="KRA231" s="32"/>
      <c r="KRB231" s="31"/>
      <c r="KRC231" s="31"/>
      <c r="KRD231" s="31"/>
      <c r="KRE231" s="32"/>
      <c r="KRF231" s="32"/>
      <c r="KRG231" s="32"/>
      <c r="KRH231" s="32"/>
      <c r="KRI231" s="32"/>
      <c r="KRJ231" s="31"/>
      <c r="KRK231" s="31"/>
      <c r="KRL231" s="33"/>
      <c r="KRM231" s="33"/>
      <c r="KRN231" s="34"/>
      <c r="KRO231" s="34"/>
      <c r="KRP231" s="35"/>
      <c r="KRQ231" s="35"/>
      <c r="KRR231" s="32"/>
      <c r="KRS231" s="31"/>
      <c r="KRT231" s="31"/>
      <c r="KRU231" s="31"/>
      <c r="KRV231" s="32"/>
      <c r="KRW231" s="32"/>
      <c r="KRX231" s="32"/>
      <c r="KRY231" s="32"/>
      <c r="KRZ231" s="32"/>
      <c r="KSA231" s="31"/>
      <c r="KSB231" s="31"/>
      <c r="KSC231" s="33"/>
      <c r="KSD231" s="33"/>
      <c r="KSE231" s="34"/>
      <c r="KSF231" s="34"/>
      <c r="KSG231" s="35"/>
      <c r="KSH231" s="35"/>
      <c r="KSI231" s="32"/>
      <c r="KSJ231" s="31"/>
      <c r="KSK231" s="31"/>
      <c r="KSL231" s="31"/>
      <c r="KSM231" s="32"/>
      <c r="KSN231" s="32"/>
      <c r="KSO231" s="32"/>
      <c r="KSP231" s="32"/>
      <c r="KSQ231" s="32"/>
      <c r="KSR231" s="31"/>
      <c r="KSS231" s="31"/>
      <c r="KST231" s="33"/>
      <c r="KSU231" s="33"/>
      <c r="KSV231" s="34"/>
      <c r="KSW231" s="34"/>
      <c r="KSX231" s="35"/>
      <c r="KSY231" s="35"/>
      <c r="KSZ231" s="32"/>
      <c r="KTA231" s="31"/>
      <c r="KTB231" s="31"/>
      <c r="KTC231" s="31"/>
      <c r="KTD231" s="32"/>
      <c r="KTE231" s="32"/>
      <c r="KTF231" s="32"/>
      <c r="KTG231" s="32"/>
      <c r="KTH231" s="32"/>
      <c r="KTI231" s="31"/>
      <c r="KTJ231" s="31"/>
      <c r="KTK231" s="33"/>
      <c r="KTL231" s="33"/>
      <c r="KTM231" s="34"/>
      <c r="KTN231" s="34"/>
      <c r="KTO231" s="35"/>
      <c r="KTP231" s="35"/>
      <c r="KTQ231" s="32"/>
      <c r="KTR231" s="31"/>
      <c r="KTS231" s="31"/>
      <c r="KTT231" s="31"/>
      <c r="KTU231" s="32"/>
      <c r="KTV231" s="32"/>
      <c r="KTW231" s="32"/>
      <c r="KTX231" s="32"/>
      <c r="KTY231" s="32"/>
      <c r="KTZ231" s="31"/>
      <c r="KUA231" s="31"/>
      <c r="KUB231" s="33"/>
      <c r="KUC231" s="33"/>
      <c r="KUD231" s="34"/>
      <c r="KUE231" s="34"/>
      <c r="KUF231" s="35"/>
      <c r="KUG231" s="35"/>
      <c r="KUH231" s="32"/>
      <c r="KUI231" s="31"/>
      <c r="KUJ231" s="31"/>
      <c r="KUK231" s="31"/>
      <c r="KUL231" s="32"/>
      <c r="KUM231" s="32"/>
      <c r="KUN231" s="32"/>
      <c r="KUO231" s="32"/>
      <c r="KUP231" s="32"/>
      <c r="KUQ231" s="31"/>
      <c r="KUR231" s="31"/>
      <c r="KUS231" s="33"/>
      <c r="KUT231" s="33"/>
      <c r="KUU231" s="34"/>
      <c r="KUV231" s="34"/>
      <c r="KUW231" s="35"/>
      <c r="KUX231" s="35"/>
      <c r="KUY231" s="32"/>
      <c r="KUZ231" s="31"/>
      <c r="KVA231" s="31"/>
      <c r="KVB231" s="31"/>
      <c r="KVC231" s="32"/>
      <c r="KVD231" s="32"/>
      <c r="KVE231" s="32"/>
      <c r="KVF231" s="32"/>
      <c r="KVG231" s="32"/>
      <c r="KVH231" s="31"/>
      <c r="KVI231" s="31"/>
      <c r="KVJ231" s="33"/>
      <c r="KVK231" s="33"/>
      <c r="KVL231" s="34"/>
      <c r="KVM231" s="34"/>
      <c r="KVN231" s="35"/>
      <c r="KVO231" s="35"/>
      <c r="KVP231" s="32"/>
      <c r="KVQ231" s="31"/>
      <c r="KVR231" s="31"/>
      <c r="KVS231" s="31"/>
      <c r="KVT231" s="32"/>
      <c r="KVU231" s="32"/>
      <c r="KVV231" s="32"/>
      <c r="KVW231" s="32"/>
      <c r="KVX231" s="32"/>
      <c r="KVY231" s="31"/>
      <c r="KVZ231" s="31"/>
      <c r="KWA231" s="33"/>
      <c r="KWB231" s="33"/>
      <c r="KWC231" s="34"/>
      <c r="KWD231" s="34"/>
      <c r="KWE231" s="35"/>
      <c r="KWF231" s="35"/>
      <c r="KWG231" s="32"/>
      <c r="KWH231" s="31"/>
      <c r="KWI231" s="31"/>
      <c r="KWJ231" s="31"/>
      <c r="KWK231" s="32"/>
      <c r="KWL231" s="32"/>
      <c r="KWM231" s="32"/>
      <c r="KWN231" s="32"/>
      <c r="KWO231" s="32"/>
      <c r="KWP231" s="31"/>
      <c r="KWQ231" s="31"/>
      <c r="KWR231" s="33"/>
      <c r="KWS231" s="33"/>
      <c r="KWT231" s="34"/>
      <c r="KWU231" s="34"/>
      <c r="KWV231" s="35"/>
      <c r="KWW231" s="35"/>
      <c r="KWX231" s="32"/>
      <c r="KWY231" s="31"/>
      <c r="KWZ231" s="31"/>
      <c r="KXA231" s="31"/>
      <c r="KXB231" s="32"/>
      <c r="KXC231" s="32"/>
      <c r="KXD231" s="32"/>
      <c r="KXE231" s="32"/>
      <c r="KXF231" s="32"/>
      <c r="KXG231" s="31"/>
      <c r="KXH231" s="31"/>
      <c r="KXI231" s="33"/>
      <c r="KXJ231" s="33"/>
      <c r="KXK231" s="34"/>
      <c r="KXL231" s="34"/>
      <c r="KXM231" s="35"/>
      <c r="KXN231" s="35"/>
      <c r="KXO231" s="32"/>
      <c r="KXP231" s="31"/>
      <c r="KXQ231" s="31"/>
      <c r="KXR231" s="31"/>
      <c r="KXS231" s="32"/>
      <c r="KXT231" s="32"/>
      <c r="KXU231" s="32"/>
      <c r="KXV231" s="32"/>
      <c r="KXW231" s="32"/>
      <c r="KXX231" s="31"/>
      <c r="KXY231" s="31"/>
      <c r="KXZ231" s="33"/>
      <c r="KYA231" s="33"/>
      <c r="KYB231" s="34"/>
      <c r="KYC231" s="34"/>
      <c r="KYD231" s="35"/>
      <c r="KYE231" s="35"/>
      <c r="KYF231" s="32"/>
      <c r="KYG231" s="31"/>
      <c r="KYH231" s="31"/>
      <c r="KYI231" s="31"/>
      <c r="KYJ231" s="32"/>
      <c r="KYK231" s="32"/>
      <c r="KYL231" s="32"/>
      <c r="KYM231" s="32"/>
      <c r="KYN231" s="32"/>
      <c r="KYO231" s="31"/>
      <c r="KYP231" s="31"/>
      <c r="KYQ231" s="33"/>
      <c r="KYR231" s="33"/>
      <c r="KYS231" s="34"/>
      <c r="KYT231" s="34"/>
      <c r="KYU231" s="35"/>
      <c r="KYV231" s="35"/>
      <c r="KYW231" s="32"/>
      <c r="KYX231" s="31"/>
      <c r="KYY231" s="31"/>
      <c r="KYZ231" s="31"/>
      <c r="KZA231" s="32"/>
      <c r="KZB231" s="32"/>
      <c r="KZC231" s="32"/>
      <c r="KZD231" s="32"/>
      <c r="KZE231" s="32"/>
      <c r="KZF231" s="31"/>
      <c r="KZG231" s="31"/>
      <c r="KZH231" s="33"/>
      <c r="KZI231" s="33"/>
      <c r="KZJ231" s="34"/>
      <c r="KZK231" s="34"/>
      <c r="KZL231" s="35"/>
      <c r="KZM231" s="35"/>
      <c r="KZN231" s="32"/>
      <c r="KZO231" s="31"/>
      <c r="KZP231" s="31"/>
      <c r="KZQ231" s="31"/>
      <c r="KZR231" s="32"/>
      <c r="KZS231" s="32"/>
      <c r="KZT231" s="32"/>
      <c r="KZU231" s="32"/>
      <c r="KZV231" s="32"/>
      <c r="KZW231" s="31"/>
      <c r="KZX231" s="31"/>
      <c r="KZY231" s="33"/>
      <c r="KZZ231" s="33"/>
      <c r="LAA231" s="34"/>
      <c r="LAB231" s="34"/>
      <c r="LAC231" s="35"/>
      <c r="LAD231" s="35"/>
      <c r="LAE231" s="32"/>
      <c r="LAF231" s="31"/>
      <c r="LAG231" s="31"/>
      <c r="LAH231" s="31"/>
      <c r="LAI231" s="32"/>
      <c r="LAJ231" s="32"/>
      <c r="LAK231" s="32"/>
      <c r="LAL231" s="32"/>
      <c r="LAM231" s="32"/>
      <c r="LAN231" s="31"/>
      <c r="LAO231" s="31"/>
      <c r="LAP231" s="33"/>
      <c r="LAQ231" s="33"/>
      <c r="LAR231" s="34"/>
      <c r="LAS231" s="34"/>
      <c r="LAT231" s="35"/>
      <c r="LAU231" s="35"/>
      <c r="LAV231" s="32"/>
      <c r="LAW231" s="31"/>
      <c r="LAX231" s="31"/>
      <c r="LAY231" s="31"/>
      <c r="LAZ231" s="32"/>
      <c r="LBA231" s="32"/>
      <c r="LBB231" s="32"/>
      <c r="LBC231" s="32"/>
      <c r="LBD231" s="32"/>
      <c r="LBE231" s="31"/>
      <c r="LBF231" s="31"/>
      <c r="LBG231" s="33"/>
      <c r="LBH231" s="33"/>
      <c r="LBI231" s="34"/>
      <c r="LBJ231" s="34"/>
      <c r="LBK231" s="35"/>
      <c r="LBL231" s="35"/>
      <c r="LBM231" s="32"/>
      <c r="LBN231" s="31"/>
      <c r="LBO231" s="31"/>
      <c r="LBP231" s="31"/>
      <c r="LBQ231" s="32"/>
      <c r="LBR231" s="32"/>
      <c r="LBS231" s="32"/>
      <c r="LBT231" s="32"/>
      <c r="LBU231" s="32"/>
      <c r="LBV231" s="31"/>
      <c r="LBW231" s="31"/>
      <c r="LBX231" s="33"/>
      <c r="LBY231" s="33"/>
      <c r="LBZ231" s="34"/>
      <c r="LCA231" s="34"/>
      <c r="LCB231" s="35"/>
      <c r="LCC231" s="35"/>
      <c r="LCD231" s="32"/>
      <c r="LCE231" s="31"/>
      <c r="LCF231" s="31"/>
      <c r="LCG231" s="31"/>
      <c r="LCH231" s="32"/>
      <c r="LCI231" s="32"/>
      <c r="LCJ231" s="32"/>
      <c r="LCK231" s="32"/>
      <c r="LCL231" s="32"/>
      <c r="LCM231" s="31"/>
      <c r="LCN231" s="31"/>
      <c r="LCO231" s="33"/>
      <c r="LCP231" s="33"/>
      <c r="LCQ231" s="34"/>
      <c r="LCR231" s="34"/>
      <c r="LCS231" s="35"/>
      <c r="LCT231" s="35"/>
      <c r="LCU231" s="32"/>
      <c r="LCV231" s="31"/>
      <c r="LCW231" s="31"/>
      <c r="LCX231" s="31"/>
      <c r="LCY231" s="32"/>
      <c r="LCZ231" s="32"/>
      <c r="LDA231" s="32"/>
      <c r="LDB231" s="32"/>
      <c r="LDC231" s="32"/>
      <c r="LDD231" s="31"/>
      <c r="LDE231" s="31"/>
      <c r="LDF231" s="33"/>
      <c r="LDG231" s="33"/>
      <c r="LDH231" s="34"/>
      <c r="LDI231" s="34"/>
      <c r="LDJ231" s="35"/>
      <c r="LDK231" s="35"/>
      <c r="LDL231" s="32"/>
      <c r="LDM231" s="31"/>
      <c r="LDN231" s="31"/>
      <c r="LDO231" s="31"/>
      <c r="LDP231" s="32"/>
      <c r="LDQ231" s="32"/>
      <c r="LDR231" s="32"/>
      <c r="LDS231" s="32"/>
      <c r="LDT231" s="32"/>
      <c r="LDU231" s="31"/>
      <c r="LDV231" s="31"/>
      <c r="LDW231" s="33"/>
      <c r="LDX231" s="33"/>
      <c r="LDY231" s="34"/>
      <c r="LDZ231" s="34"/>
      <c r="LEA231" s="35"/>
      <c r="LEB231" s="35"/>
      <c r="LEC231" s="32"/>
      <c r="LED231" s="31"/>
      <c r="LEE231" s="31"/>
      <c r="LEF231" s="31"/>
      <c r="LEG231" s="32"/>
      <c r="LEH231" s="32"/>
      <c r="LEI231" s="32"/>
      <c r="LEJ231" s="32"/>
      <c r="LEK231" s="32"/>
      <c r="LEL231" s="31"/>
      <c r="LEM231" s="31"/>
      <c r="LEN231" s="33"/>
      <c r="LEO231" s="33"/>
      <c r="LEP231" s="34"/>
      <c r="LEQ231" s="34"/>
      <c r="LER231" s="35"/>
      <c r="LES231" s="35"/>
      <c r="LET231" s="32"/>
      <c r="LEU231" s="31"/>
      <c r="LEV231" s="31"/>
      <c r="LEW231" s="31"/>
      <c r="LEX231" s="32"/>
      <c r="LEY231" s="32"/>
      <c r="LEZ231" s="32"/>
      <c r="LFA231" s="32"/>
      <c r="LFB231" s="32"/>
      <c r="LFC231" s="31"/>
      <c r="LFD231" s="31"/>
      <c r="LFE231" s="33"/>
      <c r="LFF231" s="33"/>
      <c r="LFG231" s="34"/>
      <c r="LFH231" s="34"/>
      <c r="LFI231" s="35"/>
      <c r="LFJ231" s="35"/>
      <c r="LFK231" s="32"/>
      <c r="LFL231" s="31"/>
      <c r="LFM231" s="31"/>
      <c r="LFN231" s="31"/>
      <c r="LFO231" s="32"/>
      <c r="LFP231" s="32"/>
      <c r="LFQ231" s="32"/>
      <c r="LFR231" s="32"/>
      <c r="LFS231" s="32"/>
      <c r="LFT231" s="31"/>
      <c r="LFU231" s="31"/>
      <c r="LFV231" s="33"/>
      <c r="LFW231" s="33"/>
      <c r="LFX231" s="34"/>
      <c r="LFY231" s="34"/>
      <c r="LFZ231" s="35"/>
      <c r="LGA231" s="35"/>
      <c r="LGB231" s="32"/>
      <c r="LGC231" s="31"/>
      <c r="LGD231" s="31"/>
      <c r="LGE231" s="31"/>
      <c r="LGF231" s="32"/>
      <c r="LGG231" s="32"/>
      <c r="LGH231" s="32"/>
      <c r="LGI231" s="32"/>
      <c r="LGJ231" s="32"/>
      <c r="LGK231" s="31"/>
      <c r="LGL231" s="31"/>
      <c r="LGM231" s="33"/>
      <c r="LGN231" s="33"/>
      <c r="LGO231" s="34"/>
      <c r="LGP231" s="34"/>
      <c r="LGQ231" s="35"/>
      <c r="LGR231" s="35"/>
      <c r="LGS231" s="32"/>
      <c r="LGT231" s="31"/>
      <c r="LGU231" s="31"/>
      <c r="LGV231" s="31"/>
      <c r="LGW231" s="32"/>
      <c r="LGX231" s="32"/>
      <c r="LGY231" s="32"/>
      <c r="LGZ231" s="32"/>
      <c r="LHA231" s="32"/>
      <c r="LHB231" s="31"/>
      <c r="LHC231" s="31"/>
      <c r="LHD231" s="33"/>
      <c r="LHE231" s="33"/>
      <c r="LHF231" s="34"/>
      <c r="LHG231" s="34"/>
      <c r="LHH231" s="35"/>
      <c r="LHI231" s="35"/>
      <c r="LHJ231" s="32"/>
      <c r="LHK231" s="31"/>
      <c r="LHL231" s="31"/>
      <c r="LHM231" s="31"/>
      <c r="LHN231" s="32"/>
      <c r="LHO231" s="32"/>
      <c r="LHP231" s="32"/>
      <c r="LHQ231" s="32"/>
      <c r="LHR231" s="32"/>
      <c r="LHS231" s="31"/>
      <c r="LHT231" s="31"/>
      <c r="LHU231" s="33"/>
      <c r="LHV231" s="33"/>
      <c r="LHW231" s="34"/>
      <c r="LHX231" s="34"/>
      <c r="LHY231" s="35"/>
      <c r="LHZ231" s="35"/>
      <c r="LIA231" s="32"/>
      <c r="LIB231" s="31"/>
      <c r="LIC231" s="31"/>
      <c r="LID231" s="31"/>
      <c r="LIE231" s="32"/>
      <c r="LIF231" s="32"/>
      <c r="LIG231" s="32"/>
      <c r="LIH231" s="32"/>
      <c r="LII231" s="32"/>
      <c r="LIJ231" s="31"/>
      <c r="LIK231" s="31"/>
      <c r="LIL231" s="33"/>
      <c r="LIM231" s="33"/>
      <c r="LIN231" s="34"/>
      <c r="LIO231" s="34"/>
      <c r="LIP231" s="35"/>
      <c r="LIQ231" s="35"/>
      <c r="LIR231" s="32"/>
      <c r="LIS231" s="31"/>
      <c r="LIT231" s="31"/>
      <c r="LIU231" s="31"/>
      <c r="LIV231" s="32"/>
      <c r="LIW231" s="32"/>
      <c r="LIX231" s="32"/>
      <c r="LIY231" s="32"/>
      <c r="LIZ231" s="32"/>
      <c r="LJA231" s="31"/>
      <c r="LJB231" s="31"/>
      <c r="LJC231" s="33"/>
      <c r="LJD231" s="33"/>
      <c r="LJE231" s="34"/>
      <c r="LJF231" s="34"/>
      <c r="LJG231" s="35"/>
      <c r="LJH231" s="35"/>
      <c r="LJI231" s="32"/>
      <c r="LJJ231" s="31"/>
      <c r="LJK231" s="31"/>
      <c r="LJL231" s="31"/>
      <c r="LJM231" s="32"/>
      <c r="LJN231" s="32"/>
      <c r="LJO231" s="32"/>
      <c r="LJP231" s="32"/>
      <c r="LJQ231" s="32"/>
      <c r="LJR231" s="31"/>
      <c r="LJS231" s="31"/>
      <c r="LJT231" s="33"/>
      <c r="LJU231" s="33"/>
      <c r="LJV231" s="34"/>
      <c r="LJW231" s="34"/>
      <c r="LJX231" s="35"/>
      <c r="LJY231" s="35"/>
      <c r="LJZ231" s="32"/>
      <c r="LKA231" s="31"/>
      <c r="LKB231" s="31"/>
      <c r="LKC231" s="31"/>
      <c r="LKD231" s="32"/>
      <c r="LKE231" s="32"/>
      <c r="LKF231" s="32"/>
      <c r="LKG231" s="32"/>
      <c r="LKH231" s="32"/>
      <c r="LKI231" s="31"/>
      <c r="LKJ231" s="31"/>
      <c r="LKK231" s="33"/>
      <c r="LKL231" s="33"/>
      <c r="LKM231" s="34"/>
      <c r="LKN231" s="34"/>
      <c r="LKO231" s="35"/>
      <c r="LKP231" s="35"/>
      <c r="LKQ231" s="32"/>
      <c r="LKR231" s="31"/>
      <c r="LKS231" s="31"/>
      <c r="LKT231" s="31"/>
      <c r="LKU231" s="32"/>
      <c r="LKV231" s="32"/>
      <c r="LKW231" s="32"/>
      <c r="LKX231" s="32"/>
      <c r="LKY231" s="32"/>
      <c r="LKZ231" s="31"/>
      <c r="LLA231" s="31"/>
      <c r="LLB231" s="33"/>
      <c r="LLC231" s="33"/>
      <c r="LLD231" s="34"/>
      <c r="LLE231" s="34"/>
      <c r="LLF231" s="35"/>
      <c r="LLG231" s="35"/>
      <c r="LLH231" s="32"/>
      <c r="LLI231" s="31"/>
      <c r="LLJ231" s="31"/>
      <c r="LLK231" s="31"/>
      <c r="LLL231" s="32"/>
      <c r="LLM231" s="32"/>
      <c r="LLN231" s="32"/>
      <c r="LLO231" s="32"/>
      <c r="LLP231" s="32"/>
      <c r="LLQ231" s="31"/>
      <c r="LLR231" s="31"/>
      <c r="LLS231" s="33"/>
      <c r="LLT231" s="33"/>
      <c r="LLU231" s="34"/>
      <c r="LLV231" s="34"/>
      <c r="LLW231" s="35"/>
      <c r="LLX231" s="35"/>
      <c r="LLY231" s="32"/>
      <c r="LLZ231" s="31"/>
      <c r="LMA231" s="31"/>
      <c r="LMB231" s="31"/>
      <c r="LMC231" s="32"/>
      <c r="LMD231" s="32"/>
      <c r="LME231" s="32"/>
      <c r="LMF231" s="32"/>
      <c r="LMG231" s="32"/>
      <c r="LMH231" s="31"/>
      <c r="LMI231" s="31"/>
      <c r="LMJ231" s="33"/>
      <c r="LMK231" s="33"/>
      <c r="LML231" s="34"/>
      <c r="LMM231" s="34"/>
      <c r="LMN231" s="35"/>
      <c r="LMO231" s="35"/>
      <c r="LMP231" s="32"/>
      <c r="LMQ231" s="31"/>
      <c r="LMR231" s="31"/>
      <c r="LMS231" s="31"/>
      <c r="LMT231" s="32"/>
      <c r="LMU231" s="32"/>
      <c r="LMV231" s="32"/>
      <c r="LMW231" s="32"/>
      <c r="LMX231" s="32"/>
      <c r="LMY231" s="31"/>
      <c r="LMZ231" s="31"/>
      <c r="LNA231" s="33"/>
      <c r="LNB231" s="33"/>
      <c r="LNC231" s="34"/>
      <c r="LND231" s="34"/>
      <c r="LNE231" s="35"/>
      <c r="LNF231" s="35"/>
      <c r="LNG231" s="32"/>
      <c r="LNH231" s="31"/>
      <c r="LNI231" s="31"/>
      <c r="LNJ231" s="31"/>
      <c r="LNK231" s="32"/>
      <c r="LNL231" s="32"/>
      <c r="LNM231" s="32"/>
      <c r="LNN231" s="32"/>
      <c r="LNO231" s="32"/>
      <c r="LNP231" s="31"/>
      <c r="LNQ231" s="31"/>
      <c r="LNR231" s="33"/>
      <c r="LNS231" s="33"/>
      <c r="LNT231" s="34"/>
      <c r="LNU231" s="34"/>
      <c r="LNV231" s="35"/>
      <c r="LNW231" s="35"/>
      <c r="LNX231" s="32"/>
      <c r="LNY231" s="31"/>
      <c r="LNZ231" s="31"/>
      <c r="LOA231" s="31"/>
      <c r="LOB231" s="32"/>
      <c r="LOC231" s="32"/>
      <c r="LOD231" s="32"/>
      <c r="LOE231" s="32"/>
      <c r="LOF231" s="32"/>
      <c r="LOG231" s="31"/>
      <c r="LOH231" s="31"/>
      <c r="LOI231" s="33"/>
      <c r="LOJ231" s="33"/>
      <c r="LOK231" s="34"/>
      <c r="LOL231" s="34"/>
      <c r="LOM231" s="35"/>
      <c r="LON231" s="35"/>
      <c r="LOO231" s="32"/>
      <c r="LOP231" s="31"/>
      <c r="LOQ231" s="31"/>
      <c r="LOR231" s="31"/>
      <c r="LOS231" s="32"/>
      <c r="LOT231" s="32"/>
      <c r="LOU231" s="32"/>
      <c r="LOV231" s="32"/>
      <c r="LOW231" s="32"/>
      <c r="LOX231" s="31"/>
      <c r="LOY231" s="31"/>
      <c r="LOZ231" s="33"/>
      <c r="LPA231" s="33"/>
      <c r="LPB231" s="34"/>
      <c r="LPC231" s="34"/>
      <c r="LPD231" s="35"/>
      <c r="LPE231" s="35"/>
      <c r="LPF231" s="32"/>
      <c r="LPG231" s="31"/>
      <c r="LPH231" s="31"/>
      <c r="LPI231" s="31"/>
      <c r="LPJ231" s="32"/>
      <c r="LPK231" s="32"/>
      <c r="LPL231" s="32"/>
      <c r="LPM231" s="32"/>
      <c r="LPN231" s="32"/>
      <c r="LPO231" s="31"/>
      <c r="LPP231" s="31"/>
      <c r="LPQ231" s="33"/>
      <c r="LPR231" s="33"/>
      <c r="LPS231" s="34"/>
      <c r="LPT231" s="34"/>
      <c r="LPU231" s="35"/>
      <c r="LPV231" s="35"/>
      <c r="LPW231" s="32"/>
      <c r="LPX231" s="31"/>
      <c r="LPY231" s="31"/>
      <c r="LPZ231" s="31"/>
      <c r="LQA231" s="32"/>
      <c r="LQB231" s="32"/>
      <c r="LQC231" s="32"/>
      <c r="LQD231" s="32"/>
      <c r="LQE231" s="32"/>
      <c r="LQF231" s="31"/>
      <c r="LQG231" s="31"/>
      <c r="LQH231" s="33"/>
      <c r="LQI231" s="33"/>
      <c r="LQJ231" s="34"/>
      <c r="LQK231" s="34"/>
      <c r="LQL231" s="35"/>
      <c r="LQM231" s="35"/>
      <c r="LQN231" s="32"/>
      <c r="LQO231" s="31"/>
      <c r="LQP231" s="31"/>
      <c r="LQQ231" s="31"/>
      <c r="LQR231" s="32"/>
      <c r="LQS231" s="32"/>
      <c r="LQT231" s="32"/>
      <c r="LQU231" s="32"/>
      <c r="LQV231" s="32"/>
      <c r="LQW231" s="31"/>
      <c r="LQX231" s="31"/>
      <c r="LQY231" s="33"/>
      <c r="LQZ231" s="33"/>
      <c r="LRA231" s="34"/>
      <c r="LRB231" s="34"/>
      <c r="LRC231" s="35"/>
      <c r="LRD231" s="35"/>
      <c r="LRE231" s="32"/>
      <c r="LRF231" s="31"/>
      <c r="LRG231" s="31"/>
      <c r="LRH231" s="31"/>
      <c r="LRI231" s="32"/>
      <c r="LRJ231" s="32"/>
      <c r="LRK231" s="32"/>
      <c r="LRL231" s="32"/>
      <c r="LRM231" s="32"/>
      <c r="LRN231" s="31"/>
      <c r="LRO231" s="31"/>
      <c r="LRP231" s="33"/>
      <c r="LRQ231" s="33"/>
      <c r="LRR231" s="34"/>
      <c r="LRS231" s="34"/>
      <c r="LRT231" s="35"/>
      <c r="LRU231" s="35"/>
      <c r="LRV231" s="32"/>
      <c r="LRW231" s="31"/>
      <c r="LRX231" s="31"/>
      <c r="LRY231" s="31"/>
      <c r="LRZ231" s="32"/>
      <c r="LSA231" s="32"/>
      <c r="LSB231" s="32"/>
      <c r="LSC231" s="32"/>
      <c r="LSD231" s="32"/>
      <c r="LSE231" s="31"/>
      <c r="LSF231" s="31"/>
      <c r="LSG231" s="33"/>
      <c r="LSH231" s="33"/>
      <c r="LSI231" s="34"/>
      <c r="LSJ231" s="34"/>
      <c r="LSK231" s="35"/>
      <c r="LSL231" s="35"/>
      <c r="LSM231" s="32"/>
      <c r="LSN231" s="31"/>
      <c r="LSO231" s="31"/>
      <c r="LSP231" s="31"/>
      <c r="LSQ231" s="32"/>
      <c r="LSR231" s="32"/>
      <c r="LSS231" s="32"/>
      <c r="LST231" s="32"/>
      <c r="LSU231" s="32"/>
      <c r="LSV231" s="31"/>
      <c r="LSW231" s="31"/>
      <c r="LSX231" s="33"/>
      <c r="LSY231" s="33"/>
      <c r="LSZ231" s="34"/>
      <c r="LTA231" s="34"/>
      <c r="LTB231" s="35"/>
      <c r="LTC231" s="35"/>
      <c r="LTD231" s="32"/>
      <c r="LTE231" s="31"/>
      <c r="LTF231" s="31"/>
      <c r="LTG231" s="31"/>
      <c r="LTH231" s="32"/>
      <c r="LTI231" s="32"/>
      <c r="LTJ231" s="32"/>
      <c r="LTK231" s="32"/>
      <c r="LTL231" s="32"/>
      <c r="LTM231" s="31"/>
      <c r="LTN231" s="31"/>
      <c r="LTO231" s="33"/>
      <c r="LTP231" s="33"/>
      <c r="LTQ231" s="34"/>
      <c r="LTR231" s="34"/>
      <c r="LTS231" s="35"/>
      <c r="LTT231" s="35"/>
      <c r="LTU231" s="32"/>
      <c r="LTV231" s="31"/>
      <c r="LTW231" s="31"/>
      <c r="LTX231" s="31"/>
      <c r="LTY231" s="32"/>
      <c r="LTZ231" s="32"/>
      <c r="LUA231" s="32"/>
      <c r="LUB231" s="32"/>
      <c r="LUC231" s="32"/>
      <c r="LUD231" s="31"/>
      <c r="LUE231" s="31"/>
      <c r="LUF231" s="33"/>
      <c r="LUG231" s="33"/>
      <c r="LUH231" s="34"/>
      <c r="LUI231" s="34"/>
      <c r="LUJ231" s="35"/>
      <c r="LUK231" s="35"/>
      <c r="LUL231" s="32"/>
      <c r="LUM231" s="31"/>
      <c r="LUN231" s="31"/>
      <c r="LUO231" s="31"/>
      <c r="LUP231" s="32"/>
      <c r="LUQ231" s="32"/>
      <c r="LUR231" s="32"/>
      <c r="LUS231" s="32"/>
      <c r="LUT231" s="32"/>
      <c r="LUU231" s="31"/>
      <c r="LUV231" s="31"/>
      <c r="LUW231" s="33"/>
      <c r="LUX231" s="33"/>
      <c r="LUY231" s="34"/>
      <c r="LUZ231" s="34"/>
      <c r="LVA231" s="35"/>
      <c r="LVB231" s="35"/>
      <c r="LVC231" s="32"/>
      <c r="LVD231" s="31"/>
      <c r="LVE231" s="31"/>
      <c r="LVF231" s="31"/>
      <c r="LVG231" s="32"/>
      <c r="LVH231" s="32"/>
      <c r="LVI231" s="32"/>
      <c r="LVJ231" s="32"/>
      <c r="LVK231" s="32"/>
      <c r="LVL231" s="31"/>
      <c r="LVM231" s="31"/>
      <c r="LVN231" s="33"/>
      <c r="LVO231" s="33"/>
      <c r="LVP231" s="34"/>
      <c r="LVQ231" s="34"/>
      <c r="LVR231" s="35"/>
      <c r="LVS231" s="35"/>
      <c r="LVT231" s="32"/>
      <c r="LVU231" s="31"/>
      <c r="LVV231" s="31"/>
      <c r="LVW231" s="31"/>
      <c r="LVX231" s="32"/>
      <c r="LVY231" s="32"/>
      <c r="LVZ231" s="32"/>
      <c r="LWA231" s="32"/>
      <c r="LWB231" s="32"/>
      <c r="LWC231" s="31"/>
      <c r="LWD231" s="31"/>
      <c r="LWE231" s="33"/>
      <c r="LWF231" s="33"/>
      <c r="LWG231" s="34"/>
      <c r="LWH231" s="34"/>
      <c r="LWI231" s="35"/>
      <c r="LWJ231" s="35"/>
      <c r="LWK231" s="32"/>
      <c r="LWL231" s="31"/>
      <c r="LWM231" s="31"/>
      <c r="LWN231" s="31"/>
      <c r="LWO231" s="32"/>
      <c r="LWP231" s="32"/>
      <c r="LWQ231" s="32"/>
      <c r="LWR231" s="32"/>
      <c r="LWS231" s="32"/>
      <c r="LWT231" s="31"/>
      <c r="LWU231" s="31"/>
      <c r="LWV231" s="33"/>
      <c r="LWW231" s="33"/>
      <c r="LWX231" s="34"/>
      <c r="LWY231" s="34"/>
      <c r="LWZ231" s="35"/>
      <c r="LXA231" s="35"/>
      <c r="LXB231" s="32"/>
      <c r="LXC231" s="31"/>
      <c r="LXD231" s="31"/>
      <c r="LXE231" s="31"/>
      <c r="LXF231" s="32"/>
      <c r="LXG231" s="32"/>
      <c r="LXH231" s="32"/>
      <c r="LXI231" s="32"/>
      <c r="LXJ231" s="32"/>
      <c r="LXK231" s="31"/>
      <c r="LXL231" s="31"/>
      <c r="LXM231" s="33"/>
      <c r="LXN231" s="33"/>
      <c r="LXO231" s="34"/>
      <c r="LXP231" s="34"/>
      <c r="LXQ231" s="35"/>
      <c r="LXR231" s="35"/>
      <c r="LXS231" s="32"/>
      <c r="LXT231" s="31"/>
      <c r="LXU231" s="31"/>
      <c r="LXV231" s="31"/>
      <c r="LXW231" s="32"/>
      <c r="LXX231" s="32"/>
      <c r="LXY231" s="32"/>
      <c r="LXZ231" s="32"/>
      <c r="LYA231" s="32"/>
      <c r="LYB231" s="31"/>
      <c r="LYC231" s="31"/>
      <c r="LYD231" s="33"/>
      <c r="LYE231" s="33"/>
      <c r="LYF231" s="34"/>
      <c r="LYG231" s="34"/>
      <c r="LYH231" s="35"/>
      <c r="LYI231" s="35"/>
      <c r="LYJ231" s="32"/>
      <c r="LYK231" s="31"/>
      <c r="LYL231" s="31"/>
      <c r="LYM231" s="31"/>
      <c r="LYN231" s="32"/>
      <c r="LYO231" s="32"/>
      <c r="LYP231" s="32"/>
      <c r="LYQ231" s="32"/>
      <c r="LYR231" s="32"/>
      <c r="LYS231" s="31"/>
      <c r="LYT231" s="31"/>
      <c r="LYU231" s="33"/>
      <c r="LYV231" s="33"/>
      <c r="LYW231" s="34"/>
      <c r="LYX231" s="34"/>
      <c r="LYY231" s="35"/>
      <c r="LYZ231" s="35"/>
      <c r="LZA231" s="32"/>
      <c r="LZB231" s="31"/>
      <c r="LZC231" s="31"/>
      <c r="LZD231" s="31"/>
      <c r="LZE231" s="32"/>
      <c r="LZF231" s="32"/>
      <c r="LZG231" s="32"/>
      <c r="LZH231" s="32"/>
      <c r="LZI231" s="32"/>
      <c r="LZJ231" s="31"/>
      <c r="LZK231" s="31"/>
      <c r="LZL231" s="33"/>
      <c r="LZM231" s="33"/>
      <c r="LZN231" s="34"/>
      <c r="LZO231" s="34"/>
      <c r="LZP231" s="35"/>
      <c r="LZQ231" s="35"/>
      <c r="LZR231" s="32"/>
      <c r="LZS231" s="31"/>
      <c r="LZT231" s="31"/>
      <c r="LZU231" s="31"/>
      <c r="LZV231" s="32"/>
      <c r="LZW231" s="32"/>
      <c r="LZX231" s="32"/>
      <c r="LZY231" s="32"/>
      <c r="LZZ231" s="32"/>
      <c r="MAA231" s="31"/>
      <c r="MAB231" s="31"/>
      <c r="MAC231" s="33"/>
      <c r="MAD231" s="33"/>
      <c r="MAE231" s="34"/>
      <c r="MAF231" s="34"/>
      <c r="MAG231" s="35"/>
      <c r="MAH231" s="35"/>
      <c r="MAI231" s="32"/>
      <c r="MAJ231" s="31"/>
      <c r="MAK231" s="31"/>
      <c r="MAL231" s="31"/>
      <c r="MAM231" s="32"/>
      <c r="MAN231" s="32"/>
      <c r="MAO231" s="32"/>
      <c r="MAP231" s="32"/>
      <c r="MAQ231" s="32"/>
      <c r="MAR231" s="31"/>
      <c r="MAS231" s="31"/>
      <c r="MAT231" s="33"/>
      <c r="MAU231" s="33"/>
      <c r="MAV231" s="34"/>
      <c r="MAW231" s="34"/>
      <c r="MAX231" s="35"/>
      <c r="MAY231" s="35"/>
      <c r="MAZ231" s="32"/>
      <c r="MBA231" s="31"/>
      <c r="MBB231" s="31"/>
      <c r="MBC231" s="31"/>
      <c r="MBD231" s="32"/>
      <c r="MBE231" s="32"/>
      <c r="MBF231" s="32"/>
      <c r="MBG231" s="32"/>
      <c r="MBH231" s="32"/>
      <c r="MBI231" s="31"/>
      <c r="MBJ231" s="31"/>
      <c r="MBK231" s="33"/>
      <c r="MBL231" s="33"/>
      <c r="MBM231" s="34"/>
      <c r="MBN231" s="34"/>
      <c r="MBO231" s="35"/>
      <c r="MBP231" s="35"/>
      <c r="MBQ231" s="32"/>
      <c r="MBR231" s="31"/>
      <c r="MBS231" s="31"/>
      <c r="MBT231" s="31"/>
      <c r="MBU231" s="32"/>
      <c r="MBV231" s="32"/>
      <c r="MBW231" s="32"/>
      <c r="MBX231" s="32"/>
      <c r="MBY231" s="32"/>
      <c r="MBZ231" s="31"/>
      <c r="MCA231" s="31"/>
      <c r="MCB231" s="33"/>
      <c r="MCC231" s="33"/>
      <c r="MCD231" s="34"/>
      <c r="MCE231" s="34"/>
      <c r="MCF231" s="35"/>
      <c r="MCG231" s="35"/>
      <c r="MCH231" s="32"/>
      <c r="MCI231" s="31"/>
      <c r="MCJ231" s="31"/>
      <c r="MCK231" s="31"/>
      <c r="MCL231" s="32"/>
      <c r="MCM231" s="32"/>
      <c r="MCN231" s="32"/>
      <c r="MCO231" s="32"/>
      <c r="MCP231" s="32"/>
      <c r="MCQ231" s="31"/>
      <c r="MCR231" s="31"/>
      <c r="MCS231" s="33"/>
      <c r="MCT231" s="33"/>
      <c r="MCU231" s="34"/>
      <c r="MCV231" s="34"/>
      <c r="MCW231" s="35"/>
      <c r="MCX231" s="35"/>
      <c r="MCY231" s="32"/>
      <c r="MCZ231" s="31"/>
      <c r="MDA231" s="31"/>
      <c r="MDB231" s="31"/>
      <c r="MDC231" s="32"/>
      <c r="MDD231" s="32"/>
      <c r="MDE231" s="32"/>
      <c r="MDF231" s="32"/>
      <c r="MDG231" s="32"/>
      <c r="MDH231" s="31"/>
      <c r="MDI231" s="31"/>
      <c r="MDJ231" s="33"/>
      <c r="MDK231" s="33"/>
      <c r="MDL231" s="34"/>
      <c r="MDM231" s="34"/>
      <c r="MDN231" s="35"/>
      <c r="MDO231" s="35"/>
      <c r="MDP231" s="32"/>
      <c r="MDQ231" s="31"/>
      <c r="MDR231" s="31"/>
      <c r="MDS231" s="31"/>
      <c r="MDT231" s="32"/>
      <c r="MDU231" s="32"/>
      <c r="MDV231" s="32"/>
      <c r="MDW231" s="32"/>
      <c r="MDX231" s="32"/>
      <c r="MDY231" s="31"/>
      <c r="MDZ231" s="31"/>
      <c r="MEA231" s="33"/>
      <c r="MEB231" s="33"/>
      <c r="MEC231" s="34"/>
      <c r="MED231" s="34"/>
      <c r="MEE231" s="35"/>
      <c r="MEF231" s="35"/>
      <c r="MEG231" s="32"/>
      <c r="MEH231" s="31"/>
      <c r="MEI231" s="31"/>
      <c r="MEJ231" s="31"/>
      <c r="MEK231" s="32"/>
      <c r="MEL231" s="32"/>
      <c r="MEM231" s="32"/>
      <c r="MEN231" s="32"/>
      <c r="MEO231" s="32"/>
      <c r="MEP231" s="31"/>
      <c r="MEQ231" s="31"/>
      <c r="MER231" s="33"/>
      <c r="MES231" s="33"/>
      <c r="MET231" s="34"/>
      <c r="MEU231" s="34"/>
      <c r="MEV231" s="35"/>
      <c r="MEW231" s="35"/>
      <c r="MEX231" s="32"/>
      <c r="MEY231" s="31"/>
      <c r="MEZ231" s="31"/>
      <c r="MFA231" s="31"/>
      <c r="MFB231" s="32"/>
      <c r="MFC231" s="32"/>
      <c r="MFD231" s="32"/>
      <c r="MFE231" s="32"/>
      <c r="MFF231" s="32"/>
      <c r="MFG231" s="31"/>
      <c r="MFH231" s="31"/>
      <c r="MFI231" s="33"/>
      <c r="MFJ231" s="33"/>
      <c r="MFK231" s="34"/>
      <c r="MFL231" s="34"/>
      <c r="MFM231" s="35"/>
      <c r="MFN231" s="35"/>
      <c r="MFO231" s="32"/>
      <c r="MFP231" s="31"/>
      <c r="MFQ231" s="31"/>
      <c r="MFR231" s="31"/>
      <c r="MFS231" s="32"/>
      <c r="MFT231" s="32"/>
      <c r="MFU231" s="32"/>
      <c r="MFV231" s="32"/>
      <c r="MFW231" s="32"/>
      <c r="MFX231" s="31"/>
      <c r="MFY231" s="31"/>
      <c r="MFZ231" s="33"/>
      <c r="MGA231" s="33"/>
      <c r="MGB231" s="34"/>
      <c r="MGC231" s="34"/>
      <c r="MGD231" s="35"/>
      <c r="MGE231" s="35"/>
      <c r="MGF231" s="32"/>
      <c r="MGG231" s="31"/>
      <c r="MGH231" s="31"/>
      <c r="MGI231" s="31"/>
      <c r="MGJ231" s="32"/>
      <c r="MGK231" s="32"/>
      <c r="MGL231" s="32"/>
      <c r="MGM231" s="32"/>
      <c r="MGN231" s="32"/>
      <c r="MGO231" s="31"/>
      <c r="MGP231" s="31"/>
      <c r="MGQ231" s="33"/>
      <c r="MGR231" s="33"/>
      <c r="MGS231" s="34"/>
      <c r="MGT231" s="34"/>
      <c r="MGU231" s="35"/>
      <c r="MGV231" s="35"/>
      <c r="MGW231" s="32"/>
      <c r="MGX231" s="31"/>
      <c r="MGY231" s="31"/>
      <c r="MGZ231" s="31"/>
      <c r="MHA231" s="32"/>
      <c r="MHB231" s="32"/>
      <c r="MHC231" s="32"/>
      <c r="MHD231" s="32"/>
      <c r="MHE231" s="32"/>
      <c r="MHF231" s="31"/>
      <c r="MHG231" s="31"/>
      <c r="MHH231" s="33"/>
      <c r="MHI231" s="33"/>
      <c r="MHJ231" s="34"/>
      <c r="MHK231" s="34"/>
      <c r="MHL231" s="35"/>
      <c r="MHM231" s="35"/>
      <c r="MHN231" s="32"/>
      <c r="MHO231" s="31"/>
      <c r="MHP231" s="31"/>
      <c r="MHQ231" s="31"/>
      <c r="MHR231" s="32"/>
      <c r="MHS231" s="32"/>
      <c r="MHT231" s="32"/>
      <c r="MHU231" s="32"/>
      <c r="MHV231" s="32"/>
      <c r="MHW231" s="31"/>
      <c r="MHX231" s="31"/>
      <c r="MHY231" s="33"/>
      <c r="MHZ231" s="33"/>
      <c r="MIA231" s="34"/>
      <c r="MIB231" s="34"/>
      <c r="MIC231" s="35"/>
      <c r="MID231" s="35"/>
      <c r="MIE231" s="32"/>
      <c r="MIF231" s="31"/>
      <c r="MIG231" s="31"/>
      <c r="MIH231" s="31"/>
      <c r="MII231" s="32"/>
      <c r="MIJ231" s="32"/>
      <c r="MIK231" s="32"/>
      <c r="MIL231" s="32"/>
      <c r="MIM231" s="32"/>
      <c r="MIN231" s="31"/>
      <c r="MIO231" s="31"/>
      <c r="MIP231" s="33"/>
      <c r="MIQ231" s="33"/>
      <c r="MIR231" s="34"/>
      <c r="MIS231" s="34"/>
      <c r="MIT231" s="35"/>
      <c r="MIU231" s="35"/>
      <c r="MIV231" s="32"/>
      <c r="MIW231" s="31"/>
      <c r="MIX231" s="31"/>
      <c r="MIY231" s="31"/>
      <c r="MIZ231" s="32"/>
      <c r="MJA231" s="32"/>
      <c r="MJB231" s="32"/>
      <c r="MJC231" s="32"/>
      <c r="MJD231" s="32"/>
      <c r="MJE231" s="31"/>
      <c r="MJF231" s="31"/>
      <c r="MJG231" s="33"/>
      <c r="MJH231" s="33"/>
      <c r="MJI231" s="34"/>
      <c r="MJJ231" s="34"/>
      <c r="MJK231" s="35"/>
      <c r="MJL231" s="35"/>
      <c r="MJM231" s="32"/>
      <c r="MJN231" s="31"/>
      <c r="MJO231" s="31"/>
      <c r="MJP231" s="31"/>
      <c r="MJQ231" s="32"/>
      <c r="MJR231" s="32"/>
      <c r="MJS231" s="32"/>
      <c r="MJT231" s="32"/>
      <c r="MJU231" s="32"/>
      <c r="MJV231" s="31"/>
      <c r="MJW231" s="31"/>
      <c r="MJX231" s="33"/>
      <c r="MJY231" s="33"/>
      <c r="MJZ231" s="34"/>
      <c r="MKA231" s="34"/>
      <c r="MKB231" s="35"/>
      <c r="MKC231" s="35"/>
      <c r="MKD231" s="32"/>
      <c r="MKE231" s="31"/>
      <c r="MKF231" s="31"/>
      <c r="MKG231" s="31"/>
      <c r="MKH231" s="32"/>
      <c r="MKI231" s="32"/>
      <c r="MKJ231" s="32"/>
      <c r="MKK231" s="32"/>
      <c r="MKL231" s="32"/>
      <c r="MKM231" s="31"/>
      <c r="MKN231" s="31"/>
      <c r="MKO231" s="33"/>
      <c r="MKP231" s="33"/>
      <c r="MKQ231" s="34"/>
      <c r="MKR231" s="34"/>
      <c r="MKS231" s="35"/>
      <c r="MKT231" s="35"/>
      <c r="MKU231" s="32"/>
      <c r="MKV231" s="31"/>
      <c r="MKW231" s="31"/>
      <c r="MKX231" s="31"/>
      <c r="MKY231" s="32"/>
      <c r="MKZ231" s="32"/>
      <c r="MLA231" s="32"/>
      <c r="MLB231" s="32"/>
      <c r="MLC231" s="32"/>
      <c r="MLD231" s="31"/>
      <c r="MLE231" s="31"/>
      <c r="MLF231" s="33"/>
      <c r="MLG231" s="33"/>
      <c r="MLH231" s="34"/>
      <c r="MLI231" s="34"/>
      <c r="MLJ231" s="35"/>
      <c r="MLK231" s="35"/>
      <c r="MLL231" s="32"/>
      <c r="MLM231" s="31"/>
      <c r="MLN231" s="31"/>
      <c r="MLO231" s="31"/>
      <c r="MLP231" s="32"/>
      <c r="MLQ231" s="32"/>
      <c r="MLR231" s="32"/>
      <c r="MLS231" s="32"/>
      <c r="MLT231" s="32"/>
      <c r="MLU231" s="31"/>
      <c r="MLV231" s="31"/>
      <c r="MLW231" s="33"/>
      <c r="MLX231" s="33"/>
      <c r="MLY231" s="34"/>
      <c r="MLZ231" s="34"/>
      <c r="MMA231" s="35"/>
      <c r="MMB231" s="35"/>
      <c r="MMC231" s="32"/>
      <c r="MMD231" s="31"/>
      <c r="MME231" s="31"/>
      <c r="MMF231" s="31"/>
      <c r="MMG231" s="32"/>
      <c r="MMH231" s="32"/>
      <c r="MMI231" s="32"/>
      <c r="MMJ231" s="32"/>
      <c r="MMK231" s="32"/>
      <c r="MML231" s="31"/>
      <c r="MMM231" s="31"/>
      <c r="MMN231" s="33"/>
      <c r="MMO231" s="33"/>
      <c r="MMP231" s="34"/>
      <c r="MMQ231" s="34"/>
      <c r="MMR231" s="35"/>
      <c r="MMS231" s="35"/>
      <c r="MMT231" s="32"/>
      <c r="MMU231" s="31"/>
      <c r="MMV231" s="31"/>
      <c r="MMW231" s="31"/>
      <c r="MMX231" s="32"/>
      <c r="MMY231" s="32"/>
      <c r="MMZ231" s="32"/>
      <c r="MNA231" s="32"/>
      <c r="MNB231" s="32"/>
      <c r="MNC231" s="31"/>
      <c r="MND231" s="31"/>
      <c r="MNE231" s="33"/>
      <c r="MNF231" s="33"/>
      <c r="MNG231" s="34"/>
      <c r="MNH231" s="34"/>
      <c r="MNI231" s="35"/>
      <c r="MNJ231" s="35"/>
      <c r="MNK231" s="32"/>
      <c r="MNL231" s="31"/>
      <c r="MNM231" s="31"/>
      <c r="MNN231" s="31"/>
      <c r="MNO231" s="32"/>
      <c r="MNP231" s="32"/>
      <c r="MNQ231" s="32"/>
      <c r="MNR231" s="32"/>
      <c r="MNS231" s="32"/>
      <c r="MNT231" s="31"/>
      <c r="MNU231" s="31"/>
      <c r="MNV231" s="33"/>
      <c r="MNW231" s="33"/>
      <c r="MNX231" s="34"/>
      <c r="MNY231" s="34"/>
      <c r="MNZ231" s="35"/>
      <c r="MOA231" s="35"/>
      <c r="MOB231" s="32"/>
      <c r="MOC231" s="31"/>
      <c r="MOD231" s="31"/>
      <c r="MOE231" s="31"/>
      <c r="MOF231" s="32"/>
      <c r="MOG231" s="32"/>
      <c r="MOH231" s="32"/>
      <c r="MOI231" s="32"/>
      <c r="MOJ231" s="32"/>
      <c r="MOK231" s="31"/>
      <c r="MOL231" s="31"/>
      <c r="MOM231" s="33"/>
      <c r="MON231" s="33"/>
      <c r="MOO231" s="34"/>
      <c r="MOP231" s="34"/>
      <c r="MOQ231" s="35"/>
      <c r="MOR231" s="35"/>
      <c r="MOS231" s="32"/>
      <c r="MOT231" s="31"/>
      <c r="MOU231" s="31"/>
      <c r="MOV231" s="31"/>
      <c r="MOW231" s="32"/>
      <c r="MOX231" s="32"/>
      <c r="MOY231" s="32"/>
      <c r="MOZ231" s="32"/>
      <c r="MPA231" s="32"/>
      <c r="MPB231" s="31"/>
      <c r="MPC231" s="31"/>
      <c r="MPD231" s="33"/>
      <c r="MPE231" s="33"/>
      <c r="MPF231" s="34"/>
      <c r="MPG231" s="34"/>
      <c r="MPH231" s="35"/>
      <c r="MPI231" s="35"/>
      <c r="MPJ231" s="32"/>
      <c r="MPK231" s="31"/>
      <c r="MPL231" s="31"/>
      <c r="MPM231" s="31"/>
      <c r="MPN231" s="32"/>
      <c r="MPO231" s="32"/>
      <c r="MPP231" s="32"/>
      <c r="MPQ231" s="32"/>
      <c r="MPR231" s="32"/>
      <c r="MPS231" s="31"/>
      <c r="MPT231" s="31"/>
      <c r="MPU231" s="33"/>
      <c r="MPV231" s="33"/>
      <c r="MPW231" s="34"/>
      <c r="MPX231" s="34"/>
      <c r="MPY231" s="35"/>
      <c r="MPZ231" s="35"/>
      <c r="MQA231" s="32"/>
      <c r="MQB231" s="31"/>
      <c r="MQC231" s="31"/>
      <c r="MQD231" s="31"/>
      <c r="MQE231" s="32"/>
      <c r="MQF231" s="32"/>
      <c r="MQG231" s="32"/>
      <c r="MQH231" s="32"/>
      <c r="MQI231" s="32"/>
      <c r="MQJ231" s="31"/>
      <c r="MQK231" s="31"/>
      <c r="MQL231" s="33"/>
      <c r="MQM231" s="33"/>
      <c r="MQN231" s="34"/>
      <c r="MQO231" s="34"/>
      <c r="MQP231" s="35"/>
      <c r="MQQ231" s="35"/>
      <c r="MQR231" s="32"/>
      <c r="MQS231" s="31"/>
      <c r="MQT231" s="31"/>
      <c r="MQU231" s="31"/>
      <c r="MQV231" s="32"/>
      <c r="MQW231" s="32"/>
      <c r="MQX231" s="32"/>
      <c r="MQY231" s="32"/>
      <c r="MQZ231" s="32"/>
      <c r="MRA231" s="31"/>
      <c r="MRB231" s="31"/>
      <c r="MRC231" s="33"/>
      <c r="MRD231" s="33"/>
      <c r="MRE231" s="34"/>
      <c r="MRF231" s="34"/>
      <c r="MRG231" s="35"/>
      <c r="MRH231" s="35"/>
      <c r="MRI231" s="32"/>
      <c r="MRJ231" s="31"/>
      <c r="MRK231" s="31"/>
      <c r="MRL231" s="31"/>
      <c r="MRM231" s="32"/>
      <c r="MRN231" s="32"/>
      <c r="MRO231" s="32"/>
      <c r="MRP231" s="32"/>
      <c r="MRQ231" s="32"/>
      <c r="MRR231" s="31"/>
      <c r="MRS231" s="31"/>
      <c r="MRT231" s="33"/>
      <c r="MRU231" s="33"/>
      <c r="MRV231" s="34"/>
      <c r="MRW231" s="34"/>
      <c r="MRX231" s="35"/>
      <c r="MRY231" s="35"/>
      <c r="MRZ231" s="32"/>
      <c r="MSA231" s="31"/>
      <c r="MSB231" s="31"/>
      <c r="MSC231" s="31"/>
      <c r="MSD231" s="32"/>
      <c r="MSE231" s="32"/>
      <c r="MSF231" s="32"/>
      <c r="MSG231" s="32"/>
      <c r="MSH231" s="32"/>
      <c r="MSI231" s="31"/>
      <c r="MSJ231" s="31"/>
      <c r="MSK231" s="33"/>
      <c r="MSL231" s="33"/>
      <c r="MSM231" s="34"/>
      <c r="MSN231" s="34"/>
      <c r="MSO231" s="35"/>
      <c r="MSP231" s="35"/>
      <c r="MSQ231" s="32"/>
      <c r="MSR231" s="31"/>
      <c r="MSS231" s="31"/>
      <c r="MST231" s="31"/>
      <c r="MSU231" s="32"/>
      <c r="MSV231" s="32"/>
      <c r="MSW231" s="32"/>
      <c r="MSX231" s="32"/>
      <c r="MSY231" s="32"/>
      <c r="MSZ231" s="31"/>
      <c r="MTA231" s="31"/>
      <c r="MTB231" s="33"/>
      <c r="MTC231" s="33"/>
      <c r="MTD231" s="34"/>
      <c r="MTE231" s="34"/>
      <c r="MTF231" s="35"/>
      <c r="MTG231" s="35"/>
      <c r="MTH231" s="32"/>
      <c r="MTI231" s="31"/>
      <c r="MTJ231" s="31"/>
      <c r="MTK231" s="31"/>
      <c r="MTL231" s="32"/>
      <c r="MTM231" s="32"/>
      <c r="MTN231" s="32"/>
      <c r="MTO231" s="32"/>
      <c r="MTP231" s="32"/>
      <c r="MTQ231" s="31"/>
      <c r="MTR231" s="31"/>
      <c r="MTS231" s="33"/>
      <c r="MTT231" s="33"/>
      <c r="MTU231" s="34"/>
      <c r="MTV231" s="34"/>
      <c r="MTW231" s="35"/>
      <c r="MTX231" s="35"/>
      <c r="MTY231" s="32"/>
      <c r="MTZ231" s="31"/>
      <c r="MUA231" s="31"/>
      <c r="MUB231" s="31"/>
      <c r="MUC231" s="32"/>
      <c r="MUD231" s="32"/>
      <c r="MUE231" s="32"/>
      <c r="MUF231" s="32"/>
      <c r="MUG231" s="32"/>
      <c r="MUH231" s="31"/>
      <c r="MUI231" s="31"/>
      <c r="MUJ231" s="33"/>
      <c r="MUK231" s="33"/>
      <c r="MUL231" s="34"/>
      <c r="MUM231" s="34"/>
      <c r="MUN231" s="35"/>
      <c r="MUO231" s="35"/>
      <c r="MUP231" s="32"/>
      <c r="MUQ231" s="31"/>
      <c r="MUR231" s="31"/>
      <c r="MUS231" s="31"/>
      <c r="MUT231" s="32"/>
      <c r="MUU231" s="32"/>
      <c r="MUV231" s="32"/>
      <c r="MUW231" s="32"/>
      <c r="MUX231" s="32"/>
      <c r="MUY231" s="31"/>
      <c r="MUZ231" s="31"/>
      <c r="MVA231" s="33"/>
      <c r="MVB231" s="33"/>
      <c r="MVC231" s="34"/>
      <c r="MVD231" s="34"/>
      <c r="MVE231" s="35"/>
      <c r="MVF231" s="35"/>
      <c r="MVG231" s="32"/>
      <c r="MVH231" s="31"/>
      <c r="MVI231" s="31"/>
      <c r="MVJ231" s="31"/>
      <c r="MVK231" s="32"/>
      <c r="MVL231" s="32"/>
      <c r="MVM231" s="32"/>
      <c r="MVN231" s="32"/>
      <c r="MVO231" s="32"/>
      <c r="MVP231" s="31"/>
      <c r="MVQ231" s="31"/>
      <c r="MVR231" s="33"/>
      <c r="MVS231" s="33"/>
      <c r="MVT231" s="34"/>
      <c r="MVU231" s="34"/>
      <c r="MVV231" s="35"/>
      <c r="MVW231" s="35"/>
      <c r="MVX231" s="32"/>
      <c r="MVY231" s="31"/>
      <c r="MVZ231" s="31"/>
      <c r="MWA231" s="31"/>
      <c r="MWB231" s="32"/>
      <c r="MWC231" s="32"/>
      <c r="MWD231" s="32"/>
      <c r="MWE231" s="32"/>
      <c r="MWF231" s="32"/>
      <c r="MWG231" s="31"/>
      <c r="MWH231" s="31"/>
      <c r="MWI231" s="33"/>
      <c r="MWJ231" s="33"/>
      <c r="MWK231" s="34"/>
      <c r="MWL231" s="34"/>
      <c r="MWM231" s="35"/>
      <c r="MWN231" s="35"/>
      <c r="MWO231" s="32"/>
      <c r="MWP231" s="31"/>
      <c r="MWQ231" s="31"/>
      <c r="MWR231" s="31"/>
      <c r="MWS231" s="32"/>
      <c r="MWT231" s="32"/>
      <c r="MWU231" s="32"/>
      <c r="MWV231" s="32"/>
      <c r="MWW231" s="32"/>
      <c r="MWX231" s="31"/>
      <c r="MWY231" s="31"/>
      <c r="MWZ231" s="33"/>
      <c r="MXA231" s="33"/>
      <c r="MXB231" s="34"/>
      <c r="MXC231" s="34"/>
      <c r="MXD231" s="35"/>
      <c r="MXE231" s="35"/>
      <c r="MXF231" s="32"/>
      <c r="MXG231" s="31"/>
      <c r="MXH231" s="31"/>
      <c r="MXI231" s="31"/>
      <c r="MXJ231" s="32"/>
      <c r="MXK231" s="32"/>
      <c r="MXL231" s="32"/>
      <c r="MXM231" s="32"/>
      <c r="MXN231" s="32"/>
      <c r="MXO231" s="31"/>
      <c r="MXP231" s="31"/>
      <c r="MXQ231" s="33"/>
      <c r="MXR231" s="33"/>
      <c r="MXS231" s="34"/>
      <c r="MXT231" s="34"/>
      <c r="MXU231" s="35"/>
      <c r="MXV231" s="35"/>
      <c r="MXW231" s="32"/>
      <c r="MXX231" s="31"/>
      <c r="MXY231" s="31"/>
      <c r="MXZ231" s="31"/>
      <c r="MYA231" s="32"/>
      <c r="MYB231" s="32"/>
      <c r="MYC231" s="32"/>
      <c r="MYD231" s="32"/>
      <c r="MYE231" s="32"/>
      <c r="MYF231" s="31"/>
      <c r="MYG231" s="31"/>
      <c r="MYH231" s="33"/>
      <c r="MYI231" s="33"/>
      <c r="MYJ231" s="34"/>
      <c r="MYK231" s="34"/>
      <c r="MYL231" s="35"/>
      <c r="MYM231" s="35"/>
      <c r="MYN231" s="32"/>
      <c r="MYO231" s="31"/>
      <c r="MYP231" s="31"/>
      <c r="MYQ231" s="31"/>
      <c r="MYR231" s="32"/>
      <c r="MYS231" s="32"/>
      <c r="MYT231" s="32"/>
      <c r="MYU231" s="32"/>
      <c r="MYV231" s="32"/>
      <c r="MYW231" s="31"/>
      <c r="MYX231" s="31"/>
      <c r="MYY231" s="33"/>
      <c r="MYZ231" s="33"/>
      <c r="MZA231" s="34"/>
      <c r="MZB231" s="34"/>
      <c r="MZC231" s="35"/>
      <c r="MZD231" s="35"/>
      <c r="MZE231" s="32"/>
      <c r="MZF231" s="31"/>
      <c r="MZG231" s="31"/>
      <c r="MZH231" s="31"/>
      <c r="MZI231" s="32"/>
      <c r="MZJ231" s="32"/>
      <c r="MZK231" s="32"/>
      <c r="MZL231" s="32"/>
      <c r="MZM231" s="32"/>
      <c r="MZN231" s="31"/>
      <c r="MZO231" s="31"/>
      <c r="MZP231" s="33"/>
      <c r="MZQ231" s="33"/>
      <c r="MZR231" s="34"/>
      <c r="MZS231" s="34"/>
      <c r="MZT231" s="35"/>
      <c r="MZU231" s="35"/>
      <c r="MZV231" s="32"/>
      <c r="MZW231" s="31"/>
      <c r="MZX231" s="31"/>
      <c r="MZY231" s="31"/>
      <c r="MZZ231" s="32"/>
      <c r="NAA231" s="32"/>
      <c r="NAB231" s="32"/>
      <c r="NAC231" s="32"/>
      <c r="NAD231" s="32"/>
      <c r="NAE231" s="31"/>
      <c r="NAF231" s="31"/>
      <c r="NAG231" s="33"/>
      <c r="NAH231" s="33"/>
      <c r="NAI231" s="34"/>
      <c r="NAJ231" s="34"/>
      <c r="NAK231" s="35"/>
      <c r="NAL231" s="35"/>
      <c r="NAM231" s="32"/>
      <c r="NAN231" s="31"/>
      <c r="NAO231" s="31"/>
      <c r="NAP231" s="31"/>
      <c r="NAQ231" s="32"/>
      <c r="NAR231" s="32"/>
      <c r="NAS231" s="32"/>
      <c r="NAT231" s="32"/>
      <c r="NAU231" s="32"/>
      <c r="NAV231" s="31"/>
      <c r="NAW231" s="31"/>
      <c r="NAX231" s="33"/>
      <c r="NAY231" s="33"/>
      <c r="NAZ231" s="34"/>
      <c r="NBA231" s="34"/>
      <c r="NBB231" s="35"/>
      <c r="NBC231" s="35"/>
      <c r="NBD231" s="32"/>
      <c r="NBE231" s="31"/>
      <c r="NBF231" s="31"/>
      <c r="NBG231" s="31"/>
      <c r="NBH231" s="32"/>
      <c r="NBI231" s="32"/>
      <c r="NBJ231" s="32"/>
      <c r="NBK231" s="32"/>
      <c r="NBL231" s="32"/>
      <c r="NBM231" s="31"/>
      <c r="NBN231" s="31"/>
      <c r="NBO231" s="33"/>
      <c r="NBP231" s="33"/>
      <c r="NBQ231" s="34"/>
      <c r="NBR231" s="34"/>
      <c r="NBS231" s="35"/>
      <c r="NBT231" s="35"/>
      <c r="NBU231" s="32"/>
      <c r="NBV231" s="31"/>
      <c r="NBW231" s="31"/>
      <c r="NBX231" s="31"/>
      <c r="NBY231" s="32"/>
      <c r="NBZ231" s="32"/>
      <c r="NCA231" s="32"/>
      <c r="NCB231" s="32"/>
      <c r="NCC231" s="32"/>
      <c r="NCD231" s="31"/>
      <c r="NCE231" s="31"/>
      <c r="NCF231" s="33"/>
      <c r="NCG231" s="33"/>
      <c r="NCH231" s="34"/>
      <c r="NCI231" s="34"/>
      <c r="NCJ231" s="35"/>
      <c r="NCK231" s="35"/>
      <c r="NCL231" s="32"/>
      <c r="NCM231" s="31"/>
      <c r="NCN231" s="31"/>
      <c r="NCO231" s="31"/>
      <c r="NCP231" s="32"/>
      <c r="NCQ231" s="32"/>
      <c r="NCR231" s="32"/>
      <c r="NCS231" s="32"/>
      <c r="NCT231" s="32"/>
      <c r="NCU231" s="31"/>
      <c r="NCV231" s="31"/>
      <c r="NCW231" s="33"/>
      <c r="NCX231" s="33"/>
      <c r="NCY231" s="34"/>
      <c r="NCZ231" s="34"/>
      <c r="NDA231" s="35"/>
      <c r="NDB231" s="35"/>
      <c r="NDC231" s="32"/>
      <c r="NDD231" s="31"/>
      <c r="NDE231" s="31"/>
      <c r="NDF231" s="31"/>
      <c r="NDG231" s="32"/>
      <c r="NDH231" s="32"/>
      <c r="NDI231" s="32"/>
      <c r="NDJ231" s="32"/>
      <c r="NDK231" s="32"/>
      <c r="NDL231" s="31"/>
      <c r="NDM231" s="31"/>
      <c r="NDN231" s="33"/>
      <c r="NDO231" s="33"/>
      <c r="NDP231" s="34"/>
      <c r="NDQ231" s="34"/>
      <c r="NDR231" s="35"/>
      <c r="NDS231" s="35"/>
      <c r="NDT231" s="32"/>
      <c r="NDU231" s="31"/>
      <c r="NDV231" s="31"/>
      <c r="NDW231" s="31"/>
      <c r="NDX231" s="32"/>
      <c r="NDY231" s="32"/>
      <c r="NDZ231" s="32"/>
      <c r="NEA231" s="32"/>
      <c r="NEB231" s="32"/>
      <c r="NEC231" s="31"/>
      <c r="NED231" s="31"/>
      <c r="NEE231" s="33"/>
      <c r="NEF231" s="33"/>
      <c r="NEG231" s="34"/>
      <c r="NEH231" s="34"/>
      <c r="NEI231" s="35"/>
      <c r="NEJ231" s="35"/>
      <c r="NEK231" s="32"/>
      <c r="NEL231" s="31"/>
      <c r="NEM231" s="31"/>
      <c r="NEN231" s="31"/>
      <c r="NEO231" s="32"/>
      <c r="NEP231" s="32"/>
      <c r="NEQ231" s="32"/>
      <c r="NER231" s="32"/>
      <c r="NES231" s="32"/>
      <c r="NET231" s="31"/>
      <c r="NEU231" s="31"/>
      <c r="NEV231" s="33"/>
      <c r="NEW231" s="33"/>
      <c r="NEX231" s="34"/>
      <c r="NEY231" s="34"/>
      <c r="NEZ231" s="35"/>
      <c r="NFA231" s="35"/>
      <c r="NFB231" s="32"/>
      <c r="NFC231" s="31"/>
      <c r="NFD231" s="31"/>
      <c r="NFE231" s="31"/>
      <c r="NFF231" s="32"/>
      <c r="NFG231" s="32"/>
      <c r="NFH231" s="32"/>
      <c r="NFI231" s="32"/>
      <c r="NFJ231" s="32"/>
      <c r="NFK231" s="31"/>
      <c r="NFL231" s="31"/>
      <c r="NFM231" s="33"/>
      <c r="NFN231" s="33"/>
      <c r="NFO231" s="34"/>
      <c r="NFP231" s="34"/>
      <c r="NFQ231" s="35"/>
      <c r="NFR231" s="35"/>
      <c r="NFS231" s="32"/>
      <c r="NFT231" s="31"/>
      <c r="NFU231" s="31"/>
      <c r="NFV231" s="31"/>
      <c r="NFW231" s="32"/>
      <c r="NFX231" s="32"/>
      <c r="NFY231" s="32"/>
      <c r="NFZ231" s="32"/>
      <c r="NGA231" s="32"/>
      <c r="NGB231" s="31"/>
      <c r="NGC231" s="31"/>
      <c r="NGD231" s="33"/>
      <c r="NGE231" s="33"/>
      <c r="NGF231" s="34"/>
      <c r="NGG231" s="34"/>
      <c r="NGH231" s="35"/>
      <c r="NGI231" s="35"/>
      <c r="NGJ231" s="32"/>
      <c r="NGK231" s="31"/>
      <c r="NGL231" s="31"/>
      <c r="NGM231" s="31"/>
      <c r="NGN231" s="32"/>
      <c r="NGO231" s="32"/>
      <c r="NGP231" s="32"/>
      <c r="NGQ231" s="32"/>
      <c r="NGR231" s="32"/>
      <c r="NGS231" s="31"/>
      <c r="NGT231" s="31"/>
      <c r="NGU231" s="33"/>
      <c r="NGV231" s="33"/>
      <c r="NGW231" s="34"/>
      <c r="NGX231" s="34"/>
      <c r="NGY231" s="35"/>
      <c r="NGZ231" s="35"/>
      <c r="NHA231" s="32"/>
      <c r="NHB231" s="31"/>
      <c r="NHC231" s="31"/>
      <c r="NHD231" s="31"/>
      <c r="NHE231" s="32"/>
      <c r="NHF231" s="32"/>
      <c r="NHG231" s="32"/>
      <c r="NHH231" s="32"/>
      <c r="NHI231" s="32"/>
      <c r="NHJ231" s="31"/>
      <c r="NHK231" s="31"/>
      <c r="NHL231" s="33"/>
      <c r="NHM231" s="33"/>
      <c r="NHN231" s="34"/>
      <c r="NHO231" s="34"/>
      <c r="NHP231" s="35"/>
      <c r="NHQ231" s="35"/>
      <c r="NHR231" s="32"/>
      <c r="NHS231" s="31"/>
      <c r="NHT231" s="31"/>
      <c r="NHU231" s="31"/>
      <c r="NHV231" s="32"/>
      <c r="NHW231" s="32"/>
      <c r="NHX231" s="32"/>
      <c r="NHY231" s="32"/>
      <c r="NHZ231" s="32"/>
      <c r="NIA231" s="31"/>
      <c r="NIB231" s="31"/>
      <c r="NIC231" s="33"/>
      <c r="NID231" s="33"/>
      <c r="NIE231" s="34"/>
      <c r="NIF231" s="34"/>
      <c r="NIG231" s="35"/>
      <c r="NIH231" s="35"/>
      <c r="NII231" s="32"/>
      <c r="NIJ231" s="31"/>
      <c r="NIK231" s="31"/>
      <c r="NIL231" s="31"/>
      <c r="NIM231" s="32"/>
      <c r="NIN231" s="32"/>
      <c r="NIO231" s="32"/>
      <c r="NIP231" s="32"/>
      <c r="NIQ231" s="32"/>
      <c r="NIR231" s="31"/>
      <c r="NIS231" s="31"/>
      <c r="NIT231" s="33"/>
      <c r="NIU231" s="33"/>
      <c r="NIV231" s="34"/>
      <c r="NIW231" s="34"/>
      <c r="NIX231" s="35"/>
      <c r="NIY231" s="35"/>
      <c r="NIZ231" s="32"/>
      <c r="NJA231" s="31"/>
      <c r="NJB231" s="31"/>
      <c r="NJC231" s="31"/>
      <c r="NJD231" s="32"/>
      <c r="NJE231" s="32"/>
      <c r="NJF231" s="32"/>
      <c r="NJG231" s="32"/>
      <c r="NJH231" s="32"/>
      <c r="NJI231" s="31"/>
      <c r="NJJ231" s="31"/>
      <c r="NJK231" s="33"/>
      <c r="NJL231" s="33"/>
      <c r="NJM231" s="34"/>
      <c r="NJN231" s="34"/>
      <c r="NJO231" s="35"/>
      <c r="NJP231" s="35"/>
      <c r="NJQ231" s="32"/>
      <c r="NJR231" s="31"/>
      <c r="NJS231" s="31"/>
      <c r="NJT231" s="31"/>
      <c r="NJU231" s="32"/>
      <c r="NJV231" s="32"/>
      <c r="NJW231" s="32"/>
      <c r="NJX231" s="32"/>
      <c r="NJY231" s="32"/>
      <c r="NJZ231" s="31"/>
      <c r="NKA231" s="31"/>
      <c r="NKB231" s="33"/>
      <c r="NKC231" s="33"/>
      <c r="NKD231" s="34"/>
      <c r="NKE231" s="34"/>
      <c r="NKF231" s="35"/>
      <c r="NKG231" s="35"/>
      <c r="NKH231" s="32"/>
      <c r="NKI231" s="31"/>
      <c r="NKJ231" s="31"/>
      <c r="NKK231" s="31"/>
      <c r="NKL231" s="32"/>
      <c r="NKM231" s="32"/>
      <c r="NKN231" s="32"/>
      <c r="NKO231" s="32"/>
      <c r="NKP231" s="32"/>
      <c r="NKQ231" s="31"/>
      <c r="NKR231" s="31"/>
      <c r="NKS231" s="33"/>
      <c r="NKT231" s="33"/>
      <c r="NKU231" s="34"/>
      <c r="NKV231" s="34"/>
      <c r="NKW231" s="35"/>
      <c r="NKX231" s="35"/>
      <c r="NKY231" s="32"/>
      <c r="NKZ231" s="31"/>
      <c r="NLA231" s="31"/>
      <c r="NLB231" s="31"/>
      <c r="NLC231" s="32"/>
      <c r="NLD231" s="32"/>
      <c r="NLE231" s="32"/>
      <c r="NLF231" s="32"/>
      <c r="NLG231" s="32"/>
      <c r="NLH231" s="31"/>
      <c r="NLI231" s="31"/>
      <c r="NLJ231" s="33"/>
      <c r="NLK231" s="33"/>
      <c r="NLL231" s="34"/>
      <c r="NLM231" s="34"/>
      <c r="NLN231" s="35"/>
      <c r="NLO231" s="35"/>
      <c r="NLP231" s="32"/>
      <c r="NLQ231" s="31"/>
      <c r="NLR231" s="31"/>
      <c r="NLS231" s="31"/>
      <c r="NLT231" s="32"/>
      <c r="NLU231" s="32"/>
      <c r="NLV231" s="32"/>
      <c r="NLW231" s="32"/>
      <c r="NLX231" s="32"/>
      <c r="NLY231" s="31"/>
      <c r="NLZ231" s="31"/>
      <c r="NMA231" s="33"/>
      <c r="NMB231" s="33"/>
      <c r="NMC231" s="34"/>
      <c r="NMD231" s="34"/>
      <c r="NME231" s="35"/>
      <c r="NMF231" s="35"/>
      <c r="NMG231" s="32"/>
      <c r="NMH231" s="31"/>
      <c r="NMI231" s="31"/>
      <c r="NMJ231" s="31"/>
      <c r="NMK231" s="32"/>
      <c r="NML231" s="32"/>
      <c r="NMM231" s="32"/>
      <c r="NMN231" s="32"/>
      <c r="NMO231" s="32"/>
      <c r="NMP231" s="31"/>
      <c r="NMQ231" s="31"/>
      <c r="NMR231" s="33"/>
      <c r="NMS231" s="33"/>
      <c r="NMT231" s="34"/>
      <c r="NMU231" s="34"/>
      <c r="NMV231" s="35"/>
      <c r="NMW231" s="35"/>
      <c r="NMX231" s="32"/>
      <c r="NMY231" s="31"/>
      <c r="NMZ231" s="31"/>
      <c r="NNA231" s="31"/>
      <c r="NNB231" s="32"/>
      <c r="NNC231" s="32"/>
      <c r="NND231" s="32"/>
      <c r="NNE231" s="32"/>
      <c r="NNF231" s="32"/>
      <c r="NNG231" s="31"/>
      <c r="NNH231" s="31"/>
      <c r="NNI231" s="33"/>
      <c r="NNJ231" s="33"/>
      <c r="NNK231" s="34"/>
      <c r="NNL231" s="34"/>
      <c r="NNM231" s="35"/>
      <c r="NNN231" s="35"/>
      <c r="NNO231" s="32"/>
      <c r="NNP231" s="31"/>
      <c r="NNQ231" s="31"/>
      <c r="NNR231" s="31"/>
      <c r="NNS231" s="32"/>
      <c r="NNT231" s="32"/>
      <c r="NNU231" s="32"/>
      <c r="NNV231" s="32"/>
      <c r="NNW231" s="32"/>
      <c r="NNX231" s="31"/>
      <c r="NNY231" s="31"/>
      <c r="NNZ231" s="33"/>
      <c r="NOA231" s="33"/>
      <c r="NOB231" s="34"/>
      <c r="NOC231" s="34"/>
      <c r="NOD231" s="35"/>
      <c r="NOE231" s="35"/>
      <c r="NOF231" s="32"/>
      <c r="NOG231" s="31"/>
      <c r="NOH231" s="31"/>
      <c r="NOI231" s="31"/>
      <c r="NOJ231" s="32"/>
      <c r="NOK231" s="32"/>
      <c r="NOL231" s="32"/>
      <c r="NOM231" s="32"/>
      <c r="NON231" s="32"/>
      <c r="NOO231" s="31"/>
      <c r="NOP231" s="31"/>
      <c r="NOQ231" s="33"/>
      <c r="NOR231" s="33"/>
      <c r="NOS231" s="34"/>
      <c r="NOT231" s="34"/>
      <c r="NOU231" s="35"/>
      <c r="NOV231" s="35"/>
      <c r="NOW231" s="32"/>
      <c r="NOX231" s="31"/>
      <c r="NOY231" s="31"/>
      <c r="NOZ231" s="31"/>
      <c r="NPA231" s="32"/>
      <c r="NPB231" s="32"/>
      <c r="NPC231" s="32"/>
      <c r="NPD231" s="32"/>
      <c r="NPE231" s="32"/>
      <c r="NPF231" s="31"/>
      <c r="NPG231" s="31"/>
      <c r="NPH231" s="33"/>
      <c r="NPI231" s="33"/>
      <c r="NPJ231" s="34"/>
      <c r="NPK231" s="34"/>
      <c r="NPL231" s="35"/>
      <c r="NPM231" s="35"/>
      <c r="NPN231" s="32"/>
      <c r="NPO231" s="31"/>
      <c r="NPP231" s="31"/>
      <c r="NPQ231" s="31"/>
      <c r="NPR231" s="32"/>
      <c r="NPS231" s="32"/>
      <c r="NPT231" s="32"/>
      <c r="NPU231" s="32"/>
      <c r="NPV231" s="32"/>
      <c r="NPW231" s="31"/>
      <c r="NPX231" s="31"/>
      <c r="NPY231" s="33"/>
      <c r="NPZ231" s="33"/>
      <c r="NQA231" s="34"/>
      <c r="NQB231" s="34"/>
      <c r="NQC231" s="35"/>
      <c r="NQD231" s="35"/>
      <c r="NQE231" s="32"/>
      <c r="NQF231" s="31"/>
      <c r="NQG231" s="31"/>
      <c r="NQH231" s="31"/>
      <c r="NQI231" s="32"/>
      <c r="NQJ231" s="32"/>
      <c r="NQK231" s="32"/>
      <c r="NQL231" s="32"/>
      <c r="NQM231" s="32"/>
      <c r="NQN231" s="31"/>
      <c r="NQO231" s="31"/>
      <c r="NQP231" s="33"/>
      <c r="NQQ231" s="33"/>
      <c r="NQR231" s="34"/>
      <c r="NQS231" s="34"/>
      <c r="NQT231" s="35"/>
      <c r="NQU231" s="35"/>
      <c r="NQV231" s="32"/>
      <c r="NQW231" s="31"/>
      <c r="NQX231" s="31"/>
      <c r="NQY231" s="31"/>
      <c r="NQZ231" s="32"/>
      <c r="NRA231" s="32"/>
      <c r="NRB231" s="32"/>
      <c r="NRC231" s="32"/>
      <c r="NRD231" s="32"/>
      <c r="NRE231" s="31"/>
      <c r="NRF231" s="31"/>
      <c r="NRG231" s="33"/>
      <c r="NRH231" s="33"/>
      <c r="NRI231" s="34"/>
      <c r="NRJ231" s="34"/>
      <c r="NRK231" s="35"/>
      <c r="NRL231" s="35"/>
      <c r="NRM231" s="32"/>
      <c r="NRN231" s="31"/>
      <c r="NRO231" s="31"/>
      <c r="NRP231" s="31"/>
      <c r="NRQ231" s="32"/>
      <c r="NRR231" s="32"/>
      <c r="NRS231" s="32"/>
      <c r="NRT231" s="32"/>
      <c r="NRU231" s="32"/>
      <c r="NRV231" s="31"/>
      <c r="NRW231" s="31"/>
      <c r="NRX231" s="33"/>
      <c r="NRY231" s="33"/>
      <c r="NRZ231" s="34"/>
      <c r="NSA231" s="34"/>
      <c r="NSB231" s="35"/>
      <c r="NSC231" s="35"/>
      <c r="NSD231" s="32"/>
      <c r="NSE231" s="31"/>
      <c r="NSF231" s="31"/>
      <c r="NSG231" s="31"/>
      <c r="NSH231" s="32"/>
      <c r="NSI231" s="32"/>
      <c r="NSJ231" s="32"/>
      <c r="NSK231" s="32"/>
      <c r="NSL231" s="32"/>
      <c r="NSM231" s="31"/>
      <c r="NSN231" s="31"/>
      <c r="NSO231" s="33"/>
      <c r="NSP231" s="33"/>
      <c r="NSQ231" s="34"/>
      <c r="NSR231" s="34"/>
      <c r="NSS231" s="35"/>
      <c r="NST231" s="35"/>
      <c r="NSU231" s="32"/>
      <c r="NSV231" s="31"/>
      <c r="NSW231" s="31"/>
      <c r="NSX231" s="31"/>
      <c r="NSY231" s="32"/>
      <c r="NSZ231" s="32"/>
      <c r="NTA231" s="32"/>
      <c r="NTB231" s="32"/>
      <c r="NTC231" s="32"/>
      <c r="NTD231" s="31"/>
      <c r="NTE231" s="31"/>
      <c r="NTF231" s="33"/>
      <c r="NTG231" s="33"/>
      <c r="NTH231" s="34"/>
      <c r="NTI231" s="34"/>
      <c r="NTJ231" s="35"/>
      <c r="NTK231" s="35"/>
      <c r="NTL231" s="32"/>
      <c r="NTM231" s="31"/>
      <c r="NTN231" s="31"/>
      <c r="NTO231" s="31"/>
      <c r="NTP231" s="32"/>
      <c r="NTQ231" s="32"/>
      <c r="NTR231" s="32"/>
      <c r="NTS231" s="32"/>
      <c r="NTT231" s="32"/>
      <c r="NTU231" s="31"/>
      <c r="NTV231" s="31"/>
      <c r="NTW231" s="33"/>
      <c r="NTX231" s="33"/>
      <c r="NTY231" s="34"/>
      <c r="NTZ231" s="34"/>
      <c r="NUA231" s="35"/>
      <c r="NUB231" s="35"/>
      <c r="NUC231" s="32"/>
      <c r="NUD231" s="31"/>
      <c r="NUE231" s="31"/>
      <c r="NUF231" s="31"/>
      <c r="NUG231" s="32"/>
      <c r="NUH231" s="32"/>
      <c r="NUI231" s="32"/>
      <c r="NUJ231" s="32"/>
      <c r="NUK231" s="32"/>
      <c r="NUL231" s="31"/>
      <c r="NUM231" s="31"/>
      <c r="NUN231" s="33"/>
      <c r="NUO231" s="33"/>
      <c r="NUP231" s="34"/>
      <c r="NUQ231" s="34"/>
      <c r="NUR231" s="35"/>
      <c r="NUS231" s="35"/>
      <c r="NUT231" s="32"/>
      <c r="NUU231" s="31"/>
      <c r="NUV231" s="31"/>
      <c r="NUW231" s="31"/>
      <c r="NUX231" s="32"/>
      <c r="NUY231" s="32"/>
      <c r="NUZ231" s="32"/>
      <c r="NVA231" s="32"/>
      <c r="NVB231" s="32"/>
      <c r="NVC231" s="31"/>
      <c r="NVD231" s="31"/>
      <c r="NVE231" s="33"/>
      <c r="NVF231" s="33"/>
      <c r="NVG231" s="34"/>
      <c r="NVH231" s="34"/>
      <c r="NVI231" s="35"/>
      <c r="NVJ231" s="35"/>
      <c r="NVK231" s="32"/>
      <c r="NVL231" s="31"/>
      <c r="NVM231" s="31"/>
      <c r="NVN231" s="31"/>
      <c r="NVO231" s="32"/>
      <c r="NVP231" s="32"/>
      <c r="NVQ231" s="32"/>
      <c r="NVR231" s="32"/>
      <c r="NVS231" s="32"/>
      <c r="NVT231" s="31"/>
      <c r="NVU231" s="31"/>
      <c r="NVV231" s="33"/>
      <c r="NVW231" s="33"/>
      <c r="NVX231" s="34"/>
      <c r="NVY231" s="34"/>
      <c r="NVZ231" s="35"/>
      <c r="NWA231" s="35"/>
      <c r="NWB231" s="32"/>
      <c r="NWC231" s="31"/>
      <c r="NWD231" s="31"/>
      <c r="NWE231" s="31"/>
      <c r="NWF231" s="32"/>
      <c r="NWG231" s="32"/>
      <c r="NWH231" s="32"/>
      <c r="NWI231" s="32"/>
      <c r="NWJ231" s="32"/>
      <c r="NWK231" s="31"/>
      <c r="NWL231" s="31"/>
      <c r="NWM231" s="33"/>
      <c r="NWN231" s="33"/>
      <c r="NWO231" s="34"/>
      <c r="NWP231" s="34"/>
      <c r="NWQ231" s="35"/>
      <c r="NWR231" s="35"/>
      <c r="NWS231" s="32"/>
      <c r="NWT231" s="31"/>
      <c r="NWU231" s="31"/>
      <c r="NWV231" s="31"/>
      <c r="NWW231" s="32"/>
      <c r="NWX231" s="32"/>
      <c r="NWY231" s="32"/>
      <c r="NWZ231" s="32"/>
      <c r="NXA231" s="32"/>
      <c r="NXB231" s="31"/>
      <c r="NXC231" s="31"/>
      <c r="NXD231" s="33"/>
      <c r="NXE231" s="33"/>
      <c r="NXF231" s="34"/>
      <c r="NXG231" s="34"/>
      <c r="NXH231" s="35"/>
      <c r="NXI231" s="35"/>
      <c r="NXJ231" s="32"/>
      <c r="NXK231" s="31"/>
      <c r="NXL231" s="31"/>
      <c r="NXM231" s="31"/>
      <c r="NXN231" s="32"/>
      <c r="NXO231" s="32"/>
      <c r="NXP231" s="32"/>
      <c r="NXQ231" s="32"/>
      <c r="NXR231" s="32"/>
      <c r="NXS231" s="31"/>
      <c r="NXT231" s="31"/>
      <c r="NXU231" s="33"/>
      <c r="NXV231" s="33"/>
      <c r="NXW231" s="34"/>
      <c r="NXX231" s="34"/>
      <c r="NXY231" s="35"/>
      <c r="NXZ231" s="35"/>
      <c r="NYA231" s="32"/>
      <c r="NYB231" s="31"/>
      <c r="NYC231" s="31"/>
      <c r="NYD231" s="31"/>
      <c r="NYE231" s="32"/>
      <c r="NYF231" s="32"/>
      <c r="NYG231" s="32"/>
      <c r="NYH231" s="32"/>
      <c r="NYI231" s="32"/>
      <c r="NYJ231" s="31"/>
      <c r="NYK231" s="31"/>
      <c r="NYL231" s="33"/>
      <c r="NYM231" s="33"/>
      <c r="NYN231" s="34"/>
      <c r="NYO231" s="34"/>
      <c r="NYP231" s="35"/>
      <c r="NYQ231" s="35"/>
      <c r="NYR231" s="32"/>
      <c r="NYS231" s="31"/>
      <c r="NYT231" s="31"/>
      <c r="NYU231" s="31"/>
      <c r="NYV231" s="32"/>
      <c r="NYW231" s="32"/>
      <c r="NYX231" s="32"/>
      <c r="NYY231" s="32"/>
      <c r="NYZ231" s="32"/>
      <c r="NZA231" s="31"/>
      <c r="NZB231" s="31"/>
      <c r="NZC231" s="33"/>
      <c r="NZD231" s="33"/>
      <c r="NZE231" s="34"/>
      <c r="NZF231" s="34"/>
      <c r="NZG231" s="35"/>
      <c r="NZH231" s="35"/>
      <c r="NZI231" s="32"/>
      <c r="NZJ231" s="31"/>
      <c r="NZK231" s="31"/>
      <c r="NZL231" s="31"/>
      <c r="NZM231" s="32"/>
      <c r="NZN231" s="32"/>
      <c r="NZO231" s="32"/>
      <c r="NZP231" s="32"/>
      <c r="NZQ231" s="32"/>
      <c r="NZR231" s="31"/>
      <c r="NZS231" s="31"/>
      <c r="NZT231" s="33"/>
      <c r="NZU231" s="33"/>
      <c r="NZV231" s="34"/>
      <c r="NZW231" s="34"/>
      <c r="NZX231" s="35"/>
      <c r="NZY231" s="35"/>
      <c r="NZZ231" s="32"/>
      <c r="OAA231" s="31"/>
      <c r="OAB231" s="31"/>
      <c r="OAC231" s="31"/>
      <c r="OAD231" s="32"/>
      <c r="OAE231" s="32"/>
      <c r="OAF231" s="32"/>
      <c r="OAG231" s="32"/>
      <c r="OAH231" s="32"/>
      <c r="OAI231" s="31"/>
      <c r="OAJ231" s="31"/>
      <c r="OAK231" s="33"/>
      <c r="OAL231" s="33"/>
      <c r="OAM231" s="34"/>
      <c r="OAN231" s="34"/>
      <c r="OAO231" s="35"/>
      <c r="OAP231" s="35"/>
      <c r="OAQ231" s="32"/>
      <c r="OAR231" s="31"/>
      <c r="OAS231" s="31"/>
      <c r="OAT231" s="31"/>
      <c r="OAU231" s="32"/>
      <c r="OAV231" s="32"/>
      <c r="OAW231" s="32"/>
      <c r="OAX231" s="32"/>
      <c r="OAY231" s="32"/>
      <c r="OAZ231" s="31"/>
      <c r="OBA231" s="31"/>
      <c r="OBB231" s="33"/>
      <c r="OBC231" s="33"/>
      <c r="OBD231" s="34"/>
      <c r="OBE231" s="34"/>
      <c r="OBF231" s="35"/>
      <c r="OBG231" s="35"/>
      <c r="OBH231" s="32"/>
      <c r="OBI231" s="31"/>
      <c r="OBJ231" s="31"/>
      <c r="OBK231" s="31"/>
      <c r="OBL231" s="32"/>
      <c r="OBM231" s="32"/>
      <c r="OBN231" s="32"/>
      <c r="OBO231" s="32"/>
      <c r="OBP231" s="32"/>
      <c r="OBQ231" s="31"/>
      <c r="OBR231" s="31"/>
      <c r="OBS231" s="33"/>
      <c r="OBT231" s="33"/>
      <c r="OBU231" s="34"/>
      <c r="OBV231" s="34"/>
      <c r="OBW231" s="35"/>
      <c r="OBX231" s="35"/>
      <c r="OBY231" s="32"/>
      <c r="OBZ231" s="31"/>
      <c r="OCA231" s="31"/>
      <c r="OCB231" s="31"/>
      <c r="OCC231" s="32"/>
      <c r="OCD231" s="32"/>
      <c r="OCE231" s="32"/>
      <c r="OCF231" s="32"/>
      <c r="OCG231" s="32"/>
      <c r="OCH231" s="31"/>
      <c r="OCI231" s="31"/>
      <c r="OCJ231" s="33"/>
      <c r="OCK231" s="33"/>
      <c r="OCL231" s="34"/>
      <c r="OCM231" s="34"/>
      <c r="OCN231" s="35"/>
      <c r="OCO231" s="35"/>
      <c r="OCP231" s="32"/>
      <c r="OCQ231" s="31"/>
      <c r="OCR231" s="31"/>
      <c r="OCS231" s="31"/>
      <c r="OCT231" s="32"/>
      <c r="OCU231" s="32"/>
      <c r="OCV231" s="32"/>
      <c r="OCW231" s="32"/>
      <c r="OCX231" s="32"/>
      <c r="OCY231" s="31"/>
      <c r="OCZ231" s="31"/>
      <c r="ODA231" s="33"/>
      <c r="ODB231" s="33"/>
      <c r="ODC231" s="34"/>
      <c r="ODD231" s="34"/>
      <c r="ODE231" s="35"/>
      <c r="ODF231" s="35"/>
      <c r="ODG231" s="32"/>
      <c r="ODH231" s="31"/>
      <c r="ODI231" s="31"/>
      <c r="ODJ231" s="31"/>
      <c r="ODK231" s="32"/>
      <c r="ODL231" s="32"/>
      <c r="ODM231" s="32"/>
      <c r="ODN231" s="32"/>
      <c r="ODO231" s="32"/>
      <c r="ODP231" s="31"/>
      <c r="ODQ231" s="31"/>
      <c r="ODR231" s="33"/>
      <c r="ODS231" s="33"/>
      <c r="ODT231" s="34"/>
      <c r="ODU231" s="34"/>
      <c r="ODV231" s="35"/>
      <c r="ODW231" s="35"/>
      <c r="ODX231" s="32"/>
      <c r="ODY231" s="31"/>
      <c r="ODZ231" s="31"/>
      <c r="OEA231" s="31"/>
      <c r="OEB231" s="32"/>
      <c r="OEC231" s="32"/>
      <c r="OED231" s="32"/>
      <c r="OEE231" s="32"/>
      <c r="OEF231" s="32"/>
      <c r="OEG231" s="31"/>
      <c r="OEH231" s="31"/>
      <c r="OEI231" s="33"/>
      <c r="OEJ231" s="33"/>
      <c r="OEK231" s="34"/>
      <c r="OEL231" s="34"/>
      <c r="OEM231" s="35"/>
      <c r="OEN231" s="35"/>
      <c r="OEO231" s="32"/>
      <c r="OEP231" s="31"/>
      <c r="OEQ231" s="31"/>
      <c r="OER231" s="31"/>
      <c r="OES231" s="32"/>
      <c r="OET231" s="32"/>
      <c r="OEU231" s="32"/>
      <c r="OEV231" s="32"/>
      <c r="OEW231" s="32"/>
      <c r="OEX231" s="31"/>
      <c r="OEY231" s="31"/>
      <c r="OEZ231" s="33"/>
      <c r="OFA231" s="33"/>
      <c r="OFB231" s="34"/>
      <c r="OFC231" s="34"/>
      <c r="OFD231" s="35"/>
      <c r="OFE231" s="35"/>
      <c r="OFF231" s="32"/>
      <c r="OFG231" s="31"/>
      <c r="OFH231" s="31"/>
      <c r="OFI231" s="31"/>
      <c r="OFJ231" s="32"/>
      <c r="OFK231" s="32"/>
      <c r="OFL231" s="32"/>
      <c r="OFM231" s="32"/>
      <c r="OFN231" s="32"/>
      <c r="OFO231" s="31"/>
      <c r="OFP231" s="31"/>
      <c r="OFQ231" s="33"/>
      <c r="OFR231" s="33"/>
      <c r="OFS231" s="34"/>
      <c r="OFT231" s="34"/>
      <c r="OFU231" s="35"/>
      <c r="OFV231" s="35"/>
      <c r="OFW231" s="32"/>
      <c r="OFX231" s="31"/>
      <c r="OFY231" s="31"/>
      <c r="OFZ231" s="31"/>
      <c r="OGA231" s="32"/>
      <c r="OGB231" s="32"/>
      <c r="OGC231" s="32"/>
      <c r="OGD231" s="32"/>
      <c r="OGE231" s="32"/>
      <c r="OGF231" s="31"/>
      <c r="OGG231" s="31"/>
      <c r="OGH231" s="33"/>
      <c r="OGI231" s="33"/>
      <c r="OGJ231" s="34"/>
      <c r="OGK231" s="34"/>
      <c r="OGL231" s="35"/>
      <c r="OGM231" s="35"/>
      <c r="OGN231" s="32"/>
      <c r="OGO231" s="31"/>
      <c r="OGP231" s="31"/>
      <c r="OGQ231" s="31"/>
      <c r="OGR231" s="32"/>
      <c r="OGS231" s="32"/>
      <c r="OGT231" s="32"/>
      <c r="OGU231" s="32"/>
      <c r="OGV231" s="32"/>
      <c r="OGW231" s="31"/>
      <c r="OGX231" s="31"/>
      <c r="OGY231" s="33"/>
      <c r="OGZ231" s="33"/>
      <c r="OHA231" s="34"/>
      <c r="OHB231" s="34"/>
      <c r="OHC231" s="35"/>
      <c r="OHD231" s="35"/>
      <c r="OHE231" s="32"/>
      <c r="OHF231" s="31"/>
      <c r="OHG231" s="31"/>
      <c r="OHH231" s="31"/>
      <c r="OHI231" s="32"/>
      <c r="OHJ231" s="32"/>
      <c r="OHK231" s="32"/>
      <c r="OHL231" s="32"/>
      <c r="OHM231" s="32"/>
      <c r="OHN231" s="31"/>
      <c r="OHO231" s="31"/>
      <c r="OHP231" s="33"/>
      <c r="OHQ231" s="33"/>
      <c r="OHR231" s="34"/>
      <c r="OHS231" s="34"/>
      <c r="OHT231" s="35"/>
      <c r="OHU231" s="35"/>
      <c r="OHV231" s="32"/>
      <c r="OHW231" s="31"/>
      <c r="OHX231" s="31"/>
      <c r="OHY231" s="31"/>
      <c r="OHZ231" s="32"/>
      <c r="OIA231" s="32"/>
      <c r="OIB231" s="32"/>
      <c r="OIC231" s="32"/>
      <c r="OID231" s="32"/>
      <c r="OIE231" s="31"/>
      <c r="OIF231" s="31"/>
      <c r="OIG231" s="33"/>
      <c r="OIH231" s="33"/>
      <c r="OII231" s="34"/>
      <c r="OIJ231" s="34"/>
      <c r="OIK231" s="35"/>
      <c r="OIL231" s="35"/>
      <c r="OIM231" s="32"/>
      <c r="OIN231" s="31"/>
      <c r="OIO231" s="31"/>
      <c r="OIP231" s="31"/>
      <c r="OIQ231" s="32"/>
      <c r="OIR231" s="32"/>
      <c r="OIS231" s="32"/>
      <c r="OIT231" s="32"/>
      <c r="OIU231" s="32"/>
      <c r="OIV231" s="31"/>
      <c r="OIW231" s="31"/>
      <c r="OIX231" s="33"/>
      <c r="OIY231" s="33"/>
      <c r="OIZ231" s="34"/>
      <c r="OJA231" s="34"/>
      <c r="OJB231" s="35"/>
      <c r="OJC231" s="35"/>
      <c r="OJD231" s="32"/>
      <c r="OJE231" s="31"/>
      <c r="OJF231" s="31"/>
      <c r="OJG231" s="31"/>
      <c r="OJH231" s="32"/>
      <c r="OJI231" s="32"/>
      <c r="OJJ231" s="32"/>
      <c r="OJK231" s="32"/>
      <c r="OJL231" s="32"/>
      <c r="OJM231" s="31"/>
      <c r="OJN231" s="31"/>
      <c r="OJO231" s="33"/>
      <c r="OJP231" s="33"/>
      <c r="OJQ231" s="34"/>
      <c r="OJR231" s="34"/>
      <c r="OJS231" s="35"/>
      <c r="OJT231" s="35"/>
      <c r="OJU231" s="32"/>
      <c r="OJV231" s="31"/>
      <c r="OJW231" s="31"/>
      <c r="OJX231" s="31"/>
      <c r="OJY231" s="32"/>
      <c r="OJZ231" s="32"/>
      <c r="OKA231" s="32"/>
      <c r="OKB231" s="32"/>
      <c r="OKC231" s="32"/>
      <c r="OKD231" s="31"/>
      <c r="OKE231" s="31"/>
      <c r="OKF231" s="33"/>
      <c r="OKG231" s="33"/>
      <c r="OKH231" s="34"/>
      <c r="OKI231" s="34"/>
      <c r="OKJ231" s="35"/>
      <c r="OKK231" s="35"/>
      <c r="OKL231" s="32"/>
      <c r="OKM231" s="31"/>
      <c r="OKN231" s="31"/>
      <c r="OKO231" s="31"/>
      <c r="OKP231" s="32"/>
      <c r="OKQ231" s="32"/>
      <c r="OKR231" s="32"/>
      <c r="OKS231" s="32"/>
      <c r="OKT231" s="32"/>
      <c r="OKU231" s="31"/>
      <c r="OKV231" s="31"/>
      <c r="OKW231" s="33"/>
      <c r="OKX231" s="33"/>
      <c r="OKY231" s="34"/>
      <c r="OKZ231" s="34"/>
      <c r="OLA231" s="35"/>
      <c r="OLB231" s="35"/>
      <c r="OLC231" s="32"/>
      <c r="OLD231" s="31"/>
      <c r="OLE231" s="31"/>
      <c r="OLF231" s="31"/>
      <c r="OLG231" s="32"/>
      <c r="OLH231" s="32"/>
      <c r="OLI231" s="32"/>
      <c r="OLJ231" s="32"/>
      <c r="OLK231" s="32"/>
      <c r="OLL231" s="31"/>
      <c r="OLM231" s="31"/>
      <c r="OLN231" s="33"/>
      <c r="OLO231" s="33"/>
      <c r="OLP231" s="34"/>
      <c r="OLQ231" s="34"/>
      <c r="OLR231" s="35"/>
      <c r="OLS231" s="35"/>
      <c r="OLT231" s="32"/>
      <c r="OLU231" s="31"/>
      <c r="OLV231" s="31"/>
      <c r="OLW231" s="31"/>
      <c r="OLX231" s="32"/>
      <c r="OLY231" s="32"/>
      <c r="OLZ231" s="32"/>
      <c r="OMA231" s="32"/>
      <c r="OMB231" s="32"/>
      <c r="OMC231" s="31"/>
      <c r="OMD231" s="31"/>
      <c r="OME231" s="33"/>
      <c r="OMF231" s="33"/>
      <c r="OMG231" s="34"/>
      <c r="OMH231" s="34"/>
      <c r="OMI231" s="35"/>
      <c r="OMJ231" s="35"/>
      <c r="OMK231" s="32"/>
      <c r="OML231" s="31"/>
      <c r="OMM231" s="31"/>
      <c r="OMN231" s="31"/>
      <c r="OMO231" s="32"/>
      <c r="OMP231" s="32"/>
      <c r="OMQ231" s="32"/>
      <c r="OMR231" s="32"/>
      <c r="OMS231" s="32"/>
      <c r="OMT231" s="31"/>
      <c r="OMU231" s="31"/>
      <c r="OMV231" s="33"/>
      <c r="OMW231" s="33"/>
      <c r="OMX231" s="34"/>
      <c r="OMY231" s="34"/>
      <c r="OMZ231" s="35"/>
      <c r="ONA231" s="35"/>
      <c r="ONB231" s="32"/>
      <c r="ONC231" s="31"/>
      <c r="OND231" s="31"/>
      <c r="ONE231" s="31"/>
      <c r="ONF231" s="32"/>
      <c r="ONG231" s="32"/>
      <c r="ONH231" s="32"/>
      <c r="ONI231" s="32"/>
      <c r="ONJ231" s="32"/>
      <c r="ONK231" s="31"/>
      <c r="ONL231" s="31"/>
      <c r="ONM231" s="33"/>
      <c r="ONN231" s="33"/>
      <c r="ONO231" s="34"/>
      <c r="ONP231" s="34"/>
      <c r="ONQ231" s="35"/>
      <c r="ONR231" s="35"/>
      <c r="ONS231" s="32"/>
      <c r="ONT231" s="31"/>
      <c r="ONU231" s="31"/>
      <c r="ONV231" s="31"/>
      <c r="ONW231" s="32"/>
      <c r="ONX231" s="32"/>
      <c r="ONY231" s="32"/>
      <c r="ONZ231" s="32"/>
      <c r="OOA231" s="32"/>
      <c r="OOB231" s="31"/>
      <c r="OOC231" s="31"/>
      <c r="OOD231" s="33"/>
      <c r="OOE231" s="33"/>
      <c r="OOF231" s="34"/>
      <c r="OOG231" s="34"/>
      <c r="OOH231" s="35"/>
      <c r="OOI231" s="35"/>
      <c r="OOJ231" s="32"/>
      <c r="OOK231" s="31"/>
      <c r="OOL231" s="31"/>
      <c r="OOM231" s="31"/>
      <c r="OON231" s="32"/>
      <c r="OOO231" s="32"/>
      <c r="OOP231" s="32"/>
      <c r="OOQ231" s="32"/>
      <c r="OOR231" s="32"/>
      <c r="OOS231" s="31"/>
      <c r="OOT231" s="31"/>
      <c r="OOU231" s="33"/>
      <c r="OOV231" s="33"/>
      <c r="OOW231" s="34"/>
      <c r="OOX231" s="34"/>
      <c r="OOY231" s="35"/>
      <c r="OOZ231" s="35"/>
      <c r="OPA231" s="32"/>
      <c r="OPB231" s="31"/>
      <c r="OPC231" s="31"/>
      <c r="OPD231" s="31"/>
      <c r="OPE231" s="32"/>
      <c r="OPF231" s="32"/>
      <c r="OPG231" s="32"/>
      <c r="OPH231" s="32"/>
      <c r="OPI231" s="32"/>
      <c r="OPJ231" s="31"/>
      <c r="OPK231" s="31"/>
      <c r="OPL231" s="33"/>
      <c r="OPM231" s="33"/>
      <c r="OPN231" s="34"/>
      <c r="OPO231" s="34"/>
      <c r="OPP231" s="35"/>
      <c r="OPQ231" s="35"/>
      <c r="OPR231" s="32"/>
      <c r="OPS231" s="31"/>
      <c r="OPT231" s="31"/>
      <c r="OPU231" s="31"/>
      <c r="OPV231" s="32"/>
      <c r="OPW231" s="32"/>
      <c r="OPX231" s="32"/>
      <c r="OPY231" s="32"/>
      <c r="OPZ231" s="32"/>
      <c r="OQA231" s="31"/>
      <c r="OQB231" s="31"/>
      <c r="OQC231" s="33"/>
      <c r="OQD231" s="33"/>
      <c r="OQE231" s="34"/>
      <c r="OQF231" s="34"/>
      <c r="OQG231" s="35"/>
      <c r="OQH231" s="35"/>
      <c r="OQI231" s="32"/>
      <c r="OQJ231" s="31"/>
      <c r="OQK231" s="31"/>
      <c r="OQL231" s="31"/>
      <c r="OQM231" s="32"/>
      <c r="OQN231" s="32"/>
      <c r="OQO231" s="32"/>
      <c r="OQP231" s="32"/>
      <c r="OQQ231" s="32"/>
      <c r="OQR231" s="31"/>
      <c r="OQS231" s="31"/>
      <c r="OQT231" s="33"/>
      <c r="OQU231" s="33"/>
      <c r="OQV231" s="34"/>
      <c r="OQW231" s="34"/>
      <c r="OQX231" s="35"/>
      <c r="OQY231" s="35"/>
      <c r="OQZ231" s="32"/>
      <c r="ORA231" s="31"/>
      <c r="ORB231" s="31"/>
      <c r="ORC231" s="31"/>
      <c r="ORD231" s="32"/>
      <c r="ORE231" s="32"/>
      <c r="ORF231" s="32"/>
      <c r="ORG231" s="32"/>
      <c r="ORH231" s="32"/>
      <c r="ORI231" s="31"/>
      <c r="ORJ231" s="31"/>
      <c r="ORK231" s="33"/>
      <c r="ORL231" s="33"/>
      <c r="ORM231" s="34"/>
      <c r="ORN231" s="34"/>
      <c r="ORO231" s="35"/>
      <c r="ORP231" s="35"/>
      <c r="ORQ231" s="32"/>
      <c r="ORR231" s="31"/>
      <c r="ORS231" s="31"/>
      <c r="ORT231" s="31"/>
      <c r="ORU231" s="32"/>
      <c r="ORV231" s="32"/>
      <c r="ORW231" s="32"/>
      <c r="ORX231" s="32"/>
      <c r="ORY231" s="32"/>
      <c r="ORZ231" s="31"/>
      <c r="OSA231" s="31"/>
      <c r="OSB231" s="33"/>
      <c r="OSC231" s="33"/>
      <c r="OSD231" s="34"/>
      <c r="OSE231" s="34"/>
      <c r="OSF231" s="35"/>
      <c r="OSG231" s="35"/>
      <c r="OSH231" s="32"/>
      <c r="OSI231" s="31"/>
      <c r="OSJ231" s="31"/>
      <c r="OSK231" s="31"/>
      <c r="OSL231" s="32"/>
      <c r="OSM231" s="32"/>
      <c r="OSN231" s="32"/>
      <c r="OSO231" s="32"/>
      <c r="OSP231" s="32"/>
      <c r="OSQ231" s="31"/>
      <c r="OSR231" s="31"/>
      <c r="OSS231" s="33"/>
      <c r="OST231" s="33"/>
      <c r="OSU231" s="34"/>
      <c r="OSV231" s="34"/>
      <c r="OSW231" s="35"/>
      <c r="OSX231" s="35"/>
      <c r="OSY231" s="32"/>
      <c r="OSZ231" s="31"/>
      <c r="OTA231" s="31"/>
      <c r="OTB231" s="31"/>
      <c r="OTC231" s="32"/>
      <c r="OTD231" s="32"/>
      <c r="OTE231" s="32"/>
      <c r="OTF231" s="32"/>
      <c r="OTG231" s="32"/>
      <c r="OTH231" s="31"/>
      <c r="OTI231" s="31"/>
      <c r="OTJ231" s="33"/>
      <c r="OTK231" s="33"/>
      <c r="OTL231" s="34"/>
      <c r="OTM231" s="34"/>
      <c r="OTN231" s="35"/>
      <c r="OTO231" s="35"/>
      <c r="OTP231" s="32"/>
      <c r="OTQ231" s="31"/>
      <c r="OTR231" s="31"/>
      <c r="OTS231" s="31"/>
      <c r="OTT231" s="32"/>
      <c r="OTU231" s="32"/>
      <c r="OTV231" s="32"/>
      <c r="OTW231" s="32"/>
      <c r="OTX231" s="32"/>
      <c r="OTY231" s="31"/>
      <c r="OTZ231" s="31"/>
      <c r="OUA231" s="33"/>
      <c r="OUB231" s="33"/>
      <c r="OUC231" s="34"/>
      <c r="OUD231" s="34"/>
      <c r="OUE231" s="35"/>
      <c r="OUF231" s="35"/>
      <c r="OUG231" s="32"/>
      <c r="OUH231" s="31"/>
      <c r="OUI231" s="31"/>
      <c r="OUJ231" s="31"/>
      <c r="OUK231" s="32"/>
      <c r="OUL231" s="32"/>
      <c r="OUM231" s="32"/>
      <c r="OUN231" s="32"/>
      <c r="OUO231" s="32"/>
      <c r="OUP231" s="31"/>
      <c r="OUQ231" s="31"/>
      <c r="OUR231" s="33"/>
      <c r="OUS231" s="33"/>
      <c r="OUT231" s="34"/>
      <c r="OUU231" s="34"/>
      <c r="OUV231" s="35"/>
      <c r="OUW231" s="35"/>
      <c r="OUX231" s="32"/>
      <c r="OUY231" s="31"/>
      <c r="OUZ231" s="31"/>
      <c r="OVA231" s="31"/>
      <c r="OVB231" s="32"/>
      <c r="OVC231" s="32"/>
      <c r="OVD231" s="32"/>
      <c r="OVE231" s="32"/>
      <c r="OVF231" s="32"/>
      <c r="OVG231" s="31"/>
      <c r="OVH231" s="31"/>
      <c r="OVI231" s="33"/>
      <c r="OVJ231" s="33"/>
      <c r="OVK231" s="34"/>
      <c r="OVL231" s="34"/>
      <c r="OVM231" s="35"/>
      <c r="OVN231" s="35"/>
      <c r="OVO231" s="32"/>
      <c r="OVP231" s="31"/>
      <c r="OVQ231" s="31"/>
      <c r="OVR231" s="31"/>
      <c r="OVS231" s="32"/>
      <c r="OVT231" s="32"/>
      <c r="OVU231" s="32"/>
      <c r="OVV231" s="32"/>
      <c r="OVW231" s="32"/>
      <c r="OVX231" s="31"/>
      <c r="OVY231" s="31"/>
      <c r="OVZ231" s="33"/>
      <c r="OWA231" s="33"/>
      <c r="OWB231" s="34"/>
      <c r="OWC231" s="34"/>
      <c r="OWD231" s="35"/>
      <c r="OWE231" s="35"/>
      <c r="OWF231" s="32"/>
      <c r="OWG231" s="31"/>
      <c r="OWH231" s="31"/>
      <c r="OWI231" s="31"/>
      <c r="OWJ231" s="32"/>
      <c r="OWK231" s="32"/>
      <c r="OWL231" s="32"/>
      <c r="OWM231" s="32"/>
      <c r="OWN231" s="32"/>
      <c r="OWO231" s="31"/>
      <c r="OWP231" s="31"/>
      <c r="OWQ231" s="33"/>
      <c r="OWR231" s="33"/>
      <c r="OWS231" s="34"/>
      <c r="OWT231" s="34"/>
      <c r="OWU231" s="35"/>
      <c r="OWV231" s="35"/>
      <c r="OWW231" s="32"/>
      <c r="OWX231" s="31"/>
      <c r="OWY231" s="31"/>
      <c r="OWZ231" s="31"/>
      <c r="OXA231" s="32"/>
      <c r="OXB231" s="32"/>
      <c r="OXC231" s="32"/>
      <c r="OXD231" s="32"/>
      <c r="OXE231" s="32"/>
      <c r="OXF231" s="31"/>
      <c r="OXG231" s="31"/>
      <c r="OXH231" s="33"/>
      <c r="OXI231" s="33"/>
      <c r="OXJ231" s="34"/>
      <c r="OXK231" s="34"/>
      <c r="OXL231" s="35"/>
      <c r="OXM231" s="35"/>
      <c r="OXN231" s="32"/>
      <c r="OXO231" s="31"/>
      <c r="OXP231" s="31"/>
      <c r="OXQ231" s="31"/>
      <c r="OXR231" s="32"/>
      <c r="OXS231" s="32"/>
      <c r="OXT231" s="32"/>
      <c r="OXU231" s="32"/>
      <c r="OXV231" s="32"/>
      <c r="OXW231" s="31"/>
      <c r="OXX231" s="31"/>
      <c r="OXY231" s="33"/>
      <c r="OXZ231" s="33"/>
      <c r="OYA231" s="34"/>
      <c r="OYB231" s="34"/>
      <c r="OYC231" s="35"/>
      <c r="OYD231" s="35"/>
      <c r="OYE231" s="32"/>
      <c r="OYF231" s="31"/>
      <c r="OYG231" s="31"/>
      <c r="OYH231" s="31"/>
      <c r="OYI231" s="32"/>
      <c r="OYJ231" s="32"/>
      <c r="OYK231" s="32"/>
      <c r="OYL231" s="32"/>
      <c r="OYM231" s="32"/>
      <c r="OYN231" s="31"/>
      <c r="OYO231" s="31"/>
      <c r="OYP231" s="33"/>
      <c r="OYQ231" s="33"/>
      <c r="OYR231" s="34"/>
      <c r="OYS231" s="34"/>
      <c r="OYT231" s="35"/>
      <c r="OYU231" s="35"/>
      <c r="OYV231" s="32"/>
      <c r="OYW231" s="31"/>
      <c r="OYX231" s="31"/>
      <c r="OYY231" s="31"/>
      <c r="OYZ231" s="32"/>
      <c r="OZA231" s="32"/>
      <c r="OZB231" s="32"/>
      <c r="OZC231" s="32"/>
      <c r="OZD231" s="32"/>
      <c r="OZE231" s="31"/>
      <c r="OZF231" s="31"/>
      <c r="OZG231" s="33"/>
      <c r="OZH231" s="33"/>
      <c r="OZI231" s="34"/>
      <c r="OZJ231" s="34"/>
      <c r="OZK231" s="35"/>
      <c r="OZL231" s="35"/>
      <c r="OZM231" s="32"/>
      <c r="OZN231" s="31"/>
      <c r="OZO231" s="31"/>
      <c r="OZP231" s="31"/>
      <c r="OZQ231" s="32"/>
      <c r="OZR231" s="32"/>
      <c r="OZS231" s="32"/>
      <c r="OZT231" s="32"/>
      <c r="OZU231" s="32"/>
      <c r="OZV231" s="31"/>
      <c r="OZW231" s="31"/>
      <c r="OZX231" s="33"/>
      <c r="OZY231" s="33"/>
      <c r="OZZ231" s="34"/>
      <c r="PAA231" s="34"/>
      <c r="PAB231" s="35"/>
      <c r="PAC231" s="35"/>
      <c r="PAD231" s="32"/>
      <c r="PAE231" s="31"/>
      <c r="PAF231" s="31"/>
      <c r="PAG231" s="31"/>
      <c r="PAH231" s="32"/>
      <c r="PAI231" s="32"/>
      <c r="PAJ231" s="32"/>
      <c r="PAK231" s="32"/>
      <c r="PAL231" s="32"/>
      <c r="PAM231" s="31"/>
      <c r="PAN231" s="31"/>
      <c r="PAO231" s="33"/>
      <c r="PAP231" s="33"/>
      <c r="PAQ231" s="34"/>
      <c r="PAR231" s="34"/>
      <c r="PAS231" s="35"/>
      <c r="PAT231" s="35"/>
      <c r="PAU231" s="32"/>
      <c r="PAV231" s="31"/>
      <c r="PAW231" s="31"/>
      <c r="PAX231" s="31"/>
      <c r="PAY231" s="32"/>
      <c r="PAZ231" s="32"/>
      <c r="PBA231" s="32"/>
      <c r="PBB231" s="32"/>
      <c r="PBC231" s="32"/>
      <c r="PBD231" s="31"/>
      <c r="PBE231" s="31"/>
      <c r="PBF231" s="33"/>
      <c r="PBG231" s="33"/>
      <c r="PBH231" s="34"/>
      <c r="PBI231" s="34"/>
      <c r="PBJ231" s="35"/>
      <c r="PBK231" s="35"/>
      <c r="PBL231" s="32"/>
      <c r="PBM231" s="31"/>
      <c r="PBN231" s="31"/>
      <c r="PBO231" s="31"/>
      <c r="PBP231" s="32"/>
      <c r="PBQ231" s="32"/>
      <c r="PBR231" s="32"/>
      <c r="PBS231" s="32"/>
      <c r="PBT231" s="32"/>
      <c r="PBU231" s="31"/>
      <c r="PBV231" s="31"/>
      <c r="PBW231" s="33"/>
      <c r="PBX231" s="33"/>
      <c r="PBY231" s="34"/>
      <c r="PBZ231" s="34"/>
      <c r="PCA231" s="35"/>
      <c r="PCB231" s="35"/>
      <c r="PCC231" s="32"/>
      <c r="PCD231" s="31"/>
      <c r="PCE231" s="31"/>
      <c r="PCF231" s="31"/>
      <c r="PCG231" s="32"/>
      <c r="PCH231" s="32"/>
      <c r="PCI231" s="32"/>
      <c r="PCJ231" s="32"/>
      <c r="PCK231" s="32"/>
      <c r="PCL231" s="31"/>
      <c r="PCM231" s="31"/>
      <c r="PCN231" s="33"/>
      <c r="PCO231" s="33"/>
      <c r="PCP231" s="34"/>
      <c r="PCQ231" s="34"/>
      <c r="PCR231" s="35"/>
      <c r="PCS231" s="35"/>
      <c r="PCT231" s="32"/>
      <c r="PCU231" s="31"/>
      <c r="PCV231" s="31"/>
      <c r="PCW231" s="31"/>
      <c r="PCX231" s="32"/>
      <c r="PCY231" s="32"/>
      <c r="PCZ231" s="32"/>
      <c r="PDA231" s="32"/>
      <c r="PDB231" s="32"/>
      <c r="PDC231" s="31"/>
      <c r="PDD231" s="31"/>
      <c r="PDE231" s="33"/>
      <c r="PDF231" s="33"/>
      <c r="PDG231" s="34"/>
      <c r="PDH231" s="34"/>
      <c r="PDI231" s="35"/>
      <c r="PDJ231" s="35"/>
      <c r="PDK231" s="32"/>
      <c r="PDL231" s="31"/>
      <c r="PDM231" s="31"/>
      <c r="PDN231" s="31"/>
      <c r="PDO231" s="32"/>
      <c r="PDP231" s="32"/>
      <c r="PDQ231" s="32"/>
      <c r="PDR231" s="32"/>
      <c r="PDS231" s="32"/>
      <c r="PDT231" s="31"/>
      <c r="PDU231" s="31"/>
      <c r="PDV231" s="33"/>
      <c r="PDW231" s="33"/>
      <c r="PDX231" s="34"/>
      <c r="PDY231" s="34"/>
      <c r="PDZ231" s="35"/>
      <c r="PEA231" s="35"/>
      <c r="PEB231" s="32"/>
      <c r="PEC231" s="31"/>
      <c r="PED231" s="31"/>
      <c r="PEE231" s="31"/>
      <c r="PEF231" s="32"/>
      <c r="PEG231" s="32"/>
      <c r="PEH231" s="32"/>
      <c r="PEI231" s="32"/>
      <c r="PEJ231" s="32"/>
      <c r="PEK231" s="31"/>
      <c r="PEL231" s="31"/>
      <c r="PEM231" s="33"/>
      <c r="PEN231" s="33"/>
      <c r="PEO231" s="34"/>
      <c r="PEP231" s="34"/>
      <c r="PEQ231" s="35"/>
      <c r="PER231" s="35"/>
      <c r="PES231" s="32"/>
      <c r="PET231" s="31"/>
      <c r="PEU231" s="31"/>
      <c r="PEV231" s="31"/>
      <c r="PEW231" s="32"/>
      <c r="PEX231" s="32"/>
      <c r="PEY231" s="32"/>
      <c r="PEZ231" s="32"/>
      <c r="PFA231" s="32"/>
      <c r="PFB231" s="31"/>
      <c r="PFC231" s="31"/>
      <c r="PFD231" s="33"/>
      <c r="PFE231" s="33"/>
      <c r="PFF231" s="34"/>
      <c r="PFG231" s="34"/>
      <c r="PFH231" s="35"/>
      <c r="PFI231" s="35"/>
      <c r="PFJ231" s="32"/>
      <c r="PFK231" s="31"/>
      <c r="PFL231" s="31"/>
      <c r="PFM231" s="31"/>
      <c r="PFN231" s="32"/>
      <c r="PFO231" s="32"/>
      <c r="PFP231" s="32"/>
      <c r="PFQ231" s="32"/>
      <c r="PFR231" s="32"/>
      <c r="PFS231" s="31"/>
      <c r="PFT231" s="31"/>
      <c r="PFU231" s="33"/>
      <c r="PFV231" s="33"/>
      <c r="PFW231" s="34"/>
      <c r="PFX231" s="34"/>
      <c r="PFY231" s="35"/>
      <c r="PFZ231" s="35"/>
      <c r="PGA231" s="32"/>
      <c r="PGB231" s="31"/>
      <c r="PGC231" s="31"/>
      <c r="PGD231" s="31"/>
      <c r="PGE231" s="32"/>
      <c r="PGF231" s="32"/>
      <c r="PGG231" s="32"/>
      <c r="PGH231" s="32"/>
      <c r="PGI231" s="32"/>
      <c r="PGJ231" s="31"/>
      <c r="PGK231" s="31"/>
      <c r="PGL231" s="33"/>
      <c r="PGM231" s="33"/>
      <c r="PGN231" s="34"/>
      <c r="PGO231" s="34"/>
      <c r="PGP231" s="35"/>
      <c r="PGQ231" s="35"/>
      <c r="PGR231" s="32"/>
      <c r="PGS231" s="31"/>
      <c r="PGT231" s="31"/>
      <c r="PGU231" s="31"/>
      <c r="PGV231" s="32"/>
      <c r="PGW231" s="32"/>
      <c r="PGX231" s="32"/>
      <c r="PGY231" s="32"/>
      <c r="PGZ231" s="32"/>
      <c r="PHA231" s="31"/>
      <c r="PHB231" s="31"/>
      <c r="PHC231" s="33"/>
      <c r="PHD231" s="33"/>
      <c r="PHE231" s="34"/>
      <c r="PHF231" s="34"/>
      <c r="PHG231" s="35"/>
      <c r="PHH231" s="35"/>
      <c r="PHI231" s="32"/>
      <c r="PHJ231" s="31"/>
      <c r="PHK231" s="31"/>
      <c r="PHL231" s="31"/>
      <c r="PHM231" s="32"/>
      <c r="PHN231" s="32"/>
      <c r="PHO231" s="32"/>
      <c r="PHP231" s="32"/>
      <c r="PHQ231" s="32"/>
      <c r="PHR231" s="31"/>
      <c r="PHS231" s="31"/>
      <c r="PHT231" s="33"/>
      <c r="PHU231" s="33"/>
      <c r="PHV231" s="34"/>
      <c r="PHW231" s="34"/>
      <c r="PHX231" s="35"/>
      <c r="PHY231" s="35"/>
      <c r="PHZ231" s="32"/>
      <c r="PIA231" s="31"/>
      <c r="PIB231" s="31"/>
      <c r="PIC231" s="31"/>
      <c r="PID231" s="32"/>
      <c r="PIE231" s="32"/>
      <c r="PIF231" s="32"/>
      <c r="PIG231" s="32"/>
      <c r="PIH231" s="32"/>
      <c r="PII231" s="31"/>
      <c r="PIJ231" s="31"/>
      <c r="PIK231" s="33"/>
      <c r="PIL231" s="33"/>
      <c r="PIM231" s="34"/>
      <c r="PIN231" s="34"/>
      <c r="PIO231" s="35"/>
      <c r="PIP231" s="35"/>
      <c r="PIQ231" s="32"/>
      <c r="PIR231" s="31"/>
      <c r="PIS231" s="31"/>
      <c r="PIT231" s="31"/>
      <c r="PIU231" s="32"/>
      <c r="PIV231" s="32"/>
      <c r="PIW231" s="32"/>
      <c r="PIX231" s="32"/>
      <c r="PIY231" s="32"/>
      <c r="PIZ231" s="31"/>
      <c r="PJA231" s="31"/>
      <c r="PJB231" s="33"/>
      <c r="PJC231" s="33"/>
      <c r="PJD231" s="34"/>
      <c r="PJE231" s="34"/>
      <c r="PJF231" s="35"/>
      <c r="PJG231" s="35"/>
      <c r="PJH231" s="32"/>
      <c r="PJI231" s="31"/>
      <c r="PJJ231" s="31"/>
      <c r="PJK231" s="31"/>
      <c r="PJL231" s="32"/>
      <c r="PJM231" s="32"/>
      <c r="PJN231" s="32"/>
      <c r="PJO231" s="32"/>
      <c r="PJP231" s="32"/>
      <c r="PJQ231" s="31"/>
      <c r="PJR231" s="31"/>
      <c r="PJS231" s="33"/>
      <c r="PJT231" s="33"/>
      <c r="PJU231" s="34"/>
      <c r="PJV231" s="34"/>
      <c r="PJW231" s="35"/>
      <c r="PJX231" s="35"/>
      <c r="PJY231" s="32"/>
      <c r="PJZ231" s="31"/>
      <c r="PKA231" s="31"/>
      <c r="PKB231" s="31"/>
      <c r="PKC231" s="32"/>
      <c r="PKD231" s="32"/>
      <c r="PKE231" s="32"/>
      <c r="PKF231" s="32"/>
      <c r="PKG231" s="32"/>
      <c r="PKH231" s="31"/>
      <c r="PKI231" s="31"/>
      <c r="PKJ231" s="33"/>
      <c r="PKK231" s="33"/>
      <c r="PKL231" s="34"/>
      <c r="PKM231" s="34"/>
      <c r="PKN231" s="35"/>
      <c r="PKO231" s="35"/>
      <c r="PKP231" s="32"/>
      <c r="PKQ231" s="31"/>
      <c r="PKR231" s="31"/>
      <c r="PKS231" s="31"/>
      <c r="PKT231" s="32"/>
      <c r="PKU231" s="32"/>
      <c r="PKV231" s="32"/>
      <c r="PKW231" s="32"/>
      <c r="PKX231" s="32"/>
      <c r="PKY231" s="31"/>
      <c r="PKZ231" s="31"/>
      <c r="PLA231" s="33"/>
      <c r="PLB231" s="33"/>
      <c r="PLC231" s="34"/>
      <c r="PLD231" s="34"/>
      <c r="PLE231" s="35"/>
      <c r="PLF231" s="35"/>
      <c r="PLG231" s="32"/>
      <c r="PLH231" s="31"/>
      <c r="PLI231" s="31"/>
      <c r="PLJ231" s="31"/>
      <c r="PLK231" s="32"/>
      <c r="PLL231" s="32"/>
      <c r="PLM231" s="32"/>
      <c r="PLN231" s="32"/>
      <c r="PLO231" s="32"/>
      <c r="PLP231" s="31"/>
      <c r="PLQ231" s="31"/>
      <c r="PLR231" s="33"/>
      <c r="PLS231" s="33"/>
      <c r="PLT231" s="34"/>
      <c r="PLU231" s="34"/>
      <c r="PLV231" s="35"/>
      <c r="PLW231" s="35"/>
      <c r="PLX231" s="32"/>
      <c r="PLY231" s="31"/>
      <c r="PLZ231" s="31"/>
      <c r="PMA231" s="31"/>
      <c r="PMB231" s="32"/>
      <c r="PMC231" s="32"/>
      <c r="PMD231" s="32"/>
      <c r="PME231" s="32"/>
      <c r="PMF231" s="32"/>
      <c r="PMG231" s="31"/>
      <c r="PMH231" s="31"/>
      <c r="PMI231" s="33"/>
      <c r="PMJ231" s="33"/>
      <c r="PMK231" s="34"/>
      <c r="PML231" s="34"/>
      <c r="PMM231" s="35"/>
      <c r="PMN231" s="35"/>
      <c r="PMO231" s="32"/>
      <c r="PMP231" s="31"/>
      <c r="PMQ231" s="31"/>
      <c r="PMR231" s="31"/>
      <c r="PMS231" s="32"/>
      <c r="PMT231" s="32"/>
      <c r="PMU231" s="32"/>
      <c r="PMV231" s="32"/>
      <c r="PMW231" s="32"/>
      <c r="PMX231" s="31"/>
      <c r="PMY231" s="31"/>
      <c r="PMZ231" s="33"/>
      <c r="PNA231" s="33"/>
      <c r="PNB231" s="34"/>
      <c r="PNC231" s="34"/>
      <c r="PND231" s="35"/>
      <c r="PNE231" s="35"/>
      <c r="PNF231" s="32"/>
      <c r="PNG231" s="31"/>
      <c r="PNH231" s="31"/>
      <c r="PNI231" s="31"/>
      <c r="PNJ231" s="32"/>
      <c r="PNK231" s="32"/>
      <c r="PNL231" s="32"/>
      <c r="PNM231" s="32"/>
      <c r="PNN231" s="32"/>
      <c r="PNO231" s="31"/>
      <c r="PNP231" s="31"/>
      <c r="PNQ231" s="33"/>
      <c r="PNR231" s="33"/>
      <c r="PNS231" s="34"/>
      <c r="PNT231" s="34"/>
      <c r="PNU231" s="35"/>
      <c r="PNV231" s="35"/>
      <c r="PNW231" s="32"/>
      <c r="PNX231" s="31"/>
      <c r="PNY231" s="31"/>
      <c r="PNZ231" s="31"/>
      <c r="POA231" s="32"/>
      <c r="POB231" s="32"/>
      <c r="POC231" s="32"/>
      <c r="POD231" s="32"/>
      <c r="POE231" s="32"/>
      <c r="POF231" s="31"/>
      <c r="POG231" s="31"/>
      <c r="POH231" s="33"/>
      <c r="POI231" s="33"/>
      <c r="POJ231" s="34"/>
      <c r="POK231" s="34"/>
      <c r="POL231" s="35"/>
      <c r="POM231" s="35"/>
      <c r="PON231" s="32"/>
      <c r="POO231" s="31"/>
      <c r="POP231" s="31"/>
      <c r="POQ231" s="31"/>
      <c r="POR231" s="32"/>
      <c r="POS231" s="32"/>
      <c r="POT231" s="32"/>
      <c r="POU231" s="32"/>
      <c r="POV231" s="32"/>
      <c r="POW231" s="31"/>
      <c r="POX231" s="31"/>
      <c r="POY231" s="33"/>
      <c r="POZ231" s="33"/>
      <c r="PPA231" s="34"/>
      <c r="PPB231" s="34"/>
      <c r="PPC231" s="35"/>
      <c r="PPD231" s="35"/>
      <c r="PPE231" s="32"/>
      <c r="PPF231" s="31"/>
      <c r="PPG231" s="31"/>
      <c r="PPH231" s="31"/>
      <c r="PPI231" s="32"/>
      <c r="PPJ231" s="32"/>
      <c r="PPK231" s="32"/>
      <c r="PPL231" s="32"/>
      <c r="PPM231" s="32"/>
      <c r="PPN231" s="31"/>
      <c r="PPO231" s="31"/>
      <c r="PPP231" s="33"/>
      <c r="PPQ231" s="33"/>
      <c r="PPR231" s="34"/>
      <c r="PPS231" s="34"/>
      <c r="PPT231" s="35"/>
      <c r="PPU231" s="35"/>
      <c r="PPV231" s="32"/>
      <c r="PPW231" s="31"/>
      <c r="PPX231" s="31"/>
      <c r="PPY231" s="31"/>
      <c r="PPZ231" s="32"/>
      <c r="PQA231" s="32"/>
      <c r="PQB231" s="32"/>
      <c r="PQC231" s="32"/>
      <c r="PQD231" s="32"/>
      <c r="PQE231" s="31"/>
      <c r="PQF231" s="31"/>
      <c r="PQG231" s="33"/>
      <c r="PQH231" s="33"/>
      <c r="PQI231" s="34"/>
      <c r="PQJ231" s="34"/>
      <c r="PQK231" s="35"/>
      <c r="PQL231" s="35"/>
      <c r="PQM231" s="32"/>
      <c r="PQN231" s="31"/>
      <c r="PQO231" s="31"/>
      <c r="PQP231" s="31"/>
      <c r="PQQ231" s="32"/>
      <c r="PQR231" s="32"/>
      <c r="PQS231" s="32"/>
      <c r="PQT231" s="32"/>
      <c r="PQU231" s="32"/>
      <c r="PQV231" s="31"/>
      <c r="PQW231" s="31"/>
      <c r="PQX231" s="33"/>
      <c r="PQY231" s="33"/>
      <c r="PQZ231" s="34"/>
      <c r="PRA231" s="34"/>
      <c r="PRB231" s="35"/>
      <c r="PRC231" s="35"/>
      <c r="PRD231" s="32"/>
      <c r="PRE231" s="31"/>
      <c r="PRF231" s="31"/>
      <c r="PRG231" s="31"/>
      <c r="PRH231" s="32"/>
      <c r="PRI231" s="32"/>
      <c r="PRJ231" s="32"/>
      <c r="PRK231" s="32"/>
      <c r="PRL231" s="32"/>
      <c r="PRM231" s="31"/>
      <c r="PRN231" s="31"/>
      <c r="PRO231" s="33"/>
      <c r="PRP231" s="33"/>
      <c r="PRQ231" s="34"/>
      <c r="PRR231" s="34"/>
      <c r="PRS231" s="35"/>
      <c r="PRT231" s="35"/>
      <c r="PRU231" s="32"/>
      <c r="PRV231" s="31"/>
      <c r="PRW231" s="31"/>
      <c r="PRX231" s="31"/>
      <c r="PRY231" s="32"/>
      <c r="PRZ231" s="32"/>
      <c r="PSA231" s="32"/>
      <c r="PSB231" s="32"/>
      <c r="PSC231" s="32"/>
      <c r="PSD231" s="31"/>
      <c r="PSE231" s="31"/>
      <c r="PSF231" s="33"/>
      <c r="PSG231" s="33"/>
      <c r="PSH231" s="34"/>
      <c r="PSI231" s="34"/>
      <c r="PSJ231" s="35"/>
      <c r="PSK231" s="35"/>
      <c r="PSL231" s="32"/>
      <c r="PSM231" s="31"/>
      <c r="PSN231" s="31"/>
      <c r="PSO231" s="31"/>
      <c r="PSP231" s="32"/>
      <c r="PSQ231" s="32"/>
      <c r="PSR231" s="32"/>
      <c r="PSS231" s="32"/>
      <c r="PST231" s="32"/>
      <c r="PSU231" s="31"/>
      <c r="PSV231" s="31"/>
      <c r="PSW231" s="33"/>
      <c r="PSX231" s="33"/>
      <c r="PSY231" s="34"/>
      <c r="PSZ231" s="34"/>
      <c r="PTA231" s="35"/>
      <c r="PTB231" s="35"/>
      <c r="PTC231" s="32"/>
      <c r="PTD231" s="31"/>
      <c r="PTE231" s="31"/>
      <c r="PTF231" s="31"/>
      <c r="PTG231" s="32"/>
      <c r="PTH231" s="32"/>
      <c r="PTI231" s="32"/>
      <c r="PTJ231" s="32"/>
      <c r="PTK231" s="32"/>
      <c r="PTL231" s="31"/>
      <c r="PTM231" s="31"/>
      <c r="PTN231" s="33"/>
      <c r="PTO231" s="33"/>
      <c r="PTP231" s="34"/>
      <c r="PTQ231" s="34"/>
      <c r="PTR231" s="35"/>
      <c r="PTS231" s="35"/>
      <c r="PTT231" s="32"/>
      <c r="PTU231" s="31"/>
      <c r="PTV231" s="31"/>
      <c r="PTW231" s="31"/>
      <c r="PTX231" s="32"/>
      <c r="PTY231" s="32"/>
      <c r="PTZ231" s="32"/>
      <c r="PUA231" s="32"/>
      <c r="PUB231" s="32"/>
      <c r="PUC231" s="31"/>
      <c r="PUD231" s="31"/>
      <c r="PUE231" s="33"/>
      <c r="PUF231" s="33"/>
      <c r="PUG231" s="34"/>
      <c r="PUH231" s="34"/>
      <c r="PUI231" s="35"/>
      <c r="PUJ231" s="35"/>
      <c r="PUK231" s="32"/>
      <c r="PUL231" s="31"/>
      <c r="PUM231" s="31"/>
      <c r="PUN231" s="31"/>
      <c r="PUO231" s="32"/>
      <c r="PUP231" s="32"/>
      <c r="PUQ231" s="32"/>
      <c r="PUR231" s="32"/>
      <c r="PUS231" s="32"/>
      <c r="PUT231" s="31"/>
      <c r="PUU231" s="31"/>
      <c r="PUV231" s="33"/>
      <c r="PUW231" s="33"/>
      <c r="PUX231" s="34"/>
      <c r="PUY231" s="34"/>
      <c r="PUZ231" s="35"/>
      <c r="PVA231" s="35"/>
      <c r="PVB231" s="32"/>
      <c r="PVC231" s="31"/>
      <c r="PVD231" s="31"/>
      <c r="PVE231" s="31"/>
      <c r="PVF231" s="32"/>
      <c r="PVG231" s="32"/>
      <c r="PVH231" s="32"/>
      <c r="PVI231" s="32"/>
      <c r="PVJ231" s="32"/>
      <c r="PVK231" s="31"/>
      <c r="PVL231" s="31"/>
      <c r="PVM231" s="33"/>
      <c r="PVN231" s="33"/>
      <c r="PVO231" s="34"/>
      <c r="PVP231" s="34"/>
      <c r="PVQ231" s="35"/>
      <c r="PVR231" s="35"/>
      <c r="PVS231" s="32"/>
      <c r="PVT231" s="31"/>
      <c r="PVU231" s="31"/>
      <c r="PVV231" s="31"/>
      <c r="PVW231" s="32"/>
      <c r="PVX231" s="32"/>
      <c r="PVY231" s="32"/>
      <c r="PVZ231" s="32"/>
      <c r="PWA231" s="32"/>
      <c r="PWB231" s="31"/>
      <c r="PWC231" s="31"/>
      <c r="PWD231" s="33"/>
      <c r="PWE231" s="33"/>
      <c r="PWF231" s="34"/>
      <c r="PWG231" s="34"/>
      <c r="PWH231" s="35"/>
      <c r="PWI231" s="35"/>
      <c r="PWJ231" s="32"/>
      <c r="PWK231" s="31"/>
      <c r="PWL231" s="31"/>
      <c r="PWM231" s="31"/>
      <c r="PWN231" s="32"/>
      <c r="PWO231" s="32"/>
      <c r="PWP231" s="32"/>
      <c r="PWQ231" s="32"/>
      <c r="PWR231" s="32"/>
      <c r="PWS231" s="31"/>
      <c r="PWT231" s="31"/>
      <c r="PWU231" s="33"/>
      <c r="PWV231" s="33"/>
      <c r="PWW231" s="34"/>
      <c r="PWX231" s="34"/>
      <c r="PWY231" s="35"/>
      <c r="PWZ231" s="35"/>
      <c r="PXA231" s="32"/>
      <c r="PXB231" s="31"/>
      <c r="PXC231" s="31"/>
      <c r="PXD231" s="31"/>
      <c r="PXE231" s="32"/>
      <c r="PXF231" s="32"/>
      <c r="PXG231" s="32"/>
      <c r="PXH231" s="32"/>
      <c r="PXI231" s="32"/>
      <c r="PXJ231" s="31"/>
      <c r="PXK231" s="31"/>
      <c r="PXL231" s="33"/>
      <c r="PXM231" s="33"/>
      <c r="PXN231" s="34"/>
      <c r="PXO231" s="34"/>
      <c r="PXP231" s="35"/>
      <c r="PXQ231" s="35"/>
      <c r="PXR231" s="32"/>
      <c r="PXS231" s="31"/>
      <c r="PXT231" s="31"/>
      <c r="PXU231" s="31"/>
      <c r="PXV231" s="32"/>
      <c r="PXW231" s="32"/>
      <c r="PXX231" s="32"/>
      <c r="PXY231" s="32"/>
      <c r="PXZ231" s="32"/>
      <c r="PYA231" s="31"/>
      <c r="PYB231" s="31"/>
      <c r="PYC231" s="33"/>
      <c r="PYD231" s="33"/>
      <c r="PYE231" s="34"/>
      <c r="PYF231" s="34"/>
      <c r="PYG231" s="35"/>
      <c r="PYH231" s="35"/>
      <c r="PYI231" s="32"/>
      <c r="PYJ231" s="31"/>
      <c r="PYK231" s="31"/>
      <c r="PYL231" s="31"/>
      <c r="PYM231" s="32"/>
      <c r="PYN231" s="32"/>
      <c r="PYO231" s="32"/>
      <c r="PYP231" s="32"/>
      <c r="PYQ231" s="32"/>
      <c r="PYR231" s="31"/>
      <c r="PYS231" s="31"/>
      <c r="PYT231" s="33"/>
      <c r="PYU231" s="33"/>
      <c r="PYV231" s="34"/>
      <c r="PYW231" s="34"/>
      <c r="PYX231" s="35"/>
      <c r="PYY231" s="35"/>
      <c r="PYZ231" s="32"/>
      <c r="PZA231" s="31"/>
      <c r="PZB231" s="31"/>
      <c r="PZC231" s="31"/>
      <c r="PZD231" s="32"/>
      <c r="PZE231" s="32"/>
      <c r="PZF231" s="32"/>
      <c r="PZG231" s="32"/>
      <c r="PZH231" s="32"/>
      <c r="PZI231" s="31"/>
      <c r="PZJ231" s="31"/>
      <c r="PZK231" s="33"/>
      <c r="PZL231" s="33"/>
      <c r="PZM231" s="34"/>
      <c r="PZN231" s="34"/>
      <c r="PZO231" s="35"/>
      <c r="PZP231" s="35"/>
      <c r="PZQ231" s="32"/>
      <c r="PZR231" s="31"/>
      <c r="PZS231" s="31"/>
      <c r="PZT231" s="31"/>
      <c r="PZU231" s="32"/>
      <c r="PZV231" s="32"/>
      <c r="PZW231" s="32"/>
      <c r="PZX231" s="32"/>
      <c r="PZY231" s="32"/>
      <c r="PZZ231" s="31"/>
      <c r="QAA231" s="31"/>
      <c r="QAB231" s="33"/>
      <c r="QAC231" s="33"/>
      <c r="QAD231" s="34"/>
      <c r="QAE231" s="34"/>
      <c r="QAF231" s="35"/>
      <c r="QAG231" s="35"/>
      <c r="QAH231" s="32"/>
      <c r="QAI231" s="31"/>
      <c r="QAJ231" s="31"/>
      <c r="QAK231" s="31"/>
      <c r="QAL231" s="32"/>
      <c r="QAM231" s="32"/>
      <c r="QAN231" s="32"/>
      <c r="QAO231" s="32"/>
      <c r="QAP231" s="32"/>
      <c r="QAQ231" s="31"/>
      <c r="QAR231" s="31"/>
      <c r="QAS231" s="33"/>
      <c r="QAT231" s="33"/>
      <c r="QAU231" s="34"/>
      <c r="QAV231" s="34"/>
      <c r="QAW231" s="35"/>
      <c r="QAX231" s="35"/>
      <c r="QAY231" s="32"/>
      <c r="QAZ231" s="31"/>
      <c r="QBA231" s="31"/>
      <c r="QBB231" s="31"/>
      <c r="QBC231" s="32"/>
      <c r="QBD231" s="32"/>
      <c r="QBE231" s="32"/>
      <c r="QBF231" s="32"/>
      <c r="QBG231" s="32"/>
      <c r="QBH231" s="31"/>
      <c r="QBI231" s="31"/>
      <c r="QBJ231" s="33"/>
      <c r="QBK231" s="33"/>
      <c r="QBL231" s="34"/>
      <c r="QBM231" s="34"/>
      <c r="QBN231" s="35"/>
      <c r="QBO231" s="35"/>
      <c r="QBP231" s="32"/>
      <c r="QBQ231" s="31"/>
      <c r="QBR231" s="31"/>
      <c r="QBS231" s="31"/>
      <c r="QBT231" s="32"/>
      <c r="QBU231" s="32"/>
      <c r="QBV231" s="32"/>
      <c r="QBW231" s="32"/>
      <c r="QBX231" s="32"/>
      <c r="QBY231" s="31"/>
      <c r="QBZ231" s="31"/>
      <c r="QCA231" s="33"/>
      <c r="QCB231" s="33"/>
      <c r="QCC231" s="34"/>
      <c r="QCD231" s="34"/>
      <c r="QCE231" s="35"/>
      <c r="QCF231" s="35"/>
      <c r="QCG231" s="32"/>
      <c r="QCH231" s="31"/>
      <c r="QCI231" s="31"/>
      <c r="QCJ231" s="31"/>
      <c r="QCK231" s="32"/>
      <c r="QCL231" s="32"/>
      <c r="QCM231" s="32"/>
      <c r="QCN231" s="32"/>
      <c r="QCO231" s="32"/>
      <c r="QCP231" s="31"/>
      <c r="QCQ231" s="31"/>
      <c r="QCR231" s="33"/>
      <c r="QCS231" s="33"/>
      <c r="QCT231" s="34"/>
      <c r="QCU231" s="34"/>
      <c r="QCV231" s="35"/>
      <c r="QCW231" s="35"/>
      <c r="QCX231" s="32"/>
      <c r="QCY231" s="31"/>
      <c r="QCZ231" s="31"/>
      <c r="QDA231" s="31"/>
      <c r="QDB231" s="32"/>
      <c r="QDC231" s="32"/>
      <c r="QDD231" s="32"/>
      <c r="QDE231" s="32"/>
      <c r="QDF231" s="32"/>
      <c r="QDG231" s="31"/>
      <c r="QDH231" s="31"/>
      <c r="QDI231" s="33"/>
      <c r="QDJ231" s="33"/>
      <c r="QDK231" s="34"/>
      <c r="QDL231" s="34"/>
      <c r="QDM231" s="35"/>
      <c r="QDN231" s="35"/>
      <c r="QDO231" s="32"/>
      <c r="QDP231" s="31"/>
      <c r="QDQ231" s="31"/>
      <c r="QDR231" s="31"/>
      <c r="QDS231" s="32"/>
      <c r="QDT231" s="32"/>
      <c r="QDU231" s="32"/>
      <c r="QDV231" s="32"/>
      <c r="QDW231" s="32"/>
      <c r="QDX231" s="31"/>
      <c r="QDY231" s="31"/>
      <c r="QDZ231" s="33"/>
      <c r="QEA231" s="33"/>
      <c r="QEB231" s="34"/>
      <c r="QEC231" s="34"/>
      <c r="QED231" s="35"/>
      <c r="QEE231" s="35"/>
      <c r="QEF231" s="32"/>
      <c r="QEG231" s="31"/>
      <c r="QEH231" s="31"/>
      <c r="QEI231" s="31"/>
      <c r="QEJ231" s="32"/>
      <c r="QEK231" s="32"/>
      <c r="QEL231" s="32"/>
      <c r="QEM231" s="32"/>
      <c r="QEN231" s="32"/>
      <c r="QEO231" s="31"/>
      <c r="QEP231" s="31"/>
      <c r="QEQ231" s="33"/>
      <c r="QER231" s="33"/>
      <c r="QES231" s="34"/>
      <c r="QET231" s="34"/>
      <c r="QEU231" s="35"/>
      <c r="QEV231" s="35"/>
      <c r="QEW231" s="32"/>
      <c r="QEX231" s="31"/>
      <c r="QEY231" s="31"/>
      <c r="QEZ231" s="31"/>
      <c r="QFA231" s="32"/>
      <c r="QFB231" s="32"/>
      <c r="QFC231" s="32"/>
      <c r="QFD231" s="32"/>
      <c r="QFE231" s="32"/>
      <c r="QFF231" s="31"/>
      <c r="QFG231" s="31"/>
      <c r="QFH231" s="33"/>
      <c r="QFI231" s="33"/>
      <c r="QFJ231" s="34"/>
      <c r="QFK231" s="34"/>
      <c r="QFL231" s="35"/>
      <c r="QFM231" s="35"/>
      <c r="QFN231" s="32"/>
      <c r="QFO231" s="31"/>
      <c r="QFP231" s="31"/>
      <c r="QFQ231" s="31"/>
      <c r="QFR231" s="32"/>
      <c r="QFS231" s="32"/>
      <c r="QFT231" s="32"/>
      <c r="QFU231" s="32"/>
      <c r="QFV231" s="32"/>
      <c r="QFW231" s="31"/>
      <c r="QFX231" s="31"/>
      <c r="QFY231" s="33"/>
      <c r="QFZ231" s="33"/>
      <c r="QGA231" s="34"/>
      <c r="QGB231" s="34"/>
      <c r="QGC231" s="35"/>
      <c r="QGD231" s="35"/>
      <c r="QGE231" s="32"/>
      <c r="QGF231" s="31"/>
      <c r="QGG231" s="31"/>
      <c r="QGH231" s="31"/>
      <c r="QGI231" s="32"/>
      <c r="QGJ231" s="32"/>
      <c r="QGK231" s="32"/>
      <c r="QGL231" s="32"/>
      <c r="QGM231" s="32"/>
      <c r="QGN231" s="31"/>
      <c r="QGO231" s="31"/>
      <c r="QGP231" s="33"/>
      <c r="QGQ231" s="33"/>
      <c r="QGR231" s="34"/>
      <c r="QGS231" s="34"/>
      <c r="QGT231" s="35"/>
      <c r="QGU231" s="35"/>
      <c r="QGV231" s="32"/>
      <c r="QGW231" s="31"/>
      <c r="QGX231" s="31"/>
      <c r="QGY231" s="31"/>
      <c r="QGZ231" s="32"/>
      <c r="QHA231" s="32"/>
      <c r="QHB231" s="32"/>
      <c r="QHC231" s="32"/>
      <c r="QHD231" s="32"/>
      <c r="QHE231" s="31"/>
      <c r="QHF231" s="31"/>
      <c r="QHG231" s="33"/>
      <c r="QHH231" s="33"/>
      <c r="QHI231" s="34"/>
      <c r="QHJ231" s="34"/>
      <c r="QHK231" s="35"/>
      <c r="QHL231" s="35"/>
      <c r="QHM231" s="32"/>
      <c r="QHN231" s="31"/>
      <c r="QHO231" s="31"/>
      <c r="QHP231" s="31"/>
      <c r="QHQ231" s="32"/>
      <c r="QHR231" s="32"/>
      <c r="QHS231" s="32"/>
      <c r="QHT231" s="32"/>
      <c r="QHU231" s="32"/>
      <c r="QHV231" s="31"/>
      <c r="QHW231" s="31"/>
      <c r="QHX231" s="33"/>
      <c r="QHY231" s="33"/>
      <c r="QHZ231" s="34"/>
      <c r="QIA231" s="34"/>
      <c r="QIB231" s="35"/>
      <c r="QIC231" s="35"/>
      <c r="QID231" s="32"/>
      <c r="QIE231" s="31"/>
      <c r="QIF231" s="31"/>
      <c r="QIG231" s="31"/>
      <c r="QIH231" s="32"/>
      <c r="QII231" s="32"/>
      <c r="QIJ231" s="32"/>
      <c r="QIK231" s="32"/>
      <c r="QIL231" s="32"/>
      <c r="QIM231" s="31"/>
      <c r="QIN231" s="31"/>
      <c r="QIO231" s="33"/>
      <c r="QIP231" s="33"/>
      <c r="QIQ231" s="34"/>
      <c r="QIR231" s="34"/>
      <c r="QIS231" s="35"/>
      <c r="QIT231" s="35"/>
      <c r="QIU231" s="32"/>
      <c r="QIV231" s="31"/>
      <c r="QIW231" s="31"/>
      <c r="QIX231" s="31"/>
      <c r="QIY231" s="32"/>
      <c r="QIZ231" s="32"/>
      <c r="QJA231" s="32"/>
      <c r="QJB231" s="32"/>
      <c r="QJC231" s="32"/>
      <c r="QJD231" s="31"/>
      <c r="QJE231" s="31"/>
      <c r="QJF231" s="33"/>
      <c r="QJG231" s="33"/>
      <c r="QJH231" s="34"/>
      <c r="QJI231" s="34"/>
      <c r="QJJ231" s="35"/>
      <c r="QJK231" s="35"/>
      <c r="QJL231" s="32"/>
      <c r="QJM231" s="31"/>
      <c r="QJN231" s="31"/>
      <c r="QJO231" s="31"/>
      <c r="QJP231" s="32"/>
      <c r="QJQ231" s="32"/>
      <c r="QJR231" s="32"/>
      <c r="QJS231" s="32"/>
      <c r="QJT231" s="32"/>
      <c r="QJU231" s="31"/>
      <c r="QJV231" s="31"/>
      <c r="QJW231" s="33"/>
      <c r="QJX231" s="33"/>
      <c r="QJY231" s="34"/>
      <c r="QJZ231" s="34"/>
      <c r="QKA231" s="35"/>
      <c r="QKB231" s="35"/>
      <c r="QKC231" s="32"/>
      <c r="QKD231" s="31"/>
      <c r="QKE231" s="31"/>
      <c r="QKF231" s="31"/>
      <c r="QKG231" s="32"/>
      <c r="QKH231" s="32"/>
      <c r="QKI231" s="32"/>
      <c r="QKJ231" s="32"/>
      <c r="QKK231" s="32"/>
      <c r="QKL231" s="31"/>
      <c r="QKM231" s="31"/>
      <c r="QKN231" s="33"/>
      <c r="QKO231" s="33"/>
      <c r="QKP231" s="34"/>
      <c r="QKQ231" s="34"/>
      <c r="QKR231" s="35"/>
      <c r="QKS231" s="35"/>
      <c r="QKT231" s="32"/>
      <c r="QKU231" s="31"/>
      <c r="QKV231" s="31"/>
      <c r="QKW231" s="31"/>
      <c r="QKX231" s="32"/>
      <c r="QKY231" s="32"/>
      <c r="QKZ231" s="32"/>
      <c r="QLA231" s="32"/>
      <c r="QLB231" s="32"/>
      <c r="QLC231" s="31"/>
      <c r="QLD231" s="31"/>
      <c r="QLE231" s="33"/>
      <c r="QLF231" s="33"/>
      <c r="QLG231" s="34"/>
      <c r="QLH231" s="34"/>
      <c r="QLI231" s="35"/>
      <c r="QLJ231" s="35"/>
      <c r="QLK231" s="32"/>
      <c r="QLL231" s="31"/>
      <c r="QLM231" s="31"/>
      <c r="QLN231" s="31"/>
      <c r="QLO231" s="32"/>
      <c r="QLP231" s="32"/>
      <c r="QLQ231" s="32"/>
      <c r="QLR231" s="32"/>
      <c r="QLS231" s="32"/>
      <c r="QLT231" s="31"/>
      <c r="QLU231" s="31"/>
      <c r="QLV231" s="33"/>
      <c r="QLW231" s="33"/>
      <c r="QLX231" s="34"/>
      <c r="QLY231" s="34"/>
      <c r="QLZ231" s="35"/>
      <c r="QMA231" s="35"/>
      <c r="QMB231" s="32"/>
      <c r="QMC231" s="31"/>
      <c r="QMD231" s="31"/>
      <c r="QME231" s="31"/>
      <c r="QMF231" s="32"/>
      <c r="QMG231" s="32"/>
      <c r="QMH231" s="32"/>
      <c r="QMI231" s="32"/>
      <c r="QMJ231" s="32"/>
      <c r="QMK231" s="31"/>
      <c r="QML231" s="31"/>
      <c r="QMM231" s="33"/>
      <c r="QMN231" s="33"/>
      <c r="QMO231" s="34"/>
      <c r="QMP231" s="34"/>
      <c r="QMQ231" s="35"/>
      <c r="QMR231" s="35"/>
      <c r="QMS231" s="32"/>
      <c r="QMT231" s="31"/>
      <c r="QMU231" s="31"/>
      <c r="QMV231" s="31"/>
      <c r="QMW231" s="32"/>
      <c r="QMX231" s="32"/>
      <c r="QMY231" s="32"/>
      <c r="QMZ231" s="32"/>
      <c r="QNA231" s="32"/>
      <c r="QNB231" s="31"/>
      <c r="QNC231" s="31"/>
      <c r="QND231" s="33"/>
      <c r="QNE231" s="33"/>
      <c r="QNF231" s="34"/>
      <c r="QNG231" s="34"/>
      <c r="QNH231" s="35"/>
      <c r="QNI231" s="35"/>
      <c r="QNJ231" s="32"/>
      <c r="QNK231" s="31"/>
      <c r="QNL231" s="31"/>
      <c r="QNM231" s="31"/>
      <c r="QNN231" s="32"/>
      <c r="QNO231" s="32"/>
      <c r="QNP231" s="32"/>
      <c r="QNQ231" s="32"/>
      <c r="QNR231" s="32"/>
      <c r="QNS231" s="31"/>
      <c r="QNT231" s="31"/>
      <c r="QNU231" s="33"/>
      <c r="QNV231" s="33"/>
      <c r="QNW231" s="34"/>
      <c r="QNX231" s="34"/>
      <c r="QNY231" s="35"/>
      <c r="QNZ231" s="35"/>
      <c r="QOA231" s="32"/>
      <c r="QOB231" s="31"/>
      <c r="QOC231" s="31"/>
      <c r="QOD231" s="31"/>
      <c r="QOE231" s="32"/>
      <c r="QOF231" s="32"/>
      <c r="QOG231" s="32"/>
      <c r="QOH231" s="32"/>
      <c r="QOI231" s="32"/>
      <c r="QOJ231" s="31"/>
      <c r="QOK231" s="31"/>
      <c r="QOL231" s="33"/>
      <c r="QOM231" s="33"/>
      <c r="QON231" s="34"/>
      <c r="QOO231" s="34"/>
      <c r="QOP231" s="35"/>
      <c r="QOQ231" s="35"/>
      <c r="QOR231" s="32"/>
      <c r="QOS231" s="31"/>
      <c r="QOT231" s="31"/>
      <c r="QOU231" s="31"/>
      <c r="QOV231" s="32"/>
      <c r="QOW231" s="32"/>
      <c r="QOX231" s="32"/>
      <c r="QOY231" s="32"/>
      <c r="QOZ231" s="32"/>
      <c r="QPA231" s="31"/>
      <c r="QPB231" s="31"/>
      <c r="QPC231" s="33"/>
      <c r="QPD231" s="33"/>
      <c r="QPE231" s="34"/>
      <c r="QPF231" s="34"/>
      <c r="QPG231" s="35"/>
      <c r="QPH231" s="35"/>
      <c r="QPI231" s="32"/>
      <c r="QPJ231" s="31"/>
      <c r="QPK231" s="31"/>
      <c r="QPL231" s="31"/>
      <c r="QPM231" s="32"/>
      <c r="QPN231" s="32"/>
      <c r="QPO231" s="32"/>
      <c r="QPP231" s="32"/>
      <c r="QPQ231" s="32"/>
      <c r="QPR231" s="31"/>
      <c r="QPS231" s="31"/>
      <c r="QPT231" s="33"/>
      <c r="QPU231" s="33"/>
      <c r="QPV231" s="34"/>
      <c r="QPW231" s="34"/>
      <c r="QPX231" s="35"/>
      <c r="QPY231" s="35"/>
      <c r="QPZ231" s="32"/>
      <c r="QQA231" s="31"/>
      <c r="QQB231" s="31"/>
      <c r="QQC231" s="31"/>
      <c r="QQD231" s="32"/>
      <c r="QQE231" s="32"/>
      <c r="QQF231" s="32"/>
      <c r="QQG231" s="32"/>
      <c r="QQH231" s="32"/>
      <c r="QQI231" s="31"/>
      <c r="QQJ231" s="31"/>
      <c r="QQK231" s="33"/>
      <c r="QQL231" s="33"/>
      <c r="QQM231" s="34"/>
      <c r="QQN231" s="34"/>
      <c r="QQO231" s="35"/>
      <c r="QQP231" s="35"/>
      <c r="QQQ231" s="32"/>
      <c r="QQR231" s="31"/>
      <c r="QQS231" s="31"/>
      <c r="QQT231" s="31"/>
      <c r="QQU231" s="32"/>
      <c r="QQV231" s="32"/>
      <c r="QQW231" s="32"/>
      <c r="QQX231" s="32"/>
      <c r="QQY231" s="32"/>
      <c r="QQZ231" s="31"/>
      <c r="QRA231" s="31"/>
      <c r="QRB231" s="33"/>
      <c r="QRC231" s="33"/>
      <c r="QRD231" s="34"/>
      <c r="QRE231" s="34"/>
      <c r="QRF231" s="35"/>
      <c r="QRG231" s="35"/>
      <c r="QRH231" s="32"/>
      <c r="QRI231" s="31"/>
      <c r="QRJ231" s="31"/>
      <c r="QRK231" s="31"/>
      <c r="QRL231" s="32"/>
      <c r="QRM231" s="32"/>
      <c r="QRN231" s="32"/>
      <c r="QRO231" s="32"/>
      <c r="QRP231" s="32"/>
      <c r="QRQ231" s="31"/>
      <c r="QRR231" s="31"/>
      <c r="QRS231" s="33"/>
      <c r="QRT231" s="33"/>
      <c r="QRU231" s="34"/>
      <c r="QRV231" s="34"/>
      <c r="QRW231" s="35"/>
      <c r="QRX231" s="35"/>
      <c r="QRY231" s="32"/>
      <c r="QRZ231" s="31"/>
      <c r="QSA231" s="31"/>
      <c r="QSB231" s="31"/>
      <c r="QSC231" s="32"/>
      <c r="QSD231" s="32"/>
      <c r="QSE231" s="32"/>
      <c r="QSF231" s="32"/>
      <c r="QSG231" s="32"/>
      <c r="QSH231" s="31"/>
      <c r="QSI231" s="31"/>
      <c r="QSJ231" s="33"/>
      <c r="QSK231" s="33"/>
      <c r="QSL231" s="34"/>
      <c r="QSM231" s="34"/>
      <c r="QSN231" s="35"/>
      <c r="QSO231" s="35"/>
      <c r="QSP231" s="32"/>
      <c r="QSQ231" s="31"/>
      <c r="QSR231" s="31"/>
      <c r="QSS231" s="31"/>
      <c r="QST231" s="32"/>
      <c r="QSU231" s="32"/>
      <c r="QSV231" s="32"/>
      <c r="QSW231" s="32"/>
      <c r="QSX231" s="32"/>
      <c r="QSY231" s="31"/>
      <c r="QSZ231" s="31"/>
      <c r="QTA231" s="33"/>
      <c r="QTB231" s="33"/>
      <c r="QTC231" s="34"/>
      <c r="QTD231" s="34"/>
      <c r="QTE231" s="35"/>
      <c r="QTF231" s="35"/>
      <c r="QTG231" s="32"/>
      <c r="QTH231" s="31"/>
      <c r="QTI231" s="31"/>
      <c r="QTJ231" s="31"/>
      <c r="QTK231" s="32"/>
      <c r="QTL231" s="32"/>
      <c r="QTM231" s="32"/>
      <c r="QTN231" s="32"/>
      <c r="QTO231" s="32"/>
      <c r="QTP231" s="31"/>
      <c r="QTQ231" s="31"/>
      <c r="QTR231" s="33"/>
      <c r="QTS231" s="33"/>
      <c r="QTT231" s="34"/>
      <c r="QTU231" s="34"/>
      <c r="QTV231" s="35"/>
      <c r="QTW231" s="35"/>
      <c r="QTX231" s="32"/>
      <c r="QTY231" s="31"/>
      <c r="QTZ231" s="31"/>
      <c r="QUA231" s="31"/>
      <c r="QUB231" s="32"/>
      <c r="QUC231" s="32"/>
      <c r="QUD231" s="32"/>
      <c r="QUE231" s="32"/>
      <c r="QUF231" s="32"/>
      <c r="QUG231" s="31"/>
      <c r="QUH231" s="31"/>
      <c r="QUI231" s="33"/>
      <c r="QUJ231" s="33"/>
      <c r="QUK231" s="34"/>
      <c r="QUL231" s="34"/>
      <c r="QUM231" s="35"/>
      <c r="QUN231" s="35"/>
      <c r="QUO231" s="32"/>
      <c r="QUP231" s="31"/>
      <c r="QUQ231" s="31"/>
      <c r="QUR231" s="31"/>
      <c r="QUS231" s="32"/>
      <c r="QUT231" s="32"/>
      <c r="QUU231" s="32"/>
      <c r="QUV231" s="32"/>
      <c r="QUW231" s="32"/>
      <c r="QUX231" s="31"/>
      <c r="QUY231" s="31"/>
      <c r="QUZ231" s="33"/>
      <c r="QVA231" s="33"/>
      <c r="QVB231" s="34"/>
      <c r="QVC231" s="34"/>
      <c r="QVD231" s="35"/>
      <c r="QVE231" s="35"/>
      <c r="QVF231" s="32"/>
      <c r="QVG231" s="31"/>
      <c r="QVH231" s="31"/>
      <c r="QVI231" s="31"/>
      <c r="QVJ231" s="32"/>
      <c r="QVK231" s="32"/>
      <c r="QVL231" s="32"/>
      <c r="QVM231" s="32"/>
      <c r="QVN231" s="32"/>
      <c r="QVO231" s="31"/>
      <c r="QVP231" s="31"/>
      <c r="QVQ231" s="33"/>
      <c r="QVR231" s="33"/>
      <c r="QVS231" s="34"/>
      <c r="QVT231" s="34"/>
      <c r="QVU231" s="35"/>
      <c r="QVV231" s="35"/>
      <c r="QVW231" s="32"/>
      <c r="QVX231" s="31"/>
      <c r="QVY231" s="31"/>
      <c r="QVZ231" s="31"/>
      <c r="QWA231" s="32"/>
      <c r="QWB231" s="32"/>
      <c r="QWC231" s="32"/>
      <c r="QWD231" s="32"/>
      <c r="QWE231" s="32"/>
      <c r="QWF231" s="31"/>
      <c r="QWG231" s="31"/>
      <c r="QWH231" s="33"/>
      <c r="QWI231" s="33"/>
      <c r="QWJ231" s="34"/>
      <c r="QWK231" s="34"/>
      <c r="QWL231" s="35"/>
      <c r="QWM231" s="35"/>
      <c r="QWN231" s="32"/>
      <c r="QWO231" s="31"/>
      <c r="QWP231" s="31"/>
      <c r="QWQ231" s="31"/>
      <c r="QWR231" s="32"/>
      <c r="QWS231" s="32"/>
      <c r="QWT231" s="32"/>
      <c r="QWU231" s="32"/>
      <c r="QWV231" s="32"/>
      <c r="QWW231" s="31"/>
      <c r="QWX231" s="31"/>
      <c r="QWY231" s="33"/>
      <c r="QWZ231" s="33"/>
      <c r="QXA231" s="34"/>
      <c r="QXB231" s="34"/>
      <c r="QXC231" s="35"/>
      <c r="QXD231" s="35"/>
      <c r="QXE231" s="32"/>
      <c r="QXF231" s="31"/>
      <c r="QXG231" s="31"/>
      <c r="QXH231" s="31"/>
      <c r="QXI231" s="32"/>
      <c r="QXJ231" s="32"/>
      <c r="QXK231" s="32"/>
      <c r="QXL231" s="32"/>
      <c r="QXM231" s="32"/>
      <c r="QXN231" s="31"/>
      <c r="QXO231" s="31"/>
      <c r="QXP231" s="33"/>
      <c r="QXQ231" s="33"/>
      <c r="QXR231" s="34"/>
      <c r="QXS231" s="34"/>
      <c r="QXT231" s="35"/>
      <c r="QXU231" s="35"/>
      <c r="QXV231" s="32"/>
      <c r="QXW231" s="31"/>
      <c r="QXX231" s="31"/>
      <c r="QXY231" s="31"/>
      <c r="QXZ231" s="32"/>
      <c r="QYA231" s="32"/>
      <c r="QYB231" s="32"/>
      <c r="QYC231" s="32"/>
      <c r="QYD231" s="32"/>
      <c r="QYE231" s="31"/>
      <c r="QYF231" s="31"/>
      <c r="QYG231" s="33"/>
      <c r="QYH231" s="33"/>
      <c r="QYI231" s="34"/>
      <c r="QYJ231" s="34"/>
      <c r="QYK231" s="35"/>
      <c r="QYL231" s="35"/>
      <c r="QYM231" s="32"/>
      <c r="QYN231" s="31"/>
      <c r="QYO231" s="31"/>
      <c r="QYP231" s="31"/>
      <c r="QYQ231" s="32"/>
      <c r="QYR231" s="32"/>
      <c r="QYS231" s="32"/>
      <c r="QYT231" s="32"/>
      <c r="QYU231" s="32"/>
      <c r="QYV231" s="31"/>
      <c r="QYW231" s="31"/>
      <c r="QYX231" s="33"/>
      <c r="QYY231" s="33"/>
      <c r="QYZ231" s="34"/>
      <c r="QZA231" s="34"/>
      <c r="QZB231" s="35"/>
      <c r="QZC231" s="35"/>
      <c r="QZD231" s="32"/>
      <c r="QZE231" s="31"/>
      <c r="QZF231" s="31"/>
      <c r="QZG231" s="31"/>
      <c r="QZH231" s="32"/>
      <c r="QZI231" s="32"/>
      <c r="QZJ231" s="32"/>
      <c r="QZK231" s="32"/>
      <c r="QZL231" s="32"/>
      <c r="QZM231" s="31"/>
      <c r="QZN231" s="31"/>
      <c r="QZO231" s="33"/>
      <c r="QZP231" s="33"/>
      <c r="QZQ231" s="34"/>
      <c r="QZR231" s="34"/>
      <c r="QZS231" s="35"/>
      <c r="QZT231" s="35"/>
      <c r="QZU231" s="32"/>
      <c r="QZV231" s="31"/>
      <c r="QZW231" s="31"/>
      <c r="QZX231" s="31"/>
      <c r="QZY231" s="32"/>
      <c r="QZZ231" s="32"/>
      <c r="RAA231" s="32"/>
      <c r="RAB231" s="32"/>
      <c r="RAC231" s="32"/>
      <c r="RAD231" s="31"/>
      <c r="RAE231" s="31"/>
      <c r="RAF231" s="33"/>
      <c r="RAG231" s="33"/>
      <c r="RAH231" s="34"/>
      <c r="RAI231" s="34"/>
      <c r="RAJ231" s="35"/>
      <c r="RAK231" s="35"/>
      <c r="RAL231" s="32"/>
      <c r="RAM231" s="31"/>
      <c r="RAN231" s="31"/>
      <c r="RAO231" s="31"/>
      <c r="RAP231" s="32"/>
      <c r="RAQ231" s="32"/>
      <c r="RAR231" s="32"/>
      <c r="RAS231" s="32"/>
      <c r="RAT231" s="32"/>
      <c r="RAU231" s="31"/>
      <c r="RAV231" s="31"/>
      <c r="RAW231" s="33"/>
      <c r="RAX231" s="33"/>
      <c r="RAY231" s="34"/>
      <c r="RAZ231" s="34"/>
      <c r="RBA231" s="35"/>
      <c r="RBB231" s="35"/>
      <c r="RBC231" s="32"/>
      <c r="RBD231" s="31"/>
      <c r="RBE231" s="31"/>
      <c r="RBF231" s="31"/>
      <c r="RBG231" s="32"/>
      <c r="RBH231" s="32"/>
      <c r="RBI231" s="32"/>
      <c r="RBJ231" s="32"/>
      <c r="RBK231" s="32"/>
      <c r="RBL231" s="31"/>
      <c r="RBM231" s="31"/>
      <c r="RBN231" s="33"/>
      <c r="RBO231" s="33"/>
      <c r="RBP231" s="34"/>
      <c r="RBQ231" s="34"/>
      <c r="RBR231" s="35"/>
      <c r="RBS231" s="35"/>
      <c r="RBT231" s="32"/>
      <c r="RBU231" s="31"/>
      <c r="RBV231" s="31"/>
      <c r="RBW231" s="31"/>
      <c r="RBX231" s="32"/>
      <c r="RBY231" s="32"/>
      <c r="RBZ231" s="32"/>
      <c r="RCA231" s="32"/>
      <c r="RCB231" s="32"/>
      <c r="RCC231" s="31"/>
      <c r="RCD231" s="31"/>
      <c r="RCE231" s="33"/>
      <c r="RCF231" s="33"/>
      <c r="RCG231" s="34"/>
      <c r="RCH231" s="34"/>
      <c r="RCI231" s="35"/>
      <c r="RCJ231" s="35"/>
      <c r="RCK231" s="32"/>
      <c r="RCL231" s="31"/>
      <c r="RCM231" s="31"/>
      <c r="RCN231" s="31"/>
      <c r="RCO231" s="32"/>
      <c r="RCP231" s="32"/>
      <c r="RCQ231" s="32"/>
      <c r="RCR231" s="32"/>
      <c r="RCS231" s="32"/>
      <c r="RCT231" s="31"/>
      <c r="RCU231" s="31"/>
      <c r="RCV231" s="33"/>
      <c r="RCW231" s="33"/>
      <c r="RCX231" s="34"/>
      <c r="RCY231" s="34"/>
      <c r="RCZ231" s="35"/>
      <c r="RDA231" s="35"/>
      <c r="RDB231" s="32"/>
      <c r="RDC231" s="31"/>
      <c r="RDD231" s="31"/>
      <c r="RDE231" s="31"/>
      <c r="RDF231" s="32"/>
      <c r="RDG231" s="32"/>
      <c r="RDH231" s="32"/>
      <c r="RDI231" s="32"/>
      <c r="RDJ231" s="32"/>
      <c r="RDK231" s="31"/>
      <c r="RDL231" s="31"/>
      <c r="RDM231" s="33"/>
      <c r="RDN231" s="33"/>
      <c r="RDO231" s="34"/>
      <c r="RDP231" s="34"/>
      <c r="RDQ231" s="35"/>
      <c r="RDR231" s="35"/>
      <c r="RDS231" s="32"/>
      <c r="RDT231" s="31"/>
      <c r="RDU231" s="31"/>
      <c r="RDV231" s="31"/>
      <c r="RDW231" s="32"/>
      <c r="RDX231" s="32"/>
      <c r="RDY231" s="32"/>
      <c r="RDZ231" s="32"/>
      <c r="REA231" s="32"/>
      <c r="REB231" s="31"/>
      <c r="REC231" s="31"/>
      <c r="RED231" s="33"/>
      <c r="REE231" s="33"/>
      <c r="REF231" s="34"/>
      <c r="REG231" s="34"/>
      <c r="REH231" s="35"/>
      <c r="REI231" s="35"/>
      <c r="REJ231" s="32"/>
      <c r="REK231" s="31"/>
      <c r="REL231" s="31"/>
      <c r="REM231" s="31"/>
      <c r="REN231" s="32"/>
      <c r="REO231" s="32"/>
      <c r="REP231" s="32"/>
      <c r="REQ231" s="32"/>
      <c r="RER231" s="32"/>
      <c r="RES231" s="31"/>
      <c r="RET231" s="31"/>
      <c r="REU231" s="33"/>
      <c r="REV231" s="33"/>
      <c r="REW231" s="34"/>
      <c r="REX231" s="34"/>
      <c r="REY231" s="35"/>
      <c r="REZ231" s="35"/>
      <c r="RFA231" s="32"/>
      <c r="RFB231" s="31"/>
      <c r="RFC231" s="31"/>
      <c r="RFD231" s="31"/>
      <c r="RFE231" s="32"/>
      <c r="RFF231" s="32"/>
      <c r="RFG231" s="32"/>
      <c r="RFH231" s="32"/>
      <c r="RFI231" s="32"/>
      <c r="RFJ231" s="31"/>
      <c r="RFK231" s="31"/>
      <c r="RFL231" s="33"/>
      <c r="RFM231" s="33"/>
      <c r="RFN231" s="34"/>
      <c r="RFO231" s="34"/>
      <c r="RFP231" s="35"/>
      <c r="RFQ231" s="35"/>
      <c r="RFR231" s="32"/>
      <c r="RFS231" s="31"/>
      <c r="RFT231" s="31"/>
      <c r="RFU231" s="31"/>
      <c r="RFV231" s="32"/>
      <c r="RFW231" s="32"/>
      <c r="RFX231" s="32"/>
      <c r="RFY231" s="32"/>
      <c r="RFZ231" s="32"/>
      <c r="RGA231" s="31"/>
      <c r="RGB231" s="31"/>
      <c r="RGC231" s="33"/>
      <c r="RGD231" s="33"/>
      <c r="RGE231" s="34"/>
      <c r="RGF231" s="34"/>
      <c r="RGG231" s="35"/>
      <c r="RGH231" s="35"/>
      <c r="RGI231" s="32"/>
      <c r="RGJ231" s="31"/>
      <c r="RGK231" s="31"/>
      <c r="RGL231" s="31"/>
      <c r="RGM231" s="32"/>
      <c r="RGN231" s="32"/>
      <c r="RGO231" s="32"/>
      <c r="RGP231" s="32"/>
      <c r="RGQ231" s="32"/>
      <c r="RGR231" s="31"/>
      <c r="RGS231" s="31"/>
      <c r="RGT231" s="33"/>
      <c r="RGU231" s="33"/>
      <c r="RGV231" s="34"/>
      <c r="RGW231" s="34"/>
      <c r="RGX231" s="35"/>
      <c r="RGY231" s="35"/>
      <c r="RGZ231" s="32"/>
      <c r="RHA231" s="31"/>
      <c r="RHB231" s="31"/>
      <c r="RHC231" s="31"/>
      <c r="RHD231" s="32"/>
      <c r="RHE231" s="32"/>
      <c r="RHF231" s="32"/>
      <c r="RHG231" s="32"/>
      <c r="RHH231" s="32"/>
      <c r="RHI231" s="31"/>
      <c r="RHJ231" s="31"/>
      <c r="RHK231" s="33"/>
      <c r="RHL231" s="33"/>
      <c r="RHM231" s="34"/>
      <c r="RHN231" s="34"/>
      <c r="RHO231" s="35"/>
      <c r="RHP231" s="35"/>
      <c r="RHQ231" s="32"/>
      <c r="RHR231" s="31"/>
      <c r="RHS231" s="31"/>
      <c r="RHT231" s="31"/>
      <c r="RHU231" s="32"/>
      <c r="RHV231" s="32"/>
      <c r="RHW231" s="32"/>
      <c r="RHX231" s="32"/>
      <c r="RHY231" s="32"/>
      <c r="RHZ231" s="31"/>
      <c r="RIA231" s="31"/>
      <c r="RIB231" s="33"/>
      <c r="RIC231" s="33"/>
      <c r="RID231" s="34"/>
      <c r="RIE231" s="34"/>
      <c r="RIF231" s="35"/>
      <c r="RIG231" s="35"/>
      <c r="RIH231" s="32"/>
      <c r="RII231" s="31"/>
      <c r="RIJ231" s="31"/>
      <c r="RIK231" s="31"/>
      <c r="RIL231" s="32"/>
      <c r="RIM231" s="32"/>
      <c r="RIN231" s="32"/>
      <c r="RIO231" s="32"/>
      <c r="RIP231" s="32"/>
      <c r="RIQ231" s="31"/>
      <c r="RIR231" s="31"/>
      <c r="RIS231" s="33"/>
      <c r="RIT231" s="33"/>
      <c r="RIU231" s="34"/>
      <c r="RIV231" s="34"/>
      <c r="RIW231" s="35"/>
      <c r="RIX231" s="35"/>
      <c r="RIY231" s="32"/>
      <c r="RIZ231" s="31"/>
      <c r="RJA231" s="31"/>
      <c r="RJB231" s="31"/>
      <c r="RJC231" s="32"/>
      <c r="RJD231" s="32"/>
      <c r="RJE231" s="32"/>
      <c r="RJF231" s="32"/>
      <c r="RJG231" s="32"/>
      <c r="RJH231" s="31"/>
      <c r="RJI231" s="31"/>
      <c r="RJJ231" s="33"/>
      <c r="RJK231" s="33"/>
      <c r="RJL231" s="34"/>
      <c r="RJM231" s="34"/>
      <c r="RJN231" s="35"/>
      <c r="RJO231" s="35"/>
      <c r="RJP231" s="32"/>
      <c r="RJQ231" s="31"/>
      <c r="RJR231" s="31"/>
      <c r="RJS231" s="31"/>
      <c r="RJT231" s="32"/>
      <c r="RJU231" s="32"/>
      <c r="RJV231" s="32"/>
      <c r="RJW231" s="32"/>
      <c r="RJX231" s="32"/>
      <c r="RJY231" s="31"/>
      <c r="RJZ231" s="31"/>
      <c r="RKA231" s="33"/>
      <c r="RKB231" s="33"/>
      <c r="RKC231" s="34"/>
      <c r="RKD231" s="34"/>
      <c r="RKE231" s="35"/>
      <c r="RKF231" s="35"/>
      <c r="RKG231" s="32"/>
      <c r="RKH231" s="31"/>
      <c r="RKI231" s="31"/>
      <c r="RKJ231" s="31"/>
      <c r="RKK231" s="32"/>
      <c r="RKL231" s="32"/>
      <c r="RKM231" s="32"/>
      <c r="RKN231" s="32"/>
      <c r="RKO231" s="32"/>
      <c r="RKP231" s="31"/>
      <c r="RKQ231" s="31"/>
      <c r="RKR231" s="33"/>
      <c r="RKS231" s="33"/>
      <c r="RKT231" s="34"/>
      <c r="RKU231" s="34"/>
      <c r="RKV231" s="35"/>
      <c r="RKW231" s="35"/>
      <c r="RKX231" s="32"/>
      <c r="RKY231" s="31"/>
      <c r="RKZ231" s="31"/>
      <c r="RLA231" s="31"/>
      <c r="RLB231" s="32"/>
      <c r="RLC231" s="32"/>
      <c r="RLD231" s="32"/>
      <c r="RLE231" s="32"/>
      <c r="RLF231" s="32"/>
      <c r="RLG231" s="31"/>
      <c r="RLH231" s="31"/>
      <c r="RLI231" s="33"/>
      <c r="RLJ231" s="33"/>
      <c r="RLK231" s="34"/>
      <c r="RLL231" s="34"/>
      <c r="RLM231" s="35"/>
      <c r="RLN231" s="35"/>
      <c r="RLO231" s="32"/>
      <c r="RLP231" s="31"/>
      <c r="RLQ231" s="31"/>
      <c r="RLR231" s="31"/>
      <c r="RLS231" s="32"/>
      <c r="RLT231" s="32"/>
      <c r="RLU231" s="32"/>
      <c r="RLV231" s="32"/>
      <c r="RLW231" s="32"/>
      <c r="RLX231" s="31"/>
      <c r="RLY231" s="31"/>
      <c r="RLZ231" s="33"/>
      <c r="RMA231" s="33"/>
      <c r="RMB231" s="34"/>
      <c r="RMC231" s="34"/>
      <c r="RMD231" s="35"/>
      <c r="RME231" s="35"/>
      <c r="RMF231" s="32"/>
      <c r="RMG231" s="31"/>
      <c r="RMH231" s="31"/>
      <c r="RMI231" s="31"/>
      <c r="RMJ231" s="32"/>
      <c r="RMK231" s="32"/>
      <c r="RML231" s="32"/>
      <c r="RMM231" s="32"/>
      <c r="RMN231" s="32"/>
      <c r="RMO231" s="31"/>
      <c r="RMP231" s="31"/>
      <c r="RMQ231" s="33"/>
      <c r="RMR231" s="33"/>
      <c r="RMS231" s="34"/>
      <c r="RMT231" s="34"/>
      <c r="RMU231" s="35"/>
      <c r="RMV231" s="35"/>
      <c r="RMW231" s="32"/>
      <c r="RMX231" s="31"/>
      <c r="RMY231" s="31"/>
      <c r="RMZ231" s="31"/>
      <c r="RNA231" s="32"/>
      <c r="RNB231" s="32"/>
      <c r="RNC231" s="32"/>
      <c r="RND231" s="32"/>
      <c r="RNE231" s="32"/>
      <c r="RNF231" s="31"/>
      <c r="RNG231" s="31"/>
      <c r="RNH231" s="33"/>
      <c r="RNI231" s="33"/>
      <c r="RNJ231" s="34"/>
      <c r="RNK231" s="34"/>
      <c r="RNL231" s="35"/>
      <c r="RNM231" s="35"/>
      <c r="RNN231" s="32"/>
      <c r="RNO231" s="31"/>
      <c r="RNP231" s="31"/>
      <c r="RNQ231" s="31"/>
      <c r="RNR231" s="32"/>
      <c r="RNS231" s="32"/>
      <c r="RNT231" s="32"/>
      <c r="RNU231" s="32"/>
      <c r="RNV231" s="32"/>
      <c r="RNW231" s="31"/>
      <c r="RNX231" s="31"/>
      <c r="RNY231" s="33"/>
      <c r="RNZ231" s="33"/>
      <c r="ROA231" s="34"/>
      <c r="ROB231" s="34"/>
      <c r="ROC231" s="35"/>
      <c r="ROD231" s="35"/>
      <c r="ROE231" s="32"/>
      <c r="ROF231" s="31"/>
      <c r="ROG231" s="31"/>
      <c r="ROH231" s="31"/>
      <c r="ROI231" s="32"/>
      <c r="ROJ231" s="32"/>
      <c r="ROK231" s="32"/>
      <c r="ROL231" s="32"/>
      <c r="ROM231" s="32"/>
      <c r="RON231" s="31"/>
      <c r="ROO231" s="31"/>
      <c r="ROP231" s="33"/>
      <c r="ROQ231" s="33"/>
      <c r="ROR231" s="34"/>
      <c r="ROS231" s="34"/>
      <c r="ROT231" s="35"/>
      <c r="ROU231" s="35"/>
      <c r="ROV231" s="32"/>
      <c r="ROW231" s="31"/>
      <c r="ROX231" s="31"/>
      <c r="ROY231" s="31"/>
      <c r="ROZ231" s="32"/>
      <c r="RPA231" s="32"/>
      <c r="RPB231" s="32"/>
      <c r="RPC231" s="32"/>
      <c r="RPD231" s="32"/>
      <c r="RPE231" s="31"/>
      <c r="RPF231" s="31"/>
      <c r="RPG231" s="33"/>
      <c r="RPH231" s="33"/>
      <c r="RPI231" s="34"/>
      <c r="RPJ231" s="34"/>
      <c r="RPK231" s="35"/>
      <c r="RPL231" s="35"/>
      <c r="RPM231" s="32"/>
      <c r="RPN231" s="31"/>
      <c r="RPO231" s="31"/>
      <c r="RPP231" s="31"/>
      <c r="RPQ231" s="32"/>
      <c r="RPR231" s="32"/>
      <c r="RPS231" s="32"/>
      <c r="RPT231" s="32"/>
      <c r="RPU231" s="32"/>
      <c r="RPV231" s="31"/>
      <c r="RPW231" s="31"/>
      <c r="RPX231" s="33"/>
      <c r="RPY231" s="33"/>
      <c r="RPZ231" s="34"/>
      <c r="RQA231" s="34"/>
      <c r="RQB231" s="35"/>
      <c r="RQC231" s="35"/>
      <c r="RQD231" s="32"/>
      <c r="RQE231" s="31"/>
      <c r="RQF231" s="31"/>
      <c r="RQG231" s="31"/>
      <c r="RQH231" s="32"/>
      <c r="RQI231" s="32"/>
      <c r="RQJ231" s="32"/>
      <c r="RQK231" s="32"/>
      <c r="RQL231" s="32"/>
      <c r="RQM231" s="31"/>
      <c r="RQN231" s="31"/>
      <c r="RQO231" s="33"/>
      <c r="RQP231" s="33"/>
      <c r="RQQ231" s="34"/>
      <c r="RQR231" s="34"/>
      <c r="RQS231" s="35"/>
      <c r="RQT231" s="35"/>
      <c r="RQU231" s="32"/>
      <c r="RQV231" s="31"/>
      <c r="RQW231" s="31"/>
      <c r="RQX231" s="31"/>
      <c r="RQY231" s="32"/>
      <c r="RQZ231" s="32"/>
      <c r="RRA231" s="32"/>
      <c r="RRB231" s="32"/>
      <c r="RRC231" s="32"/>
      <c r="RRD231" s="31"/>
      <c r="RRE231" s="31"/>
      <c r="RRF231" s="33"/>
      <c r="RRG231" s="33"/>
      <c r="RRH231" s="34"/>
      <c r="RRI231" s="34"/>
      <c r="RRJ231" s="35"/>
      <c r="RRK231" s="35"/>
      <c r="RRL231" s="32"/>
      <c r="RRM231" s="31"/>
      <c r="RRN231" s="31"/>
      <c r="RRO231" s="31"/>
      <c r="RRP231" s="32"/>
      <c r="RRQ231" s="32"/>
      <c r="RRR231" s="32"/>
      <c r="RRS231" s="32"/>
      <c r="RRT231" s="32"/>
      <c r="RRU231" s="31"/>
      <c r="RRV231" s="31"/>
      <c r="RRW231" s="33"/>
      <c r="RRX231" s="33"/>
      <c r="RRY231" s="34"/>
      <c r="RRZ231" s="34"/>
      <c r="RSA231" s="35"/>
      <c r="RSB231" s="35"/>
      <c r="RSC231" s="32"/>
      <c r="RSD231" s="31"/>
      <c r="RSE231" s="31"/>
      <c r="RSF231" s="31"/>
      <c r="RSG231" s="32"/>
      <c r="RSH231" s="32"/>
      <c r="RSI231" s="32"/>
      <c r="RSJ231" s="32"/>
      <c r="RSK231" s="32"/>
      <c r="RSL231" s="31"/>
      <c r="RSM231" s="31"/>
      <c r="RSN231" s="33"/>
      <c r="RSO231" s="33"/>
      <c r="RSP231" s="34"/>
      <c r="RSQ231" s="34"/>
      <c r="RSR231" s="35"/>
      <c r="RSS231" s="35"/>
      <c r="RST231" s="32"/>
      <c r="RSU231" s="31"/>
      <c r="RSV231" s="31"/>
      <c r="RSW231" s="31"/>
      <c r="RSX231" s="32"/>
      <c r="RSY231" s="32"/>
      <c r="RSZ231" s="32"/>
      <c r="RTA231" s="32"/>
      <c r="RTB231" s="32"/>
      <c r="RTC231" s="31"/>
      <c r="RTD231" s="31"/>
      <c r="RTE231" s="33"/>
      <c r="RTF231" s="33"/>
      <c r="RTG231" s="34"/>
      <c r="RTH231" s="34"/>
      <c r="RTI231" s="35"/>
      <c r="RTJ231" s="35"/>
      <c r="RTK231" s="32"/>
      <c r="RTL231" s="31"/>
      <c r="RTM231" s="31"/>
      <c r="RTN231" s="31"/>
      <c r="RTO231" s="32"/>
      <c r="RTP231" s="32"/>
      <c r="RTQ231" s="32"/>
      <c r="RTR231" s="32"/>
      <c r="RTS231" s="32"/>
      <c r="RTT231" s="31"/>
      <c r="RTU231" s="31"/>
      <c r="RTV231" s="33"/>
      <c r="RTW231" s="33"/>
      <c r="RTX231" s="34"/>
      <c r="RTY231" s="34"/>
      <c r="RTZ231" s="35"/>
      <c r="RUA231" s="35"/>
      <c r="RUB231" s="32"/>
      <c r="RUC231" s="31"/>
      <c r="RUD231" s="31"/>
      <c r="RUE231" s="31"/>
      <c r="RUF231" s="32"/>
      <c r="RUG231" s="32"/>
      <c r="RUH231" s="32"/>
      <c r="RUI231" s="32"/>
      <c r="RUJ231" s="32"/>
      <c r="RUK231" s="31"/>
      <c r="RUL231" s="31"/>
      <c r="RUM231" s="33"/>
      <c r="RUN231" s="33"/>
      <c r="RUO231" s="34"/>
      <c r="RUP231" s="34"/>
      <c r="RUQ231" s="35"/>
      <c r="RUR231" s="35"/>
      <c r="RUS231" s="32"/>
      <c r="RUT231" s="31"/>
      <c r="RUU231" s="31"/>
      <c r="RUV231" s="31"/>
      <c r="RUW231" s="32"/>
      <c r="RUX231" s="32"/>
      <c r="RUY231" s="32"/>
      <c r="RUZ231" s="32"/>
      <c r="RVA231" s="32"/>
      <c r="RVB231" s="31"/>
      <c r="RVC231" s="31"/>
      <c r="RVD231" s="33"/>
      <c r="RVE231" s="33"/>
      <c r="RVF231" s="34"/>
      <c r="RVG231" s="34"/>
      <c r="RVH231" s="35"/>
      <c r="RVI231" s="35"/>
      <c r="RVJ231" s="32"/>
      <c r="RVK231" s="31"/>
      <c r="RVL231" s="31"/>
      <c r="RVM231" s="31"/>
      <c r="RVN231" s="32"/>
      <c r="RVO231" s="32"/>
      <c r="RVP231" s="32"/>
      <c r="RVQ231" s="32"/>
      <c r="RVR231" s="32"/>
      <c r="RVS231" s="31"/>
      <c r="RVT231" s="31"/>
      <c r="RVU231" s="33"/>
      <c r="RVV231" s="33"/>
      <c r="RVW231" s="34"/>
      <c r="RVX231" s="34"/>
      <c r="RVY231" s="35"/>
      <c r="RVZ231" s="35"/>
      <c r="RWA231" s="32"/>
      <c r="RWB231" s="31"/>
      <c r="RWC231" s="31"/>
      <c r="RWD231" s="31"/>
      <c r="RWE231" s="32"/>
      <c r="RWF231" s="32"/>
      <c r="RWG231" s="32"/>
      <c r="RWH231" s="32"/>
      <c r="RWI231" s="32"/>
      <c r="RWJ231" s="31"/>
      <c r="RWK231" s="31"/>
      <c r="RWL231" s="33"/>
      <c r="RWM231" s="33"/>
      <c r="RWN231" s="34"/>
      <c r="RWO231" s="34"/>
      <c r="RWP231" s="35"/>
      <c r="RWQ231" s="35"/>
      <c r="RWR231" s="32"/>
      <c r="RWS231" s="31"/>
      <c r="RWT231" s="31"/>
      <c r="RWU231" s="31"/>
      <c r="RWV231" s="32"/>
      <c r="RWW231" s="32"/>
      <c r="RWX231" s="32"/>
      <c r="RWY231" s="32"/>
      <c r="RWZ231" s="32"/>
      <c r="RXA231" s="31"/>
      <c r="RXB231" s="31"/>
      <c r="RXC231" s="33"/>
      <c r="RXD231" s="33"/>
      <c r="RXE231" s="34"/>
      <c r="RXF231" s="34"/>
      <c r="RXG231" s="35"/>
      <c r="RXH231" s="35"/>
      <c r="RXI231" s="32"/>
      <c r="RXJ231" s="31"/>
      <c r="RXK231" s="31"/>
      <c r="RXL231" s="31"/>
      <c r="RXM231" s="32"/>
      <c r="RXN231" s="32"/>
      <c r="RXO231" s="32"/>
      <c r="RXP231" s="32"/>
      <c r="RXQ231" s="32"/>
      <c r="RXR231" s="31"/>
      <c r="RXS231" s="31"/>
      <c r="RXT231" s="33"/>
      <c r="RXU231" s="33"/>
      <c r="RXV231" s="34"/>
      <c r="RXW231" s="34"/>
      <c r="RXX231" s="35"/>
      <c r="RXY231" s="35"/>
      <c r="RXZ231" s="32"/>
      <c r="RYA231" s="31"/>
      <c r="RYB231" s="31"/>
      <c r="RYC231" s="31"/>
      <c r="RYD231" s="32"/>
      <c r="RYE231" s="32"/>
      <c r="RYF231" s="32"/>
      <c r="RYG231" s="32"/>
      <c r="RYH231" s="32"/>
      <c r="RYI231" s="31"/>
      <c r="RYJ231" s="31"/>
      <c r="RYK231" s="33"/>
      <c r="RYL231" s="33"/>
      <c r="RYM231" s="34"/>
      <c r="RYN231" s="34"/>
      <c r="RYO231" s="35"/>
      <c r="RYP231" s="35"/>
      <c r="RYQ231" s="32"/>
      <c r="RYR231" s="31"/>
      <c r="RYS231" s="31"/>
      <c r="RYT231" s="31"/>
      <c r="RYU231" s="32"/>
      <c r="RYV231" s="32"/>
      <c r="RYW231" s="32"/>
      <c r="RYX231" s="32"/>
      <c r="RYY231" s="32"/>
      <c r="RYZ231" s="31"/>
      <c r="RZA231" s="31"/>
      <c r="RZB231" s="33"/>
      <c r="RZC231" s="33"/>
      <c r="RZD231" s="34"/>
      <c r="RZE231" s="34"/>
      <c r="RZF231" s="35"/>
      <c r="RZG231" s="35"/>
      <c r="RZH231" s="32"/>
      <c r="RZI231" s="31"/>
      <c r="RZJ231" s="31"/>
      <c r="RZK231" s="31"/>
      <c r="RZL231" s="32"/>
      <c r="RZM231" s="32"/>
      <c r="RZN231" s="32"/>
      <c r="RZO231" s="32"/>
      <c r="RZP231" s="32"/>
      <c r="RZQ231" s="31"/>
      <c r="RZR231" s="31"/>
      <c r="RZS231" s="33"/>
      <c r="RZT231" s="33"/>
      <c r="RZU231" s="34"/>
      <c r="RZV231" s="34"/>
      <c r="RZW231" s="35"/>
      <c r="RZX231" s="35"/>
      <c r="RZY231" s="32"/>
      <c r="RZZ231" s="31"/>
      <c r="SAA231" s="31"/>
      <c r="SAB231" s="31"/>
      <c r="SAC231" s="32"/>
      <c r="SAD231" s="32"/>
      <c r="SAE231" s="32"/>
      <c r="SAF231" s="32"/>
      <c r="SAG231" s="32"/>
      <c r="SAH231" s="31"/>
      <c r="SAI231" s="31"/>
      <c r="SAJ231" s="33"/>
      <c r="SAK231" s="33"/>
      <c r="SAL231" s="34"/>
      <c r="SAM231" s="34"/>
      <c r="SAN231" s="35"/>
      <c r="SAO231" s="35"/>
      <c r="SAP231" s="32"/>
      <c r="SAQ231" s="31"/>
      <c r="SAR231" s="31"/>
      <c r="SAS231" s="31"/>
      <c r="SAT231" s="32"/>
      <c r="SAU231" s="32"/>
      <c r="SAV231" s="32"/>
      <c r="SAW231" s="32"/>
      <c r="SAX231" s="32"/>
      <c r="SAY231" s="31"/>
      <c r="SAZ231" s="31"/>
      <c r="SBA231" s="33"/>
      <c r="SBB231" s="33"/>
      <c r="SBC231" s="34"/>
      <c r="SBD231" s="34"/>
      <c r="SBE231" s="35"/>
      <c r="SBF231" s="35"/>
      <c r="SBG231" s="32"/>
      <c r="SBH231" s="31"/>
      <c r="SBI231" s="31"/>
      <c r="SBJ231" s="31"/>
      <c r="SBK231" s="32"/>
      <c r="SBL231" s="32"/>
      <c r="SBM231" s="32"/>
      <c r="SBN231" s="32"/>
      <c r="SBO231" s="32"/>
      <c r="SBP231" s="31"/>
      <c r="SBQ231" s="31"/>
      <c r="SBR231" s="33"/>
      <c r="SBS231" s="33"/>
      <c r="SBT231" s="34"/>
      <c r="SBU231" s="34"/>
      <c r="SBV231" s="35"/>
      <c r="SBW231" s="35"/>
      <c r="SBX231" s="32"/>
      <c r="SBY231" s="31"/>
      <c r="SBZ231" s="31"/>
      <c r="SCA231" s="31"/>
      <c r="SCB231" s="32"/>
      <c r="SCC231" s="32"/>
      <c r="SCD231" s="32"/>
      <c r="SCE231" s="32"/>
      <c r="SCF231" s="32"/>
      <c r="SCG231" s="31"/>
      <c r="SCH231" s="31"/>
      <c r="SCI231" s="33"/>
      <c r="SCJ231" s="33"/>
      <c r="SCK231" s="34"/>
      <c r="SCL231" s="34"/>
      <c r="SCM231" s="35"/>
      <c r="SCN231" s="35"/>
      <c r="SCO231" s="32"/>
      <c r="SCP231" s="31"/>
      <c r="SCQ231" s="31"/>
      <c r="SCR231" s="31"/>
      <c r="SCS231" s="32"/>
      <c r="SCT231" s="32"/>
      <c r="SCU231" s="32"/>
      <c r="SCV231" s="32"/>
      <c r="SCW231" s="32"/>
      <c r="SCX231" s="31"/>
      <c r="SCY231" s="31"/>
      <c r="SCZ231" s="33"/>
      <c r="SDA231" s="33"/>
      <c r="SDB231" s="34"/>
      <c r="SDC231" s="34"/>
      <c r="SDD231" s="35"/>
      <c r="SDE231" s="35"/>
      <c r="SDF231" s="32"/>
      <c r="SDG231" s="31"/>
      <c r="SDH231" s="31"/>
      <c r="SDI231" s="31"/>
      <c r="SDJ231" s="32"/>
      <c r="SDK231" s="32"/>
      <c r="SDL231" s="32"/>
      <c r="SDM231" s="32"/>
      <c r="SDN231" s="32"/>
      <c r="SDO231" s="31"/>
      <c r="SDP231" s="31"/>
      <c r="SDQ231" s="33"/>
      <c r="SDR231" s="33"/>
      <c r="SDS231" s="34"/>
      <c r="SDT231" s="34"/>
      <c r="SDU231" s="35"/>
      <c r="SDV231" s="35"/>
      <c r="SDW231" s="32"/>
      <c r="SDX231" s="31"/>
      <c r="SDY231" s="31"/>
      <c r="SDZ231" s="31"/>
      <c r="SEA231" s="32"/>
      <c r="SEB231" s="32"/>
      <c r="SEC231" s="32"/>
      <c r="SED231" s="32"/>
      <c r="SEE231" s="32"/>
      <c r="SEF231" s="31"/>
      <c r="SEG231" s="31"/>
      <c r="SEH231" s="33"/>
      <c r="SEI231" s="33"/>
      <c r="SEJ231" s="34"/>
      <c r="SEK231" s="34"/>
      <c r="SEL231" s="35"/>
      <c r="SEM231" s="35"/>
      <c r="SEN231" s="32"/>
      <c r="SEO231" s="31"/>
      <c r="SEP231" s="31"/>
      <c r="SEQ231" s="31"/>
      <c r="SER231" s="32"/>
      <c r="SES231" s="32"/>
      <c r="SET231" s="32"/>
      <c r="SEU231" s="32"/>
      <c r="SEV231" s="32"/>
      <c r="SEW231" s="31"/>
      <c r="SEX231" s="31"/>
      <c r="SEY231" s="33"/>
      <c r="SEZ231" s="33"/>
      <c r="SFA231" s="34"/>
      <c r="SFB231" s="34"/>
      <c r="SFC231" s="35"/>
      <c r="SFD231" s="35"/>
      <c r="SFE231" s="32"/>
      <c r="SFF231" s="31"/>
      <c r="SFG231" s="31"/>
      <c r="SFH231" s="31"/>
      <c r="SFI231" s="32"/>
      <c r="SFJ231" s="32"/>
      <c r="SFK231" s="32"/>
      <c r="SFL231" s="32"/>
      <c r="SFM231" s="32"/>
      <c r="SFN231" s="31"/>
      <c r="SFO231" s="31"/>
      <c r="SFP231" s="33"/>
      <c r="SFQ231" s="33"/>
      <c r="SFR231" s="34"/>
      <c r="SFS231" s="34"/>
      <c r="SFT231" s="35"/>
      <c r="SFU231" s="35"/>
      <c r="SFV231" s="32"/>
      <c r="SFW231" s="31"/>
      <c r="SFX231" s="31"/>
      <c r="SFY231" s="31"/>
      <c r="SFZ231" s="32"/>
      <c r="SGA231" s="32"/>
      <c r="SGB231" s="32"/>
      <c r="SGC231" s="32"/>
      <c r="SGD231" s="32"/>
      <c r="SGE231" s="31"/>
      <c r="SGF231" s="31"/>
      <c r="SGG231" s="33"/>
      <c r="SGH231" s="33"/>
      <c r="SGI231" s="34"/>
      <c r="SGJ231" s="34"/>
      <c r="SGK231" s="35"/>
      <c r="SGL231" s="35"/>
      <c r="SGM231" s="32"/>
      <c r="SGN231" s="31"/>
      <c r="SGO231" s="31"/>
      <c r="SGP231" s="31"/>
      <c r="SGQ231" s="32"/>
      <c r="SGR231" s="32"/>
      <c r="SGS231" s="32"/>
      <c r="SGT231" s="32"/>
      <c r="SGU231" s="32"/>
      <c r="SGV231" s="31"/>
      <c r="SGW231" s="31"/>
      <c r="SGX231" s="33"/>
      <c r="SGY231" s="33"/>
      <c r="SGZ231" s="34"/>
      <c r="SHA231" s="34"/>
      <c r="SHB231" s="35"/>
      <c r="SHC231" s="35"/>
      <c r="SHD231" s="32"/>
      <c r="SHE231" s="31"/>
      <c r="SHF231" s="31"/>
      <c r="SHG231" s="31"/>
      <c r="SHH231" s="32"/>
      <c r="SHI231" s="32"/>
      <c r="SHJ231" s="32"/>
      <c r="SHK231" s="32"/>
      <c r="SHL231" s="32"/>
      <c r="SHM231" s="31"/>
      <c r="SHN231" s="31"/>
      <c r="SHO231" s="33"/>
      <c r="SHP231" s="33"/>
      <c r="SHQ231" s="34"/>
      <c r="SHR231" s="34"/>
      <c r="SHS231" s="35"/>
      <c r="SHT231" s="35"/>
      <c r="SHU231" s="32"/>
      <c r="SHV231" s="31"/>
      <c r="SHW231" s="31"/>
      <c r="SHX231" s="31"/>
      <c r="SHY231" s="32"/>
      <c r="SHZ231" s="32"/>
      <c r="SIA231" s="32"/>
      <c r="SIB231" s="32"/>
      <c r="SIC231" s="32"/>
      <c r="SID231" s="31"/>
      <c r="SIE231" s="31"/>
      <c r="SIF231" s="33"/>
      <c r="SIG231" s="33"/>
      <c r="SIH231" s="34"/>
      <c r="SII231" s="34"/>
      <c r="SIJ231" s="35"/>
      <c r="SIK231" s="35"/>
      <c r="SIL231" s="32"/>
      <c r="SIM231" s="31"/>
      <c r="SIN231" s="31"/>
      <c r="SIO231" s="31"/>
      <c r="SIP231" s="32"/>
      <c r="SIQ231" s="32"/>
      <c r="SIR231" s="32"/>
      <c r="SIS231" s="32"/>
      <c r="SIT231" s="32"/>
      <c r="SIU231" s="31"/>
      <c r="SIV231" s="31"/>
      <c r="SIW231" s="33"/>
      <c r="SIX231" s="33"/>
      <c r="SIY231" s="34"/>
      <c r="SIZ231" s="34"/>
      <c r="SJA231" s="35"/>
      <c r="SJB231" s="35"/>
      <c r="SJC231" s="32"/>
      <c r="SJD231" s="31"/>
      <c r="SJE231" s="31"/>
      <c r="SJF231" s="31"/>
      <c r="SJG231" s="32"/>
      <c r="SJH231" s="32"/>
      <c r="SJI231" s="32"/>
      <c r="SJJ231" s="32"/>
      <c r="SJK231" s="32"/>
      <c r="SJL231" s="31"/>
      <c r="SJM231" s="31"/>
      <c r="SJN231" s="33"/>
      <c r="SJO231" s="33"/>
      <c r="SJP231" s="34"/>
      <c r="SJQ231" s="34"/>
      <c r="SJR231" s="35"/>
      <c r="SJS231" s="35"/>
      <c r="SJT231" s="32"/>
      <c r="SJU231" s="31"/>
      <c r="SJV231" s="31"/>
      <c r="SJW231" s="31"/>
      <c r="SJX231" s="32"/>
      <c r="SJY231" s="32"/>
      <c r="SJZ231" s="32"/>
      <c r="SKA231" s="32"/>
      <c r="SKB231" s="32"/>
      <c r="SKC231" s="31"/>
      <c r="SKD231" s="31"/>
      <c r="SKE231" s="33"/>
      <c r="SKF231" s="33"/>
      <c r="SKG231" s="34"/>
      <c r="SKH231" s="34"/>
      <c r="SKI231" s="35"/>
      <c r="SKJ231" s="35"/>
      <c r="SKK231" s="32"/>
      <c r="SKL231" s="31"/>
      <c r="SKM231" s="31"/>
      <c r="SKN231" s="31"/>
      <c r="SKO231" s="32"/>
      <c r="SKP231" s="32"/>
      <c r="SKQ231" s="32"/>
      <c r="SKR231" s="32"/>
      <c r="SKS231" s="32"/>
      <c r="SKT231" s="31"/>
      <c r="SKU231" s="31"/>
      <c r="SKV231" s="33"/>
      <c r="SKW231" s="33"/>
      <c r="SKX231" s="34"/>
      <c r="SKY231" s="34"/>
      <c r="SKZ231" s="35"/>
      <c r="SLA231" s="35"/>
      <c r="SLB231" s="32"/>
      <c r="SLC231" s="31"/>
      <c r="SLD231" s="31"/>
      <c r="SLE231" s="31"/>
      <c r="SLF231" s="32"/>
      <c r="SLG231" s="32"/>
      <c r="SLH231" s="32"/>
      <c r="SLI231" s="32"/>
      <c r="SLJ231" s="32"/>
      <c r="SLK231" s="31"/>
      <c r="SLL231" s="31"/>
      <c r="SLM231" s="33"/>
      <c r="SLN231" s="33"/>
      <c r="SLO231" s="34"/>
      <c r="SLP231" s="34"/>
      <c r="SLQ231" s="35"/>
      <c r="SLR231" s="35"/>
      <c r="SLS231" s="32"/>
      <c r="SLT231" s="31"/>
      <c r="SLU231" s="31"/>
      <c r="SLV231" s="31"/>
      <c r="SLW231" s="32"/>
      <c r="SLX231" s="32"/>
      <c r="SLY231" s="32"/>
      <c r="SLZ231" s="32"/>
      <c r="SMA231" s="32"/>
      <c r="SMB231" s="31"/>
      <c r="SMC231" s="31"/>
      <c r="SMD231" s="33"/>
      <c r="SME231" s="33"/>
      <c r="SMF231" s="34"/>
      <c r="SMG231" s="34"/>
      <c r="SMH231" s="35"/>
      <c r="SMI231" s="35"/>
      <c r="SMJ231" s="32"/>
      <c r="SMK231" s="31"/>
      <c r="SML231" s="31"/>
      <c r="SMM231" s="31"/>
      <c r="SMN231" s="32"/>
      <c r="SMO231" s="32"/>
      <c r="SMP231" s="32"/>
      <c r="SMQ231" s="32"/>
      <c r="SMR231" s="32"/>
      <c r="SMS231" s="31"/>
      <c r="SMT231" s="31"/>
      <c r="SMU231" s="33"/>
      <c r="SMV231" s="33"/>
      <c r="SMW231" s="34"/>
      <c r="SMX231" s="34"/>
      <c r="SMY231" s="35"/>
      <c r="SMZ231" s="35"/>
      <c r="SNA231" s="32"/>
      <c r="SNB231" s="31"/>
      <c r="SNC231" s="31"/>
      <c r="SND231" s="31"/>
      <c r="SNE231" s="32"/>
      <c r="SNF231" s="32"/>
      <c r="SNG231" s="32"/>
      <c r="SNH231" s="32"/>
      <c r="SNI231" s="32"/>
      <c r="SNJ231" s="31"/>
      <c r="SNK231" s="31"/>
      <c r="SNL231" s="33"/>
      <c r="SNM231" s="33"/>
      <c r="SNN231" s="34"/>
      <c r="SNO231" s="34"/>
      <c r="SNP231" s="35"/>
      <c r="SNQ231" s="35"/>
      <c r="SNR231" s="32"/>
      <c r="SNS231" s="31"/>
      <c r="SNT231" s="31"/>
      <c r="SNU231" s="31"/>
      <c r="SNV231" s="32"/>
      <c r="SNW231" s="32"/>
      <c r="SNX231" s="32"/>
      <c r="SNY231" s="32"/>
      <c r="SNZ231" s="32"/>
      <c r="SOA231" s="31"/>
      <c r="SOB231" s="31"/>
      <c r="SOC231" s="33"/>
      <c r="SOD231" s="33"/>
      <c r="SOE231" s="34"/>
      <c r="SOF231" s="34"/>
      <c r="SOG231" s="35"/>
      <c r="SOH231" s="35"/>
      <c r="SOI231" s="32"/>
      <c r="SOJ231" s="31"/>
      <c r="SOK231" s="31"/>
      <c r="SOL231" s="31"/>
      <c r="SOM231" s="32"/>
      <c r="SON231" s="32"/>
      <c r="SOO231" s="32"/>
      <c r="SOP231" s="32"/>
      <c r="SOQ231" s="32"/>
      <c r="SOR231" s="31"/>
      <c r="SOS231" s="31"/>
      <c r="SOT231" s="33"/>
      <c r="SOU231" s="33"/>
      <c r="SOV231" s="34"/>
      <c r="SOW231" s="34"/>
      <c r="SOX231" s="35"/>
      <c r="SOY231" s="35"/>
      <c r="SOZ231" s="32"/>
      <c r="SPA231" s="31"/>
      <c r="SPB231" s="31"/>
      <c r="SPC231" s="31"/>
      <c r="SPD231" s="32"/>
      <c r="SPE231" s="32"/>
      <c r="SPF231" s="32"/>
      <c r="SPG231" s="32"/>
      <c r="SPH231" s="32"/>
      <c r="SPI231" s="31"/>
      <c r="SPJ231" s="31"/>
      <c r="SPK231" s="33"/>
      <c r="SPL231" s="33"/>
      <c r="SPM231" s="34"/>
      <c r="SPN231" s="34"/>
      <c r="SPO231" s="35"/>
      <c r="SPP231" s="35"/>
      <c r="SPQ231" s="32"/>
      <c r="SPR231" s="31"/>
      <c r="SPS231" s="31"/>
      <c r="SPT231" s="31"/>
      <c r="SPU231" s="32"/>
      <c r="SPV231" s="32"/>
      <c r="SPW231" s="32"/>
      <c r="SPX231" s="32"/>
      <c r="SPY231" s="32"/>
      <c r="SPZ231" s="31"/>
      <c r="SQA231" s="31"/>
      <c r="SQB231" s="33"/>
      <c r="SQC231" s="33"/>
      <c r="SQD231" s="34"/>
      <c r="SQE231" s="34"/>
      <c r="SQF231" s="35"/>
      <c r="SQG231" s="35"/>
      <c r="SQH231" s="32"/>
      <c r="SQI231" s="31"/>
      <c r="SQJ231" s="31"/>
      <c r="SQK231" s="31"/>
      <c r="SQL231" s="32"/>
      <c r="SQM231" s="32"/>
      <c r="SQN231" s="32"/>
      <c r="SQO231" s="32"/>
      <c r="SQP231" s="32"/>
      <c r="SQQ231" s="31"/>
      <c r="SQR231" s="31"/>
      <c r="SQS231" s="33"/>
      <c r="SQT231" s="33"/>
      <c r="SQU231" s="34"/>
      <c r="SQV231" s="34"/>
      <c r="SQW231" s="35"/>
      <c r="SQX231" s="35"/>
      <c r="SQY231" s="32"/>
      <c r="SQZ231" s="31"/>
      <c r="SRA231" s="31"/>
      <c r="SRB231" s="31"/>
      <c r="SRC231" s="32"/>
      <c r="SRD231" s="32"/>
      <c r="SRE231" s="32"/>
      <c r="SRF231" s="32"/>
      <c r="SRG231" s="32"/>
      <c r="SRH231" s="31"/>
      <c r="SRI231" s="31"/>
      <c r="SRJ231" s="33"/>
      <c r="SRK231" s="33"/>
      <c r="SRL231" s="34"/>
      <c r="SRM231" s="34"/>
      <c r="SRN231" s="35"/>
      <c r="SRO231" s="35"/>
      <c r="SRP231" s="32"/>
      <c r="SRQ231" s="31"/>
      <c r="SRR231" s="31"/>
      <c r="SRS231" s="31"/>
      <c r="SRT231" s="32"/>
      <c r="SRU231" s="32"/>
      <c r="SRV231" s="32"/>
      <c r="SRW231" s="32"/>
      <c r="SRX231" s="32"/>
      <c r="SRY231" s="31"/>
      <c r="SRZ231" s="31"/>
      <c r="SSA231" s="33"/>
      <c r="SSB231" s="33"/>
      <c r="SSC231" s="34"/>
      <c r="SSD231" s="34"/>
      <c r="SSE231" s="35"/>
      <c r="SSF231" s="35"/>
      <c r="SSG231" s="32"/>
      <c r="SSH231" s="31"/>
      <c r="SSI231" s="31"/>
      <c r="SSJ231" s="31"/>
      <c r="SSK231" s="32"/>
      <c r="SSL231" s="32"/>
      <c r="SSM231" s="32"/>
      <c r="SSN231" s="32"/>
      <c r="SSO231" s="32"/>
      <c r="SSP231" s="31"/>
      <c r="SSQ231" s="31"/>
      <c r="SSR231" s="33"/>
      <c r="SSS231" s="33"/>
      <c r="SST231" s="34"/>
      <c r="SSU231" s="34"/>
      <c r="SSV231" s="35"/>
      <c r="SSW231" s="35"/>
      <c r="SSX231" s="32"/>
      <c r="SSY231" s="31"/>
      <c r="SSZ231" s="31"/>
      <c r="STA231" s="31"/>
      <c r="STB231" s="32"/>
      <c r="STC231" s="32"/>
      <c r="STD231" s="32"/>
      <c r="STE231" s="32"/>
      <c r="STF231" s="32"/>
      <c r="STG231" s="31"/>
      <c r="STH231" s="31"/>
      <c r="STI231" s="33"/>
      <c r="STJ231" s="33"/>
      <c r="STK231" s="34"/>
      <c r="STL231" s="34"/>
      <c r="STM231" s="35"/>
      <c r="STN231" s="35"/>
      <c r="STO231" s="32"/>
      <c r="STP231" s="31"/>
      <c r="STQ231" s="31"/>
      <c r="STR231" s="31"/>
      <c r="STS231" s="32"/>
      <c r="STT231" s="32"/>
      <c r="STU231" s="32"/>
      <c r="STV231" s="32"/>
      <c r="STW231" s="32"/>
      <c r="STX231" s="31"/>
      <c r="STY231" s="31"/>
      <c r="STZ231" s="33"/>
      <c r="SUA231" s="33"/>
      <c r="SUB231" s="34"/>
      <c r="SUC231" s="34"/>
      <c r="SUD231" s="35"/>
      <c r="SUE231" s="35"/>
      <c r="SUF231" s="32"/>
      <c r="SUG231" s="31"/>
      <c r="SUH231" s="31"/>
      <c r="SUI231" s="31"/>
      <c r="SUJ231" s="32"/>
      <c r="SUK231" s="32"/>
      <c r="SUL231" s="32"/>
      <c r="SUM231" s="32"/>
      <c r="SUN231" s="32"/>
      <c r="SUO231" s="31"/>
      <c r="SUP231" s="31"/>
      <c r="SUQ231" s="33"/>
      <c r="SUR231" s="33"/>
      <c r="SUS231" s="34"/>
      <c r="SUT231" s="34"/>
      <c r="SUU231" s="35"/>
      <c r="SUV231" s="35"/>
      <c r="SUW231" s="32"/>
      <c r="SUX231" s="31"/>
      <c r="SUY231" s="31"/>
      <c r="SUZ231" s="31"/>
      <c r="SVA231" s="32"/>
      <c r="SVB231" s="32"/>
      <c r="SVC231" s="32"/>
      <c r="SVD231" s="32"/>
      <c r="SVE231" s="32"/>
      <c r="SVF231" s="31"/>
      <c r="SVG231" s="31"/>
      <c r="SVH231" s="33"/>
      <c r="SVI231" s="33"/>
      <c r="SVJ231" s="34"/>
      <c r="SVK231" s="34"/>
      <c r="SVL231" s="35"/>
      <c r="SVM231" s="35"/>
      <c r="SVN231" s="32"/>
      <c r="SVO231" s="31"/>
      <c r="SVP231" s="31"/>
      <c r="SVQ231" s="31"/>
      <c r="SVR231" s="32"/>
      <c r="SVS231" s="32"/>
      <c r="SVT231" s="32"/>
      <c r="SVU231" s="32"/>
      <c r="SVV231" s="32"/>
      <c r="SVW231" s="31"/>
      <c r="SVX231" s="31"/>
      <c r="SVY231" s="33"/>
      <c r="SVZ231" s="33"/>
      <c r="SWA231" s="34"/>
      <c r="SWB231" s="34"/>
      <c r="SWC231" s="35"/>
      <c r="SWD231" s="35"/>
      <c r="SWE231" s="32"/>
      <c r="SWF231" s="31"/>
      <c r="SWG231" s="31"/>
      <c r="SWH231" s="31"/>
      <c r="SWI231" s="32"/>
      <c r="SWJ231" s="32"/>
      <c r="SWK231" s="32"/>
      <c r="SWL231" s="32"/>
      <c r="SWM231" s="32"/>
      <c r="SWN231" s="31"/>
      <c r="SWO231" s="31"/>
      <c r="SWP231" s="33"/>
      <c r="SWQ231" s="33"/>
      <c r="SWR231" s="34"/>
      <c r="SWS231" s="34"/>
      <c r="SWT231" s="35"/>
      <c r="SWU231" s="35"/>
      <c r="SWV231" s="32"/>
      <c r="SWW231" s="31"/>
      <c r="SWX231" s="31"/>
      <c r="SWY231" s="31"/>
      <c r="SWZ231" s="32"/>
      <c r="SXA231" s="32"/>
      <c r="SXB231" s="32"/>
      <c r="SXC231" s="32"/>
      <c r="SXD231" s="32"/>
      <c r="SXE231" s="31"/>
      <c r="SXF231" s="31"/>
      <c r="SXG231" s="33"/>
      <c r="SXH231" s="33"/>
      <c r="SXI231" s="34"/>
      <c r="SXJ231" s="34"/>
      <c r="SXK231" s="35"/>
      <c r="SXL231" s="35"/>
      <c r="SXM231" s="32"/>
      <c r="SXN231" s="31"/>
      <c r="SXO231" s="31"/>
      <c r="SXP231" s="31"/>
      <c r="SXQ231" s="32"/>
      <c r="SXR231" s="32"/>
      <c r="SXS231" s="32"/>
      <c r="SXT231" s="32"/>
      <c r="SXU231" s="32"/>
      <c r="SXV231" s="31"/>
      <c r="SXW231" s="31"/>
      <c r="SXX231" s="33"/>
      <c r="SXY231" s="33"/>
      <c r="SXZ231" s="34"/>
      <c r="SYA231" s="34"/>
      <c r="SYB231" s="35"/>
      <c r="SYC231" s="35"/>
      <c r="SYD231" s="32"/>
      <c r="SYE231" s="31"/>
      <c r="SYF231" s="31"/>
      <c r="SYG231" s="31"/>
      <c r="SYH231" s="32"/>
      <c r="SYI231" s="32"/>
      <c r="SYJ231" s="32"/>
      <c r="SYK231" s="32"/>
      <c r="SYL231" s="32"/>
      <c r="SYM231" s="31"/>
      <c r="SYN231" s="31"/>
      <c r="SYO231" s="33"/>
      <c r="SYP231" s="33"/>
      <c r="SYQ231" s="34"/>
      <c r="SYR231" s="34"/>
      <c r="SYS231" s="35"/>
      <c r="SYT231" s="35"/>
      <c r="SYU231" s="32"/>
      <c r="SYV231" s="31"/>
      <c r="SYW231" s="31"/>
      <c r="SYX231" s="31"/>
      <c r="SYY231" s="32"/>
      <c r="SYZ231" s="32"/>
      <c r="SZA231" s="32"/>
      <c r="SZB231" s="32"/>
      <c r="SZC231" s="32"/>
      <c r="SZD231" s="31"/>
      <c r="SZE231" s="31"/>
      <c r="SZF231" s="33"/>
      <c r="SZG231" s="33"/>
      <c r="SZH231" s="34"/>
      <c r="SZI231" s="34"/>
      <c r="SZJ231" s="35"/>
      <c r="SZK231" s="35"/>
      <c r="SZL231" s="32"/>
      <c r="SZM231" s="31"/>
      <c r="SZN231" s="31"/>
      <c r="SZO231" s="31"/>
      <c r="SZP231" s="32"/>
      <c r="SZQ231" s="32"/>
      <c r="SZR231" s="32"/>
      <c r="SZS231" s="32"/>
      <c r="SZT231" s="32"/>
      <c r="SZU231" s="31"/>
      <c r="SZV231" s="31"/>
      <c r="SZW231" s="33"/>
      <c r="SZX231" s="33"/>
      <c r="SZY231" s="34"/>
      <c r="SZZ231" s="34"/>
      <c r="TAA231" s="35"/>
      <c r="TAB231" s="35"/>
      <c r="TAC231" s="32"/>
      <c r="TAD231" s="31"/>
      <c r="TAE231" s="31"/>
      <c r="TAF231" s="31"/>
      <c r="TAG231" s="32"/>
      <c r="TAH231" s="32"/>
      <c r="TAI231" s="32"/>
      <c r="TAJ231" s="32"/>
      <c r="TAK231" s="32"/>
      <c r="TAL231" s="31"/>
      <c r="TAM231" s="31"/>
      <c r="TAN231" s="33"/>
      <c r="TAO231" s="33"/>
      <c r="TAP231" s="34"/>
      <c r="TAQ231" s="34"/>
      <c r="TAR231" s="35"/>
      <c r="TAS231" s="35"/>
      <c r="TAT231" s="32"/>
      <c r="TAU231" s="31"/>
      <c r="TAV231" s="31"/>
      <c r="TAW231" s="31"/>
      <c r="TAX231" s="32"/>
      <c r="TAY231" s="32"/>
      <c r="TAZ231" s="32"/>
      <c r="TBA231" s="32"/>
      <c r="TBB231" s="32"/>
      <c r="TBC231" s="31"/>
      <c r="TBD231" s="31"/>
      <c r="TBE231" s="33"/>
      <c r="TBF231" s="33"/>
      <c r="TBG231" s="34"/>
      <c r="TBH231" s="34"/>
      <c r="TBI231" s="35"/>
      <c r="TBJ231" s="35"/>
      <c r="TBK231" s="32"/>
      <c r="TBL231" s="31"/>
      <c r="TBM231" s="31"/>
      <c r="TBN231" s="31"/>
      <c r="TBO231" s="32"/>
      <c r="TBP231" s="32"/>
      <c r="TBQ231" s="32"/>
      <c r="TBR231" s="32"/>
      <c r="TBS231" s="32"/>
      <c r="TBT231" s="31"/>
      <c r="TBU231" s="31"/>
      <c r="TBV231" s="33"/>
      <c r="TBW231" s="33"/>
      <c r="TBX231" s="34"/>
      <c r="TBY231" s="34"/>
      <c r="TBZ231" s="35"/>
      <c r="TCA231" s="35"/>
      <c r="TCB231" s="32"/>
      <c r="TCC231" s="31"/>
      <c r="TCD231" s="31"/>
      <c r="TCE231" s="31"/>
      <c r="TCF231" s="32"/>
      <c r="TCG231" s="32"/>
      <c r="TCH231" s="32"/>
      <c r="TCI231" s="32"/>
      <c r="TCJ231" s="32"/>
      <c r="TCK231" s="31"/>
      <c r="TCL231" s="31"/>
      <c r="TCM231" s="33"/>
      <c r="TCN231" s="33"/>
      <c r="TCO231" s="34"/>
      <c r="TCP231" s="34"/>
      <c r="TCQ231" s="35"/>
      <c r="TCR231" s="35"/>
      <c r="TCS231" s="32"/>
      <c r="TCT231" s="31"/>
      <c r="TCU231" s="31"/>
      <c r="TCV231" s="31"/>
      <c r="TCW231" s="32"/>
      <c r="TCX231" s="32"/>
      <c r="TCY231" s="32"/>
      <c r="TCZ231" s="32"/>
      <c r="TDA231" s="32"/>
      <c r="TDB231" s="31"/>
      <c r="TDC231" s="31"/>
      <c r="TDD231" s="33"/>
      <c r="TDE231" s="33"/>
      <c r="TDF231" s="34"/>
      <c r="TDG231" s="34"/>
      <c r="TDH231" s="35"/>
      <c r="TDI231" s="35"/>
      <c r="TDJ231" s="32"/>
      <c r="TDK231" s="31"/>
      <c r="TDL231" s="31"/>
      <c r="TDM231" s="31"/>
      <c r="TDN231" s="32"/>
      <c r="TDO231" s="32"/>
      <c r="TDP231" s="32"/>
      <c r="TDQ231" s="32"/>
      <c r="TDR231" s="32"/>
      <c r="TDS231" s="31"/>
      <c r="TDT231" s="31"/>
      <c r="TDU231" s="33"/>
      <c r="TDV231" s="33"/>
      <c r="TDW231" s="34"/>
      <c r="TDX231" s="34"/>
      <c r="TDY231" s="35"/>
      <c r="TDZ231" s="35"/>
      <c r="TEA231" s="32"/>
      <c r="TEB231" s="31"/>
      <c r="TEC231" s="31"/>
      <c r="TED231" s="31"/>
      <c r="TEE231" s="32"/>
      <c r="TEF231" s="32"/>
      <c r="TEG231" s="32"/>
      <c r="TEH231" s="32"/>
      <c r="TEI231" s="32"/>
      <c r="TEJ231" s="31"/>
      <c r="TEK231" s="31"/>
      <c r="TEL231" s="33"/>
      <c r="TEM231" s="33"/>
      <c r="TEN231" s="34"/>
      <c r="TEO231" s="34"/>
      <c r="TEP231" s="35"/>
      <c r="TEQ231" s="35"/>
      <c r="TER231" s="32"/>
      <c r="TES231" s="31"/>
      <c r="TET231" s="31"/>
      <c r="TEU231" s="31"/>
      <c r="TEV231" s="32"/>
      <c r="TEW231" s="32"/>
      <c r="TEX231" s="32"/>
      <c r="TEY231" s="32"/>
      <c r="TEZ231" s="32"/>
      <c r="TFA231" s="31"/>
      <c r="TFB231" s="31"/>
      <c r="TFC231" s="33"/>
      <c r="TFD231" s="33"/>
      <c r="TFE231" s="34"/>
      <c r="TFF231" s="34"/>
      <c r="TFG231" s="35"/>
      <c r="TFH231" s="35"/>
      <c r="TFI231" s="32"/>
      <c r="TFJ231" s="31"/>
      <c r="TFK231" s="31"/>
      <c r="TFL231" s="31"/>
      <c r="TFM231" s="32"/>
      <c r="TFN231" s="32"/>
      <c r="TFO231" s="32"/>
      <c r="TFP231" s="32"/>
      <c r="TFQ231" s="32"/>
      <c r="TFR231" s="31"/>
      <c r="TFS231" s="31"/>
      <c r="TFT231" s="33"/>
      <c r="TFU231" s="33"/>
      <c r="TFV231" s="34"/>
      <c r="TFW231" s="34"/>
      <c r="TFX231" s="35"/>
      <c r="TFY231" s="35"/>
      <c r="TFZ231" s="32"/>
      <c r="TGA231" s="31"/>
      <c r="TGB231" s="31"/>
      <c r="TGC231" s="31"/>
      <c r="TGD231" s="32"/>
      <c r="TGE231" s="32"/>
      <c r="TGF231" s="32"/>
      <c r="TGG231" s="32"/>
      <c r="TGH231" s="32"/>
      <c r="TGI231" s="31"/>
      <c r="TGJ231" s="31"/>
      <c r="TGK231" s="33"/>
      <c r="TGL231" s="33"/>
      <c r="TGM231" s="34"/>
      <c r="TGN231" s="34"/>
      <c r="TGO231" s="35"/>
      <c r="TGP231" s="35"/>
      <c r="TGQ231" s="32"/>
      <c r="TGR231" s="31"/>
      <c r="TGS231" s="31"/>
      <c r="TGT231" s="31"/>
      <c r="TGU231" s="32"/>
      <c r="TGV231" s="32"/>
      <c r="TGW231" s="32"/>
      <c r="TGX231" s="32"/>
      <c r="TGY231" s="32"/>
      <c r="TGZ231" s="31"/>
      <c r="THA231" s="31"/>
      <c r="THB231" s="33"/>
      <c r="THC231" s="33"/>
      <c r="THD231" s="34"/>
      <c r="THE231" s="34"/>
      <c r="THF231" s="35"/>
      <c r="THG231" s="35"/>
      <c r="THH231" s="32"/>
      <c r="THI231" s="31"/>
      <c r="THJ231" s="31"/>
      <c r="THK231" s="31"/>
      <c r="THL231" s="32"/>
      <c r="THM231" s="32"/>
      <c r="THN231" s="32"/>
      <c r="THO231" s="32"/>
      <c r="THP231" s="32"/>
      <c r="THQ231" s="31"/>
      <c r="THR231" s="31"/>
      <c r="THS231" s="33"/>
      <c r="THT231" s="33"/>
      <c r="THU231" s="34"/>
      <c r="THV231" s="34"/>
      <c r="THW231" s="35"/>
      <c r="THX231" s="35"/>
      <c r="THY231" s="32"/>
      <c r="THZ231" s="31"/>
      <c r="TIA231" s="31"/>
      <c r="TIB231" s="31"/>
      <c r="TIC231" s="32"/>
      <c r="TID231" s="32"/>
      <c r="TIE231" s="32"/>
      <c r="TIF231" s="32"/>
      <c r="TIG231" s="32"/>
      <c r="TIH231" s="31"/>
      <c r="TII231" s="31"/>
      <c r="TIJ231" s="33"/>
      <c r="TIK231" s="33"/>
      <c r="TIL231" s="34"/>
      <c r="TIM231" s="34"/>
      <c r="TIN231" s="35"/>
      <c r="TIO231" s="35"/>
      <c r="TIP231" s="32"/>
      <c r="TIQ231" s="31"/>
      <c r="TIR231" s="31"/>
      <c r="TIS231" s="31"/>
      <c r="TIT231" s="32"/>
      <c r="TIU231" s="32"/>
      <c r="TIV231" s="32"/>
      <c r="TIW231" s="32"/>
      <c r="TIX231" s="32"/>
      <c r="TIY231" s="31"/>
      <c r="TIZ231" s="31"/>
      <c r="TJA231" s="33"/>
      <c r="TJB231" s="33"/>
      <c r="TJC231" s="34"/>
      <c r="TJD231" s="34"/>
      <c r="TJE231" s="35"/>
      <c r="TJF231" s="35"/>
      <c r="TJG231" s="32"/>
      <c r="TJH231" s="31"/>
      <c r="TJI231" s="31"/>
      <c r="TJJ231" s="31"/>
      <c r="TJK231" s="32"/>
      <c r="TJL231" s="32"/>
      <c r="TJM231" s="32"/>
      <c r="TJN231" s="32"/>
      <c r="TJO231" s="32"/>
      <c r="TJP231" s="31"/>
      <c r="TJQ231" s="31"/>
      <c r="TJR231" s="33"/>
      <c r="TJS231" s="33"/>
      <c r="TJT231" s="34"/>
      <c r="TJU231" s="34"/>
      <c r="TJV231" s="35"/>
      <c r="TJW231" s="35"/>
      <c r="TJX231" s="32"/>
      <c r="TJY231" s="31"/>
      <c r="TJZ231" s="31"/>
      <c r="TKA231" s="31"/>
      <c r="TKB231" s="32"/>
      <c r="TKC231" s="32"/>
      <c r="TKD231" s="32"/>
      <c r="TKE231" s="32"/>
      <c r="TKF231" s="32"/>
      <c r="TKG231" s="31"/>
      <c r="TKH231" s="31"/>
      <c r="TKI231" s="33"/>
      <c r="TKJ231" s="33"/>
      <c r="TKK231" s="34"/>
      <c r="TKL231" s="34"/>
      <c r="TKM231" s="35"/>
      <c r="TKN231" s="35"/>
      <c r="TKO231" s="32"/>
      <c r="TKP231" s="31"/>
      <c r="TKQ231" s="31"/>
      <c r="TKR231" s="31"/>
      <c r="TKS231" s="32"/>
      <c r="TKT231" s="32"/>
      <c r="TKU231" s="32"/>
      <c r="TKV231" s="32"/>
      <c r="TKW231" s="32"/>
      <c r="TKX231" s="31"/>
      <c r="TKY231" s="31"/>
      <c r="TKZ231" s="33"/>
      <c r="TLA231" s="33"/>
      <c r="TLB231" s="34"/>
      <c r="TLC231" s="34"/>
      <c r="TLD231" s="35"/>
      <c r="TLE231" s="35"/>
      <c r="TLF231" s="32"/>
      <c r="TLG231" s="31"/>
      <c r="TLH231" s="31"/>
      <c r="TLI231" s="31"/>
      <c r="TLJ231" s="32"/>
      <c r="TLK231" s="32"/>
      <c r="TLL231" s="32"/>
      <c r="TLM231" s="32"/>
      <c r="TLN231" s="32"/>
      <c r="TLO231" s="31"/>
      <c r="TLP231" s="31"/>
      <c r="TLQ231" s="33"/>
      <c r="TLR231" s="33"/>
      <c r="TLS231" s="34"/>
      <c r="TLT231" s="34"/>
      <c r="TLU231" s="35"/>
      <c r="TLV231" s="35"/>
      <c r="TLW231" s="32"/>
      <c r="TLX231" s="31"/>
      <c r="TLY231" s="31"/>
      <c r="TLZ231" s="31"/>
      <c r="TMA231" s="32"/>
      <c r="TMB231" s="32"/>
      <c r="TMC231" s="32"/>
      <c r="TMD231" s="32"/>
      <c r="TME231" s="32"/>
      <c r="TMF231" s="31"/>
      <c r="TMG231" s="31"/>
      <c r="TMH231" s="33"/>
      <c r="TMI231" s="33"/>
      <c r="TMJ231" s="34"/>
      <c r="TMK231" s="34"/>
      <c r="TML231" s="35"/>
      <c r="TMM231" s="35"/>
      <c r="TMN231" s="32"/>
      <c r="TMO231" s="31"/>
      <c r="TMP231" s="31"/>
      <c r="TMQ231" s="31"/>
      <c r="TMR231" s="32"/>
      <c r="TMS231" s="32"/>
      <c r="TMT231" s="32"/>
      <c r="TMU231" s="32"/>
      <c r="TMV231" s="32"/>
      <c r="TMW231" s="31"/>
      <c r="TMX231" s="31"/>
      <c r="TMY231" s="33"/>
      <c r="TMZ231" s="33"/>
      <c r="TNA231" s="34"/>
      <c r="TNB231" s="34"/>
      <c r="TNC231" s="35"/>
      <c r="TND231" s="35"/>
      <c r="TNE231" s="32"/>
      <c r="TNF231" s="31"/>
      <c r="TNG231" s="31"/>
      <c r="TNH231" s="31"/>
      <c r="TNI231" s="32"/>
      <c r="TNJ231" s="32"/>
      <c r="TNK231" s="32"/>
      <c r="TNL231" s="32"/>
      <c r="TNM231" s="32"/>
      <c r="TNN231" s="31"/>
      <c r="TNO231" s="31"/>
      <c r="TNP231" s="33"/>
      <c r="TNQ231" s="33"/>
      <c r="TNR231" s="34"/>
      <c r="TNS231" s="34"/>
      <c r="TNT231" s="35"/>
      <c r="TNU231" s="35"/>
      <c r="TNV231" s="32"/>
      <c r="TNW231" s="31"/>
      <c r="TNX231" s="31"/>
      <c r="TNY231" s="31"/>
      <c r="TNZ231" s="32"/>
      <c r="TOA231" s="32"/>
      <c r="TOB231" s="32"/>
      <c r="TOC231" s="32"/>
      <c r="TOD231" s="32"/>
      <c r="TOE231" s="31"/>
      <c r="TOF231" s="31"/>
      <c r="TOG231" s="33"/>
      <c r="TOH231" s="33"/>
      <c r="TOI231" s="34"/>
      <c r="TOJ231" s="34"/>
      <c r="TOK231" s="35"/>
      <c r="TOL231" s="35"/>
      <c r="TOM231" s="32"/>
      <c r="TON231" s="31"/>
      <c r="TOO231" s="31"/>
      <c r="TOP231" s="31"/>
      <c r="TOQ231" s="32"/>
      <c r="TOR231" s="32"/>
      <c r="TOS231" s="32"/>
      <c r="TOT231" s="32"/>
      <c r="TOU231" s="32"/>
      <c r="TOV231" s="31"/>
      <c r="TOW231" s="31"/>
      <c r="TOX231" s="33"/>
      <c r="TOY231" s="33"/>
      <c r="TOZ231" s="34"/>
      <c r="TPA231" s="34"/>
      <c r="TPB231" s="35"/>
      <c r="TPC231" s="35"/>
      <c r="TPD231" s="32"/>
      <c r="TPE231" s="31"/>
      <c r="TPF231" s="31"/>
      <c r="TPG231" s="31"/>
      <c r="TPH231" s="32"/>
      <c r="TPI231" s="32"/>
      <c r="TPJ231" s="32"/>
      <c r="TPK231" s="32"/>
      <c r="TPL231" s="32"/>
      <c r="TPM231" s="31"/>
      <c r="TPN231" s="31"/>
      <c r="TPO231" s="33"/>
      <c r="TPP231" s="33"/>
      <c r="TPQ231" s="34"/>
      <c r="TPR231" s="34"/>
      <c r="TPS231" s="35"/>
      <c r="TPT231" s="35"/>
      <c r="TPU231" s="32"/>
      <c r="TPV231" s="31"/>
      <c r="TPW231" s="31"/>
      <c r="TPX231" s="31"/>
      <c r="TPY231" s="32"/>
      <c r="TPZ231" s="32"/>
      <c r="TQA231" s="32"/>
      <c r="TQB231" s="32"/>
      <c r="TQC231" s="32"/>
      <c r="TQD231" s="31"/>
      <c r="TQE231" s="31"/>
      <c r="TQF231" s="33"/>
      <c r="TQG231" s="33"/>
      <c r="TQH231" s="34"/>
      <c r="TQI231" s="34"/>
      <c r="TQJ231" s="35"/>
      <c r="TQK231" s="35"/>
      <c r="TQL231" s="32"/>
      <c r="TQM231" s="31"/>
      <c r="TQN231" s="31"/>
      <c r="TQO231" s="31"/>
      <c r="TQP231" s="32"/>
      <c r="TQQ231" s="32"/>
      <c r="TQR231" s="32"/>
      <c r="TQS231" s="32"/>
      <c r="TQT231" s="32"/>
      <c r="TQU231" s="31"/>
      <c r="TQV231" s="31"/>
      <c r="TQW231" s="33"/>
      <c r="TQX231" s="33"/>
      <c r="TQY231" s="34"/>
      <c r="TQZ231" s="34"/>
      <c r="TRA231" s="35"/>
      <c r="TRB231" s="35"/>
      <c r="TRC231" s="32"/>
      <c r="TRD231" s="31"/>
      <c r="TRE231" s="31"/>
      <c r="TRF231" s="31"/>
      <c r="TRG231" s="32"/>
      <c r="TRH231" s="32"/>
      <c r="TRI231" s="32"/>
      <c r="TRJ231" s="32"/>
      <c r="TRK231" s="32"/>
      <c r="TRL231" s="31"/>
      <c r="TRM231" s="31"/>
      <c r="TRN231" s="33"/>
      <c r="TRO231" s="33"/>
      <c r="TRP231" s="34"/>
      <c r="TRQ231" s="34"/>
      <c r="TRR231" s="35"/>
      <c r="TRS231" s="35"/>
      <c r="TRT231" s="32"/>
      <c r="TRU231" s="31"/>
      <c r="TRV231" s="31"/>
      <c r="TRW231" s="31"/>
      <c r="TRX231" s="32"/>
      <c r="TRY231" s="32"/>
      <c r="TRZ231" s="32"/>
      <c r="TSA231" s="32"/>
      <c r="TSB231" s="32"/>
      <c r="TSC231" s="31"/>
      <c r="TSD231" s="31"/>
      <c r="TSE231" s="33"/>
      <c r="TSF231" s="33"/>
      <c r="TSG231" s="34"/>
      <c r="TSH231" s="34"/>
      <c r="TSI231" s="35"/>
      <c r="TSJ231" s="35"/>
      <c r="TSK231" s="32"/>
      <c r="TSL231" s="31"/>
      <c r="TSM231" s="31"/>
      <c r="TSN231" s="31"/>
      <c r="TSO231" s="32"/>
      <c r="TSP231" s="32"/>
      <c r="TSQ231" s="32"/>
      <c r="TSR231" s="32"/>
      <c r="TSS231" s="32"/>
      <c r="TST231" s="31"/>
      <c r="TSU231" s="31"/>
      <c r="TSV231" s="33"/>
      <c r="TSW231" s="33"/>
      <c r="TSX231" s="34"/>
      <c r="TSY231" s="34"/>
      <c r="TSZ231" s="35"/>
      <c r="TTA231" s="35"/>
      <c r="TTB231" s="32"/>
      <c r="TTC231" s="31"/>
      <c r="TTD231" s="31"/>
      <c r="TTE231" s="31"/>
      <c r="TTF231" s="32"/>
      <c r="TTG231" s="32"/>
      <c r="TTH231" s="32"/>
      <c r="TTI231" s="32"/>
      <c r="TTJ231" s="32"/>
      <c r="TTK231" s="31"/>
      <c r="TTL231" s="31"/>
      <c r="TTM231" s="33"/>
      <c r="TTN231" s="33"/>
      <c r="TTO231" s="34"/>
      <c r="TTP231" s="34"/>
      <c r="TTQ231" s="35"/>
      <c r="TTR231" s="35"/>
      <c r="TTS231" s="32"/>
      <c r="TTT231" s="31"/>
      <c r="TTU231" s="31"/>
      <c r="TTV231" s="31"/>
      <c r="TTW231" s="32"/>
      <c r="TTX231" s="32"/>
      <c r="TTY231" s="32"/>
      <c r="TTZ231" s="32"/>
      <c r="TUA231" s="32"/>
      <c r="TUB231" s="31"/>
      <c r="TUC231" s="31"/>
      <c r="TUD231" s="33"/>
      <c r="TUE231" s="33"/>
      <c r="TUF231" s="34"/>
      <c r="TUG231" s="34"/>
      <c r="TUH231" s="35"/>
      <c r="TUI231" s="35"/>
      <c r="TUJ231" s="32"/>
      <c r="TUK231" s="31"/>
      <c r="TUL231" s="31"/>
      <c r="TUM231" s="31"/>
      <c r="TUN231" s="32"/>
      <c r="TUO231" s="32"/>
      <c r="TUP231" s="32"/>
      <c r="TUQ231" s="32"/>
      <c r="TUR231" s="32"/>
      <c r="TUS231" s="31"/>
      <c r="TUT231" s="31"/>
      <c r="TUU231" s="33"/>
      <c r="TUV231" s="33"/>
      <c r="TUW231" s="34"/>
      <c r="TUX231" s="34"/>
      <c r="TUY231" s="35"/>
      <c r="TUZ231" s="35"/>
      <c r="TVA231" s="32"/>
      <c r="TVB231" s="31"/>
      <c r="TVC231" s="31"/>
      <c r="TVD231" s="31"/>
      <c r="TVE231" s="32"/>
      <c r="TVF231" s="32"/>
      <c r="TVG231" s="32"/>
      <c r="TVH231" s="32"/>
      <c r="TVI231" s="32"/>
      <c r="TVJ231" s="31"/>
      <c r="TVK231" s="31"/>
      <c r="TVL231" s="33"/>
      <c r="TVM231" s="33"/>
      <c r="TVN231" s="34"/>
      <c r="TVO231" s="34"/>
      <c r="TVP231" s="35"/>
      <c r="TVQ231" s="35"/>
      <c r="TVR231" s="32"/>
      <c r="TVS231" s="31"/>
      <c r="TVT231" s="31"/>
      <c r="TVU231" s="31"/>
      <c r="TVV231" s="32"/>
      <c r="TVW231" s="32"/>
      <c r="TVX231" s="32"/>
      <c r="TVY231" s="32"/>
      <c r="TVZ231" s="32"/>
      <c r="TWA231" s="31"/>
      <c r="TWB231" s="31"/>
      <c r="TWC231" s="33"/>
      <c r="TWD231" s="33"/>
      <c r="TWE231" s="34"/>
      <c r="TWF231" s="34"/>
      <c r="TWG231" s="35"/>
      <c r="TWH231" s="35"/>
      <c r="TWI231" s="32"/>
      <c r="TWJ231" s="31"/>
      <c r="TWK231" s="31"/>
      <c r="TWL231" s="31"/>
      <c r="TWM231" s="32"/>
      <c r="TWN231" s="32"/>
      <c r="TWO231" s="32"/>
      <c r="TWP231" s="32"/>
      <c r="TWQ231" s="32"/>
      <c r="TWR231" s="31"/>
      <c r="TWS231" s="31"/>
      <c r="TWT231" s="33"/>
      <c r="TWU231" s="33"/>
      <c r="TWV231" s="34"/>
      <c r="TWW231" s="34"/>
      <c r="TWX231" s="35"/>
      <c r="TWY231" s="35"/>
      <c r="TWZ231" s="32"/>
      <c r="TXA231" s="31"/>
      <c r="TXB231" s="31"/>
      <c r="TXC231" s="31"/>
      <c r="TXD231" s="32"/>
      <c r="TXE231" s="32"/>
      <c r="TXF231" s="32"/>
      <c r="TXG231" s="32"/>
      <c r="TXH231" s="32"/>
      <c r="TXI231" s="31"/>
      <c r="TXJ231" s="31"/>
      <c r="TXK231" s="33"/>
      <c r="TXL231" s="33"/>
      <c r="TXM231" s="34"/>
      <c r="TXN231" s="34"/>
      <c r="TXO231" s="35"/>
      <c r="TXP231" s="35"/>
      <c r="TXQ231" s="32"/>
      <c r="TXR231" s="31"/>
      <c r="TXS231" s="31"/>
      <c r="TXT231" s="31"/>
      <c r="TXU231" s="32"/>
      <c r="TXV231" s="32"/>
      <c r="TXW231" s="32"/>
      <c r="TXX231" s="32"/>
      <c r="TXY231" s="32"/>
      <c r="TXZ231" s="31"/>
      <c r="TYA231" s="31"/>
      <c r="TYB231" s="33"/>
      <c r="TYC231" s="33"/>
      <c r="TYD231" s="34"/>
      <c r="TYE231" s="34"/>
      <c r="TYF231" s="35"/>
      <c r="TYG231" s="35"/>
      <c r="TYH231" s="32"/>
      <c r="TYI231" s="31"/>
      <c r="TYJ231" s="31"/>
      <c r="TYK231" s="31"/>
      <c r="TYL231" s="32"/>
      <c r="TYM231" s="32"/>
      <c r="TYN231" s="32"/>
      <c r="TYO231" s="32"/>
      <c r="TYP231" s="32"/>
      <c r="TYQ231" s="31"/>
      <c r="TYR231" s="31"/>
      <c r="TYS231" s="33"/>
      <c r="TYT231" s="33"/>
      <c r="TYU231" s="34"/>
      <c r="TYV231" s="34"/>
      <c r="TYW231" s="35"/>
      <c r="TYX231" s="35"/>
      <c r="TYY231" s="32"/>
      <c r="TYZ231" s="31"/>
      <c r="TZA231" s="31"/>
      <c r="TZB231" s="31"/>
      <c r="TZC231" s="32"/>
      <c r="TZD231" s="32"/>
      <c r="TZE231" s="32"/>
      <c r="TZF231" s="32"/>
      <c r="TZG231" s="32"/>
      <c r="TZH231" s="31"/>
      <c r="TZI231" s="31"/>
      <c r="TZJ231" s="33"/>
      <c r="TZK231" s="33"/>
      <c r="TZL231" s="34"/>
      <c r="TZM231" s="34"/>
      <c r="TZN231" s="35"/>
      <c r="TZO231" s="35"/>
      <c r="TZP231" s="32"/>
      <c r="TZQ231" s="31"/>
      <c r="TZR231" s="31"/>
      <c r="TZS231" s="31"/>
      <c r="TZT231" s="32"/>
      <c r="TZU231" s="32"/>
      <c r="TZV231" s="32"/>
      <c r="TZW231" s="32"/>
      <c r="TZX231" s="32"/>
      <c r="TZY231" s="31"/>
      <c r="TZZ231" s="31"/>
      <c r="UAA231" s="33"/>
      <c r="UAB231" s="33"/>
      <c r="UAC231" s="34"/>
      <c r="UAD231" s="34"/>
      <c r="UAE231" s="35"/>
      <c r="UAF231" s="35"/>
      <c r="UAG231" s="32"/>
      <c r="UAH231" s="31"/>
      <c r="UAI231" s="31"/>
      <c r="UAJ231" s="31"/>
      <c r="UAK231" s="32"/>
      <c r="UAL231" s="32"/>
      <c r="UAM231" s="32"/>
      <c r="UAN231" s="32"/>
      <c r="UAO231" s="32"/>
      <c r="UAP231" s="31"/>
      <c r="UAQ231" s="31"/>
      <c r="UAR231" s="33"/>
      <c r="UAS231" s="33"/>
      <c r="UAT231" s="34"/>
      <c r="UAU231" s="34"/>
      <c r="UAV231" s="35"/>
      <c r="UAW231" s="35"/>
      <c r="UAX231" s="32"/>
      <c r="UAY231" s="31"/>
      <c r="UAZ231" s="31"/>
      <c r="UBA231" s="31"/>
      <c r="UBB231" s="32"/>
      <c r="UBC231" s="32"/>
      <c r="UBD231" s="32"/>
      <c r="UBE231" s="32"/>
      <c r="UBF231" s="32"/>
      <c r="UBG231" s="31"/>
      <c r="UBH231" s="31"/>
      <c r="UBI231" s="33"/>
      <c r="UBJ231" s="33"/>
      <c r="UBK231" s="34"/>
      <c r="UBL231" s="34"/>
      <c r="UBM231" s="35"/>
      <c r="UBN231" s="35"/>
      <c r="UBO231" s="32"/>
      <c r="UBP231" s="31"/>
      <c r="UBQ231" s="31"/>
      <c r="UBR231" s="31"/>
      <c r="UBS231" s="32"/>
      <c r="UBT231" s="32"/>
      <c r="UBU231" s="32"/>
      <c r="UBV231" s="32"/>
      <c r="UBW231" s="32"/>
      <c r="UBX231" s="31"/>
      <c r="UBY231" s="31"/>
      <c r="UBZ231" s="33"/>
      <c r="UCA231" s="33"/>
      <c r="UCB231" s="34"/>
      <c r="UCC231" s="34"/>
      <c r="UCD231" s="35"/>
      <c r="UCE231" s="35"/>
      <c r="UCF231" s="32"/>
      <c r="UCG231" s="31"/>
      <c r="UCH231" s="31"/>
      <c r="UCI231" s="31"/>
      <c r="UCJ231" s="32"/>
      <c r="UCK231" s="32"/>
      <c r="UCL231" s="32"/>
      <c r="UCM231" s="32"/>
      <c r="UCN231" s="32"/>
      <c r="UCO231" s="31"/>
      <c r="UCP231" s="31"/>
      <c r="UCQ231" s="33"/>
      <c r="UCR231" s="33"/>
      <c r="UCS231" s="34"/>
      <c r="UCT231" s="34"/>
      <c r="UCU231" s="35"/>
      <c r="UCV231" s="35"/>
      <c r="UCW231" s="32"/>
      <c r="UCX231" s="31"/>
      <c r="UCY231" s="31"/>
      <c r="UCZ231" s="31"/>
      <c r="UDA231" s="32"/>
      <c r="UDB231" s="32"/>
      <c r="UDC231" s="32"/>
      <c r="UDD231" s="32"/>
      <c r="UDE231" s="32"/>
      <c r="UDF231" s="31"/>
      <c r="UDG231" s="31"/>
      <c r="UDH231" s="33"/>
      <c r="UDI231" s="33"/>
      <c r="UDJ231" s="34"/>
      <c r="UDK231" s="34"/>
      <c r="UDL231" s="35"/>
      <c r="UDM231" s="35"/>
      <c r="UDN231" s="32"/>
      <c r="UDO231" s="31"/>
      <c r="UDP231" s="31"/>
      <c r="UDQ231" s="31"/>
      <c r="UDR231" s="32"/>
      <c r="UDS231" s="32"/>
      <c r="UDT231" s="32"/>
      <c r="UDU231" s="32"/>
      <c r="UDV231" s="32"/>
      <c r="UDW231" s="31"/>
      <c r="UDX231" s="31"/>
      <c r="UDY231" s="33"/>
      <c r="UDZ231" s="33"/>
      <c r="UEA231" s="34"/>
      <c r="UEB231" s="34"/>
      <c r="UEC231" s="35"/>
      <c r="UED231" s="35"/>
      <c r="UEE231" s="32"/>
      <c r="UEF231" s="31"/>
      <c r="UEG231" s="31"/>
      <c r="UEH231" s="31"/>
      <c r="UEI231" s="32"/>
      <c r="UEJ231" s="32"/>
      <c r="UEK231" s="32"/>
      <c r="UEL231" s="32"/>
      <c r="UEM231" s="32"/>
      <c r="UEN231" s="31"/>
      <c r="UEO231" s="31"/>
      <c r="UEP231" s="33"/>
      <c r="UEQ231" s="33"/>
      <c r="UER231" s="34"/>
      <c r="UES231" s="34"/>
      <c r="UET231" s="35"/>
      <c r="UEU231" s="35"/>
      <c r="UEV231" s="32"/>
      <c r="UEW231" s="31"/>
      <c r="UEX231" s="31"/>
      <c r="UEY231" s="31"/>
      <c r="UEZ231" s="32"/>
      <c r="UFA231" s="32"/>
      <c r="UFB231" s="32"/>
      <c r="UFC231" s="32"/>
      <c r="UFD231" s="32"/>
      <c r="UFE231" s="31"/>
      <c r="UFF231" s="31"/>
      <c r="UFG231" s="33"/>
      <c r="UFH231" s="33"/>
      <c r="UFI231" s="34"/>
      <c r="UFJ231" s="34"/>
      <c r="UFK231" s="35"/>
      <c r="UFL231" s="35"/>
      <c r="UFM231" s="32"/>
      <c r="UFN231" s="31"/>
      <c r="UFO231" s="31"/>
      <c r="UFP231" s="31"/>
      <c r="UFQ231" s="32"/>
      <c r="UFR231" s="32"/>
      <c r="UFS231" s="32"/>
      <c r="UFT231" s="32"/>
      <c r="UFU231" s="32"/>
      <c r="UFV231" s="31"/>
      <c r="UFW231" s="31"/>
      <c r="UFX231" s="33"/>
      <c r="UFY231" s="33"/>
      <c r="UFZ231" s="34"/>
      <c r="UGA231" s="34"/>
      <c r="UGB231" s="35"/>
      <c r="UGC231" s="35"/>
      <c r="UGD231" s="32"/>
      <c r="UGE231" s="31"/>
      <c r="UGF231" s="31"/>
      <c r="UGG231" s="31"/>
      <c r="UGH231" s="32"/>
      <c r="UGI231" s="32"/>
      <c r="UGJ231" s="32"/>
      <c r="UGK231" s="32"/>
      <c r="UGL231" s="32"/>
      <c r="UGM231" s="31"/>
      <c r="UGN231" s="31"/>
      <c r="UGO231" s="33"/>
      <c r="UGP231" s="33"/>
      <c r="UGQ231" s="34"/>
      <c r="UGR231" s="34"/>
      <c r="UGS231" s="35"/>
      <c r="UGT231" s="35"/>
      <c r="UGU231" s="32"/>
      <c r="UGV231" s="31"/>
      <c r="UGW231" s="31"/>
      <c r="UGX231" s="31"/>
      <c r="UGY231" s="32"/>
      <c r="UGZ231" s="32"/>
      <c r="UHA231" s="32"/>
      <c r="UHB231" s="32"/>
      <c r="UHC231" s="32"/>
      <c r="UHD231" s="31"/>
      <c r="UHE231" s="31"/>
      <c r="UHF231" s="33"/>
      <c r="UHG231" s="33"/>
      <c r="UHH231" s="34"/>
      <c r="UHI231" s="34"/>
      <c r="UHJ231" s="35"/>
      <c r="UHK231" s="35"/>
      <c r="UHL231" s="32"/>
      <c r="UHM231" s="31"/>
      <c r="UHN231" s="31"/>
      <c r="UHO231" s="31"/>
      <c r="UHP231" s="32"/>
      <c r="UHQ231" s="32"/>
      <c r="UHR231" s="32"/>
      <c r="UHS231" s="32"/>
      <c r="UHT231" s="32"/>
      <c r="UHU231" s="31"/>
      <c r="UHV231" s="31"/>
      <c r="UHW231" s="33"/>
      <c r="UHX231" s="33"/>
      <c r="UHY231" s="34"/>
      <c r="UHZ231" s="34"/>
      <c r="UIA231" s="35"/>
      <c r="UIB231" s="35"/>
      <c r="UIC231" s="32"/>
      <c r="UID231" s="31"/>
      <c r="UIE231" s="31"/>
      <c r="UIF231" s="31"/>
      <c r="UIG231" s="32"/>
      <c r="UIH231" s="32"/>
      <c r="UII231" s="32"/>
      <c r="UIJ231" s="32"/>
      <c r="UIK231" s="32"/>
      <c r="UIL231" s="31"/>
      <c r="UIM231" s="31"/>
      <c r="UIN231" s="33"/>
      <c r="UIO231" s="33"/>
      <c r="UIP231" s="34"/>
      <c r="UIQ231" s="34"/>
      <c r="UIR231" s="35"/>
      <c r="UIS231" s="35"/>
      <c r="UIT231" s="32"/>
      <c r="UIU231" s="31"/>
      <c r="UIV231" s="31"/>
      <c r="UIW231" s="31"/>
      <c r="UIX231" s="32"/>
      <c r="UIY231" s="32"/>
      <c r="UIZ231" s="32"/>
      <c r="UJA231" s="32"/>
      <c r="UJB231" s="32"/>
      <c r="UJC231" s="31"/>
      <c r="UJD231" s="31"/>
      <c r="UJE231" s="33"/>
      <c r="UJF231" s="33"/>
      <c r="UJG231" s="34"/>
      <c r="UJH231" s="34"/>
      <c r="UJI231" s="35"/>
      <c r="UJJ231" s="35"/>
      <c r="UJK231" s="32"/>
      <c r="UJL231" s="31"/>
      <c r="UJM231" s="31"/>
      <c r="UJN231" s="31"/>
      <c r="UJO231" s="32"/>
      <c r="UJP231" s="32"/>
      <c r="UJQ231" s="32"/>
      <c r="UJR231" s="32"/>
      <c r="UJS231" s="32"/>
      <c r="UJT231" s="31"/>
      <c r="UJU231" s="31"/>
      <c r="UJV231" s="33"/>
      <c r="UJW231" s="33"/>
      <c r="UJX231" s="34"/>
      <c r="UJY231" s="34"/>
      <c r="UJZ231" s="35"/>
      <c r="UKA231" s="35"/>
      <c r="UKB231" s="32"/>
      <c r="UKC231" s="31"/>
      <c r="UKD231" s="31"/>
      <c r="UKE231" s="31"/>
      <c r="UKF231" s="32"/>
      <c r="UKG231" s="32"/>
      <c r="UKH231" s="32"/>
      <c r="UKI231" s="32"/>
      <c r="UKJ231" s="32"/>
      <c r="UKK231" s="31"/>
      <c r="UKL231" s="31"/>
      <c r="UKM231" s="33"/>
      <c r="UKN231" s="33"/>
      <c r="UKO231" s="34"/>
      <c r="UKP231" s="34"/>
      <c r="UKQ231" s="35"/>
      <c r="UKR231" s="35"/>
      <c r="UKS231" s="32"/>
      <c r="UKT231" s="31"/>
      <c r="UKU231" s="31"/>
      <c r="UKV231" s="31"/>
      <c r="UKW231" s="32"/>
      <c r="UKX231" s="32"/>
      <c r="UKY231" s="32"/>
      <c r="UKZ231" s="32"/>
      <c r="ULA231" s="32"/>
      <c r="ULB231" s="31"/>
      <c r="ULC231" s="31"/>
      <c r="ULD231" s="33"/>
      <c r="ULE231" s="33"/>
      <c r="ULF231" s="34"/>
      <c r="ULG231" s="34"/>
      <c r="ULH231" s="35"/>
      <c r="ULI231" s="35"/>
      <c r="ULJ231" s="32"/>
      <c r="ULK231" s="31"/>
      <c r="ULL231" s="31"/>
      <c r="ULM231" s="31"/>
      <c r="ULN231" s="32"/>
      <c r="ULO231" s="32"/>
      <c r="ULP231" s="32"/>
      <c r="ULQ231" s="32"/>
      <c r="ULR231" s="32"/>
      <c r="ULS231" s="31"/>
      <c r="ULT231" s="31"/>
      <c r="ULU231" s="33"/>
      <c r="ULV231" s="33"/>
      <c r="ULW231" s="34"/>
      <c r="ULX231" s="34"/>
      <c r="ULY231" s="35"/>
      <c r="ULZ231" s="35"/>
      <c r="UMA231" s="32"/>
      <c r="UMB231" s="31"/>
      <c r="UMC231" s="31"/>
      <c r="UMD231" s="31"/>
      <c r="UME231" s="32"/>
      <c r="UMF231" s="32"/>
      <c r="UMG231" s="32"/>
      <c r="UMH231" s="32"/>
      <c r="UMI231" s="32"/>
      <c r="UMJ231" s="31"/>
      <c r="UMK231" s="31"/>
      <c r="UML231" s="33"/>
      <c r="UMM231" s="33"/>
      <c r="UMN231" s="34"/>
      <c r="UMO231" s="34"/>
      <c r="UMP231" s="35"/>
      <c r="UMQ231" s="35"/>
      <c r="UMR231" s="32"/>
      <c r="UMS231" s="31"/>
      <c r="UMT231" s="31"/>
      <c r="UMU231" s="31"/>
      <c r="UMV231" s="32"/>
      <c r="UMW231" s="32"/>
      <c r="UMX231" s="32"/>
      <c r="UMY231" s="32"/>
      <c r="UMZ231" s="32"/>
      <c r="UNA231" s="31"/>
      <c r="UNB231" s="31"/>
      <c r="UNC231" s="33"/>
      <c r="UND231" s="33"/>
      <c r="UNE231" s="34"/>
      <c r="UNF231" s="34"/>
      <c r="UNG231" s="35"/>
      <c r="UNH231" s="35"/>
      <c r="UNI231" s="32"/>
      <c r="UNJ231" s="31"/>
      <c r="UNK231" s="31"/>
      <c r="UNL231" s="31"/>
      <c r="UNM231" s="32"/>
      <c r="UNN231" s="32"/>
      <c r="UNO231" s="32"/>
      <c r="UNP231" s="32"/>
      <c r="UNQ231" s="32"/>
      <c r="UNR231" s="31"/>
      <c r="UNS231" s="31"/>
      <c r="UNT231" s="33"/>
      <c r="UNU231" s="33"/>
      <c r="UNV231" s="34"/>
      <c r="UNW231" s="34"/>
      <c r="UNX231" s="35"/>
      <c r="UNY231" s="35"/>
      <c r="UNZ231" s="32"/>
      <c r="UOA231" s="31"/>
      <c r="UOB231" s="31"/>
      <c r="UOC231" s="31"/>
      <c r="UOD231" s="32"/>
      <c r="UOE231" s="32"/>
      <c r="UOF231" s="32"/>
      <c r="UOG231" s="32"/>
      <c r="UOH231" s="32"/>
      <c r="UOI231" s="31"/>
      <c r="UOJ231" s="31"/>
      <c r="UOK231" s="33"/>
      <c r="UOL231" s="33"/>
      <c r="UOM231" s="34"/>
      <c r="UON231" s="34"/>
      <c r="UOO231" s="35"/>
      <c r="UOP231" s="35"/>
      <c r="UOQ231" s="32"/>
      <c r="UOR231" s="31"/>
      <c r="UOS231" s="31"/>
      <c r="UOT231" s="31"/>
      <c r="UOU231" s="32"/>
      <c r="UOV231" s="32"/>
      <c r="UOW231" s="32"/>
      <c r="UOX231" s="32"/>
      <c r="UOY231" s="32"/>
      <c r="UOZ231" s="31"/>
      <c r="UPA231" s="31"/>
      <c r="UPB231" s="33"/>
      <c r="UPC231" s="33"/>
      <c r="UPD231" s="34"/>
      <c r="UPE231" s="34"/>
      <c r="UPF231" s="35"/>
      <c r="UPG231" s="35"/>
      <c r="UPH231" s="32"/>
      <c r="UPI231" s="31"/>
      <c r="UPJ231" s="31"/>
      <c r="UPK231" s="31"/>
      <c r="UPL231" s="32"/>
      <c r="UPM231" s="32"/>
      <c r="UPN231" s="32"/>
      <c r="UPO231" s="32"/>
      <c r="UPP231" s="32"/>
      <c r="UPQ231" s="31"/>
      <c r="UPR231" s="31"/>
      <c r="UPS231" s="33"/>
      <c r="UPT231" s="33"/>
      <c r="UPU231" s="34"/>
      <c r="UPV231" s="34"/>
      <c r="UPW231" s="35"/>
      <c r="UPX231" s="35"/>
      <c r="UPY231" s="32"/>
      <c r="UPZ231" s="31"/>
      <c r="UQA231" s="31"/>
      <c r="UQB231" s="31"/>
      <c r="UQC231" s="32"/>
      <c r="UQD231" s="32"/>
      <c r="UQE231" s="32"/>
      <c r="UQF231" s="32"/>
      <c r="UQG231" s="32"/>
      <c r="UQH231" s="31"/>
      <c r="UQI231" s="31"/>
      <c r="UQJ231" s="33"/>
      <c r="UQK231" s="33"/>
      <c r="UQL231" s="34"/>
      <c r="UQM231" s="34"/>
      <c r="UQN231" s="35"/>
      <c r="UQO231" s="35"/>
      <c r="UQP231" s="32"/>
      <c r="UQQ231" s="31"/>
      <c r="UQR231" s="31"/>
      <c r="UQS231" s="31"/>
      <c r="UQT231" s="32"/>
      <c r="UQU231" s="32"/>
      <c r="UQV231" s="32"/>
      <c r="UQW231" s="32"/>
      <c r="UQX231" s="32"/>
      <c r="UQY231" s="31"/>
      <c r="UQZ231" s="31"/>
      <c r="URA231" s="33"/>
      <c r="URB231" s="33"/>
      <c r="URC231" s="34"/>
      <c r="URD231" s="34"/>
      <c r="URE231" s="35"/>
      <c r="URF231" s="35"/>
      <c r="URG231" s="32"/>
      <c r="URH231" s="31"/>
      <c r="URI231" s="31"/>
      <c r="URJ231" s="31"/>
      <c r="URK231" s="32"/>
      <c r="URL231" s="32"/>
      <c r="URM231" s="32"/>
      <c r="URN231" s="32"/>
      <c r="URO231" s="32"/>
      <c r="URP231" s="31"/>
      <c r="URQ231" s="31"/>
      <c r="URR231" s="33"/>
      <c r="URS231" s="33"/>
      <c r="URT231" s="34"/>
      <c r="URU231" s="34"/>
      <c r="URV231" s="35"/>
      <c r="URW231" s="35"/>
      <c r="URX231" s="32"/>
      <c r="URY231" s="31"/>
      <c r="URZ231" s="31"/>
      <c r="USA231" s="31"/>
      <c r="USB231" s="32"/>
      <c r="USC231" s="32"/>
      <c r="USD231" s="32"/>
      <c r="USE231" s="32"/>
      <c r="USF231" s="32"/>
      <c r="USG231" s="31"/>
      <c r="USH231" s="31"/>
      <c r="USI231" s="33"/>
      <c r="USJ231" s="33"/>
      <c r="USK231" s="34"/>
      <c r="USL231" s="34"/>
      <c r="USM231" s="35"/>
      <c r="USN231" s="35"/>
      <c r="USO231" s="32"/>
      <c r="USP231" s="31"/>
      <c r="USQ231" s="31"/>
      <c r="USR231" s="31"/>
      <c r="USS231" s="32"/>
      <c r="UST231" s="32"/>
      <c r="USU231" s="32"/>
      <c r="USV231" s="32"/>
      <c r="USW231" s="32"/>
      <c r="USX231" s="31"/>
      <c r="USY231" s="31"/>
      <c r="USZ231" s="33"/>
      <c r="UTA231" s="33"/>
      <c r="UTB231" s="34"/>
      <c r="UTC231" s="34"/>
      <c r="UTD231" s="35"/>
      <c r="UTE231" s="35"/>
      <c r="UTF231" s="32"/>
      <c r="UTG231" s="31"/>
      <c r="UTH231" s="31"/>
      <c r="UTI231" s="31"/>
      <c r="UTJ231" s="32"/>
      <c r="UTK231" s="32"/>
      <c r="UTL231" s="32"/>
      <c r="UTM231" s="32"/>
      <c r="UTN231" s="32"/>
      <c r="UTO231" s="31"/>
      <c r="UTP231" s="31"/>
      <c r="UTQ231" s="33"/>
      <c r="UTR231" s="33"/>
      <c r="UTS231" s="34"/>
      <c r="UTT231" s="34"/>
      <c r="UTU231" s="35"/>
      <c r="UTV231" s="35"/>
      <c r="UTW231" s="32"/>
      <c r="UTX231" s="31"/>
      <c r="UTY231" s="31"/>
      <c r="UTZ231" s="31"/>
      <c r="UUA231" s="32"/>
      <c r="UUB231" s="32"/>
      <c r="UUC231" s="32"/>
      <c r="UUD231" s="32"/>
      <c r="UUE231" s="32"/>
      <c r="UUF231" s="31"/>
      <c r="UUG231" s="31"/>
      <c r="UUH231" s="33"/>
      <c r="UUI231" s="33"/>
      <c r="UUJ231" s="34"/>
      <c r="UUK231" s="34"/>
      <c r="UUL231" s="35"/>
      <c r="UUM231" s="35"/>
      <c r="UUN231" s="32"/>
      <c r="UUO231" s="31"/>
      <c r="UUP231" s="31"/>
      <c r="UUQ231" s="31"/>
      <c r="UUR231" s="32"/>
      <c r="UUS231" s="32"/>
      <c r="UUT231" s="32"/>
      <c r="UUU231" s="32"/>
      <c r="UUV231" s="32"/>
      <c r="UUW231" s="31"/>
      <c r="UUX231" s="31"/>
      <c r="UUY231" s="33"/>
      <c r="UUZ231" s="33"/>
      <c r="UVA231" s="34"/>
      <c r="UVB231" s="34"/>
      <c r="UVC231" s="35"/>
      <c r="UVD231" s="35"/>
      <c r="UVE231" s="32"/>
      <c r="UVF231" s="31"/>
      <c r="UVG231" s="31"/>
      <c r="UVH231" s="31"/>
      <c r="UVI231" s="32"/>
      <c r="UVJ231" s="32"/>
      <c r="UVK231" s="32"/>
      <c r="UVL231" s="32"/>
      <c r="UVM231" s="32"/>
      <c r="UVN231" s="31"/>
      <c r="UVO231" s="31"/>
      <c r="UVP231" s="33"/>
      <c r="UVQ231" s="33"/>
      <c r="UVR231" s="34"/>
      <c r="UVS231" s="34"/>
      <c r="UVT231" s="35"/>
      <c r="UVU231" s="35"/>
      <c r="UVV231" s="32"/>
      <c r="UVW231" s="31"/>
      <c r="UVX231" s="31"/>
      <c r="UVY231" s="31"/>
      <c r="UVZ231" s="32"/>
      <c r="UWA231" s="32"/>
      <c r="UWB231" s="32"/>
      <c r="UWC231" s="32"/>
      <c r="UWD231" s="32"/>
      <c r="UWE231" s="31"/>
      <c r="UWF231" s="31"/>
      <c r="UWG231" s="33"/>
      <c r="UWH231" s="33"/>
      <c r="UWI231" s="34"/>
      <c r="UWJ231" s="34"/>
      <c r="UWK231" s="35"/>
      <c r="UWL231" s="35"/>
      <c r="UWM231" s="32"/>
      <c r="UWN231" s="31"/>
      <c r="UWO231" s="31"/>
      <c r="UWP231" s="31"/>
      <c r="UWQ231" s="32"/>
      <c r="UWR231" s="32"/>
      <c r="UWS231" s="32"/>
      <c r="UWT231" s="32"/>
      <c r="UWU231" s="32"/>
      <c r="UWV231" s="31"/>
      <c r="UWW231" s="31"/>
      <c r="UWX231" s="33"/>
      <c r="UWY231" s="33"/>
      <c r="UWZ231" s="34"/>
      <c r="UXA231" s="34"/>
      <c r="UXB231" s="35"/>
      <c r="UXC231" s="35"/>
      <c r="UXD231" s="32"/>
      <c r="UXE231" s="31"/>
      <c r="UXF231" s="31"/>
      <c r="UXG231" s="31"/>
      <c r="UXH231" s="32"/>
      <c r="UXI231" s="32"/>
      <c r="UXJ231" s="32"/>
      <c r="UXK231" s="32"/>
      <c r="UXL231" s="32"/>
      <c r="UXM231" s="31"/>
      <c r="UXN231" s="31"/>
      <c r="UXO231" s="33"/>
      <c r="UXP231" s="33"/>
      <c r="UXQ231" s="34"/>
      <c r="UXR231" s="34"/>
      <c r="UXS231" s="35"/>
      <c r="UXT231" s="35"/>
      <c r="UXU231" s="32"/>
      <c r="UXV231" s="31"/>
      <c r="UXW231" s="31"/>
      <c r="UXX231" s="31"/>
      <c r="UXY231" s="32"/>
      <c r="UXZ231" s="32"/>
      <c r="UYA231" s="32"/>
      <c r="UYB231" s="32"/>
      <c r="UYC231" s="32"/>
      <c r="UYD231" s="31"/>
      <c r="UYE231" s="31"/>
      <c r="UYF231" s="33"/>
      <c r="UYG231" s="33"/>
      <c r="UYH231" s="34"/>
      <c r="UYI231" s="34"/>
      <c r="UYJ231" s="35"/>
      <c r="UYK231" s="35"/>
      <c r="UYL231" s="32"/>
      <c r="UYM231" s="31"/>
      <c r="UYN231" s="31"/>
      <c r="UYO231" s="31"/>
      <c r="UYP231" s="32"/>
      <c r="UYQ231" s="32"/>
      <c r="UYR231" s="32"/>
      <c r="UYS231" s="32"/>
      <c r="UYT231" s="32"/>
      <c r="UYU231" s="31"/>
      <c r="UYV231" s="31"/>
      <c r="UYW231" s="33"/>
      <c r="UYX231" s="33"/>
      <c r="UYY231" s="34"/>
      <c r="UYZ231" s="34"/>
      <c r="UZA231" s="35"/>
      <c r="UZB231" s="35"/>
      <c r="UZC231" s="32"/>
      <c r="UZD231" s="31"/>
      <c r="UZE231" s="31"/>
      <c r="UZF231" s="31"/>
      <c r="UZG231" s="32"/>
      <c r="UZH231" s="32"/>
      <c r="UZI231" s="32"/>
      <c r="UZJ231" s="32"/>
      <c r="UZK231" s="32"/>
      <c r="UZL231" s="31"/>
      <c r="UZM231" s="31"/>
      <c r="UZN231" s="33"/>
      <c r="UZO231" s="33"/>
      <c r="UZP231" s="34"/>
      <c r="UZQ231" s="34"/>
      <c r="UZR231" s="35"/>
      <c r="UZS231" s="35"/>
      <c r="UZT231" s="32"/>
      <c r="UZU231" s="31"/>
      <c r="UZV231" s="31"/>
      <c r="UZW231" s="31"/>
      <c r="UZX231" s="32"/>
      <c r="UZY231" s="32"/>
      <c r="UZZ231" s="32"/>
      <c r="VAA231" s="32"/>
      <c r="VAB231" s="32"/>
      <c r="VAC231" s="31"/>
      <c r="VAD231" s="31"/>
      <c r="VAE231" s="33"/>
      <c r="VAF231" s="33"/>
      <c r="VAG231" s="34"/>
      <c r="VAH231" s="34"/>
      <c r="VAI231" s="35"/>
      <c r="VAJ231" s="35"/>
      <c r="VAK231" s="32"/>
      <c r="VAL231" s="31"/>
      <c r="VAM231" s="31"/>
      <c r="VAN231" s="31"/>
      <c r="VAO231" s="32"/>
      <c r="VAP231" s="32"/>
      <c r="VAQ231" s="32"/>
      <c r="VAR231" s="32"/>
      <c r="VAS231" s="32"/>
      <c r="VAT231" s="31"/>
      <c r="VAU231" s="31"/>
      <c r="VAV231" s="33"/>
      <c r="VAW231" s="33"/>
      <c r="VAX231" s="34"/>
      <c r="VAY231" s="34"/>
      <c r="VAZ231" s="35"/>
      <c r="VBA231" s="35"/>
      <c r="VBB231" s="32"/>
      <c r="VBC231" s="31"/>
      <c r="VBD231" s="31"/>
      <c r="VBE231" s="31"/>
      <c r="VBF231" s="32"/>
      <c r="VBG231" s="32"/>
      <c r="VBH231" s="32"/>
      <c r="VBI231" s="32"/>
      <c r="VBJ231" s="32"/>
      <c r="VBK231" s="31"/>
      <c r="VBL231" s="31"/>
      <c r="VBM231" s="33"/>
      <c r="VBN231" s="33"/>
      <c r="VBO231" s="34"/>
      <c r="VBP231" s="34"/>
      <c r="VBQ231" s="35"/>
      <c r="VBR231" s="35"/>
      <c r="VBS231" s="32"/>
      <c r="VBT231" s="31"/>
      <c r="VBU231" s="31"/>
      <c r="VBV231" s="31"/>
      <c r="VBW231" s="32"/>
      <c r="VBX231" s="32"/>
      <c r="VBY231" s="32"/>
      <c r="VBZ231" s="32"/>
      <c r="VCA231" s="32"/>
      <c r="VCB231" s="31"/>
      <c r="VCC231" s="31"/>
      <c r="VCD231" s="33"/>
      <c r="VCE231" s="33"/>
      <c r="VCF231" s="34"/>
      <c r="VCG231" s="34"/>
      <c r="VCH231" s="35"/>
      <c r="VCI231" s="35"/>
      <c r="VCJ231" s="32"/>
      <c r="VCK231" s="31"/>
      <c r="VCL231" s="31"/>
      <c r="VCM231" s="31"/>
      <c r="VCN231" s="32"/>
      <c r="VCO231" s="32"/>
      <c r="VCP231" s="32"/>
      <c r="VCQ231" s="32"/>
      <c r="VCR231" s="32"/>
      <c r="VCS231" s="31"/>
      <c r="VCT231" s="31"/>
      <c r="VCU231" s="33"/>
      <c r="VCV231" s="33"/>
      <c r="VCW231" s="34"/>
      <c r="VCX231" s="34"/>
      <c r="VCY231" s="35"/>
      <c r="VCZ231" s="35"/>
      <c r="VDA231" s="32"/>
      <c r="VDB231" s="31"/>
      <c r="VDC231" s="31"/>
      <c r="VDD231" s="31"/>
      <c r="VDE231" s="32"/>
      <c r="VDF231" s="32"/>
      <c r="VDG231" s="32"/>
      <c r="VDH231" s="32"/>
      <c r="VDI231" s="32"/>
      <c r="VDJ231" s="31"/>
      <c r="VDK231" s="31"/>
      <c r="VDL231" s="33"/>
      <c r="VDM231" s="33"/>
      <c r="VDN231" s="34"/>
      <c r="VDO231" s="34"/>
      <c r="VDP231" s="35"/>
      <c r="VDQ231" s="35"/>
      <c r="VDR231" s="32"/>
      <c r="VDS231" s="31"/>
      <c r="VDT231" s="31"/>
      <c r="VDU231" s="31"/>
      <c r="VDV231" s="32"/>
      <c r="VDW231" s="32"/>
      <c r="VDX231" s="32"/>
      <c r="VDY231" s="32"/>
      <c r="VDZ231" s="32"/>
      <c r="VEA231" s="31"/>
      <c r="VEB231" s="31"/>
      <c r="VEC231" s="33"/>
      <c r="VED231" s="33"/>
      <c r="VEE231" s="34"/>
      <c r="VEF231" s="34"/>
      <c r="VEG231" s="35"/>
      <c r="VEH231" s="35"/>
      <c r="VEI231" s="32"/>
      <c r="VEJ231" s="31"/>
      <c r="VEK231" s="31"/>
      <c r="VEL231" s="31"/>
      <c r="VEM231" s="32"/>
      <c r="VEN231" s="32"/>
      <c r="VEO231" s="32"/>
      <c r="VEP231" s="32"/>
      <c r="VEQ231" s="32"/>
      <c r="VER231" s="31"/>
      <c r="VES231" s="31"/>
      <c r="VET231" s="33"/>
      <c r="VEU231" s="33"/>
      <c r="VEV231" s="34"/>
      <c r="VEW231" s="34"/>
      <c r="VEX231" s="35"/>
      <c r="VEY231" s="35"/>
      <c r="VEZ231" s="32"/>
      <c r="VFA231" s="31"/>
      <c r="VFB231" s="31"/>
      <c r="VFC231" s="31"/>
      <c r="VFD231" s="32"/>
      <c r="VFE231" s="32"/>
      <c r="VFF231" s="32"/>
      <c r="VFG231" s="32"/>
      <c r="VFH231" s="32"/>
      <c r="VFI231" s="31"/>
      <c r="VFJ231" s="31"/>
      <c r="VFK231" s="33"/>
      <c r="VFL231" s="33"/>
      <c r="VFM231" s="34"/>
      <c r="VFN231" s="34"/>
      <c r="VFO231" s="35"/>
      <c r="VFP231" s="35"/>
      <c r="VFQ231" s="32"/>
      <c r="VFR231" s="31"/>
      <c r="VFS231" s="31"/>
      <c r="VFT231" s="31"/>
      <c r="VFU231" s="32"/>
      <c r="VFV231" s="32"/>
      <c r="VFW231" s="32"/>
      <c r="VFX231" s="32"/>
      <c r="VFY231" s="32"/>
      <c r="VFZ231" s="31"/>
      <c r="VGA231" s="31"/>
      <c r="VGB231" s="33"/>
      <c r="VGC231" s="33"/>
      <c r="VGD231" s="34"/>
      <c r="VGE231" s="34"/>
      <c r="VGF231" s="35"/>
      <c r="VGG231" s="35"/>
      <c r="VGH231" s="32"/>
      <c r="VGI231" s="31"/>
      <c r="VGJ231" s="31"/>
      <c r="VGK231" s="31"/>
      <c r="VGL231" s="32"/>
      <c r="VGM231" s="32"/>
      <c r="VGN231" s="32"/>
      <c r="VGO231" s="32"/>
      <c r="VGP231" s="32"/>
      <c r="VGQ231" s="31"/>
      <c r="VGR231" s="31"/>
      <c r="VGS231" s="33"/>
      <c r="VGT231" s="33"/>
      <c r="VGU231" s="34"/>
      <c r="VGV231" s="34"/>
      <c r="VGW231" s="35"/>
      <c r="VGX231" s="35"/>
      <c r="VGY231" s="32"/>
      <c r="VGZ231" s="31"/>
      <c r="VHA231" s="31"/>
      <c r="VHB231" s="31"/>
      <c r="VHC231" s="32"/>
      <c r="VHD231" s="32"/>
      <c r="VHE231" s="32"/>
      <c r="VHF231" s="32"/>
      <c r="VHG231" s="32"/>
      <c r="VHH231" s="31"/>
      <c r="VHI231" s="31"/>
      <c r="VHJ231" s="33"/>
      <c r="VHK231" s="33"/>
      <c r="VHL231" s="34"/>
      <c r="VHM231" s="34"/>
      <c r="VHN231" s="35"/>
      <c r="VHO231" s="35"/>
      <c r="VHP231" s="32"/>
      <c r="VHQ231" s="31"/>
      <c r="VHR231" s="31"/>
      <c r="VHS231" s="31"/>
      <c r="VHT231" s="32"/>
      <c r="VHU231" s="32"/>
      <c r="VHV231" s="32"/>
      <c r="VHW231" s="32"/>
      <c r="VHX231" s="32"/>
      <c r="VHY231" s="31"/>
      <c r="VHZ231" s="31"/>
      <c r="VIA231" s="33"/>
      <c r="VIB231" s="33"/>
      <c r="VIC231" s="34"/>
      <c r="VID231" s="34"/>
      <c r="VIE231" s="35"/>
      <c r="VIF231" s="35"/>
      <c r="VIG231" s="32"/>
      <c r="VIH231" s="31"/>
      <c r="VII231" s="31"/>
      <c r="VIJ231" s="31"/>
      <c r="VIK231" s="32"/>
      <c r="VIL231" s="32"/>
      <c r="VIM231" s="32"/>
      <c r="VIN231" s="32"/>
      <c r="VIO231" s="32"/>
      <c r="VIP231" s="31"/>
      <c r="VIQ231" s="31"/>
      <c r="VIR231" s="33"/>
      <c r="VIS231" s="33"/>
      <c r="VIT231" s="34"/>
      <c r="VIU231" s="34"/>
      <c r="VIV231" s="35"/>
      <c r="VIW231" s="35"/>
      <c r="VIX231" s="32"/>
      <c r="VIY231" s="31"/>
      <c r="VIZ231" s="31"/>
      <c r="VJA231" s="31"/>
      <c r="VJB231" s="32"/>
      <c r="VJC231" s="32"/>
      <c r="VJD231" s="32"/>
      <c r="VJE231" s="32"/>
      <c r="VJF231" s="32"/>
      <c r="VJG231" s="31"/>
      <c r="VJH231" s="31"/>
      <c r="VJI231" s="33"/>
      <c r="VJJ231" s="33"/>
      <c r="VJK231" s="34"/>
      <c r="VJL231" s="34"/>
      <c r="VJM231" s="35"/>
      <c r="VJN231" s="35"/>
      <c r="VJO231" s="32"/>
      <c r="VJP231" s="31"/>
      <c r="VJQ231" s="31"/>
      <c r="VJR231" s="31"/>
      <c r="VJS231" s="32"/>
      <c r="VJT231" s="32"/>
      <c r="VJU231" s="32"/>
      <c r="VJV231" s="32"/>
      <c r="VJW231" s="32"/>
      <c r="VJX231" s="31"/>
      <c r="VJY231" s="31"/>
      <c r="VJZ231" s="33"/>
      <c r="VKA231" s="33"/>
      <c r="VKB231" s="34"/>
      <c r="VKC231" s="34"/>
      <c r="VKD231" s="35"/>
      <c r="VKE231" s="35"/>
      <c r="VKF231" s="32"/>
      <c r="VKG231" s="31"/>
      <c r="VKH231" s="31"/>
      <c r="VKI231" s="31"/>
      <c r="VKJ231" s="32"/>
      <c r="VKK231" s="32"/>
      <c r="VKL231" s="32"/>
      <c r="VKM231" s="32"/>
      <c r="VKN231" s="32"/>
      <c r="VKO231" s="31"/>
      <c r="VKP231" s="31"/>
      <c r="VKQ231" s="33"/>
      <c r="VKR231" s="33"/>
      <c r="VKS231" s="34"/>
      <c r="VKT231" s="34"/>
      <c r="VKU231" s="35"/>
      <c r="VKV231" s="35"/>
      <c r="VKW231" s="32"/>
      <c r="VKX231" s="31"/>
      <c r="VKY231" s="31"/>
      <c r="VKZ231" s="31"/>
      <c r="VLA231" s="32"/>
      <c r="VLB231" s="32"/>
      <c r="VLC231" s="32"/>
      <c r="VLD231" s="32"/>
      <c r="VLE231" s="32"/>
      <c r="VLF231" s="31"/>
      <c r="VLG231" s="31"/>
      <c r="VLH231" s="33"/>
      <c r="VLI231" s="33"/>
      <c r="VLJ231" s="34"/>
      <c r="VLK231" s="34"/>
      <c r="VLL231" s="35"/>
      <c r="VLM231" s="35"/>
      <c r="VLN231" s="32"/>
      <c r="VLO231" s="31"/>
      <c r="VLP231" s="31"/>
      <c r="VLQ231" s="31"/>
      <c r="VLR231" s="32"/>
      <c r="VLS231" s="32"/>
      <c r="VLT231" s="32"/>
      <c r="VLU231" s="32"/>
      <c r="VLV231" s="32"/>
      <c r="VLW231" s="31"/>
      <c r="VLX231" s="31"/>
      <c r="VLY231" s="33"/>
      <c r="VLZ231" s="33"/>
      <c r="VMA231" s="34"/>
      <c r="VMB231" s="34"/>
      <c r="VMC231" s="35"/>
      <c r="VMD231" s="35"/>
      <c r="VME231" s="32"/>
      <c r="VMF231" s="31"/>
      <c r="VMG231" s="31"/>
      <c r="VMH231" s="31"/>
      <c r="VMI231" s="32"/>
      <c r="VMJ231" s="32"/>
      <c r="VMK231" s="32"/>
      <c r="VML231" s="32"/>
      <c r="VMM231" s="32"/>
      <c r="VMN231" s="31"/>
      <c r="VMO231" s="31"/>
      <c r="VMP231" s="33"/>
      <c r="VMQ231" s="33"/>
      <c r="VMR231" s="34"/>
      <c r="VMS231" s="34"/>
      <c r="VMT231" s="35"/>
      <c r="VMU231" s="35"/>
      <c r="VMV231" s="32"/>
      <c r="VMW231" s="31"/>
      <c r="VMX231" s="31"/>
      <c r="VMY231" s="31"/>
      <c r="VMZ231" s="32"/>
      <c r="VNA231" s="32"/>
      <c r="VNB231" s="32"/>
      <c r="VNC231" s="32"/>
      <c r="VND231" s="32"/>
      <c r="VNE231" s="31"/>
      <c r="VNF231" s="31"/>
      <c r="VNG231" s="33"/>
      <c r="VNH231" s="33"/>
      <c r="VNI231" s="34"/>
      <c r="VNJ231" s="34"/>
      <c r="VNK231" s="35"/>
      <c r="VNL231" s="35"/>
      <c r="VNM231" s="32"/>
      <c r="VNN231" s="31"/>
      <c r="VNO231" s="31"/>
      <c r="VNP231" s="31"/>
      <c r="VNQ231" s="32"/>
      <c r="VNR231" s="32"/>
      <c r="VNS231" s="32"/>
      <c r="VNT231" s="32"/>
      <c r="VNU231" s="32"/>
      <c r="VNV231" s="31"/>
      <c r="VNW231" s="31"/>
      <c r="VNX231" s="33"/>
      <c r="VNY231" s="33"/>
      <c r="VNZ231" s="34"/>
      <c r="VOA231" s="34"/>
      <c r="VOB231" s="35"/>
      <c r="VOC231" s="35"/>
      <c r="VOD231" s="32"/>
      <c r="VOE231" s="31"/>
      <c r="VOF231" s="31"/>
      <c r="VOG231" s="31"/>
      <c r="VOH231" s="32"/>
      <c r="VOI231" s="32"/>
      <c r="VOJ231" s="32"/>
      <c r="VOK231" s="32"/>
      <c r="VOL231" s="32"/>
      <c r="VOM231" s="31"/>
      <c r="VON231" s="31"/>
      <c r="VOO231" s="33"/>
      <c r="VOP231" s="33"/>
      <c r="VOQ231" s="34"/>
      <c r="VOR231" s="34"/>
      <c r="VOS231" s="35"/>
      <c r="VOT231" s="35"/>
      <c r="VOU231" s="32"/>
      <c r="VOV231" s="31"/>
      <c r="VOW231" s="31"/>
      <c r="VOX231" s="31"/>
      <c r="VOY231" s="32"/>
      <c r="VOZ231" s="32"/>
      <c r="VPA231" s="32"/>
      <c r="VPB231" s="32"/>
      <c r="VPC231" s="32"/>
      <c r="VPD231" s="31"/>
      <c r="VPE231" s="31"/>
      <c r="VPF231" s="33"/>
      <c r="VPG231" s="33"/>
      <c r="VPH231" s="34"/>
      <c r="VPI231" s="34"/>
      <c r="VPJ231" s="35"/>
      <c r="VPK231" s="35"/>
      <c r="VPL231" s="32"/>
      <c r="VPM231" s="31"/>
      <c r="VPN231" s="31"/>
      <c r="VPO231" s="31"/>
      <c r="VPP231" s="32"/>
      <c r="VPQ231" s="32"/>
      <c r="VPR231" s="32"/>
      <c r="VPS231" s="32"/>
      <c r="VPT231" s="32"/>
      <c r="VPU231" s="31"/>
      <c r="VPV231" s="31"/>
      <c r="VPW231" s="33"/>
      <c r="VPX231" s="33"/>
      <c r="VPY231" s="34"/>
      <c r="VPZ231" s="34"/>
      <c r="VQA231" s="35"/>
      <c r="VQB231" s="35"/>
      <c r="VQC231" s="32"/>
      <c r="VQD231" s="31"/>
      <c r="VQE231" s="31"/>
      <c r="VQF231" s="31"/>
      <c r="VQG231" s="32"/>
      <c r="VQH231" s="32"/>
      <c r="VQI231" s="32"/>
      <c r="VQJ231" s="32"/>
      <c r="VQK231" s="32"/>
      <c r="VQL231" s="31"/>
      <c r="VQM231" s="31"/>
      <c r="VQN231" s="33"/>
      <c r="VQO231" s="33"/>
      <c r="VQP231" s="34"/>
      <c r="VQQ231" s="34"/>
      <c r="VQR231" s="35"/>
      <c r="VQS231" s="35"/>
      <c r="VQT231" s="32"/>
      <c r="VQU231" s="31"/>
      <c r="VQV231" s="31"/>
      <c r="VQW231" s="31"/>
      <c r="VQX231" s="32"/>
      <c r="VQY231" s="32"/>
      <c r="VQZ231" s="32"/>
      <c r="VRA231" s="32"/>
      <c r="VRB231" s="32"/>
      <c r="VRC231" s="31"/>
      <c r="VRD231" s="31"/>
      <c r="VRE231" s="33"/>
      <c r="VRF231" s="33"/>
      <c r="VRG231" s="34"/>
      <c r="VRH231" s="34"/>
      <c r="VRI231" s="35"/>
      <c r="VRJ231" s="35"/>
      <c r="VRK231" s="32"/>
      <c r="VRL231" s="31"/>
      <c r="VRM231" s="31"/>
      <c r="VRN231" s="31"/>
      <c r="VRO231" s="32"/>
      <c r="VRP231" s="32"/>
      <c r="VRQ231" s="32"/>
      <c r="VRR231" s="32"/>
      <c r="VRS231" s="32"/>
      <c r="VRT231" s="31"/>
      <c r="VRU231" s="31"/>
      <c r="VRV231" s="33"/>
      <c r="VRW231" s="33"/>
      <c r="VRX231" s="34"/>
      <c r="VRY231" s="34"/>
      <c r="VRZ231" s="35"/>
      <c r="VSA231" s="35"/>
      <c r="VSB231" s="32"/>
      <c r="VSC231" s="31"/>
      <c r="VSD231" s="31"/>
      <c r="VSE231" s="31"/>
      <c r="VSF231" s="32"/>
      <c r="VSG231" s="32"/>
      <c r="VSH231" s="32"/>
      <c r="VSI231" s="32"/>
      <c r="VSJ231" s="32"/>
      <c r="VSK231" s="31"/>
      <c r="VSL231" s="31"/>
      <c r="VSM231" s="33"/>
      <c r="VSN231" s="33"/>
      <c r="VSO231" s="34"/>
      <c r="VSP231" s="34"/>
      <c r="VSQ231" s="35"/>
      <c r="VSR231" s="35"/>
      <c r="VSS231" s="32"/>
      <c r="VST231" s="31"/>
      <c r="VSU231" s="31"/>
      <c r="VSV231" s="31"/>
      <c r="VSW231" s="32"/>
      <c r="VSX231" s="32"/>
      <c r="VSY231" s="32"/>
      <c r="VSZ231" s="32"/>
      <c r="VTA231" s="32"/>
      <c r="VTB231" s="31"/>
      <c r="VTC231" s="31"/>
      <c r="VTD231" s="33"/>
      <c r="VTE231" s="33"/>
      <c r="VTF231" s="34"/>
      <c r="VTG231" s="34"/>
      <c r="VTH231" s="35"/>
      <c r="VTI231" s="35"/>
      <c r="VTJ231" s="32"/>
      <c r="VTK231" s="31"/>
      <c r="VTL231" s="31"/>
      <c r="VTM231" s="31"/>
      <c r="VTN231" s="32"/>
      <c r="VTO231" s="32"/>
      <c r="VTP231" s="32"/>
      <c r="VTQ231" s="32"/>
      <c r="VTR231" s="32"/>
      <c r="VTS231" s="31"/>
      <c r="VTT231" s="31"/>
      <c r="VTU231" s="33"/>
      <c r="VTV231" s="33"/>
      <c r="VTW231" s="34"/>
      <c r="VTX231" s="34"/>
      <c r="VTY231" s="35"/>
      <c r="VTZ231" s="35"/>
      <c r="VUA231" s="32"/>
      <c r="VUB231" s="31"/>
      <c r="VUC231" s="31"/>
      <c r="VUD231" s="31"/>
      <c r="VUE231" s="32"/>
      <c r="VUF231" s="32"/>
      <c r="VUG231" s="32"/>
      <c r="VUH231" s="32"/>
      <c r="VUI231" s="32"/>
      <c r="VUJ231" s="31"/>
      <c r="VUK231" s="31"/>
      <c r="VUL231" s="33"/>
      <c r="VUM231" s="33"/>
      <c r="VUN231" s="34"/>
      <c r="VUO231" s="34"/>
      <c r="VUP231" s="35"/>
      <c r="VUQ231" s="35"/>
      <c r="VUR231" s="32"/>
      <c r="VUS231" s="31"/>
      <c r="VUT231" s="31"/>
      <c r="VUU231" s="31"/>
      <c r="VUV231" s="32"/>
      <c r="VUW231" s="32"/>
      <c r="VUX231" s="32"/>
      <c r="VUY231" s="32"/>
      <c r="VUZ231" s="32"/>
      <c r="VVA231" s="31"/>
      <c r="VVB231" s="31"/>
      <c r="VVC231" s="33"/>
      <c r="VVD231" s="33"/>
      <c r="VVE231" s="34"/>
      <c r="VVF231" s="34"/>
      <c r="VVG231" s="35"/>
      <c r="VVH231" s="35"/>
      <c r="VVI231" s="32"/>
      <c r="VVJ231" s="31"/>
      <c r="VVK231" s="31"/>
      <c r="VVL231" s="31"/>
      <c r="VVM231" s="32"/>
      <c r="VVN231" s="32"/>
      <c r="VVO231" s="32"/>
      <c r="VVP231" s="32"/>
      <c r="VVQ231" s="32"/>
      <c r="VVR231" s="31"/>
      <c r="VVS231" s="31"/>
      <c r="VVT231" s="33"/>
      <c r="VVU231" s="33"/>
      <c r="VVV231" s="34"/>
      <c r="VVW231" s="34"/>
      <c r="VVX231" s="35"/>
      <c r="VVY231" s="35"/>
      <c r="VVZ231" s="32"/>
      <c r="VWA231" s="31"/>
      <c r="VWB231" s="31"/>
      <c r="VWC231" s="31"/>
      <c r="VWD231" s="32"/>
      <c r="VWE231" s="32"/>
      <c r="VWF231" s="32"/>
      <c r="VWG231" s="32"/>
      <c r="VWH231" s="32"/>
      <c r="VWI231" s="31"/>
      <c r="VWJ231" s="31"/>
      <c r="VWK231" s="33"/>
      <c r="VWL231" s="33"/>
      <c r="VWM231" s="34"/>
      <c r="VWN231" s="34"/>
      <c r="VWO231" s="35"/>
      <c r="VWP231" s="35"/>
      <c r="VWQ231" s="32"/>
      <c r="VWR231" s="31"/>
      <c r="VWS231" s="31"/>
      <c r="VWT231" s="31"/>
      <c r="VWU231" s="32"/>
      <c r="VWV231" s="32"/>
      <c r="VWW231" s="32"/>
      <c r="VWX231" s="32"/>
      <c r="VWY231" s="32"/>
      <c r="VWZ231" s="31"/>
      <c r="VXA231" s="31"/>
      <c r="VXB231" s="33"/>
      <c r="VXC231" s="33"/>
      <c r="VXD231" s="34"/>
      <c r="VXE231" s="34"/>
      <c r="VXF231" s="35"/>
      <c r="VXG231" s="35"/>
      <c r="VXH231" s="32"/>
      <c r="VXI231" s="31"/>
      <c r="VXJ231" s="31"/>
      <c r="VXK231" s="31"/>
      <c r="VXL231" s="32"/>
      <c r="VXM231" s="32"/>
      <c r="VXN231" s="32"/>
      <c r="VXO231" s="32"/>
      <c r="VXP231" s="32"/>
      <c r="VXQ231" s="31"/>
      <c r="VXR231" s="31"/>
      <c r="VXS231" s="33"/>
      <c r="VXT231" s="33"/>
      <c r="VXU231" s="34"/>
      <c r="VXV231" s="34"/>
      <c r="VXW231" s="35"/>
      <c r="VXX231" s="35"/>
      <c r="VXY231" s="32"/>
      <c r="VXZ231" s="31"/>
      <c r="VYA231" s="31"/>
      <c r="VYB231" s="31"/>
      <c r="VYC231" s="32"/>
      <c r="VYD231" s="32"/>
      <c r="VYE231" s="32"/>
      <c r="VYF231" s="32"/>
      <c r="VYG231" s="32"/>
      <c r="VYH231" s="31"/>
      <c r="VYI231" s="31"/>
      <c r="VYJ231" s="33"/>
      <c r="VYK231" s="33"/>
      <c r="VYL231" s="34"/>
      <c r="VYM231" s="34"/>
      <c r="VYN231" s="35"/>
      <c r="VYO231" s="35"/>
      <c r="VYP231" s="32"/>
      <c r="VYQ231" s="31"/>
      <c r="VYR231" s="31"/>
      <c r="VYS231" s="31"/>
      <c r="VYT231" s="32"/>
      <c r="VYU231" s="32"/>
      <c r="VYV231" s="32"/>
      <c r="VYW231" s="32"/>
      <c r="VYX231" s="32"/>
      <c r="VYY231" s="31"/>
      <c r="VYZ231" s="31"/>
      <c r="VZA231" s="33"/>
      <c r="VZB231" s="33"/>
      <c r="VZC231" s="34"/>
      <c r="VZD231" s="34"/>
      <c r="VZE231" s="35"/>
      <c r="VZF231" s="35"/>
      <c r="VZG231" s="32"/>
      <c r="VZH231" s="31"/>
      <c r="VZI231" s="31"/>
      <c r="VZJ231" s="31"/>
      <c r="VZK231" s="32"/>
      <c r="VZL231" s="32"/>
      <c r="VZM231" s="32"/>
      <c r="VZN231" s="32"/>
      <c r="VZO231" s="32"/>
      <c r="VZP231" s="31"/>
      <c r="VZQ231" s="31"/>
      <c r="VZR231" s="33"/>
      <c r="VZS231" s="33"/>
      <c r="VZT231" s="34"/>
      <c r="VZU231" s="34"/>
      <c r="VZV231" s="35"/>
      <c r="VZW231" s="35"/>
      <c r="VZX231" s="32"/>
      <c r="VZY231" s="31"/>
      <c r="VZZ231" s="31"/>
      <c r="WAA231" s="31"/>
      <c r="WAB231" s="32"/>
      <c r="WAC231" s="32"/>
      <c r="WAD231" s="32"/>
      <c r="WAE231" s="32"/>
      <c r="WAF231" s="32"/>
      <c r="WAG231" s="31"/>
      <c r="WAH231" s="31"/>
      <c r="WAI231" s="33"/>
      <c r="WAJ231" s="33"/>
      <c r="WAK231" s="34"/>
      <c r="WAL231" s="34"/>
      <c r="WAM231" s="35"/>
      <c r="WAN231" s="35"/>
      <c r="WAO231" s="32"/>
      <c r="WAP231" s="31"/>
      <c r="WAQ231" s="31"/>
      <c r="WAR231" s="31"/>
      <c r="WAS231" s="32"/>
      <c r="WAT231" s="32"/>
      <c r="WAU231" s="32"/>
      <c r="WAV231" s="32"/>
      <c r="WAW231" s="32"/>
      <c r="WAX231" s="31"/>
      <c r="WAY231" s="31"/>
      <c r="WAZ231" s="33"/>
      <c r="WBA231" s="33"/>
      <c r="WBB231" s="34"/>
      <c r="WBC231" s="34"/>
      <c r="WBD231" s="35"/>
      <c r="WBE231" s="35"/>
      <c r="WBF231" s="32"/>
      <c r="WBG231" s="31"/>
      <c r="WBH231" s="31"/>
      <c r="WBI231" s="31"/>
      <c r="WBJ231" s="32"/>
      <c r="WBK231" s="32"/>
      <c r="WBL231" s="32"/>
      <c r="WBM231" s="32"/>
      <c r="WBN231" s="32"/>
      <c r="WBO231" s="31"/>
      <c r="WBP231" s="31"/>
      <c r="WBQ231" s="33"/>
      <c r="WBR231" s="33"/>
      <c r="WBS231" s="34"/>
      <c r="WBT231" s="34"/>
      <c r="WBU231" s="35"/>
      <c r="WBV231" s="35"/>
      <c r="WBW231" s="32"/>
      <c r="WBX231" s="31"/>
      <c r="WBY231" s="31"/>
      <c r="WBZ231" s="31"/>
      <c r="WCA231" s="32"/>
      <c r="WCB231" s="32"/>
      <c r="WCC231" s="32"/>
      <c r="WCD231" s="32"/>
      <c r="WCE231" s="32"/>
      <c r="WCF231" s="31"/>
      <c r="WCG231" s="31"/>
      <c r="WCH231" s="33"/>
      <c r="WCI231" s="33"/>
      <c r="WCJ231" s="34"/>
      <c r="WCK231" s="34"/>
      <c r="WCL231" s="35"/>
      <c r="WCM231" s="35"/>
      <c r="WCN231" s="32"/>
      <c r="WCO231" s="31"/>
      <c r="WCP231" s="31"/>
      <c r="WCQ231" s="31"/>
      <c r="WCR231" s="32"/>
      <c r="WCS231" s="32"/>
      <c r="WCT231" s="32"/>
      <c r="WCU231" s="32"/>
      <c r="WCV231" s="32"/>
      <c r="WCW231" s="31"/>
      <c r="WCX231" s="31"/>
      <c r="WCY231" s="33"/>
      <c r="WCZ231" s="33"/>
      <c r="WDA231" s="34"/>
      <c r="WDB231" s="34"/>
      <c r="WDC231" s="35"/>
      <c r="WDD231" s="35"/>
      <c r="WDE231" s="32"/>
      <c r="WDF231" s="31"/>
      <c r="WDG231" s="31"/>
      <c r="WDH231" s="31"/>
      <c r="WDI231" s="32"/>
      <c r="WDJ231" s="32"/>
      <c r="WDK231" s="32"/>
      <c r="WDL231" s="32"/>
      <c r="WDM231" s="32"/>
      <c r="WDN231" s="31"/>
      <c r="WDO231" s="31"/>
      <c r="WDP231" s="33"/>
      <c r="WDQ231" s="33"/>
      <c r="WDR231" s="34"/>
      <c r="WDS231" s="34"/>
      <c r="WDT231" s="35"/>
      <c r="WDU231" s="35"/>
      <c r="WDV231" s="32"/>
      <c r="WDW231" s="31"/>
      <c r="WDX231" s="31"/>
      <c r="WDY231" s="31"/>
      <c r="WDZ231" s="32"/>
      <c r="WEA231" s="32"/>
      <c r="WEB231" s="32"/>
      <c r="WEC231" s="32"/>
      <c r="WED231" s="32"/>
      <c r="WEE231" s="31"/>
      <c r="WEF231" s="31"/>
      <c r="WEG231" s="33"/>
      <c r="WEH231" s="33"/>
      <c r="WEI231" s="34"/>
      <c r="WEJ231" s="34"/>
      <c r="WEK231" s="35"/>
      <c r="WEL231" s="35"/>
      <c r="WEM231" s="32"/>
      <c r="WEN231" s="31"/>
      <c r="WEO231" s="31"/>
      <c r="WEP231" s="31"/>
      <c r="WEQ231" s="32"/>
      <c r="WER231" s="32"/>
      <c r="WES231" s="32"/>
      <c r="WET231" s="32"/>
      <c r="WEU231" s="32"/>
      <c r="WEV231" s="31"/>
      <c r="WEW231" s="31"/>
      <c r="WEX231" s="33"/>
      <c r="WEY231" s="33"/>
      <c r="WEZ231" s="34"/>
      <c r="WFA231" s="34"/>
      <c r="WFB231" s="35"/>
      <c r="WFC231" s="35"/>
      <c r="WFD231" s="32"/>
      <c r="WFE231" s="31"/>
      <c r="WFF231" s="31"/>
      <c r="WFG231" s="31"/>
      <c r="WFH231" s="32"/>
      <c r="WFI231" s="32"/>
      <c r="WFJ231" s="32"/>
      <c r="WFK231" s="32"/>
      <c r="WFL231" s="32"/>
      <c r="WFM231" s="31"/>
      <c r="WFN231" s="31"/>
      <c r="WFO231" s="33"/>
      <c r="WFP231" s="33"/>
      <c r="WFQ231" s="34"/>
      <c r="WFR231" s="34"/>
      <c r="WFS231" s="35"/>
      <c r="WFT231" s="35"/>
      <c r="WFU231" s="32"/>
      <c r="WFV231" s="31"/>
      <c r="WFW231" s="31"/>
      <c r="WFX231" s="31"/>
      <c r="WFY231" s="32"/>
      <c r="WFZ231" s="32"/>
      <c r="WGA231" s="32"/>
      <c r="WGB231" s="32"/>
      <c r="WGC231" s="32"/>
      <c r="WGD231" s="31"/>
      <c r="WGE231" s="31"/>
      <c r="WGF231" s="33"/>
      <c r="WGG231" s="33"/>
      <c r="WGH231" s="34"/>
      <c r="WGI231" s="34"/>
      <c r="WGJ231" s="35"/>
      <c r="WGK231" s="35"/>
      <c r="WGL231" s="32"/>
      <c r="WGM231" s="31"/>
      <c r="WGN231" s="31"/>
      <c r="WGO231" s="31"/>
      <c r="WGP231" s="32"/>
      <c r="WGQ231" s="32"/>
      <c r="WGR231" s="32"/>
      <c r="WGS231" s="32"/>
      <c r="WGT231" s="32"/>
      <c r="WGU231" s="31"/>
      <c r="WGV231" s="31"/>
      <c r="WGW231" s="33"/>
      <c r="WGX231" s="33"/>
      <c r="WGY231" s="34"/>
      <c r="WGZ231" s="34"/>
      <c r="WHA231" s="35"/>
      <c r="WHB231" s="35"/>
      <c r="WHC231" s="32"/>
      <c r="WHD231" s="31"/>
      <c r="WHE231" s="31"/>
      <c r="WHF231" s="31"/>
      <c r="WHG231" s="32"/>
      <c r="WHH231" s="32"/>
      <c r="WHI231" s="32"/>
      <c r="WHJ231" s="32"/>
      <c r="WHK231" s="32"/>
      <c r="WHL231" s="31"/>
      <c r="WHM231" s="31"/>
      <c r="WHN231" s="33"/>
      <c r="WHO231" s="33"/>
      <c r="WHP231" s="34"/>
      <c r="WHQ231" s="34"/>
      <c r="WHR231" s="35"/>
      <c r="WHS231" s="35"/>
      <c r="WHT231" s="32"/>
      <c r="WHU231" s="31"/>
      <c r="WHV231" s="31"/>
      <c r="WHW231" s="31"/>
      <c r="WHX231" s="32"/>
      <c r="WHY231" s="32"/>
      <c r="WHZ231" s="32"/>
      <c r="WIA231" s="32"/>
      <c r="WIB231" s="32"/>
      <c r="WIC231" s="31"/>
      <c r="WID231" s="31"/>
      <c r="WIE231" s="33"/>
      <c r="WIF231" s="33"/>
      <c r="WIG231" s="34"/>
      <c r="WIH231" s="34"/>
      <c r="WII231" s="35"/>
      <c r="WIJ231" s="35"/>
      <c r="WIK231" s="32"/>
      <c r="WIL231" s="31"/>
      <c r="WIM231" s="31"/>
      <c r="WIN231" s="31"/>
      <c r="WIO231" s="32"/>
      <c r="WIP231" s="32"/>
      <c r="WIQ231" s="32"/>
      <c r="WIR231" s="32"/>
      <c r="WIS231" s="32"/>
      <c r="WIT231" s="31"/>
      <c r="WIU231" s="31"/>
      <c r="WIV231" s="33"/>
      <c r="WIW231" s="33"/>
      <c r="WIX231" s="34"/>
      <c r="WIY231" s="34"/>
      <c r="WIZ231" s="35"/>
      <c r="WJA231" s="35"/>
      <c r="WJB231" s="32"/>
      <c r="WJC231" s="31"/>
      <c r="WJD231" s="31"/>
      <c r="WJE231" s="31"/>
      <c r="WJF231" s="32"/>
      <c r="WJG231" s="32"/>
      <c r="WJH231" s="32"/>
      <c r="WJI231" s="32"/>
      <c r="WJJ231" s="32"/>
      <c r="WJK231" s="31"/>
      <c r="WJL231" s="31"/>
      <c r="WJM231" s="33"/>
      <c r="WJN231" s="33"/>
      <c r="WJO231" s="34"/>
      <c r="WJP231" s="34"/>
      <c r="WJQ231" s="35"/>
      <c r="WJR231" s="35"/>
      <c r="WJS231" s="32"/>
      <c r="WJT231" s="31"/>
      <c r="WJU231" s="31"/>
      <c r="WJV231" s="31"/>
      <c r="WJW231" s="32"/>
      <c r="WJX231" s="32"/>
      <c r="WJY231" s="32"/>
      <c r="WJZ231" s="32"/>
      <c r="WKA231" s="32"/>
      <c r="WKB231" s="31"/>
      <c r="WKC231" s="31"/>
      <c r="WKD231" s="33"/>
      <c r="WKE231" s="33"/>
      <c r="WKF231" s="34"/>
      <c r="WKG231" s="34"/>
      <c r="WKH231" s="35"/>
      <c r="WKI231" s="35"/>
      <c r="WKJ231" s="32"/>
      <c r="WKK231" s="31"/>
      <c r="WKL231" s="31"/>
      <c r="WKM231" s="31"/>
      <c r="WKN231" s="32"/>
      <c r="WKO231" s="32"/>
      <c r="WKP231" s="32"/>
      <c r="WKQ231" s="32"/>
      <c r="WKR231" s="32"/>
      <c r="WKS231" s="31"/>
      <c r="WKT231" s="31"/>
      <c r="WKU231" s="33"/>
      <c r="WKV231" s="33"/>
      <c r="WKW231" s="34"/>
      <c r="WKX231" s="34"/>
      <c r="WKY231" s="35"/>
      <c r="WKZ231" s="35"/>
      <c r="WLA231" s="32"/>
      <c r="WLB231" s="31"/>
      <c r="WLC231" s="31"/>
      <c r="WLD231" s="31"/>
      <c r="WLE231" s="32"/>
      <c r="WLF231" s="32"/>
      <c r="WLG231" s="32"/>
      <c r="WLH231" s="32"/>
      <c r="WLI231" s="32"/>
      <c r="WLJ231" s="31"/>
      <c r="WLK231" s="31"/>
      <c r="WLL231" s="33"/>
      <c r="WLM231" s="33"/>
      <c r="WLN231" s="34"/>
      <c r="WLO231" s="34"/>
      <c r="WLP231" s="35"/>
      <c r="WLQ231" s="35"/>
      <c r="WLR231" s="32"/>
      <c r="WLS231" s="31"/>
      <c r="WLT231" s="31"/>
      <c r="WLU231" s="31"/>
      <c r="WLV231" s="32"/>
      <c r="WLW231" s="32"/>
      <c r="WLX231" s="32"/>
      <c r="WLY231" s="32"/>
      <c r="WLZ231" s="32"/>
      <c r="WMA231" s="31"/>
      <c r="WMB231" s="31"/>
      <c r="WMC231" s="33"/>
      <c r="WMD231" s="33"/>
      <c r="WME231" s="34"/>
      <c r="WMF231" s="34"/>
      <c r="WMG231" s="35"/>
      <c r="WMH231" s="35"/>
      <c r="WMI231" s="32"/>
      <c r="WMJ231" s="31"/>
      <c r="WMK231" s="31"/>
      <c r="WML231" s="31"/>
      <c r="WMM231" s="32"/>
      <c r="WMN231" s="32"/>
      <c r="WMO231" s="32"/>
      <c r="WMP231" s="32"/>
      <c r="WMQ231" s="32"/>
      <c r="WMR231" s="31"/>
      <c r="WMS231" s="31"/>
      <c r="WMT231" s="33"/>
      <c r="WMU231" s="33"/>
      <c r="WMV231" s="34"/>
      <c r="WMW231" s="34"/>
      <c r="WMX231" s="35"/>
      <c r="WMY231" s="35"/>
      <c r="WMZ231" s="32"/>
      <c r="WNA231" s="31"/>
      <c r="WNB231" s="31"/>
      <c r="WNC231" s="31"/>
      <c r="WND231" s="32"/>
      <c r="WNE231" s="32"/>
      <c r="WNF231" s="32"/>
      <c r="WNG231" s="32"/>
      <c r="WNH231" s="32"/>
      <c r="WNI231" s="31"/>
      <c r="WNJ231" s="31"/>
      <c r="WNK231" s="33"/>
      <c r="WNL231" s="33"/>
      <c r="WNM231" s="34"/>
      <c r="WNN231" s="34"/>
      <c r="WNO231" s="35"/>
      <c r="WNP231" s="35"/>
      <c r="WNQ231" s="32"/>
      <c r="WNR231" s="31"/>
      <c r="WNS231" s="31"/>
      <c r="WNT231" s="31"/>
      <c r="WNU231" s="32"/>
      <c r="WNV231" s="32"/>
      <c r="WNW231" s="32"/>
      <c r="WNX231" s="32"/>
      <c r="WNY231" s="32"/>
      <c r="WNZ231" s="31"/>
      <c r="WOA231" s="31"/>
      <c r="WOB231" s="33"/>
      <c r="WOC231" s="33"/>
      <c r="WOD231" s="34"/>
      <c r="WOE231" s="34"/>
      <c r="WOF231" s="35"/>
      <c r="WOG231" s="35"/>
      <c r="WOH231" s="32"/>
      <c r="WOI231" s="31"/>
      <c r="WOJ231" s="31"/>
      <c r="WOK231" s="31"/>
      <c r="WOL231" s="32"/>
      <c r="WOM231" s="32"/>
      <c r="WON231" s="32"/>
      <c r="WOO231" s="32"/>
      <c r="WOP231" s="32"/>
      <c r="WOQ231" s="31"/>
      <c r="WOR231" s="31"/>
      <c r="WOS231" s="33"/>
      <c r="WOT231" s="33"/>
      <c r="WOU231" s="34"/>
      <c r="WOV231" s="34"/>
      <c r="WOW231" s="35"/>
      <c r="WOX231" s="35"/>
      <c r="WOY231" s="32"/>
      <c r="WOZ231" s="31"/>
      <c r="WPA231" s="31"/>
      <c r="WPB231" s="31"/>
      <c r="WPC231" s="32"/>
      <c r="WPD231" s="32"/>
      <c r="WPE231" s="32"/>
      <c r="WPF231" s="32"/>
      <c r="WPG231" s="32"/>
      <c r="WPH231" s="31"/>
      <c r="WPI231" s="31"/>
      <c r="WPJ231" s="33"/>
      <c r="WPK231" s="33"/>
      <c r="WPL231" s="34"/>
      <c r="WPM231" s="34"/>
      <c r="WPN231" s="35"/>
      <c r="WPO231" s="35"/>
      <c r="WPP231" s="32"/>
      <c r="WPQ231" s="31"/>
      <c r="WPR231" s="31"/>
      <c r="WPS231" s="31"/>
      <c r="WPT231" s="32"/>
      <c r="WPU231" s="32"/>
      <c r="WPV231" s="32"/>
      <c r="WPW231" s="32"/>
      <c r="WPX231" s="32"/>
      <c r="WPY231" s="31"/>
      <c r="WPZ231" s="31"/>
      <c r="WQA231" s="33"/>
      <c r="WQB231" s="33"/>
      <c r="WQC231" s="34"/>
      <c r="WQD231" s="34"/>
      <c r="WQE231" s="35"/>
      <c r="WQF231" s="35"/>
      <c r="WQG231" s="32"/>
      <c r="WQH231" s="31"/>
      <c r="WQI231" s="31"/>
      <c r="WQJ231" s="31"/>
      <c r="WQK231" s="32"/>
      <c r="WQL231" s="32"/>
      <c r="WQM231" s="32"/>
      <c r="WQN231" s="32"/>
      <c r="WQO231" s="32"/>
      <c r="WQP231" s="31"/>
      <c r="WQQ231" s="31"/>
      <c r="WQR231" s="33"/>
      <c r="WQS231" s="33"/>
      <c r="WQT231" s="34"/>
      <c r="WQU231" s="34"/>
      <c r="WQV231" s="35"/>
      <c r="WQW231" s="35"/>
      <c r="WQX231" s="32"/>
      <c r="WQY231" s="31"/>
      <c r="WQZ231" s="31"/>
      <c r="WRA231" s="31"/>
      <c r="WRB231" s="32"/>
      <c r="WRC231" s="32"/>
      <c r="WRD231" s="32"/>
      <c r="WRE231" s="32"/>
      <c r="WRF231" s="32"/>
      <c r="WRG231" s="31"/>
      <c r="WRH231" s="31"/>
      <c r="WRI231" s="33"/>
      <c r="WRJ231" s="33"/>
      <c r="WRK231" s="34"/>
      <c r="WRL231" s="34"/>
      <c r="WRM231" s="35"/>
      <c r="WRN231" s="35"/>
      <c r="WRO231" s="32"/>
      <c r="WRP231" s="31"/>
      <c r="WRQ231" s="31"/>
      <c r="WRR231" s="31"/>
      <c r="WRS231" s="32"/>
      <c r="WRT231" s="32"/>
      <c r="WRU231" s="32"/>
      <c r="WRV231" s="32"/>
      <c r="WRW231" s="32"/>
      <c r="WRX231" s="31"/>
      <c r="WRY231" s="31"/>
      <c r="WRZ231" s="33"/>
      <c r="WSA231" s="33"/>
      <c r="WSB231" s="34"/>
      <c r="WSC231" s="34"/>
      <c r="WSD231" s="35"/>
      <c r="WSE231" s="35"/>
      <c r="WSF231" s="32"/>
      <c r="WSG231" s="31"/>
      <c r="WSH231" s="31"/>
      <c r="WSI231" s="31"/>
      <c r="WSJ231" s="32"/>
      <c r="WSK231" s="32"/>
      <c r="WSL231" s="32"/>
      <c r="WSM231" s="32"/>
      <c r="WSN231" s="32"/>
      <c r="WSO231" s="31"/>
      <c r="WSP231" s="31"/>
      <c r="WSQ231" s="33"/>
      <c r="WSR231" s="33"/>
      <c r="WSS231" s="34"/>
      <c r="WST231" s="34"/>
      <c r="WSU231" s="35"/>
      <c r="WSV231" s="35"/>
      <c r="WSW231" s="32"/>
      <c r="WSX231" s="31"/>
      <c r="WSY231" s="31"/>
      <c r="WSZ231" s="31"/>
      <c r="WTA231" s="32"/>
      <c r="WTB231" s="32"/>
      <c r="WTC231" s="32"/>
      <c r="WTD231" s="32"/>
      <c r="WTE231" s="32"/>
      <c r="WTF231" s="31"/>
      <c r="WTG231" s="31"/>
      <c r="WTH231" s="33"/>
      <c r="WTI231" s="33"/>
      <c r="WTJ231" s="34"/>
      <c r="WTK231" s="34"/>
      <c r="WTL231" s="35"/>
      <c r="WTM231" s="35"/>
      <c r="WTN231" s="32"/>
      <c r="WTO231" s="31"/>
      <c r="WTP231" s="31"/>
      <c r="WTQ231" s="31"/>
      <c r="WTR231" s="32"/>
      <c r="WTS231" s="32"/>
      <c r="WTT231" s="32"/>
      <c r="WTU231" s="32"/>
      <c r="WTV231" s="32"/>
      <c r="WTW231" s="31"/>
      <c r="WTX231" s="31"/>
      <c r="WTY231" s="33"/>
      <c r="WTZ231" s="33"/>
      <c r="WUA231" s="34"/>
      <c r="WUB231" s="34"/>
      <c r="WUC231" s="35"/>
      <c r="WUD231" s="35"/>
      <c r="WUE231" s="32"/>
      <c r="WUF231" s="31"/>
      <c r="WUG231" s="31"/>
      <c r="WUH231" s="31"/>
      <c r="WUI231" s="32"/>
      <c r="WUJ231" s="32"/>
      <c r="WUK231" s="32"/>
      <c r="WUL231" s="32"/>
      <c r="WUM231" s="32"/>
      <c r="WUN231" s="31"/>
      <c r="WUO231" s="31"/>
      <c r="WUP231" s="33"/>
      <c r="WUQ231" s="33"/>
      <c r="WUR231" s="34"/>
      <c r="WUS231" s="34"/>
      <c r="WUT231" s="35"/>
      <c r="WUU231" s="35"/>
      <c r="WUV231" s="32"/>
      <c r="WUW231" s="31"/>
      <c r="WUX231" s="31"/>
      <c r="WUY231" s="31"/>
      <c r="WUZ231" s="32"/>
      <c r="WVA231" s="32"/>
      <c r="WVB231" s="32"/>
      <c r="WVC231" s="32"/>
      <c r="WVD231" s="32"/>
      <c r="WVE231" s="31"/>
      <c r="WVF231" s="31"/>
      <c r="WVG231" s="33"/>
      <c r="WVH231" s="33"/>
      <c r="WVI231" s="34"/>
      <c r="WVJ231" s="34"/>
      <c r="WVK231" s="35"/>
      <c r="WVL231" s="35"/>
      <c r="WVM231" s="32"/>
      <c r="WVN231" s="31"/>
      <c r="WVO231" s="31"/>
      <c r="WVP231" s="31"/>
      <c r="WVQ231" s="32"/>
      <c r="WVR231" s="32"/>
      <c r="WVS231" s="32"/>
      <c r="WVT231" s="32"/>
      <c r="WVU231" s="32"/>
      <c r="WVV231" s="31"/>
      <c r="WVW231" s="31"/>
      <c r="WVX231" s="33"/>
      <c r="WVY231" s="33"/>
      <c r="WVZ231" s="34"/>
      <c r="WWA231" s="34"/>
      <c r="WWB231" s="35"/>
      <c r="WWC231" s="35"/>
      <c r="WWD231" s="32"/>
      <c r="WWE231" s="31"/>
      <c r="WWF231" s="31"/>
      <c r="WWG231" s="31"/>
      <c r="WWH231" s="32"/>
      <c r="WWI231" s="32"/>
      <c r="WWJ231" s="32"/>
      <c r="WWK231" s="32"/>
      <c r="WWL231" s="32"/>
      <c r="WWM231" s="31"/>
      <c r="WWN231" s="31"/>
      <c r="WWO231" s="33"/>
      <c r="WWP231" s="33"/>
      <c r="WWQ231" s="34"/>
      <c r="WWR231" s="34"/>
      <c r="WWS231" s="35"/>
      <c r="WWT231" s="35"/>
      <c r="WWU231" s="32"/>
      <c r="WWV231" s="31"/>
      <c r="WWW231" s="31"/>
      <c r="WWX231" s="31"/>
      <c r="WWY231" s="32"/>
      <c r="WWZ231" s="32"/>
      <c r="WXA231" s="32"/>
      <c r="WXB231" s="32"/>
      <c r="WXC231" s="32"/>
      <c r="WXD231" s="31"/>
      <c r="WXE231" s="31"/>
      <c r="WXF231" s="33"/>
      <c r="WXG231" s="33"/>
      <c r="WXH231" s="34"/>
      <c r="WXI231" s="34"/>
      <c r="WXJ231" s="35"/>
      <c r="WXK231" s="35"/>
      <c r="WXL231" s="32"/>
      <c r="WXM231" s="31"/>
      <c r="WXN231" s="31"/>
      <c r="WXO231" s="31"/>
      <c r="WXP231" s="32"/>
      <c r="WXQ231" s="32"/>
      <c r="WXR231" s="32"/>
      <c r="WXS231" s="32"/>
      <c r="WXT231" s="32"/>
      <c r="WXU231" s="31"/>
      <c r="WXV231" s="31"/>
      <c r="WXW231" s="33"/>
      <c r="WXX231" s="33"/>
      <c r="WXY231" s="34"/>
      <c r="WXZ231" s="34"/>
      <c r="WYA231" s="35"/>
      <c r="WYB231" s="35"/>
      <c r="WYC231" s="32"/>
      <c r="WYD231" s="31"/>
      <c r="WYE231" s="31"/>
      <c r="WYF231" s="31"/>
      <c r="WYG231" s="32"/>
      <c r="WYH231" s="32"/>
      <c r="WYI231" s="32"/>
      <c r="WYJ231" s="32"/>
      <c r="WYK231" s="32"/>
      <c r="WYL231" s="31"/>
      <c r="WYM231" s="31"/>
      <c r="WYN231" s="33"/>
      <c r="WYO231" s="33"/>
      <c r="WYP231" s="34"/>
      <c r="WYQ231" s="34"/>
      <c r="WYR231" s="35"/>
      <c r="WYS231" s="35"/>
      <c r="WYT231" s="32"/>
      <c r="WYU231" s="31"/>
      <c r="WYV231" s="31"/>
      <c r="WYW231" s="31"/>
      <c r="WYX231" s="32"/>
      <c r="WYY231" s="32"/>
      <c r="WYZ231" s="32"/>
      <c r="WZA231" s="32"/>
      <c r="WZB231" s="32"/>
      <c r="WZC231" s="31"/>
      <c r="WZD231" s="31"/>
      <c r="WZE231" s="33"/>
      <c r="WZF231" s="33"/>
      <c r="WZG231" s="34"/>
      <c r="WZH231" s="34"/>
      <c r="WZI231" s="35"/>
      <c r="WZJ231" s="35"/>
      <c r="WZK231" s="32"/>
      <c r="WZL231" s="31"/>
      <c r="WZM231" s="31"/>
      <c r="WZN231" s="31"/>
      <c r="WZO231" s="32"/>
      <c r="WZP231" s="32"/>
      <c r="WZQ231" s="32"/>
      <c r="WZR231" s="32"/>
      <c r="WZS231" s="32"/>
      <c r="WZT231" s="31"/>
      <c r="WZU231" s="31"/>
      <c r="WZV231" s="33"/>
      <c r="WZW231" s="33"/>
      <c r="WZX231" s="34"/>
      <c r="WZY231" s="34"/>
      <c r="WZZ231" s="35"/>
      <c r="XAA231" s="35"/>
      <c r="XAB231" s="32"/>
      <c r="XAC231" s="31"/>
      <c r="XAD231" s="31"/>
      <c r="XAE231" s="31"/>
      <c r="XAF231" s="32"/>
      <c r="XAG231" s="32"/>
      <c r="XAH231" s="32"/>
      <c r="XAI231" s="32"/>
      <c r="XAJ231" s="32"/>
      <c r="XAK231" s="31"/>
      <c r="XAL231" s="31"/>
      <c r="XAM231" s="33"/>
      <c r="XAN231" s="33"/>
      <c r="XAO231" s="34"/>
      <c r="XAP231" s="34"/>
      <c r="XAQ231" s="35"/>
      <c r="XAR231" s="35"/>
      <c r="XAS231" s="32"/>
      <c r="XAT231" s="31"/>
      <c r="XAU231" s="31"/>
      <c r="XAV231" s="31"/>
      <c r="XAW231" s="32"/>
      <c r="XAX231" s="32"/>
      <c r="XAY231" s="32"/>
      <c r="XAZ231" s="32"/>
      <c r="XBA231" s="32"/>
      <c r="XBB231" s="31"/>
      <c r="XBC231" s="31"/>
      <c r="XBD231" s="33"/>
      <c r="XBE231" s="33"/>
      <c r="XBF231" s="34"/>
      <c r="XBG231" s="34"/>
      <c r="XBH231" s="35"/>
      <c r="XBI231" s="35"/>
      <c r="XBJ231" s="32"/>
      <c r="XBK231" s="31"/>
      <c r="XBL231" s="31"/>
      <c r="XBM231" s="31"/>
      <c r="XBN231" s="32"/>
      <c r="XBO231" s="32"/>
      <c r="XBP231" s="32"/>
      <c r="XBQ231" s="32"/>
      <c r="XBR231" s="32"/>
      <c r="XBS231" s="31"/>
      <c r="XBT231" s="31"/>
      <c r="XBU231" s="33"/>
      <c r="XBV231" s="33"/>
      <c r="XBW231" s="34"/>
      <c r="XBX231" s="34"/>
      <c r="XBY231" s="35"/>
      <c r="XBZ231" s="35"/>
      <c r="XCA231" s="32"/>
      <c r="XCB231" s="31"/>
      <c r="XCC231" s="31"/>
      <c r="XCD231" s="31"/>
      <c r="XCE231" s="32"/>
      <c r="XCF231" s="32"/>
      <c r="XCG231" s="32"/>
      <c r="XCH231" s="32"/>
      <c r="XCI231" s="32"/>
      <c r="XCJ231" s="31"/>
      <c r="XCK231" s="31"/>
      <c r="XCL231" s="33"/>
      <c r="XCM231" s="33"/>
      <c r="XCN231" s="34"/>
      <c r="XCO231" s="34"/>
      <c r="XCP231" s="35"/>
      <c r="XCQ231" s="35"/>
      <c r="XCR231" s="32"/>
      <c r="XCS231" s="31"/>
      <c r="XCT231" s="31"/>
      <c r="XCU231" s="31"/>
      <c r="XCV231" s="32"/>
      <c r="XCW231" s="32"/>
      <c r="XCX231" s="32"/>
      <c r="XCY231" s="32"/>
      <c r="XCZ231" s="32"/>
      <c r="XDA231" s="31"/>
      <c r="XDB231" s="31"/>
      <c r="XDC231" s="33"/>
      <c r="XDD231" s="33"/>
      <c r="XDE231" s="34"/>
      <c r="XDF231" s="34"/>
      <c r="XDG231" s="35"/>
      <c r="XDH231" s="35"/>
      <c r="XDI231" s="32"/>
      <c r="XDJ231" s="31"/>
      <c r="XDK231" s="31"/>
      <c r="XDL231" s="31"/>
      <c r="XDM231" s="32"/>
      <c r="XDN231" s="32"/>
      <c r="XDO231" s="32"/>
      <c r="XDP231" s="32"/>
      <c r="XDQ231" s="32"/>
      <c r="XDR231" s="31"/>
      <c r="XDS231" s="31"/>
      <c r="XDT231" s="33"/>
      <c r="XDU231" s="33"/>
      <c r="XDV231" s="34"/>
      <c r="XDW231" s="34"/>
      <c r="XDX231" s="35"/>
      <c r="XDY231" s="35"/>
      <c r="XDZ231" s="32"/>
      <c r="XEA231" s="31"/>
      <c r="XEB231" s="31"/>
      <c r="XEC231" s="31"/>
      <c r="XED231" s="32"/>
      <c r="XEE231" s="32"/>
      <c r="XEF231" s="32"/>
      <c r="XEG231" s="32"/>
      <c r="XEH231" s="32"/>
      <c r="XEI231" s="31"/>
      <c r="XEJ231" s="31"/>
      <c r="XEK231" s="33"/>
      <c r="XEL231" s="33"/>
      <c r="XEM231" s="34"/>
      <c r="XEN231" s="34"/>
      <c r="XEO231" s="35"/>
      <c r="XEP231" s="35"/>
      <c r="XEQ231" s="32"/>
      <c r="XER231" s="31"/>
      <c r="XES231" s="31"/>
      <c r="XET231" s="31"/>
      <c r="XEU231" s="32"/>
      <c r="XEV231" s="32"/>
      <c r="XEW231" s="32"/>
      <c r="XEX231" s="32"/>
      <c r="XEY231" s="32"/>
      <c r="XEZ231" s="31"/>
      <c r="XFA231" s="31"/>
      <c r="XFB231" s="33"/>
      <c r="XFC231" s="33"/>
      <c r="XFD231" s="34"/>
    </row>
    <row r="232" spans="1:16384" s="1" customFormat="1" ht="14.25" customHeight="1" x14ac:dyDescent="0.3">
      <c r="A232" s="31">
        <v>0</v>
      </c>
      <c r="B232" s="31">
        <v>1</v>
      </c>
      <c r="C232" s="31">
        <v>6</v>
      </c>
      <c r="D232" s="32" t="s">
        <v>1080</v>
      </c>
      <c r="E232" s="32" t="s">
        <v>166</v>
      </c>
      <c r="F232" s="32" t="s">
        <v>656</v>
      </c>
      <c r="G232" s="32" t="s">
        <v>178</v>
      </c>
      <c r="H232" s="32" t="s">
        <v>352</v>
      </c>
      <c r="I232" s="31" t="s">
        <v>379</v>
      </c>
      <c r="J232" s="31">
        <v>10</v>
      </c>
      <c r="K232" s="33" t="s">
        <v>718</v>
      </c>
      <c r="L232" s="33" t="s">
        <v>700</v>
      </c>
      <c r="M232" s="34" t="s">
        <v>703</v>
      </c>
      <c r="N232" s="34" t="s">
        <v>1745</v>
      </c>
      <c r="O232" s="35">
        <v>1</v>
      </c>
      <c r="P232" s="35"/>
      <c r="Q232" s="32"/>
      <c r="S232" s="1">
        <f t="shared" si="187"/>
        <v>0</v>
      </c>
      <c r="T232" s="1">
        <f t="shared" si="188"/>
        <v>0</v>
      </c>
      <c r="U232" s="1">
        <f t="shared" si="189"/>
        <v>0</v>
      </c>
      <c r="V232" s="1">
        <f t="shared" si="190"/>
        <v>0</v>
      </c>
      <c r="W232" s="1">
        <f t="shared" si="191"/>
        <v>0</v>
      </c>
      <c r="X232" s="1">
        <f t="shared" si="192"/>
        <v>0</v>
      </c>
      <c r="Y232" s="1">
        <f t="shared" si="193"/>
        <v>0</v>
      </c>
      <c r="Z232" s="1">
        <f t="shared" si="194"/>
        <v>0</v>
      </c>
      <c r="AA232" s="1">
        <f t="shared" si="195"/>
        <v>0</v>
      </c>
      <c r="AB232" s="1">
        <f t="shared" si="196"/>
        <v>1</v>
      </c>
      <c r="AD232" s="1">
        <f t="shared" si="197"/>
        <v>0</v>
      </c>
      <c r="AE232" s="1">
        <f t="shared" si="198"/>
        <v>1</v>
      </c>
      <c r="AF232" s="1">
        <f t="shared" si="183"/>
        <v>0</v>
      </c>
      <c r="AG232" s="1">
        <f t="shared" si="184"/>
        <v>1</v>
      </c>
      <c r="AH232" s="1">
        <f t="shared" si="185"/>
        <v>0</v>
      </c>
      <c r="AI232" s="1">
        <f t="shared" si="186"/>
        <v>1</v>
      </c>
    </row>
    <row r="233" spans="1:16384" s="1" customFormat="1" ht="14.25" customHeight="1" x14ac:dyDescent="0.3">
      <c r="A233" s="31">
        <v>0</v>
      </c>
      <c r="B233" s="31">
        <v>1</v>
      </c>
      <c r="C233" s="31">
        <v>6</v>
      </c>
      <c r="D233" s="32" t="s">
        <v>1224</v>
      </c>
      <c r="E233" s="32" t="s">
        <v>164</v>
      </c>
      <c r="F233" s="32" t="s">
        <v>1225</v>
      </c>
      <c r="G233" s="32" t="s">
        <v>1227</v>
      </c>
      <c r="H233" s="32" t="s">
        <v>352</v>
      </c>
      <c r="I233" s="31" t="s">
        <v>1226</v>
      </c>
      <c r="J233" s="31">
        <v>99</v>
      </c>
      <c r="K233" s="33" t="s">
        <v>718</v>
      </c>
      <c r="L233" s="33" t="s">
        <v>689</v>
      </c>
      <c r="M233" s="34" t="s">
        <v>1396</v>
      </c>
      <c r="N233" s="34" t="s">
        <v>1738</v>
      </c>
      <c r="O233" s="35">
        <v>1</v>
      </c>
      <c r="P233" s="35"/>
      <c r="Q233" s="32"/>
      <c r="R233" s="15"/>
      <c r="S233" s="15">
        <f t="shared" si="187"/>
        <v>0</v>
      </c>
      <c r="T233" s="15">
        <f t="shared" si="188"/>
        <v>0</v>
      </c>
      <c r="U233" s="15">
        <f t="shared" si="189"/>
        <v>0</v>
      </c>
      <c r="V233" s="15">
        <f t="shared" si="190"/>
        <v>0</v>
      </c>
      <c r="W233" s="15">
        <f t="shared" si="191"/>
        <v>0</v>
      </c>
      <c r="X233" s="15">
        <f t="shared" si="192"/>
        <v>0</v>
      </c>
      <c r="Y233" s="15">
        <f t="shared" si="193"/>
        <v>0</v>
      </c>
      <c r="Z233" s="15">
        <f t="shared" si="194"/>
        <v>0</v>
      </c>
      <c r="AA233" s="15">
        <f t="shared" si="195"/>
        <v>0</v>
      </c>
      <c r="AB233" s="10">
        <f t="shared" si="196"/>
        <v>0</v>
      </c>
      <c r="AC233" s="10"/>
      <c r="AD233" s="21">
        <f t="shared" si="197"/>
        <v>0</v>
      </c>
      <c r="AE233" s="21">
        <f t="shared" si="198"/>
        <v>1</v>
      </c>
      <c r="AF233" s="1">
        <f t="shared" si="183"/>
        <v>0</v>
      </c>
      <c r="AG233" s="1">
        <f t="shared" si="184"/>
        <v>1</v>
      </c>
      <c r="AH233" s="21">
        <f t="shared" si="185"/>
        <v>0</v>
      </c>
      <c r="AI233" s="15">
        <f t="shared" si="186"/>
        <v>1</v>
      </c>
      <c r="AJ233" s="15"/>
      <c r="AK233" s="15"/>
      <c r="AL233" s="15"/>
      <c r="AM233" s="15"/>
      <c r="AN233" s="15"/>
      <c r="AO233" s="15"/>
      <c r="AP233" s="15"/>
      <c r="AQ233" s="15"/>
      <c r="AR233" s="15"/>
      <c r="AS233" s="10"/>
      <c r="AT233" s="10"/>
      <c r="AU233" s="21"/>
      <c r="AV233" s="21"/>
      <c r="AY233" s="21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0"/>
      <c r="BK233" s="10"/>
      <c r="BL233" s="21"/>
      <c r="BM233" s="21"/>
      <c r="BP233" s="21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0"/>
      <c r="CB233" s="10"/>
      <c r="CC233" s="21"/>
      <c r="CD233" s="21"/>
      <c r="CG233" s="21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0"/>
      <c r="CS233" s="10"/>
      <c r="CT233" s="21"/>
      <c r="CU233" s="21"/>
      <c r="CX233" s="21"/>
      <c r="CY233" s="15"/>
      <c r="CZ233" s="15"/>
      <c r="DA233" s="15"/>
      <c r="DB233" s="15"/>
      <c r="DC233" s="15"/>
      <c r="DD233" s="15"/>
      <c r="DE233" s="15"/>
      <c r="DF233" s="15"/>
      <c r="DG233" s="15"/>
      <c r="DH233" s="15"/>
      <c r="DI233" s="10"/>
      <c r="DJ233" s="10"/>
      <c r="DK233" s="21"/>
      <c r="DL233" s="21"/>
      <c r="DO233" s="21"/>
      <c r="DP233" s="15"/>
      <c r="DQ233" s="15"/>
      <c r="DR233" s="15"/>
      <c r="DS233" s="15"/>
      <c r="DT233" s="15"/>
      <c r="DU233" s="15"/>
      <c r="DV233" s="15"/>
      <c r="DW233" s="15"/>
      <c r="DX233" s="15"/>
      <c r="DY233" s="15"/>
      <c r="DZ233" s="10"/>
      <c r="EA233" s="10"/>
      <c r="EB233" s="21"/>
      <c r="EC233" s="21"/>
      <c r="EF233" s="21"/>
      <c r="EG233" s="15"/>
      <c r="EH233" s="15"/>
      <c r="EI233" s="15"/>
      <c r="EJ233" s="15"/>
      <c r="EK233" s="15"/>
      <c r="EL233" s="15"/>
      <c r="EM233" s="15"/>
      <c r="EN233" s="15"/>
      <c r="EO233" s="15"/>
      <c r="EP233" s="15"/>
      <c r="EQ233" s="10"/>
      <c r="ER233" s="10"/>
      <c r="ES233" s="21"/>
      <c r="ET233" s="21"/>
      <c r="EW233" s="21"/>
      <c r="EX233" s="15"/>
      <c r="EY233" s="15"/>
      <c r="EZ233" s="15"/>
      <c r="FA233" s="15"/>
      <c r="FB233" s="15"/>
      <c r="FC233" s="15"/>
      <c r="FD233" s="15"/>
      <c r="FE233" s="15"/>
      <c r="FF233" s="15"/>
      <c r="FG233" s="15"/>
      <c r="FH233" s="10"/>
      <c r="FI233" s="10"/>
      <c r="FJ233" s="21"/>
      <c r="FK233" s="21"/>
      <c r="FN233" s="21"/>
      <c r="FO233" s="15"/>
      <c r="FP233" s="15"/>
      <c r="FQ233" s="15"/>
      <c r="FR233" s="15"/>
      <c r="FS233" s="15"/>
      <c r="FT233" s="15"/>
      <c r="FU233" s="15"/>
      <c r="FV233" s="15"/>
      <c r="FW233" s="15"/>
      <c r="FX233" s="15"/>
      <c r="FY233" s="10"/>
      <c r="FZ233" s="10"/>
      <c r="GA233" s="21"/>
      <c r="GB233" s="21"/>
      <c r="GE233" s="21"/>
      <c r="GF233" s="15"/>
      <c r="GG233" s="15"/>
      <c r="GH233" s="15"/>
      <c r="GI233" s="15"/>
      <c r="GJ233" s="15"/>
      <c r="GK233" s="15"/>
      <c r="GL233" s="15"/>
      <c r="GM233" s="15"/>
      <c r="GN233" s="15"/>
      <c r="GO233" s="15"/>
      <c r="GP233" s="10"/>
      <c r="GQ233" s="10"/>
      <c r="GR233" s="21"/>
      <c r="GS233" s="21"/>
      <c r="GV233" s="21"/>
      <c r="GW233" s="15"/>
      <c r="GX233" s="15"/>
      <c r="GY233" s="15"/>
      <c r="GZ233" s="15"/>
      <c r="HA233" s="15"/>
      <c r="HB233" s="15"/>
      <c r="HC233" s="15"/>
      <c r="HD233" s="15"/>
      <c r="HE233" s="15"/>
      <c r="HF233" s="15"/>
      <c r="HG233" s="10"/>
      <c r="HH233" s="10"/>
      <c r="HI233" s="21"/>
      <c r="HJ233" s="21"/>
      <c r="HM233" s="21"/>
      <c r="HN233" s="15"/>
      <c r="HO233" s="15"/>
      <c r="HP233" s="15"/>
      <c r="HQ233" s="15"/>
      <c r="HR233" s="15"/>
      <c r="HS233" s="15"/>
      <c r="HT233" s="15"/>
      <c r="HU233" s="15"/>
      <c r="HV233" s="15"/>
      <c r="HW233" s="15"/>
      <c r="HX233" s="10"/>
      <c r="HY233" s="10"/>
      <c r="HZ233" s="21"/>
      <c r="IA233" s="21"/>
      <c r="ID233" s="21"/>
      <c r="IE233" s="15"/>
      <c r="IF233" s="15"/>
      <c r="IG233" s="15"/>
      <c r="IH233" s="15"/>
      <c r="II233" s="15"/>
      <c r="IJ233" s="15"/>
      <c r="IK233" s="15"/>
      <c r="IL233" s="15"/>
      <c r="IM233" s="15"/>
      <c r="IN233" s="15"/>
      <c r="IO233" s="10"/>
      <c r="IP233" s="10"/>
      <c r="IQ233" s="21"/>
      <c r="IR233" s="21"/>
      <c r="IU233" s="21"/>
      <c r="IV233" s="15"/>
      <c r="IW233" s="15"/>
      <c r="IX233" s="15"/>
      <c r="IY233" s="15"/>
      <c r="IZ233" s="15"/>
      <c r="JA233" s="15"/>
      <c r="JB233" s="15"/>
      <c r="JC233" s="15"/>
      <c r="JD233" s="15"/>
      <c r="JE233" s="15"/>
      <c r="JF233" s="10"/>
      <c r="JG233" s="10"/>
      <c r="JH233" s="21"/>
      <c r="JI233" s="21"/>
      <c r="JL233" s="21"/>
      <c r="JM233" s="15"/>
      <c r="JN233" s="15"/>
      <c r="JO233" s="15"/>
      <c r="JP233" s="15"/>
      <c r="JQ233" s="15"/>
      <c r="JR233" s="15"/>
      <c r="JS233" s="15"/>
      <c r="JT233" s="15"/>
      <c r="JU233" s="15"/>
      <c r="JV233" s="15"/>
      <c r="JW233" s="10"/>
      <c r="JX233" s="10"/>
      <c r="JY233" s="21"/>
      <c r="JZ233" s="21"/>
      <c r="KC233" s="21"/>
      <c r="KD233" s="15"/>
      <c r="KE233" s="15"/>
      <c r="KF233" s="15"/>
      <c r="KG233" s="15"/>
      <c r="KH233" s="15"/>
      <c r="KI233" s="15"/>
      <c r="KJ233" s="15"/>
      <c r="KK233" s="15"/>
      <c r="KL233" s="15"/>
      <c r="KM233" s="15"/>
      <c r="KN233" s="10"/>
      <c r="KO233" s="10"/>
      <c r="KP233" s="21"/>
      <c r="KQ233" s="21"/>
      <c r="KT233" s="21"/>
      <c r="KU233" s="15"/>
      <c r="KV233" s="15"/>
      <c r="KW233" s="15"/>
      <c r="KX233" s="15"/>
      <c r="KY233" s="15"/>
      <c r="KZ233" s="15"/>
      <c r="LA233" s="15"/>
      <c r="LB233" s="15"/>
      <c r="LC233" s="15"/>
      <c r="LD233" s="15"/>
      <c r="LE233" s="10"/>
      <c r="LF233" s="10"/>
      <c r="LG233" s="21"/>
      <c r="LH233" s="21"/>
      <c r="LK233" s="21"/>
      <c r="LL233" s="15"/>
      <c r="LM233" s="15"/>
      <c r="LN233" s="15"/>
      <c r="LO233" s="15"/>
      <c r="LP233" s="15"/>
      <c r="LQ233" s="15"/>
      <c r="LR233" s="15"/>
      <c r="LS233" s="15"/>
      <c r="LT233" s="15"/>
      <c r="LU233" s="15"/>
      <c r="LV233" s="10"/>
      <c r="LW233" s="10"/>
      <c r="LX233" s="21"/>
      <c r="LY233" s="21"/>
      <c r="MB233" s="21"/>
      <c r="MC233" s="15"/>
      <c r="MD233" s="15"/>
      <c r="ME233" s="15"/>
      <c r="MF233" s="15"/>
      <c r="MG233" s="15"/>
      <c r="MH233" s="15"/>
      <c r="MI233" s="15"/>
      <c r="MJ233" s="15"/>
      <c r="MK233" s="15"/>
      <c r="ML233" s="15"/>
      <c r="MM233" s="10"/>
      <c r="MN233" s="10"/>
      <c r="MO233" s="21"/>
      <c r="MP233" s="21"/>
      <c r="MS233" s="21"/>
      <c r="MT233" s="15"/>
      <c r="MU233" s="15"/>
      <c r="MV233" s="15"/>
      <c r="MW233" s="15"/>
      <c r="MX233" s="15"/>
      <c r="MY233" s="15"/>
      <c r="MZ233" s="15"/>
      <c r="NA233" s="15"/>
      <c r="NB233" s="15"/>
      <c r="NC233" s="15"/>
      <c r="ND233" s="10"/>
      <c r="NE233" s="10"/>
      <c r="NF233" s="21"/>
      <c r="NG233" s="21"/>
      <c r="NJ233" s="21"/>
      <c r="NK233" s="15"/>
      <c r="NL233" s="15"/>
      <c r="NM233" s="15"/>
      <c r="NN233" s="15"/>
      <c r="NO233" s="15"/>
      <c r="NP233" s="15"/>
      <c r="NQ233" s="15"/>
      <c r="NR233" s="15"/>
      <c r="NS233" s="15"/>
      <c r="NT233" s="15"/>
      <c r="NU233" s="10"/>
      <c r="NV233" s="10"/>
      <c r="NW233" s="21"/>
      <c r="NX233" s="21"/>
      <c r="OA233" s="21"/>
      <c r="OB233" s="15"/>
      <c r="OC233" s="15"/>
      <c r="OD233" s="15"/>
      <c r="OE233" s="15"/>
      <c r="OF233" s="15"/>
      <c r="OG233" s="15"/>
      <c r="OH233" s="15"/>
      <c r="OI233" s="15"/>
      <c r="OJ233" s="15"/>
      <c r="OK233" s="15"/>
      <c r="OL233" s="10"/>
      <c r="OM233" s="10"/>
      <c r="ON233" s="21"/>
      <c r="OO233" s="21"/>
      <c r="OR233" s="21"/>
      <c r="OS233" s="15"/>
      <c r="OT233" s="15"/>
      <c r="OU233" s="15"/>
      <c r="OV233" s="15"/>
      <c r="OW233" s="15"/>
      <c r="OX233" s="15"/>
      <c r="OY233" s="15"/>
      <c r="OZ233" s="15"/>
      <c r="PA233" s="15"/>
      <c r="PB233" s="15"/>
      <c r="PC233" s="10"/>
      <c r="PD233" s="10"/>
      <c r="PE233" s="21"/>
      <c r="PF233" s="21"/>
      <c r="PI233" s="21"/>
      <c r="PJ233" s="15"/>
      <c r="PK233" s="15"/>
      <c r="PL233" s="15"/>
      <c r="PM233" s="15"/>
      <c r="PN233" s="15"/>
      <c r="PO233" s="15"/>
      <c r="PP233" s="15"/>
      <c r="PQ233" s="15"/>
      <c r="PR233" s="15"/>
      <c r="PS233" s="15"/>
      <c r="PT233" s="10"/>
      <c r="PU233" s="10"/>
      <c r="PV233" s="21"/>
      <c r="PW233" s="21"/>
      <c r="PZ233" s="21"/>
      <c r="QA233" s="15"/>
      <c r="QB233" s="15"/>
      <c r="QC233" s="15"/>
      <c r="QD233" s="15"/>
      <c r="QE233" s="15"/>
      <c r="QF233" s="15"/>
      <c r="QG233" s="15"/>
      <c r="QH233" s="15"/>
      <c r="QI233" s="15"/>
      <c r="QJ233" s="15"/>
      <c r="QK233" s="10"/>
      <c r="QL233" s="10"/>
      <c r="QM233" s="21"/>
      <c r="QN233" s="21"/>
      <c r="QQ233" s="21"/>
      <c r="QR233" s="15"/>
      <c r="QS233" s="15"/>
      <c r="QT233" s="15"/>
      <c r="QU233" s="15"/>
      <c r="QV233" s="15"/>
      <c r="QW233" s="15"/>
      <c r="QX233" s="15"/>
      <c r="QY233" s="15"/>
      <c r="QZ233" s="15"/>
      <c r="RA233" s="15"/>
      <c r="RB233" s="10"/>
      <c r="RC233" s="10"/>
      <c r="RD233" s="21"/>
      <c r="RE233" s="21"/>
      <c r="RH233" s="21"/>
      <c r="RI233" s="15"/>
      <c r="RJ233" s="15"/>
      <c r="RK233" s="15"/>
      <c r="RL233" s="15"/>
      <c r="RM233" s="15"/>
      <c r="RN233" s="15"/>
      <c r="RO233" s="15"/>
      <c r="RP233" s="15"/>
      <c r="RQ233" s="15"/>
      <c r="RR233" s="15"/>
      <c r="RS233" s="10"/>
      <c r="RT233" s="10"/>
      <c r="RU233" s="21"/>
      <c r="RV233" s="21"/>
      <c r="RY233" s="21"/>
      <c r="RZ233" s="15"/>
      <c r="SA233" s="15"/>
      <c r="SB233" s="15"/>
      <c r="SC233" s="15"/>
      <c r="SD233" s="15"/>
      <c r="SE233" s="15"/>
      <c r="SF233" s="15"/>
      <c r="SG233" s="15"/>
      <c r="SH233" s="15"/>
      <c r="SI233" s="15"/>
      <c r="SJ233" s="10"/>
      <c r="SK233" s="10"/>
      <c r="SL233" s="21"/>
      <c r="SM233" s="21"/>
      <c r="SP233" s="21"/>
      <c r="SQ233" s="15"/>
      <c r="SR233" s="15"/>
      <c r="SS233" s="15"/>
      <c r="ST233" s="15"/>
      <c r="SU233" s="15"/>
      <c r="SV233" s="15"/>
      <c r="SW233" s="15"/>
      <c r="SX233" s="15"/>
      <c r="SY233" s="15"/>
      <c r="SZ233" s="15"/>
      <c r="TA233" s="10"/>
      <c r="TB233" s="10"/>
      <c r="TC233" s="21"/>
      <c r="TD233" s="21"/>
      <c r="TG233" s="21"/>
      <c r="TH233" s="15"/>
      <c r="TI233" s="15"/>
      <c r="TJ233" s="15"/>
      <c r="TK233" s="15"/>
      <c r="TL233" s="15"/>
      <c r="TM233" s="15"/>
      <c r="TN233" s="15"/>
      <c r="TO233" s="15"/>
      <c r="TP233" s="15"/>
      <c r="TQ233" s="15"/>
      <c r="TR233" s="10"/>
      <c r="TS233" s="10"/>
      <c r="TT233" s="21"/>
      <c r="TU233" s="21"/>
      <c r="TX233" s="21"/>
      <c r="TY233" s="15"/>
      <c r="TZ233" s="15"/>
      <c r="UA233" s="15"/>
      <c r="UB233" s="15"/>
      <c r="UC233" s="15"/>
      <c r="UD233" s="15"/>
      <c r="UE233" s="15"/>
      <c r="UF233" s="15"/>
      <c r="UG233" s="15"/>
      <c r="UH233" s="15"/>
      <c r="UI233" s="10"/>
      <c r="UJ233" s="10"/>
      <c r="UK233" s="21"/>
      <c r="UL233" s="21"/>
      <c r="UO233" s="21"/>
      <c r="UP233" s="15"/>
      <c r="UQ233" s="15"/>
      <c r="UR233" s="15"/>
      <c r="US233" s="15"/>
      <c r="UT233" s="15"/>
      <c r="UU233" s="15"/>
      <c r="UV233" s="15"/>
      <c r="UW233" s="15"/>
      <c r="UX233" s="15"/>
      <c r="UY233" s="15"/>
      <c r="UZ233" s="10"/>
      <c r="VA233" s="10"/>
      <c r="VB233" s="21"/>
      <c r="VC233" s="21"/>
      <c r="VF233" s="21"/>
      <c r="VG233" s="15"/>
      <c r="VH233" s="15"/>
      <c r="VI233" s="15"/>
      <c r="VJ233" s="15"/>
      <c r="VK233" s="15"/>
      <c r="VL233" s="15"/>
      <c r="VM233" s="15"/>
      <c r="VN233" s="15"/>
      <c r="VO233" s="15"/>
      <c r="VP233" s="15"/>
      <c r="VQ233" s="10"/>
      <c r="VR233" s="10"/>
      <c r="VS233" s="21"/>
      <c r="VT233" s="21"/>
      <c r="VW233" s="21"/>
      <c r="VX233" s="15"/>
      <c r="VY233" s="15"/>
      <c r="VZ233" s="15"/>
      <c r="WA233" s="15"/>
      <c r="WB233" s="15"/>
      <c r="WC233" s="15"/>
      <c r="WD233" s="15"/>
      <c r="WE233" s="15"/>
      <c r="WF233" s="15"/>
      <c r="WG233" s="15"/>
      <c r="WH233" s="10"/>
      <c r="WI233" s="10"/>
      <c r="WJ233" s="21"/>
      <c r="WK233" s="21"/>
      <c r="WN233" s="21"/>
      <c r="WO233" s="15"/>
      <c r="WP233" s="15"/>
      <c r="WQ233" s="15"/>
      <c r="WR233" s="15"/>
      <c r="WS233" s="15"/>
      <c r="WT233" s="15"/>
      <c r="WU233" s="15"/>
      <c r="WV233" s="15"/>
      <c r="WW233" s="15"/>
      <c r="WX233" s="15"/>
      <c r="WY233" s="10"/>
      <c r="WZ233" s="10"/>
      <c r="XA233" s="21"/>
      <c r="XB233" s="21"/>
      <c r="XE233" s="21"/>
      <c r="XF233" s="15"/>
      <c r="XG233" s="15"/>
      <c r="XH233" s="15"/>
      <c r="XI233" s="15"/>
      <c r="XJ233" s="15"/>
      <c r="XK233" s="15"/>
      <c r="XL233" s="15"/>
      <c r="XM233" s="15"/>
      <c r="XN233" s="15"/>
      <c r="XO233" s="15"/>
      <c r="XP233" s="10"/>
      <c r="XQ233" s="10"/>
      <c r="XR233" s="21"/>
      <c r="XS233" s="21"/>
      <c r="XV233" s="21"/>
      <c r="XW233" s="15"/>
      <c r="XX233" s="15"/>
      <c r="XY233" s="15"/>
      <c r="XZ233" s="15"/>
      <c r="YA233" s="15"/>
      <c r="YB233" s="15"/>
      <c r="YC233" s="15"/>
      <c r="YD233" s="15"/>
      <c r="YE233" s="15"/>
      <c r="YF233" s="15"/>
      <c r="YG233" s="10"/>
      <c r="YH233" s="10"/>
      <c r="YI233" s="21"/>
      <c r="YJ233" s="21"/>
      <c r="YM233" s="21"/>
      <c r="YN233" s="15"/>
      <c r="YO233" s="15"/>
      <c r="YP233" s="15"/>
      <c r="YQ233" s="15"/>
      <c r="YR233" s="15"/>
      <c r="YS233" s="15"/>
      <c r="YT233" s="15"/>
      <c r="YU233" s="15"/>
      <c r="YV233" s="15"/>
      <c r="YW233" s="15"/>
      <c r="YX233" s="10"/>
      <c r="YY233" s="10"/>
      <c r="YZ233" s="21"/>
      <c r="ZA233" s="21"/>
      <c r="ZD233" s="21"/>
      <c r="ZE233" s="15"/>
      <c r="ZF233" s="15"/>
      <c r="ZG233" s="15"/>
      <c r="ZH233" s="15"/>
      <c r="ZI233" s="15"/>
      <c r="ZJ233" s="15"/>
      <c r="ZK233" s="15"/>
      <c r="ZL233" s="15"/>
      <c r="ZM233" s="15"/>
      <c r="ZN233" s="15"/>
      <c r="ZO233" s="10"/>
      <c r="ZP233" s="10"/>
      <c r="ZQ233" s="21"/>
      <c r="ZR233" s="21"/>
      <c r="ZU233" s="21"/>
      <c r="ZV233" s="15"/>
      <c r="ZW233" s="15"/>
      <c r="ZX233" s="15"/>
      <c r="ZY233" s="15"/>
      <c r="ZZ233" s="15"/>
      <c r="AAA233" s="15"/>
      <c r="AAB233" s="15"/>
      <c r="AAC233" s="15"/>
      <c r="AAD233" s="15"/>
      <c r="AAE233" s="15"/>
      <c r="AAF233" s="10"/>
      <c r="AAG233" s="10"/>
      <c r="AAH233" s="21"/>
      <c r="AAI233" s="21"/>
      <c r="AAL233" s="21"/>
      <c r="AAM233" s="15"/>
      <c r="AAN233" s="15"/>
      <c r="AAO233" s="15"/>
      <c r="AAP233" s="15"/>
      <c r="AAQ233" s="15"/>
      <c r="AAR233" s="15"/>
      <c r="AAS233" s="15"/>
      <c r="AAT233" s="15"/>
      <c r="AAU233" s="15"/>
      <c r="AAV233" s="15"/>
      <c r="AAW233" s="10"/>
      <c r="AAX233" s="10"/>
      <c r="AAY233" s="21"/>
      <c r="AAZ233" s="21"/>
      <c r="ABC233" s="21"/>
      <c r="ABD233" s="15"/>
      <c r="ABE233" s="15"/>
      <c r="ABF233" s="15"/>
      <c r="ABG233" s="15"/>
      <c r="ABH233" s="15"/>
      <c r="ABI233" s="15"/>
      <c r="ABJ233" s="15"/>
      <c r="ABK233" s="15"/>
      <c r="ABL233" s="15"/>
      <c r="ABM233" s="15"/>
      <c r="ABN233" s="10"/>
      <c r="ABO233" s="10"/>
      <c r="ABP233" s="21"/>
      <c r="ABQ233" s="21"/>
      <c r="ABT233" s="21"/>
      <c r="ABU233" s="15"/>
      <c r="ABV233" s="15"/>
      <c r="ABW233" s="15"/>
      <c r="ABX233" s="15"/>
      <c r="ABY233" s="15"/>
      <c r="ABZ233" s="15"/>
      <c r="ACA233" s="15"/>
      <c r="ACB233" s="15"/>
      <c r="ACC233" s="15"/>
      <c r="ACD233" s="15"/>
      <c r="ACE233" s="10"/>
      <c r="ACF233" s="10"/>
      <c r="ACG233" s="21"/>
      <c r="ACH233" s="21"/>
      <c r="ACK233" s="21"/>
      <c r="ACL233" s="15"/>
      <c r="ACM233" s="15"/>
      <c r="ACN233" s="15"/>
      <c r="ACO233" s="15"/>
      <c r="ACP233" s="15"/>
      <c r="ACQ233" s="15"/>
      <c r="ACR233" s="15"/>
      <c r="ACS233" s="15"/>
      <c r="ACT233" s="15"/>
      <c r="ACU233" s="15"/>
      <c r="ACV233" s="10"/>
      <c r="ACW233" s="10"/>
      <c r="ACX233" s="21"/>
      <c r="ACY233" s="21"/>
      <c r="ADB233" s="21"/>
      <c r="ADC233" s="15"/>
      <c r="ADD233" s="15"/>
      <c r="ADE233" s="15"/>
      <c r="ADF233" s="15"/>
      <c r="ADG233" s="15"/>
      <c r="ADH233" s="15"/>
      <c r="ADI233" s="15"/>
      <c r="ADJ233" s="15"/>
      <c r="ADK233" s="15"/>
      <c r="ADL233" s="15"/>
      <c r="ADM233" s="10"/>
      <c r="ADN233" s="10"/>
      <c r="ADO233" s="21"/>
      <c r="ADP233" s="21"/>
      <c r="ADS233" s="21"/>
      <c r="ADT233" s="15"/>
      <c r="ADU233" s="15"/>
      <c r="ADV233" s="15"/>
      <c r="ADW233" s="15"/>
      <c r="ADX233" s="15"/>
      <c r="ADY233" s="15"/>
      <c r="ADZ233" s="15"/>
      <c r="AEA233" s="15"/>
      <c r="AEB233" s="15"/>
      <c r="AEC233" s="15"/>
      <c r="AED233" s="10"/>
      <c r="AEE233" s="10"/>
      <c r="AEF233" s="21"/>
      <c r="AEG233" s="21"/>
      <c r="AEJ233" s="21"/>
      <c r="AEK233" s="15"/>
      <c r="AEL233" s="15"/>
      <c r="AEM233" s="15"/>
      <c r="AEN233" s="15"/>
      <c r="AEO233" s="15"/>
      <c r="AEP233" s="15"/>
      <c r="AEQ233" s="15"/>
      <c r="AER233" s="15"/>
      <c r="AES233" s="15"/>
      <c r="AET233" s="15"/>
      <c r="AEU233" s="10"/>
      <c r="AEV233" s="10"/>
      <c r="AEW233" s="21"/>
      <c r="AEX233" s="21"/>
      <c r="AFA233" s="21"/>
      <c r="AFB233" s="15"/>
      <c r="AFC233" s="15"/>
      <c r="AFD233" s="15"/>
      <c r="AFE233" s="15"/>
      <c r="AFF233" s="15"/>
      <c r="AFG233" s="15"/>
      <c r="AFH233" s="15"/>
      <c r="AFI233" s="15"/>
      <c r="AFJ233" s="15"/>
      <c r="AFK233" s="15"/>
      <c r="AFL233" s="10"/>
      <c r="AFM233" s="10"/>
      <c r="AFN233" s="21"/>
      <c r="AFO233" s="21"/>
      <c r="AFR233" s="21"/>
      <c r="AFS233" s="15"/>
      <c r="AFT233" s="15"/>
      <c r="AFU233" s="15"/>
      <c r="AFV233" s="15"/>
      <c r="AFW233" s="15"/>
      <c r="AFX233" s="15"/>
      <c r="AFY233" s="15"/>
      <c r="AFZ233" s="15"/>
      <c r="AGA233" s="15"/>
      <c r="AGB233" s="15"/>
      <c r="AGC233" s="10"/>
      <c r="AGD233" s="10"/>
      <c r="AGE233" s="21"/>
      <c r="AGF233" s="21"/>
      <c r="AGI233" s="21"/>
      <c r="AGJ233" s="15"/>
      <c r="AGK233" s="15"/>
      <c r="AGL233" s="15"/>
      <c r="AGM233" s="15"/>
      <c r="AGN233" s="15"/>
      <c r="AGO233" s="15"/>
      <c r="AGP233" s="15"/>
      <c r="AGQ233" s="15"/>
      <c r="AGR233" s="15"/>
      <c r="AGS233" s="15"/>
      <c r="AGT233" s="10"/>
      <c r="AGU233" s="10"/>
      <c r="AGV233" s="21"/>
      <c r="AGW233" s="21"/>
      <c r="AGZ233" s="21"/>
      <c r="AHA233" s="15"/>
      <c r="AHB233" s="15"/>
      <c r="AHC233" s="15"/>
      <c r="AHD233" s="15"/>
      <c r="AHE233" s="15"/>
      <c r="AHF233" s="15"/>
      <c r="AHG233" s="15"/>
      <c r="AHH233" s="15"/>
      <c r="AHI233" s="15"/>
      <c r="AHJ233" s="15"/>
      <c r="AHK233" s="10"/>
      <c r="AHL233" s="10"/>
      <c r="AHM233" s="21"/>
      <c r="AHN233" s="21"/>
      <c r="AHQ233" s="21"/>
      <c r="AHR233" s="15"/>
      <c r="AHS233" s="15"/>
      <c r="AHT233" s="15"/>
      <c r="AHU233" s="15"/>
      <c r="AHV233" s="15"/>
      <c r="AHW233" s="15"/>
      <c r="AHX233" s="15"/>
      <c r="AHY233" s="15"/>
      <c r="AHZ233" s="15"/>
      <c r="AIA233" s="15"/>
      <c r="AIB233" s="10"/>
      <c r="AIC233" s="10"/>
      <c r="AID233" s="21"/>
      <c r="AIE233" s="21"/>
      <c r="AIH233" s="21"/>
      <c r="AII233" s="15"/>
      <c r="AIJ233" s="15"/>
      <c r="AIK233" s="15"/>
      <c r="AIL233" s="15"/>
      <c r="AIM233" s="15"/>
      <c r="AIN233" s="15"/>
      <c r="AIO233" s="15"/>
      <c r="AIP233" s="15"/>
      <c r="AIQ233" s="15"/>
      <c r="AIR233" s="15"/>
      <c r="AIS233" s="10"/>
      <c r="AIT233" s="10"/>
      <c r="AIU233" s="21"/>
      <c r="AIV233" s="21"/>
      <c r="AIY233" s="21"/>
      <c r="AIZ233" s="15"/>
      <c r="AJA233" s="15"/>
      <c r="AJB233" s="15"/>
      <c r="AJC233" s="15"/>
      <c r="AJD233" s="15"/>
      <c r="AJE233" s="15"/>
      <c r="AJF233" s="15"/>
      <c r="AJG233" s="15"/>
      <c r="AJH233" s="15"/>
      <c r="AJI233" s="15"/>
      <c r="AJJ233" s="10"/>
      <c r="AJK233" s="10"/>
      <c r="AJL233" s="21"/>
      <c r="AJM233" s="21"/>
      <c r="AJP233" s="21"/>
      <c r="AJQ233" s="15"/>
      <c r="AJR233" s="15"/>
      <c r="AJS233" s="15"/>
      <c r="AJT233" s="15"/>
      <c r="AJU233" s="15"/>
      <c r="AJV233" s="15"/>
      <c r="AJW233" s="15"/>
      <c r="AJX233" s="15"/>
      <c r="AJY233" s="15"/>
      <c r="AJZ233" s="15"/>
      <c r="AKA233" s="10"/>
      <c r="AKB233" s="10"/>
      <c r="AKC233" s="21"/>
      <c r="AKD233" s="21"/>
      <c r="AKG233" s="21"/>
      <c r="AKH233" s="15"/>
      <c r="AKI233" s="15"/>
      <c r="AKJ233" s="15"/>
      <c r="AKK233" s="15"/>
      <c r="AKL233" s="15"/>
      <c r="AKM233" s="15"/>
      <c r="AKN233" s="15"/>
      <c r="AKO233" s="15"/>
      <c r="AKP233" s="15"/>
      <c r="AKQ233" s="15"/>
      <c r="AKR233" s="10"/>
      <c r="AKS233" s="10"/>
      <c r="AKT233" s="21"/>
      <c r="AKU233" s="21"/>
      <c r="AKX233" s="21"/>
      <c r="AKY233" s="15"/>
      <c r="AKZ233" s="15"/>
      <c r="ALA233" s="15"/>
      <c r="ALB233" s="15"/>
      <c r="ALC233" s="15"/>
      <c r="ALD233" s="15"/>
      <c r="ALE233" s="15"/>
      <c r="ALF233" s="15"/>
      <c r="ALG233" s="15"/>
      <c r="ALH233" s="15"/>
      <c r="ALI233" s="10"/>
      <c r="ALJ233" s="10"/>
      <c r="ALK233" s="21"/>
      <c r="ALL233" s="21"/>
      <c r="ALO233" s="21"/>
      <c r="ALP233" s="15"/>
      <c r="ALQ233" s="15"/>
      <c r="ALR233" s="15"/>
      <c r="ALS233" s="15"/>
      <c r="ALT233" s="15"/>
      <c r="ALU233" s="15"/>
      <c r="ALV233" s="15"/>
      <c r="ALW233" s="15"/>
      <c r="ALX233" s="15"/>
      <c r="ALY233" s="15"/>
      <c r="ALZ233" s="10"/>
      <c r="AMA233" s="10"/>
      <c r="AMB233" s="21"/>
      <c r="AMC233" s="21"/>
      <c r="AMF233" s="21"/>
      <c r="AMG233" s="15"/>
      <c r="AMH233" s="15"/>
      <c r="AMI233" s="15"/>
      <c r="AMJ233" s="15"/>
      <c r="AMK233" s="15"/>
      <c r="AML233" s="15"/>
      <c r="AMM233" s="15"/>
      <c r="AMN233" s="15"/>
      <c r="AMO233" s="15"/>
      <c r="AMP233" s="15"/>
      <c r="AMQ233" s="10"/>
      <c r="AMR233" s="10"/>
      <c r="AMS233" s="21"/>
      <c r="AMT233" s="21"/>
      <c r="AMW233" s="21"/>
      <c r="AMX233" s="15"/>
      <c r="AMY233" s="15"/>
      <c r="AMZ233" s="15"/>
      <c r="ANA233" s="15"/>
      <c r="ANB233" s="15"/>
      <c r="ANC233" s="15"/>
      <c r="AND233" s="15"/>
      <c r="ANE233" s="15"/>
      <c r="ANF233" s="15"/>
      <c r="ANG233" s="15"/>
      <c r="ANH233" s="10"/>
      <c r="ANI233" s="10"/>
      <c r="ANJ233" s="21"/>
      <c r="ANK233" s="21"/>
      <c r="ANN233" s="21"/>
      <c r="ANO233" s="15"/>
      <c r="ANP233" s="15"/>
      <c r="ANQ233" s="15"/>
      <c r="ANR233" s="15"/>
      <c r="ANS233" s="15"/>
      <c r="ANT233" s="15"/>
      <c r="ANU233" s="15"/>
      <c r="ANV233" s="15"/>
      <c r="ANW233" s="15"/>
      <c r="ANX233" s="15"/>
      <c r="ANY233" s="10"/>
      <c r="ANZ233" s="10"/>
      <c r="AOA233" s="21"/>
      <c r="AOB233" s="21"/>
      <c r="AOE233" s="21"/>
      <c r="AOF233" s="15"/>
      <c r="AOG233" s="15"/>
      <c r="AOH233" s="15"/>
      <c r="AOI233" s="15"/>
      <c r="AOJ233" s="15"/>
      <c r="AOK233" s="15"/>
      <c r="AOL233" s="15"/>
      <c r="AOM233" s="15"/>
      <c r="AON233" s="15"/>
      <c r="AOO233" s="15"/>
      <c r="AOP233" s="10"/>
      <c r="AOQ233" s="10"/>
      <c r="AOR233" s="21"/>
      <c r="AOS233" s="21"/>
      <c r="AOV233" s="21"/>
      <c r="AOW233" s="15"/>
      <c r="AOX233" s="15"/>
      <c r="AOY233" s="15"/>
      <c r="AOZ233" s="15"/>
      <c r="APA233" s="15"/>
      <c r="APB233" s="15"/>
      <c r="APC233" s="15"/>
      <c r="APD233" s="15"/>
      <c r="APE233" s="15"/>
      <c r="APF233" s="15"/>
      <c r="APG233" s="10"/>
      <c r="APH233" s="10"/>
      <c r="API233" s="21"/>
      <c r="APJ233" s="21"/>
      <c r="APM233" s="21"/>
      <c r="APN233" s="15"/>
      <c r="APO233" s="15"/>
      <c r="APP233" s="15"/>
      <c r="APQ233" s="15"/>
      <c r="APR233" s="15"/>
      <c r="APS233" s="15"/>
      <c r="APT233" s="15"/>
      <c r="APU233" s="15"/>
      <c r="APV233" s="15"/>
      <c r="APW233" s="15"/>
      <c r="APX233" s="10"/>
      <c r="APY233" s="10"/>
      <c r="APZ233" s="21"/>
      <c r="AQA233" s="21"/>
      <c r="AQD233" s="21"/>
      <c r="AQE233" s="15"/>
      <c r="AQF233" s="15"/>
      <c r="AQG233" s="15"/>
      <c r="AQH233" s="15"/>
      <c r="AQI233" s="15"/>
      <c r="AQJ233" s="15"/>
      <c r="AQK233" s="15"/>
      <c r="AQL233" s="15"/>
      <c r="AQM233" s="15"/>
      <c r="AQN233" s="15"/>
      <c r="AQO233" s="10"/>
      <c r="AQP233" s="10"/>
      <c r="AQQ233" s="21"/>
      <c r="AQR233" s="21"/>
      <c r="AQU233" s="21"/>
      <c r="AQV233" s="15"/>
      <c r="AQW233" s="15"/>
      <c r="AQX233" s="15"/>
      <c r="AQY233" s="15"/>
      <c r="AQZ233" s="15"/>
      <c r="ARA233" s="15"/>
      <c r="ARB233" s="15"/>
      <c r="ARC233" s="15"/>
      <c r="ARD233" s="15"/>
      <c r="ARE233" s="15"/>
      <c r="ARF233" s="10"/>
      <c r="ARG233" s="10"/>
      <c r="ARH233" s="21"/>
      <c r="ARI233" s="21"/>
      <c r="ARL233" s="21"/>
      <c r="ARM233" s="15"/>
      <c r="ARN233" s="15"/>
      <c r="ARO233" s="15"/>
      <c r="ARP233" s="15"/>
      <c r="ARQ233" s="15"/>
      <c r="ARR233" s="15"/>
      <c r="ARS233" s="15"/>
      <c r="ART233" s="15"/>
      <c r="ARU233" s="15"/>
      <c r="ARV233" s="15"/>
      <c r="ARW233" s="10"/>
      <c r="ARX233" s="10"/>
      <c r="ARY233" s="21"/>
      <c r="ARZ233" s="21"/>
      <c r="ASC233" s="21"/>
      <c r="ASD233" s="15"/>
      <c r="ASE233" s="15"/>
      <c r="ASF233" s="15"/>
      <c r="ASG233" s="15"/>
      <c r="ASH233" s="15"/>
      <c r="ASI233" s="15"/>
      <c r="ASJ233" s="15"/>
      <c r="ASK233" s="15"/>
      <c r="ASL233" s="15"/>
      <c r="ASM233" s="15"/>
      <c r="ASN233" s="10"/>
      <c r="ASO233" s="10"/>
      <c r="ASP233" s="21"/>
      <c r="ASQ233" s="21"/>
      <c r="AST233" s="21"/>
      <c r="ASU233" s="15"/>
      <c r="ASV233" s="15"/>
      <c r="ASW233" s="15"/>
      <c r="ASX233" s="15"/>
      <c r="ASY233" s="15"/>
      <c r="ASZ233" s="15"/>
      <c r="ATA233" s="15"/>
      <c r="ATB233" s="15"/>
      <c r="ATC233" s="15"/>
      <c r="ATD233" s="15"/>
      <c r="ATE233" s="10"/>
      <c r="ATF233" s="10"/>
      <c r="ATG233" s="21"/>
      <c r="ATH233" s="21"/>
      <c r="ATK233" s="21"/>
      <c r="ATL233" s="15"/>
      <c r="ATM233" s="15"/>
      <c r="ATN233" s="15"/>
      <c r="ATO233" s="15"/>
      <c r="ATP233" s="15"/>
      <c r="ATQ233" s="15"/>
      <c r="ATR233" s="15"/>
      <c r="ATS233" s="15"/>
      <c r="ATT233" s="15"/>
      <c r="ATU233" s="15"/>
      <c r="ATV233" s="10"/>
      <c r="ATW233" s="10"/>
      <c r="ATX233" s="21"/>
      <c r="ATY233" s="21"/>
      <c r="AUB233" s="21"/>
      <c r="AUC233" s="15"/>
      <c r="AUD233" s="15"/>
      <c r="AUE233" s="15"/>
      <c r="AUF233" s="15"/>
      <c r="AUG233" s="15"/>
      <c r="AUH233" s="15"/>
      <c r="AUI233" s="15"/>
      <c r="AUJ233" s="15"/>
      <c r="AUK233" s="15"/>
      <c r="AUL233" s="15"/>
      <c r="AUM233" s="10"/>
      <c r="AUN233" s="10"/>
      <c r="AUO233" s="21"/>
      <c r="AUP233" s="21"/>
      <c r="AUS233" s="21"/>
      <c r="AUT233" s="15"/>
      <c r="AUU233" s="15"/>
      <c r="AUV233" s="15"/>
      <c r="AUW233" s="15"/>
      <c r="AUX233" s="15"/>
      <c r="AUY233" s="15"/>
      <c r="AUZ233" s="15"/>
      <c r="AVA233" s="15"/>
      <c r="AVB233" s="15"/>
      <c r="AVC233" s="15"/>
      <c r="AVD233" s="10"/>
      <c r="AVE233" s="10"/>
      <c r="AVF233" s="21"/>
      <c r="AVG233" s="21"/>
      <c r="AVJ233" s="21"/>
      <c r="AVK233" s="15"/>
      <c r="AVL233" s="15"/>
      <c r="AVM233" s="15"/>
      <c r="AVN233" s="15"/>
      <c r="AVO233" s="15"/>
      <c r="AVP233" s="15"/>
      <c r="AVQ233" s="15"/>
      <c r="AVR233" s="15"/>
      <c r="AVS233" s="15"/>
      <c r="AVT233" s="15"/>
      <c r="AVU233" s="10"/>
      <c r="AVV233" s="10"/>
      <c r="AVW233" s="21"/>
      <c r="AVX233" s="21"/>
      <c r="AWA233" s="21"/>
      <c r="AWB233" s="15"/>
      <c r="AWC233" s="15"/>
      <c r="AWD233" s="15"/>
      <c r="AWE233" s="15"/>
      <c r="AWF233" s="15"/>
      <c r="AWG233" s="15"/>
      <c r="AWH233" s="15"/>
      <c r="AWI233" s="15"/>
      <c r="AWJ233" s="15"/>
      <c r="AWK233" s="15"/>
      <c r="AWL233" s="10"/>
      <c r="AWM233" s="10"/>
      <c r="AWN233" s="21"/>
      <c r="AWO233" s="21"/>
      <c r="AWR233" s="21"/>
      <c r="AWS233" s="15"/>
      <c r="AWT233" s="15"/>
      <c r="AWU233" s="15"/>
      <c r="AWV233" s="15"/>
      <c r="AWW233" s="15"/>
      <c r="AWX233" s="15"/>
      <c r="AWY233" s="15"/>
      <c r="AWZ233" s="15"/>
      <c r="AXA233" s="15"/>
      <c r="AXB233" s="15"/>
      <c r="AXC233" s="10"/>
      <c r="AXD233" s="10"/>
      <c r="AXE233" s="21"/>
      <c r="AXF233" s="21"/>
      <c r="AXI233" s="21"/>
      <c r="AXJ233" s="15"/>
      <c r="AXK233" s="15"/>
      <c r="AXL233" s="15"/>
      <c r="AXM233" s="15"/>
      <c r="AXN233" s="15"/>
      <c r="AXO233" s="15"/>
      <c r="AXP233" s="15"/>
      <c r="AXQ233" s="15"/>
      <c r="AXR233" s="15"/>
      <c r="AXS233" s="15"/>
      <c r="AXT233" s="10"/>
      <c r="AXU233" s="10"/>
      <c r="AXV233" s="21"/>
      <c r="AXW233" s="21"/>
      <c r="AXZ233" s="21"/>
      <c r="AYA233" s="15"/>
      <c r="AYB233" s="15"/>
      <c r="AYC233" s="15"/>
      <c r="AYD233" s="15"/>
      <c r="AYE233" s="15"/>
      <c r="AYF233" s="15"/>
      <c r="AYG233" s="15"/>
      <c r="AYH233" s="15"/>
      <c r="AYI233" s="15"/>
      <c r="AYJ233" s="15"/>
      <c r="AYK233" s="10"/>
      <c r="AYL233" s="10"/>
      <c r="AYM233" s="21"/>
      <c r="AYN233" s="21"/>
      <c r="AYQ233" s="21"/>
      <c r="AYR233" s="15"/>
      <c r="AYS233" s="15"/>
      <c r="AYT233" s="15"/>
      <c r="AYU233" s="15"/>
      <c r="AYV233" s="15"/>
      <c r="AYW233" s="15"/>
      <c r="AYX233" s="15"/>
      <c r="AYY233" s="15"/>
      <c r="AYZ233" s="15"/>
      <c r="AZA233" s="15"/>
      <c r="AZB233" s="10"/>
      <c r="AZC233" s="10"/>
      <c r="AZD233" s="21"/>
      <c r="AZE233" s="21"/>
      <c r="AZH233" s="21"/>
      <c r="AZI233" s="15"/>
      <c r="AZJ233" s="15"/>
      <c r="AZK233" s="15"/>
      <c r="AZL233" s="15"/>
      <c r="AZM233" s="15"/>
      <c r="AZN233" s="15"/>
      <c r="AZO233" s="15"/>
      <c r="AZP233" s="15"/>
      <c r="AZQ233" s="15"/>
      <c r="AZR233" s="15"/>
      <c r="AZS233" s="10"/>
      <c r="AZT233" s="10"/>
      <c r="AZU233" s="21"/>
      <c r="AZV233" s="21"/>
      <c r="AZY233" s="21"/>
      <c r="AZZ233" s="15"/>
      <c r="BAA233" s="15"/>
      <c r="BAB233" s="15"/>
      <c r="BAC233" s="15"/>
      <c r="BAD233" s="15"/>
      <c r="BAE233" s="15"/>
      <c r="BAF233" s="15"/>
      <c r="BAG233" s="15"/>
      <c r="BAH233" s="15"/>
      <c r="BAI233" s="15"/>
      <c r="BAJ233" s="10"/>
      <c r="BAK233" s="10"/>
      <c r="BAL233" s="21"/>
      <c r="BAM233" s="21"/>
      <c r="BAP233" s="21"/>
      <c r="BAQ233" s="15"/>
      <c r="BAR233" s="15"/>
      <c r="BAS233" s="15"/>
      <c r="BAT233" s="15"/>
      <c r="BAU233" s="15"/>
      <c r="BAV233" s="15"/>
      <c r="BAW233" s="15"/>
      <c r="BAX233" s="15"/>
      <c r="BAY233" s="15"/>
      <c r="BAZ233" s="15"/>
      <c r="BBA233" s="10"/>
      <c r="BBB233" s="10"/>
      <c r="BBC233" s="21"/>
      <c r="BBD233" s="21"/>
      <c r="BBG233" s="21"/>
      <c r="BBH233" s="15"/>
      <c r="BBI233" s="15"/>
      <c r="BBJ233" s="15"/>
      <c r="BBK233" s="15"/>
      <c r="BBL233" s="15"/>
      <c r="BBM233" s="15"/>
      <c r="BBN233" s="15"/>
      <c r="BBO233" s="15"/>
      <c r="BBP233" s="15"/>
      <c r="BBQ233" s="15"/>
      <c r="BBR233" s="10"/>
      <c r="BBS233" s="10"/>
      <c r="BBT233" s="21"/>
      <c r="BBU233" s="21"/>
      <c r="BBX233" s="21"/>
      <c r="BBY233" s="15"/>
      <c r="BBZ233" s="15"/>
      <c r="BCA233" s="15"/>
      <c r="BCB233" s="15"/>
      <c r="BCC233" s="15"/>
      <c r="BCD233" s="15"/>
      <c r="BCE233" s="15"/>
      <c r="BCF233" s="15"/>
      <c r="BCG233" s="15"/>
      <c r="BCH233" s="15"/>
      <c r="BCI233" s="10"/>
      <c r="BCJ233" s="10"/>
      <c r="BCK233" s="21"/>
      <c r="BCL233" s="21"/>
      <c r="BCO233" s="21"/>
      <c r="BCP233" s="15"/>
      <c r="BCQ233" s="15"/>
      <c r="BCR233" s="15"/>
      <c r="BCS233" s="15"/>
      <c r="BCT233" s="15"/>
      <c r="BCU233" s="15"/>
      <c r="BCV233" s="15"/>
      <c r="BCW233" s="15"/>
      <c r="BCX233" s="15"/>
      <c r="BCY233" s="15"/>
      <c r="BCZ233" s="10"/>
      <c r="BDA233" s="10"/>
      <c r="BDB233" s="21"/>
      <c r="BDC233" s="21"/>
      <c r="BDF233" s="21"/>
      <c r="BDG233" s="15"/>
      <c r="BDH233" s="15"/>
      <c r="BDI233" s="15"/>
      <c r="BDJ233" s="15"/>
      <c r="BDK233" s="15"/>
      <c r="BDL233" s="15"/>
      <c r="BDM233" s="15"/>
      <c r="BDN233" s="15"/>
      <c r="BDO233" s="15"/>
      <c r="BDP233" s="15"/>
      <c r="BDQ233" s="10"/>
      <c r="BDR233" s="10"/>
      <c r="BDS233" s="21"/>
      <c r="BDT233" s="21"/>
      <c r="BDW233" s="21"/>
      <c r="BDX233" s="15"/>
      <c r="BDY233" s="15"/>
      <c r="BDZ233" s="15"/>
      <c r="BEA233" s="15"/>
      <c r="BEB233" s="15"/>
      <c r="BEC233" s="15"/>
      <c r="BED233" s="15"/>
      <c r="BEE233" s="15"/>
      <c r="BEF233" s="15"/>
      <c r="BEG233" s="15"/>
      <c r="BEH233" s="10"/>
      <c r="BEI233" s="10"/>
      <c r="BEJ233" s="21"/>
      <c r="BEK233" s="21"/>
      <c r="BEN233" s="21"/>
      <c r="BEO233" s="15"/>
      <c r="BEP233" s="15"/>
      <c r="BEQ233" s="15"/>
      <c r="BER233" s="15"/>
      <c r="BES233" s="15"/>
      <c r="BET233" s="15"/>
      <c r="BEU233" s="15"/>
      <c r="BEV233" s="15"/>
      <c r="BEW233" s="15"/>
      <c r="BEX233" s="15"/>
      <c r="BEY233" s="10"/>
      <c r="BEZ233" s="10"/>
      <c r="BFA233" s="21"/>
      <c r="BFB233" s="21"/>
      <c r="BFE233" s="21"/>
      <c r="BFF233" s="15"/>
      <c r="BFG233" s="15"/>
      <c r="BFH233" s="15"/>
      <c r="BFI233" s="15"/>
      <c r="BFJ233" s="15"/>
      <c r="BFK233" s="15"/>
      <c r="BFL233" s="15"/>
      <c r="BFM233" s="15"/>
      <c r="BFN233" s="15"/>
      <c r="BFO233" s="15"/>
      <c r="BFP233" s="10"/>
      <c r="BFQ233" s="10"/>
      <c r="BFR233" s="21"/>
      <c r="BFS233" s="21"/>
      <c r="BFV233" s="21"/>
      <c r="BFW233" s="15"/>
      <c r="BFX233" s="15"/>
      <c r="BFY233" s="15"/>
      <c r="BFZ233" s="15"/>
      <c r="BGA233" s="15"/>
      <c r="BGB233" s="15"/>
      <c r="BGC233" s="15"/>
      <c r="BGD233" s="15"/>
      <c r="BGE233" s="15"/>
      <c r="BGF233" s="15"/>
      <c r="BGG233" s="10"/>
      <c r="BGH233" s="10"/>
      <c r="BGI233" s="21"/>
      <c r="BGJ233" s="21"/>
      <c r="BGM233" s="21"/>
      <c r="BGN233" s="15"/>
      <c r="BGO233" s="15"/>
      <c r="BGP233" s="15"/>
      <c r="BGQ233" s="15"/>
      <c r="BGR233" s="15"/>
      <c r="BGS233" s="15"/>
      <c r="BGT233" s="15"/>
      <c r="BGU233" s="15"/>
      <c r="BGV233" s="15"/>
      <c r="BGW233" s="15"/>
      <c r="BGX233" s="10"/>
      <c r="BGY233" s="10"/>
      <c r="BGZ233" s="21"/>
      <c r="BHA233" s="21"/>
      <c r="BHD233" s="21"/>
      <c r="BHE233" s="15"/>
      <c r="BHF233" s="15"/>
      <c r="BHG233" s="15"/>
      <c r="BHH233" s="15"/>
      <c r="BHI233" s="15"/>
      <c r="BHJ233" s="15"/>
      <c r="BHK233" s="15"/>
      <c r="BHL233" s="15"/>
      <c r="BHM233" s="15"/>
      <c r="BHN233" s="15"/>
      <c r="BHO233" s="10"/>
      <c r="BHP233" s="10"/>
      <c r="BHQ233" s="21"/>
      <c r="BHR233" s="21"/>
      <c r="BHU233" s="21"/>
      <c r="BHV233" s="15"/>
      <c r="BHW233" s="15"/>
      <c r="BHX233" s="15"/>
      <c r="BHY233" s="15"/>
      <c r="BHZ233" s="15"/>
      <c r="BIA233" s="15"/>
      <c r="BIB233" s="15"/>
      <c r="BIC233" s="15"/>
      <c r="BID233" s="15"/>
      <c r="BIE233" s="15"/>
      <c r="BIF233" s="10"/>
      <c r="BIG233" s="10"/>
      <c r="BIH233" s="21"/>
      <c r="BII233" s="21"/>
      <c r="BIL233" s="21"/>
      <c r="BIM233" s="15"/>
      <c r="BIN233" s="15"/>
      <c r="BIO233" s="15"/>
      <c r="BIP233" s="15"/>
      <c r="BIQ233" s="15"/>
      <c r="BIR233" s="15"/>
      <c r="BIS233" s="15"/>
      <c r="BIT233" s="15"/>
      <c r="BIU233" s="15"/>
      <c r="BIV233" s="15"/>
      <c r="BIW233" s="10"/>
      <c r="BIX233" s="10"/>
      <c r="BIY233" s="21"/>
      <c r="BIZ233" s="21"/>
      <c r="BJC233" s="21"/>
      <c r="BJD233" s="15"/>
      <c r="BJE233" s="15"/>
      <c r="BJF233" s="15"/>
      <c r="BJG233" s="15"/>
      <c r="BJH233" s="15"/>
      <c r="BJI233" s="15"/>
      <c r="BJJ233" s="15"/>
      <c r="BJK233" s="15"/>
      <c r="BJL233" s="15"/>
      <c r="BJM233" s="15"/>
      <c r="BJN233" s="10"/>
      <c r="BJO233" s="10"/>
      <c r="BJP233" s="21"/>
      <c r="BJQ233" s="21"/>
      <c r="BJT233" s="21"/>
      <c r="BJU233" s="15"/>
      <c r="BJV233" s="15"/>
      <c r="BJW233" s="15"/>
      <c r="BJX233" s="15"/>
      <c r="BJY233" s="15"/>
      <c r="BJZ233" s="15"/>
      <c r="BKA233" s="15"/>
      <c r="BKB233" s="15"/>
      <c r="BKC233" s="15"/>
      <c r="BKD233" s="15"/>
      <c r="BKE233" s="10"/>
      <c r="BKF233" s="10"/>
      <c r="BKG233" s="21"/>
      <c r="BKH233" s="21"/>
      <c r="BKK233" s="21"/>
      <c r="BKL233" s="15"/>
      <c r="BKM233" s="15"/>
      <c r="BKN233" s="15"/>
      <c r="BKO233" s="15"/>
      <c r="BKP233" s="15"/>
      <c r="BKQ233" s="15"/>
      <c r="BKR233" s="15"/>
      <c r="BKS233" s="15"/>
      <c r="BKT233" s="15"/>
      <c r="BKU233" s="15"/>
      <c r="BKV233" s="10"/>
      <c r="BKW233" s="10"/>
      <c r="BKX233" s="21"/>
      <c r="BKY233" s="21"/>
      <c r="BLB233" s="21"/>
      <c r="BLC233" s="15"/>
      <c r="BLD233" s="15"/>
      <c r="BLE233" s="15"/>
      <c r="BLF233" s="15"/>
      <c r="BLG233" s="15"/>
      <c r="BLH233" s="15"/>
      <c r="BLI233" s="15"/>
      <c r="BLJ233" s="15"/>
      <c r="BLK233" s="15"/>
      <c r="BLL233" s="15"/>
      <c r="BLM233" s="10"/>
      <c r="BLN233" s="10"/>
      <c r="BLO233" s="21"/>
      <c r="BLP233" s="21"/>
      <c r="BLS233" s="21"/>
      <c r="BLT233" s="15"/>
      <c r="BLU233" s="15"/>
      <c r="BLV233" s="15"/>
      <c r="BLW233" s="15"/>
      <c r="BLX233" s="15"/>
      <c r="BLY233" s="15"/>
      <c r="BLZ233" s="15"/>
      <c r="BMA233" s="15"/>
      <c r="BMB233" s="15"/>
      <c r="BMC233" s="15"/>
      <c r="BMD233" s="10"/>
      <c r="BME233" s="10"/>
      <c r="BMF233" s="21"/>
      <c r="BMG233" s="21"/>
      <c r="BMJ233" s="21"/>
      <c r="BMK233" s="15"/>
      <c r="BML233" s="15"/>
      <c r="BMM233" s="15"/>
      <c r="BMN233" s="15"/>
      <c r="BMO233" s="15"/>
      <c r="BMP233" s="15"/>
      <c r="BMQ233" s="15"/>
      <c r="BMR233" s="15"/>
      <c r="BMS233" s="15"/>
      <c r="BMT233" s="15"/>
      <c r="BMU233" s="10"/>
      <c r="BMV233" s="10"/>
      <c r="BMW233" s="21"/>
      <c r="BMX233" s="21"/>
      <c r="BNA233" s="21"/>
      <c r="BNB233" s="15"/>
      <c r="BNC233" s="15"/>
      <c r="BND233" s="15"/>
      <c r="BNE233" s="15"/>
      <c r="BNF233" s="15"/>
      <c r="BNG233" s="15"/>
      <c r="BNH233" s="15"/>
      <c r="BNI233" s="15"/>
      <c r="BNJ233" s="15"/>
      <c r="BNK233" s="15"/>
      <c r="BNL233" s="10"/>
      <c r="BNM233" s="10"/>
      <c r="BNN233" s="21"/>
      <c r="BNO233" s="21"/>
      <c r="BNR233" s="21"/>
      <c r="BNS233" s="15"/>
      <c r="BNT233" s="15"/>
      <c r="BNU233" s="15"/>
      <c r="BNV233" s="15"/>
      <c r="BNW233" s="15"/>
      <c r="BNX233" s="15"/>
      <c r="BNY233" s="15"/>
      <c r="BNZ233" s="15"/>
      <c r="BOA233" s="15"/>
      <c r="BOB233" s="15"/>
      <c r="BOC233" s="10"/>
      <c r="BOD233" s="10"/>
      <c r="BOE233" s="21"/>
      <c r="BOF233" s="21"/>
      <c r="BOI233" s="21"/>
      <c r="BOJ233" s="15"/>
      <c r="BOK233" s="15"/>
      <c r="BOL233" s="15"/>
      <c r="BOM233" s="15"/>
      <c r="BON233" s="15"/>
      <c r="BOO233" s="15"/>
      <c r="BOP233" s="15"/>
      <c r="BOQ233" s="15"/>
      <c r="BOR233" s="15"/>
      <c r="BOS233" s="15"/>
      <c r="BOT233" s="10"/>
      <c r="BOU233" s="10"/>
      <c r="BOV233" s="21"/>
      <c r="BOW233" s="21"/>
      <c r="BOZ233" s="21"/>
      <c r="BPA233" s="15"/>
      <c r="BPB233" s="15"/>
      <c r="BPC233" s="15"/>
      <c r="BPD233" s="15"/>
      <c r="BPE233" s="15"/>
      <c r="BPF233" s="15"/>
      <c r="BPG233" s="15"/>
      <c r="BPH233" s="15"/>
      <c r="BPI233" s="15"/>
      <c r="BPJ233" s="15"/>
      <c r="BPK233" s="10"/>
      <c r="BPL233" s="10"/>
      <c r="BPM233" s="21"/>
      <c r="BPN233" s="21"/>
      <c r="BPQ233" s="21"/>
      <c r="BPR233" s="15"/>
      <c r="BPS233" s="15"/>
      <c r="BPT233" s="15"/>
      <c r="BPU233" s="15"/>
      <c r="BPV233" s="15"/>
      <c r="BPW233" s="15"/>
      <c r="BPX233" s="15"/>
      <c r="BPY233" s="15"/>
      <c r="BPZ233" s="15"/>
      <c r="BQA233" s="15"/>
      <c r="BQB233" s="10"/>
      <c r="BQC233" s="10"/>
      <c r="BQD233" s="21"/>
      <c r="BQE233" s="21"/>
      <c r="BQH233" s="21"/>
      <c r="BQI233" s="15"/>
      <c r="BQJ233" s="15"/>
      <c r="BQK233" s="15"/>
      <c r="BQL233" s="15"/>
      <c r="BQM233" s="15"/>
      <c r="BQN233" s="15"/>
      <c r="BQO233" s="15"/>
      <c r="BQP233" s="15"/>
      <c r="BQQ233" s="15"/>
      <c r="BQR233" s="15"/>
      <c r="BQS233" s="10"/>
      <c r="BQT233" s="10"/>
      <c r="BQU233" s="21"/>
      <c r="BQV233" s="21"/>
      <c r="BQY233" s="21"/>
      <c r="BQZ233" s="15"/>
      <c r="BRA233" s="15"/>
      <c r="BRB233" s="15"/>
      <c r="BRC233" s="15"/>
      <c r="BRD233" s="15"/>
      <c r="BRE233" s="15"/>
      <c r="BRF233" s="15"/>
      <c r="BRG233" s="15"/>
      <c r="BRH233" s="15"/>
      <c r="BRI233" s="15"/>
      <c r="BRJ233" s="10"/>
      <c r="BRK233" s="10"/>
      <c r="BRL233" s="21"/>
      <c r="BRM233" s="21"/>
      <c r="BRP233" s="21"/>
      <c r="BRQ233" s="15"/>
      <c r="BRR233" s="15"/>
      <c r="BRS233" s="15"/>
      <c r="BRT233" s="15"/>
      <c r="BRU233" s="15"/>
      <c r="BRV233" s="15"/>
      <c r="BRW233" s="15"/>
      <c r="BRX233" s="15"/>
      <c r="BRY233" s="15"/>
      <c r="BRZ233" s="15"/>
      <c r="BSA233" s="10"/>
      <c r="BSB233" s="10"/>
      <c r="BSC233" s="21"/>
      <c r="BSD233" s="21"/>
      <c r="BSG233" s="21"/>
      <c r="BSH233" s="15"/>
      <c r="BSI233" s="15"/>
      <c r="BSJ233" s="15"/>
      <c r="BSK233" s="15"/>
      <c r="BSL233" s="15"/>
      <c r="BSM233" s="15"/>
      <c r="BSN233" s="15"/>
      <c r="BSO233" s="15"/>
      <c r="BSP233" s="15"/>
      <c r="BSQ233" s="15"/>
      <c r="BSR233" s="10"/>
      <c r="BSS233" s="10"/>
      <c r="BST233" s="21"/>
      <c r="BSU233" s="21"/>
      <c r="BSX233" s="21"/>
      <c r="BSY233" s="15"/>
      <c r="BSZ233" s="15"/>
      <c r="BTA233" s="15"/>
      <c r="BTB233" s="15"/>
      <c r="BTC233" s="15"/>
      <c r="BTD233" s="15"/>
      <c r="BTE233" s="15"/>
      <c r="BTF233" s="15"/>
      <c r="BTG233" s="15"/>
      <c r="BTH233" s="15"/>
      <c r="BTI233" s="10"/>
      <c r="BTJ233" s="10"/>
      <c r="BTK233" s="21"/>
      <c r="BTL233" s="21"/>
      <c r="BTO233" s="21"/>
      <c r="BTP233" s="15"/>
      <c r="BTQ233" s="15"/>
      <c r="BTR233" s="15"/>
      <c r="BTS233" s="15"/>
      <c r="BTT233" s="15"/>
      <c r="BTU233" s="15"/>
      <c r="BTV233" s="15"/>
      <c r="BTW233" s="15"/>
      <c r="BTX233" s="15"/>
      <c r="BTY233" s="15"/>
      <c r="BTZ233" s="10"/>
      <c r="BUA233" s="10"/>
      <c r="BUB233" s="21"/>
      <c r="BUC233" s="21"/>
      <c r="BUF233" s="21"/>
      <c r="BUG233" s="15"/>
      <c r="BUH233" s="15"/>
      <c r="BUI233" s="15"/>
      <c r="BUJ233" s="15"/>
      <c r="BUK233" s="15"/>
      <c r="BUL233" s="15"/>
      <c r="BUM233" s="15"/>
      <c r="BUN233" s="15"/>
      <c r="BUO233" s="15"/>
      <c r="BUP233" s="15"/>
      <c r="BUQ233" s="10"/>
      <c r="BUR233" s="10"/>
      <c r="BUS233" s="21"/>
      <c r="BUT233" s="21"/>
      <c r="BUW233" s="21"/>
      <c r="BUX233" s="15"/>
      <c r="BUY233" s="15"/>
      <c r="BUZ233" s="15"/>
      <c r="BVA233" s="15"/>
      <c r="BVB233" s="15"/>
      <c r="BVC233" s="15"/>
      <c r="BVD233" s="15"/>
      <c r="BVE233" s="15"/>
      <c r="BVF233" s="15"/>
      <c r="BVG233" s="15"/>
      <c r="BVH233" s="10"/>
      <c r="BVI233" s="10"/>
      <c r="BVJ233" s="21"/>
      <c r="BVK233" s="21"/>
      <c r="BVN233" s="21"/>
      <c r="BVO233" s="15"/>
      <c r="BVP233" s="15"/>
      <c r="BVQ233" s="15"/>
      <c r="BVR233" s="15"/>
      <c r="BVS233" s="15"/>
      <c r="BVT233" s="15"/>
      <c r="BVU233" s="15"/>
      <c r="BVV233" s="15"/>
      <c r="BVW233" s="15"/>
      <c r="BVX233" s="15"/>
      <c r="BVY233" s="10"/>
      <c r="BVZ233" s="10"/>
      <c r="BWA233" s="21"/>
      <c r="BWB233" s="21"/>
      <c r="BWE233" s="21"/>
      <c r="BWF233" s="15"/>
      <c r="BWG233" s="15"/>
      <c r="BWH233" s="15"/>
      <c r="BWI233" s="15"/>
      <c r="BWJ233" s="15"/>
      <c r="BWK233" s="15"/>
      <c r="BWL233" s="15"/>
      <c r="BWM233" s="15"/>
      <c r="BWN233" s="15"/>
      <c r="BWO233" s="15"/>
      <c r="BWP233" s="10"/>
      <c r="BWQ233" s="10"/>
      <c r="BWR233" s="21"/>
      <c r="BWS233" s="21"/>
      <c r="BWV233" s="21"/>
      <c r="BWW233" s="15"/>
      <c r="BWX233" s="15"/>
      <c r="BWY233" s="15"/>
      <c r="BWZ233" s="15"/>
      <c r="BXA233" s="15"/>
      <c r="BXB233" s="15"/>
      <c r="BXC233" s="15"/>
      <c r="BXD233" s="15"/>
      <c r="BXE233" s="15"/>
      <c r="BXF233" s="15"/>
      <c r="BXG233" s="10"/>
      <c r="BXH233" s="10"/>
      <c r="BXI233" s="21"/>
      <c r="BXJ233" s="21"/>
      <c r="BXM233" s="21"/>
      <c r="BXN233" s="15"/>
      <c r="BXO233" s="15"/>
      <c r="BXP233" s="15"/>
      <c r="BXQ233" s="15"/>
      <c r="BXR233" s="15"/>
      <c r="BXS233" s="15"/>
      <c r="BXT233" s="15"/>
      <c r="BXU233" s="15"/>
      <c r="BXV233" s="15"/>
      <c r="BXW233" s="15"/>
      <c r="BXX233" s="10"/>
      <c r="BXY233" s="10"/>
      <c r="BXZ233" s="21"/>
      <c r="BYA233" s="21"/>
      <c r="BYD233" s="21"/>
      <c r="BYE233" s="15"/>
      <c r="BYF233" s="15"/>
      <c r="BYG233" s="15"/>
      <c r="BYH233" s="15"/>
      <c r="BYI233" s="15"/>
      <c r="BYJ233" s="15"/>
      <c r="BYK233" s="15"/>
      <c r="BYL233" s="15"/>
      <c r="BYM233" s="15"/>
      <c r="BYN233" s="15"/>
      <c r="BYO233" s="10"/>
      <c r="BYP233" s="10"/>
      <c r="BYQ233" s="21"/>
      <c r="BYR233" s="21"/>
      <c r="BYU233" s="21"/>
      <c r="BYV233" s="15"/>
      <c r="BYW233" s="15"/>
      <c r="BYX233" s="15"/>
      <c r="BYY233" s="15"/>
      <c r="BYZ233" s="15"/>
      <c r="BZA233" s="15"/>
      <c r="BZB233" s="15"/>
      <c r="BZC233" s="15"/>
      <c r="BZD233" s="15"/>
      <c r="BZE233" s="15"/>
      <c r="BZF233" s="10"/>
      <c r="BZG233" s="10"/>
      <c r="BZH233" s="21"/>
      <c r="BZI233" s="21"/>
      <c r="BZL233" s="21"/>
      <c r="BZM233" s="15"/>
      <c r="BZN233" s="15"/>
      <c r="BZO233" s="15"/>
      <c r="BZP233" s="15"/>
      <c r="BZQ233" s="15"/>
      <c r="BZR233" s="15"/>
      <c r="BZS233" s="15"/>
      <c r="BZT233" s="15"/>
      <c r="BZU233" s="15"/>
      <c r="BZV233" s="15"/>
      <c r="BZW233" s="10"/>
      <c r="BZX233" s="10"/>
      <c r="BZY233" s="21"/>
      <c r="BZZ233" s="21"/>
      <c r="CAC233" s="21"/>
      <c r="CAD233" s="15"/>
      <c r="CAE233" s="15"/>
      <c r="CAF233" s="15"/>
      <c r="CAG233" s="15"/>
      <c r="CAH233" s="15"/>
      <c r="CAI233" s="15"/>
      <c r="CAJ233" s="15"/>
      <c r="CAK233" s="15"/>
      <c r="CAL233" s="15"/>
      <c r="CAM233" s="15"/>
      <c r="CAN233" s="10"/>
      <c r="CAO233" s="10"/>
      <c r="CAP233" s="21"/>
      <c r="CAQ233" s="21"/>
      <c r="CAT233" s="21"/>
      <c r="CAU233" s="15"/>
      <c r="CAV233" s="15"/>
      <c r="CAW233" s="15"/>
      <c r="CAX233" s="15"/>
      <c r="CAY233" s="15"/>
      <c r="CAZ233" s="15"/>
      <c r="CBA233" s="15"/>
      <c r="CBB233" s="15"/>
      <c r="CBC233" s="15"/>
      <c r="CBD233" s="15"/>
      <c r="CBE233" s="10"/>
      <c r="CBF233" s="10"/>
      <c r="CBG233" s="21"/>
      <c r="CBH233" s="21"/>
      <c r="CBK233" s="21"/>
      <c r="CBL233" s="15"/>
      <c r="CBM233" s="15"/>
      <c r="CBN233" s="15"/>
      <c r="CBO233" s="15"/>
      <c r="CBP233" s="15"/>
      <c r="CBQ233" s="15"/>
      <c r="CBR233" s="15"/>
      <c r="CBS233" s="15"/>
      <c r="CBT233" s="15"/>
      <c r="CBU233" s="15"/>
      <c r="CBV233" s="10"/>
      <c r="CBW233" s="10"/>
      <c r="CBX233" s="21"/>
      <c r="CBY233" s="21"/>
      <c r="CCB233" s="21"/>
      <c r="CCC233" s="15"/>
      <c r="CCD233" s="15"/>
      <c r="CCE233" s="15"/>
      <c r="CCF233" s="15"/>
      <c r="CCG233" s="15"/>
      <c r="CCH233" s="15"/>
      <c r="CCI233" s="15"/>
      <c r="CCJ233" s="15"/>
      <c r="CCK233" s="15"/>
      <c r="CCL233" s="15"/>
      <c r="CCM233" s="10"/>
      <c r="CCN233" s="10"/>
      <c r="CCO233" s="21"/>
      <c r="CCP233" s="21"/>
      <c r="CCS233" s="21"/>
      <c r="CCT233" s="15"/>
      <c r="CCU233" s="15"/>
      <c r="CCV233" s="15"/>
      <c r="CCW233" s="15"/>
      <c r="CCX233" s="15"/>
      <c r="CCY233" s="15"/>
      <c r="CCZ233" s="15"/>
      <c r="CDA233" s="15"/>
      <c r="CDB233" s="15"/>
      <c r="CDC233" s="15"/>
      <c r="CDD233" s="10"/>
      <c r="CDE233" s="10"/>
      <c r="CDF233" s="21"/>
      <c r="CDG233" s="21"/>
      <c r="CDJ233" s="21"/>
      <c r="CDK233" s="15"/>
      <c r="CDL233" s="15"/>
      <c r="CDM233" s="15"/>
      <c r="CDN233" s="15"/>
      <c r="CDO233" s="15"/>
      <c r="CDP233" s="15"/>
      <c r="CDQ233" s="15"/>
      <c r="CDR233" s="15"/>
      <c r="CDS233" s="15"/>
      <c r="CDT233" s="15"/>
      <c r="CDU233" s="10"/>
      <c r="CDV233" s="10"/>
      <c r="CDW233" s="21"/>
      <c r="CDX233" s="21"/>
      <c r="CEA233" s="21"/>
      <c r="CEB233" s="15"/>
      <c r="CEC233" s="15"/>
      <c r="CED233" s="15"/>
      <c r="CEE233" s="15"/>
      <c r="CEF233" s="15"/>
      <c r="CEG233" s="15"/>
      <c r="CEH233" s="15"/>
      <c r="CEI233" s="15"/>
      <c r="CEJ233" s="15"/>
      <c r="CEK233" s="15"/>
      <c r="CEL233" s="10"/>
      <c r="CEM233" s="10"/>
      <c r="CEN233" s="21"/>
      <c r="CEO233" s="21"/>
      <c r="CER233" s="21"/>
      <c r="CES233" s="15"/>
      <c r="CET233" s="15"/>
      <c r="CEU233" s="15"/>
      <c r="CEV233" s="15"/>
      <c r="CEW233" s="15"/>
      <c r="CEX233" s="15"/>
      <c r="CEY233" s="15"/>
      <c r="CEZ233" s="15"/>
      <c r="CFA233" s="15"/>
      <c r="CFB233" s="15"/>
      <c r="CFC233" s="10"/>
      <c r="CFD233" s="10"/>
      <c r="CFE233" s="21"/>
      <c r="CFF233" s="21"/>
      <c r="CFI233" s="21"/>
      <c r="CFJ233" s="15"/>
      <c r="CFK233" s="15"/>
      <c r="CFL233" s="15"/>
      <c r="CFM233" s="15"/>
      <c r="CFN233" s="15"/>
      <c r="CFO233" s="15"/>
      <c r="CFP233" s="15"/>
      <c r="CFQ233" s="15"/>
      <c r="CFR233" s="15"/>
      <c r="CFS233" s="15"/>
      <c r="CFT233" s="10"/>
      <c r="CFU233" s="10"/>
      <c r="CFV233" s="21"/>
      <c r="CFW233" s="21"/>
      <c r="CFZ233" s="21"/>
      <c r="CGA233" s="15"/>
      <c r="CGB233" s="15"/>
      <c r="CGC233" s="15"/>
      <c r="CGD233" s="15"/>
      <c r="CGE233" s="15"/>
      <c r="CGF233" s="15"/>
      <c r="CGG233" s="15"/>
      <c r="CGH233" s="15"/>
      <c r="CGI233" s="15"/>
      <c r="CGJ233" s="15"/>
      <c r="CGK233" s="10"/>
      <c r="CGL233" s="10"/>
      <c r="CGM233" s="21"/>
      <c r="CGN233" s="21"/>
      <c r="CGQ233" s="21"/>
      <c r="CGR233" s="15"/>
      <c r="CGS233" s="15"/>
      <c r="CGT233" s="15"/>
      <c r="CGU233" s="15"/>
      <c r="CGV233" s="15"/>
      <c r="CGW233" s="15"/>
      <c r="CGX233" s="15"/>
      <c r="CGY233" s="15"/>
      <c r="CGZ233" s="15"/>
      <c r="CHA233" s="15"/>
      <c r="CHB233" s="10"/>
      <c r="CHC233" s="10"/>
      <c r="CHD233" s="21"/>
      <c r="CHE233" s="21"/>
      <c r="CHH233" s="21"/>
      <c r="CHI233" s="15"/>
      <c r="CHJ233" s="15"/>
      <c r="CHK233" s="15"/>
      <c r="CHL233" s="15"/>
      <c r="CHM233" s="15"/>
      <c r="CHN233" s="15"/>
      <c r="CHO233" s="15"/>
      <c r="CHP233" s="15"/>
      <c r="CHQ233" s="15"/>
      <c r="CHR233" s="15"/>
      <c r="CHS233" s="10"/>
      <c r="CHT233" s="10"/>
      <c r="CHU233" s="21"/>
      <c r="CHV233" s="21"/>
      <c r="CHY233" s="21"/>
      <c r="CHZ233" s="15"/>
      <c r="CIA233" s="15"/>
      <c r="CIB233" s="15"/>
      <c r="CIC233" s="15"/>
      <c r="CID233" s="15"/>
      <c r="CIE233" s="15"/>
      <c r="CIF233" s="15"/>
      <c r="CIG233" s="15"/>
      <c r="CIH233" s="15"/>
      <c r="CII233" s="15"/>
      <c r="CIJ233" s="10"/>
      <c r="CIK233" s="10"/>
      <c r="CIL233" s="21"/>
      <c r="CIM233" s="21"/>
      <c r="CIP233" s="21"/>
      <c r="CIQ233" s="15"/>
      <c r="CIR233" s="15"/>
      <c r="CIS233" s="15"/>
      <c r="CIT233" s="15"/>
      <c r="CIU233" s="15"/>
      <c r="CIV233" s="15"/>
      <c r="CIW233" s="15"/>
      <c r="CIX233" s="15"/>
      <c r="CIY233" s="15"/>
      <c r="CIZ233" s="15"/>
      <c r="CJA233" s="10"/>
      <c r="CJB233" s="10"/>
      <c r="CJC233" s="21"/>
      <c r="CJD233" s="21"/>
      <c r="CJG233" s="21"/>
      <c r="CJH233" s="15"/>
      <c r="CJI233" s="15"/>
      <c r="CJJ233" s="15"/>
      <c r="CJK233" s="15"/>
      <c r="CJL233" s="15"/>
      <c r="CJM233" s="15"/>
      <c r="CJN233" s="15"/>
      <c r="CJO233" s="15"/>
      <c r="CJP233" s="15"/>
      <c r="CJQ233" s="15"/>
      <c r="CJR233" s="10"/>
      <c r="CJS233" s="10"/>
      <c r="CJT233" s="21"/>
      <c r="CJU233" s="21"/>
      <c r="CJX233" s="21"/>
      <c r="CJY233" s="15"/>
      <c r="CJZ233" s="15"/>
      <c r="CKA233" s="15"/>
      <c r="CKB233" s="15"/>
      <c r="CKC233" s="15"/>
      <c r="CKD233" s="15"/>
      <c r="CKE233" s="15"/>
      <c r="CKF233" s="15"/>
      <c r="CKG233" s="15"/>
      <c r="CKH233" s="15"/>
      <c r="CKI233" s="10"/>
      <c r="CKJ233" s="10"/>
      <c r="CKK233" s="21"/>
      <c r="CKL233" s="21"/>
      <c r="CKO233" s="21"/>
      <c r="CKP233" s="15"/>
      <c r="CKQ233" s="15"/>
      <c r="CKR233" s="15"/>
      <c r="CKS233" s="15"/>
      <c r="CKT233" s="15"/>
      <c r="CKU233" s="15"/>
      <c r="CKV233" s="15"/>
      <c r="CKW233" s="15"/>
      <c r="CKX233" s="15"/>
      <c r="CKY233" s="15"/>
      <c r="CKZ233" s="10"/>
      <c r="CLA233" s="10"/>
      <c r="CLB233" s="21"/>
      <c r="CLC233" s="21"/>
      <c r="CLF233" s="21"/>
      <c r="CLG233" s="15"/>
      <c r="CLH233" s="15"/>
      <c r="CLI233" s="15"/>
      <c r="CLJ233" s="15"/>
      <c r="CLK233" s="15"/>
      <c r="CLL233" s="15"/>
      <c r="CLM233" s="15"/>
      <c r="CLN233" s="15"/>
      <c r="CLO233" s="15"/>
      <c r="CLP233" s="15"/>
      <c r="CLQ233" s="10"/>
      <c r="CLR233" s="10"/>
      <c r="CLS233" s="21"/>
      <c r="CLT233" s="21"/>
      <c r="CLW233" s="21"/>
      <c r="CLX233" s="15"/>
      <c r="CLY233" s="15"/>
      <c r="CLZ233" s="15"/>
      <c r="CMA233" s="15"/>
      <c r="CMB233" s="15"/>
      <c r="CMC233" s="15"/>
      <c r="CMD233" s="15"/>
      <c r="CME233" s="15"/>
      <c r="CMF233" s="15"/>
      <c r="CMG233" s="15"/>
      <c r="CMH233" s="10"/>
      <c r="CMI233" s="10"/>
      <c r="CMJ233" s="21"/>
      <c r="CMK233" s="21"/>
      <c r="CMN233" s="21"/>
      <c r="CMO233" s="15"/>
      <c r="CMP233" s="15"/>
      <c r="CMQ233" s="15"/>
      <c r="CMR233" s="15"/>
      <c r="CMS233" s="15"/>
      <c r="CMT233" s="15"/>
      <c r="CMU233" s="15"/>
      <c r="CMV233" s="15"/>
      <c r="CMW233" s="15"/>
      <c r="CMX233" s="15"/>
      <c r="CMY233" s="10"/>
      <c r="CMZ233" s="10"/>
      <c r="CNA233" s="21"/>
      <c r="CNB233" s="21"/>
      <c r="CNE233" s="21"/>
      <c r="CNF233" s="15"/>
      <c r="CNG233" s="15"/>
      <c r="CNH233" s="15"/>
      <c r="CNI233" s="15"/>
      <c r="CNJ233" s="15"/>
      <c r="CNK233" s="15"/>
      <c r="CNL233" s="15"/>
      <c r="CNM233" s="15"/>
      <c r="CNN233" s="15"/>
      <c r="CNO233" s="15"/>
      <c r="CNP233" s="10"/>
      <c r="CNQ233" s="10"/>
      <c r="CNR233" s="21"/>
      <c r="CNS233" s="21"/>
      <c r="CNV233" s="21"/>
      <c r="CNW233" s="15"/>
      <c r="CNX233" s="15"/>
      <c r="CNY233" s="15"/>
      <c r="CNZ233" s="15"/>
      <c r="COA233" s="15"/>
      <c r="COB233" s="15"/>
      <c r="COC233" s="15"/>
      <c r="COD233" s="15"/>
      <c r="COE233" s="15"/>
      <c r="COF233" s="15"/>
      <c r="COG233" s="10"/>
      <c r="COH233" s="10"/>
      <c r="COI233" s="21"/>
      <c r="COJ233" s="21"/>
      <c r="COM233" s="21"/>
      <c r="CON233" s="15"/>
      <c r="COO233" s="15"/>
      <c r="COP233" s="15"/>
      <c r="COQ233" s="15"/>
      <c r="COR233" s="15"/>
      <c r="COS233" s="15"/>
      <c r="COT233" s="15"/>
      <c r="COU233" s="15"/>
      <c r="COV233" s="15"/>
      <c r="COW233" s="15"/>
      <c r="COX233" s="10"/>
      <c r="COY233" s="10"/>
      <c r="COZ233" s="21"/>
      <c r="CPA233" s="21"/>
      <c r="CPD233" s="21"/>
      <c r="CPE233" s="15"/>
      <c r="CPF233" s="15"/>
      <c r="CPG233" s="15"/>
      <c r="CPH233" s="15"/>
      <c r="CPI233" s="15"/>
      <c r="CPJ233" s="15"/>
      <c r="CPK233" s="15"/>
      <c r="CPL233" s="15"/>
      <c r="CPM233" s="15"/>
      <c r="CPN233" s="15"/>
      <c r="CPO233" s="10"/>
      <c r="CPP233" s="10"/>
      <c r="CPQ233" s="21"/>
      <c r="CPR233" s="21"/>
      <c r="CPU233" s="21"/>
      <c r="CPV233" s="15"/>
      <c r="CPW233" s="15"/>
      <c r="CPX233" s="15"/>
      <c r="CPY233" s="15"/>
      <c r="CPZ233" s="15"/>
      <c r="CQA233" s="15"/>
      <c r="CQB233" s="15"/>
      <c r="CQC233" s="15"/>
      <c r="CQD233" s="15"/>
      <c r="CQE233" s="15"/>
      <c r="CQF233" s="10"/>
      <c r="CQG233" s="10"/>
      <c r="CQH233" s="21"/>
      <c r="CQI233" s="21"/>
      <c r="CQL233" s="21"/>
      <c r="CQM233" s="15"/>
      <c r="CQN233" s="15"/>
      <c r="CQO233" s="15"/>
      <c r="CQP233" s="15"/>
      <c r="CQQ233" s="15"/>
      <c r="CQR233" s="15"/>
      <c r="CQS233" s="15"/>
      <c r="CQT233" s="15"/>
      <c r="CQU233" s="15"/>
      <c r="CQV233" s="15"/>
      <c r="CQW233" s="10"/>
      <c r="CQX233" s="10"/>
      <c r="CQY233" s="21"/>
      <c r="CQZ233" s="21"/>
      <c r="CRC233" s="21"/>
      <c r="CRD233" s="15"/>
      <c r="CRE233" s="15"/>
      <c r="CRF233" s="15"/>
      <c r="CRG233" s="15"/>
      <c r="CRH233" s="15"/>
      <c r="CRI233" s="15"/>
      <c r="CRJ233" s="15"/>
      <c r="CRK233" s="15"/>
      <c r="CRL233" s="15"/>
      <c r="CRM233" s="15"/>
      <c r="CRN233" s="10"/>
      <c r="CRO233" s="10"/>
      <c r="CRP233" s="21"/>
      <c r="CRQ233" s="21"/>
      <c r="CRT233" s="21"/>
      <c r="CRU233" s="15"/>
      <c r="CRV233" s="15"/>
      <c r="CRW233" s="15"/>
      <c r="CRX233" s="15"/>
      <c r="CRY233" s="15"/>
      <c r="CRZ233" s="15"/>
      <c r="CSA233" s="15"/>
      <c r="CSB233" s="15"/>
      <c r="CSC233" s="15"/>
      <c r="CSD233" s="15"/>
      <c r="CSE233" s="10"/>
      <c r="CSF233" s="10"/>
      <c r="CSG233" s="21"/>
      <c r="CSH233" s="21"/>
      <c r="CSK233" s="21"/>
      <c r="CSL233" s="15"/>
      <c r="CSM233" s="15"/>
      <c r="CSN233" s="15"/>
      <c r="CSO233" s="15"/>
      <c r="CSP233" s="15"/>
      <c r="CSQ233" s="15"/>
      <c r="CSR233" s="15"/>
      <c r="CSS233" s="15"/>
      <c r="CST233" s="15"/>
      <c r="CSU233" s="15"/>
      <c r="CSV233" s="10"/>
      <c r="CSW233" s="10"/>
      <c r="CSX233" s="21"/>
      <c r="CSY233" s="21"/>
      <c r="CTB233" s="21"/>
      <c r="CTC233" s="15"/>
      <c r="CTD233" s="15"/>
      <c r="CTE233" s="15"/>
      <c r="CTF233" s="15"/>
      <c r="CTG233" s="15"/>
      <c r="CTH233" s="15"/>
      <c r="CTI233" s="15"/>
      <c r="CTJ233" s="15"/>
      <c r="CTK233" s="15"/>
      <c r="CTL233" s="15"/>
      <c r="CTM233" s="10"/>
      <c r="CTN233" s="10"/>
      <c r="CTO233" s="21"/>
      <c r="CTP233" s="21"/>
      <c r="CTS233" s="21"/>
      <c r="CTT233" s="15"/>
      <c r="CTU233" s="15"/>
      <c r="CTV233" s="15"/>
      <c r="CTW233" s="15"/>
      <c r="CTX233" s="15"/>
      <c r="CTY233" s="15"/>
      <c r="CTZ233" s="15"/>
      <c r="CUA233" s="15"/>
      <c r="CUB233" s="15"/>
      <c r="CUC233" s="15"/>
      <c r="CUD233" s="10"/>
      <c r="CUE233" s="10"/>
      <c r="CUF233" s="21"/>
      <c r="CUG233" s="21"/>
      <c r="CUJ233" s="21"/>
      <c r="CUK233" s="15"/>
      <c r="CUL233" s="15"/>
      <c r="CUM233" s="15"/>
      <c r="CUN233" s="15"/>
      <c r="CUO233" s="15"/>
      <c r="CUP233" s="15"/>
      <c r="CUQ233" s="15"/>
      <c r="CUR233" s="15"/>
      <c r="CUS233" s="15"/>
      <c r="CUT233" s="15"/>
      <c r="CUU233" s="10"/>
      <c r="CUV233" s="10"/>
      <c r="CUW233" s="21"/>
      <c r="CUX233" s="21"/>
      <c r="CVA233" s="21"/>
      <c r="CVB233" s="15"/>
      <c r="CVC233" s="15"/>
      <c r="CVD233" s="15"/>
      <c r="CVE233" s="15"/>
      <c r="CVF233" s="15"/>
      <c r="CVG233" s="15"/>
      <c r="CVH233" s="15"/>
      <c r="CVI233" s="15"/>
      <c r="CVJ233" s="15"/>
      <c r="CVK233" s="15"/>
      <c r="CVL233" s="10"/>
      <c r="CVM233" s="10"/>
      <c r="CVN233" s="21"/>
      <c r="CVO233" s="21"/>
      <c r="CVR233" s="21"/>
      <c r="CVS233" s="15"/>
      <c r="CVT233" s="15"/>
      <c r="CVU233" s="15"/>
      <c r="CVV233" s="15"/>
      <c r="CVW233" s="15"/>
      <c r="CVX233" s="15"/>
      <c r="CVY233" s="15"/>
      <c r="CVZ233" s="15"/>
      <c r="CWA233" s="15"/>
      <c r="CWB233" s="15"/>
      <c r="CWC233" s="10"/>
      <c r="CWD233" s="10"/>
      <c r="CWE233" s="21"/>
      <c r="CWF233" s="21"/>
      <c r="CWI233" s="21"/>
      <c r="CWJ233" s="15"/>
      <c r="CWK233" s="15"/>
      <c r="CWL233" s="15"/>
      <c r="CWM233" s="15"/>
      <c r="CWN233" s="15"/>
      <c r="CWO233" s="15"/>
      <c r="CWP233" s="15"/>
      <c r="CWQ233" s="15"/>
      <c r="CWR233" s="15"/>
      <c r="CWS233" s="15"/>
      <c r="CWT233" s="10"/>
      <c r="CWU233" s="10"/>
      <c r="CWV233" s="21"/>
      <c r="CWW233" s="21"/>
      <c r="CWZ233" s="21"/>
      <c r="CXA233" s="15"/>
      <c r="CXB233" s="15"/>
      <c r="CXC233" s="15"/>
      <c r="CXD233" s="15"/>
      <c r="CXE233" s="15"/>
      <c r="CXF233" s="15"/>
      <c r="CXG233" s="15"/>
      <c r="CXH233" s="15"/>
      <c r="CXI233" s="15"/>
      <c r="CXJ233" s="15"/>
      <c r="CXK233" s="10"/>
      <c r="CXL233" s="10"/>
      <c r="CXM233" s="21"/>
      <c r="CXN233" s="21"/>
      <c r="CXQ233" s="21"/>
      <c r="CXR233" s="15"/>
      <c r="CXS233" s="15"/>
      <c r="CXT233" s="15"/>
      <c r="CXU233" s="15"/>
      <c r="CXV233" s="15"/>
      <c r="CXW233" s="15"/>
      <c r="CXX233" s="15"/>
      <c r="CXY233" s="15"/>
      <c r="CXZ233" s="15"/>
      <c r="CYA233" s="15"/>
      <c r="CYB233" s="10"/>
      <c r="CYC233" s="10"/>
      <c r="CYD233" s="21"/>
      <c r="CYE233" s="21"/>
      <c r="CYH233" s="21"/>
      <c r="CYI233" s="15"/>
      <c r="CYJ233" s="15"/>
      <c r="CYK233" s="15"/>
      <c r="CYL233" s="15"/>
      <c r="CYM233" s="15"/>
      <c r="CYN233" s="15"/>
      <c r="CYO233" s="15"/>
      <c r="CYP233" s="15"/>
      <c r="CYQ233" s="15"/>
      <c r="CYR233" s="15"/>
      <c r="CYS233" s="10"/>
      <c r="CYT233" s="10"/>
      <c r="CYU233" s="21"/>
      <c r="CYV233" s="21"/>
      <c r="CYY233" s="21"/>
      <c r="CYZ233" s="15"/>
      <c r="CZA233" s="15"/>
      <c r="CZB233" s="15"/>
      <c r="CZC233" s="15"/>
      <c r="CZD233" s="15"/>
      <c r="CZE233" s="15"/>
      <c r="CZF233" s="15"/>
      <c r="CZG233" s="15"/>
      <c r="CZH233" s="15"/>
      <c r="CZI233" s="15"/>
      <c r="CZJ233" s="10"/>
      <c r="CZK233" s="10"/>
      <c r="CZL233" s="21"/>
      <c r="CZM233" s="21"/>
      <c r="CZP233" s="21"/>
      <c r="CZQ233" s="15"/>
      <c r="CZR233" s="15"/>
      <c r="CZS233" s="15"/>
      <c r="CZT233" s="15"/>
      <c r="CZU233" s="15"/>
      <c r="CZV233" s="15"/>
      <c r="CZW233" s="15"/>
      <c r="CZX233" s="15"/>
      <c r="CZY233" s="15"/>
      <c r="CZZ233" s="15"/>
      <c r="DAA233" s="10"/>
      <c r="DAB233" s="10"/>
      <c r="DAC233" s="21"/>
      <c r="DAD233" s="21"/>
      <c r="DAG233" s="21"/>
      <c r="DAH233" s="15"/>
      <c r="DAI233" s="15"/>
      <c r="DAJ233" s="15"/>
      <c r="DAK233" s="15"/>
      <c r="DAL233" s="15"/>
      <c r="DAM233" s="15"/>
      <c r="DAN233" s="15"/>
      <c r="DAO233" s="15"/>
      <c r="DAP233" s="15"/>
      <c r="DAQ233" s="15"/>
      <c r="DAR233" s="10"/>
      <c r="DAS233" s="10"/>
      <c r="DAT233" s="21"/>
      <c r="DAU233" s="21"/>
      <c r="DAX233" s="21"/>
      <c r="DAY233" s="15"/>
      <c r="DAZ233" s="15"/>
      <c r="DBA233" s="15"/>
      <c r="DBB233" s="15"/>
      <c r="DBC233" s="15"/>
      <c r="DBD233" s="15"/>
      <c r="DBE233" s="15"/>
      <c r="DBF233" s="15"/>
      <c r="DBG233" s="15"/>
      <c r="DBH233" s="15"/>
      <c r="DBI233" s="10"/>
      <c r="DBJ233" s="10"/>
      <c r="DBK233" s="21"/>
      <c r="DBL233" s="21"/>
      <c r="DBO233" s="21"/>
      <c r="DBP233" s="15"/>
      <c r="DBQ233" s="15"/>
      <c r="DBR233" s="15"/>
      <c r="DBS233" s="15"/>
      <c r="DBT233" s="15"/>
      <c r="DBU233" s="15"/>
      <c r="DBV233" s="15"/>
      <c r="DBW233" s="15"/>
      <c r="DBX233" s="15"/>
      <c r="DBY233" s="15"/>
      <c r="DBZ233" s="10"/>
      <c r="DCA233" s="10"/>
      <c r="DCB233" s="21"/>
      <c r="DCC233" s="21"/>
      <c r="DCF233" s="21"/>
      <c r="DCG233" s="15"/>
      <c r="DCH233" s="15"/>
      <c r="DCI233" s="15"/>
      <c r="DCJ233" s="15"/>
      <c r="DCK233" s="15"/>
      <c r="DCL233" s="15"/>
      <c r="DCM233" s="15"/>
      <c r="DCN233" s="15"/>
      <c r="DCO233" s="15"/>
      <c r="DCP233" s="15"/>
      <c r="DCQ233" s="10"/>
      <c r="DCR233" s="10"/>
      <c r="DCS233" s="21"/>
      <c r="DCT233" s="21"/>
      <c r="DCW233" s="21"/>
      <c r="DCX233" s="15"/>
      <c r="DCY233" s="15"/>
      <c r="DCZ233" s="15"/>
      <c r="DDA233" s="15"/>
      <c r="DDB233" s="15"/>
      <c r="DDC233" s="15"/>
      <c r="DDD233" s="15"/>
      <c r="DDE233" s="15"/>
      <c r="DDF233" s="15"/>
      <c r="DDG233" s="15"/>
      <c r="DDH233" s="10"/>
      <c r="DDI233" s="10"/>
      <c r="DDJ233" s="21"/>
      <c r="DDK233" s="21"/>
      <c r="DDN233" s="21"/>
      <c r="DDO233" s="15"/>
      <c r="DDP233" s="15"/>
      <c r="DDQ233" s="15"/>
      <c r="DDR233" s="15"/>
      <c r="DDS233" s="15"/>
      <c r="DDT233" s="15"/>
      <c r="DDU233" s="15"/>
      <c r="DDV233" s="15"/>
      <c r="DDW233" s="15"/>
      <c r="DDX233" s="15"/>
      <c r="DDY233" s="10"/>
      <c r="DDZ233" s="10"/>
      <c r="DEA233" s="21"/>
      <c r="DEB233" s="21"/>
      <c r="DEE233" s="21"/>
      <c r="DEF233" s="15"/>
      <c r="DEG233" s="15"/>
      <c r="DEH233" s="15"/>
      <c r="DEI233" s="15"/>
      <c r="DEJ233" s="15"/>
      <c r="DEK233" s="15"/>
      <c r="DEL233" s="15"/>
      <c r="DEM233" s="15"/>
      <c r="DEN233" s="15"/>
      <c r="DEO233" s="15"/>
      <c r="DEP233" s="10"/>
      <c r="DEQ233" s="10"/>
      <c r="DER233" s="21"/>
      <c r="DES233" s="21"/>
      <c r="DEV233" s="21"/>
      <c r="DEW233" s="15"/>
      <c r="DEX233" s="15"/>
      <c r="DEY233" s="15"/>
      <c r="DEZ233" s="15"/>
      <c r="DFA233" s="15"/>
      <c r="DFB233" s="15"/>
      <c r="DFC233" s="15"/>
      <c r="DFD233" s="15"/>
      <c r="DFE233" s="15"/>
      <c r="DFF233" s="15"/>
      <c r="DFG233" s="10"/>
      <c r="DFH233" s="10"/>
      <c r="DFI233" s="21"/>
      <c r="DFJ233" s="21"/>
      <c r="DFM233" s="21"/>
      <c r="DFN233" s="15"/>
      <c r="DFO233" s="15"/>
      <c r="DFP233" s="15"/>
      <c r="DFQ233" s="15"/>
      <c r="DFR233" s="15"/>
      <c r="DFS233" s="15"/>
      <c r="DFT233" s="15"/>
      <c r="DFU233" s="15"/>
      <c r="DFV233" s="15"/>
      <c r="DFW233" s="15"/>
      <c r="DFX233" s="10"/>
      <c r="DFY233" s="10"/>
      <c r="DFZ233" s="21"/>
      <c r="DGA233" s="21"/>
      <c r="DGD233" s="21"/>
      <c r="DGE233" s="15"/>
      <c r="DGF233" s="15"/>
      <c r="DGG233" s="15"/>
      <c r="DGH233" s="15"/>
      <c r="DGI233" s="15"/>
      <c r="DGJ233" s="15"/>
      <c r="DGK233" s="15"/>
      <c r="DGL233" s="15"/>
      <c r="DGM233" s="15"/>
      <c r="DGN233" s="15"/>
      <c r="DGO233" s="10"/>
      <c r="DGP233" s="10"/>
      <c r="DGQ233" s="21"/>
      <c r="DGR233" s="21"/>
      <c r="DGU233" s="21"/>
      <c r="DGV233" s="15"/>
      <c r="DGW233" s="15"/>
      <c r="DGX233" s="15"/>
      <c r="DGY233" s="15"/>
      <c r="DGZ233" s="15"/>
      <c r="DHA233" s="15"/>
      <c r="DHB233" s="15"/>
      <c r="DHC233" s="15"/>
      <c r="DHD233" s="15"/>
      <c r="DHE233" s="15"/>
      <c r="DHF233" s="10"/>
      <c r="DHG233" s="10"/>
      <c r="DHH233" s="21"/>
      <c r="DHI233" s="21"/>
      <c r="DHL233" s="21"/>
      <c r="DHM233" s="15"/>
      <c r="DHN233" s="15"/>
      <c r="DHO233" s="15"/>
      <c r="DHP233" s="15"/>
      <c r="DHQ233" s="15"/>
      <c r="DHR233" s="15"/>
      <c r="DHS233" s="15"/>
      <c r="DHT233" s="15"/>
      <c r="DHU233" s="15"/>
      <c r="DHV233" s="15"/>
      <c r="DHW233" s="10"/>
      <c r="DHX233" s="10"/>
      <c r="DHY233" s="21"/>
      <c r="DHZ233" s="21"/>
      <c r="DIC233" s="21"/>
      <c r="DID233" s="15"/>
      <c r="DIE233" s="15"/>
      <c r="DIF233" s="15"/>
      <c r="DIG233" s="15"/>
      <c r="DIH233" s="15"/>
      <c r="DII233" s="15"/>
      <c r="DIJ233" s="15"/>
      <c r="DIK233" s="15"/>
      <c r="DIL233" s="15"/>
      <c r="DIM233" s="15"/>
      <c r="DIN233" s="10"/>
      <c r="DIO233" s="10"/>
      <c r="DIP233" s="21"/>
      <c r="DIQ233" s="21"/>
      <c r="DIT233" s="21"/>
      <c r="DIU233" s="15"/>
      <c r="DIV233" s="15"/>
      <c r="DIW233" s="15"/>
      <c r="DIX233" s="15"/>
      <c r="DIY233" s="15"/>
      <c r="DIZ233" s="15"/>
      <c r="DJA233" s="15"/>
      <c r="DJB233" s="15"/>
      <c r="DJC233" s="15"/>
      <c r="DJD233" s="15"/>
      <c r="DJE233" s="10"/>
      <c r="DJF233" s="10"/>
      <c r="DJG233" s="21"/>
      <c r="DJH233" s="21"/>
      <c r="DJK233" s="21"/>
      <c r="DJL233" s="15"/>
      <c r="DJM233" s="15"/>
      <c r="DJN233" s="15"/>
      <c r="DJO233" s="15"/>
      <c r="DJP233" s="15"/>
      <c r="DJQ233" s="15"/>
      <c r="DJR233" s="15"/>
      <c r="DJS233" s="15"/>
      <c r="DJT233" s="15"/>
      <c r="DJU233" s="15"/>
      <c r="DJV233" s="10"/>
      <c r="DJW233" s="10"/>
      <c r="DJX233" s="21"/>
      <c r="DJY233" s="21"/>
      <c r="DKB233" s="21"/>
      <c r="DKC233" s="15"/>
      <c r="DKD233" s="15"/>
      <c r="DKE233" s="15"/>
      <c r="DKF233" s="15"/>
      <c r="DKG233" s="15"/>
      <c r="DKH233" s="15"/>
      <c r="DKI233" s="15"/>
      <c r="DKJ233" s="15"/>
      <c r="DKK233" s="15"/>
      <c r="DKL233" s="15"/>
      <c r="DKM233" s="10"/>
      <c r="DKN233" s="10"/>
      <c r="DKO233" s="21"/>
      <c r="DKP233" s="21"/>
      <c r="DKS233" s="21"/>
      <c r="DKT233" s="15"/>
      <c r="DKU233" s="15"/>
      <c r="DKV233" s="15"/>
      <c r="DKW233" s="15"/>
      <c r="DKX233" s="15"/>
      <c r="DKY233" s="15"/>
      <c r="DKZ233" s="15"/>
      <c r="DLA233" s="15"/>
      <c r="DLB233" s="15"/>
      <c r="DLC233" s="15"/>
      <c r="DLD233" s="10"/>
      <c r="DLE233" s="10"/>
      <c r="DLF233" s="21"/>
      <c r="DLG233" s="21"/>
      <c r="DLJ233" s="21"/>
      <c r="DLK233" s="15"/>
      <c r="DLL233" s="15"/>
      <c r="DLM233" s="15"/>
      <c r="DLN233" s="15"/>
      <c r="DLO233" s="15"/>
      <c r="DLP233" s="15"/>
      <c r="DLQ233" s="15"/>
      <c r="DLR233" s="15"/>
      <c r="DLS233" s="15"/>
      <c r="DLT233" s="15"/>
      <c r="DLU233" s="10"/>
      <c r="DLV233" s="10"/>
      <c r="DLW233" s="21"/>
      <c r="DLX233" s="21"/>
      <c r="DMA233" s="21"/>
      <c r="DMB233" s="15"/>
      <c r="DMC233" s="15"/>
      <c r="DMD233" s="15"/>
      <c r="DME233" s="15"/>
      <c r="DMF233" s="15"/>
      <c r="DMG233" s="15"/>
      <c r="DMH233" s="15"/>
      <c r="DMI233" s="15"/>
      <c r="DMJ233" s="15"/>
      <c r="DMK233" s="15"/>
      <c r="DML233" s="10"/>
      <c r="DMM233" s="10"/>
      <c r="DMN233" s="21"/>
      <c r="DMO233" s="21"/>
      <c r="DMR233" s="21"/>
      <c r="DMS233" s="15"/>
      <c r="DMT233" s="15"/>
      <c r="DMU233" s="15"/>
      <c r="DMV233" s="15"/>
      <c r="DMW233" s="15"/>
      <c r="DMX233" s="15"/>
      <c r="DMY233" s="15"/>
      <c r="DMZ233" s="15"/>
      <c r="DNA233" s="15"/>
      <c r="DNB233" s="15"/>
      <c r="DNC233" s="10"/>
      <c r="DND233" s="10"/>
      <c r="DNE233" s="21"/>
      <c r="DNF233" s="21"/>
      <c r="DNI233" s="21"/>
      <c r="DNJ233" s="15"/>
      <c r="DNK233" s="15"/>
      <c r="DNL233" s="15"/>
      <c r="DNM233" s="15"/>
      <c r="DNN233" s="15"/>
      <c r="DNO233" s="15"/>
      <c r="DNP233" s="15"/>
      <c r="DNQ233" s="15"/>
      <c r="DNR233" s="15"/>
      <c r="DNS233" s="15"/>
      <c r="DNT233" s="10"/>
      <c r="DNU233" s="10"/>
      <c r="DNV233" s="21"/>
      <c r="DNW233" s="21"/>
      <c r="DNZ233" s="21"/>
      <c r="DOA233" s="15"/>
      <c r="DOB233" s="15"/>
      <c r="DOC233" s="15"/>
      <c r="DOD233" s="15"/>
      <c r="DOE233" s="15"/>
      <c r="DOF233" s="15"/>
      <c r="DOG233" s="15"/>
      <c r="DOH233" s="15"/>
      <c r="DOI233" s="15"/>
      <c r="DOJ233" s="15"/>
      <c r="DOK233" s="10"/>
      <c r="DOL233" s="10"/>
      <c r="DOM233" s="21"/>
      <c r="DON233" s="21"/>
      <c r="DOQ233" s="21"/>
      <c r="DOR233" s="15"/>
      <c r="DOS233" s="15"/>
      <c r="DOT233" s="15"/>
      <c r="DOU233" s="15"/>
      <c r="DOV233" s="15"/>
      <c r="DOW233" s="15"/>
      <c r="DOX233" s="15"/>
      <c r="DOY233" s="15"/>
      <c r="DOZ233" s="15"/>
      <c r="DPA233" s="15"/>
      <c r="DPB233" s="10"/>
      <c r="DPC233" s="10"/>
      <c r="DPD233" s="21"/>
      <c r="DPE233" s="21"/>
      <c r="DPH233" s="21"/>
      <c r="DPI233" s="15"/>
      <c r="DPJ233" s="15"/>
      <c r="DPK233" s="15"/>
      <c r="DPL233" s="15"/>
      <c r="DPM233" s="15"/>
      <c r="DPN233" s="15"/>
      <c r="DPO233" s="15"/>
      <c r="DPP233" s="15"/>
      <c r="DPQ233" s="15"/>
      <c r="DPR233" s="15"/>
      <c r="DPS233" s="10"/>
      <c r="DPT233" s="10"/>
      <c r="DPU233" s="21"/>
      <c r="DPV233" s="21"/>
      <c r="DPY233" s="21"/>
      <c r="DPZ233" s="15"/>
      <c r="DQA233" s="15"/>
      <c r="DQB233" s="15"/>
      <c r="DQC233" s="15"/>
      <c r="DQD233" s="15"/>
      <c r="DQE233" s="15"/>
      <c r="DQF233" s="15"/>
      <c r="DQG233" s="15"/>
      <c r="DQH233" s="15"/>
      <c r="DQI233" s="15"/>
      <c r="DQJ233" s="10"/>
      <c r="DQK233" s="10"/>
      <c r="DQL233" s="21"/>
      <c r="DQM233" s="21"/>
      <c r="DQP233" s="21"/>
      <c r="DQQ233" s="15"/>
      <c r="DQR233" s="15"/>
      <c r="DQS233" s="15"/>
      <c r="DQT233" s="15"/>
      <c r="DQU233" s="15"/>
      <c r="DQV233" s="15"/>
      <c r="DQW233" s="15"/>
      <c r="DQX233" s="15"/>
      <c r="DQY233" s="15"/>
      <c r="DQZ233" s="15"/>
      <c r="DRA233" s="10"/>
      <c r="DRB233" s="10"/>
      <c r="DRC233" s="21"/>
      <c r="DRD233" s="21"/>
      <c r="DRG233" s="21"/>
      <c r="DRH233" s="15"/>
      <c r="DRI233" s="15"/>
      <c r="DRJ233" s="15"/>
      <c r="DRK233" s="15"/>
      <c r="DRL233" s="15"/>
      <c r="DRM233" s="15"/>
      <c r="DRN233" s="15"/>
      <c r="DRO233" s="15"/>
      <c r="DRP233" s="15"/>
      <c r="DRQ233" s="15"/>
      <c r="DRR233" s="10"/>
      <c r="DRS233" s="10"/>
      <c r="DRT233" s="21"/>
      <c r="DRU233" s="21"/>
      <c r="DRX233" s="21"/>
      <c r="DRY233" s="15"/>
      <c r="DRZ233" s="15"/>
      <c r="DSA233" s="15"/>
      <c r="DSB233" s="15"/>
      <c r="DSC233" s="15"/>
      <c r="DSD233" s="15"/>
      <c r="DSE233" s="15"/>
      <c r="DSF233" s="15"/>
      <c r="DSG233" s="15"/>
      <c r="DSH233" s="15"/>
      <c r="DSI233" s="10"/>
      <c r="DSJ233" s="10"/>
      <c r="DSK233" s="21"/>
      <c r="DSL233" s="21"/>
      <c r="DSO233" s="21"/>
      <c r="DSP233" s="15"/>
      <c r="DSQ233" s="15"/>
      <c r="DSR233" s="15"/>
      <c r="DSS233" s="15"/>
      <c r="DST233" s="15"/>
      <c r="DSU233" s="15"/>
      <c r="DSV233" s="15"/>
      <c r="DSW233" s="15"/>
      <c r="DSX233" s="15"/>
      <c r="DSY233" s="15"/>
      <c r="DSZ233" s="10"/>
      <c r="DTA233" s="10"/>
      <c r="DTB233" s="21"/>
      <c r="DTC233" s="21"/>
      <c r="DTF233" s="21"/>
      <c r="DTG233" s="15"/>
      <c r="DTH233" s="15"/>
      <c r="DTI233" s="15"/>
      <c r="DTJ233" s="15"/>
      <c r="DTK233" s="15"/>
      <c r="DTL233" s="15"/>
      <c r="DTM233" s="15"/>
      <c r="DTN233" s="15"/>
      <c r="DTO233" s="15"/>
      <c r="DTP233" s="15"/>
      <c r="DTQ233" s="10"/>
      <c r="DTR233" s="10"/>
      <c r="DTS233" s="21"/>
      <c r="DTT233" s="21"/>
      <c r="DTW233" s="21"/>
      <c r="DTX233" s="15"/>
      <c r="DTY233" s="15"/>
      <c r="DTZ233" s="15"/>
      <c r="DUA233" s="15"/>
      <c r="DUB233" s="15"/>
      <c r="DUC233" s="15"/>
      <c r="DUD233" s="15"/>
      <c r="DUE233" s="15"/>
      <c r="DUF233" s="15"/>
      <c r="DUG233" s="15"/>
      <c r="DUH233" s="10"/>
      <c r="DUI233" s="10"/>
      <c r="DUJ233" s="21"/>
      <c r="DUK233" s="21"/>
      <c r="DUN233" s="21"/>
      <c r="DUO233" s="15"/>
      <c r="DUP233" s="15"/>
      <c r="DUQ233" s="15"/>
      <c r="DUR233" s="15"/>
      <c r="DUS233" s="15"/>
      <c r="DUT233" s="15"/>
      <c r="DUU233" s="15"/>
      <c r="DUV233" s="15"/>
      <c r="DUW233" s="15"/>
      <c r="DUX233" s="15"/>
      <c r="DUY233" s="10"/>
      <c r="DUZ233" s="10"/>
      <c r="DVA233" s="21"/>
      <c r="DVB233" s="21"/>
      <c r="DVE233" s="21"/>
      <c r="DVF233" s="15"/>
      <c r="DVG233" s="15"/>
      <c r="DVH233" s="15"/>
      <c r="DVI233" s="15"/>
      <c r="DVJ233" s="15"/>
      <c r="DVK233" s="15"/>
      <c r="DVL233" s="15"/>
      <c r="DVM233" s="15"/>
      <c r="DVN233" s="15"/>
      <c r="DVO233" s="15"/>
      <c r="DVP233" s="10"/>
      <c r="DVQ233" s="10"/>
      <c r="DVR233" s="21"/>
      <c r="DVS233" s="21"/>
      <c r="DVV233" s="21"/>
      <c r="DVW233" s="15"/>
      <c r="DVX233" s="15"/>
      <c r="DVY233" s="15"/>
      <c r="DVZ233" s="15"/>
      <c r="DWA233" s="15"/>
      <c r="DWB233" s="15"/>
      <c r="DWC233" s="15"/>
      <c r="DWD233" s="15"/>
      <c r="DWE233" s="15"/>
      <c r="DWF233" s="15"/>
      <c r="DWG233" s="10"/>
      <c r="DWH233" s="10"/>
      <c r="DWI233" s="21"/>
      <c r="DWJ233" s="21"/>
      <c r="DWM233" s="21"/>
      <c r="DWN233" s="15"/>
      <c r="DWO233" s="15"/>
      <c r="DWP233" s="15"/>
      <c r="DWQ233" s="15"/>
      <c r="DWR233" s="15"/>
      <c r="DWS233" s="15"/>
      <c r="DWT233" s="15"/>
      <c r="DWU233" s="15"/>
      <c r="DWV233" s="15"/>
      <c r="DWW233" s="15"/>
      <c r="DWX233" s="10"/>
      <c r="DWY233" s="10"/>
      <c r="DWZ233" s="21"/>
      <c r="DXA233" s="21"/>
      <c r="DXD233" s="21"/>
      <c r="DXE233" s="15"/>
      <c r="DXF233" s="15"/>
      <c r="DXG233" s="15"/>
      <c r="DXH233" s="15"/>
      <c r="DXI233" s="15"/>
      <c r="DXJ233" s="15"/>
      <c r="DXK233" s="15"/>
      <c r="DXL233" s="15"/>
      <c r="DXM233" s="15"/>
      <c r="DXN233" s="15"/>
      <c r="DXO233" s="10"/>
      <c r="DXP233" s="10"/>
      <c r="DXQ233" s="21"/>
      <c r="DXR233" s="21"/>
      <c r="DXU233" s="21"/>
      <c r="DXV233" s="15"/>
      <c r="DXW233" s="15"/>
      <c r="DXX233" s="15"/>
      <c r="DXY233" s="15"/>
      <c r="DXZ233" s="15"/>
      <c r="DYA233" s="15"/>
      <c r="DYB233" s="15"/>
      <c r="DYC233" s="15"/>
      <c r="DYD233" s="15"/>
      <c r="DYE233" s="15"/>
      <c r="DYF233" s="10"/>
      <c r="DYG233" s="10"/>
      <c r="DYH233" s="21"/>
      <c r="DYI233" s="21"/>
      <c r="DYL233" s="21"/>
      <c r="DYM233" s="15"/>
      <c r="DYN233" s="15"/>
      <c r="DYO233" s="15"/>
      <c r="DYP233" s="15"/>
      <c r="DYQ233" s="15"/>
      <c r="DYR233" s="15"/>
      <c r="DYS233" s="15"/>
      <c r="DYT233" s="15"/>
      <c r="DYU233" s="15"/>
      <c r="DYV233" s="15"/>
      <c r="DYW233" s="10"/>
      <c r="DYX233" s="10"/>
      <c r="DYY233" s="21"/>
      <c r="DYZ233" s="21"/>
      <c r="DZC233" s="21"/>
      <c r="DZD233" s="15"/>
      <c r="DZE233" s="15"/>
      <c r="DZF233" s="15"/>
      <c r="DZG233" s="15"/>
      <c r="DZH233" s="15"/>
      <c r="DZI233" s="15"/>
      <c r="DZJ233" s="15"/>
      <c r="DZK233" s="15"/>
      <c r="DZL233" s="15"/>
      <c r="DZM233" s="15"/>
      <c r="DZN233" s="10"/>
      <c r="DZO233" s="10"/>
      <c r="DZP233" s="21"/>
      <c r="DZQ233" s="21"/>
      <c r="DZT233" s="21"/>
      <c r="DZU233" s="15"/>
      <c r="DZV233" s="15"/>
      <c r="DZW233" s="15"/>
      <c r="DZX233" s="15"/>
      <c r="DZY233" s="15"/>
      <c r="DZZ233" s="15"/>
      <c r="EAA233" s="15"/>
      <c r="EAB233" s="15"/>
      <c r="EAC233" s="15"/>
      <c r="EAD233" s="15"/>
      <c r="EAE233" s="10"/>
      <c r="EAF233" s="10"/>
      <c r="EAG233" s="21"/>
      <c r="EAH233" s="21"/>
      <c r="EAK233" s="21"/>
      <c r="EAL233" s="15"/>
      <c r="EAM233" s="15"/>
      <c r="EAN233" s="15"/>
      <c r="EAO233" s="15"/>
      <c r="EAP233" s="15"/>
      <c r="EAQ233" s="15"/>
      <c r="EAR233" s="15"/>
      <c r="EAS233" s="15"/>
      <c r="EAT233" s="15"/>
      <c r="EAU233" s="15"/>
      <c r="EAV233" s="10"/>
      <c r="EAW233" s="10"/>
      <c r="EAX233" s="21"/>
      <c r="EAY233" s="21"/>
      <c r="EBB233" s="21"/>
      <c r="EBC233" s="15"/>
      <c r="EBD233" s="15"/>
      <c r="EBE233" s="15"/>
      <c r="EBF233" s="15"/>
      <c r="EBG233" s="15"/>
      <c r="EBH233" s="15"/>
      <c r="EBI233" s="15"/>
      <c r="EBJ233" s="15"/>
      <c r="EBK233" s="15"/>
      <c r="EBL233" s="15"/>
      <c r="EBM233" s="10"/>
      <c r="EBN233" s="10"/>
      <c r="EBO233" s="21"/>
      <c r="EBP233" s="21"/>
      <c r="EBS233" s="21"/>
      <c r="EBT233" s="15"/>
      <c r="EBU233" s="15"/>
      <c r="EBV233" s="15"/>
      <c r="EBW233" s="15"/>
      <c r="EBX233" s="15"/>
      <c r="EBY233" s="15"/>
      <c r="EBZ233" s="15"/>
      <c r="ECA233" s="15"/>
      <c r="ECB233" s="15"/>
      <c r="ECC233" s="15"/>
      <c r="ECD233" s="10"/>
      <c r="ECE233" s="10"/>
      <c r="ECF233" s="21"/>
      <c r="ECG233" s="21"/>
      <c r="ECJ233" s="21"/>
      <c r="ECK233" s="15"/>
      <c r="ECL233" s="15"/>
      <c r="ECM233" s="15"/>
      <c r="ECN233" s="15"/>
      <c r="ECO233" s="15"/>
      <c r="ECP233" s="15"/>
      <c r="ECQ233" s="15"/>
      <c r="ECR233" s="15"/>
      <c r="ECS233" s="15"/>
      <c r="ECT233" s="15"/>
      <c r="ECU233" s="10"/>
      <c r="ECV233" s="10"/>
      <c r="ECW233" s="21"/>
      <c r="ECX233" s="21"/>
      <c r="EDA233" s="21"/>
      <c r="EDB233" s="15"/>
      <c r="EDC233" s="15"/>
      <c r="EDD233" s="15"/>
      <c r="EDE233" s="15"/>
      <c r="EDF233" s="15"/>
      <c r="EDG233" s="15"/>
      <c r="EDH233" s="15"/>
      <c r="EDI233" s="15"/>
      <c r="EDJ233" s="15"/>
      <c r="EDK233" s="15"/>
      <c r="EDL233" s="10"/>
      <c r="EDM233" s="10"/>
      <c r="EDN233" s="21"/>
      <c r="EDO233" s="21"/>
      <c r="EDR233" s="21"/>
      <c r="EDS233" s="15"/>
      <c r="EDT233" s="15"/>
      <c r="EDU233" s="15"/>
      <c r="EDV233" s="15"/>
      <c r="EDW233" s="15"/>
      <c r="EDX233" s="15"/>
      <c r="EDY233" s="15"/>
      <c r="EDZ233" s="15"/>
      <c r="EEA233" s="15"/>
      <c r="EEB233" s="15"/>
      <c r="EEC233" s="10"/>
      <c r="EED233" s="10"/>
      <c r="EEE233" s="21"/>
      <c r="EEF233" s="21"/>
      <c r="EEI233" s="21"/>
      <c r="EEJ233" s="15"/>
      <c r="EEK233" s="15"/>
      <c r="EEL233" s="15"/>
      <c r="EEM233" s="15"/>
      <c r="EEN233" s="15"/>
      <c r="EEO233" s="15"/>
      <c r="EEP233" s="15"/>
      <c r="EEQ233" s="15"/>
      <c r="EER233" s="15"/>
      <c r="EES233" s="15"/>
      <c r="EET233" s="10"/>
      <c r="EEU233" s="10"/>
      <c r="EEV233" s="21"/>
      <c r="EEW233" s="21"/>
      <c r="EEZ233" s="21"/>
      <c r="EFA233" s="15"/>
      <c r="EFB233" s="15"/>
      <c r="EFC233" s="15"/>
      <c r="EFD233" s="15"/>
      <c r="EFE233" s="15"/>
      <c r="EFF233" s="15"/>
      <c r="EFG233" s="15"/>
      <c r="EFH233" s="15"/>
      <c r="EFI233" s="15"/>
      <c r="EFJ233" s="15"/>
      <c r="EFK233" s="10"/>
      <c r="EFL233" s="10"/>
      <c r="EFM233" s="21"/>
      <c r="EFN233" s="21"/>
      <c r="EFQ233" s="21"/>
      <c r="EFR233" s="15"/>
      <c r="EFS233" s="15"/>
      <c r="EFT233" s="15"/>
      <c r="EFU233" s="15"/>
      <c r="EFV233" s="15"/>
      <c r="EFW233" s="15"/>
      <c r="EFX233" s="15"/>
      <c r="EFY233" s="15"/>
      <c r="EFZ233" s="15"/>
      <c r="EGA233" s="15"/>
      <c r="EGB233" s="10"/>
      <c r="EGC233" s="10"/>
      <c r="EGD233" s="21"/>
      <c r="EGE233" s="21"/>
      <c r="EGH233" s="21"/>
      <c r="EGI233" s="15"/>
      <c r="EGJ233" s="15"/>
      <c r="EGK233" s="15"/>
      <c r="EGL233" s="15"/>
      <c r="EGM233" s="15"/>
      <c r="EGN233" s="15"/>
      <c r="EGO233" s="15"/>
      <c r="EGP233" s="15"/>
      <c r="EGQ233" s="15"/>
      <c r="EGR233" s="15"/>
      <c r="EGS233" s="10"/>
      <c r="EGT233" s="10"/>
      <c r="EGU233" s="21"/>
      <c r="EGV233" s="21"/>
      <c r="EGY233" s="21"/>
      <c r="EGZ233" s="15"/>
      <c r="EHA233" s="15"/>
      <c r="EHB233" s="15"/>
      <c r="EHC233" s="15"/>
      <c r="EHD233" s="15"/>
      <c r="EHE233" s="15"/>
      <c r="EHF233" s="15"/>
      <c r="EHG233" s="15"/>
      <c r="EHH233" s="15"/>
      <c r="EHI233" s="15"/>
      <c r="EHJ233" s="10"/>
      <c r="EHK233" s="10"/>
      <c r="EHL233" s="21"/>
      <c r="EHM233" s="21"/>
      <c r="EHP233" s="21"/>
      <c r="EHQ233" s="15"/>
      <c r="EHR233" s="15"/>
      <c r="EHS233" s="15"/>
      <c r="EHT233" s="15"/>
      <c r="EHU233" s="15"/>
      <c r="EHV233" s="15"/>
      <c r="EHW233" s="15"/>
      <c r="EHX233" s="15"/>
      <c r="EHY233" s="15"/>
      <c r="EHZ233" s="15"/>
      <c r="EIA233" s="10"/>
      <c r="EIB233" s="10"/>
      <c r="EIC233" s="21"/>
      <c r="EID233" s="21"/>
      <c r="EIG233" s="21"/>
      <c r="EIH233" s="15"/>
      <c r="EII233" s="15"/>
      <c r="EIJ233" s="15"/>
      <c r="EIK233" s="15"/>
      <c r="EIL233" s="15"/>
      <c r="EIM233" s="15"/>
      <c r="EIN233" s="15"/>
      <c r="EIO233" s="15"/>
      <c r="EIP233" s="15"/>
      <c r="EIQ233" s="15"/>
      <c r="EIR233" s="10"/>
      <c r="EIS233" s="10"/>
      <c r="EIT233" s="21"/>
      <c r="EIU233" s="21"/>
      <c r="EIX233" s="21"/>
      <c r="EIY233" s="15"/>
      <c r="EIZ233" s="15"/>
      <c r="EJA233" s="15"/>
      <c r="EJB233" s="15"/>
      <c r="EJC233" s="15"/>
      <c r="EJD233" s="15"/>
      <c r="EJE233" s="15"/>
      <c r="EJF233" s="15"/>
      <c r="EJG233" s="15"/>
      <c r="EJH233" s="15"/>
      <c r="EJI233" s="10"/>
      <c r="EJJ233" s="10"/>
      <c r="EJK233" s="21"/>
      <c r="EJL233" s="21"/>
      <c r="EJO233" s="21"/>
      <c r="EJP233" s="15"/>
      <c r="EJQ233" s="15"/>
      <c r="EJR233" s="15"/>
      <c r="EJS233" s="15"/>
      <c r="EJT233" s="15"/>
      <c r="EJU233" s="15"/>
      <c r="EJV233" s="15"/>
      <c r="EJW233" s="15"/>
      <c r="EJX233" s="15"/>
      <c r="EJY233" s="15"/>
      <c r="EJZ233" s="10"/>
      <c r="EKA233" s="10"/>
      <c r="EKB233" s="21"/>
      <c r="EKC233" s="21"/>
      <c r="EKF233" s="21"/>
      <c r="EKG233" s="15"/>
      <c r="EKH233" s="15"/>
      <c r="EKI233" s="15"/>
      <c r="EKJ233" s="15"/>
      <c r="EKK233" s="15"/>
      <c r="EKL233" s="15"/>
      <c r="EKM233" s="15"/>
      <c r="EKN233" s="15"/>
      <c r="EKO233" s="15"/>
      <c r="EKP233" s="15"/>
      <c r="EKQ233" s="10"/>
      <c r="EKR233" s="10"/>
      <c r="EKS233" s="21"/>
      <c r="EKT233" s="21"/>
      <c r="EKW233" s="21"/>
      <c r="EKX233" s="15"/>
      <c r="EKY233" s="15"/>
      <c r="EKZ233" s="15"/>
      <c r="ELA233" s="15"/>
      <c r="ELB233" s="15"/>
      <c r="ELC233" s="15"/>
      <c r="ELD233" s="15"/>
      <c r="ELE233" s="15"/>
      <c r="ELF233" s="15"/>
      <c r="ELG233" s="15"/>
      <c r="ELH233" s="10"/>
      <c r="ELI233" s="10"/>
      <c r="ELJ233" s="21"/>
      <c r="ELK233" s="21"/>
      <c r="ELN233" s="21"/>
      <c r="ELO233" s="15"/>
      <c r="ELP233" s="15"/>
      <c r="ELQ233" s="15"/>
      <c r="ELR233" s="15"/>
      <c r="ELS233" s="15"/>
      <c r="ELT233" s="15"/>
      <c r="ELU233" s="15"/>
      <c r="ELV233" s="15"/>
      <c r="ELW233" s="15"/>
      <c r="ELX233" s="15"/>
      <c r="ELY233" s="10"/>
      <c r="ELZ233" s="10"/>
      <c r="EMA233" s="21"/>
      <c r="EMB233" s="21"/>
      <c r="EME233" s="21"/>
      <c r="EMF233" s="15"/>
      <c r="EMG233" s="15"/>
      <c r="EMH233" s="15"/>
      <c r="EMI233" s="15"/>
      <c r="EMJ233" s="15"/>
      <c r="EMK233" s="15"/>
      <c r="EML233" s="15"/>
      <c r="EMM233" s="15"/>
      <c r="EMN233" s="15"/>
      <c r="EMO233" s="15"/>
      <c r="EMP233" s="10"/>
      <c r="EMQ233" s="10"/>
      <c r="EMR233" s="21"/>
      <c r="EMS233" s="21"/>
      <c r="EMV233" s="21"/>
      <c r="EMW233" s="15"/>
      <c r="EMX233" s="15"/>
      <c r="EMY233" s="15"/>
      <c r="EMZ233" s="15"/>
      <c r="ENA233" s="15"/>
      <c r="ENB233" s="15"/>
      <c r="ENC233" s="15"/>
      <c r="END233" s="15"/>
      <c r="ENE233" s="15"/>
      <c r="ENF233" s="15"/>
      <c r="ENG233" s="10"/>
      <c r="ENH233" s="10"/>
      <c r="ENI233" s="21"/>
      <c r="ENJ233" s="21"/>
      <c r="ENM233" s="21"/>
      <c r="ENN233" s="15"/>
      <c r="ENO233" s="15"/>
      <c r="ENP233" s="15"/>
      <c r="ENQ233" s="15"/>
      <c r="ENR233" s="15"/>
      <c r="ENS233" s="15"/>
      <c r="ENT233" s="15"/>
      <c r="ENU233" s="15"/>
      <c r="ENV233" s="15"/>
      <c r="ENW233" s="15"/>
      <c r="ENX233" s="10"/>
      <c r="ENY233" s="10"/>
      <c r="ENZ233" s="21"/>
      <c r="EOA233" s="21"/>
      <c r="EOD233" s="21"/>
      <c r="EOE233" s="15"/>
      <c r="EOF233" s="15"/>
      <c r="EOG233" s="15"/>
      <c r="EOH233" s="15"/>
      <c r="EOI233" s="15"/>
      <c r="EOJ233" s="15"/>
      <c r="EOK233" s="15"/>
      <c r="EOL233" s="15"/>
      <c r="EOM233" s="15"/>
      <c r="EON233" s="15"/>
      <c r="EOO233" s="10"/>
      <c r="EOP233" s="10"/>
      <c r="EOQ233" s="21"/>
      <c r="EOR233" s="21"/>
      <c r="EOU233" s="21"/>
      <c r="EOV233" s="15"/>
      <c r="EOW233" s="15"/>
      <c r="EOX233" s="15"/>
      <c r="EOY233" s="15"/>
      <c r="EOZ233" s="15"/>
      <c r="EPA233" s="15"/>
      <c r="EPB233" s="15"/>
      <c r="EPC233" s="15"/>
      <c r="EPD233" s="15"/>
      <c r="EPE233" s="15"/>
      <c r="EPF233" s="10"/>
      <c r="EPG233" s="10"/>
      <c r="EPH233" s="21"/>
      <c r="EPI233" s="21"/>
      <c r="EPL233" s="21"/>
      <c r="EPM233" s="15"/>
      <c r="EPN233" s="15"/>
      <c r="EPO233" s="15"/>
      <c r="EPP233" s="15"/>
      <c r="EPQ233" s="15"/>
      <c r="EPR233" s="15"/>
      <c r="EPS233" s="15"/>
      <c r="EPT233" s="15"/>
      <c r="EPU233" s="15"/>
      <c r="EPV233" s="15"/>
      <c r="EPW233" s="10"/>
      <c r="EPX233" s="10"/>
      <c r="EPY233" s="21"/>
      <c r="EPZ233" s="21"/>
      <c r="EQC233" s="21"/>
      <c r="EQD233" s="15"/>
      <c r="EQE233" s="15"/>
      <c r="EQF233" s="15"/>
      <c r="EQG233" s="15"/>
      <c r="EQH233" s="15"/>
      <c r="EQI233" s="15"/>
      <c r="EQJ233" s="15"/>
      <c r="EQK233" s="15"/>
      <c r="EQL233" s="15"/>
      <c r="EQM233" s="15"/>
      <c r="EQN233" s="10"/>
      <c r="EQO233" s="10"/>
      <c r="EQP233" s="21"/>
      <c r="EQQ233" s="21"/>
      <c r="EQT233" s="21"/>
      <c r="EQU233" s="15"/>
      <c r="EQV233" s="15"/>
      <c r="EQW233" s="15"/>
      <c r="EQX233" s="15"/>
      <c r="EQY233" s="15"/>
      <c r="EQZ233" s="15"/>
      <c r="ERA233" s="15"/>
      <c r="ERB233" s="15"/>
      <c r="ERC233" s="15"/>
      <c r="ERD233" s="15"/>
      <c r="ERE233" s="10"/>
      <c r="ERF233" s="10"/>
      <c r="ERG233" s="21"/>
      <c r="ERH233" s="21"/>
      <c r="ERK233" s="21"/>
      <c r="ERL233" s="15"/>
      <c r="ERM233" s="15"/>
      <c r="ERN233" s="15"/>
      <c r="ERO233" s="15"/>
      <c r="ERP233" s="15"/>
      <c r="ERQ233" s="15"/>
      <c r="ERR233" s="15"/>
      <c r="ERS233" s="15"/>
      <c r="ERT233" s="15"/>
      <c r="ERU233" s="15"/>
      <c r="ERV233" s="10"/>
      <c r="ERW233" s="10"/>
      <c r="ERX233" s="21"/>
      <c r="ERY233" s="21"/>
      <c r="ESB233" s="21"/>
      <c r="ESC233" s="15"/>
      <c r="ESD233" s="15"/>
      <c r="ESE233" s="15"/>
      <c r="ESF233" s="15"/>
      <c r="ESG233" s="15"/>
      <c r="ESH233" s="15"/>
      <c r="ESI233" s="15"/>
      <c r="ESJ233" s="15"/>
      <c r="ESK233" s="15"/>
      <c r="ESL233" s="15"/>
      <c r="ESM233" s="10"/>
      <c r="ESN233" s="10"/>
      <c r="ESO233" s="21"/>
      <c r="ESP233" s="21"/>
      <c r="ESS233" s="21"/>
      <c r="EST233" s="15"/>
      <c r="ESU233" s="15"/>
      <c r="ESV233" s="15"/>
      <c r="ESW233" s="15"/>
      <c r="ESX233" s="15"/>
      <c r="ESY233" s="15"/>
      <c r="ESZ233" s="15"/>
      <c r="ETA233" s="15"/>
      <c r="ETB233" s="15"/>
      <c r="ETC233" s="15"/>
      <c r="ETD233" s="10"/>
      <c r="ETE233" s="10"/>
      <c r="ETF233" s="21"/>
      <c r="ETG233" s="21"/>
      <c r="ETJ233" s="21"/>
      <c r="ETK233" s="15"/>
      <c r="ETL233" s="15"/>
      <c r="ETM233" s="15"/>
      <c r="ETN233" s="15"/>
      <c r="ETO233" s="15"/>
      <c r="ETP233" s="15"/>
      <c r="ETQ233" s="15"/>
      <c r="ETR233" s="15"/>
      <c r="ETS233" s="15"/>
      <c r="ETT233" s="15"/>
      <c r="ETU233" s="10"/>
      <c r="ETV233" s="10"/>
      <c r="ETW233" s="21"/>
      <c r="ETX233" s="21"/>
      <c r="EUA233" s="21"/>
      <c r="EUB233" s="15"/>
      <c r="EUC233" s="15"/>
      <c r="EUD233" s="15"/>
      <c r="EUE233" s="15"/>
      <c r="EUF233" s="15"/>
      <c r="EUG233" s="15"/>
      <c r="EUH233" s="15"/>
      <c r="EUI233" s="15"/>
      <c r="EUJ233" s="15"/>
      <c r="EUK233" s="15"/>
      <c r="EUL233" s="10"/>
      <c r="EUM233" s="10"/>
      <c r="EUN233" s="21"/>
      <c r="EUO233" s="21"/>
      <c r="EUR233" s="21"/>
      <c r="EUS233" s="15"/>
      <c r="EUT233" s="15"/>
      <c r="EUU233" s="15"/>
      <c r="EUV233" s="15"/>
      <c r="EUW233" s="15"/>
      <c r="EUX233" s="15"/>
      <c r="EUY233" s="15"/>
      <c r="EUZ233" s="15"/>
      <c r="EVA233" s="15"/>
      <c r="EVB233" s="15"/>
      <c r="EVC233" s="10"/>
      <c r="EVD233" s="10"/>
      <c r="EVE233" s="21"/>
      <c r="EVF233" s="21"/>
      <c r="EVI233" s="21"/>
      <c r="EVJ233" s="15"/>
      <c r="EVK233" s="15"/>
      <c r="EVL233" s="15"/>
      <c r="EVM233" s="15"/>
      <c r="EVN233" s="15"/>
      <c r="EVO233" s="15"/>
      <c r="EVP233" s="15"/>
      <c r="EVQ233" s="15"/>
      <c r="EVR233" s="15"/>
      <c r="EVS233" s="15"/>
      <c r="EVT233" s="10"/>
      <c r="EVU233" s="10"/>
      <c r="EVV233" s="21"/>
      <c r="EVW233" s="21"/>
      <c r="EVZ233" s="21"/>
      <c r="EWA233" s="15"/>
      <c r="EWB233" s="15"/>
      <c r="EWC233" s="15"/>
      <c r="EWD233" s="15"/>
      <c r="EWE233" s="15"/>
      <c r="EWF233" s="15"/>
      <c r="EWG233" s="15"/>
      <c r="EWH233" s="15"/>
      <c r="EWI233" s="15"/>
      <c r="EWJ233" s="15"/>
      <c r="EWK233" s="10"/>
      <c r="EWL233" s="10"/>
      <c r="EWM233" s="21"/>
      <c r="EWN233" s="21"/>
      <c r="EWQ233" s="21"/>
      <c r="EWR233" s="15"/>
      <c r="EWS233" s="15"/>
      <c r="EWT233" s="15"/>
      <c r="EWU233" s="15"/>
      <c r="EWV233" s="15"/>
      <c r="EWW233" s="15"/>
      <c r="EWX233" s="15"/>
      <c r="EWY233" s="15"/>
      <c r="EWZ233" s="15"/>
      <c r="EXA233" s="15"/>
      <c r="EXB233" s="10"/>
      <c r="EXC233" s="10"/>
      <c r="EXD233" s="21"/>
      <c r="EXE233" s="21"/>
      <c r="EXH233" s="21"/>
      <c r="EXI233" s="15"/>
      <c r="EXJ233" s="15"/>
      <c r="EXK233" s="15"/>
      <c r="EXL233" s="15"/>
      <c r="EXM233" s="15"/>
      <c r="EXN233" s="15"/>
      <c r="EXO233" s="15"/>
      <c r="EXP233" s="15"/>
      <c r="EXQ233" s="15"/>
      <c r="EXR233" s="15"/>
      <c r="EXS233" s="10"/>
      <c r="EXT233" s="10"/>
      <c r="EXU233" s="21"/>
      <c r="EXV233" s="21"/>
      <c r="EXY233" s="21"/>
      <c r="EXZ233" s="15"/>
      <c r="EYA233" s="15"/>
      <c r="EYB233" s="15"/>
      <c r="EYC233" s="15"/>
      <c r="EYD233" s="15"/>
      <c r="EYE233" s="15"/>
      <c r="EYF233" s="15"/>
      <c r="EYG233" s="15"/>
      <c r="EYH233" s="15"/>
      <c r="EYI233" s="15"/>
      <c r="EYJ233" s="10"/>
      <c r="EYK233" s="10"/>
      <c r="EYL233" s="21"/>
      <c r="EYM233" s="21"/>
      <c r="EYP233" s="21"/>
      <c r="EYQ233" s="15"/>
      <c r="EYR233" s="15"/>
      <c r="EYS233" s="15"/>
      <c r="EYT233" s="15"/>
      <c r="EYU233" s="15"/>
      <c r="EYV233" s="15"/>
      <c r="EYW233" s="15"/>
      <c r="EYX233" s="15"/>
      <c r="EYY233" s="15"/>
      <c r="EYZ233" s="15"/>
      <c r="EZA233" s="10"/>
      <c r="EZB233" s="10"/>
      <c r="EZC233" s="21"/>
      <c r="EZD233" s="21"/>
      <c r="EZG233" s="21"/>
      <c r="EZH233" s="15"/>
      <c r="EZI233" s="15"/>
      <c r="EZJ233" s="15"/>
      <c r="EZK233" s="15"/>
      <c r="EZL233" s="15"/>
      <c r="EZM233" s="15"/>
      <c r="EZN233" s="15"/>
      <c r="EZO233" s="15"/>
      <c r="EZP233" s="15"/>
      <c r="EZQ233" s="15"/>
      <c r="EZR233" s="10"/>
      <c r="EZS233" s="10"/>
      <c r="EZT233" s="21"/>
      <c r="EZU233" s="21"/>
      <c r="EZX233" s="21"/>
      <c r="EZY233" s="15"/>
      <c r="EZZ233" s="15"/>
      <c r="FAA233" s="15"/>
      <c r="FAB233" s="15"/>
      <c r="FAC233" s="15"/>
      <c r="FAD233" s="15"/>
      <c r="FAE233" s="15"/>
      <c r="FAF233" s="15"/>
      <c r="FAG233" s="15"/>
      <c r="FAH233" s="15"/>
      <c r="FAI233" s="10"/>
      <c r="FAJ233" s="10"/>
      <c r="FAK233" s="21"/>
      <c r="FAL233" s="21"/>
      <c r="FAO233" s="21"/>
      <c r="FAP233" s="15"/>
      <c r="FAQ233" s="15"/>
      <c r="FAR233" s="15"/>
      <c r="FAS233" s="15"/>
      <c r="FAT233" s="15"/>
      <c r="FAU233" s="15"/>
      <c r="FAV233" s="15"/>
      <c r="FAW233" s="15"/>
      <c r="FAX233" s="15"/>
      <c r="FAY233" s="15"/>
      <c r="FAZ233" s="10"/>
      <c r="FBA233" s="10"/>
      <c r="FBB233" s="21"/>
      <c r="FBC233" s="21"/>
      <c r="FBF233" s="21"/>
      <c r="FBG233" s="15"/>
      <c r="FBH233" s="15"/>
      <c r="FBI233" s="15"/>
      <c r="FBJ233" s="15"/>
      <c r="FBK233" s="15"/>
      <c r="FBL233" s="15"/>
      <c r="FBM233" s="15"/>
      <c r="FBN233" s="15"/>
      <c r="FBO233" s="15"/>
      <c r="FBP233" s="15"/>
      <c r="FBQ233" s="10"/>
      <c r="FBR233" s="10"/>
      <c r="FBS233" s="21"/>
      <c r="FBT233" s="21"/>
      <c r="FBW233" s="21"/>
      <c r="FBX233" s="15"/>
      <c r="FBY233" s="15"/>
      <c r="FBZ233" s="15"/>
      <c r="FCA233" s="15"/>
      <c r="FCB233" s="15"/>
      <c r="FCC233" s="15"/>
      <c r="FCD233" s="15"/>
      <c r="FCE233" s="15"/>
      <c r="FCF233" s="15"/>
      <c r="FCG233" s="15"/>
      <c r="FCH233" s="10"/>
      <c r="FCI233" s="10"/>
      <c r="FCJ233" s="21"/>
      <c r="FCK233" s="21"/>
      <c r="FCN233" s="21"/>
      <c r="FCO233" s="15"/>
      <c r="FCP233" s="15"/>
      <c r="FCQ233" s="15"/>
      <c r="FCR233" s="15"/>
      <c r="FCS233" s="15"/>
      <c r="FCT233" s="15"/>
      <c r="FCU233" s="15"/>
      <c r="FCV233" s="15"/>
      <c r="FCW233" s="15"/>
      <c r="FCX233" s="15"/>
      <c r="FCY233" s="10"/>
      <c r="FCZ233" s="10"/>
      <c r="FDA233" s="21"/>
      <c r="FDB233" s="21"/>
      <c r="FDE233" s="21"/>
      <c r="FDF233" s="15"/>
      <c r="FDG233" s="15"/>
      <c r="FDH233" s="15"/>
      <c r="FDI233" s="15"/>
      <c r="FDJ233" s="15"/>
      <c r="FDK233" s="15"/>
      <c r="FDL233" s="15"/>
      <c r="FDM233" s="15"/>
      <c r="FDN233" s="15"/>
      <c r="FDO233" s="15"/>
      <c r="FDP233" s="10"/>
      <c r="FDQ233" s="10"/>
      <c r="FDR233" s="21"/>
      <c r="FDS233" s="21"/>
      <c r="FDV233" s="21"/>
      <c r="FDW233" s="15"/>
      <c r="FDX233" s="15"/>
      <c r="FDY233" s="15"/>
      <c r="FDZ233" s="15"/>
      <c r="FEA233" s="15"/>
      <c r="FEB233" s="15"/>
      <c r="FEC233" s="15"/>
      <c r="FED233" s="15"/>
      <c r="FEE233" s="15"/>
      <c r="FEF233" s="15"/>
      <c r="FEG233" s="10"/>
      <c r="FEH233" s="10"/>
      <c r="FEI233" s="21"/>
      <c r="FEJ233" s="21"/>
      <c r="FEM233" s="21"/>
      <c r="FEN233" s="15"/>
      <c r="FEO233" s="15"/>
      <c r="FEP233" s="15"/>
      <c r="FEQ233" s="15"/>
      <c r="FER233" s="15"/>
      <c r="FES233" s="15"/>
      <c r="FET233" s="15"/>
      <c r="FEU233" s="15"/>
      <c r="FEV233" s="15"/>
      <c r="FEW233" s="15"/>
      <c r="FEX233" s="10"/>
      <c r="FEY233" s="10"/>
      <c r="FEZ233" s="21"/>
      <c r="FFA233" s="21"/>
      <c r="FFD233" s="21"/>
      <c r="FFE233" s="15"/>
      <c r="FFF233" s="15"/>
      <c r="FFG233" s="15"/>
      <c r="FFH233" s="15"/>
      <c r="FFI233" s="15"/>
      <c r="FFJ233" s="15"/>
      <c r="FFK233" s="15"/>
      <c r="FFL233" s="15"/>
      <c r="FFM233" s="15"/>
      <c r="FFN233" s="15"/>
      <c r="FFO233" s="10"/>
      <c r="FFP233" s="10"/>
      <c r="FFQ233" s="21"/>
      <c r="FFR233" s="21"/>
      <c r="FFU233" s="21"/>
      <c r="FFV233" s="15"/>
      <c r="FFW233" s="15"/>
      <c r="FFX233" s="15"/>
      <c r="FFY233" s="15"/>
      <c r="FFZ233" s="15"/>
      <c r="FGA233" s="15"/>
      <c r="FGB233" s="15"/>
      <c r="FGC233" s="15"/>
      <c r="FGD233" s="15"/>
      <c r="FGE233" s="15"/>
      <c r="FGF233" s="10"/>
      <c r="FGG233" s="10"/>
      <c r="FGH233" s="21"/>
      <c r="FGI233" s="21"/>
      <c r="FGL233" s="21"/>
      <c r="FGM233" s="15"/>
      <c r="FGN233" s="15"/>
      <c r="FGO233" s="15"/>
      <c r="FGP233" s="15"/>
      <c r="FGQ233" s="15"/>
      <c r="FGR233" s="15"/>
      <c r="FGS233" s="15"/>
      <c r="FGT233" s="15"/>
      <c r="FGU233" s="15"/>
      <c r="FGV233" s="15"/>
      <c r="FGW233" s="10"/>
      <c r="FGX233" s="10"/>
      <c r="FGY233" s="21"/>
      <c r="FGZ233" s="21"/>
      <c r="FHC233" s="21"/>
      <c r="FHD233" s="15"/>
      <c r="FHE233" s="15"/>
      <c r="FHF233" s="15"/>
      <c r="FHG233" s="15"/>
      <c r="FHH233" s="15"/>
      <c r="FHI233" s="15"/>
      <c r="FHJ233" s="15"/>
      <c r="FHK233" s="15"/>
      <c r="FHL233" s="15"/>
      <c r="FHM233" s="15"/>
      <c r="FHN233" s="10"/>
      <c r="FHO233" s="10"/>
      <c r="FHP233" s="21"/>
      <c r="FHQ233" s="21"/>
      <c r="FHT233" s="21"/>
      <c r="FHU233" s="15"/>
      <c r="FHV233" s="15"/>
      <c r="FHW233" s="15"/>
      <c r="FHX233" s="15"/>
      <c r="FHY233" s="15"/>
      <c r="FHZ233" s="15"/>
      <c r="FIA233" s="15"/>
      <c r="FIB233" s="15"/>
      <c r="FIC233" s="15"/>
      <c r="FID233" s="15"/>
      <c r="FIE233" s="10"/>
      <c r="FIF233" s="10"/>
      <c r="FIG233" s="21"/>
      <c r="FIH233" s="21"/>
      <c r="FIK233" s="21"/>
      <c r="FIL233" s="15"/>
      <c r="FIM233" s="15"/>
      <c r="FIN233" s="15"/>
      <c r="FIO233" s="15"/>
      <c r="FIP233" s="15"/>
      <c r="FIQ233" s="15"/>
      <c r="FIR233" s="15"/>
      <c r="FIS233" s="15"/>
      <c r="FIT233" s="15"/>
      <c r="FIU233" s="15"/>
      <c r="FIV233" s="10"/>
      <c r="FIW233" s="10"/>
      <c r="FIX233" s="21"/>
      <c r="FIY233" s="21"/>
      <c r="FJB233" s="21"/>
      <c r="FJC233" s="15"/>
      <c r="FJD233" s="15"/>
      <c r="FJE233" s="15"/>
      <c r="FJF233" s="15"/>
      <c r="FJG233" s="15"/>
      <c r="FJH233" s="15"/>
      <c r="FJI233" s="15"/>
      <c r="FJJ233" s="15"/>
      <c r="FJK233" s="15"/>
      <c r="FJL233" s="15"/>
      <c r="FJM233" s="10"/>
      <c r="FJN233" s="10"/>
      <c r="FJO233" s="21"/>
      <c r="FJP233" s="21"/>
      <c r="FJS233" s="21"/>
      <c r="FJT233" s="15"/>
      <c r="FJU233" s="15"/>
      <c r="FJV233" s="15"/>
      <c r="FJW233" s="15"/>
      <c r="FJX233" s="15"/>
      <c r="FJY233" s="15"/>
      <c r="FJZ233" s="15"/>
      <c r="FKA233" s="15"/>
      <c r="FKB233" s="15"/>
      <c r="FKC233" s="15"/>
      <c r="FKD233" s="10"/>
      <c r="FKE233" s="10"/>
      <c r="FKF233" s="21"/>
      <c r="FKG233" s="21"/>
      <c r="FKJ233" s="21"/>
      <c r="FKK233" s="15"/>
      <c r="FKL233" s="15"/>
      <c r="FKM233" s="15"/>
      <c r="FKN233" s="15"/>
      <c r="FKO233" s="15"/>
      <c r="FKP233" s="15"/>
      <c r="FKQ233" s="15"/>
      <c r="FKR233" s="15"/>
      <c r="FKS233" s="15"/>
      <c r="FKT233" s="15"/>
      <c r="FKU233" s="10"/>
      <c r="FKV233" s="10"/>
      <c r="FKW233" s="21"/>
      <c r="FKX233" s="21"/>
      <c r="FLA233" s="21"/>
      <c r="FLB233" s="15"/>
      <c r="FLC233" s="15"/>
      <c r="FLD233" s="15"/>
      <c r="FLE233" s="15"/>
      <c r="FLF233" s="15"/>
      <c r="FLG233" s="15"/>
      <c r="FLH233" s="15"/>
      <c r="FLI233" s="15"/>
      <c r="FLJ233" s="15"/>
      <c r="FLK233" s="15"/>
      <c r="FLL233" s="10"/>
      <c r="FLM233" s="10"/>
      <c r="FLN233" s="21"/>
      <c r="FLO233" s="21"/>
      <c r="FLR233" s="21"/>
      <c r="FLS233" s="15"/>
      <c r="FLT233" s="15"/>
      <c r="FLU233" s="15"/>
      <c r="FLV233" s="15"/>
      <c r="FLW233" s="15"/>
      <c r="FLX233" s="15"/>
      <c r="FLY233" s="15"/>
      <c r="FLZ233" s="15"/>
      <c r="FMA233" s="15"/>
      <c r="FMB233" s="15"/>
      <c r="FMC233" s="10"/>
      <c r="FMD233" s="10"/>
      <c r="FME233" s="21"/>
      <c r="FMF233" s="21"/>
      <c r="FMI233" s="21"/>
      <c r="FMJ233" s="15"/>
      <c r="FMK233" s="15"/>
      <c r="FML233" s="15"/>
      <c r="FMM233" s="15"/>
      <c r="FMN233" s="15"/>
      <c r="FMO233" s="15"/>
      <c r="FMP233" s="15"/>
      <c r="FMQ233" s="15"/>
      <c r="FMR233" s="15"/>
      <c r="FMS233" s="15"/>
      <c r="FMT233" s="10"/>
      <c r="FMU233" s="10"/>
      <c r="FMV233" s="21"/>
      <c r="FMW233" s="21"/>
      <c r="FMZ233" s="21"/>
      <c r="FNA233" s="15"/>
      <c r="FNB233" s="15"/>
      <c r="FNC233" s="15"/>
      <c r="FND233" s="15"/>
      <c r="FNE233" s="15"/>
      <c r="FNF233" s="15"/>
      <c r="FNG233" s="15"/>
      <c r="FNH233" s="15"/>
      <c r="FNI233" s="15"/>
      <c r="FNJ233" s="15"/>
      <c r="FNK233" s="10"/>
      <c r="FNL233" s="10"/>
      <c r="FNM233" s="21"/>
      <c r="FNN233" s="21"/>
      <c r="FNQ233" s="21"/>
      <c r="FNR233" s="15"/>
      <c r="FNS233" s="15"/>
      <c r="FNT233" s="15"/>
      <c r="FNU233" s="15"/>
      <c r="FNV233" s="15"/>
      <c r="FNW233" s="15"/>
      <c r="FNX233" s="15"/>
      <c r="FNY233" s="15"/>
      <c r="FNZ233" s="15"/>
      <c r="FOA233" s="15"/>
      <c r="FOB233" s="10"/>
      <c r="FOC233" s="10"/>
      <c r="FOD233" s="21"/>
      <c r="FOE233" s="21"/>
      <c r="FOH233" s="21"/>
      <c r="FOI233" s="15"/>
      <c r="FOJ233" s="15"/>
      <c r="FOK233" s="15"/>
      <c r="FOL233" s="15"/>
      <c r="FOM233" s="15"/>
      <c r="FON233" s="15"/>
      <c r="FOO233" s="15"/>
      <c r="FOP233" s="15"/>
      <c r="FOQ233" s="15"/>
      <c r="FOR233" s="15"/>
      <c r="FOS233" s="10"/>
      <c r="FOT233" s="10"/>
      <c r="FOU233" s="21"/>
      <c r="FOV233" s="21"/>
      <c r="FOY233" s="21"/>
      <c r="FOZ233" s="15"/>
      <c r="FPA233" s="15"/>
      <c r="FPB233" s="15"/>
      <c r="FPC233" s="15"/>
      <c r="FPD233" s="15"/>
      <c r="FPE233" s="15"/>
      <c r="FPF233" s="15"/>
      <c r="FPG233" s="15"/>
      <c r="FPH233" s="15"/>
      <c r="FPI233" s="15"/>
      <c r="FPJ233" s="10"/>
      <c r="FPK233" s="10"/>
      <c r="FPL233" s="21"/>
      <c r="FPM233" s="21"/>
      <c r="FPP233" s="21"/>
      <c r="FPQ233" s="15"/>
      <c r="FPR233" s="15"/>
      <c r="FPS233" s="15"/>
      <c r="FPT233" s="15"/>
      <c r="FPU233" s="15"/>
      <c r="FPV233" s="15"/>
      <c r="FPW233" s="15"/>
      <c r="FPX233" s="15"/>
      <c r="FPY233" s="15"/>
      <c r="FPZ233" s="15"/>
      <c r="FQA233" s="10"/>
      <c r="FQB233" s="10"/>
      <c r="FQC233" s="21"/>
      <c r="FQD233" s="21"/>
      <c r="FQG233" s="21"/>
      <c r="FQH233" s="15"/>
      <c r="FQI233" s="15"/>
      <c r="FQJ233" s="15"/>
      <c r="FQK233" s="15"/>
      <c r="FQL233" s="15"/>
      <c r="FQM233" s="15"/>
      <c r="FQN233" s="15"/>
      <c r="FQO233" s="15"/>
      <c r="FQP233" s="15"/>
      <c r="FQQ233" s="15"/>
      <c r="FQR233" s="10"/>
      <c r="FQS233" s="10"/>
      <c r="FQT233" s="21"/>
      <c r="FQU233" s="21"/>
      <c r="FQX233" s="21"/>
      <c r="FQY233" s="15"/>
      <c r="FQZ233" s="15"/>
      <c r="FRA233" s="15"/>
      <c r="FRB233" s="15"/>
      <c r="FRC233" s="15"/>
      <c r="FRD233" s="15"/>
      <c r="FRE233" s="15"/>
      <c r="FRF233" s="15"/>
      <c r="FRG233" s="15"/>
      <c r="FRH233" s="15"/>
      <c r="FRI233" s="10"/>
      <c r="FRJ233" s="10"/>
      <c r="FRK233" s="21"/>
      <c r="FRL233" s="21"/>
      <c r="FRO233" s="21"/>
      <c r="FRP233" s="15"/>
      <c r="FRQ233" s="15"/>
      <c r="FRR233" s="15"/>
      <c r="FRS233" s="15"/>
      <c r="FRT233" s="15"/>
      <c r="FRU233" s="15"/>
      <c r="FRV233" s="15"/>
      <c r="FRW233" s="15"/>
      <c r="FRX233" s="15"/>
      <c r="FRY233" s="15"/>
      <c r="FRZ233" s="10"/>
      <c r="FSA233" s="10"/>
      <c r="FSB233" s="21"/>
      <c r="FSC233" s="21"/>
      <c r="FSF233" s="21"/>
      <c r="FSG233" s="15"/>
      <c r="FSH233" s="15"/>
      <c r="FSI233" s="15"/>
      <c r="FSJ233" s="15"/>
      <c r="FSK233" s="15"/>
      <c r="FSL233" s="15"/>
      <c r="FSM233" s="15"/>
      <c r="FSN233" s="15"/>
      <c r="FSO233" s="15"/>
      <c r="FSP233" s="15"/>
      <c r="FSQ233" s="10"/>
      <c r="FSR233" s="10"/>
      <c r="FSS233" s="21"/>
      <c r="FST233" s="21"/>
      <c r="FSW233" s="21"/>
      <c r="FSX233" s="15"/>
      <c r="FSY233" s="15"/>
      <c r="FSZ233" s="15"/>
      <c r="FTA233" s="15"/>
      <c r="FTB233" s="15"/>
      <c r="FTC233" s="15"/>
      <c r="FTD233" s="15"/>
      <c r="FTE233" s="15"/>
      <c r="FTF233" s="15"/>
      <c r="FTG233" s="15"/>
      <c r="FTH233" s="10"/>
      <c r="FTI233" s="10"/>
      <c r="FTJ233" s="21"/>
      <c r="FTK233" s="21"/>
      <c r="FTN233" s="21"/>
      <c r="FTO233" s="15"/>
      <c r="FTP233" s="15"/>
      <c r="FTQ233" s="15"/>
      <c r="FTR233" s="15"/>
      <c r="FTS233" s="15"/>
      <c r="FTT233" s="15"/>
      <c r="FTU233" s="15"/>
      <c r="FTV233" s="15"/>
      <c r="FTW233" s="15"/>
      <c r="FTX233" s="15"/>
      <c r="FTY233" s="10"/>
      <c r="FTZ233" s="10"/>
      <c r="FUA233" s="21"/>
      <c r="FUB233" s="21"/>
      <c r="FUE233" s="21"/>
      <c r="FUF233" s="15"/>
      <c r="FUG233" s="15"/>
      <c r="FUH233" s="15"/>
      <c r="FUI233" s="15"/>
      <c r="FUJ233" s="15"/>
      <c r="FUK233" s="15"/>
      <c r="FUL233" s="15"/>
      <c r="FUM233" s="15"/>
      <c r="FUN233" s="15"/>
      <c r="FUO233" s="15"/>
      <c r="FUP233" s="10"/>
      <c r="FUQ233" s="10"/>
      <c r="FUR233" s="21"/>
      <c r="FUS233" s="21"/>
      <c r="FUV233" s="21"/>
      <c r="FUW233" s="15"/>
      <c r="FUX233" s="15"/>
      <c r="FUY233" s="15"/>
      <c r="FUZ233" s="15"/>
      <c r="FVA233" s="15"/>
      <c r="FVB233" s="15"/>
      <c r="FVC233" s="15"/>
      <c r="FVD233" s="15"/>
      <c r="FVE233" s="15"/>
      <c r="FVF233" s="15"/>
      <c r="FVG233" s="10"/>
      <c r="FVH233" s="10"/>
      <c r="FVI233" s="21"/>
      <c r="FVJ233" s="21"/>
      <c r="FVM233" s="21"/>
      <c r="FVN233" s="15"/>
      <c r="FVO233" s="15"/>
      <c r="FVP233" s="15"/>
      <c r="FVQ233" s="15"/>
      <c r="FVR233" s="15"/>
      <c r="FVS233" s="15"/>
      <c r="FVT233" s="15"/>
      <c r="FVU233" s="15"/>
      <c r="FVV233" s="15"/>
      <c r="FVW233" s="15"/>
      <c r="FVX233" s="10"/>
      <c r="FVY233" s="10"/>
      <c r="FVZ233" s="21"/>
      <c r="FWA233" s="21"/>
      <c r="FWD233" s="21"/>
      <c r="FWE233" s="15"/>
      <c r="FWF233" s="15"/>
      <c r="FWG233" s="15"/>
      <c r="FWH233" s="15"/>
      <c r="FWI233" s="15"/>
      <c r="FWJ233" s="15"/>
      <c r="FWK233" s="15"/>
      <c r="FWL233" s="15"/>
      <c r="FWM233" s="15"/>
      <c r="FWN233" s="15"/>
      <c r="FWO233" s="10"/>
      <c r="FWP233" s="10"/>
      <c r="FWQ233" s="21"/>
      <c r="FWR233" s="21"/>
      <c r="FWU233" s="21"/>
      <c r="FWV233" s="15"/>
      <c r="FWW233" s="15"/>
      <c r="FWX233" s="15"/>
      <c r="FWY233" s="15"/>
      <c r="FWZ233" s="15"/>
      <c r="FXA233" s="15"/>
      <c r="FXB233" s="15"/>
      <c r="FXC233" s="15"/>
      <c r="FXD233" s="15"/>
      <c r="FXE233" s="15"/>
      <c r="FXF233" s="10"/>
      <c r="FXG233" s="10"/>
      <c r="FXH233" s="21"/>
      <c r="FXI233" s="21"/>
      <c r="FXL233" s="21"/>
      <c r="FXM233" s="15"/>
      <c r="FXN233" s="15"/>
      <c r="FXO233" s="15"/>
      <c r="FXP233" s="15"/>
      <c r="FXQ233" s="15"/>
      <c r="FXR233" s="15"/>
      <c r="FXS233" s="15"/>
      <c r="FXT233" s="15"/>
      <c r="FXU233" s="15"/>
      <c r="FXV233" s="15"/>
      <c r="FXW233" s="10"/>
      <c r="FXX233" s="10"/>
      <c r="FXY233" s="21"/>
      <c r="FXZ233" s="21"/>
      <c r="FYC233" s="21"/>
      <c r="FYD233" s="15"/>
      <c r="FYE233" s="15"/>
      <c r="FYF233" s="15"/>
      <c r="FYG233" s="15"/>
      <c r="FYH233" s="15"/>
      <c r="FYI233" s="15"/>
      <c r="FYJ233" s="15"/>
      <c r="FYK233" s="15"/>
      <c r="FYL233" s="15"/>
      <c r="FYM233" s="15"/>
      <c r="FYN233" s="10"/>
      <c r="FYO233" s="10"/>
      <c r="FYP233" s="21"/>
      <c r="FYQ233" s="21"/>
      <c r="FYT233" s="21"/>
      <c r="FYU233" s="15"/>
      <c r="FYV233" s="15"/>
      <c r="FYW233" s="15"/>
      <c r="FYX233" s="15"/>
      <c r="FYY233" s="15"/>
      <c r="FYZ233" s="15"/>
      <c r="FZA233" s="15"/>
      <c r="FZB233" s="15"/>
      <c r="FZC233" s="15"/>
      <c r="FZD233" s="15"/>
      <c r="FZE233" s="10"/>
      <c r="FZF233" s="10"/>
      <c r="FZG233" s="21"/>
      <c r="FZH233" s="21"/>
      <c r="FZK233" s="21"/>
      <c r="FZL233" s="15"/>
      <c r="FZM233" s="15"/>
      <c r="FZN233" s="15"/>
      <c r="FZO233" s="15"/>
      <c r="FZP233" s="15"/>
      <c r="FZQ233" s="15"/>
      <c r="FZR233" s="15"/>
      <c r="FZS233" s="15"/>
      <c r="FZT233" s="15"/>
      <c r="FZU233" s="15"/>
      <c r="FZV233" s="10"/>
      <c r="FZW233" s="10"/>
      <c r="FZX233" s="21"/>
      <c r="FZY233" s="21"/>
      <c r="GAB233" s="21"/>
      <c r="GAC233" s="15"/>
      <c r="GAD233" s="15"/>
      <c r="GAE233" s="15"/>
      <c r="GAF233" s="15"/>
      <c r="GAG233" s="15"/>
      <c r="GAH233" s="15"/>
      <c r="GAI233" s="15"/>
      <c r="GAJ233" s="15"/>
      <c r="GAK233" s="15"/>
      <c r="GAL233" s="15"/>
      <c r="GAM233" s="10"/>
      <c r="GAN233" s="10"/>
      <c r="GAO233" s="21"/>
      <c r="GAP233" s="21"/>
      <c r="GAS233" s="21"/>
      <c r="GAT233" s="15"/>
      <c r="GAU233" s="15"/>
      <c r="GAV233" s="15"/>
      <c r="GAW233" s="15"/>
      <c r="GAX233" s="15"/>
      <c r="GAY233" s="15"/>
      <c r="GAZ233" s="15"/>
      <c r="GBA233" s="15"/>
      <c r="GBB233" s="15"/>
      <c r="GBC233" s="15"/>
      <c r="GBD233" s="10"/>
      <c r="GBE233" s="10"/>
      <c r="GBF233" s="21"/>
      <c r="GBG233" s="21"/>
      <c r="GBJ233" s="21"/>
      <c r="GBK233" s="15"/>
      <c r="GBL233" s="15"/>
      <c r="GBM233" s="15"/>
      <c r="GBN233" s="15"/>
      <c r="GBO233" s="15"/>
      <c r="GBP233" s="15"/>
      <c r="GBQ233" s="15"/>
      <c r="GBR233" s="15"/>
      <c r="GBS233" s="15"/>
      <c r="GBT233" s="15"/>
      <c r="GBU233" s="10"/>
      <c r="GBV233" s="10"/>
      <c r="GBW233" s="21"/>
      <c r="GBX233" s="21"/>
      <c r="GCA233" s="21"/>
      <c r="GCB233" s="15"/>
      <c r="GCC233" s="15"/>
      <c r="GCD233" s="15"/>
      <c r="GCE233" s="15"/>
      <c r="GCF233" s="15"/>
      <c r="GCG233" s="15"/>
      <c r="GCH233" s="15"/>
      <c r="GCI233" s="15"/>
      <c r="GCJ233" s="15"/>
      <c r="GCK233" s="15"/>
      <c r="GCL233" s="10"/>
      <c r="GCM233" s="10"/>
      <c r="GCN233" s="21"/>
      <c r="GCO233" s="21"/>
      <c r="GCR233" s="21"/>
      <c r="GCS233" s="15"/>
      <c r="GCT233" s="15"/>
      <c r="GCU233" s="15"/>
      <c r="GCV233" s="15"/>
      <c r="GCW233" s="15"/>
      <c r="GCX233" s="15"/>
      <c r="GCY233" s="15"/>
      <c r="GCZ233" s="15"/>
      <c r="GDA233" s="15"/>
      <c r="GDB233" s="15"/>
      <c r="GDC233" s="10"/>
      <c r="GDD233" s="10"/>
      <c r="GDE233" s="21"/>
      <c r="GDF233" s="21"/>
      <c r="GDI233" s="21"/>
      <c r="GDJ233" s="15"/>
      <c r="GDK233" s="15"/>
      <c r="GDL233" s="15"/>
      <c r="GDM233" s="15"/>
      <c r="GDN233" s="15"/>
      <c r="GDO233" s="15"/>
      <c r="GDP233" s="15"/>
      <c r="GDQ233" s="15"/>
      <c r="GDR233" s="15"/>
      <c r="GDS233" s="15"/>
      <c r="GDT233" s="10"/>
      <c r="GDU233" s="10"/>
      <c r="GDV233" s="21"/>
      <c r="GDW233" s="21"/>
      <c r="GDZ233" s="21"/>
      <c r="GEA233" s="15"/>
      <c r="GEB233" s="15"/>
      <c r="GEC233" s="15"/>
      <c r="GED233" s="15"/>
      <c r="GEE233" s="15"/>
      <c r="GEF233" s="15"/>
      <c r="GEG233" s="15"/>
      <c r="GEH233" s="15"/>
      <c r="GEI233" s="15"/>
      <c r="GEJ233" s="15"/>
      <c r="GEK233" s="10"/>
      <c r="GEL233" s="10"/>
      <c r="GEM233" s="21"/>
      <c r="GEN233" s="21"/>
      <c r="GEQ233" s="21"/>
      <c r="GER233" s="15"/>
      <c r="GES233" s="15"/>
      <c r="GET233" s="15"/>
      <c r="GEU233" s="15"/>
      <c r="GEV233" s="15"/>
      <c r="GEW233" s="15"/>
      <c r="GEX233" s="15"/>
      <c r="GEY233" s="15"/>
      <c r="GEZ233" s="15"/>
      <c r="GFA233" s="15"/>
      <c r="GFB233" s="10"/>
      <c r="GFC233" s="10"/>
      <c r="GFD233" s="21"/>
      <c r="GFE233" s="21"/>
      <c r="GFH233" s="21"/>
      <c r="GFI233" s="15"/>
      <c r="GFJ233" s="15"/>
      <c r="GFK233" s="15"/>
      <c r="GFL233" s="15"/>
      <c r="GFM233" s="15"/>
      <c r="GFN233" s="15"/>
      <c r="GFO233" s="15"/>
      <c r="GFP233" s="15"/>
      <c r="GFQ233" s="15"/>
      <c r="GFR233" s="15"/>
      <c r="GFS233" s="10"/>
      <c r="GFT233" s="10"/>
      <c r="GFU233" s="21"/>
      <c r="GFV233" s="21"/>
      <c r="GFY233" s="21"/>
      <c r="GFZ233" s="15"/>
      <c r="GGA233" s="15"/>
      <c r="GGB233" s="15"/>
      <c r="GGC233" s="15"/>
      <c r="GGD233" s="15"/>
      <c r="GGE233" s="15"/>
      <c r="GGF233" s="15"/>
      <c r="GGG233" s="15"/>
      <c r="GGH233" s="15"/>
      <c r="GGI233" s="15"/>
      <c r="GGJ233" s="10"/>
      <c r="GGK233" s="10"/>
      <c r="GGL233" s="21"/>
      <c r="GGM233" s="21"/>
      <c r="GGP233" s="21"/>
      <c r="GGQ233" s="15"/>
      <c r="GGR233" s="15"/>
      <c r="GGS233" s="15"/>
      <c r="GGT233" s="15"/>
      <c r="GGU233" s="15"/>
      <c r="GGV233" s="15"/>
      <c r="GGW233" s="15"/>
      <c r="GGX233" s="15"/>
      <c r="GGY233" s="15"/>
      <c r="GGZ233" s="15"/>
      <c r="GHA233" s="10"/>
      <c r="GHB233" s="10"/>
      <c r="GHC233" s="21"/>
      <c r="GHD233" s="21"/>
      <c r="GHG233" s="21"/>
      <c r="GHH233" s="15"/>
      <c r="GHI233" s="15"/>
      <c r="GHJ233" s="15"/>
      <c r="GHK233" s="15"/>
      <c r="GHL233" s="15"/>
      <c r="GHM233" s="15"/>
      <c r="GHN233" s="15"/>
      <c r="GHO233" s="15"/>
      <c r="GHP233" s="15"/>
      <c r="GHQ233" s="15"/>
      <c r="GHR233" s="10"/>
      <c r="GHS233" s="10"/>
      <c r="GHT233" s="21"/>
      <c r="GHU233" s="21"/>
      <c r="GHX233" s="21"/>
      <c r="GHY233" s="15"/>
      <c r="GHZ233" s="15"/>
      <c r="GIA233" s="15"/>
      <c r="GIB233" s="15"/>
      <c r="GIC233" s="15"/>
      <c r="GID233" s="15"/>
      <c r="GIE233" s="15"/>
      <c r="GIF233" s="15"/>
      <c r="GIG233" s="15"/>
      <c r="GIH233" s="15"/>
      <c r="GII233" s="10"/>
      <c r="GIJ233" s="10"/>
      <c r="GIK233" s="21"/>
      <c r="GIL233" s="21"/>
      <c r="GIO233" s="21"/>
      <c r="GIP233" s="15"/>
      <c r="GIQ233" s="15"/>
      <c r="GIR233" s="15"/>
      <c r="GIS233" s="15"/>
      <c r="GIT233" s="15"/>
      <c r="GIU233" s="15"/>
      <c r="GIV233" s="15"/>
      <c r="GIW233" s="15"/>
      <c r="GIX233" s="15"/>
      <c r="GIY233" s="15"/>
      <c r="GIZ233" s="10"/>
      <c r="GJA233" s="10"/>
      <c r="GJB233" s="21"/>
      <c r="GJC233" s="21"/>
      <c r="GJF233" s="21"/>
      <c r="GJG233" s="15"/>
      <c r="GJH233" s="15"/>
      <c r="GJI233" s="15"/>
      <c r="GJJ233" s="15"/>
      <c r="GJK233" s="15"/>
      <c r="GJL233" s="15"/>
      <c r="GJM233" s="15"/>
      <c r="GJN233" s="15"/>
      <c r="GJO233" s="15"/>
      <c r="GJP233" s="15"/>
      <c r="GJQ233" s="10"/>
      <c r="GJR233" s="10"/>
      <c r="GJS233" s="21"/>
      <c r="GJT233" s="21"/>
      <c r="GJW233" s="21"/>
      <c r="GJX233" s="15"/>
      <c r="GJY233" s="15"/>
      <c r="GJZ233" s="15"/>
      <c r="GKA233" s="15"/>
      <c r="GKB233" s="15"/>
      <c r="GKC233" s="15"/>
      <c r="GKD233" s="15"/>
      <c r="GKE233" s="15"/>
      <c r="GKF233" s="15"/>
      <c r="GKG233" s="15"/>
      <c r="GKH233" s="10"/>
      <c r="GKI233" s="10"/>
      <c r="GKJ233" s="21"/>
      <c r="GKK233" s="21"/>
      <c r="GKN233" s="21"/>
      <c r="GKO233" s="15"/>
      <c r="GKP233" s="15"/>
      <c r="GKQ233" s="15"/>
      <c r="GKR233" s="15"/>
      <c r="GKS233" s="15"/>
      <c r="GKT233" s="15"/>
      <c r="GKU233" s="15"/>
      <c r="GKV233" s="15"/>
      <c r="GKW233" s="15"/>
      <c r="GKX233" s="15"/>
      <c r="GKY233" s="10"/>
      <c r="GKZ233" s="10"/>
      <c r="GLA233" s="21"/>
      <c r="GLB233" s="21"/>
      <c r="GLE233" s="21"/>
      <c r="GLF233" s="15"/>
      <c r="GLG233" s="15"/>
      <c r="GLH233" s="15"/>
      <c r="GLI233" s="15"/>
      <c r="GLJ233" s="15"/>
      <c r="GLK233" s="15"/>
      <c r="GLL233" s="15"/>
      <c r="GLM233" s="15"/>
      <c r="GLN233" s="15"/>
      <c r="GLO233" s="15"/>
      <c r="GLP233" s="10"/>
      <c r="GLQ233" s="10"/>
      <c r="GLR233" s="21"/>
      <c r="GLS233" s="21"/>
      <c r="GLV233" s="21"/>
      <c r="GLW233" s="15"/>
      <c r="GLX233" s="15"/>
      <c r="GLY233" s="15"/>
      <c r="GLZ233" s="15"/>
      <c r="GMA233" s="15"/>
      <c r="GMB233" s="15"/>
      <c r="GMC233" s="15"/>
      <c r="GMD233" s="15"/>
      <c r="GME233" s="15"/>
      <c r="GMF233" s="15"/>
      <c r="GMG233" s="10"/>
      <c r="GMH233" s="10"/>
      <c r="GMI233" s="21"/>
      <c r="GMJ233" s="21"/>
      <c r="GMM233" s="21"/>
      <c r="GMN233" s="15"/>
      <c r="GMO233" s="15"/>
      <c r="GMP233" s="15"/>
      <c r="GMQ233" s="15"/>
      <c r="GMR233" s="15"/>
      <c r="GMS233" s="15"/>
      <c r="GMT233" s="15"/>
      <c r="GMU233" s="15"/>
      <c r="GMV233" s="15"/>
      <c r="GMW233" s="15"/>
      <c r="GMX233" s="10"/>
      <c r="GMY233" s="10"/>
      <c r="GMZ233" s="21"/>
      <c r="GNA233" s="21"/>
      <c r="GND233" s="21"/>
      <c r="GNE233" s="15"/>
      <c r="GNF233" s="15"/>
      <c r="GNG233" s="15"/>
      <c r="GNH233" s="15"/>
      <c r="GNI233" s="15"/>
      <c r="GNJ233" s="15"/>
      <c r="GNK233" s="15"/>
      <c r="GNL233" s="15"/>
      <c r="GNM233" s="15"/>
      <c r="GNN233" s="15"/>
      <c r="GNO233" s="10"/>
      <c r="GNP233" s="10"/>
      <c r="GNQ233" s="21"/>
      <c r="GNR233" s="21"/>
      <c r="GNU233" s="21"/>
      <c r="GNV233" s="15"/>
      <c r="GNW233" s="15"/>
      <c r="GNX233" s="15"/>
      <c r="GNY233" s="15"/>
      <c r="GNZ233" s="15"/>
      <c r="GOA233" s="15"/>
      <c r="GOB233" s="15"/>
      <c r="GOC233" s="15"/>
      <c r="GOD233" s="15"/>
      <c r="GOE233" s="15"/>
      <c r="GOF233" s="10"/>
      <c r="GOG233" s="10"/>
      <c r="GOH233" s="21"/>
      <c r="GOI233" s="21"/>
      <c r="GOL233" s="21"/>
      <c r="GOM233" s="15"/>
      <c r="GON233" s="15"/>
      <c r="GOO233" s="15"/>
      <c r="GOP233" s="15"/>
      <c r="GOQ233" s="15"/>
      <c r="GOR233" s="15"/>
      <c r="GOS233" s="15"/>
      <c r="GOT233" s="15"/>
      <c r="GOU233" s="15"/>
      <c r="GOV233" s="15"/>
      <c r="GOW233" s="10"/>
      <c r="GOX233" s="10"/>
      <c r="GOY233" s="21"/>
      <c r="GOZ233" s="21"/>
      <c r="GPC233" s="21"/>
      <c r="GPD233" s="15"/>
      <c r="GPE233" s="15"/>
      <c r="GPF233" s="15"/>
      <c r="GPG233" s="15"/>
      <c r="GPH233" s="15"/>
      <c r="GPI233" s="15"/>
      <c r="GPJ233" s="15"/>
      <c r="GPK233" s="15"/>
      <c r="GPL233" s="15"/>
      <c r="GPM233" s="15"/>
      <c r="GPN233" s="10"/>
      <c r="GPO233" s="10"/>
      <c r="GPP233" s="21"/>
      <c r="GPQ233" s="21"/>
      <c r="GPT233" s="21"/>
      <c r="GPU233" s="15"/>
      <c r="GPV233" s="15"/>
      <c r="GPW233" s="15"/>
      <c r="GPX233" s="15"/>
      <c r="GPY233" s="15"/>
      <c r="GPZ233" s="15"/>
      <c r="GQA233" s="15"/>
      <c r="GQB233" s="15"/>
      <c r="GQC233" s="15"/>
      <c r="GQD233" s="15"/>
      <c r="GQE233" s="10"/>
      <c r="GQF233" s="10"/>
      <c r="GQG233" s="21"/>
      <c r="GQH233" s="21"/>
      <c r="GQK233" s="21"/>
      <c r="GQL233" s="15"/>
      <c r="GQM233" s="15"/>
      <c r="GQN233" s="15"/>
      <c r="GQO233" s="15"/>
      <c r="GQP233" s="15"/>
      <c r="GQQ233" s="15"/>
      <c r="GQR233" s="15"/>
      <c r="GQS233" s="15"/>
      <c r="GQT233" s="15"/>
      <c r="GQU233" s="15"/>
      <c r="GQV233" s="10"/>
      <c r="GQW233" s="10"/>
      <c r="GQX233" s="21"/>
      <c r="GQY233" s="21"/>
      <c r="GRB233" s="21"/>
      <c r="GRC233" s="15"/>
      <c r="GRD233" s="15"/>
      <c r="GRE233" s="15"/>
      <c r="GRF233" s="15"/>
      <c r="GRG233" s="15"/>
      <c r="GRH233" s="15"/>
      <c r="GRI233" s="15"/>
      <c r="GRJ233" s="15"/>
      <c r="GRK233" s="15"/>
      <c r="GRL233" s="15"/>
      <c r="GRM233" s="10"/>
      <c r="GRN233" s="10"/>
      <c r="GRO233" s="21"/>
      <c r="GRP233" s="21"/>
      <c r="GRS233" s="21"/>
      <c r="GRT233" s="15"/>
      <c r="GRU233" s="15"/>
      <c r="GRV233" s="15"/>
      <c r="GRW233" s="15"/>
      <c r="GRX233" s="15"/>
      <c r="GRY233" s="15"/>
      <c r="GRZ233" s="15"/>
      <c r="GSA233" s="15"/>
      <c r="GSB233" s="15"/>
      <c r="GSC233" s="15"/>
      <c r="GSD233" s="10"/>
      <c r="GSE233" s="10"/>
      <c r="GSF233" s="21"/>
      <c r="GSG233" s="21"/>
      <c r="GSJ233" s="21"/>
      <c r="GSK233" s="15"/>
      <c r="GSL233" s="15"/>
      <c r="GSM233" s="15"/>
      <c r="GSN233" s="15"/>
      <c r="GSO233" s="15"/>
      <c r="GSP233" s="15"/>
      <c r="GSQ233" s="15"/>
      <c r="GSR233" s="15"/>
      <c r="GSS233" s="15"/>
      <c r="GST233" s="15"/>
      <c r="GSU233" s="10"/>
      <c r="GSV233" s="10"/>
      <c r="GSW233" s="21"/>
      <c r="GSX233" s="21"/>
      <c r="GTA233" s="21"/>
      <c r="GTB233" s="15"/>
      <c r="GTC233" s="15"/>
      <c r="GTD233" s="15"/>
      <c r="GTE233" s="15"/>
      <c r="GTF233" s="15"/>
      <c r="GTG233" s="15"/>
      <c r="GTH233" s="15"/>
      <c r="GTI233" s="15"/>
      <c r="GTJ233" s="15"/>
      <c r="GTK233" s="15"/>
      <c r="GTL233" s="10"/>
      <c r="GTM233" s="10"/>
      <c r="GTN233" s="21"/>
      <c r="GTO233" s="21"/>
      <c r="GTR233" s="21"/>
      <c r="GTS233" s="15"/>
      <c r="GTT233" s="15"/>
      <c r="GTU233" s="15"/>
      <c r="GTV233" s="15"/>
      <c r="GTW233" s="15"/>
      <c r="GTX233" s="15"/>
      <c r="GTY233" s="15"/>
      <c r="GTZ233" s="15"/>
      <c r="GUA233" s="15"/>
      <c r="GUB233" s="15"/>
      <c r="GUC233" s="10"/>
      <c r="GUD233" s="10"/>
      <c r="GUE233" s="21"/>
      <c r="GUF233" s="21"/>
      <c r="GUI233" s="21"/>
      <c r="GUJ233" s="15"/>
      <c r="GUK233" s="15"/>
      <c r="GUL233" s="15"/>
      <c r="GUM233" s="15"/>
      <c r="GUN233" s="15"/>
      <c r="GUO233" s="15"/>
      <c r="GUP233" s="15"/>
      <c r="GUQ233" s="15"/>
      <c r="GUR233" s="15"/>
      <c r="GUS233" s="15"/>
      <c r="GUT233" s="10"/>
      <c r="GUU233" s="10"/>
      <c r="GUV233" s="21"/>
      <c r="GUW233" s="21"/>
      <c r="GUZ233" s="21"/>
      <c r="GVA233" s="15"/>
      <c r="GVB233" s="15"/>
      <c r="GVC233" s="15"/>
      <c r="GVD233" s="15"/>
      <c r="GVE233" s="15"/>
      <c r="GVF233" s="15"/>
      <c r="GVG233" s="15"/>
      <c r="GVH233" s="15"/>
      <c r="GVI233" s="15"/>
      <c r="GVJ233" s="15"/>
      <c r="GVK233" s="10"/>
      <c r="GVL233" s="10"/>
      <c r="GVM233" s="21"/>
      <c r="GVN233" s="21"/>
      <c r="GVQ233" s="21"/>
      <c r="GVR233" s="15"/>
      <c r="GVS233" s="15"/>
      <c r="GVT233" s="15"/>
      <c r="GVU233" s="15"/>
      <c r="GVV233" s="15"/>
      <c r="GVW233" s="15"/>
      <c r="GVX233" s="15"/>
      <c r="GVY233" s="15"/>
      <c r="GVZ233" s="15"/>
      <c r="GWA233" s="15"/>
      <c r="GWB233" s="10"/>
      <c r="GWC233" s="10"/>
      <c r="GWD233" s="21"/>
      <c r="GWE233" s="21"/>
      <c r="GWH233" s="21"/>
      <c r="GWI233" s="15"/>
      <c r="GWJ233" s="15"/>
      <c r="GWK233" s="15"/>
      <c r="GWL233" s="15"/>
      <c r="GWM233" s="15"/>
      <c r="GWN233" s="15"/>
      <c r="GWO233" s="15"/>
      <c r="GWP233" s="15"/>
      <c r="GWQ233" s="15"/>
      <c r="GWR233" s="15"/>
      <c r="GWS233" s="10"/>
      <c r="GWT233" s="10"/>
      <c r="GWU233" s="21"/>
      <c r="GWV233" s="21"/>
      <c r="GWY233" s="21"/>
      <c r="GWZ233" s="15"/>
      <c r="GXA233" s="15"/>
      <c r="GXB233" s="15"/>
      <c r="GXC233" s="15"/>
      <c r="GXD233" s="15"/>
      <c r="GXE233" s="15"/>
      <c r="GXF233" s="15"/>
      <c r="GXG233" s="15"/>
      <c r="GXH233" s="15"/>
      <c r="GXI233" s="15"/>
      <c r="GXJ233" s="10"/>
      <c r="GXK233" s="10"/>
      <c r="GXL233" s="21"/>
      <c r="GXM233" s="21"/>
      <c r="GXP233" s="21"/>
      <c r="GXQ233" s="15"/>
      <c r="GXR233" s="15"/>
      <c r="GXS233" s="15"/>
      <c r="GXT233" s="15"/>
      <c r="GXU233" s="15"/>
      <c r="GXV233" s="15"/>
      <c r="GXW233" s="15"/>
      <c r="GXX233" s="15"/>
      <c r="GXY233" s="15"/>
      <c r="GXZ233" s="15"/>
      <c r="GYA233" s="10"/>
      <c r="GYB233" s="10"/>
      <c r="GYC233" s="21"/>
      <c r="GYD233" s="21"/>
      <c r="GYG233" s="21"/>
      <c r="GYH233" s="15"/>
      <c r="GYI233" s="15"/>
      <c r="GYJ233" s="15"/>
      <c r="GYK233" s="15"/>
      <c r="GYL233" s="15"/>
      <c r="GYM233" s="15"/>
      <c r="GYN233" s="15"/>
      <c r="GYO233" s="15"/>
      <c r="GYP233" s="15"/>
      <c r="GYQ233" s="15"/>
      <c r="GYR233" s="10"/>
      <c r="GYS233" s="10"/>
      <c r="GYT233" s="21"/>
      <c r="GYU233" s="21"/>
      <c r="GYX233" s="21"/>
      <c r="GYY233" s="15"/>
      <c r="GYZ233" s="15"/>
      <c r="GZA233" s="15"/>
      <c r="GZB233" s="15"/>
      <c r="GZC233" s="15"/>
      <c r="GZD233" s="15"/>
      <c r="GZE233" s="15"/>
      <c r="GZF233" s="15"/>
      <c r="GZG233" s="15"/>
      <c r="GZH233" s="15"/>
      <c r="GZI233" s="10"/>
      <c r="GZJ233" s="10"/>
      <c r="GZK233" s="21"/>
      <c r="GZL233" s="21"/>
      <c r="GZO233" s="21"/>
      <c r="GZP233" s="15"/>
      <c r="GZQ233" s="15"/>
      <c r="GZR233" s="15"/>
      <c r="GZS233" s="15"/>
      <c r="GZT233" s="15"/>
      <c r="GZU233" s="15"/>
      <c r="GZV233" s="15"/>
      <c r="GZW233" s="15"/>
      <c r="GZX233" s="15"/>
      <c r="GZY233" s="15"/>
      <c r="GZZ233" s="10"/>
      <c r="HAA233" s="10"/>
      <c r="HAB233" s="21"/>
      <c r="HAC233" s="21"/>
      <c r="HAF233" s="21"/>
      <c r="HAG233" s="15"/>
      <c r="HAH233" s="15"/>
      <c r="HAI233" s="15"/>
      <c r="HAJ233" s="15"/>
      <c r="HAK233" s="15"/>
      <c r="HAL233" s="15"/>
      <c r="HAM233" s="15"/>
      <c r="HAN233" s="15"/>
      <c r="HAO233" s="15"/>
      <c r="HAP233" s="15"/>
      <c r="HAQ233" s="10"/>
      <c r="HAR233" s="10"/>
      <c r="HAS233" s="21"/>
      <c r="HAT233" s="21"/>
      <c r="HAW233" s="21"/>
      <c r="HAX233" s="15"/>
      <c r="HAY233" s="15"/>
      <c r="HAZ233" s="15"/>
      <c r="HBA233" s="15"/>
      <c r="HBB233" s="15"/>
      <c r="HBC233" s="15"/>
      <c r="HBD233" s="15"/>
      <c r="HBE233" s="15"/>
      <c r="HBF233" s="15"/>
      <c r="HBG233" s="15"/>
      <c r="HBH233" s="10"/>
      <c r="HBI233" s="10"/>
      <c r="HBJ233" s="21"/>
      <c r="HBK233" s="21"/>
      <c r="HBN233" s="21"/>
      <c r="HBO233" s="15"/>
      <c r="HBP233" s="15"/>
      <c r="HBQ233" s="15"/>
      <c r="HBR233" s="15"/>
      <c r="HBS233" s="15"/>
      <c r="HBT233" s="15"/>
      <c r="HBU233" s="15"/>
      <c r="HBV233" s="15"/>
      <c r="HBW233" s="15"/>
      <c r="HBX233" s="15"/>
      <c r="HBY233" s="10"/>
      <c r="HBZ233" s="10"/>
      <c r="HCA233" s="21"/>
      <c r="HCB233" s="21"/>
      <c r="HCE233" s="21"/>
      <c r="HCF233" s="15"/>
      <c r="HCG233" s="15"/>
      <c r="HCH233" s="15"/>
      <c r="HCI233" s="15"/>
      <c r="HCJ233" s="15"/>
      <c r="HCK233" s="15"/>
      <c r="HCL233" s="15"/>
      <c r="HCM233" s="15"/>
      <c r="HCN233" s="15"/>
      <c r="HCO233" s="15"/>
      <c r="HCP233" s="10"/>
      <c r="HCQ233" s="10"/>
      <c r="HCR233" s="21"/>
      <c r="HCS233" s="21"/>
      <c r="HCV233" s="21"/>
      <c r="HCW233" s="15"/>
      <c r="HCX233" s="15"/>
      <c r="HCY233" s="15"/>
      <c r="HCZ233" s="15"/>
      <c r="HDA233" s="15"/>
      <c r="HDB233" s="15"/>
      <c r="HDC233" s="15"/>
      <c r="HDD233" s="15"/>
      <c r="HDE233" s="15"/>
      <c r="HDF233" s="15"/>
      <c r="HDG233" s="10"/>
      <c r="HDH233" s="10"/>
      <c r="HDI233" s="21"/>
      <c r="HDJ233" s="21"/>
      <c r="HDM233" s="21"/>
      <c r="HDN233" s="15"/>
      <c r="HDO233" s="15"/>
      <c r="HDP233" s="15"/>
      <c r="HDQ233" s="15"/>
      <c r="HDR233" s="15"/>
      <c r="HDS233" s="15"/>
      <c r="HDT233" s="15"/>
      <c r="HDU233" s="15"/>
      <c r="HDV233" s="15"/>
      <c r="HDW233" s="15"/>
      <c r="HDX233" s="10"/>
      <c r="HDY233" s="10"/>
      <c r="HDZ233" s="21"/>
      <c r="HEA233" s="21"/>
      <c r="HED233" s="21"/>
      <c r="HEE233" s="15"/>
      <c r="HEF233" s="15"/>
      <c r="HEG233" s="15"/>
      <c r="HEH233" s="15"/>
      <c r="HEI233" s="15"/>
      <c r="HEJ233" s="15"/>
      <c r="HEK233" s="15"/>
      <c r="HEL233" s="15"/>
      <c r="HEM233" s="15"/>
      <c r="HEN233" s="15"/>
      <c r="HEO233" s="10"/>
      <c r="HEP233" s="10"/>
      <c r="HEQ233" s="21"/>
      <c r="HER233" s="21"/>
      <c r="HEU233" s="21"/>
      <c r="HEV233" s="15"/>
      <c r="HEW233" s="15"/>
      <c r="HEX233" s="15"/>
      <c r="HEY233" s="15"/>
      <c r="HEZ233" s="15"/>
      <c r="HFA233" s="15"/>
      <c r="HFB233" s="15"/>
      <c r="HFC233" s="15"/>
      <c r="HFD233" s="15"/>
      <c r="HFE233" s="15"/>
      <c r="HFF233" s="10"/>
      <c r="HFG233" s="10"/>
      <c r="HFH233" s="21"/>
      <c r="HFI233" s="21"/>
      <c r="HFL233" s="21"/>
      <c r="HFM233" s="15"/>
      <c r="HFN233" s="15"/>
      <c r="HFO233" s="15"/>
      <c r="HFP233" s="15"/>
      <c r="HFQ233" s="15"/>
      <c r="HFR233" s="15"/>
      <c r="HFS233" s="15"/>
      <c r="HFT233" s="15"/>
      <c r="HFU233" s="15"/>
      <c r="HFV233" s="15"/>
      <c r="HFW233" s="10"/>
      <c r="HFX233" s="10"/>
      <c r="HFY233" s="21"/>
      <c r="HFZ233" s="21"/>
      <c r="HGC233" s="21"/>
      <c r="HGD233" s="15"/>
      <c r="HGE233" s="15"/>
      <c r="HGF233" s="15"/>
      <c r="HGG233" s="15"/>
      <c r="HGH233" s="15"/>
      <c r="HGI233" s="15"/>
      <c r="HGJ233" s="15"/>
      <c r="HGK233" s="15"/>
      <c r="HGL233" s="15"/>
      <c r="HGM233" s="15"/>
      <c r="HGN233" s="10"/>
      <c r="HGO233" s="10"/>
      <c r="HGP233" s="21"/>
      <c r="HGQ233" s="21"/>
      <c r="HGT233" s="21"/>
      <c r="HGU233" s="15"/>
      <c r="HGV233" s="15"/>
      <c r="HGW233" s="15"/>
      <c r="HGX233" s="15"/>
      <c r="HGY233" s="15"/>
      <c r="HGZ233" s="15"/>
      <c r="HHA233" s="15"/>
      <c r="HHB233" s="15"/>
      <c r="HHC233" s="15"/>
      <c r="HHD233" s="15"/>
      <c r="HHE233" s="10"/>
      <c r="HHF233" s="10"/>
      <c r="HHG233" s="21"/>
      <c r="HHH233" s="21"/>
      <c r="HHK233" s="21"/>
      <c r="HHL233" s="15"/>
      <c r="HHM233" s="15"/>
      <c r="HHN233" s="15"/>
      <c r="HHO233" s="15"/>
      <c r="HHP233" s="15"/>
      <c r="HHQ233" s="15"/>
      <c r="HHR233" s="15"/>
      <c r="HHS233" s="15"/>
      <c r="HHT233" s="15"/>
      <c r="HHU233" s="15"/>
      <c r="HHV233" s="10"/>
      <c r="HHW233" s="10"/>
      <c r="HHX233" s="21"/>
      <c r="HHY233" s="21"/>
      <c r="HIB233" s="21"/>
      <c r="HIC233" s="15"/>
      <c r="HID233" s="15"/>
      <c r="HIE233" s="15"/>
      <c r="HIF233" s="15"/>
      <c r="HIG233" s="15"/>
      <c r="HIH233" s="15"/>
      <c r="HII233" s="15"/>
      <c r="HIJ233" s="15"/>
      <c r="HIK233" s="15"/>
      <c r="HIL233" s="15"/>
      <c r="HIM233" s="10"/>
      <c r="HIN233" s="10"/>
      <c r="HIO233" s="21"/>
      <c r="HIP233" s="21"/>
      <c r="HIS233" s="21"/>
      <c r="HIT233" s="15"/>
      <c r="HIU233" s="15"/>
      <c r="HIV233" s="15"/>
      <c r="HIW233" s="15"/>
      <c r="HIX233" s="15"/>
      <c r="HIY233" s="15"/>
      <c r="HIZ233" s="15"/>
      <c r="HJA233" s="15"/>
      <c r="HJB233" s="15"/>
      <c r="HJC233" s="15"/>
      <c r="HJD233" s="10"/>
      <c r="HJE233" s="10"/>
      <c r="HJF233" s="21"/>
      <c r="HJG233" s="21"/>
      <c r="HJJ233" s="21"/>
      <c r="HJK233" s="15"/>
      <c r="HJL233" s="15"/>
      <c r="HJM233" s="15"/>
      <c r="HJN233" s="15"/>
      <c r="HJO233" s="15"/>
      <c r="HJP233" s="15"/>
      <c r="HJQ233" s="15"/>
      <c r="HJR233" s="15"/>
      <c r="HJS233" s="15"/>
      <c r="HJT233" s="15"/>
      <c r="HJU233" s="10"/>
      <c r="HJV233" s="10"/>
      <c r="HJW233" s="21"/>
      <c r="HJX233" s="21"/>
      <c r="HKA233" s="21"/>
      <c r="HKB233" s="15"/>
      <c r="HKC233" s="15"/>
      <c r="HKD233" s="15"/>
      <c r="HKE233" s="15"/>
      <c r="HKF233" s="15"/>
      <c r="HKG233" s="15"/>
      <c r="HKH233" s="15"/>
      <c r="HKI233" s="15"/>
      <c r="HKJ233" s="15"/>
      <c r="HKK233" s="15"/>
      <c r="HKL233" s="10"/>
      <c r="HKM233" s="10"/>
      <c r="HKN233" s="21"/>
      <c r="HKO233" s="21"/>
      <c r="HKR233" s="21"/>
      <c r="HKS233" s="15"/>
      <c r="HKT233" s="15"/>
      <c r="HKU233" s="15"/>
      <c r="HKV233" s="15"/>
      <c r="HKW233" s="15"/>
      <c r="HKX233" s="15"/>
      <c r="HKY233" s="15"/>
      <c r="HKZ233" s="15"/>
      <c r="HLA233" s="15"/>
      <c r="HLB233" s="15"/>
      <c r="HLC233" s="10"/>
      <c r="HLD233" s="10"/>
      <c r="HLE233" s="21"/>
      <c r="HLF233" s="21"/>
      <c r="HLI233" s="21"/>
      <c r="HLJ233" s="15"/>
      <c r="HLK233" s="15"/>
      <c r="HLL233" s="15"/>
      <c r="HLM233" s="15"/>
      <c r="HLN233" s="15"/>
      <c r="HLO233" s="15"/>
      <c r="HLP233" s="15"/>
      <c r="HLQ233" s="15"/>
      <c r="HLR233" s="15"/>
      <c r="HLS233" s="15"/>
      <c r="HLT233" s="10"/>
      <c r="HLU233" s="10"/>
      <c r="HLV233" s="21"/>
      <c r="HLW233" s="21"/>
      <c r="HLZ233" s="21"/>
      <c r="HMA233" s="15"/>
      <c r="HMB233" s="15"/>
      <c r="HMC233" s="15"/>
      <c r="HMD233" s="15"/>
      <c r="HME233" s="15"/>
      <c r="HMF233" s="15"/>
      <c r="HMG233" s="15"/>
      <c r="HMH233" s="15"/>
      <c r="HMI233" s="15"/>
      <c r="HMJ233" s="15"/>
      <c r="HMK233" s="10"/>
      <c r="HML233" s="10"/>
      <c r="HMM233" s="21"/>
      <c r="HMN233" s="21"/>
      <c r="HMQ233" s="21"/>
      <c r="HMR233" s="15"/>
      <c r="HMS233" s="15"/>
      <c r="HMT233" s="15"/>
      <c r="HMU233" s="15"/>
      <c r="HMV233" s="15"/>
      <c r="HMW233" s="15"/>
      <c r="HMX233" s="15"/>
      <c r="HMY233" s="15"/>
      <c r="HMZ233" s="15"/>
      <c r="HNA233" s="15"/>
      <c r="HNB233" s="10"/>
      <c r="HNC233" s="10"/>
      <c r="HND233" s="21"/>
      <c r="HNE233" s="21"/>
      <c r="HNH233" s="21"/>
      <c r="HNI233" s="15"/>
      <c r="HNJ233" s="15"/>
      <c r="HNK233" s="15"/>
      <c r="HNL233" s="15"/>
      <c r="HNM233" s="15"/>
      <c r="HNN233" s="15"/>
      <c r="HNO233" s="15"/>
      <c r="HNP233" s="15"/>
      <c r="HNQ233" s="15"/>
      <c r="HNR233" s="15"/>
      <c r="HNS233" s="10"/>
      <c r="HNT233" s="10"/>
      <c r="HNU233" s="21"/>
      <c r="HNV233" s="21"/>
      <c r="HNY233" s="21"/>
      <c r="HNZ233" s="15"/>
      <c r="HOA233" s="15"/>
      <c r="HOB233" s="15"/>
      <c r="HOC233" s="15"/>
      <c r="HOD233" s="15"/>
      <c r="HOE233" s="15"/>
      <c r="HOF233" s="15"/>
      <c r="HOG233" s="15"/>
      <c r="HOH233" s="15"/>
      <c r="HOI233" s="15"/>
      <c r="HOJ233" s="10"/>
      <c r="HOK233" s="10"/>
      <c r="HOL233" s="21"/>
      <c r="HOM233" s="21"/>
      <c r="HOP233" s="21"/>
      <c r="HOQ233" s="15"/>
      <c r="HOR233" s="15"/>
      <c r="HOS233" s="15"/>
      <c r="HOT233" s="15"/>
      <c r="HOU233" s="15"/>
      <c r="HOV233" s="15"/>
      <c r="HOW233" s="15"/>
      <c r="HOX233" s="15"/>
      <c r="HOY233" s="15"/>
      <c r="HOZ233" s="15"/>
      <c r="HPA233" s="10"/>
      <c r="HPB233" s="10"/>
      <c r="HPC233" s="21"/>
      <c r="HPD233" s="21"/>
      <c r="HPG233" s="21"/>
      <c r="HPH233" s="15"/>
      <c r="HPI233" s="15"/>
      <c r="HPJ233" s="15"/>
      <c r="HPK233" s="15"/>
      <c r="HPL233" s="15"/>
      <c r="HPM233" s="15"/>
      <c r="HPN233" s="15"/>
      <c r="HPO233" s="15"/>
      <c r="HPP233" s="15"/>
      <c r="HPQ233" s="15"/>
      <c r="HPR233" s="10"/>
      <c r="HPS233" s="10"/>
      <c r="HPT233" s="21"/>
      <c r="HPU233" s="21"/>
      <c r="HPX233" s="21"/>
      <c r="HPY233" s="15"/>
      <c r="HPZ233" s="15"/>
      <c r="HQA233" s="15"/>
      <c r="HQB233" s="15"/>
      <c r="HQC233" s="15"/>
      <c r="HQD233" s="15"/>
      <c r="HQE233" s="15"/>
      <c r="HQF233" s="15"/>
      <c r="HQG233" s="15"/>
      <c r="HQH233" s="15"/>
      <c r="HQI233" s="10"/>
      <c r="HQJ233" s="10"/>
      <c r="HQK233" s="21"/>
      <c r="HQL233" s="21"/>
      <c r="HQO233" s="21"/>
      <c r="HQP233" s="15"/>
      <c r="HQQ233" s="15"/>
      <c r="HQR233" s="15"/>
      <c r="HQS233" s="15"/>
      <c r="HQT233" s="15"/>
      <c r="HQU233" s="15"/>
      <c r="HQV233" s="15"/>
      <c r="HQW233" s="15"/>
      <c r="HQX233" s="15"/>
      <c r="HQY233" s="15"/>
      <c r="HQZ233" s="10"/>
      <c r="HRA233" s="10"/>
      <c r="HRB233" s="21"/>
      <c r="HRC233" s="21"/>
      <c r="HRF233" s="21"/>
      <c r="HRG233" s="15"/>
      <c r="HRH233" s="15"/>
      <c r="HRI233" s="15"/>
      <c r="HRJ233" s="15"/>
      <c r="HRK233" s="15"/>
      <c r="HRL233" s="15"/>
      <c r="HRM233" s="15"/>
      <c r="HRN233" s="15"/>
      <c r="HRO233" s="15"/>
      <c r="HRP233" s="15"/>
      <c r="HRQ233" s="10"/>
      <c r="HRR233" s="10"/>
      <c r="HRS233" s="21"/>
      <c r="HRT233" s="21"/>
      <c r="HRW233" s="21"/>
      <c r="HRX233" s="15"/>
      <c r="HRY233" s="15"/>
      <c r="HRZ233" s="15"/>
      <c r="HSA233" s="15"/>
      <c r="HSB233" s="15"/>
      <c r="HSC233" s="15"/>
      <c r="HSD233" s="15"/>
      <c r="HSE233" s="15"/>
      <c r="HSF233" s="15"/>
      <c r="HSG233" s="15"/>
      <c r="HSH233" s="10"/>
      <c r="HSI233" s="10"/>
      <c r="HSJ233" s="21"/>
      <c r="HSK233" s="21"/>
      <c r="HSN233" s="21"/>
      <c r="HSO233" s="15"/>
      <c r="HSP233" s="15"/>
      <c r="HSQ233" s="15"/>
      <c r="HSR233" s="15"/>
      <c r="HSS233" s="15"/>
      <c r="HST233" s="15"/>
      <c r="HSU233" s="15"/>
      <c r="HSV233" s="15"/>
      <c r="HSW233" s="15"/>
      <c r="HSX233" s="15"/>
      <c r="HSY233" s="10"/>
      <c r="HSZ233" s="10"/>
      <c r="HTA233" s="21"/>
      <c r="HTB233" s="21"/>
      <c r="HTE233" s="21"/>
      <c r="HTF233" s="15"/>
      <c r="HTG233" s="15"/>
      <c r="HTH233" s="15"/>
      <c r="HTI233" s="15"/>
      <c r="HTJ233" s="15"/>
      <c r="HTK233" s="15"/>
      <c r="HTL233" s="15"/>
      <c r="HTM233" s="15"/>
      <c r="HTN233" s="15"/>
      <c r="HTO233" s="15"/>
      <c r="HTP233" s="10"/>
      <c r="HTQ233" s="10"/>
      <c r="HTR233" s="21"/>
      <c r="HTS233" s="21"/>
      <c r="HTV233" s="21"/>
      <c r="HTW233" s="15"/>
      <c r="HTX233" s="15"/>
      <c r="HTY233" s="15"/>
      <c r="HTZ233" s="15"/>
      <c r="HUA233" s="15"/>
      <c r="HUB233" s="15"/>
      <c r="HUC233" s="15"/>
      <c r="HUD233" s="15"/>
      <c r="HUE233" s="15"/>
      <c r="HUF233" s="15"/>
      <c r="HUG233" s="10"/>
      <c r="HUH233" s="10"/>
      <c r="HUI233" s="21"/>
      <c r="HUJ233" s="21"/>
      <c r="HUM233" s="21"/>
      <c r="HUN233" s="15"/>
      <c r="HUO233" s="15"/>
      <c r="HUP233" s="15"/>
      <c r="HUQ233" s="15"/>
      <c r="HUR233" s="15"/>
      <c r="HUS233" s="15"/>
      <c r="HUT233" s="15"/>
      <c r="HUU233" s="15"/>
      <c r="HUV233" s="15"/>
      <c r="HUW233" s="15"/>
      <c r="HUX233" s="10"/>
      <c r="HUY233" s="10"/>
      <c r="HUZ233" s="21"/>
      <c r="HVA233" s="21"/>
      <c r="HVD233" s="21"/>
      <c r="HVE233" s="15"/>
      <c r="HVF233" s="15"/>
      <c r="HVG233" s="15"/>
      <c r="HVH233" s="15"/>
      <c r="HVI233" s="15"/>
      <c r="HVJ233" s="15"/>
      <c r="HVK233" s="15"/>
      <c r="HVL233" s="15"/>
      <c r="HVM233" s="15"/>
      <c r="HVN233" s="15"/>
      <c r="HVO233" s="10"/>
      <c r="HVP233" s="10"/>
      <c r="HVQ233" s="21"/>
      <c r="HVR233" s="21"/>
      <c r="HVU233" s="21"/>
      <c r="HVV233" s="15"/>
      <c r="HVW233" s="15"/>
      <c r="HVX233" s="15"/>
      <c r="HVY233" s="15"/>
      <c r="HVZ233" s="15"/>
      <c r="HWA233" s="15"/>
      <c r="HWB233" s="15"/>
      <c r="HWC233" s="15"/>
      <c r="HWD233" s="15"/>
      <c r="HWE233" s="15"/>
      <c r="HWF233" s="10"/>
      <c r="HWG233" s="10"/>
      <c r="HWH233" s="21"/>
      <c r="HWI233" s="21"/>
      <c r="HWL233" s="21"/>
      <c r="HWM233" s="15"/>
      <c r="HWN233" s="15"/>
      <c r="HWO233" s="15"/>
      <c r="HWP233" s="15"/>
      <c r="HWQ233" s="15"/>
      <c r="HWR233" s="15"/>
      <c r="HWS233" s="15"/>
      <c r="HWT233" s="15"/>
      <c r="HWU233" s="15"/>
      <c r="HWV233" s="15"/>
      <c r="HWW233" s="10"/>
      <c r="HWX233" s="10"/>
      <c r="HWY233" s="21"/>
      <c r="HWZ233" s="21"/>
      <c r="HXC233" s="21"/>
      <c r="HXD233" s="15"/>
      <c r="HXE233" s="15"/>
      <c r="HXF233" s="15"/>
      <c r="HXG233" s="15"/>
      <c r="HXH233" s="15"/>
      <c r="HXI233" s="15"/>
      <c r="HXJ233" s="15"/>
      <c r="HXK233" s="15"/>
      <c r="HXL233" s="15"/>
      <c r="HXM233" s="15"/>
      <c r="HXN233" s="10"/>
      <c r="HXO233" s="10"/>
      <c r="HXP233" s="21"/>
      <c r="HXQ233" s="21"/>
      <c r="HXT233" s="21"/>
      <c r="HXU233" s="15"/>
      <c r="HXV233" s="15"/>
      <c r="HXW233" s="15"/>
      <c r="HXX233" s="15"/>
      <c r="HXY233" s="15"/>
      <c r="HXZ233" s="15"/>
      <c r="HYA233" s="15"/>
      <c r="HYB233" s="15"/>
      <c r="HYC233" s="15"/>
      <c r="HYD233" s="15"/>
      <c r="HYE233" s="10"/>
      <c r="HYF233" s="10"/>
      <c r="HYG233" s="21"/>
      <c r="HYH233" s="21"/>
      <c r="HYK233" s="21"/>
      <c r="HYL233" s="15"/>
      <c r="HYM233" s="15"/>
      <c r="HYN233" s="15"/>
      <c r="HYO233" s="15"/>
      <c r="HYP233" s="15"/>
      <c r="HYQ233" s="15"/>
      <c r="HYR233" s="15"/>
      <c r="HYS233" s="15"/>
      <c r="HYT233" s="15"/>
      <c r="HYU233" s="15"/>
      <c r="HYV233" s="10"/>
      <c r="HYW233" s="10"/>
      <c r="HYX233" s="21"/>
      <c r="HYY233" s="21"/>
      <c r="HZB233" s="21"/>
      <c r="HZC233" s="15"/>
      <c r="HZD233" s="15"/>
      <c r="HZE233" s="15"/>
      <c r="HZF233" s="15"/>
      <c r="HZG233" s="15"/>
      <c r="HZH233" s="15"/>
      <c r="HZI233" s="15"/>
      <c r="HZJ233" s="15"/>
      <c r="HZK233" s="15"/>
      <c r="HZL233" s="15"/>
      <c r="HZM233" s="10"/>
      <c r="HZN233" s="10"/>
      <c r="HZO233" s="21"/>
      <c r="HZP233" s="21"/>
      <c r="HZS233" s="21"/>
      <c r="HZT233" s="15"/>
      <c r="HZU233" s="15"/>
      <c r="HZV233" s="15"/>
      <c r="HZW233" s="15"/>
      <c r="HZX233" s="15"/>
      <c r="HZY233" s="15"/>
      <c r="HZZ233" s="15"/>
      <c r="IAA233" s="15"/>
      <c r="IAB233" s="15"/>
      <c r="IAC233" s="15"/>
      <c r="IAD233" s="10"/>
      <c r="IAE233" s="10"/>
      <c r="IAF233" s="21"/>
      <c r="IAG233" s="21"/>
      <c r="IAJ233" s="21"/>
      <c r="IAK233" s="15"/>
      <c r="IAL233" s="15"/>
      <c r="IAM233" s="15"/>
      <c r="IAN233" s="15"/>
      <c r="IAO233" s="15"/>
      <c r="IAP233" s="15"/>
      <c r="IAQ233" s="15"/>
      <c r="IAR233" s="15"/>
      <c r="IAS233" s="15"/>
      <c r="IAT233" s="15"/>
      <c r="IAU233" s="10"/>
      <c r="IAV233" s="10"/>
      <c r="IAW233" s="21"/>
      <c r="IAX233" s="21"/>
      <c r="IBA233" s="21"/>
      <c r="IBB233" s="15"/>
      <c r="IBC233" s="15"/>
      <c r="IBD233" s="15"/>
      <c r="IBE233" s="15"/>
      <c r="IBF233" s="15"/>
      <c r="IBG233" s="15"/>
      <c r="IBH233" s="15"/>
      <c r="IBI233" s="15"/>
      <c r="IBJ233" s="15"/>
      <c r="IBK233" s="15"/>
      <c r="IBL233" s="10"/>
      <c r="IBM233" s="10"/>
      <c r="IBN233" s="21"/>
      <c r="IBO233" s="21"/>
      <c r="IBR233" s="21"/>
      <c r="IBS233" s="15"/>
      <c r="IBT233" s="15"/>
      <c r="IBU233" s="15"/>
      <c r="IBV233" s="15"/>
      <c r="IBW233" s="15"/>
      <c r="IBX233" s="15"/>
      <c r="IBY233" s="15"/>
      <c r="IBZ233" s="15"/>
      <c r="ICA233" s="15"/>
      <c r="ICB233" s="15"/>
      <c r="ICC233" s="10"/>
      <c r="ICD233" s="10"/>
      <c r="ICE233" s="21"/>
      <c r="ICF233" s="21"/>
      <c r="ICI233" s="21"/>
      <c r="ICJ233" s="15"/>
      <c r="ICK233" s="15"/>
      <c r="ICL233" s="15"/>
      <c r="ICM233" s="15"/>
      <c r="ICN233" s="15"/>
      <c r="ICO233" s="15"/>
      <c r="ICP233" s="15"/>
      <c r="ICQ233" s="15"/>
      <c r="ICR233" s="15"/>
      <c r="ICS233" s="15"/>
      <c r="ICT233" s="10"/>
      <c r="ICU233" s="10"/>
      <c r="ICV233" s="21"/>
      <c r="ICW233" s="21"/>
      <c r="ICZ233" s="21"/>
      <c r="IDA233" s="15"/>
      <c r="IDB233" s="15"/>
      <c r="IDC233" s="15"/>
      <c r="IDD233" s="15"/>
      <c r="IDE233" s="15"/>
      <c r="IDF233" s="15"/>
      <c r="IDG233" s="15"/>
      <c r="IDH233" s="15"/>
      <c r="IDI233" s="15"/>
      <c r="IDJ233" s="15"/>
      <c r="IDK233" s="10"/>
      <c r="IDL233" s="10"/>
      <c r="IDM233" s="21"/>
      <c r="IDN233" s="21"/>
      <c r="IDQ233" s="21"/>
      <c r="IDR233" s="15"/>
      <c r="IDS233" s="15"/>
      <c r="IDT233" s="15"/>
      <c r="IDU233" s="15"/>
      <c r="IDV233" s="15"/>
      <c r="IDW233" s="15"/>
      <c r="IDX233" s="15"/>
      <c r="IDY233" s="15"/>
      <c r="IDZ233" s="15"/>
      <c r="IEA233" s="15"/>
      <c r="IEB233" s="10"/>
      <c r="IEC233" s="10"/>
      <c r="IED233" s="21"/>
      <c r="IEE233" s="21"/>
      <c r="IEH233" s="21"/>
      <c r="IEI233" s="15"/>
      <c r="IEJ233" s="15"/>
      <c r="IEK233" s="15"/>
      <c r="IEL233" s="15"/>
      <c r="IEM233" s="15"/>
      <c r="IEN233" s="15"/>
      <c r="IEO233" s="15"/>
      <c r="IEP233" s="15"/>
      <c r="IEQ233" s="15"/>
      <c r="IER233" s="15"/>
      <c r="IES233" s="10"/>
      <c r="IET233" s="10"/>
      <c r="IEU233" s="21"/>
      <c r="IEV233" s="21"/>
      <c r="IEY233" s="21"/>
      <c r="IEZ233" s="15"/>
      <c r="IFA233" s="15"/>
      <c r="IFB233" s="15"/>
      <c r="IFC233" s="15"/>
      <c r="IFD233" s="15"/>
      <c r="IFE233" s="15"/>
      <c r="IFF233" s="15"/>
      <c r="IFG233" s="15"/>
      <c r="IFH233" s="15"/>
      <c r="IFI233" s="15"/>
      <c r="IFJ233" s="10"/>
      <c r="IFK233" s="10"/>
      <c r="IFL233" s="21"/>
      <c r="IFM233" s="21"/>
      <c r="IFP233" s="21"/>
      <c r="IFQ233" s="15"/>
      <c r="IFR233" s="15"/>
      <c r="IFS233" s="15"/>
      <c r="IFT233" s="15"/>
      <c r="IFU233" s="15"/>
      <c r="IFV233" s="15"/>
      <c r="IFW233" s="15"/>
      <c r="IFX233" s="15"/>
      <c r="IFY233" s="15"/>
      <c r="IFZ233" s="15"/>
      <c r="IGA233" s="10"/>
      <c r="IGB233" s="10"/>
      <c r="IGC233" s="21"/>
      <c r="IGD233" s="21"/>
      <c r="IGG233" s="21"/>
      <c r="IGH233" s="15"/>
      <c r="IGI233" s="15"/>
      <c r="IGJ233" s="15"/>
      <c r="IGK233" s="15"/>
      <c r="IGL233" s="15"/>
      <c r="IGM233" s="15"/>
      <c r="IGN233" s="15"/>
      <c r="IGO233" s="15"/>
      <c r="IGP233" s="15"/>
      <c r="IGQ233" s="15"/>
      <c r="IGR233" s="10"/>
      <c r="IGS233" s="10"/>
      <c r="IGT233" s="21"/>
      <c r="IGU233" s="21"/>
      <c r="IGX233" s="21"/>
      <c r="IGY233" s="15"/>
      <c r="IGZ233" s="15"/>
      <c r="IHA233" s="15"/>
      <c r="IHB233" s="15"/>
      <c r="IHC233" s="15"/>
      <c r="IHD233" s="15"/>
      <c r="IHE233" s="15"/>
      <c r="IHF233" s="15"/>
      <c r="IHG233" s="15"/>
      <c r="IHH233" s="15"/>
      <c r="IHI233" s="10"/>
      <c r="IHJ233" s="10"/>
      <c r="IHK233" s="21"/>
      <c r="IHL233" s="21"/>
      <c r="IHO233" s="21"/>
      <c r="IHP233" s="15"/>
      <c r="IHQ233" s="15"/>
      <c r="IHR233" s="15"/>
      <c r="IHS233" s="15"/>
      <c r="IHT233" s="15"/>
      <c r="IHU233" s="15"/>
      <c r="IHV233" s="15"/>
      <c r="IHW233" s="15"/>
      <c r="IHX233" s="15"/>
      <c r="IHY233" s="15"/>
      <c r="IHZ233" s="10"/>
      <c r="IIA233" s="10"/>
      <c r="IIB233" s="21"/>
      <c r="IIC233" s="21"/>
      <c r="IIF233" s="21"/>
      <c r="IIG233" s="15"/>
      <c r="IIH233" s="15"/>
      <c r="III233" s="15"/>
      <c r="IIJ233" s="15"/>
      <c r="IIK233" s="15"/>
      <c r="IIL233" s="15"/>
      <c r="IIM233" s="15"/>
      <c r="IIN233" s="15"/>
      <c r="IIO233" s="15"/>
      <c r="IIP233" s="15"/>
      <c r="IIQ233" s="10"/>
      <c r="IIR233" s="10"/>
      <c r="IIS233" s="21"/>
      <c r="IIT233" s="21"/>
      <c r="IIW233" s="21"/>
      <c r="IIX233" s="15"/>
      <c r="IIY233" s="15"/>
      <c r="IIZ233" s="15"/>
      <c r="IJA233" s="15"/>
      <c r="IJB233" s="15"/>
      <c r="IJC233" s="15"/>
      <c r="IJD233" s="15"/>
      <c r="IJE233" s="15"/>
      <c r="IJF233" s="15"/>
      <c r="IJG233" s="15"/>
      <c r="IJH233" s="10"/>
      <c r="IJI233" s="10"/>
      <c r="IJJ233" s="21"/>
      <c r="IJK233" s="21"/>
      <c r="IJN233" s="21"/>
      <c r="IJO233" s="15"/>
      <c r="IJP233" s="15"/>
      <c r="IJQ233" s="15"/>
      <c r="IJR233" s="15"/>
      <c r="IJS233" s="15"/>
      <c r="IJT233" s="15"/>
      <c r="IJU233" s="15"/>
      <c r="IJV233" s="15"/>
      <c r="IJW233" s="15"/>
      <c r="IJX233" s="15"/>
      <c r="IJY233" s="10"/>
      <c r="IJZ233" s="10"/>
      <c r="IKA233" s="21"/>
      <c r="IKB233" s="21"/>
      <c r="IKE233" s="21"/>
      <c r="IKF233" s="15"/>
      <c r="IKG233" s="15"/>
      <c r="IKH233" s="15"/>
      <c r="IKI233" s="15"/>
      <c r="IKJ233" s="15"/>
      <c r="IKK233" s="15"/>
      <c r="IKL233" s="15"/>
      <c r="IKM233" s="15"/>
      <c r="IKN233" s="15"/>
      <c r="IKO233" s="15"/>
      <c r="IKP233" s="10"/>
      <c r="IKQ233" s="10"/>
      <c r="IKR233" s="21"/>
      <c r="IKS233" s="21"/>
      <c r="IKV233" s="21"/>
      <c r="IKW233" s="15"/>
      <c r="IKX233" s="15"/>
      <c r="IKY233" s="15"/>
      <c r="IKZ233" s="15"/>
      <c r="ILA233" s="15"/>
      <c r="ILB233" s="15"/>
      <c r="ILC233" s="15"/>
      <c r="ILD233" s="15"/>
      <c r="ILE233" s="15"/>
      <c r="ILF233" s="15"/>
      <c r="ILG233" s="10"/>
      <c r="ILH233" s="10"/>
      <c r="ILI233" s="21"/>
      <c r="ILJ233" s="21"/>
      <c r="ILM233" s="21"/>
      <c r="ILN233" s="15"/>
      <c r="ILO233" s="15"/>
      <c r="ILP233" s="15"/>
      <c r="ILQ233" s="15"/>
      <c r="ILR233" s="15"/>
      <c r="ILS233" s="15"/>
      <c r="ILT233" s="15"/>
      <c r="ILU233" s="15"/>
      <c r="ILV233" s="15"/>
      <c r="ILW233" s="15"/>
      <c r="ILX233" s="10"/>
      <c r="ILY233" s="10"/>
      <c r="ILZ233" s="21"/>
      <c r="IMA233" s="21"/>
      <c r="IMD233" s="21"/>
      <c r="IME233" s="15"/>
      <c r="IMF233" s="15"/>
      <c r="IMG233" s="15"/>
      <c r="IMH233" s="15"/>
      <c r="IMI233" s="15"/>
      <c r="IMJ233" s="15"/>
      <c r="IMK233" s="15"/>
      <c r="IML233" s="15"/>
      <c r="IMM233" s="15"/>
      <c r="IMN233" s="15"/>
      <c r="IMO233" s="10"/>
      <c r="IMP233" s="10"/>
      <c r="IMQ233" s="21"/>
      <c r="IMR233" s="21"/>
      <c r="IMU233" s="21"/>
      <c r="IMV233" s="15"/>
      <c r="IMW233" s="15"/>
      <c r="IMX233" s="15"/>
      <c r="IMY233" s="15"/>
      <c r="IMZ233" s="15"/>
      <c r="INA233" s="15"/>
      <c r="INB233" s="15"/>
      <c r="INC233" s="15"/>
      <c r="IND233" s="15"/>
      <c r="INE233" s="15"/>
      <c r="INF233" s="10"/>
      <c r="ING233" s="10"/>
      <c r="INH233" s="21"/>
      <c r="INI233" s="21"/>
      <c r="INL233" s="21"/>
      <c r="INM233" s="15"/>
      <c r="INN233" s="15"/>
      <c r="INO233" s="15"/>
      <c r="INP233" s="15"/>
      <c r="INQ233" s="15"/>
      <c r="INR233" s="15"/>
      <c r="INS233" s="15"/>
      <c r="INT233" s="15"/>
      <c r="INU233" s="15"/>
      <c r="INV233" s="15"/>
      <c r="INW233" s="10"/>
      <c r="INX233" s="10"/>
      <c r="INY233" s="21"/>
      <c r="INZ233" s="21"/>
      <c r="IOC233" s="21"/>
      <c r="IOD233" s="15"/>
      <c r="IOE233" s="15"/>
      <c r="IOF233" s="15"/>
      <c r="IOG233" s="15"/>
      <c r="IOH233" s="15"/>
      <c r="IOI233" s="15"/>
      <c r="IOJ233" s="15"/>
      <c r="IOK233" s="15"/>
      <c r="IOL233" s="15"/>
      <c r="IOM233" s="15"/>
      <c r="ION233" s="10"/>
      <c r="IOO233" s="10"/>
      <c r="IOP233" s="21"/>
      <c r="IOQ233" s="21"/>
      <c r="IOT233" s="21"/>
      <c r="IOU233" s="15"/>
      <c r="IOV233" s="15"/>
      <c r="IOW233" s="15"/>
      <c r="IOX233" s="15"/>
      <c r="IOY233" s="15"/>
      <c r="IOZ233" s="15"/>
      <c r="IPA233" s="15"/>
      <c r="IPB233" s="15"/>
      <c r="IPC233" s="15"/>
      <c r="IPD233" s="15"/>
      <c r="IPE233" s="10"/>
      <c r="IPF233" s="10"/>
      <c r="IPG233" s="21"/>
      <c r="IPH233" s="21"/>
      <c r="IPK233" s="21"/>
      <c r="IPL233" s="15"/>
      <c r="IPM233" s="15"/>
      <c r="IPN233" s="15"/>
      <c r="IPO233" s="15"/>
      <c r="IPP233" s="15"/>
      <c r="IPQ233" s="15"/>
      <c r="IPR233" s="15"/>
      <c r="IPS233" s="15"/>
      <c r="IPT233" s="15"/>
      <c r="IPU233" s="15"/>
      <c r="IPV233" s="10"/>
      <c r="IPW233" s="10"/>
      <c r="IPX233" s="21"/>
      <c r="IPY233" s="21"/>
      <c r="IQB233" s="21"/>
      <c r="IQC233" s="15"/>
      <c r="IQD233" s="15"/>
      <c r="IQE233" s="15"/>
      <c r="IQF233" s="15"/>
      <c r="IQG233" s="15"/>
      <c r="IQH233" s="15"/>
      <c r="IQI233" s="15"/>
      <c r="IQJ233" s="15"/>
      <c r="IQK233" s="15"/>
      <c r="IQL233" s="15"/>
      <c r="IQM233" s="10"/>
      <c r="IQN233" s="10"/>
      <c r="IQO233" s="21"/>
      <c r="IQP233" s="21"/>
      <c r="IQS233" s="21"/>
      <c r="IQT233" s="15"/>
      <c r="IQU233" s="15"/>
      <c r="IQV233" s="15"/>
      <c r="IQW233" s="15"/>
      <c r="IQX233" s="15"/>
      <c r="IQY233" s="15"/>
      <c r="IQZ233" s="15"/>
      <c r="IRA233" s="15"/>
      <c r="IRB233" s="15"/>
      <c r="IRC233" s="15"/>
      <c r="IRD233" s="10"/>
      <c r="IRE233" s="10"/>
      <c r="IRF233" s="21"/>
      <c r="IRG233" s="21"/>
      <c r="IRJ233" s="21"/>
      <c r="IRK233" s="15"/>
      <c r="IRL233" s="15"/>
      <c r="IRM233" s="15"/>
      <c r="IRN233" s="15"/>
      <c r="IRO233" s="15"/>
      <c r="IRP233" s="15"/>
      <c r="IRQ233" s="15"/>
      <c r="IRR233" s="15"/>
      <c r="IRS233" s="15"/>
      <c r="IRT233" s="15"/>
      <c r="IRU233" s="10"/>
      <c r="IRV233" s="10"/>
      <c r="IRW233" s="21"/>
      <c r="IRX233" s="21"/>
      <c r="ISA233" s="21"/>
      <c r="ISB233" s="15"/>
      <c r="ISC233" s="15"/>
      <c r="ISD233" s="15"/>
      <c r="ISE233" s="15"/>
      <c r="ISF233" s="15"/>
      <c r="ISG233" s="15"/>
      <c r="ISH233" s="15"/>
      <c r="ISI233" s="15"/>
      <c r="ISJ233" s="15"/>
      <c r="ISK233" s="15"/>
      <c r="ISL233" s="10"/>
      <c r="ISM233" s="10"/>
      <c r="ISN233" s="21"/>
      <c r="ISO233" s="21"/>
      <c r="ISR233" s="21"/>
      <c r="ISS233" s="15"/>
      <c r="IST233" s="15"/>
      <c r="ISU233" s="15"/>
      <c r="ISV233" s="15"/>
      <c r="ISW233" s="15"/>
      <c r="ISX233" s="15"/>
      <c r="ISY233" s="15"/>
      <c r="ISZ233" s="15"/>
      <c r="ITA233" s="15"/>
      <c r="ITB233" s="15"/>
      <c r="ITC233" s="10"/>
      <c r="ITD233" s="10"/>
      <c r="ITE233" s="21"/>
      <c r="ITF233" s="21"/>
      <c r="ITI233" s="21"/>
      <c r="ITJ233" s="15"/>
      <c r="ITK233" s="15"/>
      <c r="ITL233" s="15"/>
      <c r="ITM233" s="15"/>
      <c r="ITN233" s="15"/>
      <c r="ITO233" s="15"/>
      <c r="ITP233" s="15"/>
      <c r="ITQ233" s="15"/>
      <c r="ITR233" s="15"/>
      <c r="ITS233" s="15"/>
      <c r="ITT233" s="10"/>
      <c r="ITU233" s="10"/>
      <c r="ITV233" s="21"/>
      <c r="ITW233" s="21"/>
      <c r="ITZ233" s="21"/>
      <c r="IUA233" s="15"/>
      <c r="IUB233" s="15"/>
      <c r="IUC233" s="15"/>
      <c r="IUD233" s="15"/>
      <c r="IUE233" s="15"/>
      <c r="IUF233" s="15"/>
      <c r="IUG233" s="15"/>
      <c r="IUH233" s="15"/>
      <c r="IUI233" s="15"/>
      <c r="IUJ233" s="15"/>
      <c r="IUK233" s="10"/>
      <c r="IUL233" s="10"/>
      <c r="IUM233" s="21"/>
      <c r="IUN233" s="21"/>
      <c r="IUQ233" s="21"/>
      <c r="IUR233" s="15"/>
      <c r="IUS233" s="15"/>
      <c r="IUT233" s="15"/>
      <c r="IUU233" s="15"/>
      <c r="IUV233" s="15"/>
      <c r="IUW233" s="15"/>
      <c r="IUX233" s="15"/>
      <c r="IUY233" s="15"/>
      <c r="IUZ233" s="15"/>
      <c r="IVA233" s="15"/>
      <c r="IVB233" s="10"/>
      <c r="IVC233" s="10"/>
      <c r="IVD233" s="21"/>
      <c r="IVE233" s="21"/>
      <c r="IVH233" s="21"/>
      <c r="IVI233" s="15"/>
      <c r="IVJ233" s="15"/>
      <c r="IVK233" s="15"/>
      <c r="IVL233" s="15"/>
      <c r="IVM233" s="15"/>
      <c r="IVN233" s="15"/>
      <c r="IVO233" s="15"/>
      <c r="IVP233" s="15"/>
      <c r="IVQ233" s="15"/>
      <c r="IVR233" s="15"/>
      <c r="IVS233" s="10"/>
      <c r="IVT233" s="10"/>
      <c r="IVU233" s="21"/>
      <c r="IVV233" s="21"/>
      <c r="IVY233" s="21"/>
      <c r="IVZ233" s="15"/>
      <c r="IWA233" s="15"/>
      <c r="IWB233" s="15"/>
      <c r="IWC233" s="15"/>
      <c r="IWD233" s="15"/>
      <c r="IWE233" s="15"/>
      <c r="IWF233" s="15"/>
      <c r="IWG233" s="15"/>
      <c r="IWH233" s="15"/>
      <c r="IWI233" s="15"/>
      <c r="IWJ233" s="10"/>
      <c r="IWK233" s="10"/>
      <c r="IWL233" s="21"/>
      <c r="IWM233" s="21"/>
      <c r="IWP233" s="21"/>
      <c r="IWQ233" s="15"/>
      <c r="IWR233" s="15"/>
      <c r="IWS233" s="15"/>
      <c r="IWT233" s="15"/>
      <c r="IWU233" s="15"/>
      <c r="IWV233" s="15"/>
      <c r="IWW233" s="15"/>
      <c r="IWX233" s="15"/>
      <c r="IWY233" s="15"/>
      <c r="IWZ233" s="15"/>
      <c r="IXA233" s="10"/>
      <c r="IXB233" s="10"/>
      <c r="IXC233" s="21"/>
      <c r="IXD233" s="21"/>
      <c r="IXG233" s="21"/>
      <c r="IXH233" s="15"/>
      <c r="IXI233" s="15"/>
      <c r="IXJ233" s="15"/>
      <c r="IXK233" s="15"/>
      <c r="IXL233" s="15"/>
      <c r="IXM233" s="15"/>
      <c r="IXN233" s="15"/>
      <c r="IXO233" s="15"/>
      <c r="IXP233" s="15"/>
      <c r="IXQ233" s="15"/>
      <c r="IXR233" s="10"/>
      <c r="IXS233" s="10"/>
      <c r="IXT233" s="21"/>
      <c r="IXU233" s="21"/>
      <c r="IXX233" s="21"/>
      <c r="IXY233" s="15"/>
      <c r="IXZ233" s="15"/>
      <c r="IYA233" s="15"/>
      <c r="IYB233" s="15"/>
      <c r="IYC233" s="15"/>
      <c r="IYD233" s="15"/>
      <c r="IYE233" s="15"/>
      <c r="IYF233" s="15"/>
      <c r="IYG233" s="15"/>
      <c r="IYH233" s="15"/>
      <c r="IYI233" s="10"/>
      <c r="IYJ233" s="10"/>
      <c r="IYK233" s="21"/>
      <c r="IYL233" s="21"/>
      <c r="IYO233" s="21"/>
      <c r="IYP233" s="15"/>
      <c r="IYQ233" s="15"/>
      <c r="IYR233" s="15"/>
      <c r="IYS233" s="15"/>
      <c r="IYT233" s="15"/>
      <c r="IYU233" s="15"/>
      <c r="IYV233" s="15"/>
      <c r="IYW233" s="15"/>
      <c r="IYX233" s="15"/>
      <c r="IYY233" s="15"/>
      <c r="IYZ233" s="10"/>
      <c r="IZA233" s="10"/>
      <c r="IZB233" s="21"/>
      <c r="IZC233" s="21"/>
      <c r="IZF233" s="21"/>
      <c r="IZG233" s="15"/>
      <c r="IZH233" s="15"/>
      <c r="IZI233" s="15"/>
      <c r="IZJ233" s="15"/>
      <c r="IZK233" s="15"/>
      <c r="IZL233" s="15"/>
      <c r="IZM233" s="15"/>
      <c r="IZN233" s="15"/>
      <c r="IZO233" s="15"/>
      <c r="IZP233" s="15"/>
      <c r="IZQ233" s="10"/>
      <c r="IZR233" s="10"/>
      <c r="IZS233" s="21"/>
      <c r="IZT233" s="21"/>
      <c r="IZW233" s="21"/>
      <c r="IZX233" s="15"/>
      <c r="IZY233" s="15"/>
      <c r="IZZ233" s="15"/>
      <c r="JAA233" s="15"/>
      <c r="JAB233" s="15"/>
      <c r="JAC233" s="15"/>
      <c r="JAD233" s="15"/>
      <c r="JAE233" s="15"/>
      <c r="JAF233" s="15"/>
      <c r="JAG233" s="15"/>
      <c r="JAH233" s="10"/>
      <c r="JAI233" s="10"/>
      <c r="JAJ233" s="21"/>
      <c r="JAK233" s="21"/>
      <c r="JAN233" s="21"/>
      <c r="JAO233" s="15"/>
      <c r="JAP233" s="15"/>
      <c r="JAQ233" s="15"/>
      <c r="JAR233" s="15"/>
      <c r="JAS233" s="15"/>
      <c r="JAT233" s="15"/>
      <c r="JAU233" s="15"/>
      <c r="JAV233" s="15"/>
      <c r="JAW233" s="15"/>
      <c r="JAX233" s="15"/>
      <c r="JAY233" s="10"/>
      <c r="JAZ233" s="10"/>
      <c r="JBA233" s="21"/>
      <c r="JBB233" s="21"/>
      <c r="JBE233" s="21"/>
      <c r="JBF233" s="15"/>
      <c r="JBG233" s="15"/>
      <c r="JBH233" s="15"/>
      <c r="JBI233" s="15"/>
      <c r="JBJ233" s="15"/>
      <c r="JBK233" s="15"/>
      <c r="JBL233" s="15"/>
      <c r="JBM233" s="15"/>
      <c r="JBN233" s="15"/>
      <c r="JBO233" s="15"/>
      <c r="JBP233" s="10"/>
      <c r="JBQ233" s="10"/>
      <c r="JBR233" s="21"/>
      <c r="JBS233" s="21"/>
      <c r="JBV233" s="21"/>
      <c r="JBW233" s="15"/>
      <c r="JBX233" s="15"/>
      <c r="JBY233" s="15"/>
      <c r="JBZ233" s="15"/>
      <c r="JCA233" s="15"/>
      <c r="JCB233" s="15"/>
      <c r="JCC233" s="15"/>
      <c r="JCD233" s="15"/>
      <c r="JCE233" s="15"/>
      <c r="JCF233" s="15"/>
      <c r="JCG233" s="10"/>
      <c r="JCH233" s="10"/>
      <c r="JCI233" s="21"/>
      <c r="JCJ233" s="21"/>
      <c r="JCM233" s="21"/>
      <c r="JCN233" s="15"/>
      <c r="JCO233" s="15"/>
      <c r="JCP233" s="15"/>
      <c r="JCQ233" s="15"/>
      <c r="JCR233" s="15"/>
      <c r="JCS233" s="15"/>
      <c r="JCT233" s="15"/>
      <c r="JCU233" s="15"/>
      <c r="JCV233" s="15"/>
      <c r="JCW233" s="15"/>
      <c r="JCX233" s="10"/>
      <c r="JCY233" s="10"/>
      <c r="JCZ233" s="21"/>
      <c r="JDA233" s="21"/>
      <c r="JDD233" s="21"/>
      <c r="JDE233" s="15"/>
      <c r="JDF233" s="15"/>
      <c r="JDG233" s="15"/>
      <c r="JDH233" s="15"/>
      <c r="JDI233" s="15"/>
      <c r="JDJ233" s="15"/>
      <c r="JDK233" s="15"/>
      <c r="JDL233" s="15"/>
      <c r="JDM233" s="15"/>
      <c r="JDN233" s="15"/>
      <c r="JDO233" s="10"/>
      <c r="JDP233" s="10"/>
      <c r="JDQ233" s="21"/>
      <c r="JDR233" s="21"/>
      <c r="JDU233" s="21"/>
      <c r="JDV233" s="15"/>
      <c r="JDW233" s="15"/>
      <c r="JDX233" s="15"/>
      <c r="JDY233" s="15"/>
      <c r="JDZ233" s="15"/>
      <c r="JEA233" s="15"/>
      <c r="JEB233" s="15"/>
      <c r="JEC233" s="15"/>
      <c r="JED233" s="15"/>
      <c r="JEE233" s="15"/>
      <c r="JEF233" s="10"/>
      <c r="JEG233" s="10"/>
      <c r="JEH233" s="21"/>
      <c r="JEI233" s="21"/>
      <c r="JEL233" s="21"/>
      <c r="JEM233" s="15"/>
      <c r="JEN233" s="15"/>
      <c r="JEO233" s="15"/>
      <c r="JEP233" s="15"/>
      <c r="JEQ233" s="15"/>
      <c r="JER233" s="15"/>
      <c r="JES233" s="15"/>
      <c r="JET233" s="15"/>
      <c r="JEU233" s="15"/>
      <c r="JEV233" s="15"/>
      <c r="JEW233" s="10"/>
      <c r="JEX233" s="10"/>
      <c r="JEY233" s="21"/>
      <c r="JEZ233" s="21"/>
      <c r="JFC233" s="21"/>
      <c r="JFD233" s="15"/>
      <c r="JFE233" s="15"/>
      <c r="JFF233" s="15"/>
      <c r="JFG233" s="15"/>
      <c r="JFH233" s="15"/>
      <c r="JFI233" s="15"/>
      <c r="JFJ233" s="15"/>
      <c r="JFK233" s="15"/>
      <c r="JFL233" s="15"/>
      <c r="JFM233" s="15"/>
      <c r="JFN233" s="10"/>
      <c r="JFO233" s="10"/>
      <c r="JFP233" s="21"/>
      <c r="JFQ233" s="21"/>
      <c r="JFT233" s="21"/>
      <c r="JFU233" s="15"/>
      <c r="JFV233" s="15"/>
      <c r="JFW233" s="15"/>
      <c r="JFX233" s="15"/>
      <c r="JFY233" s="15"/>
      <c r="JFZ233" s="15"/>
      <c r="JGA233" s="15"/>
      <c r="JGB233" s="15"/>
      <c r="JGC233" s="15"/>
      <c r="JGD233" s="15"/>
      <c r="JGE233" s="10"/>
      <c r="JGF233" s="10"/>
      <c r="JGG233" s="21"/>
      <c r="JGH233" s="21"/>
      <c r="JGK233" s="21"/>
      <c r="JGL233" s="15"/>
      <c r="JGM233" s="15"/>
      <c r="JGN233" s="15"/>
      <c r="JGO233" s="15"/>
      <c r="JGP233" s="15"/>
      <c r="JGQ233" s="15"/>
      <c r="JGR233" s="15"/>
      <c r="JGS233" s="15"/>
      <c r="JGT233" s="15"/>
      <c r="JGU233" s="15"/>
      <c r="JGV233" s="10"/>
      <c r="JGW233" s="10"/>
      <c r="JGX233" s="21"/>
      <c r="JGY233" s="21"/>
      <c r="JHB233" s="21"/>
      <c r="JHC233" s="15"/>
      <c r="JHD233" s="15"/>
      <c r="JHE233" s="15"/>
      <c r="JHF233" s="15"/>
      <c r="JHG233" s="15"/>
      <c r="JHH233" s="15"/>
      <c r="JHI233" s="15"/>
      <c r="JHJ233" s="15"/>
      <c r="JHK233" s="15"/>
      <c r="JHL233" s="15"/>
      <c r="JHM233" s="10"/>
      <c r="JHN233" s="10"/>
      <c r="JHO233" s="21"/>
      <c r="JHP233" s="21"/>
      <c r="JHS233" s="21"/>
      <c r="JHT233" s="15"/>
      <c r="JHU233" s="15"/>
      <c r="JHV233" s="15"/>
      <c r="JHW233" s="15"/>
      <c r="JHX233" s="15"/>
      <c r="JHY233" s="15"/>
      <c r="JHZ233" s="15"/>
      <c r="JIA233" s="15"/>
      <c r="JIB233" s="15"/>
      <c r="JIC233" s="15"/>
      <c r="JID233" s="10"/>
      <c r="JIE233" s="10"/>
      <c r="JIF233" s="21"/>
      <c r="JIG233" s="21"/>
      <c r="JIJ233" s="21"/>
      <c r="JIK233" s="15"/>
      <c r="JIL233" s="15"/>
      <c r="JIM233" s="15"/>
      <c r="JIN233" s="15"/>
      <c r="JIO233" s="15"/>
      <c r="JIP233" s="15"/>
      <c r="JIQ233" s="15"/>
      <c r="JIR233" s="15"/>
      <c r="JIS233" s="15"/>
      <c r="JIT233" s="15"/>
      <c r="JIU233" s="10"/>
      <c r="JIV233" s="10"/>
      <c r="JIW233" s="21"/>
      <c r="JIX233" s="21"/>
      <c r="JJA233" s="21"/>
      <c r="JJB233" s="15"/>
      <c r="JJC233" s="15"/>
      <c r="JJD233" s="15"/>
      <c r="JJE233" s="15"/>
      <c r="JJF233" s="15"/>
      <c r="JJG233" s="15"/>
      <c r="JJH233" s="15"/>
      <c r="JJI233" s="15"/>
      <c r="JJJ233" s="15"/>
      <c r="JJK233" s="15"/>
      <c r="JJL233" s="10"/>
      <c r="JJM233" s="10"/>
      <c r="JJN233" s="21"/>
      <c r="JJO233" s="21"/>
      <c r="JJR233" s="21"/>
      <c r="JJS233" s="15"/>
      <c r="JJT233" s="15"/>
      <c r="JJU233" s="15"/>
      <c r="JJV233" s="15"/>
      <c r="JJW233" s="15"/>
      <c r="JJX233" s="15"/>
      <c r="JJY233" s="15"/>
      <c r="JJZ233" s="15"/>
      <c r="JKA233" s="15"/>
      <c r="JKB233" s="15"/>
      <c r="JKC233" s="10"/>
      <c r="JKD233" s="10"/>
      <c r="JKE233" s="21"/>
      <c r="JKF233" s="21"/>
      <c r="JKI233" s="21"/>
      <c r="JKJ233" s="15"/>
      <c r="JKK233" s="15"/>
      <c r="JKL233" s="15"/>
      <c r="JKM233" s="15"/>
      <c r="JKN233" s="15"/>
      <c r="JKO233" s="15"/>
      <c r="JKP233" s="15"/>
      <c r="JKQ233" s="15"/>
      <c r="JKR233" s="15"/>
      <c r="JKS233" s="15"/>
      <c r="JKT233" s="10"/>
      <c r="JKU233" s="10"/>
      <c r="JKV233" s="21"/>
      <c r="JKW233" s="21"/>
      <c r="JKZ233" s="21"/>
      <c r="JLA233" s="15"/>
      <c r="JLB233" s="15"/>
      <c r="JLC233" s="15"/>
      <c r="JLD233" s="15"/>
      <c r="JLE233" s="15"/>
      <c r="JLF233" s="15"/>
      <c r="JLG233" s="15"/>
      <c r="JLH233" s="15"/>
      <c r="JLI233" s="15"/>
      <c r="JLJ233" s="15"/>
      <c r="JLK233" s="10"/>
      <c r="JLL233" s="10"/>
      <c r="JLM233" s="21"/>
      <c r="JLN233" s="21"/>
      <c r="JLQ233" s="21"/>
      <c r="JLR233" s="15"/>
      <c r="JLS233" s="15"/>
      <c r="JLT233" s="15"/>
      <c r="JLU233" s="15"/>
      <c r="JLV233" s="15"/>
      <c r="JLW233" s="15"/>
      <c r="JLX233" s="15"/>
      <c r="JLY233" s="15"/>
      <c r="JLZ233" s="15"/>
      <c r="JMA233" s="15"/>
      <c r="JMB233" s="10"/>
      <c r="JMC233" s="10"/>
      <c r="JMD233" s="21"/>
      <c r="JME233" s="21"/>
      <c r="JMH233" s="21"/>
      <c r="JMI233" s="15"/>
      <c r="JMJ233" s="15"/>
      <c r="JMK233" s="15"/>
      <c r="JML233" s="15"/>
      <c r="JMM233" s="15"/>
      <c r="JMN233" s="15"/>
      <c r="JMO233" s="15"/>
      <c r="JMP233" s="15"/>
      <c r="JMQ233" s="15"/>
      <c r="JMR233" s="15"/>
      <c r="JMS233" s="10"/>
      <c r="JMT233" s="10"/>
      <c r="JMU233" s="21"/>
      <c r="JMV233" s="21"/>
      <c r="JMY233" s="21"/>
      <c r="JMZ233" s="15"/>
      <c r="JNA233" s="15"/>
      <c r="JNB233" s="15"/>
      <c r="JNC233" s="15"/>
      <c r="JND233" s="15"/>
      <c r="JNE233" s="15"/>
      <c r="JNF233" s="15"/>
      <c r="JNG233" s="15"/>
      <c r="JNH233" s="15"/>
      <c r="JNI233" s="15"/>
      <c r="JNJ233" s="10"/>
      <c r="JNK233" s="10"/>
      <c r="JNL233" s="21"/>
      <c r="JNM233" s="21"/>
      <c r="JNP233" s="21"/>
      <c r="JNQ233" s="15"/>
      <c r="JNR233" s="15"/>
      <c r="JNS233" s="15"/>
      <c r="JNT233" s="15"/>
      <c r="JNU233" s="15"/>
      <c r="JNV233" s="15"/>
      <c r="JNW233" s="15"/>
      <c r="JNX233" s="15"/>
      <c r="JNY233" s="15"/>
      <c r="JNZ233" s="15"/>
      <c r="JOA233" s="10"/>
      <c r="JOB233" s="10"/>
      <c r="JOC233" s="21"/>
      <c r="JOD233" s="21"/>
      <c r="JOG233" s="21"/>
      <c r="JOH233" s="15"/>
      <c r="JOI233" s="15"/>
      <c r="JOJ233" s="15"/>
      <c r="JOK233" s="15"/>
      <c r="JOL233" s="15"/>
      <c r="JOM233" s="15"/>
      <c r="JON233" s="15"/>
      <c r="JOO233" s="15"/>
      <c r="JOP233" s="15"/>
      <c r="JOQ233" s="15"/>
      <c r="JOR233" s="10"/>
      <c r="JOS233" s="10"/>
      <c r="JOT233" s="21"/>
      <c r="JOU233" s="21"/>
      <c r="JOX233" s="21"/>
      <c r="JOY233" s="15"/>
      <c r="JOZ233" s="15"/>
      <c r="JPA233" s="15"/>
      <c r="JPB233" s="15"/>
      <c r="JPC233" s="15"/>
      <c r="JPD233" s="15"/>
      <c r="JPE233" s="15"/>
      <c r="JPF233" s="15"/>
      <c r="JPG233" s="15"/>
      <c r="JPH233" s="15"/>
      <c r="JPI233" s="10"/>
      <c r="JPJ233" s="10"/>
      <c r="JPK233" s="21"/>
      <c r="JPL233" s="21"/>
      <c r="JPO233" s="21"/>
      <c r="JPP233" s="15"/>
      <c r="JPQ233" s="15"/>
      <c r="JPR233" s="15"/>
      <c r="JPS233" s="15"/>
      <c r="JPT233" s="15"/>
      <c r="JPU233" s="15"/>
      <c r="JPV233" s="15"/>
      <c r="JPW233" s="15"/>
      <c r="JPX233" s="15"/>
      <c r="JPY233" s="15"/>
      <c r="JPZ233" s="10"/>
      <c r="JQA233" s="10"/>
      <c r="JQB233" s="21"/>
      <c r="JQC233" s="21"/>
      <c r="JQF233" s="21"/>
      <c r="JQG233" s="15"/>
      <c r="JQH233" s="15"/>
      <c r="JQI233" s="15"/>
      <c r="JQJ233" s="15"/>
      <c r="JQK233" s="15"/>
      <c r="JQL233" s="15"/>
      <c r="JQM233" s="15"/>
      <c r="JQN233" s="15"/>
      <c r="JQO233" s="15"/>
      <c r="JQP233" s="15"/>
      <c r="JQQ233" s="10"/>
      <c r="JQR233" s="10"/>
      <c r="JQS233" s="21"/>
      <c r="JQT233" s="21"/>
      <c r="JQW233" s="21"/>
      <c r="JQX233" s="15"/>
      <c r="JQY233" s="15"/>
      <c r="JQZ233" s="15"/>
      <c r="JRA233" s="15"/>
      <c r="JRB233" s="15"/>
      <c r="JRC233" s="15"/>
      <c r="JRD233" s="15"/>
      <c r="JRE233" s="15"/>
      <c r="JRF233" s="15"/>
      <c r="JRG233" s="15"/>
      <c r="JRH233" s="10"/>
      <c r="JRI233" s="10"/>
      <c r="JRJ233" s="21"/>
      <c r="JRK233" s="21"/>
      <c r="JRN233" s="21"/>
      <c r="JRO233" s="15"/>
      <c r="JRP233" s="15"/>
      <c r="JRQ233" s="15"/>
      <c r="JRR233" s="15"/>
      <c r="JRS233" s="15"/>
      <c r="JRT233" s="15"/>
      <c r="JRU233" s="15"/>
      <c r="JRV233" s="15"/>
      <c r="JRW233" s="15"/>
      <c r="JRX233" s="15"/>
      <c r="JRY233" s="10"/>
      <c r="JRZ233" s="10"/>
      <c r="JSA233" s="21"/>
      <c r="JSB233" s="21"/>
      <c r="JSE233" s="21"/>
      <c r="JSF233" s="15"/>
      <c r="JSG233" s="15"/>
      <c r="JSH233" s="15"/>
      <c r="JSI233" s="15"/>
      <c r="JSJ233" s="15"/>
      <c r="JSK233" s="15"/>
      <c r="JSL233" s="15"/>
      <c r="JSM233" s="15"/>
      <c r="JSN233" s="15"/>
      <c r="JSO233" s="15"/>
      <c r="JSP233" s="10"/>
      <c r="JSQ233" s="10"/>
      <c r="JSR233" s="21"/>
      <c r="JSS233" s="21"/>
      <c r="JSV233" s="21"/>
      <c r="JSW233" s="15"/>
      <c r="JSX233" s="15"/>
      <c r="JSY233" s="15"/>
      <c r="JSZ233" s="15"/>
      <c r="JTA233" s="15"/>
      <c r="JTB233" s="15"/>
      <c r="JTC233" s="15"/>
      <c r="JTD233" s="15"/>
      <c r="JTE233" s="15"/>
      <c r="JTF233" s="15"/>
      <c r="JTG233" s="10"/>
      <c r="JTH233" s="10"/>
      <c r="JTI233" s="21"/>
      <c r="JTJ233" s="21"/>
      <c r="JTM233" s="21"/>
      <c r="JTN233" s="15"/>
      <c r="JTO233" s="15"/>
      <c r="JTP233" s="15"/>
      <c r="JTQ233" s="15"/>
      <c r="JTR233" s="15"/>
      <c r="JTS233" s="15"/>
      <c r="JTT233" s="15"/>
      <c r="JTU233" s="15"/>
      <c r="JTV233" s="15"/>
      <c r="JTW233" s="15"/>
      <c r="JTX233" s="10"/>
      <c r="JTY233" s="10"/>
      <c r="JTZ233" s="21"/>
      <c r="JUA233" s="21"/>
      <c r="JUD233" s="21"/>
      <c r="JUE233" s="15"/>
      <c r="JUF233" s="15"/>
      <c r="JUG233" s="15"/>
      <c r="JUH233" s="15"/>
      <c r="JUI233" s="15"/>
      <c r="JUJ233" s="15"/>
      <c r="JUK233" s="15"/>
      <c r="JUL233" s="15"/>
      <c r="JUM233" s="15"/>
      <c r="JUN233" s="15"/>
      <c r="JUO233" s="10"/>
      <c r="JUP233" s="10"/>
      <c r="JUQ233" s="21"/>
      <c r="JUR233" s="21"/>
      <c r="JUU233" s="21"/>
      <c r="JUV233" s="15"/>
      <c r="JUW233" s="15"/>
      <c r="JUX233" s="15"/>
      <c r="JUY233" s="15"/>
      <c r="JUZ233" s="15"/>
      <c r="JVA233" s="15"/>
      <c r="JVB233" s="15"/>
      <c r="JVC233" s="15"/>
      <c r="JVD233" s="15"/>
      <c r="JVE233" s="15"/>
      <c r="JVF233" s="10"/>
      <c r="JVG233" s="10"/>
      <c r="JVH233" s="21"/>
      <c r="JVI233" s="21"/>
      <c r="JVL233" s="21"/>
      <c r="JVM233" s="15"/>
      <c r="JVN233" s="15"/>
      <c r="JVO233" s="15"/>
      <c r="JVP233" s="15"/>
      <c r="JVQ233" s="15"/>
      <c r="JVR233" s="15"/>
      <c r="JVS233" s="15"/>
      <c r="JVT233" s="15"/>
      <c r="JVU233" s="15"/>
      <c r="JVV233" s="15"/>
      <c r="JVW233" s="10"/>
      <c r="JVX233" s="10"/>
      <c r="JVY233" s="21"/>
      <c r="JVZ233" s="21"/>
      <c r="JWC233" s="21"/>
      <c r="JWD233" s="15"/>
      <c r="JWE233" s="15"/>
      <c r="JWF233" s="15"/>
      <c r="JWG233" s="15"/>
      <c r="JWH233" s="15"/>
      <c r="JWI233" s="15"/>
      <c r="JWJ233" s="15"/>
      <c r="JWK233" s="15"/>
      <c r="JWL233" s="15"/>
      <c r="JWM233" s="15"/>
      <c r="JWN233" s="10"/>
      <c r="JWO233" s="10"/>
      <c r="JWP233" s="21"/>
      <c r="JWQ233" s="21"/>
      <c r="JWT233" s="21"/>
      <c r="JWU233" s="15"/>
      <c r="JWV233" s="15"/>
      <c r="JWW233" s="15"/>
      <c r="JWX233" s="15"/>
      <c r="JWY233" s="15"/>
      <c r="JWZ233" s="15"/>
      <c r="JXA233" s="15"/>
      <c r="JXB233" s="15"/>
      <c r="JXC233" s="15"/>
      <c r="JXD233" s="15"/>
      <c r="JXE233" s="10"/>
      <c r="JXF233" s="10"/>
      <c r="JXG233" s="21"/>
      <c r="JXH233" s="21"/>
      <c r="JXK233" s="21"/>
      <c r="JXL233" s="15"/>
      <c r="JXM233" s="15"/>
      <c r="JXN233" s="15"/>
      <c r="JXO233" s="15"/>
      <c r="JXP233" s="15"/>
      <c r="JXQ233" s="15"/>
      <c r="JXR233" s="15"/>
      <c r="JXS233" s="15"/>
      <c r="JXT233" s="15"/>
      <c r="JXU233" s="15"/>
      <c r="JXV233" s="10"/>
      <c r="JXW233" s="10"/>
      <c r="JXX233" s="21"/>
      <c r="JXY233" s="21"/>
      <c r="JYB233" s="21"/>
      <c r="JYC233" s="15"/>
      <c r="JYD233" s="15"/>
      <c r="JYE233" s="15"/>
      <c r="JYF233" s="15"/>
      <c r="JYG233" s="15"/>
      <c r="JYH233" s="15"/>
      <c r="JYI233" s="15"/>
      <c r="JYJ233" s="15"/>
      <c r="JYK233" s="15"/>
      <c r="JYL233" s="15"/>
      <c r="JYM233" s="10"/>
      <c r="JYN233" s="10"/>
      <c r="JYO233" s="21"/>
      <c r="JYP233" s="21"/>
      <c r="JYS233" s="21"/>
      <c r="JYT233" s="15"/>
      <c r="JYU233" s="15"/>
      <c r="JYV233" s="15"/>
      <c r="JYW233" s="15"/>
      <c r="JYX233" s="15"/>
      <c r="JYY233" s="15"/>
      <c r="JYZ233" s="15"/>
      <c r="JZA233" s="15"/>
      <c r="JZB233" s="15"/>
      <c r="JZC233" s="15"/>
      <c r="JZD233" s="10"/>
      <c r="JZE233" s="10"/>
      <c r="JZF233" s="21"/>
      <c r="JZG233" s="21"/>
      <c r="JZJ233" s="21"/>
      <c r="JZK233" s="15"/>
      <c r="JZL233" s="15"/>
      <c r="JZM233" s="15"/>
      <c r="JZN233" s="15"/>
      <c r="JZO233" s="15"/>
      <c r="JZP233" s="15"/>
      <c r="JZQ233" s="15"/>
      <c r="JZR233" s="15"/>
      <c r="JZS233" s="15"/>
      <c r="JZT233" s="15"/>
      <c r="JZU233" s="10"/>
      <c r="JZV233" s="10"/>
      <c r="JZW233" s="21"/>
      <c r="JZX233" s="21"/>
      <c r="KAA233" s="21"/>
      <c r="KAB233" s="15"/>
      <c r="KAC233" s="15"/>
      <c r="KAD233" s="15"/>
      <c r="KAE233" s="15"/>
      <c r="KAF233" s="15"/>
      <c r="KAG233" s="15"/>
      <c r="KAH233" s="15"/>
      <c r="KAI233" s="15"/>
      <c r="KAJ233" s="15"/>
      <c r="KAK233" s="15"/>
      <c r="KAL233" s="10"/>
      <c r="KAM233" s="10"/>
      <c r="KAN233" s="21"/>
      <c r="KAO233" s="21"/>
      <c r="KAR233" s="21"/>
      <c r="KAS233" s="15"/>
      <c r="KAT233" s="15"/>
      <c r="KAU233" s="15"/>
      <c r="KAV233" s="15"/>
      <c r="KAW233" s="15"/>
      <c r="KAX233" s="15"/>
      <c r="KAY233" s="15"/>
      <c r="KAZ233" s="15"/>
      <c r="KBA233" s="15"/>
      <c r="KBB233" s="15"/>
      <c r="KBC233" s="10"/>
      <c r="KBD233" s="10"/>
      <c r="KBE233" s="21"/>
      <c r="KBF233" s="21"/>
      <c r="KBI233" s="21"/>
      <c r="KBJ233" s="15"/>
      <c r="KBK233" s="15"/>
      <c r="KBL233" s="15"/>
      <c r="KBM233" s="15"/>
      <c r="KBN233" s="15"/>
      <c r="KBO233" s="15"/>
      <c r="KBP233" s="15"/>
      <c r="KBQ233" s="15"/>
      <c r="KBR233" s="15"/>
      <c r="KBS233" s="15"/>
      <c r="KBT233" s="10"/>
      <c r="KBU233" s="10"/>
      <c r="KBV233" s="21"/>
      <c r="KBW233" s="21"/>
      <c r="KBZ233" s="21"/>
      <c r="KCA233" s="15"/>
      <c r="KCB233" s="15"/>
      <c r="KCC233" s="15"/>
      <c r="KCD233" s="15"/>
      <c r="KCE233" s="15"/>
      <c r="KCF233" s="15"/>
      <c r="KCG233" s="15"/>
      <c r="KCH233" s="15"/>
      <c r="KCI233" s="15"/>
      <c r="KCJ233" s="15"/>
      <c r="KCK233" s="10"/>
      <c r="KCL233" s="10"/>
      <c r="KCM233" s="21"/>
      <c r="KCN233" s="21"/>
      <c r="KCQ233" s="21"/>
      <c r="KCR233" s="15"/>
      <c r="KCS233" s="15"/>
      <c r="KCT233" s="15"/>
      <c r="KCU233" s="15"/>
      <c r="KCV233" s="15"/>
      <c r="KCW233" s="15"/>
      <c r="KCX233" s="15"/>
      <c r="KCY233" s="15"/>
      <c r="KCZ233" s="15"/>
      <c r="KDA233" s="15"/>
      <c r="KDB233" s="10"/>
      <c r="KDC233" s="10"/>
      <c r="KDD233" s="21"/>
      <c r="KDE233" s="21"/>
      <c r="KDH233" s="21"/>
      <c r="KDI233" s="15"/>
      <c r="KDJ233" s="15"/>
      <c r="KDK233" s="15"/>
      <c r="KDL233" s="15"/>
      <c r="KDM233" s="15"/>
      <c r="KDN233" s="15"/>
      <c r="KDO233" s="15"/>
      <c r="KDP233" s="15"/>
      <c r="KDQ233" s="15"/>
      <c r="KDR233" s="15"/>
      <c r="KDS233" s="10"/>
      <c r="KDT233" s="10"/>
      <c r="KDU233" s="21"/>
      <c r="KDV233" s="21"/>
      <c r="KDY233" s="21"/>
      <c r="KDZ233" s="15"/>
      <c r="KEA233" s="15"/>
      <c r="KEB233" s="15"/>
      <c r="KEC233" s="15"/>
      <c r="KED233" s="15"/>
      <c r="KEE233" s="15"/>
      <c r="KEF233" s="15"/>
      <c r="KEG233" s="15"/>
      <c r="KEH233" s="15"/>
      <c r="KEI233" s="15"/>
      <c r="KEJ233" s="10"/>
      <c r="KEK233" s="10"/>
      <c r="KEL233" s="21"/>
      <c r="KEM233" s="21"/>
      <c r="KEP233" s="21"/>
      <c r="KEQ233" s="15"/>
      <c r="KER233" s="15"/>
      <c r="KES233" s="15"/>
      <c r="KET233" s="15"/>
      <c r="KEU233" s="15"/>
      <c r="KEV233" s="15"/>
      <c r="KEW233" s="15"/>
      <c r="KEX233" s="15"/>
      <c r="KEY233" s="15"/>
      <c r="KEZ233" s="15"/>
      <c r="KFA233" s="10"/>
      <c r="KFB233" s="10"/>
      <c r="KFC233" s="21"/>
      <c r="KFD233" s="21"/>
      <c r="KFG233" s="21"/>
      <c r="KFH233" s="15"/>
      <c r="KFI233" s="15"/>
      <c r="KFJ233" s="15"/>
      <c r="KFK233" s="15"/>
      <c r="KFL233" s="15"/>
      <c r="KFM233" s="15"/>
      <c r="KFN233" s="15"/>
      <c r="KFO233" s="15"/>
      <c r="KFP233" s="15"/>
      <c r="KFQ233" s="15"/>
      <c r="KFR233" s="10"/>
      <c r="KFS233" s="10"/>
      <c r="KFT233" s="21"/>
      <c r="KFU233" s="21"/>
      <c r="KFX233" s="21"/>
      <c r="KFY233" s="15"/>
      <c r="KFZ233" s="15"/>
      <c r="KGA233" s="15"/>
      <c r="KGB233" s="15"/>
      <c r="KGC233" s="15"/>
      <c r="KGD233" s="15"/>
      <c r="KGE233" s="15"/>
      <c r="KGF233" s="15"/>
      <c r="KGG233" s="15"/>
      <c r="KGH233" s="15"/>
      <c r="KGI233" s="10"/>
      <c r="KGJ233" s="10"/>
      <c r="KGK233" s="21"/>
      <c r="KGL233" s="21"/>
      <c r="KGO233" s="21"/>
      <c r="KGP233" s="15"/>
      <c r="KGQ233" s="15"/>
      <c r="KGR233" s="15"/>
      <c r="KGS233" s="15"/>
      <c r="KGT233" s="15"/>
      <c r="KGU233" s="15"/>
      <c r="KGV233" s="15"/>
      <c r="KGW233" s="15"/>
      <c r="KGX233" s="15"/>
      <c r="KGY233" s="15"/>
      <c r="KGZ233" s="10"/>
      <c r="KHA233" s="10"/>
      <c r="KHB233" s="21"/>
      <c r="KHC233" s="21"/>
      <c r="KHF233" s="21"/>
      <c r="KHG233" s="15"/>
      <c r="KHH233" s="15"/>
      <c r="KHI233" s="15"/>
      <c r="KHJ233" s="15"/>
      <c r="KHK233" s="15"/>
      <c r="KHL233" s="15"/>
      <c r="KHM233" s="15"/>
      <c r="KHN233" s="15"/>
      <c r="KHO233" s="15"/>
      <c r="KHP233" s="15"/>
      <c r="KHQ233" s="10"/>
      <c r="KHR233" s="10"/>
      <c r="KHS233" s="21"/>
      <c r="KHT233" s="21"/>
      <c r="KHW233" s="21"/>
      <c r="KHX233" s="15"/>
      <c r="KHY233" s="15"/>
      <c r="KHZ233" s="15"/>
      <c r="KIA233" s="15"/>
      <c r="KIB233" s="15"/>
      <c r="KIC233" s="15"/>
      <c r="KID233" s="15"/>
      <c r="KIE233" s="15"/>
      <c r="KIF233" s="15"/>
      <c r="KIG233" s="15"/>
      <c r="KIH233" s="10"/>
      <c r="KII233" s="10"/>
      <c r="KIJ233" s="21"/>
      <c r="KIK233" s="21"/>
      <c r="KIN233" s="21"/>
      <c r="KIO233" s="15"/>
      <c r="KIP233" s="15"/>
      <c r="KIQ233" s="15"/>
      <c r="KIR233" s="15"/>
      <c r="KIS233" s="15"/>
      <c r="KIT233" s="15"/>
      <c r="KIU233" s="15"/>
      <c r="KIV233" s="15"/>
      <c r="KIW233" s="15"/>
      <c r="KIX233" s="15"/>
      <c r="KIY233" s="10"/>
      <c r="KIZ233" s="10"/>
      <c r="KJA233" s="21"/>
      <c r="KJB233" s="21"/>
      <c r="KJE233" s="21"/>
      <c r="KJF233" s="15"/>
      <c r="KJG233" s="15"/>
      <c r="KJH233" s="15"/>
      <c r="KJI233" s="15"/>
      <c r="KJJ233" s="15"/>
      <c r="KJK233" s="15"/>
      <c r="KJL233" s="15"/>
      <c r="KJM233" s="15"/>
      <c r="KJN233" s="15"/>
      <c r="KJO233" s="15"/>
      <c r="KJP233" s="10"/>
      <c r="KJQ233" s="10"/>
      <c r="KJR233" s="21"/>
      <c r="KJS233" s="21"/>
      <c r="KJV233" s="21"/>
      <c r="KJW233" s="15"/>
      <c r="KJX233" s="15"/>
      <c r="KJY233" s="15"/>
      <c r="KJZ233" s="15"/>
      <c r="KKA233" s="15"/>
      <c r="KKB233" s="15"/>
      <c r="KKC233" s="15"/>
      <c r="KKD233" s="15"/>
      <c r="KKE233" s="15"/>
      <c r="KKF233" s="15"/>
      <c r="KKG233" s="10"/>
      <c r="KKH233" s="10"/>
      <c r="KKI233" s="21"/>
      <c r="KKJ233" s="21"/>
      <c r="KKM233" s="21"/>
      <c r="KKN233" s="15"/>
      <c r="KKO233" s="15"/>
      <c r="KKP233" s="15"/>
      <c r="KKQ233" s="15"/>
      <c r="KKR233" s="15"/>
      <c r="KKS233" s="15"/>
      <c r="KKT233" s="15"/>
      <c r="KKU233" s="15"/>
      <c r="KKV233" s="15"/>
      <c r="KKW233" s="15"/>
      <c r="KKX233" s="10"/>
      <c r="KKY233" s="10"/>
      <c r="KKZ233" s="21"/>
      <c r="KLA233" s="21"/>
      <c r="KLD233" s="21"/>
      <c r="KLE233" s="15"/>
      <c r="KLF233" s="15"/>
      <c r="KLG233" s="15"/>
      <c r="KLH233" s="15"/>
      <c r="KLI233" s="15"/>
      <c r="KLJ233" s="15"/>
      <c r="KLK233" s="15"/>
      <c r="KLL233" s="15"/>
      <c r="KLM233" s="15"/>
      <c r="KLN233" s="15"/>
      <c r="KLO233" s="10"/>
      <c r="KLP233" s="10"/>
      <c r="KLQ233" s="21"/>
      <c r="KLR233" s="21"/>
      <c r="KLU233" s="21"/>
      <c r="KLV233" s="15"/>
      <c r="KLW233" s="15"/>
      <c r="KLX233" s="15"/>
      <c r="KLY233" s="15"/>
      <c r="KLZ233" s="15"/>
      <c r="KMA233" s="15"/>
      <c r="KMB233" s="15"/>
      <c r="KMC233" s="15"/>
      <c r="KMD233" s="15"/>
      <c r="KME233" s="15"/>
      <c r="KMF233" s="10"/>
      <c r="KMG233" s="10"/>
      <c r="KMH233" s="21"/>
      <c r="KMI233" s="21"/>
      <c r="KML233" s="21"/>
      <c r="KMM233" s="15"/>
      <c r="KMN233" s="15"/>
      <c r="KMO233" s="15"/>
      <c r="KMP233" s="15"/>
      <c r="KMQ233" s="15"/>
      <c r="KMR233" s="15"/>
      <c r="KMS233" s="15"/>
      <c r="KMT233" s="15"/>
      <c r="KMU233" s="15"/>
      <c r="KMV233" s="15"/>
      <c r="KMW233" s="10"/>
      <c r="KMX233" s="10"/>
      <c r="KMY233" s="21"/>
      <c r="KMZ233" s="21"/>
      <c r="KNC233" s="21"/>
      <c r="KND233" s="15"/>
      <c r="KNE233" s="15"/>
      <c r="KNF233" s="15"/>
      <c r="KNG233" s="15"/>
      <c r="KNH233" s="15"/>
      <c r="KNI233" s="15"/>
      <c r="KNJ233" s="15"/>
      <c r="KNK233" s="15"/>
      <c r="KNL233" s="15"/>
      <c r="KNM233" s="15"/>
      <c r="KNN233" s="10"/>
      <c r="KNO233" s="10"/>
      <c r="KNP233" s="21"/>
      <c r="KNQ233" s="21"/>
      <c r="KNT233" s="21"/>
      <c r="KNU233" s="15"/>
      <c r="KNV233" s="15"/>
      <c r="KNW233" s="15"/>
      <c r="KNX233" s="15"/>
      <c r="KNY233" s="15"/>
      <c r="KNZ233" s="15"/>
      <c r="KOA233" s="15"/>
      <c r="KOB233" s="15"/>
      <c r="KOC233" s="15"/>
      <c r="KOD233" s="15"/>
      <c r="KOE233" s="10"/>
      <c r="KOF233" s="10"/>
      <c r="KOG233" s="21"/>
      <c r="KOH233" s="21"/>
      <c r="KOK233" s="21"/>
      <c r="KOL233" s="15"/>
      <c r="KOM233" s="15"/>
      <c r="KON233" s="15"/>
      <c r="KOO233" s="15"/>
      <c r="KOP233" s="15"/>
      <c r="KOQ233" s="15"/>
      <c r="KOR233" s="15"/>
      <c r="KOS233" s="15"/>
      <c r="KOT233" s="15"/>
      <c r="KOU233" s="15"/>
      <c r="KOV233" s="10"/>
      <c r="KOW233" s="10"/>
      <c r="KOX233" s="21"/>
      <c r="KOY233" s="21"/>
      <c r="KPB233" s="21"/>
      <c r="KPC233" s="15"/>
      <c r="KPD233" s="15"/>
      <c r="KPE233" s="15"/>
      <c r="KPF233" s="15"/>
      <c r="KPG233" s="15"/>
      <c r="KPH233" s="15"/>
      <c r="KPI233" s="15"/>
      <c r="KPJ233" s="15"/>
      <c r="KPK233" s="15"/>
      <c r="KPL233" s="15"/>
      <c r="KPM233" s="10"/>
      <c r="KPN233" s="10"/>
      <c r="KPO233" s="21"/>
      <c r="KPP233" s="21"/>
      <c r="KPS233" s="21"/>
      <c r="KPT233" s="15"/>
      <c r="KPU233" s="15"/>
      <c r="KPV233" s="15"/>
      <c r="KPW233" s="15"/>
      <c r="KPX233" s="15"/>
      <c r="KPY233" s="15"/>
      <c r="KPZ233" s="15"/>
      <c r="KQA233" s="15"/>
      <c r="KQB233" s="15"/>
      <c r="KQC233" s="15"/>
      <c r="KQD233" s="10"/>
      <c r="KQE233" s="10"/>
      <c r="KQF233" s="21"/>
      <c r="KQG233" s="21"/>
      <c r="KQJ233" s="21"/>
      <c r="KQK233" s="15"/>
      <c r="KQL233" s="15"/>
      <c r="KQM233" s="15"/>
      <c r="KQN233" s="15"/>
      <c r="KQO233" s="15"/>
      <c r="KQP233" s="15"/>
      <c r="KQQ233" s="15"/>
      <c r="KQR233" s="15"/>
      <c r="KQS233" s="15"/>
      <c r="KQT233" s="15"/>
      <c r="KQU233" s="10"/>
      <c r="KQV233" s="10"/>
      <c r="KQW233" s="21"/>
      <c r="KQX233" s="21"/>
      <c r="KRA233" s="21"/>
      <c r="KRB233" s="15"/>
      <c r="KRC233" s="15"/>
      <c r="KRD233" s="15"/>
      <c r="KRE233" s="15"/>
      <c r="KRF233" s="15"/>
      <c r="KRG233" s="15"/>
      <c r="KRH233" s="15"/>
      <c r="KRI233" s="15"/>
      <c r="KRJ233" s="15"/>
      <c r="KRK233" s="15"/>
      <c r="KRL233" s="10"/>
      <c r="KRM233" s="10"/>
      <c r="KRN233" s="21"/>
      <c r="KRO233" s="21"/>
      <c r="KRR233" s="21"/>
      <c r="KRS233" s="15"/>
      <c r="KRT233" s="15"/>
      <c r="KRU233" s="15"/>
      <c r="KRV233" s="15"/>
      <c r="KRW233" s="15"/>
      <c r="KRX233" s="15"/>
      <c r="KRY233" s="15"/>
      <c r="KRZ233" s="15"/>
      <c r="KSA233" s="15"/>
      <c r="KSB233" s="15"/>
      <c r="KSC233" s="10"/>
      <c r="KSD233" s="10"/>
      <c r="KSE233" s="21"/>
      <c r="KSF233" s="21"/>
      <c r="KSI233" s="21"/>
      <c r="KSJ233" s="15"/>
      <c r="KSK233" s="15"/>
      <c r="KSL233" s="15"/>
      <c r="KSM233" s="15"/>
      <c r="KSN233" s="15"/>
      <c r="KSO233" s="15"/>
      <c r="KSP233" s="15"/>
      <c r="KSQ233" s="15"/>
      <c r="KSR233" s="15"/>
      <c r="KSS233" s="15"/>
      <c r="KST233" s="10"/>
      <c r="KSU233" s="10"/>
      <c r="KSV233" s="21"/>
      <c r="KSW233" s="21"/>
      <c r="KSZ233" s="21"/>
      <c r="KTA233" s="15"/>
      <c r="KTB233" s="15"/>
      <c r="KTC233" s="15"/>
      <c r="KTD233" s="15"/>
      <c r="KTE233" s="15"/>
      <c r="KTF233" s="15"/>
      <c r="KTG233" s="15"/>
      <c r="KTH233" s="15"/>
      <c r="KTI233" s="15"/>
      <c r="KTJ233" s="15"/>
      <c r="KTK233" s="10"/>
      <c r="KTL233" s="10"/>
      <c r="KTM233" s="21"/>
      <c r="KTN233" s="21"/>
      <c r="KTQ233" s="21"/>
      <c r="KTR233" s="15"/>
      <c r="KTS233" s="15"/>
      <c r="KTT233" s="15"/>
      <c r="KTU233" s="15"/>
      <c r="KTV233" s="15"/>
      <c r="KTW233" s="15"/>
      <c r="KTX233" s="15"/>
      <c r="KTY233" s="15"/>
      <c r="KTZ233" s="15"/>
      <c r="KUA233" s="15"/>
      <c r="KUB233" s="10"/>
      <c r="KUC233" s="10"/>
      <c r="KUD233" s="21"/>
      <c r="KUE233" s="21"/>
      <c r="KUH233" s="21"/>
      <c r="KUI233" s="15"/>
      <c r="KUJ233" s="15"/>
      <c r="KUK233" s="15"/>
      <c r="KUL233" s="15"/>
      <c r="KUM233" s="15"/>
      <c r="KUN233" s="15"/>
      <c r="KUO233" s="15"/>
      <c r="KUP233" s="15"/>
      <c r="KUQ233" s="15"/>
      <c r="KUR233" s="15"/>
      <c r="KUS233" s="10"/>
      <c r="KUT233" s="10"/>
      <c r="KUU233" s="21"/>
      <c r="KUV233" s="21"/>
      <c r="KUY233" s="21"/>
      <c r="KUZ233" s="15"/>
      <c r="KVA233" s="15"/>
      <c r="KVB233" s="15"/>
      <c r="KVC233" s="15"/>
      <c r="KVD233" s="15"/>
      <c r="KVE233" s="15"/>
      <c r="KVF233" s="15"/>
      <c r="KVG233" s="15"/>
      <c r="KVH233" s="15"/>
      <c r="KVI233" s="15"/>
      <c r="KVJ233" s="10"/>
      <c r="KVK233" s="10"/>
      <c r="KVL233" s="21"/>
      <c r="KVM233" s="21"/>
      <c r="KVP233" s="21"/>
      <c r="KVQ233" s="15"/>
      <c r="KVR233" s="15"/>
      <c r="KVS233" s="15"/>
      <c r="KVT233" s="15"/>
      <c r="KVU233" s="15"/>
      <c r="KVV233" s="15"/>
      <c r="KVW233" s="15"/>
      <c r="KVX233" s="15"/>
      <c r="KVY233" s="15"/>
      <c r="KVZ233" s="15"/>
      <c r="KWA233" s="10"/>
      <c r="KWB233" s="10"/>
      <c r="KWC233" s="21"/>
      <c r="KWD233" s="21"/>
      <c r="KWG233" s="21"/>
      <c r="KWH233" s="15"/>
      <c r="KWI233" s="15"/>
      <c r="KWJ233" s="15"/>
      <c r="KWK233" s="15"/>
      <c r="KWL233" s="15"/>
      <c r="KWM233" s="15"/>
      <c r="KWN233" s="15"/>
      <c r="KWO233" s="15"/>
      <c r="KWP233" s="15"/>
      <c r="KWQ233" s="15"/>
      <c r="KWR233" s="10"/>
      <c r="KWS233" s="10"/>
      <c r="KWT233" s="21"/>
      <c r="KWU233" s="21"/>
      <c r="KWX233" s="21"/>
      <c r="KWY233" s="15"/>
      <c r="KWZ233" s="15"/>
      <c r="KXA233" s="15"/>
      <c r="KXB233" s="15"/>
      <c r="KXC233" s="15"/>
      <c r="KXD233" s="15"/>
      <c r="KXE233" s="15"/>
      <c r="KXF233" s="15"/>
      <c r="KXG233" s="15"/>
      <c r="KXH233" s="15"/>
      <c r="KXI233" s="10"/>
      <c r="KXJ233" s="10"/>
      <c r="KXK233" s="21"/>
      <c r="KXL233" s="21"/>
      <c r="KXO233" s="21"/>
      <c r="KXP233" s="15"/>
      <c r="KXQ233" s="15"/>
      <c r="KXR233" s="15"/>
      <c r="KXS233" s="15"/>
      <c r="KXT233" s="15"/>
      <c r="KXU233" s="15"/>
      <c r="KXV233" s="15"/>
      <c r="KXW233" s="15"/>
      <c r="KXX233" s="15"/>
      <c r="KXY233" s="15"/>
      <c r="KXZ233" s="10"/>
      <c r="KYA233" s="10"/>
      <c r="KYB233" s="21"/>
      <c r="KYC233" s="21"/>
      <c r="KYF233" s="21"/>
      <c r="KYG233" s="15"/>
      <c r="KYH233" s="15"/>
      <c r="KYI233" s="15"/>
      <c r="KYJ233" s="15"/>
      <c r="KYK233" s="15"/>
      <c r="KYL233" s="15"/>
      <c r="KYM233" s="15"/>
      <c r="KYN233" s="15"/>
      <c r="KYO233" s="15"/>
      <c r="KYP233" s="15"/>
      <c r="KYQ233" s="10"/>
      <c r="KYR233" s="10"/>
      <c r="KYS233" s="21"/>
      <c r="KYT233" s="21"/>
      <c r="KYW233" s="21"/>
      <c r="KYX233" s="15"/>
      <c r="KYY233" s="15"/>
      <c r="KYZ233" s="15"/>
      <c r="KZA233" s="15"/>
      <c r="KZB233" s="15"/>
      <c r="KZC233" s="15"/>
      <c r="KZD233" s="15"/>
      <c r="KZE233" s="15"/>
      <c r="KZF233" s="15"/>
      <c r="KZG233" s="15"/>
      <c r="KZH233" s="10"/>
      <c r="KZI233" s="10"/>
      <c r="KZJ233" s="21"/>
      <c r="KZK233" s="21"/>
      <c r="KZN233" s="21"/>
      <c r="KZO233" s="15"/>
      <c r="KZP233" s="15"/>
      <c r="KZQ233" s="15"/>
      <c r="KZR233" s="15"/>
      <c r="KZS233" s="15"/>
      <c r="KZT233" s="15"/>
      <c r="KZU233" s="15"/>
      <c r="KZV233" s="15"/>
      <c r="KZW233" s="15"/>
      <c r="KZX233" s="15"/>
      <c r="KZY233" s="10"/>
      <c r="KZZ233" s="10"/>
      <c r="LAA233" s="21"/>
      <c r="LAB233" s="21"/>
      <c r="LAE233" s="21"/>
      <c r="LAF233" s="15"/>
      <c r="LAG233" s="15"/>
      <c r="LAH233" s="15"/>
      <c r="LAI233" s="15"/>
      <c r="LAJ233" s="15"/>
      <c r="LAK233" s="15"/>
      <c r="LAL233" s="15"/>
      <c r="LAM233" s="15"/>
      <c r="LAN233" s="15"/>
      <c r="LAO233" s="15"/>
      <c r="LAP233" s="10"/>
      <c r="LAQ233" s="10"/>
      <c r="LAR233" s="21"/>
      <c r="LAS233" s="21"/>
      <c r="LAV233" s="21"/>
      <c r="LAW233" s="15"/>
      <c r="LAX233" s="15"/>
      <c r="LAY233" s="15"/>
      <c r="LAZ233" s="15"/>
      <c r="LBA233" s="15"/>
      <c r="LBB233" s="15"/>
      <c r="LBC233" s="15"/>
      <c r="LBD233" s="15"/>
      <c r="LBE233" s="15"/>
      <c r="LBF233" s="15"/>
      <c r="LBG233" s="10"/>
      <c r="LBH233" s="10"/>
      <c r="LBI233" s="21"/>
      <c r="LBJ233" s="21"/>
      <c r="LBM233" s="21"/>
      <c r="LBN233" s="15"/>
      <c r="LBO233" s="15"/>
      <c r="LBP233" s="15"/>
      <c r="LBQ233" s="15"/>
      <c r="LBR233" s="15"/>
      <c r="LBS233" s="15"/>
      <c r="LBT233" s="15"/>
      <c r="LBU233" s="15"/>
      <c r="LBV233" s="15"/>
      <c r="LBW233" s="15"/>
      <c r="LBX233" s="10"/>
      <c r="LBY233" s="10"/>
      <c r="LBZ233" s="21"/>
      <c r="LCA233" s="21"/>
      <c r="LCD233" s="21"/>
      <c r="LCE233" s="15"/>
      <c r="LCF233" s="15"/>
      <c r="LCG233" s="15"/>
      <c r="LCH233" s="15"/>
      <c r="LCI233" s="15"/>
      <c r="LCJ233" s="15"/>
      <c r="LCK233" s="15"/>
      <c r="LCL233" s="15"/>
      <c r="LCM233" s="15"/>
      <c r="LCN233" s="15"/>
      <c r="LCO233" s="10"/>
      <c r="LCP233" s="10"/>
      <c r="LCQ233" s="21"/>
      <c r="LCR233" s="21"/>
      <c r="LCU233" s="21"/>
      <c r="LCV233" s="15"/>
      <c r="LCW233" s="15"/>
      <c r="LCX233" s="15"/>
      <c r="LCY233" s="15"/>
      <c r="LCZ233" s="15"/>
      <c r="LDA233" s="15"/>
      <c r="LDB233" s="15"/>
      <c r="LDC233" s="15"/>
      <c r="LDD233" s="15"/>
      <c r="LDE233" s="15"/>
      <c r="LDF233" s="10"/>
      <c r="LDG233" s="10"/>
      <c r="LDH233" s="21"/>
      <c r="LDI233" s="21"/>
      <c r="LDL233" s="21"/>
      <c r="LDM233" s="15"/>
      <c r="LDN233" s="15"/>
      <c r="LDO233" s="15"/>
      <c r="LDP233" s="15"/>
      <c r="LDQ233" s="15"/>
      <c r="LDR233" s="15"/>
      <c r="LDS233" s="15"/>
      <c r="LDT233" s="15"/>
      <c r="LDU233" s="15"/>
      <c r="LDV233" s="15"/>
      <c r="LDW233" s="10"/>
      <c r="LDX233" s="10"/>
      <c r="LDY233" s="21"/>
      <c r="LDZ233" s="21"/>
      <c r="LEC233" s="21"/>
      <c r="LED233" s="15"/>
      <c r="LEE233" s="15"/>
      <c r="LEF233" s="15"/>
      <c r="LEG233" s="15"/>
      <c r="LEH233" s="15"/>
      <c r="LEI233" s="15"/>
      <c r="LEJ233" s="15"/>
      <c r="LEK233" s="15"/>
      <c r="LEL233" s="15"/>
      <c r="LEM233" s="15"/>
      <c r="LEN233" s="10"/>
      <c r="LEO233" s="10"/>
      <c r="LEP233" s="21"/>
      <c r="LEQ233" s="21"/>
      <c r="LET233" s="21"/>
      <c r="LEU233" s="15"/>
      <c r="LEV233" s="15"/>
      <c r="LEW233" s="15"/>
      <c r="LEX233" s="15"/>
      <c r="LEY233" s="15"/>
      <c r="LEZ233" s="15"/>
      <c r="LFA233" s="15"/>
      <c r="LFB233" s="15"/>
      <c r="LFC233" s="15"/>
      <c r="LFD233" s="15"/>
      <c r="LFE233" s="10"/>
      <c r="LFF233" s="10"/>
      <c r="LFG233" s="21"/>
      <c r="LFH233" s="21"/>
      <c r="LFK233" s="21"/>
      <c r="LFL233" s="15"/>
      <c r="LFM233" s="15"/>
      <c r="LFN233" s="15"/>
      <c r="LFO233" s="15"/>
      <c r="LFP233" s="15"/>
      <c r="LFQ233" s="15"/>
      <c r="LFR233" s="15"/>
      <c r="LFS233" s="15"/>
      <c r="LFT233" s="15"/>
      <c r="LFU233" s="15"/>
      <c r="LFV233" s="10"/>
      <c r="LFW233" s="10"/>
      <c r="LFX233" s="21"/>
      <c r="LFY233" s="21"/>
      <c r="LGB233" s="21"/>
      <c r="LGC233" s="15"/>
      <c r="LGD233" s="15"/>
      <c r="LGE233" s="15"/>
      <c r="LGF233" s="15"/>
      <c r="LGG233" s="15"/>
      <c r="LGH233" s="15"/>
      <c r="LGI233" s="15"/>
      <c r="LGJ233" s="15"/>
      <c r="LGK233" s="15"/>
      <c r="LGL233" s="15"/>
      <c r="LGM233" s="10"/>
      <c r="LGN233" s="10"/>
      <c r="LGO233" s="21"/>
      <c r="LGP233" s="21"/>
      <c r="LGS233" s="21"/>
      <c r="LGT233" s="15"/>
      <c r="LGU233" s="15"/>
      <c r="LGV233" s="15"/>
      <c r="LGW233" s="15"/>
      <c r="LGX233" s="15"/>
      <c r="LGY233" s="15"/>
      <c r="LGZ233" s="15"/>
      <c r="LHA233" s="15"/>
      <c r="LHB233" s="15"/>
      <c r="LHC233" s="15"/>
      <c r="LHD233" s="10"/>
      <c r="LHE233" s="10"/>
      <c r="LHF233" s="21"/>
      <c r="LHG233" s="21"/>
      <c r="LHJ233" s="21"/>
      <c r="LHK233" s="15"/>
      <c r="LHL233" s="15"/>
      <c r="LHM233" s="15"/>
      <c r="LHN233" s="15"/>
      <c r="LHO233" s="15"/>
      <c r="LHP233" s="15"/>
      <c r="LHQ233" s="15"/>
      <c r="LHR233" s="15"/>
      <c r="LHS233" s="15"/>
      <c r="LHT233" s="15"/>
      <c r="LHU233" s="10"/>
      <c r="LHV233" s="10"/>
      <c r="LHW233" s="21"/>
      <c r="LHX233" s="21"/>
      <c r="LIA233" s="21"/>
      <c r="LIB233" s="15"/>
      <c r="LIC233" s="15"/>
      <c r="LID233" s="15"/>
      <c r="LIE233" s="15"/>
      <c r="LIF233" s="15"/>
      <c r="LIG233" s="15"/>
      <c r="LIH233" s="15"/>
      <c r="LII233" s="15"/>
      <c r="LIJ233" s="15"/>
      <c r="LIK233" s="15"/>
      <c r="LIL233" s="10"/>
      <c r="LIM233" s="10"/>
      <c r="LIN233" s="21"/>
      <c r="LIO233" s="21"/>
      <c r="LIR233" s="21"/>
      <c r="LIS233" s="15"/>
      <c r="LIT233" s="15"/>
      <c r="LIU233" s="15"/>
      <c r="LIV233" s="15"/>
      <c r="LIW233" s="15"/>
      <c r="LIX233" s="15"/>
      <c r="LIY233" s="15"/>
      <c r="LIZ233" s="15"/>
      <c r="LJA233" s="15"/>
      <c r="LJB233" s="15"/>
      <c r="LJC233" s="10"/>
      <c r="LJD233" s="10"/>
      <c r="LJE233" s="21"/>
      <c r="LJF233" s="21"/>
      <c r="LJI233" s="21"/>
      <c r="LJJ233" s="15"/>
      <c r="LJK233" s="15"/>
      <c r="LJL233" s="15"/>
      <c r="LJM233" s="15"/>
      <c r="LJN233" s="15"/>
      <c r="LJO233" s="15"/>
      <c r="LJP233" s="15"/>
      <c r="LJQ233" s="15"/>
      <c r="LJR233" s="15"/>
      <c r="LJS233" s="15"/>
      <c r="LJT233" s="10"/>
      <c r="LJU233" s="10"/>
      <c r="LJV233" s="21"/>
      <c r="LJW233" s="21"/>
      <c r="LJZ233" s="21"/>
      <c r="LKA233" s="15"/>
      <c r="LKB233" s="15"/>
      <c r="LKC233" s="15"/>
      <c r="LKD233" s="15"/>
      <c r="LKE233" s="15"/>
      <c r="LKF233" s="15"/>
      <c r="LKG233" s="15"/>
      <c r="LKH233" s="15"/>
      <c r="LKI233" s="15"/>
      <c r="LKJ233" s="15"/>
      <c r="LKK233" s="10"/>
      <c r="LKL233" s="10"/>
      <c r="LKM233" s="21"/>
      <c r="LKN233" s="21"/>
      <c r="LKQ233" s="21"/>
      <c r="LKR233" s="15"/>
      <c r="LKS233" s="15"/>
      <c r="LKT233" s="15"/>
      <c r="LKU233" s="15"/>
      <c r="LKV233" s="15"/>
      <c r="LKW233" s="15"/>
      <c r="LKX233" s="15"/>
      <c r="LKY233" s="15"/>
      <c r="LKZ233" s="15"/>
      <c r="LLA233" s="15"/>
      <c r="LLB233" s="10"/>
      <c r="LLC233" s="10"/>
      <c r="LLD233" s="21"/>
      <c r="LLE233" s="21"/>
      <c r="LLH233" s="21"/>
      <c r="LLI233" s="15"/>
      <c r="LLJ233" s="15"/>
      <c r="LLK233" s="15"/>
      <c r="LLL233" s="15"/>
      <c r="LLM233" s="15"/>
      <c r="LLN233" s="15"/>
      <c r="LLO233" s="15"/>
      <c r="LLP233" s="15"/>
      <c r="LLQ233" s="15"/>
      <c r="LLR233" s="15"/>
      <c r="LLS233" s="10"/>
      <c r="LLT233" s="10"/>
      <c r="LLU233" s="21"/>
      <c r="LLV233" s="21"/>
      <c r="LLY233" s="21"/>
      <c r="LLZ233" s="15"/>
      <c r="LMA233" s="15"/>
      <c r="LMB233" s="15"/>
      <c r="LMC233" s="15"/>
      <c r="LMD233" s="15"/>
      <c r="LME233" s="15"/>
      <c r="LMF233" s="15"/>
      <c r="LMG233" s="15"/>
      <c r="LMH233" s="15"/>
      <c r="LMI233" s="15"/>
      <c r="LMJ233" s="10"/>
      <c r="LMK233" s="10"/>
      <c r="LML233" s="21"/>
      <c r="LMM233" s="21"/>
      <c r="LMP233" s="21"/>
      <c r="LMQ233" s="15"/>
      <c r="LMR233" s="15"/>
      <c r="LMS233" s="15"/>
      <c r="LMT233" s="15"/>
      <c r="LMU233" s="15"/>
      <c r="LMV233" s="15"/>
      <c r="LMW233" s="15"/>
      <c r="LMX233" s="15"/>
      <c r="LMY233" s="15"/>
      <c r="LMZ233" s="15"/>
      <c r="LNA233" s="10"/>
      <c r="LNB233" s="10"/>
      <c r="LNC233" s="21"/>
      <c r="LND233" s="21"/>
      <c r="LNG233" s="21"/>
      <c r="LNH233" s="15"/>
      <c r="LNI233" s="15"/>
      <c r="LNJ233" s="15"/>
      <c r="LNK233" s="15"/>
      <c r="LNL233" s="15"/>
      <c r="LNM233" s="15"/>
      <c r="LNN233" s="15"/>
      <c r="LNO233" s="15"/>
      <c r="LNP233" s="15"/>
      <c r="LNQ233" s="15"/>
      <c r="LNR233" s="10"/>
      <c r="LNS233" s="10"/>
      <c r="LNT233" s="21"/>
      <c r="LNU233" s="21"/>
      <c r="LNX233" s="21"/>
      <c r="LNY233" s="15"/>
      <c r="LNZ233" s="15"/>
      <c r="LOA233" s="15"/>
      <c r="LOB233" s="15"/>
      <c r="LOC233" s="15"/>
      <c r="LOD233" s="15"/>
      <c r="LOE233" s="15"/>
      <c r="LOF233" s="15"/>
      <c r="LOG233" s="15"/>
      <c r="LOH233" s="15"/>
      <c r="LOI233" s="10"/>
      <c r="LOJ233" s="10"/>
      <c r="LOK233" s="21"/>
      <c r="LOL233" s="21"/>
      <c r="LOO233" s="21"/>
      <c r="LOP233" s="15"/>
      <c r="LOQ233" s="15"/>
      <c r="LOR233" s="15"/>
      <c r="LOS233" s="15"/>
      <c r="LOT233" s="15"/>
      <c r="LOU233" s="15"/>
      <c r="LOV233" s="15"/>
      <c r="LOW233" s="15"/>
      <c r="LOX233" s="15"/>
      <c r="LOY233" s="15"/>
      <c r="LOZ233" s="10"/>
      <c r="LPA233" s="10"/>
      <c r="LPB233" s="21"/>
      <c r="LPC233" s="21"/>
      <c r="LPF233" s="21"/>
      <c r="LPG233" s="15"/>
      <c r="LPH233" s="15"/>
      <c r="LPI233" s="15"/>
      <c r="LPJ233" s="15"/>
      <c r="LPK233" s="15"/>
      <c r="LPL233" s="15"/>
      <c r="LPM233" s="15"/>
      <c r="LPN233" s="15"/>
      <c r="LPO233" s="15"/>
      <c r="LPP233" s="15"/>
      <c r="LPQ233" s="10"/>
      <c r="LPR233" s="10"/>
      <c r="LPS233" s="21"/>
      <c r="LPT233" s="21"/>
      <c r="LPW233" s="21"/>
      <c r="LPX233" s="15"/>
      <c r="LPY233" s="15"/>
      <c r="LPZ233" s="15"/>
      <c r="LQA233" s="15"/>
      <c r="LQB233" s="15"/>
      <c r="LQC233" s="15"/>
      <c r="LQD233" s="15"/>
      <c r="LQE233" s="15"/>
      <c r="LQF233" s="15"/>
      <c r="LQG233" s="15"/>
      <c r="LQH233" s="10"/>
      <c r="LQI233" s="10"/>
      <c r="LQJ233" s="21"/>
      <c r="LQK233" s="21"/>
      <c r="LQN233" s="21"/>
      <c r="LQO233" s="15"/>
      <c r="LQP233" s="15"/>
      <c r="LQQ233" s="15"/>
      <c r="LQR233" s="15"/>
      <c r="LQS233" s="15"/>
      <c r="LQT233" s="15"/>
      <c r="LQU233" s="15"/>
      <c r="LQV233" s="15"/>
      <c r="LQW233" s="15"/>
      <c r="LQX233" s="15"/>
      <c r="LQY233" s="10"/>
      <c r="LQZ233" s="10"/>
      <c r="LRA233" s="21"/>
      <c r="LRB233" s="21"/>
      <c r="LRE233" s="21"/>
      <c r="LRF233" s="15"/>
      <c r="LRG233" s="15"/>
      <c r="LRH233" s="15"/>
      <c r="LRI233" s="15"/>
      <c r="LRJ233" s="15"/>
      <c r="LRK233" s="15"/>
      <c r="LRL233" s="15"/>
      <c r="LRM233" s="15"/>
      <c r="LRN233" s="15"/>
      <c r="LRO233" s="15"/>
      <c r="LRP233" s="10"/>
      <c r="LRQ233" s="10"/>
      <c r="LRR233" s="21"/>
      <c r="LRS233" s="21"/>
      <c r="LRV233" s="21"/>
      <c r="LRW233" s="15"/>
      <c r="LRX233" s="15"/>
      <c r="LRY233" s="15"/>
      <c r="LRZ233" s="15"/>
      <c r="LSA233" s="15"/>
      <c r="LSB233" s="15"/>
      <c r="LSC233" s="15"/>
      <c r="LSD233" s="15"/>
      <c r="LSE233" s="15"/>
      <c r="LSF233" s="15"/>
      <c r="LSG233" s="10"/>
      <c r="LSH233" s="10"/>
      <c r="LSI233" s="21"/>
      <c r="LSJ233" s="21"/>
      <c r="LSM233" s="21"/>
      <c r="LSN233" s="15"/>
      <c r="LSO233" s="15"/>
      <c r="LSP233" s="15"/>
      <c r="LSQ233" s="15"/>
      <c r="LSR233" s="15"/>
      <c r="LSS233" s="15"/>
      <c r="LST233" s="15"/>
      <c r="LSU233" s="15"/>
      <c r="LSV233" s="15"/>
      <c r="LSW233" s="15"/>
      <c r="LSX233" s="10"/>
      <c r="LSY233" s="10"/>
      <c r="LSZ233" s="21"/>
      <c r="LTA233" s="21"/>
      <c r="LTD233" s="21"/>
      <c r="LTE233" s="15"/>
      <c r="LTF233" s="15"/>
      <c r="LTG233" s="15"/>
      <c r="LTH233" s="15"/>
      <c r="LTI233" s="15"/>
      <c r="LTJ233" s="15"/>
      <c r="LTK233" s="15"/>
      <c r="LTL233" s="15"/>
      <c r="LTM233" s="15"/>
      <c r="LTN233" s="15"/>
      <c r="LTO233" s="10"/>
      <c r="LTP233" s="10"/>
      <c r="LTQ233" s="21"/>
      <c r="LTR233" s="21"/>
      <c r="LTU233" s="21"/>
      <c r="LTV233" s="15"/>
      <c r="LTW233" s="15"/>
      <c r="LTX233" s="15"/>
      <c r="LTY233" s="15"/>
      <c r="LTZ233" s="15"/>
      <c r="LUA233" s="15"/>
      <c r="LUB233" s="15"/>
      <c r="LUC233" s="15"/>
      <c r="LUD233" s="15"/>
      <c r="LUE233" s="15"/>
      <c r="LUF233" s="10"/>
      <c r="LUG233" s="10"/>
      <c r="LUH233" s="21"/>
      <c r="LUI233" s="21"/>
      <c r="LUL233" s="21"/>
      <c r="LUM233" s="15"/>
      <c r="LUN233" s="15"/>
      <c r="LUO233" s="15"/>
      <c r="LUP233" s="15"/>
      <c r="LUQ233" s="15"/>
      <c r="LUR233" s="15"/>
      <c r="LUS233" s="15"/>
      <c r="LUT233" s="15"/>
      <c r="LUU233" s="15"/>
      <c r="LUV233" s="15"/>
      <c r="LUW233" s="10"/>
      <c r="LUX233" s="10"/>
      <c r="LUY233" s="21"/>
      <c r="LUZ233" s="21"/>
      <c r="LVC233" s="21"/>
      <c r="LVD233" s="15"/>
      <c r="LVE233" s="15"/>
      <c r="LVF233" s="15"/>
      <c r="LVG233" s="15"/>
      <c r="LVH233" s="15"/>
      <c r="LVI233" s="15"/>
      <c r="LVJ233" s="15"/>
      <c r="LVK233" s="15"/>
      <c r="LVL233" s="15"/>
      <c r="LVM233" s="15"/>
      <c r="LVN233" s="10"/>
      <c r="LVO233" s="10"/>
      <c r="LVP233" s="21"/>
      <c r="LVQ233" s="21"/>
      <c r="LVT233" s="21"/>
      <c r="LVU233" s="15"/>
      <c r="LVV233" s="15"/>
      <c r="LVW233" s="15"/>
      <c r="LVX233" s="15"/>
      <c r="LVY233" s="15"/>
      <c r="LVZ233" s="15"/>
      <c r="LWA233" s="15"/>
      <c r="LWB233" s="15"/>
      <c r="LWC233" s="15"/>
      <c r="LWD233" s="15"/>
      <c r="LWE233" s="10"/>
      <c r="LWF233" s="10"/>
      <c r="LWG233" s="21"/>
      <c r="LWH233" s="21"/>
      <c r="LWK233" s="21"/>
      <c r="LWL233" s="15"/>
      <c r="LWM233" s="15"/>
      <c r="LWN233" s="15"/>
      <c r="LWO233" s="15"/>
      <c r="LWP233" s="15"/>
      <c r="LWQ233" s="15"/>
      <c r="LWR233" s="15"/>
      <c r="LWS233" s="15"/>
      <c r="LWT233" s="15"/>
      <c r="LWU233" s="15"/>
      <c r="LWV233" s="10"/>
      <c r="LWW233" s="10"/>
      <c r="LWX233" s="21"/>
      <c r="LWY233" s="21"/>
      <c r="LXB233" s="21"/>
      <c r="LXC233" s="15"/>
      <c r="LXD233" s="15"/>
      <c r="LXE233" s="15"/>
      <c r="LXF233" s="15"/>
      <c r="LXG233" s="15"/>
      <c r="LXH233" s="15"/>
      <c r="LXI233" s="15"/>
      <c r="LXJ233" s="15"/>
      <c r="LXK233" s="15"/>
      <c r="LXL233" s="15"/>
      <c r="LXM233" s="10"/>
      <c r="LXN233" s="10"/>
      <c r="LXO233" s="21"/>
      <c r="LXP233" s="21"/>
      <c r="LXS233" s="21"/>
      <c r="LXT233" s="15"/>
      <c r="LXU233" s="15"/>
      <c r="LXV233" s="15"/>
      <c r="LXW233" s="15"/>
      <c r="LXX233" s="15"/>
      <c r="LXY233" s="15"/>
      <c r="LXZ233" s="15"/>
      <c r="LYA233" s="15"/>
      <c r="LYB233" s="15"/>
      <c r="LYC233" s="15"/>
      <c r="LYD233" s="10"/>
      <c r="LYE233" s="10"/>
      <c r="LYF233" s="21"/>
      <c r="LYG233" s="21"/>
      <c r="LYJ233" s="21"/>
      <c r="LYK233" s="15"/>
      <c r="LYL233" s="15"/>
      <c r="LYM233" s="15"/>
      <c r="LYN233" s="15"/>
      <c r="LYO233" s="15"/>
      <c r="LYP233" s="15"/>
      <c r="LYQ233" s="15"/>
      <c r="LYR233" s="15"/>
      <c r="LYS233" s="15"/>
      <c r="LYT233" s="15"/>
      <c r="LYU233" s="10"/>
      <c r="LYV233" s="10"/>
      <c r="LYW233" s="21"/>
      <c r="LYX233" s="21"/>
      <c r="LZA233" s="21"/>
      <c r="LZB233" s="15"/>
      <c r="LZC233" s="15"/>
      <c r="LZD233" s="15"/>
      <c r="LZE233" s="15"/>
      <c r="LZF233" s="15"/>
      <c r="LZG233" s="15"/>
      <c r="LZH233" s="15"/>
      <c r="LZI233" s="15"/>
      <c r="LZJ233" s="15"/>
      <c r="LZK233" s="15"/>
      <c r="LZL233" s="10"/>
      <c r="LZM233" s="10"/>
      <c r="LZN233" s="21"/>
      <c r="LZO233" s="21"/>
      <c r="LZR233" s="21"/>
      <c r="LZS233" s="15"/>
      <c r="LZT233" s="15"/>
      <c r="LZU233" s="15"/>
      <c r="LZV233" s="15"/>
      <c r="LZW233" s="15"/>
      <c r="LZX233" s="15"/>
      <c r="LZY233" s="15"/>
      <c r="LZZ233" s="15"/>
      <c r="MAA233" s="15"/>
      <c r="MAB233" s="15"/>
      <c r="MAC233" s="10"/>
      <c r="MAD233" s="10"/>
      <c r="MAE233" s="21"/>
      <c r="MAF233" s="21"/>
      <c r="MAI233" s="21"/>
      <c r="MAJ233" s="15"/>
      <c r="MAK233" s="15"/>
      <c r="MAL233" s="15"/>
      <c r="MAM233" s="15"/>
      <c r="MAN233" s="15"/>
      <c r="MAO233" s="15"/>
      <c r="MAP233" s="15"/>
      <c r="MAQ233" s="15"/>
      <c r="MAR233" s="15"/>
      <c r="MAS233" s="15"/>
      <c r="MAT233" s="10"/>
      <c r="MAU233" s="10"/>
      <c r="MAV233" s="21"/>
      <c r="MAW233" s="21"/>
      <c r="MAZ233" s="21"/>
      <c r="MBA233" s="15"/>
      <c r="MBB233" s="15"/>
      <c r="MBC233" s="15"/>
      <c r="MBD233" s="15"/>
      <c r="MBE233" s="15"/>
      <c r="MBF233" s="15"/>
      <c r="MBG233" s="15"/>
      <c r="MBH233" s="15"/>
      <c r="MBI233" s="15"/>
      <c r="MBJ233" s="15"/>
      <c r="MBK233" s="10"/>
      <c r="MBL233" s="10"/>
      <c r="MBM233" s="21"/>
      <c r="MBN233" s="21"/>
      <c r="MBQ233" s="21"/>
      <c r="MBR233" s="15"/>
      <c r="MBS233" s="15"/>
      <c r="MBT233" s="15"/>
      <c r="MBU233" s="15"/>
      <c r="MBV233" s="15"/>
      <c r="MBW233" s="15"/>
      <c r="MBX233" s="15"/>
      <c r="MBY233" s="15"/>
      <c r="MBZ233" s="15"/>
      <c r="MCA233" s="15"/>
      <c r="MCB233" s="10"/>
      <c r="MCC233" s="10"/>
      <c r="MCD233" s="21"/>
      <c r="MCE233" s="21"/>
      <c r="MCH233" s="21"/>
      <c r="MCI233" s="15"/>
      <c r="MCJ233" s="15"/>
      <c r="MCK233" s="15"/>
      <c r="MCL233" s="15"/>
      <c r="MCM233" s="15"/>
      <c r="MCN233" s="15"/>
      <c r="MCO233" s="15"/>
      <c r="MCP233" s="15"/>
      <c r="MCQ233" s="15"/>
      <c r="MCR233" s="15"/>
      <c r="MCS233" s="10"/>
      <c r="MCT233" s="10"/>
      <c r="MCU233" s="21"/>
      <c r="MCV233" s="21"/>
      <c r="MCY233" s="21"/>
      <c r="MCZ233" s="15"/>
      <c r="MDA233" s="15"/>
      <c r="MDB233" s="15"/>
      <c r="MDC233" s="15"/>
      <c r="MDD233" s="15"/>
      <c r="MDE233" s="15"/>
      <c r="MDF233" s="15"/>
      <c r="MDG233" s="15"/>
      <c r="MDH233" s="15"/>
      <c r="MDI233" s="15"/>
      <c r="MDJ233" s="10"/>
      <c r="MDK233" s="10"/>
      <c r="MDL233" s="21"/>
      <c r="MDM233" s="21"/>
      <c r="MDP233" s="21"/>
      <c r="MDQ233" s="15"/>
      <c r="MDR233" s="15"/>
      <c r="MDS233" s="15"/>
      <c r="MDT233" s="15"/>
      <c r="MDU233" s="15"/>
      <c r="MDV233" s="15"/>
      <c r="MDW233" s="15"/>
      <c r="MDX233" s="15"/>
      <c r="MDY233" s="15"/>
      <c r="MDZ233" s="15"/>
      <c r="MEA233" s="10"/>
      <c r="MEB233" s="10"/>
      <c r="MEC233" s="21"/>
      <c r="MED233" s="21"/>
      <c r="MEG233" s="21"/>
      <c r="MEH233" s="15"/>
      <c r="MEI233" s="15"/>
      <c r="MEJ233" s="15"/>
      <c r="MEK233" s="15"/>
      <c r="MEL233" s="15"/>
      <c r="MEM233" s="15"/>
      <c r="MEN233" s="15"/>
      <c r="MEO233" s="15"/>
      <c r="MEP233" s="15"/>
      <c r="MEQ233" s="15"/>
      <c r="MER233" s="10"/>
      <c r="MES233" s="10"/>
      <c r="MET233" s="21"/>
      <c r="MEU233" s="21"/>
      <c r="MEX233" s="21"/>
      <c r="MEY233" s="15"/>
      <c r="MEZ233" s="15"/>
      <c r="MFA233" s="15"/>
      <c r="MFB233" s="15"/>
      <c r="MFC233" s="15"/>
      <c r="MFD233" s="15"/>
      <c r="MFE233" s="15"/>
      <c r="MFF233" s="15"/>
      <c r="MFG233" s="15"/>
      <c r="MFH233" s="15"/>
      <c r="MFI233" s="10"/>
      <c r="MFJ233" s="10"/>
      <c r="MFK233" s="21"/>
      <c r="MFL233" s="21"/>
      <c r="MFO233" s="21"/>
      <c r="MFP233" s="15"/>
      <c r="MFQ233" s="15"/>
      <c r="MFR233" s="15"/>
      <c r="MFS233" s="15"/>
      <c r="MFT233" s="15"/>
      <c r="MFU233" s="15"/>
      <c r="MFV233" s="15"/>
      <c r="MFW233" s="15"/>
      <c r="MFX233" s="15"/>
      <c r="MFY233" s="15"/>
      <c r="MFZ233" s="10"/>
      <c r="MGA233" s="10"/>
      <c r="MGB233" s="21"/>
      <c r="MGC233" s="21"/>
      <c r="MGF233" s="21"/>
      <c r="MGG233" s="15"/>
      <c r="MGH233" s="15"/>
      <c r="MGI233" s="15"/>
      <c r="MGJ233" s="15"/>
      <c r="MGK233" s="15"/>
      <c r="MGL233" s="15"/>
      <c r="MGM233" s="15"/>
      <c r="MGN233" s="15"/>
      <c r="MGO233" s="15"/>
      <c r="MGP233" s="15"/>
      <c r="MGQ233" s="10"/>
      <c r="MGR233" s="10"/>
      <c r="MGS233" s="21"/>
      <c r="MGT233" s="21"/>
      <c r="MGW233" s="21"/>
      <c r="MGX233" s="15"/>
      <c r="MGY233" s="15"/>
      <c r="MGZ233" s="15"/>
      <c r="MHA233" s="15"/>
      <c r="MHB233" s="15"/>
      <c r="MHC233" s="15"/>
      <c r="MHD233" s="15"/>
      <c r="MHE233" s="15"/>
      <c r="MHF233" s="15"/>
      <c r="MHG233" s="15"/>
      <c r="MHH233" s="10"/>
      <c r="MHI233" s="10"/>
      <c r="MHJ233" s="21"/>
      <c r="MHK233" s="21"/>
      <c r="MHN233" s="21"/>
      <c r="MHO233" s="15"/>
      <c r="MHP233" s="15"/>
      <c r="MHQ233" s="15"/>
      <c r="MHR233" s="15"/>
      <c r="MHS233" s="15"/>
      <c r="MHT233" s="15"/>
      <c r="MHU233" s="15"/>
      <c r="MHV233" s="15"/>
      <c r="MHW233" s="15"/>
      <c r="MHX233" s="15"/>
      <c r="MHY233" s="10"/>
      <c r="MHZ233" s="10"/>
      <c r="MIA233" s="21"/>
      <c r="MIB233" s="21"/>
      <c r="MIE233" s="21"/>
      <c r="MIF233" s="15"/>
      <c r="MIG233" s="15"/>
      <c r="MIH233" s="15"/>
      <c r="MII233" s="15"/>
      <c r="MIJ233" s="15"/>
      <c r="MIK233" s="15"/>
      <c r="MIL233" s="15"/>
      <c r="MIM233" s="15"/>
      <c r="MIN233" s="15"/>
      <c r="MIO233" s="15"/>
      <c r="MIP233" s="10"/>
      <c r="MIQ233" s="10"/>
      <c r="MIR233" s="21"/>
      <c r="MIS233" s="21"/>
      <c r="MIV233" s="21"/>
      <c r="MIW233" s="15"/>
      <c r="MIX233" s="15"/>
      <c r="MIY233" s="15"/>
      <c r="MIZ233" s="15"/>
      <c r="MJA233" s="15"/>
      <c r="MJB233" s="15"/>
      <c r="MJC233" s="15"/>
      <c r="MJD233" s="15"/>
      <c r="MJE233" s="15"/>
      <c r="MJF233" s="15"/>
      <c r="MJG233" s="10"/>
      <c r="MJH233" s="10"/>
      <c r="MJI233" s="21"/>
      <c r="MJJ233" s="21"/>
      <c r="MJM233" s="21"/>
      <c r="MJN233" s="15"/>
      <c r="MJO233" s="15"/>
      <c r="MJP233" s="15"/>
      <c r="MJQ233" s="15"/>
      <c r="MJR233" s="15"/>
      <c r="MJS233" s="15"/>
      <c r="MJT233" s="15"/>
      <c r="MJU233" s="15"/>
      <c r="MJV233" s="15"/>
      <c r="MJW233" s="15"/>
      <c r="MJX233" s="10"/>
      <c r="MJY233" s="10"/>
      <c r="MJZ233" s="21"/>
      <c r="MKA233" s="21"/>
      <c r="MKD233" s="21"/>
      <c r="MKE233" s="15"/>
      <c r="MKF233" s="15"/>
      <c r="MKG233" s="15"/>
      <c r="MKH233" s="15"/>
      <c r="MKI233" s="15"/>
      <c r="MKJ233" s="15"/>
      <c r="MKK233" s="15"/>
      <c r="MKL233" s="15"/>
      <c r="MKM233" s="15"/>
      <c r="MKN233" s="15"/>
      <c r="MKO233" s="10"/>
      <c r="MKP233" s="10"/>
      <c r="MKQ233" s="21"/>
      <c r="MKR233" s="21"/>
      <c r="MKU233" s="21"/>
      <c r="MKV233" s="15"/>
      <c r="MKW233" s="15"/>
      <c r="MKX233" s="15"/>
      <c r="MKY233" s="15"/>
      <c r="MKZ233" s="15"/>
      <c r="MLA233" s="15"/>
      <c r="MLB233" s="15"/>
      <c r="MLC233" s="15"/>
      <c r="MLD233" s="15"/>
      <c r="MLE233" s="15"/>
      <c r="MLF233" s="10"/>
      <c r="MLG233" s="10"/>
      <c r="MLH233" s="21"/>
      <c r="MLI233" s="21"/>
      <c r="MLL233" s="21"/>
      <c r="MLM233" s="15"/>
      <c r="MLN233" s="15"/>
      <c r="MLO233" s="15"/>
      <c r="MLP233" s="15"/>
      <c r="MLQ233" s="15"/>
      <c r="MLR233" s="15"/>
      <c r="MLS233" s="15"/>
      <c r="MLT233" s="15"/>
      <c r="MLU233" s="15"/>
      <c r="MLV233" s="15"/>
      <c r="MLW233" s="10"/>
      <c r="MLX233" s="10"/>
      <c r="MLY233" s="21"/>
      <c r="MLZ233" s="21"/>
      <c r="MMC233" s="21"/>
      <c r="MMD233" s="15"/>
      <c r="MME233" s="15"/>
      <c r="MMF233" s="15"/>
      <c r="MMG233" s="15"/>
      <c r="MMH233" s="15"/>
      <c r="MMI233" s="15"/>
      <c r="MMJ233" s="15"/>
      <c r="MMK233" s="15"/>
      <c r="MML233" s="15"/>
      <c r="MMM233" s="15"/>
      <c r="MMN233" s="10"/>
      <c r="MMO233" s="10"/>
      <c r="MMP233" s="21"/>
      <c r="MMQ233" s="21"/>
      <c r="MMT233" s="21"/>
      <c r="MMU233" s="15"/>
      <c r="MMV233" s="15"/>
      <c r="MMW233" s="15"/>
      <c r="MMX233" s="15"/>
      <c r="MMY233" s="15"/>
      <c r="MMZ233" s="15"/>
      <c r="MNA233" s="15"/>
      <c r="MNB233" s="15"/>
      <c r="MNC233" s="15"/>
      <c r="MND233" s="15"/>
      <c r="MNE233" s="10"/>
      <c r="MNF233" s="10"/>
      <c r="MNG233" s="21"/>
      <c r="MNH233" s="21"/>
      <c r="MNK233" s="21"/>
      <c r="MNL233" s="15"/>
      <c r="MNM233" s="15"/>
      <c r="MNN233" s="15"/>
      <c r="MNO233" s="15"/>
      <c r="MNP233" s="15"/>
      <c r="MNQ233" s="15"/>
      <c r="MNR233" s="15"/>
      <c r="MNS233" s="15"/>
      <c r="MNT233" s="15"/>
      <c r="MNU233" s="15"/>
      <c r="MNV233" s="10"/>
      <c r="MNW233" s="10"/>
      <c r="MNX233" s="21"/>
      <c r="MNY233" s="21"/>
      <c r="MOB233" s="21"/>
      <c r="MOC233" s="15"/>
      <c r="MOD233" s="15"/>
      <c r="MOE233" s="15"/>
      <c r="MOF233" s="15"/>
      <c r="MOG233" s="15"/>
      <c r="MOH233" s="15"/>
      <c r="MOI233" s="15"/>
      <c r="MOJ233" s="15"/>
      <c r="MOK233" s="15"/>
      <c r="MOL233" s="15"/>
      <c r="MOM233" s="10"/>
      <c r="MON233" s="10"/>
      <c r="MOO233" s="21"/>
      <c r="MOP233" s="21"/>
      <c r="MOS233" s="21"/>
      <c r="MOT233" s="15"/>
      <c r="MOU233" s="15"/>
      <c r="MOV233" s="15"/>
      <c r="MOW233" s="15"/>
      <c r="MOX233" s="15"/>
      <c r="MOY233" s="15"/>
      <c r="MOZ233" s="15"/>
      <c r="MPA233" s="15"/>
      <c r="MPB233" s="15"/>
      <c r="MPC233" s="15"/>
      <c r="MPD233" s="10"/>
      <c r="MPE233" s="10"/>
      <c r="MPF233" s="21"/>
      <c r="MPG233" s="21"/>
      <c r="MPJ233" s="21"/>
      <c r="MPK233" s="15"/>
      <c r="MPL233" s="15"/>
      <c r="MPM233" s="15"/>
      <c r="MPN233" s="15"/>
      <c r="MPO233" s="15"/>
      <c r="MPP233" s="15"/>
      <c r="MPQ233" s="15"/>
      <c r="MPR233" s="15"/>
      <c r="MPS233" s="15"/>
      <c r="MPT233" s="15"/>
      <c r="MPU233" s="10"/>
      <c r="MPV233" s="10"/>
      <c r="MPW233" s="21"/>
      <c r="MPX233" s="21"/>
      <c r="MQA233" s="21"/>
      <c r="MQB233" s="15"/>
      <c r="MQC233" s="15"/>
      <c r="MQD233" s="15"/>
      <c r="MQE233" s="15"/>
      <c r="MQF233" s="15"/>
      <c r="MQG233" s="15"/>
      <c r="MQH233" s="15"/>
      <c r="MQI233" s="15"/>
      <c r="MQJ233" s="15"/>
      <c r="MQK233" s="15"/>
      <c r="MQL233" s="10"/>
      <c r="MQM233" s="10"/>
      <c r="MQN233" s="21"/>
      <c r="MQO233" s="21"/>
      <c r="MQR233" s="21"/>
      <c r="MQS233" s="15"/>
      <c r="MQT233" s="15"/>
      <c r="MQU233" s="15"/>
      <c r="MQV233" s="15"/>
      <c r="MQW233" s="15"/>
      <c r="MQX233" s="15"/>
      <c r="MQY233" s="15"/>
      <c r="MQZ233" s="15"/>
      <c r="MRA233" s="15"/>
      <c r="MRB233" s="15"/>
      <c r="MRC233" s="10"/>
      <c r="MRD233" s="10"/>
      <c r="MRE233" s="21"/>
      <c r="MRF233" s="21"/>
      <c r="MRI233" s="21"/>
      <c r="MRJ233" s="15"/>
      <c r="MRK233" s="15"/>
      <c r="MRL233" s="15"/>
      <c r="MRM233" s="15"/>
      <c r="MRN233" s="15"/>
      <c r="MRO233" s="15"/>
      <c r="MRP233" s="15"/>
      <c r="MRQ233" s="15"/>
      <c r="MRR233" s="15"/>
      <c r="MRS233" s="15"/>
      <c r="MRT233" s="10"/>
      <c r="MRU233" s="10"/>
      <c r="MRV233" s="21"/>
      <c r="MRW233" s="21"/>
      <c r="MRZ233" s="21"/>
      <c r="MSA233" s="15"/>
      <c r="MSB233" s="15"/>
      <c r="MSC233" s="15"/>
      <c r="MSD233" s="15"/>
      <c r="MSE233" s="15"/>
      <c r="MSF233" s="15"/>
      <c r="MSG233" s="15"/>
      <c r="MSH233" s="15"/>
      <c r="MSI233" s="15"/>
      <c r="MSJ233" s="15"/>
      <c r="MSK233" s="10"/>
      <c r="MSL233" s="10"/>
      <c r="MSM233" s="21"/>
      <c r="MSN233" s="21"/>
      <c r="MSQ233" s="21"/>
      <c r="MSR233" s="15"/>
      <c r="MSS233" s="15"/>
      <c r="MST233" s="15"/>
      <c r="MSU233" s="15"/>
      <c r="MSV233" s="15"/>
      <c r="MSW233" s="15"/>
      <c r="MSX233" s="15"/>
      <c r="MSY233" s="15"/>
      <c r="MSZ233" s="15"/>
      <c r="MTA233" s="15"/>
      <c r="MTB233" s="10"/>
      <c r="MTC233" s="10"/>
      <c r="MTD233" s="21"/>
      <c r="MTE233" s="21"/>
      <c r="MTH233" s="21"/>
      <c r="MTI233" s="15"/>
      <c r="MTJ233" s="15"/>
      <c r="MTK233" s="15"/>
      <c r="MTL233" s="15"/>
      <c r="MTM233" s="15"/>
      <c r="MTN233" s="15"/>
      <c r="MTO233" s="15"/>
      <c r="MTP233" s="15"/>
      <c r="MTQ233" s="15"/>
      <c r="MTR233" s="15"/>
      <c r="MTS233" s="10"/>
      <c r="MTT233" s="10"/>
      <c r="MTU233" s="21"/>
      <c r="MTV233" s="21"/>
      <c r="MTY233" s="21"/>
      <c r="MTZ233" s="15"/>
      <c r="MUA233" s="15"/>
      <c r="MUB233" s="15"/>
      <c r="MUC233" s="15"/>
      <c r="MUD233" s="15"/>
      <c r="MUE233" s="15"/>
      <c r="MUF233" s="15"/>
      <c r="MUG233" s="15"/>
      <c r="MUH233" s="15"/>
      <c r="MUI233" s="15"/>
      <c r="MUJ233" s="10"/>
      <c r="MUK233" s="10"/>
      <c r="MUL233" s="21"/>
      <c r="MUM233" s="21"/>
      <c r="MUP233" s="21"/>
      <c r="MUQ233" s="15"/>
      <c r="MUR233" s="15"/>
      <c r="MUS233" s="15"/>
      <c r="MUT233" s="15"/>
      <c r="MUU233" s="15"/>
      <c r="MUV233" s="15"/>
      <c r="MUW233" s="15"/>
      <c r="MUX233" s="15"/>
      <c r="MUY233" s="15"/>
      <c r="MUZ233" s="15"/>
      <c r="MVA233" s="10"/>
      <c r="MVB233" s="10"/>
      <c r="MVC233" s="21"/>
      <c r="MVD233" s="21"/>
      <c r="MVG233" s="21"/>
      <c r="MVH233" s="15"/>
      <c r="MVI233" s="15"/>
      <c r="MVJ233" s="15"/>
      <c r="MVK233" s="15"/>
      <c r="MVL233" s="15"/>
      <c r="MVM233" s="15"/>
      <c r="MVN233" s="15"/>
      <c r="MVO233" s="15"/>
      <c r="MVP233" s="15"/>
      <c r="MVQ233" s="15"/>
      <c r="MVR233" s="10"/>
      <c r="MVS233" s="10"/>
      <c r="MVT233" s="21"/>
      <c r="MVU233" s="21"/>
      <c r="MVX233" s="21"/>
      <c r="MVY233" s="15"/>
      <c r="MVZ233" s="15"/>
      <c r="MWA233" s="15"/>
      <c r="MWB233" s="15"/>
      <c r="MWC233" s="15"/>
      <c r="MWD233" s="15"/>
      <c r="MWE233" s="15"/>
      <c r="MWF233" s="15"/>
      <c r="MWG233" s="15"/>
      <c r="MWH233" s="15"/>
      <c r="MWI233" s="10"/>
      <c r="MWJ233" s="10"/>
      <c r="MWK233" s="21"/>
      <c r="MWL233" s="21"/>
      <c r="MWO233" s="21"/>
      <c r="MWP233" s="15"/>
      <c r="MWQ233" s="15"/>
      <c r="MWR233" s="15"/>
      <c r="MWS233" s="15"/>
      <c r="MWT233" s="15"/>
      <c r="MWU233" s="15"/>
      <c r="MWV233" s="15"/>
      <c r="MWW233" s="15"/>
      <c r="MWX233" s="15"/>
      <c r="MWY233" s="15"/>
      <c r="MWZ233" s="10"/>
      <c r="MXA233" s="10"/>
      <c r="MXB233" s="21"/>
      <c r="MXC233" s="21"/>
      <c r="MXF233" s="21"/>
      <c r="MXG233" s="15"/>
      <c r="MXH233" s="15"/>
      <c r="MXI233" s="15"/>
      <c r="MXJ233" s="15"/>
      <c r="MXK233" s="15"/>
      <c r="MXL233" s="15"/>
      <c r="MXM233" s="15"/>
      <c r="MXN233" s="15"/>
      <c r="MXO233" s="15"/>
      <c r="MXP233" s="15"/>
      <c r="MXQ233" s="10"/>
      <c r="MXR233" s="10"/>
      <c r="MXS233" s="21"/>
      <c r="MXT233" s="21"/>
      <c r="MXW233" s="21"/>
      <c r="MXX233" s="15"/>
      <c r="MXY233" s="15"/>
      <c r="MXZ233" s="15"/>
      <c r="MYA233" s="15"/>
      <c r="MYB233" s="15"/>
      <c r="MYC233" s="15"/>
      <c r="MYD233" s="15"/>
      <c r="MYE233" s="15"/>
      <c r="MYF233" s="15"/>
      <c r="MYG233" s="15"/>
      <c r="MYH233" s="10"/>
      <c r="MYI233" s="10"/>
      <c r="MYJ233" s="21"/>
      <c r="MYK233" s="21"/>
      <c r="MYN233" s="21"/>
      <c r="MYO233" s="15"/>
      <c r="MYP233" s="15"/>
      <c r="MYQ233" s="15"/>
      <c r="MYR233" s="15"/>
      <c r="MYS233" s="15"/>
      <c r="MYT233" s="15"/>
      <c r="MYU233" s="15"/>
      <c r="MYV233" s="15"/>
      <c r="MYW233" s="15"/>
      <c r="MYX233" s="15"/>
      <c r="MYY233" s="10"/>
      <c r="MYZ233" s="10"/>
      <c r="MZA233" s="21"/>
      <c r="MZB233" s="21"/>
      <c r="MZE233" s="21"/>
      <c r="MZF233" s="15"/>
      <c r="MZG233" s="15"/>
      <c r="MZH233" s="15"/>
      <c r="MZI233" s="15"/>
      <c r="MZJ233" s="15"/>
      <c r="MZK233" s="15"/>
      <c r="MZL233" s="15"/>
      <c r="MZM233" s="15"/>
      <c r="MZN233" s="15"/>
      <c r="MZO233" s="15"/>
      <c r="MZP233" s="10"/>
      <c r="MZQ233" s="10"/>
      <c r="MZR233" s="21"/>
      <c r="MZS233" s="21"/>
      <c r="MZV233" s="21"/>
      <c r="MZW233" s="15"/>
      <c r="MZX233" s="15"/>
      <c r="MZY233" s="15"/>
      <c r="MZZ233" s="15"/>
      <c r="NAA233" s="15"/>
      <c r="NAB233" s="15"/>
      <c r="NAC233" s="15"/>
      <c r="NAD233" s="15"/>
      <c r="NAE233" s="15"/>
      <c r="NAF233" s="15"/>
      <c r="NAG233" s="10"/>
      <c r="NAH233" s="10"/>
      <c r="NAI233" s="21"/>
      <c r="NAJ233" s="21"/>
      <c r="NAM233" s="21"/>
      <c r="NAN233" s="15"/>
      <c r="NAO233" s="15"/>
      <c r="NAP233" s="15"/>
      <c r="NAQ233" s="15"/>
      <c r="NAR233" s="15"/>
      <c r="NAS233" s="15"/>
      <c r="NAT233" s="15"/>
      <c r="NAU233" s="15"/>
      <c r="NAV233" s="15"/>
      <c r="NAW233" s="15"/>
      <c r="NAX233" s="10"/>
      <c r="NAY233" s="10"/>
      <c r="NAZ233" s="21"/>
      <c r="NBA233" s="21"/>
      <c r="NBD233" s="21"/>
      <c r="NBE233" s="15"/>
      <c r="NBF233" s="15"/>
      <c r="NBG233" s="15"/>
      <c r="NBH233" s="15"/>
      <c r="NBI233" s="15"/>
      <c r="NBJ233" s="15"/>
      <c r="NBK233" s="15"/>
      <c r="NBL233" s="15"/>
      <c r="NBM233" s="15"/>
      <c r="NBN233" s="15"/>
      <c r="NBO233" s="10"/>
      <c r="NBP233" s="10"/>
      <c r="NBQ233" s="21"/>
      <c r="NBR233" s="21"/>
      <c r="NBU233" s="21"/>
      <c r="NBV233" s="15"/>
      <c r="NBW233" s="15"/>
      <c r="NBX233" s="15"/>
      <c r="NBY233" s="15"/>
      <c r="NBZ233" s="15"/>
      <c r="NCA233" s="15"/>
      <c r="NCB233" s="15"/>
      <c r="NCC233" s="15"/>
      <c r="NCD233" s="15"/>
      <c r="NCE233" s="15"/>
      <c r="NCF233" s="10"/>
      <c r="NCG233" s="10"/>
      <c r="NCH233" s="21"/>
      <c r="NCI233" s="21"/>
      <c r="NCL233" s="21"/>
      <c r="NCM233" s="15"/>
      <c r="NCN233" s="15"/>
      <c r="NCO233" s="15"/>
      <c r="NCP233" s="15"/>
      <c r="NCQ233" s="15"/>
      <c r="NCR233" s="15"/>
      <c r="NCS233" s="15"/>
      <c r="NCT233" s="15"/>
      <c r="NCU233" s="15"/>
      <c r="NCV233" s="15"/>
      <c r="NCW233" s="10"/>
      <c r="NCX233" s="10"/>
      <c r="NCY233" s="21"/>
      <c r="NCZ233" s="21"/>
      <c r="NDC233" s="21"/>
      <c r="NDD233" s="15"/>
      <c r="NDE233" s="15"/>
      <c r="NDF233" s="15"/>
      <c r="NDG233" s="15"/>
      <c r="NDH233" s="15"/>
      <c r="NDI233" s="15"/>
      <c r="NDJ233" s="15"/>
      <c r="NDK233" s="15"/>
      <c r="NDL233" s="15"/>
      <c r="NDM233" s="15"/>
      <c r="NDN233" s="10"/>
      <c r="NDO233" s="10"/>
      <c r="NDP233" s="21"/>
      <c r="NDQ233" s="21"/>
      <c r="NDT233" s="21"/>
      <c r="NDU233" s="15"/>
      <c r="NDV233" s="15"/>
      <c r="NDW233" s="15"/>
      <c r="NDX233" s="15"/>
      <c r="NDY233" s="15"/>
      <c r="NDZ233" s="15"/>
      <c r="NEA233" s="15"/>
      <c r="NEB233" s="15"/>
      <c r="NEC233" s="15"/>
      <c r="NED233" s="15"/>
      <c r="NEE233" s="10"/>
      <c r="NEF233" s="10"/>
      <c r="NEG233" s="21"/>
      <c r="NEH233" s="21"/>
      <c r="NEK233" s="21"/>
      <c r="NEL233" s="15"/>
      <c r="NEM233" s="15"/>
      <c r="NEN233" s="15"/>
      <c r="NEO233" s="15"/>
      <c r="NEP233" s="15"/>
      <c r="NEQ233" s="15"/>
      <c r="NER233" s="15"/>
      <c r="NES233" s="15"/>
      <c r="NET233" s="15"/>
      <c r="NEU233" s="15"/>
      <c r="NEV233" s="10"/>
      <c r="NEW233" s="10"/>
      <c r="NEX233" s="21"/>
      <c r="NEY233" s="21"/>
      <c r="NFB233" s="21"/>
      <c r="NFC233" s="15"/>
      <c r="NFD233" s="15"/>
      <c r="NFE233" s="15"/>
      <c r="NFF233" s="15"/>
      <c r="NFG233" s="15"/>
      <c r="NFH233" s="15"/>
      <c r="NFI233" s="15"/>
      <c r="NFJ233" s="15"/>
      <c r="NFK233" s="15"/>
      <c r="NFL233" s="15"/>
      <c r="NFM233" s="10"/>
      <c r="NFN233" s="10"/>
      <c r="NFO233" s="21"/>
      <c r="NFP233" s="21"/>
      <c r="NFS233" s="21"/>
      <c r="NFT233" s="15"/>
      <c r="NFU233" s="15"/>
      <c r="NFV233" s="15"/>
      <c r="NFW233" s="15"/>
      <c r="NFX233" s="15"/>
      <c r="NFY233" s="15"/>
      <c r="NFZ233" s="15"/>
      <c r="NGA233" s="15"/>
      <c r="NGB233" s="15"/>
      <c r="NGC233" s="15"/>
      <c r="NGD233" s="10"/>
      <c r="NGE233" s="10"/>
      <c r="NGF233" s="21"/>
      <c r="NGG233" s="21"/>
      <c r="NGJ233" s="21"/>
      <c r="NGK233" s="15"/>
      <c r="NGL233" s="15"/>
      <c r="NGM233" s="15"/>
      <c r="NGN233" s="15"/>
      <c r="NGO233" s="15"/>
      <c r="NGP233" s="15"/>
      <c r="NGQ233" s="15"/>
      <c r="NGR233" s="15"/>
      <c r="NGS233" s="15"/>
      <c r="NGT233" s="15"/>
      <c r="NGU233" s="10"/>
      <c r="NGV233" s="10"/>
      <c r="NGW233" s="21"/>
      <c r="NGX233" s="21"/>
      <c r="NHA233" s="21"/>
      <c r="NHB233" s="15"/>
      <c r="NHC233" s="15"/>
      <c r="NHD233" s="15"/>
      <c r="NHE233" s="15"/>
      <c r="NHF233" s="15"/>
      <c r="NHG233" s="15"/>
      <c r="NHH233" s="15"/>
      <c r="NHI233" s="15"/>
      <c r="NHJ233" s="15"/>
      <c r="NHK233" s="15"/>
      <c r="NHL233" s="10"/>
      <c r="NHM233" s="10"/>
      <c r="NHN233" s="21"/>
      <c r="NHO233" s="21"/>
      <c r="NHR233" s="21"/>
      <c r="NHS233" s="15"/>
      <c r="NHT233" s="15"/>
      <c r="NHU233" s="15"/>
      <c r="NHV233" s="15"/>
      <c r="NHW233" s="15"/>
      <c r="NHX233" s="15"/>
      <c r="NHY233" s="15"/>
      <c r="NHZ233" s="15"/>
      <c r="NIA233" s="15"/>
      <c r="NIB233" s="15"/>
      <c r="NIC233" s="10"/>
      <c r="NID233" s="10"/>
      <c r="NIE233" s="21"/>
      <c r="NIF233" s="21"/>
      <c r="NII233" s="21"/>
      <c r="NIJ233" s="15"/>
      <c r="NIK233" s="15"/>
      <c r="NIL233" s="15"/>
      <c r="NIM233" s="15"/>
      <c r="NIN233" s="15"/>
      <c r="NIO233" s="15"/>
      <c r="NIP233" s="15"/>
      <c r="NIQ233" s="15"/>
      <c r="NIR233" s="15"/>
      <c r="NIS233" s="15"/>
      <c r="NIT233" s="10"/>
      <c r="NIU233" s="10"/>
      <c r="NIV233" s="21"/>
      <c r="NIW233" s="21"/>
      <c r="NIZ233" s="21"/>
      <c r="NJA233" s="15"/>
      <c r="NJB233" s="15"/>
      <c r="NJC233" s="15"/>
      <c r="NJD233" s="15"/>
      <c r="NJE233" s="15"/>
      <c r="NJF233" s="15"/>
      <c r="NJG233" s="15"/>
      <c r="NJH233" s="15"/>
      <c r="NJI233" s="15"/>
      <c r="NJJ233" s="15"/>
      <c r="NJK233" s="10"/>
      <c r="NJL233" s="10"/>
      <c r="NJM233" s="21"/>
      <c r="NJN233" s="21"/>
      <c r="NJQ233" s="21"/>
      <c r="NJR233" s="15"/>
      <c r="NJS233" s="15"/>
      <c r="NJT233" s="15"/>
      <c r="NJU233" s="15"/>
      <c r="NJV233" s="15"/>
      <c r="NJW233" s="15"/>
      <c r="NJX233" s="15"/>
      <c r="NJY233" s="15"/>
      <c r="NJZ233" s="15"/>
      <c r="NKA233" s="15"/>
      <c r="NKB233" s="10"/>
      <c r="NKC233" s="10"/>
      <c r="NKD233" s="21"/>
      <c r="NKE233" s="21"/>
      <c r="NKH233" s="21"/>
      <c r="NKI233" s="15"/>
      <c r="NKJ233" s="15"/>
      <c r="NKK233" s="15"/>
      <c r="NKL233" s="15"/>
      <c r="NKM233" s="15"/>
      <c r="NKN233" s="15"/>
      <c r="NKO233" s="15"/>
      <c r="NKP233" s="15"/>
      <c r="NKQ233" s="15"/>
      <c r="NKR233" s="15"/>
      <c r="NKS233" s="10"/>
      <c r="NKT233" s="10"/>
      <c r="NKU233" s="21"/>
      <c r="NKV233" s="21"/>
      <c r="NKY233" s="21"/>
      <c r="NKZ233" s="15"/>
      <c r="NLA233" s="15"/>
      <c r="NLB233" s="15"/>
      <c r="NLC233" s="15"/>
      <c r="NLD233" s="15"/>
      <c r="NLE233" s="15"/>
      <c r="NLF233" s="15"/>
      <c r="NLG233" s="15"/>
      <c r="NLH233" s="15"/>
      <c r="NLI233" s="15"/>
      <c r="NLJ233" s="10"/>
      <c r="NLK233" s="10"/>
      <c r="NLL233" s="21"/>
      <c r="NLM233" s="21"/>
      <c r="NLP233" s="21"/>
      <c r="NLQ233" s="15"/>
      <c r="NLR233" s="15"/>
      <c r="NLS233" s="15"/>
      <c r="NLT233" s="15"/>
      <c r="NLU233" s="15"/>
      <c r="NLV233" s="15"/>
      <c r="NLW233" s="15"/>
      <c r="NLX233" s="15"/>
      <c r="NLY233" s="15"/>
      <c r="NLZ233" s="15"/>
      <c r="NMA233" s="10"/>
      <c r="NMB233" s="10"/>
      <c r="NMC233" s="21"/>
      <c r="NMD233" s="21"/>
      <c r="NMG233" s="21"/>
      <c r="NMH233" s="15"/>
      <c r="NMI233" s="15"/>
      <c r="NMJ233" s="15"/>
      <c r="NMK233" s="15"/>
      <c r="NML233" s="15"/>
      <c r="NMM233" s="15"/>
      <c r="NMN233" s="15"/>
      <c r="NMO233" s="15"/>
      <c r="NMP233" s="15"/>
      <c r="NMQ233" s="15"/>
      <c r="NMR233" s="10"/>
      <c r="NMS233" s="10"/>
      <c r="NMT233" s="21"/>
      <c r="NMU233" s="21"/>
      <c r="NMX233" s="21"/>
      <c r="NMY233" s="15"/>
      <c r="NMZ233" s="15"/>
      <c r="NNA233" s="15"/>
      <c r="NNB233" s="15"/>
      <c r="NNC233" s="15"/>
      <c r="NND233" s="15"/>
      <c r="NNE233" s="15"/>
      <c r="NNF233" s="15"/>
      <c r="NNG233" s="15"/>
      <c r="NNH233" s="15"/>
      <c r="NNI233" s="10"/>
      <c r="NNJ233" s="10"/>
      <c r="NNK233" s="21"/>
      <c r="NNL233" s="21"/>
      <c r="NNO233" s="21"/>
      <c r="NNP233" s="15"/>
      <c r="NNQ233" s="15"/>
      <c r="NNR233" s="15"/>
      <c r="NNS233" s="15"/>
      <c r="NNT233" s="15"/>
      <c r="NNU233" s="15"/>
      <c r="NNV233" s="15"/>
      <c r="NNW233" s="15"/>
      <c r="NNX233" s="15"/>
      <c r="NNY233" s="15"/>
      <c r="NNZ233" s="10"/>
      <c r="NOA233" s="10"/>
      <c r="NOB233" s="21"/>
      <c r="NOC233" s="21"/>
      <c r="NOF233" s="21"/>
      <c r="NOG233" s="15"/>
      <c r="NOH233" s="15"/>
      <c r="NOI233" s="15"/>
      <c r="NOJ233" s="15"/>
      <c r="NOK233" s="15"/>
      <c r="NOL233" s="15"/>
      <c r="NOM233" s="15"/>
      <c r="NON233" s="15"/>
      <c r="NOO233" s="15"/>
      <c r="NOP233" s="15"/>
      <c r="NOQ233" s="10"/>
      <c r="NOR233" s="10"/>
      <c r="NOS233" s="21"/>
      <c r="NOT233" s="21"/>
      <c r="NOW233" s="21"/>
      <c r="NOX233" s="15"/>
      <c r="NOY233" s="15"/>
      <c r="NOZ233" s="15"/>
      <c r="NPA233" s="15"/>
      <c r="NPB233" s="15"/>
      <c r="NPC233" s="15"/>
      <c r="NPD233" s="15"/>
      <c r="NPE233" s="15"/>
      <c r="NPF233" s="15"/>
      <c r="NPG233" s="15"/>
      <c r="NPH233" s="10"/>
      <c r="NPI233" s="10"/>
      <c r="NPJ233" s="21"/>
      <c r="NPK233" s="21"/>
      <c r="NPN233" s="21"/>
      <c r="NPO233" s="15"/>
      <c r="NPP233" s="15"/>
      <c r="NPQ233" s="15"/>
      <c r="NPR233" s="15"/>
      <c r="NPS233" s="15"/>
      <c r="NPT233" s="15"/>
      <c r="NPU233" s="15"/>
      <c r="NPV233" s="15"/>
      <c r="NPW233" s="15"/>
      <c r="NPX233" s="15"/>
      <c r="NPY233" s="10"/>
      <c r="NPZ233" s="10"/>
      <c r="NQA233" s="21"/>
      <c r="NQB233" s="21"/>
      <c r="NQE233" s="21"/>
      <c r="NQF233" s="15"/>
      <c r="NQG233" s="15"/>
      <c r="NQH233" s="15"/>
      <c r="NQI233" s="15"/>
      <c r="NQJ233" s="15"/>
      <c r="NQK233" s="15"/>
      <c r="NQL233" s="15"/>
      <c r="NQM233" s="15"/>
      <c r="NQN233" s="15"/>
      <c r="NQO233" s="15"/>
      <c r="NQP233" s="10"/>
      <c r="NQQ233" s="10"/>
      <c r="NQR233" s="21"/>
      <c r="NQS233" s="21"/>
      <c r="NQV233" s="21"/>
      <c r="NQW233" s="15"/>
      <c r="NQX233" s="15"/>
      <c r="NQY233" s="15"/>
      <c r="NQZ233" s="15"/>
      <c r="NRA233" s="15"/>
      <c r="NRB233" s="15"/>
      <c r="NRC233" s="15"/>
      <c r="NRD233" s="15"/>
      <c r="NRE233" s="15"/>
      <c r="NRF233" s="15"/>
      <c r="NRG233" s="10"/>
      <c r="NRH233" s="10"/>
      <c r="NRI233" s="21"/>
      <c r="NRJ233" s="21"/>
      <c r="NRM233" s="21"/>
      <c r="NRN233" s="15"/>
      <c r="NRO233" s="15"/>
      <c r="NRP233" s="15"/>
      <c r="NRQ233" s="15"/>
      <c r="NRR233" s="15"/>
      <c r="NRS233" s="15"/>
      <c r="NRT233" s="15"/>
      <c r="NRU233" s="15"/>
      <c r="NRV233" s="15"/>
      <c r="NRW233" s="15"/>
      <c r="NRX233" s="10"/>
      <c r="NRY233" s="10"/>
      <c r="NRZ233" s="21"/>
      <c r="NSA233" s="21"/>
      <c r="NSD233" s="21"/>
      <c r="NSE233" s="15"/>
      <c r="NSF233" s="15"/>
      <c r="NSG233" s="15"/>
      <c r="NSH233" s="15"/>
      <c r="NSI233" s="15"/>
      <c r="NSJ233" s="15"/>
      <c r="NSK233" s="15"/>
      <c r="NSL233" s="15"/>
      <c r="NSM233" s="15"/>
      <c r="NSN233" s="15"/>
      <c r="NSO233" s="10"/>
      <c r="NSP233" s="10"/>
      <c r="NSQ233" s="21"/>
      <c r="NSR233" s="21"/>
      <c r="NSU233" s="21"/>
      <c r="NSV233" s="15"/>
      <c r="NSW233" s="15"/>
      <c r="NSX233" s="15"/>
      <c r="NSY233" s="15"/>
      <c r="NSZ233" s="15"/>
      <c r="NTA233" s="15"/>
      <c r="NTB233" s="15"/>
      <c r="NTC233" s="15"/>
      <c r="NTD233" s="15"/>
      <c r="NTE233" s="15"/>
      <c r="NTF233" s="10"/>
      <c r="NTG233" s="10"/>
      <c r="NTH233" s="21"/>
      <c r="NTI233" s="21"/>
      <c r="NTL233" s="21"/>
      <c r="NTM233" s="15"/>
      <c r="NTN233" s="15"/>
      <c r="NTO233" s="15"/>
      <c r="NTP233" s="15"/>
      <c r="NTQ233" s="15"/>
      <c r="NTR233" s="15"/>
      <c r="NTS233" s="15"/>
      <c r="NTT233" s="15"/>
      <c r="NTU233" s="15"/>
      <c r="NTV233" s="15"/>
      <c r="NTW233" s="10"/>
      <c r="NTX233" s="10"/>
      <c r="NTY233" s="21"/>
      <c r="NTZ233" s="21"/>
      <c r="NUC233" s="21"/>
      <c r="NUD233" s="15"/>
      <c r="NUE233" s="15"/>
      <c r="NUF233" s="15"/>
      <c r="NUG233" s="15"/>
      <c r="NUH233" s="15"/>
      <c r="NUI233" s="15"/>
      <c r="NUJ233" s="15"/>
      <c r="NUK233" s="15"/>
      <c r="NUL233" s="15"/>
      <c r="NUM233" s="15"/>
      <c r="NUN233" s="10"/>
      <c r="NUO233" s="10"/>
      <c r="NUP233" s="21"/>
      <c r="NUQ233" s="21"/>
      <c r="NUT233" s="21"/>
      <c r="NUU233" s="15"/>
      <c r="NUV233" s="15"/>
      <c r="NUW233" s="15"/>
      <c r="NUX233" s="15"/>
      <c r="NUY233" s="15"/>
      <c r="NUZ233" s="15"/>
      <c r="NVA233" s="15"/>
      <c r="NVB233" s="15"/>
      <c r="NVC233" s="15"/>
      <c r="NVD233" s="15"/>
      <c r="NVE233" s="10"/>
      <c r="NVF233" s="10"/>
      <c r="NVG233" s="21"/>
      <c r="NVH233" s="21"/>
      <c r="NVK233" s="21"/>
      <c r="NVL233" s="15"/>
      <c r="NVM233" s="15"/>
      <c r="NVN233" s="15"/>
      <c r="NVO233" s="15"/>
      <c r="NVP233" s="15"/>
      <c r="NVQ233" s="15"/>
      <c r="NVR233" s="15"/>
      <c r="NVS233" s="15"/>
      <c r="NVT233" s="15"/>
      <c r="NVU233" s="15"/>
      <c r="NVV233" s="10"/>
      <c r="NVW233" s="10"/>
      <c r="NVX233" s="21"/>
      <c r="NVY233" s="21"/>
      <c r="NWB233" s="21"/>
      <c r="NWC233" s="15"/>
      <c r="NWD233" s="15"/>
      <c r="NWE233" s="15"/>
      <c r="NWF233" s="15"/>
      <c r="NWG233" s="15"/>
      <c r="NWH233" s="15"/>
      <c r="NWI233" s="15"/>
      <c r="NWJ233" s="15"/>
      <c r="NWK233" s="15"/>
      <c r="NWL233" s="15"/>
      <c r="NWM233" s="10"/>
      <c r="NWN233" s="10"/>
      <c r="NWO233" s="21"/>
      <c r="NWP233" s="21"/>
      <c r="NWS233" s="21"/>
      <c r="NWT233" s="15"/>
      <c r="NWU233" s="15"/>
      <c r="NWV233" s="15"/>
      <c r="NWW233" s="15"/>
      <c r="NWX233" s="15"/>
      <c r="NWY233" s="15"/>
      <c r="NWZ233" s="15"/>
      <c r="NXA233" s="15"/>
      <c r="NXB233" s="15"/>
      <c r="NXC233" s="15"/>
      <c r="NXD233" s="10"/>
      <c r="NXE233" s="10"/>
      <c r="NXF233" s="21"/>
      <c r="NXG233" s="21"/>
      <c r="NXJ233" s="21"/>
      <c r="NXK233" s="15"/>
      <c r="NXL233" s="15"/>
      <c r="NXM233" s="15"/>
      <c r="NXN233" s="15"/>
      <c r="NXO233" s="15"/>
      <c r="NXP233" s="15"/>
      <c r="NXQ233" s="15"/>
      <c r="NXR233" s="15"/>
      <c r="NXS233" s="15"/>
      <c r="NXT233" s="15"/>
      <c r="NXU233" s="10"/>
      <c r="NXV233" s="10"/>
      <c r="NXW233" s="21"/>
      <c r="NXX233" s="21"/>
      <c r="NYA233" s="21"/>
      <c r="NYB233" s="15"/>
      <c r="NYC233" s="15"/>
      <c r="NYD233" s="15"/>
      <c r="NYE233" s="15"/>
      <c r="NYF233" s="15"/>
      <c r="NYG233" s="15"/>
      <c r="NYH233" s="15"/>
      <c r="NYI233" s="15"/>
      <c r="NYJ233" s="15"/>
      <c r="NYK233" s="15"/>
      <c r="NYL233" s="10"/>
      <c r="NYM233" s="10"/>
      <c r="NYN233" s="21"/>
      <c r="NYO233" s="21"/>
      <c r="NYR233" s="21"/>
      <c r="NYS233" s="15"/>
      <c r="NYT233" s="15"/>
      <c r="NYU233" s="15"/>
      <c r="NYV233" s="15"/>
      <c r="NYW233" s="15"/>
      <c r="NYX233" s="15"/>
      <c r="NYY233" s="15"/>
      <c r="NYZ233" s="15"/>
      <c r="NZA233" s="15"/>
      <c r="NZB233" s="15"/>
      <c r="NZC233" s="10"/>
      <c r="NZD233" s="10"/>
      <c r="NZE233" s="21"/>
      <c r="NZF233" s="21"/>
      <c r="NZI233" s="21"/>
      <c r="NZJ233" s="15"/>
      <c r="NZK233" s="15"/>
      <c r="NZL233" s="15"/>
      <c r="NZM233" s="15"/>
      <c r="NZN233" s="15"/>
      <c r="NZO233" s="15"/>
      <c r="NZP233" s="15"/>
      <c r="NZQ233" s="15"/>
      <c r="NZR233" s="15"/>
      <c r="NZS233" s="15"/>
      <c r="NZT233" s="10"/>
      <c r="NZU233" s="10"/>
      <c r="NZV233" s="21"/>
      <c r="NZW233" s="21"/>
      <c r="NZZ233" s="21"/>
      <c r="OAA233" s="15"/>
      <c r="OAB233" s="15"/>
      <c r="OAC233" s="15"/>
      <c r="OAD233" s="15"/>
      <c r="OAE233" s="15"/>
      <c r="OAF233" s="15"/>
      <c r="OAG233" s="15"/>
      <c r="OAH233" s="15"/>
      <c r="OAI233" s="15"/>
      <c r="OAJ233" s="15"/>
      <c r="OAK233" s="10"/>
      <c r="OAL233" s="10"/>
      <c r="OAM233" s="21"/>
      <c r="OAN233" s="21"/>
      <c r="OAQ233" s="21"/>
      <c r="OAR233" s="15"/>
      <c r="OAS233" s="15"/>
      <c r="OAT233" s="15"/>
      <c r="OAU233" s="15"/>
      <c r="OAV233" s="15"/>
      <c r="OAW233" s="15"/>
      <c r="OAX233" s="15"/>
      <c r="OAY233" s="15"/>
      <c r="OAZ233" s="15"/>
      <c r="OBA233" s="15"/>
      <c r="OBB233" s="10"/>
      <c r="OBC233" s="10"/>
      <c r="OBD233" s="21"/>
      <c r="OBE233" s="21"/>
      <c r="OBH233" s="21"/>
      <c r="OBI233" s="15"/>
      <c r="OBJ233" s="15"/>
      <c r="OBK233" s="15"/>
      <c r="OBL233" s="15"/>
      <c r="OBM233" s="15"/>
      <c r="OBN233" s="15"/>
      <c r="OBO233" s="15"/>
      <c r="OBP233" s="15"/>
      <c r="OBQ233" s="15"/>
      <c r="OBR233" s="15"/>
      <c r="OBS233" s="10"/>
      <c r="OBT233" s="10"/>
      <c r="OBU233" s="21"/>
      <c r="OBV233" s="21"/>
      <c r="OBY233" s="21"/>
      <c r="OBZ233" s="15"/>
      <c r="OCA233" s="15"/>
      <c r="OCB233" s="15"/>
      <c r="OCC233" s="15"/>
      <c r="OCD233" s="15"/>
      <c r="OCE233" s="15"/>
      <c r="OCF233" s="15"/>
      <c r="OCG233" s="15"/>
      <c r="OCH233" s="15"/>
      <c r="OCI233" s="15"/>
      <c r="OCJ233" s="10"/>
      <c r="OCK233" s="10"/>
      <c r="OCL233" s="21"/>
      <c r="OCM233" s="21"/>
      <c r="OCP233" s="21"/>
      <c r="OCQ233" s="15"/>
      <c r="OCR233" s="15"/>
      <c r="OCS233" s="15"/>
      <c r="OCT233" s="15"/>
      <c r="OCU233" s="15"/>
      <c r="OCV233" s="15"/>
      <c r="OCW233" s="15"/>
      <c r="OCX233" s="15"/>
      <c r="OCY233" s="15"/>
      <c r="OCZ233" s="15"/>
      <c r="ODA233" s="10"/>
      <c r="ODB233" s="10"/>
      <c r="ODC233" s="21"/>
      <c r="ODD233" s="21"/>
      <c r="ODG233" s="21"/>
      <c r="ODH233" s="15"/>
      <c r="ODI233" s="15"/>
      <c r="ODJ233" s="15"/>
      <c r="ODK233" s="15"/>
      <c r="ODL233" s="15"/>
      <c r="ODM233" s="15"/>
      <c r="ODN233" s="15"/>
      <c r="ODO233" s="15"/>
      <c r="ODP233" s="15"/>
      <c r="ODQ233" s="15"/>
      <c r="ODR233" s="10"/>
      <c r="ODS233" s="10"/>
      <c r="ODT233" s="21"/>
      <c r="ODU233" s="21"/>
      <c r="ODX233" s="21"/>
      <c r="ODY233" s="15"/>
      <c r="ODZ233" s="15"/>
      <c r="OEA233" s="15"/>
      <c r="OEB233" s="15"/>
      <c r="OEC233" s="15"/>
      <c r="OED233" s="15"/>
      <c r="OEE233" s="15"/>
      <c r="OEF233" s="15"/>
      <c r="OEG233" s="15"/>
      <c r="OEH233" s="15"/>
      <c r="OEI233" s="10"/>
      <c r="OEJ233" s="10"/>
      <c r="OEK233" s="21"/>
      <c r="OEL233" s="21"/>
      <c r="OEO233" s="21"/>
      <c r="OEP233" s="15"/>
      <c r="OEQ233" s="15"/>
      <c r="OER233" s="15"/>
      <c r="OES233" s="15"/>
      <c r="OET233" s="15"/>
      <c r="OEU233" s="15"/>
      <c r="OEV233" s="15"/>
      <c r="OEW233" s="15"/>
      <c r="OEX233" s="15"/>
      <c r="OEY233" s="15"/>
      <c r="OEZ233" s="10"/>
      <c r="OFA233" s="10"/>
      <c r="OFB233" s="21"/>
      <c r="OFC233" s="21"/>
      <c r="OFF233" s="21"/>
      <c r="OFG233" s="15"/>
      <c r="OFH233" s="15"/>
      <c r="OFI233" s="15"/>
      <c r="OFJ233" s="15"/>
      <c r="OFK233" s="15"/>
      <c r="OFL233" s="15"/>
      <c r="OFM233" s="15"/>
      <c r="OFN233" s="15"/>
      <c r="OFO233" s="15"/>
      <c r="OFP233" s="15"/>
      <c r="OFQ233" s="10"/>
      <c r="OFR233" s="10"/>
      <c r="OFS233" s="21"/>
      <c r="OFT233" s="21"/>
      <c r="OFW233" s="21"/>
      <c r="OFX233" s="15"/>
      <c r="OFY233" s="15"/>
      <c r="OFZ233" s="15"/>
      <c r="OGA233" s="15"/>
      <c r="OGB233" s="15"/>
      <c r="OGC233" s="15"/>
      <c r="OGD233" s="15"/>
      <c r="OGE233" s="15"/>
      <c r="OGF233" s="15"/>
      <c r="OGG233" s="15"/>
      <c r="OGH233" s="10"/>
      <c r="OGI233" s="10"/>
      <c r="OGJ233" s="21"/>
      <c r="OGK233" s="21"/>
      <c r="OGN233" s="21"/>
      <c r="OGO233" s="15"/>
      <c r="OGP233" s="15"/>
      <c r="OGQ233" s="15"/>
      <c r="OGR233" s="15"/>
      <c r="OGS233" s="15"/>
      <c r="OGT233" s="15"/>
      <c r="OGU233" s="15"/>
      <c r="OGV233" s="15"/>
      <c r="OGW233" s="15"/>
      <c r="OGX233" s="15"/>
      <c r="OGY233" s="10"/>
      <c r="OGZ233" s="10"/>
      <c r="OHA233" s="21"/>
      <c r="OHB233" s="21"/>
      <c r="OHE233" s="21"/>
      <c r="OHF233" s="15"/>
      <c r="OHG233" s="15"/>
      <c r="OHH233" s="15"/>
      <c r="OHI233" s="15"/>
      <c r="OHJ233" s="15"/>
      <c r="OHK233" s="15"/>
      <c r="OHL233" s="15"/>
      <c r="OHM233" s="15"/>
      <c r="OHN233" s="15"/>
      <c r="OHO233" s="15"/>
      <c r="OHP233" s="10"/>
      <c r="OHQ233" s="10"/>
      <c r="OHR233" s="21"/>
      <c r="OHS233" s="21"/>
      <c r="OHV233" s="21"/>
      <c r="OHW233" s="15"/>
      <c r="OHX233" s="15"/>
      <c r="OHY233" s="15"/>
      <c r="OHZ233" s="15"/>
      <c r="OIA233" s="15"/>
      <c r="OIB233" s="15"/>
      <c r="OIC233" s="15"/>
      <c r="OID233" s="15"/>
      <c r="OIE233" s="15"/>
      <c r="OIF233" s="15"/>
      <c r="OIG233" s="10"/>
      <c r="OIH233" s="10"/>
      <c r="OII233" s="21"/>
      <c r="OIJ233" s="21"/>
      <c r="OIM233" s="21"/>
      <c r="OIN233" s="15"/>
      <c r="OIO233" s="15"/>
      <c r="OIP233" s="15"/>
      <c r="OIQ233" s="15"/>
      <c r="OIR233" s="15"/>
      <c r="OIS233" s="15"/>
      <c r="OIT233" s="15"/>
      <c r="OIU233" s="15"/>
      <c r="OIV233" s="15"/>
      <c r="OIW233" s="15"/>
      <c r="OIX233" s="10"/>
      <c r="OIY233" s="10"/>
      <c r="OIZ233" s="21"/>
      <c r="OJA233" s="21"/>
      <c r="OJD233" s="21"/>
      <c r="OJE233" s="15"/>
      <c r="OJF233" s="15"/>
      <c r="OJG233" s="15"/>
      <c r="OJH233" s="15"/>
      <c r="OJI233" s="15"/>
      <c r="OJJ233" s="15"/>
      <c r="OJK233" s="15"/>
      <c r="OJL233" s="15"/>
      <c r="OJM233" s="15"/>
      <c r="OJN233" s="15"/>
      <c r="OJO233" s="10"/>
      <c r="OJP233" s="10"/>
      <c r="OJQ233" s="21"/>
      <c r="OJR233" s="21"/>
      <c r="OJU233" s="21"/>
      <c r="OJV233" s="15"/>
      <c r="OJW233" s="15"/>
      <c r="OJX233" s="15"/>
      <c r="OJY233" s="15"/>
      <c r="OJZ233" s="15"/>
      <c r="OKA233" s="15"/>
      <c r="OKB233" s="15"/>
      <c r="OKC233" s="15"/>
      <c r="OKD233" s="15"/>
      <c r="OKE233" s="15"/>
      <c r="OKF233" s="10"/>
      <c r="OKG233" s="10"/>
      <c r="OKH233" s="21"/>
      <c r="OKI233" s="21"/>
      <c r="OKL233" s="21"/>
      <c r="OKM233" s="15"/>
      <c r="OKN233" s="15"/>
      <c r="OKO233" s="15"/>
      <c r="OKP233" s="15"/>
      <c r="OKQ233" s="15"/>
      <c r="OKR233" s="15"/>
      <c r="OKS233" s="15"/>
      <c r="OKT233" s="15"/>
      <c r="OKU233" s="15"/>
      <c r="OKV233" s="15"/>
      <c r="OKW233" s="10"/>
      <c r="OKX233" s="10"/>
      <c r="OKY233" s="21"/>
      <c r="OKZ233" s="21"/>
      <c r="OLC233" s="21"/>
      <c r="OLD233" s="15"/>
      <c r="OLE233" s="15"/>
      <c r="OLF233" s="15"/>
      <c r="OLG233" s="15"/>
      <c r="OLH233" s="15"/>
      <c r="OLI233" s="15"/>
      <c r="OLJ233" s="15"/>
      <c r="OLK233" s="15"/>
      <c r="OLL233" s="15"/>
      <c r="OLM233" s="15"/>
      <c r="OLN233" s="10"/>
      <c r="OLO233" s="10"/>
      <c r="OLP233" s="21"/>
      <c r="OLQ233" s="21"/>
      <c r="OLT233" s="21"/>
      <c r="OLU233" s="15"/>
      <c r="OLV233" s="15"/>
      <c r="OLW233" s="15"/>
      <c r="OLX233" s="15"/>
      <c r="OLY233" s="15"/>
      <c r="OLZ233" s="15"/>
      <c r="OMA233" s="15"/>
      <c r="OMB233" s="15"/>
      <c r="OMC233" s="15"/>
      <c r="OMD233" s="15"/>
      <c r="OME233" s="10"/>
      <c r="OMF233" s="10"/>
      <c r="OMG233" s="21"/>
      <c r="OMH233" s="21"/>
      <c r="OMK233" s="21"/>
      <c r="OML233" s="15"/>
      <c r="OMM233" s="15"/>
      <c r="OMN233" s="15"/>
      <c r="OMO233" s="15"/>
      <c r="OMP233" s="15"/>
      <c r="OMQ233" s="15"/>
      <c r="OMR233" s="15"/>
      <c r="OMS233" s="15"/>
      <c r="OMT233" s="15"/>
      <c r="OMU233" s="15"/>
      <c r="OMV233" s="10"/>
      <c r="OMW233" s="10"/>
      <c r="OMX233" s="21"/>
      <c r="OMY233" s="21"/>
      <c r="ONB233" s="21"/>
      <c r="ONC233" s="15"/>
      <c r="OND233" s="15"/>
      <c r="ONE233" s="15"/>
      <c r="ONF233" s="15"/>
      <c r="ONG233" s="15"/>
      <c r="ONH233" s="15"/>
      <c r="ONI233" s="15"/>
      <c r="ONJ233" s="15"/>
      <c r="ONK233" s="15"/>
      <c r="ONL233" s="15"/>
      <c r="ONM233" s="10"/>
      <c r="ONN233" s="10"/>
      <c r="ONO233" s="21"/>
      <c r="ONP233" s="21"/>
      <c r="ONS233" s="21"/>
      <c r="ONT233" s="15"/>
      <c r="ONU233" s="15"/>
      <c r="ONV233" s="15"/>
      <c r="ONW233" s="15"/>
      <c r="ONX233" s="15"/>
      <c r="ONY233" s="15"/>
      <c r="ONZ233" s="15"/>
      <c r="OOA233" s="15"/>
      <c r="OOB233" s="15"/>
      <c r="OOC233" s="15"/>
      <c r="OOD233" s="10"/>
      <c r="OOE233" s="10"/>
      <c r="OOF233" s="21"/>
      <c r="OOG233" s="21"/>
      <c r="OOJ233" s="21"/>
      <c r="OOK233" s="15"/>
      <c r="OOL233" s="15"/>
      <c r="OOM233" s="15"/>
      <c r="OON233" s="15"/>
      <c r="OOO233" s="15"/>
      <c r="OOP233" s="15"/>
      <c r="OOQ233" s="15"/>
      <c r="OOR233" s="15"/>
      <c r="OOS233" s="15"/>
      <c r="OOT233" s="15"/>
      <c r="OOU233" s="10"/>
      <c r="OOV233" s="10"/>
      <c r="OOW233" s="21"/>
      <c r="OOX233" s="21"/>
      <c r="OPA233" s="21"/>
      <c r="OPB233" s="15"/>
      <c r="OPC233" s="15"/>
      <c r="OPD233" s="15"/>
      <c r="OPE233" s="15"/>
      <c r="OPF233" s="15"/>
      <c r="OPG233" s="15"/>
      <c r="OPH233" s="15"/>
      <c r="OPI233" s="15"/>
      <c r="OPJ233" s="15"/>
      <c r="OPK233" s="15"/>
      <c r="OPL233" s="10"/>
      <c r="OPM233" s="10"/>
      <c r="OPN233" s="21"/>
      <c r="OPO233" s="21"/>
      <c r="OPR233" s="21"/>
      <c r="OPS233" s="15"/>
      <c r="OPT233" s="15"/>
      <c r="OPU233" s="15"/>
      <c r="OPV233" s="15"/>
      <c r="OPW233" s="15"/>
      <c r="OPX233" s="15"/>
      <c r="OPY233" s="15"/>
      <c r="OPZ233" s="15"/>
      <c r="OQA233" s="15"/>
      <c r="OQB233" s="15"/>
      <c r="OQC233" s="10"/>
      <c r="OQD233" s="10"/>
      <c r="OQE233" s="21"/>
      <c r="OQF233" s="21"/>
      <c r="OQI233" s="21"/>
      <c r="OQJ233" s="15"/>
      <c r="OQK233" s="15"/>
      <c r="OQL233" s="15"/>
      <c r="OQM233" s="15"/>
      <c r="OQN233" s="15"/>
      <c r="OQO233" s="15"/>
      <c r="OQP233" s="15"/>
      <c r="OQQ233" s="15"/>
      <c r="OQR233" s="15"/>
      <c r="OQS233" s="15"/>
      <c r="OQT233" s="10"/>
      <c r="OQU233" s="10"/>
      <c r="OQV233" s="21"/>
      <c r="OQW233" s="21"/>
      <c r="OQZ233" s="21"/>
      <c r="ORA233" s="15"/>
      <c r="ORB233" s="15"/>
      <c r="ORC233" s="15"/>
      <c r="ORD233" s="15"/>
      <c r="ORE233" s="15"/>
      <c r="ORF233" s="15"/>
      <c r="ORG233" s="15"/>
      <c r="ORH233" s="15"/>
      <c r="ORI233" s="15"/>
      <c r="ORJ233" s="15"/>
      <c r="ORK233" s="10"/>
      <c r="ORL233" s="10"/>
      <c r="ORM233" s="21"/>
      <c r="ORN233" s="21"/>
      <c r="ORQ233" s="21"/>
      <c r="ORR233" s="15"/>
      <c r="ORS233" s="15"/>
      <c r="ORT233" s="15"/>
      <c r="ORU233" s="15"/>
      <c r="ORV233" s="15"/>
      <c r="ORW233" s="15"/>
      <c r="ORX233" s="15"/>
      <c r="ORY233" s="15"/>
      <c r="ORZ233" s="15"/>
      <c r="OSA233" s="15"/>
      <c r="OSB233" s="10"/>
      <c r="OSC233" s="10"/>
      <c r="OSD233" s="21"/>
      <c r="OSE233" s="21"/>
      <c r="OSH233" s="21"/>
      <c r="OSI233" s="15"/>
      <c r="OSJ233" s="15"/>
      <c r="OSK233" s="15"/>
      <c r="OSL233" s="15"/>
      <c r="OSM233" s="15"/>
      <c r="OSN233" s="15"/>
      <c r="OSO233" s="15"/>
      <c r="OSP233" s="15"/>
      <c r="OSQ233" s="15"/>
      <c r="OSR233" s="15"/>
      <c r="OSS233" s="10"/>
      <c r="OST233" s="10"/>
      <c r="OSU233" s="21"/>
      <c r="OSV233" s="21"/>
      <c r="OSY233" s="21"/>
      <c r="OSZ233" s="15"/>
      <c r="OTA233" s="15"/>
      <c r="OTB233" s="15"/>
      <c r="OTC233" s="15"/>
      <c r="OTD233" s="15"/>
      <c r="OTE233" s="15"/>
      <c r="OTF233" s="15"/>
      <c r="OTG233" s="15"/>
      <c r="OTH233" s="15"/>
      <c r="OTI233" s="15"/>
      <c r="OTJ233" s="10"/>
      <c r="OTK233" s="10"/>
      <c r="OTL233" s="21"/>
      <c r="OTM233" s="21"/>
      <c r="OTP233" s="21"/>
      <c r="OTQ233" s="15"/>
      <c r="OTR233" s="15"/>
      <c r="OTS233" s="15"/>
      <c r="OTT233" s="15"/>
      <c r="OTU233" s="15"/>
      <c r="OTV233" s="15"/>
      <c r="OTW233" s="15"/>
      <c r="OTX233" s="15"/>
      <c r="OTY233" s="15"/>
      <c r="OTZ233" s="15"/>
      <c r="OUA233" s="10"/>
      <c r="OUB233" s="10"/>
      <c r="OUC233" s="21"/>
      <c r="OUD233" s="21"/>
      <c r="OUG233" s="21"/>
      <c r="OUH233" s="15"/>
      <c r="OUI233" s="15"/>
      <c r="OUJ233" s="15"/>
      <c r="OUK233" s="15"/>
      <c r="OUL233" s="15"/>
      <c r="OUM233" s="15"/>
      <c r="OUN233" s="15"/>
      <c r="OUO233" s="15"/>
      <c r="OUP233" s="15"/>
      <c r="OUQ233" s="15"/>
      <c r="OUR233" s="10"/>
      <c r="OUS233" s="10"/>
      <c r="OUT233" s="21"/>
      <c r="OUU233" s="21"/>
      <c r="OUX233" s="21"/>
      <c r="OUY233" s="15"/>
      <c r="OUZ233" s="15"/>
      <c r="OVA233" s="15"/>
      <c r="OVB233" s="15"/>
      <c r="OVC233" s="15"/>
      <c r="OVD233" s="15"/>
      <c r="OVE233" s="15"/>
      <c r="OVF233" s="15"/>
      <c r="OVG233" s="15"/>
      <c r="OVH233" s="15"/>
      <c r="OVI233" s="10"/>
      <c r="OVJ233" s="10"/>
      <c r="OVK233" s="21"/>
      <c r="OVL233" s="21"/>
      <c r="OVO233" s="21"/>
      <c r="OVP233" s="15"/>
      <c r="OVQ233" s="15"/>
      <c r="OVR233" s="15"/>
      <c r="OVS233" s="15"/>
      <c r="OVT233" s="15"/>
      <c r="OVU233" s="15"/>
      <c r="OVV233" s="15"/>
      <c r="OVW233" s="15"/>
      <c r="OVX233" s="15"/>
      <c r="OVY233" s="15"/>
      <c r="OVZ233" s="10"/>
      <c r="OWA233" s="10"/>
      <c r="OWB233" s="21"/>
      <c r="OWC233" s="21"/>
      <c r="OWF233" s="21"/>
      <c r="OWG233" s="15"/>
      <c r="OWH233" s="15"/>
      <c r="OWI233" s="15"/>
      <c r="OWJ233" s="15"/>
      <c r="OWK233" s="15"/>
      <c r="OWL233" s="15"/>
      <c r="OWM233" s="15"/>
      <c r="OWN233" s="15"/>
      <c r="OWO233" s="15"/>
      <c r="OWP233" s="15"/>
      <c r="OWQ233" s="10"/>
      <c r="OWR233" s="10"/>
      <c r="OWS233" s="21"/>
      <c r="OWT233" s="21"/>
      <c r="OWW233" s="21"/>
      <c r="OWX233" s="15"/>
      <c r="OWY233" s="15"/>
      <c r="OWZ233" s="15"/>
      <c r="OXA233" s="15"/>
      <c r="OXB233" s="15"/>
      <c r="OXC233" s="15"/>
      <c r="OXD233" s="15"/>
      <c r="OXE233" s="15"/>
      <c r="OXF233" s="15"/>
      <c r="OXG233" s="15"/>
      <c r="OXH233" s="10"/>
      <c r="OXI233" s="10"/>
      <c r="OXJ233" s="21"/>
      <c r="OXK233" s="21"/>
      <c r="OXN233" s="21"/>
      <c r="OXO233" s="15"/>
      <c r="OXP233" s="15"/>
      <c r="OXQ233" s="15"/>
      <c r="OXR233" s="15"/>
      <c r="OXS233" s="15"/>
      <c r="OXT233" s="15"/>
      <c r="OXU233" s="15"/>
      <c r="OXV233" s="15"/>
      <c r="OXW233" s="15"/>
      <c r="OXX233" s="15"/>
      <c r="OXY233" s="10"/>
      <c r="OXZ233" s="10"/>
      <c r="OYA233" s="21"/>
      <c r="OYB233" s="21"/>
      <c r="OYE233" s="21"/>
      <c r="OYF233" s="15"/>
      <c r="OYG233" s="15"/>
      <c r="OYH233" s="15"/>
      <c r="OYI233" s="15"/>
      <c r="OYJ233" s="15"/>
      <c r="OYK233" s="15"/>
      <c r="OYL233" s="15"/>
      <c r="OYM233" s="15"/>
      <c r="OYN233" s="15"/>
      <c r="OYO233" s="15"/>
      <c r="OYP233" s="10"/>
      <c r="OYQ233" s="10"/>
      <c r="OYR233" s="21"/>
      <c r="OYS233" s="21"/>
      <c r="OYV233" s="21"/>
      <c r="OYW233" s="15"/>
      <c r="OYX233" s="15"/>
      <c r="OYY233" s="15"/>
      <c r="OYZ233" s="15"/>
      <c r="OZA233" s="15"/>
      <c r="OZB233" s="15"/>
      <c r="OZC233" s="15"/>
      <c r="OZD233" s="15"/>
      <c r="OZE233" s="15"/>
      <c r="OZF233" s="15"/>
      <c r="OZG233" s="10"/>
      <c r="OZH233" s="10"/>
      <c r="OZI233" s="21"/>
      <c r="OZJ233" s="21"/>
      <c r="OZM233" s="21"/>
      <c r="OZN233" s="15"/>
      <c r="OZO233" s="15"/>
      <c r="OZP233" s="15"/>
      <c r="OZQ233" s="15"/>
      <c r="OZR233" s="15"/>
      <c r="OZS233" s="15"/>
      <c r="OZT233" s="15"/>
      <c r="OZU233" s="15"/>
      <c r="OZV233" s="15"/>
      <c r="OZW233" s="15"/>
      <c r="OZX233" s="10"/>
      <c r="OZY233" s="10"/>
      <c r="OZZ233" s="21"/>
      <c r="PAA233" s="21"/>
      <c r="PAD233" s="21"/>
      <c r="PAE233" s="15"/>
      <c r="PAF233" s="15"/>
      <c r="PAG233" s="15"/>
      <c r="PAH233" s="15"/>
      <c r="PAI233" s="15"/>
      <c r="PAJ233" s="15"/>
      <c r="PAK233" s="15"/>
      <c r="PAL233" s="15"/>
      <c r="PAM233" s="15"/>
      <c r="PAN233" s="15"/>
      <c r="PAO233" s="10"/>
      <c r="PAP233" s="10"/>
      <c r="PAQ233" s="21"/>
      <c r="PAR233" s="21"/>
      <c r="PAU233" s="21"/>
      <c r="PAV233" s="15"/>
      <c r="PAW233" s="15"/>
      <c r="PAX233" s="15"/>
      <c r="PAY233" s="15"/>
      <c r="PAZ233" s="15"/>
      <c r="PBA233" s="15"/>
      <c r="PBB233" s="15"/>
      <c r="PBC233" s="15"/>
      <c r="PBD233" s="15"/>
      <c r="PBE233" s="15"/>
      <c r="PBF233" s="10"/>
      <c r="PBG233" s="10"/>
      <c r="PBH233" s="21"/>
      <c r="PBI233" s="21"/>
      <c r="PBL233" s="21"/>
      <c r="PBM233" s="15"/>
      <c r="PBN233" s="15"/>
      <c r="PBO233" s="15"/>
      <c r="PBP233" s="15"/>
      <c r="PBQ233" s="15"/>
      <c r="PBR233" s="15"/>
      <c r="PBS233" s="15"/>
      <c r="PBT233" s="15"/>
      <c r="PBU233" s="15"/>
      <c r="PBV233" s="15"/>
      <c r="PBW233" s="10"/>
      <c r="PBX233" s="10"/>
      <c r="PBY233" s="21"/>
      <c r="PBZ233" s="21"/>
      <c r="PCC233" s="21"/>
      <c r="PCD233" s="15"/>
      <c r="PCE233" s="15"/>
      <c r="PCF233" s="15"/>
      <c r="PCG233" s="15"/>
      <c r="PCH233" s="15"/>
      <c r="PCI233" s="15"/>
      <c r="PCJ233" s="15"/>
      <c r="PCK233" s="15"/>
      <c r="PCL233" s="15"/>
      <c r="PCM233" s="15"/>
      <c r="PCN233" s="10"/>
      <c r="PCO233" s="10"/>
      <c r="PCP233" s="21"/>
      <c r="PCQ233" s="21"/>
      <c r="PCT233" s="21"/>
      <c r="PCU233" s="15"/>
      <c r="PCV233" s="15"/>
      <c r="PCW233" s="15"/>
      <c r="PCX233" s="15"/>
      <c r="PCY233" s="15"/>
      <c r="PCZ233" s="15"/>
      <c r="PDA233" s="15"/>
      <c r="PDB233" s="15"/>
      <c r="PDC233" s="15"/>
      <c r="PDD233" s="15"/>
      <c r="PDE233" s="10"/>
      <c r="PDF233" s="10"/>
      <c r="PDG233" s="21"/>
      <c r="PDH233" s="21"/>
      <c r="PDK233" s="21"/>
      <c r="PDL233" s="15"/>
      <c r="PDM233" s="15"/>
      <c r="PDN233" s="15"/>
      <c r="PDO233" s="15"/>
      <c r="PDP233" s="15"/>
      <c r="PDQ233" s="15"/>
      <c r="PDR233" s="15"/>
      <c r="PDS233" s="15"/>
      <c r="PDT233" s="15"/>
      <c r="PDU233" s="15"/>
      <c r="PDV233" s="10"/>
      <c r="PDW233" s="10"/>
      <c r="PDX233" s="21"/>
      <c r="PDY233" s="21"/>
      <c r="PEB233" s="21"/>
      <c r="PEC233" s="15"/>
      <c r="PED233" s="15"/>
      <c r="PEE233" s="15"/>
      <c r="PEF233" s="15"/>
      <c r="PEG233" s="15"/>
      <c r="PEH233" s="15"/>
      <c r="PEI233" s="15"/>
      <c r="PEJ233" s="15"/>
      <c r="PEK233" s="15"/>
      <c r="PEL233" s="15"/>
      <c r="PEM233" s="10"/>
      <c r="PEN233" s="10"/>
      <c r="PEO233" s="21"/>
      <c r="PEP233" s="21"/>
      <c r="PES233" s="21"/>
      <c r="PET233" s="15"/>
      <c r="PEU233" s="15"/>
      <c r="PEV233" s="15"/>
      <c r="PEW233" s="15"/>
      <c r="PEX233" s="15"/>
      <c r="PEY233" s="15"/>
      <c r="PEZ233" s="15"/>
      <c r="PFA233" s="15"/>
      <c r="PFB233" s="15"/>
      <c r="PFC233" s="15"/>
      <c r="PFD233" s="10"/>
      <c r="PFE233" s="10"/>
      <c r="PFF233" s="21"/>
      <c r="PFG233" s="21"/>
      <c r="PFJ233" s="21"/>
      <c r="PFK233" s="15"/>
      <c r="PFL233" s="15"/>
      <c r="PFM233" s="15"/>
      <c r="PFN233" s="15"/>
      <c r="PFO233" s="15"/>
      <c r="PFP233" s="15"/>
      <c r="PFQ233" s="15"/>
      <c r="PFR233" s="15"/>
      <c r="PFS233" s="15"/>
      <c r="PFT233" s="15"/>
      <c r="PFU233" s="10"/>
      <c r="PFV233" s="10"/>
      <c r="PFW233" s="21"/>
      <c r="PFX233" s="21"/>
      <c r="PGA233" s="21"/>
      <c r="PGB233" s="15"/>
      <c r="PGC233" s="15"/>
      <c r="PGD233" s="15"/>
      <c r="PGE233" s="15"/>
      <c r="PGF233" s="15"/>
      <c r="PGG233" s="15"/>
      <c r="PGH233" s="15"/>
      <c r="PGI233" s="15"/>
      <c r="PGJ233" s="15"/>
      <c r="PGK233" s="15"/>
      <c r="PGL233" s="10"/>
      <c r="PGM233" s="10"/>
      <c r="PGN233" s="21"/>
      <c r="PGO233" s="21"/>
      <c r="PGR233" s="21"/>
      <c r="PGS233" s="15"/>
      <c r="PGT233" s="15"/>
      <c r="PGU233" s="15"/>
      <c r="PGV233" s="15"/>
      <c r="PGW233" s="15"/>
      <c r="PGX233" s="15"/>
      <c r="PGY233" s="15"/>
      <c r="PGZ233" s="15"/>
      <c r="PHA233" s="15"/>
      <c r="PHB233" s="15"/>
      <c r="PHC233" s="10"/>
      <c r="PHD233" s="10"/>
      <c r="PHE233" s="21"/>
      <c r="PHF233" s="21"/>
      <c r="PHI233" s="21"/>
      <c r="PHJ233" s="15"/>
      <c r="PHK233" s="15"/>
      <c r="PHL233" s="15"/>
      <c r="PHM233" s="15"/>
      <c r="PHN233" s="15"/>
      <c r="PHO233" s="15"/>
      <c r="PHP233" s="15"/>
      <c r="PHQ233" s="15"/>
      <c r="PHR233" s="15"/>
      <c r="PHS233" s="15"/>
      <c r="PHT233" s="10"/>
      <c r="PHU233" s="10"/>
      <c r="PHV233" s="21"/>
      <c r="PHW233" s="21"/>
      <c r="PHZ233" s="21"/>
      <c r="PIA233" s="15"/>
      <c r="PIB233" s="15"/>
      <c r="PIC233" s="15"/>
      <c r="PID233" s="15"/>
      <c r="PIE233" s="15"/>
      <c r="PIF233" s="15"/>
      <c r="PIG233" s="15"/>
      <c r="PIH233" s="15"/>
      <c r="PII233" s="15"/>
      <c r="PIJ233" s="15"/>
      <c r="PIK233" s="10"/>
      <c r="PIL233" s="10"/>
      <c r="PIM233" s="21"/>
      <c r="PIN233" s="21"/>
      <c r="PIQ233" s="21"/>
      <c r="PIR233" s="15"/>
      <c r="PIS233" s="15"/>
      <c r="PIT233" s="15"/>
      <c r="PIU233" s="15"/>
      <c r="PIV233" s="15"/>
      <c r="PIW233" s="15"/>
      <c r="PIX233" s="15"/>
      <c r="PIY233" s="15"/>
      <c r="PIZ233" s="15"/>
      <c r="PJA233" s="15"/>
      <c r="PJB233" s="10"/>
      <c r="PJC233" s="10"/>
      <c r="PJD233" s="21"/>
      <c r="PJE233" s="21"/>
      <c r="PJH233" s="21"/>
      <c r="PJI233" s="15"/>
      <c r="PJJ233" s="15"/>
      <c r="PJK233" s="15"/>
      <c r="PJL233" s="15"/>
      <c r="PJM233" s="15"/>
      <c r="PJN233" s="15"/>
      <c r="PJO233" s="15"/>
      <c r="PJP233" s="15"/>
      <c r="PJQ233" s="15"/>
      <c r="PJR233" s="15"/>
      <c r="PJS233" s="10"/>
      <c r="PJT233" s="10"/>
      <c r="PJU233" s="21"/>
      <c r="PJV233" s="21"/>
      <c r="PJY233" s="21"/>
      <c r="PJZ233" s="15"/>
      <c r="PKA233" s="15"/>
      <c r="PKB233" s="15"/>
      <c r="PKC233" s="15"/>
      <c r="PKD233" s="15"/>
      <c r="PKE233" s="15"/>
      <c r="PKF233" s="15"/>
      <c r="PKG233" s="15"/>
      <c r="PKH233" s="15"/>
      <c r="PKI233" s="15"/>
      <c r="PKJ233" s="10"/>
      <c r="PKK233" s="10"/>
      <c r="PKL233" s="21"/>
      <c r="PKM233" s="21"/>
      <c r="PKP233" s="21"/>
      <c r="PKQ233" s="15"/>
      <c r="PKR233" s="15"/>
      <c r="PKS233" s="15"/>
      <c r="PKT233" s="15"/>
      <c r="PKU233" s="15"/>
      <c r="PKV233" s="15"/>
      <c r="PKW233" s="15"/>
      <c r="PKX233" s="15"/>
      <c r="PKY233" s="15"/>
      <c r="PKZ233" s="15"/>
      <c r="PLA233" s="10"/>
      <c r="PLB233" s="10"/>
      <c r="PLC233" s="21"/>
      <c r="PLD233" s="21"/>
      <c r="PLG233" s="21"/>
      <c r="PLH233" s="15"/>
      <c r="PLI233" s="15"/>
      <c r="PLJ233" s="15"/>
      <c r="PLK233" s="15"/>
      <c r="PLL233" s="15"/>
      <c r="PLM233" s="15"/>
      <c r="PLN233" s="15"/>
      <c r="PLO233" s="15"/>
      <c r="PLP233" s="15"/>
      <c r="PLQ233" s="15"/>
      <c r="PLR233" s="10"/>
      <c r="PLS233" s="10"/>
      <c r="PLT233" s="21"/>
      <c r="PLU233" s="21"/>
      <c r="PLX233" s="21"/>
      <c r="PLY233" s="15"/>
      <c r="PLZ233" s="15"/>
      <c r="PMA233" s="15"/>
      <c r="PMB233" s="15"/>
      <c r="PMC233" s="15"/>
      <c r="PMD233" s="15"/>
      <c r="PME233" s="15"/>
      <c r="PMF233" s="15"/>
      <c r="PMG233" s="15"/>
      <c r="PMH233" s="15"/>
      <c r="PMI233" s="10"/>
      <c r="PMJ233" s="10"/>
      <c r="PMK233" s="21"/>
      <c r="PML233" s="21"/>
      <c r="PMO233" s="21"/>
      <c r="PMP233" s="15"/>
      <c r="PMQ233" s="15"/>
      <c r="PMR233" s="15"/>
      <c r="PMS233" s="15"/>
      <c r="PMT233" s="15"/>
      <c r="PMU233" s="15"/>
      <c r="PMV233" s="15"/>
      <c r="PMW233" s="15"/>
      <c r="PMX233" s="15"/>
      <c r="PMY233" s="15"/>
      <c r="PMZ233" s="10"/>
      <c r="PNA233" s="10"/>
      <c r="PNB233" s="21"/>
      <c r="PNC233" s="21"/>
      <c r="PNF233" s="21"/>
      <c r="PNG233" s="15"/>
      <c r="PNH233" s="15"/>
      <c r="PNI233" s="15"/>
      <c r="PNJ233" s="15"/>
      <c r="PNK233" s="15"/>
      <c r="PNL233" s="15"/>
      <c r="PNM233" s="15"/>
      <c r="PNN233" s="15"/>
      <c r="PNO233" s="15"/>
      <c r="PNP233" s="15"/>
      <c r="PNQ233" s="10"/>
      <c r="PNR233" s="10"/>
      <c r="PNS233" s="21"/>
      <c r="PNT233" s="21"/>
      <c r="PNW233" s="21"/>
      <c r="PNX233" s="15"/>
      <c r="PNY233" s="15"/>
      <c r="PNZ233" s="15"/>
      <c r="POA233" s="15"/>
      <c r="POB233" s="15"/>
      <c r="POC233" s="15"/>
      <c r="POD233" s="15"/>
      <c r="POE233" s="15"/>
      <c r="POF233" s="15"/>
      <c r="POG233" s="15"/>
      <c r="POH233" s="10"/>
      <c r="POI233" s="10"/>
      <c r="POJ233" s="21"/>
      <c r="POK233" s="21"/>
      <c r="PON233" s="21"/>
      <c r="POO233" s="15"/>
      <c r="POP233" s="15"/>
      <c r="POQ233" s="15"/>
      <c r="POR233" s="15"/>
      <c r="POS233" s="15"/>
      <c r="POT233" s="15"/>
      <c r="POU233" s="15"/>
      <c r="POV233" s="15"/>
      <c r="POW233" s="15"/>
      <c r="POX233" s="15"/>
      <c r="POY233" s="10"/>
      <c r="POZ233" s="10"/>
      <c r="PPA233" s="21"/>
      <c r="PPB233" s="21"/>
      <c r="PPE233" s="21"/>
      <c r="PPF233" s="15"/>
      <c r="PPG233" s="15"/>
      <c r="PPH233" s="15"/>
      <c r="PPI233" s="15"/>
      <c r="PPJ233" s="15"/>
      <c r="PPK233" s="15"/>
      <c r="PPL233" s="15"/>
      <c r="PPM233" s="15"/>
      <c r="PPN233" s="15"/>
      <c r="PPO233" s="15"/>
      <c r="PPP233" s="10"/>
      <c r="PPQ233" s="10"/>
      <c r="PPR233" s="21"/>
      <c r="PPS233" s="21"/>
      <c r="PPV233" s="21"/>
      <c r="PPW233" s="15"/>
      <c r="PPX233" s="15"/>
      <c r="PPY233" s="15"/>
      <c r="PPZ233" s="15"/>
      <c r="PQA233" s="15"/>
      <c r="PQB233" s="15"/>
      <c r="PQC233" s="15"/>
      <c r="PQD233" s="15"/>
      <c r="PQE233" s="15"/>
      <c r="PQF233" s="15"/>
      <c r="PQG233" s="10"/>
      <c r="PQH233" s="10"/>
      <c r="PQI233" s="21"/>
      <c r="PQJ233" s="21"/>
      <c r="PQM233" s="21"/>
      <c r="PQN233" s="15"/>
      <c r="PQO233" s="15"/>
      <c r="PQP233" s="15"/>
      <c r="PQQ233" s="15"/>
      <c r="PQR233" s="15"/>
      <c r="PQS233" s="15"/>
      <c r="PQT233" s="15"/>
      <c r="PQU233" s="15"/>
      <c r="PQV233" s="15"/>
      <c r="PQW233" s="15"/>
      <c r="PQX233" s="10"/>
      <c r="PQY233" s="10"/>
      <c r="PQZ233" s="21"/>
      <c r="PRA233" s="21"/>
      <c r="PRD233" s="21"/>
      <c r="PRE233" s="15"/>
      <c r="PRF233" s="15"/>
      <c r="PRG233" s="15"/>
      <c r="PRH233" s="15"/>
      <c r="PRI233" s="15"/>
      <c r="PRJ233" s="15"/>
      <c r="PRK233" s="15"/>
      <c r="PRL233" s="15"/>
      <c r="PRM233" s="15"/>
      <c r="PRN233" s="15"/>
      <c r="PRO233" s="10"/>
      <c r="PRP233" s="10"/>
      <c r="PRQ233" s="21"/>
      <c r="PRR233" s="21"/>
      <c r="PRU233" s="21"/>
      <c r="PRV233" s="15"/>
      <c r="PRW233" s="15"/>
      <c r="PRX233" s="15"/>
      <c r="PRY233" s="15"/>
      <c r="PRZ233" s="15"/>
      <c r="PSA233" s="15"/>
      <c r="PSB233" s="15"/>
      <c r="PSC233" s="15"/>
      <c r="PSD233" s="15"/>
      <c r="PSE233" s="15"/>
      <c r="PSF233" s="10"/>
      <c r="PSG233" s="10"/>
      <c r="PSH233" s="21"/>
      <c r="PSI233" s="21"/>
      <c r="PSL233" s="21"/>
      <c r="PSM233" s="15"/>
      <c r="PSN233" s="15"/>
      <c r="PSO233" s="15"/>
      <c r="PSP233" s="15"/>
      <c r="PSQ233" s="15"/>
      <c r="PSR233" s="15"/>
      <c r="PSS233" s="15"/>
      <c r="PST233" s="15"/>
      <c r="PSU233" s="15"/>
      <c r="PSV233" s="15"/>
      <c r="PSW233" s="10"/>
      <c r="PSX233" s="10"/>
      <c r="PSY233" s="21"/>
      <c r="PSZ233" s="21"/>
      <c r="PTC233" s="21"/>
      <c r="PTD233" s="15"/>
      <c r="PTE233" s="15"/>
      <c r="PTF233" s="15"/>
      <c r="PTG233" s="15"/>
      <c r="PTH233" s="15"/>
      <c r="PTI233" s="15"/>
      <c r="PTJ233" s="15"/>
      <c r="PTK233" s="15"/>
      <c r="PTL233" s="15"/>
      <c r="PTM233" s="15"/>
      <c r="PTN233" s="10"/>
      <c r="PTO233" s="10"/>
      <c r="PTP233" s="21"/>
      <c r="PTQ233" s="21"/>
      <c r="PTT233" s="21"/>
      <c r="PTU233" s="15"/>
      <c r="PTV233" s="15"/>
      <c r="PTW233" s="15"/>
      <c r="PTX233" s="15"/>
      <c r="PTY233" s="15"/>
      <c r="PTZ233" s="15"/>
      <c r="PUA233" s="15"/>
      <c r="PUB233" s="15"/>
      <c r="PUC233" s="15"/>
      <c r="PUD233" s="15"/>
      <c r="PUE233" s="10"/>
      <c r="PUF233" s="10"/>
      <c r="PUG233" s="21"/>
      <c r="PUH233" s="21"/>
      <c r="PUK233" s="21"/>
      <c r="PUL233" s="15"/>
      <c r="PUM233" s="15"/>
      <c r="PUN233" s="15"/>
      <c r="PUO233" s="15"/>
      <c r="PUP233" s="15"/>
      <c r="PUQ233" s="15"/>
      <c r="PUR233" s="15"/>
      <c r="PUS233" s="15"/>
      <c r="PUT233" s="15"/>
      <c r="PUU233" s="15"/>
      <c r="PUV233" s="10"/>
      <c r="PUW233" s="10"/>
      <c r="PUX233" s="21"/>
      <c r="PUY233" s="21"/>
      <c r="PVB233" s="21"/>
      <c r="PVC233" s="15"/>
      <c r="PVD233" s="15"/>
      <c r="PVE233" s="15"/>
      <c r="PVF233" s="15"/>
      <c r="PVG233" s="15"/>
      <c r="PVH233" s="15"/>
      <c r="PVI233" s="15"/>
      <c r="PVJ233" s="15"/>
      <c r="PVK233" s="15"/>
      <c r="PVL233" s="15"/>
      <c r="PVM233" s="10"/>
      <c r="PVN233" s="10"/>
      <c r="PVO233" s="21"/>
      <c r="PVP233" s="21"/>
      <c r="PVS233" s="21"/>
      <c r="PVT233" s="15"/>
      <c r="PVU233" s="15"/>
      <c r="PVV233" s="15"/>
      <c r="PVW233" s="15"/>
      <c r="PVX233" s="15"/>
      <c r="PVY233" s="15"/>
      <c r="PVZ233" s="15"/>
      <c r="PWA233" s="15"/>
      <c r="PWB233" s="15"/>
      <c r="PWC233" s="15"/>
      <c r="PWD233" s="10"/>
      <c r="PWE233" s="10"/>
      <c r="PWF233" s="21"/>
      <c r="PWG233" s="21"/>
      <c r="PWJ233" s="21"/>
      <c r="PWK233" s="15"/>
      <c r="PWL233" s="15"/>
      <c r="PWM233" s="15"/>
      <c r="PWN233" s="15"/>
      <c r="PWO233" s="15"/>
      <c r="PWP233" s="15"/>
      <c r="PWQ233" s="15"/>
      <c r="PWR233" s="15"/>
      <c r="PWS233" s="15"/>
      <c r="PWT233" s="15"/>
      <c r="PWU233" s="10"/>
      <c r="PWV233" s="10"/>
      <c r="PWW233" s="21"/>
      <c r="PWX233" s="21"/>
      <c r="PXA233" s="21"/>
      <c r="PXB233" s="15"/>
      <c r="PXC233" s="15"/>
      <c r="PXD233" s="15"/>
      <c r="PXE233" s="15"/>
      <c r="PXF233" s="15"/>
      <c r="PXG233" s="15"/>
      <c r="PXH233" s="15"/>
      <c r="PXI233" s="15"/>
      <c r="PXJ233" s="15"/>
      <c r="PXK233" s="15"/>
      <c r="PXL233" s="10"/>
      <c r="PXM233" s="10"/>
      <c r="PXN233" s="21"/>
      <c r="PXO233" s="21"/>
      <c r="PXR233" s="21"/>
      <c r="PXS233" s="15"/>
      <c r="PXT233" s="15"/>
      <c r="PXU233" s="15"/>
      <c r="PXV233" s="15"/>
      <c r="PXW233" s="15"/>
      <c r="PXX233" s="15"/>
      <c r="PXY233" s="15"/>
      <c r="PXZ233" s="15"/>
      <c r="PYA233" s="15"/>
      <c r="PYB233" s="15"/>
      <c r="PYC233" s="10"/>
      <c r="PYD233" s="10"/>
      <c r="PYE233" s="21"/>
      <c r="PYF233" s="21"/>
      <c r="PYI233" s="21"/>
      <c r="PYJ233" s="15"/>
      <c r="PYK233" s="15"/>
      <c r="PYL233" s="15"/>
      <c r="PYM233" s="15"/>
      <c r="PYN233" s="15"/>
      <c r="PYO233" s="15"/>
      <c r="PYP233" s="15"/>
      <c r="PYQ233" s="15"/>
      <c r="PYR233" s="15"/>
      <c r="PYS233" s="15"/>
      <c r="PYT233" s="10"/>
      <c r="PYU233" s="10"/>
      <c r="PYV233" s="21"/>
      <c r="PYW233" s="21"/>
      <c r="PYZ233" s="21"/>
      <c r="PZA233" s="15"/>
      <c r="PZB233" s="15"/>
      <c r="PZC233" s="15"/>
      <c r="PZD233" s="15"/>
      <c r="PZE233" s="15"/>
      <c r="PZF233" s="15"/>
      <c r="PZG233" s="15"/>
      <c r="PZH233" s="15"/>
      <c r="PZI233" s="15"/>
      <c r="PZJ233" s="15"/>
      <c r="PZK233" s="10"/>
      <c r="PZL233" s="10"/>
      <c r="PZM233" s="21"/>
      <c r="PZN233" s="21"/>
      <c r="PZQ233" s="21"/>
      <c r="PZR233" s="15"/>
      <c r="PZS233" s="15"/>
      <c r="PZT233" s="15"/>
      <c r="PZU233" s="15"/>
      <c r="PZV233" s="15"/>
      <c r="PZW233" s="15"/>
      <c r="PZX233" s="15"/>
      <c r="PZY233" s="15"/>
      <c r="PZZ233" s="15"/>
      <c r="QAA233" s="15"/>
      <c r="QAB233" s="10"/>
      <c r="QAC233" s="10"/>
      <c r="QAD233" s="21"/>
      <c r="QAE233" s="21"/>
      <c r="QAH233" s="21"/>
      <c r="QAI233" s="15"/>
      <c r="QAJ233" s="15"/>
      <c r="QAK233" s="15"/>
      <c r="QAL233" s="15"/>
      <c r="QAM233" s="15"/>
      <c r="QAN233" s="15"/>
      <c r="QAO233" s="15"/>
      <c r="QAP233" s="15"/>
      <c r="QAQ233" s="15"/>
      <c r="QAR233" s="15"/>
      <c r="QAS233" s="10"/>
      <c r="QAT233" s="10"/>
      <c r="QAU233" s="21"/>
      <c r="QAV233" s="21"/>
      <c r="QAY233" s="21"/>
      <c r="QAZ233" s="15"/>
      <c r="QBA233" s="15"/>
      <c r="QBB233" s="15"/>
      <c r="QBC233" s="15"/>
      <c r="QBD233" s="15"/>
      <c r="QBE233" s="15"/>
      <c r="QBF233" s="15"/>
      <c r="QBG233" s="15"/>
      <c r="QBH233" s="15"/>
      <c r="QBI233" s="15"/>
      <c r="QBJ233" s="10"/>
      <c r="QBK233" s="10"/>
      <c r="QBL233" s="21"/>
      <c r="QBM233" s="21"/>
      <c r="QBP233" s="21"/>
      <c r="QBQ233" s="15"/>
      <c r="QBR233" s="15"/>
      <c r="QBS233" s="15"/>
      <c r="QBT233" s="15"/>
      <c r="QBU233" s="15"/>
      <c r="QBV233" s="15"/>
      <c r="QBW233" s="15"/>
      <c r="QBX233" s="15"/>
      <c r="QBY233" s="15"/>
      <c r="QBZ233" s="15"/>
      <c r="QCA233" s="10"/>
      <c r="QCB233" s="10"/>
      <c r="QCC233" s="21"/>
      <c r="QCD233" s="21"/>
      <c r="QCG233" s="21"/>
      <c r="QCH233" s="15"/>
      <c r="QCI233" s="15"/>
      <c r="QCJ233" s="15"/>
      <c r="QCK233" s="15"/>
      <c r="QCL233" s="15"/>
      <c r="QCM233" s="15"/>
      <c r="QCN233" s="15"/>
      <c r="QCO233" s="15"/>
      <c r="QCP233" s="15"/>
      <c r="QCQ233" s="15"/>
      <c r="QCR233" s="10"/>
      <c r="QCS233" s="10"/>
      <c r="QCT233" s="21"/>
      <c r="QCU233" s="21"/>
      <c r="QCX233" s="21"/>
      <c r="QCY233" s="15"/>
      <c r="QCZ233" s="15"/>
      <c r="QDA233" s="15"/>
      <c r="QDB233" s="15"/>
      <c r="QDC233" s="15"/>
      <c r="QDD233" s="15"/>
      <c r="QDE233" s="15"/>
      <c r="QDF233" s="15"/>
      <c r="QDG233" s="15"/>
      <c r="QDH233" s="15"/>
      <c r="QDI233" s="10"/>
      <c r="QDJ233" s="10"/>
      <c r="QDK233" s="21"/>
      <c r="QDL233" s="21"/>
      <c r="QDO233" s="21"/>
      <c r="QDP233" s="15"/>
      <c r="QDQ233" s="15"/>
      <c r="QDR233" s="15"/>
      <c r="QDS233" s="15"/>
      <c r="QDT233" s="15"/>
      <c r="QDU233" s="15"/>
      <c r="QDV233" s="15"/>
      <c r="QDW233" s="15"/>
      <c r="QDX233" s="15"/>
      <c r="QDY233" s="15"/>
      <c r="QDZ233" s="10"/>
      <c r="QEA233" s="10"/>
      <c r="QEB233" s="21"/>
      <c r="QEC233" s="21"/>
      <c r="QEF233" s="21"/>
      <c r="QEG233" s="15"/>
      <c r="QEH233" s="15"/>
      <c r="QEI233" s="15"/>
      <c r="QEJ233" s="15"/>
      <c r="QEK233" s="15"/>
      <c r="QEL233" s="15"/>
      <c r="QEM233" s="15"/>
      <c r="QEN233" s="15"/>
      <c r="QEO233" s="15"/>
      <c r="QEP233" s="15"/>
      <c r="QEQ233" s="10"/>
      <c r="QER233" s="10"/>
      <c r="QES233" s="21"/>
      <c r="QET233" s="21"/>
      <c r="QEW233" s="21"/>
      <c r="QEX233" s="15"/>
      <c r="QEY233" s="15"/>
      <c r="QEZ233" s="15"/>
      <c r="QFA233" s="15"/>
      <c r="QFB233" s="15"/>
      <c r="QFC233" s="15"/>
      <c r="QFD233" s="15"/>
      <c r="QFE233" s="15"/>
      <c r="QFF233" s="15"/>
      <c r="QFG233" s="15"/>
      <c r="QFH233" s="10"/>
      <c r="QFI233" s="10"/>
      <c r="QFJ233" s="21"/>
      <c r="QFK233" s="21"/>
      <c r="QFN233" s="21"/>
      <c r="QFO233" s="15"/>
      <c r="QFP233" s="15"/>
      <c r="QFQ233" s="15"/>
      <c r="QFR233" s="15"/>
      <c r="QFS233" s="15"/>
      <c r="QFT233" s="15"/>
      <c r="QFU233" s="15"/>
      <c r="QFV233" s="15"/>
      <c r="QFW233" s="15"/>
      <c r="QFX233" s="15"/>
      <c r="QFY233" s="10"/>
      <c r="QFZ233" s="10"/>
      <c r="QGA233" s="21"/>
      <c r="QGB233" s="21"/>
      <c r="QGE233" s="21"/>
      <c r="QGF233" s="15"/>
      <c r="QGG233" s="15"/>
      <c r="QGH233" s="15"/>
      <c r="QGI233" s="15"/>
      <c r="QGJ233" s="15"/>
      <c r="QGK233" s="15"/>
      <c r="QGL233" s="15"/>
      <c r="QGM233" s="15"/>
      <c r="QGN233" s="15"/>
      <c r="QGO233" s="15"/>
      <c r="QGP233" s="10"/>
      <c r="QGQ233" s="10"/>
      <c r="QGR233" s="21"/>
      <c r="QGS233" s="21"/>
      <c r="QGV233" s="21"/>
      <c r="QGW233" s="15"/>
      <c r="QGX233" s="15"/>
      <c r="QGY233" s="15"/>
      <c r="QGZ233" s="15"/>
      <c r="QHA233" s="15"/>
      <c r="QHB233" s="15"/>
      <c r="QHC233" s="15"/>
      <c r="QHD233" s="15"/>
      <c r="QHE233" s="15"/>
      <c r="QHF233" s="15"/>
      <c r="QHG233" s="10"/>
      <c r="QHH233" s="10"/>
      <c r="QHI233" s="21"/>
      <c r="QHJ233" s="21"/>
      <c r="QHM233" s="21"/>
      <c r="QHN233" s="15"/>
      <c r="QHO233" s="15"/>
      <c r="QHP233" s="15"/>
      <c r="QHQ233" s="15"/>
      <c r="QHR233" s="15"/>
      <c r="QHS233" s="15"/>
      <c r="QHT233" s="15"/>
      <c r="QHU233" s="15"/>
      <c r="QHV233" s="15"/>
      <c r="QHW233" s="15"/>
      <c r="QHX233" s="10"/>
      <c r="QHY233" s="10"/>
      <c r="QHZ233" s="21"/>
      <c r="QIA233" s="21"/>
      <c r="QID233" s="21"/>
      <c r="QIE233" s="15"/>
      <c r="QIF233" s="15"/>
      <c r="QIG233" s="15"/>
      <c r="QIH233" s="15"/>
      <c r="QII233" s="15"/>
      <c r="QIJ233" s="15"/>
      <c r="QIK233" s="15"/>
      <c r="QIL233" s="15"/>
      <c r="QIM233" s="15"/>
      <c r="QIN233" s="15"/>
      <c r="QIO233" s="10"/>
      <c r="QIP233" s="10"/>
      <c r="QIQ233" s="21"/>
      <c r="QIR233" s="21"/>
      <c r="QIU233" s="21"/>
      <c r="QIV233" s="15"/>
      <c r="QIW233" s="15"/>
      <c r="QIX233" s="15"/>
      <c r="QIY233" s="15"/>
      <c r="QIZ233" s="15"/>
      <c r="QJA233" s="15"/>
      <c r="QJB233" s="15"/>
      <c r="QJC233" s="15"/>
      <c r="QJD233" s="15"/>
      <c r="QJE233" s="15"/>
      <c r="QJF233" s="10"/>
      <c r="QJG233" s="10"/>
      <c r="QJH233" s="21"/>
      <c r="QJI233" s="21"/>
      <c r="QJL233" s="21"/>
      <c r="QJM233" s="15"/>
      <c r="QJN233" s="15"/>
      <c r="QJO233" s="15"/>
      <c r="QJP233" s="15"/>
      <c r="QJQ233" s="15"/>
      <c r="QJR233" s="15"/>
      <c r="QJS233" s="15"/>
      <c r="QJT233" s="15"/>
      <c r="QJU233" s="15"/>
      <c r="QJV233" s="15"/>
      <c r="QJW233" s="10"/>
      <c r="QJX233" s="10"/>
      <c r="QJY233" s="21"/>
      <c r="QJZ233" s="21"/>
      <c r="QKC233" s="21"/>
      <c r="QKD233" s="15"/>
      <c r="QKE233" s="15"/>
      <c r="QKF233" s="15"/>
      <c r="QKG233" s="15"/>
      <c r="QKH233" s="15"/>
      <c r="QKI233" s="15"/>
      <c r="QKJ233" s="15"/>
      <c r="QKK233" s="15"/>
      <c r="QKL233" s="15"/>
      <c r="QKM233" s="15"/>
      <c r="QKN233" s="10"/>
      <c r="QKO233" s="10"/>
      <c r="QKP233" s="21"/>
      <c r="QKQ233" s="21"/>
      <c r="QKT233" s="21"/>
      <c r="QKU233" s="15"/>
      <c r="QKV233" s="15"/>
      <c r="QKW233" s="15"/>
      <c r="QKX233" s="15"/>
      <c r="QKY233" s="15"/>
      <c r="QKZ233" s="15"/>
      <c r="QLA233" s="15"/>
      <c r="QLB233" s="15"/>
      <c r="QLC233" s="15"/>
      <c r="QLD233" s="15"/>
      <c r="QLE233" s="10"/>
      <c r="QLF233" s="10"/>
      <c r="QLG233" s="21"/>
      <c r="QLH233" s="21"/>
      <c r="QLK233" s="21"/>
      <c r="QLL233" s="15"/>
      <c r="QLM233" s="15"/>
      <c r="QLN233" s="15"/>
      <c r="QLO233" s="15"/>
      <c r="QLP233" s="15"/>
      <c r="QLQ233" s="15"/>
      <c r="QLR233" s="15"/>
      <c r="QLS233" s="15"/>
      <c r="QLT233" s="15"/>
      <c r="QLU233" s="15"/>
      <c r="QLV233" s="10"/>
      <c r="QLW233" s="10"/>
      <c r="QLX233" s="21"/>
      <c r="QLY233" s="21"/>
      <c r="QMB233" s="21"/>
      <c r="QMC233" s="15"/>
      <c r="QMD233" s="15"/>
      <c r="QME233" s="15"/>
      <c r="QMF233" s="15"/>
      <c r="QMG233" s="15"/>
      <c r="QMH233" s="15"/>
      <c r="QMI233" s="15"/>
      <c r="QMJ233" s="15"/>
      <c r="QMK233" s="15"/>
      <c r="QML233" s="15"/>
      <c r="QMM233" s="10"/>
      <c r="QMN233" s="10"/>
      <c r="QMO233" s="21"/>
      <c r="QMP233" s="21"/>
      <c r="QMS233" s="21"/>
      <c r="QMT233" s="15"/>
      <c r="QMU233" s="15"/>
      <c r="QMV233" s="15"/>
      <c r="QMW233" s="15"/>
      <c r="QMX233" s="15"/>
      <c r="QMY233" s="15"/>
      <c r="QMZ233" s="15"/>
      <c r="QNA233" s="15"/>
      <c r="QNB233" s="15"/>
      <c r="QNC233" s="15"/>
      <c r="QND233" s="10"/>
      <c r="QNE233" s="10"/>
      <c r="QNF233" s="21"/>
      <c r="QNG233" s="21"/>
      <c r="QNJ233" s="21"/>
      <c r="QNK233" s="15"/>
      <c r="QNL233" s="15"/>
      <c r="QNM233" s="15"/>
      <c r="QNN233" s="15"/>
      <c r="QNO233" s="15"/>
      <c r="QNP233" s="15"/>
      <c r="QNQ233" s="15"/>
      <c r="QNR233" s="15"/>
      <c r="QNS233" s="15"/>
      <c r="QNT233" s="15"/>
      <c r="QNU233" s="10"/>
      <c r="QNV233" s="10"/>
      <c r="QNW233" s="21"/>
      <c r="QNX233" s="21"/>
      <c r="QOA233" s="21"/>
      <c r="QOB233" s="15"/>
      <c r="QOC233" s="15"/>
      <c r="QOD233" s="15"/>
      <c r="QOE233" s="15"/>
      <c r="QOF233" s="15"/>
      <c r="QOG233" s="15"/>
      <c r="QOH233" s="15"/>
      <c r="QOI233" s="15"/>
      <c r="QOJ233" s="15"/>
      <c r="QOK233" s="15"/>
      <c r="QOL233" s="10"/>
      <c r="QOM233" s="10"/>
      <c r="QON233" s="21"/>
      <c r="QOO233" s="21"/>
      <c r="QOR233" s="21"/>
      <c r="QOS233" s="15"/>
      <c r="QOT233" s="15"/>
      <c r="QOU233" s="15"/>
      <c r="QOV233" s="15"/>
      <c r="QOW233" s="15"/>
      <c r="QOX233" s="15"/>
      <c r="QOY233" s="15"/>
      <c r="QOZ233" s="15"/>
      <c r="QPA233" s="15"/>
      <c r="QPB233" s="15"/>
      <c r="QPC233" s="10"/>
      <c r="QPD233" s="10"/>
      <c r="QPE233" s="21"/>
      <c r="QPF233" s="21"/>
      <c r="QPI233" s="21"/>
      <c r="QPJ233" s="15"/>
      <c r="QPK233" s="15"/>
      <c r="QPL233" s="15"/>
      <c r="QPM233" s="15"/>
      <c r="QPN233" s="15"/>
      <c r="QPO233" s="15"/>
      <c r="QPP233" s="15"/>
      <c r="QPQ233" s="15"/>
      <c r="QPR233" s="15"/>
      <c r="QPS233" s="15"/>
      <c r="QPT233" s="10"/>
      <c r="QPU233" s="10"/>
      <c r="QPV233" s="21"/>
      <c r="QPW233" s="21"/>
      <c r="QPZ233" s="21"/>
      <c r="QQA233" s="15"/>
      <c r="QQB233" s="15"/>
      <c r="QQC233" s="15"/>
      <c r="QQD233" s="15"/>
      <c r="QQE233" s="15"/>
      <c r="QQF233" s="15"/>
      <c r="QQG233" s="15"/>
      <c r="QQH233" s="15"/>
      <c r="QQI233" s="15"/>
      <c r="QQJ233" s="15"/>
      <c r="QQK233" s="10"/>
      <c r="QQL233" s="10"/>
      <c r="QQM233" s="21"/>
      <c r="QQN233" s="21"/>
      <c r="QQQ233" s="21"/>
      <c r="QQR233" s="15"/>
      <c r="QQS233" s="15"/>
      <c r="QQT233" s="15"/>
      <c r="QQU233" s="15"/>
      <c r="QQV233" s="15"/>
      <c r="QQW233" s="15"/>
      <c r="QQX233" s="15"/>
      <c r="QQY233" s="15"/>
      <c r="QQZ233" s="15"/>
      <c r="QRA233" s="15"/>
      <c r="QRB233" s="10"/>
      <c r="QRC233" s="10"/>
      <c r="QRD233" s="21"/>
      <c r="QRE233" s="21"/>
      <c r="QRH233" s="21"/>
      <c r="QRI233" s="15"/>
      <c r="QRJ233" s="15"/>
      <c r="QRK233" s="15"/>
      <c r="QRL233" s="15"/>
      <c r="QRM233" s="15"/>
      <c r="QRN233" s="15"/>
      <c r="QRO233" s="15"/>
      <c r="QRP233" s="15"/>
      <c r="QRQ233" s="15"/>
      <c r="QRR233" s="15"/>
      <c r="QRS233" s="10"/>
      <c r="QRT233" s="10"/>
      <c r="QRU233" s="21"/>
      <c r="QRV233" s="21"/>
      <c r="QRY233" s="21"/>
      <c r="QRZ233" s="15"/>
      <c r="QSA233" s="15"/>
      <c r="QSB233" s="15"/>
      <c r="QSC233" s="15"/>
      <c r="QSD233" s="15"/>
      <c r="QSE233" s="15"/>
      <c r="QSF233" s="15"/>
      <c r="QSG233" s="15"/>
      <c r="QSH233" s="15"/>
      <c r="QSI233" s="15"/>
      <c r="QSJ233" s="10"/>
      <c r="QSK233" s="10"/>
      <c r="QSL233" s="21"/>
      <c r="QSM233" s="21"/>
      <c r="QSP233" s="21"/>
      <c r="QSQ233" s="15"/>
      <c r="QSR233" s="15"/>
      <c r="QSS233" s="15"/>
      <c r="QST233" s="15"/>
      <c r="QSU233" s="15"/>
      <c r="QSV233" s="15"/>
      <c r="QSW233" s="15"/>
      <c r="QSX233" s="15"/>
      <c r="QSY233" s="15"/>
      <c r="QSZ233" s="15"/>
      <c r="QTA233" s="10"/>
      <c r="QTB233" s="10"/>
      <c r="QTC233" s="21"/>
      <c r="QTD233" s="21"/>
      <c r="QTG233" s="21"/>
      <c r="QTH233" s="15"/>
      <c r="QTI233" s="15"/>
      <c r="QTJ233" s="15"/>
      <c r="QTK233" s="15"/>
      <c r="QTL233" s="15"/>
      <c r="QTM233" s="15"/>
      <c r="QTN233" s="15"/>
      <c r="QTO233" s="15"/>
      <c r="QTP233" s="15"/>
      <c r="QTQ233" s="15"/>
      <c r="QTR233" s="10"/>
      <c r="QTS233" s="10"/>
      <c r="QTT233" s="21"/>
      <c r="QTU233" s="21"/>
      <c r="QTX233" s="21"/>
      <c r="QTY233" s="15"/>
      <c r="QTZ233" s="15"/>
      <c r="QUA233" s="15"/>
      <c r="QUB233" s="15"/>
      <c r="QUC233" s="15"/>
      <c r="QUD233" s="15"/>
      <c r="QUE233" s="15"/>
      <c r="QUF233" s="15"/>
      <c r="QUG233" s="15"/>
      <c r="QUH233" s="15"/>
      <c r="QUI233" s="10"/>
      <c r="QUJ233" s="10"/>
      <c r="QUK233" s="21"/>
      <c r="QUL233" s="21"/>
      <c r="QUO233" s="21"/>
      <c r="QUP233" s="15"/>
      <c r="QUQ233" s="15"/>
      <c r="QUR233" s="15"/>
      <c r="QUS233" s="15"/>
      <c r="QUT233" s="15"/>
      <c r="QUU233" s="15"/>
      <c r="QUV233" s="15"/>
      <c r="QUW233" s="15"/>
      <c r="QUX233" s="15"/>
      <c r="QUY233" s="15"/>
      <c r="QUZ233" s="10"/>
      <c r="QVA233" s="10"/>
      <c r="QVB233" s="21"/>
      <c r="QVC233" s="21"/>
      <c r="QVF233" s="21"/>
      <c r="QVG233" s="15"/>
      <c r="QVH233" s="15"/>
      <c r="QVI233" s="15"/>
      <c r="QVJ233" s="15"/>
      <c r="QVK233" s="15"/>
      <c r="QVL233" s="15"/>
      <c r="QVM233" s="15"/>
      <c r="QVN233" s="15"/>
      <c r="QVO233" s="15"/>
      <c r="QVP233" s="15"/>
      <c r="QVQ233" s="10"/>
      <c r="QVR233" s="10"/>
      <c r="QVS233" s="21"/>
      <c r="QVT233" s="21"/>
      <c r="QVW233" s="21"/>
      <c r="QVX233" s="15"/>
      <c r="QVY233" s="15"/>
      <c r="QVZ233" s="15"/>
      <c r="QWA233" s="15"/>
      <c r="QWB233" s="15"/>
      <c r="QWC233" s="15"/>
      <c r="QWD233" s="15"/>
      <c r="QWE233" s="15"/>
      <c r="QWF233" s="15"/>
      <c r="QWG233" s="15"/>
      <c r="QWH233" s="10"/>
      <c r="QWI233" s="10"/>
      <c r="QWJ233" s="21"/>
      <c r="QWK233" s="21"/>
      <c r="QWN233" s="21"/>
      <c r="QWO233" s="15"/>
      <c r="QWP233" s="15"/>
      <c r="QWQ233" s="15"/>
      <c r="QWR233" s="15"/>
      <c r="QWS233" s="15"/>
      <c r="QWT233" s="15"/>
      <c r="QWU233" s="15"/>
      <c r="QWV233" s="15"/>
      <c r="QWW233" s="15"/>
      <c r="QWX233" s="15"/>
      <c r="QWY233" s="10"/>
      <c r="QWZ233" s="10"/>
      <c r="QXA233" s="21"/>
      <c r="QXB233" s="21"/>
      <c r="QXE233" s="21"/>
      <c r="QXF233" s="15"/>
      <c r="QXG233" s="15"/>
      <c r="QXH233" s="15"/>
      <c r="QXI233" s="15"/>
      <c r="QXJ233" s="15"/>
      <c r="QXK233" s="15"/>
      <c r="QXL233" s="15"/>
      <c r="QXM233" s="15"/>
      <c r="QXN233" s="15"/>
      <c r="QXO233" s="15"/>
      <c r="QXP233" s="10"/>
      <c r="QXQ233" s="10"/>
      <c r="QXR233" s="21"/>
      <c r="QXS233" s="21"/>
      <c r="QXV233" s="21"/>
      <c r="QXW233" s="15"/>
      <c r="QXX233" s="15"/>
      <c r="QXY233" s="15"/>
      <c r="QXZ233" s="15"/>
      <c r="QYA233" s="15"/>
      <c r="QYB233" s="15"/>
      <c r="QYC233" s="15"/>
      <c r="QYD233" s="15"/>
      <c r="QYE233" s="15"/>
      <c r="QYF233" s="15"/>
      <c r="QYG233" s="10"/>
      <c r="QYH233" s="10"/>
      <c r="QYI233" s="21"/>
      <c r="QYJ233" s="21"/>
      <c r="QYM233" s="21"/>
      <c r="QYN233" s="15"/>
      <c r="QYO233" s="15"/>
      <c r="QYP233" s="15"/>
      <c r="QYQ233" s="15"/>
      <c r="QYR233" s="15"/>
      <c r="QYS233" s="15"/>
      <c r="QYT233" s="15"/>
      <c r="QYU233" s="15"/>
      <c r="QYV233" s="15"/>
      <c r="QYW233" s="15"/>
      <c r="QYX233" s="10"/>
      <c r="QYY233" s="10"/>
      <c r="QYZ233" s="21"/>
      <c r="QZA233" s="21"/>
      <c r="QZD233" s="21"/>
      <c r="QZE233" s="15"/>
      <c r="QZF233" s="15"/>
      <c r="QZG233" s="15"/>
      <c r="QZH233" s="15"/>
      <c r="QZI233" s="15"/>
      <c r="QZJ233" s="15"/>
      <c r="QZK233" s="15"/>
      <c r="QZL233" s="15"/>
      <c r="QZM233" s="15"/>
      <c r="QZN233" s="15"/>
      <c r="QZO233" s="10"/>
      <c r="QZP233" s="10"/>
      <c r="QZQ233" s="21"/>
      <c r="QZR233" s="21"/>
      <c r="QZU233" s="21"/>
      <c r="QZV233" s="15"/>
      <c r="QZW233" s="15"/>
      <c r="QZX233" s="15"/>
      <c r="QZY233" s="15"/>
      <c r="QZZ233" s="15"/>
      <c r="RAA233" s="15"/>
      <c r="RAB233" s="15"/>
      <c r="RAC233" s="15"/>
      <c r="RAD233" s="15"/>
      <c r="RAE233" s="15"/>
      <c r="RAF233" s="10"/>
      <c r="RAG233" s="10"/>
      <c r="RAH233" s="21"/>
      <c r="RAI233" s="21"/>
      <c r="RAL233" s="21"/>
      <c r="RAM233" s="15"/>
      <c r="RAN233" s="15"/>
      <c r="RAO233" s="15"/>
      <c r="RAP233" s="15"/>
      <c r="RAQ233" s="15"/>
      <c r="RAR233" s="15"/>
      <c r="RAS233" s="15"/>
      <c r="RAT233" s="15"/>
      <c r="RAU233" s="15"/>
      <c r="RAV233" s="15"/>
      <c r="RAW233" s="10"/>
      <c r="RAX233" s="10"/>
      <c r="RAY233" s="21"/>
      <c r="RAZ233" s="21"/>
      <c r="RBC233" s="21"/>
      <c r="RBD233" s="15"/>
      <c r="RBE233" s="15"/>
      <c r="RBF233" s="15"/>
      <c r="RBG233" s="15"/>
      <c r="RBH233" s="15"/>
      <c r="RBI233" s="15"/>
      <c r="RBJ233" s="15"/>
      <c r="RBK233" s="15"/>
      <c r="RBL233" s="15"/>
      <c r="RBM233" s="15"/>
      <c r="RBN233" s="10"/>
      <c r="RBO233" s="10"/>
      <c r="RBP233" s="21"/>
      <c r="RBQ233" s="21"/>
      <c r="RBT233" s="21"/>
      <c r="RBU233" s="15"/>
      <c r="RBV233" s="15"/>
      <c r="RBW233" s="15"/>
      <c r="RBX233" s="15"/>
      <c r="RBY233" s="15"/>
      <c r="RBZ233" s="15"/>
      <c r="RCA233" s="15"/>
      <c r="RCB233" s="15"/>
      <c r="RCC233" s="15"/>
      <c r="RCD233" s="15"/>
      <c r="RCE233" s="10"/>
      <c r="RCF233" s="10"/>
      <c r="RCG233" s="21"/>
      <c r="RCH233" s="21"/>
      <c r="RCK233" s="21"/>
      <c r="RCL233" s="15"/>
      <c r="RCM233" s="15"/>
      <c r="RCN233" s="15"/>
      <c r="RCO233" s="15"/>
      <c r="RCP233" s="15"/>
      <c r="RCQ233" s="15"/>
      <c r="RCR233" s="15"/>
      <c r="RCS233" s="15"/>
      <c r="RCT233" s="15"/>
      <c r="RCU233" s="15"/>
      <c r="RCV233" s="10"/>
      <c r="RCW233" s="10"/>
      <c r="RCX233" s="21"/>
      <c r="RCY233" s="21"/>
      <c r="RDB233" s="21"/>
      <c r="RDC233" s="15"/>
      <c r="RDD233" s="15"/>
      <c r="RDE233" s="15"/>
      <c r="RDF233" s="15"/>
      <c r="RDG233" s="15"/>
      <c r="RDH233" s="15"/>
      <c r="RDI233" s="15"/>
      <c r="RDJ233" s="15"/>
      <c r="RDK233" s="15"/>
      <c r="RDL233" s="15"/>
      <c r="RDM233" s="10"/>
      <c r="RDN233" s="10"/>
      <c r="RDO233" s="21"/>
      <c r="RDP233" s="21"/>
      <c r="RDS233" s="21"/>
      <c r="RDT233" s="15"/>
      <c r="RDU233" s="15"/>
      <c r="RDV233" s="15"/>
      <c r="RDW233" s="15"/>
      <c r="RDX233" s="15"/>
      <c r="RDY233" s="15"/>
      <c r="RDZ233" s="15"/>
      <c r="REA233" s="15"/>
      <c r="REB233" s="15"/>
      <c r="REC233" s="15"/>
      <c r="RED233" s="10"/>
      <c r="REE233" s="10"/>
      <c r="REF233" s="21"/>
      <c r="REG233" s="21"/>
      <c r="REJ233" s="21"/>
      <c r="REK233" s="15"/>
      <c r="REL233" s="15"/>
      <c r="REM233" s="15"/>
      <c r="REN233" s="15"/>
      <c r="REO233" s="15"/>
      <c r="REP233" s="15"/>
      <c r="REQ233" s="15"/>
      <c r="RER233" s="15"/>
      <c r="RES233" s="15"/>
      <c r="RET233" s="15"/>
      <c r="REU233" s="10"/>
      <c r="REV233" s="10"/>
      <c r="REW233" s="21"/>
      <c r="REX233" s="21"/>
      <c r="RFA233" s="21"/>
      <c r="RFB233" s="15"/>
      <c r="RFC233" s="15"/>
      <c r="RFD233" s="15"/>
      <c r="RFE233" s="15"/>
      <c r="RFF233" s="15"/>
      <c r="RFG233" s="15"/>
      <c r="RFH233" s="15"/>
      <c r="RFI233" s="15"/>
      <c r="RFJ233" s="15"/>
      <c r="RFK233" s="15"/>
      <c r="RFL233" s="10"/>
      <c r="RFM233" s="10"/>
      <c r="RFN233" s="21"/>
      <c r="RFO233" s="21"/>
      <c r="RFR233" s="21"/>
      <c r="RFS233" s="15"/>
      <c r="RFT233" s="15"/>
      <c r="RFU233" s="15"/>
      <c r="RFV233" s="15"/>
      <c r="RFW233" s="15"/>
      <c r="RFX233" s="15"/>
      <c r="RFY233" s="15"/>
      <c r="RFZ233" s="15"/>
      <c r="RGA233" s="15"/>
      <c r="RGB233" s="15"/>
      <c r="RGC233" s="10"/>
      <c r="RGD233" s="10"/>
      <c r="RGE233" s="21"/>
      <c r="RGF233" s="21"/>
      <c r="RGI233" s="21"/>
      <c r="RGJ233" s="15"/>
      <c r="RGK233" s="15"/>
      <c r="RGL233" s="15"/>
      <c r="RGM233" s="15"/>
      <c r="RGN233" s="15"/>
      <c r="RGO233" s="15"/>
      <c r="RGP233" s="15"/>
      <c r="RGQ233" s="15"/>
      <c r="RGR233" s="15"/>
      <c r="RGS233" s="15"/>
      <c r="RGT233" s="10"/>
      <c r="RGU233" s="10"/>
      <c r="RGV233" s="21"/>
      <c r="RGW233" s="21"/>
      <c r="RGZ233" s="21"/>
      <c r="RHA233" s="15"/>
      <c r="RHB233" s="15"/>
      <c r="RHC233" s="15"/>
      <c r="RHD233" s="15"/>
      <c r="RHE233" s="15"/>
      <c r="RHF233" s="15"/>
      <c r="RHG233" s="15"/>
      <c r="RHH233" s="15"/>
      <c r="RHI233" s="15"/>
      <c r="RHJ233" s="15"/>
      <c r="RHK233" s="10"/>
      <c r="RHL233" s="10"/>
      <c r="RHM233" s="21"/>
      <c r="RHN233" s="21"/>
      <c r="RHQ233" s="21"/>
      <c r="RHR233" s="15"/>
      <c r="RHS233" s="15"/>
      <c r="RHT233" s="15"/>
      <c r="RHU233" s="15"/>
      <c r="RHV233" s="15"/>
      <c r="RHW233" s="15"/>
      <c r="RHX233" s="15"/>
      <c r="RHY233" s="15"/>
      <c r="RHZ233" s="15"/>
      <c r="RIA233" s="15"/>
      <c r="RIB233" s="10"/>
      <c r="RIC233" s="10"/>
      <c r="RID233" s="21"/>
      <c r="RIE233" s="21"/>
      <c r="RIH233" s="21"/>
      <c r="RII233" s="15"/>
      <c r="RIJ233" s="15"/>
      <c r="RIK233" s="15"/>
      <c r="RIL233" s="15"/>
      <c r="RIM233" s="15"/>
      <c r="RIN233" s="15"/>
      <c r="RIO233" s="15"/>
      <c r="RIP233" s="15"/>
      <c r="RIQ233" s="15"/>
      <c r="RIR233" s="15"/>
      <c r="RIS233" s="10"/>
      <c r="RIT233" s="10"/>
      <c r="RIU233" s="21"/>
      <c r="RIV233" s="21"/>
      <c r="RIY233" s="21"/>
      <c r="RIZ233" s="15"/>
      <c r="RJA233" s="15"/>
      <c r="RJB233" s="15"/>
      <c r="RJC233" s="15"/>
      <c r="RJD233" s="15"/>
      <c r="RJE233" s="15"/>
      <c r="RJF233" s="15"/>
      <c r="RJG233" s="15"/>
      <c r="RJH233" s="15"/>
      <c r="RJI233" s="15"/>
      <c r="RJJ233" s="10"/>
      <c r="RJK233" s="10"/>
      <c r="RJL233" s="21"/>
      <c r="RJM233" s="21"/>
      <c r="RJP233" s="21"/>
      <c r="RJQ233" s="15"/>
      <c r="RJR233" s="15"/>
      <c r="RJS233" s="15"/>
      <c r="RJT233" s="15"/>
      <c r="RJU233" s="15"/>
      <c r="RJV233" s="15"/>
      <c r="RJW233" s="15"/>
      <c r="RJX233" s="15"/>
      <c r="RJY233" s="15"/>
      <c r="RJZ233" s="15"/>
      <c r="RKA233" s="10"/>
      <c r="RKB233" s="10"/>
      <c r="RKC233" s="21"/>
      <c r="RKD233" s="21"/>
      <c r="RKG233" s="21"/>
      <c r="RKH233" s="15"/>
      <c r="RKI233" s="15"/>
      <c r="RKJ233" s="15"/>
      <c r="RKK233" s="15"/>
      <c r="RKL233" s="15"/>
      <c r="RKM233" s="15"/>
      <c r="RKN233" s="15"/>
      <c r="RKO233" s="15"/>
      <c r="RKP233" s="15"/>
      <c r="RKQ233" s="15"/>
      <c r="RKR233" s="10"/>
      <c r="RKS233" s="10"/>
      <c r="RKT233" s="21"/>
      <c r="RKU233" s="21"/>
      <c r="RKX233" s="21"/>
      <c r="RKY233" s="15"/>
      <c r="RKZ233" s="15"/>
      <c r="RLA233" s="15"/>
      <c r="RLB233" s="15"/>
      <c r="RLC233" s="15"/>
      <c r="RLD233" s="15"/>
      <c r="RLE233" s="15"/>
      <c r="RLF233" s="15"/>
      <c r="RLG233" s="15"/>
      <c r="RLH233" s="15"/>
      <c r="RLI233" s="10"/>
      <c r="RLJ233" s="10"/>
      <c r="RLK233" s="21"/>
      <c r="RLL233" s="21"/>
      <c r="RLO233" s="21"/>
      <c r="RLP233" s="15"/>
      <c r="RLQ233" s="15"/>
      <c r="RLR233" s="15"/>
      <c r="RLS233" s="15"/>
      <c r="RLT233" s="15"/>
      <c r="RLU233" s="15"/>
      <c r="RLV233" s="15"/>
      <c r="RLW233" s="15"/>
      <c r="RLX233" s="15"/>
      <c r="RLY233" s="15"/>
      <c r="RLZ233" s="10"/>
      <c r="RMA233" s="10"/>
      <c r="RMB233" s="21"/>
      <c r="RMC233" s="21"/>
      <c r="RMF233" s="21"/>
      <c r="RMG233" s="15"/>
      <c r="RMH233" s="15"/>
      <c r="RMI233" s="15"/>
      <c r="RMJ233" s="15"/>
      <c r="RMK233" s="15"/>
      <c r="RML233" s="15"/>
      <c r="RMM233" s="15"/>
      <c r="RMN233" s="15"/>
      <c r="RMO233" s="15"/>
      <c r="RMP233" s="15"/>
      <c r="RMQ233" s="10"/>
      <c r="RMR233" s="10"/>
      <c r="RMS233" s="21"/>
      <c r="RMT233" s="21"/>
      <c r="RMW233" s="21"/>
      <c r="RMX233" s="15"/>
      <c r="RMY233" s="15"/>
      <c r="RMZ233" s="15"/>
      <c r="RNA233" s="15"/>
      <c r="RNB233" s="15"/>
      <c r="RNC233" s="15"/>
      <c r="RND233" s="15"/>
      <c r="RNE233" s="15"/>
      <c r="RNF233" s="15"/>
      <c r="RNG233" s="15"/>
      <c r="RNH233" s="10"/>
      <c r="RNI233" s="10"/>
      <c r="RNJ233" s="21"/>
      <c r="RNK233" s="21"/>
      <c r="RNN233" s="21"/>
      <c r="RNO233" s="15"/>
      <c r="RNP233" s="15"/>
      <c r="RNQ233" s="15"/>
      <c r="RNR233" s="15"/>
      <c r="RNS233" s="15"/>
      <c r="RNT233" s="15"/>
      <c r="RNU233" s="15"/>
      <c r="RNV233" s="15"/>
      <c r="RNW233" s="15"/>
      <c r="RNX233" s="15"/>
      <c r="RNY233" s="10"/>
      <c r="RNZ233" s="10"/>
      <c r="ROA233" s="21"/>
      <c r="ROB233" s="21"/>
      <c r="ROE233" s="21"/>
      <c r="ROF233" s="15"/>
      <c r="ROG233" s="15"/>
      <c r="ROH233" s="15"/>
      <c r="ROI233" s="15"/>
      <c r="ROJ233" s="15"/>
      <c r="ROK233" s="15"/>
      <c r="ROL233" s="15"/>
      <c r="ROM233" s="15"/>
      <c r="RON233" s="15"/>
      <c r="ROO233" s="15"/>
      <c r="ROP233" s="10"/>
      <c r="ROQ233" s="10"/>
      <c r="ROR233" s="21"/>
      <c r="ROS233" s="21"/>
      <c r="ROV233" s="21"/>
      <c r="ROW233" s="15"/>
      <c r="ROX233" s="15"/>
      <c r="ROY233" s="15"/>
      <c r="ROZ233" s="15"/>
      <c r="RPA233" s="15"/>
      <c r="RPB233" s="15"/>
      <c r="RPC233" s="15"/>
      <c r="RPD233" s="15"/>
      <c r="RPE233" s="15"/>
      <c r="RPF233" s="15"/>
      <c r="RPG233" s="10"/>
      <c r="RPH233" s="10"/>
      <c r="RPI233" s="21"/>
      <c r="RPJ233" s="21"/>
      <c r="RPM233" s="21"/>
      <c r="RPN233" s="15"/>
      <c r="RPO233" s="15"/>
      <c r="RPP233" s="15"/>
      <c r="RPQ233" s="15"/>
      <c r="RPR233" s="15"/>
      <c r="RPS233" s="15"/>
      <c r="RPT233" s="15"/>
      <c r="RPU233" s="15"/>
      <c r="RPV233" s="15"/>
      <c r="RPW233" s="15"/>
      <c r="RPX233" s="10"/>
      <c r="RPY233" s="10"/>
      <c r="RPZ233" s="21"/>
      <c r="RQA233" s="21"/>
      <c r="RQD233" s="21"/>
      <c r="RQE233" s="15"/>
      <c r="RQF233" s="15"/>
      <c r="RQG233" s="15"/>
      <c r="RQH233" s="15"/>
      <c r="RQI233" s="15"/>
      <c r="RQJ233" s="15"/>
      <c r="RQK233" s="15"/>
      <c r="RQL233" s="15"/>
      <c r="RQM233" s="15"/>
      <c r="RQN233" s="15"/>
      <c r="RQO233" s="10"/>
      <c r="RQP233" s="10"/>
      <c r="RQQ233" s="21"/>
      <c r="RQR233" s="21"/>
      <c r="RQU233" s="21"/>
      <c r="RQV233" s="15"/>
      <c r="RQW233" s="15"/>
      <c r="RQX233" s="15"/>
      <c r="RQY233" s="15"/>
      <c r="RQZ233" s="15"/>
      <c r="RRA233" s="15"/>
      <c r="RRB233" s="15"/>
      <c r="RRC233" s="15"/>
      <c r="RRD233" s="15"/>
      <c r="RRE233" s="15"/>
      <c r="RRF233" s="10"/>
      <c r="RRG233" s="10"/>
      <c r="RRH233" s="21"/>
      <c r="RRI233" s="21"/>
      <c r="RRL233" s="21"/>
      <c r="RRM233" s="15"/>
      <c r="RRN233" s="15"/>
      <c r="RRO233" s="15"/>
      <c r="RRP233" s="15"/>
      <c r="RRQ233" s="15"/>
      <c r="RRR233" s="15"/>
      <c r="RRS233" s="15"/>
      <c r="RRT233" s="15"/>
      <c r="RRU233" s="15"/>
      <c r="RRV233" s="15"/>
      <c r="RRW233" s="10"/>
      <c r="RRX233" s="10"/>
      <c r="RRY233" s="21"/>
      <c r="RRZ233" s="21"/>
      <c r="RSC233" s="21"/>
      <c r="RSD233" s="15"/>
      <c r="RSE233" s="15"/>
      <c r="RSF233" s="15"/>
      <c r="RSG233" s="15"/>
      <c r="RSH233" s="15"/>
      <c r="RSI233" s="15"/>
      <c r="RSJ233" s="15"/>
      <c r="RSK233" s="15"/>
      <c r="RSL233" s="15"/>
      <c r="RSM233" s="15"/>
      <c r="RSN233" s="10"/>
      <c r="RSO233" s="10"/>
      <c r="RSP233" s="21"/>
      <c r="RSQ233" s="21"/>
      <c r="RST233" s="21"/>
      <c r="RSU233" s="15"/>
      <c r="RSV233" s="15"/>
      <c r="RSW233" s="15"/>
      <c r="RSX233" s="15"/>
      <c r="RSY233" s="15"/>
      <c r="RSZ233" s="15"/>
      <c r="RTA233" s="15"/>
      <c r="RTB233" s="15"/>
      <c r="RTC233" s="15"/>
      <c r="RTD233" s="15"/>
      <c r="RTE233" s="10"/>
      <c r="RTF233" s="10"/>
      <c r="RTG233" s="21"/>
      <c r="RTH233" s="21"/>
      <c r="RTK233" s="21"/>
      <c r="RTL233" s="15"/>
      <c r="RTM233" s="15"/>
      <c r="RTN233" s="15"/>
      <c r="RTO233" s="15"/>
      <c r="RTP233" s="15"/>
      <c r="RTQ233" s="15"/>
      <c r="RTR233" s="15"/>
      <c r="RTS233" s="15"/>
      <c r="RTT233" s="15"/>
      <c r="RTU233" s="15"/>
      <c r="RTV233" s="10"/>
      <c r="RTW233" s="10"/>
      <c r="RTX233" s="21"/>
      <c r="RTY233" s="21"/>
      <c r="RUB233" s="21"/>
      <c r="RUC233" s="15"/>
      <c r="RUD233" s="15"/>
      <c r="RUE233" s="15"/>
      <c r="RUF233" s="15"/>
      <c r="RUG233" s="15"/>
      <c r="RUH233" s="15"/>
      <c r="RUI233" s="15"/>
      <c r="RUJ233" s="15"/>
      <c r="RUK233" s="15"/>
      <c r="RUL233" s="15"/>
      <c r="RUM233" s="10"/>
      <c r="RUN233" s="10"/>
      <c r="RUO233" s="21"/>
      <c r="RUP233" s="21"/>
      <c r="RUS233" s="21"/>
      <c r="RUT233" s="15"/>
      <c r="RUU233" s="15"/>
      <c r="RUV233" s="15"/>
      <c r="RUW233" s="15"/>
      <c r="RUX233" s="15"/>
      <c r="RUY233" s="15"/>
      <c r="RUZ233" s="15"/>
      <c r="RVA233" s="15"/>
      <c r="RVB233" s="15"/>
      <c r="RVC233" s="15"/>
      <c r="RVD233" s="10"/>
      <c r="RVE233" s="10"/>
      <c r="RVF233" s="21"/>
      <c r="RVG233" s="21"/>
      <c r="RVJ233" s="21"/>
      <c r="RVK233" s="15"/>
      <c r="RVL233" s="15"/>
      <c r="RVM233" s="15"/>
      <c r="RVN233" s="15"/>
      <c r="RVO233" s="15"/>
      <c r="RVP233" s="15"/>
      <c r="RVQ233" s="15"/>
      <c r="RVR233" s="15"/>
      <c r="RVS233" s="15"/>
      <c r="RVT233" s="15"/>
      <c r="RVU233" s="10"/>
      <c r="RVV233" s="10"/>
      <c r="RVW233" s="21"/>
      <c r="RVX233" s="21"/>
      <c r="RWA233" s="21"/>
      <c r="RWB233" s="15"/>
      <c r="RWC233" s="15"/>
      <c r="RWD233" s="15"/>
      <c r="RWE233" s="15"/>
      <c r="RWF233" s="15"/>
      <c r="RWG233" s="15"/>
      <c r="RWH233" s="15"/>
      <c r="RWI233" s="15"/>
      <c r="RWJ233" s="15"/>
      <c r="RWK233" s="15"/>
      <c r="RWL233" s="10"/>
      <c r="RWM233" s="10"/>
      <c r="RWN233" s="21"/>
      <c r="RWO233" s="21"/>
      <c r="RWR233" s="21"/>
      <c r="RWS233" s="15"/>
      <c r="RWT233" s="15"/>
      <c r="RWU233" s="15"/>
      <c r="RWV233" s="15"/>
      <c r="RWW233" s="15"/>
      <c r="RWX233" s="15"/>
      <c r="RWY233" s="15"/>
      <c r="RWZ233" s="15"/>
      <c r="RXA233" s="15"/>
      <c r="RXB233" s="15"/>
      <c r="RXC233" s="10"/>
      <c r="RXD233" s="10"/>
      <c r="RXE233" s="21"/>
      <c r="RXF233" s="21"/>
      <c r="RXI233" s="21"/>
      <c r="RXJ233" s="15"/>
      <c r="RXK233" s="15"/>
      <c r="RXL233" s="15"/>
      <c r="RXM233" s="15"/>
      <c r="RXN233" s="15"/>
      <c r="RXO233" s="15"/>
      <c r="RXP233" s="15"/>
      <c r="RXQ233" s="15"/>
      <c r="RXR233" s="15"/>
      <c r="RXS233" s="15"/>
      <c r="RXT233" s="10"/>
      <c r="RXU233" s="10"/>
      <c r="RXV233" s="21"/>
      <c r="RXW233" s="21"/>
      <c r="RXZ233" s="21"/>
      <c r="RYA233" s="15"/>
      <c r="RYB233" s="15"/>
      <c r="RYC233" s="15"/>
      <c r="RYD233" s="15"/>
      <c r="RYE233" s="15"/>
      <c r="RYF233" s="15"/>
      <c r="RYG233" s="15"/>
      <c r="RYH233" s="15"/>
      <c r="RYI233" s="15"/>
      <c r="RYJ233" s="15"/>
      <c r="RYK233" s="10"/>
      <c r="RYL233" s="10"/>
      <c r="RYM233" s="21"/>
      <c r="RYN233" s="21"/>
      <c r="RYQ233" s="21"/>
      <c r="RYR233" s="15"/>
      <c r="RYS233" s="15"/>
      <c r="RYT233" s="15"/>
      <c r="RYU233" s="15"/>
      <c r="RYV233" s="15"/>
      <c r="RYW233" s="15"/>
      <c r="RYX233" s="15"/>
      <c r="RYY233" s="15"/>
      <c r="RYZ233" s="15"/>
      <c r="RZA233" s="15"/>
      <c r="RZB233" s="10"/>
      <c r="RZC233" s="10"/>
      <c r="RZD233" s="21"/>
      <c r="RZE233" s="21"/>
      <c r="RZH233" s="21"/>
      <c r="RZI233" s="15"/>
      <c r="RZJ233" s="15"/>
      <c r="RZK233" s="15"/>
      <c r="RZL233" s="15"/>
      <c r="RZM233" s="15"/>
      <c r="RZN233" s="15"/>
      <c r="RZO233" s="15"/>
      <c r="RZP233" s="15"/>
      <c r="RZQ233" s="15"/>
      <c r="RZR233" s="15"/>
      <c r="RZS233" s="10"/>
      <c r="RZT233" s="10"/>
      <c r="RZU233" s="21"/>
      <c r="RZV233" s="21"/>
      <c r="RZY233" s="21"/>
      <c r="RZZ233" s="15"/>
      <c r="SAA233" s="15"/>
      <c r="SAB233" s="15"/>
      <c r="SAC233" s="15"/>
      <c r="SAD233" s="15"/>
      <c r="SAE233" s="15"/>
      <c r="SAF233" s="15"/>
      <c r="SAG233" s="15"/>
      <c r="SAH233" s="15"/>
      <c r="SAI233" s="15"/>
      <c r="SAJ233" s="10"/>
      <c r="SAK233" s="10"/>
      <c r="SAL233" s="21"/>
      <c r="SAM233" s="21"/>
      <c r="SAP233" s="21"/>
      <c r="SAQ233" s="15"/>
      <c r="SAR233" s="15"/>
      <c r="SAS233" s="15"/>
      <c r="SAT233" s="15"/>
      <c r="SAU233" s="15"/>
      <c r="SAV233" s="15"/>
      <c r="SAW233" s="15"/>
      <c r="SAX233" s="15"/>
      <c r="SAY233" s="15"/>
      <c r="SAZ233" s="15"/>
      <c r="SBA233" s="10"/>
      <c r="SBB233" s="10"/>
      <c r="SBC233" s="21"/>
      <c r="SBD233" s="21"/>
      <c r="SBG233" s="21"/>
      <c r="SBH233" s="15"/>
      <c r="SBI233" s="15"/>
      <c r="SBJ233" s="15"/>
      <c r="SBK233" s="15"/>
      <c r="SBL233" s="15"/>
      <c r="SBM233" s="15"/>
      <c r="SBN233" s="15"/>
      <c r="SBO233" s="15"/>
      <c r="SBP233" s="15"/>
      <c r="SBQ233" s="15"/>
      <c r="SBR233" s="10"/>
      <c r="SBS233" s="10"/>
      <c r="SBT233" s="21"/>
      <c r="SBU233" s="21"/>
      <c r="SBX233" s="21"/>
      <c r="SBY233" s="15"/>
      <c r="SBZ233" s="15"/>
      <c r="SCA233" s="15"/>
      <c r="SCB233" s="15"/>
      <c r="SCC233" s="15"/>
      <c r="SCD233" s="15"/>
      <c r="SCE233" s="15"/>
      <c r="SCF233" s="15"/>
      <c r="SCG233" s="15"/>
      <c r="SCH233" s="15"/>
      <c r="SCI233" s="10"/>
      <c r="SCJ233" s="10"/>
      <c r="SCK233" s="21"/>
      <c r="SCL233" s="21"/>
      <c r="SCO233" s="21"/>
      <c r="SCP233" s="15"/>
      <c r="SCQ233" s="15"/>
      <c r="SCR233" s="15"/>
      <c r="SCS233" s="15"/>
      <c r="SCT233" s="15"/>
      <c r="SCU233" s="15"/>
      <c r="SCV233" s="15"/>
      <c r="SCW233" s="15"/>
      <c r="SCX233" s="15"/>
      <c r="SCY233" s="15"/>
      <c r="SCZ233" s="10"/>
      <c r="SDA233" s="10"/>
      <c r="SDB233" s="21"/>
      <c r="SDC233" s="21"/>
      <c r="SDF233" s="21"/>
      <c r="SDG233" s="15"/>
      <c r="SDH233" s="15"/>
      <c r="SDI233" s="15"/>
      <c r="SDJ233" s="15"/>
      <c r="SDK233" s="15"/>
      <c r="SDL233" s="15"/>
      <c r="SDM233" s="15"/>
      <c r="SDN233" s="15"/>
      <c r="SDO233" s="15"/>
      <c r="SDP233" s="15"/>
      <c r="SDQ233" s="10"/>
      <c r="SDR233" s="10"/>
      <c r="SDS233" s="21"/>
      <c r="SDT233" s="21"/>
      <c r="SDW233" s="21"/>
      <c r="SDX233" s="15"/>
      <c r="SDY233" s="15"/>
      <c r="SDZ233" s="15"/>
      <c r="SEA233" s="15"/>
      <c r="SEB233" s="15"/>
      <c r="SEC233" s="15"/>
      <c r="SED233" s="15"/>
      <c r="SEE233" s="15"/>
      <c r="SEF233" s="15"/>
      <c r="SEG233" s="15"/>
      <c r="SEH233" s="10"/>
      <c r="SEI233" s="10"/>
      <c r="SEJ233" s="21"/>
      <c r="SEK233" s="21"/>
      <c r="SEN233" s="21"/>
      <c r="SEO233" s="15"/>
      <c r="SEP233" s="15"/>
      <c r="SEQ233" s="15"/>
      <c r="SER233" s="15"/>
      <c r="SES233" s="15"/>
      <c r="SET233" s="15"/>
      <c r="SEU233" s="15"/>
      <c r="SEV233" s="15"/>
      <c r="SEW233" s="15"/>
      <c r="SEX233" s="15"/>
      <c r="SEY233" s="10"/>
      <c r="SEZ233" s="10"/>
      <c r="SFA233" s="21"/>
      <c r="SFB233" s="21"/>
      <c r="SFE233" s="21"/>
      <c r="SFF233" s="15"/>
      <c r="SFG233" s="15"/>
      <c r="SFH233" s="15"/>
      <c r="SFI233" s="15"/>
      <c r="SFJ233" s="15"/>
      <c r="SFK233" s="15"/>
      <c r="SFL233" s="15"/>
      <c r="SFM233" s="15"/>
      <c r="SFN233" s="15"/>
      <c r="SFO233" s="15"/>
      <c r="SFP233" s="10"/>
      <c r="SFQ233" s="10"/>
      <c r="SFR233" s="21"/>
      <c r="SFS233" s="21"/>
      <c r="SFV233" s="21"/>
      <c r="SFW233" s="15"/>
      <c r="SFX233" s="15"/>
      <c r="SFY233" s="15"/>
      <c r="SFZ233" s="15"/>
      <c r="SGA233" s="15"/>
      <c r="SGB233" s="15"/>
      <c r="SGC233" s="15"/>
      <c r="SGD233" s="15"/>
      <c r="SGE233" s="15"/>
      <c r="SGF233" s="15"/>
      <c r="SGG233" s="10"/>
      <c r="SGH233" s="10"/>
      <c r="SGI233" s="21"/>
      <c r="SGJ233" s="21"/>
      <c r="SGM233" s="21"/>
      <c r="SGN233" s="15"/>
      <c r="SGO233" s="15"/>
      <c r="SGP233" s="15"/>
      <c r="SGQ233" s="15"/>
      <c r="SGR233" s="15"/>
      <c r="SGS233" s="15"/>
      <c r="SGT233" s="15"/>
      <c r="SGU233" s="15"/>
      <c r="SGV233" s="15"/>
      <c r="SGW233" s="15"/>
      <c r="SGX233" s="10"/>
      <c r="SGY233" s="10"/>
      <c r="SGZ233" s="21"/>
      <c r="SHA233" s="21"/>
      <c r="SHD233" s="21"/>
      <c r="SHE233" s="15"/>
      <c r="SHF233" s="15"/>
      <c r="SHG233" s="15"/>
      <c r="SHH233" s="15"/>
      <c r="SHI233" s="15"/>
      <c r="SHJ233" s="15"/>
      <c r="SHK233" s="15"/>
      <c r="SHL233" s="15"/>
      <c r="SHM233" s="15"/>
      <c r="SHN233" s="15"/>
      <c r="SHO233" s="10"/>
      <c r="SHP233" s="10"/>
      <c r="SHQ233" s="21"/>
      <c r="SHR233" s="21"/>
      <c r="SHU233" s="21"/>
      <c r="SHV233" s="15"/>
      <c r="SHW233" s="15"/>
      <c r="SHX233" s="15"/>
      <c r="SHY233" s="15"/>
      <c r="SHZ233" s="15"/>
      <c r="SIA233" s="15"/>
      <c r="SIB233" s="15"/>
      <c r="SIC233" s="15"/>
      <c r="SID233" s="15"/>
      <c r="SIE233" s="15"/>
      <c r="SIF233" s="10"/>
      <c r="SIG233" s="10"/>
      <c r="SIH233" s="21"/>
      <c r="SII233" s="21"/>
      <c r="SIL233" s="21"/>
      <c r="SIM233" s="15"/>
      <c r="SIN233" s="15"/>
      <c r="SIO233" s="15"/>
      <c r="SIP233" s="15"/>
      <c r="SIQ233" s="15"/>
      <c r="SIR233" s="15"/>
      <c r="SIS233" s="15"/>
      <c r="SIT233" s="15"/>
      <c r="SIU233" s="15"/>
      <c r="SIV233" s="15"/>
      <c r="SIW233" s="10"/>
      <c r="SIX233" s="10"/>
      <c r="SIY233" s="21"/>
      <c r="SIZ233" s="21"/>
      <c r="SJC233" s="21"/>
      <c r="SJD233" s="15"/>
      <c r="SJE233" s="15"/>
      <c r="SJF233" s="15"/>
      <c r="SJG233" s="15"/>
      <c r="SJH233" s="15"/>
      <c r="SJI233" s="15"/>
      <c r="SJJ233" s="15"/>
      <c r="SJK233" s="15"/>
      <c r="SJL233" s="15"/>
      <c r="SJM233" s="15"/>
      <c r="SJN233" s="10"/>
      <c r="SJO233" s="10"/>
      <c r="SJP233" s="21"/>
      <c r="SJQ233" s="21"/>
      <c r="SJT233" s="21"/>
      <c r="SJU233" s="15"/>
      <c r="SJV233" s="15"/>
      <c r="SJW233" s="15"/>
      <c r="SJX233" s="15"/>
      <c r="SJY233" s="15"/>
      <c r="SJZ233" s="15"/>
      <c r="SKA233" s="15"/>
      <c r="SKB233" s="15"/>
      <c r="SKC233" s="15"/>
      <c r="SKD233" s="15"/>
      <c r="SKE233" s="10"/>
      <c r="SKF233" s="10"/>
      <c r="SKG233" s="21"/>
      <c r="SKH233" s="21"/>
      <c r="SKK233" s="21"/>
      <c r="SKL233" s="15"/>
      <c r="SKM233" s="15"/>
      <c r="SKN233" s="15"/>
      <c r="SKO233" s="15"/>
      <c r="SKP233" s="15"/>
      <c r="SKQ233" s="15"/>
      <c r="SKR233" s="15"/>
      <c r="SKS233" s="15"/>
      <c r="SKT233" s="15"/>
      <c r="SKU233" s="15"/>
      <c r="SKV233" s="10"/>
      <c r="SKW233" s="10"/>
      <c r="SKX233" s="21"/>
      <c r="SKY233" s="21"/>
      <c r="SLB233" s="21"/>
      <c r="SLC233" s="15"/>
      <c r="SLD233" s="15"/>
      <c r="SLE233" s="15"/>
      <c r="SLF233" s="15"/>
      <c r="SLG233" s="15"/>
      <c r="SLH233" s="15"/>
      <c r="SLI233" s="15"/>
      <c r="SLJ233" s="15"/>
      <c r="SLK233" s="15"/>
      <c r="SLL233" s="15"/>
      <c r="SLM233" s="10"/>
      <c r="SLN233" s="10"/>
      <c r="SLO233" s="21"/>
      <c r="SLP233" s="21"/>
      <c r="SLS233" s="21"/>
      <c r="SLT233" s="15"/>
      <c r="SLU233" s="15"/>
      <c r="SLV233" s="15"/>
      <c r="SLW233" s="15"/>
      <c r="SLX233" s="15"/>
      <c r="SLY233" s="15"/>
      <c r="SLZ233" s="15"/>
      <c r="SMA233" s="15"/>
      <c r="SMB233" s="15"/>
      <c r="SMC233" s="15"/>
      <c r="SMD233" s="10"/>
      <c r="SME233" s="10"/>
      <c r="SMF233" s="21"/>
      <c r="SMG233" s="21"/>
      <c r="SMJ233" s="21"/>
      <c r="SMK233" s="15"/>
      <c r="SML233" s="15"/>
      <c r="SMM233" s="15"/>
      <c r="SMN233" s="15"/>
      <c r="SMO233" s="15"/>
      <c r="SMP233" s="15"/>
      <c r="SMQ233" s="15"/>
      <c r="SMR233" s="15"/>
      <c r="SMS233" s="15"/>
      <c r="SMT233" s="15"/>
      <c r="SMU233" s="10"/>
      <c r="SMV233" s="10"/>
      <c r="SMW233" s="21"/>
      <c r="SMX233" s="21"/>
      <c r="SNA233" s="21"/>
      <c r="SNB233" s="15"/>
      <c r="SNC233" s="15"/>
      <c r="SND233" s="15"/>
      <c r="SNE233" s="15"/>
      <c r="SNF233" s="15"/>
      <c r="SNG233" s="15"/>
      <c r="SNH233" s="15"/>
      <c r="SNI233" s="15"/>
      <c r="SNJ233" s="15"/>
      <c r="SNK233" s="15"/>
      <c r="SNL233" s="10"/>
      <c r="SNM233" s="10"/>
      <c r="SNN233" s="21"/>
      <c r="SNO233" s="21"/>
      <c r="SNR233" s="21"/>
      <c r="SNS233" s="15"/>
      <c r="SNT233" s="15"/>
      <c r="SNU233" s="15"/>
      <c r="SNV233" s="15"/>
      <c r="SNW233" s="15"/>
      <c r="SNX233" s="15"/>
      <c r="SNY233" s="15"/>
      <c r="SNZ233" s="15"/>
      <c r="SOA233" s="15"/>
      <c r="SOB233" s="15"/>
      <c r="SOC233" s="10"/>
      <c r="SOD233" s="10"/>
      <c r="SOE233" s="21"/>
      <c r="SOF233" s="21"/>
      <c r="SOI233" s="21"/>
      <c r="SOJ233" s="15"/>
      <c r="SOK233" s="15"/>
      <c r="SOL233" s="15"/>
      <c r="SOM233" s="15"/>
      <c r="SON233" s="15"/>
      <c r="SOO233" s="15"/>
      <c r="SOP233" s="15"/>
      <c r="SOQ233" s="15"/>
      <c r="SOR233" s="15"/>
      <c r="SOS233" s="15"/>
      <c r="SOT233" s="10"/>
      <c r="SOU233" s="10"/>
      <c r="SOV233" s="21"/>
      <c r="SOW233" s="21"/>
      <c r="SOZ233" s="21"/>
      <c r="SPA233" s="15"/>
      <c r="SPB233" s="15"/>
      <c r="SPC233" s="15"/>
      <c r="SPD233" s="15"/>
      <c r="SPE233" s="15"/>
      <c r="SPF233" s="15"/>
      <c r="SPG233" s="15"/>
      <c r="SPH233" s="15"/>
      <c r="SPI233" s="15"/>
      <c r="SPJ233" s="15"/>
      <c r="SPK233" s="10"/>
      <c r="SPL233" s="10"/>
      <c r="SPM233" s="21"/>
      <c r="SPN233" s="21"/>
      <c r="SPQ233" s="21"/>
      <c r="SPR233" s="15"/>
      <c r="SPS233" s="15"/>
      <c r="SPT233" s="15"/>
      <c r="SPU233" s="15"/>
      <c r="SPV233" s="15"/>
      <c r="SPW233" s="15"/>
      <c r="SPX233" s="15"/>
      <c r="SPY233" s="15"/>
      <c r="SPZ233" s="15"/>
      <c r="SQA233" s="15"/>
      <c r="SQB233" s="10"/>
      <c r="SQC233" s="10"/>
      <c r="SQD233" s="21"/>
      <c r="SQE233" s="21"/>
      <c r="SQH233" s="21"/>
      <c r="SQI233" s="15"/>
      <c r="SQJ233" s="15"/>
      <c r="SQK233" s="15"/>
      <c r="SQL233" s="15"/>
      <c r="SQM233" s="15"/>
      <c r="SQN233" s="15"/>
      <c r="SQO233" s="15"/>
      <c r="SQP233" s="15"/>
      <c r="SQQ233" s="15"/>
      <c r="SQR233" s="15"/>
      <c r="SQS233" s="10"/>
      <c r="SQT233" s="10"/>
      <c r="SQU233" s="21"/>
      <c r="SQV233" s="21"/>
      <c r="SQY233" s="21"/>
      <c r="SQZ233" s="15"/>
      <c r="SRA233" s="15"/>
      <c r="SRB233" s="15"/>
      <c r="SRC233" s="15"/>
      <c r="SRD233" s="15"/>
      <c r="SRE233" s="15"/>
      <c r="SRF233" s="15"/>
      <c r="SRG233" s="15"/>
      <c r="SRH233" s="15"/>
      <c r="SRI233" s="15"/>
      <c r="SRJ233" s="10"/>
      <c r="SRK233" s="10"/>
      <c r="SRL233" s="21"/>
      <c r="SRM233" s="21"/>
      <c r="SRP233" s="21"/>
      <c r="SRQ233" s="15"/>
      <c r="SRR233" s="15"/>
      <c r="SRS233" s="15"/>
      <c r="SRT233" s="15"/>
      <c r="SRU233" s="15"/>
      <c r="SRV233" s="15"/>
      <c r="SRW233" s="15"/>
      <c r="SRX233" s="15"/>
      <c r="SRY233" s="15"/>
      <c r="SRZ233" s="15"/>
      <c r="SSA233" s="10"/>
      <c r="SSB233" s="10"/>
      <c r="SSC233" s="21"/>
      <c r="SSD233" s="21"/>
      <c r="SSG233" s="21"/>
      <c r="SSH233" s="15"/>
      <c r="SSI233" s="15"/>
      <c r="SSJ233" s="15"/>
      <c r="SSK233" s="15"/>
      <c r="SSL233" s="15"/>
      <c r="SSM233" s="15"/>
      <c r="SSN233" s="15"/>
      <c r="SSO233" s="15"/>
      <c r="SSP233" s="15"/>
      <c r="SSQ233" s="15"/>
      <c r="SSR233" s="10"/>
      <c r="SSS233" s="10"/>
      <c r="SST233" s="21"/>
      <c r="SSU233" s="21"/>
      <c r="SSX233" s="21"/>
      <c r="SSY233" s="15"/>
      <c r="SSZ233" s="15"/>
      <c r="STA233" s="15"/>
      <c r="STB233" s="15"/>
      <c r="STC233" s="15"/>
      <c r="STD233" s="15"/>
      <c r="STE233" s="15"/>
      <c r="STF233" s="15"/>
      <c r="STG233" s="15"/>
      <c r="STH233" s="15"/>
      <c r="STI233" s="10"/>
      <c r="STJ233" s="10"/>
      <c r="STK233" s="21"/>
      <c r="STL233" s="21"/>
      <c r="STO233" s="21"/>
      <c r="STP233" s="15"/>
      <c r="STQ233" s="15"/>
      <c r="STR233" s="15"/>
      <c r="STS233" s="15"/>
      <c r="STT233" s="15"/>
      <c r="STU233" s="15"/>
      <c r="STV233" s="15"/>
      <c r="STW233" s="15"/>
      <c r="STX233" s="15"/>
      <c r="STY233" s="15"/>
      <c r="STZ233" s="10"/>
      <c r="SUA233" s="10"/>
      <c r="SUB233" s="21"/>
      <c r="SUC233" s="21"/>
      <c r="SUF233" s="21"/>
      <c r="SUG233" s="15"/>
      <c r="SUH233" s="15"/>
      <c r="SUI233" s="15"/>
      <c r="SUJ233" s="15"/>
      <c r="SUK233" s="15"/>
      <c r="SUL233" s="15"/>
      <c r="SUM233" s="15"/>
      <c r="SUN233" s="15"/>
      <c r="SUO233" s="15"/>
      <c r="SUP233" s="15"/>
      <c r="SUQ233" s="10"/>
      <c r="SUR233" s="10"/>
      <c r="SUS233" s="21"/>
      <c r="SUT233" s="21"/>
      <c r="SUW233" s="21"/>
      <c r="SUX233" s="15"/>
      <c r="SUY233" s="15"/>
      <c r="SUZ233" s="15"/>
      <c r="SVA233" s="15"/>
      <c r="SVB233" s="15"/>
      <c r="SVC233" s="15"/>
      <c r="SVD233" s="15"/>
      <c r="SVE233" s="15"/>
      <c r="SVF233" s="15"/>
      <c r="SVG233" s="15"/>
      <c r="SVH233" s="10"/>
      <c r="SVI233" s="10"/>
      <c r="SVJ233" s="21"/>
      <c r="SVK233" s="21"/>
      <c r="SVN233" s="21"/>
      <c r="SVO233" s="15"/>
      <c r="SVP233" s="15"/>
      <c r="SVQ233" s="15"/>
      <c r="SVR233" s="15"/>
      <c r="SVS233" s="15"/>
      <c r="SVT233" s="15"/>
      <c r="SVU233" s="15"/>
      <c r="SVV233" s="15"/>
      <c r="SVW233" s="15"/>
      <c r="SVX233" s="15"/>
      <c r="SVY233" s="10"/>
      <c r="SVZ233" s="10"/>
      <c r="SWA233" s="21"/>
      <c r="SWB233" s="21"/>
      <c r="SWE233" s="21"/>
      <c r="SWF233" s="15"/>
      <c r="SWG233" s="15"/>
      <c r="SWH233" s="15"/>
      <c r="SWI233" s="15"/>
      <c r="SWJ233" s="15"/>
      <c r="SWK233" s="15"/>
      <c r="SWL233" s="15"/>
      <c r="SWM233" s="15"/>
      <c r="SWN233" s="15"/>
      <c r="SWO233" s="15"/>
      <c r="SWP233" s="10"/>
      <c r="SWQ233" s="10"/>
      <c r="SWR233" s="21"/>
      <c r="SWS233" s="21"/>
      <c r="SWV233" s="21"/>
      <c r="SWW233" s="15"/>
      <c r="SWX233" s="15"/>
      <c r="SWY233" s="15"/>
      <c r="SWZ233" s="15"/>
      <c r="SXA233" s="15"/>
      <c r="SXB233" s="15"/>
      <c r="SXC233" s="15"/>
      <c r="SXD233" s="15"/>
      <c r="SXE233" s="15"/>
      <c r="SXF233" s="15"/>
      <c r="SXG233" s="10"/>
      <c r="SXH233" s="10"/>
      <c r="SXI233" s="21"/>
      <c r="SXJ233" s="21"/>
      <c r="SXM233" s="21"/>
      <c r="SXN233" s="15"/>
      <c r="SXO233" s="15"/>
      <c r="SXP233" s="15"/>
      <c r="SXQ233" s="15"/>
      <c r="SXR233" s="15"/>
      <c r="SXS233" s="15"/>
      <c r="SXT233" s="15"/>
      <c r="SXU233" s="15"/>
      <c r="SXV233" s="15"/>
      <c r="SXW233" s="15"/>
      <c r="SXX233" s="10"/>
      <c r="SXY233" s="10"/>
      <c r="SXZ233" s="21"/>
      <c r="SYA233" s="21"/>
      <c r="SYD233" s="21"/>
      <c r="SYE233" s="15"/>
      <c r="SYF233" s="15"/>
      <c r="SYG233" s="15"/>
      <c r="SYH233" s="15"/>
      <c r="SYI233" s="15"/>
      <c r="SYJ233" s="15"/>
      <c r="SYK233" s="15"/>
      <c r="SYL233" s="15"/>
      <c r="SYM233" s="15"/>
      <c r="SYN233" s="15"/>
      <c r="SYO233" s="10"/>
      <c r="SYP233" s="10"/>
      <c r="SYQ233" s="21"/>
      <c r="SYR233" s="21"/>
      <c r="SYU233" s="21"/>
      <c r="SYV233" s="15"/>
      <c r="SYW233" s="15"/>
      <c r="SYX233" s="15"/>
      <c r="SYY233" s="15"/>
      <c r="SYZ233" s="15"/>
      <c r="SZA233" s="15"/>
      <c r="SZB233" s="15"/>
      <c r="SZC233" s="15"/>
      <c r="SZD233" s="15"/>
      <c r="SZE233" s="15"/>
      <c r="SZF233" s="10"/>
      <c r="SZG233" s="10"/>
      <c r="SZH233" s="21"/>
      <c r="SZI233" s="21"/>
      <c r="SZL233" s="21"/>
      <c r="SZM233" s="15"/>
      <c r="SZN233" s="15"/>
      <c r="SZO233" s="15"/>
      <c r="SZP233" s="15"/>
      <c r="SZQ233" s="15"/>
      <c r="SZR233" s="15"/>
      <c r="SZS233" s="15"/>
      <c r="SZT233" s="15"/>
      <c r="SZU233" s="15"/>
      <c r="SZV233" s="15"/>
      <c r="SZW233" s="10"/>
      <c r="SZX233" s="10"/>
      <c r="SZY233" s="21"/>
      <c r="SZZ233" s="21"/>
      <c r="TAC233" s="21"/>
      <c r="TAD233" s="15"/>
      <c r="TAE233" s="15"/>
      <c r="TAF233" s="15"/>
      <c r="TAG233" s="15"/>
      <c r="TAH233" s="15"/>
      <c r="TAI233" s="15"/>
      <c r="TAJ233" s="15"/>
      <c r="TAK233" s="15"/>
      <c r="TAL233" s="15"/>
      <c r="TAM233" s="15"/>
      <c r="TAN233" s="10"/>
      <c r="TAO233" s="10"/>
      <c r="TAP233" s="21"/>
      <c r="TAQ233" s="21"/>
      <c r="TAT233" s="21"/>
      <c r="TAU233" s="15"/>
      <c r="TAV233" s="15"/>
      <c r="TAW233" s="15"/>
      <c r="TAX233" s="15"/>
      <c r="TAY233" s="15"/>
      <c r="TAZ233" s="15"/>
      <c r="TBA233" s="15"/>
      <c r="TBB233" s="15"/>
      <c r="TBC233" s="15"/>
      <c r="TBD233" s="15"/>
      <c r="TBE233" s="10"/>
      <c r="TBF233" s="10"/>
      <c r="TBG233" s="21"/>
      <c r="TBH233" s="21"/>
      <c r="TBK233" s="21"/>
      <c r="TBL233" s="15"/>
      <c r="TBM233" s="15"/>
      <c r="TBN233" s="15"/>
      <c r="TBO233" s="15"/>
      <c r="TBP233" s="15"/>
      <c r="TBQ233" s="15"/>
      <c r="TBR233" s="15"/>
      <c r="TBS233" s="15"/>
      <c r="TBT233" s="15"/>
      <c r="TBU233" s="15"/>
      <c r="TBV233" s="10"/>
      <c r="TBW233" s="10"/>
      <c r="TBX233" s="21"/>
      <c r="TBY233" s="21"/>
      <c r="TCB233" s="21"/>
      <c r="TCC233" s="15"/>
      <c r="TCD233" s="15"/>
      <c r="TCE233" s="15"/>
      <c r="TCF233" s="15"/>
      <c r="TCG233" s="15"/>
      <c r="TCH233" s="15"/>
      <c r="TCI233" s="15"/>
      <c r="TCJ233" s="15"/>
      <c r="TCK233" s="15"/>
      <c r="TCL233" s="15"/>
      <c r="TCM233" s="10"/>
      <c r="TCN233" s="10"/>
      <c r="TCO233" s="21"/>
      <c r="TCP233" s="21"/>
      <c r="TCS233" s="21"/>
      <c r="TCT233" s="15"/>
      <c r="TCU233" s="15"/>
      <c r="TCV233" s="15"/>
      <c r="TCW233" s="15"/>
      <c r="TCX233" s="15"/>
      <c r="TCY233" s="15"/>
      <c r="TCZ233" s="15"/>
      <c r="TDA233" s="15"/>
      <c r="TDB233" s="15"/>
      <c r="TDC233" s="15"/>
      <c r="TDD233" s="10"/>
      <c r="TDE233" s="10"/>
      <c r="TDF233" s="21"/>
      <c r="TDG233" s="21"/>
      <c r="TDJ233" s="21"/>
      <c r="TDK233" s="15"/>
      <c r="TDL233" s="15"/>
      <c r="TDM233" s="15"/>
      <c r="TDN233" s="15"/>
      <c r="TDO233" s="15"/>
      <c r="TDP233" s="15"/>
      <c r="TDQ233" s="15"/>
      <c r="TDR233" s="15"/>
      <c r="TDS233" s="15"/>
      <c r="TDT233" s="15"/>
      <c r="TDU233" s="10"/>
      <c r="TDV233" s="10"/>
      <c r="TDW233" s="21"/>
      <c r="TDX233" s="21"/>
      <c r="TEA233" s="21"/>
      <c r="TEB233" s="15"/>
      <c r="TEC233" s="15"/>
      <c r="TED233" s="15"/>
      <c r="TEE233" s="15"/>
      <c r="TEF233" s="15"/>
      <c r="TEG233" s="15"/>
      <c r="TEH233" s="15"/>
      <c r="TEI233" s="15"/>
      <c r="TEJ233" s="15"/>
      <c r="TEK233" s="15"/>
      <c r="TEL233" s="10"/>
      <c r="TEM233" s="10"/>
      <c r="TEN233" s="21"/>
      <c r="TEO233" s="21"/>
      <c r="TER233" s="21"/>
      <c r="TES233" s="15"/>
      <c r="TET233" s="15"/>
      <c r="TEU233" s="15"/>
      <c r="TEV233" s="15"/>
      <c r="TEW233" s="15"/>
      <c r="TEX233" s="15"/>
      <c r="TEY233" s="15"/>
      <c r="TEZ233" s="15"/>
      <c r="TFA233" s="15"/>
      <c r="TFB233" s="15"/>
      <c r="TFC233" s="10"/>
      <c r="TFD233" s="10"/>
      <c r="TFE233" s="21"/>
      <c r="TFF233" s="21"/>
      <c r="TFI233" s="21"/>
      <c r="TFJ233" s="15"/>
      <c r="TFK233" s="15"/>
      <c r="TFL233" s="15"/>
      <c r="TFM233" s="15"/>
      <c r="TFN233" s="15"/>
      <c r="TFO233" s="15"/>
      <c r="TFP233" s="15"/>
      <c r="TFQ233" s="15"/>
      <c r="TFR233" s="15"/>
      <c r="TFS233" s="15"/>
      <c r="TFT233" s="10"/>
      <c r="TFU233" s="10"/>
      <c r="TFV233" s="21"/>
      <c r="TFW233" s="21"/>
      <c r="TFZ233" s="21"/>
      <c r="TGA233" s="15"/>
      <c r="TGB233" s="15"/>
      <c r="TGC233" s="15"/>
      <c r="TGD233" s="15"/>
      <c r="TGE233" s="15"/>
      <c r="TGF233" s="15"/>
      <c r="TGG233" s="15"/>
      <c r="TGH233" s="15"/>
      <c r="TGI233" s="15"/>
      <c r="TGJ233" s="15"/>
      <c r="TGK233" s="10"/>
      <c r="TGL233" s="10"/>
      <c r="TGM233" s="21"/>
      <c r="TGN233" s="21"/>
      <c r="TGQ233" s="21"/>
      <c r="TGR233" s="15"/>
      <c r="TGS233" s="15"/>
      <c r="TGT233" s="15"/>
      <c r="TGU233" s="15"/>
      <c r="TGV233" s="15"/>
      <c r="TGW233" s="15"/>
      <c r="TGX233" s="15"/>
      <c r="TGY233" s="15"/>
      <c r="TGZ233" s="15"/>
      <c r="THA233" s="15"/>
      <c r="THB233" s="10"/>
      <c r="THC233" s="10"/>
      <c r="THD233" s="21"/>
      <c r="THE233" s="21"/>
      <c r="THH233" s="21"/>
      <c r="THI233" s="15"/>
      <c r="THJ233" s="15"/>
      <c r="THK233" s="15"/>
      <c r="THL233" s="15"/>
      <c r="THM233" s="15"/>
      <c r="THN233" s="15"/>
      <c r="THO233" s="15"/>
      <c r="THP233" s="15"/>
      <c r="THQ233" s="15"/>
      <c r="THR233" s="15"/>
      <c r="THS233" s="10"/>
      <c r="THT233" s="10"/>
      <c r="THU233" s="21"/>
      <c r="THV233" s="21"/>
      <c r="THY233" s="21"/>
      <c r="THZ233" s="15"/>
      <c r="TIA233" s="15"/>
      <c r="TIB233" s="15"/>
      <c r="TIC233" s="15"/>
      <c r="TID233" s="15"/>
      <c r="TIE233" s="15"/>
      <c r="TIF233" s="15"/>
      <c r="TIG233" s="15"/>
      <c r="TIH233" s="15"/>
      <c r="TII233" s="15"/>
      <c r="TIJ233" s="10"/>
      <c r="TIK233" s="10"/>
      <c r="TIL233" s="21"/>
      <c r="TIM233" s="21"/>
      <c r="TIP233" s="21"/>
      <c r="TIQ233" s="15"/>
      <c r="TIR233" s="15"/>
      <c r="TIS233" s="15"/>
      <c r="TIT233" s="15"/>
      <c r="TIU233" s="15"/>
      <c r="TIV233" s="15"/>
      <c r="TIW233" s="15"/>
      <c r="TIX233" s="15"/>
      <c r="TIY233" s="15"/>
      <c r="TIZ233" s="15"/>
      <c r="TJA233" s="10"/>
      <c r="TJB233" s="10"/>
      <c r="TJC233" s="21"/>
      <c r="TJD233" s="21"/>
      <c r="TJG233" s="21"/>
      <c r="TJH233" s="15"/>
      <c r="TJI233" s="15"/>
      <c r="TJJ233" s="15"/>
      <c r="TJK233" s="15"/>
      <c r="TJL233" s="15"/>
      <c r="TJM233" s="15"/>
      <c r="TJN233" s="15"/>
      <c r="TJO233" s="15"/>
      <c r="TJP233" s="15"/>
      <c r="TJQ233" s="15"/>
      <c r="TJR233" s="10"/>
      <c r="TJS233" s="10"/>
      <c r="TJT233" s="21"/>
      <c r="TJU233" s="21"/>
      <c r="TJX233" s="21"/>
      <c r="TJY233" s="15"/>
      <c r="TJZ233" s="15"/>
      <c r="TKA233" s="15"/>
      <c r="TKB233" s="15"/>
      <c r="TKC233" s="15"/>
      <c r="TKD233" s="15"/>
      <c r="TKE233" s="15"/>
      <c r="TKF233" s="15"/>
      <c r="TKG233" s="15"/>
      <c r="TKH233" s="15"/>
      <c r="TKI233" s="10"/>
      <c r="TKJ233" s="10"/>
      <c r="TKK233" s="21"/>
      <c r="TKL233" s="21"/>
      <c r="TKO233" s="21"/>
      <c r="TKP233" s="15"/>
      <c r="TKQ233" s="15"/>
      <c r="TKR233" s="15"/>
      <c r="TKS233" s="15"/>
      <c r="TKT233" s="15"/>
      <c r="TKU233" s="15"/>
      <c r="TKV233" s="15"/>
      <c r="TKW233" s="15"/>
      <c r="TKX233" s="15"/>
      <c r="TKY233" s="15"/>
      <c r="TKZ233" s="10"/>
      <c r="TLA233" s="10"/>
      <c r="TLB233" s="21"/>
      <c r="TLC233" s="21"/>
      <c r="TLF233" s="21"/>
      <c r="TLG233" s="15"/>
      <c r="TLH233" s="15"/>
      <c r="TLI233" s="15"/>
      <c r="TLJ233" s="15"/>
      <c r="TLK233" s="15"/>
      <c r="TLL233" s="15"/>
      <c r="TLM233" s="15"/>
      <c r="TLN233" s="15"/>
      <c r="TLO233" s="15"/>
      <c r="TLP233" s="15"/>
      <c r="TLQ233" s="10"/>
      <c r="TLR233" s="10"/>
      <c r="TLS233" s="21"/>
      <c r="TLT233" s="21"/>
      <c r="TLW233" s="21"/>
      <c r="TLX233" s="15"/>
      <c r="TLY233" s="15"/>
      <c r="TLZ233" s="15"/>
      <c r="TMA233" s="15"/>
      <c r="TMB233" s="15"/>
      <c r="TMC233" s="15"/>
      <c r="TMD233" s="15"/>
      <c r="TME233" s="15"/>
      <c r="TMF233" s="15"/>
      <c r="TMG233" s="15"/>
      <c r="TMH233" s="10"/>
      <c r="TMI233" s="10"/>
      <c r="TMJ233" s="21"/>
      <c r="TMK233" s="21"/>
      <c r="TMN233" s="21"/>
      <c r="TMO233" s="15"/>
      <c r="TMP233" s="15"/>
      <c r="TMQ233" s="15"/>
      <c r="TMR233" s="15"/>
      <c r="TMS233" s="15"/>
      <c r="TMT233" s="15"/>
      <c r="TMU233" s="15"/>
      <c r="TMV233" s="15"/>
      <c r="TMW233" s="15"/>
      <c r="TMX233" s="15"/>
      <c r="TMY233" s="10"/>
      <c r="TMZ233" s="10"/>
      <c r="TNA233" s="21"/>
      <c r="TNB233" s="21"/>
      <c r="TNE233" s="21"/>
      <c r="TNF233" s="15"/>
      <c r="TNG233" s="15"/>
      <c r="TNH233" s="15"/>
      <c r="TNI233" s="15"/>
      <c r="TNJ233" s="15"/>
      <c r="TNK233" s="15"/>
      <c r="TNL233" s="15"/>
      <c r="TNM233" s="15"/>
      <c r="TNN233" s="15"/>
      <c r="TNO233" s="15"/>
      <c r="TNP233" s="10"/>
      <c r="TNQ233" s="10"/>
      <c r="TNR233" s="21"/>
      <c r="TNS233" s="21"/>
      <c r="TNV233" s="21"/>
      <c r="TNW233" s="15"/>
      <c r="TNX233" s="15"/>
      <c r="TNY233" s="15"/>
      <c r="TNZ233" s="15"/>
      <c r="TOA233" s="15"/>
      <c r="TOB233" s="15"/>
      <c r="TOC233" s="15"/>
      <c r="TOD233" s="15"/>
      <c r="TOE233" s="15"/>
      <c r="TOF233" s="15"/>
      <c r="TOG233" s="10"/>
      <c r="TOH233" s="10"/>
      <c r="TOI233" s="21"/>
      <c r="TOJ233" s="21"/>
      <c r="TOM233" s="21"/>
      <c r="TON233" s="15"/>
      <c r="TOO233" s="15"/>
      <c r="TOP233" s="15"/>
      <c r="TOQ233" s="15"/>
      <c r="TOR233" s="15"/>
      <c r="TOS233" s="15"/>
      <c r="TOT233" s="15"/>
      <c r="TOU233" s="15"/>
      <c r="TOV233" s="15"/>
      <c r="TOW233" s="15"/>
      <c r="TOX233" s="10"/>
      <c r="TOY233" s="10"/>
      <c r="TOZ233" s="21"/>
      <c r="TPA233" s="21"/>
      <c r="TPD233" s="21"/>
      <c r="TPE233" s="15"/>
      <c r="TPF233" s="15"/>
      <c r="TPG233" s="15"/>
      <c r="TPH233" s="15"/>
      <c r="TPI233" s="15"/>
      <c r="TPJ233" s="15"/>
      <c r="TPK233" s="15"/>
      <c r="TPL233" s="15"/>
      <c r="TPM233" s="15"/>
      <c r="TPN233" s="15"/>
      <c r="TPO233" s="10"/>
      <c r="TPP233" s="10"/>
      <c r="TPQ233" s="21"/>
      <c r="TPR233" s="21"/>
      <c r="TPU233" s="21"/>
      <c r="TPV233" s="15"/>
      <c r="TPW233" s="15"/>
      <c r="TPX233" s="15"/>
      <c r="TPY233" s="15"/>
      <c r="TPZ233" s="15"/>
      <c r="TQA233" s="15"/>
      <c r="TQB233" s="15"/>
      <c r="TQC233" s="15"/>
      <c r="TQD233" s="15"/>
      <c r="TQE233" s="15"/>
      <c r="TQF233" s="10"/>
      <c r="TQG233" s="10"/>
      <c r="TQH233" s="21"/>
      <c r="TQI233" s="21"/>
      <c r="TQL233" s="21"/>
      <c r="TQM233" s="15"/>
      <c r="TQN233" s="15"/>
      <c r="TQO233" s="15"/>
      <c r="TQP233" s="15"/>
      <c r="TQQ233" s="15"/>
      <c r="TQR233" s="15"/>
      <c r="TQS233" s="15"/>
      <c r="TQT233" s="15"/>
      <c r="TQU233" s="15"/>
      <c r="TQV233" s="15"/>
      <c r="TQW233" s="10"/>
      <c r="TQX233" s="10"/>
      <c r="TQY233" s="21"/>
      <c r="TQZ233" s="21"/>
      <c r="TRC233" s="21"/>
      <c r="TRD233" s="15"/>
      <c r="TRE233" s="15"/>
      <c r="TRF233" s="15"/>
      <c r="TRG233" s="15"/>
      <c r="TRH233" s="15"/>
      <c r="TRI233" s="15"/>
      <c r="TRJ233" s="15"/>
      <c r="TRK233" s="15"/>
      <c r="TRL233" s="15"/>
      <c r="TRM233" s="15"/>
      <c r="TRN233" s="10"/>
      <c r="TRO233" s="10"/>
      <c r="TRP233" s="21"/>
      <c r="TRQ233" s="21"/>
      <c r="TRT233" s="21"/>
      <c r="TRU233" s="15"/>
      <c r="TRV233" s="15"/>
      <c r="TRW233" s="15"/>
      <c r="TRX233" s="15"/>
      <c r="TRY233" s="15"/>
      <c r="TRZ233" s="15"/>
      <c r="TSA233" s="15"/>
      <c r="TSB233" s="15"/>
      <c r="TSC233" s="15"/>
      <c r="TSD233" s="15"/>
      <c r="TSE233" s="10"/>
      <c r="TSF233" s="10"/>
      <c r="TSG233" s="21"/>
      <c r="TSH233" s="21"/>
      <c r="TSK233" s="21"/>
      <c r="TSL233" s="15"/>
      <c r="TSM233" s="15"/>
      <c r="TSN233" s="15"/>
      <c r="TSO233" s="15"/>
      <c r="TSP233" s="15"/>
      <c r="TSQ233" s="15"/>
      <c r="TSR233" s="15"/>
      <c r="TSS233" s="15"/>
      <c r="TST233" s="15"/>
      <c r="TSU233" s="15"/>
      <c r="TSV233" s="10"/>
      <c r="TSW233" s="10"/>
      <c r="TSX233" s="21"/>
      <c r="TSY233" s="21"/>
      <c r="TTB233" s="21"/>
      <c r="TTC233" s="15"/>
      <c r="TTD233" s="15"/>
      <c r="TTE233" s="15"/>
      <c r="TTF233" s="15"/>
      <c r="TTG233" s="15"/>
      <c r="TTH233" s="15"/>
      <c r="TTI233" s="15"/>
      <c r="TTJ233" s="15"/>
      <c r="TTK233" s="15"/>
      <c r="TTL233" s="15"/>
      <c r="TTM233" s="10"/>
      <c r="TTN233" s="10"/>
      <c r="TTO233" s="21"/>
      <c r="TTP233" s="21"/>
      <c r="TTS233" s="21"/>
      <c r="TTT233" s="15"/>
      <c r="TTU233" s="15"/>
      <c r="TTV233" s="15"/>
      <c r="TTW233" s="15"/>
      <c r="TTX233" s="15"/>
      <c r="TTY233" s="15"/>
      <c r="TTZ233" s="15"/>
      <c r="TUA233" s="15"/>
      <c r="TUB233" s="15"/>
      <c r="TUC233" s="15"/>
      <c r="TUD233" s="10"/>
      <c r="TUE233" s="10"/>
      <c r="TUF233" s="21"/>
      <c r="TUG233" s="21"/>
      <c r="TUJ233" s="21"/>
      <c r="TUK233" s="15"/>
      <c r="TUL233" s="15"/>
      <c r="TUM233" s="15"/>
      <c r="TUN233" s="15"/>
      <c r="TUO233" s="15"/>
      <c r="TUP233" s="15"/>
      <c r="TUQ233" s="15"/>
      <c r="TUR233" s="15"/>
      <c r="TUS233" s="15"/>
      <c r="TUT233" s="15"/>
      <c r="TUU233" s="10"/>
      <c r="TUV233" s="10"/>
      <c r="TUW233" s="21"/>
      <c r="TUX233" s="21"/>
      <c r="TVA233" s="21"/>
      <c r="TVB233" s="15"/>
      <c r="TVC233" s="15"/>
      <c r="TVD233" s="15"/>
      <c r="TVE233" s="15"/>
      <c r="TVF233" s="15"/>
      <c r="TVG233" s="15"/>
      <c r="TVH233" s="15"/>
      <c r="TVI233" s="15"/>
      <c r="TVJ233" s="15"/>
      <c r="TVK233" s="15"/>
      <c r="TVL233" s="10"/>
      <c r="TVM233" s="10"/>
      <c r="TVN233" s="21"/>
      <c r="TVO233" s="21"/>
      <c r="TVR233" s="21"/>
      <c r="TVS233" s="15"/>
      <c r="TVT233" s="15"/>
      <c r="TVU233" s="15"/>
      <c r="TVV233" s="15"/>
      <c r="TVW233" s="15"/>
      <c r="TVX233" s="15"/>
      <c r="TVY233" s="15"/>
      <c r="TVZ233" s="15"/>
      <c r="TWA233" s="15"/>
      <c r="TWB233" s="15"/>
      <c r="TWC233" s="10"/>
      <c r="TWD233" s="10"/>
      <c r="TWE233" s="21"/>
      <c r="TWF233" s="21"/>
      <c r="TWI233" s="21"/>
      <c r="TWJ233" s="15"/>
      <c r="TWK233" s="15"/>
      <c r="TWL233" s="15"/>
      <c r="TWM233" s="15"/>
      <c r="TWN233" s="15"/>
      <c r="TWO233" s="15"/>
      <c r="TWP233" s="15"/>
      <c r="TWQ233" s="15"/>
      <c r="TWR233" s="15"/>
      <c r="TWS233" s="15"/>
      <c r="TWT233" s="10"/>
      <c r="TWU233" s="10"/>
      <c r="TWV233" s="21"/>
      <c r="TWW233" s="21"/>
      <c r="TWZ233" s="21"/>
      <c r="TXA233" s="15"/>
      <c r="TXB233" s="15"/>
      <c r="TXC233" s="15"/>
      <c r="TXD233" s="15"/>
      <c r="TXE233" s="15"/>
      <c r="TXF233" s="15"/>
      <c r="TXG233" s="15"/>
      <c r="TXH233" s="15"/>
      <c r="TXI233" s="15"/>
      <c r="TXJ233" s="15"/>
      <c r="TXK233" s="10"/>
      <c r="TXL233" s="10"/>
      <c r="TXM233" s="21"/>
      <c r="TXN233" s="21"/>
      <c r="TXQ233" s="21"/>
      <c r="TXR233" s="15"/>
      <c r="TXS233" s="15"/>
      <c r="TXT233" s="15"/>
      <c r="TXU233" s="15"/>
      <c r="TXV233" s="15"/>
      <c r="TXW233" s="15"/>
      <c r="TXX233" s="15"/>
      <c r="TXY233" s="15"/>
      <c r="TXZ233" s="15"/>
      <c r="TYA233" s="15"/>
      <c r="TYB233" s="10"/>
      <c r="TYC233" s="10"/>
      <c r="TYD233" s="21"/>
      <c r="TYE233" s="21"/>
      <c r="TYH233" s="21"/>
      <c r="TYI233" s="15"/>
      <c r="TYJ233" s="15"/>
      <c r="TYK233" s="15"/>
      <c r="TYL233" s="15"/>
      <c r="TYM233" s="15"/>
      <c r="TYN233" s="15"/>
      <c r="TYO233" s="15"/>
      <c r="TYP233" s="15"/>
      <c r="TYQ233" s="15"/>
      <c r="TYR233" s="15"/>
      <c r="TYS233" s="10"/>
      <c r="TYT233" s="10"/>
      <c r="TYU233" s="21"/>
      <c r="TYV233" s="21"/>
      <c r="TYY233" s="21"/>
      <c r="TYZ233" s="15"/>
      <c r="TZA233" s="15"/>
      <c r="TZB233" s="15"/>
      <c r="TZC233" s="15"/>
      <c r="TZD233" s="15"/>
      <c r="TZE233" s="15"/>
      <c r="TZF233" s="15"/>
      <c r="TZG233" s="15"/>
      <c r="TZH233" s="15"/>
      <c r="TZI233" s="15"/>
      <c r="TZJ233" s="10"/>
      <c r="TZK233" s="10"/>
      <c r="TZL233" s="21"/>
      <c r="TZM233" s="21"/>
      <c r="TZP233" s="21"/>
      <c r="TZQ233" s="15"/>
      <c r="TZR233" s="15"/>
      <c r="TZS233" s="15"/>
      <c r="TZT233" s="15"/>
      <c r="TZU233" s="15"/>
      <c r="TZV233" s="15"/>
      <c r="TZW233" s="15"/>
      <c r="TZX233" s="15"/>
      <c r="TZY233" s="15"/>
      <c r="TZZ233" s="15"/>
      <c r="UAA233" s="10"/>
      <c r="UAB233" s="10"/>
      <c r="UAC233" s="21"/>
      <c r="UAD233" s="21"/>
      <c r="UAG233" s="21"/>
      <c r="UAH233" s="15"/>
      <c r="UAI233" s="15"/>
      <c r="UAJ233" s="15"/>
      <c r="UAK233" s="15"/>
      <c r="UAL233" s="15"/>
      <c r="UAM233" s="15"/>
      <c r="UAN233" s="15"/>
      <c r="UAO233" s="15"/>
      <c r="UAP233" s="15"/>
      <c r="UAQ233" s="15"/>
      <c r="UAR233" s="10"/>
      <c r="UAS233" s="10"/>
      <c r="UAT233" s="21"/>
      <c r="UAU233" s="21"/>
      <c r="UAX233" s="21"/>
      <c r="UAY233" s="15"/>
      <c r="UAZ233" s="15"/>
      <c r="UBA233" s="15"/>
      <c r="UBB233" s="15"/>
      <c r="UBC233" s="15"/>
      <c r="UBD233" s="15"/>
      <c r="UBE233" s="15"/>
      <c r="UBF233" s="15"/>
      <c r="UBG233" s="15"/>
      <c r="UBH233" s="15"/>
      <c r="UBI233" s="10"/>
      <c r="UBJ233" s="10"/>
      <c r="UBK233" s="21"/>
      <c r="UBL233" s="21"/>
      <c r="UBO233" s="21"/>
      <c r="UBP233" s="15"/>
      <c r="UBQ233" s="15"/>
      <c r="UBR233" s="15"/>
      <c r="UBS233" s="15"/>
      <c r="UBT233" s="15"/>
      <c r="UBU233" s="15"/>
      <c r="UBV233" s="15"/>
      <c r="UBW233" s="15"/>
      <c r="UBX233" s="15"/>
      <c r="UBY233" s="15"/>
      <c r="UBZ233" s="10"/>
      <c r="UCA233" s="10"/>
      <c r="UCB233" s="21"/>
      <c r="UCC233" s="21"/>
      <c r="UCF233" s="21"/>
      <c r="UCG233" s="15"/>
      <c r="UCH233" s="15"/>
      <c r="UCI233" s="15"/>
      <c r="UCJ233" s="15"/>
      <c r="UCK233" s="15"/>
      <c r="UCL233" s="15"/>
      <c r="UCM233" s="15"/>
      <c r="UCN233" s="15"/>
      <c r="UCO233" s="15"/>
      <c r="UCP233" s="15"/>
      <c r="UCQ233" s="10"/>
      <c r="UCR233" s="10"/>
      <c r="UCS233" s="21"/>
      <c r="UCT233" s="21"/>
      <c r="UCW233" s="21"/>
      <c r="UCX233" s="15"/>
      <c r="UCY233" s="15"/>
      <c r="UCZ233" s="15"/>
      <c r="UDA233" s="15"/>
      <c r="UDB233" s="15"/>
      <c r="UDC233" s="15"/>
      <c r="UDD233" s="15"/>
      <c r="UDE233" s="15"/>
      <c r="UDF233" s="15"/>
      <c r="UDG233" s="15"/>
      <c r="UDH233" s="10"/>
      <c r="UDI233" s="10"/>
      <c r="UDJ233" s="21"/>
      <c r="UDK233" s="21"/>
      <c r="UDN233" s="21"/>
      <c r="UDO233" s="15"/>
      <c r="UDP233" s="15"/>
      <c r="UDQ233" s="15"/>
      <c r="UDR233" s="15"/>
      <c r="UDS233" s="15"/>
      <c r="UDT233" s="15"/>
      <c r="UDU233" s="15"/>
      <c r="UDV233" s="15"/>
      <c r="UDW233" s="15"/>
      <c r="UDX233" s="15"/>
      <c r="UDY233" s="10"/>
      <c r="UDZ233" s="10"/>
      <c r="UEA233" s="21"/>
      <c r="UEB233" s="21"/>
      <c r="UEE233" s="21"/>
      <c r="UEF233" s="15"/>
      <c r="UEG233" s="15"/>
      <c r="UEH233" s="15"/>
      <c r="UEI233" s="15"/>
      <c r="UEJ233" s="15"/>
      <c r="UEK233" s="15"/>
      <c r="UEL233" s="15"/>
      <c r="UEM233" s="15"/>
      <c r="UEN233" s="15"/>
      <c r="UEO233" s="15"/>
      <c r="UEP233" s="10"/>
      <c r="UEQ233" s="10"/>
      <c r="UER233" s="21"/>
      <c r="UES233" s="21"/>
      <c r="UEV233" s="21"/>
      <c r="UEW233" s="15"/>
      <c r="UEX233" s="15"/>
      <c r="UEY233" s="15"/>
      <c r="UEZ233" s="15"/>
      <c r="UFA233" s="15"/>
      <c r="UFB233" s="15"/>
      <c r="UFC233" s="15"/>
      <c r="UFD233" s="15"/>
      <c r="UFE233" s="15"/>
      <c r="UFF233" s="15"/>
      <c r="UFG233" s="10"/>
      <c r="UFH233" s="10"/>
      <c r="UFI233" s="21"/>
      <c r="UFJ233" s="21"/>
      <c r="UFM233" s="21"/>
      <c r="UFN233" s="15"/>
      <c r="UFO233" s="15"/>
      <c r="UFP233" s="15"/>
      <c r="UFQ233" s="15"/>
      <c r="UFR233" s="15"/>
      <c r="UFS233" s="15"/>
      <c r="UFT233" s="15"/>
      <c r="UFU233" s="15"/>
      <c r="UFV233" s="15"/>
      <c r="UFW233" s="15"/>
      <c r="UFX233" s="10"/>
      <c r="UFY233" s="10"/>
      <c r="UFZ233" s="21"/>
      <c r="UGA233" s="21"/>
      <c r="UGD233" s="21"/>
      <c r="UGE233" s="15"/>
      <c r="UGF233" s="15"/>
      <c r="UGG233" s="15"/>
      <c r="UGH233" s="15"/>
      <c r="UGI233" s="15"/>
      <c r="UGJ233" s="15"/>
      <c r="UGK233" s="15"/>
      <c r="UGL233" s="15"/>
      <c r="UGM233" s="15"/>
      <c r="UGN233" s="15"/>
      <c r="UGO233" s="10"/>
      <c r="UGP233" s="10"/>
      <c r="UGQ233" s="21"/>
      <c r="UGR233" s="21"/>
      <c r="UGU233" s="21"/>
      <c r="UGV233" s="15"/>
      <c r="UGW233" s="15"/>
      <c r="UGX233" s="15"/>
      <c r="UGY233" s="15"/>
      <c r="UGZ233" s="15"/>
      <c r="UHA233" s="15"/>
      <c r="UHB233" s="15"/>
      <c r="UHC233" s="15"/>
      <c r="UHD233" s="15"/>
      <c r="UHE233" s="15"/>
      <c r="UHF233" s="10"/>
      <c r="UHG233" s="10"/>
      <c r="UHH233" s="21"/>
      <c r="UHI233" s="21"/>
      <c r="UHL233" s="21"/>
      <c r="UHM233" s="15"/>
      <c r="UHN233" s="15"/>
      <c r="UHO233" s="15"/>
      <c r="UHP233" s="15"/>
      <c r="UHQ233" s="15"/>
      <c r="UHR233" s="15"/>
      <c r="UHS233" s="15"/>
      <c r="UHT233" s="15"/>
      <c r="UHU233" s="15"/>
      <c r="UHV233" s="15"/>
      <c r="UHW233" s="10"/>
      <c r="UHX233" s="10"/>
      <c r="UHY233" s="21"/>
      <c r="UHZ233" s="21"/>
      <c r="UIC233" s="21"/>
      <c r="UID233" s="15"/>
      <c r="UIE233" s="15"/>
      <c r="UIF233" s="15"/>
      <c r="UIG233" s="15"/>
      <c r="UIH233" s="15"/>
      <c r="UII233" s="15"/>
      <c r="UIJ233" s="15"/>
      <c r="UIK233" s="15"/>
      <c r="UIL233" s="15"/>
      <c r="UIM233" s="15"/>
      <c r="UIN233" s="10"/>
      <c r="UIO233" s="10"/>
      <c r="UIP233" s="21"/>
      <c r="UIQ233" s="21"/>
      <c r="UIT233" s="21"/>
      <c r="UIU233" s="15"/>
      <c r="UIV233" s="15"/>
      <c r="UIW233" s="15"/>
      <c r="UIX233" s="15"/>
      <c r="UIY233" s="15"/>
      <c r="UIZ233" s="15"/>
      <c r="UJA233" s="15"/>
      <c r="UJB233" s="15"/>
      <c r="UJC233" s="15"/>
      <c r="UJD233" s="15"/>
      <c r="UJE233" s="10"/>
      <c r="UJF233" s="10"/>
      <c r="UJG233" s="21"/>
      <c r="UJH233" s="21"/>
      <c r="UJK233" s="21"/>
      <c r="UJL233" s="15"/>
      <c r="UJM233" s="15"/>
      <c r="UJN233" s="15"/>
      <c r="UJO233" s="15"/>
      <c r="UJP233" s="15"/>
      <c r="UJQ233" s="15"/>
      <c r="UJR233" s="15"/>
      <c r="UJS233" s="15"/>
      <c r="UJT233" s="15"/>
      <c r="UJU233" s="15"/>
      <c r="UJV233" s="10"/>
      <c r="UJW233" s="10"/>
      <c r="UJX233" s="21"/>
      <c r="UJY233" s="21"/>
      <c r="UKB233" s="21"/>
      <c r="UKC233" s="15"/>
      <c r="UKD233" s="15"/>
      <c r="UKE233" s="15"/>
      <c r="UKF233" s="15"/>
      <c r="UKG233" s="15"/>
      <c r="UKH233" s="15"/>
      <c r="UKI233" s="15"/>
      <c r="UKJ233" s="15"/>
      <c r="UKK233" s="15"/>
      <c r="UKL233" s="15"/>
      <c r="UKM233" s="10"/>
      <c r="UKN233" s="10"/>
      <c r="UKO233" s="21"/>
      <c r="UKP233" s="21"/>
      <c r="UKS233" s="21"/>
      <c r="UKT233" s="15"/>
      <c r="UKU233" s="15"/>
      <c r="UKV233" s="15"/>
      <c r="UKW233" s="15"/>
      <c r="UKX233" s="15"/>
      <c r="UKY233" s="15"/>
      <c r="UKZ233" s="15"/>
      <c r="ULA233" s="15"/>
      <c r="ULB233" s="15"/>
      <c r="ULC233" s="15"/>
      <c r="ULD233" s="10"/>
      <c r="ULE233" s="10"/>
      <c r="ULF233" s="21"/>
      <c r="ULG233" s="21"/>
      <c r="ULJ233" s="21"/>
      <c r="ULK233" s="15"/>
      <c r="ULL233" s="15"/>
      <c r="ULM233" s="15"/>
      <c r="ULN233" s="15"/>
      <c r="ULO233" s="15"/>
      <c r="ULP233" s="15"/>
      <c r="ULQ233" s="15"/>
      <c r="ULR233" s="15"/>
      <c r="ULS233" s="15"/>
      <c r="ULT233" s="15"/>
      <c r="ULU233" s="10"/>
      <c r="ULV233" s="10"/>
      <c r="ULW233" s="21"/>
      <c r="ULX233" s="21"/>
      <c r="UMA233" s="21"/>
      <c r="UMB233" s="15"/>
      <c r="UMC233" s="15"/>
      <c r="UMD233" s="15"/>
      <c r="UME233" s="15"/>
      <c r="UMF233" s="15"/>
      <c r="UMG233" s="15"/>
      <c r="UMH233" s="15"/>
      <c r="UMI233" s="15"/>
      <c r="UMJ233" s="15"/>
      <c r="UMK233" s="15"/>
      <c r="UML233" s="10"/>
      <c r="UMM233" s="10"/>
      <c r="UMN233" s="21"/>
      <c r="UMO233" s="21"/>
      <c r="UMR233" s="21"/>
      <c r="UMS233" s="15"/>
      <c r="UMT233" s="15"/>
      <c r="UMU233" s="15"/>
      <c r="UMV233" s="15"/>
      <c r="UMW233" s="15"/>
      <c r="UMX233" s="15"/>
      <c r="UMY233" s="15"/>
      <c r="UMZ233" s="15"/>
      <c r="UNA233" s="15"/>
      <c r="UNB233" s="15"/>
      <c r="UNC233" s="10"/>
      <c r="UND233" s="10"/>
      <c r="UNE233" s="21"/>
      <c r="UNF233" s="21"/>
      <c r="UNI233" s="21"/>
      <c r="UNJ233" s="15"/>
      <c r="UNK233" s="15"/>
      <c r="UNL233" s="15"/>
      <c r="UNM233" s="15"/>
      <c r="UNN233" s="15"/>
      <c r="UNO233" s="15"/>
      <c r="UNP233" s="15"/>
      <c r="UNQ233" s="15"/>
      <c r="UNR233" s="15"/>
      <c r="UNS233" s="15"/>
      <c r="UNT233" s="10"/>
      <c r="UNU233" s="10"/>
      <c r="UNV233" s="21"/>
      <c r="UNW233" s="21"/>
      <c r="UNZ233" s="21"/>
      <c r="UOA233" s="15"/>
      <c r="UOB233" s="15"/>
      <c r="UOC233" s="15"/>
      <c r="UOD233" s="15"/>
      <c r="UOE233" s="15"/>
      <c r="UOF233" s="15"/>
      <c r="UOG233" s="15"/>
      <c r="UOH233" s="15"/>
      <c r="UOI233" s="15"/>
      <c r="UOJ233" s="15"/>
      <c r="UOK233" s="10"/>
      <c r="UOL233" s="10"/>
      <c r="UOM233" s="21"/>
      <c r="UON233" s="21"/>
      <c r="UOQ233" s="21"/>
      <c r="UOR233" s="15"/>
      <c r="UOS233" s="15"/>
      <c r="UOT233" s="15"/>
      <c r="UOU233" s="15"/>
      <c r="UOV233" s="15"/>
      <c r="UOW233" s="15"/>
      <c r="UOX233" s="15"/>
      <c r="UOY233" s="15"/>
      <c r="UOZ233" s="15"/>
      <c r="UPA233" s="15"/>
      <c r="UPB233" s="10"/>
      <c r="UPC233" s="10"/>
      <c r="UPD233" s="21"/>
      <c r="UPE233" s="21"/>
      <c r="UPH233" s="21"/>
      <c r="UPI233" s="15"/>
      <c r="UPJ233" s="15"/>
      <c r="UPK233" s="15"/>
      <c r="UPL233" s="15"/>
      <c r="UPM233" s="15"/>
      <c r="UPN233" s="15"/>
      <c r="UPO233" s="15"/>
      <c r="UPP233" s="15"/>
      <c r="UPQ233" s="15"/>
      <c r="UPR233" s="15"/>
      <c r="UPS233" s="10"/>
      <c r="UPT233" s="10"/>
      <c r="UPU233" s="21"/>
      <c r="UPV233" s="21"/>
      <c r="UPY233" s="21"/>
      <c r="UPZ233" s="15"/>
      <c r="UQA233" s="15"/>
      <c r="UQB233" s="15"/>
      <c r="UQC233" s="15"/>
      <c r="UQD233" s="15"/>
      <c r="UQE233" s="15"/>
      <c r="UQF233" s="15"/>
      <c r="UQG233" s="15"/>
      <c r="UQH233" s="15"/>
      <c r="UQI233" s="15"/>
      <c r="UQJ233" s="10"/>
      <c r="UQK233" s="10"/>
      <c r="UQL233" s="21"/>
      <c r="UQM233" s="21"/>
      <c r="UQP233" s="21"/>
      <c r="UQQ233" s="15"/>
      <c r="UQR233" s="15"/>
      <c r="UQS233" s="15"/>
      <c r="UQT233" s="15"/>
      <c r="UQU233" s="15"/>
      <c r="UQV233" s="15"/>
      <c r="UQW233" s="15"/>
      <c r="UQX233" s="15"/>
      <c r="UQY233" s="15"/>
      <c r="UQZ233" s="15"/>
      <c r="URA233" s="10"/>
      <c r="URB233" s="10"/>
      <c r="URC233" s="21"/>
      <c r="URD233" s="21"/>
      <c r="URG233" s="21"/>
      <c r="URH233" s="15"/>
      <c r="URI233" s="15"/>
      <c r="URJ233" s="15"/>
      <c r="URK233" s="15"/>
      <c r="URL233" s="15"/>
      <c r="URM233" s="15"/>
      <c r="URN233" s="15"/>
      <c r="URO233" s="15"/>
      <c r="URP233" s="15"/>
      <c r="URQ233" s="15"/>
      <c r="URR233" s="10"/>
      <c r="URS233" s="10"/>
      <c r="URT233" s="21"/>
      <c r="URU233" s="21"/>
      <c r="URX233" s="21"/>
      <c r="URY233" s="15"/>
      <c r="URZ233" s="15"/>
      <c r="USA233" s="15"/>
      <c r="USB233" s="15"/>
      <c r="USC233" s="15"/>
      <c r="USD233" s="15"/>
      <c r="USE233" s="15"/>
      <c r="USF233" s="15"/>
      <c r="USG233" s="15"/>
      <c r="USH233" s="15"/>
      <c r="USI233" s="10"/>
      <c r="USJ233" s="10"/>
      <c r="USK233" s="21"/>
      <c r="USL233" s="21"/>
      <c r="USO233" s="21"/>
      <c r="USP233" s="15"/>
      <c r="USQ233" s="15"/>
      <c r="USR233" s="15"/>
      <c r="USS233" s="15"/>
      <c r="UST233" s="15"/>
      <c r="USU233" s="15"/>
      <c r="USV233" s="15"/>
      <c r="USW233" s="15"/>
      <c r="USX233" s="15"/>
      <c r="USY233" s="15"/>
      <c r="USZ233" s="10"/>
      <c r="UTA233" s="10"/>
      <c r="UTB233" s="21"/>
      <c r="UTC233" s="21"/>
      <c r="UTF233" s="21"/>
      <c r="UTG233" s="15"/>
      <c r="UTH233" s="15"/>
      <c r="UTI233" s="15"/>
      <c r="UTJ233" s="15"/>
      <c r="UTK233" s="15"/>
      <c r="UTL233" s="15"/>
      <c r="UTM233" s="15"/>
      <c r="UTN233" s="15"/>
      <c r="UTO233" s="15"/>
      <c r="UTP233" s="15"/>
      <c r="UTQ233" s="10"/>
      <c r="UTR233" s="10"/>
      <c r="UTS233" s="21"/>
      <c r="UTT233" s="21"/>
      <c r="UTW233" s="21"/>
      <c r="UTX233" s="15"/>
      <c r="UTY233" s="15"/>
      <c r="UTZ233" s="15"/>
      <c r="UUA233" s="15"/>
      <c r="UUB233" s="15"/>
      <c r="UUC233" s="15"/>
      <c r="UUD233" s="15"/>
      <c r="UUE233" s="15"/>
      <c r="UUF233" s="15"/>
      <c r="UUG233" s="15"/>
      <c r="UUH233" s="10"/>
      <c r="UUI233" s="10"/>
      <c r="UUJ233" s="21"/>
      <c r="UUK233" s="21"/>
      <c r="UUN233" s="21"/>
      <c r="UUO233" s="15"/>
      <c r="UUP233" s="15"/>
      <c r="UUQ233" s="15"/>
      <c r="UUR233" s="15"/>
      <c r="UUS233" s="15"/>
      <c r="UUT233" s="15"/>
      <c r="UUU233" s="15"/>
      <c r="UUV233" s="15"/>
      <c r="UUW233" s="15"/>
      <c r="UUX233" s="15"/>
      <c r="UUY233" s="10"/>
      <c r="UUZ233" s="10"/>
      <c r="UVA233" s="21"/>
      <c r="UVB233" s="21"/>
      <c r="UVE233" s="21"/>
      <c r="UVF233" s="15"/>
      <c r="UVG233" s="15"/>
      <c r="UVH233" s="15"/>
      <c r="UVI233" s="15"/>
      <c r="UVJ233" s="15"/>
      <c r="UVK233" s="15"/>
      <c r="UVL233" s="15"/>
      <c r="UVM233" s="15"/>
      <c r="UVN233" s="15"/>
      <c r="UVO233" s="15"/>
      <c r="UVP233" s="10"/>
      <c r="UVQ233" s="10"/>
      <c r="UVR233" s="21"/>
      <c r="UVS233" s="21"/>
      <c r="UVV233" s="21"/>
      <c r="UVW233" s="15"/>
      <c r="UVX233" s="15"/>
      <c r="UVY233" s="15"/>
      <c r="UVZ233" s="15"/>
      <c r="UWA233" s="15"/>
      <c r="UWB233" s="15"/>
      <c r="UWC233" s="15"/>
      <c r="UWD233" s="15"/>
      <c r="UWE233" s="15"/>
      <c r="UWF233" s="15"/>
      <c r="UWG233" s="10"/>
      <c r="UWH233" s="10"/>
      <c r="UWI233" s="21"/>
      <c r="UWJ233" s="21"/>
      <c r="UWM233" s="21"/>
      <c r="UWN233" s="15"/>
      <c r="UWO233" s="15"/>
      <c r="UWP233" s="15"/>
      <c r="UWQ233" s="15"/>
      <c r="UWR233" s="15"/>
      <c r="UWS233" s="15"/>
      <c r="UWT233" s="15"/>
      <c r="UWU233" s="15"/>
      <c r="UWV233" s="15"/>
      <c r="UWW233" s="15"/>
      <c r="UWX233" s="10"/>
      <c r="UWY233" s="10"/>
      <c r="UWZ233" s="21"/>
      <c r="UXA233" s="21"/>
      <c r="UXD233" s="21"/>
      <c r="UXE233" s="15"/>
      <c r="UXF233" s="15"/>
      <c r="UXG233" s="15"/>
      <c r="UXH233" s="15"/>
      <c r="UXI233" s="15"/>
      <c r="UXJ233" s="15"/>
      <c r="UXK233" s="15"/>
      <c r="UXL233" s="15"/>
      <c r="UXM233" s="15"/>
      <c r="UXN233" s="15"/>
      <c r="UXO233" s="10"/>
      <c r="UXP233" s="10"/>
      <c r="UXQ233" s="21"/>
      <c r="UXR233" s="21"/>
      <c r="UXU233" s="21"/>
      <c r="UXV233" s="15"/>
      <c r="UXW233" s="15"/>
      <c r="UXX233" s="15"/>
      <c r="UXY233" s="15"/>
      <c r="UXZ233" s="15"/>
      <c r="UYA233" s="15"/>
      <c r="UYB233" s="15"/>
      <c r="UYC233" s="15"/>
      <c r="UYD233" s="15"/>
      <c r="UYE233" s="15"/>
      <c r="UYF233" s="10"/>
      <c r="UYG233" s="10"/>
      <c r="UYH233" s="21"/>
      <c r="UYI233" s="21"/>
      <c r="UYL233" s="21"/>
      <c r="UYM233" s="15"/>
      <c r="UYN233" s="15"/>
      <c r="UYO233" s="15"/>
      <c r="UYP233" s="15"/>
      <c r="UYQ233" s="15"/>
      <c r="UYR233" s="15"/>
      <c r="UYS233" s="15"/>
      <c r="UYT233" s="15"/>
      <c r="UYU233" s="15"/>
      <c r="UYV233" s="15"/>
      <c r="UYW233" s="10"/>
      <c r="UYX233" s="10"/>
      <c r="UYY233" s="21"/>
      <c r="UYZ233" s="21"/>
      <c r="UZC233" s="21"/>
      <c r="UZD233" s="15"/>
      <c r="UZE233" s="15"/>
      <c r="UZF233" s="15"/>
      <c r="UZG233" s="15"/>
      <c r="UZH233" s="15"/>
      <c r="UZI233" s="15"/>
      <c r="UZJ233" s="15"/>
      <c r="UZK233" s="15"/>
      <c r="UZL233" s="15"/>
      <c r="UZM233" s="15"/>
      <c r="UZN233" s="10"/>
      <c r="UZO233" s="10"/>
      <c r="UZP233" s="21"/>
      <c r="UZQ233" s="21"/>
      <c r="UZT233" s="21"/>
      <c r="UZU233" s="15"/>
      <c r="UZV233" s="15"/>
      <c r="UZW233" s="15"/>
      <c r="UZX233" s="15"/>
      <c r="UZY233" s="15"/>
      <c r="UZZ233" s="15"/>
      <c r="VAA233" s="15"/>
      <c r="VAB233" s="15"/>
      <c r="VAC233" s="15"/>
      <c r="VAD233" s="15"/>
      <c r="VAE233" s="10"/>
      <c r="VAF233" s="10"/>
      <c r="VAG233" s="21"/>
      <c r="VAH233" s="21"/>
      <c r="VAK233" s="21"/>
      <c r="VAL233" s="15"/>
      <c r="VAM233" s="15"/>
      <c r="VAN233" s="15"/>
      <c r="VAO233" s="15"/>
      <c r="VAP233" s="15"/>
      <c r="VAQ233" s="15"/>
      <c r="VAR233" s="15"/>
      <c r="VAS233" s="15"/>
      <c r="VAT233" s="15"/>
      <c r="VAU233" s="15"/>
      <c r="VAV233" s="10"/>
      <c r="VAW233" s="10"/>
      <c r="VAX233" s="21"/>
      <c r="VAY233" s="21"/>
      <c r="VBB233" s="21"/>
      <c r="VBC233" s="15"/>
      <c r="VBD233" s="15"/>
      <c r="VBE233" s="15"/>
      <c r="VBF233" s="15"/>
      <c r="VBG233" s="15"/>
      <c r="VBH233" s="15"/>
      <c r="VBI233" s="15"/>
      <c r="VBJ233" s="15"/>
      <c r="VBK233" s="15"/>
      <c r="VBL233" s="15"/>
      <c r="VBM233" s="10"/>
      <c r="VBN233" s="10"/>
      <c r="VBO233" s="21"/>
      <c r="VBP233" s="21"/>
      <c r="VBS233" s="21"/>
      <c r="VBT233" s="15"/>
      <c r="VBU233" s="15"/>
      <c r="VBV233" s="15"/>
      <c r="VBW233" s="15"/>
      <c r="VBX233" s="15"/>
      <c r="VBY233" s="15"/>
      <c r="VBZ233" s="15"/>
      <c r="VCA233" s="15"/>
      <c r="VCB233" s="15"/>
      <c r="VCC233" s="15"/>
      <c r="VCD233" s="10"/>
      <c r="VCE233" s="10"/>
      <c r="VCF233" s="21"/>
      <c r="VCG233" s="21"/>
      <c r="VCJ233" s="21"/>
      <c r="VCK233" s="15"/>
      <c r="VCL233" s="15"/>
      <c r="VCM233" s="15"/>
      <c r="VCN233" s="15"/>
      <c r="VCO233" s="15"/>
      <c r="VCP233" s="15"/>
      <c r="VCQ233" s="15"/>
      <c r="VCR233" s="15"/>
      <c r="VCS233" s="15"/>
      <c r="VCT233" s="15"/>
      <c r="VCU233" s="10"/>
      <c r="VCV233" s="10"/>
      <c r="VCW233" s="21"/>
      <c r="VCX233" s="21"/>
      <c r="VDA233" s="21"/>
      <c r="VDB233" s="15"/>
      <c r="VDC233" s="15"/>
      <c r="VDD233" s="15"/>
      <c r="VDE233" s="15"/>
      <c r="VDF233" s="15"/>
      <c r="VDG233" s="15"/>
      <c r="VDH233" s="15"/>
      <c r="VDI233" s="15"/>
      <c r="VDJ233" s="15"/>
      <c r="VDK233" s="15"/>
      <c r="VDL233" s="10"/>
      <c r="VDM233" s="10"/>
      <c r="VDN233" s="21"/>
      <c r="VDO233" s="21"/>
      <c r="VDR233" s="21"/>
      <c r="VDS233" s="15"/>
      <c r="VDT233" s="15"/>
      <c r="VDU233" s="15"/>
      <c r="VDV233" s="15"/>
      <c r="VDW233" s="15"/>
      <c r="VDX233" s="15"/>
      <c r="VDY233" s="15"/>
      <c r="VDZ233" s="15"/>
      <c r="VEA233" s="15"/>
      <c r="VEB233" s="15"/>
      <c r="VEC233" s="10"/>
      <c r="VED233" s="10"/>
      <c r="VEE233" s="21"/>
      <c r="VEF233" s="21"/>
      <c r="VEI233" s="21"/>
      <c r="VEJ233" s="15"/>
      <c r="VEK233" s="15"/>
      <c r="VEL233" s="15"/>
      <c r="VEM233" s="15"/>
      <c r="VEN233" s="15"/>
      <c r="VEO233" s="15"/>
      <c r="VEP233" s="15"/>
      <c r="VEQ233" s="15"/>
      <c r="VER233" s="15"/>
      <c r="VES233" s="15"/>
      <c r="VET233" s="10"/>
      <c r="VEU233" s="10"/>
      <c r="VEV233" s="21"/>
      <c r="VEW233" s="21"/>
      <c r="VEZ233" s="21"/>
      <c r="VFA233" s="15"/>
      <c r="VFB233" s="15"/>
      <c r="VFC233" s="15"/>
      <c r="VFD233" s="15"/>
      <c r="VFE233" s="15"/>
      <c r="VFF233" s="15"/>
      <c r="VFG233" s="15"/>
      <c r="VFH233" s="15"/>
      <c r="VFI233" s="15"/>
      <c r="VFJ233" s="15"/>
      <c r="VFK233" s="10"/>
      <c r="VFL233" s="10"/>
      <c r="VFM233" s="21"/>
      <c r="VFN233" s="21"/>
      <c r="VFQ233" s="21"/>
      <c r="VFR233" s="15"/>
      <c r="VFS233" s="15"/>
      <c r="VFT233" s="15"/>
      <c r="VFU233" s="15"/>
      <c r="VFV233" s="15"/>
      <c r="VFW233" s="15"/>
      <c r="VFX233" s="15"/>
      <c r="VFY233" s="15"/>
      <c r="VFZ233" s="15"/>
      <c r="VGA233" s="15"/>
      <c r="VGB233" s="10"/>
      <c r="VGC233" s="10"/>
      <c r="VGD233" s="21"/>
      <c r="VGE233" s="21"/>
      <c r="VGH233" s="21"/>
      <c r="VGI233" s="15"/>
      <c r="VGJ233" s="15"/>
      <c r="VGK233" s="15"/>
      <c r="VGL233" s="15"/>
      <c r="VGM233" s="15"/>
      <c r="VGN233" s="15"/>
      <c r="VGO233" s="15"/>
      <c r="VGP233" s="15"/>
      <c r="VGQ233" s="15"/>
      <c r="VGR233" s="15"/>
      <c r="VGS233" s="10"/>
      <c r="VGT233" s="10"/>
      <c r="VGU233" s="21"/>
      <c r="VGV233" s="21"/>
      <c r="VGY233" s="21"/>
      <c r="VGZ233" s="15"/>
      <c r="VHA233" s="15"/>
      <c r="VHB233" s="15"/>
      <c r="VHC233" s="15"/>
      <c r="VHD233" s="15"/>
      <c r="VHE233" s="15"/>
      <c r="VHF233" s="15"/>
      <c r="VHG233" s="15"/>
      <c r="VHH233" s="15"/>
      <c r="VHI233" s="15"/>
      <c r="VHJ233" s="10"/>
      <c r="VHK233" s="10"/>
      <c r="VHL233" s="21"/>
      <c r="VHM233" s="21"/>
      <c r="VHP233" s="21"/>
      <c r="VHQ233" s="15"/>
      <c r="VHR233" s="15"/>
      <c r="VHS233" s="15"/>
      <c r="VHT233" s="15"/>
      <c r="VHU233" s="15"/>
      <c r="VHV233" s="15"/>
      <c r="VHW233" s="15"/>
      <c r="VHX233" s="15"/>
      <c r="VHY233" s="15"/>
      <c r="VHZ233" s="15"/>
      <c r="VIA233" s="10"/>
      <c r="VIB233" s="10"/>
      <c r="VIC233" s="21"/>
      <c r="VID233" s="21"/>
      <c r="VIG233" s="21"/>
      <c r="VIH233" s="15"/>
      <c r="VII233" s="15"/>
      <c r="VIJ233" s="15"/>
      <c r="VIK233" s="15"/>
      <c r="VIL233" s="15"/>
      <c r="VIM233" s="15"/>
      <c r="VIN233" s="15"/>
      <c r="VIO233" s="15"/>
      <c r="VIP233" s="15"/>
      <c r="VIQ233" s="15"/>
      <c r="VIR233" s="10"/>
      <c r="VIS233" s="10"/>
      <c r="VIT233" s="21"/>
      <c r="VIU233" s="21"/>
      <c r="VIX233" s="21"/>
      <c r="VIY233" s="15"/>
      <c r="VIZ233" s="15"/>
      <c r="VJA233" s="15"/>
      <c r="VJB233" s="15"/>
      <c r="VJC233" s="15"/>
      <c r="VJD233" s="15"/>
      <c r="VJE233" s="15"/>
      <c r="VJF233" s="15"/>
      <c r="VJG233" s="15"/>
      <c r="VJH233" s="15"/>
      <c r="VJI233" s="10"/>
      <c r="VJJ233" s="10"/>
      <c r="VJK233" s="21"/>
      <c r="VJL233" s="21"/>
      <c r="VJO233" s="21"/>
      <c r="VJP233" s="15"/>
      <c r="VJQ233" s="15"/>
      <c r="VJR233" s="15"/>
      <c r="VJS233" s="15"/>
      <c r="VJT233" s="15"/>
      <c r="VJU233" s="15"/>
      <c r="VJV233" s="15"/>
      <c r="VJW233" s="15"/>
      <c r="VJX233" s="15"/>
      <c r="VJY233" s="15"/>
      <c r="VJZ233" s="10"/>
      <c r="VKA233" s="10"/>
      <c r="VKB233" s="21"/>
      <c r="VKC233" s="21"/>
      <c r="VKF233" s="21"/>
      <c r="VKG233" s="15"/>
      <c r="VKH233" s="15"/>
      <c r="VKI233" s="15"/>
      <c r="VKJ233" s="15"/>
      <c r="VKK233" s="15"/>
      <c r="VKL233" s="15"/>
      <c r="VKM233" s="15"/>
      <c r="VKN233" s="15"/>
      <c r="VKO233" s="15"/>
      <c r="VKP233" s="15"/>
      <c r="VKQ233" s="10"/>
      <c r="VKR233" s="10"/>
      <c r="VKS233" s="21"/>
      <c r="VKT233" s="21"/>
      <c r="VKW233" s="21"/>
      <c r="VKX233" s="15"/>
      <c r="VKY233" s="15"/>
      <c r="VKZ233" s="15"/>
      <c r="VLA233" s="15"/>
      <c r="VLB233" s="15"/>
      <c r="VLC233" s="15"/>
      <c r="VLD233" s="15"/>
      <c r="VLE233" s="15"/>
      <c r="VLF233" s="15"/>
      <c r="VLG233" s="15"/>
      <c r="VLH233" s="10"/>
      <c r="VLI233" s="10"/>
      <c r="VLJ233" s="21"/>
      <c r="VLK233" s="21"/>
      <c r="VLN233" s="21"/>
      <c r="VLO233" s="15"/>
      <c r="VLP233" s="15"/>
      <c r="VLQ233" s="15"/>
      <c r="VLR233" s="15"/>
      <c r="VLS233" s="15"/>
      <c r="VLT233" s="15"/>
      <c r="VLU233" s="15"/>
      <c r="VLV233" s="15"/>
      <c r="VLW233" s="15"/>
      <c r="VLX233" s="15"/>
      <c r="VLY233" s="10"/>
      <c r="VLZ233" s="10"/>
      <c r="VMA233" s="21"/>
      <c r="VMB233" s="21"/>
      <c r="VME233" s="21"/>
      <c r="VMF233" s="15"/>
      <c r="VMG233" s="15"/>
      <c r="VMH233" s="15"/>
      <c r="VMI233" s="15"/>
      <c r="VMJ233" s="15"/>
      <c r="VMK233" s="15"/>
      <c r="VML233" s="15"/>
      <c r="VMM233" s="15"/>
      <c r="VMN233" s="15"/>
      <c r="VMO233" s="15"/>
      <c r="VMP233" s="10"/>
      <c r="VMQ233" s="10"/>
      <c r="VMR233" s="21"/>
      <c r="VMS233" s="21"/>
      <c r="VMV233" s="21"/>
      <c r="VMW233" s="15"/>
      <c r="VMX233" s="15"/>
      <c r="VMY233" s="15"/>
      <c r="VMZ233" s="15"/>
      <c r="VNA233" s="15"/>
      <c r="VNB233" s="15"/>
      <c r="VNC233" s="15"/>
      <c r="VND233" s="15"/>
      <c r="VNE233" s="15"/>
      <c r="VNF233" s="15"/>
      <c r="VNG233" s="10"/>
      <c r="VNH233" s="10"/>
      <c r="VNI233" s="21"/>
      <c r="VNJ233" s="21"/>
      <c r="VNM233" s="21"/>
      <c r="VNN233" s="15"/>
      <c r="VNO233" s="15"/>
      <c r="VNP233" s="15"/>
      <c r="VNQ233" s="15"/>
      <c r="VNR233" s="15"/>
      <c r="VNS233" s="15"/>
      <c r="VNT233" s="15"/>
      <c r="VNU233" s="15"/>
      <c r="VNV233" s="15"/>
      <c r="VNW233" s="15"/>
      <c r="VNX233" s="10"/>
      <c r="VNY233" s="10"/>
      <c r="VNZ233" s="21"/>
      <c r="VOA233" s="21"/>
      <c r="VOD233" s="21"/>
      <c r="VOE233" s="15"/>
      <c r="VOF233" s="15"/>
      <c r="VOG233" s="15"/>
      <c r="VOH233" s="15"/>
      <c r="VOI233" s="15"/>
      <c r="VOJ233" s="15"/>
      <c r="VOK233" s="15"/>
      <c r="VOL233" s="15"/>
      <c r="VOM233" s="15"/>
      <c r="VON233" s="15"/>
      <c r="VOO233" s="10"/>
      <c r="VOP233" s="10"/>
      <c r="VOQ233" s="21"/>
      <c r="VOR233" s="21"/>
      <c r="VOU233" s="21"/>
      <c r="VOV233" s="15"/>
      <c r="VOW233" s="15"/>
      <c r="VOX233" s="15"/>
      <c r="VOY233" s="15"/>
      <c r="VOZ233" s="15"/>
      <c r="VPA233" s="15"/>
      <c r="VPB233" s="15"/>
      <c r="VPC233" s="15"/>
      <c r="VPD233" s="15"/>
      <c r="VPE233" s="15"/>
      <c r="VPF233" s="10"/>
      <c r="VPG233" s="10"/>
      <c r="VPH233" s="21"/>
      <c r="VPI233" s="21"/>
      <c r="VPL233" s="21"/>
      <c r="VPM233" s="15"/>
      <c r="VPN233" s="15"/>
      <c r="VPO233" s="15"/>
      <c r="VPP233" s="15"/>
      <c r="VPQ233" s="15"/>
      <c r="VPR233" s="15"/>
      <c r="VPS233" s="15"/>
      <c r="VPT233" s="15"/>
      <c r="VPU233" s="15"/>
      <c r="VPV233" s="15"/>
      <c r="VPW233" s="10"/>
      <c r="VPX233" s="10"/>
      <c r="VPY233" s="21"/>
      <c r="VPZ233" s="21"/>
      <c r="VQC233" s="21"/>
      <c r="VQD233" s="15"/>
      <c r="VQE233" s="15"/>
      <c r="VQF233" s="15"/>
      <c r="VQG233" s="15"/>
      <c r="VQH233" s="15"/>
      <c r="VQI233" s="15"/>
      <c r="VQJ233" s="15"/>
      <c r="VQK233" s="15"/>
      <c r="VQL233" s="15"/>
      <c r="VQM233" s="15"/>
      <c r="VQN233" s="10"/>
      <c r="VQO233" s="10"/>
      <c r="VQP233" s="21"/>
      <c r="VQQ233" s="21"/>
      <c r="VQT233" s="21"/>
      <c r="VQU233" s="15"/>
      <c r="VQV233" s="15"/>
      <c r="VQW233" s="15"/>
      <c r="VQX233" s="15"/>
      <c r="VQY233" s="15"/>
      <c r="VQZ233" s="15"/>
      <c r="VRA233" s="15"/>
      <c r="VRB233" s="15"/>
      <c r="VRC233" s="15"/>
      <c r="VRD233" s="15"/>
      <c r="VRE233" s="10"/>
      <c r="VRF233" s="10"/>
      <c r="VRG233" s="21"/>
      <c r="VRH233" s="21"/>
      <c r="VRK233" s="21"/>
      <c r="VRL233" s="15"/>
      <c r="VRM233" s="15"/>
      <c r="VRN233" s="15"/>
      <c r="VRO233" s="15"/>
      <c r="VRP233" s="15"/>
      <c r="VRQ233" s="15"/>
      <c r="VRR233" s="15"/>
      <c r="VRS233" s="15"/>
      <c r="VRT233" s="15"/>
      <c r="VRU233" s="15"/>
      <c r="VRV233" s="10"/>
      <c r="VRW233" s="10"/>
      <c r="VRX233" s="21"/>
      <c r="VRY233" s="21"/>
      <c r="VSB233" s="21"/>
      <c r="VSC233" s="15"/>
      <c r="VSD233" s="15"/>
      <c r="VSE233" s="15"/>
      <c r="VSF233" s="15"/>
      <c r="VSG233" s="15"/>
      <c r="VSH233" s="15"/>
      <c r="VSI233" s="15"/>
      <c r="VSJ233" s="15"/>
      <c r="VSK233" s="15"/>
      <c r="VSL233" s="15"/>
      <c r="VSM233" s="10"/>
      <c r="VSN233" s="10"/>
      <c r="VSO233" s="21"/>
      <c r="VSP233" s="21"/>
      <c r="VSS233" s="21"/>
      <c r="VST233" s="15"/>
      <c r="VSU233" s="15"/>
      <c r="VSV233" s="15"/>
      <c r="VSW233" s="15"/>
      <c r="VSX233" s="15"/>
      <c r="VSY233" s="15"/>
      <c r="VSZ233" s="15"/>
      <c r="VTA233" s="15"/>
      <c r="VTB233" s="15"/>
      <c r="VTC233" s="15"/>
      <c r="VTD233" s="10"/>
      <c r="VTE233" s="10"/>
      <c r="VTF233" s="21"/>
      <c r="VTG233" s="21"/>
      <c r="VTJ233" s="21"/>
      <c r="VTK233" s="15"/>
      <c r="VTL233" s="15"/>
      <c r="VTM233" s="15"/>
      <c r="VTN233" s="15"/>
      <c r="VTO233" s="15"/>
      <c r="VTP233" s="15"/>
      <c r="VTQ233" s="15"/>
      <c r="VTR233" s="15"/>
      <c r="VTS233" s="15"/>
      <c r="VTT233" s="15"/>
      <c r="VTU233" s="10"/>
      <c r="VTV233" s="10"/>
      <c r="VTW233" s="21"/>
      <c r="VTX233" s="21"/>
      <c r="VUA233" s="21"/>
      <c r="VUB233" s="15"/>
      <c r="VUC233" s="15"/>
      <c r="VUD233" s="15"/>
      <c r="VUE233" s="15"/>
      <c r="VUF233" s="15"/>
      <c r="VUG233" s="15"/>
      <c r="VUH233" s="15"/>
      <c r="VUI233" s="15"/>
      <c r="VUJ233" s="15"/>
      <c r="VUK233" s="15"/>
      <c r="VUL233" s="10"/>
      <c r="VUM233" s="10"/>
      <c r="VUN233" s="21"/>
      <c r="VUO233" s="21"/>
      <c r="VUR233" s="21"/>
      <c r="VUS233" s="15"/>
      <c r="VUT233" s="15"/>
      <c r="VUU233" s="15"/>
      <c r="VUV233" s="15"/>
      <c r="VUW233" s="15"/>
      <c r="VUX233" s="15"/>
      <c r="VUY233" s="15"/>
      <c r="VUZ233" s="15"/>
      <c r="VVA233" s="15"/>
      <c r="VVB233" s="15"/>
      <c r="VVC233" s="10"/>
      <c r="VVD233" s="10"/>
      <c r="VVE233" s="21"/>
      <c r="VVF233" s="21"/>
      <c r="VVI233" s="21"/>
      <c r="VVJ233" s="15"/>
      <c r="VVK233" s="15"/>
      <c r="VVL233" s="15"/>
      <c r="VVM233" s="15"/>
      <c r="VVN233" s="15"/>
      <c r="VVO233" s="15"/>
      <c r="VVP233" s="15"/>
      <c r="VVQ233" s="15"/>
      <c r="VVR233" s="15"/>
      <c r="VVS233" s="15"/>
      <c r="VVT233" s="10"/>
      <c r="VVU233" s="10"/>
      <c r="VVV233" s="21"/>
      <c r="VVW233" s="21"/>
      <c r="VVZ233" s="21"/>
      <c r="VWA233" s="15"/>
      <c r="VWB233" s="15"/>
      <c r="VWC233" s="15"/>
      <c r="VWD233" s="15"/>
      <c r="VWE233" s="15"/>
      <c r="VWF233" s="15"/>
      <c r="VWG233" s="15"/>
      <c r="VWH233" s="15"/>
      <c r="VWI233" s="15"/>
      <c r="VWJ233" s="15"/>
      <c r="VWK233" s="10"/>
      <c r="VWL233" s="10"/>
      <c r="VWM233" s="21"/>
      <c r="VWN233" s="21"/>
      <c r="VWQ233" s="21"/>
      <c r="VWR233" s="15"/>
      <c r="VWS233" s="15"/>
      <c r="VWT233" s="15"/>
      <c r="VWU233" s="15"/>
      <c r="VWV233" s="15"/>
      <c r="VWW233" s="15"/>
      <c r="VWX233" s="15"/>
      <c r="VWY233" s="15"/>
      <c r="VWZ233" s="15"/>
      <c r="VXA233" s="15"/>
      <c r="VXB233" s="10"/>
      <c r="VXC233" s="10"/>
      <c r="VXD233" s="21"/>
      <c r="VXE233" s="21"/>
      <c r="VXH233" s="21"/>
      <c r="VXI233" s="15"/>
      <c r="VXJ233" s="15"/>
      <c r="VXK233" s="15"/>
      <c r="VXL233" s="15"/>
      <c r="VXM233" s="15"/>
      <c r="VXN233" s="15"/>
      <c r="VXO233" s="15"/>
      <c r="VXP233" s="15"/>
      <c r="VXQ233" s="15"/>
      <c r="VXR233" s="15"/>
      <c r="VXS233" s="10"/>
      <c r="VXT233" s="10"/>
      <c r="VXU233" s="21"/>
      <c r="VXV233" s="21"/>
      <c r="VXY233" s="21"/>
      <c r="VXZ233" s="15"/>
      <c r="VYA233" s="15"/>
      <c r="VYB233" s="15"/>
      <c r="VYC233" s="15"/>
      <c r="VYD233" s="15"/>
      <c r="VYE233" s="15"/>
      <c r="VYF233" s="15"/>
      <c r="VYG233" s="15"/>
      <c r="VYH233" s="15"/>
      <c r="VYI233" s="15"/>
      <c r="VYJ233" s="10"/>
      <c r="VYK233" s="10"/>
      <c r="VYL233" s="21"/>
      <c r="VYM233" s="21"/>
      <c r="VYP233" s="21"/>
      <c r="VYQ233" s="15"/>
      <c r="VYR233" s="15"/>
      <c r="VYS233" s="15"/>
      <c r="VYT233" s="15"/>
      <c r="VYU233" s="15"/>
      <c r="VYV233" s="15"/>
      <c r="VYW233" s="15"/>
      <c r="VYX233" s="15"/>
      <c r="VYY233" s="15"/>
      <c r="VYZ233" s="15"/>
      <c r="VZA233" s="10"/>
      <c r="VZB233" s="10"/>
      <c r="VZC233" s="21"/>
      <c r="VZD233" s="21"/>
      <c r="VZG233" s="21"/>
      <c r="VZH233" s="15"/>
      <c r="VZI233" s="15"/>
      <c r="VZJ233" s="15"/>
      <c r="VZK233" s="15"/>
      <c r="VZL233" s="15"/>
      <c r="VZM233" s="15"/>
      <c r="VZN233" s="15"/>
      <c r="VZO233" s="15"/>
      <c r="VZP233" s="15"/>
      <c r="VZQ233" s="15"/>
      <c r="VZR233" s="10"/>
      <c r="VZS233" s="10"/>
      <c r="VZT233" s="21"/>
      <c r="VZU233" s="21"/>
      <c r="VZX233" s="21"/>
      <c r="VZY233" s="15"/>
      <c r="VZZ233" s="15"/>
      <c r="WAA233" s="15"/>
      <c r="WAB233" s="15"/>
      <c r="WAC233" s="15"/>
      <c r="WAD233" s="15"/>
      <c r="WAE233" s="15"/>
      <c r="WAF233" s="15"/>
      <c r="WAG233" s="15"/>
      <c r="WAH233" s="15"/>
      <c r="WAI233" s="10"/>
      <c r="WAJ233" s="10"/>
      <c r="WAK233" s="21"/>
      <c r="WAL233" s="21"/>
      <c r="WAO233" s="21"/>
      <c r="WAP233" s="15"/>
      <c r="WAQ233" s="15"/>
      <c r="WAR233" s="15"/>
      <c r="WAS233" s="15"/>
      <c r="WAT233" s="15"/>
      <c r="WAU233" s="15"/>
      <c r="WAV233" s="15"/>
      <c r="WAW233" s="15"/>
      <c r="WAX233" s="15"/>
      <c r="WAY233" s="15"/>
      <c r="WAZ233" s="10"/>
      <c r="WBA233" s="10"/>
      <c r="WBB233" s="21"/>
      <c r="WBC233" s="21"/>
      <c r="WBF233" s="21"/>
      <c r="WBG233" s="15"/>
      <c r="WBH233" s="15"/>
      <c r="WBI233" s="15"/>
      <c r="WBJ233" s="15"/>
      <c r="WBK233" s="15"/>
      <c r="WBL233" s="15"/>
      <c r="WBM233" s="15"/>
      <c r="WBN233" s="15"/>
      <c r="WBO233" s="15"/>
      <c r="WBP233" s="15"/>
      <c r="WBQ233" s="10"/>
      <c r="WBR233" s="10"/>
      <c r="WBS233" s="21"/>
      <c r="WBT233" s="21"/>
      <c r="WBW233" s="21"/>
      <c r="WBX233" s="15"/>
      <c r="WBY233" s="15"/>
      <c r="WBZ233" s="15"/>
      <c r="WCA233" s="15"/>
      <c r="WCB233" s="15"/>
      <c r="WCC233" s="15"/>
      <c r="WCD233" s="15"/>
      <c r="WCE233" s="15"/>
      <c r="WCF233" s="15"/>
      <c r="WCG233" s="15"/>
      <c r="WCH233" s="10"/>
      <c r="WCI233" s="10"/>
      <c r="WCJ233" s="21"/>
      <c r="WCK233" s="21"/>
      <c r="WCN233" s="21"/>
      <c r="WCO233" s="15"/>
      <c r="WCP233" s="15"/>
      <c r="WCQ233" s="15"/>
      <c r="WCR233" s="15"/>
      <c r="WCS233" s="15"/>
      <c r="WCT233" s="15"/>
      <c r="WCU233" s="15"/>
      <c r="WCV233" s="15"/>
      <c r="WCW233" s="15"/>
      <c r="WCX233" s="15"/>
      <c r="WCY233" s="10"/>
      <c r="WCZ233" s="10"/>
      <c r="WDA233" s="21"/>
      <c r="WDB233" s="21"/>
      <c r="WDE233" s="21"/>
      <c r="WDF233" s="15"/>
      <c r="WDG233" s="15"/>
      <c r="WDH233" s="15"/>
      <c r="WDI233" s="15"/>
      <c r="WDJ233" s="15"/>
      <c r="WDK233" s="15"/>
      <c r="WDL233" s="15"/>
      <c r="WDM233" s="15"/>
      <c r="WDN233" s="15"/>
      <c r="WDO233" s="15"/>
      <c r="WDP233" s="10"/>
      <c r="WDQ233" s="10"/>
      <c r="WDR233" s="21"/>
      <c r="WDS233" s="21"/>
      <c r="WDV233" s="21"/>
      <c r="WDW233" s="15"/>
      <c r="WDX233" s="15"/>
      <c r="WDY233" s="15"/>
      <c r="WDZ233" s="15"/>
      <c r="WEA233" s="15"/>
      <c r="WEB233" s="15"/>
      <c r="WEC233" s="15"/>
      <c r="WED233" s="15"/>
      <c r="WEE233" s="15"/>
      <c r="WEF233" s="15"/>
      <c r="WEG233" s="10"/>
      <c r="WEH233" s="10"/>
      <c r="WEI233" s="21"/>
      <c r="WEJ233" s="21"/>
      <c r="WEM233" s="21"/>
      <c r="WEN233" s="15"/>
      <c r="WEO233" s="15"/>
      <c r="WEP233" s="15"/>
      <c r="WEQ233" s="15"/>
      <c r="WER233" s="15"/>
      <c r="WES233" s="15"/>
      <c r="WET233" s="15"/>
      <c r="WEU233" s="15"/>
      <c r="WEV233" s="15"/>
      <c r="WEW233" s="15"/>
      <c r="WEX233" s="10"/>
      <c r="WEY233" s="10"/>
      <c r="WEZ233" s="21"/>
      <c r="WFA233" s="21"/>
      <c r="WFD233" s="21"/>
      <c r="WFE233" s="15"/>
      <c r="WFF233" s="15"/>
      <c r="WFG233" s="15"/>
      <c r="WFH233" s="15"/>
      <c r="WFI233" s="15"/>
      <c r="WFJ233" s="15"/>
      <c r="WFK233" s="15"/>
      <c r="WFL233" s="15"/>
      <c r="WFM233" s="15"/>
      <c r="WFN233" s="15"/>
      <c r="WFO233" s="10"/>
      <c r="WFP233" s="10"/>
      <c r="WFQ233" s="21"/>
      <c r="WFR233" s="21"/>
      <c r="WFU233" s="21"/>
      <c r="WFV233" s="15"/>
      <c r="WFW233" s="15"/>
      <c r="WFX233" s="15"/>
      <c r="WFY233" s="15"/>
      <c r="WFZ233" s="15"/>
      <c r="WGA233" s="15"/>
      <c r="WGB233" s="15"/>
      <c r="WGC233" s="15"/>
      <c r="WGD233" s="15"/>
      <c r="WGE233" s="15"/>
      <c r="WGF233" s="10"/>
      <c r="WGG233" s="10"/>
      <c r="WGH233" s="21"/>
      <c r="WGI233" s="21"/>
      <c r="WGL233" s="21"/>
      <c r="WGM233" s="15"/>
      <c r="WGN233" s="15"/>
      <c r="WGO233" s="15"/>
      <c r="WGP233" s="15"/>
      <c r="WGQ233" s="15"/>
      <c r="WGR233" s="15"/>
      <c r="WGS233" s="15"/>
      <c r="WGT233" s="15"/>
      <c r="WGU233" s="15"/>
      <c r="WGV233" s="15"/>
      <c r="WGW233" s="10"/>
      <c r="WGX233" s="10"/>
      <c r="WGY233" s="21"/>
      <c r="WGZ233" s="21"/>
      <c r="WHC233" s="21"/>
      <c r="WHD233" s="15"/>
      <c r="WHE233" s="15"/>
      <c r="WHF233" s="15"/>
      <c r="WHG233" s="15"/>
      <c r="WHH233" s="15"/>
      <c r="WHI233" s="15"/>
      <c r="WHJ233" s="15"/>
      <c r="WHK233" s="15"/>
      <c r="WHL233" s="15"/>
      <c r="WHM233" s="15"/>
      <c r="WHN233" s="10"/>
      <c r="WHO233" s="10"/>
      <c r="WHP233" s="21"/>
      <c r="WHQ233" s="21"/>
      <c r="WHT233" s="21"/>
      <c r="WHU233" s="15"/>
      <c r="WHV233" s="15"/>
      <c r="WHW233" s="15"/>
      <c r="WHX233" s="15"/>
      <c r="WHY233" s="15"/>
      <c r="WHZ233" s="15"/>
      <c r="WIA233" s="15"/>
      <c r="WIB233" s="15"/>
      <c r="WIC233" s="15"/>
      <c r="WID233" s="15"/>
      <c r="WIE233" s="10"/>
      <c r="WIF233" s="10"/>
      <c r="WIG233" s="21"/>
      <c r="WIH233" s="21"/>
      <c r="WIK233" s="21"/>
      <c r="WIL233" s="15"/>
      <c r="WIM233" s="15"/>
      <c r="WIN233" s="15"/>
      <c r="WIO233" s="15"/>
      <c r="WIP233" s="15"/>
      <c r="WIQ233" s="15"/>
      <c r="WIR233" s="15"/>
      <c r="WIS233" s="15"/>
      <c r="WIT233" s="15"/>
      <c r="WIU233" s="15"/>
      <c r="WIV233" s="10"/>
      <c r="WIW233" s="10"/>
      <c r="WIX233" s="21"/>
      <c r="WIY233" s="21"/>
      <c r="WJB233" s="21"/>
      <c r="WJC233" s="15"/>
      <c r="WJD233" s="15"/>
      <c r="WJE233" s="15"/>
      <c r="WJF233" s="15"/>
      <c r="WJG233" s="15"/>
      <c r="WJH233" s="15"/>
      <c r="WJI233" s="15"/>
      <c r="WJJ233" s="15"/>
      <c r="WJK233" s="15"/>
      <c r="WJL233" s="15"/>
      <c r="WJM233" s="10"/>
      <c r="WJN233" s="10"/>
      <c r="WJO233" s="21"/>
      <c r="WJP233" s="21"/>
      <c r="WJS233" s="21"/>
      <c r="WJT233" s="15"/>
      <c r="WJU233" s="15"/>
      <c r="WJV233" s="15"/>
      <c r="WJW233" s="15"/>
      <c r="WJX233" s="15"/>
      <c r="WJY233" s="15"/>
      <c r="WJZ233" s="15"/>
      <c r="WKA233" s="15"/>
      <c r="WKB233" s="15"/>
      <c r="WKC233" s="15"/>
      <c r="WKD233" s="10"/>
      <c r="WKE233" s="10"/>
      <c r="WKF233" s="21"/>
      <c r="WKG233" s="21"/>
      <c r="WKJ233" s="21"/>
      <c r="WKK233" s="15"/>
      <c r="WKL233" s="15"/>
      <c r="WKM233" s="15"/>
      <c r="WKN233" s="15"/>
      <c r="WKO233" s="15"/>
      <c r="WKP233" s="15"/>
      <c r="WKQ233" s="15"/>
      <c r="WKR233" s="15"/>
      <c r="WKS233" s="15"/>
      <c r="WKT233" s="15"/>
      <c r="WKU233" s="10"/>
      <c r="WKV233" s="10"/>
      <c r="WKW233" s="21"/>
      <c r="WKX233" s="21"/>
      <c r="WLA233" s="21"/>
      <c r="WLB233" s="15"/>
      <c r="WLC233" s="15"/>
      <c r="WLD233" s="15"/>
      <c r="WLE233" s="15"/>
      <c r="WLF233" s="15"/>
      <c r="WLG233" s="15"/>
      <c r="WLH233" s="15"/>
      <c r="WLI233" s="15"/>
      <c r="WLJ233" s="15"/>
      <c r="WLK233" s="15"/>
      <c r="WLL233" s="10"/>
      <c r="WLM233" s="10"/>
      <c r="WLN233" s="21"/>
      <c r="WLO233" s="21"/>
      <c r="WLR233" s="21"/>
      <c r="WLS233" s="15"/>
      <c r="WLT233" s="15"/>
      <c r="WLU233" s="15"/>
      <c r="WLV233" s="15"/>
      <c r="WLW233" s="15"/>
      <c r="WLX233" s="15"/>
      <c r="WLY233" s="15"/>
      <c r="WLZ233" s="15"/>
      <c r="WMA233" s="15"/>
      <c r="WMB233" s="15"/>
      <c r="WMC233" s="10"/>
      <c r="WMD233" s="10"/>
      <c r="WME233" s="21"/>
      <c r="WMF233" s="21"/>
      <c r="WMI233" s="21"/>
      <c r="WMJ233" s="15"/>
      <c r="WMK233" s="15"/>
      <c r="WML233" s="15"/>
      <c r="WMM233" s="15"/>
      <c r="WMN233" s="15"/>
      <c r="WMO233" s="15"/>
      <c r="WMP233" s="15"/>
      <c r="WMQ233" s="15"/>
      <c r="WMR233" s="15"/>
      <c r="WMS233" s="15"/>
      <c r="WMT233" s="10"/>
      <c r="WMU233" s="10"/>
      <c r="WMV233" s="21"/>
      <c r="WMW233" s="21"/>
      <c r="WMZ233" s="21"/>
      <c r="WNA233" s="15"/>
      <c r="WNB233" s="15"/>
      <c r="WNC233" s="15"/>
      <c r="WND233" s="15"/>
      <c r="WNE233" s="15"/>
      <c r="WNF233" s="15"/>
      <c r="WNG233" s="15"/>
      <c r="WNH233" s="15"/>
      <c r="WNI233" s="15"/>
      <c r="WNJ233" s="15"/>
      <c r="WNK233" s="10"/>
      <c r="WNL233" s="10"/>
      <c r="WNM233" s="21"/>
      <c r="WNN233" s="21"/>
      <c r="WNQ233" s="21"/>
      <c r="WNR233" s="15"/>
      <c r="WNS233" s="15"/>
      <c r="WNT233" s="15"/>
      <c r="WNU233" s="15"/>
      <c r="WNV233" s="15"/>
      <c r="WNW233" s="15"/>
      <c r="WNX233" s="15"/>
      <c r="WNY233" s="15"/>
      <c r="WNZ233" s="15"/>
      <c r="WOA233" s="15"/>
      <c r="WOB233" s="10"/>
      <c r="WOC233" s="10"/>
      <c r="WOD233" s="21"/>
      <c r="WOE233" s="21"/>
      <c r="WOH233" s="21"/>
      <c r="WOI233" s="15"/>
      <c r="WOJ233" s="15"/>
      <c r="WOK233" s="15"/>
      <c r="WOL233" s="15"/>
      <c r="WOM233" s="15"/>
      <c r="WON233" s="15"/>
      <c r="WOO233" s="15"/>
      <c r="WOP233" s="15"/>
      <c r="WOQ233" s="15"/>
      <c r="WOR233" s="15"/>
      <c r="WOS233" s="10"/>
      <c r="WOT233" s="10"/>
      <c r="WOU233" s="21"/>
      <c r="WOV233" s="21"/>
      <c r="WOY233" s="21"/>
      <c r="WOZ233" s="15"/>
      <c r="WPA233" s="15"/>
      <c r="WPB233" s="15"/>
      <c r="WPC233" s="15"/>
      <c r="WPD233" s="15"/>
      <c r="WPE233" s="15"/>
      <c r="WPF233" s="15"/>
      <c r="WPG233" s="15"/>
      <c r="WPH233" s="15"/>
      <c r="WPI233" s="15"/>
      <c r="WPJ233" s="10"/>
      <c r="WPK233" s="10"/>
      <c r="WPL233" s="21"/>
      <c r="WPM233" s="21"/>
      <c r="WPP233" s="21"/>
      <c r="WPQ233" s="15"/>
      <c r="WPR233" s="15"/>
      <c r="WPS233" s="15"/>
      <c r="WPT233" s="15"/>
      <c r="WPU233" s="15"/>
      <c r="WPV233" s="15"/>
      <c r="WPW233" s="15"/>
      <c r="WPX233" s="15"/>
      <c r="WPY233" s="15"/>
      <c r="WPZ233" s="15"/>
      <c r="WQA233" s="10"/>
      <c r="WQB233" s="10"/>
      <c r="WQC233" s="21"/>
      <c r="WQD233" s="21"/>
      <c r="WQG233" s="21"/>
      <c r="WQH233" s="15"/>
      <c r="WQI233" s="15"/>
      <c r="WQJ233" s="15"/>
      <c r="WQK233" s="15"/>
      <c r="WQL233" s="15"/>
      <c r="WQM233" s="15"/>
      <c r="WQN233" s="15"/>
      <c r="WQO233" s="15"/>
      <c r="WQP233" s="15"/>
      <c r="WQQ233" s="15"/>
      <c r="WQR233" s="10"/>
      <c r="WQS233" s="10"/>
      <c r="WQT233" s="21"/>
      <c r="WQU233" s="21"/>
      <c r="WQX233" s="21"/>
      <c r="WQY233" s="15"/>
      <c r="WQZ233" s="15"/>
      <c r="WRA233" s="15"/>
      <c r="WRB233" s="15"/>
      <c r="WRC233" s="15"/>
      <c r="WRD233" s="15"/>
      <c r="WRE233" s="15"/>
      <c r="WRF233" s="15"/>
      <c r="WRG233" s="15"/>
      <c r="WRH233" s="15"/>
      <c r="WRI233" s="10"/>
      <c r="WRJ233" s="10"/>
      <c r="WRK233" s="21"/>
      <c r="WRL233" s="21"/>
      <c r="WRO233" s="21"/>
      <c r="WRP233" s="15"/>
      <c r="WRQ233" s="15"/>
      <c r="WRR233" s="15"/>
      <c r="WRS233" s="15"/>
      <c r="WRT233" s="15"/>
      <c r="WRU233" s="15"/>
      <c r="WRV233" s="15"/>
      <c r="WRW233" s="15"/>
      <c r="WRX233" s="15"/>
      <c r="WRY233" s="15"/>
      <c r="WRZ233" s="10"/>
      <c r="WSA233" s="10"/>
      <c r="WSB233" s="21"/>
      <c r="WSC233" s="21"/>
      <c r="WSF233" s="21"/>
      <c r="WSG233" s="15"/>
      <c r="WSH233" s="15"/>
      <c r="WSI233" s="15"/>
      <c r="WSJ233" s="15"/>
      <c r="WSK233" s="15"/>
      <c r="WSL233" s="15"/>
      <c r="WSM233" s="15"/>
      <c r="WSN233" s="15"/>
      <c r="WSO233" s="15"/>
      <c r="WSP233" s="15"/>
      <c r="WSQ233" s="10"/>
      <c r="WSR233" s="10"/>
      <c r="WSS233" s="21"/>
      <c r="WST233" s="21"/>
      <c r="WSW233" s="21"/>
      <c r="WSX233" s="15"/>
      <c r="WSY233" s="15"/>
      <c r="WSZ233" s="15"/>
      <c r="WTA233" s="15"/>
      <c r="WTB233" s="15"/>
      <c r="WTC233" s="15"/>
      <c r="WTD233" s="15"/>
      <c r="WTE233" s="15"/>
      <c r="WTF233" s="15"/>
      <c r="WTG233" s="15"/>
      <c r="WTH233" s="10"/>
      <c r="WTI233" s="10"/>
      <c r="WTJ233" s="21"/>
      <c r="WTK233" s="21"/>
      <c r="WTN233" s="21"/>
      <c r="WTO233" s="15"/>
      <c r="WTP233" s="15"/>
      <c r="WTQ233" s="15"/>
      <c r="WTR233" s="15"/>
      <c r="WTS233" s="15"/>
      <c r="WTT233" s="15"/>
      <c r="WTU233" s="15"/>
      <c r="WTV233" s="15"/>
      <c r="WTW233" s="15"/>
      <c r="WTX233" s="15"/>
      <c r="WTY233" s="10"/>
      <c r="WTZ233" s="10"/>
      <c r="WUA233" s="21"/>
      <c r="WUB233" s="21"/>
      <c r="WUE233" s="21"/>
      <c r="WUF233" s="15"/>
      <c r="WUG233" s="15"/>
      <c r="WUH233" s="15"/>
      <c r="WUI233" s="15"/>
      <c r="WUJ233" s="15"/>
      <c r="WUK233" s="15"/>
      <c r="WUL233" s="15"/>
      <c r="WUM233" s="15"/>
      <c r="WUN233" s="15"/>
      <c r="WUO233" s="15"/>
      <c r="WUP233" s="10"/>
      <c r="WUQ233" s="10"/>
      <c r="WUR233" s="21"/>
      <c r="WUS233" s="21"/>
      <c r="WUV233" s="21"/>
      <c r="WUW233" s="15"/>
      <c r="WUX233" s="15"/>
      <c r="WUY233" s="15"/>
      <c r="WUZ233" s="15"/>
      <c r="WVA233" s="15"/>
      <c r="WVB233" s="15"/>
      <c r="WVC233" s="15"/>
      <c r="WVD233" s="15"/>
      <c r="WVE233" s="15"/>
      <c r="WVF233" s="15"/>
      <c r="WVG233" s="10"/>
      <c r="WVH233" s="10"/>
      <c r="WVI233" s="21"/>
      <c r="WVJ233" s="21"/>
      <c r="WVM233" s="21"/>
      <c r="WVN233" s="15"/>
      <c r="WVO233" s="15"/>
      <c r="WVP233" s="15"/>
      <c r="WVQ233" s="15"/>
      <c r="WVR233" s="15"/>
      <c r="WVS233" s="15"/>
      <c r="WVT233" s="15"/>
      <c r="WVU233" s="15"/>
      <c r="WVV233" s="15"/>
      <c r="WVW233" s="15"/>
      <c r="WVX233" s="10"/>
      <c r="WVY233" s="10"/>
      <c r="WVZ233" s="21"/>
      <c r="WWA233" s="21"/>
      <c r="WWD233" s="21"/>
      <c r="WWE233" s="15"/>
      <c r="WWF233" s="15"/>
      <c r="WWG233" s="15"/>
      <c r="WWH233" s="15"/>
      <c r="WWI233" s="15"/>
      <c r="WWJ233" s="15"/>
      <c r="WWK233" s="15"/>
      <c r="WWL233" s="15"/>
      <c r="WWM233" s="15"/>
      <c r="WWN233" s="15"/>
      <c r="WWO233" s="10"/>
      <c r="WWP233" s="10"/>
      <c r="WWQ233" s="21"/>
      <c r="WWR233" s="21"/>
      <c r="WWU233" s="21"/>
      <c r="WWV233" s="15"/>
      <c r="WWW233" s="15"/>
      <c r="WWX233" s="15"/>
      <c r="WWY233" s="15"/>
      <c r="WWZ233" s="15"/>
      <c r="WXA233" s="15"/>
      <c r="WXB233" s="15"/>
      <c r="WXC233" s="15"/>
      <c r="WXD233" s="15"/>
      <c r="WXE233" s="15"/>
      <c r="WXF233" s="10"/>
      <c r="WXG233" s="10"/>
      <c r="WXH233" s="21"/>
      <c r="WXI233" s="21"/>
      <c r="WXL233" s="21"/>
      <c r="WXM233" s="15"/>
      <c r="WXN233" s="15"/>
      <c r="WXO233" s="15"/>
      <c r="WXP233" s="15"/>
      <c r="WXQ233" s="15"/>
      <c r="WXR233" s="15"/>
      <c r="WXS233" s="15"/>
      <c r="WXT233" s="15"/>
      <c r="WXU233" s="15"/>
      <c r="WXV233" s="15"/>
      <c r="WXW233" s="10"/>
      <c r="WXX233" s="10"/>
      <c r="WXY233" s="21"/>
      <c r="WXZ233" s="21"/>
      <c r="WYC233" s="21"/>
      <c r="WYD233" s="15"/>
      <c r="WYE233" s="15"/>
      <c r="WYF233" s="15"/>
      <c r="WYG233" s="15"/>
      <c r="WYH233" s="15"/>
      <c r="WYI233" s="15"/>
      <c r="WYJ233" s="15"/>
      <c r="WYK233" s="15"/>
      <c r="WYL233" s="15"/>
      <c r="WYM233" s="15"/>
      <c r="WYN233" s="10"/>
      <c r="WYO233" s="10"/>
      <c r="WYP233" s="21"/>
      <c r="WYQ233" s="21"/>
      <c r="WYT233" s="21"/>
      <c r="WYU233" s="15"/>
      <c r="WYV233" s="15"/>
      <c r="WYW233" s="15"/>
      <c r="WYX233" s="15"/>
      <c r="WYY233" s="15"/>
      <c r="WYZ233" s="15"/>
      <c r="WZA233" s="15"/>
      <c r="WZB233" s="15"/>
      <c r="WZC233" s="15"/>
      <c r="WZD233" s="15"/>
      <c r="WZE233" s="10"/>
      <c r="WZF233" s="10"/>
      <c r="WZG233" s="21"/>
      <c r="WZH233" s="21"/>
      <c r="WZK233" s="21"/>
      <c r="WZL233" s="15"/>
      <c r="WZM233" s="15"/>
      <c r="WZN233" s="15"/>
      <c r="WZO233" s="15"/>
      <c r="WZP233" s="15"/>
      <c r="WZQ233" s="15"/>
      <c r="WZR233" s="15"/>
      <c r="WZS233" s="15"/>
      <c r="WZT233" s="15"/>
      <c r="WZU233" s="15"/>
      <c r="WZV233" s="10"/>
      <c r="WZW233" s="10"/>
      <c r="WZX233" s="21"/>
      <c r="WZY233" s="21"/>
      <c r="XAB233" s="21"/>
      <c r="XAC233" s="15"/>
      <c r="XAD233" s="15"/>
      <c r="XAE233" s="15"/>
      <c r="XAF233" s="15"/>
      <c r="XAG233" s="15"/>
      <c r="XAH233" s="15"/>
      <c r="XAI233" s="15"/>
      <c r="XAJ233" s="15"/>
      <c r="XAK233" s="15"/>
      <c r="XAL233" s="15"/>
      <c r="XAM233" s="10"/>
      <c r="XAN233" s="10"/>
      <c r="XAO233" s="21"/>
      <c r="XAP233" s="21"/>
      <c r="XAS233" s="21"/>
      <c r="XAT233" s="15"/>
      <c r="XAU233" s="15"/>
      <c r="XAV233" s="15"/>
      <c r="XAW233" s="15"/>
      <c r="XAX233" s="15"/>
      <c r="XAY233" s="15"/>
      <c r="XAZ233" s="15"/>
      <c r="XBA233" s="15"/>
      <c r="XBB233" s="15"/>
      <c r="XBC233" s="15"/>
      <c r="XBD233" s="10"/>
      <c r="XBE233" s="10"/>
      <c r="XBF233" s="21"/>
      <c r="XBG233" s="21"/>
      <c r="XBJ233" s="21"/>
      <c r="XBK233" s="15"/>
      <c r="XBL233" s="15"/>
      <c r="XBM233" s="15"/>
      <c r="XBN233" s="15"/>
      <c r="XBO233" s="15"/>
      <c r="XBP233" s="15"/>
      <c r="XBQ233" s="15"/>
      <c r="XBR233" s="15"/>
      <c r="XBS233" s="15"/>
      <c r="XBT233" s="15"/>
      <c r="XBU233" s="10"/>
      <c r="XBV233" s="10"/>
      <c r="XBW233" s="21"/>
      <c r="XBX233" s="21"/>
      <c r="XCA233" s="21"/>
      <c r="XCB233" s="15"/>
      <c r="XCC233" s="15"/>
      <c r="XCD233" s="15"/>
      <c r="XCE233" s="15"/>
      <c r="XCF233" s="15"/>
      <c r="XCG233" s="15"/>
      <c r="XCH233" s="15"/>
      <c r="XCI233" s="15"/>
      <c r="XCJ233" s="15"/>
      <c r="XCK233" s="15"/>
      <c r="XCL233" s="10"/>
      <c r="XCM233" s="10"/>
      <c r="XCN233" s="21"/>
      <c r="XCO233" s="21"/>
      <c r="XCR233" s="21"/>
      <c r="XCS233" s="15"/>
      <c r="XCT233" s="15"/>
      <c r="XCU233" s="15"/>
      <c r="XCV233" s="15"/>
      <c r="XCW233" s="15"/>
      <c r="XCX233" s="15"/>
      <c r="XCY233" s="15"/>
      <c r="XCZ233" s="15"/>
      <c r="XDA233" s="15"/>
      <c r="XDB233" s="15"/>
      <c r="XDC233" s="10"/>
      <c r="XDD233" s="10"/>
      <c r="XDE233" s="21"/>
      <c r="XDF233" s="21"/>
      <c r="XDI233" s="21"/>
      <c r="XDJ233" s="15"/>
      <c r="XDK233" s="15"/>
      <c r="XDL233" s="15"/>
      <c r="XDM233" s="15"/>
      <c r="XDN233" s="15"/>
      <c r="XDO233" s="15"/>
      <c r="XDP233" s="15"/>
      <c r="XDQ233" s="15"/>
      <c r="XDR233" s="15"/>
      <c r="XDS233" s="15"/>
      <c r="XDT233" s="10"/>
      <c r="XDU233" s="10"/>
      <c r="XDV233" s="21"/>
      <c r="XDW233" s="21"/>
      <c r="XDZ233" s="21"/>
      <c r="XEA233" s="15"/>
      <c r="XEB233" s="15"/>
      <c r="XEC233" s="15"/>
      <c r="XED233" s="15"/>
      <c r="XEE233" s="15"/>
      <c r="XEF233" s="15"/>
      <c r="XEG233" s="15"/>
      <c r="XEH233" s="15"/>
      <c r="XEI233" s="15"/>
      <c r="XEJ233" s="15"/>
      <c r="XEK233" s="10"/>
      <c r="XEL233" s="10"/>
      <c r="XEM233" s="21"/>
      <c r="XEN233" s="21"/>
      <c r="XEQ233" s="21"/>
      <c r="XER233" s="15"/>
      <c r="XES233" s="15"/>
      <c r="XET233" s="15"/>
      <c r="XEU233" s="15"/>
      <c r="XEV233" s="15"/>
      <c r="XEW233" s="15"/>
      <c r="XEX233" s="15"/>
      <c r="XEY233" s="15"/>
      <c r="XEZ233" s="15"/>
      <c r="XFA233" s="15"/>
      <c r="XFB233" s="10"/>
      <c r="XFC233" s="10"/>
      <c r="XFD233" s="21"/>
    </row>
    <row r="234" spans="1:16384" s="1" customFormat="1" ht="14.25" customHeight="1" x14ac:dyDescent="0.3">
      <c r="A234" s="31">
        <v>0</v>
      </c>
      <c r="B234" s="31">
        <v>1</v>
      </c>
      <c r="C234" s="31">
        <v>6</v>
      </c>
      <c r="D234" s="32" t="s">
        <v>973</v>
      </c>
      <c r="E234" s="32" t="s">
        <v>164</v>
      </c>
      <c r="F234" s="32" t="s">
        <v>971</v>
      </c>
      <c r="G234" s="32" t="s">
        <v>1100</v>
      </c>
      <c r="H234" s="32" t="s">
        <v>352</v>
      </c>
      <c r="I234" s="31" t="s">
        <v>972</v>
      </c>
      <c r="J234" s="31">
        <v>1</v>
      </c>
      <c r="K234" s="33" t="s">
        <v>951</v>
      </c>
      <c r="L234" s="33" t="s">
        <v>685</v>
      </c>
      <c r="M234" s="34" t="s">
        <v>1397</v>
      </c>
      <c r="N234" s="34" t="s">
        <v>1743</v>
      </c>
      <c r="O234" s="35">
        <v>1</v>
      </c>
      <c r="P234" s="35"/>
      <c r="Q234" s="32"/>
      <c r="S234" s="1">
        <f t="shared" si="187"/>
        <v>1</v>
      </c>
      <c r="T234" s="1">
        <f t="shared" si="188"/>
        <v>0</v>
      </c>
      <c r="U234" s="1">
        <f t="shared" si="189"/>
        <v>0</v>
      </c>
      <c r="V234" s="1">
        <f t="shared" si="190"/>
        <v>0</v>
      </c>
      <c r="W234" s="1">
        <f t="shared" si="191"/>
        <v>0</v>
      </c>
      <c r="X234" s="1">
        <f t="shared" si="192"/>
        <v>0</v>
      </c>
      <c r="Y234" s="1">
        <f t="shared" si="193"/>
        <v>0</v>
      </c>
      <c r="Z234" s="1">
        <f t="shared" si="194"/>
        <v>0</v>
      </c>
      <c r="AA234" s="1">
        <f t="shared" si="195"/>
        <v>0</v>
      </c>
      <c r="AB234" s="1">
        <f t="shared" si="196"/>
        <v>0</v>
      </c>
      <c r="AD234" s="1">
        <f t="shared" si="197"/>
        <v>0</v>
      </c>
      <c r="AE234" s="1">
        <f t="shared" si="198"/>
        <v>1</v>
      </c>
      <c r="AF234" s="1">
        <f t="shared" si="183"/>
        <v>0</v>
      </c>
      <c r="AG234" s="1">
        <f t="shared" si="184"/>
        <v>1</v>
      </c>
      <c r="AH234" s="1">
        <f t="shared" si="185"/>
        <v>0</v>
      </c>
      <c r="AI234" s="1">
        <f t="shared" si="186"/>
        <v>1</v>
      </c>
    </row>
    <row r="235" spans="1:16384" s="1" customFormat="1" ht="14.25" customHeight="1" x14ac:dyDescent="0.3">
      <c r="A235" s="31">
        <v>0</v>
      </c>
      <c r="B235" s="31">
        <v>1</v>
      </c>
      <c r="C235" s="31">
        <v>6</v>
      </c>
      <c r="D235" s="32" t="s">
        <v>517</v>
      </c>
      <c r="E235" s="32" t="s">
        <v>166</v>
      </c>
      <c r="F235" s="32" t="s">
        <v>518</v>
      </c>
      <c r="G235" s="32" t="s">
        <v>519</v>
      </c>
      <c r="H235" s="32" t="s">
        <v>352</v>
      </c>
      <c r="I235" s="31" t="s">
        <v>520</v>
      </c>
      <c r="J235" s="31">
        <v>99</v>
      </c>
      <c r="K235" s="33" t="s">
        <v>698</v>
      </c>
      <c r="L235" s="33">
        <v>40</v>
      </c>
      <c r="M235" s="34" t="s">
        <v>967</v>
      </c>
      <c r="N235" s="34" t="s">
        <v>1844</v>
      </c>
      <c r="O235" s="35">
        <v>1</v>
      </c>
      <c r="P235" s="35"/>
      <c r="Q235" s="32"/>
      <c r="S235" s="1">
        <f t="shared" si="187"/>
        <v>0</v>
      </c>
      <c r="T235" s="1">
        <f t="shared" si="188"/>
        <v>0</v>
      </c>
      <c r="U235" s="1">
        <f t="shared" si="189"/>
        <v>0</v>
      </c>
      <c r="V235" s="1">
        <f t="shared" si="190"/>
        <v>0</v>
      </c>
      <c r="W235" s="1">
        <f t="shared" si="191"/>
        <v>0</v>
      </c>
      <c r="X235" s="1">
        <f t="shared" si="192"/>
        <v>0</v>
      </c>
      <c r="Y235" s="1">
        <f t="shared" si="193"/>
        <v>0</v>
      </c>
      <c r="Z235" s="1">
        <f t="shared" si="194"/>
        <v>0</v>
      </c>
      <c r="AA235" s="1">
        <f t="shared" si="195"/>
        <v>0</v>
      </c>
      <c r="AB235" s="1">
        <f t="shared" si="196"/>
        <v>0</v>
      </c>
      <c r="AD235" s="1">
        <f t="shared" si="197"/>
        <v>0</v>
      </c>
      <c r="AE235" s="1">
        <f t="shared" si="198"/>
        <v>1</v>
      </c>
      <c r="AF235" s="1">
        <f t="shared" si="183"/>
        <v>0</v>
      </c>
      <c r="AG235" s="1">
        <f t="shared" si="184"/>
        <v>1</v>
      </c>
      <c r="AH235" s="1">
        <f t="shared" si="185"/>
        <v>0</v>
      </c>
      <c r="AI235" s="1">
        <f t="shared" si="186"/>
        <v>1</v>
      </c>
    </row>
    <row r="236" spans="1:16384" s="1" customFormat="1" ht="14.25" customHeight="1" x14ac:dyDescent="0.3">
      <c r="A236" s="38">
        <v>0</v>
      </c>
      <c r="B236" s="38">
        <v>1</v>
      </c>
      <c r="C236" s="38">
        <v>6</v>
      </c>
      <c r="D236" s="39" t="s">
        <v>1832</v>
      </c>
      <c r="E236" s="39" t="s">
        <v>1833</v>
      </c>
      <c r="F236" s="39" t="s">
        <v>1834</v>
      </c>
      <c r="G236" s="39"/>
      <c r="H236" s="39" t="s">
        <v>352</v>
      </c>
      <c r="I236" s="38" t="s">
        <v>1835</v>
      </c>
      <c r="J236" s="38"/>
      <c r="K236" s="40" t="s">
        <v>699</v>
      </c>
      <c r="L236" s="40"/>
      <c r="M236" s="41"/>
      <c r="N236" s="42"/>
      <c r="O236" s="43"/>
      <c r="P236" s="43">
        <v>1</v>
      </c>
      <c r="Q236" s="39"/>
      <c r="S236" s="1">
        <f t="shared" si="187"/>
        <v>0</v>
      </c>
      <c r="T236" s="1">
        <f t="shared" si="188"/>
        <v>0</v>
      </c>
      <c r="U236" s="1">
        <f t="shared" si="189"/>
        <v>0</v>
      </c>
      <c r="V236" s="1">
        <f t="shared" si="190"/>
        <v>0</v>
      </c>
      <c r="W236" s="1">
        <f t="shared" si="191"/>
        <v>0</v>
      </c>
      <c r="X236" s="1">
        <f t="shared" si="192"/>
        <v>0</v>
      </c>
      <c r="Y236" s="1">
        <f t="shared" si="193"/>
        <v>0</v>
      </c>
      <c r="Z236" s="1">
        <f t="shared" si="194"/>
        <v>0</v>
      </c>
      <c r="AA236" s="1">
        <f t="shared" si="195"/>
        <v>0</v>
      </c>
      <c r="AB236" s="1">
        <f t="shared" si="196"/>
        <v>0</v>
      </c>
      <c r="AD236" s="1">
        <f t="shared" si="197"/>
        <v>0</v>
      </c>
      <c r="AE236" s="1">
        <f t="shared" si="198"/>
        <v>0</v>
      </c>
      <c r="AF236" s="1">
        <f t="shared" si="183"/>
        <v>0</v>
      </c>
      <c r="AG236" s="1">
        <f t="shared" si="184"/>
        <v>0</v>
      </c>
      <c r="AH236" s="1">
        <f t="shared" si="185"/>
        <v>1</v>
      </c>
      <c r="AI236" s="1">
        <f t="shared" si="186"/>
        <v>0</v>
      </c>
    </row>
    <row r="237" spans="1:16384" s="1" customFormat="1" ht="14.25" customHeight="1" x14ac:dyDescent="0.3">
      <c r="A237" s="31">
        <v>0</v>
      </c>
      <c r="B237" s="31">
        <v>1</v>
      </c>
      <c r="C237" s="31">
        <v>6</v>
      </c>
      <c r="D237" s="32" t="s">
        <v>1475</v>
      </c>
      <c r="E237" s="32" t="s">
        <v>166</v>
      </c>
      <c r="F237" s="32" t="s">
        <v>1477</v>
      </c>
      <c r="G237" s="32" t="s">
        <v>1478</v>
      </c>
      <c r="H237" s="32" t="s">
        <v>352</v>
      </c>
      <c r="I237" s="31" t="s">
        <v>1476</v>
      </c>
      <c r="J237" s="31">
        <v>99</v>
      </c>
      <c r="K237" s="33" t="s">
        <v>699</v>
      </c>
      <c r="L237" s="33">
        <v>62</v>
      </c>
      <c r="M237" s="34"/>
      <c r="N237" s="34" t="s">
        <v>1744</v>
      </c>
      <c r="O237" s="35">
        <v>1</v>
      </c>
      <c r="P237" s="35"/>
      <c r="Q237" s="32"/>
      <c r="S237" s="1">
        <f t="shared" si="187"/>
        <v>0</v>
      </c>
      <c r="T237" s="1">
        <f t="shared" si="188"/>
        <v>0</v>
      </c>
      <c r="U237" s="1">
        <f t="shared" si="189"/>
        <v>0</v>
      </c>
      <c r="V237" s="1">
        <f t="shared" si="190"/>
        <v>0</v>
      </c>
      <c r="W237" s="1">
        <f t="shared" si="191"/>
        <v>0</v>
      </c>
      <c r="X237" s="1">
        <f t="shared" si="192"/>
        <v>0</v>
      </c>
      <c r="Y237" s="1">
        <f t="shared" si="193"/>
        <v>0</v>
      </c>
      <c r="Z237" s="1">
        <f t="shared" si="194"/>
        <v>0</v>
      </c>
      <c r="AA237" s="1">
        <f t="shared" si="195"/>
        <v>0</v>
      </c>
      <c r="AB237" s="1">
        <f t="shared" si="196"/>
        <v>0</v>
      </c>
      <c r="AD237" s="1">
        <f t="shared" si="197"/>
        <v>0</v>
      </c>
      <c r="AE237" s="1">
        <f t="shared" si="198"/>
        <v>1</v>
      </c>
      <c r="AF237" s="1">
        <f t="shared" si="183"/>
        <v>0</v>
      </c>
      <c r="AG237" s="1">
        <f t="shared" si="184"/>
        <v>1</v>
      </c>
      <c r="AH237" s="1">
        <f t="shared" si="185"/>
        <v>0</v>
      </c>
      <c r="AI237" s="1">
        <f t="shared" si="186"/>
        <v>1</v>
      </c>
    </row>
    <row r="238" spans="1:16384" s="1" customFormat="1" ht="14.25" customHeight="1" x14ac:dyDescent="0.3">
      <c r="A238" s="31">
        <v>0</v>
      </c>
      <c r="B238" s="31">
        <v>1</v>
      </c>
      <c r="C238" s="31">
        <v>6</v>
      </c>
      <c r="D238" s="32" t="s">
        <v>1191</v>
      </c>
      <c r="E238" s="32" t="s">
        <v>164</v>
      </c>
      <c r="F238" s="32" t="s">
        <v>1665</v>
      </c>
      <c r="G238" s="32" t="s">
        <v>212</v>
      </c>
      <c r="H238" s="32" t="s">
        <v>352</v>
      </c>
      <c r="I238" s="31" t="s">
        <v>1192</v>
      </c>
      <c r="J238" s="31">
        <v>1</v>
      </c>
      <c r="K238" s="33" t="s">
        <v>957</v>
      </c>
      <c r="L238" s="33" t="s">
        <v>683</v>
      </c>
      <c r="M238" s="34" t="s">
        <v>1567</v>
      </c>
      <c r="N238" s="34" t="s">
        <v>1750</v>
      </c>
      <c r="O238" s="35">
        <v>1</v>
      </c>
      <c r="P238" s="35"/>
      <c r="Q238" s="32"/>
      <c r="S238" s="1">
        <f t="shared" si="187"/>
        <v>1</v>
      </c>
      <c r="T238" s="1">
        <f t="shared" si="188"/>
        <v>0</v>
      </c>
      <c r="U238" s="1">
        <f t="shared" si="189"/>
        <v>0</v>
      </c>
      <c r="V238" s="1">
        <f t="shared" si="190"/>
        <v>0</v>
      </c>
      <c r="W238" s="1">
        <f t="shared" si="191"/>
        <v>0</v>
      </c>
      <c r="X238" s="1">
        <f t="shared" si="192"/>
        <v>0</v>
      </c>
      <c r="Y238" s="1">
        <f t="shared" si="193"/>
        <v>0</v>
      </c>
      <c r="Z238" s="1">
        <f t="shared" si="194"/>
        <v>0</v>
      </c>
      <c r="AA238" s="1">
        <f t="shared" si="195"/>
        <v>0</v>
      </c>
      <c r="AB238" s="1">
        <f t="shared" si="196"/>
        <v>0</v>
      </c>
      <c r="AD238" s="1">
        <f t="shared" si="197"/>
        <v>0</v>
      </c>
      <c r="AE238" s="1">
        <f t="shared" si="198"/>
        <v>1</v>
      </c>
      <c r="AF238" s="1">
        <f t="shared" si="183"/>
        <v>0</v>
      </c>
      <c r="AG238" s="1">
        <f t="shared" si="184"/>
        <v>1</v>
      </c>
      <c r="AH238" s="1">
        <f t="shared" si="185"/>
        <v>0</v>
      </c>
      <c r="AI238" s="1">
        <f t="shared" si="186"/>
        <v>1</v>
      </c>
    </row>
    <row r="239" spans="1:16384" s="1" customFormat="1" ht="14.25" customHeight="1" x14ac:dyDescent="0.3">
      <c r="A239" s="44">
        <v>0</v>
      </c>
      <c r="B239" s="44">
        <v>1</v>
      </c>
      <c r="C239" s="44">
        <v>6</v>
      </c>
      <c r="D239" s="45" t="s">
        <v>2068</v>
      </c>
      <c r="E239" s="45" t="s">
        <v>2069</v>
      </c>
      <c r="F239" s="45" t="s">
        <v>2070</v>
      </c>
      <c r="G239" s="45" t="s">
        <v>207</v>
      </c>
      <c r="H239" s="45" t="s">
        <v>352</v>
      </c>
      <c r="I239" s="44" t="s">
        <v>2071</v>
      </c>
      <c r="J239" s="44">
        <v>3</v>
      </c>
      <c r="K239" s="46" t="s">
        <v>699</v>
      </c>
      <c r="L239" s="46">
        <v>30</v>
      </c>
      <c r="M239" s="47" t="s">
        <v>2072</v>
      </c>
      <c r="N239" s="47" t="s">
        <v>1804</v>
      </c>
      <c r="O239" s="48"/>
      <c r="P239" s="48"/>
      <c r="Q239" s="45"/>
      <c r="S239" s="1">
        <f t="shared" si="187"/>
        <v>0</v>
      </c>
      <c r="T239" s="1">
        <f t="shared" si="188"/>
        <v>0</v>
      </c>
      <c r="U239" s="1">
        <f t="shared" si="189"/>
        <v>1</v>
      </c>
      <c r="V239" s="1">
        <f t="shared" si="190"/>
        <v>0</v>
      </c>
      <c r="W239" s="1">
        <f t="shared" si="191"/>
        <v>0</v>
      </c>
      <c r="X239" s="1">
        <f t="shared" si="192"/>
        <v>0</v>
      </c>
      <c r="Y239" s="1">
        <f t="shared" si="193"/>
        <v>0</v>
      </c>
      <c r="Z239" s="1">
        <f t="shared" si="194"/>
        <v>0</v>
      </c>
      <c r="AA239" s="1">
        <f t="shared" si="195"/>
        <v>0</v>
      </c>
      <c r="AB239" s="1">
        <f t="shared" si="196"/>
        <v>0</v>
      </c>
      <c r="AD239" s="1">
        <f t="shared" ref="AD239:AD242" si="199">+O239*P239</f>
        <v>0</v>
      </c>
      <c r="AE239" s="1">
        <f t="shared" ref="AE239:AE242" si="200">O239*(1-P239)</f>
        <v>0</v>
      </c>
      <c r="AF239" s="1">
        <f t="shared" ref="AF239:AF242" si="201">+O239*P239*(1-A239)</f>
        <v>0</v>
      </c>
      <c r="AG239" s="1">
        <f t="shared" ref="AG239:AG242" si="202">O239*(1-P239)*(1-A239)</f>
        <v>0</v>
      </c>
      <c r="AH239" s="1">
        <f t="shared" ref="AH239:AH242" si="203">+P239*(1-A239)</f>
        <v>0</v>
      </c>
      <c r="AI239" s="1">
        <f t="shared" ref="AI239:AI242" si="204">+(1-A239)*(1-P239)</f>
        <v>1</v>
      </c>
    </row>
    <row r="240" spans="1:16384" s="1" customFormat="1" ht="14.25" customHeight="1" x14ac:dyDescent="0.3">
      <c r="A240" s="31">
        <v>0</v>
      </c>
      <c r="B240" s="31">
        <v>1</v>
      </c>
      <c r="C240" s="31">
        <v>6</v>
      </c>
      <c r="D240" s="32" t="s">
        <v>97</v>
      </c>
      <c r="E240" s="32" t="s">
        <v>166</v>
      </c>
      <c r="F240" s="32" t="s">
        <v>294</v>
      </c>
      <c r="G240" s="32" t="s">
        <v>283</v>
      </c>
      <c r="H240" s="32" t="s">
        <v>352</v>
      </c>
      <c r="I240" s="31" t="s">
        <v>1113</v>
      </c>
      <c r="J240" s="31">
        <v>10</v>
      </c>
      <c r="K240" s="33" t="s">
        <v>951</v>
      </c>
      <c r="L240" s="33" t="s">
        <v>690</v>
      </c>
      <c r="M240" s="34" t="s">
        <v>701</v>
      </c>
      <c r="N240" s="34" t="s">
        <v>1744</v>
      </c>
      <c r="O240" s="35">
        <v>1</v>
      </c>
      <c r="P240" s="35"/>
      <c r="Q240" s="32"/>
      <c r="S240" s="1">
        <f t="shared" si="187"/>
        <v>0</v>
      </c>
      <c r="T240" s="1">
        <f t="shared" si="188"/>
        <v>0</v>
      </c>
      <c r="U240" s="1">
        <f t="shared" si="189"/>
        <v>0</v>
      </c>
      <c r="V240" s="1">
        <f t="shared" si="190"/>
        <v>0</v>
      </c>
      <c r="W240" s="1">
        <f t="shared" si="191"/>
        <v>0</v>
      </c>
      <c r="X240" s="1">
        <f t="shared" si="192"/>
        <v>0</v>
      </c>
      <c r="Y240" s="1">
        <f t="shared" si="193"/>
        <v>0</v>
      </c>
      <c r="Z240" s="1">
        <f t="shared" si="194"/>
        <v>0</v>
      </c>
      <c r="AA240" s="1">
        <f t="shared" si="195"/>
        <v>0</v>
      </c>
      <c r="AB240" s="1">
        <f t="shared" si="196"/>
        <v>1</v>
      </c>
      <c r="AD240" s="1">
        <f t="shared" si="199"/>
        <v>0</v>
      </c>
      <c r="AE240" s="1">
        <f t="shared" si="200"/>
        <v>1</v>
      </c>
      <c r="AF240" s="1">
        <f t="shared" si="201"/>
        <v>0</v>
      </c>
      <c r="AG240" s="1">
        <f t="shared" si="202"/>
        <v>1</v>
      </c>
      <c r="AH240" s="1">
        <f t="shared" si="203"/>
        <v>0</v>
      </c>
      <c r="AI240" s="1">
        <f t="shared" si="204"/>
        <v>1</v>
      </c>
    </row>
    <row r="241" spans="1:35" ht="14.25" customHeight="1" x14ac:dyDescent="0.3">
      <c r="A241" s="31">
        <v>0</v>
      </c>
      <c r="B241" s="31">
        <v>1</v>
      </c>
      <c r="C241" s="31">
        <v>6</v>
      </c>
      <c r="D241" s="32" t="s">
        <v>599</v>
      </c>
      <c r="E241" s="32" t="s">
        <v>164</v>
      </c>
      <c r="F241" s="32" t="s">
        <v>601</v>
      </c>
      <c r="G241" s="32" t="s">
        <v>39</v>
      </c>
      <c r="H241" s="32" t="s">
        <v>352</v>
      </c>
      <c r="I241" s="31" t="s">
        <v>600</v>
      </c>
      <c r="J241" s="31">
        <v>99</v>
      </c>
      <c r="K241" s="33" t="s">
        <v>951</v>
      </c>
      <c r="L241" s="33" t="s">
        <v>689</v>
      </c>
      <c r="M241" s="34" t="s">
        <v>965</v>
      </c>
      <c r="N241" s="34" t="s">
        <v>1744</v>
      </c>
      <c r="O241" s="35">
        <v>1</v>
      </c>
      <c r="P241" s="35"/>
      <c r="Q241" s="32"/>
      <c r="S241" s="1">
        <f t="shared" si="187"/>
        <v>0</v>
      </c>
      <c r="T241" s="1">
        <f t="shared" si="188"/>
        <v>0</v>
      </c>
      <c r="U241" s="1">
        <f t="shared" si="189"/>
        <v>0</v>
      </c>
      <c r="V241" s="1">
        <f t="shared" si="190"/>
        <v>0</v>
      </c>
      <c r="W241" s="1">
        <f t="shared" si="191"/>
        <v>0</v>
      </c>
      <c r="X241" s="1">
        <f t="shared" si="192"/>
        <v>0</v>
      </c>
      <c r="Y241" s="1">
        <f t="shared" si="193"/>
        <v>0</v>
      </c>
      <c r="Z241" s="1">
        <f t="shared" si="194"/>
        <v>0</v>
      </c>
      <c r="AA241" s="1">
        <f t="shared" si="195"/>
        <v>0</v>
      </c>
      <c r="AB241" s="1">
        <f t="shared" si="196"/>
        <v>0</v>
      </c>
      <c r="AD241" s="1">
        <f t="shared" si="199"/>
        <v>0</v>
      </c>
      <c r="AE241" s="1">
        <f t="shared" si="200"/>
        <v>1</v>
      </c>
      <c r="AF241" s="1">
        <f t="shared" si="201"/>
        <v>0</v>
      </c>
      <c r="AG241" s="1">
        <f t="shared" si="202"/>
        <v>1</v>
      </c>
      <c r="AH241" s="1">
        <f t="shared" si="203"/>
        <v>0</v>
      </c>
      <c r="AI241" s="1">
        <f t="shared" si="204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1157</v>
      </c>
      <c r="E242" s="32" t="s">
        <v>164</v>
      </c>
      <c r="F242" s="32" t="s">
        <v>1159</v>
      </c>
      <c r="G242" s="32" t="s">
        <v>219</v>
      </c>
      <c r="H242" s="32" t="s">
        <v>352</v>
      </c>
      <c r="I242" s="31" t="s">
        <v>1158</v>
      </c>
      <c r="J242" s="31">
        <v>8</v>
      </c>
      <c r="K242" s="33" t="s">
        <v>698</v>
      </c>
      <c r="L242" s="33" t="s">
        <v>1708</v>
      </c>
      <c r="M242" s="34" t="s">
        <v>1398</v>
      </c>
      <c r="N242" s="34" t="s">
        <v>1743</v>
      </c>
      <c r="O242" s="35">
        <v>1</v>
      </c>
      <c r="P242" s="35"/>
      <c r="Q242" s="32"/>
      <c r="S242" s="1">
        <f t="shared" si="187"/>
        <v>0</v>
      </c>
      <c r="T242" s="1">
        <f t="shared" si="188"/>
        <v>0</v>
      </c>
      <c r="U242" s="1">
        <f t="shared" si="189"/>
        <v>0</v>
      </c>
      <c r="V242" s="1">
        <f t="shared" si="190"/>
        <v>0</v>
      </c>
      <c r="W242" s="1">
        <f t="shared" si="191"/>
        <v>0</v>
      </c>
      <c r="X242" s="1">
        <f t="shared" si="192"/>
        <v>0</v>
      </c>
      <c r="Y242" s="1">
        <f t="shared" si="193"/>
        <v>0</v>
      </c>
      <c r="Z242" s="1">
        <f t="shared" si="194"/>
        <v>1</v>
      </c>
      <c r="AA242" s="1">
        <f t="shared" si="195"/>
        <v>0</v>
      </c>
      <c r="AB242" s="1">
        <f t="shared" si="196"/>
        <v>0</v>
      </c>
      <c r="AD242" s="1">
        <f t="shared" si="199"/>
        <v>0</v>
      </c>
      <c r="AE242" s="1">
        <f t="shared" si="200"/>
        <v>1</v>
      </c>
      <c r="AF242" s="1">
        <f t="shared" si="201"/>
        <v>0</v>
      </c>
      <c r="AG242" s="1">
        <f t="shared" si="202"/>
        <v>1</v>
      </c>
      <c r="AH242" s="1">
        <f t="shared" si="203"/>
        <v>0</v>
      </c>
      <c r="AI242" s="1">
        <f t="shared" si="204"/>
        <v>1</v>
      </c>
    </row>
    <row r="243" spans="1:35" ht="14.25" customHeight="1" x14ac:dyDescent="0.3">
      <c r="A243" s="31">
        <v>0</v>
      </c>
      <c r="B243" s="31">
        <v>1</v>
      </c>
      <c r="C243" s="31">
        <v>6</v>
      </c>
      <c r="D243" s="32" t="s">
        <v>560</v>
      </c>
      <c r="E243" s="32" t="s">
        <v>166</v>
      </c>
      <c r="F243" s="32" t="s">
        <v>657</v>
      </c>
      <c r="G243" s="32" t="s">
        <v>201</v>
      </c>
      <c r="H243" s="32" t="s">
        <v>352</v>
      </c>
      <c r="I243" s="31" t="s">
        <v>579</v>
      </c>
      <c r="J243" s="31">
        <v>10</v>
      </c>
      <c r="K243" s="33" t="s">
        <v>957</v>
      </c>
      <c r="L243" s="33" t="s">
        <v>689</v>
      </c>
      <c r="M243" s="34" t="s">
        <v>701</v>
      </c>
      <c r="N243" s="34" t="s">
        <v>1743</v>
      </c>
      <c r="O243" s="35">
        <v>1</v>
      </c>
      <c r="P243" s="35"/>
      <c r="Q243" s="36"/>
      <c r="S243" s="1">
        <f t="shared" si="187"/>
        <v>0</v>
      </c>
      <c r="T243" s="1">
        <f t="shared" si="188"/>
        <v>0</v>
      </c>
      <c r="U243" s="1">
        <f t="shared" si="189"/>
        <v>0</v>
      </c>
      <c r="V243" s="1">
        <f t="shared" si="190"/>
        <v>0</v>
      </c>
      <c r="W243" s="1">
        <f t="shared" si="191"/>
        <v>0</v>
      </c>
      <c r="X243" s="1">
        <f t="shared" si="192"/>
        <v>0</v>
      </c>
      <c r="Y243" s="1">
        <f t="shared" si="193"/>
        <v>0</v>
      </c>
      <c r="Z243" s="1">
        <f t="shared" si="194"/>
        <v>0</v>
      </c>
      <c r="AA243" s="1">
        <f t="shared" si="195"/>
        <v>0</v>
      </c>
      <c r="AB243" s="1">
        <f t="shared" si="196"/>
        <v>1</v>
      </c>
      <c r="AD243" s="1">
        <f t="shared" si="197"/>
        <v>0</v>
      </c>
      <c r="AE243" s="1">
        <f t="shared" si="198"/>
        <v>1</v>
      </c>
      <c r="AF243" s="1">
        <f t="shared" si="183"/>
        <v>0</v>
      </c>
      <c r="AG243" s="1">
        <f t="shared" si="184"/>
        <v>1</v>
      </c>
      <c r="AH243" s="1">
        <f t="shared" si="185"/>
        <v>0</v>
      </c>
      <c r="AI243" s="1">
        <f t="shared" si="186"/>
        <v>1</v>
      </c>
    </row>
    <row r="244" spans="1:35" ht="14.25" customHeight="1" x14ac:dyDescent="0.3">
      <c r="A244" s="44">
        <v>0</v>
      </c>
      <c r="B244" s="44">
        <v>1</v>
      </c>
      <c r="C244" s="44">
        <v>6</v>
      </c>
      <c r="D244" s="45" t="s">
        <v>893</v>
      </c>
      <c r="E244" s="45" t="s">
        <v>166</v>
      </c>
      <c r="F244" s="45" t="s">
        <v>933</v>
      </c>
      <c r="G244" s="45" t="s">
        <v>934</v>
      </c>
      <c r="H244" s="45" t="s">
        <v>352</v>
      </c>
      <c r="I244" s="44" t="s">
        <v>948</v>
      </c>
      <c r="J244" s="44">
        <v>99</v>
      </c>
      <c r="K244" s="46" t="s">
        <v>698</v>
      </c>
      <c r="L244" s="46" t="s">
        <v>685</v>
      </c>
      <c r="M244" s="47" t="s">
        <v>1399</v>
      </c>
      <c r="N244" s="47" t="s">
        <v>1733</v>
      </c>
      <c r="O244" s="48"/>
      <c r="P244" s="48"/>
      <c r="Q244" s="45"/>
      <c r="S244" s="1">
        <f t="shared" si="187"/>
        <v>0</v>
      </c>
      <c r="T244" s="1">
        <f t="shared" si="188"/>
        <v>0</v>
      </c>
      <c r="U244" s="1">
        <f t="shared" si="189"/>
        <v>0</v>
      </c>
      <c r="V244" s="1">
        <f t="shared" si="190"/>
        <v>0</v>
      </c>
      <c r="W244" s="1">
        <f t="shared" si="191"/>
        <v>0</v>
      </c>
      <c r="X244" s="1">
        <f t="shared" si="192"/>
        <v>0</v>
      </c>
      <c r="Y244" s="1">
        <f t="shared" si="193"/>
        <v>0</v>
      </c>
      <c r="Z244" s="1">
        <f t="shared" si="194"/>
        <v>0</v>
      </c>
      <c r="AA244" s="1">
        <f t="shared" si="195"/>
        <v>0</v>
      </c>
      <c r="AB244" s="1">
        <f t="shared" si="196"/>
        <v>0</v>
      </c>
      <c r="AD244" s="1">
        <f t="shared" si="197"/>
        <v>0</v>
      </c>
      <c r="AE244" s="1">
        <f t="shared" si="198"/>
        <v>0</v>
      </c>
      <c r="AF244" s="1">
        <f t="shared" si="183"/>
        <v>0</v>
      </c>
      <c r="AG244" s="1">
        <f t="shared" si="184"/>
        <v>0</v>
      </c>
      <c r="AH244" s="1">
        <f t="shared" si="185"/>
        <v>0</v>
      </c>
      <c r="AI244" s="1">
        <f t="shared" si="186"/>
        <v>1</v>
      </c>
    </row>
    <row r="245" spans="1:35" ht="14.25" customHeight="1" x14ac:dyDescent="0.3">
      <c r="A245" s="31">
        <v>0</v>
      </c>
      <c r="B245" s="31">
        <v>1</v>
      </c>
      <c r="C245" s="31">
        <v>6</v>
      </c>
      <c r="D245" s="32" t="s">
        <v>99</v>
      </c>
      <c r="E245" s="32" t="s">
        <v>166</v>
      </c>
      <c r="F245" s="32" t="s">
        <v>658</v>
      </c>
      <c r="G245" s="32" t="s">
        <v>660</v>
      </c>
      <c r="H245" s="32" t="s">
        <v>352</v>
      </c>
      <c r="I245" s="31" t="s">
        <v>444</v>
      </c>
      <c r="J245" s="31">
        <v>99</v>
      </c>
      <c r="K245" s="33" t="s">
        <v>718</v>
      </c>
      <c r="L245" s="33" t="s">
        <v>692</v>
      </c>
      <c r="M245" s="34" t="s">
        <v>703</v>
      </c>
      <c r="N245" s="34" t="s">
        <v>1744</v>
      </c>
      <c r="O245" s="35">
        <v>1</v>
      </c>
      <c r="P245" s="35"/>
      <c r="Q245" s="32"/>
      <c r="S245" s="1">
        <f t="shared" si="187"/>
        <v>0</v>
      </c>
      <c r="T245" s="1">
        <f t="shared" si="188"/>
        <v>0</v>
      </c>
      <c r="U245" s="1">
        <f t="shared" si="189"/>
        <v>0</v>
      </c>
      <c r="V245" s="1">
        <f t="shared" si="190"/>
        <v>0</v>
      </c>
      <c r="W245" s="1">
        <f t="shared" si="191"/>
        <v>0</v>
      </c>
      <c r="X245" s="1">
        <f t="shared" si="192"/>
        <v>0</v>
      </c>
      <c r="Y245" s="1">
        <f t="shared" si="193"/>
        <v>0</v>
      </c>
      <c r="Z245" s="1">
        <f t="shared" si="194"/>
        <v>0</v>
      </c>
      <c r="AA245" s="1">
        <f t="shared" si="195"/>
        <v>0</v>
      </c>
      <c r="AB245" s="1">
        <f t="shared" si="196"/>
        <v>0</v>
      </c>
      <c r="AD245" s="1">
        <f t="shared" si="197"/>
        <v>0</v>
      </c>
      <c r="AE245" s="1">
        <f t="shared" si="198"/>
        <v>1</v>
      </c>
      <c r="AF245" s="1">
        <f t="shared" si="183"/>
        <v>0</v>
      </c>
      <c r="AG245" s="1">
        <f t="shared" si="184"/>
        <v>1</v>
      </c>
      <c r="AH245" s="1">
        <f t="shared" si="185"/>
        <v>0</v>
      </c>
      <c r="AI245" s="1">
        <f t="shared" si="186"/>
        <v>1</v>
      </c>
    </row>
    <row r="246" spans="1:35" ht="14.25" customHeight="1" x14ac:dyDescent="0.3">
      <c r="A246" s="38">
        <v>0</v>
      </c>
      <c r="B246" s="38">
        <v>1</v>
      </c>
      <c r="C246" s="38">
        <v>7</v>
      </c>
      <c r="D246" s="39" t="s">
        <v>86</v>
      </c>
      <c r="E246" s="39" t="s">
        <v>29</v>
      </c>
      <c r="F246" s="39" t="s">
        <v>659</v>
      </c>
      <c r="G246" s="39" t="s">
        <v>660</v>
      </c>
      <c r="H246" s="39" t="s">
        <v>352</v>
      </c>
      <c r="I246" s="38" t="s">
        <v>627</v>
      </c>
      <c r="J246" s="38">
        <v>99</v>
      </c>
      <c r="K246" s="40" t="s">
        <v>949</v>
      </c>
      <c r="L246" s="40" t="s">
        <v>689</v>
      </c>
      <c r="M246" s="41" t="s">
        <v>1400</v>
      </c>
      <c r="N246" s="42"/>
      <c r="O246" s="43"/>
      <c r="P246" s="43">
        <v>1</v>
      </c>
      <c r="Q246" s="39"/>
      <c r="S246" s="1">
        <f t="shared" si="187"/>
        <v>0</v>
      </c>
      <c r="T246" s="1">
        <f t="shared" si="188"/>
        <v>0</v>
      </c>
      <c r="U246" s="1">
        <f t="shared" si="189"/>
        <v>0</v>
      </c>
      <c r="V246" s="1">
        <f t="shared" si="190"/>
        <v>0</v>
      </c>
      <c r="W246" s="1">
        <f t="shared" si="191"/>
        <v>0</v>
      </c>
      <c r="X246" s="1">
        <f t="shared" si="192"/>
        <v>0</v>
      </c>
      <c r="Y246" s="1">
        <f t="shared" si="193"/>
        <v>0</v>
      </c>
      <c r="Z246" s="1">
        <f t="shared" si="194"/>
        <v>0</v>
      </c>
      <c r="AA246" s="1">
        <f t="shared" si="195"/>
        <v>0</v>
      </c>
      <c r="AB246" s="1">
        <f t="shared" si="196"/>
        <v>0</v>
      </c>
      <c r="AD246" s="1">
        <f t="shared" si="197"/>
        <v>0</v>
      </c>
      <c r="AE246" s="1">
        <f t="shared" si="198"/>
        <v>0</v>
      </c>
      <c r="AF246" s="1">
        <f t="shared" si="183"/>
        <v>0</v>
      </c>
      <c r="AG246" s="1">
        <f t="shared" si="184"/>
        <v>0</v>
      </c>
      <c r="AH246" s="1">
        <f t="shared" si="185"/>
        <v>1</v>
      </c>
      <c r="AI246" s="1">
        <f t="shared" si="186"/>
        <v>0</v>
      </c>
    </row>
    <row r="247" spans="1:35" ht="14.25" customHeight="1" x14ac:dyDescent="0.3">
      <c r="A247" s="31">
        <v>0</v>
      </c>
      <c r="B247" s="31">
        <v>1</v>
      </c>
      <c r="C247" s="31">
        <v>7</v>
      </c>
      <c r="D247" s="32" t="s">
        <v>646</v>
      </c>
      <c r="E247" s="32" t="s">
        <v>29</v>
      </c>
      <c r="F247" s="32" t="s">
        <v>622</v>
      </c>
      <c r="G247" s="32" t="s">
        <v>231</v>
      </c>
      <c r="H247" s="32" t="s">
        <v>352</v>
      </c>
      <c r="I247" s="31" t="s">
        <v>623</v>
      </c>
      <c r="J247" s="31">
        <v>99</v>
      </c>
      <c r="K247" s="33" t="s">
        <v>709</v>
      </c>
      <c r="L247" s="33" t="s">
        <v>692</v>
      </c>
      <c r="M247" s="34" t="s">
        <v>968</v>
      </c>
      <c r="N247" s="34" t="s">
        <v>1844</v>
      </c>
      <c r="O247" s="35">
        <v>1</v>
      </c>
      <c r="P247" s="35"/>
      <c r="Q247" s="32"/>
      <c r="S247" s="1">
        <f t="shared" si="187"/>
        <v>0</v>
      </c>
      <c r="T247" s="1">
        <f t="shared" si="188"/>
        <v>0</v>
      </c>
      <c r="U247" s="1">
        <f t="shared" si="189"/>
        <v>0</v>
      </c>
      <c r="V247" s="1">
        <f t="shared" si="190"/>
        <v>0</v>
      </c>
      <c r="W247" s="1">
        <f t="shared" si="191"/>
        <v>0</v>
      </c>
      <c r="X247" s="1">
        <f t="shared" si="192"/>
        <v>0</v>
      </c>
      <c r="Y247" s="1">
        <f t="shared" si="193"/>
        <v>0</v>
      </c>
      <c r="Z247" s="1">
        <f t="shared" si="194"/>
        <v>0</v>
      </c>
      <c r="AA247" s="1">
        <f t="shared" si="195"/>
        <v>0</v>
      </c>
      <c r="AB247" s="1">
        <f t="shared" si="196"/>
        <v>0</v>
      </c>
      <c r="AD247" s="1">
        <f t="shared" si="197"/>
        <v>0</v>
      </c>
      <c r="AE247" s="1">
        <f t="shared" si="198"/>
        <v>1</v>
      </c>
      <c r="AF247" s="1">
        <f t="shared" si="183"/>
        <v>0</v>
      </c>
      <c r="AG247" s="1">
        <f t="shared" si="184"/>
        <v>1</v>
      </c>
      <c r="AH247" s="1">
        <f t="shared" si="185"/>
        <v>0</v>
      </c>
      <c r="AI247" s="1">
        <f t="shared" si="186"/>
        <v>1</v>
      </c>
    </row>
    <row r="248" spans="1:35" ht="14.25" customHeight="1" x14ac:dyDescent="0.3">
      <c r="A248" s="15">
        <v>0</v>
      </c>
      <c r="B248" s="15">
        <v>1</v>
      </c>
      <c r="C248" s="15">
        <v>7</v>
      </c>
      <c r="D248" s="16" t="s">
        <v>978</v>
      </c>
      <c r="E248" s="16" t="s">
        <v>29</v>
      </c>
      <c r="F248" s="16" t="s">
        <v>979</v>
      </c>
      <c r="G248" s="16" t="s">
        <v>980</v>
      </c>
      <c r="H248" s="16" t="s">
        <v>352</v>
      </c>
      <c r="I248" s="15" t="s">
        <v>977</v>
      </c>
      <c r="J248" s="15">
        <v>99</v>
      </c>
      <c r="K248" s="10" t="s">
        <v>699</v>
      </c>
      <c r="L248" s="10">
        <v>20</v>
      </c>
      <c r="M248" s="19" t="s">
        <v>968</v>
      </c>
      <c r="N248" s="19"/>
      <c r="Q248" s="16"/>
      <c r="S248" s="1">
        <f t="shared" si="187"/>
        <v>0</v>
      </c>
      <c r="T248" s="1">
        <f t="shared" si="188"/>
        <v>0</v>
      </c>
      <c r="U248" s="1">
        <f t="shared" si="189"/>
        <v>0</v>
      </c>
      <c r="V248" s="1">
        <f t="shared" si="190"/>
        <v>0</v>
      </c>
      <c r="W248" s="1">
        <f t="shared" si="191"/>
        <v>0</v>
      </c>
      <c r="X248" s="1">
        <f t="shared" si="192"/>
        <v>0</v>
      </c>
      <c r="Y248" s="1">
        <f t="shared" si="193"/>
        <v>0</v>
      </c>
      <c r="Z248" s="1">
        <f t="shared" si="194"/>
        <v>0</v>
      </c>
      <c r="AA248" s="1">
        <f t="shared" si="195"/>
        <v>0</v>
      </c>
      <c r="AB248" s="1">
        <f t="shared" si="196"/>
        <v>0</v>
      </c>
      <c r="AD248" s="1">
        <f t="shared" si="197"/>
        <v>0</v>
      </c>
      <c r="AE248" s="1">
        <f t="shared" si="198"/>
        <v>0</v>
      </c>
      <c r="AF248" s="1">
        <f t="shared" si="183"/>
        <v>0</v>
      </c>
      <c r="AG248" s="1">
        <f t="shared" si="184"/>
        <v>0</v>
      </c>
      <c r="AH248" s="1">
        <f t="shared" si="185"/>
        <v>0</v>
      </c>
      <c r="AI248" s="1">
        <f t="shared" si="186"/>
        <v>1</v>
      </c>
    </row>
    <row r="249" spans="1:35" ht="14.25" customHeight="1" x14ac:dyDescent="0.3">
      <c r="A249" s="38">
        <v>0</v>
      </c>
      <c r="B249" s="38">
        <v>1</v>
      </c>
      <c r="C249" s="38">
        <v>7</v>
      </c>
      <c r="D249" s="39" t="s">
        <v>587</v>
      </c>
      <c r="E249" s="39" t="s">
        <v>29</v>
      </c>
      <c r="F249" s="39" t="s">
        <v>588</v>
      </c>
      <c r="G249" s="39" t="s">
        <v>1068</v>
      </c>
      <c r="H249" s="39" t="s">
        <v>352</v>
      </c>
      <c r="I249" s="38" t="s">
        <v>589</v>
      </c>
      <c r="J249" s="38">
        <v>99</v>
      </c>
      <c r="K249" s="40" t="s">
        <v>699</v>
      </c>
      <c r="L249" s="40">
        <v>35</v>
      </c>
      <c r="M249" s="41" t="s">
        <v>1400</v>
      </c>
      <c r="N249" s="41"/>
      <c r="O249" s="43"/>
      <c r="P249" s="43">
        <v>1</v>
      </c>
      <c r="Q249" s="39"/>
      <c r="S249" s="1">
        <f t="shared" si="187"/>
        <v>0</v>
      </c>
      <c r="T249" s="1">
        <f t="shared" si="188"/>
        <v>0</v>
      </c>
      <c r="U249" s="1">
        <f t="shared" si="189"/>
        <v>0</v>
      </c>
      <c r="V249" s="1">
        <f t="shared" si="190"/>
        <v>0</v>
      </c>
      <c r="W249" s="1">
        <f t="shared" si="191"/>
        <v>0</v>
      </c>
      <c r="X249" s="1">
        <f t="shared" si="192"/>
        <v>0</v>
      </c>
      <c r="Y249" s="1">
        <f t="shared" si="193"/>
        <v>0</v>
      </c>
      <c r="Z249" s="1">
        <f t="shared" si="194"/>
        <v>0</v>
      </c>
      <c r="AA249" s="1">
        <f t="shared" si="195"/>
        <v>0</v>
      </c>
      <c r="AB249" s="1">
        <f t="shared" si="196"/>
        <v>0</v>
      </c>
      <c r="AD249" s="1">
        <f t="shared" si="197"/>
        <v>0</v>
      </c>
      <c r="AE249" s="1">
        <f t="shared" si="198"/>
        <v>0</v>
      </c>
      <c r="AF249" s="1">
        <f t="shared" si="183"/>
        <v>0</v>
      </c>
      <c r="AG249" s="1">
        <f t="shared" si="184"/>
        <v>0</v>
      </c>
      <c r="AH249" s="1">
        <f t="shared" si="185"/>
        <v>1</v>
      </c>
      <c r="AI249" s="1">
        <f t="shared" si="186"/>
        <v>0</v>
      </c>
    </row>
    <row r="250" spans="1:35" ht="14.25" customHeight="1" x14ac:dyDescent="0.3">
      <c r="A250" s="31">
        <v>0</v>
      </c>
      <c r="B250" s="31">
        <v>1</v>
      </c>
      <c r="C250" s="31">
        <v>7</v>
      </c>
      <c r="D250" s="32" t="s">
        <v>1622</v>
      </c>
      <c r="E250" s="32" t="s">
        <v>29</v>
      </c>
      <c r="F250" s="32" t="s">
        <v>1677</v>
      </c>
      <c r="G250" s="32" t="s">
        <v>310</v>
      </c>
      <c r="H250" s="32" t="s">
        <v>352</v>
      </c>
      <c r="I250" s="31" t="s">
        <v>1623</v>
      </c>
      <c r="J250" s="31"/>
      <c r="K250" s="33" t="s">
        <v>709</v>
      </c>
      <c r="L250" s="33">
        <v>45</v>
      </c>
      <c r="M250" s="34" t="s">
        <v>1795</v>
      </c>
      <c r="N250" s="34" t="s">
        <v>1728</v>
      </c>
      <c r="O250" s="35">
        <v>1</v>
      </c>
      <c r="P250" s="35">
        <v>1</v>
      </c>
      <c r="Q250" s="32"/>
      <c r="S250" s="1">
        <f t="shared" si="187"/>
        <v>0</v>
      </c>
      <c r="T250" s="1">
        <f t="shared" si="188"/>
        <v>0</v>
      </c>
      <c r="U250" s="1">
        <f t="shared" si="189"/>
        <v>0</v>
      </c>
      <c r="V250" s="1">
        <f t="shared" si="190"/>
        <v>0</v>
      </c>
      <c r="W250" s="1">
        <f t="shared" si="191"/>
        <v>0</v>
      </c>
      <c r="X250" s="1">
        <f t="shared" si="192"/>
        <v>0</v>
      </c>
      <c r="Y250" s="1">
        <f t="shared" si="193"/>
        <v>0</v>
      </c>
      <c r="Z250" s="1">
        <f t="shared" si="194"/>
        <v>0</v>
      </c>
      <c r="AA250" s="1">
        <f t="shared" si="195"/>
        <v>0</v>
      </c>
      <c r="AB250" s="1">
        <f t="shared" si="196"/>
        <v>0</v>
      </c>
      <c r="AD250" s="1">
        <f t="shared" si="197"/>
        <v>1</v>
      </c>
      <c r="AE250" s="1">
        <f t="shared" si="198"/>
        <v>0</v>
      </c>
      <c r="AF250" s="1">
        <f t="shared" si="183"/>
        <v>1</v>
      </c>
      <c r="AG250" s="1">
        <f t="shared" si="184"/>
        <v>0</v>
      </c>
      <c r="AH250" s="1">
        <f t="shared" si="185"/>
        <v>1</v>
      </c>
      <c r="AI250" s="1">
        <f t="shared" si="186"/>
        <v>0</v>
      </c>
    </row>
    <row r="251" spans="1:35" ht="14.25" customHeight="1" x14ac:dyDescent="0.3">
      <c r="A251" s="31">
        <v>0</v>
      </c>
      <c r="B251" s="31">
        <v>1</v>
      </c>
      <c r="C251" s="31">
        <v>7</v>
      </c>
      <c r="D251" s="32" t="s">
        <v>855</v>
      </c>
      <c r="E251" s="32" t="s">
        <v>29</v>
      </c>
      <c r="F251" s="32" t="s">
        <v>856</v>
      </c>
      <c r="G251" s="32" t="s">
        <v>201</v>
      </c>
      <c r="H251" s="32" t="s">
        <v>352</v>
      </c>
      <c r="I251" s="31" t="s">
        <v>857</v>
      </c>
      <c r="J251" s="31">
        <v>10</v>
      </c>
      <c r="K251" s="33" t="s">
        <v>709</v>
      </c>
      <c r="L251" s="33" t="s">
        <v>689</v>
      </c>
      <c r="M251" s="34" t="s">
        <v>1400</v>
      </c>
      <c r="N251" s="34" t="s">
        <v>1750</v>
      </c>
      <c r="O251" s="35">
        <v>1</v>
      </c>
      <c r="P251" s="35"/>
      <c r="Q251" s="32"/>
      <c r="S251" s="1">
        <f t="shared" si="187"/>
        <v>0</v>
      </c>
      <c r="T251" s="1">
        <f t="shared" si="188"/>
        <v>0</v>
      </c>
      <c r="U251" s="1">
        <f t="shared" si="189"/>
        <v>0</v>
      </c>
      <c r="V251" s="1">
        <f t="shared" si="190"/>
        <v>0</v>
      </c>
      <c r="W251" s="1">
        <f t="shared" si="191"/>
        <v>0</v>
      </c>
      <c r="X251" s="1">
        <f t="shared" si="192"/>
        <v>0</v>
      </c>
      <c r="Y251" s="1">
        <f t="shared" si="193"/>
        <v>0</v>
      </c>
      <c r="Z251" s="1">
        <f t="shared" si="194"/>
        <v>0</v>
      </c>
      <c r="AA251" s="1">
        <f t="shared" si="195"/>
        <v>0</v>
      </c>
      <c r="AB251" s="1">
        <f t="shared" si="196"/>
        <v>1</v>
      </c>
      <c r="AD251" s="1">
        <f t="shared" si="197"/>
        <v>0</v>
      </c>
      <c r="AE251" s="1">
        <f t="shared" si="198"/>
        <v>1</v>
      </c>
      <c r="AF251" s="1">
        <f t="shared" si="183"/>
        <v>0</v>
      </c>
      <c r="AG251" s="1">
        <f t="shared" si="184"/>
        <v>1</v>
      </c>
      <c r="AH251" s="1">
        <f t="shared" si="185"/>
        <v>0</v>
      </c>
      <c r="AI251" s="1">
        <f t="shared" si="186"/>
        <v>1</v>
      </c>
    </row>
    <row r="252" spans="1:35" ht="14.25" customHeight="1" x14ac:dyDescent="0.3">
      <c r="A252" s="31">
        <v>0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279</v>
      </c>
      <c r="G252" s="32" t="s">
        <v>229</v>
      </c>
      <c r="H252" s="32" t="s">
        <v>352</v>
      </c>
      <c r="I252" s="31" t="s">
        <v>433</v>
      </c>
      <c r="J252" s="31">
        <v>7</v>
      </c>
      <c r="K252" s="33" t="s">
        <v>709</v>
      </c>
      <c r="L252" s="33" t="s">
        <v>692</v>
      </c>
      <c r="M252" s="34" t="s">
        <v>968</v>
      </c>
      <c r="N252" s="34" t="s">
        <v>1722</v>
      </c>
      <c r="O252" s="35">
        <v>1</v>
      </c>
      <c r="P252" s="35">
        <v>1</v>
      </c>
      <c r="Q252" s="32"/>
      <c r="S252" s="1">
        <f t="shared" si="187"/>
        <v>0</v>
      </c>
      <c r="T252" s="1">
        <f t="shared" si="188"/>
        <v>0</v>
      </c>
      <c r="U252" s="1">
        <f t="shared" si="189"/>
        <v>0</v>
      </c>
      <c r="V252" s="1">
        <f t="shared" si="190"/>
        <v>0</v>
      </c>
      <c r="W252" s="1">
        <f t="shared" si="191"/>
        <v>0</v>
      </c>
      <c r="X252" s="1">
        <f t="shared" si="192"/>
        <v>0</v>
      </c>
      <c r="Y252" s="1">
        <f t="shared" si="193"/>
        <v>1</v>
      </c>
      <c r="Z252" s="1">
        <f t="shared" si="194"/>
        <v>0</v>
      </c>
      <c r="AA252" s="1">
        <f t="shared" si="195"/>
        <v>0</v>
      </c>
      <c r="AB252" s="1">
        <f t="shared" si="196"/>
        <v>0</v>
      </c>
      <c r="AD252" s="1">
        <f t="shared" si="197"/>
        <v>1</v>
      </c>
      <c r="AE252" s="1">
        <f t="shared" si="198"/>
        <v>0</v>
      </c>
      <c r="AF252" s="1">
        <f t="shared" si="183"/>
        <v>1</v>
      </c>
      <c r="AG252" s="1">
        <f t="shared" si="184"/>
        <v>0</v>
      </c>
      <c r="AH252" s="1">
        <f t="shared" si="185"/>
        <v>1</v>
      </c>
      <c r="AI252" s="1">
        <f t="shared" si="186"/>
        <v>0</v>
      </c>
    </row>
    <row r="253" spans="1:35" ht="14.25" customHeight="1" x14ac:dyDescent="0.3">
      <c r="A253" s="31">
        <v>1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1596</v>
      </c>
      <c r="G253" s="32" t="s">
        <v>39</v>
      </c>
      <c r="H253" s="32" t="s">
        <v>352</v>
      </c>
      <c r="I253" s="31" t="s">
        <v>1597</v>
      </c>
      <c r="J253" s="31">
        <v>99</v>
      </c>
      <c r="K253" s="33" t="s">
        <v>709</v>
      </c>
      <c r="L253" s="33" t="s">
        <v>692</v>
      </c>
      <c r="M253" s="34" t="s">
        <v>968</v>
      </c>
      <c r="N253" s="34" t="s">
        <v>1722</v>
      </c>
      <c r="O253" s="35">
        <v>1</v>
      </c>
      <c r="P253" s="35">
        <v>1</v>
      </c>
      <c r="Q253" s="32"/>
      <c r="S253" s="1">
        <f t="shared" si="187"/>
        <v>0</v>
      </c>
      <c r="T253" s="1">
        <f t="shared" si="188"/>
        <v>0</v>
      </c>
      <c r="U253" s="1">
        <f t="shared" si="189"/>
        <v>0</v>
      </c>
      <c r="V253" s="1">
        <f t="shared" si="190"/>
        <v>0</v>
      </c>
      <c r="W253" s="1">
        <f t="shared" si="191"/>
        <v>0</v>
      </c>
      <c r="X253" s="1">
        <f t="shared" si="192"/>
        <v>0</v>
      </c>
      <c r="Y253" s="1">
        <f t="shared" si="193"/>
        <v>0</v>
      </c>
      <c r="Z253" s="1">
        <f t="shared" si="194"/>
        <v>0</v>
      </c>
      <c r="AA253" s="1">
        <f t="shared" si="195"/>
        <v>0</v>
      </c>
      <c r="AB253" s="1">
        <f t="shared" si="196"/>
        <v>0</v>
      </c>
      <c r="AD253" s="1">
        <f t="shared" si="197"/>
        <v>1</v>
      </c>
      <c r="AE253" s="1">
        <f t="shared" si="198"/>
        <v>0</v>
      </c>
      <c r="AF253" s="1">
        <f t="shared" si="183"/>
        <v>0</v>
      </c>
      <c r="AG253" s="1">
        <f t="shared" si="184"/>
        <v>0</v>
      </c>
      <c r="AH253" s="1">
        <f t="shared" si="185"/>
        <v>0</v>
      </c>
      <c r="AI253" s="1">
        <f t="shared" si="186"/>
        <v>0</v>
      </c>
    </row>
    <row r="254" spans="1:35" ht="14.25" customHeight="1" x14ac:dyDescent="0.3">
      <c r="A254" s="49">
        <v>0</v>
      </c>
      <c r="B254" s="49">
        <v>1</v>
      </c>
      <c r="C254" s="49">
        <v>7</v>
      </c>
      <c r="D254" s="55" t="s">
        <v>1479</v>
      </c>
      <c r="E254" s="50" t="s">
        <v>29</v>
      </c>
      <c r="F254" s="55" t="s">
        <v>999</v>
      </c>
      <c r="G254" s="55" t="s">
        <v>1097</v>
      </c>
      <c r="H254" s="55" t="s">
        <v>352</v>
      </c>
      <c r="I254" s="63" t="s">
        <v>1105</v>
      </c>
      <c r="J254" s="49">
        <v>10</v>
      </c>
      <c r="K254" s="51" t="s">
        <v>709</v>
      </c>
      <c r="L254" s="51" t="s">
        <v>690</v>
      </c>
      <c r="M254" s="52" t="s">
        <v>968</v>
      </c>
      <c r="N254" s="52" t="s">
        <v>1738</v>
      </c>
      <c r="O254" s="53">
        <v>1</v>
      </c>
      <c r="P254" s="53"/>
      <c r="Q254" s="55"/>
      <c r="S254" s="1">
        <f t="shared" si="187"/>
        <v>0</v>
      </c>
      <c r="T254" s="1">
        <f t="shared" si="188"/>
        <v>0</v>
      </c>
      <c r="U254" s="1">
        <f t="shared" si="189"/>
        <v>0</v>
      </c>
      <c r="V254" s="1">
        <f t="shared" si="190"/>
        <v>0</v>
      </c>
      <c r="W254" s="1">
        <f t="shared" si="191"/>
        <v>0</v>
      </c>
      <c r="X254" s="1">
        <f t="shared" si="192"/>
        <v>0</v>
      </c>
      <c r="Y254" s="1">
        <f t="shared" si="193"/>
        <v>0</v>
      </c>
      <c r="Z254" s="1">
        <f t="shared" si="194"/>
        <v>0</v>
      </c>
      <c r="AA254" s="1">
        <f t="shared" si="195"/>
        <v>0</v>
      </c>
      <c r="AB254" s="1">
        <f t="shared" si="196"/>
        <v>1</v>
      </c>
      <c r="AD254" s="1">
        <f t="shared" si="197"/>
        <v>0</v>
      </c>
      <c r="AE254" s="1">
        <f t="shared" si="198"/>
        <v>1</v>
      </c>
      <c r="AF254" s="1">
        <f t="shared" si="183"/>
        <v>0</v>
      </c>
      <c r="AG254" s="1">
        <f t="shared" si="184"/>
        <v>1</v>
      </c>
      <c r="AH254" s="1">
        <f t="shared" si="185"/>
        <v>0</v>
      </c>
      <c r="AI254" s="1">
        <f t="shared" si="186"/>
        <v>1</v>
      </c>
    </row>
    <row r="255" spans="1:35" ht="14.25" customHeight="1" x14ac:dyDescent="0.3">
      <c r="A255" s="31">
        <v>0</v>
      </c>
      <c r="B255" s="31">
        <v>1</v>
      </c>
      <c r="C255" s="31">
        <v>7</v>
      </c>
      <c r="D255" s="36" t="s">
        <v>1480</v>
      </c>
      <c r="E255" s="32" t="s">
        <v>29</v>
      </c>
      <c r="F255" s="36" t="s">
        <v>997</v>
      </c>
      <c r="G255" s="36" t="s">
        <v>239</v>
      </c>
      <c r="H255" s="36" t="s">
        <v>352</v>
      </c>
      <c r="I255" s="37" t="s">
        <v>998</v>
      </c>
      <c r="J255" s="31">
        <v>1</v>
      </c>
      <c r="K255" s="33" t="s">
        <v>956</v>
      </c>
      <c r="L255" s="33" t="s">
        <v>690</v>
      </c>
      <c r="M255" s="34" t="s">
        <v>968</v>
      </c>
      <c r="N255" s="34" t="s">
        <v>1796</v>
      </c>
      <c r="O255" s="35">
        <v>1</v>
      </c>
      <c r="P255" s="35"/>
      <c r="Q255" s="36"/>
      <c r="S255" s="1">
        <f t="shared" si="187"/>
        <v>1</v>
      </c>
      <c r="T255" s="1">
        <f t="shared" si="188"/>
        <v>0</v>
      </c>
      <c r="U255" s="1">
        <f t="shared" si="189"/>
        <v>0</v>
      </c>
      <c r="V255" s="1">
        <f t="shared" si="190"/>
        <v>0</v>
      </c>
      <c r="W255" s="1">
        <f t="shared" si="191"/>
        <v>0</v>
      </c>
      <c r="X255" s="1">
        <f t="shared" si="192"/>
        <v>0</v>
      </c>
      <c r="Y255" s="1">
        <f t="shared" si="193"/>
        <v>0</v>
      </c>
      <c r="Z255" s="1">
        <f t="shared" si="194"/>
        <v>0</v>
      </c>
      <c r="AA255" s="1">
        <f t="shared" si="195"/>
        <v>0</v>
      </c>
      <c r="AB255" s="1">
        <f t="shared" si="196"/>
        <v>0</v>
      </c>
      <c r="AD255" s="1">
        <f t="shared" si="197"/>
        <v>0</v>
      </c>
      <c r="AE255" s="1">
        <f t="shared" si="198"/>
        <v>1</v>
      </c>
      <c r="AF255" s="1">
        <f t="shared" si="183"/>
        <v>0</v>
      </c>
      <c r="AG255" s="1">
        <f t="shared" si="184"/>
        <v>1</v>
      </c>
      <c r="AH255" s="1">
        <f t="shared" si="185"/>
        <v>0</v>
      </c>
      <c r="AI255" s="1">
        <f t="shared" si="186"/>
        <v>1</v>
      </c>
    </row>
    <row r="256" spans="1:35" ht="14.25" customHeight="1" x14ac:dyDescent="0.3">
      <c r="A256" s="44">
        <v>0</v>
      </c>
      <c r="B256" s="44">
        <v>1</v>
      </c>
      <c r="C256" s="44">
        <v>7</v>
      </c>
      <c r="D256" s="45" t="s">
        <v>894</v>
      </c>
      <c r="E256" s="45" t="s">
        <v>29</v>
      </c>
      <c r="F256" s="45" t="s">
        <v>895</v>
      </c>
      <c r="G256" s="45" t="s">
        <v>39</v>
      </c>
      <c r="H256" s="45" t="s">
        <v>353</v>
      </c>
      <c r="I256" s="44" t="s">
        <v>896</v>
      </c>
      <c r="J256" s="44">
        <v>11</v>
      </c>
      <c r="K256" s="46" t="s">
        <v>699</v>
      </c>
      <c r="L256" s="46">
        <v>35</v>
      </c>
      <c r="M256" s="47" t="s">
        <v>1400</v>
      </c>
      <c r="N256" s="47" t="s">
        <v>1742</v>
      </c>
      <c r="O256" s="48"/>
      <c r="P256" s="48"/>
      <c r="Q256" s="65" t="s">
        <v>1898</v>
      </c>
      <c r="S256" s="1">
        <f t="shared" si="187"/>
        <v>0</v>
      </c>
      <c r="T256" s="1">
        <f t="shared" si="188"/>
        <v>0</v>
      </c>
      <c r="U256" s="1">
        <f t="shared" si="189"/>
        <v>0</v>
      </c>
      <c r="V256" s="1">
        <f t="shared" si="190"/>
        <v>0</v>
      </c>
      <c r="W256" s="1">
        <f t="shared" si="191"/>
        <v>0</v>
      </c>
      <c r="X256" s="1">
        <f t="shared" si="192"/>
        <v>0</v>
      </c>
      <c r="Y256" s="1">
        <f t="shared" si="193"/>
        <v>0</v>
      </c>
      <c r="Z256" s="1">
        <f t="shared" si="194"/>
        <v>0</v>
      </c>
      <c r="AA256" s="1">
        <f t="shared" si="195"/>
        <v>0</v>
      </c>
      <c r="AB256" s="1">
        <f t="shared" si="196"/>
        <v>0</v>
      </c>
      <c r="AD256" s="1">
        <f t="shared" si="197"/>
        <v>0</v>
      </c>
      <c r="AE256" s="1">
        <f t="shared" si="198"/>
        <v>0</v>
      </c>
      <c r="AF256" s="1">
        <f t="shared" si="183"/>
        <v>0</v>
      </c>
      <c r="AG256" s="1">
        <f t="shared" si="184"/>
        <v>0</v>
      </c>
      <c r="AH256" s="1">
        <f t="shared" si="185"/>
        <v>0</v>
      </c>
      <c r="AI256" s="1">
        <f t="shared" si="186"/>
        <v>1</v>
      </c>
    </row>
    <row r="257" spans="1:35" ht="14.25" customHeight="1" x14ac:dyDescent="0.3">
      <c r="A257" s="31">
        <v>0</v>
      </c>
      <c r="B257" s="31">
        <v>1</v>
      </c>
      <c r="C257" s="31">
        <v>7</v>
      </c>
      <c r="D257" s="36" t="s">
        <v>1079</v>
      </c>
      <c r="E257" s="32" t="s">
        <v>29</v>
      </c>
      <c r="F257" s="36" t="s">
        <v>981</v>
      </c>
      <c r="G257" s="36" t="s">
        <v>202</v>
      </c>
      <c r="H257" s="36" t="s">
        <v>352</v>
      </c>
      <c r="I257" s="37" t="s">
        <v>982</v>
      </c>
      <c r="J257" s="31">
        <v>99</v>
      </c>
      <c r="K257" s="33" t="s">
        <v>709</v>
      </c>
      <c r="L257" s="33" t="s">
        <v>690</v>
      </c>
      <c r="M257" s="34" t="s">
        <v>1437</v>
      </c>
      <c r="N257" s="34" t="s">
        <v>1722</v>
      </c>
      <c r="O257" s="35">
        <v>1</v>
      </c>
      <c r="P257" s="35">
        <v>1</v>
      </c>
      <c r="Q257" s="36"/>
      <c r="S257" s="1">
        <f t="shared" si="187"/>
        <v>0</v>
      </c>
      <c r="T257" s="1">
        <f t="shared" si="188"/>
        <v>0</v>
      </c>
      <c r="U257" s="1">
        <f t="shared" si="189"/>
        <v>0</v>
      </c>
      <c r="V257" s="1">
        <f t="shared" si="190"/>
        <v>0</v>
      </c>
      <c r="W257" s="1">
        <f t="shared" si="191"/>
        <v>0</v>
      </c>
      <c r="X257" s="1">
        <f t="shared" si="192"/>
        <v>0</v>
      </c>
      <c r="Y257" s="1">
        <f t="shared" si="193"/>
        <v>0</v>
      </c>
      <c r="Z257" s="1">
        <f t="shared" si="194"/>
        <v>0</v>
      </c>
      <c r="AA257" s="1">
        <f t="shared" si="195"/>
        <v>0</v>
      </c>
      <c r="AB257" s="1">
        <f t="shared" si="196"/>
        <v>0</v>
      </c>
      <c r="AD257" s="1">
        <f t="shared" si="197"/>
        <v>1</v>
      </c>
      <c r="AE257" s="1">
        <f t="shared" si="198"/>
        <v>0</v>
      </c>
      <c r="AF257" s="1">
        <f t="shared" si="183"/>
        <v>1</v>
      </c>
      <c r="AG257" s="1">
        <f t="shared" si="184"/>
        <v>0</v>
      </c>
      <c r="AH257" s="1">
        <f t="shared" si="185"/>
        <v>1</v>
      </c>
      <c r="AI257" s="1">
        <f t="shared" si="186"/>
        <v>0</v>
      </c>
    </row>
    <row r="258" spans="1:35" ht="14.25" customHeight="1" x14ac:dyDescent="0.3">
      <c r="A258" s="15">
        <v>0</v>
      </c>
      <c r="B258" s="15">
        <v>1</v>
      </c>
      <c r="C258" s="15">
        <v>7</v>
      </c>
      <c r="D258" s="16" t="s">
        <v>747</v>
      </c>
      <c r="E258" s="16" t="s">
        <v>29</v>
      </c>
      <c r="F258" s="16" t="s">
        <v>748</v>
      </c>
      <c r="G258" s="16" t="s">
        <v>749</v>
      </c>
      <c r="H258" s="16" t="s">
        <v>352</v>
      </c>
      <c r="I258" s="15" t="s">
        <v>750</v>
      </c>
      <c r="J258" s="15">
        <v>99</v>
      </c>
      <c r="K258" s="10" t="s">
        <v>699</v>
      </c>
      <c r="L258" s="10">
        <v>20</v>
      </c>
      <c r="M258" s="19" t="s">
        <v>1115</v>
      </c>
      <c r="N258" s="17"/>
      <c r="Q258" s="16"/>
      <c r="S258" s="1">
        <f t="shared" si="187"/>
        <v>0</v>
      </c>
      <c r="T258" s="1">
        <f t="shared" si="188"/>
        <v>0</v>
      </c>
      <c r="U258" s="1">
        <f t="shared" si="189"/>
        <v>0</v>
      </c>
      <c r="V258" s="1">
        <f t="shared" si="190"/>
        <v>0</v>
      </c>
      <c r="W258" s="1">
        <f t="shared" si="191"/>
        <v>0</v>
      </c>
      <c r="X258" s="1">
        <f t="shared" si="192"/>
        <v>0</v>
      </c>
      <c r="Y258" s="1">
        <f t="shared" si="193"/>
        <v>0</v>
      </c>
      <c r="Z258" s="1">
        <f t="shared" si="194"/>
        <v>0</v>
      </c>
      <c r="AA258" s="1">
        <f t="shared" si="195"/>
        <v>0</v>
      </c>
      <c r="AB258" s="1">
        <f t="shared" si="196"/>
        <v>0</v>
      </c>
      <c r="AD258" s="1">
        <f t="shared" si="197"/>
        <v>0</v>
      </c>
      <c r="AE258" s="1">
        <f t="shared" si="198"/>
        <v>0</v>
      </c>
      <c r="AF258" s="1">
        <f t="shared" si="183"/>
        <v>0</v>
      </c>
      <c r="AG258" s="1">
        <f t="shared" si="184"/>
        <v>0</v>
      </c>
      <c r="AH258" s="1">
        <f t="shared" si="185"/>
        <v>0</v>
      </c>
      <c r="AI258" s="1">
        <f t="shared" si="186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6" t="s">
        <v>824</v>
      </c>
      <c r="E259" s="32" t="s">
        <v>29</v>
      </c>
      <c r="F259" s="36" t="s">
        <v>825</v>
      </c>
      <c r="G259" s="36" t="s">
        <v>924</v>
      </c>
      <c r="H259" s="36" t="s">
        <v>352</v>
      </c>
      <c r="I259" s="37" t="s">
        <v>826</v>
      </c>
      <c r="J259" s="31">
        <v>99</v>
      </c>
      <c r="K259" s="33" t="s">
        <v>950</v>
      </c>
      <c r="L259" s="33" t="s">
        <v>690</v>
      </c>
      <c r="M259" s="34" t="s">
        <v>968</v>
      </c>
      <c r="N259" s="34" t="s">
        <v>1820</v>
      </c>
      <c r="O259" s="35">
        <v>1</v>
      </c>
      <c r="P259" s="35"/>
      <c r="Q259" s="36"/>
      <c r="S259" s="1">
        <f t="shared" si="187"/>
        <v>0</v>
      </c>
      <c r="T259" s="1">
        <f t="shared" si="188"/>
        <v>0</v>
      </c>
      <c r="U259" s="1">
        <f t="shared" si="189"/>
        <v>0</v>
      </c>
      <c r="V259" s="1">
        <f t="shared" si="190"/>
        <v>0</v>
      </c>
      <c r="W259" s="1">
        <f t="shared" si="191"/>
        <v>0</v>
      </c>
      <c r="X259" s="1">
        <f t="shared" si="192"/>
        <v>0</v>
      </c>
      <c r="Y259" s="1">
        <f t="shared" si="193"/>
        <v>0</v>
      </c>
      <c r="Z259" s="1">
        <f t="shared" si="194"/>
        <v>0</v>
      </c>
      <c r="AA259" s="1">
        <f t="shared" si="195"/>
        <v>0</v>
      </c>
      <c r="AB259" s="1">
        <f t="shared" si="196"/>
        <v>0</v>
      </c>
      <c r="AD259" s="1">
        <f t="shared" si="197"/>
        <v>0</v>
      </c>
      <c r="AE259" s="1">
        <f t="shared" si="198"/>
        <v>1</v>
      </c>
      <c r="AF259" s="1">
        <f t="shared" si="183"/>
        <v>0</v>
      </c>
      <c r="AG259" s="1">
        <f t="shared" si="184"/>
        <v>1</v>
      </c>
      <c r="AH259" s="1">
        <f t="shared" si="185"/>
        <v>0</v>
      </c>
      <c r="AI259" s="1">
        <f t="shared" si="186"/>
        <v>1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6" t="s">
        <v>1715</v>
      </c>
      <c r="E260" s="32" t="s">
        <v>29</v>
      </c>
      <c r="F260" s="36" t="s">
        <v>1716</v>
      </c>
      <c r="G260" s="36" t="s">
        <v>248</v>
      </c>
      <c r="H260" s="36" t="s">
        <v>352</v>
      </c>
      <c r="I260" s="37" t="s">
        <v>1717</v>
      </c>
      <c r="J260" s="31"/>
      <c r="K260" s="33" t="s">
        <v>699</v>
      </c>
      <c r="L260" s="33"/>
      <c r="M260" s="34"/>
      <c r="N260" s="34" t="s">
        <v>1722</v>
      </c>
      <c r="O260" s="35">
        <v>1</v>
      </c>
      <c r="P260" s="35">
        <v>1</v>
      </c>
      <c r="Q260" s="36"/>
      <c r="S260" s="1">
        <f t="shared" si="187"/>
        <v>0</v>
      </c>
      <c r="T260" s="1">
        <f t="shared" si="188"/>
        <v>0</v>
      </c>
      <c r="U260" s="1">
        <f t="shared" si="189"/>
        <v>0</v>
      </c>
      <c r="V260" s="1">
        <f t="shared" si="190"/>
        <v>0</v>
      </c>
      <c r="W260" s="1">
        <f t="shared" si="191"/>
        <v>0</v>
      </c>
      <c r="X260" s="1">
        <f t="shared" si="192"/>
        <v>0</v>
      </c>
      <c r="Y260" s="1">
        <f t="shared" si="193"/>
        <v>0</v>
      </c>
      <c r="Z260" s="1">
        <f t="shared" si="194"/>
        <v>0</v>
      </c>
      <c r="AA260" s="1">
        <f t="shared" si="195"/>
        <v>0</v>
      </c>
      <c r="AB260" s="1">
        <f t="shared" si="196"/>
        <v>0</v>
      </c>
      <c r="AD260" s="1">
        <f t="shared" si="197"/>
        <v>1</v>
      </c>
      <c r="AE260" s="1">
        <f t="shared" si="198"/>
        <v>0</v>
      </c>
      <c r="AF260" s="1">
        <f t="shared" si="183"/>
        <v>1</v>
      </c>
      <c r="AG260" s="1">
        <f t="shared" si="184"/>
        <v>0</v>
      </c>
      <c r="AH260" s="1">
        <f t="shared" si="185"/>
        <v>1</v>
      </c>
      <c r="AI260" s="1">
        <f t="shared" si="186"/>
        <v>0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2" t="s">
        <v>897</v>
      </c>
      <c r="E261" s="32" t="s">
        <v>29</v>
      </c>
      <c r="F261" s="32" t="s">
        <v>898</v>
      </c>
      <c r="G261" s="32" t="s">
        <v>227</v>
      </c>
      <c r="H261" s="32" t="s">
        <v>352</v>
      </c>
      <c r="I261" s="31" t="s">
        <v>899</v>
      </c>
      <c r="J261" s="31">
        <v>99</v>
      </c>
      <c r="K261" s="33" t="s">
        <v>709</v>
      </c>
      <c r="L261" s="33" t="s">
        <v>690</v>
      </c>
      <c r="M261" s="34" t="s">
        <v>1401</v>
      </c>
      <c r="N261" s="34" t="s">
        <v>1743</v>
      </c>
      <c r="O261" s="35">
        <v>1</v>
      </c>
      <c r="P261" s="35"/>
      <c r="Q261" s="32"/>
      <c r="S261" s="1">
        <f t="shared" si="187"/>
        <v>0</v>
      </c>
      <c r="T261" s="1">
        <f t="shared" si="188"/>
        <v>0</v>
      </c>
      <c r="U261" s="1">
        <f t="shared" si="189"/>
        <v>0</v>
      </c>
      <c r="V261" s="1">
        <f t="shared" si="190"/>
        <v>0</v>
      </c>
      <c r="W261" s="1">
        <f t="shared" si="191"/>
        <v>0</v>
      </c>
      <c r="X261" s="1">
        <f t="shared" si="192"/>
        <v>0</v>
      </c>
      <c r="Y261" s="1">
        <f t="shared" si="193"/>
        <v>0</v>
      </c>
      <c r="Z261" s="1">
        <f t="shared" si="194"/>
        <v>0</v>
      </c>
      <c r="AA261" s="1">
        <f t="shared" si="195"/>
        <v>0</v>
      </c>
      <c r="AB261" s="1">
        <f t="shared" si="196"/>
        <v>0</v>
      </c>
      <c r="AD261" s="1">
        <f t="shared" si="197"/>
        <v>0</v>
      </c>
      <c r="AE261" s="1">
        <f t="shared" si="198"/>
        <v>1</v>
      </c>
      <c r="AF261" s="1">
        <f t="shared" si="183"/>
        <v>0</v>
      </c>
      <c r="AG261" s="1">
        <f t="shared" si="184"/>
        <v>1</v>
      </c>
      <c r="AH261" s="1">
        <f t="shared" si="185"/>
        <v>0</v>
      </c>
      <c r="AI261" s="1">
        <f t="shared" si="186"/>
        <v>1</v>
      </c>
    </row>
    <row r="262" spans="1:35" ht="14.25" customHeight="1" x14ac:dyDescent="0.3">
      <c r="A262" s="31">
        <v>0</v>
      </c>
      <c r="B262" s="31">
        <v>1</v>
      </c>
      <c r="C262" s="31">
        <v>7</v>
      </c>
      <c r="D262" s="32" t="s">
        <v>88</v>
      </c>
      <c r="E262" s="32" t="s">
        <v>29</v>
      </c>
      <c r="F262" s="32" t="s">
        <v>280</v>
      </c>
      <c r="G262" s="32" t="s">
        <v>281</v>
      </c>
      <c r="H262" s="32" t="s">
        <v>352</v>
      </c>
      <c r="I262" s="31" t="s">
        <v>938</v>
      </c>
      <c r="J262" s="31">
        <v>99</v>
      </c>
      <c r="K262" s="33" t="s">
        <v>950</v>
      </c>
      <c r="L262" s="33" t="s">
        <v>690</v>
      </c>
      <c r="M262" s="34" t="s">
        <v>968</v>
      </c>
      <c r="N262" s="34" t="s">
        <v>1844</v>
      </c>
      <c r="O262" s="35">
        <v>1</v>
      </c>
      <c r="P262" s="35"/>
      <c r="Q262" s="32"/>
      <c r="S262" s="1">
        <f t="shared" si="187"/>
        <v>0</v>
      </c>
      <c r="T262" s="1">
        <f t="shared" si="188"/>
        <v>0</v>
      </c>
      <c r="U262" s="1">
        <f t="shared" si="189"/>
        <v>0</v>
      </c>
      <c r="V262" s="1">
        <f t="shared" si="190"/>
        <v>0</v>
      </c>
      <c r="W262" s="1">
        <f t="shared" si="191"/>
        <v>0</v>
      </c>
      <c r="X262" s="1">
        <f t="shared" si="192"/>
        <v>0</v>
      </c>
      <c r="Y262" s="1">
        <f t="shared" si="193"/>
        <v>0</v>
      </c>
      <c r="Z262" s="1">
        <f t="shared" si="194"/>
        <v>0</v>
      </c>
      <c r="AA262" s="1">
        <f t="shared" si="195"/>
        <v>0</v>
      </c>
      <c r="AB262" s="1">
        <f t="shared" si="196"/>
        <v>0</v>
      </c>
      <c r="AD262" s="1">
        <f t="shared" si="197"/>
        <v>0</v>
      </c>
      <c r="AE262" s="1">
        <f t="shared" si="198"/>
        <v>1</v>
      </c>
      <c r="AF262" s="1">
        <f t="shared" si="183"/>
        <v>0</v>
      </c>
      <c r="AG262" s="1">
        <f t="shared" si="184"/>
        <v>1</v>
      </c>
      <c r="AH262" s="1">
        <f t="shared" si="185"/>
        <v>0</v>
      </c>
      <c r="AI262" s="1">
        <f t="shared" si="186"/>
        <v>1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6" t="s">
        <v>1631</v>
      </c>
      <c r="E263" s="32" t="s">
        <v>29</v>
      </c>
      <c r="F263" s="36" t="s">
        <v>1530</v>
      </c>
      <c r="G263" s="36" t="s">
        <v>39</v>
      </c>
      <c r="H263" s="36" t="s">
        <v>882</v>
      </c>
      <c r="I263" s="37" t="s">
        <v>1531</v>
      </c>
      <c r="J263" s="31">
        <v>17</v>
      </c>
      <c r="K263" s="33" t="s">
        <v>709</v>
      </c>
      <c r="L263" s="33" t="s">
        <v>693</v>
      </c>
      <c r="M263" s="34" t="s">
        <v>1452</v>
      </c>
      <c r="N263" s="34" t="s">
        <v>1722</v>
      </c>
      <c r="O263" s="35">
        <v>1</v>
      </c>
      <c r="P263" s="35">
        <v>1</v>
      </c>
      <c r="Q263" s="36"/>
      <c r="S263" s="1">
        <f t="shared" si="187"/>
        <v>0</v>
      </c>
      <c r="T263" s="1">
        <f t="shared" si="188"/>
        <v>0</v>
      </c>
      <c r="U263" s="1">
        <f t="shared" si="189"/>
        <v>0</v>
      </c>
      <c r="V263" s="1">
        <f t="shared" si="190"/>
        <v>0</v>
      </c>
      <c r="W263" s="1">
        <f t="shared" si="191"/>
        <v>0</v>
      </c>
      <c r="X263" s="1">
        <f t="shared" si="192"/>
        <v>0</v>
      </c>
      <c r="Y263" s="1">
        <f t="shared" si="193"/>
        <v>0</v>
      </c>
      <c r="Z263" s="1">
        <f t="shared" si="194"/>
        <v>0</v>
      </c>
      <c r="AA263" s="1">
        <f t="shared" si="195"/>
        <v>0</v>
      </c>
      <c r="AB263" s="1">
        <f t="shared" si="196"/>
        <v>0</v>
      </c>
      <c r="AD263" s="1">
        <f t="shared" si="197"/>
        <v>1</v>
      </c>
      <c r="AE263" s="1">
        <f t="shared" si="198"/>
        <v>0</v>
      </c>
      <c r="AF263" s="1">
        <f t="shared" si="183"/>
        <v>1</v>
      </c>
      <c r="AG263" s="1">
        <f t="shared" si="184"/>
        <v>0</v>
      </c>
      <c r="AH263" s="1">
        <f t="shared" si="185"/>
        <v>1</v>
      </c>
      <c r="AI263" s="1">
        <f t="shared" si="186"/>
        <v>0</v>
      </c>
    </row>
    <row r="264" spans="1:35" ht="14.25" customHeight="1" x14ac:dyDescent="0.3">
      <c r="A264" s="44">
        <v>0</v>
      </c>
      <c r="B264" s="44">
        <v>1</v>
      </c>
      <c r="C264" s="44">
        <v>7</v>
      </c>
      <c r="D264" s="45" t="s">
        <v>1449</v>
      </c>
      <c r="E264" s="45" t="s">
        <v>29</v>
      </c>
      <c r="F264" s="45" t="s">
        <v>1450</v>
      </c>
      <c r="G264" s="45" t="s">
        <v>319</v>
      </c>
      <c r="H264" s="45" t="s">
        <v>352</v>
      </c>
      <c r="I264" s="44" t="s">
        <v>1451</v>
      </c>
      <c r="J264" s="44">
        <v>99</v>
      </c>
      <c r="K264" s="46" t="s">
        <v>699</v>
      </c>
      <c r="L264" s="46">
        <v>30</v>
      </c>
      <c r="M264" s="47" t="s">
        <v>1452</v>
      </c>
      <c r="N264" s="47" t="s">
        <v>1797</v>
      </c>
      <c r="O264" s="48"/>
      <c r="P264" s="48"/>
      <c r="Q264" s="45"/>
      <c r="S264" s="1">
        <f t="shared" si="187"/>
        <v>0</v>
      </c>
      <c r="T264" s="1">
        <f t="shared" si="188"/>
        <v>0</v>
      </c>
      <c r="U264" s="1">
        <f t="shared" si="189"/>
        <v>0</v>
      </c>
      <c r="V264" s="1">
        <f t="shared" si="190"/>
        <v>0</v>
      </c>
      <c r="W264" s="1">
        <f t="shared" si="191"/>
        <v>0</v>
      </c>
      <c r="X264" s="1">
        <f t="shared" si="192"/>
        <v>0</v>
      </c>
      <c r="Y264" s="1">
        <f t="shared" si="193"/>
        <v>0</v>
      </c>
      <c r="Z264" s="1">
        <f t="shared" si="194"/>
        <v>0</v>
      </c>
      <c r="AA264" s="1">
        <f t="shared" si="195"/>
        <v>0</v>
      </c>
      <c r="AB264" s="1">
        <f t="shared" si="196"/>
        <v>0</v>
      </c>
      <c r="AD264" s="1">
        <f t="shared" si="197"/>
        <v>0</v>
      </c>
      <c r="AE264" s="1">
        <f t="shared" si="198"/>
        <v>0</v>
      </c>
      <c r="AF264" s="1">
        <f t="shared" si="183"/>
        <v>0</v>
      </c>
      <c r="AG264" s="1">
        <f t="shared" si="184"/>
        <v>0</v>
      </c>
      <c r="AH264" s="1">
        <f t="shared" si="185"/>
        <v>0</v>
      </c>
      <c r="AI264" s="1">
        <f t="shared" si="186"/>
        <v>1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6" t="s">
        <v>842</v>
      </c>
      <c r="E265" s="32" t="s">
        <v>29</v>
      </c>
      <c r="F265" s="36" t="s">
        <v>843</v>
      </c>
      <c r="G265" s="36" t="s">
        <v>221</v>
      </c>
      <c r="H265" s="36" t="s">
        <v>352</v>
      </c>
      <c r="I265" s="37" t="s">
        <v>844</v>
      </c>
      <c r="J265" s="31">
        <v>99</v>
      </c>
      <c r="K265" s="33" t="s">
        <v>950</v>
      </c>
      <c r="L265" s="33" t="s">
        <v>690</v>
      </c>
      <c r="M265" s="34" t="s">
        <v>968</v>
      </c>
      <c r="N265" s="34" t="s">
        <v>1844</v>
      </c>
      <c r="O265" s="35">
        <v>1</v>
      </c>
      <c r="P265" s="35"/>
      <c r="Q265" s="36"/>
      <c r="S265" s="1">
        <f t="shared" si="187"/>
        <v>0</v>
      </c>
      <c r="T265" s="1">
        <f t="shared" si="188"/>
        <v>0</v>
      </c>
      <c r="U265" s="1">
        <f t="shared" si="189"/>
        <v>0</v>
      </c>
      <c r="V265" s="1">
        <f t="shared" si="190"/>
        <v>0</v>
      </c>
      <c r="W265" s="1">
        <f t="shared" si="191"/>
        <v>0</v>
      </c>
      <c r="X265" s="1">
        <f t="shared" si="192"/>
        <v>0</v>
      </c>
      <c r="Y265" s="1">
        <f t="shared" si="193"/>
        <v>0</v>
      </c>
      <c r="Z265" s="1">
        <f t="shared" si="194"/>
        <v>0</v>
      </c>
      <c r="AA265" s="1">
        <f t="shared" si="195"/>
        <v>0</v>
      </c>
      <c r="AB265" s="1">
        <f t="shared" si="196"/>
        <v>0</v>
      </c>
      <c r="AD265" s="1">
        <f t="shared" si="197"/>
        <v>0</v>
      </c>
      <c r="AE265" s="1">
        <f t="shared" si="198"/>
        <v>1</v>
      </c>
      <c r="AF265" s="1">
        <f t="shared" si="183"/>
        <v>0</v>
      </c>
      <c r="AG265" s="1">
        <f t="shared" si="184"/>
        <v>1</v>
      </c>
      <c r="AH265" s="1">
        <f t="shared" si="185"/>
        <v>0</v>
      </c>
      <c r="AI265" s="1">
        <f t="shared" si="186"/>
        <v>1</v>
      </c>
    </row>
    <row r="266" spans="1:35" ht="14.25" customHeight="1" x14ac:dyDescent="0.3">
      <c r="A266" s="31">
        <v>1</v>
      </c>
      <c r="B266" s="31">
        <v>1</v>
      </c>
      <c r="C266" s="31">
        <v>7</v>
      </c>
      <c r="D266" s="36" t="s">
        <v>842</v>
      </c>
      <c r="E266" s="32" t="s">
        <v>29</v>
      </c>
      <c r="F266" s="36" t="s">
        <v>926</v>
      </c>
      <c r="G266" s="36" t="s">
        <v>278</v>
      </c>
      <c r="H266" s="36" t="s">
        <v>352</v>
      </c>
      <c r="I266" s="37" t="s">
        <v>845</v>
      </c>
      <c r="J266" s="31">
        <v>99</v>
      </c>
      <c r="K266" s="33" t="s">
        <v>950</v>
      </c>
      <c r="L266" s="33" t="s">
        <v>690</v>
      </c>
      <c r="M266" s="34" t="s">
        <v>968</v>
      </c>
      <c r="N266" s="34" t="s">
        <v>1844</v>
      </c>
      <c r="O266" s="35">
        <v>1</v>
      </c>
      <c r="P266" s="35"/>
      <c r="Q266" s="36"/>
      <c r="S266" s="1">
        <f t="shared" si="187"/>
        <v>0</v>
      </c>
      <c r="T266" s="1">
        <f t="shared" si="188"/>
        <v>0</v>
      </c>
      <c r="U266" s="1">
        <f t="shared" si="189"/>
        <v>0</v>
      </c>
      <c r="V266" s="1">
        <f t="shared" si="190"/>
        <v>0</v>
      </c>
      <c r="W266" s="1">
        <f t="shared" si="191"/>
        <v>0</v>
      </c>
      <c r="X266" s="1">
        <f t="shared" si="192"/>
        <v>0</v>
      </c>
      <c r="Y266" s="1">
        <f t="shared" si="193"/>
        <v>0</v>
      </c>
      <c r="Z266" s="1">
        <f t="shared" si="194"/>
        <v>0</v>
      </c>
      <c r="AA266" s="1">
        <f t="shared" si="195"/>
        <v>0</v>
      </c>
      <c r="AB266" s="1">
        <f t="shared" si="196"/>
        <v>0</v>
      </c>
      <c r="AD266" s="1">
        <f t="shared" si="197"/>
        <v>0</v>
      </c>
      <c r="AE266" s="1">
        <f t="shared" si="198"/>
        <v>1</v>
      </c>
      <c r="AF266" s="1">
        <f t="shared" si="183"/>
        <v>0</v>
      </c>
      <c r="AG266" s="1">
        <f t="shared" si="184"/>
        <v>0</v>
      </c>
      <c r="AH266" s="1">
        <f t="shared" si="185"/>
        <v>0</v>
      </c>
      <c r="AI266" s="1">
        <f t="shared" si="186"/>
        <v>0</v>
      </c>
    </row>
    <row r="267" spans="1:35" ht="14.25" customHeight="1" x14ac:dyDescent="0.3">
      <c r="A267" s="31">
        <v>0</v>
      </c>
      <c r="B267" s="31">
        <v>1</v>
      </c>
      <c r="C267" s="31">
        <v>7</v>
      </c>
      <c r="D267" s="32" t="s">
        <v>1211</v>
      </c>
      <c r="E267" s="32" t="s">
        <v>29</v>
      </c>
      <c r="F267" s="32" t="s">
        <v>1212</v>
      </c>
      <c r="G267" s="32" t="s">
        <v>237</v>
      </c>
      <c r="H267" s="32" t="s">
        <v>352</v>
      </c>
      <c r="I267" s="31" t="s">
        <v>1356</v>
      </c>
      <c r="J267" s="31">
        <v>99</v>
      </c>
      <c r="K267" s="33" t="s">
        <v>709</v>
      </c>
      <c r="L267" s="33" t="s">
        <v>690</v>
      </c>
      <c r="M267" s="34" t="s">
        <v>1402</v>
      </c>
      <c r="N267" s="34" t="s">
        <v>1750</v>
      </c>
      <c r="O267" s="35">
        <v>1</v>
      </c>
      <c r="P267" s="35"/>
      <c r="Q267" s="32"/>
      <c r="S267" s="1">
        <f t="shared" si="187"/>
        <v>0</v>
      </c>
      <c r="T267" s="1">
        <f t="shared" si="188"/>
        <v>0</v>
      </c>
      <c r="U267" s="1">
        <f t="shared" si="189"/>
        <v>0</v>
      </c>
      <c r="V267" s="1">
        <f t="shared" si="190"/>
        <v>0</v>
      </c>
      <c r="W267" s="1">
        <f t="shared" si="191"/>
        <v>0</v>
      </c>
      <c r="X267" s="1">
        <f t="shared" si="192"/>
        <v>0</v>
      </c>
      <c r="Y267" s="1">
        <f t="shared" si="193"/>
        <v>0</v>
      </c>
      <c r="Z267" s="1">
        <f t="shared" si="194"/>
        <v>0</v>
      </c>
      <c r="AA267" s="1">
        <f t="shared" si="195"/>
        <v>0</v>
      </c>
      <c r="AB267" s="1">
        <f t="shared" si="196"/>
        <v>0</v>
      </c>
      <c r="AD267" s="1">
        <f t="shared" ref="AD267:AD268" si="205">+O267*P267</f>
        <v>0</v>
      </c>
      <c r="AE267" s="1">
        <f t="shared" ref="AE267:AE268" si="206">O267*(1-P267)</f>
        <v>1</v>
      </c>
      <c r="AF267" s="1">
        <f t="shared" ref="AF267:AF268" si="207">+O267*P267*(1-A267)</f>
        <v>0</v>
      </c>
      <c r="AG267" s="1">
        <f t="shared" ref="AG267:AG268" si="208">O267*(1-P267)*(1-A267)</f>
        <v>1</v>
      </c>
      <c r="AH267" s="1">
        <f t="shared" ref="AH267:AH268" si="209">+P267*(1-A267)</f>
        <v>0</v>
      </c>
      <c r="AI267" s="1">
        <f t="shared" ref="AI267:AI268" si="210">+(1-A267)*(1-P267)</f>
        <v>1</v>
      </c>
    </row>
    <row r="268" spans="1:35" ht="14.25" customHeight="1" x14ac:dyDescent="0.3">
      <c r="A268" s="31">
        <v>0</v>
      </c>
      <c r="B268" s="31">
        <v>1</v>
      </c>
      <c r="C268" s="31">
        <v>7</v>
      </c>
      <c r="D268" s="36" t="s">
        <v>1228</v>
      </c>
      <c r="E268" s="32" t="s">
        <v>29</v>
      </c>
      <c r="F268" s="36" t="s">
        <v>1229</v>
      </c>
      <c r="G268" s="36" t="s">
        <v>237</v>
      </c>
      <c r="H268" s="36" t="s">
        <v>352</v>
      </c>
      <c r="I268" s="37" t="s">
        <v>1230</v>
      </c>
      <c r="J268" s="31">
        <v>99</v>
      </c>
      <c r="K268" s="33" t="s">
        <v>709</v>
      </c>
      <c r="L268" s="33" t="s">
        <v>689</v>
      </c>
      <c r="M268" s="34" t="s">
        <v>1402</v>
      </c>
      <c r="N268" s="34" t="s">
        <v>1820</v>
      </c>
      <c r="O268" s="35">
        <v>1</v>
      </c>
      <c r="P268" s="35"/>
      <c r="Q268" s="36"/>
      <c r="S268" s="1">
        <f t="shared" si="187"/>
        <v>0</v>
      </c>
      <c r="T268" s="1">
        <f t="shared" si="188"/>
        <v>0</v>
      </c>
      <c r="U268" s="1">
        <f t="shared" si="189"/>
        <v>0</v>
      </c>
      <c r="V268" s="1">
        <f t="shared" si="190"/>
        <v>0</v>
      </c>
      <c r="W268" s="1">
        <f t="shared" si="191"/>
        <v>0</v>
      </c>
      <c r="X268" s="1">
        <f t="shared" si="192"/>
        <v>0</v>
      </c>
      <c r="Y268" s="1">
        <f t="shared" si="193"/>
        <v>0</v>
      </c>
      <c r="Z268" s="1">
        <f t="shared" si="194"/>
        <v>0</v>
      </c>
      <c r="AA268" s="1">
        <f t="shared" si="195"/>
        <v>0</v>
      </c>
      <c r="AB268" s="1">
        <f t="shared" si="196"/>
        <v>0</v>
      </c>
      <c r="AD268" s="1">
        <f t="shared" si="205"/>
        <v>0</v>
      </c>
      <c r="AE268" s="1">
        <f t="shared" si="206"/>
        <v>1</v>
      </c>
      <c r="AF268" s="1">
        <f t="shared" si="207"/>
        <v>0</v>
      </c>
      <c r="AG268" s="1">
        <f t="shared" si="208"/>
        <v>1</v>
      </c>
      <c r="AH268" s="1">
        <f t="shared" si="209"/>
        <v>0</v>
      </c>
      <c r="AI268" s="1">
        <f t="shared" si="210"/>
        <v>1</v>
      </c>
    </row>
    <row r="269" spans="1:35" ht="14.25" customHeight="1" x14ac:dyDescent="0.3">
      <c r="A269" s="31">
        <v>0</v>
      </c>
      <c r="B269" s="31">
        <v>1</v>
      </c>
      <c r="C269" s="31">
        <v>7</v>
      </c>
      <c r="D269" s="36" t="s">
        <v>92</v>
      </c>
      <c r="E269" s="32" t="s">
        <v>29</v>
      </c>
      <c r="F269" s="36" t="s">
        <v>286</v>
      </c>
      <c r="G269" s="36" t="s">
        <v>189</v>
      </c>
      <c r="H269" s="36" t="s">
        <v>352</v>
      </c>
      <c r="I269" s="37" t="s">
        <v>438</v>
      </c>
      <c r="J269" s="31">
        <v>99</v>
      </c>
      <c r="K269" s="33" t="s">
        <v>709</v>
      </c>
      <c r="L269" s="33" t="s">
        <v>690</v>
      </c>
      <c r="M269" s="34" t="s">
        <v>1403</v>
      </c>
      <c r="N269" s="34" t="s">
        <v>1745</v>
      </c>
      <c r="O269" s="35">
        <v>1</v>
      </c>
      <c r="P269" s="35"/>
      <c r="Q269" s="36"/>
      <c r="S269" s="1">
        <f t="shared" si="187"/>
        <v>0</v>
      </c>
      <c r="T269" s="1">
        <f t="shared" si="188"/>
        <v>0</v>
      </c>
      <c r="U269" s="1">
        <f t="shared" si="189"/>
        <v>0</v>
      </c>
      <c r="V269" s="1">
        <f t="shared" si="190"/>
        <v>0</v>
      </c>
      <c r="W269" s="1">
        <f t="shared" si="191"/>
        <v>0</v>
      </c>
      <c r="X269" s="1">
        <f t="shared" si="192"/>
        <v>0</v>
      </c>
      <c r="Y269" s="1">
        <f t="shared" si="193"/>
        <v>0</v>
      </c>
      <c r="Z269" s="1">
        <f t="shared" si="194"/>
        <v>0</v>
      </c>
      <c r="AA269" s="1">
        <f t="shared" si="195"/>
        <v>0</v>
      </c>
      <c r="AB269" s="1">
        <f t="shared" si="196"/>
        <v>0</v>
      </c>
      <c r="AD269" s="1">
        <f t="shared" si="197"/>
        <v>0</v>
      </c>
      <c r="AE269" s="1">
        <f t="shared" si="198"/>
        <v>1</v>
      </c>
      <c r="AF269" s="1">
        <f t="shared" si="183"/>
        <v>0</v>
      </c>
      <c r="AG269" s="1">
        <f t="shared" si="184"/>
        <v>1</v>
      </c>
      <c r="AH269" s="1">
        <f t="shared" si="185"/>
        <v>0</v>
      </c>
      <c r="AI269" s="1">
        <f t="shared" si="186"/>
        <v>1</v>
      </c>
    </row>
    <row r="270" spans="1:35" ht="14.25" customHeight="1" x14ac:dyDescent="0.3">
      <c r="A270" s="44">
        <v>0</v>
      </c>
      <c r="B270" s="44">
        <v>1</v>
      </c>
      <c r="C270" s="44">
        <v>7</v>
      </c>
      <c r="D270" s="45" t="s">
        <v>866</v>
      </c>
      <c r="E270" s="45" t="s">
        <v>29</v>
      </c>
      <c r="F270" s="45" t="s">
        <v>867</v>
      </c>
      <c r="G270" s="45" t="s">
        <v>193</v>
      </c>
      <c r="H270" s="45" t="s">
        <v>352</v>
      </c>
      <c r="I270" s="44" t="s">
        <v>868</v>
      </c>
      <c r="J270" s="44">
        <v>9</v>
      </c>
      <c r="K270" s="46" t="s">
        <v>709</v>
      </c>
      <c r="L270" s="46" t="s">
        <v>692</v>
      </c>
      <c r="M270" s="47" t="s">
        <v>704</v>
      </c>
      <c r="N270" s="47" t="s">
        <v>1730</v>
      </c>
      <c r="O270" s="48"/>
      <c r="P270" s="48"/>
      <c r="Q270" s="45"/>
      <c r="S270" s="1">
        <f t="shared" si="187"/>
        <v>0</v>
      </c>
      <c r="T270" s="1">
        <f t="shared" si="188"/>
        <v>0</v>
      </c>
      <c r="U270" s="1">
        <f t="shared" si="189"/>
        <v>0</v>
      </c>
      <c r="V270" s="1">
        <f t="shared" si="190"/>
        <v>0</v>
      </c>
      <c r="W270" s="1">
        <f t="shared" si="191"/>
        <v>0</v>
      </c>
      <c r="X270" s="1">
        <f t="shared" si="192"/>
        <v>0</v>
      </c>
      <c r="Y270" s="1">
        <f t="shared" si="193"/>
        <v>0</v>
      </c>
      <c r="Z270" s="1">
        <f t="shared" si="194"/>
        <v>0</v>
      </c>
      <c r="AA270" s="1">
        <f t="shared" si="195"/>
        <v>1</v>
      </c>
      <c r="AB270" s="1">
        <f t="shared" si="196"/>
        <v>0</v>
      </c>
      <c r="AD270" s="1">
        <f t="shared" si="197"/>
        <v>0</v>
      </c>
      <c r="AE270" s="1">
        <f t="shared" si="198"/>
        <v>0</v>
      </c>
      <c r="AF270" s="1">
        <f t="shared" si="183"/>
        <v>0</v>
      </c>
      <c r="AG270" s="1">
        <f t="shared" si="184"/>
        <v>0</v>
      </c>
      <c r="AH270" s="1">
        <f t="shared" si="185"/>
        <v>0</v>
      </c>
      <c r="AI270" s="1">
        <f t="shared" si="186"/>
        <v>1</v>
      </c>
    </row>
    <row r="271" spans="1:35" ht="14.25" customHeight="1" x14ac:dyDescent="0.3">
      <c r="A271" s="44">
        <v>1</v>
      </c>
      <c r="B271" s="44">
        <v>1</v>
      </c>
      <c r="C271" s="44">
        <v>7</v>
      </c>
      <c r="D271" s="45" t="s">
        <v>866</v>
      </c>
      <c r="E271" s="45" t="s">
        <v>29</v>
      </c>
      <c r="F271" s="45" t="s">
        <v>1063</v>
      </c>
      <c r="G271" s="45" t="s">
        <v>319</v>
      </c>
      <c r="H271" s="45" t="s">
        <v>352</v>
      </c>
      <c r="I271" s="44" t="s">
        <v>1064</v>
      </c>
      <c r="J271" s="44">
        <v>99</v>
      </c>
      <c r="K271" s="46" t="s">
        <v>709</v>
      </c>
      <c r="L271" s="46" t="s">
        <v>692</v>
      </c>
      <c r="M271" s="47" t="s">
        <v>704</v>
      </c>
      <c r="N271" s="47" t="s">
        <v>1730</v>
      </c>
      <c r="O271" s="48"/>
      <c r="P271" s="48"/>
      <c r="Q271" s="45"/>
      <c r="S271" s="1">
        <f t="shared" si="187"/>
        <v>0</v>
      </c>
      <c r="T271" s="1">
        <f t="shared" si="188"/>
        <v>0</v>
      </c>
      <c r="U271" s="1">
        <f t="shared" si="189"/>
        <v>0</v>
      </c>
      <c r="V271" s="1">
        <f t="shared" si="190"/>
        <v>0</v>
      </c>
      <c r="W271" s="1">
        <f t="shared" si="191"/>
        <v>0</v>
      </c>
      <c r="X271" s="1">
        <f t="shared" si="192"/>
        <v>0</v>
      </c>
      <c r="Y271" s="1">
        <f t="shared" si="193"/>
        <v>0</v>
      </c>
      <c r="Z271" s="1">
        <f t="shared" si="194"/>
        <v>0</v>
      </c>
      <c r="AA271" s="1">
        <f t="shared" si="195"/>
        <v>0</v>
      </c>
      <c r="AB271" s="1">
        <f t="shared" si="196"/>
        <v>0</v>
      </c>
      <c r="AD271" s="1">
        <f t="shared" si="197"/>
        <v>0</v>
      </c>
      <c r="AE271" s="1">
        <f t="shared" si="198"/>
        <v>0</v>
      </c>
      <c r="AF271" s="1">
        <f t="shared" si="183"/>
        <v>0</v>
      </c>
      <c r="AG271" s="1">
        <f t="shared" si="184"/>
        <v>0</v>
      </c>
      <c r="AH271" s="1">
        <f t="shared" si="185"/>
        <v>0</v>
      </c>
      <c r="AI271" s="1">
        <f t="shared" si="186"/>
        <v>0</v>
      </c>
    </row>
    <row r="272" spans="1:35" ht="14.25" customHeight="1" x14ac:dyDescent="0.3">
      <c r="A272" s="44">
        <v>1</v>
      </c>
      <c r="B272" s="44">
        <v>1</v>
      </c>
      <c r="C272" s="44">
        <v>7</v>
      </c>
      <c r="D272" s="45" t="s">
        <v>866</v>
      </c>
      <c r="E272" s="45" t="s">
        <v>29</v>
      </c>
      <c r="F272" s="65" t="s">
        <v>2020</v>
      </c>
      <c r="G272" s="65" t="s">
        <v>193</v>
      </c>
      <c r="H272" s="45" t="s">
        <v>352</v>
      </c>
      <c r="I272" s="64" t="s">
        <v>868</v>
      </c>
      <c r="J272" s="44">
        <v>9</v>
      </c>
      <c r="K272" s="46" t="s">
        <v>709</v>
      </c>
      <c r="L272" s="46" t="s">
        <v>692</v>
      </c>
      <c r="M272" s="47" t="s">
        <v>704</v>
      </c>
      <c r="N272" s="47" t="s">
        <v>1730</v>
      </c>
      <c r="O272" s="48"/>
      <c r="P272" s="48"/>
      <c r="Q272" s="45"/>
      <c r="S272" s="1">
        <f t="shared" ref="S272:S273" si="211">IF(J272=$S$7,1,0)</f>
        <v>0</v>
      </c>
      <c r="T272" s="1">
        <f t="shared" ref="T272:T273" si="212">IF(J272=$T$7,1,0)</f>
        <v>0</v>
      </c>
      <c r="U272" s="1">
        <f t="shared" ref="U272:U273" si="213">IF(J272=$U$7,1,0)</f>
        <v>0</v>
      </c>
      <c r="V272" s="1">
        <f t="shared" ref="V272:V273" si="214">IF(J272=$V$7,1,0)</f>
        <v>0</v>
      </c>
      <c r="W272" s="1">
        <f t="shared" ref="W272:W273" si="215">IF(J272=$W$7,1,0)</f>
        <v>0</v>
      </c>
      <c r="X272" s="1">
        <f t="shared" ref="X272:X273" si="216">IF(J272=$X$7,1,0)</f>
        <v>0</v>
      </c>
      <c r="Y272" s="1">
        <f t="shared" ref="Y272:Y273" si="217">IF(J272=$Y$7,1,0)</f>
        <v>0</v>
      </c>
      <c r="Z272" s="1">
        <f t="shared" ref="Z272:Z273" si="218">IF(J272=$Z$7,1,0)</f>
        <v>0</v>
      </c>
      <c r="AA272" s="1">
        <f t="shared" ref="AA272:AA273" si="219">IF(J272=$AA$7,1,0)</f>
        <v>1</v>
      </c>
      <c r="AB272" s="1">
        <f t="shared" ref="AB272:AB273" si="220">IF(J272=$AB$7,1,0)</f>
        <v>0</v>
      </c>
      <c r="AD272" s="1">
        <f t="shared" ref="AD272:AD273" si="221">+O272*P272</f>
        <v>0</v>
      </c>
      <c r="AE272" s="1">
        <f t="shared" ref="AE272:AE273" si="222">O272*(1-P272)</f>
        <v>0</v>
      </c>
      <c r="AF272" s="1">
        <f t="shared" ref="AF272:AF273" si="223">+O272*P272*(1-A272)</f>
        <v>0</v>
      </c>
      <c r="AG272" s="1">
        <f t="shared" ref="AG272:AG273" si="224">O272*(1-P272)*(1-A272)</f>
        <v>0</v>
      </c>
      <c r="AH272" s="1">
        <f t="shared" ref="AH272:AH273" si="225">+P272*(1-A272)</f>
        <v>0</v>
      </c>
      <c r="AI272" s="1">
        <f t="shared" ref="AI272:AI273" si="226">+(1-A272)*(1-P272)</f>
        <v>0</v>
      </c>
    </row>
    <row r="273" spans="1:35" ht="14.25" customHeight="1" x14ac:dyDescent="0.3">
      <c r="A273" s="44">
        <v>1</v>
      </c>
      <c r="B273" s="44">
        <v>1</v>
      </c>
      <c r="C273" s="44">
        <v>7</v>
      </c>
      <c r="D273" s="45" t="s">
        <v>866</v>
      </c>
      <c r="E273" s="45" t="s">
        <v>29</v>
      </c>
      <c r="F273" s="65" t="s">
        <v>2022</v>
      </c>
      <c r="G273" s="65" t="s">
        <v>208</v>
      </c>
      <c r="H273" s="45" t="s">
        <v>352</v>
      </c>
      <c r="I273" s="64" t="s">
        <v>2021</v>
      </c>
      <c r="J273" s="44">
        <v>99</v>
      </c>
      <c r="K273" s="46" t="s">
        <v>709</v>
      </c>
      <c r="L273" s="46" t="s">
        <v>692</v>
      </c>
      <c r="M273" s="47" t="s">
        <v>704</v>
      </c>
      <c r="N273" s="47" t="s">
        <v>1730</v>
      </c>
      <c r="O273" s="48"/>
      <c r="P273" s="48"/>
      <c r="Q273" s="45"/>
      <c r="S273" s="1">
        <f t="shared" si="211"/>
        <v>0</v>
      </c>
      <c r="T273" s="1">
        <f t="shared" si="212"/>
        <v>0</v>
      </c>
      <c r="U273" s="1">
        <f t="shared" si="213"/>
        <v>0</v>
      </c>
      <c r="V273" s="1">
        <f t="shared" si="214"/>
        <v>0</v>
      </c>
      <c r="W273" s="1">
        <f t="shared" si="215"/>
        <v>0</v>
      </c>
      <c r="X273" s="1">
        <f t="shared" si="216"/>
        <v>0</v>
      </c>
      <c r="Y273" s="1">
        <f t="shared" si="217"/>
        <v>0</v>
      </c>
      <c r="Z273" s="1">
        <f t="shared" si="218"/>
        <v>0</v>
      </c>
      <c r="AA273" s="1">
        <f t="shared" si="219"/>
        <v>0</v>
      </c>
      <c r="AB273" s="1">
        <f t="shared" si="220"/>
        <v>0</v>
      </c>
      <c r="AD273" s="1">
        <f t="shared" si="221"/>
        <v>0</v>
      </c>
      <c r="AE273" s="1">
        <f t="shared" si="222"/>
        <v>0</v>
      </c>
      <c r="AF273" s="1">
        <f t="shared" si="223"/>
        <v>0</v>
      </c>
      <c r="AG273" s="1">
        <f t="shared" si="224"/>
        <v>0</v>
      </c>
      <c r="AH273" s="1">
        <f t="shared" si="225"/>
        <v>0</v>
      </c>
      <c r="AI273" s="1">
        <f t="shared" si="226"/>
        <v>0</v>
      </c>
    </row>
    <row r="274" spans="1:35" ht="14.25" customHeight="1" x14ac:dyDescent="0.3">
      <c r="A274" s="31">
        <v>0</v>
      </c>
      <c r="B274" s="31">
        <v>1</v>
      </c>
      <c r="C274" s="31">
        <v>7</v>
      </c>
      <c r="D274" s="36" t="s">
        <v>95</v>
      </c>
      <c r="E274" s="32" t="s">
        <v>29</v>
      </c>
      <c r="F274" s="36" t="s">
        <v>290</v>
      </c>
      <c r="G274" s="36" t="s">
        <v>291</v>
      </c>
      <c r="H274" s="36" t="s">
        <v>352</v>
      </c>
      <c r="I274" s="37" t="s">
        <v>1112</v>
      </c>
      <c r="J274" s="31">
        <v>99</v>
      </c>
      <c r="K274" s="33" t="s">
        <v>709</v>
      </c>
      <c r="L274" s="33" t="s">
        <v>692</v>
      </c>
      <c r="M274" s="34" t="s">
        <v>704</v>
      </c>
      <c r="N274" s="34" t="s">
        <v>1743</v>
      </c>
      <c r="O274" s="35">
        <v>1</v>
      </c>
      <c r="P274" s="35"/>
      <c r="Q274" s="36"/>
      <c r="S274" s="1">
        <f t="shared" si="187"/>
        <v>0</v>
      </c>
      <c r="T274" s="1">
        <f t="shared" si="188"/>
        <v>0</v>
      </c>
      <c r="U274" s="1">
        <f t="shared" si="189"/>
        <v>0</v>
      </c>
      <c r="V274" s="1">
        <f t="shared" si="190"/>
        <v>0</v>
      </c>
      <c r="W274" s="1">
        <f t="shared" si="191"/>
        <v>0</v>
      </c>
      <c r="X274" s="1">
        <f t="shared" si="192"/>
        <v>0</v>
      </c>
      <c r="Y274" s="1">
        <f t="shared" si="193"/>
        <v>0</v>
      </c>
      <c r="Z274" s="1">
        <f t="shared" si="194"/>
        <v>0</v>
      </c>
      <c r="AA274" s="1">
        <f t="shared" si="195"/>
        <v>0</v>
      </c>
      <c r="AB274" s="1">
        <f t="shared" si="196"/>
        <v>0</v>
      </c>
      <c r="AD274" s="1">
        <f t="shared" si="197"/>
        <v>0</v>
      </c>
      <c r="AE274" s="1">
        <f t="shared" si="198"/>
        <v>1</v>
      </c>
      <c r="AF274" s="1">
        <f t="shared" si="183"/>
        <v>0</v>
      </c>
      <c r="AG274" s="1">
        <f t="shared" si="184"/>
        <v>1</v>
      </c>
      <c r="AH274" s="1">
        <f t="shared" si="185"/>
        <v>0</v>
      </c>
      <c r="AI274" s="1">
        <f t="shared" si="186"/>
        <v>1</v>
      </c>
    </row>
    <row r="275" spans="1:35" ht="14.25" customHeight="1" x14ac:dyDescent="0.3">
      <c r="A275" s="44">
        <v>0</v>
      </c>
      <c r="B275" s="44">
        <v>1</v>
      </c>
      <c r="C275" s="44">
        <v>7</v>
      </c>
      <c r="D275" s="45" t="s">
        <v>528</v>
      </c>
      <c r="E275" s="45" t="s">
        <v>29</v>
      </c>
      <c r="F275" s="45" t="s">
        <v>661</v>
      </c>
      <c r="G275" s="45" t="s">
        <v>39</v>
      </c>
      <c r="H275" s="45" t="s">
        <v>529</v>
      </c>
      <c r="I275" s="44" t="s">
        <v>1685</v>
      </c>
      <c r="J275" s="44">
        <v>14</v>
      </c>
      <c r="K275" s="46" t="s">
        <v>949</v>
      </c>
      <c r="L275" s="46">
        <v>40</v>
      </c>
      <c r="M275" s="47" t="s">
        <v>704</v>
      </c>
      <c r="N275" s="47" t="s">
        <v>1730</v>
      </c>
      <c r="O275" s="48"/>
      <c r="P275" s="48"/>
      <c r="Q275" s="45"/>
      <c r="S275" s="1">
        <f t="shared" si="187"/>
        <v>0</v>
      </c>
      <c r="T275" s="1">
        <f t="shared" si="188"/>
        <v>0</v>
      </c>
      <c r="U275" s="1">
        <f t="shared" si="189"/>
        <v>0</v>
      </c>
      <c r="V275" s="1">
        <f t="shared" si="190"/>
        <v>0</v>
      </c>
      <c r="W275" s="1">
        <f t="shared" si="191"/>
        <v>0</v>
      </c>
      <c r="X275" s="1">
        <f t="shared" si="192"/>
        <v>0</v>
      </c>
      <c r="Y275" s="1">
        <f t="shared" si="193"/>
        <v>0</v>
      </c>
      <c r="Z275" s="1">
        <f t="shared" si="194"/>
        <v>0</v>
      </c>
      <c r="AA275" s="1">
        <f t="shared" si="195"/>
        <v>0</v>
      </c>
      <c r="AB275" s="1">
        <f t="shared" si="196"/>
        <v>0</v>
      </c>
      <c r="AD275" s="1">
        <f t="shared" si="197"/>
        <v>0</v>
      </c>
      <c r="AE275" s="1">
        <f t="shared" si="198"/>
        <v>0</v>
      </c>
      <c r="AF275" s="1">
        <f t="shared" si="183"/>
        <v>0</v>
      </c>
      <c r="AG275" s="1">
        <f t="shared" si="184"/>
        <v>0</v>
      </c>
      <c r="AH275" s="1">
        <f t="shared" si="185"/>
        <v>0</v>
      </c>
      <c r="AI275" s="1">
        <f t="shared" si="186"/>
        <v>1</v>
      </c>
    </row>
    <row r="276" spans="1:35" ht="14.25" customHeight="1" x14ac:dyDescent="0.3">
      <c r="A276" s="31">
        <v>0</v>
      </c>
      <c r="B276" s="31">
        <v>1</v>
      </c>
      <c r="C276" s="31">
        <v>7</v>
      </c>
      <c r="D276" s="36" t="s">
        <v>1316</v>
      </c>
      <c r="E276" s="32" t="s">
        <v>29</v>
      </c>
      <c r="F276" s="36" t="s">
        <v>1340</v>
      </c>
      <c r="G276" s="36" t="s">
        <v>39</v>
      </c>
      <c r="H276" s="36" t="s">
        <v>352</v>
      </c>
      <c r="I276" s="37" t="s">
        <v>1145</v>
      </c>
      <c r="J276" s="31">
        <v>99</v>
      </c>
      <c r="K276" s="33" t="s">
        <v>709</v>
      </c>
      <c r="L276" s="33" t="s">
        <v>689</v>
      </c>
      <c r="M276" s="34" t="s">
        <v>1404</v>
      </c>
      <c r="N276" s="34" t="s">
        <v>1728</v>
      </c>
      <c r="O276" s="35">
        <v>1</v>
      </c>
      <c r="P276" s="35">
        <v>1</v>
      </c>
      <c r="Q276" s="36"/>
      <c r="S276" s="1">
        <f t="shared" si="187"/>
        <v>0</v>
      </c>
      <c r="T276" s="1">
        <f t="shared" si="188"/>
        <v>0</v>
      </c>
      <c r="U276" s="1">
        <f t="shared" si="189"/>
        <v>0</v>
      </c>
      <c r="V276" s="1">
        <f t="shared" si="190"/>
        <v>0</v>
      </c>
      <c r="W276" s="1">
        <f t="shared" si="191"/>
        <v>0</v>
      </c>
      <c r="X276" s="1">
        <f t="shared" si="192"/>
        <v>0</v>
      </c>
      <c r="Y276" s="1">
        <f t="shared" si="193"/>
        <v>0</v>
      </c>
      <c r="Z276" s="1">
        <f t="shared" si="194"/>
        <v>0</v>
      </c>
      <c r="AA276" s="1">
        <f t="shared" si="195"/>
        <v>0</v>
      </c>
      <c r="AB276" s="1">
        <f t="shared" si="196"/>
        <v>0</v>
      </c>
      <c r="AD276" s="1">
        <f t="shared" si="197"/>
        <v>1</v>
      </c>
      <c r="AE276" s="1">
        <f t="shared" si="198"/>
        <v>0</v>
      </c>
      <c r="AF276" s="1">
        <f t="shared" si="183"/>
        <v>1</v>
      </c>
      <c r="AG276" s="1">
        <f t="shared" si="184"/>
        <v>0</v>
      </c>
      <c r="AH276" s="1">
        <f t="shared" si="185"/>
        <v>1</v>
      </c>
      <c r="AI276" s="1">
        <f t="shared" si="186"/>
        <v>0</v>
      </c>
    </row>
    <row r="277" spans="1:35" ht="14.25" customHeight="1" x14ac:dyDescent="0.3">
      <c r="A277" s="44">
        <v>0</v>
      </c>
      <c r="B277" s="44">
        <v>1</v>
      </c>
      <c r="C277" s="44">
        <v>7</v>
      </c>
      <c r="D277" s="45" t="s">
        <v>96</v>
      </c>
      <c r="E277" s="45" t="s">
        <v>29</v>
      </c>
      <c r="F277" s="45" t="s">
        <v>293</v>
      </c>
      <c r="G277" s="45" t="s">
        <v>262</v>
      </c>
      <c r="H277" s="45" t="s">
        <v>352</v>
      </c>
      <c r="I277" s="44" t="s">
        <v>442</v>
      </c>
      <c r="J277" s="44">
        <v>1</v>
      </c>
      <c r="K277" s="46" t="s">
        <v>709</v>
      </c>
      <c r="L277" s="46" t="s">
        <v>690</v>
      </c>
      <c r="M277" s="47" t="s">
        <v>704</v>
      </c>
      <c r="N277" s="47" t="s">
        <v>1730</v>
      </c>
      <c r="O277" s="48"/>
      <c r="P277" s="48"/>
      <c r="Q277" s="45"/>
      <c r="S277" s="1">
        <f t="shared" si="187"/>
        <v>1</v>
      </c>
      <c r="T277" s="1">
        <f t="shared" si="188"/>
        <v>0</v>
      </c>
      <c r="U277" s="1">
        <f t="shared" si="189"/>
        <v>0</v>
      </c>
      <c r="V277" s="1">
        <f t="shared" si="190"/>
        <v>0</v>
      </c>
      <c r="W277" s="1">
        <f t="shared" si="191"/>
        <v>0</v>
      </c>
      <c r="X277" s="1">
        <f t="shared" si="192"/>
        <v>0</v>
      </c>
      <c r="Y277" s="1">
        <f t="shared" si="193"/>
        <v>0</v>
      </c>
      <c r="Z277" s="1">
        <f t="shared" si="194"/>
        <v>0</v>
      </c>
      <c r="AA277" s="1">
        <f t="shared" si="195"/>
        <v>0</v>
      </c>
      <c r="AB277" s="1">
        <f t="shared" si="196"/>
        <v>0</v>
      </c>
      <c r="AD277" s="1">
        <f t="shared" si="197"/>
        <v>0</v>
      </c>
      <c r="AE277" s="1">
        <f t="shared" si="198"/>
        <v>0</v>
      </c>
      <c r="AF277" s="1">
        <f t="shared" ref="AF277:AF342" si="227">+O277*P277*(1-A277)</f>
        <v>0</v>
      </c>
      <c r="AG277" s="1">
        <f t="shared" ref="AG277:AG342" si="228">O277*(1-P277)*(1-A277)</f>
        <v>0</v>
      </c>
      <c r="AH277" s="1">
        <f t="shared" ref="AH277:AH342" si="229">+P277*(1-A277)</f>
        <v>0</v>
      </c>
      <c r="AI277" s="1">
        <f t="shared" ref="AI277:AI342" si="230">+(1-A277)*(1-P277)</f>
        <v>1</v>
      </c>
    </row>
    <row r="278" spans="1:35" ht="14.25" customHeight="1" x14ac:dyDescent="0.3">
      <c r="A278" s="15">
        <v>0</v>
      </c>
      <c r="B278" s="15">
        <v>1</v>
      </c>
      <c r="C278" s="15">
        <v>7</v>
      </c>
      <c r="D278" s="16" t="s">
        <v>751</v>
      </c>
      <c r="E278" s="16" t="s">
        <v>29</v>
      </c>
      <c r="F278" s="16" t="s">
        <v>752</v>
      </c>
      <c r="G278" s="16" t="s">
        <v>39</v>
      </c>
      <c r="H278" s="16" t="s">
        <v>753</v>
      </c>
      <c r="I278" s="15" t="s">
        <v>754</v>
      </c>
      <c r="J278" s="15">
        <v>18</v>
      </c>
      <c r="K278" s="10" t="s">
        <v>699</v>
      </c>
      <c r="L278" s="10" t="s">
        <v>693</v>
      </c>
      <c r="M278" s="19" t="s">
        <v>704</v>
      </c>
      <c r="N278" s="17"/>
      <c r="Q278" s="16"/>
      <c r="S278" s="1">
        <f t="shared" si="187"/>
        <v>0</v>
      </c>
      <c r="T278" s="1">
        <f t="shared" si="188"/>
        <v>0</v>
      </c>
      <c r="U278" s="1">
        <f t="shared" si="189"/>
        <v>0</v>
      </c>
      <c r="V278" s="1">
        <f t="shared" si="190"/>
        <v>0</v>
      </c>
      <c r="W278" s="1">
        <f t="shared" si="191"/>
        <v>0</v>
      </c>
      <c r="X278" s="1">
        <f t="shared" si="192"/>
        <v>0</v>
      </c>
      <c r="Y278" s="1">
        <f t="shared" si="193"/>
        <v>0</v>
      </c>
      <c r="Z278" s="1">
        <f t="shared" si="194"/>
        <v>0</v>
      </c>
      <c r="AA278" s="1">
        <f t="shared" si="195"/>
        <v>0</v>
      </c>
      <c r="AB278" s="1">
        <f t="shared" si="196"/>
        <v>0</v>
      </c>
      <c r="AD278" s="1">
        <f t="shared" si="197"/>
        <v>0</v>
      </c>
      <c r="AE278" s="1">
        <f t="shared" si="198"/>
        <v>0</v>
      </c>
      <c r="AF278" s="1">
        <f t="shared" si="227"/>
        <v>0</v>
      </c>
      <c r="AG278" s="1">
        <f t="shared" si="228"/>
        <v>0</v>
      </c>
      <c r="AH278" s="1">
        <f t="shared" si="229"/>
        <v>0</v>
      </c>
      <c r="AI278" s="1">
        <f t="shared" si="230"/>
        <v>1</v>
      </c>
    </row>
    <row r="279" spans="1:35" ht="14.25" customHeight="1" x14ac:dyDescent="0.3">
      <c r="A279" s="15">
        <v>1</v>
      </c>
      <c r="B279" s="15">
        <v>1</v>
      </c>
      <c r="C279" s="15">
        <v>7</v>
      </c>
      <c r="D279" s="16" t="s">
        <v>751</v>
      </c>
      <c r="E279" s="16" t="s">
        <v>29</v>
      </c>
      <c r="F279" s="16" t="s">
        <v>755</v>
      </c>
      <c r="G279" s="16" t="s">
        <v>39</v>
      </c>
      <c r="H279" s="16" t="s">
        <v>741</v>
      </c>
      <c r="I279" s="15" t="s">
        <v>756</v>
      </c>
      <c r="J279" s="15">
        <v>17</v>
      </c>
      <c r="K279" s="10" t="s">
        <v>699</v>
      </c>
      <c r="L279" s="10" t="s">
        <v>693</v>
      </c>
      <c r="M279" s="19" t="s">
        <v>704</v>
      </c>
      <c r="N279" s="17"/>
      <c r="Q279" s="16"/>
      <c r="S279" s="1">
        <f t="shared" si="187"/>
        <v>0</v>
      </c>
      <c r="T279" s="1">
        <f t="shared" si="188"/>
        <v>0</v>
      </c>
      <c r="U279" s="1">
        <f t="shared" si="189"/>
        <v>0</v>
      </c>
      <c r="V279" s="1">
        <f t="shared" si="190"/>
        <v>0</v>
      </c>
      <c r="W279" s="1">
        <f t="shared" si="191"/>
        <v>0</v>
      </c>
      <c r="X279" s="1">
        <f t="shared" si="192"/>
        <v>0</v>
      </c>
      <c r="Y279" s="1">
        <f t="shared" si="193"/>
        <v>0</v>
      </c>
      <c r="Z279" s="1">
        <f t="shared" si="194"/>
        <v>0</v>
      </c>
      <c r="AA279" s="1">
        <f t="shared" si="195"/>
        <v>0</v>
      </c>
      <c r="AB279" s="1">
        <f t="shared" si="196"/>
        <v>0</v>
      </c>
      <c r="AD279" s="1">
        <f t="shared" si="197"/>
        <v>0</v>
      </c>
      <c r="AE279" s="1">
        <f t="shared" si="198"/>
        <v>0</v>
      </c>
      <c r="AF279" s="1">
        <f t="shared" si="227"/>
        <v>0</v>
      </c>
      <c r="AG279" s="1">
        <f t="shared" si="228"/>
        <v>0</v>
      </c>
      <c r="AH279" s="1">
        <f t="shared" si="229"/>
        <v>0</v>
      </c>
      <c r="AI279" s="1">
        <f t="shared" si="230"/>
        <v>0</v>
      </c>
    </row>
    <row r="280" spans="1:35" ht="14.25" customHeight="1" x14ac:dyDescent="0.3">
      <c r="A280" s="31">
        <v>0</v>
      </c>
      <c r="B280" s="31">
        <v>1</v>
      </c>
      <c r="C280" s="31">
        <v>7</v>
      </c>
      <c r="D280" s="36" t="s">
        <v>1513</v>
      </c>
      <c r="E280" s="32" t="s">
        <v>29</v>
      </c>
      <c r="F280" s="36" t="s">
        <v>1666</v>
      </c>
      <c r="G280" s="36" t="s">
        <v>1667</v>
      </c>
      <c r="H280" s="36" t="s">
        <v>352</v>
      </c>
      <c r="I280" s="37" t="s">
        <v>1514</v>
      </c>
      <c r="J280" s="31">
        <v>99</v>
      </c>
      <c r="K280" s="33" t="s">
        <v>709</v>
      </c>
      <c r="L280" s="33" t="s">
        <v>39</v>
      </c>
      <c r="M280" s="34" t="s">
        <v>39</v>
      </c>
      <c r="N280" s="34" t="s">
        <v>1722</v>
      </c>
      <c r="O280" s="35">
        <v>1</v>
      </c>
      <c r="P280" s="35">
        <v>1</v>
      </c>
      <c r="Q280" s="36"/>
      <c r="S280" s="1">
        <f t="shared" si="187"/>
        <v>0</v>
      </c>
      <c r="T280" s="1">
        <f t="shared" si="188"/>
        <v>0</v>
      </c>
      <c r="U280" s="1">
        <f t="shared" si="189"/>
        <v>0</v>
      </c>
      <c r="V280" s="1">
        <f t="shared" si="190"/>
        <v>0</v>
      </c>
      <c r="W280" s="1">
        <f t="shared" si="191"/>
        <v>0</v>
      </c>
      <c r="X280" s="1">
        <f t="shared" si="192"/>
        <v>0</v>
      </c>
      <c r="Y280" s="1">
        <f t="shared" si="193"/>
        <v>0</v>
      </c>
      <c r="Z280" s="1">
        <f t="shared" si="194"/>
        <v>0</v>
      </c>
      <c r="AA280" s="1">
        <f t="shared" si="195"/>
        <v>0</v>
      </c>
      <c r="AB280" s="1">
        <f t="shared" si="196"/>
        <v>0</v>
      </c>
      <c r="AD280" s="1">
        <f t="shared" si="197"/>
        <v>1</v>
      </c>
      <c r="AE280" s="1">
        <f t="shared" si="198"/>
        <v>0</v>
      </c>
      <c r="AF280" s="1">
        <f t="shared" si="227"/>
        <v>1</v>
      </c>
      <c r="AG280" s="1">
        <f t="shared" si="228"/>
        <v>0</v>
      </c>
      <c r="AH280" s="1">
        <f t="shared" si="229"/>
        <v>1</v>
      </c>
      <c r="AI280" s="1">
        <f t="shared" si="230"/>
        <v>0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1139</v>
      </c>
      <c r="E281" s="45" t="s">
        <v>29</v>
      </c>
      <c r="F281" s="45" t="s">
        <v>1140</v>
      </c>
      <c r="G281" s="45" t="s">
        <v>1142</v>
      </c>
      <c r="H281" s="45" t="s">
        <v>352</v>
      </c>
      <c r="I281" s="44" t="s">
        <v>1141</v>
      </c>
      <c r="J281" s="44">
        <v>99</v>
      </c>
      <c r="K281" s="46" t="s">
        <v>699</v>
      </c>
      <c r="L281" s="46">
        <v>30</v>
      </c>
      <c r="M281" s="47" t="s">
        <v>1405</v>
      </c>
      <c r="N281" s="47" t="s">
        <v>1804</v>
      </c>
      <c r="O281" s="48"/>
      <c r="P281" s="48"/>
      <c r="Q281" s="45"/>
      <c r="S281" s="1">
        <f t="shared" ref="S281:S346" si="231">IF(J281=$S$7,1,0)</f>
        <v>0</v>
      </c>
      <c r="T281" s="1">
        <f t="shared" ref="T281:T346" si="232">IF(J281=$T$7,1,0)</f>
        <v>0</v>
      </c>
      <c r="U281" s="1">
        <f t="shared" ref="U281:U346" si="233">IF(J281=$U$7,1,0)</f>
        <v>0</v>
      </c>
      <c r="V281" s="1">
        <f t="shared" ref="V281:V346" si="234">IF(J281=$V$7,1,0)</f>
        <v>0</v>
      </c>
      <c r="W281" s="1">
        <f t="shared" ref="W281:W346" si="235">IF(J281=$W$7,1,0)</f>
        <v>0</v>
      </c>
      <c r="X281" s="1">
        <f t="shared" ref="X281:X346" si="236">IF(J281=$X$7,1,0)</f>
        <v>0</v>
      </c>
      <c r="Y281" s="1">
        <f t="shared" ref="Y281:Y346" si="237">IF(J281=$Y$7,1,0)</f>
        <v>0</v>
      </c>
      <c r="Z281" s="1">
        <f t="shared" ref="Z281:Z346" si="238">IF(J281=$Z$7,1,0)</f>
        <v>0</v>
      </c>
      <c r="AA281" s="1">
        <f t="shared" ref="AA281:AA346" si="239">IF(J281=$AA$7,1,0)</f>
        <v>0</v>
      </c>
      <c r="AB281" s="1">
        <f t="shared" ref="AB281:AB346" si="240">IF(J281=$AB$7,1,0)</f>
        <v>0</v>
      </c>
      <c r="AD281" s="1">
        <f t="shared" ref="AD281:AD346" si="241">+O281*P281</f>
        <v>0</v>
      </c>
      <c r="AE281" s="1">
        <f t="shared" ref="AE281:AE346" si="242">O281*(1-P281)</f>
        <v>0</v>
      </c>
      <c r="AF281" s="1">
        <f t="shared" si="227"/>
        <v>0</v>
      </c>
      <c r="AG281" s="1">
        <f t="shared" si="228"/>
        <v>0</v>
      </c>
      <c r="AH281" s="1">
        <f t="shared" si="229"/>
        <v>0</v>
      </c>
      <c r="AI281" s="1">
        <f t="shared" si="230"/>
        <v>1</v>
      </c>
    </row>
    <row r="282" spans="1:35" ht="14.25" customHeight="1" x14ac:dyDescent="0.3">
      <c r="A282" s="31">
        <v>0</v>
      </c>
      <c r="B282" s="31">
        <v>1</v>
      </c>
      <c r="C282" s="31">
        <v>7</v>
      </c>
      <c r="D282" s="32" t="s">
        <v>98</v>
      </c>
      <c r="E282" s="32" t="s">
        <v>29</v>
      </c>
      <c r="F282" s="32" t="s">
        <v>295</v>
      </c>
      <c r="G282" s="32" t="s">
        <v>196</v>
      </c>
      <c r="H282" s="32" t="s">
        <v>352</v>
      </c>
      <c r="I282" s="31" t="s">
        <v>443</v>
      </c>
      <c r="J282" s="31">
        <v>9</v>
      </c>
      <c r="K282" s="33" t="s">
        <v>699</v>
      </c>
      <c r="L282" s="33">
        <v>30</v>
      </c>
      <c r="M282" s="34" t="s">
        <v>704</v>
      </c>
      <c r="N282" s="34" t="s">
        <v>1738</v>
      </c>
      <c r="O282" s="35">
        <v>1</v>
      </c>
      <c r="P282" s="35"/>
      <c r="Q282" s="32"/>
      <c r="S282" s="1">
        <f t="shared" si="231"/>
        <v>0</v>
      </c>
      <c r="T282" s="1">
        <f t="shared" si="232"/>
        <v>0</v>
      </c>
      <c r="U282" s="1">
        <f t="shared" si="233"/>
        <v>0</v>
      </c>
      <c r="V282" s="1">
        <f t="shared" si="234"/>
        <v>0</v>
      </c>
      <c r="W282" s="1">
        <f t="shared" si="235"/>
        <v>0</v>
      </c>
      <c r="X282" s="1">
        <f t="shared" si="236"/>
        <v>0</v>
      </c>
      <c r="Y282" s="1">
        <f t="shared" si="237"/>
        <v>0</v>
      </c>
      <c r="Z282" s="1">
        <f t="shared" si="238"/>
        <v>0</v>
      </c>
      <c r="AA282" s="1">
        <f t="shared" si="239"/>
        <v>1</v>
      </c>
      <c r="AB282" s="1">
        <f t="shared" si="240"/>
        <v>0</v>
      </c>
      <c r="AD282" s="1">
        <f t="shared" si="241"/>
        <v>0</v>
      </c>
      <c r="AE282" s="1">
        <f t="shared" si="242"/>
        <v>1</v>
      </c>
      <c r="AF282" s="1">
        <f t="shared" si="227"/>
        <v>0</v>
      </c>
      <c r="AG282" s="1">
        <f t="shared" si="228"/>
        <v>1</v>
      </c>
      <c r="AH282" s="1">
        <f t="shared" si="229"/>
        <v>0</v>
      </c>
      <c r="AI282" s="1">
        <f t="shared" si="230"/>
        <v>1</v>
      </c>
    </row>
    <row r="283" spans="1:35" ht="14.25" customHeight="1" x14ac:dyDescent="0.3">
      <c r="A283" s="44">
        <v>0</v>
      </c>
      <c r="B283" s="44">
        <v>1</v>
      </c>
      <c r="C283" s="44">
        <v>7</v>
      </c>
      <c r="D283" s="45" t="s">
        <v>799</v>
      </c>
      <c r="E283" s="45" t="s">
        <v>29</v>
      </c>
      <c r="F283" s="45" t="s">
        <v>778</v>
      </c>
      <c r="G283" s="45" t="s">
        <v>800</v>
      </c>
      <c r="H283" s="45" t="s">
        <v>352</v>
      </c>
      <c r="I283" s="44" t="s">
        <v>947</v>
      </c>
      <c r="J283" s="44">
        <v>99</v>
      </c>
      <c r="K283" s="46" t="s">
        <v>709</v>
      </c>
      <c r="L283" s="46" t="s">
        <v>690</v>
      </c>
      <c r="M283" s="47" t="s">
        <v>704</v>
      </c>
      <c r="N283" s="47" t="s">
        <v>1797</v>
      </c>
      <c r="O283" s="48"/>
      <c r="P283" s="48"/>
      <c r="Q283" s="45"/>
      <c r="S283" s="1">
        <f t="shared" si="231"/>
        <v>0</v>
      </c>
      <c r="T283" s="1">
        <f t="shared" si="232"/>
        <v>0</v>
      </c>
      <c r="U283" s="1">
        <f t="shared" si="233"/>
        <v>0</v>
      </c>
      <c r="V283" s="1">
        <f t="shared" si="234"/>
        <v>0</v>
      </c>
      <c r="W283" s="1">
        <f t="shared" si="235"/>
        <v>0</v>
      </c>
      <c r="X283" s="1">
        <f t="shared" si="236"/>
        <v>0</v>
      </c>
      <c r="Y283" s="1">
        <f t="shared" si="237"/>
        <v>0</v>
      </c>
      <c r="Z283" s="1">
        <f t="shared" si="238"/>
        <v>0</v>
      </c>
      <c r="AA283" s="1">
        <f t="shared" si="239"/>
        <v>0</v>
      </c>
      <c r="AB283" s="1">
        <f t="shared" si="240"/>
        <v>0</v>
      </c>
      <c r="AD283" s="1">
        <f t="shared" si="241"/>
        <v>0</v>
      </c>
      <c r="AE283" s="1">
        <f t="shared" si="242"/>
        <v>0</v>
      </c>
      <c r="AF283" s="1">
        <f t="shared" si="227"/>
        <v>0</v>
      </c>
      <c r="AG283" s="1">
        <f t="shared" si="228"/>
        <v>0</v>
      </c>
      <c r="AH283" s="1">
        <f t="shared" si="229"/>
        <v>0</v>
      </c>
      <c r="AI283" s="1">
        <f t="shared" si="230"/>
        <v>1</v>
      </c>
    </row>
    <row r="284" spans="1:35" ht="14.25" customHeight="1" x14ac:dyDescent="0.3">
      <c r="A284" s="44">
        <v>0</v>
      </c>
      <c r="B284" s="44">
        <v>1</v>
      </c>
      <c r="C284" s="44">
        <v>7</v>
      </c>
      <c r="D284" s="45" t="s">
        <v>1319</v>
      </c>
      <c r="E284" s="45" t="s">
        <v>29</v>
      </c>
      <c r="F284" s="45" t="s">
        <v>1342</v>
      </c>
      <c r="G284" s="45" t="s">
        <v>1176</v>
      </c>
      <c r="H284" s="45" t="s">
        <v>352</v>
      </c>
      <c r="I284" s="44" t="s">
        <v>1687</v>
      </c>
      <c r="J284" s="44">
        <v>99</v>
      </c>
      <c r="K284" s="46" t="s">
        <v>709</v>
      </c>
      <c r="L284" s="46" t="s">
        <v>690</v>
      </c>
      <c r="M284" s="47" t="s">
        <v>1406</v>
      </c>
      <c r="N284" s="47" t="s">
        <v>1733</v>
      </c>
      <c r="O284" s="48"/>
      <c r="P284" s="48"/>
      <c r="Q284" s="45"/>
      <c r="S284" s="1">
        <f t="shared" si="231"/>
        <v>0</v>
      </c>
      <c r="T284" s="1">
        <f t="shared" si="232"/>
        <v>0</v>
      </c>
      <c r="U284" s="1">
        <f t="shared" si="233"/>
        <v>0</v>
      </c>
      <c r="V284" s="1">
        <f t="shared" si="234"/>
        <v>0</v>
      </c>
      <c r="W284" s="1">
        <f t="shared" si="235"/>
        <v>0</v>
      </c>
      <c r="X284" s="1">
        <f t="shared" si="236"/>
        <v>0</v>
      </c>
      <c r="Y284" s="1">
        <f t="shared" si="237"/>
        <v>0</v>
      </c>
      <c r="Z284" s="1">
        <f t="shared" si="238"/>
        <v>0</v>
      </c>
      <c r="AA284" s="1">
        <f t="shared" si="239"/>
        <v>0</v>
      </c>
      <c r="AB284" s="1">
        <f t="shared" si="240"/>
        <v>0</v>
      </c>
      <c r="AD284" s="1">
        <f t="shared" si="241"/>
        <v>0</v>
      </c>
      <c r="AE284" s="1">
        <f t="shared" si="242"/>
        <v>0</v>
      </c>
      <c r="AF284" s="1">
        <f t="shared" si="227"/>
        <v>0</v>
      </c>
      <c r="AG284" s="1">
        <f t="shared" si="228"/>
        <v>0</v>
      </c>
      <c r="AH284" s="1">
        <f t="shared" si="229"/>
        <v>0</v>
      </c>
      <c r="AI284" s="1">
        <f t="shared" si="230"/>
        <v>1</v>
      </c>
    </row>
    <row r="285" spans="1:35" ht="14.25" customHeight="1" x14ac:dyDescent="0.3">
      <c r="A285" s="15">
        <v>0</v>
      </c>
      <c r="B285" s="15">
        <v>1</v>
      </c>
      <c r="C285" s="15">
        <v>7</v>
      </c>
      <c r="D285" s="16" t="s">
        <v>1274</v>
      </c>
      <c r="E285" s="16" t="s">
        <v>29</v>
      </c>
      <c r="F285" s="16" t="s">
        <v>1275</v>
      </c>
      <c r="G285" s="16" t="s">
        <v>1276</v>
      </c>
      <c r="H285" s="16" t="s">
        <v>352</v>
      </c>
      <c r="I285" s="15" t="s">
        <v>1277</v>
      </c>
      <c r="J285" s="15">
        <v>99</v>
      </c>
      <c r="K285" s="10" t="s">
        <v>709</v>
      </c>
      <c r="L285" s="10" t="s">
        <v>690</v>
      </c>
      <c r="M285" s="19" t="s">
        <v>704</v>
      </c>
      <c r="N285" s="17"/>
      <c r="Q285" s="16"/>
      <c r="S285" s="1">
        <f t="shared" si="231"/>
        <v>0</v>
      </c>
      <c r="T285" s="1">
        <f t="shared" si="232"/>
        <v>0</v>
      </c>
      <c r="U285" s="1">
        <f t="shared" si="233"/>
        <v>0</v>
      </c>
      <c r="V285" s="1">
        <f t="shared" si="234"/>
        <v>0</v>
      </c>
      <c r="W285" s="1">
        <f t="shared" si="235"/>
        <v>0</v>
      </c>
      <c r="X285" s="1">
        <f t="shared" si="236"/>
        <v>0</v>
      </c>
      <c r="Y285" s="1">
        <f t="shared" si="237"/>
        <v>0</v>
      </c>
      <c r="Z285" s="1">
        <f t="shared" si="238"/>
        <v>0</v>
      </c>
      <c r="AA285" s="1">
        <f t="shared" si="239"/>
        <v>0</v>
      </c>
      <c r="AB285" s="1">
        <f t="shared" si="240"/>
        <v>0</v>
      </c>
      <c r="AD285" s="1">
        <f t="shared" si="241"/>
        <v>0</v>
      </c>
      <c r="AE285" s="1">
        <f t="shared" si="242"/>
        <v>0</v>
      </c>
      <c r="AF285" s="1">
        <f t="shared" si="227"/>
        <v>0</v>
      </c>
      <c r="AG285" s="1">
        <f t="shared" si="228"/>
        <v>0</v>
      </c>
      <c r="AH285" s="1">
        <f t="shared" si="229"/>
        <v>0</v>
      </c>
      <c r="AI285" s="1">
        <f t="shared" si="230"/>
        <v>1</v>
      </c>
    </row>
    <row r="286" spans="1:35" ht="14.25" customHeight="1" x14ac:dyDescent="0.3">
      <c r="A286" s="31">
        <v>0</v>
      </c>
      <c r="B286" s="31">
        <v>1</v>
      </c>
      <c r="C286" s="31">
        <v>7</v>
      </c>
      <c r="D286" s="32" t="s">
        <v>705</v>
      </c>
      <c r="E286" s="32" t="s">
        <v>29</v>
      </c>
      <c r="F286" s="32" t="s">
        <v>706</v>
      </c>
      <c r="G286" s="32" t="s">
        <v>183</v>
      </c>
      <c r="H286" s="32" t="s">
        <v>352</v>
      </c>
      <c r="I286" s="31" t="s">
        <v>707</v>
      </c>
      <c r="J286" s="31">
        <v>99</v>
      </c>
      <c r="K286" s="33" t="s">
        <v>950</v>
      </c>
      <c r="L286" s="33" t="s">
        <v>39</v>
      </c>
      <c r="M286" s="34" t="s">
        <v>39</v>
      </c>
      <c r="N286" s="34" t="s">
        <v>1728</v>
      </c>
      <c r="O286" s="35">
        <v>1</v>
      </c>
      <c r="P286" s="35">
        <v>1</v>
      </c>
      <c r="Q286" s="32"/>
      <c r="S286" s="1">
        <f t="shared" si="231"/>
        <v>0</v>
      </c>
      <c r="T286" s="1">
        <f t="shared" si="232"/>
        <v>0</v>
      </c>
      <c r="U286" s="1">
        <f t="shared" si="233"/>
        <v>0</v>
      </c>
      <c r="V286" s="1">
        <f t="shared" si="234"/>
        <v>0</v>
      </c>
      <c r="W286" s="1">
        <f t="shared" si="235"/>
        <v>0</v>
      </c>
      <c r="X286" s="1">
        <f t="shared" si="236"/>
        <v>0</v>
      </c>
      <c r="Y286" s="1">
        <f t="shared" si="237"/>
        <v>0</v>
      </c>
      <c r="Z286" s="1">
        <f t="shared" si="238"/>
        <v>0</v>
      </c>
      <c r="AA286" s="1">
        <f t="shared" si="239"/>
        <v>0</v>
      </c>
      <c r="AB286" s="1">
        <f t="shared" si="240"/>
        <v>0</v>
      </c>
      <c r="AD286" s="1">
        <f t="shared" si="241"/>
        <v>1</v>
      </c>
      <c r="AE286" s="1">
        <f t="shared" si="242"/>
        <v>0</v>
      </c>
      <c r="AF286" s="1">
        <f t="shared" si="227"/>
        <v>1</v>
      </c>
      <c r="AG286" s="1">
        <f t="shared" si="228"/>
        <v>0</v>
      </c>
      <c r="AH286" s="1">
        <f t="shared" si="229"/>
        <v>1</v>
      </c>
      <c r="AI286" s="1">
        <f t="shared" si="230"/>
        <v>0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532</v>
      </c>
      <c r="E287" s="32" t="s">
        <v>34</v>
      </c>
      <c r="F287" s="32" t="s">
        <v>533</v>
      </c>
      <c r="G287" s="32" t="s">
        <v>219</v>
      </c>
      <c r="H287" s="32" t="s">
        <v>352</v>
      </c>
      <c r="I287" s="31" t="s">
        <v>534</v>
      </c>
      <c r="J287" s="31">
        <v>8</v>
      </c>
      <c r="K287" s="33" t="s">
        <v>709</v>
      </c>
      <c r="L287" s="33" t="s">
        <v>709</v>
      </c>
      <c r="M287" s="34" t="s">
        <v>710</v>
      </c>
      <c r="N287" s="34" t="s">
        <v>1743</v>
      </c>
      <c r="O287" s="35">
        <v>1</v>
      </c>
      <c r="P287" s="35"/>
      <c r="Q287" s="32"/>
      <c r="S287" s="1">
        <f t="shared" si="231"/>
        <v>0</v>
      </c>
      <c r="T287" s="1">
        <f t="shared" si="232"/>
        <v>0</v>
      </c>
      <c r="U287" s="1">
        <f t="shared" si="233"/>
        <v>0</v>
      </c>
      <c r="V287" s="1">
        <f t="shared" si="234"/>
        <v>0</v>
      </c>
      <c r="W287" s="1">
        <f t="shared" si="235"/>
        <v>0</v>
      </c>
      <c r="X287" s="1">
        <f t="shared" si="236"/>
        <v>0</v>
      </c>
      <c r="Y287" s="1">
        <f t="shared" si="237"/>
        <v>0</v>
      </c>
      <c r="Z287" s="1">
        <f t="shared" si="238"/>
        <v>1</v>
      </c>
      <c r="AA287" s="1">
        <f t="shared" si="239"/>
        <v>0</v>
      </c>
      <c r="AB287" s="1">
        <f t="shared" si="240"/>
        <v>0</v>
      </c>
      <c r="AD287" s="1">
        <f t="shared" si="241"/>
        <v>0</v>
      </c>
      <c r="AE287" s="1">
        <f t="shared" si="242"/>
        <v>1</v>
      </c>
      <c r="AF287" s="1">
        <f t="shared" si="227"/>
        <v>0</v>
      </c>
      <c r="AG287" s="1">
        <f t="shared" si="228"/>
        <v>1</v>
      </c>
      <c r="AH287" s="1">
        <f t="shared" si="229"/>
        <v>0</v>
      </c>
      <c r="AI287" s="1">
        <f t="shared" si="230"/>
        <v>1</v>
      </c>
    </row>
    <row r="288" spans="1:35" ht="14.25" customHeight="1" x14ac:dyDescent="0.3">
      <c r="A288" s="31">
        <v>0</v>
      </c>
      <c r="B288" s="31">
        <v>2</v>
      </c>
      <c r="C288" s="31">
        <v>1</v>
      </c>
      <c r="D288" s="32" t="s">
        <v>1285</v>
      </c>
      <c r="E288" s="32" t="s">
        <v>557</v>
      </c>
      <c r="F288" s="32" t="s">
        <v>1286</v>
      </c>
      <c r="G288" s="32" t="s">
        <v>229</v>
      </c>
      <c r="H288" s="32" t="s">
        <v>352</v>
      </c>
      <c r="I288" s="31" t="s">
        <v>1287</v>
      </c>
      <c r="J288" s="31">
        <v>7</v>
      </c>
      <c r="K288" s="33" t="s">
        <v>709</v>
      </c>
      <c r="L288" s="33" t="s">
        <v>709</v>
      </c>
      <c r="M288" s="34" t="s">
        <v>710</v>
      </c>
      <c r="N288" s="34" t="s">
        <v>1751</v>
      </c>
      <c r="O288" s="35">
        <v>1</v>
      </c>
      <c r="P288" s="35"/>
      <c r="Q288" s="32"/>
      <c r="S288" s="1">
        <f t="shared" si="231"/>
        <v>0</v>
      </c>
      <c r="T288" s="1">
        <f t="shared" si="232"/>
        <v>0</v>
      </c>
      <c r="U288" s="1">
        <f t="shared" si="233"/>
        <v>0</v>
      </c>
      <c r="V288" s="1">
        <f t="shared" si="234"/>
        <v>0</v>
      </c>
      <c r="W288" s="1">
        <f t="shared" si="235"/>
        <v>0</v>
      </c>
      <c r="X288" s="1">
        <f t="shared" si="236"/>
        <v>0</v>
      </c>
      <c r="Y288" s="1">
        <f t="shared" si="237"/>
        <v>1</v>
      </c>
      <c r="Z288" s="1">
        <f t="shared" si="238"/>
        <v>0</v>
      </c>
      <c r="AA288" s="1">
        <f t="shared" si="239"/>
        <v>0</v>
      </c>
      <c r="AB288" s="1">
        <f t="shared" si="240"/>
        <v>0</v>
      </c>
      <c r="AD288" s="1">
        <f t="shared" si="241"/>
        <v>0</v>
      </c>
      <c r="AE288" s="1">
        <f t="shared" si="242"/>
        <v>1</v>
      </c>
      <c r="AF288" s="1">
        <f t="shared" si="227"/>
        <v>0</v>
      </c>
      <c r="AG288" s="1">
        <f t="shared" si="228"/>
        <v>1</v>
      </c>
      <c r="AH288" s="1">
        <f t="shared" si="229"/>
        <v>0</v>
      </c>
      <c r="AI288" s="1">
        <f t="shared" si="230"/>
        <v>1</v>
      </c>
    </row>
    <row r="289" spans="1:35" ht="14.25" customHeight="1" x14ac:dyDescent="0.3">
      <c r="A289" s="31">
        <v>0</v>
      </c>
      <c r="B289" s="31">
        <v>2</v>
      </c>
      <c r="C289" s="31">
        <v>1</v>
      </c>
      <c r="D289" s="32" t="s">
        <v>1321</v>
      </c>
      <c r="E289" s="32" t="s">
        <v>557</v>
      </c>
      <c r="F289" s="32" t="s">
        <v>1983</v>
      </c>
      <c r="G289" s="32" t="s">
        <v>212</v>
      </c>
      <c r="H289" s="32" t="s">
        <v>352</v>
      </c>
      <c r="I289" s="31" t="s">
        <v>1151</v>
      </c>
      <c r="J289" s="31">
        <v>1</v>
      </c>
      <c r="K289" s="33" t="s">
        <v>949</v>
      </c>
      <c r="L289" s="33" t="s">
        <v>709</v>
      </c>
      <c r="M289" s="34" t="s">
        <v>710</v>
      </c>
      <c r="N289" s="34" t="s">
        <v>1756</v>
      </c>
      <c r="O289" s="35">
        <v>1</v>
      </c>
      <c r="P289" s="35"/>
      <c r="Q289" s="32"/>
      <c r="S289" s="1">
        <f t="shared" si="231"/>
        <v>1</v>
      </c>
      <c r="T289" s="1">
        <f t="shared" si="232"/>
        <v>0</v>
      </c>
      <c r="U289" s="1">
        <f t="shared" si="233"/>
        <v>0</v>
      </c>
      <c r="V289" s="1">
        <f t="shared" si="234"/>
        <v>0</v>
      </c>
      <c r="W289" s="1">
        <f t="shared" si="235"/>
        <v>0</v>
      </c>
      <c r="X289" s="1">
        <f t="shared" si="236"/>
        <v>0</v>
      </c>
      <c r="Y289" s="1">
        <f t="shared" si="237"/>
        <v>0</v>
      </c>
      <c r="Z289" s="1">
        <f t="shared" si="238"/>
        <v>0</v>
      </c>
      <c r="AA289" s="1">
        <f t="shared" si="239"/>
        <v>0</v>
      </c>
      <c r="AB289" s="1">
        <f t="shared" si="240"/>
        <v>0</v>
      </c>
      <c r="AD289" s="1">
        <f t="shared" si="241"/>
        <v>0</v>
      </c>
      <c r="AE289" s="1">
        <f t="shared" si="242"/>
        <v>1</v>
      </c>
      <c r="AF289" s="1">
        <f t="shared" si="227"/>
        <v>0</v>
      </c>
      <c r="AG289" s="1">
        <f t="shared" si="228"/>
        <v>1</v>
      </c>
      <c r="AH289" s="1">
        <f t="shared" si="229"/>
        <v>0</v>
      </c>
      <c r="AI289" s="1">
        <f t="shared" si="230"/>
        <v>1</v>
      </c>
    </row>
    <row r="290" spans="1:35" ht="14.25" customHeight="1" x14ac:dyDescent="0.3">
      <c r="A290" s="31">
        <v>0</v>
      </c>
      <c r="B290" s="31">
        <v>2</v>
      </c>
      <c r="C290" s="31">
        <v>1</v>
      </c>
      <c r="D290" s="32" t="s">
        <v>1322</v>
      </c>
      <c r="E290" s="32" t="s">
        <v>557</v>
      </c>
      <c r="F290" s="32" t="s">
        <v>1146</v>
      </c>
      <c r="G290" s="32" t="s">
        <v>283</v>
      </c>
      <c r="H290" s="32" t="s">
        <v>352</v>
      </c>
      <c r="I290" s="31" t="s">
        <v>1147</v>
      </c>
      <c r="J290" s="31">
        <v>10</v>
      </c>
      <c r="K290" s="33" t="s">
        <v>949</v>
      </c>
      <c r="L290" s="33" t="s">
        <v>709</v>
      </c>
      <c r="M290" s="34" t="s">
        <v>710</v>
      </c>
      <c r="N290" s="34" t="s">
        <v>1756</v>
      </c>
      <c r="O290" s="35">
        <v>1</v>
      </c>
      <c r="P290" s="35"/>
      <c r="Q290" s="32"/>
      <c r="S290" s="1">
        <f t="shared" si="231"/>
        <v>0</v>
      </c>
      <c r="T290" s="1">
        <f t="shared" si="232"/>
        <v>0</v>
      </c>
      <c r="U290" s="1">
        <f t="shared" si="233"/>
        <v>0</v>
      </c>
      <c r="V290" s="1">
        <f t="shared" si="234"/>
        <v>0</v>
      </c>
      <c r="W290" s="1">
        <f t="shared" si="235"/>
        <v>0</v>
      </c>
      <c r="X290" s="1">
        <f t="shared" si="236"/>
        <v>0</v>
      </c>
      <c r="Y290" s="1">
        <f t="shared" si="237"/>
        <v>0</v>
      </c>
      <c r="Z290" s="1">
        <f t="shared" si="238"/>
        <v>0</v>
      </c>
      <c r="AA290" s="1">
        <f t="shared" si="239"/>
        <v>0</v>
      </c>
      <c r="AB290" s="1">
        <f t="shared" si="240"/>
        <v>1</v>
      </c>
      <c r="AD290" s="1">
        <f t="shared" si="241"/>
        <v>0</v>
      </c>
      <c r="AE290" s="1">
        <f t="shared" si="242"/>
        <v>1</v>
      </c>
      <c r="AF290" s="1">
        <f t="shared" si="227"/>
        <v>0</v>
      </c>
      <c r="AG290" s="1">
        <f t="shared" si="228"/>
        <v>1</v>
      </c>
      <c r="AH290" s="1">
        <f t="shared" si="229"/>
        <v>0</v>
      </c>
      <c r="AI290" s="1">
        <f t="shared" si="230"/>
        <v>1</v>
      </c>
    </row>
    <row r="291" spans="1:35" ht="14.25" customHeight="1" x14ac:dyDescent="0.3">
      <c r="A291" s="15">
        <v>0</v>
      </c>
      <c r="B291" s="15">
        <v>2</v>
      </c>
      <c r="C291" s="15">
        <v>1</v>
      </c>
      <c r="D291" s="20" t="s">
        <v>2063</v>
      </c>
      <c r="E291" s="20" t="s">
        <v>36</v>
      </c>
      <c r="F291" s="20" t="s">
        <v>2064</v>
      </c>
      <c r="G291" s="20" t="s">
        <v>1478</v>
      </c>
      <c r="H291" s="20" t="s">
        <v>352</v>
      </c>
      <c r="I291" s="21" t="s">
        <v>2066</v>
      </c>
      <c r="J291" s="15">
        <v>99</v>
      </c>
      <c r="K291" s="10" t="s">
        <v>699</v>
      </c>
      <c r="L291" s="10">
        <v>7</v>
      </c>
      <c r="M291" s="19" t="s">
        <v>2065</v>
      </c>
      <c r="N291" s="19"/>
      <c r="Q291" s="20" t="s">
        <v>2067</v>
      </c>
      <c r="S291" s="1">
        <f t="shared" si="231"/>
        <v>0</v>
      </c>
      <c r="T291" s="1">
        <f t="shared" si="232"/>
        <v>0</v>
      </c>
      <c r="U291" s="1">
        <f t="shared" si="233"/>
        <v>0</v>
      </c>
      <c r="V291" s="1">
        <f t="shared" si="234"/>
        <v>0</v>
      </c>
      <c r="W291" s="1">
        <f t="shared" si="235"/>
        <v>0</v>
      </c>
      <c r="X291" s="1">
        <f t="shared" si="236"/>
        <v>0</v>
      </c>
      <c r="Y291" s="1">
        <f t="shared" si="237"/>
        <v>0</v>
      </c>
      <c r="Z291" s="1">
        <f t="shared" si="238"/>
        <v>0</v>
      </c>
      <c r="AA291" s="1">
        <f t="shared" si="239"/>
        <v>0</v>
      </c>
      <c r="AB291" s="1">
        <f t="shared" si="240"/>
        <v>0</v>
      </c>
      <c r="AD291" s="1">
        <f t="shared" ref="AD291:AD295" si="243">+O291*P291</f>
        <v>0</v>
      </c>
      <c r="AE291" s="1">
        <f t="shared" ref="AE291:AE295" si="244">O291*(1-P291)</f>
        <v>0</v>
      </c>
      <c r="AF291" s="1">
        <f t="shared" ref="AF291:AF295" si="245">+O291*P291*(1-A291)</f>
        <v>0</v>
      </c>
      <c r="AG291" s="1">
        <f t="shared" ref="AG291:AG295" si="246">O291*(1-P291)*(1-A291)</f>
        <v>0</v>
      </c>
      <c r="AH291" s="1">
        <f t="shared" ref="AH291:AH295" si="247">+P291*(1-A291)</f>
        <v>0</v>
      </c>
      <c r="AI291" s="1">
        <f t="shared" ref="AI291:AI295" si="248">+(1-A291)*(1-P291)</f>
        <v>1</v>
      </c>
    </row>
    <row r="292" spans="1:35" ht="14.25" customHeight="1" x14ac:dyDescent="0.3">
      <c r="A292" s="15">
        <v>0</v>
      </c>
      <c r="B292" s="15">
        <v>2</v>
      </c>
      <c r="C292" s="15">
        <v>1</v>
      </c>
      <c r="D292" s="16" t="s">
        <v>508</v>
      </c>
      <c r="E292" s="16" t="s">
        <v>34</v>
      </c>
      <c r="F292" s="16" t="s">
        <v>507</v>
      </c>
      <c r="G292" s="16" t="s">
        <v>542</v>
      </c>
      <c r="H292" s="16" t="s">
        <v>352</v>
      </c>
      <c r="I292" s="15" t="s">
        <v>1359</v>
      </c>
      <c r="J292" s="15">
        <v>99</v>
      </c>
      <c r="K292" s="10" t="s">
        <v>950</v>
      </c>
      <c r="L292" s="10" t="s">
        <v>709</v>
      </c>
      <c r="M292" s="19" t="s">
        <v>710</v>
      </c>
      <c r="N292" s="19"/>
      <c r="Q292" s="20" t="s">
        <v>2007</v>
      </c>
      <c r="S292" s="1">
        <f t="shared" si="231"/>
        <v>0</v>
      </c>
      <c r="T292" s="1">
        <f t="shared" si="232"/>
        <v>0</v>
      </c>
      <c r="U292" s="1">
        <f t="shared" si="233"/>
        <v>0</v>
      </c>
      <c r="V292" s="1">
        <f t="shared" si="234"/>
        <v>0</v>
      </c>
      <c r="W292" s="1">
        <f t="shared" si="235"/>
        <v>0</v>
      </c>
      <c r="X292" s="1">
        <f t="shared" si="236"/>
        <v>0</v>
      </c>
      <c r="Y292" s="1">
        <f t="shared" si="237"/>
        <v>0</v>
      </c>
      <c r="Z292" s="1">
        <f t="shared" si="238"/>
        <v>0</v>
      </c>
      <c r="AA292" s="1">
        <f t="shared" si="239"/>
        <v>0</v>
      </c>
      <c r="AB292" s="1">
        <f t="shared" si="240"/>
        <v>0</v>
      </c>
      <c r="AD292" s="1">
        <f t="shared" si="243"/>
        <v>0</v>
      </c>
      <c r="AE292" s="1">
        <f t="shared" si="244"/>
        <v>0</v>
      </c>
      <c r="AF292" s="1">
        <f t="shared" si="245"/>
        <v>0</v>
      </c>
      <c r="AG292" s="1">
        <f t="shared" si="246"/>
        <v>0</v>
      </c>
      <c r="AH292" s="1">
        <f t="shared" si="247"/>
        <v>0</v>
      </c>
      <c r="AI292" s="1">
        <f t="shared" si="248"/>
        <v>1</v>
      </c>
    </row>
    <row r="293" spans="1:35" ht="14.25" customHeight="1" x14ac:dyDescent="0.3">
      <c r="A293" s="31">
        <v>0</v>
      </c>
      <c r="B293" s="31">
        <v>2</v>
      </c>
      <c r="C293" s="31">
        <v>1</v>
      </c>
      <c r="D293" s="32" t="s">
        <v>1037</v>
      </c>
      <c r="E293" s="32" t="s">
        <v>36</v>
      </c>
      <c r="F293" s="32" t="s">
        <v>1654</v>
      </c>
      <c r="G293" s="32" t="s">
        <v>624</v>
      </c>
      <c r="H293" s="32" t="s">
        <v>352</v>
      </c>
      <c r="I293" s="31" t="s">
        <v>1038</v>
      </c>
      <c r="J293" s="31">
        <v>99</v>
      </c>
      <c r="K293" s="33" t="s">
        <v>954</v>
      </c>
      <c r="L293" s="33" t="s">
        <v>709</v>
      </c>
      <c r="M293" s="34" t="s">
        <v>710</v>
      </c>
      <c r="N293" s="34" t="s">
        <v>1728</v>
      </c>
      <c r="O293" s="35">
        <v>1</v>
      </c>
      <c r="P293" s="35">
        <v>1</v>
      </c>
      <c r="Q293" s="32" t="s">
        <v>1894</v>
      </c>
      <c r="S293" s="1">
        <f t="shared" si="231"/>
        <v>0</v>
      </c>
      <c r="T293" s="1">
        <f t="shared" si="232"/>
        <v>0</v>
      </c>
      <c r="U293" s="1">
        <f t="shared" si="233"/>
        <v>0</v>
      </c>
      <c r="V293" s="1">
        <f t="shared" si="234"/>
        <v>0</v>
      </c>
      <c r="W293" s="1">
        <f t="shared" si="235"/>
        <v>0</v>
      </c>
      <c r="X293" s="1">
        <f t="shared" si="236"/>
        <v>0</v>
      </c>
      <c r="Y293" s="1">
        <f t="shared" si="237"/>
        <v>0</v>
      </c>
      <c r="Z293" s="1">
        <f t="shared" si="238"/>
        <v>0</v>
      </c>
      <c r="AA293" s="1">
        <f t="shared" si="239"/>
        <v>0</v>
      </c>
      <c r="AB293" s="1">
        <f t="shared" si="240"/>
        <v>0</v>
      </c>
      <c r="AD293" s="1">
        <f t="shared" si="243"/>
        <v>1</v>
      </c>
      <c r="AE293" s="1">
        <f t="shared" si="244"/>
        <v>0</v>
      </c>
      <c r="AF293" s="1">
        <f t="shared" si="245"/>
        <v>1</v>
      </c>
      <c r="AG293" s="1">
        <f t="shared" si="246"/>
        <v>0</v>
      </c>
      <c r="AH293" s="1">
        <f t="shared" si="247"/>
        <v>1</v>
      </c>
      <c r="AI293" s="1">
        <f t="shared" si="248"/>
        <v>0</v>
      </c>
    </row>
    <row r="294" spans="1:35" ht="14.25" customHeight="1" x14ac:dyDescent="0.3">
      <c r="A294" s="31">
        <v>1</v>
      </c>
      <c r="B294" s="31">
        <v>2</v>
      </c>
      <c r="C294" s="31">
        <v>1</v>
      </c>
      <c r="D294" s="32" t="s">
        <v>49</v>
      </c>
      <c r="E294" s="32" t="s">
        <v>1309</v>
      </c>
      <c r="F294" s="32" t="s">
        <v>190</v>
      </c>
      <c r="G294" s="32" t="s">
        <v>191</v>
      </c>
      <c r="H294" s="32" t="s">
        <v>352</v>
      </c>
      <c r="I294" s="31" t="s">
        <v>384</v>
      </c>
      <c r="J294" s="31">
        <v>99</v>
      </c>
      <c r="K294" s="33" t="s">
        <v>708</v>
      </c>
      <c r="L294" s="33" t="s">
        <v>709</v>
      </c>
      <c r="M294" s="34" t="s">
        <v>710</v>
      </c>
      <c r="N294" s="34" t="s">
        <v>1751</v>
      </c>
      <c r="O294" s="35">
        <v>1</v>
      </c>
      <c r="P294" s="35"/>
      <c r="Q294" s="32"/>
      <c r="S294" s="1">
        <f t="shared" si="231"/>
        <v>0</v>
      </c>
      <c r="T294" s="1">
        <f t="shared" si="232"/>
        <v>0</v>
      </c>
      <c r="U294" s="1">
        <f t="shared" si="233"/>
        <v>0</v>
      </c>
      <c r="V294" s="1">
        <f t="shared" si="234"/>
        <v>0</v>
      </c>
      <c r="W294" s="1">
        <f t="shared" si="235"/>
        <v>0</v>
      </c>
      <c r="X294" s="1">
        <f t="shared" si="236"/>
        <v>0</v>
      </c>
      <c r="Y294" s="1">
        <f t="shared" si="237"/>
        <v>0</v>
      </c>
      <c r="Z294" s="1">
        <f t="shared" si="238"/>
        <v>0</v>
      </c>
      <c r="AA294" s="1">
        <f t="shared" si="239"/>
        <v>0</v>
      </c>
      <c r="AB294" s="1">
        <f t="shared" si="240"/>
        <v>0</v>
      </c>
      <c r="AD294" s="1">
        <f t="shared" si="243"/>
        <v>0</v>
      </c>
      <c r="AE294" s="1">
        <f t="shared" si="244"/>
        <v>1</v>
      </c>
      <c r="AF294" s="1">
        <f t="shared" si="245"/>
        <v>0</v>
      </c>
      <c r="AG294" s="1">
        <f t="shared" si="246"/>
        <v>0</v>
      </c>
      <c r="AH294" s="1">
        <f t="shared" si="247"/>
        <v>0</v>
      </c>
      <c r="AI294" s="1">
        <f t="shared" si="248"/>
        <v>0</v>
      </c>
    </row>
    <row r="295" spans="1:35" ht="14.25" customHeight="1" x14ac:dyDescent="0.3">
      <c r="A295" s="31">
        <v>0</v>
      </c>
      <c r="B295" s="31">
        <v>2</v>
      </c>
      <c r="C295" s="31">
        <v>1</v>
      </c>
      <c r="D295" s="32" t="s">
        <v>1069</v>
      </c>
      <c r="E295" s="32" t="s">
        <v>1309</v>
      </c>
      <c r="F295" s="32" t="s">
        <v>1084</v>
      </c>
      <c r="G295" s="32" t="s">
        <v>201</v>
      </c>
      <c r="H295" s="32" t="s">
        <v>352</v>
      </c>
      <c r="I295" s="31" t="s">
        <v>384</v>
      </c>
      <c r="J295" s="31">
        <v>10</v>
      </c>
      <c r="K295" s="33" t="s">
        <v>708</v>
      </c>
      <c r="L295" s="33" t="s">
        <v>709</v>
      </c>
      <c r="M295" s="34" t="s">
        <v>710</v>
      </c>
      <c r="N295" s="34" t="s">
        <v>1751</v>
      </c>
      <c r="O295" s="35">
        <v>1</v>
      </c>
      <c r="P295" s="35"/>
      <c r="Q295" s="32"/>
      <c r="S295" s="1">
        <f t="shared" si="231"/>
        <v>0</v>
      </c>
      <c r="T295" s="1">
        <f t="shared" si="232"/>
        <v>0</v>
      </c>
      <c r="U295" s="1">
        <f t="shared" si="233"/>
        <v>0</v>
      </c>
      <c r="V295" s="1">
        <f t="shared" si="234"/>
        <v>0</v>
      </c>
      <c r="W295" s="1">
        <f t="shared" si="235"/>
        <v>0</v>
      </c>
      <c r="X295" s="1">
        <f t="shared" si="236"/>
        <v>0</v>
      </c>
      <c r="Y295" s="1">
        <f t="shared" si="237"/>
        <v>0</v>
      </c>
      <c r="Z295" s="1">
        <f t="shared" si="238"/>
        <v>0</v>
      </c>
      <c r="AA295" s="1">
        <f t="shared" si="239"/>
        <v>0</v>
      </c>
      <c r="AB295" s="1">
        <f t="shared" si="240"/>
        <v>1</v>
      </c>
      <c r="AD295" s="1">
        <f t="shared" si="243"/>
        <v>0</v>
      </c>
      <c r="AE295" s="1">
        <f t="shared" si="244"/>
        <v>1</v>
      </c>
      <c r="AF295" s="1">
        <f t="shared" si="245"/>
        <v>0</v>
      </c>
      <c r="AG295" s="1">
        <f t="shared" si="246"/>
        <v>1</v>
      </c>
      <c r="AH295" s="1">
        <f t="shared" si="247"/>
        <v>0</v>
      </c>
      <c r="AI295" s="1">
        <f t="shared" si="248"/>
        <v>1</v>
      </c>
    </row>
    <row r="296" spans="1:35" ht="14.25" customHeight="1" x14ac:dyDescent="0.3">
      <c r="A296" s="31">
        <v>0</v>
      </c>
      <c r="B296" s="31">
        <v>2</v>
      </c>
      <c r="C296" s="31">
        <v>1</v>
      </c>
      <c r="D296" s="32" t="s">
        <v>1268</v>
      </c>
      <c r="E296" s="32" t="s">
        <v>557</v>
      </c>
      <c r="F296" s="32" t="s">
        <v>1269</v>
      </c>
      <c r="G296" s="32" t="s">
        <v>257</v>
      </c>
      <c r="H296" s="32" t="s">
        <v>352</v>
      </c>
      <c r="I296" s="31" t="s">
        <v>1270</v>
      </c>
      <c r="J296" s="31">
        <v>8</v>
      </c>
      <c r="K296" s="33" t="s">
        <v>949</v>
      </c>
      <c r="L296" s="33" t="s">
        <v>709</v>
      </c>
      <c r="M296" s="34" t="s">
        <v>710</v>
      </c>
      <c r="N296" s="34" t="s">
        <v>1743</v>
      </c>
      <c r="O296" s="35">
        <v>1</v>
      </c>
      <c r="P296" s="35"/>
      <c r="Q296" s="32"/>
      <c r="S296" s="1">
        <f t="shared" si="231"/>
        <v>0</v>
      </c>
      <c r="T296" s="1">
        <f t="shared" si="232"/>
        <v>0</v>
      </c>
      <c r="U296" s="1">
        <f t="shared" si="233"/>
        <v>0</v>
      </c>
      <c r="V296" s="1">
        <f t="shared" si="234"/>
        <v>0</v>
      </c>
      <c r="W296" s="1">
        <f t="shared" si="235"/>
        <v>0</v>
      </c>
      <c r="X296" s="1">
        <f t="shared" si="236"/>
        <v>0</v>
      </c>
      <c r="Y296" s="1">
        <f t="shared" si="237"/>
        <v>0</v>
      </c>
      <c r="Z296" s="1">
        <f t="shared" si="238"/>
        <v>1</v>
      </c>
      <c r="AA296" s="1">
        <f t="shared" si="239"/>
        <v>0</v>
      </c>
      <c r="AB296" s="1">
        <f t="shared" si="240"/>
        <v>0</v>
      </c>
      <c r="AD296" s="1">
        <f t="shared" si="241"/>
        <v>0</v>
      </c>
      <c r="AE296" s="1">
        <f t="shared" si="242"/>
        <v>1</v>
      </c>
      <c r="AF296" s="1">
        <f t="shared" si="227"/>
        <v>0</v>
      </c>
      <c r="AG296" s="1">
        <f t="shared" si="228"/>
        <v>1</v>
      </c>
      <c r="AH296" s="1">
        <f t="shared" si="229"/>
        <v>0</v>
      </c>
      <c r="AI296" s="1">
        <f t="shared" si="230"/>
        <v>1</v>
      </c>
    </row>
    <row r="297" spans="1:35" ht="14.25" customHeight="1" x14ac:dyDescent="0.3">
      <c r="A297" s="44">
        <v>0</v>
      </c>
      <c r="B297" s="44">
        <v>2</v>
      </c>
      <c r="C297" s="44">
        <v>1</v>
      </c>
      <c r="D297" s="45" t="s">
        <v>48</v>
      </c>
      <c r="E297" s="45" t="s">
        <v>574</v>
      </c>
      <c r="F297" s="45" t="s">
        <v>188</v>
      </c>
      <c r="G297" s="45" t="s">
        <v>298</v>
      </c>
      <c r="H297" s="45" t="s">
        <v>352</v>
      </c>
      <c r="I297" s="44" t="s">
        <v>383</v>
      </c>
      <c r="J297" s="44">
        <v>99</v>
      </c>
      <c r="K297" s="46" t="s">
        <v>709</v>
      </c>
      <c r="L297" s="46" t="s">
        <v>709</v>
      </c>
      <c r="M297" s="47" t="s">
        <v>710</v>
      </c>
      <c r="N297" s="47" t="s">
        <v>1742</v>
      </c>
      <c r="O297" s="48"/>
      <c r="P297" s="48"/>
      <c r="Q297" s="45"/>
      <c r="S297" s="1">
        <f t="shared" si="231"/>
        <v>0</v>
      </c>
      <c r="T297" s="1">
        <f t="shared" si="232"/>
        <v>0</v>
      </c>
      <c r="U297" s="1">
        <f t="shared" si="233"/>
        <v>0</v>
      </c>
      <c r="V297" s="1">
        <f t="shared" si="234"/>
        <v>0</v>
      </c>
      <c r="W297" s="1">
        <f t="shared" si="235"/>
        <v>0</v>
      </c>
      <c r="X297" s="1">
        <f t="shared" si="236"/>
        <v>0</v>
      </c>
      <c r="Y297" s="1">
        <f t="shared" si="237"/>
        <v>0</v>
      </c>
      <c r="Z297" s="1">
        <f t="shared" si="238"/>
        <v>0</v>
      </c>
      <c r="AA297" s="1">
        <f t="shared" si="239"/>
        <v>0</v>
      </c>
      <c r="AB297" s="1">
        <f t="shared" si="240"/>
        <v>0</v>
      </c>
      <c r="AD297" s="1">
        <f t="shared" si="241"/>
        <v>0</v>
      </c>
      <c r="AE297" s="1">
        <f t="shared" si="242"/>
        <v>0</v>
      </c>
      <c r="AF297" s="1">
        <f t="shared" si="227"/>
        <v>0</v>
      </c>
      <c r="AG297" s="1">
        <f t="shared" si="228"/>
        <v>0</v>
      </c>
      <c r="AH297" s="1">
        <f t="shared" si="229"/>
        <v>0</v>
      </c>
      <c r="AI297" s="1">
        <f t="shared" si="230"/>
        <v>1</v>
      </c>
    </row>
    <row r="298" spans="1:35" ht="14.25" customHeight="1" x14ac:dyDescent="0.3">
      <c r="A298" s="31">
        <v>0</v>
      </c>
      <c r="B298" s="31">
        <v>2</v>
      </c>
      <c r="C298" s="31">
        <v>1</v>
      </c>
      <c r="D298" s="32" t="s">
        <v>57</v>
      </c>
      <c r="E298" s="32" t="s">
        <v>161</v>
      </c>
      <c r="F298" s="32" t="s">
        <v>662</v>
      </c>
      <c r="G298" s="32" t="s">
        <v>220</v>
      </c>
      <c r="H298" s="32" t="s">
        <v>352</v>
      </c>
      <c r="I298" s="31" t="s">
        <v>394</v>
      </c>
      <c r="J298" s="31">
        <v>99</v>
      </c>
      <c r="K298" s="33" t="s">
        <v>956</v>
      </c>
      <c r="L298" s="33" t="s">
        <v>709</v>
      </c>
      <c r="M298" s="34" t="s">
        <v>710</v>
      </c>
      <c r="N298" s="34" t="s">
        <v>1738</v>
      </c>
      <c r="O298" s="35">
        <v>1</v>
      </c>
      <c r="P298" s="35"/>
      <c r="Q298" s="32"/>
      <c r="S298" s="1">
        <f t="shared" si="231"/>
        <v>0</v>
      </c>
      <c r="T298" s="1">
        <f t="shared" si="232"/>
        <v>0</v>
      </c>
      <c r="U298" s="1">
        <f t="shared" si="233"/>
        <v>0</v>
      </c>
      <c r="V298" s="1">
        <f t="shared" si="234"/>
        <v>0</v>
      </c>
      <c r="W298" s="1">
        <f t="shared" si="235"/>
        <v>0</v>
      </c>
      <c r="X298" s="1">
        <f t="shared" si="236"/>
        <v>0</v>
      </c>
      <c r="Y298" s="1">
        <f t="shared" si="237"/>
        <v>0</v>
      </c>
      <c r="Z298" s="1">
        <f t="shared" si="238"/>
        <v>0</v>
      </c>
      <c r="AA298" s="1">
        <f t="shared" si="239"/>
        <v>0</v>
      </c>
      <c r="AB298" s="1">
        <f t="shared" si="240"/>
        <v>0</v>
      </c>
      <c r="AD298" s="1">
        <f t="shared" si="241"/>
        <v>0</v>
      </c>
      <c r="AE298" s="1">
        <f t="shared" si="242"/>
        <v>1</v>
      </c>
      <c r="AF298" s="1">
        <f t="shared" si="227"/>
        <v>0</v>
      </c>
      <c r="AG298" s="1">
        <f t="shared" si="228"/>
        <v>1</v>
      </c>
      <c r="AH298" s="1">
        <f t="shared" si="229"/>
        <v>0</v>
      </c>
      <c r="AI298" s="1">
        <f t="shared" si="230"/>
        <v>1</v>
      </c>
    </row>
    <row r="299" spans="1:35" ht="14.25" customHeight="1" x14ac:dyDescent="0.3">
      <c r="A299" s="31">
        <v>0</v>
      </c>
      <c r="B299" s="31">
        <v>2</v>
      </c>
      <c r="C299" s="31">
        <v>1</v>
      </c>
      <c r="D299" s="32" t="s">
        <v>511</v>
      </c>
      <c r="E299" s="32" t="s">
        <v>557</v>
      </c>
      <c r="F299" s="32" t="s">
        <v>228</v>
      </c>
      <c r="G299" s="32" t="s">
        <v>229</v>
      </c>
      <c r="H299" s="32" t="s">
        <v>352</v>
      </c>
      <c r="I299" s="31" t="s">
        <v>398</v>
      </c>
      <c r="J299" s="31">
        <v>7</v>
      </c>
      <c r="K299" s="33" t="s">
        <v>949</v>
      </c>
      <c r="L299" s="33" t="s">
        <v>709</v>
      </c>
      <c r="M299" s="34" t="s">
        <v>710</v>
      </c>
      <c r="N299" s="34" t="s">
        <v>1744</v>
      </c>
      <c r="O299" s="35">
        <v>1</v>
      </c>
      <c r="P299" s="35"/>
      <c r="Q299" s="32"/>
      <c r="S299" s="1">
        <f t="shared" si="231"/>
        <v>0</v>
      </c>
      <c r="T299" s="1">
        <f t="shared" si="232"/>
        <v>0</v>
      </c>
      <c r="U299" s="1">
        <f t="shared" si="233"/>
        <v>0</v>
      </c>
      <c r="V299" s="1">
        <f t="shared" si="234"/>
        <v>0</v>
      </c>
      <c r="W299" s="1">
        <f t="shared" si="235"/>
        <v>0</v>
      </c>
      <c r="X299" s="1">
        <f t="shared" si="236"/>
        <v>0</v>
      </c>
      <c r="Y299" s="1">
        <f t="shared" si="237"/>
        <v>1</v>
      </c>
      <c r="Z299" s="1">
        <f t="shared" si="238"/>
        <v>0</v>
      </c>
      <c r="AA299" s="1">
        <f t="shared" si="239"/>
        <v>0</v>
      </c>
      <c r="AB299" s="1">
        <f t="shared" si="240"/>
        <v>0</v>
      </c>
      <c r="AD299" s="1">
        <f t="shared" si="241"/>
        <v>0</v>
      </c>
      <c r="AE299" s="1">
        <f t="shared" si="242"/>
        <v>1</v>
      </c>
      <c r="AF299" s="1">
        <f t="shared" si="227"/>
        <v>0</v>
      </c>
      <c r="AG299" s="1">
        <f t="shared" si="228"/>
        <v>1</v>
      </c>
      <c r="AH299" s="1">
        <f t="shared" si="229"/>
        <v>0</v>
      </c>
      <c r="AI299" s="1">
        <f t="shared" si="230"/>
        <v>1</v>
      </c>
    </row>
    <row r="300" spans="1:35" ht="14.25" customHeight="1" x14ac:dyDescent="0.3">
      <c r="A300" s="44">
        <v>0</v>
      </c>
      <c r="B300" s="44">
        <v>2</v>
      </c>
      <c r="C300" s="44">
        <v>1</v>
      </c>
      <c r="D300" s="45" t="s">
        <v>556</v>
      </c>
      <c r="E300" s="45" t="s">
        <v>557</v>
      </c>
      <c r="F300" s="45" t="s">
        <v>558</v>
      </c>
      <c r="G300" s="45" t="s">
        <v>207</v>
      </c>
      <c r="H300" s="45" t="s">
        <v>352</v>
      </c>
      <c r="I300" s="44" t="s">
        <v>559</v>
      </c>
      <c r="J300" s="44">
        <v>3</v>
      </c>
      <c r="K300" s="46" t="s">
        <v>708</v>
      </c>
      <c r="L300" s="46" t="s">
        <v>709</v>
      </c>
      <c r="M300" s="47" t="s">
        <v>710</v>
      </c>
      <c r="N300" s="47" t="s">
        <v>1742</v>
      </c>
      <c r="O300" s="48"/>
      <c r="P300" s="48"/>
      <c r="Q300" s="45"/>
      <c r="S300" s="1">
        <f t="shared" si="231"/>
        <v>0</v>
      </c>
      <c r="T300" s="1">
        <f t="shared" si="232"/>
        <v>0</v>
      </c>
      <c r="U300" s="1">
        <f t="shared" si="233"/>
        <v>1</v>
      </c>
      <c r="V300" s="1">
        <f t="shared" si="234"/>
        <v>0</v>
      </c>
      <c r="W300" s="1">
        <f t="shared" si="235"/>
        <v>0</v>
      </c>
      <c r="X300" s="1">
        <f t="shared" si="236"/>
        <v>0</v>
      </c>
      <c r="Y300" s="1">
        <f t="shared" si="237"/>
        <v>0</v>
      </c>
      <c r="Z300" s="1">
        <f t="shared" si="238"/>
        <v>0</v>
      </c>
      <c r="AA300" s="1">
        <f t="shared" si="239"/>
        <v>0</v>
      </c>
      <c r="AB300" s="1">
        <f t="shared" si="240"/>
        <v>0</v>
      </c>
      <c r="AD300" s="1">
        <f t="shared" si="241"/>
        <v>0</v>
      </c>
      <c r="AE300" s="1">
        <f t="shared" si="242"/>
        <v>0</v>
      </c>
      <c r="AF300" s="1">
        <f t="shared" si="227"/>
        <v>0</v>
      </c>
      <c r="AG300" s="1">
        <f t="shared" si="228"/>
        <v>0</v>
      </c>
      <c r="AH300" s="1">
        <f t="shared" si="229"/>
        <v>0</v>
      </c>
      <c r="AI300" s="1">
        <f t="shared" si="230"/>
        <v>1</v>
      </c>
    </row>
    <row r="301" spans="1:35" ht="14.25" customHeight="1" x14ac:dyDescent="0.3">
      <c r="A301" s="37">
        <v>0</v>
      </c>
      <c r="B301" s="37">
        <v>2</v>
      </c>
      <c r="C301" s="37">
        <v>1</v>
      </c>
      <c r="D301" s="36" t="s">
        <v>1048</v>
      </c>
      <c r="E301" s="36" t="s">
        <v>32</v>
      </c>
      <c r="F301" s="36" t="s">
        <v>1272</v>
      </c>
      <c r="G301" s="36" t="s">
        <v>531</v>
      </c>
      <c r="H301" s="36" t="s">
        <v>352</v>
      </c>
      <c r="I301" s="37" t="s">
        <v>1273</v>
      </c>
      <c r="J301" s="37">
        <v>6</v>
      </c>
      <c r="K301" s="56" t="s">
        <v>709</v>
      </c>
      <c r="L301" s="33" t="s">
        <v>709</v>
      </c>
      <c r="M301" s="34" t="s">
        <v>710</v>
      </c>
      <c r="N301" s="34" t="s">
        <v>1743</v>
      </c>
      <c r="O301" s="35">
        <v>1</v>
      </c>
      <c r="P301" s="35"/>
      <c r="Q301" s="36"/>
      <c r="S301" s="1">
        <f t="shared" si="231"/>
        <v>0</v>
      </c>
      <c r="T301" s="1">
        <f t="shared" si="232"/>
        <v>0</v>
      </c>
      <c r="U301" s="1">
        <f t="shared" si="233"/>
        <v>0</v>
      </c>
      <c r="V301" s="1">
        <f t="shared" si="234"/>
        <v>0</v>
      </c>
      <c r="W301" s="1">
        <f t="shared" si="235"/>
        <v>0</v>
      </c>
      <c r="X301" s="1">
        <f t="shared" si="236"/>
        <v>1</v>
      </c>
      <c r="Y301" s="1">
        <f t="shared" si="237"/>
        <v>0</v>
      </c>
      <c r="Z301" s="1">
        <f t="shared" si="238"/>
        <v>0</v>
      </c>
      <c r="AA301" s="1">
        <f t="shared" si="239"/>
        <v>0</v>
      </c>
      <c r="AB301" s="1">
        <f t="shared" si="240"/>
        <v>0</v>
      </c>
      <c r="AD301" s="1">
        <f t="shared" si="241"/>
        <v>0</v>
      </c>
      <c r="AE301" s="1">
        <f t="shared" si="242"/>
        <v>1</v>
      </c>
      <c r="AF301" s="1">
        <f t="shared" si="227"/>
        <v>0</v>
      </c>
      <c r="AG301" s="1">
        <f t="shared" si="228"/>
        <v>1</v>
      </c>
      <c r="AH301" s="1">
        <f t="shared" si="229"/>
        <v>0</v>
      </c>
      <c r="AI301" s="1">
        <f t="shared" si="230"/>
        <v>1</v>
      </c>
    </row>
    <row r="302" spans="1:35" ht="14.25" customHeight="1" x14ac:dyDescent="0.3">
      <c r="A302" s="44">
        <v>0</v>
      </c>
      <c r="B302" s="44">
        <v>2</v>
      </c>
      <c r="C302" s="44">
        <v>1</v>
      </c>
      <c r="D302" s="45" t="s">
        <v>913</v>
      </c>
      <c r="E302" s="45" t="s">
        <v>1328</v>
      </c>
      <c r="F302" s="45" t="s">
        <v>785</v>
      </c>
      <c r="G302" s="45" t="s">
        <v>256</v>
      </c>
      <c r="H302" s="45" t="s">
        <v>352</v>
      </c>
      <c r="I302" s="44" t="s">
        <v>939</v>
      </c>
      <c r="J302" s="44">
        <v>99</v>
      </c>
      <c r="K302" s="46" t="s">
        <v>708</v>
      </c>
      <c r="L302" s="46" t="s">
        <v>709</v>
      </c>
      <c r="M302" s="47" t="s">
        <v>710</v>
      </c>
      <c r="N302" s="47" t="s">
        <v>1729</v>
      </c>
      <c r="O302" s="48"/>
      <c r="P302" s="48"/>
      <c r="Q302" s="45"/>
      <c r="S302" s="1">
        <f t="shared" si="231"/>
        <v>0</v>
      </c>
      <c r="T302" s="1">
        <f t="shared" si="232"/>
        <v>0</v>
      </c>
      <c r="U302" s="1">
        <f t="shared" si="233"/>
        <v>0</v>
      </c>
      <c r="V302" s="1">
        <f t="shared" si="234"/>
        <v>0</v>
      </c>
      <c r="W302" s="1">
        <f t="shared" si="235"/>
        <v>0</v>
      </c>
      <c r="X302" s="1">
        <f t="shared" si="236"/>
        <v>0</v>
      </c>
      <c r="Y302" s="1">
        <f t="shared" si="237"/>
        <v>0</v>
      </c>
      <c r="Z302" s="1">
        <f t="shared" si="238"/>
        <v>0</v>
      </c>
      <c r="AA302" s="1">
        <f t="shared" si="239"/>
        <v>0</v>
      </c>
      <c r="AB302" s="1">
        <f t="shared" si="240"/>
        <v>0</v>
      </c>
      <c r="AD302" s="1">
        <f t="shared" si="241"/>
        <v>0</v>
      </c>
      <c r="AE302" s="1">
        <f t="shared" si="242"/>
        <v>0</v>
      </c>
      <c r="AF302" s="1">
        <f t="shared" si="227"/>
        <v>0</v>
      </c>
      <c r="AG302" s="1">
        <f t="shared" si="228"/>
        <v>0</v>
      </c>
      <c r="AH302" s="1">
        <f t="shared" si="229"/>
        <v>0</v>
      </c>
      <c r="AI302" s="1">
        <f t="shared" si="230"/>
        <v>1</v>
      </c>
    </row>
    <row r="303" spans="1:35" ht="14.25" customHeight="1" x14ac:dyDescent="0.3">
      <c r="A303" s="37">
        <v>0</v>
      </c>
      <c r="B303" s="37">
        <v>2</v>
      </c>
      <c r="C303" s="37">
        <v>1</v>
      </c>
      <c r="D303" s="36" t="s">
        <v>1766</v>
      </c>
      <c r="E303" s="36" t="s">
        <v>1767</v>
      </c>
      <c r="F303" s="36" t="s">
        <v>1768</v>
      </c>
      <c r="G303" s="36" t="s">
        <v>179</v>
      </c>
      <c r="H303" s="36" t="s">
        <v>352</v>
      </c>
      <c r="I303" s="37" t="s">
        <v>1769</v>
      </c>
      <c r="J303" s="37"/>
      <c r="K303" s="56" t="s">
        <v>699</v>
      </c>
      <c r="L303" s="33">
        <v>4</v>
      </c>
      <c r="M303" s="34" t="s">
        <v>710</v>
      </c>
      <c r="N303" s="34" t="s">
        <v>1738</v>
      </c>
      <c r="O303" s="35">
        <v>1</v>
      </c>
      <c r="P303" s="35"/>
      <c r="Q303" s="36"/>
      <c r="S303" s="1">
        <f t="shared" si="231"/>
        <v>0</v>
      </c>
      <c r="T303" s="1">
        <f t="shared" si="232"/>
        <v>0</v>
      </c>
      <c r="U303" s="1">
        <f t="shared" si="233"/>
        <v>0</v>
      </c>
      <c r="V303" s="1">
        <f t="shared" si="234"/>
        <v>0</v>
      </c>
      <c r="W303" s="1">
        <f t="shared" si="235"/>
        <v>0</v>
      </c>
      <c r="X303" s="1">
        <f t="shared" si="236"/>
        <v>0</v>
      </c>
      <c r="Y303" s="1">
        <f t="shared" si="237"/>
        <v>0</v>
      </c>
      <c r="Z303" s="1">
        <f t="shared" si="238"/>
        <v>0</v>
      </c>
      <c r="AA303" s="1">
        <f t="shared" si="239"/>
        <v>0</v>
      </c>
      <c r="AB303" s="1">
        <f t="shared" si="240"/>
        <v>0</v>
      </c>
      <c r="AD303" s="1">
        <f t="shared" si="241"/>
        <v>0</v>
      </c>
      <c r="AE303" s="1">
        <f t="shared" si="242"/>
        <v>1</v>
      </c>
      <c r="AF303" s="1">
        <f t="shared" si="227"/>
        <v>0</v>
      </c>
      <c r="AG303" s="1">
        <f t="shared" si="228"/>
        <v>1</v>
      </c>
      <c r="AH303" s="1">
        <f t="shared" si="229"/>
        <v>0</v>
      </c>
      <c r="AI303" s="1">
        <f t="shared" si="230"/>
        <v>1</v>
      </c>
    </row>
    <row r="304" spans="1:35" ht="14.25" customHeight="1" x14ac:dyDescent="0.3">
      <c r="A304" s="31">
        <v>0</v>
      </c>
      <c r="B304" s="31">
        <v>2</v>
      </c>
      <c r="C304" s="31">
        <v>1</v>
      </c>
      <c r="D304" s="32" t="s">
        <v>615</v>
      </c>
      <c r="E304" s="32" t="s">
        <v>616</v>
      </c>
      <c r="F304" s="32" t="s">
        <v>617</v>
      </c>
      <c r="G304" s="32" t="s">
        <v>618</v>
      </c>
      <c r="H304" s="32" t="s">
        <v>352</v>
      </c>
      <c r="I304" s="31" t="s">
        <v>619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1751</v>
      </c>
      <c r="O304" s="35">
        <v>1</v>
      </c>
      <c r="P304" s="35"/>
      <c r="Q304" s="32"/>
      <c r="S304" s="1">
        <f t="shared" si="231"/>
        <v>0</v>
      </c>
      <c r="T304" s="1">
        <f t="shared" si="232"/>
        <v>0</v>
      </c>
      <c r="U304" s="1">
        <f t="shared" si="233"/>
        <v>0</v>
      </c>
      <c r="V304" s="1">
        <f t="shared" si="234"/>
        <v>0</v>
      </c>
      <c r="W304" s="1">
        <f t="shared" si="235"/>
        <v>0</v>
      </c>
      <c r="X304" s="1">
        <f t="shared" si="236"/>
        <v>0</v>
      </c>
      <c r="Y304" s="1">
        <f t="shared" si="237"/>
        <v>0</v>
      </c>
      <c r="Z304" s="1">
        <f t="shared" si="238"/>
        <v>0</v>
      </c>
      <c r="AA304" s="1">
        <f t="shared" si="239"/>
        <v>0</v>
      </c>
      <c r="AB304" s="1">
        <f t="shared" si="240"/>
        <v>0</v>
      </c>
      <c r="AD304" s="1">
        <f t="shared" si="241"/>
        <v>0</v>
      </c>
      <c r="AE304" s="1">
        <f t="shared" si="242"/>
        <v>1</v>
      </c>
      <c r="AF304" s="1">
        <f t="shared" si="227"/>
        <v>0</v>
      </c>
      <c r="AG304" s="1">
        <f t="shared" si="228"/>
        <v>1</v>
      </c>
      <c r="AH304" s="1">
        <f t="shared" si="229"/>
        <v>0</v>
      </c>
      <c r="AI304" s="1">
        <f t="shared" si="230"/>
        <v>1</v>
      </c>
    </row>
    <row r="305" spans="1:35" ht="14.25" customHeight="1" x14ac:dyDescent="0.3">
      <c r="A305" s="31">
        <v>0</v>
      </c>
      <c r="B305" s="31">
        <v>2</v>
      </c>
      <c r="C305" s="31">
        <v>1</v>
      </c>
      <c r="D305" s="32" t="s">
        <v>1075</v>
      </c>
      <c r="E305" s="32" t="s">
        <v>1329</v>
      </c>
      <c r="F305" s="32" t="s">
        <v>1658</v>
      </c>
      <c r="G305" s="32" t="s">
        <v>189</v>
      </c>
      <c r="H305" s="32" t="s">
        <v>352</v>
      </c>
      <c r="I305" s="31" t="s">
        <v>1856</v>
      </c>
      <c r="J305" s="31">
        <v>99</v>
      </c>
      <c r="K305" s="33" t="s">
        <v>708</v>
      </c>
      <c r="L305" s="33" t="s">
        <v>709</v>
      </c>
      <c r="M305" s="34" t="s">
        <v>710</v>
      </c>
      <c r="N305" s="34" t="s">
        <v>1738</v>
      </c>
      <c r="O305" s="35">
        <v>1</v>
      </c>
      <c r="P305" s="35"/>
      <c r="Q305" s="32"/>
      <c r="S305" s="1">
        <f t="shared" si="231"/>
        <v>0</v>
      </c>
      <c r="T305" s="1">
        <f t="shared" si="232"/>
        <v>0</v>
      </c>
      <c r="U305" s="1">
        <f t="shared" si="233"/>
        <v>0</v>
      </c>
      <c r="V305" s="1">
        <f t="shared" si="234"/>
        <v>0</v>
      </c>
      <c r="W305" s="1">
        <f t="shared" si="235"/>
        <v>0</v>
      </c>
      <c r="X305" s="1">
        <f t="shared" si="236"/>
        <v>0</v>
      </c>
      <c r="Y305" s="1">
        <f t="shared" si="237"/>
        <v>0</v>
      </c>
      <c r="Z305" s="1">
        <f t="shared" si="238"/>
        <v>0</v>
      </c>
      <c r="AA305" s="1">
        <f t="shared" si="239"/>
        <v>0</v>
      </c>
      <c r="AB305" s="1">
        <f t="shared" si="240"/>
        <v>0</v>
      </c>
      <c r="AD305" s="1">
        <f t="shared" si="241"/>
        <v>0</v>
      </c>
      <c r="AE305" s="1">
        <f t="shared" si="242"/>
        <v>1</v>
      </c>
      <c r="AF305" s="1">
        <f t="shared" si="227"/>
        <v>0</v>
      </c>
      <c r="AG305" s="1">
        <f t="shared" si="228"/>
        <v>1</v>
      </c>
      <c r="AH305" s="1">
        <f t="shared" si="229"/>
        <v>0</v>
      </c>
      <c r="AI305" s="1">
        <f t="shared" si="230"/>
        <v>1</v>
      </c>
    </row>
    <row r="306" spans="1:35" ht="14.25" customHeight="1" x14ac:dyDescent="0.3">
      <c r="A306" s="15">
        <v>0</v>
      </c>
      <c r="B306" s="15">
        <v>2</v>
      </c>
      <c r="C306" s="15">
        <v>1</v>
      </c>
      <c r="D306" s="16" t="s">
        <v>647</v>
      </c>
      <c r="E306" s="16" t="s">
        <v>36</v>
      </c>
      <c r="F306" s="16" t="s">
        <v>663</v>
      </c>
      <c r="G306" s="16" t="s">
        <v>200</v>
      </c>
      <c r="H306" s="16" t="s">
        <v>352</v>
      </c>
      <c r="I306" s="15" t="s">
        <v>1000</v>
      </c>
      <c r="J306" s="15">
        <v>99</v>
      </c>
      <c r="K306" s="10" t="s">
        <v>699</v>
      </c>
      <c r="L306" s="10">
        <v>4</v>
      </c>
      <c r="M306" s="19" t="s">
        <v>710</v>
      </c>
      <c r="N306" s="17"/>
      <c r="Q306" s="16"/>
      <c r="S306" s="1">
        <f t="shared" si="231"/>
        <v>0</v>
      </c>
      <c r="T306" s="1">
        <f t="shared" si="232"/>
        <v>0</v>
      </c>
      <c r="U306" s="1">
        <f t="shared" si="233"/>
        <v>0</v>
      </c>
      <c r="V306" s="1">
        <f t="shared" si="234"/>
        <v>0</v>
      </c>
      <c r="W306" s="1">
        <f t="shared" si="235"/>
        <v>0</v>
      </c>
      <c r="X306" s="1">
        <f t="shared" si="236"/>
        <v>0</v>
      </c>
      <c r="Y306" s="1">
        <f t="shared" si="237"/>
        <v>0</v>
      </c>
      <c r="Z306" s="1">
        <f t="shared" si="238"/>
        <v>0</v>
      </c>
      <c r="AA306" s="1">
        <f t="shared" si="239"/>
        <v>0</v>
      </c>
      <c r="AB306" s="1">
        <f t="shared" si="240"/>
        <v>0</v>
      </c>
      <c r="AD306" s="1">
        <f t="shared" si="241"/>
        <v>0</v>
      </c>
      <c r="AE306" s="1">
        <f t="shared" si="242"/>
        <v>0</v>
      </c>
      <c r="AF306" s="1">
        <f t="shared" si="227"/>
        <v>0</v>
      </c>
      <c r="AG306" s="1">
        <f t="shared" si="228"/>
        <v>0</v>
      </c>
      <c r="AH306" s="1">
        <f t="shared" si="229"/>
        <v>0</v>
      </c>
      <c r="AI306" s="1">
        <f t="shared" si="230"/>
        <v>1</v>
      </c>
    </row>
    <row r="307" spans="1:35" ht="14.25" customHeight="1" x14ac:dyDescent="0.3">
      <c r="A307" s="44">
        <v>0</v>
      </c>
      <c r="B307" s="44">
        <v>2</v>
      </c>
      <c r="C307" s="44">
        <v>1</v>
      </c>
      <c r="D307" s="45" t="s">
        <v>1259</v>
      </c>
      <c r="E307" s="45" t="s">
        <v>1260</v>
      </c>
      <c r="F307" s="45" t="s">
        <v>1261</v>
      </c>
      <c r="G307" s="45" t="s">
        <v>1160</v>
      </c>
      <c r="H307" s="45" t="s">
        <v>352</v>
      </c>
      <c r="I307" s="44" t="s">
        <v>1262</v>
      </c>
      <c r="J307" s="44">
        <v>11</v>
      </c>
      <c r="K307" s="46" t="s">
        <v>699</v>
      </c>
      <c r="L307" s="46">
        <v>6</v>
      </c>
      <c r="M307" s="47" t="s">
        <v>1723</v>
      </c>
      <c r="N307" s="47" t="s">
        <v>1804</v>
      </c>
      <c r="O307" s="48"/>
      <c r="P307" s="48"/>
      <c r="Q307" s="45"/>
      <c r="S307" s="1">
        <f t="shared" si="231"/>
        <v>0</v>
      </c>
      <c r="T307" s="1">
        <f t="shared" si="232"/>
        <v>0</v>
      </c>
      <c r="U307" s="1">
        <f t="shared" si="233"/>
        <v>0</v>
      </c>
      <c r="V307" s="1">
        <f t="shared" si="234"/>
        <v>0</v>
      </c>
      <c r="W307" s="1">
        <f t="shared" si="235"/>
        <v>0</v>
      </c>
      <c r="X307" s="1">
        <f t="shared" si="236"/>
        <v>0</v>
      </c>
      <c r="Y307" s="1">
        <f t="shared" si="237"/>
        <v>0</v>
      </c>
      <c r="Z307" s="1">
        <f t="shared" si="238"/>
        <v>0</v>
      </c>
      <c r="AA307" s="1">
        <f t="shared" si="239"/>
        <v>0</v>
      </c>
      <c r="AB307" s="1">
        <f t="shared" si="240"/>
        <v>0</v>
      </c>
      <c r="AD307" s="1">
        <f t="shared" si="241"/>
        <v>0</v>
      </c>
      <c r="AE307" s="1">
        <f t="shared" si="242"/>
        <v>0</v>
      </c>
      <c r="AF307" s="1">
        <f t="shared" si="227"/>
        <v>0</v>
      </c>
      <c r="AG307" s="1">
        <f t="shared" si="228"/>
        <v>0</v>
      </c>
      <c r="AH307" s="1">
        <f t="shared" si="229"/>
        <v>0</v>
      </c>
      <c r="AI307" s="1">
        <f t="shared" si="230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1118</v>
      </c>
      <c r="E308" s="32" t="s">
        <v>1309</v>
      </c>
      <c r="F308" s="32" t="s">
        <v>1116</v>
      </c>
      <c r="G308" s="32" t="s">
        <v>229</v>
      </c>
      <c r="H308" s="32" t="s">
        <v>352</v>
      </c>
      <c r="I308" s="31" t="s">
        <v>1117</v>
      </c>
      <c r="J308" s="31">
        <v>7</v>
      </c>
      <c r="K308" s="33" t="s">
        <v>709</v>
      </c>
      <c r="L308" s="33" t="s">
        <v>1704</v>
      </c>
      <c r="M308" s="34" t="s">
        <v>710</v>
      </c>
      <c r="N308" s="34" t="s">
        <v>1751</v>
      </c>
      <c r="O308" s="35">
        <v>1</v>
      </c>
      <c r="P308" s="35"/>
      <c r="Q308" s="32"/>
      <c r="S308" s="1">
        <f t="shared" si="231"/>
        <v>0</v>
      </c>
      <c r="T308" s="1">
        <f t="shared" si="232"/>
        <v>0</v>
      </c>
      <c r="U308" s="1">
        <f t="shared" si="233"/>
        <v>0</v>
      </c>
      <c r="V308" s="1">
        <f t="shared" si="234"/>
        <v>0</v>
      </c>
      <c r="W308" s="1">
        <f t="shared" si="235"/>
        <v>0</v>
      </c>
      <c r="X308" s="1">
        <f t="shared" si="236"/>
        <v>0</v>
      </c>
      <c r="Y308" s="1">
        <f t="shared" si="237"/>
        <v>1</v>
      </c>
      <c r="Z308" s="1">
        <f t="shared" si="238"/>
        <v>0</v>
      </c>
      <c r="AA308" s="1">
        <f t="shared" si="239"/>
        <v>0</v>
      </c>
      <c r="AB308" s="1">
        <f t="shared" si="240"/>
        <v>0</v>
      </c>
      <c r="AD308" s="1">
        <f t="shared" si="241"/>
        <v>0</v>
      </c>
      <c r="AE308" s="1">
        <f t="shared" si="242"/>
        <v>1</v>
      </c>
      <c r="AF308" s="1">
        <f t="shared" si="227"/>
        <v>0</v>
      </c>
      <c r="AG308" s="1">
        <f t="shared" si="228"/>
        <v>1</v>
      </c>
      <c r="AH308" s="1">
        <f t="shared" si="229"/>
        <v>0</v>
      </c>
      <c r="AI308" s="1">
        <f t="shared" si="230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1003</v>
      </c>
      <c r="E309" s="32" t="s">
        <v>1331</v>
      </c>
      <c r="F309" s="32" t="s">
        <v>1004</v>
      </c>
      <c r="G309" s="32" t="s">
        <v>1095</v>
      </c>
      <c r="H309" s="32" t="s">
        <v>352</v>
      </c>
      <c r="I309" s="31" t="s">
        <v>406</v>
      </c>
      <c r="J309" s="31">
        <v>99</v>
      </c>
      <c r="K309" s="33" t="s">
        <v>709</v>
      </c>
      <c r="L309" s="33" t="s">
        <v>709</v>
      </c>
      <c r="M309" s="34" t="s">
        <v>710</v>
      </c>
      <c r="N309" s="34" t="s">
        <v>1738</v>
      </c>
      <c r="O309" s="35">
        <v>1</v>
      </c>
      <c r="P309" s="35"/>
      <c r="Q309" s="32"/>
      <c r="S309" s="1">
        <f t="shared" si="231"/>
        <v>0</v>
      </c>
      <c r="T309" s="1">
        <f t="shared" si="232"/>
        <v>0</v>
      </c>
      <c r="U309" s="1">
        <f t="shared" si="233"/>
        <v>0</v>
      </c>
      <c r="V309" s="1">
        <f t="shared" si="234"/>
        <v>0</v>
      </c>
      <c r="W309" s="1">
        <f t="shared" si="235"/>
        <v>0</v>
      </c>
      <c r="X309" s="1">
        <f t="shared" si="236"/>
        <v>0</v>
      </c>
      <c r="Y309" s="1">
        <f t="shared" si="237"/>
        <v>0</v>
      </c>
      <c r="Z309" s="1">
        <f t="shared" si="238"/>
        <v>0</v>
      </c>
      <c r="AA309" s="1">
        <f t="shared" si="239"/>
        <v>0</v>
      </c>
      <c r="AB309" s="1">
        <f t="shared" si="240"/>
        <v>0</v>
      </c>
      <c r="AD309" s="1">
        <f t="shared" si="241"/>
        <v>0</v>
      </c>
      <c r="AE309" s="1">
        <f t="shared" si="242"/>
        <v>1</v>
      </c>
      <c r="AF309" s="1">
        <f t="shared" si="227"/>
        <v>0</v>
      </c>
      <c r="AG309" s="1">
        <f t="shared" si="228"/>
        <v>1</v>
      </c>
      <c r="AH309" s="1">
        <f t="shared" si="229"/>
        <v>0</v>
      </c>
      <c r="AI309" s="1">
        <f t="shared" si="230"/>
        <v>1</v>
      </c>
    </row>
    <row r="310" spans="1:35" ht="14.25" customHeight="1" x14ac:dyDescent="0.3">
      <c r="A310" s="31">
        <v>0</v>
      </c>
      <c r="B310" s="31">
        <v>2</v>
      </c>
      <c r="C310" s="31">
        <v>1</v>
      </c>
      <c r="D310" s="32" t="s">
        <v>1125</v>
      </c>
      <c r="E310" s="32" t="s">
        <v>557</v>
      </c>
      <c r="F310" s="32" t="s">
        <v>1349</v>
      </c>
      <c r="G310" s="32" t="s">
        <v>264</v>
      </c>
      <c r="H310" s="32" t="s">
        <v>352</v>
      </c>
      <c r="I310" s="31" t="s">
        <v>1126</v>
      </c>
      <c r="J310" s="31">
        <v>8</v>
      </c>
      <c r="K310" s="33" t="s">
        <v>708</v>
      </c>
      <c r="L310" s="33" t="s">
        <v>1704</v>
      </c>
      <c r="M310" s="34" t="s">
        <v>710</v>
      </c>
      <c r="N310" s="34" t="s">
        <v>1743</v>
      </c>
      <c r="O310" s="35">
        <v>1</v>
      </c>
      <c r="P310" s="35"/>
      <c r="Q310" s="32"/>
      <c r="S310" s="1">
        <f t="shared" si="231"/>
        <v>0</v>
      </c>
      <c r="T310" s="1">
        <f t="shared" si="232"/>
        <v>0</v>
      </c>
      <c r="U310" s="1">
        <f t="shared" si="233"/>
        <v>0</v>
      </c>
      <c r="V310" s="1">
        <f t="shared" si="234"/>
        <v>0</v>
      </c>
      <c r="W310" s="1">
        <f t="shared" si="235"/>
        <v>0</v>
      </c>
      <c r="X310" s="1">
        <f t="shared" si="236"/>
        <v>0</v>
      </c>
      <c r="Y310" s="1">
        <f t="shared" si="237"/>
        <v>0</v>
      </c>
      <c r="Z310" s="1">
        <f t="shared" si="238"/>
        <v>1</v>
      </c>
      <c r="AA310" s="1">
        <f t="shared" si="239"/>
        <v>0</v>
      </c>
      <c r="AB310" s="1">
        <f t="shared" si="240"/>
        <v>0</v>
      </c>
      <c r="AD310" s="1">
        <f t="shared" si="241"/>
        <v>0</v>
      </c>
      <c r="AE310" s="1">
        <f t="shared" si="242"/>
        <v>1</v>
      </c>
      <c r="AF310" s="1">
        <f t="shared" si="227"/>
        <v>0</v>
      </c>
      <c r="AG310" s="1">
        <f t="shared" si="228"/>
        <v>1</v>
      </c>
      <c r="AH310" s="1">
        <f t="shared" si="229"/>
        <v>0</v>
      </c>
      <c r="AI310" s="1">
        <f t="shared" si="230"/>
        <v>1</v>
      </c>
    </row>
    <row r="311" spans="1:35" ht="14.25" customHeight="1" x14ac:dyDescent="0.3">
      <c r="A311" s="31">
        <v>0</v>
      </c>
      <c r="B311" s="31">
        <v>2</v>
      </c>
      <c r="C311" s="31">
        <v>1</v>
      </c>
      <c r="D311" s="32" t="s">
        <v>1281</v>
      </c>
      <c r="E311" s="32" t="s">
        <v>1329</v>
      </c>
      <c r="F311" s="32" t="s">
        <v>1278</v>
      </c>
      <c r="G311" s="32" t="s">
        <v>1279</v>
      </c>
      <c r="H311" s="32" t="s">
        <v>352</v>
      </c>
      <c r="I311" s="31" t="s">
        <v>1280</v>
      </c>
      <c r="J311" s="31">
        <v>1</v>
      </c>
      <c r="K311" s="33" t="s">
        <v>708</v>
      </c>
      <c r="L311" s="33" t="s">
        <v>709</v>
      </c>
      <c r="M311" s="34" t="s">
        <v>710</v>
      </c>
      <c r="N311" s="34" t="s">
        <v>1756</v>
      </c>
      <c r="O311" s="35">
        <v>1</v>
      </c>
      <c r="P311" s="35"/>
      <c r="Q311" s="32" t="s">
        <v>1897</v>
      </c>
      <c r="S311" s="1">
        <f t="shared" si="231"/>
        <v>1</v>
      </c>
      <c r="T311" s="1">
        <f t="shared" si="232"/>
        <v>0</v>
      </c>
      <c r="U311" s="1">
        <f t="shared" si="233"/>
        <v>0</v>
      </c>
      <c r="V311" s="1">
        <f t="shared" si="234"/>
        <v>0</v>
      </c>
      <c r="W311" s="1">
        <f t="shared" si="235"/>
        <v>0</v>
      </c>
      <c r="X311" s="1">
        <f t="shared" si="236"/>
        <v>0</v>
      </c>
      <c r="Y311" s="1">
        <f t="shared" si="237"/>
        <v>0</v>
      </c>
      <c r="Z311" s="1">
        <f t="shared" si="238"/>
        <v>0</v>
      </c>
      <c r="AA311" s="1">
        <f t="shared" si="239"/>
        <v>0</v>
      </c>
      <c r="AB311" s="1">
        <f t="shared" si="240"/>
        <v>0</v>
      </c>
      <c r="AD311" s="1">
        <f t="shared" si="241"/>
        <v>0</v>
      </c>
      <c r="AE311" s="1">
        <f t="shared" si="242"/>
        <v>1</v>
      </c>
      <c r="AF311" s="1">
        <f t="shared" si="227"/>
        <v>0</v>
      </c>
      <c r="AG311" s="1">
        <f t="shared" si="228"/>
        <v>1</v>
      </c>
      <c r="AH311" s="1">
        <f t="shared" si="229"/>
        <v>0</v>
      </c>
      <c r="AI311" s="1">
        <f t="shared" si="230"/>
        <v>1</v>
      </c>
    </row>
    <row r="312" spans="1:35" ht="14.25" customHeight="1" x14ac:dyDescent="0.3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205</v>
      </c>
      <c r="G312" s="45" t="s">
        <v>206</v>
      </c>
      <c r="H312" s="45" t="s">
        <v>352</v>
      </c>
      <c r="I312" s="44" t="s">
        <v>389</v>
      </c>
      <c r="J312" s="44">
        <v>99</v>
      </c>
      <c r="K312" s="46" t="s">
        <v>708</v>
      </c>
      <c r="L312" s="46" t="s">
        <v>709</v>
      </c>
      <c r="M312" s="47" t="s">
        <v>710</v>
      </c>
      <c r="N312" s="47" t="s">
        <v>1742</v>
      </c>
      <c r="O312" s="48"/>
      <c r="P312" s="48"/>
      <c r="Q312" s="45"/>
      <c r="S312" s="1">
        <f t="shared" si="231"/>
        <v>0</v>
      </c>
      <c r="T312" s="1">
        <f t="shared" si="232"/>
        <v>0</v>
      </c>
      <c r="U312" s="1">
        <f t="shared" si="233"/>
        <v>0</v>
      </c>
      <c r="V312" s="1">
        <f t="shared" si="234"/>
        <v>0</v>
      </c>
      <c r="W312" s="1">
        <f t="shared" si="235"/>
        <v>0</v>
      </c>
      <c r="X312" s="1">
        <f t="shared" si="236"/>
        <v>0</v>
      </c>
      <c r="Y312" s="1">
        <f t="shared" si="237"/>
        <v>0</v>
      </c>
      <c r="Z312" s="1">
        <f t="shared" si="238"/>
        <v>0</v>
      </c>
      <c r="AA312" s="1">
        <f t="shared" si="239"/>
        <v>0</v>
      </c>
      <c r="AB312" s="1">
        <f t="shared" si="240"/>
        <v>0</v>
      </c>
      <c r="AD312" s="1">
        <f t="shared" si="241"/>
        <v>0</v>
      </c>
      <c r="AE312" s="1">
        <f t="shared" si="242"/>
        <v>0</v>
      </c>
      <c r="AF312" s="1">
        <f t="shared" si="227"/>
        <v>0</v>
      </c>
      <c r="AG312" s="1">
        <f t="shared" si="228"/>
        <v>0</v>
      </c>
      <c r="AH312" s="1">
        <f t="shared" si="229"/>
        <v>0</v>
      </c>
      <c r="AI312" s="1">
        <f t="shared" si="230"/>
        <v>1</v>
      </c>
    </row>
    <row r="313" spans="1:35" ht="14.25" customHeight="1" x14ac:dyDescent="0.3">
      <c r="A313" s="31">
        <v>0</v>
      </c>
      <c r="B313" s="31">
        <v>2</v>
      </c>
      <c r="C313" s="31">
        <v>1</v>
      </c>
      <c r="D313" s="32" t="s">
        <v>73</v>
      </c>
      <c r="E313" s="32" t="s">
        <v>557</v>
      </c>
      <c r="F313" s="32" t="s">
        <v>1045</v>
      </c>
      <c r="G313" s="32" t="s">
        <v>189</v>
      </c>
      <c r="H313" s="32" t="s">
        <v>352</v>
      </c>
      <c r="I313" s="31" t="s">
        <v>419</v>
      </c>
      <c r="J313" s="31">
        <v>99</v>
      </c>
      <c r="K313" s="33" t="s">
        <v>949</v>
      </c>
      <c r="L313" s="33" t="s">
        <v>709</v>
      </c>
      <c r="M313" s="34" t="s">
        <v>710</v>
      </c>
      <c r="N313" s="34" t="s">
        <v>1738</v>
      </c>
      <c r="O313" s="35">
        <v>1</v>
      </c>
      <c r="P313" s="35"/>
      <c r="Q313" s="32"/>
      <c r="S313" s="1">
        <f t="shared" si="231"/>
        <v>0</v>
      </c>
      <c r="T313" s="1">
        <f t="shared" si="232"/>
        <v>0</v>
      </c>
      <c r="U313" s="1">
        <f t="shared" si="233"/>
        <v>0</v>
      </c>
      <c r="V313" s="1">
        <f t="shared" si="234"/>
        <v>0</v>
      </c>
      <c r="W313" s="1">
        <f t="shared" si="235"/>
        <v>0</v>
      </c>
      <c r="X313" s="1">
        <f t="shared" si="236"/>
        <v>0</v>
      </c>
      <c r="Y313" s="1">
        <f t="shared" si="237"/>
        <v>0</v>
      </c>
      <c r="Z313" s="1">
        <f t="shared" si="238"/>
        <v>0</v>
      </c>
      <c r="AA313" s="1">
        <f t="shared" si="239"/>
        <v>0</v>
      </c>
      <c r="AB313" s="1">
        <f t="shared" si="240"/>
        <v>0</v>
      </c>
      <c r="AD313" s="1">
        <f t="shared" si="241"/>
        <v>0</v>
      </c>
      <c r="AE313" s="1">
        <f t="shared" si="242"/>
        <v>1</v>
      </c>
      <c r="AF313" s="1">
        <f t="shared" si="227"/>
        <v>0</v>
      </c>
      <c r="AG313" s="1">
        <f t="shared" si="228"/>
        <v>1</v>
      </c>
      <c r="AH313" s="1">
        <f t="shared" si="229"/>
        <v>0</v>
      </c>
      <c r="AI313" s="1">
        <f t="shared" si="230"/>
        <v>1</v>
      </c>
    </row>
    <row r="314" spans="1:35" ht="14.25" customHeight="1" x14ac:dyDescent="0.3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186</v>
      </c>
      <c r="G314" s="32" t="s">
        <v>179</v>
      </c>
      <c r="H314" s="32" t="s">
        <v>352</v>
      </c>
      <c r="I314" s="31" t="s">
        <v>381</v>
      </c>
      <c r="J314" s="31">
        <v>10</v>
      </c>
      <c r="K314" s="33" t="s">
        <v>950</v>
      </c>
      <c r="L314" s="33" t="s">
        <v>709</v>
      </c>
      <c r="M314" s="34" t="s">
        <v>710</v>
      </c>
      <c r="N314" s="34" t="s">
        <v>1738</v>
      </c>
      <c r="O314" s="35">
        <v>1</v>
      </c>
      <c r="P314" s="35"/>
      <c r="Q314" s="32"/>
      <c r="S314" s="1">
        <f t="shared" si="231"/>
        <v>0</v>
      </c>
      <c r="T314" s="1">
        <f t="shared" si="232"/>
        <v>0</v>
      </c>
      <c r="U314" s="1">
        <f t="shared" si="233"/>
        <v>0</v>
      </c>
      <c r="V314" s="1">
        <f t="shared" si="234"/>
        <v>0</v>
      </c>
      <c r="W314" s="1">
        <f t="shared" si="235"/>
        <v>0</v>
      </c>
      <c r="X314" s="1">
        <f t="shared" si="236"/>
        <v>0</v>
      </c>
      <c r="Y314" s="1">
        <f t="shared" si="237"/>
        <v>0</v>
      </c>
      <c r="Z314" s="1">
        <f t="shared" si="238"/>
        <v>0</v>
      </c>
      <c r="AA314" s="1">
        <f t="shared" si="239"/>
        <v>0</v>
      </c>
      <c r="AB314" s="1">
        <f t="shared" si="240"/>
        <v>1</v>
      </c>
      <c r="AD314" s="1">
        <f t="shared" si="241"/>
        <v>0</v>
      </c>
      <c r="AE314" s="1">
        <f t="shared" si="242"/>
        <v>1</v>
      </c>
      <c r="AF314" s="1">
        <f t="shared" si="227"/>
        <v>0</v>
      </c>
      <c r="AG314" s="1">
        <f t="shared" si="228"/>
        <v>1</v>
      </c>
      <c r="AH314" s="1">
        <f t="shared" si="229"/>
        <v>0</v>
      </c>
      <c r="AI314" s="1">
        <f t="shared" si="230"/>
        <v>1</v>
      </c>
    </row>
    <row r="315" spans="1:35" ht="14.25" customHeight="1" x14ac:dyDescent="0.3">
      <c r="A315" s="44">
        <v>0</v>
      </c>
      <c r="B315" s="44">
        <v>2</v>
      </c>
      <c r="C315" s="44">
        <v>1</v>
      </c>
      <c r="D315" s="45" t="s">
        <v>648</v>
      </c>
      <c r="E315" s="45" t="s">
        <v>159</v>
      </c>
      <c r="F315" s="45" t="s">
        <v>187</v>
      </c>
      <c r="G315" s="45" t="s">
        <v>664</v>
      </c>
      <c r="H315" s="45" t="s">
        <v>352</v>
      </c>
      <c r="I315" s="44" t="s">
        <v>382</v>
      </c>
      <c r="J315" s="44">
        <v>99</v>
      </c>
      <c r="K315" s="46" t="s">
        <v>708</v>
      </c>
      <c r="L315" s="46" t="s">
        <v>709</v>
      </c>
      <c r="M315" s="47" t="s">
        <v>710</v>
      </c>
      <c r="N315" s="47" t="s">
        <v>1732</v>
      </c>
      <c r="O315" s="48"/>
      <c r="P315" s="48"/>
      <c r="Q315" s="45"/>
      <c r="S315" s="1">
        <f t="shared" si="231"/>
        <v>0</v>
      </c>
      <c r="T315" s="1">
        <f t="shared" si="232"/>
        <v>0</v>
      </c>
      <c r="U315" s="1">
        <f t="shared" si="233"/>
        <v>0</v>
      </c>
      <c r="V315" s="1">
        <f t="shared" si="234"/>
        <v>0</v>
      </c>
      <c r="W315" s="1">
        <f t="shared" si="235"/>
        <v>0</v>
      </c>
      <c r="X315" s="1">
        <f t="shared" si="236"/>
        <v>0</v>
      </c>
      <c r="Y315" s="1">
        <f t="shared" si="237"/>
        <v>0</v>
      </c>
      <c r="Z315" s="1">
        <f t="shared" si="238"/>
        <v>0</v>
      </c>
      <c r="AA315" s="1">
        <f t="shared" si="239"/>
        <v>0</v>
      </c>
      <c r="AB315" s="1">
        <f t="shared" si="240"/>
        <v>0</v>
      </c>
      <c r="AD315" s="1">
        <f t="shared" si="241"/>
        <v>0</v>
      </c>
      <c r="AE315" s="1">
        <f t="shared" si="242"/>
        <v>0</v>
      </c>
      <c r="AF315" s="1">
        <f t="shared" si="227"/>
        <v>0</v>
      </c>
      <c r="AG315" s="1">
        <f t="shared" si="228"/>
        <v>0</v>
      </c>
      <c r="AH315" s="1">
        <f t="shared" si="229"/>
        <v>0</v>
      </c>
      <c r="AI315" s="1">
        <f t="shared" si="230"/>
        <v>1</v>
      </c>
    </row>
    <row r="316" spans="1:35" ht="14.25" customHeight="1" x14ac:dyDescent="0.3">
      <c r="A316" s="38">
        <v>0</v>
      </c>
      <c r="B316" s="38">
        <v>2</v>
      </c>
      <c r="C316" s="38">
        <v>1</v>
      </c>
      <c r="D316" s="39" t="s">
        <v>1299</v>
      </c>
      <c r="E316" s="39" t="s">
        <v>36</v>
      </c>
      <c r="F316" s="39" t="s">
        <v>1300</v>
      </c>
      <c r="G316" s="39" t="s">
        <v>257</v>
      </c>
      <c r="H316" s="39" t="s">
        <v>352</v>
      </c>
      <c r="I316" s="38" t="s">
        <v>1301</v>
      </c>
      <c r="J316" s="38">
        <v>8</v>
      </c>
      <c r="K316" s="40" t="s">
        <v>954</v>
      </c>
      <c r="L316" s="40" t="s">
        <v>709</v>
      </c>
      <c r="M316" s="41" t="s">
        <v>710</v>
      </c>
      <c r="N316" s="42"/>
      <c r="O316" s="43"/>
      <c r="P316" s="43">
        <v>1</v>
      </c>
      <c r="Q316" s="39"/>
      <c r="S316" s="1">
        <f t="shared" si="231"/>
        <v>0</v>
      </c>
      <c r="T316" s="1">
        <f t="shared" si="232"/>
        <v>0</v>
      </c>
      <c r="U316" s="1">
        <f t="shared" si="233"/>
        <v>0</v>
      </c>
      <c r="V316" s="1">
        <f t="shared" si="234"/>
        <v>0</v>
      </c>
      <c r="W316" s="1">
        <f t="shared" si="235"/>
        <v>0</v>
      </c>
      <c r="X316" s="1">
        <f t="shared" si="236"/>
        <v>0</v>
      </c>
      <c r="Y316" s="1">
        <f t="shared" si="237"/>
        <v>0</v>
      </c>
      <c r="Z316" s="1">
        <f t="shared" si="238"/>
        <v>1</v>
      </c>
      <c r="AA316" s="1">
        <f t="shared" si="239"/>
        <v>0</v>
      </c>
      <c r="AB316" s="1">
        <f t="shared" si="240"/>
        <v>0</v>
      </c>
      <c r="AD316" s="1">
        <f t="shared" si="241"/>
        <v>0</v>
      </c>
      <c r="AE316" s="1">
        <f t="shared" si="242"/>
        <v>0</v>
      </c>
      <c r="AF316" s="1">
        <f t="shared" si="227"/>
        <v>0</v>
      </c>
      <c r="AG316" s="1">
        <f t="shared" si="228"/>
        <v>0</v>
      </c>
      <c r="AH316" s="1">
        <f t="shared" si="229"/>
        <v>1</v>
      </c>
      <c r="AI316" s="1">
        <f t="shared" si="230"/>
        <v>0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54</v>
      </c>
      <c r="E317" s="32" t="s">
        <v>557</v>
      </c>
      <c r="F317" s="32" t="s">
        <v>211</v>
      </c>
      <c r="G317" s="32" t="s">
        <v>212</v>
      </c>
      <c r="H317" s="32" t="s">
        <v>352</v>
      </c>
      <c r="I317" s="31" t="s">
        <v>391</v>
      </c>
      <c r="J317" s="31">
        <v>1</v>
      </c>
      <c r="K317" s="33" t="s">
        <v>950</v>
      </c>
      <c r="L317" s="33" t="s">
        <v>709</v>
      </c>
      <c r="M317" s="34" t="s">
        <v>39</v>
      </c>
      <c r="N317" s="34" t="s">
        <v>1738</v>
      </c>
      <c r="O317" s="35">
        <v>1</v>
      </c>
      <c r="P317" s="35"/>
      <c r="Q317" s="32"/>
      <c r="S317" s="1">
        <f t="shared" si="231"/>
        <v>1</v>
      </c>
      <c r="T317" s="1">
        <f t="shared" si="232"/>
        <v>0</v>
      </c>
      <c r="U317" s="1">
        <f t="shared" si="233"/>
        <v>0</v>
      </c>
      <c r="V317" s="1">
        <f t="shared" si="234"/>
        <v>0</v>
      </c>
      <c r="W317" s="1">
        <f t="shared" si="235"/>
        <v>0</v>
      </c>
      <c r="X317" s="1">
        <f t="shared" si="236"/>
        <v>0</v>
      </c>
      <c r="Y317" s="1">
        <f t="shared" si="237"/>
        <v>0</v>
      </c>
      <c r="Z317" s="1">
        <f t="shared" si="238"/>
        <v>0</v>
      </c>
      <c r="AA317" s="1">
        <f t="shared" si="239"/>
        <v>0</v>
      </c>
      <c r="AB317" s="1">
        <f t="shared" si="240"/>
        <v>0</v>
      </c>
      <c r="AD317" s="1">
        <f t="shared" si="241"/>
        <v>0</v>
      </c>
      <c r="AE317" s="1">
        <f t="shared" si="242"/>
        <v>1</v>
      </c>
      <c r="AF317" s="1">
        <f t="shared" si="227"/>
        <v>0</v>
      </c>
      <c r="AG317" s="1">
        <f t="shared" si="228"/>
        <v>1</v>
      </c>
      <c r="AH317" s="1">
        <f t="shared" si="229"/>
        <v>0</v>
      </c>
      <c r="AI317" s="1">
        <f t="shared" si="230"/>
        <v>1</v>
      </c>
    </row>
    <row r="318" spans="1:35" ht="14.25" customHeight="1" x14ac:dyDescent="0.3">
      <c r="A318" s="44">
        <v>0</v>
      </c>
      <c r="B318" s="44">
        <v>2</v>
      </c>
      <c r="C318" s="44">
        <v>1</v>
      </c>
      <c r="D318" s="45" t="s">
        <v>61</v>
      </c>
      <c r="E318" s="45" t="s">
        <v>539</v>
      </c>
      <c r="F318" s="45" t="s">
        <v>232</v>
      </c>
      <c r="G318" s="45" t="s">
        <v>203</v>
      </c>
      <c r="H318" s="45" t="s">
        <v>352</v>
      </c>
      <c r="I318" s="44" t="s">
        <v>399</v>
      </c>
      <c r="J318" s="44">
        <v>7</v>
      </c>
      <c r="K318" s="46" t="s">
        <v>708</v>
      </c>
      <c r="L318" s="46" t="s">
        <v>709</v>
      </c>
      <c r="M318" s="47" t="s">
        <v>710</v>
      </c>
      <c r="N318" s="47" t="s">
        <v>1733</v>
      </c>
      <c r="O318" s="48"/>
      <c r="P318" s="48"/>
      <c r="Q318" s="45"/>
      <c r="S318" s="1">
        <f t="shared" si="231"/>
        <v>0</v>
      </c>
      <c r="T318" s="1">
        <f t="shared" si="232"/>
        <v>0</v>
      </c>
      <c r="U318" s="1">
        <f t="shared" si="233"/>
        <v>0</v>
      </c>
      <c r="V318" s="1">
        <f t="shared" si="234"/>
        <v>0</v>
      </c>
      <c r="W318" s="1">
        <f t="shared" si="235"/>
        <v>0</v>
      </c>
      <c r="X318" s="1">
        <f t="shared" si="236"/>
        <v>0</v>
      </c>
      <c r="Y318" s="1">
        <f t="shared" si="237"/>
        <v>1</v>
      </c>
      <c r="Z318" s="1">
        <f t="shared" si="238"/>
        <v>0</v>
      </c>
      <c r="AA318" s="1">
        <f t="shared" si="239"/>
        <v>0</v>
      </c>
      <c r="AB318" s="1">
        <f t="shared" si="240"/>
        <v>0</v>
      </c>
      <c r="AD318" s="1">
        <f t="shared" si="241"/>
        <v>0</v>
      </c>
      <c r="AE318" s="1">
        <f t="shared" si="242"/>
        <v>0</v>
      </c>
      <c r="AF318" s="1">
        <f t="shared" si="227"/>
        <v>0</v>
      </c>
      <c r="AG318" s="1">
        <f t="shared" si="228"/>
        <v>0</v>
      </c>
      <c r="AH318" s="1">
        <f t="shared" si="229"/>
        <v>0</v>
      </c>
      <c r="AI318" s="1">
        <f t="shared" si="230"/>
        <v>1</v>
      </c>
    </row>
    <row r="319" spans="1:35" ht="14.25" customHeight="1" x14ac:dyDescent="0.3">
      <c r="A319" s="31">
        <v>0</v>
      </c>
      <c r="B319" s="31">
        <v>2</v>
      </c>
      <c r="C319" s="31">
        <v>1</v>
      </c>
      <c r="D319" s="32" t="s">
        <v>1642</v>
      </c>
      <c r="E319" s="32" t="s">
        <v>557</v>
      </c>
      <c r="F319" s="32" t="s">
        <v>1353</v>
      </c>
      <c r="G319" s="32" t="s">
        <v>1279</v>
      </c>
      <c r="H319" s="32" t="s">
        <v>352</v>
      </c>
      <c r="I319" s="31" t="s">
        <v>1162</v>
      </c>
      <c r="J319" s="31">
        <v>99</v>
      </c>
      <c r="K319" s="33" t="s">
        <v>708</v>
      </c>
      <c r="L319" s="33" t="s">
        <v>709</v>
      </c>
      <c r="M319" s="34" t="s">
        <v>710</v>
      </c>
      <c r="N319" s="34" t="s">
        <v>1743</v>
      </c>
      <c r="O319" s="35">
        <v>1</v>
      </c>
      <c r="P319" s="35"/>
      <c r="Q319" s="32" t="s">
        <v>1896</v>
      </c>
      <c r="S319" s="1">
        <f t="shared" si="231"/>
        <v>0</v>
      </c>
      <c r="T319" s="1">
        <f t="shared" si="232"/>
        <v>0</v>
      </c>
      <c r="U319" s="1">
        <f t="shared" si="233"/>
        <v>0</v>
      </c>
      <c r="V319" s="1">
        <f t="shared" si="234"/>
        <v>0</v>
      </c>
      <c r="W319" s="1">
        <f t="shared" si="235"/>
        <v>0</v>
      </c>
      <c r="X319" s="1">
        <f t="shared" si="236"/>
        <v>0</v>
      </c>
      <c r="Y319" s="1">
        <f t="shared" si="237"/>
        <v>0</v>
      </c>
      <c r="Z319" s="1">
        <f t="shared" si="238"/>
        <v>0</v>
      </c>
      <c r="AA319" s="1">
        <f t="shared" si="239"/>
        <v>0</v>
      </c>
      <c r="AB319" s="1">
        <f t="shared" si="240"/>
        <v>0</v>
      </c>
      <c r="AD319" s="1">
        <f t="shared" si="241"/>
        <v>0</v>
      </c>
      <c r="AE319" s="1">
        <f t="shared" si="242"/>
        <v>1</v>
      </c>
      <c r="AF319" s="1">
        <f t="shared" si="227"/>
        <v>0</v>
      </c>
      <c r="AG319" s="1">
        <f t="shared" si="228"/>
        <v>1</v>
      </c>
      <c r="AH319" s="1">
        <f t="shared" si="229"/>
        <v>0</v>
      </c>
      <c r="AI319" s="1">
        <f t="shared" si="230"/>
        <v>1</v>
      </c>
    </row>
    <row r="320" spans="1:35" ht="14.25" customHeight="1" x14ac:dyDescent="0.3">
      <c r="A320" s="49">
        <v>0</v>
      </c>
      <c r="B320" s="49">
        <v>2</v>
      </c>
      <c r="C320" s="49">
        <v>1</v>
      </c>
      <c r="D320" s="50" t="s">
        <v>1777</v>
      </c>
      <c r="E320" s="50" t="s">
        <v>1778</v>
      </c>
      <c r="F320" s="50" t="s">
        <v>1779</v>
      </c>
      <c r="G320" s="50" t="s">
        <v>1780</v>
      </c>
      <c r="H320" s="50" t="s">
        <v>352</v>
      </c>
      <c r="I320" s="49"/>
      <c r="J320" s="49">
        <v>1</v>
      </c>
      <c r="K320" s="51" t="s">
        <v>699</v>
      </c>
      <c r="L320" s="51"/>
      <c r="M320" s="52"/>
      <c r="N320" s="52" t="s">
        <v>1738</v>
      </c>
      <c r="O320" s="53">
        <v>1</v>
      </c>
      <c r="P320" s="53"/>
      <c r="Q320" s="55" t="s">
        <v>1904</v>
      </c>
      <c r="S320" s="1">
        <f t="shared" si="231"/>
        <v>1</v>
      </c>
      <c r="T320" s="1">
        <f t="shared" si="232"/>
        <v>0</v>
      </c>
      <c r="U320" s="1">
        <f t="shared" si="233"/>
        <v>0</v>
      </c>
      <c r="V320" s="1">
        <f t="shared" si="234"/>
        <v>0</v>
      </c>
      <c r="W320" s="1">
        <f t="shared" si="235"/>
        <v>0</v>
      </c>
      <c r="X320" s="1">
        <f t="shared" si="236"/>
        <v>0</v>
      </c>
      <c r="Y320" s="1">
        <f t="shared" si="237"/>
        <v>0</v>
      </c>
      <c r="Z320" s="1">
        <f t="shared" si="238"/>
        <v>0</v>
      </c>
      <c r="AA320" s="1">
        <f t="shared" si="239"/>
        <v>0</v>
      </c>
      <c r="AB320" s="1">
        <f t="shared" si="240"/>
        <v>0</v>
      </c>
      <c r="AD320" s="1">
        <f t="shared" si="241"/>
        <v>0</v>
      </c>
      <c r="AE320" s="1">
        <f t="shared" si="242"/>
        <v>1</v>
      </c>
      <c r="AF320" s="1">
        <f t="shared" si="227"/>
        <v>0</v>
      </c>
      <c r="AG320" s="1">
        <f t="shared" si="228"/>
        <v>1</v>
      </c>
      <c r="AH320" s="1">
        <f t="shared" si="229"/>
        <v>0</v>
      </c>
      <c r="AI320" s="1">
        <f t="shared" si="230"/>
        <v>1</v>
      </c>
    </row>
    <row r="321" spans="1:35" ht="14.25" customHeight="1" x14ac:dyDescent="0.3">
      <c r="A321" s="31">
        <v>0</v>
      </c>
      <c r="B321" s="31">
        <v>2</v>
      </c>
      <c r="C321" s="31">
        <v>1</v>
      </c>
      <c r="D321" s="32" t="s">
        <v>1313</v>
      </c>
      <c r="E321" s="32" t="s">
        <v>1333</v>
      </c>
      <c r="F321" s="32" t="s">
        <v>1296</v>
      </c>
      <c r="G321" s="32" t="s">
        <v>1297</v>
      </c>
      <c r="H321" s="32" t="s">
        <v>352</v>
      </c>
      <c r="I321" s="31" t="s">
        <v>1298</v>
      </c>
      <c r="J321" s="31">
        <v>99</v>
      </c>
      <c r="K321" s="33" t="s">
        <v>950</v>
      </c>
      <c r="L321" s="33" t="s">
        <v>709</v>
      </c>
      <c r="M321" s="34" t="s">
        <v>710</v>
      </c>
      <c r="N321" s="34" t="s">
        <v>1914</v>
      </c>
      <c r="O321" s="35">
        <v>1</v>
      </c>
      <c r="P321" s="35"/>
      <c r="Q321" s="32"/>
      <c r="S321" s="1">
        <f t="shared" si="231"/>
        <v>0</v>
      </c>
      <c r="T321" s="1">
        <f t="shared" si="232"/>
        <v>0</v>
      </c>
      <c r="U321" s="1">
        <f t="shared" si="233"/>
        <v>0</v>
      </c>
      <c r="V321" s="1">
        <f t="shared" si="234"/>
        <v>0</v>
      </c>
      <c r="W321" s="1">
        <f t="shared" si="235"/>
        <v>0</v>
      </c>
      <c r="X321" s="1">
        <f t="shared" si="236"/>
        <v>0</v>
      </c>
      <c r="Y321" s="1">
        <f t="shared" si="237"/>
        <v>0</v>
      </c>
      <c r="Z321" s="1">
        <f t="shared" si="238"/>
        <v>0</v>
      </c>
      <c r="AA321" s="1">
        <f t="shared" si="239"/>
        <v>0</v>
      </c>
      <c r="AB321" s="1">
        <f t="shared" si="240"/>
        <v>0</v>
      </c>
      <c r="AD321" s="1">
        <f t="shared" si="241"/>
        <v>0</v>
      </c>
      <c r="AE321" s="1">
        <f t="shared" si="242"/>
        <v>1</v>
      </c>
      <c r="AF321" s="1">
        <f t="shared" si="227"/>
        <v>0</v>
      </c>
      <c r="AG321" s="1">
        <f t="shared" si="228"/>
        <v>1</v>
      </c>
      <c r="AH321" s="1">
        <f t="shared" si="229"/>
        <v>0</v>
      </c>
      <c r="AI321" s="1">
        <f t="shared" si="230"/>
        <v>1</v>
      </c>
    </row>
    <row r="322" spans="1:35" ht="14.25" customHeight="1" x14ac:dyDescent="0.3">
      <c r="A322" s="44">
        <v>0</v>
      </c>
      <c r="B322" s="44">
        <v>2</v>
      </c>
      <c r="C322" s="44">
        <v>1</v>
      </c>
      <c r="D322" s="45" t="s">
        <v>1308</v>
      </c>
      <c r="E322" s="45" t="s">
        <v>159</v>
      </c>
      <c r="F322" s="45" t="s">
        <v>1310</v>
      </c>
      <c r="G322" s="45" t="s">
        <v>1311</v>
      </c>
      <c r="H322" s="45" t="s">
        <v>352</v>
      </c>
      <c r="I322" s="44" t="s">
        <v>1312</v>
      </c>
      <c r="J322" s="44">
        <v>8</v>
      </c>
      <c r="K322" s="46" t="s">
        <v>709</v>
      </c>
      <c r="L322" s="46" t="s">
        <v>709</v>
      </c>
      <c r="M322" s="47" t="s">
        <v>710</v>
      </c>
      <c r="N322" s="47" t="s">
        <v>1742</v>
      </c>
      <c r="O322" s="48"/>
      <c r="P322" s="48"/>
      <c r="Q322" s="45"/>
      <c r="S322" s="1">
        <f t="shared" si="231"/>
        <v>0</v>
      </c>
      <c r="T322" s="1">
        <f t="shared" si="232"/>
        <v>0</v>
      </c>
      <c r="U322" s="1">
        <f t="shared" si="233"/>
        <v>0</v>
      </c>
      <c r="V322" s="1">
        <f t="shared" si="234"/>
        <v>0</v>
      </c>
      <c r="W322" s="1">
        <f t="shared" si="235"/>
        <v>0</v>
      </c>
      <c r="X322" s="1">
        <f t="shared" si="236"/>
        <v>0</v>
      </c>
      <c r="Y322" s="1">
        <f t="shared" si="237"/>
        <v>0</v>
      </c>
      <c r="Z322" s="1">
        <f t="shared" si="238"/>
        <v>1</v>
      </c>
      <c r="AA322" s="1">
        <f t="shared" si="239"/>
        <v>0</v>
      </c>
      <c r="AB322" s="1">
        <f t="shared" si="240"/>
        <v>0</v>
      </c>
      <c r="AD322" s="1">
        <f t="shared" si="241"/>
        <v>0</v>
      </c>
      <c r="AE322" s="1">
        <f t="shared" si="242"/>
        <v>0</v>
      </c>
      <c r="AF322" s="1">
        <f t="shared" si="227"/>
        <v>0</v>
      </c>
      <c r="AG322" s="1">
        <f t="shared" si="228"/>
        <v>0</v>
      </c>
      <c r="AH322" s="1">
        <f t="shared" si="229"/>
        <v>0</v>
      </c>
      <c r="AI322" s="1">
        <f t="shared" si="230"/>
        <v>1</v>
      </c>
    </row>
    <row r="323" spans="1:35" ht="14.25" customHeight="1" x14ac:dyDescent="0.3">
      <c r="A323" s="44">
        <v>0</v>
      </c>
      <c r="B323" s="44">
        <v>2</v>
      </c>
      <c r="C323" s="44">
        <v>2</v>
      </c>
      <c r="D323" s="45" t="s">
        <v>1641</v>
      </c>
      <c r="E323" s="45" t="s">
        <v>1163</v>
      </c>
      <c r="F323" s="45" t="s">
        <v>1675</v>
      </c>
      <c r="G323" s="45" t="s">
        <v>189</v>
      </c>
      <c r="H323" s="45" t="s">
        <v>352</v>
      </c>
      <c r="I323" s="44" t="s">
        <v>1602</v>
      </c>
      <c r="J323" s="44">
        <v>99</v>
      </c>
      <c r="K323" s="46" t="s">
        <v>709</v>
      </c>
      <c r="L323" s="46" t="s">
        <v>692</v>
      </c>
      <c r="M323" s="47" t="s">
        <v>1603</v>
      </c>
      <c r="N323" s="47" t="s">
        <v>1733</v>
      </c>
      <c r="O323" s="48"/>
      <c r="P323" s="48"/>
      <c r="Q323" s="45"/>
      <c r="S323" s="1">
        <f t="shared" si="231"/>
        <v>0</v>
      </c>
      <c r="T323" s="1">
        <f t="shared" si="232"/>
        <v>0</v>
      </c>
      <c r="U323" s="1">
        <f t="shared" si="233"/>
        <v>0</v>
      </c>
      <c r="V323" s="1">
        <f t="shared" si="234"/>
        <v>0</v>
      </c>
      <c r="W323" s="1">
        <f t="shared" si="235"/>
        <v>0</v>
      </c>
      <c r="X323" s="1">
        <f t="shared" si="236"/>
        <v>0</v>
      </c>
      <c r="Y323" s="1">
        <f t="shared" si="237"/>
        <v>0</v>
      </c>
      <c r="Z323" s="1">
        <f t="shared" si="238"/>
        <v>0</v>
      </c>
      <c r="AA323" s="1">
        <f t="shared" si="239"/>
        <v>0</v>
      </c>
      <c r="AB323" s="1">
        <f t="shared" si="240"/>
        <v>0</v>
      </c>
      <c r="AD323" s="1">
        <f t="shared" si="241"/>
        <v>0</v>
      </c>
      <c r="AE323" s="1">
        <f t="shared" si="242"/>
        <v>0</v>
      </c>
      <c r="AF323" s="1">
        <f t="shared" si="227"/>
        <v>0</v>
      </c>
      <c r="AG323" s="1">
        <f t="shared" si="228"/>
        <v>0</v>
      </c>
      <c r="AH323" s="1">
        <f t="shared" si="229"/>
        <v>0</v>
      </c>
      <c r="AI323" s="1">
        <f t="shared" si="230"/>
        <v>1</v>
      </c>
    </row>
    <row r="324" spans="1:35" ht="14.25" customHeight="1" x14ac:dyDescent="0.3">
      <c r="A324" s="49">
        <v>0</v>
      </c>
      <c r="B324" s="49">
        <v>2</v>
      </c>
      <c r="C324" s="49">
        <v>2</v>
      </c>
      <c r="D324" s="50" t="s">
        <v>65</v>
      </c>
      <c r="E324" s="50" t="s">
        <v>163</v>
      </c>
      <c r="F324" s="50" t="s">
        <v>242</v>
      </c>
      <c r="G324" s="50" t="s">
        <v>199</v>
      </c>
      <c r="H324" s="50" t="s">
        <v>352</v>
      </c>
      <c r="I324" s="49" t="s">
        <v>405</v>
      </c>
      <c r="J324" s="49">
        <v>2</v>
      </c>
      <c r="K324" s="51" t="s">
        <v>950</v>
      </c>
      <c r="L324" s="51" t="s">
        <v>692</v>
      </c>
      <c r="M324" s="52" t="s">
        <v>711</v>
      </c>
      <c r="N324" s="52" t="s">
        <v>1738</v>
      </c>
      <c r="O324" s="53">
        <v>1</v>
      </c>
      <c r="P324" s="53"/>
      <c r="Q324" s="50"/>
      <c r="S324" s="1">
        <f t="shared" si="231"/>
        <v>0</v>
      </c>
      <c r="T324" s="1">
        <f t="shared" si="232"/>
        <v>1</v>
      </c>
      <c r="U324" s="1">
        <f t="shared" si="233"/>
        <v>0</v>
      </c>
      <c r="V324" s="1">
        <f t="shared" si="234"/>
        <v>0</v>
      </c>
      <c r="W324" s="1">
        <f t="shared" si="235"/>
        <v>0</v>
      </c>
      <c r="X324" s="1">
        <f t="shared" si="236"/>
        <v>0</v>
      </c>
      <c r="Y324" s="1">
        <f t="shared" si="237"/>
        <v>0</v>
      </c>
      <c r="Z324" s="1">
        <f t="shared" si="238"/>
        <v>0</v>
      </c>
      <c r="AA324" s="1">
        <f t="shared" si="239"/>
        <v>0</v>
      </c>
      <c r="AB324" s="1">
        <f t="shared" si="240"/>
        <v>0</v>
      </c>
      <c r="AD324" s="1">
        <f t="shared" si="241"/>
        <v>0</v>
      </c>
      <c r="AE324" s="1">
        <f t="shared" si="242"/>
        <v>1</v>
      </c>
      <c r="AF324" s="1">
        <f t="shared" si="227"/>
        <v>0</v>
      </c>
      <c r="AG324" s="1">
        <f t="shared" si="228"/>
        <v>1</v>
      </c>
      <c r="AH324" s="1">
        <f t="shared" si="229"/>
        <v>0</v>
      </c>
      <c r="AI324" s="1">
        <f t="shared" si="230"/>
        <v>1</v>
      </c>
    </row>
    <row r="325" spans="1:35" ht="14.25" customHeight="1" x14ac:dyDescent="0.3">
      <c r="A325" s="44">
        <v>0</v>
      </c>
      <c r="B325" s="44">
        <v>2</v>
      </c>
      <c r="C325" s="44">
        <v>2</v>
      </c>
      <c r="D325" s="45" t="s">
        <v>1177</v>
      </c>
      <c r="E325" s="45" t="s">
        <v>1178</v>
      </c>
      <c r="F325" s="45" t="s">
        <v>1343</v>
      </c>
      <c r="G325" s="45" t="s">
        <v>1051</v>
      </c>
      <c r="H325" s="45" t="s">
        <v>352</v>
      </c>
      <c r="I325" s="44" t="s">
        <v>1179</v>
      </c>
      <c r="J325" s="44">
        <v>1</v>
      </c>
      <c r="K325" s="46" t="s">
        <v>708</v>
      </c>
      <c r="L325" s="46" t="s">
        <v>700</v>
      </c>
      <c r="M325" s="47" t="s">
        <v>1407</v>
      </c>
      <c r="N325" s="47" t="s">
        <v>1730</v>
      </c>
      <c r="O325" s="48"/>
      <c r="P325" s="48"/>
      <c r="Q325" s="45"/>
      <c r="S325" s="1">
        <f t="shared" si="231"/>
        <v>1</v>
      </c>
      <c r="T325" s="1">
        <f t="shared" si="232"/>
        <v>0</v>
      </c>
      <c r="U325" s="1">
        <f t="shared" si="233"/>
        <v>0</v>
      </c>
      <c r="V325" s="1">
        <f t="shared" si="234"/>
        <v>0</v>
      </c>
      <c r="W325" s="1">
        <f t="shared" si="235"/>
        <v>0</v>
      </c>
      <c r="X325" s="1">
        <f t="shared" si="236"/>
        <v>0</v>
      </c>
      <c r="Y325" s="1">
        <f t="shared" si="237"/>
        <v>0</v>
      </c>
      <c r="Z325" s="1">
        <f t="shared" si="238"/>
        <v>0</v>
      </c>
      <c r="AA325" s="1">
        <f t="shared" si="239"/>
        <v>0</v>
      </c>
      <c r="AB325" s="1">
        <f t="shared" si="240"/>
        <v>0</v>
      </c>
      <c r="AD325" s="1">
        <f t="shared" si="241"/>
        <v>0</v>
      </c>
      <c r="AE325" s="1">
        <f t="shared" si="242"/>
        <v>0</v>
      </c>
      <c r="AF325" s="1">
        <f t="shared" si="227"/>
        <v>0</v>
      </c>
      <c r="AG325" s="1">
        <f t="shared" si="228"/>
        <v>0</v>
      </c>
      <c r="AH325" s="1">
        <f t="shared" si="229"/>
        <v>0</v>
      </c>
      <c r="AI325" s="1">
        <f t="shared" si="230"/>
        <v>1</v>
      </c>
    </row>
    <row r="326" spans="1:35" ht="14.25" customHeight="1" x14ac:dyDescent="0.3">
      <c r="A326" s="31">
        <v>0</v>
      </c>
      <c r="B326" s="31">
        <v>2</v>
      </c>
      <c r="C326" s="31">
        <v>2</v>
      </c>
      <c r="D326" s="32" t="s">
        <v>1823</v>
      </c>
      <c r="E326" s="32" t="s">
        <v>1824</v>
      </c>
      <c r="F326" s="32" t="s">
        <v>1825</v>
      </c>
      <c r="G326" s="32" t="s">
        <v>195</v>
      </c>
      <c r="H326" s="32" t="s">
        <v>352</v>
      </c>
      <c r="I326" s="31" t="s">
        <v>1826</v>
      </c>
      <c r="J326" s="31"/>
      <c r="K326" s="33" t="s">
        <v>699</v>
      </c>
      <c r="L326" s="33">
        <v>20</v>
      </c>
      <c r="M326" s="34" t="s">
        <v>1827</v>
      </c>
      <c r="N326" s="34" t="s">
        <v>1743</v>
      </c>
      <c r="O326" s="35">
        <v>1</v>
      </c>
      <c r="P326" s="35"/>
      <c r="Q326" s="32"/>
      <c r="S326" s="1">
        <f t="shared" si="231"/>
        <v>0</v>
      </c>
      <c r="T326" s="1">
        <f t="shared" si="232"/>
        <v>0</v>
      </c>
      <c r="U326" s="1">
        <f t="shared" si="233"/>
        <v>0</v>
      </c>
      <c r="V326" s="1">
        <f t="shared" si="234"/>
        <v>0</v>
      </c>
      <c r="W326" s="1">
        <f t="shared" si="235"/>
        <v>0</v>
      </c>
      <c r="X326" s="1">
        <f t="shared" si="236"/>
        <v>0</v>
      </c>
      <c r="Y326" s="1">
        <f t="shared" si="237"/>
        <v>0</v>
      </c>
      <c r="Z326" s="1">
        <f t="shared" si="238"/>
        <v>0</v>
      </c>
      <c r="AA326" s="1">
        <f t="shared" si="239"/>
        <v>0</v>
      </c>
      <c r="AB326" s="1">
        <f t="shared" si="240"/>
        <v>0</v>
      </c>
      <c r="AD326" s="1">
        <f t="shared" si="241"/>
        <v>0</v>
      </c>
      <c r="AE326" s="1">
        <f t="shared" si="242"/>
        <v>1</v>
      </c>
      <c r="AF326" s="1">
        <f t="shared" si="227"/>
        <v>0</v>
      </c>
      <c r="AG326" s="1">
        <f t="shared" si="228"/>
        <v>1</v>
      </c>
      <c r="AH326" s="1">
        <f t="shared" si="229"/>
        <v>0</v>
      </c>
      <c r="AI326" s="1">
        <f t="shared" si="230"/>
        <v>1</v>
      </c>
    </row>
    <row r="327" spans="1:35" ht="14.25" customHeight="1" x14ac:dyDescent="0.3">
      <c r="A327" s="31">
        <v>0</v>
      </c>
      <c r="B327" s="31">
        <v>2</v>
      </c>
      <c r="C327" s="31">
        <v>2</v>
      </c>
      <c r="D327" s="32" t="s">
        <v>1571</v>
      </c>
      <c r="E327" s="32" t="s">
        <v>1572</v>
      </c>
      <c r="F327" s="32" t="s">
        <v>1574</v>
      </c>
      <c r="G327" s="32" t="s">
        <v>1575</v>
      </c>
      <c r="H327" s="32" t="s">
        <v>352</v>
      </c>
      <c r="I327" s="31" t="s">
        <v>1573</v>
      </c>
      <c r="J327" s="31">
        <v>99</v>
      </c>
      <c r="K327" s="33" t="s">
        <v>699</v>
      </c>
      <c r="L327" s="33">
        <v>18</v>
      </c>
      <c r="M327" s="34" t="s">
        <v>1576</v>
      </c>
      <c r="N327" s="34" t="s">
        <v>1743</v>
      </c>
      <c r="O327" s="35">
        <v>1</v>
      </c>
      <c r="P327" s="35"/>
      <c r="Q327" s="32"/>
      <c r="S327" s="1">
        <f t="shared" si="231"/>
        <v>0</v>
      </c>
      <c r="T327" s="1">
        <f t="shared" si="232"/>
        <v>0</v>
      </c>
      <c r="U327" s="1">
        <f t="shared" si="233"/>
        <v>0</v>
      </c>
      <c r="V327" s="1">
        <f t="shared" si="234"/>
        <v>0</v>
      </c>
      <c r="W327" s="1">
        <f t="shared" si="235"/>
        <v>0</v>
      </c>
      <c r="X327" s="1">
        <f t="shared" si="236"/>
        <v>0</v>
      </c>
      <c r="Y327" s="1">
        <f t="shared" si="237"/>
        <v>0</v>
      </c>
      <c r="Z327" s="1">
        <f t="shared" si="238"/>
        <v>0</v>
      </c>
      <c r="AA327" s="1">
        <f t="shared" si="239"/>
        <v>0</v>
      </c>
      <c r="AB327" s="1">
        <f t="shared" si="240"/>
        <v>0</v>
      </c>
      <c r="AD327" s="1">
        <f t="shared" si="241"/>
        <v>0</v>
      </c>
      <c r="AE327" s="1">
        <f t="shared" si="242"/>
        <v>1</v>
      </c>
      <c r="AF327" s="1">
        <f t="shared" si="227"/>
        <v>0</v>
      </c>
      <c r="AG327" s="1">
        <f t="shared" si="228"/>
        <v>1</v>
      </c>
      <c r="AH327" s="1">
        <f t="shared" si="229"/>
        <v>0</v>
      </c>
      <c r="AI327" s="1">
        <f t="shared" si="230"/>
        <v>1</v>
      </c>
    </row>
    <row r="328" spans="1:35" ht="14.25" customHeight="1" x14ac:dyDescent="0.3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240</v>
      </c>
      <c r="G328" s="50" t="s">
        <v>241</v>
      </c>
      <c r="H328" s="50" t="s">
        <v>352</v>
      </c>
      <c r="I328" s="49" t="s">
        <v>404</v>
      </c>
      <c r="J328" s="49">
        <v>1</v>
      </c>
      <c r="K328" s="51" t="s">
        <v>956</v>
      </c>
      <c r="L328" s="51" t="s">
        <v>712</v>
      </c>
      <c r="M328" s="52" t="s">
        <v>713</v>
      </c>
      <c r="N328" s="52" t="s">
        <v>1738</v>
      </c>
      <c r="O328" s="53">
        <v>1</v>
      </c>
      <c r="P328" s="53"/>
      <c r="Q328" s="50"/>
      <c r="S328" s="1">
        <f t="shared" si="231"/>
        <v>1</v>
      </c>
      <c r="T328" s="1">
        <f t="shared" si="232"/>
        <v>0</v>
      </c>
      <c r="U328" s="1">
        <f t="shared" si="233"/>
        <v>0</v>
      </c>
      <c r="V328" s="1">
        <f t="shared" si="234"/>
        <v>0</v>
      </c>
      <c r="W328" s="1">
        <f t="shared" si="235"/>
        <v>0</v>
      </c>
      <c r="X328" s="1">
        <f t="shared" si="236"/>
        <v>0</v>
      </c>
      <c r="Y328" s="1">
        <f t="shared" si="237"/>
        <v>0</v>
      </c>
      <c r="Z328" s="1">
        <f t="shared" si="238"/>
        <v>0</v>
      </c>
      <c r="AA328" s="1">
        <f t="shared" si="239"/>
        <v>0</v>
      </c>
      <c r="AB328" s="1">
        <f t="shared" si="240"/>
        <v>0</v>
      </c>
      <c r="AD328" s="1">
        <f t="shared" si="241"/>
        <v>0</v>
      </c>
      <c r="AE328" s="1">
        <f t="shared" si="242"/>
        <v>1</v>
      </c>
      <c r="AF328" s="1">
        <f t="shared" si="227"/>
        <v>0</v>
      </c>
      <c r="AG328" s="1">
        <f t="shared" si="228"/>
        <v>1</v>
      </c>
      <c r="AH328" s="1">
        <f t="shared" si="229"/>
        <v>0</v>
      </c>
      <c r="AI328" s="1">
        <f t="shared" si="230"/>
        <v>1</v>
      </c>
    </row>
    <row r="329" spans="1:35" ht="14.25" customHeight="1" x14ac:dyDescent="0.3">
      <c r="A329" s="49">
        <v>0</v>
      </c>
      <c r="B329" s="49">
        <v>2</v>
      </c>
      <c r="C329" s="49">
        <v>2</v>
      </c>
      <c r="D329" s="50" t="s">
        <v>62</v>
      </c>
      <c r="E329" s="50" t="s">
        <v>1081</v>
      </c>
      <c r="F329" s="50" t="s">
        <v>233</v>
      </c>
      <c r="G329" s="50" t="s">
        <v>234</v>
      </c>
      <c r="H329" s="50" t="s">
        <v>352</v>
      </c>
      <c r="I329" s="49" t="s">
        <v>1360</v>
      </c>
      <c r="J329" s="49">
        <v>99</v>
      </c>
      <c r="K329" s="51" t="s">
        <v>950</v>
      </c>
      <c r="L329" s="51" t="s">
        <v>712</v>
      </c>
      <c r="M329" s="52" t="s">
        <v>714</v>
      </c>
      <c r="N329" s="52" t="s">
        <v>1738</v>
      </c>
      <c r="O329" s="53">
        <v>1</v>
      </c>
      <c r="P329" s="53"/>
      <c r="Q329" s="50"/>
      <c r="S329" s="1">
        <f t="shared" si="231"/>
        <v>0</v>
      </c>
      <c r="T329" s="1">
        <f t="shared" si="232"/>
        <v>0</v>
      </c>
      <c r="U329" s="1">
        <f t="shared" si="233"/>
        <v>0</v>
      </c>
      <c r="V329" s="1">
        <f t="shared" si="234"/>
        <v>0</v>
      </c>
      <c r="W329" s="1">
        <f t="shared" si="235"/>
        <v>0</v>
      </c>
      <c r="X329" s="1">
        <f t="shared" si="236"/>
        <v>0</v>
      </c>
      <c r="Y329" s="1">
        <f t="shared" si="237"/>
        <v>0</v>
      </c>
      <c r="Z329" s="1">
        <f t="shared" si="238"/>
        <v>0</v>
      </c>
      <c r="AA329" s="1">
        <f t="shared" si="239"/>
        <v>0</v>
      </c>
      <c r="AB329" s="1">
        <f t="shared" si="240"/>
        <v>0</v>
      </c>
      <c r="AD329" s="1">
        <f t="shared" si="241"/>
        <v>0</v>
      </c>
      <c r="AE329" s="1">
        <f t="shared" si="242"/>
        <v>1</v>
      </c>
      <c r="AF329" s="1">
        <f t="shared" si="227"/>
        <v>0</v>
      </c>
      <c r="AG329" s="1">
        <f t="shared" si="228"/>
        <v>1</v>
      </c>
      <c r="AH329" s="1">
        <f t="shared" si="229"/>
        <v>0</v>
      </c>
      <c r="AI329" s="1">
        <f t="shared" si="230"/>
        <v>1</v>
      </c>
    </row>
    <row r="330" spans="1:35" ht="14.25" customHeight="1" x14ac:dyDescent="0.3">
      <c r="A330" s="31">
        <v>0</v>
      </c>
      <c r="B330" s="31">
        <v>2</v>
      </c>
      <c r="C330" s="31">
        <v>2</v>
      </c>
      <c r="D330" s="32" t="s">
        <v>1711</v>
      </c>
      <c r="E330" s="32" t="s">
        <v>1713</v>
      </c>
      <c r="F330" s="32" t="s">
        <v>1712</v>
      </c>
      <c r="G330" s="32"/>
      <c r="H330" s="32" t="s">
        <v>352</v>
      </c>
      <c r="I330" s="31" t="s">
        <v>1714</v>
      </c>
      <c r="J330" s="31"/>
      <c r="K330" s="33" t="s">
        <v>699</v>
      </c>
      <c r="L330" s="33"/>
      <c r="M330" s="34"/>
      <c r="N330" s="34" t="s">
        <v>1722</v>
      </c>
      <c r="O330" s="35">
        <v>1</v>
      </c>
      <c r="P330" s="35">
        <v>1</v>
      </c>
      <c r="Q330" s="32"/>
      <c r="S330" s="1">
        <f t="shared" si="231"/>
        <v>0</v>
      </c>
      <c r="T330" s="1">
        <f t="shared" si="232"/>
        <v>0</v>
      </c>
      <c r="U330" s="1">
        <f t="shared" si="233"/>
        <v>0</v>
      </c>
      <c r="V330" s="1">
        <f t="shared" si="234"/>
        <v>0</v>
      </c>
      <c r="W330" s="1">
        <f t="shared" si="235"/>
        <v>0</v>
      </c>
      <c r="X330" s="1">
        <f t="shared" si="236"/>
        <v>0</v>
      </c>
      <c r="Y330" s="1">
        <f t="shared" si="237"/>
        <v>0</v>
      </c>
      <c r="Z330" s="1">
        <f t="shared" si="238"/>
        <v>0</v>
      </c>
      <c r="AA330" s="1">
        <f t="shared" si="239"/>
        <v>0</v>
      </c>
      <c r="AB330" s="1">
        <f t="shared" si="240"/>
        <v>0</v>
      </c>
      <c r="AD330" s="1">
        <f t="shared" si="241"/>
        <v>1</v>
      </c>
      <c r="AE330" s="1">
        <f t="shared" si="242"/>
        <v>0</v>
      </c>
      <c r="AF330" s="1">
        <f t="shared" si="227"/>
        <v>1</v>
      </c>
      <c r="AG330" s="1">
        <f t="shared" si="228"/>
        <v>0</v>
      </c>
      <c r="AH330" s="1">
        <f t="shared" si="229"/>
        <v>1</v>
      </c>
      <c r="AI330" s="1">
        <f t="shared" si="230"/>
        <v>0</v>
      </c>
    </row>
    <row r="331" spans="1:35" ht="14.25" customHeight="1" x14ac:dyDescent="0.3">
      <c r="A331" s="44">
        <v>0</v>
      </c>
      <c r="B331" s="44">
        <v>2</v>
      </c>
      <c r="C331" s="44">
        <v>2</v>
      </c>
      <c r="D331" s="45" t="s">
        <v>783</v>
      </c>
      <c r="E331" s="45" t="s">
        <v>905</v>
      </c>
      <c r="F331" s="45" t="s">
        <v>1566</v>
      </c>
      <c r="G331" s="45" t="s">
        <v>229</v>
      </c>
      <c r="H331" s="45" t="s">
        <v>352</v>
      </c>
      <c r="I331" s="44" t="s">
        <v>1689</v>
      </c>
      <c r="J331" s="44">
        <v>7</v>
      </c>
      <c r="K331" s="46" t="s">
        <v>709</v>
      </c>
      <c r="L331" s="46">
        <v>20</v>
      </c>
      <c r="M331" s="47" t="s">
        <v>39</v>
      </c>
      <c r="N331" s="47" t="s">
        <v>1729</v>
      </c>
      <c r="O331" s="48"/>
      <c r="P331" s="48"/>
      <c r="Q331" s="45"/>
      <c r="S331" s="1">
        <f t="shared" si="231"/>
        <v>0</v>
      </c>
      <c r="T331" s="1">
        <f t="shared" si="232"/>
        <v>0</v>
      </c>
      <c r="U331" s="1">
        <f t="shared" si="233"/>
        <v>0</v>
      </c>
      <c r="V331" s="1">
        <f t="shared" si="234"/>
        <v>0</v>
      </c>
      <c r="W331" s="1">
        <f t="shared" si="235"/>
        <v>0</v>
      </c>
      <c r="X331" s="1">
        <f t="shared" si="236"/>
        <v>0</v>
      </c>
      <c r="Y331" s="1">
        <f t="shared" si="237"/>
        <v>1</v>
      </c>
      <c r="Z331" s="1">
        <f t="shared" si="238"/>
        <v>0</v>
      </c>
      <c r="AA331" s="1">
        <f t="shared" si="239"/>
        <v>0</v>
      </c>
      <c r="AB331" s="1">
        <f t="shared" si="240"/>
        <v>0</v>
      </c>
      <c r="AD331" s="1">
        <f t="shared" si="241"/>
        <v>0</v>
      </c>
      <c r="AE331" s="1">
        <f t="shared" si="242"/>
        <v>0</v>
      </c>
      <c r="AF331" s="1">
        <f t="shared" si="227"/>
        <v>0</v>
      </c>
      <c r="AG331" s="1">
        <f t="shared" si="228"/>
        <v>0</v>
      </c>
      <c r="AH331" s="1">
        <f t="shared" si="229"/>
        <v>0</v>
      </c>
      <c r="AI331" s="1">
        <f t="shared" si="230"/>
        <v>1</v>
      </c>
    </row>
    <row r="332" spans="1:35" ht="14.25" customHeight="1" x14ac:dyDescent="0.3">
      <c r="A332" s="31">
        <v>0</v>
      </c>
      <c r="B332" s="31">
        <v>2</v>
      </c>
      <c r="C332" s="31">
        <v>2</v>
      </c>
      <c r="D332" s="32" t="s">
        <v>848</v>
      </c>
      <c r="E332" s="32" t="s">
        <v>537</v>
      </c>
      <c r="F332" s="32" t="s">
        <v>850</v>
      </c>
      <c r="G332" s="32" t="s">
        <v>219</v>
      </c>
      <c r="H332" s="32" t="s">
        <v>352</v>
      </c>
      <c r="I332" s="31" t="s">
        <v>851</v>
      </c>
      <c r="J332" s="31">
        <v>8</v>
      </c>
      <c r="K332" s="33" t="s">
        <v>709</v>
      </c>
      <c r="L332" s="33" t="s">
        <v>712</v>
      </c>
      <c r="M332" s="34" t="s">
        <v>1408</v>
      </c>
      <c r="N332" s="34" t="s">
        <v>1738</v>
      </c>
      <c r="O332" s="35">
        <v>1</v>
      </c>
      <c r="P332" s="35"/>
      <c r="Q332" s="32"/>
      <c r="S332" s="1">
        <f t="shared" si="231"/>
        <v>0</v>
      </c>
      <c r="T332" s="1">
        <f t="shared" si="232"/>
        <v>0</v>
      </c>
      <c r="U332" s="1">
        <f t="shared" si="233"/>
        <v>0</v>
      </c>
      <c r="V332" s="1">
        <f t="shared" si="234"/>
        <v>0</v>
      </c>
      <c r="W332" s="1">
        <f t="shared" si="235"/>
        <v>0</v>
      </c>
      <c r="X332" s="1">
        <f t="shared" si="236"/>
        <v>0</v>
      </c>
      <c r="Y332" s="1">
        <f t="shared" si="237"/>
        <v>0</v>
      </c>
      <c r="Z332" s="1">
        <f t="shared" si="238"/>
        <v>1</v>
      </c>
      <c r="AA332" s="1">
        <f t="shared" si="239"/>
        <v>0</v>
      </c>
      <c r="AB332" s="1">
        <f t="shared" si="240"/>
        <v>0</v>
      </c>
      <c r="AD332" s="1">
        <f t="shared" si="241"/>
        <v>0</v>
      </c>
      <c r="AE332" s="1">
        <f t="shared" si="242"/>
        <v>1</v>
      </c>
      <c r="AF332" s="1">
        <f t="shared" si="227"/>
        <v>0</v>
      </c>
      <c r="AG332" s="1">
        <f t="shared" si="228"/>
        <v>1</v>
      </c>
      <c r="AH332" s="1">
        <f t="shared" si="229"/>
        <v>0</v>
      </c>
      <c r="AI332" s="1">
        <f t="shared" si="230"/>
        <v>1</v>
      </c>
    </row>
    <row r="333" spans="1:35" ht="14.25" customHeight="1" x14ac:dyDescent="0.3">
      <c r="A333" s="31">
        <v>1</v>
      </c>
      <c r="B333" s="31">
        <v>2</v>
      </c>
      <c r="C333" s="31">
        <v>2</v>
      </c>
      <c r="D333" s="32" t="s">
        <v>848</v>
      </c>
      <c r="E333" s="32" t="s">
        <v>537</v>
      </c>
      <c r="F333" s="32" t="s">
        <v>1348</v>
      </c>
      <c r="G333" s="32" t="s">
        <v>193</v>
      </c>
      <c r="H333" s="32" t="s">
        <v>352</v>
      </c>
      <c r="I333" s="31" t="s">
        <v>849</v>
      </c>
      <c r="J333" s="31">
        <v>9</v>
      </c>
      <c r="K333" s="33" t="s">
        <v>709</v>
      </c>
      <c r="L333" s="33" t="s">
        <v>712</v>
      </c>
      <c r="M333" s="34" t="s">
        <v>1408</v>
      </c>
      <c r="N333" s="34" t="s">
        <v>1738</v>
      </c>
      <c r="O333" s="35">
        <v>1</v>
      </c>
      <c r="P333" s="35"/>
      <c r="Q333" s="32"/>
      <c r="S333" s="1">
        <f t="shared" si="231"/>
        <v>0</v>
      </c>
      <c r="T333" s="1">
        <f t="shared" si="232"/>
        <v>0</v>
      </c>
      <c r="U333" s="1">
        <f t="shared" si="233"/>
        <v>0</v>
      </c>
      <c r="V333" s="1">
        <f t="shared" si="234"/>
        <v>0</v>
      </c>
      <c r="W333" s="1">
        <f t="shared" si="235"/>
        <v>0</v>
      </c>
      <c r="X333" s="1">
        <f t="shared" si="236"/>
        <v>0</v>
      </c>
      <c r="Y333" s="1">
        <f t="shared" si="237"/>
        <v>0</v>
      </c>
      <c r="Z333" s="1">
        <f t="shared" si="238"/>
        <v>0</v>
      </c>
      <c r="AA333" s="1">
        <f t="shared" si="239"/>
        <v>1</v>
      </c>
      <c r="AB333" s="1">
        <f t="shared" si="240"/>
        <v>0</v>
      </c>
      <c r="AD333" s="1">
        <f t="shared" si="241"/>
        <v>0</v>
      </c>
      <c r="AE333" s="1">
        <f t="shared" si="242"/>
        <v>1</v>
      </c>
      <c r="AF333" s="1">
        <f t="shared" si="227"/>
        <v>0</v>
      </c>
      <c r="AG333" s="1">
        <f t="shared" si="228"/>
        <v>0</v>
      </c>
      <c r="AH333" s="1">
        <f t="shared" si="229"/>
        <v>0</v>
      </c>
      <c r="AI333" s="1">
        <f t="shared" si="230"/>
        <v>0</v>
      </c>
    </row>
    <row r="334" spans="1:35" ht="14.25" customHeight="1" x14ac:dyDescent="0.3">
      <c r="A334" s="44">
        <v>0</v>
      </c>
      <c r="B334" s="44">
        <v>2</v>
      </c>
      <c r="C334" s="44">
        <v>2</v>
      </c>
      <c r="D334" s="45" t="s">
        <v>914</v>
      </c>
      <c r="E334" s="45" t="s">
        <v>781</v>
      </c>
      <c r="F334" s="45" t="s">
        <v>782</v>
      </c>
      <c r="G334" s="45" t="s">
        <v>229</v>
      </c>
      <c r="H334" s="45" t="s">
        <v>352</v>
      </c>
      <c r="I334" s="44" t="s">
        <v>784</v>
      </c>
      <c r="J334" s="44">
        <v>7</v>
      </c>
      <c r="K334" s="46" t="s">
        <v>708</v>
      </c>
      <c r="L334" s="46">
        <v>15</v>
      </c>
      <c r="M334" s="47" t="s">
        <v>39</v>
      </c>
      <c r="N334" s="47" t="s">
        <v>1730</v>
      </c>
      <c r="O334" s="48"/>
      <c r="P334" s="48"/>
      <c r="Q334" s="45"/>
      <c r="S334" s="1">
        <f t="shared" si="231"/>
        <v>0</v>
      </c>
      <c r="T334" s="1">
        <f t="shared" si="232"/>
        <v>0</v>
      </c>
      <c r="U334" s="1">
        <f t="shared" si="233"/>
        <v>0</v>
      </c>
      <c r="V334" s="1">
        <f t="shared" si="234"/>
        <v>0</v>
      </c>
      <c r="W334" s="1">
        <f t="shared" si="235"/>
        <v>0</v>
      </c>
      <c r="X334" s="1">
        <f t="shared" si="236"/>
        <v>0</v>
      </c>
      <c r="Y334" s="1">
        <f t="shared" si="237"/>
        <v>1</v>
      </c>
      <c r="Z334" s="1">
        <f t="shared" si="238"/>
        <v>0</v>
      </c>
      <c r="AA334" s="1">
        <f t="shared" si="239"/>
        <v>0</v>
      </c>
      <c r="AB334" s="1">
        <f t="shared" si="240"/>
        <v>0</v>
      </c>
      <c r="AD334" s="1">
        <f t="shared" si="241"/>
        <v>0</v>
      </c>
      <c r="AE334" s="1">
        <f t="shared" si="242"/>
        <v>0</v>
      </c>
      <c r="AF334" s="1">
        <f t="shared" si="227"/>
        <v>0</v>
      </c>
      <c r="AG334" s="1">
        <f t="shared" si="228"/>
        <v>0</v>
      </c>
      <c r="AH334" s="1">
        <f t="shared" si="229"/>
        <v>0</v>
      </c>
      <c r="AI334" s="1">
        <f t="shared" si="230"/>
        <v>1</v>
      </c>
    </row>
    <row r="335" spans="1:35" ht="14.25" customHeight="1" x14ac:dyDescent="0.3">
      <c r="A335" s="44">
        <v>0</v>
      </c>
      <c r="B335" s="44">
        <v>2</v>
      </c>
      <c r="C335" s="44">
        <v>2</v>
      </c>
      <c r="D335" s="45" t="s">
        <v>83</v>
      </c>
      <c r="E335" s="45" t="s">
        <v>156</v>
      </c>
      <c r="F335" s="65" t="s">
        <v>1867</v>
      </c>
      <c r="G335" s="45" t="s">
        <v>208</v>
      </c>
      <c r="H335" s="45" t="s">
        <v>352</v>
      </c>
      <c r="I335" s="44" t="s">
        <v>430</v>
      </c>
      <c r="J335" s="44">
        <v>99</v>
      </c>
      <c r="K335" s="46" t="s">
        <v>949</v>
      </c>
      <c r="L335" s="46" t="s">
        <v>700</v>
      </c>
      <c r="M335" s="47" t="s">
        <v>715</v>
      </c>
      <c r="N335" s="47" t="s">
        <v>1730</v>
      </c>
      <c r="O335" s="48"/>
      <c r="P335" s="48"/>
      <c r="Q335" s="45"/>
      <c r="S335" s="1">
        <f t="shared" si="231"/>
        <v>0</v>
      </c>
      <c r="T335" s="1">
        <f t="shared" si="232"/>
        <v>0</v>
      </c>
      <c r="U335" s="1">
        <f t="shared" si="233"/>
        <v>0</v>
      </c>
      <c r="V335" s="1">
        <f t="shared" si="234"/>
        <v>0</v>
      </c>
      <c r="W335" s="1">
        <f t="shared" si="235"/>
        <v>0</v>
      </c>
      <c r="X335" s="1">
        <f t="shared" si="236"/>
        <v>0</v>
      </c>
      <c r="Y335" s="1">
        <f t="shared" si="237"/>
        <v>0</v>
      </c>
      <c r="Z335" s="1">
        <f t="shared" si="238"/>
        <v>0</v>
      </c>
      <c r="AA335" s="1">
        <f t="shared" si="239"/>
        <v>0</v>
      </c>
      <c r="AB335" s="1">
        <f t="shared" si="240"/>
        <v>0</v>
      </c>
      <c r="AD335" s="1">
        <f t="shared" si="241"/>
        <v>0</v>
      </c>
      <c r="AE335" s="1">
        <f t="shared" si="242"/>
        <v>0</v>
      </c>
      <c r="AF335" s="1">
        <f t="shared" si="227"/>
        <v>0</v>
      </c>
      <c r="AG335" s="1">
        <f t="shared" si="228"/>
        <v>0</v>
      </c>
      <c r="AH335" s="1">
        <f t="shared" si="229"/>
        <v>0</v>
      </c>
      <c r="AI335" s="1">
        <f t="shared" si="230"/>
        <v>1</v>
      </c>
    </row>
    <row r="336" spans="1:35" ht="14.25" customHeight="1" x14ac:dyDescent="0.3">
      <c r="A336" s="31">
        <v>0</v>
      </c>
      <c r="B336" s="31">
        <v>2</v>
      </c>
      <c r="C336" s="31">
        <v>2</v>
      </c>
      <c r="D336" s="32" t="s">
        <v>1559</v>
      </c>
      <c r="E336" s="32" t="s">
        <v>1329</v>
      </c>
      <c r="F336" s="32" t="s">
        <v>1560</v>
      </c>
      <c r="G336" s="32" t="s">
        <v>1161</v>
      </c>
      <c r="H336" s="32" t="s">
        <v>352</v>
      </c>
      <c r="I336" s="31" t="s">
        <v>1561</v>
      </c>
      <c r="J336" s="31">
        <v>1</v>
      </c>
      <c r="K336" s="33" t="s">
        <v>709</v>
      </c>
      <c r="L336" s="33" t="s">
        <v>39</v>
      </c>
      <c r="M336" s="34" t="s">
        <v>39</v>
      </c>
      <c r="N336" s="34" t="s">
        <v>1722</v>
      </c>
      <c r="O336" s="35">
        <v>1</v>
      </c>
      <c r="P336" s="35">
        <v>1</v>
      </c>
      <c r="Q336" s="32"/>
      <c r="S336" s="1">
        <f t="shared" si="231"/>
        <v>1</v>
      </c>
      <c r="T336" s="1">
        <f t="shared" si="232"/>
        <v>0</v>
      </c>
      <c r="U336" s="1">
        <f t="shared" si="233"/>
        <v>0</v>
      </c>
      <c r="V336" s="1">
        <f t="shared" si="234"/>
        <v>0</v>
      </c>
      <c r="W336" s="1">
        <f t="shared" si="235"/>
        <v>0</v>
      </c>
      <c r="X336" s="1">
        <f t="shared" si="236"/>
        <v>0</v>
      </c>
      <c r="Y336" s="1">
        <f t="shared" si="237"/>
        <v>0</v>
      </c>
      <c r="Z336" s="1">
        <f t="shared" si="238"/>
        <v>0</v>
      </c>
      <c r="AA336" s="1">
        <f t="shared" si="239"/>
        <v>0</v>
      </c>
      <c r="AB336" s="1">
        <f t="shared" si="240"/>
        <v>0</v>
      </c>
      <c r="AD336" s="1">
        <f t="shared" si="241"/>
        <v>1</v>
      </c>
      <c r="AE336" s="1">
        <f t="shared" si="242"/>
        <v>0</v>
      </c>
      <c r="AF336" s="1">
        <f t="shared" si="227"/>
        <v>1</v>
      </c>
      <c r="AG336" s="1">
        <f t="shared" si="228"/>
        <v>0</v>
      </c>
      <c r="AH336" s="1">
        <f t="shared" si="229"/>
        <v>1</v>
      </c>
      <c r="AI336" s="1">
        <f t="shared" si="230"/>
        <v>0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1739</v>
      </c>
      <c r="E337" s="32" t="s">
        <v>27</v>
      </c>
      <c r="F337" s="32" t="s">
        <v>1039</v>
      </c>
      <c r="G337" s="32" t="s">
        <v>219</v>
      </c>
      <c r="H337" s="32" t="s">
        <v>352</v>
      </c>
      <c r="I337" s="31" t="s">
        <v>1040</v>
      </c>
      <c r="J337" s="31">
        <v>8</v>
      </c>
      <c r="K337" s="33" t="s">
        <v>709</v>
      </c>
      <c r="L337" s="33">
        <v>25</v>
      </c>
      <c r="M337" s="34" t="s">
        <v>1740</v>
      </c>
      <c r="N337" s="34" t="s">
        <v>1722</v>
      </c>
      <c r="O337" s="35">
        <v>1</v>
      </c>
      <c r="P337" s="35">
        <v>1</v>
      </c>
      <c r="Q337" s="32"/>
      <c r="S337" s="1">
        <f t="shared" si="231"/>
        <v>0</v>
      </c>
      <c r="T337" s="1">
        <f t="shared" si="232"/>
        <v>0</v>
      </c>
      <c r="U337" s="1">
        <f t="shared" si="233"/>
        <v>0</v>
      </c>
      <c r="V337" s="1">
        <f t="shared" si="234"/>
        <v>0</v>
      </c>
      <c r="W337" s="1">
        <f t="shared" si="235"/>
        <v>0</v>
      </c>
      <c r="X337" s="1">
        <f t="shared" si="236"/>
        <v>0</v>
      </c>
      <c r="Y337" s="1">
        <f t="shared" si="237"/>
        <v>0</v>
      </c>
      <c r="Z337" s="1">
        <f t="shared" si="238"/>
        <v>1</v>
      </c>
      <c r="AA337" s="1">
        <f t="shared" si="239"/>
        <v>0</v>
      </c>
      <c r="AB337" s="1">
        <f t="shared" si="240"/>
        <v>0</v>
      </c>
      <c r="AD337" s="1">
        <f t="shared" si="241"/>
        <v>1</v>
      </c>
      <c r="AE337" s="1">
        <f t="shared" si="242"/>
        <v>0</v>
      </c>
      <c r="AF337" s="1">
        <f t="shared" si="227"/>
        <v>1</v>
      </c>
      <c r="AG337" s="1">
        <f t="shared" si="228"/>
        <v>0</v>
      </c>
      <c r="AH337" s="1">
        <f t="shared" si="229"/>
        <v>1</v>
      </c>
      <c r="AI337" s="1">
        <f t="shared" si="230"/>
        <v>0</v>
      </c>
    </row>
    <row r="338" spans="1:35" ht="14.25" customHeight="1" x14ac:dyDescent="0.3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665</v>
      </c>
      <c r="G338" s="32" t="s">
        <v>179</v>
      </c>
      <c r="H338" s="32" t="s">
        <v>352</v>
      </c>
      <c r="I338" s="31" t="s">
        <v>944</v>
      </c>
      <c r="J338" s="31">
        <v>10</v>
      </c>
      <c r="K338" s="33" t="s">
        <v>709</v>
      </c>
      <c r="L338" s="33" t="s">
        <v>716</v>
      </c>
      <c r="M338" s="34" t="s">
        <v>717</v>
      </c>
      <c r="N338" s="34" t="s">
        <v>1722</v>
      </c>
      <c r="O338" s="35">
        <v>1</v>
      </c>
      <c r="P338" s="35">
        <v>1</v>
      </c>
      <c r="Q338" s="32"/>
      <c r="S338" s="1">
        <f t="shared" si="231"/>
        <v>0</v>
      </c>
      <c r="T338" s="1">
        <f t="shared" si="232"/>
        <v>0</v>
      </c>
      <c r="U338" s="1">
        <f t="shared" si="233"/>
        <v>0</v>
      </c>
      <c r="V338" s="1">
        <f t="shared" si="234"/>
        <v>0</v>
      </c>
      <c r="W338" s="1">
        <f t="shared" si="235"/>
        <v>0</v>
      </c>
      <c r="X338" s="1">
        <f t="shared" si="236"/>
        <v>0</v>
      </c>
      <c r="Y338" s="1">
        <f t="shared" si="237"/>
        <v>0</v>
      </c>
      <c r="Z338" s="1">
        <f t="shared" si="238"/>
        <v>0</v>
      </c>
      <c r="AA338" s="1">
        <f t="shared" si="239"/>
        <v>0</v>
      </c>
      <c r="AB338" s="1">
        <f t="shared" si="240"/>
        <v>1</v>
      </c>
      <c r="AD338" s="1">
        <f t="shared" si="241"/>
        <v>1</v>
      </c>
      <c r="AE338" s="1">
        <f t="shared" si="242"/>
        <v>0</v>
      </c>
      <c r="AF338" s="1">
        <f t="shared" si="227"/>
        <v>1</v>
      </c>
      <c r="AG338" s="1">
        <f t="shared" si="228"/>
        <v>0</v>
      </c>
      <c r="AH338" s="1">
        <f t="shared" si="229"/>
        <v>1</v>
      </c>
      <c r="AI338" s="1">
        <f t="shared" si="230"/>
        <v>0</v>
      </c>
    </row>
    <row r="339" spans="1:35" ht="14.25" customHeight="1" x14ac:dyDescent="0.3">
      <c r="A339" s="31">
        <v>0</v>
      </c>
      <c r="B339" s="31">
        <v>2</v>
      </c>
      <c r="C339" s="31">
        <v>2</v>
      </c>
      <c r="D339" s="32" t="s">
        <v>1443</v>
      </c>
      <c r="E339" s="32" t="s">
        <v>1648</v>
      </c>
      <c r="F339" s="32" t="s">
        <v>1663</v>
      </c>
      <c r="G339" s="32" t="s">
        <v>229</v>
      </c>
      <c r="H339" s="32" t="s">
        <v>352</v>
      </c>
      <c r="I339" s="31" t="s">
        <v>1444</v>
      </c>
      <c r="J339" s="31">
        <v>99</v>
      </c>
      <c r="K339" s="33" t="s">
        <v>950</v>
      </c>
      <c r="L339" s="33">
        <v>20</v>
      </c>
      <c r="M339" s="34" t="s">
        <v>39</v>
      </c>
      <c r="N339" s="34" t="s">
        <v>1722</v>
      </c>
      <c r="O339" s="35">
        <v>1</v>
      </c>
      <c r="P339" s="35">
        <v>1</v>
      </c>
      <c r="Q339" s="32"/>
      <c r="S339" s="1">
        <f t="shared" si="231"/>
        <v>0</v>
      </c>
      <c r="T339" s="1">
        <f t="shared" si="232"/>
        <v>0</v>
      </c>
      <c r="U339" s="1">
        <f t="shared" si="233"/>
        <v>0</v>
      </c>
      <c r="V339" s="1">
        <f t="shared" si="234"/>
        <v>0</v>
      </c>
      <c r="W339" s="1">
        <f t="shared" si="235"/>
        <v>0</v>
      </c>
      <c r="X339" s="1">
        <f t="shared" si="236"/>
        <v>0</v>
      </c>
      <c r="Y339" s="1">
        <f t="shared" si="237"/>
        <v>0</v>
      </c>
      <c r="Z339" s="1">
        <f t="shared" si="238"/>
        <v>0</v>
      </c>
      <c r="AA339" s="1">
        <f t="shared" si="239"/>
        <v>0</v>
      </c>
      <c r="AB339" s="1">
        <f t="shared" si="240"/>
        <v>0</v>
      </c>
      <c r="AD339" s="1">
        <f t="shared" si="241"/>
        <v>1</v>
      </c>
      <c r="AE339" s="1">
        <f t="shared" si="242"/>
        <v>0</v>
      </c>
      <c r="AF339" s="1">
        <f t="shared" si="227"/>
        <v>1</v>
      </c>
      <c r="AG339" s="1">
        <f t="shared" si="228"/>
        <v>0</v>
      </c>
      <c r="AH339" s="1">
        <f t="shared" si="229"/>
        <v>1</v>
      </c>
      <c r="AI339" s="1">
        <f t="shared" si="230"/>
        <v>0</v>
      </c>
    </row>
    <row r="340" spans="1:35" ht="14.25" customHeight="1" x14ac:dyDescent="0.3">
      <c r="A340" s="67">
        <v>0</v>
      </c>
      <c r="B340" s="67">
        <v>2</v>
      </c>
      <c r="C340" s="67">
        <v>2</v>
      </c>
      <c r="D340" s="54" t="s">
        <v>1988</v>
      </c>
      <c r="E340" s="54" t="s">
        <v>2073</v>
      </c>
      <c r="F340" s="54" t="s">
        <v>1989</v>
      </c>
      <c r="G340" s="54" t="s">
        <v>178</v>
      </c>
      <c r="H340" s="54" t="s">
        <v>352</v>
      </c>
      <c r="I340" s="67" t="s">
        <v>1990</v>
      </c>
      <c r="J340" s="67"/>
      <c r="K340" s="67" t="s">
        <v>699</v>
      </c>
      <c r="L340" s="67"/>
      <c r="M340" s="54"/>
      <c r="N340" s="54"/>
      <c r="O340" s="68"/>
      <c r="P340" s="68">
        <v>1</v>
      </c>
      <c r="Q340" s="54"/>
      <c r="S340" s="1">
        <f t="shared" si="231"/>
        <v>0</v>
      </c>
      <c r="T340" s="1">
        <f t="shared" si="232"/>
        <v>0</v>
      </c>
      <c r="U340" s="1">
        <f t="shared" si="233"/>
        <v>0</v>
      </c>
      <c r="V340" s="1">
        <f t="shared" si="234"/>
        <v>0</v>
      </c>
      <c r="W340" s="1">
        <f t="shared" si="235"/>
        <v>0</v>
      </c>
      <c r="X340" s="1">
        <f t="shared" si="236"/>
        <v>0</v>
      </c>
      <c r="Y340" s="1">
        <f t="shared" si="237"/>
        <v>0</v>
      </c>
      <c r="Z340" s="1">
        <f t="shared" si="238"/>
        <v>0</v>
      </c>
      <c r="AA340" s="1">
        <f t="shared" si="239"/>
        <v>0</v>
      </c>
      <c r="AB340" s="1">
        <f t="shared" si="240"/>
        <v>0</v>
      </c>
      <c r="AD340" s="1">
        <f t="shared" si="241"/>
        <v>0</v>
      </c>
      <c r="AE340" s="1">
        <f t="shared" si="242"/>
        <v>0</v>
      </c>
      <c r="AF340" s="1">
        <f t="shared" si="227"/>
        <v>0</v>
      </c>
      <c r="AG340" s="1">
        <f t="shared" si="228"/>
        <v>0</v>
      </c>
      <c r="AH340" s="1">
        <f t="shared" si="229"/>
        <v>1</v>
      </c>
      <c r="AI340" s="1">
        <f t="shared" si="230"/>
        <v>0</v>
      </c>
    </row>
    <row r="341" spans="1:35" ht="14.25" customHeight="1" x14ac:dyDescent="0.3">
      <c r="A341" s="49">
        <v>0</v>
      </c>
      <c r="B341" s="49">
        <v>2</v>
      </c>
      <c r="C341" s="49">
        <v>2</v>
      </c>
      <c r="D341" s="50" t="s">
        <v>602</v>
      </c>
      <c r="E341" s="50" t="s">
        <v>603</v>
      </c>
      <c r="F341" s="50" t="s">
        <v>604</v>
      </c>
      <c r="G341" s="50" t="s">
        <v>256</v>
      </c>
      <c r="H341" s="50" t="s">
        <v>352</v>
      </c>
      <c r="I341" s="49" t="s">
        <v>605</v>
      </c>
      <c r="J341" s="49">
        <v>99</v>
      </c>
      <c r="K341" s="51" t="s">
        <v>950</v>
      </c>
      <c r="L341" s="51" t="s">
        <v>700</v>
      </c>
      <c r="M341" s="52" t="s">
        <v>1409</v>
      </c>
      <c r="N341" s="52" t="s">
        <v>1738</v>
      </c>
      <c r="O341" s="53">
        <v>1</v>
      </c>
      <c r="P341" s="53"/>
      <c r="Q341" s="50"/>
      <c r="S341" s="1">
        <f t="shared" si="231"/>
        <v>0</v>
      </c>
      <c r="T341" s="1">
        <f t="shared" si="232"/>
        <v>0</v>
      </c>
      <c r="U341" s="1">
        <f t="shared" si="233"/>
        <v>0</v>
      </c>
      <c r="V341" s="1">
        <f t="shared" si="234"/>
        <v>0</v>
      </c>
      <c r="W341" s="1">
        <f t="shared" si="235"/>
        <v>0</v>
      </c>
      <c r="X341" s="1">
        <f t="shared" si="236"/>
        <v>0</v>
      </c>
      <c r="Y341" s="1">
        <f t="shared" si="237"/>
        <v>0</v>
      </c>
      <c r="Z341" s="1">
        <f t="shared" si="238"/>
        <v>0</v>
      </c>
      <c r="AA341" s="1">
        <f t="shared" si="239"/>
        <v>0</v>
      </c>
      <c r="AB341" s="1">
        <f t="shared" si="240"/>
        <v>0</v>
      </c>
      <c r="AD341" s="1">
        <f t="shared" si="241"/>
        <v>0</v>
      </c>
      <c r="AE341" s="1">
        <f t="shared" si="242"/>
        <v>1</v>
      </c>
      <c r="AF341" s="1">
        <f t="shared" si="227"/>
        <v>0</v>
      </c>
      <c r="AG341" s="1">
        <f t="shared" si="228"/>
        <v>1</v>
      </c>
      <c r="AH341" s="1">
        <f t="shared" si="229"/>
        <v>0</v>
      </c>
      <c r="AI341" s="1">
        <f t="shared" si="230"/>
        <v>1</v>
      </c>
    </row>
    <row r="342" spans="1:35" ht="14.25" customHeight="1" x14ac:dyDescent="0.3">
      <c r="A342" s="31">
        <v>0</v>
      </c>
      <c r="B342" s="31">
        <v>2</v>
      </c>
      <c r="C342" s="31">
        <v>2</v>
      </c>
      <c r="D342" s="32" t="s">
        <v>1920</v>
      </c>
      <c r="E342" s="32" t="s">
        <v>1921</v>
      </c>
      <c r="F342" s="32" t="s">
        <v>1922</v>
      </c>
      <c r="G342" s="32" t="s">
        <v>183</v>
      </c>
      <c r="H342" s="32" t="s">
        <v>352</v>
      </c>
      <c r="I342" s="31" t="s">
        <v>1924</v>
      </c>
      <c r="J342" s="31">
        <v>99</v>
      </c>
      <c r="K342" s="33" t="s">
        <v>699</v>
      </c>
      <c r="L342" s="33"/>
      <c r="M342" s="34"/>
      <c r="N342" s="34" t="s">
        <v>1722</v>
      </c>
      <c r="O342" s="35">
        <v>1</v>
      </c>
      <c r="P342" s="35">
        <v>1</v>
      </c>
      <c r="Q342" s="32" t="s">
        <v>1923</v>
      </c>
      <c r="S342" s="1">
        <f t="shared" si="231"/>
        <v>0</v>
      </c>
      <c r="T342" s="1">
        <f t="shared" si="232"/>
        <v>0</v>
      </c>
      <c r="U342" s="1">
        <f t="shared" si="233"/>
        <v>0</v>
      </c>
      <c r="V342" s="1">
        <f t="shared" si="234"/>
        <v>0</v>
      </c>
      <c r="W342" s="1">
        <f t="shared" si="235"/>
        <v>0</v>
      </c>
      <c r="X342" s="1">
        <f t="shared" si="236"/>
        <v>0</v>
      </c>
      <c r="Y342" s="1">
        <f t="shared" si="237"/>
        <v>0</v>
      </c>
      <c r="Z342" s="1">
        <f t="shared" si="238"/>
        <v>0</v>
      </c>
      <c r="AA342" s="1">
        <f t="shared" si="239"/>
        <v>0</v>
      </c>
      <c r="AB342" s="1">
        <f t="shared" si="240"/>
        <v>0</v>
      </c>
      <c r="AD342" s="1">
        <f t="shared" si="241"/>
        <v>1</v>
      </c>
      <c r="AE342" s="1">
        <f t="shared" si="242"/>
        <v>0</v>
      </c>
      <c r="AF342" s="1">
        <f t="shared" si="227"/>
        <v>1</v>
      </c>
      <c r="AG342" s="1">
        <f t="shared" si="228"/>
        <v>0</v>
      </c>
      <c r="AH342" s="1">
        <f t="shared" si="229"/>
        <v>1</v>
      </c>
      <c r="AI342" s="1">
        <f t="shared" si="230"/>
        <v>0</v>
      </c>
    </row>
    <row r="343" spans="1:35" ht="14.25" customHeight="1" x14ac:dyDescent="0.3">
      <c r="A343" s="31">
        <v>0</v>
      </c>
      <c r="B343" s="31">
        <v>2</v>
      </c>
      <c r="C343" s="31">
        <v>2</v>
      </c>
      <c r="D343" s="32" t="s">
        <v>1638</v>
      </c>
      <c r="E343" s="32" t="s">
        <v>1163</v>
      </c>
      <c r="F343" s="32" t="s">
        <v>1669</v>
      </c>
      <c r="G343" s="32" t="s">
        <v>179</v>
      </c>
      <c r="H343" s="32" t="s">
        <v>352</v>
      </c>
      <c r="I343" s="31" t="s">
        <v>1489</v>
      </c>
      <c r="J343" s="31">
        <v>10</v>
      </c>
      <c r="K343" s="33" t="s">
        <v>708</v>
      </c>
      <c r="L343" s="33">
        <v>15</v>
      </c>
      <c r="M343" s="34" t="s">
        <v>39</v>
      </c>
      <c r="N343" s="34" t="s">
        <v>1784</v>
      </c>
      <c r="O343" s="35">
        <v>1</v>
      </c>
      <c r="P343" s="35"/>
      <c r="Q343" s="32"/>
      <c r="S343" s="1">
        <f t="shared" si="231"/>
        <v>0</v>
      </c>
      <c r="T343" s="1">
        <f t="shared" si="232"/>
        <v>0</v>
      </c>
      <c r="U343" s="1">
        <f t="shared" si="233"/>
        <v>0</v>
      </c>
      <c r="V343" s="1">
        <f t="shared" si="234"/>
        <v>0</v>
      </c>
      <c r="W343" s="1">
        <f t="shared" si="235"/>
        <v>0</v>
      </c>
      <c r="X343" s="1">
        <f t="shared" si="236"/>
        <v>0</v>
      </c>
      <c r="Y343" s="1">
        <f t="shared" si="237"/>
        <v>0</v>
      </c>
      <c r="Z343" s="1">
        <f t="shared" si="238"/>
        <v>0</v>
      </c>
      <c r="AA343" s="1">
        <f t="shared" si="239"/>
        <v>0</v>
      </c>
      <c r="AB343" s="1">
        <f t="shared" si="240"/>
        <v>1</v>
      </c>
      <c r="AD343" s="1">
        <f t="shared" si="241"/>
        <v>0</v>
      </c>
      <c r="AE343" s="1">
        <f t="shared" si="242"/>
        <v>1</v>
      </c>
      <c r="AF343" s="1">
        <f t="shared" ref="AF343:AF407" si="249">+O343*P343*(1-A343)</f>
        <v>0</v>
      </c>
      <c r="AG343" s="1">
        <f t="shared" ref="AG343:AG407" si="250">O343*(1-P343)*(1-A343)</f>
        <v>1</v>
      </c>
      <c r="AH343" s="1">
        <f t="shared" ref="AH343:AH407" si="251">+P343*(1-A343)</f>
        <v>0</v>
      </c>
      <c r="AI343" s="1">
        <f t="shared" ref="AI343:AI407" si="252">+(1-A343)*(1-P343)</f>
        <v>1</v>
      </c>
    </row>
    <row r="344" spans="1:35" ht="14.25" customHeight="1" x14ac:dyDescent="0.3">
      <c r="A344" s="44">
        <v>0</v>
      </c>
      <c r="B344" s="44">
        <v>2</v>
      </c>
      <c r="C344" s="44">
        <v>2</v>
      </c>
      <c r="D344" s="45" t="s">
        <v>858</v>
      </c>
      <c r="E344" s="45" t="s">
        <v>540</v>
      </c>
      <c r="F344" s="45" t="s">
        <v>859</v>
      </c>
      <c r="G344" s="45" t="s">
        <v>312</v>
      </c>
      <c r="H344" s="45" t="s">
        <v>352</v>
      </c>
      <c r="I344" s="44" t="s">
        <v>860</v>
      </c>
      <c r="J344" s="44">
        <v>1</v>
      </c>
      <c r="K344" s="46" t="s">
        <v>708</v>
      </c>
      <c r="L344" s="46">
        <v>25</v>
      </c>
      <c r="M344" s="47" t="s">
        <v>39</v>
      </c>
      <c r="N344" s="47" t="s">
        <v>1730</v>
      </c>
      <c r="O344" s="48"/>
      <c r="P344" s="48"/>
      <c r="Q344" s="45"/>
      <c r="S344" s="1">
        <f t="shared" si="231"/>
        <v>1</v>
      </c>
      <c r="T344" s="1">
        <f t="shared" si="232"/>
        <v>0</v>
      </c>
      <c r="U344" s="1">
        <f t="shared" si="233"/>
        <v>0</v>
      </c>
      <c r="V344" s="1">
        <f t="shared" si="234"/>
        <v>0</v>
      </c>
      <c r="W344" s="1">
        <f t="shared" si="235"/>
        <v>0</v>
      </c>
      <c r="X344" s="1">
        <f t="shared" si="236"/>
        <v>0</v>
      </c>
      <c r="Y344" s="1">
        <f t="shared" si="237"/>
        <v>0</v>
      </c>
      <c r="Z344" s="1">
        <f t="shared" si="238"/>
        <v>0</v>
      </c>
      <c r="AA344" s="1">
        <f t="shared" si="239"/>
        <v>0</v>
      </c>
      <c r="AB344" s="1">
        <f t="shared" si="240"/>
        <v>0</v>
      </c>
      <c r="AD344" s="1">
        <f t="shared" si="241"/>
        <v>0</v>
      </c>
      <c r="AE344" s="1">
        <f t="shared" si="242"/>
        <v>0</v>
      </c>
      <c r="AF344" s="1">
        <f t="shared" si="249"/>
        <v>0</v>
      </c>
      <c r="AG344" s="1">
        <f t="shared" si="250"/>
        <v>0</v>
      </c>
      <c r="AH344" s="1">
        <f t="shared" si="251"/>
        <v>0</v>
      </c>
      <c r="AI344" s="1">
        <f t="shared" si="252"/>
        <v>1</v>
      </c>
    </row>
    <row r="345" spans="1:35" ht="14.25" customHeight="1" x14ac:dyDescent="0.3">
      <c r="A345" s="31">
        <v>0</v>
      </c>
      <c r="B345" s="31">
        <v>2</v>
      </c>
      <c r="C345" s="31">
        <v>3</v>
      </c>
      <c r="D345" s="32" t="s">
        <v>564</v>
      </c>
      <c r="E345" s="32" t="s">
        <v>38</v>
      </c>
      <c r="F345" s="32" t="s">
        <v>236</v>
      </c>
      <c r="G345" s="32" t="s">
        <v>535</v>
      </c>
      <c r="H345" s="32" t="s">
        <v>352</v>
      </c>
      <c r="I345" s="31" t="s">
        <v>401</v>
      </c>
      <c r="J345" s="31">
        <v>1</v>
      </c>
      <c r="K345" s="33" t="s">
        <v>708</v>
      </c>
      <c r="L345" s="33" t="s">
        <v>720</v>
      </c>
      <c r="M345" s="34" t="s">
        <v>721</v>
      </c>
      <c r="N345" s="34" t="s">
        <v>1722</v>
      </c>
      <c r="O345" s="35">
        <v>1</v>
      </c>
      <c r="P345" s="35">
        <v>1</v>
      </c>
      <c r="Q345" s="32"/>
      <c r="S345" s="1">
        <f t="shared" si="231"/>
        <v>1</v>
      </c>
      <c r="T345" s="1">
        <f t="shared" si="232"/>
        <v>0</v>
      </c>
      <c r="U345" s="1">
        <f t="shared" si="233"/>
        <v>0</v>
      </c>
      <c r="V345" s="1">
        <f t="shared" si="234"/>
        <v>0</v>
      </c>
      <c r="W345" s="1">
        <f t="shared" si="235"/>
        <v>0</v>
      </c>
      <c r="X345" s="1">
        <f t="shared" si="236"/>
        <v>0</v>
      </c>
      <c r="Y345" s="1">
        <f t="shared" si="237"/>
        <v>0</v>
      </c>
      <c r="Z345" s="1">
        <f t="shared" si="238"/>
        <v>0</v>
      </c>
      <c r="AA345" s="1">
        <f t="shared" si="239"/>
        <v>0</v>
      </c>
      <c r="AB345" s="1">
        <f t="shared" si="240"/>
        <v>0</v>
      </c>
      <c r="AD345" s="1">
        <f t="shared" si="241"/>
        <v>1</v>
      </c>
      <c r="AE345" s="1">
        <f t="shared" si="242"/>
        <v>0</v>
      </c>
      <c r="AF345" s="1">
        <f t="shared" si="249"/>
        <v>1</v>
      </c>
      <c r="AG345" s="1">
        <f t="shared" si="250"/>
        <v>0</v>
      </c>
      <c r="AH345" s="1">
        <f t="shared" si="251"/>
        <v>1</v>
      </c>
      <c r="AI345" s="1">
        <f t="shared" si="252"/>
        <v>0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846</v>
      </c>
      <c r="E346" s="45" t="s">
        <v>34</v>
      </c>
      <c r="F346" s="45" t="s">
        <v>922</v>
      </c>
      <c r="G346" s="45" t="s">
        <v>634</v>
      </c>
      <c r="H346" s="45" t="s">
        <v>352</v>
      </c>
      <c r="I346" s="44" t="s">
        <v>847</v>
      </c>
      <c r="J346" s="44">
        <v>1</v>
      </c>
      <c r="K346" s="46" t="s">
        <v>949</v>
      </c>
      <c r="L346" s="46" t="s">
        <v>725</v>
      </c>
      <c r="M346" s="47" t="s">
        <v>719</v>
      </c>
      <c r="N346" s="47" t="s">
        <v>1730</v>
      </c>
      <c r="O346" s="48"/>
      <c r="P346" s="48"/>
      <c r="Q346" s="45"/>
      <c r="S346" s="1">
        <f t="shared" si="231"/>
        <v>1</v>
      </c>
      <c r="T346" s="1">
        <f t="shared" si="232"/>
        <v>0</v>
      </c>
      <c r="U346" s="1">
        <f t="shared" si="233"/>
        <v>0</v>
      </c>
      <c r="V346" s="1">
        <f t="shared" si="234"/>
        <v>0</v>
      </c>
      <c r="W346" s="1">
        <f t="shared" si="235"/>
        <v>0</v>
      </c>
      <c r="X346" s="1">
        <f t="shared" si="236"/>
        <v>0</v>
      </c>
      <c r="Y346" s="1">
        <f t="shared" si="237"/>
        <v>0</v>
      </c>
      <c r="Z346" s="1">
        <f t="shared" si="238"/>
        <v>0</v>
      </c>
      <c r="AA346" s="1">
        <f t="shared" si="239"/>
        <v>0</v>
      </c>
      <c r="AB346" s="1">
        <f t="shared" si="240"/>
        <v>0</v>
      </c>
      <c r="AD346" s="1">
        <f t="shared" si="241"/>
        <v>0</v>
      </c>
      <c r="AE346" s="1">
        <f t="shared" si="242"/>
        <v>0</v>
      </c>
      <c r="AF346" s="1">
        <f t="shared" si="249"/>
        <v>0</v>
      </c>
      <c r="AG346" s="1">
        <f t="shared" si="250"/>
        <v>0</v>
      </c>
      <c r="AH346" s="1">
        <f t="shared" si="251"/>
        <v>0</v>
      </c>
      <c r="AI346" s="1">
        <f t="shared" si="252"/>
        <v>1</v>
      </c>
    </row>
    <row r="347" spans="1:35" ht="14.25" customHeight="1" x14ac:dyDescent="0.3">
      <c r="A347" s="44">
        <v>0</v>
      </c>
      <c r="B347" s="44">
        <v>2</v>
      </c>
      <c r="C347" s="44">
        <v>3</v>
      </c>
      <c r="D347" s="45" t="s">
        <v>789</v>
      </c>
      <c r="E347" s="45" t="s">
        <v>32</v>
      </c>
      <c r="F347" s="45" t="s">
        <v>790</v>
      </c>
      <c r="G347" s="45" t="s">
        <v>250</v>
      </c>
      <c r="H347" s="45" t="s">
        <v>352</v>
      </c>
      <c r="I347" s="44" t="s">
        <v>791</v>
      </c>
      <c r="J347" s="44">
        <v>99</v>
      </c>
      <c r="K347" s="46" t="s">
        <v>709</v>
      </c>
      <c r="L347" s="46" t="s">
        <v>718</v>
      </c>
      <c r="M347" s="47" t="s">
        <v>719</v>
      </c>
      <c r="N347" s="47" t="s">
        <v>1804</v>
      </c>
      <c r="O347" s="48"/>
      <c r="P347" s="48"/>
      <c r="Q347" s="45"/>
      <c r="S347" s="1">
        <f t="shared" ref="S347:S411" si="253">IF(J347=$S$7,1,0)</f>
        <v>0</v>
      </c>
      <c r="T347" s="1">
        <f t="shared" ref="T347:T411" si="254">IF(J347=$T$7,1,0)</f>
        <v>0</v>
      </c>
      <c r="U347" s="1">
        <f t="shared" ref="U347:U411" si="255">IF(J347=$U$7,1,0)</f>
        <v>0</v>
      </c>
      <c r="V347" s="1">
        <f t="shared" ref="V347:V411" si="256">IF(J347=$V$7,1,0)</f>
        <v>0</v>
      </c>
      <c r="W347" s="1">
        <f t="shared" ref="W347:W411" si="257">IF(J347=$W$7,1,0)</f>
        <v>0</v>
      </c>
      <c r="X347" s="1">
        <f t="shared" ref="X347:X411" si="258">IF(J347=$X$7,1,0)</f>
        <v>0</v>
      </c>
      <c r="Y347" s="1">
        <f t="shared" ref="Y347:Y411" si="259">IF(J347=$Y$7,1,0)</f>
        <v>0</v>
      </c>
      <c r="Z347" s="1">
        <f t="shared" ref="Z347:Z411" si="260">IF(J347=$Z$7,1,0)</f>
        <v>0</v>
      </c>
      <c r="AA347" s="1">
        <f t="shared" ref="AA347:AA411" si="261">IF(J347=$AA$7,1,0)</f>
        <v>0</v>
      </c>
      <c r="AB347" s="1">
        <f t="shared" ref="AB347:AB411" si="262">IF(J347=$AB$7,1,0)</f>
        <v>0</v>
      </c>
      <c r="AD347" s="1">
        <f t="shared" ref="AD347:AD411" si="263">+O347*P347</f>
        <v>0</v>
      </c>
      <c r="AE347" s="1">
        <f t="shared" ref="AE347:AE411" si="264">O347*(1-P347)</f>
        <v>0</v>
      </c>
      <c r="AF347" s="1">
        <f t="shared" si="249"/>
        <v>0</v>
      </c>
      <c r="AG347" s="1">
        <f t="shared" si="250"/>
        <v>0</v>
      </c>
      <c r="AH347" s="1">
        <f t="shared" si="251"/>
        <v>0</v>
      </c>
      <c r="AI347" s="1">
        <f t="shared" si="252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56</v>
      </c>
      <c r="E348" s="45" t="s">
        <v>160</v>
      </c>
      <c r="F348" s="45" t="s">
        <v>218</v>
      </c>
      <c r="G348" s="45" t="s">
        <v>195</v>
      </c>
      <c r="H348" s="45" t="s">
        <v>352</v>
      </c>
      <c r="I348" s="44" t="s">
        <v>547</v>
      </c>
      <c r="J348" s="44">
        <v>99</v>
      </c>
      <c r="K348" s="46" t="s">
        <v>709</v>
      </c>
      <c r="L348" s="46" t="s">
        <v>718</v>
      </c>
      <c r="M348" s="47" t="s">
        <v>719</v>
      </c>
      <c r="N348" s="47" t="s">
        <v>1797</v>
      </c>
      <c r="O348" s="48"/>
      <c r="P348" s="48"/>
      <c r="Q348" s="45"/>
      <c r="S348" s="1">
        <f t="shared" si="253"/>
        <v>0</v>
      </c>
      <c r="T348" s="1">
        <f t="shared" si="254"/>
        <v>0</v>
      </c>
      <c r="U348" s="1">
        <f t="shared" si="255"/>
        <v>0</v>
      </c>
      <c r="V348" s="1">
        <f t="shared" si="256"/>
        <v>0</v>
      </c>
      <c r="W348" s="1">
        <f t="shared" si="257"/>
        <v>0</v>
      </c>
      <c r="X348" s="1">
        <f t="shared" si="258"/>
        <v>0</v>
      </c>
      <c r="Y348" s="1">
        <f t="shared" si="259"/>
        <v>0</v>
      </c>
      <c r="Z348" s="1">
        <f t="shared" si="260"/>
        <v>0</v>
      </c>
      <c r="AA348" s="1">
        <f t="shared" si="261"/>
        <v>0</v>
      </c>
      <c r="AB348" s="1">
        <f t="shared" si="262"/>
        <v>0</v>
      </c>
      <c r="AD348" s="1">
        <f t="shared" si="263"/>
        <v>0</v>
      </c>
      <c r="AE348" s="1">
        <f t="shared" si="264"/>
        <v>0</v>
      </c>
      <c r="AF348" s="1">
        <f t="shared" si="249"/>
        <v>0</v>
      </c>
      <c r="AG348" s="1">
        <f t="shared" si="250"/>
        <v>0</v>
      </c>
      <c r="AH348" s="1">
        <f t="shared" si="251"/>
        <v>0</v>
      </c>
      <c r="AI348" s="1">
        <f t="shared" si="252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1170</v>
      </c>
      <c r="E349" s="32" t="s">
        <v>1330</v>
      </c>
      <c r="F349" s="32" t="s">
        <v>1171</v>
      </c>
      <c r="G349" s="32" t="s">
        <v>300</v>
      </c>
      <c r="H349" s="32" t="s">
        <v>352</v>
      </c>
      <c r="I349" s="31" t="s">
        <v>1172</v>
      </c>
      <c r="J349" s="31">
        <v>1</v>
      </c>
      <c r="K349" s="33" t="s">
        <v>950</v>
      </c>
      <c r="L349" s="33" t="s">
        <v>689</v>
      </c>
      <c r="M349" s="34" t="s">
        <v>1410</v>
      </c>
      <c r="N349" s="34" t="s">
        <v>1738</v>
      </c>
      <c r="O349" s="35">
        <v>1</v>
      </c>
      <c r="P349" s="35"/>
      <c r="Q349" s="32"/>
      <c r="S349" s="1">
        <f t="shared" si="253"/>
        <v>1</v>
      </c>
      <c r="T349" s="1">
        <f t="shared" si="254"/>
        <v>0</v>
      </c>
      <c r="U349" s="1">
        <f t="shared" si="255"/>
        <v>0</v>
      </c>
      <c r="V349" s="1">
        <f t="shared" si="256"/>
        <v>0</v>
      </c>
      <c r="W349" s="1">
        <f t="shared" si="257"/>
        <v>0</v>
      </c>
      <c r="X349" s="1">
        <f t="shared" si="258"/>
        <v>0</v>
      </c>
      <c r="Y349" s="1">
        <f t="shared" si="259"/>
        <v>0</v>
      </c>
      <c r="Z349" s="1">
        <f t="shared" si="260"/>
        <v>0</v>
      </c>
      <c r="AA349" s="1">
        <f t="shared" si="261"/>
        <v>0</v>
      </c>
      <c r="AB349" s="1">
        <f t="shared" si="262"/>
        <v>0</v>
      </c>
      <c r="AD349" s="1">
        <f t="shared" si="263"/>
        <v>0</v>
      </c>
      <c r="AE349" s="1">
        <f t="shared" si="264"/>
        <v>1</v>
      </c>
      <c r="AF349" s="1">
        <f t="shared" si="249"/>
        <v>0</v>
      </c>
      <c r="AG349" s="1">
        <f t="shared" si="250"/>
        <v>1</v>
      </c>
      <c r="AH349" s="1">
        <f t="shared" si="251"/>
        <v>0</v>
      </c>
      <c r="AI349" s="1">
        <f t="shared" si="252"/>
        <v>1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1167</v>
      </c>
      <c r="E350" s="32" t="s">
        <v>1330</v>
      </c>
      <c r="F350" s="32" t="s">
        <v>1168</v>
      </c>
      <c r="G350" s="32" t="s">
        <v>1051</v>
      </c>
      <c r="H350" s="32" t="s">
        <v>352</v>
      </c>
      <c r="I350" s="31" t="s">
        <v>1169</v>
      </c>
      <c r="J350" s="31">
        <v>1</v>
      </c>
      <c r="K350" s="33" t="s">
        <v>709</v>
      </c>
      <c r="L350" s="33" t="s">
        <v>689</v>
      </c>
      <c r="M350" s="34" t="s">
        <v>1410</v>
      </c>
      <c r="N350" s="34" t="s">
        <v>1738</v>
      </c>
      <c r="O350" s="35">
        <v>1</v>
      </c>
      <c r="P350" s="35"/>
      <c r="Q350" s="32"/>
      <c r="S350" s="1">
        <f t="shared" si="253"/>
        <v>1</v>
      </c>
      <c r="T350" s="1">
        <f t="shared" si="254"/>
        <v>0</v>
      </c>
      <c r="U350" s="1">
        <f t="shared" si="255"/>
        <v>0</v>
      </c>
      <c r="V350" s="1">
        <f t="shared" si="256"/>
        <v>0</v>
      </c>
      <c r="W350" s="1">
        <f t="shared" si="257"/>
        <v>0</v>
      </c>
      <c r="X350" s="1">
        <f t="shared" si="258"/>
        <v>0</v>
      </c>
      <c r="Y350" s="1">
        <f t="shared" si="259"/>
        <v>0</v>
      </c>
      <c r="Z350" s="1">
        <f t="shared" si="260"/>
        <v>0</v>
      </c>
      <c r="AA350" s="1">
        <f t="shared" si="261"/>
        <v>0</v>
      </c>
      <c r="AB350" s="1">
        <f t="shared" si="262"/>
        <v>0</v>
      </c>
      <c r="AD350" s="1">
        <f t="shared" si="263"/>
        <v>0</v>
      </c>
      <c r="AE350" s="1">
        <f t="shared" si="264"/>
        <v>1</v>
      </c>
      <c r="AF350" s="1">
        <f t="shared" si="249"/>
        <v>0</v>
      </c>
      <c r="AG350" s="1">
        <f t="shared" si="250"/>
        <v>1</v>
      </c>
      <c r="AH350" s="1">
        <f t="shared" si="251"/>
        <v>0</v>
      </c>
      <c r="AI350" s="1">
        <f t="shared" si="252"/>
        <v>1</v>
      </c>
    </row>
    <row r="351" spans="1:35" ht="14.25" customHeight="1" x14ac:dyDescent="0.3">
      <c r="A351" s="31">
        <v>0</v>
      </c>
      <c r="B351" s="31">
        <v>2</v>
      </c>
      <c r="C351" s="31">
        <v>3</v>
      </c>
      <c r="D351" s="32" t="s">
        <v>1289</v>
      </c>
      <c r="E351" s="32" t="s">
        <v>32</v>
      </c>
      <c r="F351" s="32" t="s">
        <v>1290</v>
      </c>
      <c r="G351" s="32" t="s">
        <v>221</v>
      </c>
      <c r="H351" s="32" t="s">
        <v>352</v>
      </c>
      <c r="I351" s="31" t="s">
        <v>1684</v>
      </c>
      <c r="J351" s="31">
        <v>99</v>
      </c>
      <c r="K351" s="33" t="s">
        <v>709</v>
      </c>
      <c r="L351" s="33" t="s">
        <v>712</v>
      </c>
      <c r="M351" s="34" t="s">
        <v>1291</v>
      </c>
      <c r="N351" s="34" t="s">
        <v>1722</v>
      </c>
      <c r="O351" s="35">
        <v>1</v>
      </c>
      <c r="P351" s="35">
        <v>1</v>
      </c>
      <c r="Q351" s="32"/>
      <c r="S351" s="1">
        <f t="shared" si="253"/>
        <v>0</v>
      </c>
      <c r="T351" s="1">
        <f t="shared" si="254"/>
        <v>0</v>
      </c>
      <c r="U351" s="1">
        <f t="shared" si="255"/>
        <v>0</v>
      </c>
      <c r="V351" s="1">
        <f t="shared" si="256"/>
        <v>0</v>
      </c>
      <c r="W351" s="1">
        <f t="shared" si="257"/>
        <v>0</v>
      </c>
      <c r="X351" s="1">
        <f t="shared" si="258"/>
        <v>0</v>
      </c>
      <c r="Y351" s="1">
        <f t="shared" si="259"/>
        <v>0</v>
      </c>
      <c r="Z351" s="1">
        <f t="shared" si="260"/>
        <v>0</v>
      </c>
      <c r="AA351" s="1">
        <f t="shared" si="261"/>
        <v>0</v>
      </c>
      <c r="AB351" s="1">
        <f t="shared" si="262"/>
        <v>0</v>
      </c>
      <c r="AD351" s="1">
        <f t="shared" si="263"/>
        <v>1</v>
      </c>
      <c r="AE351" s="1">
        <f t="shared" si="264"/>
        <v>0</v>
      </c>
      <c r="AF351" s="1">
        <f t="shared" si="249"/>
        <v>1</v>
      </c>
      <c r="AG351" s="1">
        <f t="shared" si="250"/>
        <v>0</v>
      </c>
      <c r="AH351" s="1">
        <f t="shared" si="251"/>
        <v>1</v>
      </c>
      <c r="AI351" s="1">
        <f t="shared" si="252"/>
        <v>0</v>
      </c>
    </row>
    <row r="352" spans="1:35" ht="14.25" customHeight="1" x14ac:dyDescent="0.3">
      <c r="A352" s="31">
        <v>0</v>
      </c>
      <c r="B352" s="31">
        <v>2</v>
      </c>
      <c r="C352" s="31">
        <v>3</v>
      </c>
      <c r="D352" s="32" t="s">
        <v>757</v>
      </c>
      <c r="E352" s="32" t="s">
        <v>909</v>
      </c>
      <c r="F352" s="32" t="s">
        <v>758</v>
      </c>
      <c r="G352" s="32" t="s">
        <v>219</v>
      </c>
      <c r="H352" s="32" t="s">
        <v>352</v>
      </c>
      <c r="I352" s="31" t="s">
        <v>759</v>
      </c>
      <c r="J352" s="31">
        <v>8</v>
      </c>
      <c r="K352" s="33" t="s">
        <v>950</v>
      </c>
      <c r="L352" s="33" t="s">
        <v>725</v>
      </c>
      <c r="M352" s="34" t="s">
        <v>719</v>
      </c>
      <c r="N352" s="34" t="s">
        <v>1743</v>
      </c>
      <c r="O352" s="35">
        <v>1</v>
      </c>
      <c r="P352" s="35"/>
      <c r="Q352" s="32"/>
      <c r="S352" s="1">
        <f t="shared" si="253"/>
        <v>0</v>
      </c>
      <c r="T352" s="1">
        <f t="shared" si="254"/>
        <v>0</v>
      </c>
      <c r="U352" s="1">
        <f t="shared" si="255"/>
        <v>0</v>
      </c>
      <c r="V352" s="1">
        <f t="shared" si="256"/>
        <v>0</v>
      </c>
      <c r="W352" s="1">
        <f t="shared" si="257"/>
        <v>0</v>
      </c>
      <c r="X352" s="1">
        <f t="shared" si="258"/>
        <v>0</v>
      </c>
      <c r="Y352" s="1">
        <f t="shared" si="259"/>
        <v>0</v>
      </c>
      <c r="Z352" s="1">
        <f t="shared" si="260"/>
        <v>1</v>
      </c>
      <c r="AA352" s="1">
        <f t="shared" si="261"/>
        <v>0</v>
      </c>
      <c r="AB352" s="1">
        <f t="shared" si="262"/>
        <v>0</v>
      </c>
      <c r="AD352" s="1">
        <f t="shared" si="263"/>
        <v>0</v>
      </c>
      <c r="AE352" s="1">
        <f t="shared" si="264"/>
        <v>1</v>
      </c>
      <c r="AF352" s="1">
        <f t="shared" si="249"/>
        <v>0</v>
      </c>
      <c r="AG352" s="1">
        <f t="shared" si="250"/>
        <v>1</v>
      </c>
      <c r="AH352" s="1">
        <f t="shared" si="251"/>
        <v>0</v>
      </c>
      <c r="AI352" s="1">
        <f t="shared" si="252"/>
        <v>1</v>
      </c>
    </row>
    <row r="353" spans="1:35" ht="14.25" customHeight="1" x14ac:dyDescent="0.3">
      <c r="A353" s="44">
        <v>0</v>
      </c>
      <c r="B353" s="44">
        <v>2</v>
      </c>
      <c r="C353" s="44">
        <v>3</v>
      </c>
      <c r="D353" s="45" t="s">
        <v>1490</v>
      </c>
      <c r="E353" s="45" t="s">
        <v>1491</v>
      </c>
      <c r="F353" s="45" t="s">
        <v>1492</v>
      </c>
      <c r="G353" s="45" t="s">
        <v>237</v>
      </c>
      <c r="H353" s="45" t="s">
        <v>352</v>
      </c>
      <c r="I353" s="44" t="s">
        <v>1493</v>
      </c>
      <c r="J353" s="44">
        <v>4</v>
      </c>
      <c r="K353" s="46" t="s">
        <v>708</v>
      </c>
      <c r="L353" s="46">
        <v>15</v>
      </c>
      <c r="M353" s="47" t="s">
        <v>39</v>
      </c>
      <c r="N353" s="47" t="s">
        <v>1797</v>
      </c>
      <c r="O353" s="48"/>
      <c r="P353" s="48"/>
      <c r="Q353" s="45"/>
      <c r="S353" s="1">
        <f t="shared" si="253"/>
        <v>0</v>
      </c>
      <c r="T353" s="1">
        <f t="shared" si="254"/>
        <v>0</v>
      </c>
      <c r="U353" s="1">
        <f t="shared" si="255"/>
        <v>0</v>
      </c>
      <c r="V353" s="1">
        <f t="shared" si="256"/>
        <v>1</v>
      </c>
      <c r="W353" s="1">
        <f t="shared" si="257"/>
        <v>0</v>
      </c>
      <c r="X353" s="1">
        <f t="shared" si="258"/>
        <v>0</v>
      </c>
      <c r="Y353" s="1">
        <f t="shared" si="259"/>
        <v>0</v>
      </c>
      <c r="Z353" s="1">
        <f t="shared" si="260"/>
        <v>0</v>
      </c>
      <c r="AA353" s="1">
        <f t="shared" si="261"/>
        <v>0</v>
      </c>
      <c r="AB353" s="1">
        <f t="shared" si="262"/>
        <v>0</v>
      </c>
      <c r="AD353" s="1">
        <f t="shared" si="263"/>
        <v>0</v>
      </c>
      <c r="AE353" s="1">
        <f t="shared" si="264"/>
        <v>0</v>
      </c>
      <c r="AF353" s="1">
        <f t="shared" si="249"/>
        <v>0</v>
      </c>
      <c r="AG353" s="1">
        <f t="shared" si="250"/>
        <v>0</v>
      </c>
      <c r="AH353" s="1">
        <f t="shared" si="251"/>
        <v>0</v>
      </c>
      <c r="AI353" s="1">
        <f t="shared" si="252"/>
        <v>1</v>
      </c>
    </row>
    <row r="354" spans="1:35" ht="14.25" customHeight="1" x14ac:dyDescent="0.3">
      <c r="A354" s="31">
        <v>0</v>
      </c>
      <c r="B354" s="31">
        <v>2</v>
      </c>
      <c r="C354" s="31">
        <v>3</v>
      </c>
      <c r="D354" s="32" t="s">
        <v>1548</v>
      </c>
      <c r="E354" s="32" t="s">
        <v>1549</v>
      </c>
      <c r="F354" s="32" t="s">
        <v>1550</v>
      </c>
      <c r="G354" s="32" t="s">
        <v>1551</v>
      </c>
      <c r="H354" s="32" t="s">
        <v>352</v>
      </c>
      <c r="I354" s="31" t="s">
        <v>1552</v>
      </c>
      <c r="J354" s="31">
        <v>7</v>
      </c>
      <c r="K354" s="33" t="s">
        <v>950</v>
      </c>
      <c r="L354" s="33">
        <v>10</v>
      </c>
      <c r="M354" s="34" t="s">
        <v>39</v>
      </c>
      <c r="N354" s="34" t="s">
        <v>1738</v>
      </c>
      <c r="O354" s="35">
        <v>1</v>
      </c>
      <c r="P354" s="35"/>
      <c r="Q354" s="32"/>
      <c r="S354" s="1">
        <f t="shared" si="253"/>
        <v>0</v>
      </c>
      <c r="T354" s="1">
        <f t="shared" si="254"/>
        <v>0</v>
      </c>
      <c r="U354" s="1">
        <f t="shared" si="255"/>
        <v>0</v>
      </c>
      <c r="V354" s="1">
        <f t="shared" si="256"/>
        <v>0</v>
      </c>
      <c r="W354" s="1">
        <f t="shared" si="257"/>
        <v>0</v>
      </c>
      <c r="X354" s="1">
        <f t="shared" si="258"/>
        <v>0</v>
      </c>
      <c r="Y354" s="1">
        <f t="shared" si="259"/>
        <v>1</v>
      </c>
      <c r="Z354" s="1">
        <f t="shared" si="260"/>
        <v>0</v>
      </c>
      <c r="AA354" s="1">
        <f t="shared" si="261"/>
        <v>0</v>
      </c>
      <c r="AB354" s="1">
        <f t="shared" si="262"/>
        <v>0</v>
      </c>
      <c r="AD354" s="1">
        <f t="shared" si="263"/>
        <v>0</v>
      </c>
      <c r="AE354" s="1">
        <f t="shared" si="264"/>
        <v>1</v>
      </c>
      <c r="AF354" s="1">
        <f t="shared" si="249"/>
        <v>0</v>
      </c>
      <c r="AG354" s="1">
        <f t="shared" si="250"/>
        <v>1</v>
      </c>
      <c r="AH354" s="1">
        <f t="shared" si="251"/>
        <v>0</v>
      </c>
      <c r="AI354" s="1">
        <f t="shared" si="252"/>
        <v>1</v>
      </c>
    </row>
    <row r="355" spans="1:35" ht="14.25" customHeight="1" x14ac:dyDescent="0.3">
      <c r="A355" s="44">
        <v>0</v>
      </c>
      <c r="B355" s="44">
        <v>2</v>
      </c>
      <c r="C355" s="44">
        <v>3</v>
      </c>
      <c r="D355" s="45" t="s">
        <v>837</v>
      </c>
      <c r="E355" s="45" t="s">
        <v>32</v>
      </c>
      <c r="F355" s="45" t="s">
        <v>839</v>
      </c>
      <c r="G355" s="45" t="s">
        <v>39</v>
      </c>
      <c r="H355" s="45" t="s">
        <v>352</v>
      </c>
      <c r="I355" s="44" t="s">
        <v>838</v>
      </c>
      <c r="J355" s="44">
        <v>1</v>
      </c>
      <c r="K355" s="46" t="s">
        <v>709</v>
      </c>
      <c r="L355" s="46" t="s">
        <v>690</v>
      </c>
      <c r="M355" s="47" t="s">
        <v>1410</v>
      </c>
      <c r="N355" s="47" t="s">
        <v>1730</v>
      </c>
      <c r="O355" s="48"/>
      <c r="P355" s="48"/>
      <c r="Q355" s="45"/>
      <c r="S355" s="1">
        <f t="shared" si="253"/>
        <v>1</v>
      </c>
      <c r="T355" s="1">
        <f t="shared" si="254"/>
        <v>0</v>
      </c>
      <c r="U355" s="1">
        <f t="shared" si="255"/>
        <v>0</v>
      </c>
      <c r="V355" s="1">
        <f t="shared" si="256"/>
        <v>0</v>
      </c>
      <c r="W355" s="1">
        <f t="shared" si="257"/>
        <v>0</v>
      </c>
      <c r="X355" s="1">
        <f t="shared" si="258"/>
        <v>0</v>
      </c>
      <c r="Y355" s="1">
        <f t="shared" si="259"/>
        <v>0</v>
      </c>
      <c r="Z355" s="1">
        <f t="shared" si="260"/>
        <v>0</v>
      </c>
      <c r="AA355" s="1">
        <f t="shared" si="261"/>
        <v>0</v>
      </c>
      <c r="AB355" s="1">
        <f t="shared" si="262"/>
        <v>0</v>
      </c>
      <c r="AD355" s="1">
        <f t="shared" si="263"/>
        <v>0</v>
      </c>
      <c r="AE355" s="1">
        <f t="shared" si="264"/>
        <v>0</v>
      </c>
      <c r="AF355" s="1">
        <f t="shared" si="249"/>
        <v>0</v>
      </c>
      <c r="AG355" s="1">
        <f t="shared" si="250"/>
        <v>0</v>
      </c>
      <c r="AH355" s="1">
        <f t="shared" si="251"/>
        <v>0</v>
      </c>
      <c r="AI355" s="1">
        <f t="shared" si="252"/>
        <v>1</v>
      </c>
    </row>
    <row r="356" spans="1:35" ht="14.25" customHeight="1" x14ac:dyDescent="0.3">
      <c r="A356" s="15">
        <v>0</v>
      </c>
      <c r="B356" s="15">
        <v>2</v>
      </c>
      <c r="C356" s="15">
        <v>4</v>
      </c>
      <c r="D356" s="16" t="s">
        <v>760</v>
      </c>
      <c r="E356" s="16" t="s">
        <v>761</v>
      </c>
      <c r="F356" s="16" t="s">
        <v>762</v>
      </c>
      <c r="G356" s="16" t="s">
        <v>763</v>
      </c>
      <c r="H356" s="16" t="s">
        <v>352</v>
      </c>
      <c r="I356" s="15" t="s">
        <v>764</v>
      </c>
      <c r="J356" s="15">
        <v>99</v>
      </c>
      <c r="K356" s="10" t="s">
        <v>699</v>
      </c>
      <c r="L356" s="10">
        <v>15</v>
      </c>
      <c r="M356" s="19" t="s">
        <v>765</v>
      </c>
      <c r="N356" s="19"/>
      <c r="Q356" s="16"/>
      <c r="S356" s="1">
        <f t="shared" si="253"/>
        <v>0</v>
      </c>
      <c r="T356" s="1">
        <f t="shared" si="254"/>
        <v>0</v>
      </c>
      <c r="U356" s="1">
        <f t="shared" si="255"/>
        <v>0</v>
      </c>
      <c r="V356" s="1">
        <f t="shared" si="256"/>
        <v>0</v>
      </c>
      <c r="W356" s="1">
        <f t="shared" si="257"/>
        <v>0</v>
      </c>
      <c r="X356" s="1">
        <f t="shared" si="258"/>
        <v>0</v>
      </c>
      <c r="Y356" s="1">
        <f t="shared" si="259"/>
        <v>0</v>
      </c>
      <c r="Z356" s="1">
        <f t="shared" si="260"/>
        <v>0</v>
      </c>
      <c r="AA356" s="1">
        <f t="shared" si="261"/>
        <v>0</v>
      </c>
      <c r="AB356" s="1">
        <f t="shared" si="262"/>
        <v>0</v>
      </c>
      <c r="AD356" s="1">
        <f t="shared" si="263"/>
        <v>0</v>
      </c>
      <c r="AE356" s="1">
        <f t="shared" si="264"/>
        <v>0</v>
      </c>
      <c r="AF356" s="1">
        <f t="shared" si="249"/>
        <v>0</v>
      </c>
      <c r="AG356" s="1">
        <f t="shared" si="250"/>
        <v>0</v>
      </c>
      <c r="AH356" s="1">
        <f t="shared" si="251"/>
        <v>0</v>
      </c>
      <c r="AI356" s="1">
        <f t="shared" si="252"/>
        <v>1</v>
      </c>
    </row>
    <row r="357" spans="1:35" ht="14.25" customHeight="1" x14ac:dyDescent="0.3">
      <c r="A357" s="31">
        <v>0</v>
      </c>
      <c r="B357" s="31">
        <v>2</v>
      </c>
      <c r="C357" s="31">
        <v>4</v>
      </c>
      <c r="D357" s="32" t="s">
        <v>794</v>
      </c>
      <c r="E357" s="32" t="s">
        <v>904</v>
      </c>
      <c r="F357" s="32" t="s">
        <v>921</v>
      </c>
      <c r="G357" s="32" t="s">
        <v>207</v>
      </c>
      <c r="H357" s="32" t="s">
        <v>352</v>
      </c>
      <c r="I357" s="31" t="s">
        <v>1358</v>
      </c>
      <c r="J357" s="31">
        <v>3</v>
      </c>
      <c r="K357" s="33" t="s">
        <v>699</v>
      </c>
      <c r="L357" s="33">
        <v>20</v>
      </c>
      <c r="M357" s="34" t="s">
        <v>1412</v>
      </c>
      <c r="N357" s="34" t="s">
        <v>1820</v>
      </c>
      <c r="O357" s="35">
        <v>1</v>
      </c>
      <c r="P357" s="35"/>
      <c r="Q357" s="32"/>
      <c r="S357" s="1">
        <f t="shared" si="253"/>
        <v>0</v>
      </c>
      <c r="T357" s="1">
        <f t="shared" si="254"/>
        <v>0</v>
      </c>
      <c r="U357" s="1">
        <f t="shared" si="255"/>
        <v>1</v>
      </c>
      <c r="V357" s="1">
        <f t="shared" si="256"/>
        <v>0</v>
      </c>
      <c r="W357" s="1">
        <f t="shared" si="257"/>
        <v>0</v>
      </c>
      <c r="X357" s="1">
        <f t="shared" si="258"/>
        <v>0</v>
      </c>
      <c r="Y357" s="1">
        <f t="shared" si="259"/>
        <v>0</v>
      </c>
      <c r="Z357" s="1">
        <f t="shared" si="260"/>
        <v>0</v>
      </c>
      <c r="AA357" s="1">
        <f t="shared" si="261"/>
        <v>0</v>
      </c>
      <c r="AB357" s="1">
        <f t="shared" si="262"/>
        <v>0</v>
      </c>
      <c r="AD357" s="1">
        <f t="shared" si="263"/>
        <v>0</v>
      </c>
      <c r="AE357" s="1">
        <f t="shared" si="264"/>
        <v>1</v>
      </c>
      <c r="AF357" s="1">
        <f t="shared" si="249"/>
        <v>0</v>
      </c>
      <c r="AG357" s="1">
        <f t="shared" si="250"/>
        <v>1</v>
      </c>
      <c r="AH357" s="1">
        <f t="shared" si="251"/>
        <v>0</v>
      </c>
      <c r="AI357" s="1">
        <f t="shared" si="252"/>
        <v>1</v>
      </c>
    </row>
    <row r="358" spans="1:35" ht="14.25" customHeight="1" x14ac:dyDescent="0.3">
      <c r="A358" s="57">
        <v>0</v>
      </c>
      <c r="B358" s="57">
        <v>2</v>
      </c>
      <c r="C358" s="57">
        <v>4</v>
      </c>
      <c r="D358" s="58" t="s">
        <v>563</v>
      </c>
      <c r="E358" s="58" t="s">
        <v>37</v>
      </c>
      <c r="F358" s="58" t="s">
        <v>204</v>
      </c>
      <c r="G358" s="58" t="s">
        <v>39</v>
      </c>
      <c r="H358" s="58" t="s">
        <v>352</v>
      </c>
      <c r="I358" s="57" t="s">
        <v>387</v>
      </c>
      <c r="J358" s="57">
        <v>6</v>
      </c>
      <c r="K358" s="59" t="s">
        <v>699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53"/>
        <v>0</v>
      </c>
      <c r="T358" s="1">
        <f t="shared" si="254"/>
        <v>0</v>
      </c>
      <c r="U358" s="1">
        <f t="shared" si="255"/>
        <v>0</v>
      </c>
      <c r="V358" s="1">
        <f t="shared" si="256"/>
        <v>0</v>
      </c>
      <c r="W358" s="1">
        <f t="shared" si="257"/>
        <v>0</v>
      </c>
      <c r="X358" s="1">
        <f t="shared" si="258"/>
        <v>1</v>
      </c>
      <c r="Y358" s="1">
        <f t="shared" si="259"/>
        <v>0</v>
      </c>
      <c r="Z358" s="1">
        <f t="shared" si="260"/>
        <v>0</v>
      </c>
      <c r="AA358" s="1">
        <f t="shared" si="261"/>
        <v>0</v>
      </c>
      <c r="AB358" s="1">
        <f t="shared" si="262"/>
        <v>0</v>
      </c>
      <c r="AD358" s="1">
        <f t="shared" si="263"/>
        <v>0</v>
      </c>
      <c r="AE358" s="1">
        <f t="shared" si="264"/>
        <v>0</v>
      </c>
      <c r="AF358" s="1">
        <f t="shared" si="249"/>
        <v>0</v>
      </c>
      <c r="AG358" s="1">
        <f t="shared" si="250"/>
        <v>0</v>
      </c>
      <c r="AH358" s="1">
        <f t="shared" si="251"/>
        <v>0</v>
      </c>
      <c r="AI358" s="1">
        <f t="shared" si="252"/>
        <v>1</v>
      </c>
    </row>
    <row r="359" spans="1:35" ht="14.25" customHeight="1" x14ac:dyDescent="0.3">
      <c r="A359" s="44">
        <v>0</v>
      </c>
      <c r="B359" s="44">
        <v>2</v>
      </c>
      <c r="C359" s="44">
        <v>4</v>
      </c>
      <c r="D359" s="45" t="s">
        <v>649</v>
      </c>
      <c r="E359" s="45" t="s">
        <v>906</v>
      </c>
      <c r="F359" s="45" t="s">
        <v>620</v>
      </c>
      <c r="G359" s="45" t="s">
        <v>339</v>
      </c>
      <c r="H359" s="45" t="s">
        <v>352</v>
      </c>
      <c r="I359" s="44" t="s">
        <v>621</v>
      </c>
      <c r="J359" s="44">
        <v>10</v>
      </c>
      <c r="K359" s="46" t="s">
        <v>949</v>
      </c>
      <c r="L359" s="46" t="s">
        <v>700</v>
      </c>
      <c r="M359" s="47" t="s">
        <v>1413</v>
      </c>
      <c r="N359" s="47" t="s">
        <v>1729</v>
      </c>
      <c r="O359" s="48"/>
      <c r="P359" s="48"/>
      <c r="Q359" s="45"/>
      <c r="S359" s="1">
        <f t="shared" si="253"/>
        <v>0</v>
      </c>
      <c r="T359" s="1">
        <f t="shared" si="254"/>
        <v>0</v>
      </c>
      <c r="U359" s="1">
        <f t="shared" si="255"/>
        <v>0</v>
      </c>
      <c r="V359" s="1">
        <f t="shared" si="256"/>
        <v>0</v>
      </c>
      <c r="W359" s="1">
        <f t="shared" si="257"/>
        <v>0</v>
      </c>
      <c r="X359" s="1">
        <f t="shared" si="258"/>
        <v>0</v>
      </c>
      <c r="Y359" s="1">
        <f t="shared" si="259"/>
        <v>0</v>
      </c>
      <c r="Z359" s="1">
        <f t="shared" si="260"/>
        <v>0</v>
      </c>
      <c r="AA359" s="1">
        <f t="shared" si="261"/>
        <v>0</v>
      </c>
      <c r="AB359" s="1">
        <f t="shared" si="262"/>
        <v>1</v>
      </c>
      <c r="AD359" s="1">
        <f t="shared" si="263"/>
        <v>0</v>
      </c>
      <c r="AE359" s="1">
        <f t="shared" si="264"/>
        <v>0</v>
      </c>
      <c r="AF359" s="1">
        <f t="shared" si="249"/>
        <v>0</v>
      </c>
      <c r="AG359" s="1">
        <f t="shared" si="250"/>
        <v>0</v>
      </c>
      <c r="AH359" s="1">
        <f t="shared" si="251"/>
        <v>0</v>
      </c>
      <c r="AI359" s="1">
        <f t="shared" si="252"/>
        <v>1</v>
      </c>
    </row>
    <row r="360" spans="1:35" ht="14.25" customHeight="1" x14ac:dyDescent="0.3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265</v>
      </c>
      <c r="G360" s="32" t="s">
        <v>212</v>
      </c>
      <c r="H360" s="32" t="s">
        <v>352</v>
      </c>
      <c r="I360" s="31" t="s">
        <v>940</v>
      </c>
      <c r="J360" s="31">
        <v>1</v>
      </c>
      <c r="K360" s="33" t="s">
        <v>709</v>
      </c>
      <c r="L360" s="33" t="s">
        <v>700</v>
      </c>
      <c r="M360" s="34" t="s">
        <v>1414</v>
      </c>
      <c r="N360" s="34" t="s">
        <v>1738</v>
      </c>
      <c r="O360" s="35">
        <v>1</v>
      </c>
      <c r="P360" s="35"/>
      <c r="Q360" s="32"/>
      <c r="S360" s="1">
        <f t="shared" si="253"/>
        <v>1</v>
      </c>
      <c r="T360" s="1">
        <f t="shared" si="254"/>
        <v>0</v>
      </c>
      <c r="U360" s="1">
        <f t="shared" si="255"/>
        <v>0</v>
      </c>
      <c r="V360" s="1">
        <f t="shared" si="256"/>
        <v>0</v>
      </c>
      <c r="W360" s="1">
        <f t="shared" si="257"/>
        <v>0</v>
      </c>
      <c r="X360" s="1">
        <f t="shared" si="258"/>
        <v>0</v>
      </c>
      <c r="Y360" s="1">
        <f t="shared" si="259"/>
        <v>0</v>
      </c>
      <c r="Z360" s="1">
        <f t="shared" si="260"/>
        <v>0</v>
      </c>
      <c r="AA360" s="1">
        <f t="shared" si="261"/>
        <v>0</v>
      </c>
      <c r="AB360" s="1">
        <f t="shared" si="262"/>
        <v>0</v>
      </c>
      <c r="AD360" s="1">
        <f t="shared" si="263"/>
        <v>0</v>
      </c>
      <c r="AE360" s="1">
        <f t="shared" si="264"/>
        <v>1</v>
      </c>
      <c r="AF360" s="1">
        <f t="shared" si="249"/>
        <v>0</v>
      </c>
      <c r="AG360" s="1">
        <f t="shared" si="250"/>
        <v>1</v>
      </c>
      <c r="AH360" s="1">
        <f t="shared" si="251"/>
        <v>0</v>
      </c>
      <c r="AI360" s="1">
        <f t="shared" si="252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915</v>
      </c>
      <c r="E361" s="32" t="s">
        <v>908</v>
      </c>
      <c r="F361" s="32" t="s">
        <v>778</v>
      </c>
      <c r="G361" s="32" t="s">
        <v>283</v>
      </c>
      <c r="H361" s="32" t="s">
        <v>352</v>
      </c>
      <c r="I361" s="31" t="s">
        <v>941</v>
      </c>
      <c r="J361" s="31">
        <v>4</v>
      </c>
      <c r="K361" s="33" t="s">
        <v>709</v>
      </c>
      <c r="L361" s="33" t="s">
        <v>692</v>
      </c>
      <c r="M361" s="34" t="s">
        <v>1415</v>
      </c>
      <c r="N361" s="34" t="s">
        <v>1744</v>
      </c>
      <c r="O361" s="35">
        <v>1</v>
      </c>
      <c r="P361" s="35"/>
      <c r="Q361" s="32"/>
      <c r="S361" s="1">
        <f t="shared" si="253"/>
        <v>0</v>
      </c>
      <c r="T361" s="1">
        <f t="shared" si="254"/>
        <v>0</v>
      </c>
      <c r="U361" s="1">
        <f t="shared" si="255"/>
        <v>0</v>
      </c>
      <c r="V361" s="1">
        <f t="shared" si="256"/>
        <v>1</v>
      </c>
      <c r="W361" s="1">
        <f t="shared" si="257"/>
        <v>0</v>
      </c>
      <c r="X361" s="1">
        <f t="shared" si="258"/>
        <v>0</v>
      </c>
      <c r="Y361" s="1">
        <f t="shared" si="259"/>
        <v>0</v>
      </c>
      <c r="Z361" s="1">
        <f t="shared" si="260"/>
        <v>0</v>
      </c>
      <c r="AA361" s="1">
        <f t="shared" si="261"/>
        <v>0</v>
      </c>
      <c r="AB361" s="1">
        <f t="shared" si="262"/>
        <v>0</v>
      </c>
      <c r="AD361" s="1">
        <f t="shared" si="263"/>
        <v>0</v>
      </c>
      <c r="AE361" s="1">
        <f t="shared" si="264"/>
        <v>1</v>
      </c>
      <c r="AF361" s="1">
        <f t="shared" si="249"/>
        <v>0</v>
      </c>
      <c r="AG361" s="1">
        <f t="shared" si="250"/>
        <v>1</v>
      </c>
      <c r="AH361" s="1">
        <f t="shared" si="251"/>
        <v>0</v>
      </c>
      <c r="AI361" s="1">
        <f t="shared" si="252"/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625</v>
      </c>
      <c r="E362" s="16" t="s">
        <v>681</v>
      </c>
      <c r="F362" s="16" t="s">
        <v>666</v>
      </c>
      <c r="G362" s="16" t="s">
        <v>624</v>
      </c>
      <c r="H362" s="16" t="s">
        <v>352</v>
      </c>
      <c r="I362" s="15" t="s">
        <v>626</v>
      </c>
      <c r="J362" s="15">
        <v>99</v>
      </c>
      <c r="K362" s="10" t="s">
        <v>950</v>
      </c>
      <c r="L362" s="10" t="s">
        <v>39</v>
      </c>
      <c r="M362" s="19" t="s">
        <v>39</v>
      </c>
      <c r="N362" s="17"/>
      <c r="Q362" s="20" t="s">
        <v>1892</v>
      </c>
      <c r="S362" s="1">
        <f t="shared" si="253"/>
        <v>0</v>
      </c>
      <c r="T362" s="1">
        <f t="shared" si="254"/>
        <v>0</v>
      </c>
      <c r="U362" s="1">
        <f t="shared" si="255"/>
        <v>0</v>
      </c>
      <c r="V362" s="1">
        <f t="shared" si="256"/>
        <v>0</v>
      </c>
      <c r="W362" s="1">
        <f t="shared" si="257"/>
        <v>0</v>
      </c>
      <c r="X362" s="1">
        <f t="shared" si="258"/>
        <v>0</v>
      </c>
      <c r="Y362" s="1">
        <f t="shared" si="259"/>
        <v>0</v>
      </c>
      <c r="Z362" s="1">
        <f t="shared" si="260"/>
        <v>0</v>
      </c>
      <c r="AA362" s="1">
        <f t="shared" si="261"/>
        <v>0</v>
      </c>
      <c r="AB362" s="1">
        <f t="shared" si="262"/>
        <v>0</v>
      </c>
      <c r="AD362" s="1">
        <f t="shared" si="263"/>
        <v>0</v>
      </c>
      <c r="AE362" s="1">
        <f t="shared" si="264"/>
        <v>0</v>
      </c>
      <c r="AF362" s="1">
        <f t="shared" si="249"/>
        <v>0</v>
      </c>
      <c r="AG362" s="1">
        <f t="shared" si="250"/>
        <v>0</v>
      </c>
      <c r="AH362" s="1">
        <f t="shared" si="251"/>
        <v>0</v>
      </c>
      <c r="AI362" s="1">
        <f t="shared" si="252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276</v>
      </c>
      <c r="G363" s="32" t="s">
        <v>223</v>
      </c>
      <c r="H363" s="32" t="s">
        <v>352</v>
      </c>
      <c r="I363" s="31" t="s">
        <v>431</v>
      </c>
      <c r="J363" s="31">
        <v>99</v>
      </c>
      <c r="K363" s="33" t="s">
        <v>949</v>
      </c>
      <c r="L363" s="33" t="s">
        <v>700</v>
      </c>
      <c r="M363" s="34" t="s">
        <v>722</v>
      </c>
      <c r="N363" s="34" t="s">
        <v>1756</v>
      </c>
      <c r="O363" s="35">
        <v>1</v>
      </c>
      <c r="P363" s="35"/>
      <c r="Q363" s="32"/>
      <c r="S363" s="1">
        <f t="shared" si="253"/>
        <v>0</v>
      </c>
      <c r="T363" s="1">
        <f t="shared" si="254"/>
        <v>0</v>
      </c>
      <c r="U363" s="1">
        <f t="shared" si="255"/>
        <v>0</v>
      </c>
      <c r="V363" s="1">
        <f t="shared" si="256"/>
        <v>0</v>
      </c>
      <c r="W363" s="1">
        <f t="shared" si="257"/>
        <v>0</v>
      </c>
      <c r="X363" s="1">
        <f t="shared" si="258"/>
        <v>0</v>
      </c>
      <c r="Y363" s="1">
        <f t="shared" si="259"/>
        <v>0</v>
      </c>
      <c r="Z363" s="1">
        <f t="shared" si="260"/>
        <v>0</v>
      </c>
      <c r="AA363" s="1">
        <f t="shared" si="261"/>
        <v>0</v>
      </c>
      <c r="AB363" s="1">
        <f t="shared" si="262"/>
        <v>0</v>
      </c>
      <c r="AD363" s="1">
        <f t="shared" si="263"/>
        <v>0</v>
      </c>
      <c r="AE363" s="1">
        <f t="shared" si="264"/>
        <v>1</v>
      </c>
      <c r="AF363" s="1">
        <f t="shared" si="249"/>
        <v>0</v>
      </c>
      <c r="AG363" s="1">
        <f t="shared" si="250"/>
        <v>1</v>
      </c>
      <c r="AH363" s="1">
        <f t="shared" si="251"/>
        <v>0</v>
      </c>
      <c r="AI363" s="1">
        <f t="shared" si="252"/>
        <v>1</v>
      </c>
    </row>
    <row r="364" spans="1:35" ht="14.25" customHeight="1" x14ac:dyDescent="0.3">
      <c r="A364" s="15">
        <v>0</v>
      </c>
      <c r="B364" s="15">
        <v>2</v>
      </c>
      <c r="C364" s="15">
        <v>4</v>
      </c>
      <c r="D364" s="16" t="s">
        <v>875</v>
      </c>
      <c r="E364" s="16" t="s">
        <v>768</v>
      </c>
      <c r="F364" s="16" t="s">
        <v>873</v>
      </c>
      <c r="G364" s="16" t="s">
        <v>278</v>
      </c>
      <c r="H364" s="16" t="s">
        <v>352</v>
      </c>
      <c r="I364" s="15" t="s">
        <v>874</v>
      </c>
      <c r="J364" s="15">
        <v>99</v>
      </c>
      <c r="K364" s="10" t="s">
        <v>699</v>
      </c>
      <c r="L364" s="10">
        <v>25</v>
      </c>
      <c r="M364" s="19" t="s">
        <v>1416</v>
      </c>
      <c r="N364" s="19"/>
      <c r="Q364" s="16"/>
      <c r="S364" s="1">
        <f t="shared" si="253"/>
        <v>0</v>
      </c>
      <c r="T364" s="1">
        <f t="shared" si="254"/>
        <v>0</v>
      </c>
      <c r="U364" s="1">
        <f t="shared" si="255"/>
        <v>0</v>
      </c>
      <c r="V364" s="1">
        <f t="shared" si="256"/>
        <v>0</v>
      </c>
      <c r="W364" s="1">
        <f t="shared" si="257"/>
        <v>0</v>
      </c>
      <c r="X364" s="1">
        <f t="shared" si="258"/>
        <v>0</v>
      </c>
      <c r="Y364" s="1">
        <f t="shared" si="259"/>
        <v>0</v>
      </c>
      <c r="Z364" s="1">
        <f t="shared" si="260"/>
        <v>0</v>
      </c>
      <c r="AA364" s="1">
        <f t="shared" si="261"/>
        <v>0</v>
      </c>
      <c r="AB364" s="1">
        <f t="shared" si="262"/>
        <v>0</v>
      </c>
      <c r="AD364" s="1">
        <f t="shared" si="263"/>
        <v>0</v>
      </c>
      <c r="AE364" s="1">
        <f t="shared" si="264"/>
        <v>0</v>
      </c>
      <c r="AF364" s="1">
        <f t="shared" si="249"/>
        <v>0</v>
      </c>
      <c r="AG364" s="1">
        <f t="shared" si="250"/>
        <v>0</v>
      </c>
      <c r="AH364" s="1">
        <f t="shared" si="251"/>
        <v>0</v>
      </c>
      <c r="AI364" s="1">
        <f t="shared" si="252"/>
        <v>1</v>
      </c>
    </row>
    <row r="365" spans="1:35" ht="14.25" customHeight="1" x14ac:dyDescent="0.3">
      <c r="A365" s="31">
        <v>0</v>
      </c>
      <c r="B365" s="31">
        <v>2</v>
      </c>
      <c r="C365" s="31">
        <v>4</v>
      </c>
      <c r="D365" s="32" t="s">
        <v>918</v>
      </c>
      <c r="E365" s="32" t="s">
        <v>768</v>
      </c>
      <c r="F365" s="32" t="s">
        <v>840</v>
      </c>
      <c r="G365" s="32" t="s">
        <v>208</v>
      </c>
      <c r="H365" s="32" t="s">
        <v>352</v>
      </c>
      <c r="I365" s="31" t="s">
        <v>841</v>
      </c>
      <c r="J365" s="31">
        <v>99</v>
      </c>
      <c r="K365" s="33" t="s">
        <v>708</v>
      </c>
      <c r="L365" s="33" t="s">
        <v>700</v>
      </c>
      <c r="M365" s="34" t="s">
        <v>722</v>
      </c>
      <c r="N365" s="34" t="s">
        <v>1751</v>
      </c>
      <c r="O365" s="35">
        <v>1</v>
      </c>
      <c r="P365" s="35"/>
      <c r="Q365" s="32"/>
      <c r="S365" s="1">
        <f t="shared" si="253"/>
        <v>0</v>
      </c>
      <c r="T365" s="1">
        <f t="shared" si="254"/>
        <v>0</v>
      </c>
      <c r="U365" s="1">
        <f t="shared" si="255"/>
        <v>0</v>
      </c>
      <c r="V365" s="1">
        <f t="shared" si="256"/>
        <v>0</v>
      </c>
      <c r="W365" s="1">
        <f t="shared" si="257"/>
        <v>0</v>
      </c>
      <c r="X365" s="1">
        <f t="shared" si="258"/>
        <v>0</v>
      </c>
      <c r="Y365" s="1">
        <f t="shared" si="259"/>
        <v>0</v>
      </c>
      <c r="Z365" s="1">
        <f t="shared" si="260"/>
        <v>0</v>
      </c>
      <c r="AA365" s="1">
        <f t="shared" si="261"/>
        <v>0</v>
      </c>
      <c r="AB365" s="1">
        <f t="shared" si="262"/>
        <v>0</v>
      </c>
      <c r="AD365" s="1">
        <f t="shared" ref="AD365:AD367" si="265">+O365*P365</f>
        <v>0</v>
      </c>
      <c r="AE365" s="1">
        <f t="shared" ref="AE365:AE367" si="266">O365*(1-P365)</f>
        <v>1</v>
      </c>
      <c r="AF365" s="1">
        <f t="shared" ref="AF365:AF367" si="267">+O365*P365*(1-A365)</f>
        <v>0</v>
      </c>
      <c r="AG365" s="1">
        <f t="shared" ref="AG365:AG367" si="268">O365*(1-P365)*(1-A365)</f>
        <v>1</v>
      </c>
      <c r="AH365" s="1">
        <f t="shared" ref="AH365:AH367" si="269">+P365*(1-A365)</f>
        <v>0</v>
      </c>
      <c r="AI365" s="1">
        <f t="shared" ref="AI365:AI367" si="270">+(1-A365)*(1-P365)</f>
        <v>1</v>
      </c>
    </row>
    <row r="366" spans="1:35" ht="14.25" customHeight="1" x14ac:dyDescent="0.3">
      <c r="A366" s="31">
        <v>0</v>
      </c>
      <c r="B366" s="31">
        <v>2</v>
      </c>
      <c r="C366" s="31">
        <v>4</v>
      </c>
      <c r="D366" s="32" t="s">
        <v>2023</v>
      </c>
      <c r="E366" s="32" t="s">
        <v>35</v>
      </c>
      <c r="F366" s="32" t="s">
        <v>2024</v>
      </c>
      <c r="G366" s="32" t="s">
        <v>208</v>
      </c>
      <c r="H366" s="32" t="s">
        <v>352</v>
      </c>
      <c r="I366" s="31" t="s">
        <v>2025</v>
      </c>
      <c r="J366" s="31">
        <v>99</v>
      </c>
      <c r="K366" s="33" t="s">
        <v>699</v>
      </c>
      <c r="L366" s="33">
        <v>25</v>
      </c>
      <c r="M366" s="34" t="s">
        <v>2027</v>
      </c>
      <c r="N366" s="34" t="s">
        <v>1844</v>
      </c>
      <c r="O366" s="35">
        <v>1</v>
      </c>
      <c r="P366" s="35"/>
      <c r="Q366" s="32" t="s">
        <v>2026</v>
      </c>
      <c r="S366" s="1">
        <f t="shared" si="253"/>
        <v>0</v>
      </c>
      <c r="T366" s="1">
        <f t="shared" si="254"/>
        <v>0</v>
      </c>
      <c r="U366" s="1">
        <f t="shared" si="255"/>
        <v>0</v>
      </c>
      <c r="V366" s="1">
        <f t="shared" si="256"/>
        <v>0</v>
      </c>
      <c r="W366" s="1">
        <f t="shared" si="257"/>
        <v>0</v>
      </c>
      <c r="X366" s="1">
        <f t="shared" si="258"/>
        <v>0</v>
      </c>
      <c r="Y366" s="1">
        <f t="shared" si="259"/>
        <v>0</v>
      </c>
      <c r="Z366" s="1">
        <f t="shared" si="260"/>
        <v>0</v>
      </c>
      <c r="AA366" s="1">
        <f t="shared" si="261"/>
        <v>0</v>
      </c>
      <c r="AB366" s="1">
        <f t="shared" si="262"/>
        <v>0</v>
      </c>
      <c r="AD366" s="1">
        <f t="shared" si="265"/>
        <v>0</v>
      </c>
      <c r="AE366" s="1">
        <f t="shared" si="266"/>
        <v>1</v>
      </c>
      <c r="AF366" s="1">
        <f t="shared" si="267"/>
        <v>0</v>
      </c>
      <c r="AG366" s="1">
        <f t="shared" si="268"/>
        <v>1</v>
      </c>
      <c r="AH366" s="1">
        <f t="shared" si="269"/>
        <v>0</v>
      </c>
      <c r="AI366" s="1">
        <f t="shared" si="270"/>
        <v>1</v>
      </c>
    </row>
    <row r="367" spans="1:35" ht="14.25" customHeight="1" x14ac:dyDescent="0.3">
      <c r="A367" s="44">
        <v>0</v>
      </c>
      <c r="B367" s="44">
        <v>2</v>
      </c>
      <c r="C367" s="44">
        <v>4</v>
      </c>
      <c r="D367" s="45" t="s">
        <v>1218</v>
      </c>
      <c r="E367" s="45" t="s">
        <v>1217</v>
      </c>
      <c r="F367" s="45" t="s">
        <v>1219</v>
      </c>
      <c r="G367" s="45" t="s">
        <v>531</v>
      </c>
      <c r="H367" s="45" t="s">
        <v>352</v>
      </c>
      <c r="I367" s="44" t="s">
        <v>1220</v>
      </c>
      <c r="J367" s="44">
        <v>99</v>
      </c>
      <c r="K367" s="46" t="s">
        <v>709</v>
      </c>
      <c r="L367" s="46" t="s">
        <v>690</v>
      </c>
      <c r="M367" s="47" t="s">
        <v>1417</v>
      </c>
      <c r="N367" s="47" t="s">
        <v>1742</v>
      </c>
      <c r="O367" s="48"/>
      <c r="P367" s="48"/>
      <c r="Q367" s="45"/>
      <c r="S367" s="1">
        <f t="shared" si="253"/>
        <v>0</v>
      </c>
      <c r="T367" s="1">
        <f t="shared" si="254"/>
        <v>0</v>
      </c>
      <c r="U367" s="1">
        <f t="shared" si="255"/>
        <v>0</v>
      </c>
      <c r="V367" s="1">
        <f t="shared" si="256"/>
        <v>0</v>
      </c>
      <c r="W367" s="1">
        <f t="shared" si="257"/>
        <v>0</v>
      </c>
      <c r="X367" s="1">
        <f t="shared" si="258"/>
        <v>0</v>
      </c>
      <c r="Y367" s="1">
        <f t="shared" si="259"/>
        <v>0</v>
      </c>
      <c r="Z367" s="1">
        <f t="shared" si="260"/>
        <v>0</v>
      </c>
      <c r="AA367" s="1">
        <f t="shared" si="261"/>
        <v>0</v>
      </c>
      <c r="AB367" s="1">
        <f t="shared" si="262"/>
        <v>0</v>
      </c>
      <c r="AD367" s="1">
        <f t="shared" si="265"/>
        <v>0</v>
      </c>
      <c r="AE367" s="1">
        <f t="shared" si="266"/>
        <v>0</v>
      </c>
      <c r="AF367" s="1">
        <f t="shared" si="267"/>
        <v>0</v>
      </c>
      <c r="AG367" s="1">
        <f t="shared" si="268"/>
        <v>0</v>
      </c>
      <c r="AH367" s="1">
        <f t="shared" si="269"/>
        <v>0</v>
      </c>
      <c r="AI367" s="1">
        <f t="shared" si="270"/>
        <v>1</v>
      </c>
    </row>
    <row r="368" spans="1:35" ht="14.25" customHeight="1" x14ac:dyDescent="0.3">
      <c r="A368" s="31">
        <v>0</v>
      </c>
      <c r="B368" s="31">
        <v>2</v>
      </c>
      <c r="C368" s="31">
        <v>4</v>
      </c>
      <c r="D368" s="32" t="s">
        <v>819</v>
      </c>
      <c r="E368" s="32" t="s">
        <v>586</v>
      </c>
      <c r="F368" s="32" t="s">
        <v>820</v>
      </c>
      <c r="G368" s="32" t="s">
        <v>932</v>
      </c>
      <c r="H368" s="32" t="s">
        <v>352</v>
      </c>
      <c r="I368" s="31" t="s">
        <v>946</v>
      </c>
      <c r="J368" s="31">
        <v>7</v>
      </c>
      <c r="K368" s="33" t="s">
        <v>708</v>
      </c>
      <c r="L368" s="33" t="s">
        <v>39</v>
      </c>
      <c r="M368" s="34" t="s">
        <v>39</v>
      </c>
      <c r="N368" s="34" t="s">
        <v>1722</v>
      </c>
      <c r="O368" s="35">
        <v>1</v>
      </c>
      <c r="P368" s="35">
        <v>1</v>
      </c>
      <c r="Q368" s="32"/>
      <c r="S368" s="1">
        <f t="shared" si="253"/>
        <v>0</v>
      </c>
      <c r="T368" s="1">
        <f t="shared" si="254"/>
        <v>0</v>
      </c>
      <c r="U368" s="1">
        <f t="shared" si="255"/>
        <v>0</v>
      </c>
      <c r="V368" s="1">
        <f t="shared" si="256"/>
        <v>0</v>
      </c>
      <c r="W368" s="1">
        <f t="shared" si="257"/>
        <v>0</v>
      </c>
      <c r="X368" s="1">
        <f t="shared" si="258"/>
        <v>0</v>
      </c>
      <c r="Y368" s="1">
        <f t="shared" si="259"/>
        <v>1</v>
      </c>
      <c r="Z368" s="1">
        <f t="shared" si="260"/>
        <v>0</v>
      </c>
      <c r="AA368" s="1">
        <f t="shared" si="261"/>
        <v>0</v>
      </c>
      <c r="AB368" s="1">
        <f t="shared" si="262"/>
        <v>0</v>
      </c>
      <c r="AD368" s="1">
        <f t="shared" si="263"/>
        <v>1</v>
      </c>
      <c r="AE368" s="1">
        <f t="shared" si="264"/>
        <v>0</v>
      </c>
      <c r="AF368" s="1">
        <f t="shared" si="249"/>
        <v>1</v>
      </c>
      <c r="AG368" s="1">
        <f t="shared" si="250"/>
        <v>0</v>
      </c>
      <c r="AH368" s="1">
        <f t="shared" si="251"/>
        <v>1</v>
      </c>
      <c r="AI368" s="1">
        <f t="shared" si="252"/>
        <v>0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4</v>
      </c>
      <c r="D369" s="45" t="s">
        <v>1600</v>
      </c>
      <c r="E369" s="45" t="s">
        <v>1650</v>
      </c>
      <c r="F369" s="45" t="s">
        <v>1601</v>
      </c>
      <c r="G369" s="45" t="s">
        <v>331</v>
      </c>
      <c r="H369" s="45" t="s">
        <v>352</v>
      </c>
      <c r="I369" s="44" t="s">
        <v>30</v>
      </c>
      <c r="J369" s="44">
        <v>99</v>
      </c>
      <c r="K369" s="46" t="s">
        <v>709</v>
      </c>
      <c r="L369" s="46">
        <v>20</v>
      </c>
      <c r="M369" s="47" t="s">
        <v>39</v>
      </c>
      <c r="N369" s="47" t="s">
        <v>1736</v>
      </c>
      <c r="O369" s="48"/>
      <c r="P369" s="48"/>
      <c r="Q369" s="45"/>
      <c r="S369" s="1">
        <f t="shared" si="253"/>
        <v>0</v>
      </c>
      <c r="T369" s="1">
        <f t="shared" si="254"/>
        <v>0</v>
      </c>
      <c r="U369" s="1">
        <f t="shared" si="255"/>
        <v>0</v>
      </c>
      <c r="V369" s="1">
        <f t="shared" si="256"/>
        <v>0</v>
      </c>
      <c r="W369" s="1">
        <f t="shared" si="257"/>
        <v>0</v>
      </c>
      <c r="X369" s="1">
        <f t="shared" si="258"/>
        <v>0</v>
      </c>
      <c r="Y369" s="1">
        <f t="shared" si="259"/>
        <v>0</v>
      </c>
      <c r="Z369" s="1">
        <f t="shared" si="260"/>
        <v>0</v>
      </c>
      <c r="AA369" s="1">
        <f t="shared" si="261"/>
        <v>0</v>
      </c>
      <c r="AB369" s="1">
        <f t="shared" si="262"/>
        <v>0</v>
      </c>
      <c r="AD369" s="1">
        <f t="shared" ref="AD369:AD372" si="271">+O369*P369</f>
        <v>0</v>
      </c>
      <c r="AE369" s="1">
        <f t="shared" ref="AE369:AE372" si="272">O369*(1-P369)</f>
        <v>0</v>
      </c>
      <c r="AF369" s="1">
        <f t="shared" ref="AF369:AF372" si="273">+O369*P369*(1-A369)</f>
        <v>0</v>
      </c>
      <c r="AG369" s="1">
        <f t="shared" ref="AG369:AG372" si="274">O369*(1-P369)*(1-A369)</f>
        <v>0</v>
      </c>
      <c r="AH369" s="1">
        <f t="shared" ref="AH369:AH372" si="275">+P369*(1-A369)</f>
        <v>0</v>
      </c>
      <c r="AI369" s="1">
        <f t="shared" ref="AI369:AI372" si="276">+(1-A369)*(1-P369)</f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667</v>
      </c>
      <c r="G370" s="32" t="s">
        <v>222</v>
      </c>
      <c r="H370" s="32" t="s">
        <v>352</v>
      </c>
      <c r="I370" s="31" t="s">
        <v>395</v>
      </c>
      <c r="J370" s="31">
        <v>8</v>
      </c>
      <c r="K370" s="33" t="s">
        <v>709</v>
      </c>
      <c r="L370" s="33" t="s">
        <v>712</v>
      </c>
      <c r="M370" s="34" t="s">
        <v>1418</v>
      </c>
      <c r="N370" s="34" t="s">
        <v>1743</v>
      </c>
      <c r="O370" s="35">
        <v>1</v>
      </c>
      <c r="P370" s="35"/>
      <c r="Q370" s="32"/>
      <c r="S370" s="1">
        <f t="shared" si="253"/>
        <v>0</v>
      </c>
      <c r="T370" s="1">
        <f t="shared" si="254"/>
        <v>0</v>
      </c>
      <c r="U370" s="1">
        <f t="shared" si="255"/>
        <v>0</v>
      </c>
      <c r="V370" s="1">
        <f t="shared" si="256"/>
        <v>0</v>
      </c>
      <c r="W370" s="1">
        <f t="shared" si="257"/>
        <v>0</v>
      </c>
      <c r="X370" s="1">
        <f t="shared" si="258"/>
        <v>0</v>
      </c>
      <c r="Y370" s="1">
        <f t="shared" si="259"/>
        <v>0</v>
      </c>
      <c r="Z370" s="1">
        <f t="shared" si="260"/>
        <v>1</v>
      </c>
      <c r="AA370" s="1">
        <f t="shared" si="261"/>
        <v>0</v>
      </c>
      <c r="AB370" s="1">
        <f t="shared" si="262"/>
        <v>0</v>
      </c>
      <c r="AD370" s="1">
        <f t="shared" si="271"/>
        <v>0</v>
      </c>
      <c r="AE370" s="1">
        <f t="shared" si="272"/>
        <v>1</v>
      </c>
      <c r="AF370" s="1">
        <f t="shared" si="273"/>
        <v>0</v>
      </c>
      <c r="AG370" s="1">
        <f t="shared" si="274"/>
        <v>1</v>
      </c>
      <c r="AH370" s="1">
        <f t="shared" si="275"/>
        <v>0</v>
      </c>
      <c r="AI370" s="1">
        <f t="shared" si="276"/>
        <v>1</v>
      </c>
    </row>
    <row r="371" spans="1:4094 4097:8191 8194:12288 12291:16384" ht="14.25" customHeight="1" x14ac:dyDescent="0.3">
      <c r="A371" s="44">
        <v>0</v>
      </c>
      <c r="B371" s="44">
        <v>2</v>
      </c>
      <c r="C371" s="44">
        <v>5</v>
      </c>
      <c r="D371" s="45" t="s">
        <v>828</v>
      </c>
      <c r="E371" s="45" t="s">
        <v>827</v>
      </c>
      <c r="F371" s="45" t="s">
        <v>920</v>
      </c>
      <c r="G371" s="45" t="s">
        <v>212</v>
      </c>
      <c r="H371" s="45" t="s">
        <v>352</v>
      </c>
      <c r="I371" s="44" t="s">
        <v>829</v>
      </c>
      <c r="J371" s="44">
        <v>1</v>
      </c>
      <c r="K371" s="46" t="s">
        <v>708</v>
      </c>
      <c r="L371" s="46" t="s">
        <v>689</v>
      </c>
      <c r="M371" s="47" t="s">
        <v>1419</v>
      </c>
      <c r="N371" s="47" t="s">
        <v>1730</v>
      </c>
      <c r="O371" s="48"/>
      <c r="P371" s="48"/>
      <c r="Q371" s="45"/>
      <c r="S371" s="1">
        <f t="shared" si="253"/>
        <v>1</v>
      </c>
      <c r="T371" s="1">
        <f t="shared" si="254"/>
        <v>0</v>
      </c>
      <c r="U371" s="1">
        <f t="shared" si="255"/>
        <v>0</v>
      </c>
      <c r="V371" s="1">
        <f t="shared" si="256"/>
        <v>0</v>
      </c>
      <c r="W371" s="1">
        <f t="shared" si="257"/>
        <v>0</v>
      </c>
      <c r="X371" s="1">
        <f t="shared" si="258"/>
        <v>0</v>
      </c>
      <c r="Y371" s="1">
        <f t="shared" si="259"/>
        <v>0</v>
      </c>
      <c r="Z371" s="1">
        <f t="shared" si="260"/>
        <v>0</v>
      </c>
      <c r="AA371" s="1">
        <f t="shared" si="261"/>
        <v>0</v>
      </c>
      <c r="AB371" s="1">
        <f t="shared" si="262"/>
        <v>0</v>
      </c>
      <c r="AD371" s="1">
        <f t="shared" si="271"/>
        <v>0</v>
      </c>
      <c r="AE371" s="1">
        <f t="shared" si="272"/>
        <v>0</v>
      </c>
      <c r="AF371" s="1">
        <f t="shared" si="273"/>
        <v>0</v>
      </c>
      <c r="AG371" s="1">
        <f t="shared" si="274"/>
        <v>0</v>
      </c>
      <c r="AH371" s="1">
        <f t="shared" si="275"/>
        <v>0</v>
      </c>
      <c r="AI371" s="1">
        <f t="shared" si="276"/>
        <v>1</v>
      </c>
    </row>
    <row r="372" spans="1:4094 4097:8191 8194:12288 12291:16384" ht="14.25" customHeight="1" x14ac:dyDescent="0.3">
      <c r="A372" s="31">
        <v>0</v>
      </c>
      <c r="B372" s="31">
        <v>2</v>
      </c>
      <c r="C372" s="31">
        <v>5</v>
      </c>
      <c r="D372" s="36" t="s">
        <v>2056</v>
      </c>
      <c r="E372" s="36" t="s">
        <v>169</v>
      </c>
      <c r="F372" s="36" t="s">
        <v>2057</v>
      </c>
      <c r="G372" s="36" t="s">
        <v>1529</v>
      </c>
      <c r="H372" s="36" t="s">
        <v>352</v>
      </c>
      <c r="I372" s="37" t="s">
        <v>2058</v>
      </c>
      <c r="J372" s="31">
        <v>5</v>
      </c>
      <c r="K372" s="33" t="s">
        <v>699</v>
      </c>
      <c r="L372" s="33"/>
      <c r="M372" s="34"/>
      <c r="N372" s="34" t="s">
        <v>1722</v>
      </c>
      <c r="O372" s="35">
        <v>1</v>
      </c>
      <c r="P372" s="35">
        <v>1</v>
      </c>
      <c r="Q372" s="36" t="s">
        <v>2059</v>
      </c>
      <c r="S372" s="1">
        <f t="shared" si="253"/>
        <v>0</v>
      </c>
      <c r="T372" s="1">
        <f t="shared" si="254"/>
        <v>0</v>
      </c>
      <c r="U372" s="1">
        <f t="shared" si="255"/>
        <v>0</v>
      </c>
      <c r="V372" s="1">
        <f t="shared" si="256"/>
        <v>0</v>
      </c>
      <c r="W372" s="1">
        <f t="shared" si="257"/>
        <v>1</v>
      </c>
      <c r="X372" s="1">
        <f t="shared" si="258"/>
        <v>0</v>
      </c>
      <c r="Y372" s="1">
        <f t="shared" si="259"/>
        <v>0</v>
      </c>
      <c r="Z372" s="1">
        <f t="shared" si="260"/>
        <v>0</v>
      </c>
      <c r="AA372" s="1">
        <f t="shared" si="261"/>
        <v>0</v>
      </c>
      <c r="AB372" s="1">
        <f t="shared" si="262"/>
        <v>0</v>
      </c>
      <c r="AD372" s="1">
        <f t="shared" si="271"/>
        <v>1</v>
      </c>
      <c r="AE372" s="1">
        <f t="shared" si="272"/>
        <v>0</v>
      </c>
      <c r="AF372" s="1">
        <f t="shared" si="273"/>
        <v>1</v>
      </c>
      <c r="AG372" s="1">
        <f t="shared" si="274"/>
        <v>0</v>
      </c>
      <c r="AH372" s="1">
        <f t="shared" si="275"/>
        <v>1</v>
      </c>
      <c r="AI372" s="1">
        <f t="shared" si="276"/>
        <v>0</v>
      </c>
    </row>
    <row r="373" spans="1:4094 4097:8191 8194:12288 12291:16384" ht="14.25" customHeight="1" x14ac:dyDescent="0.3">
      <c r="A373" s="31">
        <v>0</v>
      </c>
      <c r="B373" s="31">
        <v>2</v>
      </c>
      <c r="C373" s="31">
        <v>5</v>
      </c>
      <c r="D373" s="32" t="s">
        <v>65</v>
      </c>
      <c r="E373" s="32" t="s">
        <v>163</v>
      </c>
      <c r="F373" s="32" t="s">
        <v>543</v>
      </c>
      <c r="G373" s="32" t="s">
        <v>193</v>
      </c>
      <c r="H373" s="32" t="s">
        <v>352</v>
      </c>
      <c r="I373" s="31" t="s">
        <v>548</v>
      </c>
      <c r="J373" s="31">
        <v>9</v>
      </c>
      <c r="K373" s="33" t="s">
        <v>709</v>
      </c>
      <c r="L373" s="33" t="s">
        <v>683</v>
      </c>
      <c r="M373" s="34" t="s">
        <v>1438</v>
      </c>
      <c r="N373" s="34" t="s">
        <v>1756</v>
      </c>
      <c r="O373" s="35">
        <v>1</v>
      </c>
      <c r="P373" s="35"/>
      <c r="Q373" s="32"/>
      <c r="S373" s="1">
        <f t="shared" si="253"/>
        <v>0</v>
      </c>
      <c r="T373" s="1">
        <f t="shared" si="254"/>
        <v>0</v>
      </c>
      <c r="U373" s="1">
        <f t="shared" si="255"/>
        <v>0</v>
      </c>
      <c r="V373" s="1">
        <f t="shared" si="256"/>
        <v>0</v>
      </c>
      <c r="W373" s="1">
        <f t="shared" si="257"/>
        <v>0</v>
      </c>
      <c r="X373" s="1">
        <f t="shared" si="258"/>
        <v>0</v>
      </c>
      <c r="Y373" s="1">
        <f t="shared" si="259"/>
        <v>0</v>
      </c>
      <c r="Z373" s="1">
        <f t="shared" si="260"/>
        <v>0</v>
      </c>
      <c r="AA373" s="1">
        <f t="shared" si="261"/>
        <v>1</v>
      </c>
      <c r="AB373" s="1">
        <f t="shared" si="262"/>
        <v>0</v>
      </c>
      <c r="AD373" s="1">
        <f t="shared" si="263"/>
        <v>0</v>
      </c>
      <c r="AE373" s="1">
        <f t="shared" si="264"/>
        <v>1</v>
      </c>
      <c r="AF373" s="1">
        <f t="shared" si="249"/>
        <v>0</v>
      </c>
      <c r="AG373" s="1">
        <f t="shared" si="250"/>
        <v>1</v>
      </c>
      <c r="AH373" s="1">
        <f t="shared" si="251"/>
        <v>0</v>
      </c>
      <c r="AI373" s="1">
        <f t="shared" si="252"/>
        <v>1</v>
      </c>
    </row>
    <row r="374" spans="1:4094 4097:8191 8194:12288 12291:16384" ht="14.25" customHeight="1" x14ac:dyDescent="0.3">
      <c r="A374" s="44">
        <v>0</v>
      </c>
      <c r="B374" s="44">
        <v>2</v>
      </c>
      <c r="C374" s="44">
        <v>5</v>
      </c>
      <c r="D374" s="45" t="s">
        <v>1481</v>
      </c>
      <c r="E374" s="45" t="s">
        <v>35</v>
      </c>
      <c r="F374" s="65" t="s">
        <v>1868</v>
      </c>
      <c r="G374" s="45" t="s">
        <v>221</v>
      </c>
      <c r="H374" s="45" t="s">
        <v>352</v>
      </c>
      <c r="I374" s="44" t="s">
        <v>1681</v>
      </c>
      <c r="J374" s="44">
        <v>99</v>
      </c>
      <c r="K374" s="46" t="s">
        <v>709</v>
      </c>
      <c r="L374" s="46">
        <v>25</v>
      </c>
      <c r="M374" s="47" t="s">
        <v>39</v>
      </c>
      <c r="N374" s="47" t="s">
        <v>1732</v>
      </c>
      <c r="O374" s="48"/>
      <c r="P374" s="48"/>
      <c r="Q374" s="45"/>
      <c r="S374" s="1">
        <f t="shared" si="253"/>
        <v>0</v>
      </c>
      <c r="T374" s="1">
        <f t="shared" si="254"/>
        <v>0</v>
      </c>
      <c r="U374" s="1">
        <f t="shared" si="255"/>
        <v>0</v>
      </c>
      <c r="V374" s="1">
        <f t="shared" si="256"/>
        <v>0</v>
      </c>
      <c r="W374" s="1">
        <f t="shared" si="257"/>
        <v>0</v>
      </c>
      <c r="X374" s="1">
        <f t="shared" si="258"/>
        <v>0</v>
      </c>
      <c r="Y374" s="1">
        <f t="shared" si="259"/>
        <v>0</v>
      </c>
      <c r="Z374" s="1">
        <f t="shared" si="260"/>
        <v>0</v>
      </c>
      <c r="AA374" s="1">
        <f t="shared" si="261"/>
        <v>0</v>
      </c>
      <c r="AB374" s="1">
        <f t="shared" si="262"/>
        <v>0</v>
      </c>
      <c r="AD374" s="1">
        <f t="shared" si="263"/>
        <v>0</v>
      </c>
      <c r="AE374" s="1">
        <f t="shared" si="264"/>
        <v>0</v>
      </c>
      <c r="AF374" s="1">
        <f t="shared" si="249"/>
        <v>0</v>
      </c>
      <c r="AG374" s="1">
        <f t="shared" si="250"/>
        <v>0</v>
      </c>
      <c r="AH374" s="1">
        <f t="shared" si="251"/>
        <v>0</v>
      </c>
      <c r="AI374" s="1">
        <f t="shared" si="252"/>
        <v>1</v>
      </c>
    </row>
    <row r="375" spans="1:4094 4097:8191 8194:12288 12291:16384" ht="14.25" customHeight="1" x14ac:dyDescent="0.3">
      <c r="A375" s="31">
        <v>0</v>
      </c>
      <c r="B375" s="31">
        <v>2</v>
      </c>
      <c r="C375" s="31">
        <v>5</v>
      </c>
      <c r="D375" s="32" t="s">
        <v>1814</v>
      </c>
      <c r="E375" s="32" t="s">
        <v>768</v>
      </c>
      <c r="F375" s="32" t="s">
        <v>1815</v>
      </c>
      <c r="G375" s="32" t="s">
        <v>223</v>
      </c>
      <c r="H375" s="32" t="s">
        <v>352</v>
      </c>
      <c r="I375" s="31" t="s">
        <v>1816</v>
      </c>
      <c r="J375" s="31">
        <v>99</v>
      </c>
      <c r="K375" s="33" t="s">
        <v>1817</v>
      </c>
      <c r="L375" s="33">
        <v>40</v>
      </c>
      <c r="M375" s="34" t="s">
        <v>1818</v>
      </c>
      <c r="N375" s="34" t="s">
        <v>1844</v>
      </c>
      <c r="O375" s="35">
        <v>1</v>
      </c>
      <c r="P375" s="35"/>
      <c r="Q375" s="32"/>
      <c r="S375" s="1">
        <f t="shared" si="253"/>
        <v>0</v>
      </c>
      <c r="T375" s="1">
        <f t="shared" si="254"/>
        <v>0</v>
      </c>
      <c r="U375" s="1">
        <f t="shared" si="255"/>
        <v>0</v>
      </c>
      <c r="V375" s="1">
        <f t="shared" si="256"/>
        <v>0</v>
      </c>
      <c r="W375" s="1">
        <f t="shared" si="257"/>
        <v>0</v>
      </c>
      <c r="X375" s="1">
        <f t="shared" si="258"/>
        <v>0</v>
      </c>
      <c r="Y375" s="1">
        <f t="shared" si="259"/>
        <v>0</v>
      </c>
      <c r="Z375" s="1">
        <f t="shared" si="260"/>
        <v>0</v>
      </c>
      <c r="AA375" s="1">
        <f t="shared" si="261"/>
        <v>0</v>
      </c>
      <c r="AB375" s="1">
        <f t="shared" si="262"/>
        <v>0</v>
      </c>
      <c r="AD375" s="1">
        <f t="shared" si="263"/>
        <v>0</v>
      </c>
      <c r="AE375" s="1">
        <f t="shared" si="264"/>
        <v>1</v>
      </c>
      <c r="AF375" s="1">
        <f t="shared" si="249"/>
        <v>0</v>
      </c>
      <c r="AG375" s="1">
        <f t="shared" si="250"/>
        <v>1</v>
      </c>
      <c r="AH375" s="1">
        <f t="shared" si="251"/>
        <v>0</v>
      </c>
      <c r="AI375" s="1">
        <f t="shared" si="252"/>
        <v>1</v>
      </c>
    </row>
    <row r="376" spans="1:4094 4097:8191 8194:12288 12291:16384" ht="14.25" customHeight="1" x14ac:dyDescent="0.3">
      <c r="A376" s="31">
        <v>0</v>
      </c>
      <c r="B376" s="31">
        <v>2</v>
      </c>
      <c r="C376" s="31">
        <v>5</v>
      </c>
      <c r="D376" s="32" t="s">
        <v>612</v>
      </c>
      <c r="E376" s="32" t="s">
        <v>682</v>
      </c>
      <c r="F376" s="32" t="s">
        <v>613</v>
      </c>
      <c r="G376" s="32" t="s">
        <v>285</v>
      </c>
      <c r="H376" s="32" t="s">
        <v>352</v>
      </c>
      <c r="I376" s="31" t="s">
        <v>614</v>
      </c>
      <c r="J376" s="31">
        <v>99</v>
      </c>
      <c r="K376" s="33" t="s">
        <v>708</v>
      </c>
      <c r="L376" s="33" t="s">
        <v>700</v>
      </c>
      <c r="M376" s="34" t="s">
        <v>1420</v>
      </c>
      <c r="N376" s="34" t="s">
        <v>1738</v>
      </c>
      <c r="O376" s="35">
        <v>1</v>
      </c>
      <c r="P376" s="35"/>
      <c r="Q376" s="32"/>
      <c r="S376" s="1">
        <f t="shared" si="253"/>
        <v>0</v>
      </c>
      <c r="T376" s="1">
        <f t="shared" si="254"/>
        <v>0</v>
      </c>
      <c r="U376" s="1">
        <f t="shared" si="255"/>
        <v>0</v>
      </c>
      <c r="V376" s="1">
        <f t="shared" si="256"/>
        <v>0</v>
      </c>
      <c r="W376" s="1">
        <f t="shared" si="257"/>
        <v>0</v>
      </c>
      <c r="X376" s="1">
        <f t="shared" si="258"/>
        <v>0</v>
      </c>
      <c r="Y376" s="1">
        <f t="shared" si="259"/>
        <v>0</v>
      </c>
      <c r="Z376" s="1">
        <f t="shared" si="260"/>
        <v>0</v>
      </c>
      <c r="AA376" s="1">
        <f t="shared" si="261"/>
        <v>0</v>
      </c>
      <c r="AB376" s="1">
        <f t="shared" si="262"/>
        <v>0</v>
      </c>
      <c r="AD376" s="1">
        <f t="shared" si="263"/>
        <v>0</v>
      </c>
      <c r="AE376" s="1">
        <f t="shared" si="264"/>
        <v>1</v>
      </c>
      <c r="AF376" s="1">
        <f t="shared" si="249"/>
        <v>0</v>
      </c>
      <c r="AG376" s="1">
        <f t="shared" si="250"/>
        <v>1</v>
      </c>
      <c r="AH376" s="1">
        <f t="shared" si="251"/>
        <v>0</v>
      </c>
      <c r="AI376" s="1">
        <f t="shared" si="252"/>
        <v>1</v>
      </c>
    </row>
    <row r="377" spans="1:4094 4097:8191 8194:12288 12291:16384" ht="14.25" customHeight="1" x14ac:dyDescent="0.3">
      <c r="A377" s="44">
        <v>0</v>
      </c>
      <c r="B377" s="44">
        <v>2</v>
      </c>
      <c r="C377" s="44">
        <v>5</v>
      </c>
      <c r="D377" s="45" t="s">
        <v>1483</v>
      </c>
      <c r="E377" s="45" t="s">
        <v>768</v>
      </c>
      <c r="F377" s="45" t="s">
        <v>1484</v>
      </c>
      <c r="G377" s="45" t="s">
        <v>195</v>
      </c>
      <c r="H377" s="45" t="s">
        <v>352</v>
      </c>
      <c r="I377" s="44" t="s">
        <v>1485</v>
      </c>
      <c r="J377" s="44">
        <v>99</v>
      </c>
      <c r="K377" s="46" t="s">
        <v>949</v>
      </c>
      <c r="L377" s="46" t="s">
        <v>689</v>
      </c>
      <c r="M377" s="47" t="s">
        <v>1411</v>
      </c>
      <c r="N377" s="47" t="s">
        <v>1730</v>
      </c>
      <c r="O377" s="48"/>
      <c r="P377" s="48"/>
      <c r="Q377" s="45"/>
      <c r="R377" s="15"/>
      <c r="S377" s="15">
        <f t="shared" si="253"/>
        <v>0</v>
      </c>
      <c r="T377" s="15">
        <f t="shared" si="254"/>
        <v>0</v>
      </c>
      <c r="U377" s="15">
        <f t="shared" si="255"/>
        <v>0</v>
      </c>
      <c r="V377" s="15">
        <f t="shared" si="256"/>
        <v>0</v>
      </c>
      <c r="W377" s="15">
        <f t="shared" si="257"/>
        <v>0</v>
      </c>
      <c r="X377" s="15">
        <f t="shared" si="258"/>
        <v>0</v>
      </c>
      <c r="Y377" s="15">
        <f t="shared" si="259"/>
        <v>0</v>
      </c>
      <c r="Z377" s="15">
        <f t="shared" si="260"/>
        <v>0</v>
      </c>
      <c r="AA377" s="15">
        <f t="shared" si="261"/>
        <v>0</v>
      </c>
      <c r="AB377" s="10">
        <f t="shared" si="262"/>
        <v>0</v>
      </c>
      <c r="AC377" s="10"/>
      <c r="AD377" s="21">
        <f t="shared" si="263"/>
        <v>0</v>
      </c>
      <c r="AE377" s="21">
        <f t="shared" si="264"/>
        <v>0</v>
      </c>
      <c r="AF377" s="1">
        <f t="shared" si="249"/>
        <v>0</v>
      </c>
      <c r="AG377" s="1">
        <f t="shared" si="250"/>
        <v>0</v>
      </c>
      <c r="AH377" s="21">
        <f t="shared" si="251"/>
        <v>0</v>
      </c>
      <c r="AI377" s="15">
        <f t="shared" si="252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3">
      <c r="A378" s="44">
        <v>0</v>
      </c>
      <c r="B378" s="44">
        <v>2</v>
      </c>
      <c r="C378" s="44">
        <v>5</v>
      </c>
      <c r="D378" s="45" t="s">
        <v>771</v>
      </c>
      <c r="E378" s="45" t="s">
        <v>768</v>
      </c>
      <c r="F378" s="45" t="s">
        <v>773</v>
      </c>
      <c r="G378" s="45" t="s">
        <v>206</v>
      </c>
      <c r="H378" s="45" t="s">
        <v>352</v>
      </c>
      <c r="I378" s="44" t="s">
        <v>772</v>
      </c>
      <c r="J378" s="44">
        <v>99</v>
      </c>
      <c r="K378" s="46" t="s">
        <v>708</v>
      </c>
      <c r="L378" s="46" t="s">
        <v>690</v>
      </c>
      <c r="M378" s="47" t="s">
        <v>1421</v>
      </c>
      <c r="N378" s="47" t="s">
        <v>1730</v>
      </c>
      <c r="O378" s="48"/>
      <c r="P378" s="48"/>
      <c r="Q378" s="45"/>
      <c r="S378" s="1">
        <f t="shared" si="253"/>
        <v>0</v>
      </c>
      <c r="T378" s="1">
        <f t="shared" si="254"/>
        <v>0</v>
      </c>
      <c r="U378" s="1">
        <f t="shared" si="255"/>
        <v>0</v>
      </c>
      <c r="V378" s="1">
        <f t="shared" si="256"/>
        <v>0</v>
      </c>
      <c r="W378" s="1">
        <f t="shared" si="257"/>
        <v>0</v>
      </c>
      <c r="X378" s="1">
        <f t="shared" si="258"/>
        <v>0</v>
      </c>
      <c r="Y378" s="1">
        <f t="shared" si="259"/>
        <v>0</v>
      </c>
      <c r="Z378" s="1">
        <f t="shared" si="260"/>
        <v>0</v>
      </c>
      <c r="AA378" s="1">
        <f t="shared" si="261"/>
        <v>0</v>
      </c>
      <c r="AB378" s="1">
        <f t="shared" si="262"/>
        <v>0</v>
      </c>
      <c r="AD378" s="1">
        <f t="shared" si="263"/>
        <v>0</v>
      </c>
      <c r="AE378" s="1">
        <f t="shared" si="264"/>
        <v>0</v>
      </c>
      <c r="AF378" s="1">
        <f t="shared" si="249"/>
        <v>0</v>
      </c>
      <c r="AG378" s="1">
        <f t="shared" si="250"/>
        <v>0</v>
      </c>
      <c r="AH378" s="1">
        <f t="shared" si="251"/>
        <v>0</v>
      </c>
      <c r="AI378" s="1">
        <f t="shared" si="252"/>
        <v>1</v>
      </c>
    </row>
    <row r="379" spans="1:4094 4097:8191 8194:12288 12291:16384" ht="14.25" customHeight="1" x14ac:dyDescent="0.3">
      <c r="A379" s="44">
        <v>1</v>
      </c>
      <c r="B379" s="44">
        <v>2</v>
      </c>
      <c r="C379" s="44">
        <v>5</v>
      </c>
      <c r="D379" s="45" t="s">
        <v>771</v>
      </c>
      <c r="E379" s="45" t="s">
        <v>768</v>
      </c>
      <c r="F379" s="45" t="s">
        <v>1001</v>
      </c>
      <c r="G379" s="45" t="s">
        <v>189</v>
      </c>
      <c r="H379" s="45" t="s">
        <v>352</v>
      </c>
      <c r="I379" s="44" t="s">
        <v>1002</v>
      </c>
      <c r="J379" s="44">
        <v>99</v>
      </c>
      <c r="K379" s="46" t="s">
        <v>708</v>
      </c>
      <c r="L379" s="46" t="s">
        <v>690</v>
      </c>
      <c r="M379" s="47" t="s">
        <v>1421</v>
      </c>
      <c r="N379" s="47" t="s">
        <v>1730</v>
      </c>
      <c r="O379" s="48"/>
      <c r="P379" s="48"/>
      <c r="Q379" s="45"/>
      <c r="S379" s="1">
        <f t="shared" si="253"/>
        <v>0</v>
      </c>
      <c r="T379" s="1">
        <f t="shared" si="254"/>
        <v>0</v>
      </c>
      <c r="U379" s="1">
        <f t="shared" si="255"/>
        <v>0</v>
      </c>
      <c r="V379" s="1">
        <f t="shared" si="256"/>
        <v>0</v>
      </c>
      <c r="W379" s="1">
        <f t="shared" si="257"/>
        <v>0</v>
      </c>
      <c r="X379" s="1">
        <f t="shared" si="258"/>
        <v>0</v>
      </c>
      <c r="Y379" s="1">
        <f t="shared" si="259"/>
        <v>0</v>
      </c>
      <c r="Z379" s="1">
        <f t="shared" si="260"/>
        <v>0</v>
      </c>
      <c r="AA379" s="1">
        <f t="shared" si="261"/>
        <v>0</v>
      </c>
      <c r="AB379" s="1">
        <f t="shared" si="262"/>
        <v>0</v>
      </c>
      <c r="AD379" s="1">
        <f t="shared" si="263"/>
        <v>0</v>
      </c>
      <c r="AE379" s="1">
        <f t="shared" si="264"/>
        <v>0</v>
      </c>
      <c r="AF379" s="1">
        <f t="shared" si="249"/>
        <v>0</v>
      </c>
      <c r="AG379" s="1">
        <f t="shared" si="250"/>
        <v>0</v>
      </c>
      <c r="AH379" s="1">
        <f t="shared" si="251"/>
        <v>0</v>
      </c>
      <c r="AI379" s="1">
        <f t="shared" si="252"/>
        <v>0</v>
      </c>
    </row>
    <row r="380" spans="1:4094 4097:8191 8194:12288 12291:16384" ht="14.25" customHeight="1" x14ac:dyDescent="0.3">
      <c r="A380" s="15">
        <v>0</v>
      </c>
      <c r="B380" s="15">
        <v>2</v>
      </c>
      <c r="C380" s="15">
        <v>5</v>
      </c>
      <c r="D380" s="16" t="s">
        <v>912</v>
      </c>
      <c r="E380" s="16" t="s">
        <v>907</v>
      </c>
      <c r="F380" s="16" t="s">
        <v>925</v>
      </c>
      <c r="G380" s="16" t="s">
        <v>1345</v>
      </c>
      <c r="H380" s="16" t="s">
        <v>352</v>
      </c>
      <c r="I380" s="15" t="s">
        <v>766</v>
      </c>
      <c r="J380" s="15">
        <v>99</v>
      </c>
      <c r="K380" s="10" t="s">
        <v>699</v>
      </c>
      <c r="L380" s="10">
        <v>20</v>
      </c>
      <c r="M380" s="19" t="s">
        <v>1422</v>
      </c>
      <c r="N380" s="19"/>
      <c r="Q380" s="16"/>
      <c r="S380" s="1">
        <f t="shared" si="253"/>
        <v>0</v>
      </c>
      <c r="T380" s="1">
        <f t="shared" si="254"/>
        <v>0</v>
      </c>
      <c r="U380" s="1">
        <f t="shared" si="255"/>
        <v>0</v>
      </c>
      <c r="V380" s="1">
        <f t="shared" si="256"/>
        <v>0</v>
      </c>
      <c r="W380" s="1">
        <f t="shared" si="257"/>
        <v>0</v>
      </c>
      <c r="X380" s="1">
        <f t="shared" si="258"/>
        <v>0</v>
      </c>
      <c r="Y380" s="1">
        <f t="shared" si="259"/>
        <v>0</v>
      </c>
      <c r="Z380" s="1">
        <f t="shared" si="260"/>
        <v>0</v>
      </c>
      <c r="AA380" s="1">
        <f t="shared" si="261"/>
        <v>0</v>
      </c>
      <c r="AB380" s="1">
        <f t="shared" si="262"/>
        <v>0</v>
      </c>
      <c r="AD380" s="1">
        <f t="shared" si="263"/>
        <v>0</v>
      </c>
      <c r="AE380" s="1">
        <f t="shared" si="264"/>
        <v>0</v>
      </c>
      <c r="AF380" s="1">
        <f t="shared" si="249"/>
        <v>0</v>
      </c>
      <c r="AG380" s="1">
        <f t="shared" si="250"/>
        <v>0</v>
      </c>
      <c r="AH380" s="1">
        <f t="shared" si="251"/>
        <v>0</v>
      </c>
      <c r="AI380" s="1">
        <f t="shared" si="252"/>
        <v>1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1916</v>
      </c>
      <c r="E381" s="32"/>
      <c r="F381" s="32" t="s">
        <v>1917</v>
      </c>
      <c r="G381" s="32" t="s">
        <v>207</v>
      </c>
      <c r="H381" s="32" t="s">
        <v>352</v>
      </c>
      <c r="I381" s="31" t="s">
        <v>1918</v>
      </c>
      <c r="J381" s="31">
        <v>3</v>
      </c>
      <c r="K381" s="33" t="s">
        <v>699</v>
      </c>
      <c r="L381" s="33"/>
      <c r="M381" s="34"/>
      <c r="N381" s="34" t="s">
        <v>1722</v>
      </c>
      <c r="O381" s="35">
        <v>1</v>
      </c>
      <c r="P381" s="35">
        <v>1</v>
      </c>
      <c r="Q381" s="32" t="s">
        <v>1919</v>
      </c>
      <c r="S381" s="1">
        <f t="shared" si="253"/>
        <v>0</v>
      </c>
      <c r="T381" s="1">
        <f t="shared" si="254"/>
        <v>0</v>
      </c>
      <c r="U381" s="1">
        <f t="shared" si="255"/>
        <v>1</v>
      </c>
      <c r="V381" s="1">
        <f t="shared" si="256"/>
        <v>0</v>
      </c>
      <c r="W381" s="1">
        <f t="shared" si="257"/>
        <v>0</v>
      </c>
      <c r="X381" s="1">
        <f t="shared" si="258"/>
        <v>0</v>
      </c>
      <c r="Y381" s="1">
        <f t="shared" si="259"/>
        <v>0</v>
      </c>
      <c r="Z381" s="1">
        <f t="shared" si="260"/>
        <v>0</v>
      </c>
      <c r="AA381" s="1">
        <f t="shared" si="261"/>
        <v>0</v>
      </c>
      <c r="AB381" s="1">
        <f t="shared" si="262"/>
        <v>0</v>
      </c>
      <c r="AD381" s="1">
        <f t="shared" si="263"/>
        <v>1</v>
      </c>
      <c r="AE381" s="1">
        <f t="shared" si="264"/>
        <v>0</v>
      </c>
      <c r="AF381" s="1">
        <f t="shared" si="249"/>
        <v>1</v>
      </c>
      <c r="AG381" s="1">
        <f t="shared" si="250"/>
        <v>0</v>
      </c>
      <c r="AH381" s="1">
        <f t="shared" si="251"/>
        <v>1</v>
      </c>
      <c r="AI381" s="1">
        <f t="shared" si="252"/>
        <v>0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1265</v>
      </c>
      <c r="E382" s="32" t="s">
        <v>1266</v>
      </c>
      <c r="F382" s="32" t="s">
        <v>1267</v>
      </c>
      <c r="G382" s="32" t="s">
        <v>219</v>
      </c>
      <c r="H382" s="32" t="s">
        <v>352</v>
      </c>
      <c r="I382" s="31" t="s">
        <v>1718</v>
      </c>
      <c r="J382" s="31">
        <v>8</v>
      </c>
      <c r="K382" s="33" t="s">
        <v>709</v>
      </c>
      <c r="L382" s="33" t="s">
        <v>39</v>
      </c>
      <c r="M382" s="34" t="s">
        <v>39</v>
      </c>
      <c r="N382" s="34" t="s">
        <v>1722</v>
      </c>
      <c r="O382" s="35">
        <v>1</v>
      </c>
      <c r="P382" s="35">
        <v>1</v>
      </c>
      <c r="Q382" s="32"/>
      <c r="S382" s="1">
        <f t="shared" si="253"/>
        <v>0</v>
      </c>
      <c r="T382" s="1">
        <f t="shared" si="254"/>
        <v>0</v>
      </c>
      <c r="U382" s="1">
        <f t="shared" si="255"/>
        <v>0</v>
      </c>
      <c r="V382" s="1">
        <f t="shared" si="256"/>
        <v>0</v>
      </c>
      <c r="W382" s="1">
        <f t="shared" si="257"/>
        <v>0</v>
      </c>
      <c r="X382" s="1">
        <f t="shared" si="258"/>
        <v>0</v>
      </c>
      <c r="Y382" s="1">
        <f t="shared" si="259"/>
        <v>0</v>
      </c>
      <c r="Z382" s="1">
        <f t="shared" si="260"/>
        <v>1</v>
      </c>
      <c r="AA382" s="1">
        <f t="shared" si="261"/>
        <v>0</v>
      </c>
      <c r="AB382" s="1">
        <f t="shared" si="262"/>
        <v>0</v>
      </c>
      <c r="AD382" s="1">
        <f t="shared" si="263"/>
        <v>1</v>
      </c>
      <c r="AE382" s="1">
        <f t="shared" si="264"/>
        <v>0</v>
      </c>
      <c r="AF382" s="1">
        <f t="shared" si="249"/>
        <v>1</v>
      </c>
      <c r="AG382" s="1">
        <f t="shared" si="250"/>
        <v>0</v>
      </c>
      <c r="AH382" s="1">
        <f t="shared" si="251"/>
        <v>1</v>
      </c>
      <c r="AI382" s="1">
        <f t="shared" si="252"/>
        <v>0</v>
      </c>
    </row>
    <row r="383" spans="1:4094 4097:8191 8194:12288 12291:16384" ht="14.25" customHeight="1" x14ac:dyDescent="0.3">
      <c r="A383" s="31">
        <v>0</v>
      </c>
      <c r="B383" s="31">
        <v>2</v>
      </c>
      <c r="C383" s="31">
        <v>5</v>
      </c>
      <c r="D383" s="32" t="s">
        <v>1077</v>
      </c>
      <c r="E383" s="32" t="s">
        <v>154</v>
      </c>
      <c r="F383" s="32" t="s">
        <v>1061</v>
      </c>
      <c r="G383" s="32" t="s">
        <v>319</v>
      </c>
      <c r="H383" s="32" t="s">
        <v>352</v>
      </c>
      <c r="I383" s="31" t="s">
        <v>1062</v>
      </c>
      <c r="J383" s="31">
        <v>99</v>
      </c>
      <c r="K383" s="33" t="s">
        <v>709</v>
      </c>
      <c r="L383" s="33" t="s">
        <v>690</v>
      </c>
      <c r="M383" s="34" t="s">
        <v>1423</v>
      </c>
      <c r="N383" s="34" t="s">
        <v>1751</v>
      </c>
      <c r="O383" s="35">
        <v>1</v>
      </c>
      <c r="P383" s="35"/>
      <c r="Q383" s="32"/>
      <c r="S383" s="1">
        <f t="shared" si="253"/>
        <v>0</v>
      </c>
      <c r="T383" s="1">
        <f t="shared" si="254"/>
        <v>0</v>
      </c>
      <c r="U383" s="1">
        <f t="shared" si="255"/>
        <v>0</v>
      </c>
      <c r="V383" s="1">
        <f t="shared" si="256"/>
        <v>0</v>
      </c>
      <c r="W383" s="1">
        <f t="shared" si="257"/>
        <v>0</v>
      </c>
      <c r="X383" s="1">
        <f t="shared" si="258"/>
        <v>0</v>
      </c>
      <c r="Y383" s="1">
        <f t="shared" si="259"/>
        <v>0</v>
      </c>
      <c r="Z383" s="1">
        <f t="shared" si="260"/>
        <v>0</v>
      </c>
      <c r="AA383" s="1">
        <f t="shared" si="261"/>
        <v>0</v>
      </c>
      <c r="AB383" s="1">
        <f t="shared" si="262"/>
        <v>0</v>
      </c>
      <c r="AD383" s="1">
        <f t="shared" si="263"/>
        <v>0</v>
      </c>
      <c r="AE383" s="1">
        <f t="shared" si="264"/>
        <v>1</v>
      </c>
      <c r="AF383" s="1">
        <f t="shared" si="249"/>
        <v>0</v>
      </c>
      <c r="AG383" s="1">
        <f t="shared" si="250"/>
        <v>1</v>
      </c>
      <c r="AH383" s="1">
        <f t="shared" si="251"/>
        <v>0</v>
      </c>
      <c r="AI383" s="1">
        <f t="shared" si="252"/>
        <v>1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792</v>
      </c>
      <c r="E384" s="32" t="s">
        <v>768</v>
      </c>
      <c r="F384" s="32" t="s">
        <v>928</v>
      </c>
      <c r="G384" s="32" t="s">
        <v>219</v>
      </c>
      <c r="H384" s="32" t="s">
        <v>352</v>
      </c>
      <c r="I384" s="31" t="s">
        <v>793</v>
      </c>
      <c r="J384" s="31">
        <v>8</v>
      </c>
      <c r="K384" s="33" t="s">
        <v>699</v>
      </c>
      <c r="L384" s="33">
        <v>20</v>
      </c>
      <c r="M384" s="34" t="s">
        <v>1414</v>
      </c>
      <c r="N384" s="34" t="s">
        <v>1820</v>
      </c>
      <c r="O384" s="35">
        <v>1</v>
      </c>
      <c r="P384" s="35"/>
      <c r="Q384" s="32"/>
      <c r="S384" s="1">
        <f t="shared" ref="S384:S386" si="277">IF(J384=$S$7,1,0)</f>
        <v>0</v>
      </c>
      <c r="T384" s="1">
        <f t="shared" ref="T384:T386" si="278">IF(J384=$T$7,1,0)</f>
        <v>0</v>
      </c>
      <c r="U384" s="1">
        <f t="shared" ref="U384:U386" si="279">IF(J384=$U$7,1,0)</f>
        <v>0</v>
      </c>
      <c r="V384" s="1">
        <f t="shared" ref="V384:V386" si="280">IF(J384=$V$7,1,0)</f>
        <v>0</v>
      </c>
      <c r="W384" s="1">
        <f t="shared" ref="W384:W386" si="281">IF(J384=$W$7,1,0)</f>
        <v>0</v>
      </c>
      <c r="X384" s="1">
        <f t="shared" ref="X384:X386" si="282">IF(J384=$X$7,1,0)</f>
        <v>0</v>
      </c>
      <c r="Y384" s="1">
        <f t="shared" ref="Y384:Y386" si="283">IF(J384=$Y$7,1,0)</f>
        <v>0</v>
      </c>
      <c r="Z384" s="1">
        <f t="shared" ref="Z384:Z386" si="284">IF(J384=$Z$7,1,0)</f>
        <v>1</v>
      </c>
      <c r="AA384" s="1">
        <f t="shared" ref="AA384:AA386" si="285">IF(J384=$AA$7,1,0)</f>
        <v>0</v>
      </c>
      <c r="AB384" s="1">
        <f t="shared" ref="AB384:AB386" si="286">IF(J384=$AB$7,1,0)</f>
        <v>0</v>
      </c>
      <c r="AD384" s="1">
        <f t="shared" ref="AD384:AD386" si="287">+O384*P384</f>
        <v>0</v>
      </c>
      <c r="AE384" s="1">
        <f t="shared" ref="AE384:AE386" si="288">O384*(1-P384)</f>
        <v>1</v>
      </c>
      <c r="AF384" s="1">
        <f t="shared" si="249"/>
        <v>0</v>
      </c>
      <c r="AG384" s="1">
        <f t="shared" si="250"/>
        <v>1</v>
      </c>
      <c r="AH384" s="1">
        <f t="shared" si="251"/>
        <v>0</v>
      </c>
      <c r="AI384" s="1">
        <f t="shared" si="252"/>
        <v>1</v>
      </c>
    </row>
    <row r="385" spans="1:35" ht="14.25" customHeight="1" x14ac:dyDescent="0.3">
      <c r="A385" s="49">
        <v>0</v>
      </c>
      <c r="B385" s="49">
        <v>2</v>
      </c>
      <c r="C385" s="49">
        <v>5</v>
      </c>
      <c r="D385" s="50" t="s">
        <v>79</v>
      </c>
      <c r="E385" s="50" t="s">
        <v>158</v>
      </c>
      <c r="F385" s="50" t="s">
        <v>267</v>
      </c>
      <c r="G385" s="50" t="s">
        <v>212</v>
      </c>
      <c r="H385" s="50" t="s">
        <v>352</v>
      </c>
      <c r="I385" s="49" t="s">
        <v>423</v>
      </c>
      <c r="J385" s="49">
        <v>1</v>
      </c>
      <c r="K385" s="51" t="s">
        <v>950</v>
      </c>
      <c r="L385" s="51" t="s">
        <v>700</v>
      </c>
      <c r="M385" s="52" t="s">
        <v>723</v>
      </c>
      <c r="N385" s="52" t="s">
        <v>1738</v>
      </c>
      <c r="O385" s="53">
        <v>1</v>
      </c>
      <c r="P385" s="53"/>
      <c r="Q385" s="50"/>
      <c r="S385" s="1">
        <f t="shared" si="277"/>
        <v>1</v>
      </c>
      <c r="T385" s="1">
        <f t="shared" si="278"/>
        <v>0</v>
      </c>
      <c r="U385" s="1">
        <f t="shared" si="279"/>
        <v>0</v>
      </c>
      <c r="V385" s="1">
        <f t="shared" si="280"/>
        <v>0</v>
      </c>
      <c r="W385" s="1">
        <f t="shared" si="281"/>
        <v>0</v>
      </c>
      <c r="X385" s="1">
        <f t="shared" si="282"/>
        <v>0</v>
      </c>
      <c r="Y385" s="1">
        <f t="shared" si="283"/>
        <v>0</v>
      </c>
      <c r="Z385" s="1">
        <f t="shared" si="284"/>
        <v>0</v>
      </c>
      <c r="AA385" s="1">
        <f t="shared" si="285"/>
        <v>0</v>
      </c>
      <c r="AB385" s="1">
        <f t="shared" si="286"/>
        <v>0</v>
      </c>
      <c r="AD385" s="1">
        <f t="shared" si="287"/>
        <v>0</v>
      </c>
      <c r="AE385" s="1">
        <f t="shared" si="288"/>
        <v>1</v>
      </c>
      <c r="AF385" s="1">
        <f t="shared" si="249"/>
        <v>0</v>
      </c>
      <c r="AG385" s="1">
        <f t="shared" si="250"/>
        <v>1</v>
      </c>
      <c r="AH385" s="1">
        <f t="shared" si="251"/>
        <v>0</v>
      </c>
      <c r="AI385" s="1">
        <f t="shared" si="252"/>
        <v>1</v>
      </c>
    </row>
    <row r="386" spans="1:35" ht="14.25" customHeight="1" x14ac:dyDescent="0.3">
      <c r="A386" s="31">
        <v>0</v>
      </c>
      <c r="B386" s="31">
        <v>2</v>
      </c>
      <c r="C386" s="31">
        <v>5</v>
      </c>
      <c r="D386" s="32" t="s">
        <v>1637</v>
      </c>
      <c r="E386" s="32" t="s">
        <v>1649</v>
      </c>
      <c r="F386" s="32" t="s">
        <v>1546</v>
      </c>
      <c r="G386" s="32" t="s">
        <v>261</v>
      </c>
      <c r="H386" s="32" t="s">
        <v>352</v>
      </c>
      <c r="I386" s="31" t="s">
        <v>1547</v>
      </c>
      <c r="J386" s="31">
        <v>99</v>
      </c>
      <c r="K386" s="33" t="s">
        <v>950</v>
      </c>
      <c r="L386" s="33">
        <v>40</v>
      </c>
      <c r="M386" s="34" t="s">
        <v>39</v>
      </c>
      <c r="N386" s="34" t="s">
        <v>1820</v>
      </c>
      <c r="O386" s="35">
        <v>1</v>
      </c>
      <c r="P386" s="35"/>
      <c r="Q386" s="32"/>
      <c r="S386" s="1">
        <f t="shared" si="277"/>
        <v>0</v>
      </c>
      <c r="T386" s="1">
        <f t="shared" si="278"/>
        <v>0</v>
      </c>
      <c r="U386" s="1">
        <f t="shared" si="279"/>
        <v>0</v>
      </c>
      <c r="V386" s="1">
        <f t="shared" si="280"/>
        <v>0</v>
      </c>
      <c r="W386" s="1">
        <f t="shared" si="281"/>
        <v>0</v>
      </c>
      <c r="X386" s="1">
        <f t="shared" si="282"/>
        <v>0</v>
      </c>
      <c r="Y386" s="1">
        <f t="shared" si="283"/>
        <v>0</v>
      </c>
      <c r="Z386" s="1">
        <f t="shared" si="284"/>
        <v>0</v>
      </c>
      <c r="AA386" s="1">
        <f t="shared" si="285"/>
        <v>0</v>
      </c>
      <c r="AB386" s="1">
        <f t="shared" si="286"/>
        <v>0</v>
      </c>
      <c r="AD386" s="1">
        <f t="shared" si="287"/>
        <v>0</v>
      </c>
      <c r="AE386" s="1">
        <f t="shared" si="288"/>
        <v>1</v>
      </c>
      <c r="AF386" s="1">
        <f t="shared" si="249"/>
        <v>0</v>
      </c>
      <c r="AG386" s="1">
        <f t="shared" si="250"/>
        <v>1</v>
      </c>
      <c r="AH386" s="1">
        <f t="shared" si="251"/>
        <v>0</v>
      </c>
      <c r="AI386" s="1">
        <f t="shared" si="252"/>
        <v>1</v>
      </c>
    </row>
    <row r="387" spans="1:35" ht="14.25" customHeight="1" x14ac:dyDescent="0.3">
      <c r="A387" s="31">
        <v>0</v>
      </c>
      <c r="B387" s="31">
        <v>2</v>
      </c>
      <c r="C387" s="31">
        <v>5</v>
      </c>
      <c r="D387" s="32" t="s">
        <v>1292</v>
      </c>
      <c r="E387" s="32" t="s">
        <v>27</v>
      </c>
      <c r="F387" s="32" t="s">
        <v>1293</v>
      </c>
      <c r="G387" s="32" t="s">
        <v>1294</v>
      </c>
      <c r="H387" s="32" t="s">
        <v>352</v>
      </c>
      <c r="I387" s="31" t="s">
        <v>1295</v>
      </c>
      <c r="J387" s="31">
        <v>99</v>
      </c>
      <c r="K387" s="33" t="s">
        <v>950</v>
      </c>
      <c r="L387" s="33" t="s">
        <v>39</v>
      </c>
      <c r="M387" s="34" t="s">
        <v>39</v>
      </c>
      <c r="N387" s="34" t="s">
        <v>1722</v>
      </c>
      <c r="O387" s="35">
        <v>1</v>
      </c>
      <c r="P387" s="35">
        <v>1</v>
      </c>
      <c r="Q387" s="36"/>
      <c r="S387" s="1">
        <f t="shared" si="253"/>
        <v>0</v>
      </c>
      <c r="T387" s="1">
        <f t="shared" si="254"/>
        <v>0</v>
      </c>
      <c r="U387" s="1">
        <f t="shared" si="255"/>
        <v>0</v>
      </c>
      <c r="V387" s="1">
        <f t="shared" si="256"/>
        <v>0</v>
      </c>
      <c r="W387" s="1">
        <f t="shared" si="257"/>
        <v>0</v>
      </c>
      <c r="X387" s="1">
        <f t="shared" si="258"/>
        <v>0</v>
      </c>
      <c r="Y387" s="1">
        <f t="shared" si="259"/>
        <v>0</v>
      </c>
      <c r="Z387" s="1">
        <f t="shared" si="260"/>
        <v>0</v>
      </c>
      <c r="AA387" s="1">
        <f t="shared" si="261"/>
        <v>0</v>
      </c>
      <c r="AB387" s="1">
        <f t="shared" si="262"/>
        <v>0</v>
      </c>
      <c r="AD387" s="1">
        <f t="shared" si="263"/>
        <v>1</v>
      </c>
      <c r="AE387" s="1">
        <f t="shared" si="264"/>
        <v>0</v>
      </c>
      <c r="AF387" s="1">
        <f t="shared" si="249"/>
        <v>1</v>
      </c>
      <c r="AG387" s="1">
        <f t="shared" si="250"/>
        <v>0</v>
      </c>
      <c r="AH387" s="1">
        <f t="shared" si="251"/>
        <v>1</v>
      </c>
      <c r="AI387" s="1">
        <f t="shared" si="252"/>
        <v>0</v>
      </c>
    </row>
    <row r="388" spans="1:35" ht="14.25" customHeight="1" x14ac:dyDescent="0.3">
      <c r="A388" s="44">
        <v>0</v>
      </c>
      <c r="B388" s="44">
        <v>2</v>
      </c>
      <c r="C388" s="44">
        <v>5</v>
      </c>
      <c r="D388" s="45" t="s">
        <v>1598</v>
      </c>
      <c r="E388" s="45" t="s">
        <v>158</v>
      </c>
      <c r="F388" s="45" t="s">
        <v>1670</v>
      </c>
      <c r="G388" s="45" t="s">
        <v>1463</v>
      </c>
      <c r="H388" s="45" t="s">
        <v>352</v>
      </c>
      <c r="I388" s="44" t="s">
        <v>1464</v>
      </c>
      <c r="J388" s="44">
        <v>99</v>
      </c>
      <c r="K388" s="46" t="s">
        <v>709</v>
      </c>
      <c r="L388" s="46" t="s">
        <v>692</v>
      </c>
      <c r="M388" s="47" t="s">
        <v>1465</v>
      </c>
      <c r="N388" s="47" t="s">
        <v>1742</v>
      </c>
      <c r="O388" s="48"/>
      <c r="P388" s="48"/>
      <c r="Q388" s="45"/>
      <c r="S388" s="1">
        <f t="shared" si="253"/>
        <v>0</v>
      </c>
      <c r="T388" s="1">
        <f t="shared" si="254"/>
        <v>0</v>
      </c>
      <c r="U388" s="1">
        <f t="shared" si="255"/>
        <v>0</v>
      </c>
      <c r="V388" s="1">
        <f t="shared" si="256"/>
        <v>0</v>
      </c>
      <c r="W388" s="1">
        <f t="shared" si="257"/>
        <v>0</v>
      </c>
      <c r="X388" s="1">
        <f t="shared" si="258"/>
        <v>0</v>
      </c>
      <c r="Y388" s="1">
        <f t="shared" si="259"/>
        <v>0</v>
      </c>
      <c r="Z388" s="1">
        <f t="shared" si="260"/>
        <v>0</v>
      </c>
      <c r="AA388" s="1">
        <f t="shared" si="261"/>
        <v>0</v>
      </c>
      <c r="AB388" s="1">
        <f t="shared" si="262"/>
        <v>0</v>
      </c>
      <c r="AD388" s="1">
        <f t="shared" si="263"/>
        <v>0</v>
      </c>
      <c r="AE388" s="1">
        <f t="shared" si="264"/>
        <v>0</v>
      </c>
      <c r="AF388" s="1">
        <f t="shared" ref="AF388:AF391" si="289">+O388*P388*(1-A388)</f>
        <v>0</v>
      </c>
      <c r="AG388" s="1">
        <f t="shared" ref="AG388:AG391" si="290">O388*(1-P388)*(1-A388)</f>
        <v>0</v>
      </c>
      <c r="AH388" s="1">
        <f t="shared" ref="AH388:AH391" si="291">+P388*(1-A388)</f>
        <v>0</v>
      </c>
      <c r="AI388" s="1">
        <f t="shared" ref="AI388:AI391" si="292">+(1-A388)*(1-P388)</f>
        <v>1</v>
      </c>
    </row>
    <row r="389" spans="1:35" ht="14.25" customHeight="1" x14ac:dyDescent="0.3">
      <c r="A389" s="31">
        <v>0</v>
      </c>
      <c r="B389" s="31">
        <v>2</v>
      </c>
      <c r="C389" s="31">
        <v>5</v>
      </c>
      <c r="D389" s="32" t="s">
        <v>2040</v>
      </c>
      <c r="E389" s="32" t="s">
        <v>2041</v>
      </c>
      <c r="F389" s="32" t="s">
        <v>2042</v>
      </c>
      <c r="G389" s="32" t="s">
        <v>2045</v>
      </c>
      <c r="H389" s="32" t="s">
        <v>352</v>
      </c>
      <c r="I389" s="31" t="s">
        <v>2043</v>
      </c>
      <c r="J389" s="31"/>
      <c r="K389" s="33" t="s">
        <v>1817</v>
      </c>
      <c r="L389" s="33"/>
      <c r="M389" s="34"/>
      <c r="N389" s="34" t="s">
        <v>1722</v>
      </c>
      <c r="O389" s="35">
        <v>1</v>
      </c>
      <c r="P389" s="35">
        <v>1</v>
      </c>
      <c r="Q389" s="32" t="s">
        <v>2044</v>
      </c>
      <c r="S389" s="1">
        <f t="shared" si="253"/>
        <v>0</v>
      </c>
      <c r="T389" s="1">
        <f t="shared" si="254"/>
        <v>0</v>
      </c>
      <c r="U389" s="1">
        <f t="shared" si="255"/>
        <v>0</v>
      </c>
      <c r="V389" s="1">
        <f t="shared" si="256"/>
        <v>0</v>
      </c>
      <c r="W389" s="1">
        <f t="shared" si="257"/>
        <v>0</v>
      </c>
      <c r="X389" s="1">
        <f t="shared" si="258"/>
        <v>0</v>
      </c>
      <c r="Y389" s="1">
        <f t="shared" si="259"/>
        <v>0</v>
      </c>
      <c r="Z389" s="1">
        <f t="shared" si="260"/>
        <v>0</v>
      </c>
      <c r="AA389" s="1">
        <f t="shared" si="261"/>
        <v>0</v>
      </c>
      <c r="AB389" s="1">
        <f t="shared" si="262"/>
        <v>0</v>
      </c>
      <c r="AD389" s="1">
        <f t="shared" si="263"/>
        <v>1</v>
      </c>
      <c r="AE389" s="1">
        <f t="shared" si="264"/>
        <v>0</v>
      </c>
      <c r="AF389" s="1">
        <f t="shared" si="289"/>
        <v>1</v>
      </c>
      <c r="AG389" s="1">
        <f t="shared" si="290"/>
        <v>0</v>
      </c>
      <c r="AH389" s="1">
        <f t="shared" si="291"/>
        <v>1</v>
      </c>
      <c r="AI389" s="1">
        <f t="shared" si="292"/>
        <v>0</v>
      </c>
    </row>
    <row r="390" spans="1:35" ht="14.25" customHeight="1" x14ac:dyDescent="0.3">
      <c r="A390" s="31">
        <v>0</v>
      </c>
      <c r="B390" s="31">
        <v>2</v>
      </c>
      <c r="C390" s="31">
        <v>5</v>
      </c>
      <c r="D390" s="32" t="s">
        <v>1773</v>
      </c>
      <c r="E390" s="32" t="s">
        <v>154</v>
      </c>
      <c r="F390" s="32" t="s">
        <v>1774</v>
      </c>
      <c r="G390" s="32" t="s">
        <v>652</v>
      </c>
      <c r="H390" s="32" t="s">
        <v>352</v>
      </c>
      <c r="I390" s="31" t="s">
        <v>1775</v>
      </c>
      <c r="J390" s="31"/>
      <c r="K390" s="33" t="s">
        <v>699</v>
      </c>
      <c r="L390" s="33">
        <v>40</v>
      </c>
      <c r="M390" s="34" t="s">
        <v>1776</v>
      </c>
      <c r="N390" s="34" t="s">
        <v>1738</v>
      </c>
      <c r="O390" s="35">
        <v>1</v>
      </c>
      <c r="P390" s="35"/>
      <c r="Q390" s="32"/>
      <c r="S390" s="1">
        <f t="shared" si="253"/>
        <v>0</v>
      </c>
      <c r="T390" s="1">
        <f t="shared" si="254"/>
        <v>0</v>
      </c>
      <c r="U390" s="1">
        <f t="shared" si="255"/>
        <v>0</v>
      </c>
      <c r="V390" s="1">
        <f t="shared" si="256"/>
        <v>0</v>
      </c>
      <c r="W390" s="1">
        <f t="shared" si="257"/>
        <v>0</v>
      </c>
      <c r="X390" s="1">
        <f t="shared" si="258"/>
        <v>0</v>
      </c>
      <c r="Y390" s="1">
        <f t="shared" si="259"/>
        <v>0</v>
      </c>
      <c r="Z390" s="1">
        <f t="shared" si="260"/>
        <v>0</v>
      </c>
      <c r="AA390" s="1">
        <f t="shared" si="261"/>
        <v>0</v>
      </c>
      <c r="AB390" s="1">
        <f t="shared" si="262"/>
        <v>0</v>
      </c>
      <c r="AD390" s="1">
        <f t="shared" si="263"/>
        <v>0</v>
      </c>
      <c r="AE390" s="1">
        <f t="shared" si="264"/>
        <v>1</v>
      </c>
      <c r="AF390" s="1">
        <f t="shared" si="289"/>
        <v>0</v>
      </c>
      <c r="AG390" s="1">
        <f t="shared" si="290"/>
        <v>1</v>
      </c>
      <c r="AH390" s="1">
        <f t="shared" si="291"/>
        <v>0</v>
      </c>
      <c r="AI390" s="1">
        <f t="shared" si="292"/>
        <v>1</v>
      </c>
    </row>
    <row r="391" spans="1:35" ht="14.25" customHeight="1" x14ac:dyDescent="0.3">
      <c r="A391" s="31">
        <v>0</v>
      </c>
      <c r="B391" s="31">
        <v>2</v>
      </c>
      <c r="C391" s="31">
        <v>5</v>
      </c>
      <c r="D391" s="32" t="s">
        <v>833</v>
      </c>
      <c r="E391" s="32" t="s">
        <v>827</v>
      </c>
      <c r="F391" s="32" t="s">
        <v>936</v>
      </c>
      <c r="G391" s="32" t="s">
        <v>179</v>
      </c>
      <c r="H391" s="32" t="s">
        <v>352</v>
      </c>
      <c r="I391" s="31" t="s">
        <v>1104</v>
      </c>
      <c r="J391" s="31">
        <v>10</v>
      </c>
      <c r="K391" s="33" t="s">
        <v>708</v>
      </c>
      <c r="L391" s="33" t="s">
        <v>689</v>
      </c>
      <c r="M391" s="34" t="s">
        <v>1424</v>
      </c>
      <c r="N391" s="34" t="s">
        <v>1750</v>
      </c>
      <c r="O391" s="35">
        <v>1</v>
      </c>
      <c r="P391" s="35"/>
      <c r="Q391" s="32"/>
      <c r="S391" s="1">
        <f t="shared" ref="S391" si="293">IF(J391=$S$7,1,0)</f>
        <v>0</v>
      </c>
      <c r="T391" s="1">
        <f t="shared" ref="T391" si="294">IF(J391=$T$7,1,0)</f>
        <v>0</v>
      </c>
      <c r="U391" s="1">
        <f t="shared" ref="U391" si="295">IF(J391=$U$7,1,0)</f>
        <v>0</v>
      </c>
      <c r="V391" s="1">
        <f t="shared" ref="V391" si="296">IF(J391=$V$7,1,0)</f>
        <v>0</v>
      </c>
      <c r="W391" s="1">
        <f t="shared" ref="W391" si="297">IF(J391=$W$7,1,0)</f>
        <v>0</v>
      </c>
      <c r="X391" s="1">
        <f t="shared" ref="X391" si="298">IF(J391=$X$7,1,0)</f>
        <v>0</v>
      </c>
      <c r="Y391" s="1">
        <f t="shared" ref="Y391" si="299">IF(J391=$Y$7,1,0)</f>
        <v>0</v>
      </c>
      <c r="Z391" s="1">
        <f t="shared" ref="Z391" si="300">IF(J391=$Z$7,1,0)</f>
        <v>0</v>
      </c>
      <c r="AA391" s="1">
        <f t="shared" ref="AA391" si="301">IF(J391=$AA$7,1,0)</f>
        <v>0</v>
      </c>
      <c r="AB391" s="1">
        <f t="shared" ref="AB391" si="302">IF(J391=$AB$7,1,0)</f>
        <v>1</v>
      </c>
      <c r="AD391" s="1">
        <f t="shared" ref="AD391" si="303">+O391*P391</f>
        <v>0</v>
      </c>
      <c r="AE391" s="1">
        <f t="shared" ref="AE391" si="304">O391*(1-P391)</f>
        <v>1</v>
      </c>
      <c r="AF391" s="1">
        <f t="shared" si="289"/>
        <v>0</v>
      </c>
      <c r="AG391" s="1">
        <f t="shared" si="290"/>
        <v>1</v>
      </c>
      <c r="AH391" s="1">
        <f t="shared" si="291"/>
        <v>0</v>
      </c>
      <c r="AI391" s="1">
        <f t="shared" si="292"/>
        <v>1</v>
      </c>
    </row>
    <row r="392" spans="1:35" ht="14.25" customHeight="1" x14ac:dyDescent="0.3">
      <c r="A392" s="57">
        <v>0</v>
      </c>
      <c r="B392" s="57">
        <v>2</v>
      </c>
      <c r="C392" s="57">
        <v>6</v>
      </c>
      <c r="D392" s="58" t="s">
        <v>1538</v>
      </c>
      <c r="E392" s="58" t="s">
        <v>27</v>
      </c>
      <c r="F392" s="58" t="s">
        <v>1540</v>
      </c>
      <c r="G392" s="58" t="s">
        <v>1529</v>
      </c>
      <c r="H392" s="58" t="s">
        <v>352</v>
      </c>
      <c r="I392" s="57" t="s">
        <v>1539</v>
      </c>
      <c r="J392" s="57">
        <v>5</v>
      </c>
      <c r="K392" s="59" t="s">
        <v>950</v>
      </c>
      <c r="L392" s="59" t="s">
        <v>39</v>
      </c>
      <c r="M392" s="60" t="s">
        <v>39</v>
      </c>
      <c r="N392" s="61"/>
      <c r="O392" s="62"/>
      <c r="P392" s="62"/>
      <c r="Q392" s="66" t="s">
        <v>1895</v>
      </c>
      <c r="S392" s="1">
        <f t="shared" si="253"/>
        <v>0</v>
      </c>
      <c r="T392" s="1">
        <f t="shared" si="254"/>
        <v>0</v>
      </c>
      <c r="U392" s="1">
        <f t="shared" si="255"/>
        <v>0</v>
      </c>
      <c r="V392" s="1">
        <f t="shared" si="256"/>
        <v>0</v>
      </c>
      <c r="W392" s="1">
        <f t="shared" si="257"/>
        <v>1</v>
      </c>
      <c r="X392" s="1">
        <f t="shared" si="258"/>
        <v>0</v>
      </c>
      <c r="Y392" s="1">
        <f t="shared" si="259"/>
        <v>0</v>
      </c>
      <c r="Z392" s="1">
        <f t="shared" si="260"/>
        <v>0</v>
      </c>
      <c r="AA392" s="1">
        <f t="shared" si="261"/>
        <v>0</v>
      </c>
      <c r="AB392" s="1">
        <f t="shared" si="262"/>
        <v>0</v>
      </c>
      <c r="AD392" s="1">
        <f t="shared" si="263"/>
        <v>0</v>
      </c>
      <c r="AE392" s="1">
        <f t="shared" si="264"/>
        <v>0</v>
      </c>
      <c r="AF392" s="1">
        <f t="shared" si="249"/>
        <v>0</v>
      </c>
      <c r="AG392" s="1">
        <f t="shared" si="250"/>
        <v>0</v>
      </c>
      <c r="AH392" s="1">
        <f t="shared" si="251"/>
        <v>0</v>
      </c>
      <c r="AI392" s="1">
        <f t="shared" si="252"/>
        <v>1</v>
      </c>
    </row>
    <row r="393" spans="1:35" ht="14.25" customHeight="1" x14ac:dyDescent="0.3">
      <c r="A393" s="44">
        <v>0</v>
      </c>
      <c r="B393" s="44">
        <v>2</v>
      </c>
      <c r="C393" s="44">
        <v>6</v>
      </c>
      <c r="D393" s="45" t="s">
        <v>515</v>
      </c>
      <c r="E393" s="45" t="s">
        <v>31</v>
      </c>
      <c r="F393" s="45" t="s">
        <v>668</v>
      </c>
      <c r="G393" s="45" t="s">
        <v>199</v>
      </c>
      <c r="H393" s="45" t="s">
        <v>352</v>
      </c>
      <c r="I393" s="44" t="s">
        <v>516</v>
      </c>
      <c r="J393" s="44">
        <v>2</v>
      </c>
      <c r="K393" s="46" t="s">
        <v>949</v>
      </c>
      <c r="L393" s="46" t="s">
        <v>690</v>
      </c>
      <c r="M393" s="47" t="s">
        <v>1425</v>
      </c>
      <c r="N393" s="47" t="s">
        <v>1730</v>
      </c>
      <c r="O393" s="48"/>
      <c r="P393" s="48"/>
      <c r="Q393" s="45"/>
      <c r="S393" s="1">
        <f t="shared" si="253"/>
        <v>0</v>
      </c>
      <c r="T393" s="1">
        <f t="shared" si="254"/>
        <v>1</v>
      </c>
      <c r="U393" s="1">
        <f t="shared" si="255"/>
        <v>0</v>
      </c>
      <c r="V393" s="1">
        <f t="shared" si="256"/>
        <v>0</v>
      </c>
      <c r="W393" s="1">
        <f t="shared" si="257"/>
        <v>0</v>
      </c>
      <c r="X393" s="1">
        <f t="shared" si="258"/>
        <v>0</v>
      </c>
      <c r="Y393" s="1">
        <f t="shared" si="259"/>
        <v>0</v>
      </c>
      <c r="Z393" s="1">
        <f t="shared" si="260"/>
        <v>0</v>
      </c>
      <c r="AA393" s="1">
        <f t="shared" si="261"/>
        <v>0</v>
      </c>
      <c r="AB393" s="1">
        <f t="shared" si="262"/>
        <v>0</v>
      </c>
      <c r="AD393" s="1">
        <f t="shared" si="263"/>
        <v>0</v>
      </c>
      <c r="AE393" s="1">
        <f t="shared" si="264"/>
        <v>0</v>
      </c>
      <c r="AF393" s="1">
        <f t="shared" si="249"/>
        <v>0</v>
      </c>
      <c r="AG393" s="1">
        <f t="shared" si="250"/>
        <v>0</v>
      </c>
      <c r="AH393" s="1">
        <f t="shared" si="251"/>
        <v>0</v>
      </c>
      <c r="AI393" s="1">
        <f t="shared" si="252"/>
        <v>1</v>
      </c>
    </row>
    <row r="394" spans="1:35" ht="14.25" customHeight="1" x14ac:dyDescent="0.3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209</v>
      </c>
      <c r="G394" s="32" t="s">
        <v>210</v>
      </c>
      <c r="H394" s="32" t="s">
        <v>352</v>
      </c>
      <c r="I394" s="31" t="s">
        <v>390</v>
      </c>
      <c r="J394" s="31">
        <v>1</v>
      </c>
      <c r="K394" s="33" t="s">
        <v>708</v>
      </c>
      <c r="L394" s="33" t="s">
        <v>700</v>
      </c>
      <c r="M394" s="34" t="s">
        <v>724</v>
      </c>
      <c r="N394" s="34" t="s">
        <v>1738</v>
      </c>
      <c r="O394" s="35">
        <v>1</v>
      </c>
      <c r="P394" s="35"/>
      <c r="Q394" s="32"/>
      <c r="S394" s="1">
        <f t="shared" si="253"/>
        <v>1</v>
      </c>
      <c r="T394" s="1">
        <f t="shared" si="254"/>
        <v>0</v>
      </c>
      <c r="U394" s="1">
        <f t="shared" si="255"/>
        <v>0</v>
      </c>
      <c r="V394" s="1">
        <f t="shared" si="256"/>
        <v>0</v>
      </c>
      <c r="W394" s="1">
        <f t="shared" si="257"/>
        <v>0</v>
      </c>
      <c r="X394" s="1">
        <f t="shared" si="258"/>
        <v>0</v>
      </c>
      <c r="Y394" s="1">
        <f t="shared" si="259"/>
        <v>0</v>
      </c>
      <c r="Z394" s="1">
        <f t="shared" si="260"/>
        <v>0</v>
      </c>
      <c r="AA394" s="1">
        <f t="shared" si="261"/>
        <v>0</v>
      </c>
      <c r="AB394" s="1">
        <f t="shared" si="262"/>
        <v>0</v>
      </c>
      <c r="AD394" s="1">
        <f t="shared" si="263"/>
        <v>0</v>
      </c>
      <c r="AE394" s="1">
        <f t="shared" si="264"/>
        <v>1</v>
      </c>
      <c r="AF394" s="1">
        <f t="shared" si="249"/>
        <v>0</v>
      </c>
      <c r="AG394" s="1">
        <f t="shared" si="250"/>
        <v>1</v>
      </c>
      <c r="AH394" s="1">
        <f t="shared" si="251"/>
        <v>0</v>
      </c>
      <c r="AI394" s="1">
        <f t="shared" si="252"/>
        <v>1</v>
      </c>
    </row>
    <row r="395" spans="1:35" ht="14.25" customHeight="1" x14ac:dyDescent="0.3">
      <c r="A395" s="31">
        <v>0</v>
      </c>
      <c r="B395" s="31">
        <v>2</v>
      </c>
      <c r="C395" s="31">
        <v>6</v>
      </c>
      <c r="D395" s="32" t="s">
        <v>1857</v>
      </c>
      <c r="E395" s="32" t="s">
        <v>1858</v>
      </c>
      <c r="F395" s="32" t="s">
        <v>1859</v>
      </c>
      <c r="G395" s="32"/>
      <c r="H395" s="32" t="s">
        <v>352</v>
      </c>
      <c r="I395" s="31" t="s">
        <v>1860</v>
      </c>
      <c r="J395" s="31">
        <v>99</v>
      </c>
      <c r="K395" s="33" t="s">
        <v>699</v>
      </c>
      <c r="L395" s="33">
        <v>25</v>
      </c>
      <c r="M395" s="34" t="s">
        <v>1861</v>
      </c>
      <c r="N395" s="34" t="s">
        <v>1738</v>
      </c>
      <c r="O395" s="35">
        <v>1</v>
      </c>
      <c r="P395" s="35"/>
      <c r="Q395" s="32" t="s">
        <v>2046</v>
      </c>
      <c r="S395" s="1">
        <f t="shared" si="253"/>
        <v>0</v>
      </c>
      <c r="T395" s="1">
        <f t="shared" si="254"/>
        <v>0</v>
      </c>
      <c r="U395" s="1">
        <f t="shared" si="255"/>
        <v>0</v>
      </c>
      <c r="V395" s="1">
        <f t="shared" si="256"/>
        <v>0</v>
      </c>
      <c r="W395" s="1">
        <f t="shared" si="257"/>
        <v>0</v>
      </c>
      <c r="X395" s="1">
        <f t="shared" si="258"/>
        <v>0</v>
      </c>
      <c r="Y395" s="1">
        <f t="shared" si="259"/>
        <v>0</v>
      </c>
      <c r="Z395" s="1">
        <f t="shared" si="260"/>
        <v>0</v>
      </c>
      <c r="AA395" s="1">
        <f t="shared" si="261"/>
        <v>0</v>
      </c>
      <c r="AB395" s="1">
        <f t="shared" si="262"/>
        <v>0</v>
      </c>
      <c r="AD395" s="1">
        <f t="shared" si="263"/>
        <v>0</v>
      </c>
      <c r="AE395" s="1">
        <f t="shared" si="264"/>
        <v>1</v>
      </c>
      <c r="AF395" s="1">
        <f t="shared" si="249"/>
        <v>0</v>
      </c>
      <c r="AG395" s="1">
        <f t="shared" si="250"/>
        <v>1</v>
      </c>
      <c r="AH395" s="1">
        <f t="shared" si="251"/>
        <v>0</v>
      </c>
      <c r="AI395" s="1">
        <f t="shared" si="252"/>
        <v>1</v>
      </c>
    </row>
    <row r="396" spans="1:35" ht="14.25" customHeight="1" x14ac:dyDescent="0.3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269</v>
      </c>
      <c r="G396" s="45" t="s">
        <v>223</v>
      </c>
      <c r="H396" s="45" t="s">
        <v>352</v>
      </c>
      <c r="I396" s="44" t="s">
        <v>674</v>
      </c>
      <c r="J396" s="44">
        <v>99</v>
      </c>
      <c r="K396" s="46" t="s">
        <v>950</v>
      </c>
      <c r="L396" s="46" t="s">
        <v>690</v>
      </c>
      <c r="M396" s="47" t="s">
        <v>1426</v>
      </c>
      <c r="N396" s="47" t="s">
        <v>1804</v>
      </c>
      <c r="O396" s="48"/>
      <c r="P396" s="48"/>
      <c r="Q396" s="45"/>
      <c r="S396" s="1">
        <f t="shared" si="253"/>
        <v>0</v>
      </c>
      <c r="T396" s="1">
        <f t="shared" si="254"/>
        <v>0</v>
      </c>
      <c r="U396" s="1">
        <f t="shared" si="255"/>
        <v>0</v>
      </c>
      <c r="V396" s="1">
        <f t="shared" si="256"/>
        <v>0</v>
      </c>
      <c r="W396" s="1">
        <f t="shared" si="257"/>
        <v>0</v>
      </c>
      <c r="X396" s="1">
        <f t="shared" si="258"/>
        <v>0</v>
      </c>
      <c r="Y396" s="1">
        <f t="shared" si="259"/>
        <v>0</v>
      </c>
      <c r="Z396" s="1">
        <f t="shared" si="260"/>
        <v>0</v>
      </c>
      <c r="AA396" s="1">
        <f t="shared" si="261"/>
        <v>0</v>
      </c>
      <c r="AB396" s="1">
        <f t="shared" si="262"/>
        <v>0</v>
      </c>
      <c r="AD396" s="1">
        <f t="shared" si="263"/>
        <v>0</v>
      </c>
      <c r="AE396" s="1">
        <f t="shared" si="264"/>
        <v>0</v>
      </c>
      <c r="AF396" s="1">
        <f t="shared" si="249"/>
        <v>0</v>
      </c>
      <c r="AG396" s="1">
        <f t="shared" si="250"/>
        <v>0</v>
      </c>
      <c r="AH396" s="1">
        <f t="shared" si="251"/>
        <v>0</v>
      </c>
      <c r="AI396" s="1">
        <f t="shared" si="252"/>
        <v>1</v>
      </c>
    </row>
    <row r="397" spans="1:35" ht="14.25" customHeight="1" x14ac:dyDescent="0.3">
      <c r="A397" s="44">
        <v>0</v>
      </c>
      <c r="B397" s="44">
        <v>2</v>
      </c>
      <c r="C397" s="44">
        <v>6</v>
      </c>
      <c r="D397" s="45" t="s">
        <v>635</v>
      </c>
      <c r="E397" s="45" t="s">
        <v>31</v>
      </c>
      <c r="F397" s="45" t="s">
        <v>636</v>
      </c>
      <c r="G397" s="45" t="s">
        <v>239</v>
      </c>
      <c r="H397" s="45" t="s">
        <v>352</v>
      </c>
      <c r="I397" s="44" t="s">
        <v>637</v>
      </c>
      <c r="J397" s="44">
        <v>1</v>
      </c>
      <c r="K397" s="46" t="s">
        <v>709</v>
      </c>
      <c r="L397" s="46" t="s">
        <v>690</v>
      </c>
      <c r="M397" s="47" t="s">
        <v>1427</v>
      </c>
      <c r="N397" s="47" t="s">
        <v>1730</v>
      </c>
      <c r="O397" s="48"/>
      <c r="P397" s="48"/>
      <c r="Q397" s="45"/>
      <c r="S397" s="1">
        <f t="shared" si="253"/>
        <v>1</v>
      </c>
      <c r="T397" s="1">
        <f t="shared" si="254"/>
        <v>0</v>
      </c>
      <c r="U397" s="1">
        <f t="shared" si="255"/>
        <v>0</v>
      </c>
      <c r="V397" s="1">
        <f t="shared" si="256"/>
        <v>0</v>
      </c>
      <c r="W397" s="1">
        <f t="shared" si="257"/>
        <v>0</v>
      </c>
      <c r="X397" s="1">
        <f t="shared" si="258"/>
        <v>0</v>
      </c>
      <c r="Y397" s="1">
        <f t="shared" si="259"/>
        <v>0</v>
      </c>
      <c r="Z397" s="1">
        <f t="shared" si="260"/>
        <v>0</v>
      </c>
      <c r="AA397" s="1">
        <f t="shared" si="261"/>
        <v>0</v>
      </c>
      <c r="AB397" s="1">
        <f t="shared" si="262"/>
        <v>0</v>
      </c>
      <c r="AD397" s="1">
        <f t="shared" si="263"/>
        <v>0</v>
      </c>
      <c r="AE397" s="1">
        <f t="shared" si="264"/>
        <v>0</v>
      </c>
      <c r="AF397" s="1">
        <f t="shared" si="249"/>
        <v>0</v>
      </c>
      <c r="AG397" s="1">
        <f t="shared" si="250"/>
        <v>0</v>
      </c>
      <c r="AH397" s="1">
        <f t="shared" si="251"/>
        <v>0</v>
      </c>
      <c r="AI397" s="1">
        <f t="shared" si="252"/>
        <v>1</v>
      </c>
    </row>
    <row r="398" spans="1:35" ht="14.25" customHeight="1" x14ac:dyDescent="0.3">
      <c r="A398" s="44">
        <v>0</v>
      </c>
      <c r="B398" s="44">
        <v>2</v>
      </c>
      <c r="C398" s="44">
        <v>6</v>
      </c>
      <c r="D398" s="45" t="s">
        <v>1130</v>
      </c>
      <c r="E398" s="45" t="s">
        <v>31</v>
      </c>
      <c r="F398" s="45" t="s">
        <v>668</v>
      </c>
      <c r="G398" s="45" t="s">
        <v>199</v>
      </c>
      <c r="H398" s="45" t="s">
        <v>352</v>
      </c>
      <c r="I398" s="44" t="s">
        <v>516</v>
      </c>
      <c r="J398" s="44">
        <v>2</v>
      </c>
      <c r="K398" s="46" t="s">
        <v>708</v>
      </c>
      <c r="L398" s="46" t="s">
        <v>690</v>
      </c>
      <c r="M398" s="47" t="s">
        <v>724</v>
      </c>
      <c r="N398" s="47" t="s">
        <v>1730</v>
      </c>
      <c r="O398" s="48"/>
      <c r="P398" s="48"/>
      <c r="Q398" s="45"/>
      <c r="S398" s="1">
        <f t="shared" si="253"/>
        <v>0</v>
      </c>
      <c r="T398" s="1">
        <f t="shared" si="254"/>
        <v>1</v>
      </c>
      <c r="U398" s="1">
        <f t="shared" si="255"/>
        <v>0</v>
      </c>
      <c r="V398" s="1">
        <f t="shared" si="256"/>
        <v>0</v>
      </c>
      <c r="W398" s="1">
        <f t="shared" si="257"/>
        <v>0</v>
      </c>
      <c r="X398" s="1">
        <f t="shared" si="258"/>
        <v>0</v>
      </c>
      <c r="Y398" s="1">
        <f t="shared" si="259"/>
        <v>0</v>
      </c>
      <c r="Z398" s="1">
        <f t="shared" si="260"/>
        <v>0</v>
      </c>
      <c r="AA398" s="1">
        <f t="shared" si="261"/>
        <v>0</v>
      </c>
      <c r="AB398" s="1">
        <f t="shared" si="262"/>
        <v>0</v>
      </c>
      <c r="AD398" s="1">
        <f t="shared" si="263"/>
        <v>0</v>
      </c>
      <c r="AE398" s="1">
        <f t="shared" si="264"/>
        <v>0</v>
      </c>
      <c r="AF398" s="1">
        <f t="shared" si="249"/>
        <v>0</v>
      </c>
      <c r="AG398" s="1">
        <f t="shared" si="250"/>
        <v>0</v>
      </c>
      <c r="AH398" s="1">
        <f t="shared" si="251"/>
        <v>0</v>
      </c>
      <c r="AI398" s="1">
        <f t="shared" si="252"/>
        <v>1</v>
      </c>
    </row>
    <row r="399" spans="1:35" ht="14.25" customHeight="1" x14ac:dyDescent="0.3">
      <c r="A399" s="44">
        <v>0</v>
      </c>
      <c r="B399" s="44">
        <v>2</v>
      </c>
      <c r="C399" s="44">
        <v>6</v>
      </c>
      <c r="D399" s="45" t="s">
        <v>1078</v>
      </c>
      <c r="E399" s="45" t="s">
        <v>158</v>
      </c>
      <c r="F399" s="45" t="s">
        <v>197</v>
      </c>
      <c r="G399" s="45" t="s">
        <v>198</v>
      </c>
      <c r="H399" s="45" t="s">
        <v>352</v>
      </c>
      <c r="I399" s="44" t="s">
        <v>386</v>
      </c>
      <c r="J399" s="44">
        <v>99</v>
      </c>
      <c r="K399" s="46" t="s">
        <v>708</v>
      </c>
      <c r="L399" s="46" t="s">
        <v>712</v>
      </c>
      <c r="M399" s="47" t="s">
        <v>726</v>
      </c>
      <c r="N399" s="47" t="s">
        <v>1729</v>
      </c>
      <c r="O399" s="48"/>
      <c r="P399" s="48"/>
      <c r="Q399" s="45"/>
      <c r="S399" s="1">
        <f t="shared" si="253"/>
        <v>0</v>
      </c>
      <c r="T399" s="1">
        <f t="shared" si="254"/>
        <v>0</v>
      </c>
      <c r="U399" s="1">
        <f t="shared" si="255"/>
        <v>0</v>
      </c>
      <c r="V399" s="1">
        <f t="shared" si="256"/>
        <v>0</v>
      </c>
      <c r="W399" s="1">
        <f t="shared" si="257"/>
        <v>0</v>
      </c>
      <c r="X399" s="1">
        <f t="shared" si="258"/>
        <v>0</v>
      </c>
      <c r="Y399" s="1">
        <f t="shared" si="259"/>
        <v>0</v>
      </c>
      <c r="Z399" s="1">
        <f t="shared" si="260"/>
        <v>0</v>
      </c>
      <c r="AA399" s="1">
        <f t="shared" si="261"/>
        <v>0</v>
      </c>
      <c r="AB399" s="1">
        <f t="shared" si="262"/>
        <v>0</v>
      </c>
      <c r="AD399" s="1">
        <f t="shared" si="263"/>
        <v>0</v>
      </c>
      <c r="AE399" s="1">
        <f t="shared" si="264"/>
        <v>0</v>
      </c>
      <c r="AF399" s="1">
        <f t="shared" si="249"/>
        <v>0</v>
      </c>
      <c r="AG399" s="1">
        <f t="shared" si="250"/>
        <v>0</v>
      </c>
      <c r="AH399" s="1">
        <f t="shared" si="251"/>
        <v>0</v>
      </c>
      <c r="AI399" s="1">
        <f t="shared" si="252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505</v>
      </c>
      <c r="E400" s="32" t="s">
        <v>155</v>
      </c>
      <c r="F400" s="32" t="s">
        <v>506</v>
      </c>
      <c r="G400" s="32" t="s">
        <v>39</v>
      </c>
      <c r="H400" s="32" t="s">
        <v>352</v>
      </c>
      <c r="I400" s="31" t="s">
        <v>937</v>
      </c>
      <c r="J400" s="31">
        <v>7</v>
      </c>
      <c r="K400" s="33" t="s">
        <v>950</v>
      </c>
      <c r="L400" s="33" t="s">
        <v>39</v>
      </c>
      <c r="M400" s="34" t="s">
        <v>39</v>
      </c>
      <c r="N400" s="34" t="s">
        <v>1722</v>
      </c>
      <c r="O400" s="35">
        <v>1</v>
      </c>
      <c r="P400" s="35">
        <v>1</v>
      </c>
      <c r="Q400" s="32"/>
      <c r="S400" s="1">
        <f t="shared" si="253"/>
        <v>0</v>
      </c>
      <c r="T400" s="1">
        <f t="shared" si="254"/>
        <v>0</v>
      </c>
      <c r="U400" s="1">
        <f t="shared" si="255"/>
        <v>0</v>
      </c>
      <c r="V400" s="1">
        <f t="shared" si="256"/>
        <v>0</v>
      </c>
      <c r="W400" s="1">
        <f t="shared" si="257"/>
        <v>0</v>
      </c>
      <c r="X400" s="1">
        <f t="shared" si="258"/>
        <v>0</v>
      </c>
      <c r="Y400" s="1">
        <f t="shared" si="259"/>
        <v>1</v>
      </c>
      <c r="Z400" s="1">
        <f t="shared" si="260"/>
        <v>0</v>
      </c>
      <c r="AA400" s="1">
        <f t="shared" si="261"/>
        <v>0</v>
      </c>
      <c r="AB400" s="1">
        <f t="shared" si="262"/>
        <v>0</v>
      </c>
      <c r="AD400" s="1">
        <f t="shared" si="263"/>
        <v>1</v>
      </c>
      <c r="AE400" s="1">
        <f t="shared" si="264"/>
        <v>0</v>
      </c>
      <c r="AF400" s="1">
        <f t="shared" si="249"/>
        <v>1</v>
      </c>
      <c r="AG400" s="1">
        <f t="shared" si="250"/>
        <v>0</v>
      </c>
      <c r="AH400" s="1">
        <f t="shared" si="251"/>
        <v>1</v>
      </c>
      <c r="AI400" s="1">
        <f t="shared" si="252"/>
        <v>0</v>
      </c>
    </row>
    <row r="401" spans="1:35" ht="14.25" customHeight="1" x14ac:dyDescent="0.3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669</v>
      </c>
      <c r="G401" s="32" t="s">
        <v>257</v>
      </c>
      <c r="H401" s="32" t="s">
        <v>352</v>
      </c>
      <c r="I401" s="31" t="s">
        <v>415</v>
      </c>
      <c r="J401" s="31">
        <v>8</v>
      </c>
      <c r="K401" s="33" t="s">
        <v>709</v>
      </c>
      <c r="L401" s="33" t="s">
        <v>709</v>
      </c>
      <c r="M401" s="34" t="s">
        <v>727</v>
      </c>
      <c r="N401" s="34" t="s">
        <v>1738</v>
      </c>
      <c r="O401" s="35">
        <v>1</v>
      </c>
      <c r="P401" s="35"/>
      <c r="Q401" s="32"/>
      <c r="S401" s="1">
        <f t="shared" si="253"/>
        <v>0</v>
      </c>
      <c r="T401" s="1">
        <f t="shared" si="254"/>
        <v>0</v>
      </c>
      <c r="U401" s="1">
        <f t="shared" si="255"/>
        <v>0</v>
      </c>
      <c r="V401" s="1">
        <f t="shared" si="256"/>
        <v>0</v>
      </c>
      <c r="W401" s="1">
        <f t="shared" si="257"/>
        <v>0</v>
      </c>
      <c r="X401" s="1">
        <f t="shared" si="258"/>
        <v>0</v>
      </c>
      <c r="Y401" s="1">
        <f t="shared" si="259"/>
        <v>0</v>
      </c>
      <c r="Z401" s="1">
        <f t="shared" si="260"/>
        <v>1</v>
      </c>
      <c r="AA401" s="1">
        <f t="shared" si="261"/>
        <v>0</v>
      </c>
      <c r="AB401" s="1">
        <f t="shared" si="262"/>
        <v>0</v>
      </c>
      <c r="AD401" s="1">
        <f t="shared" si="263"/>
        <v>0</v>
      </c>
      <c r="AE401" s="1">
        <f t="shared" si="264"/>
        <v>1</v>
      </c>
      <c r="AF401" s="1">
        <f t="shared" si="249"/>
        <v>0</v>
      </c>
      <c r="AG401" s="1">
        <f t="shared" si="250"/>
        <v>1</v>
      </c>
      <c r="AH401" s="1">
        <f t="shared" si="251"/>
        <v>0</v>
      </c>
      <c r="AI401" s="1">
        <f t="shared" si="252"/>
        <v>1</v>
      </c>
    </row>
    <row r="402" spans="1:35" ht="14.25" customHeight="1" x14ac:dyDescent="0.3">
      <c r="A402" s="31">
        <v>0</v>
      </c>
      <c r="B402" s="31">
        <v>2</v>
      </c>
      <c r="C402" s="31">
        <v>7</v>
      </c>
      <c r="D402" s="32" t="s">
        <v>650</v>
      </c>
      <c r="E402" s="32" t="s">
        <v>155</v>
      </c>
      <c r="F402" s="32" t="s">
        <v>581</v>
      </c>
      <c r="G402" s="32" t="s">
        <v>248</v>
      </c>
      <c r="H402" s="32" t="s">
        <v>352</v>
      </c>
      <c r="I402" s="31" t="s">
        <v>675</v>
      </c>
      <c r="J402" s="31">
        <v>7</v>
      </c>
      <c r="K402" s="33" t="s">
        <v>950</v>
      </c>
      <c r="L402" s="33" t="s">
        <v>39</v>
      </c>
      <c r="M402" s="34" t="s">
        <v>39</v>
      </c>
      <c r="N402" s="34" t="s">
        <v>1722</v>
      </c>
      <c r="O402" s="35">
        <v>1</v>
      </c>
      <c r="P402" s="35">
        <v>1</v>
      </c>
      <c r="Q402" s="32"/>
      <c r="S402" s="1">
        <f t="shared" si="253"/>
        <v>0</v>
      </c>
      <c r="T402" s="1">
        <f t="shared" si="254"/>
        <v>0</v>
      </c>
      <c r="U402" s="1">
        <f t="shared" si="255"/>
        <v>0</v>
      </c>
      <c r="V402" s="1">
        <f t="shared" si="256"/>
        <v>0</v>
      </c>
      <c r="W402" s="1">
        <f t="shared" si="257"/>
        <v>0</v>
      </c>
      <c r="X402" s="1">
        <f t="shared" si="258"/>
        <v>0</v>
      </c>
      <c r="Y402" s="1">
        <f t="shared" si="259"/>
        <v>1</v>
      </c>
      <c r="Z402" s="1">
        <f t="shared" si="260"/>
        <v>0</v>
      </c>
      <c r="AA402" s="1">
        <f t="shared" si="261"/>
        <v>0</v>
      </c>
      <c r="AB402" s="1">
        <f t="shared" si="262"/>
        <v>0</v>
      </c>
      <c r="AD402" s="1">
        <f t="shared" si="263"/>
        <v>1</v>
      </c>
      <c r="AE402" s="1">
        <f t="shared" si="264"/>
        <v>0</v>
      </c>
      <c r="AF402" s="1">
        <f t="shared" si="249"/>
        <v>1</v>
      </c>
      <c r="AG402" s="1">
        <f t="shared" si="250"/>
        <v>0</v>
      </c>
      <c r="AH402" s="1">
        <f t="shared" si="251"/>
        <v>1</v>
      </c>
      <c r="AI402" s="1">
        <f t="shared" si="252"/>
        <v>0</v>
      </c>
    </row>
    <row r="403" spans="1:35" ht="14.25" customHeight="1" x14ac:dyDescent="0.3">
      <c r="A403" s="44">
        <v>0</v>
      </c>
      <c r="B403" s="44">
        <v>2</v>
      </c>
      <c r="C403" s="44">
        <v>7</v>
      </c>
      <c r="D403" s="45" t="s">
        <v>1629</v>
      </c>
      <c r="E403" s="45" t="s">
        <v>155</v>
      </c>
      <c r="F403" s="45" t="s">
        <v>1652</v>
      </c>
      <c r="G403" s="45" t="s">
        <v>212</v>
      </c>
      <c r="H403" s="45" t="s">
        <v>352</v>
      </c>
      <c r="I403" s="44" t="s">
        <v>590</v>
      </c>
      <c r="J403" s="44">
        <v>1</v>
      </c>
      <c r="K403" s="46" t="s">
        <v>708</v>
      </c>
      <c r="L403" s="46" t="s">
        <v>718</v>
      </c>
      <c r="M403" s="47" t="s">
        <v>1428</v>
      </c>
      <c r="N403" s="47" t="s">
        <v>1730</v>
      </c>
      <c r="O403" s="48"/>
      <c r="P403" s="48"/>
      <c r="Q403" s="45"/>
      <c r="S403" s="1">
        <f t="shared" si="253"/>
        <v>1</v>
      </c>
      <c r="T403" s="1">
        <f t="shared" si="254"/>
        <v>0</v>
      </c>
      <c r="U403" s="1">
        <f t="shared" si="255"/>
        <v>0</v>
      </c>
      <c r="V403" s="1">
        <f t="shared" si="256"/>
        <v>0</v>
      </c>
      <c r="W403" s="1">
        <f t="shared" si="257"/>
        <v>0</v>
      </c>
      <c r="X403" s="1">
        <f t="shared" si="258"/>
        <v>0</v>
      </c>
      <c r="Y403" s="1">
        <f t="shared" si="259"/>
        <v>0</v>
      </c>
      <c r="Z403" s="1">
        <f t="shared" si="260"/>
        <v>0</v>
      </c>
      <c r="AA403" s="1">
        <f t="shared" si="261"/>
        <v>0</v>
      </c>
      <c r="AB403" s="1">
        <f t="shared" si="262"/>
        <v>0</v>
      </c>
      <c r="AD403" s="1">
        <f t="shared" si="263"/>
        <v>0</v>
      </c>
      <c r="AE403" s="1">
        <f t="shared" si="264"/>
        <v>0</v>
      </c>
      <c r="AF403" s="1">
        <f t="shared" si="249"/>
        <v>0</v>
      </c>
      <c r="AG403" s="1">
        <f t="shared" si="250"/>
        <v>0</v>
      </c>
      <c r="AH403" s="1">
        <f t="shared" si="251"/>
        <v>0</v>
      </c>
      <c r="AI403" s="1">
        <f t="shared" si="252"/>
        <v>1</v>
      </c>
    </row>
    <row r="404" spans="1:35" ht="14.25" customHeight="1" x14ac:dyDescent="0.3">
      <c r="A404" s="44">
        <v>0</v>
      </c>
      <c r="B404" s="44">
        <v>2</v>
      </c>
      <c r="C404" s="44">
        <v>7</v>
      </c>
      <c r="D404" s="45" t="s">
        <v>1065</v>
      </c>
      <c r="E404" s="45" t="s">
        <v>1041</v>
      </c>
      <c r="F404" s="45" t="s">
        <v>1066</v>
      </c>
      <c r="G404" s="45" t="s">
        <v>212</v>
      </c>
      <c r="H404" s="45" t="s">
        <v>352</v>
      </c>
      <c r="I404" s="44" t="s">
        <v>1067</v>
      </c>
      <c r="J404" s="44">
        <v>1</v>
      </c>
      <c r="K404" s="46" t="s">
        <v>950</v>
      </c>
      <c r="L404" s="46" t="s">
        <v>718</v>
      </c>
      <c r="M404" s="47" t="s">
        <v>1429</v>
      </c>
      <c r="N404" s="47" t="s">
        <v>1730</v>
      </c>
      <c r="O404" s="48"/>
      <c r="P404" s="48"/>
      <c r="Q404" s="45" t="s">
        <v>1913</v>
      </c>
      <c r="S404" s="1">
        <f t="shared" si="253"/>
        <v>1</v>
      </c>
      <c r="T404" s="1">
        <f t="shared" si="254"/>
        <v>0</v>
      </c>
      <c r="U404" s="1">
        <f t="shared" si="255"/>
        <v>0</v>
      </c>
      <c r="V404" s="1">
        <f t="shared" si="256"/>
        <v>0</v>
      </c>
      <c r="W404" s="1">
        <f t="shared" si="257"/>
        <v>0</v>
      </c>
      <c r="X404" s="1">
        <f t="shared" si="258"/>
        <v>0</v>
      </c>
      <c r="Y404" s="1">
        <f t="shared" si="259"/>
        <v>0</v>
      </c>
      <c r="Z404" s="1">
        <f t="shared" si="260"/>
        <v>0</v>
      </c>
      <c r="AA404" s="1">
        <f t="shared" si="261"/>
        <v>0</v>
      </c>
      <c r="AB404" s="1">
        <f t="shared" si="262"/>
        <v>0</v>
      </c>
      <c r="AD404" s="1">
        <f t="shared" si="263"/>
        <v>0</v>
      </c>
      <c r="AE404" s="1">
        <f t="shared" si="264"/>
        <v>0</v>
      </c>
      <c r="AF404" s="1">
        <f t="shared" si="249"/>
        <v>0</v>
      </c>
      <c r="AG404" s="1">
        <f t="shared" si="250"/>
        <v>0</v>
      </c>
      <c r="AH404" s="1">
        <f t="shared" si="251"/>
        <v>0</v>
      </c>
      <c r="AI404" s="1">
        <f t="shared" si="252"/>
        <v>1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2" t="s">
        <v>1012</v>
      </c>
      <c r="E405" s="32" t="s">
        <v>155</v>
      </c>
      <c r="F405" s="32" t="s">
        <v>1083</v>
      </c>
      <c r="G405" s="32" t="s">
        <v>1093</v>
      </c>
      <c r="H405" s="32" t="s">
        <v>352</v>
      </c>
      <c r="I405" s="31" t="s">
        <v>1013</v>
      </c>
      <c r="J405" s="31">
        <v>99</v>
      </c>
      <c r="K405" s="33" t="s">
        <v>709</v>
      </c>
      <c r="L405" s="33" t="s">
        <v>718</v>
      </c>
      <c r="M405" s="34" t="s">
        <v>1429</v>
      </c>
      <c r="N405" s="34" t="s">
        <v>1743</v>
      </c>
      <c r="O405" s="35">
        <v>1</v>
      </c>
      <c r="P405" s="35"/>
      <c r="Q405" s="32"/>
      <c r="S405" s="1">
        <f t="shared" si="253"/>
        <v>0</v>
      </c>
      <c r="T405" s="1">
        <f t="shared" si="254"/>
        <v>0</v>
      </c>
      <c r="U405" s="1">
        <f t="shared" si="255"/>
        <v>0</v>
      </c>
      <c r="V405" s="1">
        <f t="shared" si="256"/>
        <v>0</v>
      </c>
      <c r="W405" s="1">
        <f t="shared" si="257"/>
        <v>0</v>
      </c>
      <c r="X405" s="1">
        <f t="shared" si="258"/>
        <v>0</v>
      </c>
      <c r="Y405" s="1">
        <f t="shared" si="259"/>
        <v>0</v>
      </c>
      <c r="Z405" s="1">
        <f t="shared" si="260"/>
        <v>0</v>
      </c>
      <c r="AA405" s="1">
        <f t="shared" si="261"/>
        <v>0</v>
      </c>
      <c r="AB405" s="1">
        <f t="shared" si="262"/>
        <v>0</v>
      </c>
      <c r="AD405" s="1">
        <f t="shared" si="263"/>
        <v>0</v>
      </c>
      <c r="AE405" s="1">
        <f t="shared" si="264"/>
        <v>1</v>
      </c>
      <c r="AF405" s="1">
        <f t="shared" si="249"/>
        <v>0</v>
      </c>
      <c r="AG405" s="1">
        <f t="shared" si="250"/>
        <v>1</v>
      </c>
      <c r="AH405" s="1">
        <f t="shared" si="251"/>
        <v>0</v>
      </c>
      <c r="AI405" s="1">
        <f t="shared" si="252"/>
        <v>1</v>
      </c>
    </row>
    <row r="406" spans="1:35" ht="14.25" customHeight="1" x14ac:dyDescent="0.3">
      <c r="A406" s="31">
        <v>0</v>
      </c>
      <c r="B406" s="31">
        <v>2</v>
      </c>
      <c r="C406" s="31">
        <v>7</v>
      </c>
      <c r="D406" s="32" t="s">
        <v>1200</v>
      </c>
      <c r="E406" s="32" t="s">
        <v>1327</v>
      </c>
      <c r="F406" s="32" t="s">
        <v>1201</v>
      </c>
      <c r="G406" s="32" t="s">
        <v>39</v>
      </c>
      <c r="H406" s="32" t="s">
        <v>352</v>
      </c>
      <c r="I406" s="31" t="s">
        <v>1680</v>
      </c>
      <c r="J406" s="31">
        <v>99</v>
      </c>
      <c r="K406" s="33" t="s">
        <v>950</v>
      </c>
      <c r="L406" s="33" t="s">
        <v>725</v>
      </c>
      <c r="M406" s="34" t="s">
        <v>1430</v>
      </c>
      <c r="N406" s="34" t="s">
        <v>1743</v>
      </c>
      <c r="O406" s="35">
        <v>1</v>
      </c>
      <c r="P406" s="35"/>
      <c r="Q406" s="32"/>
      <c r="S406" s="1">
        <f t="shared" si="253"/>
        <v>0</v>
      </c>
      <c r="T406" s="1">
        <f t="shared" si="254"/>
        <v>0</v>
      </c>
      <c r="U406" s="1">
        <f t="shared" si="255"/>
        <v>0</v>
      </c>
      <c r="V406" s="1">
        <f t="shared" si="256"/>
        <v>0</v>
      </c>
      <c r="W406" s="1">
        <f t="shared" si="257"/>
        <v>0</v>
      </c>
      <c r="X406" s="1">
        <f t="shared" si="258"/>
        <v>0</v>
      </c>
      <c r="Y406" s="1">
        <f t="shared" si="259"/>
        <v>0</v>
      </c>
      <c r="Z406" s="1">
        <f t="shared" si="260"/>
        <v>0</v>
      </c>
      <c r="AA406" s="1">
        <f t="shared" si="261"/>
        <v>0</v>
      </c>
      <c r="AB406" s="1">
        <f t="shared" si="262"/>
        <v>0</v>
      </c>
      <c r="AD406" s="1">
        <f t="shared" si="263"/>
        <v>0</v>
      </c>
      <c r="AE406" s="1">
        <f t="shared" si="264"/>
        <v>1</v>
      </c>
      <c r="AF406" s="1">
        <f t="shared" si="249"/>
        <v>0</v>
      </c>
      <c r="AG406" s="1">
        <f t="shared" si="250"/>
        <v>1</v>
      </c>
      <c r="AH406" s="1">
        <f t="shared" si="251"/>
        <v>0</v>
      </c>
      <c r="AI406" s="1">
        <f t="shared" si="252"/>
        <v>1</v>
      </c>
    </row>
    <row r="407" spans="1:35" ht="14.25" customHeight="1" x14ac:dyDescent="0.3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640</v>
      </c>
      <c r="G407" s="32" t="s">
        <v>531</v>
      </c>
      <c r="H407" s="32" t="s">
        <v>352</v>
      </c>
      <c r="I407" s="31" t="s">
        <v>392</v>
      </c>
      <c r="J407" s="31">
        <v>6</v>
      </c>
      <c r="K407" s="33" t="s">
        <v>708</v>
      </c>
      <c r="L407" s="33" t="s">
        <v>709</v>
      </c>
      <c r="M407" s="34" t="s">
        <v>727</v>
      </c>
      <c r="N407" s="34" t="s">
        <v>1756</v>
      </c>
      <c r="O407" s="35">
        <v>1</v>
      </c>
      <c r="P407" s="35"/>
      <c r="Q407" s="32"/>
      <c r="S407" s="1">
        <f t="shared" si="253"/>
        <v>0</v>
      </c>
      <c r="T407" s="1">
        <f t="shared" si="254"/>
        <v>0</v>
      </c>
      <c r="U407" s="1">
        <f t="shared" si="255"/>
        <v>0</v>
      </c>
      <c r="V407" s="1">
        <f t="shared" si="256"/>
        <v>0</v>
      </c>
      <c r="W407" s="1">
        <f t="shared" si="257"/>
        <v>0</v>
      </c>
      <c r="X407" s="1">
        <f t="shared" si="258"/>
        <v>1</v>
      </c>
      <c r="Y407" s="1">
        <f t="shared" si="259"/>
        <v>0</v>
      </c>
      <c r="Z407" s="1">
        <f t="shared" si="260"/>
        <v>0</v>
      </c>
      <c r="AA407" s="1">
        <f t="shared" si="261"/>
        <v>0</v>
      </c>
      <c r="AB407" s="1">
        <f t="shared" si="262"/>
        <v>0</v>
      </c>
      <c r="AD407" s="1">
        <f t="shared" si="263"/>
        <v>0</v>
      </c>
      <c r="AE407" s="1">
        <f t="shared" si="264"/>
        <v>1</v>
      </c>
      <c r="AF407" s="1">
        <f t="shared" si="249"/>
        <v>0</v>
      </c>
      <c r="AG407" s="1">
        <f t="shared" si="250"/>
        <v>1</v>
      </c>
      <c r="AH407" s="1">
        <f t="shared" si="251"/>
        <v>0</v>
      </c>
      <c r="AI407" s="1">
        <f t="shared" si="252"/>
        <v>1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352</v>
      </c>
      <c r="I408" s="31" t="s">
        <v>30</v>
      </c>
      <c r="J408" s="31">
        <v>99</v>
      </c>
      <c r="K408" s="33" t="s">
        <v>708</v>
      </c>
      <c r="L408" s="33" t="s">
        <v>709</v>
      </c>
      <c r="M408" s="34" t="s">
        <v>727</v>
      </c>
      <c r="N408" s="34" t="s">
        <v>1756</v>
      </c>
      <c r="O408" s="35">
        <v>1</v>
      </c>
      <c r="P408" s="35"/>
      <c r="Q408" s="32"/>
      <c r="S408" s="1">
        <f t="shared" si="253"/>
        <v>0</v>
      </c>
      <c r="T408" s="1">
        <f t="shared" si="254"/>
        <v>0</v>
      </c>
      <c r="U408" s="1">
        <f t="shared" si="255"/>
        <v>0</v>
      </c>
      <c r="V408" s="1">
        <f t="shared" si="256"/>
        <v>0</v>
      </c>
      <c r="W408" s="1">
        <f t="shared" si="257"/>
        <v>0</v>
      </c>
      <c r="X408" s="1">
        <f t="shared" si="258"/>
        <v>0</v>
      </c>
      <c r="Y408" s="1">
        <f t="shared" si="259"/>
        <v>0</v>
      </c>
      <c r="Z408" s="1">
        <f t="shared" si="260"/>
        <v>0</v>
      </c>
      <c r="AA408" s="1">
        <f t="shared" si="261"/>
        <v>0</v>
      </c>
      <c r="AB408" s="1">
        <f t="shared" si="262"/>
        <v>0</v>
      </c>
      <c r="AD408" s="1">
        <f t="shared" si="263"/>
        <v>0</v>
      </c>
      <c r="AE408" s="1">
        <f t="shared" si="264"/>
        <v>1</v>
      </c>
      <c r="AF408" s="1">
        <f t="shared" ref="AF408:AF473" si="305">+O408*P408*(1-A408)</f>
        <v>0</v>
      </c>
      <c r="AG408" s="1">
        <f t="shared" ref="AG408:AG473" si="306">O408*(1-P408)*(1-A408)</f>
        <v>0</v>
      </c>
      <c r="AH408" s="1">
        <f t="shared" ref="AH408:AH473" si="307">+P408*(1-A408)</f>
        <v>0</v>
      </c>
      <c r="AI408" s="1">
        <f t="shared" ref="AI408:AI473" si="308">+(1-A408)*(1-P408)</f>
        <v>0</v>
      </c>
    </row>
    <row r="409" spans="1:35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214</v>
      </c>
      <c r="G409" s="32" t="s">
        <v>39</v>
      </c>
      <c r="H409" s="32" t="s">
        <v>352</v>
      </c>
      <c r="I409" s="31" t="s">
        <v>392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1756</v>
      </c>
      <c r="O409" s="35">
        <v>1</v>
      </c>
      <c r="P409" s="35"/>
      <c r="Q409" s="32"/>
      <c r="S409" s="1">
        <f t="shared" si="253"/>
        <v>0</v>
      </c>
      <c r="T409" s="1">
        <f t="shared" si="254"/>
        <v>0</v>
      </c>
      <c r="U409" s="1">
        <f t="shared" si="255"/>
        <v>0</v>
      </c>
      <c r="V409" s="1">
        <f t="shared" si="256"/>
        <v>0</v>
      </c>
      <c r="W409" s="1">
        <f t="shared" si="257"/>
        <v>0</v>
      </c>
      <c r="X409" s="1">
        <f t="shared" si="258"/>
        <v>0</v>
      </c>
      <c r="Y409" s="1">
        <f t="shared" si="259"/>
        <v>0</v>
      </c>
      <c r="Z409" s="1">
        <f t="shared" si="260"/>
        <v>0</v>
      </c>
      <c r="AA409" s="1">
        <f t="shared" si="261"/>
        <v>0</v>
      </c>
      <c r="AB409" s="1">
        <f t="shared" si="262"/>
        <v>0</v>
      </c>
      <c r="AD409" s="1">
        <f t="shared" si="263"/>
        <v>0</v>
      </c>
      <c r="AE409" s="1">
        <f t="shared" si="264"/>
        <v>1</v>
      </c>
      <c r="AF409" s="1">
        <f t="shared" si="305"/>
        <v>0</v>
      </c>
      <c r="AG409" s="1">
        <f t="shared" si="306"/>
        <v>0</v>
      </c>
      <c r="AH409" s="1">
        <f t="shared" si="307"/>
        <v>0</v>
      </c>
      <c r="AI409" s="1">
        <f t="shared" si="308"/>
        <v>0</v>
      </c>
    </row>
    <row r="410" spans="1:35" ht="14.25" customHeight="1" x14ac:dyDescent="0.3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216</v>
      </c>
      <c r="G410" s="32" t="s">
        <v>217</v>
      </c>
      <c r="H410" s="32" t="s">
        <v>352</v>
      </c>
      <c r="I410" s="31" t="s">
        <v>393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1756</v>
      </c>
      <c r="O410" s="35">
        <v>1</v>
      </c>
      <c r="P410" s="35"/>
      <c r="Q410" s="32"/>
      <c r="S410" s="1">
        <f t="shared" si="253"/>
        <v>0</v>
      </c>
      <c r="T410" s="1">
        <f t="shared" si="254"/>
        <v>0</v>
      </c>
      <c r="U410" s="1">
        <f t="shared" si="255"/>
        <v>0</v>
      </c>
      <c r="V410" s="1">
        <f t="shared" si="256"/>
        <v>0</v>
      </c>
      <c r="W410" s="1">
        <f t="shared" si="257"/>
        <v>0</v>
      </c>
      <c r="X410" s="1">
        <f t="shared" si="258"/>
        <v>0</v>
      </c>
      <c r="Y410" s="1">
        <f t="shared" si="259"/>
        <v>0</v>
      </c>
      <c r="Z410" s="1">
        <f t="shared" si="260"/>
        <v>0</v>
      </c>
      <c r="AA410" s="1">
        <f t="shared" si="261"/>
        <v>0</v>
      </c>
      <c r="AB410" s="1">
        <f t="shared" si="262"/>
        <v>0</v>
      </c>
      <c r="AD410" s="1">
        <f t="shared" si="263"/>
        <v>0</v>
      </c>
      <c r="AE410" s="1">
        <f t="shared" si="264"/>
        <v>1</v>
      </c>
      <c r="AF410" s="1">
        <f t="shared" si="305"/>
        <v>0</v>
      </c>
      <c r="AG410" s="1">
        <f t="shared" si="306"/>
        <v>0</v>
      </c>
      <c r="AH410" s="1">
        <f t="shared" si="307"/>
        <v>0</v>
      </c>
      <c r="AI410" s="1">
        <f t="shared" si="308"/>
        <v>0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6" t="s">
        <v>2048</v>
      </c>
      <c r="E411" s="36" t="s">
        <v>155</v>
      </c>
      <c r="F411" s="36" t="s">
        <v>2049</v>
      </c>
      <c r="G411" s="36" t="s">
        <v>219</v>
      </c>
      <c r="H411" s="36" t="s">
        <v>352</v>
      </c>
      <c r="I411" s="37" t="s">
        <v>2050</v>
      </c>
      <c r="J411" s="31">
        <v>99</v>
      </c>
      <c r="K411" s="33" t="s">
        <v>699</v>
      </c>
      <c r="L411" s="33">
        <v>10</v>
      </c>
      <c r="M411" s="34" t="s">
        <v>2051</v>
      </c>
      <c r="N411" s="34" t="s">
        <v>1743</v>
      </c>
      <c r="O411" s="35">
        <v>1</v>
      </c>
      <c r="P411" s="35"/>
      <c r="Q411" s="32"/>
      <c r="S411" s="1">
        <f t="shared" si="253"/>
        <v>0</v>
      </c>
      <c r="T411" s="1">
        <f t="shared" si="254"/>
        <v>0</v>
      </c>
      <c r="U411" s="1">
        <f t="shared" si="255"/>
        <v>0</v>
      </c>
      <c r="V411" s="1">
        <f t="shared" si="256"/>
        <v>0</v>
      </c>
      <c r="W411" s="1">
        <f t="shared" si="257"/>
        <v>0</v>
      </c>
      <c r="X411" s="1">
        <f t="shared" si="258"/>
        <v>0</v>
      </c>
      <c r="Y411" s="1">
        <f t="shared" si="259"/>
        <v>0</v>
      </c>
      <c r="Z411" s="1">
        <f t="shared" si="260"/>
        <v>0</v>
      </c>
      <c r="AA411" s="1">
        <f t="shared" si="261"/>
        <v>0</v>
      </c>
      <c r="AB411" s="1">
        <f t="shared" si="262"/>
        <v>0</v>
      </c>
      <c r="AD411" s="1">
        <f t="shared" si="263"/>
        <v>0</v>
      </c>
      <c r="AE411" s="1">
        <f t="shared" si="264"/>
        <v>1</v>
      </c>
      <c r="AF411" s="1">
        <f t="shared" si="305"/>
        <v>0</v>
      </c>
      <c r="AG411" s="1">
        <f t="shared" si="306"/>
        <v>1</v>
      </c>
      <c r="AH411" s="1">
        <f t="shared" si="307"/>
        <v>0</v>
      </c>
      <c r="AI411" s="1">
        <f t="shared" si="308"/>
        <v>1</v>
      </c>
    </row>
    <row r="412" spans="1:35" ht="14.25" customHeight="1" x14ac:dyDescent="0.3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252</v>
      </c>
      <c r="G412" s="45" t="s">
        <v>253</v>
      </c>
      <c r="H412" s="45" t="s">
        <v>352</v>
      </c>
      <c r="I412" s="44" t="s">
        <v>412</v>
      </c>
      <c r="J412" s="44">
        <v>99</v>
      </c>
      <c r="K412" s="46" t="s">
        <v>709</v>
      </c>
      <c r="L412" s="46" t="s">
        <v>709</v>
      </c>
      <c r="M412" s="47" t="s">
        <v>727</v>
      </c>
      <c r="N412" s="47" t="s">
        <v>1797</v>
      </c>
      <c r="O412" s="48"/>
      <c r="P412" s="48"/>
      <c r="Q412" s="45"/>
      <c r="S412" s="1">
        <f t="shared" ref="S412:S418" si="309">IF(J412=$S$7,1,0)</f>
        <v>0</v>
      </c>
      <c r="T412" s="1">
        <f t="shared" ref="T412:T418" si="310">IF(J412=$T$7,1,0)</f>
        <v>0</v>
      </c>
      <c r="U412" s="1">
        <f t="shared" ref="U412:U418" si="311">IF(J412=$U$7,1,0)</f>
        <v>0</v>
      </c>
      <c r="V412" s="1">
        <f t="shared" ref="V412:V418" si="312">IF(J412=$V$7,1,0)</f>
        <v>0</v>
      </c>
      <c r="W412" s="1">
        <f t="shared" ref="W412:W418" si="313">IF(J412=$W$7,1,0)</f>
        <v>0</v>
      </c>
      <c r="X412" s="1">
        <f t="shared" ref="X412:X418" si="314">IF(J412=$X$7,1,0)</f>
        <v>0</v>
      </c>
      <c r="Y412" s="1">
        <f t="shared" ref="Y412:Y418" si="315">IF(J412=$Y$7,1,0)</f>
        <v>0</v>
      </c>
      <c r="Z412" s="1">
        <f t="shared" ref="Z412:Z418" si="316">IF(J412=$Z$7,1,0)</f>
        <v>0</v>
      </c>
      <c r="AA412" s="1">
        <f t="shared" ref="AA412:AA418" si="317">IF(J412=$AA$7,1,0)</f>
        <v>0</v>
      </c>
      <c r="AB412" s="1">
        <f t="shared" ref="AB412:AB418" si="318">IF(J412=$AB$7,1,0)</f>
        <v>0</v>
      </c>
      <c r="AD412" s="1">
        <f t="shared" ref="AD412:AD418" si="319">+O412*P412</f>
        <v>0</v>
      </c>
      <c r="AE412" s="1">
        <f t="shared" ref="AE412:AE418" si="320">O412*(1-P412)</f>
        <v>0</v>
      </c>
      <c r="AF412" s="1">
        <f t="shared" ref="AF412:AF418" si="321">+O412*P412*(1-A412)</f>
        <v>0</v>
      </c>
      <c r="AG412" s="1">
        <f t="shared" ref="AG412:AG418" si="322">O412*(1-P412)*(1-A412)</f>
        <v>0</v>
      </c>
      <c r="AH412" s="1">
        <f t="shared" ref="AH412:AH418" si="323">+P412*(1-A412)</f>
        <v>0</v>
      </c>
      <c r="AI412" s="1">
        <f t="shared" ref="AI412:AI418" si="324">+(1-A412)*(1-P412)</f>
        <v>1</v>
      </c>
    </row>
    <row r="413" spans="1:35" ht="14.25" customHeight="1" x14ac:dyDescent="0.3">
      <c r="A413" s="31">
        <v>0</v>
      </c>
      <c r="B413" s="31">
        <v>2</v>
      </c>
      <c r="C413" s="31">
        <v>7</v>
      </c>
      <c r="D413" s="32" t="s">
        <v>2012</v>
      </c>
      <c r="E413" s="32" t="s">
        <v>28</v>
      </c>
      <c r="F413" s="32" t="s">
        <v>2014</v>
      </c>
      <c r="G413" s="32" t="s">
        <v>1099</v>
      </c>
      <c r="H413" s="32" t="s">
        <v>352</v>
      </c>
      <c r="I413" s="31" t="s">
        <v>2015</v>
      </c>
      <c r="J413" s="31">
        <v>1</v>
      </c>
      <c r="K413" s="33" t="s">
        <v>699</v>
      </c>
      <c r="L413" s="33"/>
      <c r="M413" s="34"/>
      <c r="N413" s="34" t="s">
        <v>1722</v>
      </c>
      <c r="O413" s="35">
        <v>1</v>
      </c>
      <c r="P413" s="35">
        <v>1</v>
      </c>
      <c r="Q413" s="32" t="s">
        <v>2017</v>
      </c>
      <c r="S413" s="1">
        <f t="shared" si="309"/>
        <v>1</v>
      </c>
      <c r="T413" s="1">
        <f t="shared" si="310"/>
        <v>0</v>
      </c>
      <c r="U413" s="1">
        <f t="shared" si="311"/>
        <v>0</v>
      </c>
      <c r="V413" s="1">
        <f t="shared" si="312"/>
        <v>0</v>
      </c>
      <c r="W413" s="1">
        <f t="shared" si="313"/>
        <v>0</v>
      </c>
      <c r="X413" s="1">
        <f t="shared" si="314"/>
        <v>0</v>
      </c>
      <c r="Y413" s="1">
        <f t="shared" si="315"/>
        <v>0</v>
      </c>
      <c r="Z413" s="1">
        <f t="shared" si="316"/>
        <v>0</v>
      </c>
      <c r="AA413" s="1">
        <f t="shared" si="317"/>
        <v>0</v>
      </c>
      <c r="AB413" s="1">
        <f t="shared" si="318"/>
        <v>0</v>
      </c>
      <c r="AD413" s="1">
        <f t="shared" si="319"/>
        <v>1</v>
      </c>
      <c r="AE413" s="1">
        <f t="shared" si="320"/>
        <v>0</v>
      </c>
      <c r="AF413" s="1">
        <f t="shared" si="321"/>
        <v>1</v>
      </c>
      <c r="AG413" s="1">
        <f t="shared" si="322"/>
        <v>0</v>
      </c>
      <c r="AH413" s="1">
        <f t="shared" si="323"/>
        <v>1</v>
      </c>
      <c r="AI413" s="1">
        <f t="shared" si="324"/>
        <v>0</v>
      </c>
    </row>
    <row r="414" spans="1:35" ht="14.25" customHeight="1" x14ac:dyDescent="0.3">
      <c r="A414" s="31">
        <v>1</v>
      </c>
      <c r="B414" s="31">
        <v>2</v>
      </c>
      <c r="C414" s="31">
        <v>7</v>
      </c>
      <c r="D414" s="32" t="s">
        <v>2012</v>
      </c>
      <c r="E414" s="32" t="s">
        <v>28</v>
      </c>
      <c r="F414" s="32" t="s">
        <v>2013</v>
      </c>
      <c r="G414" s="36" t="s">
        <v>2019</v>
      </c>
      <c r="H414" s="32" t="s">
        <v>352</v>
      </c>
      <c r="I414" s="31" t="s">
        <v>2016</v>
      </c>
      <c r="J414" s="31">
        <v>8</v>
      </c>
      <c r="K414" s="33" t="s">
        <v>699</v>
      </c>
      <c r="L414" s="33"/>
      <c r="M414" s="34"/>
      <c r="N414" s="34" t="s">
        <v>1722</v>
      </c>
      <c r="O414" s="35">
        <v>1</v>
      </c>
      <c r="P414" s="35">
        <v>1</v>
      </c>
      <c r="Q414" s="32" t="s">
        <v>2018</v>
      </c>
      <c r="S414" s="1">
        <f t="shared" si="309"/>
        <v>0</v>
      </c>
      <c r="T414" s="1">
        <f t="shared" si="310"/>
        <v>0</v>
      </c>
      <c r="U414" s="1">
        <f t="shared" si="311"/>
        <v>0</v>
      </c>
      <c r="V414" s="1">
        <f t="shared" si="312"/>
        <v>0</v>
      </c>
      <c r="W414" s="1">
        <f t="shared" si="313"/>
        <v>0</v>
      </c>
      <c r="X414" s="1">
        <f t="shared" si="314"/>
        <v>0</v>
      </c>
      <c r="Y414" s="1">
        <f t="shared" si="315"/>
        <v>0</v>
      </c>
      <c r="Z414" s="1">
        <f t="shared" si="316"/>
        <v>1</v>
      </c>
      <c r="AA414" s="1">
        <f t="shared" si="317"/>
        <v>0</v>
      </c>
      <c r="AB414" s="1">
        <f t="shared" si="318"/>
        <v>0</v>
      </c>
      <c r="AD414" s="1">
        <f t="shared" si="319"/>
        <v>1</v>
      </c>
      <c r="AE414" s="1">
        <f t="shared" si="320"/>
        <v>0</v>
      </c>
      <c r="AF414" s="1">
        <f t="shared" si="321"/>
        <v>0</v>
      </c>
      <c r="AG414" s="1">
        <f t="shared" si="322"/>
        <v>0</v>
      </c>
      <c r="AH414" s="1">
        <f t="shared" si="323"/>
        <v>0</v>
      </c>
      <c r="AI414" s="1">
        <f t="shared" si="324"/>
        <v>0</v>
      </c>
    </row>
    <row r="415" spans="1:35" ht="14.25" customHeight="1" x14ac:dyDescent="0.3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254</v>
      </c>
      <c r="G415" s="36" t="s">
        <v>206</v>
      </c>
      <c r="H415" s="32" t="s">
        <v>352</v>
      </c>
      <c r="I415" s="31" t="s">
        <v>413</v>
      </c>
      <c r="J415" s="31">
        <v>99</v>
      </c>
      <c r="K415" s="33" t="s">
        <v>950</v>
      </c>
      <c r="L415" s="33" t="s">
        <v>709</v>
      </c>
      <c r="M415" s="34" t="s">
        <v>727</v>
      </c>
      <c r="N415" s="34" t="s">
        <v>1728</v>
      </c>
      <c r="O415" s="35">
        <v>1</v>
      </c>
      <c r="P415" s="35">
        <v>1</v>
      </c>
      <c r="Q415" s="32"/>
      <c r="S415" s="1">
        <f t="shared" si="309"/>
        <v>0</v>
      </c>
      <c r="T415" s="1">
        <f t="shared" si="310"/>
        <v>0</v>
      </c>
      <c r="U415" s="1">
        <f t="shared" si="311"/>
        <v>0</v>
      </c>
      <c r="V415" s="1">
        <f t="shared" si="312"/>
        <v>0</v>
      </c>
      <c r="W415" s="1">
        <f t="shared" si="313"/>
        <v>0</v>
      </c>
      <c r="X415" s="1">
        <f t="shared" si="314"/>
        <v>0</v>
      </c>
      <c r="Y415" s="1">
        <f t="shared" si="315"/>
        <v>0</v>
      </c>
      <c r="Z415" s="1">
        <f t="shared" si="316"/>
        <v>0</v>
      </c>
      <c r="AA415" s="1">
        <f t="shared" si="317"/>
        <v>0</v>
      </c>
      <c r="AB415" s="1">
        <f t="shared" si="318"/>
        <v>0</v>
      </c>
      <c r="AD415" s="1">
        <f t="shared" si="319"/>
        <v>1</v>
      </c>
      <c r="AE415" s="1">
        <f t="shared" si="320"/>
        <v>0</v>
      </c>
      <c r="AF415" s="1">
        <f t="shared" si="321"/>
        <v>1</v>
      </c>
      <c r="AG415" s="1">
        <f t="shared" si="322"/>
        <v>0</v>
      </c>
      <c r="AH415" s="1">
        <f t="shared" si="323"/>
        <v>1</v>
      </c>
      <c r="AI415" s="1">
        <f t="shared" si="324"/>
        <v>0</v>
      </c>
    </row>
    <row r="416" spans="1:35" ht="14.25" customHeight="1" x14ac:dyDescent="0.3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1869</v>
      </c>
      <c r="G416" s="36" t="s">
        <v>255</v>
      </c>
      <c r="H416" s="32" t="s">
        <v>352</v>
      </c>
      <c r="I416" s="31" t="s">
        <v>414</v>
      </c>
      <c r="J416" s="31">
        <v>99</v>
      </c>
      <c r="K416" s="33" t="s">
        <v>950</v>
      </c>
      <c r="L416" s="33" t="s">
        <v>709</v>
      </c>
      <c r="M416" s="34" t="s">
        <v>727</v>
      </c>
      <c r="N416" s="34" t="s">
        <v>1728</v>
      </c>
      <c r="O416" s="35">
        <v>1</v>
      </c>
      <c r="P416" s="35">
        <v>1</v>
      </c>
      <c r="Q416" s="32"/>
      <c r="S416" s="1">
        <f t="shared" si="309"/>
        <v>0</v>
      </c>
      <c r="T416" s="1">
        <f t="shared" si="310"/>
        <v>0</v>
      </c>
      <c r="U416" s="1">
        <f t="shared" si="311"/>
        <v>0</v>
      </c>
      <c r="V416" s="1">
        <f t="shared" si="312"/>
        <v>0</v>
      </c>
      <c r="W416" s="1">
        <f t="shared" si="313"/>
        <v>0</v>
      </c>
      <c r="X416" s="1">
        <f t="shared" si="314"/>
        <v>0</v>
      </c>
      <c r="Y416" s="1">
        <f t="shared" si="315"/>
        <v>0</v>
      </c>
      <c r="Z416" s="1">
        <f t="shared" si="316"/>
        <v>0</v>
      </c>
      <c r="AA416" s="1">
        <f t="shared" si="317"/>
        <v>0</v>
      </c>
      <c r="AB416" s="1">
        <f t="shared" si="318"/>
        <v>0</v>
      </c>
      <c r="AD416" s="1">
        <f t="shared" si="319"/>
        <v>1</v>
      </c>
      <c r="AE416" s="1">
        <f t="shared" si="320"/>
        <v>0</v>
      </c>
      <c r="AF416" s="1">
        <f t="shared" si="321"/>
        <v>0</v>
      </c>
      <c r="AG416" s="1">
        <f t="shared" si="322"/>
        <v>0</v>
      </c>
      <c r="AH416" s="1">
        <f t="shared" si="323"/>
        <v>0</v>
      </c>
      <c r="AI416" s="1">
        <f t="shared" si="324"/>
        <v>0</v>
      </c>
    </row>
    <row r="417" spans="1:35" ht="14.25" customHeight="1" x14ac:dyDescent="0.3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566</v>
      </c>
      <c r="G417" s="36" t="s">
        <v>567</v>
      </c>
      <c r="H417" s="32" t="s">
        <v>352</v>
      </c>
      <c r="I417" s="31" t="s">
        <v>576</v>
      </c>
      <c r="J417" s="31">
        <v>99</v>
      </c>
      <c r="K417" s="33" t="s">
        <v>950</v>
      </c>
      <c r="L417" s="33" t="s">
        <v>709</v>
      </c>
      <c r="M417" s="34" t="s">
        <v>727</v>
      </c>
      <c r="N417" s="34" t="s">
        <v>1728</v>
      </c>
      <c r="O417" s="35">
        <v>1</v>
      </c>
      <c r="P417" s="35">
        <v>1</v>
      </c>
      <c r="Q417" s="32"/>
      <c r="S417" s="1">
        <f t="shared" si="309"/>
        <v>0</v>
      </c>
      <c r="T417" s="1">
        <f t="shared" si="310"/>
        <v>0</v>
      </c>
      <c r="U417" s="1">
        <f t="shared" si="311"/>
        <v>0</v>
      </c>
      <c r="V417" s="1">
        <f t="shared" si="312"/>
        <v>0</v>
      </c>
      <c r="W417" s="1">
        <f t="shared" si="313"/>
        <v>0</v>
      </c>
      <c r="X417" s="1">
        <f t="shared" si="314"/>
        <v>0</v>
      </c>
      <c r="Y417" s="1">
        <f t="shared" si="315"/>
        <v>0</v>
      </c>
      <c r="Z417" s="1">
        <f t="shared" si="316"/>
        <v>0</v>
      </c>
      <c r="AA417" s="1">
        <f t="shared" si="317"/>
        <v>0</v>
      </c>
      <c r="AB417" s="1">
        <f t="shared" si="318"/>
        <v>0</v>
      </c>
      <c r="AD417" s="1">
        <f t="shared" si="319"/>
        <v>1</v>
      </c>
      <c r="AE417" s="1">
        <f t="shared" si="320"/>
        <v>0</v>
      </c>
      <c r="AF417" s="1">
        <f t="shared" si="321"/>
        <v>0</v>
      </c>
      <c r="AG417" s="1">
        <f t="shared" si="322"/>
        <v>0</v>
      </c>
      <c r="AH417" s="1">
        <f t="shared" si="323"/>
        <v>0</v>
      </c>
      <c r="AI417" s="1">
        <f t="shared" si="324"/>
        <v>0</v>
      </c>
    </row>
    <row r="418" spans="1:35" ht="14.25" customHeight="1" x14ac:dyDescent="0.3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1344</v>
      </c>
      <c r="G418" s="45" t="s">
        <v>258</v>
      </c>
      <c r="H418" s="45" t="s">
        <v>352</v>
      </c>
      <c r="I418" s="44" t="s">
        <v>416</v>
      </c>
      <c r="J418" s="44">
        <v>99</v>
      </c>
      <c r="K418" s="46" t="s">
        <v>709</v>
      </c>
      <c r="L418" s="46" t="s">
        <v>709</v>
      </c>
      <c r="M418" s="47" t="s">
        <v>727</v>
      </c>
      <c r="N418" s="47" t="s">
        <v>1797</v>
      </c>
      <c r="O418" s="48"/>
      <c r="P418" s="48"/>
      <c r="Q418" s="45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0</v>
      </c>
      <c r="AE418" s="1">
        <f t="shared" si="320"/>
        <v>0</v>
      </c>
      <c r="AF418" s="1">
        <f t="shared" si="321"/>
        <v>0</v>
      </c>
      <c r="AG418" s="1">
        <f t="shared" si="322"/>
        <v>0</v>
      </c>
      <c r="AH418" s="1">
        <f t="shared" si="323"/>
        <v>0</v>
      </c>
      <c r="AI418" s="1">
        <f t="shared" si="324"/>
        <v>1</v>
      </c>
    </row>
    <row r="419" spans="1:35" ht="14.25" customHeight="1" x14ac:dyDescent="0.3">
      <c r="A419" s="44">
        <v>0</v>
      </c>
      <c r="B419" s="44">
        <v>2</v>
      </c>
      <c r="C419" s="44">
        <v>7</v>
      </c>
      <c r="D419" s="45" t="s">
        <v>1057</v>
      </c>
      <c r="E419" s="45" t="s">
        <v>28</v>
      </c>
      <c r="F419" s="45" t="s">
        <v>1058</v>
      </c>
      <c r="G419" s="45" t="s">
        <v>1059</v>
      </c>
      <c r="H419" s="45" t="s">
        <v>352</v>
      </c>
      <c r="I419" s="44" t="s">
        <v>1060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1797</v>
      </c>
      <c r="O419" s="48"/>
      <c r="P419" s="48"/>
      <c r="Q419" s="45"/>
      <c r="S419" s="1">
        <f t="shared" ref="S419:S484" si="325">IF(J419=$S$7,1,0)</f>
        <v>0</v>
      </c>
      <c r="T419" s="1">
        <f t="shared" ref="T419:T484" si="326">IF(J419=$T$7,1,0)</f>
        <v>0</v>
      </c>
      <c r="U419" s="1">
        <f t="shared" ref="U419:U484" si="327">IF(J419=$U$7,1,0)</f>
        <v>0</v>
      </c>
      <c r="V419" s="1">
        <f t="shared" ref="V419:V484" si="328">IF(J419=$V$7,1,0)</f>
        <v>0</v>
      </c>
      <c r="W419" s="1">
        <f t="shared" ref="W419:W484" si="329">IF(J419=$W$7,1,0)</f>
        <v>0</v>
      </c>
      <c r="X419" s="1">
        <f t="shared" ref="X419:X484" si="330">IF(J419=$X$7,1,0)</f>
        <v>0</v>
      </c>
      <c r="Y419" s="1">
        <f t="shared" ref="Y419:Y484" si="331">IF(J419=$Y$7,1,0)</f>
        <v>0</v>
      </c>
      <c r="Z419" s="1">
        <f t="shared" ref="Z419:Z484" si="332">IF(J419=$Z$7,1,0)</f>
        <v>0</v>
      </c>
      <c r="AA419" s="1">
        <f t="shared" ref="AA419:AA484" si="333">IF(J419=$AA$7,1,0)</f>
        <v>0</v>
      </c>
      <c r="AB419" s="1">
        <f t="shared" ref="AB419:AB484" si="334">IF(J419=$AB$7,1,0)</f>
        <v>0</v>
      </c>
      <c r="AD419" s="1">
        <f t="shared" ref="AD419:AD484" si="335">+O419*P419</f>
        <v>0</v>
      </c>
      <c r="AE419" s="1">
        <f t="shared" ref="AE419:AE484" si="336">O419*(1-P419)</f>
        <v>0</v>
      </c>
      <c r="AF419" s="1">
        <f t="shared" si="305"/>
        <v>0</v>
      </c>
      <c r="AG419" s="1">
        <f t="shared" si="306"/>
        <v>0</v>
      </c>
      <c r="AH419" s="1">
        <f t="shared" si="307"/>
        <v>0</v>
      </c>
      <c r="AI419" s="1">
        <f t="shared" si="308"/>
        <v>1</v>
      </c>
    </row>
    <row r="420" spans="1:35" ht="14.25" customHeight="1" x14ac:dyDescent="0.3">
      <c r="A420" s="31">
        <v>0</v>
      </c>
      <c r="B420" s="31">
        <v>2</v>
      </c>
      <c r="C420" s="31">
        <v>7</v>
      </c>
      <c r="D420" s="32" t="s">
        <v>1801</v>
      </c>
      <c r="E420" s="32" t="s">
        <v>155</v>
      </c>
      <c r="F420" s="32" t="s">
        <v>1802</v>
      </c>
      <c r="G420" s="32"/>
      <c r="H420" s="32" t="s">
        <v>352</v>
      </c>
      <c r="I420" s="31" t="s">
        <v>1803</v>
      </c>
      <c r="J420" s="31">
        <v>99</v>
      </c>
      <c r="K420" s="33" t="s">
        <v>699</v>
      </c>
      <c r="L420" s="33"/>
      <c r="M420" s="34"/>
      <c r="N420" s="34" t="s">
        <v>1722</v>
      </c>
      <c r="O420" s="35">
        <v>1</v>
      </c>
      <c r="P420" s="35">
        <v>1</v>
      </c>
      <c r="Q420" s="32"/>
      <c r="S420" s="1">
        <f t="shared" si="325"/>
        <v>0</v>
      </c>
      <c r="T420" s="1">
        <f t="shared" si="326"/>
        <v>0</v>
      </c>
      <c r="U420" s="1">
        <f t="shared" si="327"/>
        <v>0</v>
      </c>
      <c r="V420" s="1">
        <f t="shared" si="328"/>
        <v>0</v>
      </c>
      <c r="W420" s="1">
        <f t="shared" si="329"/>
        <v>0</v>
      </c>
      <c r="X420" s="1">
        <f t="shared" si="330"/>
        <v>0</v>
      </c>
      <c r="Y420" s="1">
        <f t="shared" si="331"/>
        <v>0</v>
      </c>
      <c r="Z420" s="1">
        <f t="shared" si="332"/>
        <v>0</v>
      </c>
      <c r="AA420" s="1">
        <f t="shared" si="333"/>
        <v>0</v>
      </c>
      <c r="AB420" s="1">
        <f t="shared" si="334"/>
        <v>0</v>
      </c>
      <c r="AD420" s="1">
        <f t="shared" si="335"/>
        <v>1</v>
      </c>
      <c r="AE420" s="1">
        <f t="shared" si="336"/>
        <v>0</v>
      </c>
      <c r="AF420" s="1">
        <f t="shared" si="305"/>
        <v>1</v>
      </c>
      <c r="AG420" s="1">
        <f t="shared" si="306"/>
        <v>0</v>
      </c>
      <c r="AH420" s="1">
        <f t="shared" si="307"/>
        <v>1</v>
      </c>
      <c r="AI420" s="1">
        <f t="shared" si="308"/>
        <v>0</v>
      </c>
    </row>
    <row r="421" spans="1:35" ht="14.25" customHeight="1" x14ac:dyDescent="0.3">
      <c r="A421" s="31">
        <v>0</v>
      </c>
      <c r="B421" s="31">
        <v>2</v>
      </c>
      <c r="C421" s="31">
        <v>7</v>
      </c>
      <c r="D421" s="32" t="s">
        <v>1173</v>
      </c>
      <c r="E421" s="32" t="s">
        <v>155</v>
      </c>
      <c r="F421" s="32" t="s">
        <v>1174</v>
      </c>
      <c r="G421" s="32" t="s">
        <v>291</v>
      </c>
      <c r="H421" s="32" t="s">
        <v>352</v>
      </c>
      <c r="I421" s="31" t="s">
        <v>1175</v>
      </c>
      <c r="J421" s="31">
        <v>99</v>
      </c>
      <c r="K421" s="33" t="s">
        <v>709</v>
      </c>
      <c r="L421" s="33" t="s">
        <v>718</v>
      </c>
      <c r="M421" s="34" t="s">
        <v>1429</v>
      </c>
      <c r="N421" s="34" t="s">
        <v>1743</v>
      </c>
      <c r="O421" s="35">
        <v>1</v>
      </c>
      <c r="P421" s="35"/>
      <c r="Q421" s="32"/>
      <c r="S421" s="1">
        <f t="shared" si="325"/>
        <v>0</v>
      </c>
      <c r="T421" s="1">
        <f t="shared" si="326"/>
        <v>0</v>
      </c>
      <c r="U421" s="1">
        <f t="shared" si="327"/>
        <v>0</v>
      </c>
      <c r="V421" s="1">
        <f t="shared" si="328"/>
        <v>0</v>
      </c>
      <c r="W421" s="1">
        <f t="shared" si="329"/>
        <v>0</v>
      </c>
      <c r="X421" s="1">
        <f t="shared" si="330"/>
        <v>0</v>
      </c>
      <c r="Y421" s="1">
        <f t="shared" si="331"/>
        <v>0</v>
      </c>
      <c r="Z421" s="1">
        <f t="shared" si="332"/>
        <v>0</v>
      </c>
      <c r="AA421" s="1">
        <f t="shared" si="333"/>
        <v>0</v>
      </c>
      <c r="AB421" s="1">
        <f t="shared" si="334"/>
        <v>0</v>
      </c>
      <c r="AD421" s="1">
        <f t="shared" si="335"/>
        <v>0</v>
      </c>
      <c r="AE421" s="1">
        <f t="shared" si="336"/>
        <v>1</v>
      </c>
      <c r="AF421" s="1">
        <f t="shared" si="305"/>
        <v>0</v>
      </c>
      <c r="AG421" s="1">
        <f t="shared" si="306"/>
        <v>1</v>
      </c>
      <c r="AH421" s="1">
        <f t="shared" si="307"/>
        <v>0</v>
      </c>
      <c r="AI421" s="1">
        <f t="shared" si="308"/>
        <v>1</v>
      </c>
    </row>
    <row r="422" spans="1:35" ht="14.25" customHeight="1" x14ac:dyDescent="0.3">
      <c r="A422" s="31">
        <v>0</v>
      </c>
      <c r="B422" s="31">
        <v>2</v>
      </c>
      <c r="C422" s="31">
        <v>7</v>
      </c>
      <c r="D422" s="32" t="s">
        <v>1148</v>
      </c>
      <c r="E422" s="32" t="s">
        <v>1149</v>
      </c>
      <c r="F422" s="36" t="s">
        <v>1873</v>
      </c>
      <c r="G422" s="32" t="s">
        <v>624</v>
      </c>
      <c r="H422" s="32" t="s">
        <v>352</v>
      </c>
      <c r="I422" s="31" t="s">
        <v>1150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1738</v>
      </c>
      <c r="O422" s="35">
        <v>1</v>
      </c>
      <c r="P422" s="35"/>
      <c r="Q422" s="36" t="s">
        <v>1893</v>
      </c>
      <c r="S422" s="1">
        <f t="shared" si="325"/>
        <v>0</v>
      </c>
      <c r="T422" s="1">
        <f t="shared" si="326"/>
        <v>0</v>
      </c>
      <c r="U422" s="1">
        <f t="shared" si="327"/>
        <v>0</v>
      </c>
      <c r="V422" s="1">
        <f t="shared" si="328"/>
        <v>0</v>
      </c>
      <c r="W422" s="1">
        <f t="shared" si="329"/>
        <v>0</v>
      </c>
      <c r="X422" s="1">
        <f t="shared" si="330"/>
        <v>0</v>
      </c>
      <c r="Y422" s="1">
        <f t="shared" si="331"/>
        <v>0</v>
      </c>
      <c r="Z422" s="1">
        <f t="shared" si="332"/>
        <v>0</v>
      </c>
      <c r="AA422" s="1">
        <f t="shared" si="333"/>
        <v>0</v>
      </c>
      <c r="AB422" s="1">
        <f t="shared" si="334"/>
        <v>0</v>
      </c>
      <c r="AD422" s="1">
        <f t="shared" si="335"/>
        <v>0</v>
      </c>
      <c r="AE422" s="1">
        <f t="shared" si="336"/>
        <v>1</v>
      </c>
      <c r="AF422" s="1">
        <f t="shared" si="305"/>
        <v>0</v>
      </c>
      <c r="AG422" s="1">
        <f t="shared" si="306"/>
        <v>1</v>
      </c>
      <c r="AH422" s="1">
        <f t="shared" si="307"/>
        <v>0</v>
      </c>
      <c r="AI422" s="1">
        <f t="shared" si="308"/>
        <v>1</v>
      </c>
    </row>
    <row r="423" spans="1:35" ht="14.25" customHeight="1" x14ac:dyDescent="0.3">
      <c r="A423" s="31">
        <v>0</v>
      </c>
      <c r="B423" s="31">
        <v>2</v>
      </c>
      <c r="C423" s="31">
        <v>7</v>
      </c>
      <c r="D423" s="32" t="s">
        <v>538</v>
      </c>
      <c r="E423" s="32" t="s">
        <v>157</v>
      </c>
      <c r="F423" s="32" t="s">
        <v>194</v>
      </c>
      <c r="G423" s="32" t="s">
        <v>195</v>
      </c>
      <c r="H423" s="32" t="s">
        <v>352</v>
      </c>
      <c r="I423" s="31" t="s">
        <v>546</v>
      </c>
      <c r="J423" s="31">
        <v>99</v>
      </c>
      <c r="K423" s="33" t="s">
        <v>950</v>
      </c>
      <c r="L423" s="33" t="s">
        <v>692</v>
      </c>
      <c r="M423" s="34" t="s">
        <v>1431</v>
      </c>
      <c r="N423" s="34" t="s">
        <v>1743</v>
      </c>
      <c r="O423" s="35">
        <v>1</v>
      </c>
      <c r="P423" s="35"/>
      <c r="Q423" s="32"/>
      <c r="S423" s="1">
        <f t="shared" si="325"/>
        <v>0</v>
      </c>
      <c r="T423" s="1">
        <f t="shared" si="326"/>
        <v>0</v>
      </c>
      <c r="U423" s="1">
        <f t="shared" si="327"/>
        <v>0</v>
      </c>
      <c r="V423" s="1">
        <f t="shared" si="328"/>
        <v>0</v>
      </c>
      <c r="W423" s="1">
        <f t="shared" si="329"/>
        <v>0</v>
      </c>
      <c r="X423" s="1">
        <f t="shared" si="330"/>
        <v>0</v>
      </c>
      <c r="Y423" s="1">
        <f t="shared" si="331"/>
        <v>0</v>
      </c>
      <c r="Z423" s="1">
        <f t="shared" si="332"/>
        <v>0</v>
      </c>
      <c r="AA423" s="1">
        <f t="shared" si="333"/>
        <v>0</v>
      </c>
      <c r="AB423" s="1">
        <f t="shared" si="334"/>
        <v>0</v>
      </c>
      <c r="AD423" s="1">
        <f t="shared" si="335"/>
        <v>0</v>
      </c>
      <c r="AE423" s="1">
        <f t="shared" si="336"/>
        <v>1</v>
      </c>
      <c r="AF423" s="1">
        <f t="shared" si="305"/>
        <v>0</v>
      </c>
      <c r="AG423" s="1">
        <f t="shared" si="306"/>
        <v>1</v>
      </c>
      <c r="AH423" s="1">
        <f t="shared" si="307"/>
        <v>0</v>
      </c>
      <c r="AI423" s="1">
        <f t="shared" si="308"/>
        <v>1</v>
      </c>
    </row>
    <row r="424" spans="1:35" ht="14.25" customHeight="1" x14ac:dyDescent="0.3">
      <c r="A424" s="44">
        <v>0</v>
      </c>
      <c r="B424" s="44">
        <v>2</v>
      </c>
      <c r="C424" s="44">
        <v>7</v>
      </c>
      <c r="D424" s="45" t="s">
        <v>46</v>
      </c>
      <c r="E424" s="45" t="s">
        <v>155</v>
      </c>
      <c r="F424" s="45" t="s">
        <v>182</v>
      </c>
      <c r="G424" s="45" t="s">
        <v>178</v>
      </c>
      <c r="H424" s="45" t="s">
        <v>352</v>
      </c>
      <c r="I424" s="44" t="s">
        <v>380</v>
      </c>
      <c r="J424" s="44">
        <v>10</v>
      </c>
      <c r="K424" s="46" t="s">
        <v>950</v>
      </c>
      <c r="L424" s="46" t="s">
        <v>718</v>
      </c>
      <c r="M424" s="47" t="s">
        <v>1429</v>
      </c>
      <c r="N424" s="47" t="s">
        <v>1804</v>
      </c>
      <c r="O424" s="48"/>
      <c r="P424" s="48"/>
      <c r="Q424" s="45"/>
      <c r="S424" s="1">
        <f t="shared" si="325"/>
        <v>0</v>
      </c>
      <c r="T424" s="1">
        <f t="shared" si="326"/>
        <v>0</v>
      </c>
      <c r="U424" s="1">
        <f t="shared" si="327"/>
        <v>0</v>
      </c>
      <c r="V424" s="1">
        <f t="shared" si="328"/>
        <v>0</v>
      </c>
      <c r="W424" s="1">
        <f t="shared" si="329"/>
        <v>0</v>
      </c>
      <c r="X424" s="1">
        <f t="shared" si="330"/>
        <v>0</v>
      </c>
      <c r="Y424" s="1">
        <f t="shared" si="331"/>
        <v>0</v>
      </c>
      <c r="Z424" s="1">
        <f t="shared" si="332"/>
        <v>0</v>
      </c>
      <c r="AA424" s="1">
        <f t="shared" si="333"/>
        <v>0</v>
      </c>
      <c r="AB424" s="1">
        <f t="shared" si="334"/>
        <v>1</v>
      </c>
      <c r="AD424" s="1">
        <f t="shared" si="335"/>
        <v>0</v>
      </c>
      <c r="AE424" s="1">
        <f t="shared" si="336"/>
        <v>0</v>
      </c>
      <c r="AF424" s="1">
        <f t="shared" si="305"/>
        <v>0</v>
      </c>
      <c r="AG424" s="1">
        <f t="shared" si="306"/>
        <v>0</v>
      </c>
      <c r="AH424" s="1">
        <f t="shared" si="307"/>
        <v>0</v>
      </c>
      <c r="AI424" s="1">
        <f t="shared" si="308"/>
        <v>1</v>
      </c>
    </row>
    <row r="425" spans="1:35" ht="14.25" customHeight="1" x14ac:dyDescent="0.3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247</v>
      </c>
      <c r="G425" s="45" t="s">
        <v>248</v>
      </c>
      <c r="H425" s="45" t="s">
        <v>352</v>
      </c>
      <c r="I425" s="44" t="s">
        <v>409</v>
      </c>
      <c r="J425" s="44">
        <v>7</v>
      </c>
      <c r="K425" s="46" t="s">
        <v>709</v>
      </c>
      <c r="L425" s="46" t="s">
        <v>709</v>
      </c>
      <c r="M425" s="47" t="s">
        <v>727</v>
      </c>
      <c r="N425" s="47" t="s">
        <v>1729</v>
      </c>
      <c r="O425" s="48"/>
      <c r="P425" s="48"/>
      <c r="Q425" s="45"/>
      <c r="S425" s="1">
        <f t="shared" si="325"/>
        <v>0</v>
      </c>
      <c r="T425" s="1">
        <f t="shared" si="326"/>
        <v>0</v>
      </c>
      <c r="U425" s="1">
        <f t="shared" si="327"/>
        <v>0</v>
      </c>
      <c r="V425" s="1">
        <f t="shared" si="328"/>
        <v>0</v>
      </c>
      <c r="W425" s="1">
        <f t="shared" si="329"/>
        <v>0</v>
      </c>
      <c r="X425" s="1">
        <f t="shared" si="330"/>
        <v>0</v>
      </c>
      <c r="Y425" s="1">
        <f t="shared" si="331"/>
        <v>1</v>
      </c>
      <c r="Z425" s="1">
        <f t="shared" si="332"/>
        <v>0</v>
      </c>
      <c r="AA425" s="1">
        <f t="shared" si="333"/>
        <v>0</v>
      </c>
      <c r="AB425" s="1">
        <f t="shared" si="334"/>
        <v>0</v>
      </c>
      <c r="AD425" s="1">
        <f t="shared" si="335"/>
        <v>0</v>
      </c>
      <c r="AE425" s="1">
        <f t="shared" si="336"/>
        <v>0</v>
      </c>
      <c r="AF425" s="1">
        <f t="shared" si="305"/>
        <v>0</v>
      </c>
      <c r="AG425" s="1">
        <f t="shared" si="306"/>
        <v>0</v>
      </c>
      <c r="AH425" s="1">
        <f t="shared" si="307"/>
        <v>0</v>
      </c>
      <c r="AI425" s="1">
        <f t="shared" si="308"/>
        <v>1</v>
      </c>
    </row>
    <row r="426" spans="1:35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1034</v>
      </c>
      <c r="G426" s="45" t="s">
        <v>535</v>
      </c>
      <c r="H426" s="45" t="s">
        <v>352</v>
      </c>
      <c r="I426" s="44" t="s">
        <v>30</v>
      </c>
      <c r="J426" s="44">
        <v>1</v>
      </c>
      <c r="K426" s="46" t="s">
        <v>709</v>
      </c>
      <c r="L426" s="46" t="s">
        <v>709</v>
      </c>
      <c r="M426" s="47" t="s">
        <v>727</v>
      </c>
      <c r="N426" s="47" t="s">
        <v>1729</v>
      </c>
      <c r="O426" s="48"/>
      <c r="P426" s="48"/>
      <c r="Q426" s="45"/>
      <c r="S426" s="1">
        <f t="shared" si="325"/>
        <v>1</v>
      </c>
      <c r="T426" s="1">
        <f t="shared" si="326"/>
        <v>0</v>
      </c>
      <c r="U426" s="1">
        <f t="shared" si="327"/>
        <v>0</v>
      </c>
      <c r="V426" s="1">
        <f t="shared" si="328"/>
        <v>0</v>
      </c>
      <c r="W426" s="1">
        <f t="shared" si="329"/>
        <v>0</v>
      </c>
      <c r="X426" s="1">
        <f t="shared" si="330"/>
        <v>0</v>
      </c>
      <c r="Y426" s="1">
        <f t="shared" si="331"/>
        <v>0</v>
      </c>
      <c r="Z426" s="1">
        <f t="shared" si="332"/>
        <v>0</v>
      </c>
      <c r="AA426" s="1">
        <f t="shared" si="333"/>
        <v>0</v>
      </c>
      <c r="AB426" s="1">
        <f t="shared" si="334"/>
        <v>0</v>
      </c>
      <c r="AD426" s="1">
        <f t="shared" si="335"/>
        <v>0</v>
      </c>
      <c r="AE426" s="1">
        <f t="shared" si="336"/>
        <v>0</v>
      </c>
      <c r="AF426" s="1">
        <f t="shared" si="305"/>
        <v>0</v>
      </c>
      <c r="AG426" s="1">
        <f t="shared" si="306"/>
        <v>0</v>
      </c>
      <c r="AH426" s="1">
        <f t="shared" si="307"/>
        <v>0</v>
      </c>
      <c r="AI426" s="1">
        <f t="shared" si="308"/>
        <v>0</v>
      </c>
    </row>
    <row r="427" spans="1:35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249</v>
      </c>
      <c r="G427" s="45" t="s">
        <v>199</v>
      </c>
      <c r="H427" s="45" t="s">
        <v>352</v>
      </c>
      <c r="I427" s="44" t="s">
        <v>410</v>
      </c>
      <c r="J427" s="44">
        <v>2</v>
      </c>
      <c r="K427" s="46" t="s">
        <v>709</v>
      </c>
      <c r="L427" s="46" t="s">
        <v>709</v>
      </c>
      <c r="M427" s="47" t="s">
        <v>727</v>
      </c>
      <c r="N427" s="47" t="s">
        <v>1729</v>
      </c>
      <c r="O427" s="48"/>
      <c r="P427" s="48"/>
      <c r="Q427" s="45"/>
      <c r="S427" s="1">
        <f t="shared" si="325"/>
        <v>0</v>
      </c>
      <c r="T427" s="1">
        <f t="shared" si="326"/>
        <v>1</v>
      </c>
      <c r="U427" s="1">
        <f t="shared" si="327"/>
        <v>0</v>
      </c>
      <c r="V427" s="1">
        <f t="shared" si="328"/>
        <v>0</v>
      </c>
      <c r="W427" s="1">
        <f t="shared" si="329"/>
        <v>0</v>
      </c>
      <c r="X427" s="1">
        <f t="shared" si="330"/>
        <v>0</v>
      </c>
      <c r="Y427" s="1">
        <f t="shared" si="331"/>
        <v>0</v>
      </c>
      <c r="Z427" s="1">
        <f t="shared" si="332"/>
        <v>0</v>
      </c>
      <c r="AA427" s="1">
        <f t="shared" si="333"/>
        <v>0</v>
      </c>
      <c r="AB427" s="1">
        <f t="shared" si="334"/>
        <v>0</v>
      </c>
      <c r="AD427" s="1">
        <f t="shared" si="335"/>
        <v>0</v>
      </c>
      <c r="AE427" s="1">
        <f t="shared" si="336"/>
        <v>0</v>
      </c>
      <c r="AF427" s="1">
        <f t="shared" si="305"/>
        <v>0</v>
      </c>
      <c r="AG427" s="1">
        <f t="shared" si="306"/>
        <v>0</v>
      </c>
      <c r="AH427" s="1">
        <f t="shared" si="307"/>
        <v>0</v>
      </c>
      <c r="AI427" s="1">
        <f t="shared" si="308"/>
        <v>0</v>
      </c>
    </row>
    <row r="428" spans="1:35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246</v>
      </c>
      <c r="G428" s="45" t="s">
        <v>1346</v>
      </c>
      <c r="H428" s="45" t="s">
        <v>352</v>
      </c>
      <c r="I428" s="44" t="s">
        <v>30</v>
      </c>
      <c r="J428" s="44">
        <v>1</v>
      </c>
      <c r="K428" s="46" t="s">
        <v>709</v>
      </c>
      <c r="L428" s="46" t="s">
        <v>709</v>
      </c>
      <c r="M428" s="47" t="s">
        <v>727</v>
      </c>
      <c r="N428" s="47" t="s">
        <v>1729</v>
      </c>
      <c r="O428" s="48"/>
      <c r="P428" s="48"/>
      <c r="Q428" s="45" t="s">
        <v>1912</v>
      </c>
      <c r="S428" s="1">
        <f t="shared" si="325"/>
        <v>1</v>
      </c>
      <c r="T428" s="1">
        <f t="shared" si="326"/>
        <v>0</v>
      </c>
      <c r="U428" s="1">
        <f t="shared" si="327"/>
        <v>0</v>
      </c>
      <c r="V428" s="1">
        <f t="shared" si="328"/>
        <v>0</v>
      </c>
      <c r="W428" s="1">
        <f t="shared" si="329"/>
        <v>0</v>
      </c>
      <c r="X428" s="1">
        <f t="shared" si="330"/>
        <v>0</v>
      </c>
      <c r="Y428" s="1">
        <f t="shared" si="331"/>
        <v>0</v>
      </c>
      <c r="Z428" s="1">
        <f t="shared" si="332"/>
        <v>0</v>
      </c>
      <c r="AA428" s="1">
        <f t="shared" si="333"/>
        <v>0</v>
      </c>
      <c r="AB428" s="1">
        <f t="shared" si="334"/>
        <v>0</v>
      </c>
      <c r="AD428" s="1">
        <f t="shared" si="335"/>
        <v>0</v>
      </c>
      <c r="AE428" s="1">
        <f t="shared" si="336"/>
        <v>0</v>
      </c>
      <c r="AF428" s="1">
        <f t="shared" si="305"/>
        <v>0</v>
      </c>
      <c r="AG428" s="1">
        <f t="shared" si="306"/>
        <v>0</v>
      </c>
      <c r="AH428" s="1">
        <f t="shared" si="307"/>
        <v>0</v>
      </c>
      <c r="AI428" s="1">
        <f t="shared" si="308"/>
        <v>0</v>
      </c>
    </row>
    <row r="429" spans="1:35" ht="14.25" customHeight="1" x14ac:dyDescent="0.3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251</v>
      </c>
      <c r="G429" s="45" t="s">
        <v>193</v>
      </c>
      <c r="H429" s="45" t="s">
        <v>352</v>
      </c>
      <c r="I429" s="44" t="s">
        <v>411</v>
      </c>
      <c r="J429" s="44">
        <v>9</v>
      </c>
      <c r="K429" s="46" t="s">
        <v>709</v>
      </c>
      <c r="L429" s="46" t="s">
        <v>709</v>
      </c>
      <c r="M429" s="47" t="s">
        <v>727</v>
      </c>
      <c r="N429" s="47" t="s">
        <v>1729</v>
      </c>
      <c r="O429" s="48"/>
      <c r="P429" s="48"/>
      <c r="Q429" s="45"/>
      <c r="S429" s="1">
        <f t="shared" si="325"/>
        <v>0</v>
      </c>
      <c r="T429" s="1">
        <f t="shared" si="326"/>
        <v>0</v>
      </c>
      <c r="U429" s="1">
        <f t="shared" si="327"/>
        <v>0</v>
      </c>
      <c r="V429" s="1">
        <f t="shared" si="328"/>
        <v>0</v>
      </c>
      <c r="W429" s="1">
        <f t="shared" si="329"/>
        <v>0</v>
      </c>
      <c r="X429" s="1">
        <f t="shared" si="330"/>
        <v>0</v>
      </c>
      <c r="Y429" s="1">
        <f t="shared" si="331"/>
        <v>0</v>
      </c>
      <c r="Z429" s="1">
        <f t="shared" si="332"/>
        <v>0</v>
      </c>
      <c r="AA429" s="1">
        <f t="shared" si="333"/>
        <v>1</v>
      </c>
      <c r="AB429" s="1">
        <f t="shared" si="334"/>
        <v>0</v>
      </c>
      <c r="AD429" s="1">
        <f t="shared" si="335"/>
        <v>0</v>
      </c>
      <c r="AE429" s="1">
        <f t="shared" si="336"/>
        <v>0</v>
      </c>
      <c r="AF429" s="1">
        <f t="shared" si="305"/>
        <v>0</v>
      </c>
      <c r="AG429" s="1">
        <f t="shared" si="306"/>
        <v>0</v>
      </c>
      <c r="AH429" s="1">
        <f t="shared" si="307"/>
        <v>0</v>
      </c>
      <c r="AI429" s="1">
        <f t="shared" si="308"/>
        <v>0</v>
      </c>
    </row>
    <row r="430" spans="1:35" ht="14.25" customHeight="1" x14ac:dyDescent="0.3">
      <c r="A430" s="44">
        <v>0</v>
      </c>
      <c r="B430" s="44">
        <v>2</v>
      </c>
      <c r="C430" s="44">
        <v>7</v>
      </c>
      <c r="D430" s="45" t="s">
        <v>1018</v>
      </c>
      <c r="E430" s="45" t="s">
        <v>28</v>
      </c>
      <c r="F430" s="45" t="s">
        <v>1019</v>
      </c>
      <c r="G430" s="45" t="s">
        <v>193</v>
      </c>
      <c r="H430" s="45" t="s">
        <v>352</v>
      </c>
      <c r="I430" s="44" t="s">
        <v>1020</v>
      </c>
      <c r="J430" s="44">
        <v>9</v>
      </c>
      <c r="K430" s="46" t="s">
        <v>708</v>
      </c>
      <c r="L430" s="46" t="s">
        <v>709</v>
      </c>
      <c r="M430" s="47" t="s">
        <v>727</v>
      </c>
      <c r="N430" s="47" t="s">
        <v>1730</v>
      </c>
      <c r="O430" s="48"/>
      <c r="P430" s="48"/>
      <c r="Q430" s="45"/>
      <c r="S430" s="1">
        <f t="shared" si="325"/>
        <v>0</v>
      </c>
      <c r="T430" s="1">
        <f t="shared" si="326"/>
        <v>0</v>
      </c>
      <c r="U430" s="1">
        <f t="shared" si="327"/>
        <v>0</v>
      </c>
      <c r="V430" s="1">
        <f t="shared" si="328"/>
        <v>0</v>
      </c>
      <c r="W430" s="1">
        <f t="shared" si="329"/>
        <v>0</v>
      </c>
      <c r="X430" s="1">
        <f t="shared" si="330"/>
        <v>0</v>
      </c>
      <c r="Y430" s="1">
        <f t="shared" si="331"/>
        <v>0</v>
      </c>
      <c r="Z430" s="1">
        <f t="shared" si="332"/>
        <v>0</v>
      </c>
      <c r="AA430" s="1">
        <f t="shared" si="333"/>
        <v>1</v>
      </c>
      <c r="AB430" s="1">
        <f t="shared" si="334"/>
        <v>0</v>
      </c>
      <c r="AD430" s="1">
        <f t="shared" si="335"/>
        <v>0</v>
      </c>
      <c r="AE430" s="1">
        <f t="shared" si="336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3">
      <c r="A431" s="31">
        <v>0</v>
      </c>
      <c r="B431" s="31">
        <v>2</v>
      </c>
      <c r="C431" s="31">
        <v>7</v>
      </c>
      <c r="D431" s="32" t="s">
        <v>1828</v>
      </c>
      <c r="E431" s="32" t="s">
        <v>1829</v>
      </c>
      <c r="F431" s="32" t="s">
        <v>1830</v>
      </c>
      <c r="G431" s="32" t="s">
        <v>206</v>
      </c>
      <c r="H431" s="32" t="s">
        <v>352</v>
      </c>
      <c r="I431" s="31" t="s">
        <v>30</v>
      </c>
      <c r="J431" s="31"/>
      <c r="K431" s="33" t="s">
        <v>699</v>
      </c>
      <c r="L431" s="33">
        <v>20</v>
      </c>
      <c r="M431" s="34" t="s">
        <v>1831</v>
      </c>
      <c r="N431" s="34" t="s">
        <v>1738</v>
      </c>
      <c r="O431" s="35">
        <v>1</v>
      </c>
      <c r="P431" s="35"/>
      <c r="Q431" s="32"/>
      <c r="S431" s="1">
        <f t="shared" si="325"/>
        <v>0</v>
      </c>
      <c r="T431" s="1">
        <f t="shared" si="326"/>
        <v>0</v>
      </c>
      <c r="U431" s="1">
        <f t="shared" si="327"/>
        <v>0</v>
      </c>
      <c r="V431" s="1">
        <f t="shared" si="328"/>
        <v>0</v>
      </c>
      <c r="W431" s="1">
        <f t="shared" si="329"/>
        <v>0</v>
      </c>
      <c r="X431" s="1">
        <f t="shared" si="330"/>
        <v>0</v>
      </c>
      <c r="Y431" s="1">
        <f t="shared" si="331"/>
        <v>0</v>
      </c>
      <c r="Z431" s="1">
        <f t="shared" si="332"/>
        <v>0</v>
      </c>
      <c r="AA431" s="1">
        <f t="shared" si="333"/>
        <v>0</v>
      </c>
      <c r="AB431" s="1">
        <f t="shared" si="334"/>
        <v>0</v>
      </c>
      <c r="AD431" s="1">
        <f t="shared" si="335"/>
        <v>0</v>
      </c>
      <c r="AE431" s="1">
        <f t="shared" si="336"/>
        <v>1</v>
      </c>
      <c r="AF431" s="1">
        <f t="shared" si="305"/>
        <v>0</v>
      </c>
      <c r="AG431" s="1">
        <f t="shared" si="306"/>
        <v>1</v>
      </c>
      <c r="AH431" s="1">
        <f t="shared" si="307"/>
        <v>0</v>
      </c>
      <c r="AI431" s="1">
        <f t="shared" si="308"/>
        <v>1</v>
      </c>
    </row>
    <row r="432" spans="1:35" ht="14.25" customHeight="1" x14ac:dyDescent="0.3">
      <c r="A432" s="49">
        <v>0</v>
      </c>
      <c r="B432" s="49">
        <v>2</v>
      </c>
      <c r="C432" s="49">
        <v>7</v>
      </c>
      <c r="D432" s="50" t="s">
        <v>1074</v>
      </c>
      <c r="E432" s="50" t="s">
        <v>540</v>
      </c>
      <c r="F432" s="50" t="s">
        <v>1055</v>
      </c>
      <c r="G432" s="50" t="s">
        <v>237</v>
      </c>
      <c r="H432" s="50" t="s">
        <v>352</v>
      </c>
      <c r="I432" s="49" t="s">
        <v>1056</v>
      </c>
      <c r="J432" s="49">
        <v>99</v>
      </c>
      <c r="K432" s="51" t="s">
        <v>950</v>
      </c>
      <c r="L432" s="51" t="s">
        <v>718</v>
      </c>
      <c r="M432" s="52" t="s">
        <v>1432</v>
      </c>
      <c r="N432" s="52" t="s">
        <v>1738</v>
      </c>
      <c r="O432" s="53">
        <v>1</v>
      </c>
      <c r="P432" s="53"/>
      <c r="Q432" s="50"/>
      <c r="S432" s="1">
        <f t="shared" ref="S432:S436" si="337">IF(J432=$S$7,1,0)</f>
        <v>0</v>
      </c>
      <c r="T432" s="1">
        <f t="shared" ref="T432:T436" si="338">IF(J432=$T$7,1,0)</f>
        <v>0</v>
      </c>
      <c r="U432" s="1">
        <f t="shared" ref="U432:U436" si="339">IF(J432=$U$7,1,0)</f>
        <v>0</v>
      </c>
      <c r="V432" s="1">
        <f t="shared" ref="V432:V436" si="340">IF(J432=$V$7,1,0)</f>
        <v>0</v>
      </c>
      <c r="W432" s="1">
        <f t="shared" ref="W432:W436" si="341">IF(J432=$W$7,1,0)</f>
        <v>0</v>
      </c>
      <c r="X432" s="1">
        <f t="shared" ref="X432:X436" si="342">IF(J432=$X$7,1,0)</f>
        <v>0</v>
      </c>
      <c r="Y432" s="1">
        <f t="shared" ref="Y432:Y436" si="343">IF(J432=$Y$7,1,0)</f>
        <v>0</v>
      </c>
      <c r="Z432" s="1">
        <f t="shared" ref="Z432:Z436" si="344">IF(J432=$Z$7,1,0)</f>
        <v>0</v>
      </c>
      <c r="AA432" s="1">
        <f t="shared" ref="AA432:AA436" si="345">IF(J432=$AA$7,1,0)</f>
        <v>0</v>
      </c>
      <c r="AB432" s="1">
        <f t="shared" ref="AB432:AB436" si="346">IF(J432=$AB$7,1,0)</f>
        <v>0</v>
      </c>
      <c r="AD432" s="1">
        <f t="shared" ref="AD432:AD436" si="347">+O432*P432</f>
        <v>0</v>
      </c>
      <c r="AE432" s="1">
        <f t="shared" ref="AE432:AE436" si="348">O432*(1-P432)</f>
        <v>1</v>
      </c>
      <c r="AF432" s="1">
        <f t="shared" ref="AF432:AF436" si="349">+O432*P432*(1-A432)</f>
        <v>0</v>
      </c>
      <c r="AG432" s="1">
        <f t="shared" ref="AG432:AG436" si="350">O432*(1-P432)*(1-A432)</f>
        <v>1</v>
      </c>
      <c r="AH432" s="1">
        <f t="shared" ref="AH432:AH436" si="351">+P432*(1-A432)</f>
        <v>0</v>
      </c>
      <c r="AI432" s="1">
        <f t="shared" ref="AI432:AI436" si="352">+(1-A432)*(1-P432)</f>
        <v>1</v>
      </c>
    </row>
    <row r="433" spans="1:35" ht="14.25" customHeight="1" x14ac:dyDescent="0.3">
      <c r="A433" s="31">
        <v>0</v>
      </c>
      <c r="B433" s="31">
        <v>2</v>
      </c>
      <c r="C433" s="31">
        <v>7</v>
      </c>
      <c r="D433" s="32" t="s">
        <v>1221</v>
      </c>
      <c r="E433" s="32" t="s">
        <v>155</v>
      </c>
      <c r="F433" s="32" t="s">
        <v>1222</v>
      </c>
      <c r="G433" s="32" t="s">
        <v>250</v>
      </c>
      <c r="H433" s="32" t="s">
        <v>352</v>
      </c>
      <c r="I433" s="31" t="s">
        <v>1223</v>
      </c>
      <c r="J433" s="31">
        <v>99</v>
      </c>
      <c r="K433" s="33" t="s">
        <v>709</v>
      </c>
      <c r="L433" s="33">
        <v>10</v>
      </c>
      <c r="M433" s="34" t="s">
        <v>1741</v>
      </c>
      <c r="N433" s="34" t="s">
        <v>1722</v>
      </c>
      <c r="O433" s="35">
        <v>1</v>
      </c>
      <c r="P433" s="35">
        <v>1</v>
      </c>
      <c r="Q433" s="32"/>
      <c r="S433" s="1">
        <f t="shared" si="337"/>
        <v>0</v>
      </c>
      <c r="T433" s="1">
        <f t="shared" si="338"/>
        <v>0</v>
      </c>
      <c r="U433" s="1">
        <f t="shared" si="339"/>
        <v>0</v>
      </c>
      <c r="V433" s="1">
        <f t="shared" si="340"/>
        <v>0</v>
      </c>
      <c r="W433" s="1">
        <f t="shared" si="341"/>
        <v>0</v>
      </c>
      <c r="X433" s="1">
        <f t="shared" si="342"/>
        <v>0</v>
      </c>
      <c r="Y433" s="1">
        <f t="shared" si="343"/>
        <v>0</v>
      </c>
      <c r="Z433" s="1">
        <f t="shared" si="344"/>
        <v>0</v>
      </c>
      <c r="AA433" s="1">
        <f t="shared" si="345"/>
        <v>0</v>
      </c>
      <c r="AB433" s="1">
        <f t="shared" si="346"/>
        <v>0</v>
      </c>
      <c r="AD433" s="1">
        <f t="shared" si="347"/>
        <v>1</v>
      </c>
      <c r="AE433" s="1">
        <f t="shared" si="348"/>
        <v>0</v>
      </c>
      <c r="AF433" s="1">
        <f t="shared" si="349"/>
        <v>1</v>
      </c>
      <c r="AG433" s="1">
        <f t="shared" si="350"/>
        <v>0</v>
      </c>
      <c r="AH433" s="1">
        <f t="shared" si="351"/>
        <v>1</v>
      </c>
      <c r="AI433" s="1">
        <f t="shared" si="352"/>
        <v>0</v>
      </c>
    </row>
    <row r="434" spans="1:35" ht="14.25" customHeight="1" x14ac:dyDescent="0.3">
      <c r="A434" s="31">
        <v>0</v>
      </c>
      <c r="B434" s="31">
        <v>2</v>
      </c>
      <c r="C434" s="31">
        <v>7</v>
      </c>
      <c r="D434" s="36" t="s">
        <v>1798</v>
      </c>
      <c r="E434" s="36" t="s">
        <v>28</v>
      </c>
      <c r="F434" s="36" t="s">
        <v>1799</v>
      </c>
      <c r="G434" s="36" t="s">
        <v>179</v>
      </c>
      <c r="H434" s="36" t="s">
        <v>352</v>
      </c>
      <c r="I434" s="37" t="s">
        <v>1800</v>
      </c>
      <c r="J434" s="31">
        <v>10</v>
      </c>
      <c r="K434" s="33" t="s">
        <v>699</v>
      </c>
      <c r="L434" s="33">
        <v>10</v>
      </c>
      <c r="M434" s="34"/>
      <c r="N434" s="34" t="s">
        <v>1722</v>
      </c>
      <c r="O434" s="35">
        <v>1</v>
      </c>
      <c r="P434" s="35">
        <v>1</v>
      </c>
      <c r="Q434" s="36"/>
      <c r="S434" s="1">
        <f t="shared" si="337"/>
        <v>0</v>
      </c>
      <c r="T434" s="1">
        <f t="shared" si="338"/>
        <v>0</v>
      </c>
      <c r="U434" s="1">
        <f t="shared" si="339"/>
        <v>0</v>
      </c>
      <c r="V434" s="1">
        <f t="shared" si="340"/>
        <v>0</v>
      </c>
      <c r="W434" s="1">
        <f t="shared" si="341"/>
        <v>0</v>
      </c>
      <c r="X434" s="1">
        <f t="shared" si="342"/>
        <v>0</v>
      </c>
      <c r="Y434" s="1">
        <f t="shared" si="343"/>
        <v>0</v>
      </c>
      <c r="Z434" s="1">
        <f t="shared" si="344"/>
        <v>0</v>
      </c>
      <c r="AA434" s="1">
        <f t="shared" si="345"/>
        <v>0</v>
      </c>
      <c r="AB434" s="1">
        <f t="shared" si="346"/>
        <v>1</v>
      </c>
      <c r="AD434" s="1">
        <f t="shared" si="347"/>
        <v>1</v>
      </c>
      <c r="AE434" s="1">
        <f t="shared" si="348"/>
        <v>0</v>
      </c>
      <c r="AF434" s="1">
        <f t="shared" si="349"/>
        <v>1</v>
      </c>
      <c r="AG434" s="1">
        <f t="shared" si="350"/>
        <v>0</v>
      </c>
      <c r="AH434" s="1">
        <f t="shared" si="351"/>
        <v>1</v>
      </c>
      <c r="AI434" s="1">
        <f t="shared" si="352"/>
        <v>0</v>
      </c>
    </row>
    <row r="435" spans="1:35" ht="14.25" customHeight="1" x14ac:dyDescent="0.3">
      <c r="A435" s="37">
        <v>0</v>
      </c>
      <c r="B435" s="37">
        <v>2</v>
      </c>
      <c r="C435" s="37">
        <v>7</v>
      </c>
      <c r="D435" s="36" t="s">
        <v>1580</v>
      </c>
      <c r="E435" s="36" t="s">
        <v>1646</v>
      </c>
      <c r="F435" s="36" t="s">
        <v>1581</v>
      </c>
      <c r="G435" s="36" t="s">
        <v>652</v>
      </c>
      <c r="H435" s="36" t="s">
        <v>352</v>
      </c>
      <c r="I435" s="37" t="s">
        <v>1582</v>
      </c>
      <c r="J435" s="37">
        <v>99</v>
      </c>
      <c r="K435" s="33" t="s">
        <v>709</v>
      </c>
      <c r="L435" s="33" t="s">
        <v>39</v>
      </c>
      <c r="M435" s="34" t="s">
        <v>39</v>
      </c>
      <c r="N435" s="34" t="s">
        <v>1722</v>
      </c>
      <c r="O435" s="35">
        <v>1</v>
      </c>
      <c r="P435" s="35">
        <v>1</v>
      </c>
      <c r="Q435" s="36"/>
      <c r="S435" s="1">
        <f t="shared" si="337"/>
        <v>0</v>
      </c>
      <c r="T435" s="1">
        <f t="shared" si="338"/>
        <v>0</v>
      </c>
      <c r="U435" s="1">
        <f t="shared" si="339"/>
        <v>0</v>
      </c>
      <c r="V435" s="1">
        <f t="shared" si="340"/>
        <v>0</v>
      </c>
      <c r="W435" s="1">
        <f t="shared" si="341"/>
        <v>0</v>
      </c>
      <c r="X435" s="1">
        <f t="shared" si="342"/>
        <v>0</v>
      </c>
      <c r="Y435" s="1">
        <f t="shared" si="343"/>
        <v>0</v>
      </c>
      <c r="Z435" s="1">
        <f t="shared" si="344"/>
        <v>0</v>
      </c>
      <c r="AA435" s="1">
        <f t="shared" si="345"/>
        <v>0</v>
      </c>
      <c r="AB435" s="1">
        <f t="shared" si="346"/>
        <v>0</v>
      </c>
      <c r="AD435" s="1">
        <f t="shared" si="347"/>
        <v>1</v>
      </c>
      <c r="AE435" s="1">
        <f t="shared" si="348"/>
        <v>0</v>
      </c>
      <c r="AF435" s="1">
        <f t="shared" si="349"/>
        <v>1</v>
      </c>
      <c r="AG435" s="1">
        <f t="shared" si="350"/>
        <v>0</v>
      </c>
      <c r="AH435" s="1">
        <f t="shared" si="351"/>
        <v>1</v>
      </c>
      <c r="AI435" s="1">
        <f t="shared" si="352"/>
        <v>0</v>
      </c>
    </row>
    <row r="436" spans="1:35" ht="14.25" customHeight="1" x14ac:dyDescent="0.3">
      <c r="A436" s="44">
        <v>0</v>
      </c>
      <c r="B436" s="44">
        <v>2</v>
      </c>
      <c r="C436" s="44">
        <v>7</v>
      </c>
      <c r="D436" s="45" t="s">
        <v>1532</v>
      </c>
      <c r="E436" s="45" t="s">
        <v>28</v>
      </c>
      <c r="F436" s="45" t="s">
        <v>1657</v>
      </c>
      <c r="G436" s="45" t="s">
        <v>285</v>
      </c>
      <c r="H436" s="45" t="s">
        <v>352</v>
      </c>
      <c r="I436" s="44" t="s">
        <v>1683</v>
      </c>
      <c r="J436" s="44">
        <v>99</v>
      </c>
      <c r="K436" s="46" t="s">
        <v>709</v>
      </c>
      <c r="L436" s="46" t="s">
        <v>709</v>
      </c>
      <c r="M436" s="47" t="s">
        <v>727</v>
      </c>
      <c r="N436" s="47" t="s">
        <v>1730</v>
      </c>
      <c r="O436" s="48"/>
      <c r="P436" s="48"/>
      <c r="Q436" s="45"/>
      <c r="S436" s="1">
        <f t="shared" si="337"/>
        <v>0</v>
      </c>
      <c r="T436" s="1">
        <f t="shared" si="338"/>
        <v>0</v>
      </c>
      <c r="U436" s="1">
        <f t="shared" si="339"/>
        <v>0</v>
      </c>
      <c r="V436" s="1">
        <f t="shared" si="340"/>
        <v>0</v>
      </c>
      <c r="W436" s="1">
        <f t="shared" si="341"/>
        <v>0</v>
      </c>
      <c r="X436" s="1">
        <f t="shared" si="342"/>
        <v>0</v>
      </c>
      <c r="Y436" s="1">
        <f t="shared" si="343"/>
        <v>0</v>
      </c>
      <c r="Z436" s="1">
        <f t="shared" si="344"/>
        <v>0</v>
      </c>
      <c r="AA436" s="1">
        <f t="shared" si="345"/>
        <v>0</v>
      </c>
      <c r="AB436" s="1">
        <f t="shared" si="346"/>
        <v>0</v>
      </c>
      <c r="AD436" s="1">
        <f t="shared" si="347"/>
        <v>0</v>
      </c>
      <c r="AE436" s="1">
        <f t="shared" si="348"/>
        <v>0</v>
      </c>
      <c r="AF436" s="1">
        <f t="shared" si="349"/>
        <v>0</v>
      </c>
      <c r="AG436" s="1">
        <f t="shared" si="350"/>
        <v>0</v>
      </c>
      <c r="AH436" s="1">
        <f t="shared" si="351"/>
        <v>0</v>
      </c>
      <c r="AI436" s="1">
        <f t="shared" si="352"/>
        <v>1</v>
      </c>
    </row>
    <row r="437" spans="1:35" ht="14.25" customHeight="1" x14ac:dyDescent="0.3">
      <c r="A437" s="44">
        <v>0</v>
      </c>
      <c r="B437" s="44">
        <v>2</v>
      </c>
      <c r="C437" s="44">
        <v>7</v>
      </c>
      <c r="D437" s="45" t="s">
        <v>1323</v>
      </c>
      <c r="E437" s="45" t="s">
        <v>28</v>
      </c>
      <c r="F437" s="45" t="s">
        <v>568</v>
      </c>
      <c r="G437" s="45" t="s">
        <v>180</v>
      </c>
      <c r="H437" s="45" t="s">
        <v>352</v>
      </c>
      <c r="I437" s="44" t="s">
        <v>428</v>
      </c>
      <c r="J437" s="44">
        <v>7</v>
      </c>
      <c r="K437" s="46" t="s">
        <v>708</v>
      </c>
      <c r="L437" s="46" t="s">
        <v>709</v>
      </c>
      <c r="M437" s="47" t="s">
        <v>727</v>
      </c>
      <c r="N437" s="47" t="s">
        <v>1730</v>
      </c>
      <c r="O437" s="48"/>
      <c r="P437" s="48"/>
      <c r="Q437" s="45"/>
      <c r="S437" s="1">
        <f t="shared" si="325"/>
        <v>0</v>
      </c>
      <c r="T437" s="1">
        <f t="shared" si="326"/>
        <v>0</v>
      </c>
      <c r="U437" s="1">
        <f t="shared" si="327"/>
        <v>0</v>
      </c>
      <c r="V437" s="1">
        <f t="shared" si="328"/>
        <v>0</v>
      </c>
      <c r="W437" s="1">
        <f t="shared" si="329"/>
        <v>0</v>
      </c>
      <c r="X437" s="1">
        <f t="shared" si="330"/>
        <v>0</v>
      </c>
      <c r="Y437" s="1">
        <f t="shared" si="331"/>
        <v>1</v>
      </c>
      <c r="Z437" s="1">
        <f t="shared" si="332"/>
        <v>0</v>
      </c>
      <c r="AA437" s="1">
        <f t="shared" si="333"/>
        <v>0</v>
      </c>
      <c r="AB437" s="1">
        <f t="shared" si="334"/>
        <v>0</v>
      </c>
      <c r="AD437" s="1">
        <f t="shared" si="335"/>
        <v>0</v>
      </c>
      <c r="AE437" s="1">
        <f t="shared" si="336"/>
        <v>0</v>
      </c>
      <c r="AF437" s="1">
        <f t="shared" si="305"/>
        <v>0</v>
      </c>
      <c r="AG437" s="1">
        <f t="shared" si="306"/>
        <v>0</v>
      </c>
      <c r="AH437" s="1">
        <f t="shared" si="307"/>
        <v>0</v>
      </c>
      <c r="AI437" s="1">
        <f t="shared" si="308"/>
        <v>1</v>
      </c>
    </row>
    <row r="438" spans="1:35" ht="14.25" customHeight="1" x14ac:dyDescent="0.3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1870</v>
      </c>
      <c r="G438" s="45" t="s">
        <v>234</v>
      </c>
      <c r="H438" s="45" t="s">
        <v>352</v>
      </c>
      <c r="I438" s="44" t="s">
        <v>676</v>
      </c>
      <c r="J438" s="44">
        <v>99</v>
      </c>
      <c r="K438" s="46" t="s">
        <v>709</v>
      </c>
      <c r="L438" s="46" t="s">
        <v>709</v>
      </c>
      <c r="M438" s="47" t="s">
        <v>727</v>
      </c>
      <c r="N438" s="47" t="s">
        <v>1730</v>
      </c>
      <c r="O438" s="48"/>
      <c r="P438" s="48"/>
      <c r="Q438" s="45"/>
      <c r="S438" s="1">
        <f t="shared" si="325"/>
        <v>0</v>
      </c>
      <c r="T438" s="1">
        <f t="shared" si="326"/>
        <v>0</v>
      </c>
      <c r="U438" s="1">
        <f t="shared" si="327"/>
        <v>0</v>
      </c>
      <c r="V438" s="1">
        <f t="shared" si="328"/>
        <v>0</v>
      </c>
      <c r="W438" s="1">
        <f t="shared" si="329"/>
        <v>0</v>
      </c>
      <c r="X438" s="1">
        <f t="shared" si="330"/>
        <v>0</v>
      </c>
      <c r="Y438" s="1">
        <f t="shared" si="331"/>
        <v>0</v>
      </c>
      <c r="Z438" s="1">
        <f t="shared" si="332"/>
        <v>0</v>
      </c>
      <c r="AA438" s="1">
        <f t="shared" si="333"/>
        <v>0</v>
      </c>
      <c r="AB438" s="1">
        <f t="shared" si="334"/>
        <v>0</v>
      </c>
      <c r="AD438" s="1">
        <f t="shared" si="335"/>
        <v>0</v>
      </c>
      <c r="AE438" s="1">
        <f t="shared" si="336"/>
        <v>0</v>
      </c>
      <c r="AF438" s="1">
        <f t="shared" si="305"/>
        <v>0</v>
      </c>
      <c r="AG438" s="1">
        <f t="shared" si="306"/>
        <v>0</v>
      </c>
      <c r="AH438" s="1">
        <f t="shared" si="307"/>
        <v>0</v>
      </c>
      <c r="AI438" s="1">
        <f t="shared" si="308"/>
        <v>1</v>
      </c>
    </row>
    <row r="439" spans="1:35" ht="14.25" customHeight="1" x14ac:dyDescent="0.3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219</v>
      </c>
      <c r="H439" s="45" t="s">
        <v>352</v>
      </c>
      <c r="I439" s="44" t="s">
        <v>418</v>
      </c>
      <c r="J439" s="44">
        <v>8</v>
      </c>
      <c r="K439" s="46" t="s">
        <v>709</v>
      </c>
      <c r="L439" s="46" t="s">
        <v>709</v>
      </c>
      <c r="M439" s="47" t="s">
        <v>727</v>
      </c>
      <c r="N439" s="47" t="s">
        <v>1730</v>
      </c>
      <c r="O439" s="48"/>
      <c r="P439" s="48"/>
      <c r="Q439" s="45"/>
      <c r="S439" s="1">
        <f t="shared" si="325"/>
        <v>0</v>
      </c>
      <c r="T439" s="1">
        <f t="shared" si="326"/>
        <v>0</v>
      </c>
      <c r="U439" s="1">
        <f t="shared" si="327"/>
        <v>0</v>
      </c>
      <c r="V439" s="1">
        <f t="shared" si="328"/>
        <v>0</v>
      </c>
      <c r="W439" s="1">
        <f t="shared" si="329"/>
        <v>0</v>
      </c>
      <c r="X439" s="1">
        <f t="shared" si="330"/>
        <v>0</v>
      </c>
      <c r="Y439" s="1">
        <f t="shared" si="331"/>
        <v>0</v>
      </c>
      <c r="Z439" s="1">
        <f t="shared" si="332"/>
        <v>1</v>
      </c>
      <c r="AA439" s="1">
        <f t="shared" si="333"/>
        <v>0</v>
      </c>
      <c r="AB439" s="1">
        <f t="shared" si="334"/>
        <v>0</v>
      </c>
      <c r="AD439" s="1">
        <f t="shared" si="335"/>
        <v>0</v>
      </c>
      <c r="AE439" s="1">
        <f t="shared" si="336"/>
        <v>0</v>
      </c>
      <c r="AF439" s="1">
        <f t="shared" si="305"/>
        <v>0</v>
      </c>
      <c r="AG439" s="1">
        <f t="shared" si="306"/>
        <v>0</v>
      </c>
      <c r="AH439" s="1">
        <f t="shared" si="307"/>
        <v>0</v>
      </c>
      <c r="AI439" s="1">
        <f t="shared" si="308"/>
        <v>0</v>
      </c>
    </row>
    <row r="440" spans="1:35" ht="14.25" customHeight="1" x14ac:dyDescent="0.3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259</v>
      </c>
      <c r="G440" s="45" t="s">
        <v>177</v>
      </c>
      <c r="H440" s="45" t="s">
        <v>352</v>
      </c>
      <c r="I440" s="44" t="s">
        <v>417</v>
      </c>
      <c r="J440" s="44">
        <v>1</v>
      </c>
      <c r="K440" s="46" t="s">
        <v>709</v>
      </c>
      <c r="L440" s="46" t="s">
        <v>709</v>
      </c>
      <c r="M440" s="47" t="s">
        <v>727</v>
      </c>
      <c r="N440" s="47" t="s">
        <v>1730</v>
      </c>
      <c r="O440" s="48"/>
      <c r="P440" s="48"/>
      <c r="Q440" s="45"/>
      <c r="S440" s="1">
        <f t="shared" si="325"/>
        <v>1</v>
      </c>
      <c r="T440" s="1">
        <f t="shared" si="326"/>
        <v>0</v>
      </c>
      <c r="U440" s="1">
        <f t="shared" si="327"/>
        <v>0</v>
      </c>
      <c r="V440" s="1">
        <f t="shared" si="328"/>
        <v>0</v>
      </c>
      <c r="W440" s="1">
        <f t="shared" si="329"/>
        <v>0</v>
      </c>
      <c r="X440" s="1">
        <f t="shared" si="330"/>
        <v>0</v>
      </c>
      <c r="Y440" s="1">
        <f t="shared" si="331"/>
        <v>0</v>
      </c>
      <c r="Z440" s="1">
        <f t="shared" si="332"/>
        <v>0</v>
      </c>
      <c r="AA440" s="1">
        <f t="shared" si="333"/>
        <v>0</v>
      </c>
      <c r="AB440" s="1">
        <f t="shared" si="334"/>
        <v>0</v>
      </c>
      <c r="AD440" s="1">
        <f t="shared" si="335"/>
        <v>0</v>
      </c>
      <c r="AE440" s="1">
        <f t="shared" si="336"/>
        <v>0</v>
      </c>
      <c r="AF440" s="1">
        <f t="shared" si="305"/>
        <v>0</v>
      </c>
      <c r="AG440" s="1">
        <f t="shared" si="306"/>
        <v>0</v>
      </c>
      <c r="AH440" s="1">
        <f t="shared" si="307"/>
        <v>0</v>
      </c>
      <c r="AI440" s="1">
        <f t="shared" si="308"/>
        <v>0</v>
      </c>
    </row>
    <row r="441" spans="1:35" ht="14.25" customHeight="1" x14ac:dyDescent="0.3">
      <c r="A441" s="15">
        <v>0</v>
      </c>
      <c r="B441" s="15">
        <v>2</v>
      </c>
      <c r="C441" s="15">
        <v>7</v>
      </c>
      <c r="D441" s="16" t="s">
        <v>774</v>
      </c>
      <c r="E441" s="16" t="s">
        <v>28</v>
      </c>
      <c r="F441" s="16" t="s">
        <v>775</v>
      </c>
      <c r="G441" s="16" t="s">
        <v>278</v>
      </c>
      <c r="H441" s="16" t="s">
        <v>352</v>
      </c>
      <c r="I441" s="15" t="s">
        <v>776</v>
      </c>
      <c r="J441" s="15">
        <v>99</v>
      </c>
      <c r="K441" s="10" t="s">
        <v>709</v>
      </c>
      <c r="L441" s="10" t="s">
        <v>709</v>
      </c>
      <c r="M441" s="19" t="s">
        <v>727</v>
      </c>
      <c r="N441" s="17"/>
      <c r="Q441" s="16"/>
      <c r="S441" s="1">
        <f t="shared" si="325"/>
        <v>0</v>
      </c>
      <c r="T441" s="1">
        <f t="shared" si="326"/>
        <v>0</v>
      </c>
      <c r="U441" s="1">
        <f t="shared" si="327"/>
        <v>0</v>
      </c>
      <c r="V441" s="1">
        <f t="shared" si="328"/>
        <v>0</v>
      </c>
      <c r="W441" s="1">
        <f t="shared" si="329"/>
        <v>0</v>
      </c>
      <c r="X441" s="1">
        <f t="shared" si="330"/>
        <v>0</v>
      </c>
      <c r="Y441" s="1">
        <f t="shared" si="331"/>
        <v>0</v>
      </c>
      <c r="Z441" s="1">
        <f t="shared" si="332"/>
        <v>0</v>
      </c>
      <c r="AA441" s="1">
        <f t="shared" si="333"/>
        <v>0</v>
      </c>
      <c r="AB441" s="1">
        <f t="shared" si="334"/>
        <v>0</v>
      </c>
      <c r="AD441" s="1">
        <f t="shared" si="335"/>
        <v>0</v>
      </c>
      <c r="AE441" s="1">
        <f t="shared" si="336"/>
        <v>0</v>
      </c>
      <c r="AF441" s="1">
        <f t="shared" si="305"/>
        <v>0</v>
      </c>
      <c r="AG441" s="1">
        <f t="shared" si="306"/>
        <v>0</v>
      </c>
      <c r="AH441" s="1">
        <f t="shared" si="307"/>
        <v>0</v>
      </c>
      <c r="AI441" s="1">
        <f t="shared" si="308"/>
        <v>1</v>
      </c>
    </row>
    <row r="442" spans="1:35" ht="14.25" customHeight="1" x14ac:dyDescent="0.3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277</v>
      </c>
      <c r="G442" s="16" t="s">
        <v>278</v>
      </c>
      <c r="H442" s="16" t="s">
        <v>352</v>
      </c>
      <c r="I442" s="15" t="s">
        <v>432</v>
      </c>
      <c r="J442" s="15">
        <v>99</v>
      </c>
      <c r="K442" s="10" t="s">
        <v>709</v>
      </c>
      <c r="L442" s="10" t="s">
        <v>709</v>
      </c>
      <c r="M442" s="19" t="s">
        <v>727</v>
      </c>
      <c r="N442" s="17"/>
      <c r="Q442" s="16"/>
      <c r="S442" s="1">
        <f t="shared" si="325"/>
        <v>0</v>
      </c>
      <c r="T442" s="1">
        <f t="shared" si="326"/>
        <v>0</v>
      </c>
      <c r="U442" s="1">
        <f t="shared" si="327"/>
        <v>0</v>
      </c>
      <c r="V442" s="1">
        <f t="shared" si="328"/>
        <v>0</v>
      </c>
      <c r="W442" s="1">
        <f t="shared" si="329"/>
        <v>0</v>
      </c>
      <c r="X442" s="1">
        <f t="shared" si="330"/>
        <v>0</v>
      </c>
      <c r="Y442" s="1">
        <f t="shared" si="331"/>
        <v>0</v>
      </c>
      <c r="Z442" s="1">
        <f t="shared" si="332"/>
        <v>0</v>
      </c>
      <c r="AA442" s="1">
        <f t="shared" si="333"/>
        <v>0</v>
      </c>
      <c r="AB442" s="1">
        <f t="shared" si="334"/>
        <v>0</v>
      </c>
      <c r="AD442" s="1">
        <f t="shared" si="335"/>
        <v>0</v>
      </c>
      <c r="AE442" s="1">
        <f t="shared" si="336"/>
        <v>0</v>
      </c>
      <c r="AF442" s="1">
        <f t="shared" si="305"/>
        <v>0</v>
      </c>
      <c r="AG442" s="1">
        <f t="shared" si="306"/>
        <v>0</v>
      </c>
      <c r="AH442" s="1">
        <f t="shared" si="307"/>
        <v>0</v>
      </c>
      <c r="AI442" s="1">
        <f t="shared" si="308"/>
        <v>1</v>
      </c>
    </row>
    <row r="443" spans="1:35" ht="14.25" customHeight="1" x14ac:dyDescent="0.3">
      <c r="A443" s="37">
        <v>0</v>
      </c>
      <c r="B443" s="37">
        <v>2</v>
      </c>
      <c r="C443" s="37">
        <v>7</v>
      </c>
      <c r="D443" s="36" t="s">
        <v>1932</v>
      </c>
      <c r="E443" s="36" t="s">
        <v>28</v>
      </c>
      <c r="F443" s="36" t="s">
        <v>1933</v>
      </c>
      <c r="G443" s="36" t="s">
        <v>184</v>
      </c>
      <c r="H443" s="36" t="s">
        <v>352</v>
      </c>
      <c r="I443" s="37" t="s">
        <v>1934</v>
      </c>
      <c r="J443" s="37">
        <v>99</v>
      </c>
      <c r="K443" s="33" t="s">
        <v>699</v>
      </c>
      <c r="L443" s="33">
        <v>4</v>
      </c>
      <c r="M443" s="34" t="s">
        <v>727</v>
      </c>
      <c r="N443" s="34" t="s">
        <v>1738</v>
      </c>
      <c r="O443" s="35">
        <v>1</v>
      </c>
      <c r="P443" s="35"/>
      <c r="Q443" s="36" t="s">
        <v>1935</v>
      </c>
      <c r="S443" s="1">
        <f t="shared" si="325"/>
        <v>0</v>
      </c>
      <c r="T443" s="1">
        <f t="shared" si="326"/>
        <v>0</v>
      </c>
      <c r="U443" s="1">
        <f t="shared" si="327"/>
        <v>0</v>
      </c>
      <c r="V443" s="1">
        <f t="shared" si="328"/>
        <v>0</v>
      </c>
      <c r="W443" s="1">
        <f t="shared" si="329"/>
        <v>0</v>
      </c>
      <c r="X443" s="1">
        <f t="shared" si="330"/>
        <v>0</v>
      </c>
      <c r="Y443" s="1">
        <f t="shared" si="331"/>
        <v>0</v>
      </c>
      <c r="Z443" s="1">
        <f t="shared" si="332"/>
        <v>0</v>
      </c>
      <c r="AA443" s="1">
        <f t="shared" si="333"/>
        <v>0</v>
      </c>
      <c r="AB443" s="1">
        <f t="shared" si="334"/>
        <v>0</v>
      </c>
      <c r="AD443" s="1">
        <f t="shared" si="335"/>
        <v>0</v>
      </c>
      <c r="AE443" s="1">
        <f t="shared" si="336"/>
        <v>1</v>
      </c>
      <c r="AF443" s="1">
        <f t="shared" si="305"/>
        <v>0</v>
      </c>
      <c r="AG443" s="1">
        <f t="shared" si="306"/>
        <v>1</v>
      </c>
      <c r="AH443" s="1">
        <f t="shared" si="307"/>
        <v>0</v>
      </c>
      <c r="AI443" s="1">
        <f t="shared" si="308"/>
        <v>1</v>
      </c>
    </row>
    <row r="444" spans="1:35" ht="14.25" customHeight="1" x14ac:dyDescent="0.3">
      <c r="A444" s="44">
        <v>0</v>
      </c>
      <c r="B444" s="44">
        <v>2</v>
      </c>
      <c r="C444" s="44">
        <v>7</v>
      </c>
      <c r="D444" s="45" t="s">
        <v>549</v>
      </c>
      <c r="E444" s="45" t="s">
        <v>28</v>
      </c>
      <c r="F444" s="65" t="s">
        <v>1871</v>
      </c>
      <c r="G444" s="45" t="s">
        <v>552</v>
      </c>
      <c r="H444" s="45" t="s">
        <v>352</v>
      </c>
      <c r="I444" s="44" t="s">
        <v>553</v>
      </c>
      <c r="J444" s="44">
        <v>99</v>
      </c>
      <c r="K444" s="46" t="s">
        <v>709</v>
      </c>
      <c r="L444" s="46" t="s">
        <v>709</v>
      </c>
      <c r="M444" s="47" t="s">
        <v>727</v>
      </c>
      <c r="N444" s="47" t="s">
        <v>1797</v>
      </c>
      <c r="O444" s="48"/>
      <c r="P444" s="48"/>
      <c r="Q444" s="45"/>
      <c r="S444" s="1">
        <f t="shared" si="325"/>
        <v>0</v>
      </c>
      <c r="T444" s="1">
        <f t="shared" si="326"/>
        <v>0</v>
      </c>
      <c r="U444" s="1">
        <f t="shared" si="327"/>
        <v>0</v>
      </c>
      <c r="V444" s="1">
        <f t="shared" si="328"/>
        <v>0</v>
      </c>
      <c r="W444" s="1">
        <f t="shared" si="329"/>
        <v>0</v>
      </c>
      <c r="X444" s="1">
        <f t="shared" si="330"/>
        <v>0</v>
      </c>
      <c r="Y444" s="1">
        <f t="shared" si="331"/>
        <v>0</v>
      </c>
      <c r="Z444" s="1">
        <f t="shared" si="332"/>
        <v>0</v>
      </c>
      <c r="AA444" s="1">
        <f t="shared" si="333"/>
        <v>0</v>
      </c>
      <c r="AB444" s="1">
        <f t="shared" si="334"/>
        <v>0</v>
      </c>
      <c r="AD444" s="1">
        <f t="shared" si="335"/>
        <v>0</v>
      </c>
      <c r="AE444" s="1">
        <f t="shared" si="336"/>
        <v>0</v>
      </c>
      <c r="AF444" s="1">
        <f t="shared" si="305"/>
        <v>0</v>
      </c>
      <c r="AG444" s="1">
        <f t="shared" si="306"/>
        <v>0</v>
      </c>
      <c r="AH444" s="1">
        <f t="shared" si="307"/>
        <v>0</v>
      </c>
      <c r="AI444" s="1">
        <f t="shared" si="308"/>
        <v>1</v>
      </c>
    </row>
    <row r="445" spans="1:35" ht="14.25" customHeight="1" x14ac:dyDescent="0.3">
      <c r="A445" s="44">
        <v>1</v>
      </c>
      <c r="B445" s="44">
        <v>2</v>
      </c>
      <c r="C445" s="44">
        <v>7</v>
      </c>
      <c r="D445" s="45" t="s">
        <v>549</v>
      </c>
      <c r="E445" s="45" t="s">
        <v>28</v>
      </c>
      <c r="F445" s="65" t="s">
        <v>1872</v>
      </c>
      <c r="G445" s="45" t="s">
        <v>550</v>
      </c>
      <c r="H445" s="45" t="s">
        <v>352</v>
      </c>
      <c r="I445" s="44" t="s">
        <v>551</v>
      </c>
      <c r="J445" s="44">
        <v>99</v>
      </c>
      <c r="K445" s="46" t="s">
        <v>709</v>
      </c>
      <c r="L445" s="46" t="s">
        <v>709</v>
      </c>
      <c r="M445" s="47" t="s">
        <v>727</v>
      </c>
      <c r="N445" s="47" t="s">
        <v>1797</v>
      </c>
      <c r="O445" s="48"/>
      <c r="P445" s="48"/>
      <c r="Q445" s="45"/>
      <c r="S445" s="1">
        <f t="shared" si="325"/>
        <v>0</v>
      </c>
      <c r="T445" s="1">
        <f t="shared" si="326"/>
        <v>0</v>
      </c>
      <c r="U445" s="1">
        <f t="shared" si="327"/>
        <v>0</v>
      </c>
      <c r="V445" s="1">
        <f t="shared" si="328"/>
        <v>0</v>
      </c>
      <c r="W445" s="1">
        <f t="shared" si="329"/>
        <v>0</v>
      </c>
      <c r="X445" s="1">
        <f t="shared" si="330"/>
        <v>0</v>
      </c>
      <c r="Y445" s="1">
        <f t="shared" si="331"/>
        <v>0</v>
      </c>
      <c r="Z445" s="1">
        <f t="shared" si="332"/>
        <v>0</v>
      </c>
      <c r="AA445" s="1">
        <f t="shared" si="333"/>
        <v>0</v>
      </c>
      <c r="AB445" s="1">
        <f t="shared" si="334"/>
        <v>0</v>
      </c>
      <c r="AD445" s="1">
        <f t="shared" si="335"/>
        <v>0</v>
      </c>
      <c r="AE445" s="1">
        <f t="shared" si="336"/>
        <v>0</v>
      </c>
      <c r="AF445" s="1">
        <f t="shared" si="305"/>
        <v>0</v>
      </c>
      <c r="AG445" s="1">
        <f t="shared" si="306"/>
        <v>0</v>
      </c>
      <c r="AH445" s="1">
        <f t="shared" si="307"/>
        <v>0</v>
      </c>
      <c r="AI445" s="1">
        <f t="shared" si="308"/>
        <v>0</v>
      </c>
    </row>
    <row r="446" spans="1:35" ht="14.25" customHeight="1" x14ac:dyDescent="0.3">
      <c r="A446" s="44">
        <v>0</v>
      </c>
      <c r="B446" s="44">
        <v>2</v>
      </c>
      <c r="C446" s="44">
        <v>7</v>
      </c>
      <c r="D446" s="45" t="s">
        <v>1180</v>
      </c>
      <c r="E446" s="45" t="s">
        <v>28</v>
      </c>
      <c r="F446" s="45" t="s">
        <v>1673</v>
      </c>
      <c r="G446" s="45" t="s">
        <v>234</v>
      </c>
      <c r="H446" s="45" t="s">
        <v>352</v>
      </c>
      <c r="I446" s="44" t="s">
        <v>1361</v>
      </c>
      <c r="J446" s="44">
        <v>99</v>
      </c>
      <c r="K446" s="46" t="s">
        <v>708</v>
      </c>
      <c r="L446" s="46" t="s">
        <v>709</v>
      </c>
      <c r="M446" s="47" t="s">
        <v>727</v>
      </c>
      <c r="N446" s="47" t="s">
        <v>1730</v>
      </c>
      <c r="O446" s="48"/>
      <c r="P446" s="48"/>
      <c r="Q446" s="45"/>
      <c r="S446" s="1">
        <f t="shared" si="325"/>
        <v>0</v>
      </c>
      <c r="T446" s="1">
        <f t="shared" si="326"/>
        <v>0</v>
      </c>
      <c r="U446" s="1">
        <f t="shared" si="327"/>
        <v>0</v>
      </c>
      <c r="V446" s="1">
        <f t="shared" si="328"/>
        <v>0</v>
      </c>
      <c r="W446" s="1">
        <f t="shared" si="329"/>
        <v>0</v>
      </c>
      <c r="X446" s="1">
        <f t="shared" si="330"/>
        <v>0</v>
      </c>
      <c r="Y446" s="1">
        <f t="shared" si="331"/>
        <v>0</v>
      </c>
      <c r="Z446" s="1">
        <f t="shared" si="332"/>
        <v>0</v>
      </c>
      <c r="AA446" s="1">
        <f t="shared" si="333"/>
        <v>0</v>
      </c>
      <c r="AB446" s="1">
        <f t="shared" si="334"/>
        <v>0</v>
      </c>
      <c r="AD446" s="1">
        <f t="shared" si="335"/>
        <v>0</v>
      </c>
      <c r="AE446" s="1">
        <f t="shared" si="336"/>
        <v>0</v>
      </c>
      <c r="AF446" s="1">
        <f t="shared" si="305"/>
        <v>0</v>
      </c>
      <c r="AG446" s="1">
        <f t="shared" si="306"/>
        <v>0</v>
      </c>
      <c r="AH446" s="1">
        <f t="shared" si="307"/>
        <v>0</v>
      </c>
      <c r="AI446" s="1">
        <f t="shared" si="308"/>
        <v>1</v>
      </c>
    </row>
    <row r="447" spans="1:35" ht="14.25" customHeight="1" x14ac:dyDescent="0.3">
      <c r="A447" s="44">
        <v>1</v>
      </c>
      <c r="B447" s="44">
        <v>2</v>
      </c>
      <c r="C447" s="44">
        <v>7</v>
      </c>
      <c r="D447" s="45" t="s">
        <v>1180</v>
      </c>
      <c r="E447" s="45" t="s">
        <v>28</v>
      </c>
      <c r="F447" s="45" t="s">
        <v>1674</v>
      </c>
      <c r="G447" s="45" t="s">
        <v>1347</v>
      </c>
      <c r="H447" s="45" t="s">
        <v>352</v>
      </c>
      <c r="I447" s="44" t="s">
        <v>1362</v>
      </c>
      <c r="J447" s="44">
        <v>99</v>
      </c>
      <c r="K447" s="46" t="s">
        <v>708</v>
      </c>
      <c r="L447" s="46" t="s">
        <v>709</v>
      </c>
      <c r="M447" s="47" t="s">
        <v>727</v>
      </c>
      <c r="N447" s="47" t="s">
        <v>1730</v>
      </c>
      <c r="O447" s="48"/>
      <c r="P447" s="48"/>
      <c r="Q447" s="45"/>
      <c r="S447" s="1">
        <f t="shared" si="325"/>
        <v>0</v>
      </c>
      <c r="T447" s="1">
        <f t="shared" si="326"/>
        <v>0</v>
      </c>
      <c r="U447" s="1">
        <f t="shared" si="327"/>
        <v>0</v>
      </c>
      <c r="V447" s="1">
        <f t="shared" si="328"/>
        <v>0</v>
      </c>
      <c r="W447" s="1">
        <f t="shared" si="329"/>
        <v>0</v>
      </c>
      <c r="X447" s="1">
        <f t="shared" si="330"/>
        <v>0</v>
      </c>
      <c r="Y447" s="1">
        <f t="shared" si="331"/>
        <v>0</v>
      </c>
      <c r="Z447" s="1">
        <f t="shared" si="332"/>
        <v>0</v>
      </c>
      <c r="AA447" s="1">
        <f t="shared" si="333"/>
        <v>0</v>
      </c>
      <c r="AB447" s="1">
        <f t="shared" si="334"/>
        <v>0</v>
      </c>
      <c r="AD447" s="1">
        <f t="shared" si="335"/>
        <v>0</v>
      </c>
      <c r="AE447" s="1">
        <f t="shared" si="336"/>
        <v>0</v>
      </c>
      <c r="AF447" s="1">
        <f t="shared" si="305"/>
        <v>0</v>
      </c>
      <c r="AG447" s="1">
        <f t="shared" si="306"/>
        <v>0</v>
      </c>
      <c r="AH447" s="1">
        <f t="shared" si="307"/>
        <v>0</v>
      </c>
      <c r="AI447" s="1">
        <f t="shared" si="308"/>
        <v>0</v>
      </c>
    </row>
    <row r="448" spans="1:35" ht="14.25" customHeight="1" x14ac:dyDescent="0.3">
      <c r="A448" s="31">
        <v>0</v>
      </c>
      <c r="B448" s="31">
        <v>2</v>
      </c>
      <c r="C448" s="31">
        <v>7</v>
      </c>
      <c r="D448" s="32" t="s">
        <v>1248</v>
      </c>
      <c r="E448" s="32" t="s">
        <v>28</v>
      </c>
      <c r="F448" s="32" t="s">
        <v>1247</v>
      </c>
      <c r="G448" s="32" t="s">
        <v>1232</v>
      </c>
      <c r="H448" s="32" t="s">
        <v>352</v>
      </c>
      <c r="I448" s="31" t="s">
        <v>1249</v>
      </c>
      <c r="J448" s="31">
        <v>99</v>
      </c>
      <c r="K448" s="33" t="s">
        <v>699</v>
      </c>
      <c r="L448" s="33" t="s">
        <v>709</v>
      </c>
      <c r="M448" s="34" t="s">
        <v>727</v>
      </c>
      <c r="N448" s="34" t="s">
        <v>1738</v>
      </c>
      <c r="O448" s="35">
        <v>1</v>
      </c>
      <c r="P448" s="35"/>
      <c r="Q448" s="32"/>
      <c r="S448" s="1">
        <f t="shared" si="325"/>
        <v>0</v>
      </c>
      <c r="T448" s="1">
        <f t="shared" si="326"/>
        <v>0</v>
      </c>
      <c r="U448" s="1">
        <f t="shared" si="327"/>
        <v>0</v>
      </c>
      <c r="V448" s="1">
        <f t="shared" si="328"/>
        <v>0</v>
      </c>
      <c r="W448" s="1">
        <f t="shared" si="329"/>
        <v>0</v>
      </c>
      <c r="X448" s="1">
        <f t="shared" si="330"/>
        <v>0</v>
      </c>
      <c r="Y448" s="1">
        <f t="shared" si="331"/>
        <v>0</v>
      </c>
      <c r="Z448" s="1">
        <f t="shared" si="332"/>
        <v>0</v>
      </c>
      <c r="AA448" s="1">
        <f t="shared" si="333"/>
        <v>0</v>
      </c>
      <c r="AB448" s="1">
        <f t="shared" si="334"/>
        <v>0</v>
      </c>
      <c r="AD448" s="1">
        <f t="shared" si="335"/>
        <v>0</v>
      </c>
      <c r="AE448" s="1">
        <f t="shared" si="336"/>
        <v>1</v>
      </c>
      <c r="AF448" s="1">
        <f t="shared" si="305"/>
        <v>0</v>
      </c>
      <c r="AG448" s="1">
        <f t="shared" si="306"/>
        <v>1</v>
      </c>
      <c r="AH448" s="1">
        <f t="shared" si="307"/>
        <v>0</v>
      </c>
      <c r="AI448" s="1">
        <f t="shared" si="308"/>
        <v>1</v>
      </c>
    </row>
    <row r="449" spans="1:35" ht="14.25" customHeight="1" x14ac:dyDescent="0.3">
      <c r="A449" s="31">
        <v>1</v>
      </c>
      <c r="B449" s="31">
        <v>2</v>
      </c>
      <c r="C449" s="31">
        <v>7</v>
      </c>
      <c r="D449" s="32" t="s">
        <v>1248</v>
      </c>
      <c r="E449" s="32" t="s">
        <v>28</v>
      </c>
      <c r="F449" s="32" t="s">
        <v>1246</v>
      </c>
      <c r="G449" s="32" t="s">
        <v>39</v>
      </c>
      <c r="H449" s="32" t="s">
        <v>352</v>
      </c>
      <c r="I449" s="31" t="s">
        <v>1250</v>
      </c>
      <c r="J449" s="31">
        <v>9</v>
      </c>
      <c r="K449" s="33" t="s">
        <v>699</v>
      </c>
      <c r="L449" s="33" t="s">
        <v>709</v>
      </c>
      <c r="M449" s="34" t="s">
        <v>727</v>
      </c>
      <c r="N449" s="34" t="s">
        <v>1738</v>
      </c>
      <c r="O449" s="35">
        <v>1</v>
      </c>
      <c r="P449" s="35"/>
      <c r="Q449" s="32"/>
      <c r="S449" s="1">
        <f t="shared" si="325"/>
        <v>0</v>
      </c>
      <c r="T449" s="1">
        <f t="shared" si="326"/>
        <v>0</v>
      </c>
      <c r="U449" s="1">
        <f t="shared" si="327"/>
        <v>0</v>
      </c>
      <c r="V449" s="1">
        <f t="shared" si="328"/>
        <v>0</v>
      </c>
      <c r="W449" s="1">
        <f t="shared" si="329"/>
        <v>0</v>
      </c>
      <c r="X449" s="1">
        <f t="shared" si="330"/>
        <v>0</v>
      </c>
      <c r="Y449" s="1">
        <f t="shared" si="331"/>
        <v>0</v>
      </c>
      <c r="Z449" s="1">
        <f t="shared" si="332"/>
        <v>0</v>
      </c>
      <c r="AA449" s="1">
        <f t="shared" si="333"/>
        <v>1</v>
      </c>
      <c r="AB449" s="1">
        <f t="shared" si="334"/>
        <v>0</v>
      </c>
      <c r="AD449" s="1">
        <f t="shared" si="335"/>
        <v>0</v>
      </c>
      <c r="AE449" s="1">
        <f t="shared" si="336"/>
        <v>1</v>
      </c>
      <c r="AF449" s="1">
        <f t="shared" si="305"/>
        <v>0</v>
      </c>
      <c r="AG449" s="1">
        <f t="shared" si="306"/>
        <v>0</v>
      </c>
      <c r="AH449" s="1">
        <f t="shared" si="307"/>
        <v>0</v>
      </c>
      <c r="AI449" s="1">
        <f t="shared" si="308"/>
        <v>0</v>
      </c>
    </row>
    <row r="450" spans="1:35" ht="14.25" customHeight="1" x14ac:dyDescent="0.3">
      <c r="A450" s="31">
        <v>1</v>
      </c>
      <c r="B450" s="31">
        <v>2</v>
      </c>
      <c r="C450" s="31">
        <v>7</v>
      </c>
      <c r="D450" s="32" t="s">
        <v>1248</v>
      </c>
      <c r="E450" s="32" t="s">
        <v>28</v>
      </c>
      <c r="F450" s="36" t="s">
        <v>1819</v>
      </c>
      <c r="G450" s="36" t="s">
        <v>257</v>
      </c>
      <c r="H450" s="32" t="s">
        <v>352</v>
      </c>
      <c r="I450" s="37" t="s">
        <v>30</v>
      </c>
      <c r="J450" s="31">
        <v>8</v>
      </c>
      <c r="K450" s="33" t="s">
        <v>699</v>
      </c>
      <c r="L450" s="33" t="s">
        <v>709</v>
      </c>
      <c r="M450" s="34" t="s">
        <v>727</v>
      </c>
      <c r="N450" s="34" t="s">
        <v>1738</v>
      </c>
      <c r="O450" s="35">
        <v>1</v>
      </c>
      <c r="P450" s="35"/>
      <c r="Q450" s="32"/>
      <c r="S450" s="1">
        <f t="shared" si="325"/>
        <v>0</v>
      </c>
      <c r="T450" s="1">
        <f t="shared" si="326"/>
        <v>0</v>
      </c>
      <c r="U450" s="1">
        <f t="shared" si="327"/>
        <v>0</v>
      </c>
      <c r="V450" s="1">
        <f t="shared" si="328"/>
        <v>0</v>
      </c>
      <c r="W450" s="1">
        <f t="shared" si="329"/>
        <v>0</v>
      </c>
      <c r="X450" s="1">
        <f t="shared" si="330"/>
        <v>0</v>
      </c>
      <c r="Y450" s="1">
        <f t="shared" si="331"/>
        <v>0</v>
      </c>
      <c r="Z450" s="1">
        <f t="shared" si="332"/>
        <v>1</v>
      </c>
      <c r="AA450" s="1">
        <f t="shared" si="333"/>
        <v>0</v>
      </c>
      <c r="AB450" s="1">
        <f t="shared" si="334"/>
        <v>0</v>
      </c>
      <c r="AD450" s="1">
        <f t="shared" si="335"/>
        <v>0</v>
      </c>
      <c r="AE450" s="1">
        <f t="shared" si="336"/>
        <v>1</v>
      </c>
      <c r="AF450" s="1">
        <f t="shared" si="305"/>
        <v>0</v>
      </c>
      <c r="AG450" s="1">
        <f t="shared" si="306"/>
        <v>0</v>
      </c>
      <c r="AH450" s="1">
        <f t="shared" si="307"/>
        <v>0</v>
      </c>
      <c r="AI450" s="1">
        <f t="shared" si="308"/>
        <v>0</v>
      </c>
    </row>
    <row r="451" spans="1:35" ht="14.25" customHeight="1" x14ac:dyDescent="0.3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670</v>
      </c>
      <c r="G451" s="32" t="s">
        <v>184</v>
      </c>
      <c r="H451" s="32" t="s">
        <v>352</v>
      </c>
      <c r="I451" s="31" t="s">
        <v>388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1744</v>
      </c>
      <c r="O451" s="35">
        <v>1</v>
      </c>
      <c r="P451" s="35"/>
      <c r="Q451" s="32"/>
      <c r="S451" s="1">
        <f t="shared" si="325"/>
        <v>0</v>
      </c>
      <c r="T451" s="1">
        <f t="shared" si="326"/>
        <v>0</v>
      </c>
      <c r="U451" s="1">
        <f t="shared" si="327"/>
        <v>0</v>
      </c>
      <c r="V451" s="1">
        <f t="shared" si="328"/>
        <v>0</v>
      </c>
      <c r="W451" s="1">
        <f t="shared" si="329"/>
        <v>0</v>
      </c>
      <c r="X451" s="1">
        <f t="shared" si="330"/>
        <v>0</v>
      </c>
      <c r="Y451" s="1">
        <f t="shared" si="331"/>
        <v>0</v>
      </c>
      <c r="Z451" s="1">
        <f t="shared" si="332"/>
        <v>0</v>
      </c>
      <c r="AA451" s="1">
        <f t="shared" si="333"/>
        <v>0</v>
      </c>
      <c r="AB451" s="1">
        <f t="shared" si="334"/>
        <v>0</v>
      </c>
      <c r="AD451" s="1">
        <f t="shared" si="335"/>
        <v>0</v>
      </c>
      <c r="AE451" s="1">
        <f t="shared" si="336"/>
        <v>1</v>
      </c>
      <c r="AF451" s="1">
        <f t="shared" si="305"/>
        <v>0</v>
      </c>
      <c r="AG451" s="1">
        <f t="shared" si="306"/>
        <v>1</v>
      </c>
      <c r="AH451" s="1">
        <f t="shared" si="307"/>
        <v>0</v>
      </c>
      <c r="AI451" s="1">
        <f t="shared" si="308"/>
        <v>1</v>
      </c>
    </row>
    <row r="452" spans="1:35" ht="14.25" customHeight="1" x14ac:dyDescent="0.3">
      <c r="A452" s="44">
        <v>0</v>
      </c>
      <c r="B452" s="44">
        <v>2</v>
      </c>
      <c r="C452" s="44">
        <v>7</v>
      </c>
      <c r="D452" s="45" t="s">
        <v>1076</v>
      </c>
      <c r="E452" s="45" t="s">
        <v>28</v>
      </c>
      <c r="F452" s="45" t="s">
        <v>993</v>
      </c>
      <c r="G452" s="45" t="s">
        <v>239</v>
      </c>
      <c r="H452" s="45" t="s">
        <v>352</v>
      </c>
      <c r="I452" s="44" t="s">
        <v>1101</v>
      </c>
      <c r="J452" s="44">
        <v>1</v>
      </c>
      <c r="K452" s="46" t="s">
        <v>708</v>
      </c>
      <c r="L452" s="46" t="s">
        <v>709</v>
      </c>
      <c r="M452" s="47" t="s">
        <v>727</v>
      </c>
      <c r="N452" s="47" t="s">
        <v>1730</v>
      </c>
      <c r="O452" s="48"/>
      <c r="P452" s="48"/>
      <c r="Q452" s="45"/>
      <c r="S452" s="1">
        <f t="shared" si="325"/>
        <v>1</v>
      </c>
      <c r="T452" s="1">
        <f t="shared" si="326"/>
        <v>0</v>
      </c>
      <c r="U452" s="1">
        <f t="shared" si="327"/>
        <v>0</v>
      </c>
      <c r="V452" s="1">
        <f t="shared" si="328"/>
        <v>0</v>
      </c>
      <c r="W452" s="1">
        <f t="shared" si="329"/>
        <v>0</v>
      </c>
      <c r="X452" s="1">
        <f t="shared" si="330"/>
        <v>0</v>
      </c>
      <c r="Y452" s="1">
        <f t="shared" si="331"/>
        <v>0</v>
      </c>
      <c r="Z452" s="1">
        <f t="shared" si="332"/>
        <v>0</v>
      </c>
      <c r="AA452" s="1">
        <f t="shared" si="333"/>
        <v>0</v>
      </c>
      <c r="AB452" s="1">
        <f t="shared" si="334"/>
        <v>0</v>
      </c>
      <c r="AD452" s="1">
        <f t="shared" si="335"/>
        <v>0</v>
      </c>
      <c r="AE452" s="1">
        <f t="shared" si="336"/>
        <v>0</v>
      </c>
      <c r="AF452" s="1">
        <f t="shared" si="305"/>
        <v>0</v>
      </c>
      <c r="AG452" s="1">
        <f t="shared" si="306"/>
        <v>0</v>
      </c>
      <c r="AH452" s="1">
        <f t="shared" si="307"/>
        <v>0</v>
      </c>
      <c r="AI452" s="1">
        <f t="shared" si="308"/>
        <v>1</v>
      </c>
    </row>
    <row r="453" spans="1:35" ht="14.25" customHeight="1" x14ac:dyDescent="0.3">
      <c r="A453" s="44">
        <v>1</v>
      </c>
      <c r="B453" s="44">
        <v>2</v>
      </c>
      <c r="C453" s="44">
        <v>7</v>
      </c>
      <c r="D453" s="45" t="s">
        <v>1076</v>
      </c>
      <c r="E453" s="45" t="s">
        <v>28</v>
      </c>
      <c r="F453" s="45" t="s">
        <v>994</v>
      </c>
      <c r="G453" s="45" t="s">
        <v>1094</v>
      </c>
      <c r="H453" s="45" t="s">
        <v>352</v>
      </c>
      <c r="I453" s="44" t="s">
        <v>1102</v>
      </c>
      <c r="J453" s="44">
        <v>1</v>
      </c>
      <c r="K453" s="46" t="s">
        <v>708</v>
      </c>
      <c r="L453" s="46" t="s">
        <v>709</v>
      </c>
      <c r="M453" s="47" t="s">
        <v>727</v>
      </c>
      <c r="N453" s="47" t="s">
        <v>1730</v>
      </c>
      <c r="O453" s="48"/>
      <c r="P453" s="48"/>
      <c r="Q453" s="45"/>
      <c r="S453" s="1">
        <f t="shared" si="325"/>
        <v>1</v>
      </c>
      <c r="T453" s="1">
        <f t="shared" si="326"/>
        <v>0</v>
      </c>
      <c r="U453" s="1">
        <f t="shared" si="327"/>
        <v>0</v>
      </c>
      <c r="V453" s="1">
        <f t="shared" si="328"/>
        <v>0</v>
      </c>
      <c r="W453" s="1">
        <f t="shared" si="329"/>
        <v>0</v>
      </c>
      <c r="X453" s="1">
        <f t="shared" si="330"/>
        <v>0</v>
      </c>
      <c r="Y453" s="1">
        <f t="shared" si="331"/>
        <v>0</v>
      </c>
      <c r="Z453" s="1">
        <f t="shared" si="332"/>
        <v>0</v>
      </c>
      <c r="AA453" s="1">
        <f t="shared" si="333"/>
        <v>0</v>
      </c>
      <c r="AB453" s="1">
        <f t="shared" si="334"/>
        <v>0</v>
      </c>
      <c r="AD453" s="1">
        <f t="shared" si="335"/>
        <v>0</v>
      </c>
      <c r="AE453" s="1">
        <f t="shared" si="336"/>
        <v>0</v>
      </c>
      <c r="AF453" s="1">
        <f t="shared" si="305"/>
        <v>0</v>
      </c>
      <c r="AG453" s="1">
        <f t="shared" si="306"/>
        <v>0</v>
      </c>
      <c r="AH453" s="1">
        <f t="shared" si="307"/>
        <v>0</v>
      </c>
      <c r="AI453" s="1">
        <f t="shared" si="308"/>
        <v>0</v>
      </c>
    </row>
    <row r="454" spans="1:35" ht="14.25" customHeight="1" x14ac:dyDescent="0.3">
      <c r="A454" s="31">
        <v>0</v>
      </c>
      <c r="B454" s="31">
        <v>2</v>
      </c>
      <c r="C454" s="31">
        <v>7</v>
      </c>
      <c r="D454" s="32" t="s">
        <v>1633</v>
      </c>
      <c r="E454" s="32" t="s">
        <v>155</v>
      </c>
      <c r="F454" s="32" t="s">
        <v>1486</v>
      </c>
      <c r="G454" s="32" t="s">
        <v>1487</v>
      </c>
      <c r="H454" s="32" t="s">
        <v>352</v>
      </c>
      <c r="I454" s="31" t="s">
        <v>1488</v>
      </c>
      <c r="J454" s="31">
        <v>99</v>
      </c>
      <c r="K454" s="33" t="s">
        <v>950</v>
      </c>
      <c r="L454" s="33" t="s">
        <v>718</v>
      </c>
      <c r="M454" s="34" t="s">
        <v>728</v>
      </c>
      <c r="N454" s="34" t="s">
        <v>1743</v>
      </c>
      <c r="O454" s="35">
        <v>1</v>
      </c>
      <c r="P454" s="35"/>
      <c r="Q454" s="32"/>
      <c r="S454" s="1">
        <f t="shared" si="325"/>
        <v>0</v>
      </c>
      <c r="T454" s="1">
        <f t="shared" si="326"/>
        <v>0</v>
      </c>
      <c r="U454" s="1">
        <f t="shared" si="327"/>
        <v>0</v>
      </c>
      <c r="V454" s="1">
        <f t="shared" si="328"/>
        <v>0</v>
      </c>
      <c r="W454" s="1">
        <f t="shared" si="329"/>
        <v>0</v>
      </c>
      <c r="X454" s="1">
        <f t="shared" si="330"/>
        <v>0</v>
      </c>
      <c r="Y454" s="1">
        <f t="shared" si="331"/>
        <v>0</v>
      </c>
      <c r="Z454" s="1">
        <f t="shared" si="332"/>
        <v>0</v>
      </c>
      <c r="AA454" s="1">
        <f t="shared" si="333"/>
        <v>0</v>
      </c>
      <c r="AB454" s="1">
        <f t="shared" si="334"/>
        <v>0</v>
      </c>
      <c r="AD454" s="1">
        <f t="shared" si="335"/>
        <v>0</v>
      </c>
      <c r="AE454" s="1">
        <f t="shared" si="336"/>
        <v>1</v>
      </c>
      <c r="AF454" s="1">
        <f t="shared" si="305"/>
        <v>0</v>
      </c>
      <c r="AG454" s="1">
        <f t="shared" si="306"/>
        <v>1</v>
      </c>
      <c r="AH454" s="1">
        <f t="shared" si="307"/>
        <v>0</v>
      </c>
      <c r="AI454" s="1">
        <f t="shared" si="308"/>
        <v>1</v>
      </c>
    </row>
    <row r="455" spans="1:35" ht="14.25" customHeight="1" x14ac:dyDescent="0.3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273</v>
      </c>
      <c r="G455" s="45" t="s">
        <v>274</v>
      </c>
      <c r="H455" s="45" t="s">
        <v>352</v>
      </c>
      <c r="I455" s="44" t="s">
        <v>427</v>
      </c>
      <c r="J455" s="44">
        <v>7</v>
      </c>
      <c r="K455" s="46" t="s">
        <v>950</v>
      </c>
      <c r="L455" s="46" t="s">
        <v>949</v>
      </c>
      <c r="M455" s="47" t="s">
        <v>963</v>
      </c>
      <c r="N455" s="47" t="s">
        <v>1804</v>
      </c>
      <c r="O455" s="48"/>
      <c r="P455" s="48"/>
      <c r="Q455" s="45"/>
      <c r="S455" s="1">
        <f t="shared" si="325"/>
        <v>0</v>
      </c>
      <c r="T455" s="1">
        <f t="shared" si="326"/>
        <v>0</v>
      </c>
      <c r="U455" s="1">
        <f t="shared" si="327"/>
        <v>0</v>
      </c>
      <c r="V455" s="1">
        <f t="shared" si="328"/>
        <v>0</v>
      </c>
      <c r="W455" s="1">
        <f t="shared" si="329"/>
        <v>0</v>
      </c>
      <c r="X455" s="1">
        <f t="shared" si="330"/>
        <v>0</v>
      </c>
      <c r="Y455" s="1">
        <f t="shared" si="331"/>
        <v>1</v>
      </c>
      <c r="Z455" s="1">
        <f t="shared" si="332"/>
        <v>0</v>
      </c>
      <c r="AA455" s="1">
        <f t="shared" si="333"/>
        <v>0</v>
      </c>
      <c r="AB455" s="1">
        <f t="shared" si="334"/>
        <v>0</v>
      </c>
      <c r="AD455" s="1">
        <f t="shared" si="335"/>
        <v>0</v>
      </c>
      <c r="AE455" s="1">
        <f t="shared" si="336"/>
        <v>0</v>
      </c>
      <c r="AF455" s="1">
        <f t="shared" si="305"/>
        <v>0</v>
      </c>
      <c r="AG455" s="1">
        <f t="shared" si="306"/>
        <v>0</v>
      </c>
      <c r="AH455" s="1">
        <f t="shared" si="307"/>
        <v>0</v>
      </c>
      <c r="AI455" s="1">
        <f t="shared" si="308"/>
        <v>1</v>
      </c>
    </row>
    <row r="456" spans="1:35" ht="14.25" customHeight="1" x14ac:dyDescent="0.3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1676</v>
      </c>
      <c r="G456" s="45" t="s">
        <v>189</v>
      </c>
      <c r="H456" s="45" t="s">
        <v>352</v>
      </c>
      <c r="I456" s="44" t="s">
        <v>421</v>
      </c>
      <c r="J456" s="44">
        <v>99</v>
      </c>
      <c r="K456" s="46" t="s">
        <v>949</v>
      </c>
      <c r="L456" s="46" t="s">
        <v>709</v>
      </c>
      <c r="M456" s="47" t="s">
        <v>727</v>
      </c>
      <c r="N456" s="47" t="s">
        <v>1730</v>
      </c>
      <c r="O456" s="48"/>
      <c r="P456" s="48"/>
      <c r="Q456" s="45"/>
      <c r="S456" s="1">
        <f t="shared" si="325"/>
        <v>0</v>
      </c>
      <c r="T456" s="1">
        <f t="shared" si="326"/>
        <v>0</v>
      </c>
      <c r="U456" s="1">
        <f t="shared" si="327"/>
        <v>0</v>
      </c>
      <c r="V456" s="1">
        <f t="shared" si="328"/>
        <v>0</v>
      </c>
      <c r="W456" s="1">
        <f t="shared" si="329"/>
        <v>0</v>
      </c>
      <c r="X456" s="1">
        <f t="shared" si="330"/>
        <v>0</v>
      </c>
      <c r="Y456" s="1">
        <f t="shared" si="331"/>
        <v>0</v>
      </c>
      <c r="Z456" s="1">
        <f t="shared" si="332"/>
        <v>0</v>
      </c>
      <c r="AA456" s="1">
        <f t="shared" si="333"/>
        <v>0</v>
      </c>
      <c r="AB456" s="1">
        <f t="shared" si="334"/>
        <v>0</v>
      </c>
      <c r="AD456" s="1">
        <f t="shared" si="335"/>
        <v>0</v>
      </c>
      <c r="AE456" s="1">
        <f t="shared" si="336"/>
        <v>0</v>
      </c>
      <c r="AF456" s="1">
        <f t="shared" si="305"/>
        <v>0</v>
      </c>
      <c r="AG456" s="1">
        <f t="shared" si="306"/>
        <v>0</v>
      </c>
      <c r="AH456" s="1">
        <f t="shared" si="307"/>
        <v>0</v>
      </c>
      <c r="AI456" s="1">
        <f t="shared" si="308"/>
        <v>1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6" t="s">
        <v>2028</v>
      </c>
      <c r="E457" s="32" t="s">
        <v>2032</v>
      </c>
      <c r="F457" s="36" t="s">
        <v>2029</v>
      </c>
      <c r="G457" s="36" t="s">
        <v>2030</v>
      </c>
      <c r="H457" s="36" t="s">
        <v>352</v>
      </c>
      <c r="I457" s="37" t="s">
        <v>2031</v>
      </c>
      <c r="J457" s="31">
        <v>99</v>
      </c>
      <c r="K457" s="33" t="s">
        <v>699</v>
      </c>
      <c r="L457" s="33">
        <v>20</v>
      </c>
      <c r="M457" s="34" t="s">
        <v>2034</v>
      </c>
      <c r="N457" s="34" t="s">
        <v>1743</v>
      </c>
      <c r="O457" s="35">
        <v>1</v>
      </c>
      <c r="P457" s="35"/>
      <c r="Q457" s="36" t="s">
        <v>2033</v>
      </c>
      <c r="S457" s="1">
        <f t="shared" si="325"/>
        <v>0</v>
      </c>
      <c r="T457" s="1">
        <f t="shared" si="326"/>
        <v>0</v>
      </c>
      <c r="U457" s="1">
        <f t="shared" si="327"/>
        <v>0</v>
      </c>
      <c r="V457" s="1">
        <f t="shared" si="328"/>
        <v>0</v>
      </c>
      <c r="W457" s="1">
        <f t="shared" si="329"/>
        <v>0</v>
      </c>
      <c r="X457" s="1">
        <f t="shared" si="330"/>
        <v>0</v>
      </c>
      <c r="Y457" s="1">
        <f t="shared" si="331"/>
        <v>0</v>
      </c>
      <c r="Z457" s="1">
        <f t="shared" si="332"/>
        <v>0</v>
      </c>
      <c r="AA457" s="1">
        <f t="shared" si="333"/>
        <v>0</v>
      </c>
      <c r="AB457" s="1">
        <f t="shared" si="334"/>
        <v>0</v>
      </c>
      <c r="AD457" s="1">
        <f t="shared" ref="AD457:AD460" si="353">+O457*P457</f>
        <v>0</v>
      </c>
      <c r="AE457" s="1">
        <f t="shared" ref="AE457:AE460" si="354">O457*(1-P457)</f>
        <v>1</v>
      </c>
      <c r="AF457" s="1">
        <f t="shared" ref="AF457:AF460" si="355">+O457*P457*(1-A457)</f>
        <v>0</v>
      </c>
      <c r="AG457" s="1">
        <f t="shared" ref="AG457:AG460" si="356">O457*(1-P457)*(1-A457)</f>
        <v>1</v>
      </c>
      <c r="AH457" s="1">
        <f t="shared" ref="AH457:AH460" si="357">+P457*(1-A457)</f>
        <v>0</v>
      </c>
      <c r="AI457" s="1">
        <f t="shared" ref="AI457:AI460" si="358">+(1-A457)*(1-P457)</f>
        <v>1</v>
      </c>
    </row>
    <row r="458" spans="1:35" ht="14.25" customHeight="1" x14ac:dyDescent="0.3">
      <c r="A458" s="31">
        <v>0</v>
      </c>
      <c r="B458" s="31">
        <v>2</v>
      </c>
      <c r="C458" s="31">
        <v>7</v>
      </c>
      <c r="D458" s="32" t="s">
        <v>1635</v>
      </c>
      <c r="E458" s="32" t="s">
        <v>162</v>
      </c>
      <c r="F458" s="32" t="s">
        <v>243</v>
      </c>
      <c r="G458" s="32" t="s">
        <v>217</v>
      </c>
      <c r="H458" s="32" t="s">
        <v>352</v>
      </c>
      <c r="I458" s="31" t="s">
        <v>406</v>
      </c>
      <c r="J458" s="31">
        <v>99</v>
      </c>
      <c r="K458" s="33" t="s">
        <v>709</v>
      </c>
      <c r="L458" s="33" t="s">
        <v>718</v>
      </c>
      <c r="M458" s="34" t="s">
        <v>728</v>
      </c>
      <c r="N458" s="34" t="s">
        <v>1722</v>
      </c>
      <c r="O458" s="35">
        <v>1</v>
      </c>
      <c r="P458" s="35">
        <v>1</v>
      </c>
      <c r="Q458" s="32"/>
      <c r="S458" s="1">
        <f t="shared" si="325"/>
        <v>0</v>
      </c>
      <c r="T458" s="1">
        <f t="shared" si="326"/>
        <v>0</v>
      </c>
      <c r="U458" s="1">
        <f t="shared" si="327"/>
        <v>0</v>
      </c>
      <c r="V458" s="1">
        <f t="shared" si="328"/>
        <v>0</v>
      </c>
      <c r="W458" s="1">
        <f t="shared" si="329"/>
        <v>0</v>
      </c>
      <c r="X458" s="1">
        <f t="shared" si="330"/>
        <v>0</v>
      </c>
      <c r="Y458" s="1">
        <f t="shared" si="331"/>
        <v>0</v>
      </c>
      <c r="Z458" s="1">
        <f t="shared" si="332"/>
        <v>0</v>
      </c>
      <c r="AA458" s="1">
        <f t="shared" si="333"/>
        <v>0</v>
      </c>
      <c r="AB458" s="1">
        <f t="shared" si="334"/>
        <v>0</v>
      </c>
      <c r="AD458" s="1">
        <f t="shared" si="353"/>
        <v>1</v>
      </c>
      <c r="AE458" s="1">
        <f t="shared" si="354"/>
        <v>0</v>
      </c>
      <c r="AF458" s="1">
        <f t="shared" si="355"/>
        <v>1</v>
      </c>
      <c r="AG458" s="1">
        <f t="shared" si="356"/>
        <v>0</v>
      </c>
      <c r="AH458" s="1">
        <f t="shared" si="357"/>
        <v>1</v>
      </c>
      <c r="AI458" s="1">
        <f t="shared" si="358"/>
        <v>0</v>
      </c>
    </row>
    <row r="459" spans="1:35" ht="14.25" customHeight="1" x14ac:dyDescent="0.3">
      <c r="A459" s="31">
        <v>0</v>
      </c>
      <c r="B459" s="31">
        <v>2</v>
      </c>
      <c r="C459" s="31">
        <v>7</v>
      </c>
      <c r="D459" s="32" t="s">
        <v>1533</v>
      </c>
      <c r="E459" s="32" t="s">
        <v>155</v>
      </c>
      <c r="F459" s="32" t="s">
        <v>1534</v>
      </c>
      <c r="G459" s="32" t="s">
        <v>39</v>
      </c>
      <c r="H459" s="32" t="s">
        <v>352</v>
      </c>
      <c r="I459" s="31" t="s">
        <v>1535</v>
      </c>
      <c r="J459" s="31">
        <v>99</v>
      </c>
      <c r="K459" s="33" t="s">
        <v>709</v>
      </c>
      <c r="L459" s="33" t="s">
        <v>718</v>
      </c>
      <c r="M459" s="34" t="s">
        <v>728</v>
      </c>
      <c r="N459" s="34" t="s">
        <v>1743</v>
      </c>
      <c r="O459" s="35">
        <v>1</v>
      </c>
      <c r="P459" s="35"/>
      <c r="Q459" s="32"/>
      <c r="S459" s="1">
        <f t="shared" si="325"/>
        <v>0</v>
      </c>
      <c r="T459" s="1">
        <f t="shared" si="326"/>
        <v>0</v>
      </c>
      <c r="U459" s="1">
        <f t="shared" si="327"/>
        <v>0</v>
      </c>
      <c r="V459" s="1">
        <f t="shared" si="328"/>
        <v>0</v>
      </c>
      <c r="W459" s="1">
        <f t="shared" si="329"/>
        <v>0</v>
      </c>
      <c r="X459" s="1">
        <f t="shared" si="330"/>
        <v>0</v>
      </c>
      <c r="Y459" s="1">
        <f t="shared" si="331"/>
        <v>0</v>
      </c>
      <c r="Z459" s="1">
        <f t="shared" si="332"/>
        <v>0</v>
      </c>
      <c r="AA459" s="1">
        <f t="shared" si="333"/>
        <v>0</v>
      </c>
      <c r="AB459" s="1">
        <f t="shared" si="334"/>
        <v>0</v>
      </c>
      <c r="AD459" s="1">
        <f t="shared" si="353"/>
        <v>0</v>
      </c>
      <c r="AE459" s="1">
        <f t="shared" si="354"/>
        <v>1</v>
      </c>
      <c r="AF459" s="1">
        <f t="shared" si="355"/>
        <v>0</v>
      </c>
      <c r="AG459" s="1">
        <f t="shared" si="356"/>
        <v>1</v>
      </c>
      <c r="AH459" s="1">
        <f t="shared" si="357"/>
        <v>0</v>
      </c>
      <c r="AI459" s="1">
        <f t="shared" si="358"/>
        <v>1</v>
      </c>
    </row>
    <row r="460" spans="1:35" ht="14.25" customHeight="1" x14ac:dyDescent="0.3">
      <c r="A460" s="44">
        <v>0</v>
      </c>
      <c r="B460" s="44">
        <v>2</v>
      </c>
      <c r="C460" s="44">
        <v>7</v>
      </c>
      <c r="D460" s="45" t="s">
        <v>1257</v>
      </c>
      <c r="E460" s="45" t="s">
        <v>1519</v>
      </c>
      <c r="F460" s="45" t="s">
        <v>1350</v>
      </c>
      <c r="G460" s="45" t="s">
        <v>185</v>
      </c>
      <c r="H460" s="45" t="s">
        <v>352</v>
      </c>
      <c r="I460" s="44" t="s">
        <v>1363</v>
      </c>
      <c r="J460" s="44">
        <v>1</v>
      </c>
      <c r="K460" s="46" t="s">
        <v>709</v>
      </c>
      <c r="L460" s="46" t="s">
        <v>712</v>
      </c>
      <c r="M460" s="47" t="s">
        <v>1433</v>
      </c>
      <c r="N460" s="47" t="s">
        <v>1730</v>
      </c>
      <c r="O460" s="48"/>
      <c r="P460" s="48"/>
      <c r="Q460" s="45"/>
      <c r="S460" s="1">
        <f t="shared" si="325"/>
        <v>1</v>
      </c>
      <c r="T460" s="1">
        <f t="shared" si="326"/>
        <v>0</v>
      </c>
      <c r="U460" s="1">
        <f t="shared" si="327"/>
        <v>0</v>
      </c>
      <c r="V460" s="1">
        <f t="shared" si="328"/>
        <v>0</v>
      </c>
      <c r="W460" s="1">
        <f t="shared" si="329"/>
        <v>0</v>
      </c>
      <c r="X460" s="1">
        <f t="shared" si="330"/>
        <v>0</v>
      </c>
      <c r="Y460" s="1">
        <f t="shared" si="331"/>
        <v>0</v>
      </c>
      <c r="Z460" s="1">
        <f t="shared" si="332"/>
        <v>0</v>
      </c>
      <c r="AA460" s="1">
        <f t="shared" si="333"/>
        <v>0</v>
      </c>
      <c r="AB460" s="1">
        <f t="shared" si="334"/>
        <v>0</v>
      </c>
      <c r="AD460" s="1">
        <f t="shared" si="353"/>
        <v>0</v>
      </c>
      <c r="AE460" s="1">
        <f t="shared" si="354"/>
        <v>0</v>
      </c>
      <c r="AF460" s="1">
        <f t="shared" si="355"/>
        <v>0</v>
      </c>
      <c r="AG460" s="1">
        <f t="shared" si="356"/>
        <v>0</v>
      </c>
      <c r="AH460" s="1">
        <f t="shared" si="357"/>
        <v>0</v>
      </c>
      <c r="AI460" s="1">
        <f t="shared" si="358"/>
        <v>1</v>
      </c>
    </row>
    <row r="461" spans="1:35" ht="14.25" customHeight="1" x14ac:dyDescent="0.3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969</v>
      </c>
      <c r="G461" s="32" t="s">
        <v>1096</v>
      </c>
      <c r="H461" s="32" t="s">
        <v>352</v>
      </c>
      <c r="I461" s="31" t="s">
        <v>1103</v>
      </c>
      <c r="J461" s="31">
        <v>99</v>
      </c>
      <c r="K461" s="33" t="s">
        <v>709</v>
      </c>
      <c r="L461" s="33" t="s">
        <v>709</v>
      </c>
      <c r="M461" s="34" t="s">
        <v>727</v>
      </c>
      <c r="N461" s="34" t="s">
        <v>1738</v>
      </c>
      <c r="O461" s="35">
        <v>1</v>
      </c>
      <c r="P461" s="35"/>
      <c r="Q461" s="32"/>
      <c r="S461" s="1">
        <f t="shared" si="325"/>
        <v>0</v>
      </c>
      <c r="T461" s="1">
        <f t="shared" si="326"/>
        <v>0</v>
      </c>
      <c r="U461" s="1">
        <f t="shared" si="327"/>
        <v>0</v>
      </c>
      <c r="V461" s="1">
        <f t="shared" si="328"/>
        <v>0</v>
      </c>
      <c r="W461" s="1">
        <f t="shared" si="329"/>
        <v>0</v>
      </c>
      <c r="X461" s="1">
        <f t="shared" si="330"/>
        <v>0</v>
      </c>
      <c r="Y461" s="1">
        <f t="shared" si="331"/>
        <v>0</v>
      </c>
      <c r="Z461" s="1">
        <f t="shared" si="332"/>
        <v>0</v>
      </c>
      <c r="AA461" s="1">
        <f t="shared" si="333"/>
        <v>0</v>
      </c>
      <c r="AB461" s="1">
        <f t="shared" si="334"/>
        <v>0</v>
      </c>
      <c r="AD461" s="1">
        <f t="shared" si="335"/>
        <v>0</v>
      </c>
      <c r="AE461" s="1">
        <f t="shared" si="336"/>
        <v>1</v>
      </c>
      <c r="AF461" s="1">
        <f t="shared" si="305"/>
        <v>0</v>
      </c>
      <c r="AG461" s="1">
        <f t="shared" si="306"/>
        <v>1</v>
      </c>
      <c r="AH461" s="1">
        <f t="shared" si="307"/>
        <v>0</v>
      </c>
      <c r="AI461" s="1">
        <f t="shared" si="308"/>
        <v>1</v>
      </c>
    </row>
    <row r="462" spans="1:35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244</v>
      </c>
      <c r="G462" s="32" t="s">
        <v>223</v>
      </c>
      <c r="H462" s="32" t="s">
        <v>352</v>
      </c>
      <c r="I462" s="31" t="s">
        <v>407</v>
      </c>
      <c r="J462" s="31">
        <v>99</v>
      </c>
      <c r="K462" s="33" t="s">
        <v>709</v>
      </c>
      <c r="L462" s="33" t="s">
        <v>709</v>
      </c>
      <c r="M462" s="34" t="s">
        <v>727</v>
      </c>
      <c r="N462" s="34" t="s">
        <v>1738</v>
      </c>
      <c r="O462" s="35">
        <v>1</v>
      </c>
      <c r="P462" s="35"/>
      <c r="Q462" s="32"/>
      <c r="S462" s="1">
        <f t="shared" si="325"/>
        <v>0</v>
      </c>
      <c r="T462" s="1">
        <f t="shared" si="326"/>
        <v>0</v>
      </c>
      <c r="U462" s="1">
        <f t="shared" si="327"/>
        <v>0</v>
      </c>
      <c r="V462" s="1">
        <f t="shared" si="328"/>
        <v>0</v>
      </c>
      <c r="W462" s="1">
        <f t="shared" si="329"/>
        <v>0</v>
      </c>
      <c r="X462" s="1">
        <f t="shared" si="330"/>
        <v>0</v>
      </c>
      <c r="Y462" s="1">
        <f t="shared" si="331"/>
        <v>0</v>
      </c>
      <c r="Z462" s="1">
        <f t="shared" si="332"/>
        <v>0</v>
      </c>
      <c r="AA462" s="1">
        <f t="shared" si="333"/>
        <v>0</v>
      </c>
      <c r="AB462" s="1">
        <f t="shared" si="334"/>
        <v>0</v>
      </c>
      <c r="AD462" s="1">
        <f t="shared" si="335"/>
        <v>0</v>
      </c>
      <c r="AE462" s="1">
        <f t="shared" si="336"/>
        <v>1</v>
      </c>
      <c r="AF462" s="1">
        <f t="shared" si="305"/>
        <v>0</v>
      </c>
      <c r="AG462" s="1">
        <f t="shared" si="306"/>
        <v>0</v>
      </c>
      <c r="AH462" s="1">
        <f t="shared" si="307"/>
        <v>0</v>
      </c>
      <c r="AI462" s="1">
        <f t="shared" si="308"/>
        <v>0</v>
      </c>
    </row>
    <row r="463" spans="1:35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245</v>
      </c>
      <c r="G463" s="32" t="s">
        <v>219</v>
      </c>
      <c r="H463" s="32" t="s">
        <v>352</v>
      </c>
      <c r="I463" s="31" t="s">
        <v>408</v>
      </c>
      <c r="J463" s="31">
        <v>8</v>
      </c>
      <c r="K463" s="33" t="s">
        <v>709</v>
      </c>
      <c r="L463" s="33" t="s">
        <v>709</v>
      </c>
      <c r="M463" s="34" t="s">
        <v>727</v>
      </c>
      <c r="N463" s="34" t="s">
        <v>1738</v>
      </c>
      <c r="O463" s="35">
        <v>1</v>
      </c>
      <c r="P463" s="35"/>
      <c r="Q463" s="32" t="s">
        <v>2011</v>
      </c>
      <c r="S463" s="1">
        <f t="shared" si="325"/>
        <v>0</v>
      </c>
      <c r="T463" s="1">
        <f t="shared" si="326"/>
        <v>0</v>
      </c>
      <c r="U463" s="1">
        <f t="shared" si="327"/>
        <v>0</v>
      </c>
      <c r="V463" s="1">
        <f t="shared" si="328"/>
        <v>0</v>
      </c>
      <c r="W463" s="1">
        <f t="shared" si="329"/>
        <v>0</v>
      </c>
      <c r="X463" s="1">
        <f t="shared" si="330"/>
        <v>0</v>
      </c>
      <c r="Y463" s="1">
        <f t="shared" si="331"/>
        <v>0</v>
      </c>
      <c r="Z463" s="1">
        <f t="shared" si="332"/>
        <v>1</v>
      </c>
      <c r="AA463" s="1">
        <f t="shared" si="333"/>
        <v>0</v>
      </c>
      <c r="AB463" s="1">
        <f t="shared" si="334"/>
        <v>0</v>
      </c>
      <c r="AD463" s="1">
        <f t="shared" si="335"/>
        <v>0</v>
      </c>
      <c r="AE463" s="1">
        <f t="shared" si="336"/>
        <v>1</v>
      </c>
      <c r="AF463" s="1">
        <f t="shared" si="305"/>
        <v>0</v>
      </c>
      <c r="AG463" s="1">
        <f t="shared" si="306"/>
        <v>0</v>
      </c>
      <c r="AH463" s="1">
        <f t="shared" si="307"/>
        <v>0</v>
      </c>
      <c r="AI463" s="1">
        <f t="shared" si="308"/>
        <v>0</v>
      </c>
    </row>
    <row r="464" spans="1:35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1029</v>
      </c>
      <c r="G464" s="32" t="s">
        <v>39</v>
      </c>
      <c r="H464" s="32" t="s">
        <v>352</v>
      </c>
      <c r="I464" s="31" t="s">
        <v>1030</v>
      </c>
      <c r="J464" s="31">
        <v>1</v>
      </c>
      <c r="K464" s="33" t="s">
        <v>709</v>
      </c>
      <c r="L464" s="33" t="s">
        <v>709</v>
      </c>
      <c r="M464" s="34" t="s">
        <v>727</v>
      </c>
      <c r="N464" s="34" t="s">
        <v>1738</v>
      </c>
      <c r="O464" s="35">
        <v>1</v>
      </c>
      <c r="P464" s="35"/>
      <c r="Q464" s="32"/>
      <c r="S464" s="1">
        <f t="shared" si="325"/>
        <v>1</v>
      </c>
      <c r="T464" s="1">
        <f t="shared" si="326"/>
        <v>0</v>
      </c>
      <c r="U464" s="1">
        <f t="shared" si="327"/>
        <v>0</v>
      </c>
      <c r="V464" s="1">
        <f t="shared" si="328"/>
        <v>0</v>
      </c>
      <c r="W464" s="1">
        <f t="shared" si="329"/>
        <v>0</v>
      </c>
      <c r="X464" s="1">
        <f t="shared" si="330"/>
        <v>0</v>
      </c>
      <c r="Y464" s="1">
        <f t="shared" si="331"/>
        <v>0</v>
      </c>
      <c r="Z464" s="1">
        <f t="shared" si="332"/>
        <v>0</v>
      </c>
      <c r="AA464" s="1">
        <f t="shared" si="333"/>
        <v>0</v>
      </c>
      <c r="AB464" s="1">
        <f t="shared" si="334"/>
        <v>0</v>
      </c>
      <c r="AD464" s="1">
        <f t="shared" si="335"/>
        <v>0</v>
      </c>
      <c r="AE464" s="1">
        <f t="shared" si="336"/>
        <v>1</v>
      </c>
      <c r="AF464" s="1">
        <f t="shared" si="305"/>
        <v>0</v>
      </c>
      <c r="AG464" s="1">
        <f t="shared" si="306"/>
        <v>0</v>
      </c>
      <c r="AH464" s="1">
        <f t="shared" si="307"/>
        <v>0</v>
      </c>
      <c r="AI464" s="1">
        <f t="shared" si="308"/>
        <v>0</v>
      </c>
    </row>
    <row r="465" spans="1:35" ht="14.25" customHeight="1" x14ac:dyDescent="0.3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1031</v>
      </c>
      <c r="G465" s="32" t="s">
        <v>300</v>
      </c>
      <c r="H465" s="32" t="s">
        <v>352</v>
      </c>
      <c r="I465" s="31" t="s">
        <v>1032</v>
      </c>
      <c r="J465" s="31">
        <v>1</v>
      </c>
      <c r="K465" s="33" t="s">
        <v>709</v>
      </c>
      <c r="L465" s="33" t="s">
        <v>709</v>
      </c>
      <c r="M465" s="34" t="s">
        <v>727</v>
      </c>
      <c r="N465" s="34" t="s">
        <v>1738</v>
      </c>
      <c r="O465" s="35">
        <v>1</v>
      </c>
      <c r="P465" s="35"/>
      <c r="Q465" s="32"/>
      <c r="S465" s="1">
        <f t="shared" si="325"/>
        <v>1</v>
      </c>
      <c r="T465" s="1">
        <f t="shared" si="326"/>
        <v>0</v>
      </c>
      <c r="U465" s="1">
        <f t="shared" si="327"/>
        <v>0</v>
      </c>
      <c r="V465" s="1">
        <f t="shared" si="328"/>
        <v>0</v>
      </c>
      <c r="W465" s="1">
        <f t="shared" si="329"/>
        <v>0</v>
      </c>
      <c r="X465" s="1">
        <f t="shared" si="330"/>
        <v>0</v>
      </c>
      <c r="Y465" s="1">
        <f t="shared" si="331"/>
        <v>0</v>
      </c>
      <c r="Z465" s="1">
        <f t="shared" si="332"/>
        <v>0</v>
      </c>
      <c r="AA465" s="1">
        <f t="shared" si="333"/>
        <v>0</v>
      </c>
      <c r="AB465" s="1">
        <f t="shared" si="334"/>
        <v>0</v>
      </c>
      <c r="AD465" s="1">
        <f t="shared" ref="AD465:AD466" si="359">+O465*P465</f>
        <v>0</v>
      </c>
      <c r="AE465" s="1">
        <f t="shared" ref="AE465:AE466" si="360">O465*(1-P465)</f>
        <v>1</v>
      </c>
      <c r="AF465" s="1">
        <f t="shared" si="305"/>
        <v>0</v>
      </c>
      <c r="AG465" s="1">
        <f t="shared" si="306"/>
        <v>0</v>
      </c>
      <c r="AH465" s="1">
        <f t="shared" si="307"/>
        <v>0</v>
      </c>
      <c r="AI465" s="1">
        <f t="shared" si="308"/>
        <v>0</v>
      </c>
    </row>
    <row r="466" spans="1:35" ht="14.25" customHeight="1" x14ac:dyDescent="0.3">
      <c r="A466" s="31">
        <v>0</v>
      </c>
      <c r="B466" s="31">
        <v>2</v>
      </c>
      <c r="C466" s="31">
        <v>7</v>
      </c>
      <c r="D466" s="32" t="s">
        <v>1568</v>
      </c>
      <c r="E466" s="32" t="s">
        <v>155</v>
      </c>
      <c r="F466" s="32" t="s">
        <v>1569</v>
      </c>
      <c r="G466" s="32" t="s">
        <v>206</v>
      </c>
      <c r="H466" s="32" t="s">
        <v>352</v>
      </c>
      <c r="I466" s="31" t="s">
        <v>1570</v>
      </c>
      <c r="J466" s="31">
        <v>99</v>
      </c>
      <c r="K466" s="33" t="s">
        <v>708</v>
      </c>
      <c r="L466" s="33" t="s">
        <v>718</v>
      </c>
      <c r="M466" s="34" t="s">
        <v>728</v>
      </c>
      <c r="N466" s="34" t="s">
        <v>1941</v>
      </c>
      <c r="O466" s="35">
        <v>1</v>
      </c>
      <c r="P466" s="35"/>
      <c r="Q466" s="32"/>
      <c r="S466" s="1">
        <f t="shared" si="325"/>
        <v>0</v>
      </c>
      <c r="T466" s="1">
        <f t="shared" si="326"/>
        <v>0</v>
      </c>
      <c r="U466" s="1">
        <f t="shared" si="327"/>
        <v>0</v>
      </c>
      <c r="V466" s="1">
        <f t="shared" si="328"/>
        <v>0</v>
      </c>
      <c r="W466" s="1">
        <f t="shared" si="329"/>
        <v>0</v>
      </c>
      <c r="X466" s="1">
        <f t="shared" si="330"/>
        <v>0</v>
      </c>
      <c r="Y466" s="1">
        <f t="shared" si="331"/>
        <v>0</v>
      </c>
      <c r="Z466" s="1">
        <f t="shared" si="332"/>
        <v>0</v>
      </c>
      <c r="AA466" s="1">
        <f t="shared" si="333"/>
        <v>0</v>
      </c>
      <c r="AB466" s="1">
        <f t="shared" si="334"/>
        <v>0</v>
      </c>
      <c r="AD466" s="1">
        <f t="shared" si="359"/>
        <v>0</v>
      </c>
      <c r="AE466" s="1">
        <f t="shared" si="360"/>
        <v>1</v>
      </c>
      <c r="AF466" s="1">
        <f t="shared" si="305"/>
        <v>0</v>
      </c>
      <c r="AG466" s="1">
        <f t="shared" si="306"/>
        <v>1</v>
      </c>
      <c r="AH466" s="1">
        <f t="shared" si="307"/>
        <v>0</v>
      </c>
      <c r="AI466" s="1">
        <f t="shared" si="308"/>
        <v>1</v>
      </c>
    </row>
    <row r="467" spans="1:35" ht="14.25" customHeight="1" x14ac:dyDescent="0.3">
      <c r="A467" s="44">
        <v>0</v>
      </c>
      <c r="B467" s="44">
        <v>2</v>
      </c>
      <c r="C467" s="44">
        <v>7</v>
      </c>
      <c r="D467" s="45" t="s">
        <v>1127</v>
      </c>
      <c r="E467" s="45" t="s">
        <v>28</v>
      </c>
      <c r="F467" s="45" t="s">
        <v>1128</v>
      </c>
      <c r="G467" s="45" t="s">
        <v>219</v>
      </c>
      <c r="H467" s="45" t="s">
        <v>352</v>
      </c>
      <c r="I467" s="44" t="s">
        <v>1129</v>
      </c>
      <c r="J467" s="44">
        <v>8</v>
      </c>
      <c r="K467" s="46" t="s">
        <v>950</v>
      </c>
      <c r="L467" s="46" t="s">
        <v>709</v>
      </c>
      <c r="M467" s="47" t="s">
        <v>727</v>
      </c>
      <c r="N467" s="47" t="s">
        <v>1797</v>
      </c>
      <c r="O467" s="48"/>
      <c r="P467" s="48"/>
      <c r="Q467" s="45"/>
      <c r="S467" s="1">
        <f t="shared" si="325"/>
        <v>0</v>
      </c>
      <c r="T467" s="1">
        <f t="shared" si="326"/>
        <v>0</v>
      </c>
      <c r="U467" s="1">
        <f t="shared" si="327"/>
        <v>0</v>
      </c>
      <c r="V467" s="1">
        <f t="shared" si="328"/>
        <v>0</v>
      </c>
      <c r="W467" s="1">
        <f t="shared" si="329"/>
        <v>0</v>
      </c>
      <c r="X467" s="1">
        <f t="shared" si="330"/>
        <v>0</v>
      </c>
      <c r="Y467" s="1">
        <f t="shared" si="331"/>
        <v>0</v>
      </c>
      <c r="Z467" s="1">
        <f t="shared" si="332"/>
        <v>1</v>
      </c>
      <c r="AA467" s="1">
        <f t="shared" si="333"/>
        <v>0</v>
      </c>
      <c r="AB467" s="1">
        <f t="shared" si="334"/>
        <v>0</v>
      </c>
      <c r="AD467" s="1">
        <f t="shared" si="335"/>
        <v>0</v>
      </c>
      <c r="AE467" s="1">
        <f t="shared" si="336"/>
        <v>0</v>
      </c>
      <c r="AF467" s="1">
        <f t="shared" si="305"/>
        <v>0</v>
      </c>
      <c r="AG467" s="1">
        <f t="shared" si="306"/>
        <v>0</v>
      </c>
      <c r="AH467" s="1">
        <f t="shared" si="307"/>
        <v>0</v>
      </c>
      <c r="AI467" s="1">
        <f t="shared" si="308"/>
        <v>1</v>
      </c>
    </row>
    <row r="468" spans="1:35" ht="14.25" customHeight="1" x14ac:dyDescent="0.3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263</v>
      </c>
      <c r="G468" s="45" t="s">
        <v>193</v>
      </c>
      <c r="H468" s="45" t="s">
        <v>352</v>
      </c>
      <c r="I468" s="44" t="s">
        <v>419</v>
      </c>
      <c r="J468" s="44">
        <v>9</v>
      </c>
      <c r="K468" s="46" t="s">
        <v>708</v>
      </c>
      <c r="L468" s="46" t="s">
        <v>709</v>
      </c>
      <c r="M468" s="47" t="s">
        <v>727</v>
      </c>
      <c r="N468" s="47" t="s">
        <v>1730</v>
      </c>
      <c r="O468" s="48"/>
      <c r="P468" s="48"/>
      <c r="Q468" s="45"/>
      <c r="S468" s="1">
        <f t="shared" si="325"/>
        <v>0</v>
      </c>
      <c r="T468" s="1">
        <f t="shared" si="326"/>
        <v>0</v>
      </c>
      <c r="U468" s="1">
        <f t="shared" si="327"/>
        <v>0</v>
      </c>
      <c r="V468" s="1">
        <f t="shared" si="328"/>
        <v>0</v>
      </c>
      <c r="W468" s="1">
        <f t="shared" si="329"/>
        <v>0</v>
      </c>
      <c r="X468" s="1">
        <f t="shared" si="330"/>
        <v>0</v>
      </c>
      <c r="Y468" s="1">
        <f t="shared" si="331"/>
        <v>0</v>
      </c>
      <c r="Z468" s="1">
        <f t="shared" si="332"/>
        <v>0</v>
      </c>
      <c r="AA468" s="1">
        <f t="shared" si="333"/>
        <v>1</v>
      </c>
      <c r="AB468" s="1">
        <f t="shared" si="334"/>
        <v>0</v>
      </c>
      <c r="AD468" s="1">
        <f t="shared" si="335"/>
        <v>0</v>
      </c>
      <c r="AE468" s="1">
        <f t="shared" si="336"/>
        <v>0</v>
      </c>
      <c r="AF468" s="1">
        <f t="shared" si="305"/>
        <v>0</v>
      </c>
      <c r="AG468" s="1">
        <f t="shared" si="306"/>
        <v>0</v>
      </c>
      <c r="AH468" s="1">
        <f t="shared" si="307"/>
        <v>0</v>
      </c>
      <c r="AI468" s="1">
        <f t="shared" si="308"/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59</v>
      </c>
      <c r="E469" s="32" t="s">
        <v>162</v>
      </c>
      <c r="F469" s="32" t="s">
        <v>224</v>
      </c>
      <c r="G469" s="32" t="s">
        <v>225</v>
      </c>
      <c r="H469" s="32" t="s">
        <v>352</v>
      </c>
      <c r="I469" s="31" t="s">
        <v>396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1745</v>
      </c>
      <c r="O469" s="35">
        <v>1</v>
      </c>
      <c r="P469" s="35"/>
      <c r="Q469" s="32"/>
      <c r="S469" s="1">
        <f t="shared" si="325"/>
        <v>0</v>
      </c>
      <c r="T469" s="1">
        <f t="shared" si="326"/>
        <v>0</v>
      </c>
      <c r="U469" s="1">
        <f t="shared" si="327"/>
        <v>0</v>
      </c>
      <c r="V469" s="1">
        <f t="shared" si="328"/>
        <v>0</v>
      </c>
      <c r="W469" s="1">
        <f t="shared" si="329"/>
        <v>0</v>
      </c>
      <c r="X469" s="1">
        <f t="shared" si="330"/>
        <v>0</v>
      </c>
      <c r="Y469" s="1">
        <f t="shared" si="331"/>
        <v>0</v>
      </c>
      <c r="Z469" s="1">
        <f t="shared" si="332"/>
        <v>0</v>
      </c>
      <c r="AA469" s="1">
        <f t="shared" si="333"/>
        <v>0</v>
      </c>
      <c r="AB469" s="1">
        <f t="shared" si="334"/>
        <v>0</v>
      </c>
      <c r="AD469" s="1">
        <f t="shared" si="335"/>
        <v>0</v>
      </c>
      <c r="AE469" s="1">
        <f t="shared" si="336"/>
        <v>1</v>
      </c>
      <c r="AF469" s="1">
        <f t="shared" si="305"/>
        <v>0</v>
      </c>
      <c r="AG469" s="1">
        <f t="shared" si="306"/>
        <v>1</v>
      </c>
      <c r="AH469" s="1">
        <f t="shared" si="307"/>
        <v>0</v>
      </c>
      <c r="AI469" s="1">
        <f t="shared" si="308"/>
        <v>1</v>
      </c>
    </row>
    <row r="470" spans="1:35" ht="14.25" customHeight="1" x14ac:dyDescent="0.3">
      <c r="A470" s="31">
        <v>0</v>
      </c>
      <c r="B470" s="31">
        <v>2</v>
      </c>
      <c r="C470" s="31">
        <v>7</v>
      </c>
      <c r="D470" s="32" t="s">
        <v>1070</v>
      </c>
      <c r="E470" s="32" t="s">
        <v>155</v>
      </c>
      <c r="F470" s="32" t="s">
        <v>1071</v>
      </c>
      <c r="G470" s="32" t="s">
        <v>219</v>
      </c>
      <c r="H470" s="32" t="s">
        <v>352</v>
      </c>
      <c r="I470" s="31" t="s">
        <v>1072</v>
      </c>
      <c r="J470" s="31">
        <v>8</v>
      </c>
      <c r="K470" s="33" t="s">
        <v>708</v>
      </c>
      <c r="L470" s="33" t="s">
        <v>718</v>
      </c>
      <c r="M470" s="34" t="s">
        <v>728</v>
      </c>
      <c r="N470" s="34" t="s">
        <v>1743</v>
      </c>
      <c r="O470" s="35">
        <v>1</v>
      </c>
      <c r="P470" s="35"/>
      <c r="Q470" s="32"/>
      <c r="S470" s="1">
        <f t="shared" si="325"/>
        <v>0</v>
      </c>
      <c r="T470" s="1">
        <f t="shared" si="326"/>
        <v>0</v>
      </c>
      <c r="U470" s="1">
        <f t="shared" si="327"/>
        <v>0</v>
      </c>
      <c r="V470" s="1">
        <f t="shared" si="328"/>
        <v>0</v>
      </c>
      <c r="W470" s="1">
        <f t="shared" si="329"/>
        <v>0</v>
      </c>
      <c r="X470" s="1">
        <f t="shared" si="330"/>
        <v>0</v>
      </c>
      <c r="Y470" s="1">
        <f t="shared" si="331"/>
        <v>0</v>
      </c>
      <c r="Z470" s="1">
        <f t="shared" si="332"/>
        <v>1</v>
      </c>
      <c r="AA470" s="1">
        <f t="shared" si="333"/>
        <v>0</v>
      </c>
      <c r="AB470" s="1">
        <f t="shared" si="334"/>
        <v>0</v>
      </c>
      <c r="AD470" s="1">
        <f t="shared" si="335"/>
        <v>0</v>
      </c>
      <c r="AE470" s="1">
        <f t="shared" si="336"/>
        <v>1</v>
      </c>
      <c r="AF470" s="1">
        <f t="shared" si="305"/>
        <v>0</v>
      </c>
      <c r="AG470" s="1">
        <f t="shared" si="306"/>
        <v>1</v>
      </c>
      <c r="AH470" s="1">
        <f t="shared" si="307"/>
        <v>0</v>
      </c>
      <c r="AI470" s="1">
        <f t="shared" si="308"/>
        <v>1</v>
      </c>
    </row>
    <row r="471" spans="1:35" ht="14.25" customHeight="1" x14ac:dyDescent="0.3">
      <c r="A471" s="31">
        <v>0</v>
      </c>
      <c r="B471" s="31">
        <v>2</v>
      </c>
      <c r="C471" s="31">
        <v>7</v>
      </c>
      <c r="D471" s="32" t="s">
        <v>81</v>
      </c>
      <c r="E471" s="32" t="s">
        <v>155</v>
      </c>
      <c r="F471" s="32" t="s">
        <v>272</v>
      </c>
      <c r="G471" s="32" t="s">
        <v>253</v>
      </c>
      <c r="H471" s="32" t="s">
        <v>352</v>
      </c>
      <c r="I471" s="31" t="s">
        <v>426</v>
      </c>
      <c r="J471" s="31">
        <v>99</v>
      </c>
      <c r="K471" s="33" t="s">
        <v>709</v>
      </c>
      <c r="L471" s="33" t="s">
        <v>729</v>
      </c>
      <c r="M471" s="34" t="s">
        <v>730</v>
      </c>
      <c r="N471" s="34" t="s">
        <v>1751</v>
      </c>
      <c r="O471" s="35">
        <v>1</v>
      </c>
      <c r="P471" s="35"/>
      <c r="Q471" s="32"/>
      <c r="S471" s="1">
        <f t="shared" si="325"/>
        <v>0</v>
      </c>
      <c r="T471" s="1">
        <f t="shared" si="326"/>
        <v>0</v>
      </c>
      <c r="U471" s="1">
        <f t="shared" si="327"/>
        <v>0</v>
      </c>
      <c r="V471" s="1">
        <f t="shared" si="328"/>
        <v>0</v>
      </c>
      <c r="W471" s="1">
        <f t="shared" si="329"/>
        <v>0</v>
      </c>
      <c r="X471" s="1">
        <f t="shared" si="330"/>
        <v>0</v>
      </c>
      <c r="Y471" s="1">
        <f t="shared" si="331"/>
        <v>0</v>
      </c>
      <c r="Z471" s="1">
        <f t="shared" si="332"/>
        <v>0</v>
      </c>
      <c r="AA471" s="1">
        <f t="shared" si="333"/>
        <v>0</v>
      </c>
      <c r="AB471" s="1">
        <f t="shared" si="334"/>
        <v>0</v>
      </c>
      <c r="AD471" s="1">
        <f t="shared" si="335"/>
        <v>0</v>
      </c>
      <c r="AE471" s="1">
        <f t="shared" si="336"/>
        <v>1</v>
      </c>
      <c r="AF471" s="1">
        <f t="shared" si="305"/>
        <v>0</v>
      </c>
      <c r="AG471" s="1">
        <f t="shared" si="306"/>
        <v>1</v>
      </c>
      <c r="AH471" s="1">
        <f t="shared" si="307"/>
        <v>0</v>
      </c>
      <c r="AI471" s="1">
        <f t="shared" si="308"/>
        <v>1</v>
      </c>
    </row>
    <row r="472" spans="1:35" ht="14.25" customHeight="1" x14ac:dyDescent="0.3">
      <c r="A472" s="37">
        <v>0</v>
      </c>
      <c r="B472" s="37">
        <v>2</v>
      </c>
      <c r="C472" s="37">
        <v>7</v>
      </c>
      <c r="D472" s="36" t="s">
        <v>1770</v>
      </c>
      <c r="E472" s="36" t="s">
        <v>1771</v>
      </c>
      <c r="F472" s="36" t="s">
        <v>1772</v>
      </c>
      <c r="G472" s="36" t="s">
        <v>189</v>
      </c>
      <c r="H472" s="36" t="s">
        <v>352</v>
      </c>
      <c r="I472" s="37"/>
      <c r="J472" s="37"/>
      <c r="K472" s="33" t="s">
        <v>699</v>
      </c>
      <c r="L472" s="33"/>
      <c r="M472" s="34"/>
      <c r="N472" s="34" t="s">
        <v>1722</v>
      </c>
      <c r="O472" s="35">
        <v>1</v>
      </c>
      <c r="P472" s="35">
        <v>1</v>
      </c>
      <c r="Q472" s="36"/>
      <c r="S472" s="1">
        <f t="shared" si="325"/>
        <v>0</v>
      </c>
      <c r="T472" s="1">
        <f t="shared" si="326"/>
        <v>0</v>
      </c>
      <c r="U472" s="1">
        <f t="shared" si="327"/>
        <v>0</v>
      </c>
      <c r="V472" s="1">
        <f t="shared" si="328"/>
        <v>0</v>
      </c>
      <c r="W472" s="1">
        <f t="shared" si="329"/>
        <v>0</v>
      </c>
      <c r="X472" s="1">
        <f t="shared" si="330"/>
        <v>0</v>
      </c>
      <c r="Y472" s="1">
        <f t="shared" si="331"/>
        <v>0</v>
      </c>
      <c r="Z472" s="1">
        <f t="shared" si="332"/>
        <v>0</v>
      </c>
      <c r="AA472" s="1">
        <f t="shared" si="333"/>
        <v>0</v>
      </c>
      <c r="AB472" s="1">
        <f t="shared" si="334"/>
        <v>0</v>
      </c>
      <c r="AD472" s="1">
        <f t="shared" si="335"/>
        <v>1</v>
      </c>
      <c r="AE472" s="1">
        <f t="shared" si="336"/>
        <v>0</v>
      </c>
      <c r="AF472" s="1">
        <f t="shared" si="305"/>
        <v>1</v>
      </c>
      <c r="AG472" s="1">
        <f t="shared" si="306"/>
        <v>0</v>
      </c>
      <c r="AH472" s="1">
        <f t="shared" si="307"/>
        <v>1</v>
      </c>
      <c r="AI472" s="1">
        <f t="shared" si="308"/>
        <v>0</v>
      </c>
    </row>
    <row r="473" spans="1:35" ht="14.25" customHeight="1" x14ac:dyDescent="0.3">
      <c r="A473" s="44">
        <v>0</v>
      </c>
      <c r="B473" s="44">
        <v>2</v>
      </c>
      <c r="C473" s="44">
        <v>7</v>
      </c>
      <c r="D473" s="45" t="s">
        <v>510</v>
      </c>
      <c r="E473" s="45" t="s">
        <v>155</v>
      </c>
      <c r="F473" s="45" t="s">
        <v>570</v>
      </c>
      <c r="G473" s="45" t="s">
        <v>319</v>
      </c>
      <c r="H473" s="45" t="s">
        <v>352</v>
      </c>
      <c r="I473" s="44" t="s">
        <v>577</v>
      </c>
      <c r="J473" s="44">
        <v>99</v>
      </c>
      <c r="K473" s="46" t="s">
        <v>949</v>
      </c>
      <c r="L473" s="46" t="s">
        <v>718</v>
      </c>
      <c r="M473" s="47" t="s">
        <v>728</v>
      </c>
      <c r="N473" s="47" t="s">
        <v>1733</v>
      </c>
      <c r="O473" s="48"/>
      <c r="P473" s="48"/>
      <c r="Q473" s="45"/>
      <c r="S473" s="1">
        <f t="shared" si="325"/>
        <v>0</v>
      </c>
      <c r="T473" s="1">
        <f t="shared" si="326"/>
        <v>0</v>
      </c>
      <c r="U473" s="1">
        <f t="shared" si="327"/>
        <v>0</v>
      </c>
      <c r="V473" s="1">
        <f t="shared" si="328"/>
        <v>0</v>
      </c>
      <c r="W473" s="1">
        <f t="shared" si="329"/>
        <v>0</v>
      </c>
      <c r="X473" s="1">
        <f t="shared" si="330"/>
        <v>0</v>
      </c>
      <c r="Y473" s="1">
        <f t="shared" si="331"/>
        <v>0</v>
      </c>
      <c r="Z473" s="1">
        <f t="shared" si="332"/>
        <v>0</v>
      </c>
      <c r="AA473" s="1">
        <f t="shared" si="333"/>
        <v>0</v>
      </c>
      <c r="AB473" s="1">
        <f t="shared" si="334"/>
        <v>0</v>
      </c>
      <c r="AD473" s="1">
        <f t="shared" si="335"/>
        <v>0</v>
      </c>
      <c r="AE473" s="1">
        <f t="shared" si="336"/>
        <v>0</v>
      </c>
      <c r="AF473" s="1">
        <f t="shared" si="305"/>
        <v>0</v>
      </c>
      <c r="AG473" s="1">
        <f t="shared" si="306"/>
        <v>0</v>
      </c>
      <c r="AH473" s="1">
        <f t="shared" si="307"/>
        <v>0</v>
      </c>
      <c r="AI473" s="1">
        <f t="shared" si="308"/>
        <v>1</v>
      </c>
    </row>
    <row r="474" spans="1:35" ht="14.25" customHeight="1" x14ac:dyDescent="0.3">
      <c r="A474" s="44">
        <v>0</v>
      </c>
      <c r="B474" s="44">
        <v>2</v>
      </c>
      <c r="C474" s="44">
        <v>7</v>
      </c>
      <c r="D474" s="45" t="s">
        <v>74</v>
      </c>
      <c r="E474" s="45" t="s">
        <v>155</v>
      </c>
      <c r="F474" s="45" t="s">
        <v>671</v>
      </c>
      <c r="G474" s="45" t="s">
        <v>264</v>
      </c>
      <c r="H474" s="45" t="s">
        <v>352</v>
      </c>
      <c r="I474" s="44" t="s">
        <v>420</v>
      </c>
      <c r="J474" s="44">
        <v>99</v>
      </c>
      <c r="K474" s="46" t="s">
        <v>708</v>
      </c>
      <c r="L474" s="46" t="s">
        <v>725</v>
      </c>
      <c r="M474" s="47" t="s">
        <v>728</v>
      </c>
      <c r="N474" s="47" t="s">
        <v>1730</v>
      </c>
      <c r="O474" s="48"/>
      <c r="P474" s="48"/>
      <c r="Q474" s="45"/>
      <c r="S474" s="1">
        <f t="shared" ref="S474:S479" si="361">IF(J474=$S$7,1,0)</f>
        <v>0</v>
      </c>
      <c r="T474" s="1">
        <f t="shared" ref="T474:T479" si="362">IF(J474=$T$7,1,0)</f>
        <v>0</v>
      </c>
      <c r="U474" s="1">
        <f t="shared" ref="U474:U479" si="363">IF(J474=$U$7,1,0)</f>
        <v>0</v>
      </c>
      <c r="V474" s="1">
        <f t="shared" ref="V474:V479" si="364">IF(J474=$V$7,1,0)</f>
        <v>0</v>
      </c>
      <c r="W474" s="1">
        <f t="shared" ref="W474:W479" si="365">IF(J474=$W$7,1,0)</f>
        <v>0</v>
      </c>
      <c r="X474" s="1">
        <f t="shared" ref="X474:X479" si="366">IF(J474=$X$7,1,0)</f>
        <v>0</v>
      </c>
      <c r="Y474" s="1">
        <f t="shared" ref="Y474:Y479" si="367">IF(J474=$Y$7,1,0)</f>
        <v>0</v>
      </c>
      <c r="Z474" s="1">
        <f t="shared" ref="Z474:Z479" si="368">IF(J474=$Z$7,1,0)</f>
        <v>0</v>
      </c>
      <c r="AA474" s="1">
        <f t="shared" ref="AA474:AA479" si="369">IF(J474=$AA$7,1,0)</f>
        <v>0</v>
      </c>
      <c r="AB474" s="1">
        <f t="shared" ref="AB474:AB479" si="370">IF(J474=$AB$7,1,0)</f>
        <v>0</v>
      </c>
      <c r="AD474" s="1">
        <f t="shared" ref="AD474:AD479" si="371">+O474*P474</f>
        <v>0</v>
      </c>
      <c r="AE474" s="1">
        <f t="shared" ref="AE474:AE479" si="372">O474*(1-P474)</f>
        <v>0</v>
      </c>
      <c r="AF474" s="1">
        <f t="shared" ref="AF474:AF479" si="373">+O474*P474*(1-A474)</f>
        <v>0</v>
      </c>
      <c r="AG474" s="1">
        <f t="shared" ref="AG474:AG479" si="374">O474*(1-P474)*(1-A474)</f>
        <v>0</v>
      </c>
      <c r="AH474" s="1">
        <f t="shared" ref="AH474:AH479" si="375">+P474*(1-A474)</f>
        <v>0</v>
      </c>
      <c r="AI474" s="1">
        <f t="shared" ref="AI474:AI479" si="376">+(1-A474)*(1-P474)</f>
        <v>1</v>
      </c>
    </row>
    <row r="475" spans="1:35" ht="14.25" customHeight="1" x14ac:dyDescent="0.3">
      <c r="A475" s="31">
        <v>0</v>
      </c>
      <c r="B475" s="31">
        <v>2</v>
      </c>
      <c r="C475" s="31">
        <v>7</v>
      </c>
      <c r="D475" s="32" t="s">
        <v>2001</v>
      </c>
      <c r="E475" s="32" t="s">
        <v>155</v>
      </c>
      <c r="F475" s="32" t="s">
        <v>2002</v>
      </c>
      <c r="G475" s="32" t="s">
        <v>281</v>
      </c>
      <c r="H475" s="32" t="s">
        <v>352</v>
      </c>
      <c r="I475" s="31" t="s">
        <v>2003</v>
      </c>
      <c r="J475" s="31">
        <v>99</v>
      </c>
      <c r="K475" s="33" t="s">
        <v>699</v>
      </c>
      <c r="L475" s="33" t="s">
        <v>718</v>
      </c>
      <c r="M475" s="34" t="s">
        <v>728</v>
      </c>
      <c r="N475" s="34" t="s">
        <v>1722</v>
      </c>
      <c r="O475" s="35">
        <v>1</v>
      </c>
      <c r="P475" s="35">
        <v>1</v>
      </c>
      <c r="Q475" s="32"/>
      <c r="S475" s="1">
        <f t="shared" si="361"/>
        <v>0</v>
      </c>
      <c r="T475" s="1">
        <f t="shared" si="362"/>
        <v>0</v>
      </c>
      <c r="U475" s="1">
        <f t="shared" si="363"/>
        <v>0</v>
      </c>
      <c r="V475" s="1">
        <f t="shared" si="364"/>
        <v>0</v>
      </c>
      <c r="W475" s="1">
        <f t="shared" si="365"/>
        <v>0</v>
      </c>
      <c r="X475" s="1">
        <f t="shared" si="366"/>
        <v>0</v>
      </c>
      <c r="Y475" s="1">
        <f t="shared" si="367"/>
        <v>0</v>
      </c>
      <c r="Z475" s="1">
        <f t="shared" si="368"/>
        <v>0</v>
      </c>
      <c r="AA475" s="1">
        <f t="shared" si="369"/>
        <v>0</v>
      </c>
      <c r="AB475" s="1">
        <f t="shared" si="370"/>
        <v>0</v>
      </c>
      <c r="AD475" s="1">
        <f t="shared" si="371"/>
        <v>1</v>
      </c>
      <c r="AE475" s="1">
        <f t="shared" si="372"/>
        <v>0</v>
      </c>
      <c r="AF475" s="1">
        <f t="shared" si="373"/>
        <v>1</v>
      </c>
      <c r="AG475" s="1">
        <f t="shared" si="374"/>
        <v>0</v>
      </c>
      <c r="AH475" s="1">
        <f t="shared" si="375"/>
        <v>1</v>
      </c>
      <c r="AI475" s="1">
        <f t="shared" si="376"/>
        <v>0</v>
      </c>
    </row>
    <row r="476" spans="1:35" ht="14.25" customHeight="1" x14ac:dyDescent="0.3">
      <c r="A476" s="31">
        <v>1</v>
      </c>
      <c r="B476" s="31">
        <v>2</v>
      </c>
      <c r="C476" s="31">
        <v>7</v>
      </c>
      <c r="D476" s="32" t="s">
        <v>2001</v>
      </c>
      <c r="E476" s="32" t="s">
        <v>155</v>
      </c>
      <c r="F476" s="32" t="s">
        <v>2004</v>
      </c>
      <c r="G476" s="32" t="s">
        <v>2005</v>
      </c>
      <c r="H476" s="32" t="s">
        <v>352</v>
      </c>
      <c r="I476" s="31" t="s">
        <v>2006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1722</v>
      </c>
      <c r="O476" s="35">
        <v>1</v>
      </c>
      <c r="P476" s="35">
        <v>1</v>
      </c>
      <c r="Q476" s="32"/>
      <c r="S476" s="1">
        <f t="shared" si="361"/>
        <v>0</v>
      </c>
      <c r="T476" s="1">
        <f t="shared" si="362"/>
        <v>0</v>
      </c>
      <c r="U476" s="1">
        <f t="shared" si="363"/>
        <v>0</v>
      </c>
      <c r="V476" s="1">
        <f t="shared" si="364"/>
        <v>0</v>
      </c>
      <c r="W476" s="1">
        <f t="shared" si="365"/>
        <v>0</v>
      </c>
      <c r="X476" s="1">
        <f t="shared" si="366"/>
        <v>0</v>
      </c>
      <c r="Y476" s="1">
        <f t="shared" si="367"/>
        <v>0</v>
      </c>
      <c r="Z476" s="1">
        <f t="shared" si="368"/>
        <v>0</v>
      </c>
      <c r="AA476" s="1">
        <f t="shared" si="369"/>
        <v>0</v>
      </c>
      <c r="AB476" s="1">
        <f t="shared" si="370"/>
        <v>0</v>
      </c>
      <c r="AD476" s="1">
        <f t="shared" si="371"/>
        <v>1</v>
      </c>
      <c r="AE476" s="1">
        <f t="shared" si="372"/>
        <v>0</v>
      </c>
      <c r="AF476" s="1">
        <f t="shared" si="373"/>
        <v>0</v>
      </c>
      <c r="AG476" s="1">
        <f t="shared" si="374"/>
        <v>0</v>
      </c>
      <c r="AH476" s="1">
        <f t="shared" si="375"/>
        <v>0</v>
      </c>
      <c r="AI476" s="1">
        <f t="shared" si="376"/>
        <v>0</v>
      </c>
    </row>
    <row r="477" spans="1:35" ht="14.25" customHeight="1" x14ac:dyDescent="0.3">
      <c r="A477" s="15">
        <v>0</v>
      </c>
      <c r="B477" s="15">
        <v>2</v>
      </c>
      <c r="C477" s="15">
        <v>7</v>
      </c>
      <c r="D477" s="20" t="s">
        <v>1853</v>
      </c>
      <c r="E477" s="16" t="s">
        <v>155</v>
      </c>
      <c r="F477" s="20" t="s">
        <v>1854</v>
      </c>
      <c r="G477" s="20" t="s">
        <v>281</v>
      </c>
      <c r="H477" s="20" t="s">
        <v>352</v>
      </c>
      <c r="I477" s="21" t="s">
        <v>1855</v>
      </c>
      <c r="J477" s="15">
        <v>99</v>
      </c>
      <c r="K477" s="10" t="s">
        <v>699</v>
      </c>
      <c r="L477" s="10" t="s">
        <v>718</v>
      </c>
      <c r="M477" s="19" t="s">
        <v>728</v>
      </c>
      <c r="N477" s="19"/>
      <c r="Q477" s="20"/>
      <c r="S477" s="1">
        <f t="shared" si="361"/>
        <v>0</v>
      </c>
      <c r="T477" s="1">
        <f t="shared" si="362"/>
        <v>0</v>
      </c>
      <c r="U477" s="1">
        <f t="shared" si="363"/>
        <v>0</v>
      </c>
      <c r="V477" s="1">
        <f t="shared" si="364"/>
        <v>0</v>
      </c>
      <c r="W477" s="1">
        <f t="shared" si="365"/>
        <v>0</v>
      </c>
      <c r="X477" s="1">
        <f t="shared" si="366"/>
        <v>0</v>
      </c>
      <c r="Y477" s="1">
        <f t="shared" si="367"/>
        <v>0</v>
      </c>
      <c r="Z477" s="1">
        <f t="shared" si="368"/>
        <v>0</v>
      </c>
      <c r="AA477" s="1">
        <f t="shared" si="369"/>
        <v>0</v>
      </c>
      <c r="AB477" s="1">
        <f t="shared" si="370"/>
        <v>0</v>
      </c>
      <c r="AD477" s="1">
        <f t="shared" si="371"/>
        <v>0</v>
      </c>
      <c r="AE477" s="1">
        <f t="shared" si="372"/>
        <v>0</v>
      </c>
      <c r="AF477" s="1">
        <f t="shared" si="373"/>
        <v>0</v>
      </c>
      <c r="AG477" s="1">
        <f t="shared" si="374"/>
        <v>0</v>
      </c>
      <c r="AH477" s="1">
        <f t="shared" si="375"/>
        <v>0</v>
      </c>
      <c r="AI477" s="1">
        <f t="shared" si="376"/>
        <v>1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60</v>
      </c>
      <c r="E478" s="32" t="s">
        <v>162</v>
      </c>
      <c r="F478" s="32" t="s">
        <v>226</v>
      </c>
      <c r="G478" s="32" t="s">
        <v>189</v>
      </c>
      <c r="H478" s="32" t="s">
        <v>352</v>
      </c>
      <c r="I478" s="31" t="s">
        <v>397</v>
      </c>
      <c r="J478" s="31">
        <v>99</v>
      </c>
      <c r="K478" s="33" t="s">
        <v>709</v>
      </c>
      <c r="L478" s="33" t="s">
        <v>718</v>
      </c>
      <c r="M478" s="34" t="s">
        <v>728</v>
      </c>
      <c r="N478" s="34" t="s">
        <v>1743</v>
      </c>
      <c r="O478" s="35">
        <v>1</v>
      </c>
      <c r="P478" s="35"/>
      <c r="Q478" s="32"/>
      <c r="S478" s="1">
        <f t="shared" si="361"/>
        <v>0</v>
      </c>
      <c r="T478" s="1">
        <f t="shared" si="362"/>
        <v>0</v>
      </c>
      <c r="U478" s="1">
        <f t="shared" si="363"/>
        <v>0</v>
      </c>
      <c r="V478" s="1">
        <f t="shared" si="364"/>
        <v>0</v>
      </c>
      <c r="W478" s="1">
        <f t="shared" si="365"/>
        <v>0</v>
      </c>
      <c r="X478" s="1">
        <f t="shared" si="366"/>
        <v>0</v>
      </c>
      <c r="Y478" s="1">
        <f t="shared" si="367"/>
        <v>0</v>
      </c>
      <c r="Z478" s="1">
        <f t="shared" si="368"/>
        <v>0</v>
      </c>
      <c r="AA478" s="1">
        <f t="shared" si="369"/>
        <v>0</v>
      </c>
      <c r="AB478" s="1">
        <f t="shared" si="370"/>
        <v>0</v>
      </c>
      <c r="AD478" s="1">
        <f t="shared" si="371"/>
        <v>0</v>
      </c>
      <c r="AE478" s="1">
        <f t="shared" si="372"/>
        <v>1</v>
      </c>
      <c r="AF478" s="1">
        <f t="shared" si="373"/>
        <v>0</v>
      </c>
      <c r="AG478" s="1">
        <f t="shared" si="374"/>
        <v>1</v>
      </c>
      <c r="AH478" s="1">
        <f t="shared" si="375"/>
        <v>0</v>
      </c>
      <c r="AI478" s="1">
        <f t="shared" si="376"/>
        <v>1</v>
      </c>
    </row>
    <row r="479" spans="1:35" ht="14.25" customHeight="1" x14ac:dyDescent="0.3">
      <c r="A479" s="31">
        <v>0</v>
      </c>
      <c r="B479" s="31">
        <v>2</v>
      </c>
      <c r="C479" s="31">
        <v>7</v>
      </c>
      <c r="D479" s="32" t="s">
        <v>1324</v>
      </c>
      <c r="E479" s="32" t="s">
        <v>155</v>
      </c>
      <c r="F479" s="32" t="s">
        <v>1138</v>
      </c>
      <c r="G479" s="32" t="s">
        <v>191</v>
      </c>
      <c r="H479" s="32" t="s">
        <v>352</v>
      </c>
      <c r="I479" s="31" t="s">
        <v>1364</v>
      </c>
      <c r="J479" s="31">
        <v>99</v>
      </c>
      <c r="K479" s="33" t="s">
        <v>708</v>
      </c>
      <c r="L479" s="33" t="s">
        <v>39</v>
      </c>
      <c r="M479" s="34" t="s">
        <v>39</v>
      </c>
      <c r="N479" s="34" t="s">
        <v>1722</v>
      </c>
      <c r="O479" s="35">
        <v>1</v>
      </c>
      <c r="P479" s="35">
        <v>1</v>
      </c>
      <c r="Q479" s="32"/>
      <c r="S479" s="1">
        <f t="shared" si="361"/>
        <v>0</v>
      </c>
      <c r="T479" s="1">
        <f t="shared" si="362"/>
        <v>0</v>
      </c>
      <c r="U479" s="1">
        <f t="shared" si="363"/>
        <v>0</v>
      </c>
      <c r="V479" s="1">
        <f t="shared" si="364"/>
        <v>0</v>
      </c>
      <c r="W479" s="1">
        <f t="shared" si="365"/>
        <v>0</v>
      </c>
      <c r="X479" s="1">
        <f t="shared" si="366"/>
        <v>0</v>
      </c>
      <c r="Y479" s="1">
        <f t="shared" si="367"/>
        <v>0</v>
      </c>
      <c r="Z479" s="1">
        <f t="shared" si="368"/>
        <v>0</v>
      </c>
      <c r="AA479" s="1">
        <f t="shared" si="369"/>
        <v>0</v>
      </c>
      <c r="AB479" s="1">
        <f t="shared" si="370"/>
        <v>0</v>
      </c>
      <c r="AD479" s="1">
        <f t="shared" si="371"/>
        <v>1</v>
      </c>
      <c r="AE479" s="1">
        <f t="shared" si="372"/>
        <v>0</v>
      </c>
      <c r="AF479" s="1">
        <f t="shared" si="373"/>
        <v>1</v>
      </c>
      <c r="AG479" s="1">
        <f t="shared" si="374"/>
        <v>0</v>
      </c>
      <c r="AH479" s="1">
        <f t="shared" si="375"/>
        <v>1</v>
      </c>
      <c r="AI479" s="1">
        <f t="shared" si="376"/>
        <v>0</v>
      </c>
    </row>
    <row r="480" spans="1:35" ht="14.25" customHeight="1" x14ac:dyDescent="0.3">
      <c r="A480" s="31">
        <v>0</v>
      </c>
      <c r="B480" s="31">
        <v>2</v>
      </c>
      <c r="C480" s="31">
        <v>7</v>
      </c>
      <c r="D480" s="32" t="s">
        <v>585</v>
      </c>
      <c r="E480" s="32" t="s">
        <v>1332</v>
      </c>
      <c r="F480" s="32" t="s">
        <v>672</v>
      </c>
      <c r="G480" s="32" t="s">
        <v>239</v>
      </c>
      <c r="H480" s="32" t="s">
        <v>352</v>
      </c>
      <c r="I480" s="31" t="s">
        <v>403</v>
      </c>
      <c r="J480" s="31">
        <v>1</v>
      </c>
      <c r="K480" s="33" t="s">
        <v>709</v>
      </c>
      <c r="L480" s="33" t="s">
        <v>1706</v>
      </c>
      <c r="M480" s="34" t="s">
        <v>1434</v>
      </c>
      <c r="N480" s="34" t="s">
        <v>1743</v>
      </c>
      <c r="O480" s="35">
        <v>1</v>
      </c>
      <c r="P480" s="35"/>
      <c r="Q480" s="32"/>
      <c r="S480" s="1">
        <f t="shared" si="325"/>
        <v>1</v>
      </c>
      <c r="T480" s="1">
        <f t="shared" si="326"/>
        <v>0</v>
      </c>
      <c r="U480" s="1">
        <f t="shared" si="327"/>
        <v>0</v>
      </c>
      <c r="V480" s="1">
        <f t="shared" si="328"/>
        <v>0</v>
      </c>
      <c r="W480" s="1">
        <f t="shared" si="329"/>
        <v>0</v>
      </c>
      <c r="X480" s="1">
        <f t="shared" si="330"/>
        <v>0</v>
      </c>
      <c r="Y480" s="1">
        <f t="shared" si="331"/>
        <v>0</v>
      </c>
      <c r="Z480" s="1">
        <f t="shared" si="332"/>
        <v>0</v>
      </c>
      <c r="AA480" s="1">
        <f t="shared" si="333"/>
        <v>0</v>
      </c>
      <c r="AB480" s="1">
        <f t="shared" si="334"/>
        <v>0</v>
      </c>
      <c r="AD480" s="1">
        <f t="shared" ref="AD480" si="377">+O480*P480</f>
        <v>0</v>
      </c>
      <c r="AE480" s="1">
        <f t="shared" ref="AE480" si="378">O480*(1-P480)</f>
        <v>1</v>
      </c>
      <c r="AF480" s="1">
        <f t="shared" ref="AF480:AF495" si="379">+O480*P480*(1-A480)</f>
        <v>0</v>
      </c>
      <c r="AG480" s="1">
        <f t="shared" ref="AG480:AG495" si="380">O480*(1-P480)*(1-A480)</f>
        <v>1</v>
      </c>
      <c r="AH480" s="1">
        <f t="shared" ref="AH480:AH495" si="381">+P480*(1-A480)</f>
        <v>0</v>
      </c>
      <c r="AI480" s="1">
        <f t="shared" ref="AI480:AI495" si="382">+(1-A480)*(1-P480)</f>
        <v>1</v>
      </c>
    </row>
    <row r="481" spans="1:35" ht="14.25" customHeight="1" x14ac:dyDescent="0.3">
      <c r="A481" s="31">
        <v>1</v>
      </c>
      <c r="B481" s="31">
        <v>2</v>
      </c>
      <c r="C481" s="31">
        <v>7</v>
      </c>
      <c r="D481" s="32" t="s">
        <v>585</v>
      </c>
      <c r="E481" s="32" t="s">
        <v>1332</v>
      </c>
      <c r="F481" s="32" t="s">
        <v>238</v>
      </c>
      <c r="G481" s="32" t="s">
        <v>177</v>
      </c>
      <c r="H481" s="32" t="s">
        <v>352</v>
      </c>
      <c r="I481" s="31" t="s">
        <v>402</v>
      </c>
      <c r="J481" s="31">
        <v>1</v>
      </c>
      <c r="K481" s="33" t="s">
        <v>709</v>
      </c>
      <c r="L481" s="33" t="s">
        <v>1706</v>
      </c>
      <c r="M481" s="34" t="s">
        <v>1434</v>
      </c>
      <c r="N481" s="34" t="s">
        <v>1743</v>
      </c>
      <c r="O481" s="35">
        <v>1</v>
      </c>
      <c r="P481" s="35"/>
      <c r="Q481" s="36" t="s">
        <v>1906</v>
      </c>
      <c r="S481" s="1">
        <f t="shared" si="325"/>
        <v>1</v>
      </c>
      <c r="T481" s="1">
        <f t="shared" si="326"/>
        <v>0</v>
      </c>
      <c r="U481" s="1">
        <f t="shared" si="327"/>
        <v>0</v>
      </c>
      <c r="V481" s="1">
        <f t="shared" si="328"/>
        <v>0</v>
      </c>
      <c r="W481" s="1">
        <f t="shared" si="329"/>
        <v>0</v>
      </c>
      <c r="X481" s="1">
        <f t="shared" si="330"/>
        <v>0</v>
      </c>
      <c r="Y481" s="1">
        <f t="shared" si="331"/>
        <v>0</v>
      </c>
      <c r="Z481" s="1">
        <f t="shared" si="332"/>
        <v>0</v>
      </c>
      <c r="AA481" s="1">
        <f t="shared" si="333"/>
        <v>0</v>
      </c>
      <c r="AB481" s="1">
        <f t="shared" si="334"/>
        <v>0</v>
      </c>
      <c r="AD481" s="1">
        <f t="shared" si="335"/>
        <v>0</v>
      </c>
      <c r="AE481" s="1">
        <f t="shared" si="336"/>
        <v>1</v>
      </c>
      <c r="AF481" s="1">
        <f t="shared" si="379"/>
        <v>0</v>
      </c>
      <c r="AG481" s="1">
        <f t="shared" si="380"/>
        <v>0</v>
      </c>
      <c r="AH481" s="1">
        <f t="shared" si="381"/>
        <v>0</v>
      </c>
      <c r="AI481" s="1">
        <f t="shared" si="382"/>
        <v>0</v>
      </c>
    </row>
    <row r="482" spans="1:35" ht="14.25" customHeight="1" x14ac:dyDescent="0.3">
      <c r="A482" s="31">
        <v>0</v>
      </c>
      <c r="B482" s="31">
        <v>2</v>
      </c>
      <c r="C482" s="31">
        <v>7</v>
      </c>
      <c r="D482" s="32" t="s">
        <v>1325</v>
      </c>
      <c r="E482" s="32" t="s">
        <v>155</v>
      </c>
      <c r="F482" s="32" t="s">
        <v>1351</v>
      </c>
      <c r="G482" s="32" t="s">
        <v>257</v>
      </c>
      <c r="H482" s="32" t="s">
        <v>352</v>
      </c>
      <c r="I482" s="31" t="s">
        <v>1234</v>
      </c>
      <c r="J482" s="31">
        <v>8</v>
      </c>
      <c r="K482" s="33" t="s">
        <v>950</v>
      </c>
      <c r="L482" s="33" t="s">
        <v>718</v>
      </c>
      <c r="M482" s="34" t="s">
        <v>728</v>
      </c>
      <c r="N482" s="34" t="s">
        <v>1743</v>
      </c>
      <c r="O482" s="35">
        <v>1</v>
      </c>
      <c r="P482" s="35"/>
      <c r="Q482" s="32"/>
      <c r="S482" s="1">
        <f t="shared" si="325"/>
        <v>0</v>
      </c>
      <c r="T482" s="1">
        <f t="shared" si="326"/>
        <v>0</v>
      </c>
      <c r="U482" s="1">
        <f t="shared" si="327"/>
        <v>0</v>
      </c>
      <c r="V482" s="1">
        <f t="shared" si="328"/>
        <v>0</v>
      </c>
      <c r="W482" s="1">
        <f t="shared" si="329"/>
        <v>0</v>
      </c>
      <c r="X482" s="1">
        <f t="shared" si="330"/>
        <v>0</v>
      </c>
      <c r="Y482" s="1">
        <f t="shared" si="331"/>
        <v>0</v>
      </c>
      <c r="Z482" s="1">
        <f t="shared" si="332"/>
        <v>1</v>
      </c>
      <c r="AA482" s="1">
        <f t="shared" si="333"/>
        <v>0</v>
      </c>
      <c r="AB482" s="1">
        <f t="shared" si="334"/>
        <v>0</v>
      </c>
      <c r="AD482" s="1">
        <f t="shared" si="335"/>
        <v>0</v>
      </c>
      <c r="AE482" s="1">
        <f t="shared" si="336"/>
        <v>1</v>
      </c>
      <c r="AF482" s="1">
        <f t="shared" si="379"/>
        <v>0</v>
      </c>
      <c r="AG482" s="1">
        <f t="shared" si="380"/>
        <v>1</v>
      </c>
      <c r="AH482" s="1">
        <f t="shared" si="381"/>
        <v>0</v>
      </c>
      <c r="AI482" s="1">
        <f t="shared" si="382"/>
        <v>1</v>
      </c>
    </row>
    <row r="483" spans="1:35" ht="14.25" customHeight="1" x14ac:dyDescent="0.3">
      <c r="A483" s="31">
        <v>1</v>
      </c>
      <c r="B483" s="31">
        <v>2</v>
      </c>
      <c r="C483" s="31">
        <v>7</v>
      </c>
      <c r="D483" s="32" t="s">
        <v>1325</v>
      </c>
      <c r="E483" s="32" t="s">
        <v>155</v>
      </c>
      <c r="F483" s="32" t="s">
        <v>1213</v>
      </c>
      <c r="G483" s="32" t="s">
        <v>217</v>
      </c>
      <c r="H483" s="32" t="s">
        <v>352</v>
      </c>
      <c r="I483" s="31" t="s">
        <v>1234</v>
      </c>
      <c r="J483" s="31">
        <v>99</v>
      </c>
      <c r="K483" s="33" t="s">
        <v>950</v>
      </c>
      <c r="L483" s="33" t="s">
        <v>718</v>
      </c>
      <c r="M483" s="34" t="s">
        <v>728</v>
      </c>
      <c r="N483" s="34" t="s">
        <v>1743</v>
      </c>
      <c r="O483" s="35">
        <v>1</v>
      </c>
      <c r="P483" s="35"/>
      <c r="Q483" s="32"/>
      <c r="S483" s="1">
        <f t="shared" si="325"/>
        <v>0</v>
      </c>
      <c r="T483" s="1">
        <f t="shared" si="326"/>
        <v>0</v>
      </c>
      <c r="U483" s="1">
        <f t="shared" si="327"/>
        <v>0</v>
      </c>
      <c r="V483" s="1">
        <f t="shared" si="328"/>
        <v>0</v>
      </c>
      <c r="W483" s="1">
        <f t="shared" si="329"/>
        <v>0</v>
      </c>
      <c r="X483" s="1">
        <f t="shared" si="330"/>
        <v>0</v>
      </c>
      <c r="Y483" s="1">
        <f t="shared" si="331"/>
        <v>0</v>
      </c>
      <c r="Z483" s="1">
        <f t="shared" si="332"/>
        <v>0</v>
      </c>
      <c r="AA483" s="1">
        <f t="shared" si="333"/>
        <v>0</v>
      </c>
      <c r="AB483" s="1">
        <f t="shared" si="334"/>
        <v>0</v>
      </c>
      <c r="AD483" s="1">
        <f t="shared" si="335"/>
        <v>0</v>
      </c>
      <c r="AE483" s="1">
        <f t="shared" si="336"/>
        <v>1</v>
      </c>
      <c r="AF483" s="1">
        <f t="shared" si="379"/>
        <v>0</v>
      </c>
      <c r="AG483" s="1">
        <f t="shared" si="380"/>
        <v>0</v>
      </c>
      <c r="AH483" s="1">
        <f t="shared" si="381"/>
        <v>0</v>
      </c>
      <c r="AI483" s="1">
        <f t="shared" si="382"/>
        <v>0</v>
      </c>
    </row>
    <row r="484" spans="1:35" ht="14.25" customHeight="1" x14ac:dyDescent="0.3">
      <c r="A484" s="44">
        <v>0</v>
      </c>
      <c r="B484" s="44">
        <v>2</v>
      </c>
      <c r="C484" s="44">
        <v>7</v>
      </c>
      <c r="D484" s="45" t="s">
        <v>1243</v>
      </c>
      <c r="E484" s="45" t="s">
        <v>155</v>
      </c>
      <c r="F484" s="45" t="s">
        <v>1245</v>
      </c>
      <c r="G484" s="45" t="s">
        <v>219</v>
      </c>
      <c r="H484" s="45" t="s">
        <v>352</v>
      </c>
      <c r="I484" s="44" t="s">
        <v>1365</v>
      </c>
      <c r="J484" s="44">
        <v>8</v>
      </c>
      <c r="K484" s="46" t="s">
        <v>949</v>
      </c>
      <c r="L484" s="46" t="s">
        <v>718</v>
      </c>
      <c r="M484" s="47" t="s">
        <v>728</v>
      </c>
      <c r="N484" s="47" t="s">
        <v>1730</v>
      </c>
      <c r="O484" s="48"/>
      <c r="P484" s="48"/>
      <c r="Q484" s="45"/>
      <c r="S484" s="1">
        <f t="shared" si="325"/>
        <v>0</v>
      </c>
      <c r="T484" s="1">
        <f t="shared" si="326"/>
        <v>0</v>
      </c>
      <c r="U484" s="1">
        <f t="shared" si="327"/>
        <v>0</v>
      </c>
      <c r="V484" s="1">
        <f t="shared" si="328"/>
        <v>0</v>
      </c>
      <c r="W484" s="1">
        <f t="shared" si="329"/>
        <v>0</v>
      </c>
      <c r="X484" s="1">
        <f t="shared" si="330"/>
        <v>0</v>
      </c>
      <c r="Y484" s="1">
        <f t="shared" si="331"/>
        <v>0</v>
      </c>
      <c r="Z484" s="1">
        <f t="shared" si="332"/>
        <v>1</v>
      </c>
      <c r="AA484" s="1">
        <f t="shared" si="333"/>
        <v>0</v>
      </c>
      <c r="AB484" s="1">
        <f t="shared" si="334"/>
        <v>0</v>
      </c>
      <c r="AD484" s="1">
        <f t="shared" si="335"/>
        <v>0</v>
      </c>
      <c r="AE484" s="1">
        <f t="shared" si="336"/>
        <v>0</v>
      </c>
      <c r="AF484" s="1">
        <f t="shared" si="379"/>
        <v>0</v>
      </c>
      <c r="AG484" s="1">
        <f t="shared" si="380"/>
        <v>0</v>
      </c>
      <c r="AH484" s="1">
        <f t="shared" si="381"/>
        <v>0</v>
      </c>
      <c r="AI484" s="1">
        <f t="shared" si="382"/>
        <v>1</v>
      </c>
    </row>
    <row r="485" spans="1:35" ht="14.25" customHeight="1" x14ac:dyDescent="0.3">
      <c r="A485" s="44">
        <v>1</v>
      </c>
      <c r="B485" s="44">
        <v>2</v>
      </c>
      <c r="C485" s="44">
        <v>7</v>
      </c>
      <c r="D485" s="45" t="s">
        <v>1243</v>
      </c>
      <c r="E485" s="45" t="s">
        <v>155</v>
      </c>
      <c r="F485" s="45" t="s">
        <v>1352</v>
      </c>
      <c r="G485" s="45" t="s">
        <v>39</v>
      </c>
      <c r="H485" s="45" t="s">
        <v>353</v>
      </c>
      <c r="I485" s="44" t="s">
        <v>1244</v>
      </c>
      <c r="J485" s="44">
        <v>99</v>
      </c>
      <c r="K485" s="46" t="s">
        <v>949</v>
      </c>
      <c r="L485" s="46" t="s">
        <v>718</v>
      </c>
      <c r="M485" s="47" t="s">
        <v>728</v>
      </c>
      <c r="N485" s="47" t="s">
        <v>1730</v>
      </c>
      <c r="O485" s="48"/>
      <c r="P485" s="48"/>
      <c r="Q485" s="65" t="s">
        <v>1899</v>
      </c>
      <c r="S485" s="1">
        <f t="shared" ref="S485:S495" si="383">IF(J485=$S$7,1,0)</f>
        <v>0</v>
      </c>
      <c r="T485" s="1">
        <f t="shared" ref="T485:T495" si="384">IF(J485=$T$7,1,0)</f>
        <v>0</v>
      </c>
      <c r="U485" s="1">
        <f t="shared" ref="U485:U495" si="385">IF(J485=$U$7,1,0)</f>
        <v>0</v>
      </c>
      <c r="V485" s="1">
        <f t="shared" ref="V485:V495" si="386">IF(J485=$V$7,1,0)</f>
        <v>0</v>
      </c>
      <c r="W485" s="1">
        <f t="shared" ref="W485:W495" si="387">IF(J485=$W$7,1,0)</f>
        <v>0</v>
      </c>
      <c r="X485" s="1">
        <f t="shared" ref="X485:X495" si="388">IF(J485=$X$7,1,0)</f>
        <v>0</v>
      </c>
      <c r="Y485" s="1">
        <f t="shared" ref="Y485:Y495" si="389">IF(J485=$Y$7,1,0)</f>
        <v>0</v>
      </c>
      <c r="Z485" s="1">
        <f t="shared" ref="Z485:Z495" si="390">IF(J485=$Z$7,1,0)</f>
        <v>0</v>
      </c>
      <c r="AA485" s="1">
        <f t="shared" ref="AA485:AA495" si="391">IF(J485=$AA$7,1,0)</f>
        <v>0</v>
      </c>
      <c r="AB485" s="1">
        <f t="shared" ref="AB485:AB495" si="392">IF(J485=$AB$7,1,0)</f>
        <v>0</v>
      </c>
      <c r="AD485" s="1">
        <f>+O485*P485</f>
        <v>0</v>
      </c>
      <c r="AE485" s="1">
        <f>O485*(1-P485)</f>
        <v>0</v>
      </c>
      <c r="AF485" s="1">
        <f t="shared" si="379"/>
        <v>0</v>
      </c>
      <c r="AG485" s="1">
        <f t="shared" si="380"/>
        <v>0</v>
      </c>
      <c r="AH485" s="1">
        <f t="shared" si="381"/>
        <v>0</v>
      </c>
      <c r="AI485" s="1">
        <f t="shared" si="382"/>
        <v>0</v>
      </c>
    </row>
    <row r="486" spans="1:35" ht="14.25" customHeight="1" x14ac:dyDescent="0.3">
      <c r="A486" s="44">
        <v>1</v>
      </c>
      <c r="B486" s="44">
        <v>2</v>
      </c>
      <c r="C486" s="44">
        <v>7</v>
      </c>
      <c r="D486" s="45" t="s">
        <v>1243</v>
      </c>
      <c r="E486" s="45" t="s">
        <v>155</v>
      </c>
      <c r="F486" s="45" t="s">
        <v>1518</v>
      </c>
      <c r="G486" s="45" t="s">
        <v>234</v>
      </c>
      <c r="H486" s="45" t="s">
        <v>352</v>
      </c>
      <c r="I486" s="44" t="s">
        <v>1686</v>
      </c>
      <c r="J486" s="44">
        <v>99</v>
      </c>
      <c r="K486" s="46" t="s">
        <v>949</v>
      </c>
      <c r="L486" s="46" t="s">
        <v>718</v>
      </c>
      <c r="M486" s="47" t="s">
        <v>728</v>
      </c>
      <c r="N486" s="47" t="s">
        <v>1730</v>
      </c>
      <c r="O486" s="48"/>
      <c r="P486" s="48"/>
      <c r="Q486" s="45"/>
      <c r="S486" s="1">
        <f t="shared" si="383"/>
        <v>0</v>
      </c>
      <c r="T486" s="1">
        <f t="shared" si="384"/>
        <v>0</v>
      </c>
      <c r="U486" s="1">
        <f t="shared" si="385"/>
        <v>0</v>
      </c>
      <c r="V486" s="1">
        <f t="shared" si="386"/>
        <v>0</v>
      </c>
      <c r="W486" s="1">
        <f t="shared" si="387"/>
        <v>0</v>
      </c>
      <c r="X486" s="1">
        <f t="shared" si="388"/>
        <v>0</v>
      </c>
      <c r="Y486" s="1">
        <f t="shared" si="389"/>
        <v>0</v>
      </c>
      <c r="Z486" s="1">
        <f t="shared" si="390"/>
        <v>0</v>
      </c>
      <c r="AA486" s="1">
        <f t="shared" si="391"/>
        <v>0</v>
      </c>
      <c r="AB486" s="1">
        <f t="shared" si="392"/>
        <v>0</v>
      </c>
      <c r="AD486" s="1">
        <f>+O486*P486</f>
        <v>0</v>
      </c>
      <c r="AE486" s="1">
        <f>O486*(1-P486)</f>
        <v>0</v>
      </c>
      <c r="AF486" s="1">
        <f t="shared" si="379"/>
        <v>0</v>
      </c>
      <c r="AG486" s="1">
        <f t="shared" si="380"/>
        <v>0</v>
      </c>
      <c r="AH486" s="1">
        <f t="shared" si="381"/>
        <v>0</v>
      </c>
      <c r="AI486" s="1">
        <f t="shared" si="382"/>
        <v>0</v>
      </c>
    </row>
    <row r="487" spans="1:35" ht="14.25" customHeight="1" x14ac:dyDescent="0.3">
      <c r="A487" s="31">
        <v>0</v>
      </c>
      <c r="B487" s="31">
        <v>2</v>
      </c>
      <c r="C487" s="31">
        <v>7</v>
      </c>
      <c r="D487" s="32" t="s">
        <v>1845</v>
      </c>
      <c r="E487" s="32" t="s">
        <v>1846</v>
      </c>
      <c r="F487" s="32" t="s">
        <v>1847</v>
      </c>
      <c r="G487" s="32" t="s">
        <v>264</v>
      </c>
      <c r="H487" s="32" t="s">
        <v>352</v>
      </c>
      <c r="I487" s="31" t="s">
        <v>1848</v>
      </c>
      <c r="J487" s="31">
        <v>99</v>
      </c>
      <c r="K487" s="33" t="s">
        <v>699</v>
      </c>
      <c r="L487" s="33"/>
      <c r="M487" s="34"/>
      <c r="N487" s="34" t="s">
        <v>1722</v>
      </c>
      <c r="O487" s="35">
        <v>1</v>
      </c>
      <c r="P487" s="35">
        <v>1</v>
      </c>
      <c r="Q487" s="32"/>
      <c r="S487" s="1">
        <f t="shared" si="383"/>
        <v>0</v>
      </c>
      <c r="T487" s="1">
        <f t="shared" si="384"/>
        <v>0</v>
      </c>
      <c r="U487" s="1">
        <f t="shared" si="385"/>
        <v>0</v>
      </c>
      <c r="V487" s="1">
        <f t="shared" si="386"/>
        <v>0</v>
      </c>
      <c r="W487" s="1">
        <f t="shared" si="387"/>
        <v>0</v>
      </c>
      <c r="X487" s="1">
        <f t="shared" si="388"/>
        <v>0</v>
      </c>
      <c r="Y487" s="1">
        <f t="shared" si="389"/>
        <v>0</v>
      </c>
      <c r="Z487" s="1">
        <f t="shared" si="390"/>
        <v>0</v>
      </c>
      <c r="AA487" s="1">
        <f t="shared" si="391"/>
        <v>0</v>
      </c>
      <c r="AB487" s="1">
        <f t="shared" si="392"/>
        <v>0</v>
      </c>
      <c r="AD487" s="1">
        <f>+O487*P487</f>
        <v>1</v>
      </c>
      <c r="AE487" s="1">
        <f>O487*(1-P487)</f>
        <v>0</v>
      </c>
      <c r="AF487" s="1">
        <f t="shared" si="379"/>
        <v>1</v>
      </c>
      <c r="AG487" s="1">
        <f t="shared" si="380"/>
        <v>0</v>
      </c>
      <c r="AH487" s="1">
        <f t="shared" si="381"/>
        <v>1</v>
      </c>
      <c r="AI487" s="1">
        <f t="shared" si="382"/>
        <v>0</v>
      </c>
    </row>
    <row r="488" spans="1:35" ht="14.25" customHeight="1" x14ac:dyDescent="0.3">
      <c r="A488" s="44">
        <v>0</v>
      </c>
      <c r="B488" s="44">
        <v>2</v>
      </c>
      <c r="C488" s="44">
        <v>7</v>
      </c>
      <c r="D488" s="45" t="s">
        <v>1238</v>
      </c>
      <c r="E488" s="45" t="s">
        <v>28</v>
      </c>
      <c r="F488" s="45" t="s">
        <v>1231</v>
      </c>
      <c r="G488" s="45" t="s">
        <v>1232</v>
      </c>
      <c r="H488" s="45" t="s">
        <v>352</v>
      </c>
      <c r="I488" s="44" t="s">
        <v>1233</v>
      </c>
      <c r="J488" s="44">
        <v>99</v>
      </c>
      <c r="K488" s="46" t="s">
        <v>708</v>
      </c>
      <c r="L488" s="46" t="s">
        <v>709</v>
      </c>
      <c r="M488" s="47" t="s">
        <v>727</v>
      </c>
      <c r="N488" s="47" t="s">
        <v>1730</v>
      </c>
      <c r="O488" s="48"/>
      <c r="P488" s="48"/>
      <c r="Q488" s="45"/>
      <c r="S488" s="1">
        <f t="shared" si="383"/>
        <v>0</v>
      </c>
      <c r="T488" s="1">
        <f t="shared" si="384"/>
        <v>0</v>
      </c>
      <c r="U488" s="1">
        <f t="shared" si="385"/>
        <v>0</v>
      </c>
      <c r="V488" s="1">
        <f t="shared" si="386"/>
        <v>0</v>
      </c>
      <c r="W488" s="1">
        <f t="shared" si="387"/>
        <v>0</v>
      </c>
      <c r="X488" s="1">
        <f t="shared" si="388"/>
        <v>0</v>
      </c>
      <c r="Y488" s="1">
        <f t="shared" si="389"/>
        <v>0</v>
      </c>
      <c r="Z488" s="1">
        <f t="shared" si="390"/>
        <v>0</v>
      </c>
      <c r="AA488" s="1">
        <f t="shared" si="391"/>
        <v>0</v>
      </c>
      <c r="AB488" s="1">
        <f t="shared" si="392"/>
        <v>0</v>
      </c>
      <c r="AD488" s="1">
        <f t="shared" ref="AD488:AD495" si="393">+O488*P488</f>
        <v>0</v>
      </c>
      <c r="AE488" s="1">
        <f t="shared" ref="AE488:AE495" si="394">O488*(1-P488)</f>
        <v>0</v>
      </c>
      <c r="AF488" s="1">
        <f t="shared" si="379"/>
        <v>0</v>
      </c>
      <c r="AG488" s="1">
        <f t="shared" si="380"/>
        <v>0</v>
      </c>
      <c r="AH488" s="1">
        <f t="shared" si="381"/>
        <v>0</v>
      </c>
      <c r="AI488" s="1">
        <f t="shared" si="382"/>
        <v>1</v>
      </c>
    </row>
    <row r="489" spans="1:35" ht="14.25" customHeight="1" x14ac:dyDescent="0.3">
      <c r="A489" s="44">
        <v>1</v>
      </c>
      <c r="B489" s="44">
        <v>2</v>
      </c>
      <c r="C489" s="44">
        <v>7</v>
      </c>
      <c r="D489" s="45" t="s">
        <v>1235</v>
      </c>
      <c r="E489" s="45" t="s">
        <v>28</v>
      </c>
      <c r="F489" s="45" t="s">
        <v>1236</v>
      </c>
      <c r="G489" s="45" t="s">
        <v>519</v>
      </c>
      <c r="H489" s="45" t="s">
        <v>352</v>
      </c>
      <c r="I489" s="44" t="s">
        <v>1237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1730</v>
      </c>
      <c r="O489" s="48"/>
      <c r="P489" s="48"/>
      <c r="Q489" s="45"/>
      <c r="S489" s="1">
        <f t="shared" si="383"/>
        <v>0</v>
      </c>
      <c r="T489" s="1">
        <f t="shared" si="384"/>
        <v>0</v>
      </c>
      <c r="U489" s="1">
        <f t="shared" si="385"/>
        <v>0</v>
      </c>
      <c r="V489" s="1">
        <f t="shared" si="386"/>
        <v>0</v>
      </c>
      <c r="W489" s="1">
        <f t="shared" si="387"/>
        <v>0</v>
      </c>
      <c r="X489" s="1">
        <f t="shared" si="388"/>
        <v>0</v>
      </c>
      <c r="Y489" s="1">
        <f t="shared" si="389"/>
        <v>0</v>
      </c>
      <c r="Z489" s="1">
        <f t="shared" si="390"/>
        <v>0</v>
      </c>
      <c r="AA489" s="1">
        <f t="shared" si="391"/>
        <v>0</v>
      </c>
      <c r="AB489" s="1">
        <f t="shared" si="392"/>
        <v>0</v>
      </c>
      <c r="AD489" s="1">
        <f t="shared" si="393"/>
        <v>0</v>
      </c>
      <c r="AE489" s="1">
        <f t="shared" si="394"/>
        <v>0</v>
      </c>
      <c r="AF489" s="1">
        <f t="shared" si="379"/>
        <v>0</v>
      </c>
      <c r="AG489" s="1">
        <f t="shared" si="380"/>
        <v>0</v>
      </c>
      <c r="AH489" s="1">
        <f t="shared" si="381"/>
        <v>0</v>
      </c>
      <c r="AI489" s="1">
        <f t="shared" si="382"/>
        <v>0</v>
      </c>
    </row>
    <row r="490" spans="1:35" ht="14.25" customHeight="1" x14ac:dyDescent="0.3">
      <c r="A490" s="31">
        <v>0</v>
      </c>
      <c r="B490" s="31">
        <v>2</v>
      </c>
      <c r="C490" s="31">
        <v>7</v>
      </c>
      <c r="D490" s="32" t="s">
        <v>1841</v>
      </c>
      <c r="E490" s="32" t="s">
        <v>1163</v>
      </c>
      <c r="F490" s="32" t="s">
        <v>1842</v>
      </c>
      <c r="G490" s="32"/>
      <c r="H490" s="32" t="s">
        <v>352</v>
      </c>
      <c r="I490" s="31" t="s">
        <v>1843</v>
      </c>
      <c r="J490" s="31">
        <v>6</v>
      </c>
      <c r="K490" s="33" t="s">
        <v>699</v>
      </c>
      <c r="L490" s="33"/>
      <c r="M490" s="34"/>
      <c r="N490" s="34" t="s">
        <v>1743</v>
      </c>
      <c r="O490" s="35">
        <v>1</v>
      </c>
      <c r="P490" s="35"/>
      <c r="Q490" s="32"/>
      <c r="S490" s="1">
        <f t="shared" si="383"/>
        <v>0</v>
      </c>
      <c r="T490" s="1">
        <f t="shared" si="384"/>
        <v>0</v>
      </c>
      <c r="U490" s="1">
        <f t="shared" si="385"/>
        <v>0</v>
      </c>
      <c r="V490" s="1">
        <f t="shared" si="386"/>
        <v>0</v>
      </c>
      <c r="W490" s="1">
        <f t="shared" si="387"/>
        <v>0</v>
      </c>
      <c r="X490" s="1">
        <f t="shared" si="388"/>
        <v>1</v>
      </c>
      <c r="Y490" s="1">
        <f t="shared" si="389"/>
        <v>0</v>
      </c>
      <c r="Z490" s="1">
        <f t="shared" si="390"/>
        <v>0</v>
      </c>
      <c r="AA490" s="1">
        <f t="shared" si="391"/>
        <v>0</v>
      </c>
      <c r="AB490" s="1">
        <f t="shared" si="392"/>
        <v>0</v>
      </c>
      <c r="AD490" s="1">
        <f t="shared" si="393"/>
        <v>0</v>
      </c>
      <c r="AE490" s="1">
        <f t="shared" si="394"/>
        <v>1</v>
      </c>
      <c r="AF490" s="1">
        <f t="shared" si="379"/>
        <v>0</v>
      </c>
      <c r="AG490" s="1">
        <f t="shared" si="380"/>
        <v>1</v>
      </c>
      <c r="AH490" s="1">
        <f t="shared" si="381"/>
        <v>0</v>
      </c>
      <c r="AI490" s="1">
        <f t="shared" si="382"/>
        <v>1</v>
      </c>
    </row>
    <row r="491" spans="1:35" ht="14.25" customHeight="1" x14ac:dyDescent="0.3">
      <c r="A491" s="44">
        <v>0</v>
      </c>
      <c r="B491" s="44">
        <v>2</v>
      </c>
      <c r="C491" s="44">
        <v>7</v>
      </c>
      <c r="D491" s="45" t="s">
        <v>1453</v>
      </c>
      <c r="E491" s="45" t="s">
        <v>28</v>
      </c>
      <c r="F491" s="45" t="s">
        <v>1454</v>
      </c>
      <c r="G491" s="45" t="s">
        <v>1455</v>
      </c>
      <c r="H491" s="45" t="s">
        <v>352</v>
      </c>
      <c r="I491" s="44" t="s">
        <v>1456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1730</v>
      </c>
      <c r="O491" s="48"/>
      <c r="P491" s="48"/>
      <c r="Q491" s="45" t="s">
        <v>1926</v>
      </c>
      <c r="S491" s="1">
        <f t="shared" si="383"/>
        <v>0</v>
      </c>
      <c r="T491" s="1">
        <f t="shared" si="384"/>
        <v>0</v>
      </c>
      <c r="U491" s="1">
        <f t="shared" si="385"/>
        <v>0</v>
      </c>
      <c r="V491" s="1">
        <f t="shared" si="386"/>
        <v>0</v>
      </c>
      <c r="W491" s="1">
        <f t="shared" si="387"/>
        <v>0</v>
      </c>
      <c r="X491" s="1">
        <f t="shared" si="388"/>
        <v>0</v>
      </c>
      <c r="Y491" s="1">
        <f t="shared" si="389"/>
        <v>0</v>
      </c>
      <c r="Z491" s="1">
        <f t="shared" si="390"/>
        <v>0</v>
      </c>
      <c r="AA491" s="1">
        <f t="shared" si="391"/>
        <v>0</v>
      </c>
      <c r="AB491" s="1">
        <f t="shared" si="392"/>
        <v>0</v>
      </c>
      <c r="AD491" s="1">
        <f t="shared" si="393"/>
        <v>0</v>
      </c>
      <c r="AE491" s="1">
        <f t="shared" si="394"/>
        <v>0</v>
      </c>
      <c r="AF491" s="1">
        <f t="shared" si="379"/>
        <v>0</v>
      </c>
      <c r="AG491" s="1">
        <f t="shared" si="380"/>
        <v>0</v>
      </c>
      <c r="AH491" s="1">
        <f t="shared" si="381"/>
        <v>0</v>
      </c>
      <c r="AI491" s="1">
        <f t="shared" si="382"/>
        <v>1</v>
      </c>
    </row>
    <row r="492" spans="1:35" ht="14.25" customHeight="1" x14ac:dyDescent="0.3">
      <c r="A492" s="31">
        <v>0</v>
      </c>
      <c r="B492" s="31">
        <v>2</v>
      </c>
      <c r="C492" s="31">
        <v>7</v>
      </c>
      <c r="D492" s="32" t="s">
        <v>43</v>
      </c>
      <c r="E492" s="32" t="s">
        <v>537</v>
      </c>
      <c r="F492" s="32" t="s">
        <v>571</v>
      </c>
      <c r="G492" s="32" t="s">
        <v>234</v>
      </c>
      <c r="H492" s="32" t="s">
        <v>352</v>
      </c>
      <c r="I492" s="31" t="s">
        <v>578</v>
      </c>
      <c r="J492" s="31">
        <v>99</v>
      </c>
      <c r="K492" s="33" t="s">
        <v>708</v>
      </c>
      <c r="L492" s="33" t="s">
        <v>725</v>
      </c>
      <c r="M492" s="34" t="s">
        <v>1435</v>
      </c>
      <c r="N492" s="34" t="s">
        <v>1743</v>
      </c>
      <c r="O492" s="35">
        <v>1</v>
      </c>
      <c r="P492" s="35"/>
      <c r="Q492" s="32"/>
      <c r="S492" s="1">
        <f t="shared" si="383"/>
        <v>0</v>
      </c>
      <c r="T492" s="1">
        <f t="shared" si="384"/>
        <v>0</v>
      </c>
      <c r="U492" s="1">
        <f t="shared" si="385"/>
        <v>0</v>
      </c>
      <c r="V492" s="1">
        <f t="shared" si="386"/>
        <v>0</v>
      </c>
      <c r="W492" s="1">
        <f t="shared" si="387"/>
        <v>0</v>
      </c>
      <c r="X492" s="1">
        <f t="shared" si="388"/>
        <v>0</v>
      </c>
      <c r="Y492" s="1">
        <f t="shared" si="389"/>
        <v>0</v>
      </c>
      <c r="Z492" s="1">
        <f t="shared" si="390"/>
        <v>0</v>
      </c>
      <c r="AA492" s="1">
        <f t="shared" si="391"/>
        <v>0</v>
      </c>
      <c r="AB492" s="1">
        <f t="shared" si="392"/>
        <v>0</v>
      </c>
      <c r="AD492" s="1">
        <f t="shared" si="393"/>
        <v>0</v>
      </c>
      <c r="AE492" s="1">
        <f t="shared" si="394"/>
        <v>1</v>
      </c>
      <c r="AF492" s="1">
        <f t="shared" si="379"/>
        <v>0</v>
      </c>
      <c r="AG492" s="1">
        <f t="shared" si="380"/>
        <v>1</v>
      </c>
      <c r="AH492" s="1">
        <f t="shared" si="381"/>
        <v>0</v>
      </c>
      <c r="AI492" s="1">
        <f t="shared" si="382"/>
        <v>1</v>
      </c>
    </row>
    <row r="493" spans="1:35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270</v>
      </c>
      <c r="G493" s="32" t="s">
        <v>179</v>
      </c>
      <c r="H493" s="32" t="s">
        <v>352</v>
      </c>
      <c r="I493" s="31" t="s">
        <v>424</v>
      </c>
      <c r="J493" s="31">
        <v>10</v>
      </c>
      <c r="K493" s="33" t="s">
        <v>708</v>
      </c>
      <c r="L493" s="33" t="s">
        <v>725</v>
      </c>
      <c r="M493" s="34" t="s">
        <v>1435</v>
      </c>
      <c r="N493" s="34" t="s">
        <v>1743</v>
      </c>
      <c r="O493" s="35">
        <v>1</v>
      </c>
      <c r="P493" s="35"/>
      <c r="Q493" s="32"/>
      <c r="S493" s="1">
        <f t="shared" si="383"/>
        <v>0</v>
      </c>
      <c r="T493" s="1">
        <f t="shared" si="384"/>
        <v>0</v>
      </c>
      <c r="U493" s="1">
        <f t="shared" si="385"/>
        <v>0</v>
      </c>
      <c r="V493" s="1">
        <f t="shared" si="386"/>
        <v>0</v>
      </c>
      <c r="W493" s="1">
        <f t="shared" si="387"/>
        <v>0</v>
      </c>
      <c r="X493" s="1">
        <f t="shared" si="388"/>
        <v>0</v>
      </c>
      <c r="Y493" s="1">
        <f t="shared" si="389"/>
        <v>0</v>
      </c>
      <c r="Z493" s="1">
        <f t="shared" si="390"/>
        <v>0</v>
      </c>
      <c r="AA493" s="1">
        <f t="shared" si="391"/>
        <v>0</v>
      </c>
      <c r="AB493" s="1">
        <f t="shared" si="392"/>
        <v>1</v>
      </c>
      <c r="AD493" s="1">
        <f t="shared" si="393"/>
        <v>0</v>
      </c>
      <c r="AE493" s="1">
        <f t="shared" si="394"/>
        <v>1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0</v>
      </c>
    </row>
    <row r="494" spans="1:35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271</v>
      </c>
      <c r="G494" s="32" t="s">
        <v>39</v>
      </c>
      <c r="H494" s="32" t="s">
        <v>352</v>
      </c>
      <c r="I494" s="31" t="s">
        <v>425</v>
      </c>
      <c r="J494" s="31">
        <v>5</v>
      </c>
      <c r="K494" s="33" t="s">
        <v>708</v>
      </c>
      <c r="L494" s="33" t="s">
        <v>725</v>
      </c>
      <c r="M494" s="34" t="s">
        <v>1435</v>
      </c>
      <c r="N494" s="34" t="s">
        <v>1743</v>
      </c>
      <c r="O494" s="35">
        <v>1</v>
      </c>
      <c r="P494" s="35"/>
      <c r="Q494" s="32"/>
      <c r="S494" s="1">
        <f t="shared" si="383"/>
        <v>0</v>
      </c>
      <c r="T494" s="1">
        <f t="shared" si="384"/>
        <v>0</v>
      </c>
      <c r="U494" s="1">
        <f t="shared" si="385"/>
        <v>0</v>
      </c>
      <c r="V494" s="1">
        <f t="shared" si="386"/>
        <v>0</v>
      </c>
      <c r="W494" s="1">
        <f t="shared" si="387"/>
        <v>1</v>
      </c>
      <c r="X494" s="1">
        <f t="shared" si="388"/>
        <v>0</v>
      </c>
      <c r="Y494" s="1">
        <f t="shared" si="389"/>
        <v>0</v>
      </c>
      <c r="Z494" s="1">
        <f t="shared" si="390"/>
        <v>0</v>
      </c>
      <c r="AA494" s="1">
        <f t="shared" si="391"/>
        <v>0</v>
      </c>
      <c r="AB494" s="1">
        <f t="shared" si="392"/>
        <v>0</v>
      </c>
      <c r="AD494" s="1">
        <f t="shared" si="393"/>
        <v>0</v>
      </c>
      <c r="AE494" s="1">
        <f t="shared" si="394"/>
        <v>1</v>
      </c>
      <c r="AF494" s="1">
        <f t="shared" si="379"/>
        <v>0</v>
      </c>
      <c r="AG494" s="1">
        <f t="shared" si="380"/>
        <v>0</v>
      </c>
      <c r="AH494" s="1">
        <f t="shared" si="381"/>
        <v>0</v>
      </c>
      <c r="AI494" s="1">
        <f t="shared" si="382"/>
        <v>0</v>
      </c>
    </row>
    <row r="495" spans="1:35" ht="14.25" customHeight="1" x14ac:dyDescent="0.3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275</v>
      </c>
      <c r="G495" s="32" t="s">
        <v>193</v>
      </c>
      <c r="H495" s="32" t="s">
        <v>352</v>
      </c>
      <c r="I495" s="31" t="s">
        <v>429</v>
      </c>
      <c r="J495" s="31">
        <v>9</v>
      </c>
      <c r="K495" s="33" t="s">
        <v>708</v>
      </c>
      <c r="L495" s="33" t="s">
        <v>725</v>
      </c>
      <c r="M495" s="34" t="s">
        <v>1435</v>
      </c>
      <c r="N495" s="34" t="s">
        <v>1743</v>
      </c>
      <c r="O495" s="35">
        <v>1</v>
      </c>
      <c r="P495" s="35"/>
      <c r="Q495" s="32"/>
      <c r="S495" s="1">
        <f t="shared" si="383"/>
        <v>0</v>
      </c>
      <c r="T495" s="1">
        <f t="shared" si="384"/>
        <v>0</v>
      </c>
      <c r="U495" s="1">
        <f t="shared" si="385"/>
        <v>0</v>
      </c>
      <c r="V495" s="1">
        <f t="shared" si="386"/>
        <v>0</v>
      </c>
      <c r="W495" s="1">
        <f t="shared" si="387"/>
        <v>0</v>
      </c>
      <c r="X495" s="1">
        <f t="shared" si="388"/>
        <v>0</v>
      </c>
      <c r="Y495" s="1">
        <f t="shared" si="389"/>
        <v>0</v>
      </c>
      <c r="Z495" s="1">
        <f t="shared" si="390"/>
        <v>0</v>
      </c>
      <c r="AA495" s="1">
        <f t="shared" si="391"/>
        <v>1</v>
      </c>
      <c r="AB495" s="1">
        <f t="shared" si="392"/>
        <v>0</v>
      </c>
      <c r="AD495" s="1">
        <f t="shared" si="393"/>
        <v>0</v>
      </c>
      <c r="AE495" s="1">
        <f t="shared" si="394"/>
        <v>1</v>
      </c>
      <c r="AF495" s="1">
        <f t="shared" si="379"/>
        <v>0</v>
      </c>
      <c r="AG495" s="1">
        <f t="shared" si="380"/>
        <v>0</v>
      </c>
      <c r="AH495" s="1">
        <f t="shared" si="381"/>
        <v>0</v>
      </c>
      <c r="AI495" s="1">
        <f t="shared" si="382"/>
        <v>0</v>
      </c>
    </row>
    <row r="496" spans="1:35" ht="14.25" customHeight="1" x14ac:dyDescent="0.3">
      <c r="A496" s="44">
        <v>0</v>
      </c>
      <c r="B496" s="44">
        <v>2</v>
      </c>
      <c r="C496" s="44">
        <v>7</v>
      </c>
      <c r="D496" s="45" t="s">
        <v>1556</v>
      </c>
      <c r="E496" s="45" t="s">
        <v>28</v>
      </c>
      <c r="F496" s="45" t="s">
        <v>1557</v>
      </c>
      <c r="G496" s="45" t="s">
        <v>237</v>
      </c>
      <c r="H496" s="45" t="s">
        <v>352</v>
      </c>
      <c r="I496" s="44" t="s">
        <v>1690</v>
      </c>
      <c r="J496" s="44">
        <v>4</v>
      </c>
      <c r="K496" s="46" t="s">
        <v>709</v>
      </c>
      <c r="L496" s="46" t="s">
        <v>709</v>
      </c>
      <c r="M496" s="47" t="s">
        <v>727</v>
      </c>
      <c r="N496" s="47" t="s">
        <v>1730</v>
      </c>
      <c r="O496" s="48"/>
      <c r="P496" s="48"/>
      <c r="Q496" s="45"/>
      <c r="S496" s="1">
        <f t="shared" ref="S496:S497" si="395">IF(J496=$S$7,1,0)</f>
        <v>0</v>
      </c>
      <c r="T496" s="1">
        <f t="shared" ref="T496:T497" si="396">IF(J496=$T$7,1,0)</f>
        <v>0</v>
      </c>
      <c r="U496" s="1">
        <f t="shared" ref="U496:U497" si="397">IF(J496=$U$7,1,0)</f>
        <v>0</v>
      </c>
      <c r="V496" s="1">
        <f t="shared" ref="V496:V497" si="398">IF(J496=$V$7,1,0)</f>
        <v>1</v>
      </c>
      <c r="W496" s="1">
        <f t="shared" ref="W496:W497" si="399">IF(J496=$W$7,1,0)</f>
        <v>0</v>
      </c>
      <c r="X496" s="1">
        <f t="shared" ref="X496:X497" si="400">IF(J496=$X$7,1,0)</f>
        <v>0</v>
      </c>
      <c r="Y496" s="1">
        <f t="shared" ref="Y496:Y497" si="401">IF(J496=$Y$7,1,0)</f>
        <v>0</v>
      </c>
      <c r="Z496" s="1">
        <f t="shared" ref="Z496:Z497" si="402">IF(J496=$Z$7,1,0)</f>
        <v>0</v>
      </c>
      <c r="AA496" s="1">
        <f t="shared" ref="AA496:AA497" si="403">IF(J496=$AA$7,1,0)</f>
        <v>0</v>
      </c>
      <c r="AB496" s="1">
        <f t="shared" ref="AB496:AB497" si="404">IF(J496=$AB$7,1,0)</f>
        <v>0</v>
      </c>
      <c r="AD496" s="1">
        <f t="shared" ref="AD496:AD497" si="405">+O496*P496</f>
        <v>0</v>
      </c>
      <c r="AE496" s="1">
        <f t="shared" ref="AE496:AE497" si="406">O496*(1-P496)</f>
        <v>0</v>
      </c>
      <c r="AF496" s="1">
        <f t="shared" ref="AF496:AF497" si="407">+O496*P496*(1-A496)</f>
        <v>0</v>
      </c>
      <c r="AG496" s="1">
        <f t="shared" ref="AG496:AG497" si="408">O496*(1-P496)*(1-A496)</f>
        <v>0</v>
      </c>
      <c r="AH496" s="1">
        <f t="shared" ref="AH496:AH497" si="409">+P496*(1-A496)</f>
        <v>0</v>
      </c>
      <c r="AI496" s="1">
        <f t="shared" ref="AI496:AI497" si="410">+(1-A496)*(1-P496)</f>
        <v>1</v>
      </c>
    </row>
    <row r="497" spans="1:35" ht="14.25" customHeight="1" x14ac:dyDescent="0.3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235</v>
      </c>
      <c r="G497" s="45" t="s">
        <v>199</v>
      </c>
      <c r="H497" s="45" t="s">
        <v>352</v>
      </c>
      <c r="I497" s="44" t="s">
        <v>400</v>
      </c>
      <c r="J497" s="44">
        <v>2</v>
      </c>
      <c r="K497" s="46" t="s">
        <v>709</v>
      </c>
      <c r="L497" s="46" t="s">
        <v>718</v>
      </c>
      <c r="M497" s="47" t="s">
        <v>731</v>
      </c>
      <c r="N497" s="47" t="s">
        <v>1730</v>
      </c>
      <c r="O497" s="48"/>
      <c r="P497" s="48"/>
      <c r="Q497" s="45"/>
      <c r="S497" s="1">
        <f t="shared" si="395"/>
        <v>0</v>
      </c>
      <c r="T497" s="1">
        <f t="shared" si="396"/>
        <v>1</v>
      </c>
      <c r="U497" s="1">
        <f t="shared" si="397"/>
        <v>0</v>
      </c>
      <c r="V497" s="1">
        <f t="shared" si="398"/>
        <v>0</v>
      </c>
      <c r="W497" s="1">
        <f t="shared" si="399"/>
        <v>0</v>
      </c>
      <c r="X497" s="1">
        <f t="shared" si="400"/>
        <v>0</v>
      </c>
      <c r="Y497" s="1">
        <f t="shared" si="401"/>
        <v>0</v>
      </c>
      <c r="Z497" s="1">
        <f t="shared" si="402"/>
        <v>0</v>
      </c>
      <c r="AA497" s="1">
        <f t="shared" si="403"/>
        <v>0</v>
      </c>
      <c r="AB497" s="1">
        <f t="shared" si="404"/>
        <v>0</v>
      </c>
      <c r="AD497" s="1">
        <f t="shared" si="405"/>
        <v>0</v>
      </c>
      <c r="AE497" s="1">
        <f t="shared" si="406"/>
        <v>0</v>
      </c>
      <c r="AF497" s="1">
        <f t="shared" si="407"/>
        <v>0</v>
      </c>
      <c r="AG497" s="1">
        <f t="shared" si="408"/>
        <v>0</v>
      </c>
      <c r="AH497" s="1">
        <f t="shared" si="409"/>
        <v>0</v>
      </c>
      <c r="AI497" s="1">
        <f t="shared" si="410"/>
        <v>1</v>
      </c>
    </row>
    <row r="498" spans="1:35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3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3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2026-08-01T16:23:50Z</dcterms:modified>
</cp:coreProperties>
</file>