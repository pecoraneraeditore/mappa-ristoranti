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EE14665-07C6-48DF-9E3C-570EC90F310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6" l="1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6" i="6"/>
  <c r="S475" i="6"/>
  <c r="S474" i="6"/>
  <c r="S473" i="6"/>
  <c r="S472" i="6"/>
  <c r="S471" i="6"/>
  <c r="S470" i="6"/>
  <c r="S469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1" i="6"/>
  <c r="T476" i="6"/>
  <c r="T473" i="6"/>
  <c r="T475" i="6"/>
  <c r="T472" i="6"/>
  <c r="T474" i="6"/>
  <c r="T478" i="6"/>
  <c r="T477" i="6"/>
  <c r="T470" i="6"/>
  <c r="T469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458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1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7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2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7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59" i="6"/>
  <c r="T442" i="6"/>
  <c r="U185" i="6" l="1"/>
  <c r="U51" i="6"/>
  <c r="U52" i="6"/>
  <c r="U53" i="6"/>
  <c r="U471" i="6"/>
  <c r="U477" i="6"/>
  <c r="U478" i="6"/>
  <c r="U474" i="6"/>
  <c r="U472" i="6"/>
  <c r="U475" i="6"/>
  <c r="U473" i="6"/>
  <c r="U476" i="6"/>
  <c r="U190" i="6"/>
  <c r="U469" i="6"/>
  <c r="U470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458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3" i="6"/>
  <c r="U468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457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6" i="6"/>
  <c r="U123" i="6"/>
  <c r="U61" i="6"/>
  <c r="U8" i="6"/>
  <c r="U428" i="6"/>
  <c r="U350" i="6"/>
  <c r="U39" i="6"/>
  <c r="U220" i="6"/>
  <c r="U442" i="6"/>
  <c r="U86" i="6"/>
  <c r="U84" i="6"/>
  <c r="U460" i="6"/>
  <c r="U414" i="6"/>
  <c r="U459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7" i="6"/>
  <c r="U451" i="6"/>
  <c r="U126" i="6"/>
  <c r="U430" i="6"/>
  <c r="U217" i="6"/>
  <c r="U434" i="6"/>
  <c r="U186" i="6"/>
  <c r="U73" i="6"/>
  <c r="U465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1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1" i="6"/>
  <c r="V471" i="6"/>
  <c r="V477" i="6"/>
  <c r="V478" i="6"/>
  <c r="V474" i="6"/>
  <c r="V472" i="6"/>
  <c r="V475" i="6"/>
  <c r="V473" i="6"/>
  <c r="V476" i="6"/>
  <c r="V375" i="6"/>
  <c r="V187" i="6"/>
  <c r="V457" i="6"/>
  <c r="V351" i="6"/>
  <c r="V236" i="6"/>
  <c r="V190" i="6"/>
  <c r="V469" i="6"/>
  <c r="V470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2" i="6"/>
  <c r="V463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4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68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7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2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459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5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460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6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6" i="6"/>
  <c r="W471" i="6"/>
  <c r="W477" i="6"/>
  <c r="W478" i="6"/>
  <c r="W474" i="6"/>
  <c r="W472" i="6"/>
  <c r="W475" i="6"/>
  <c r="W473" i="6"/>
  <c r="W190" i="6"/>
  <c r="W469" i="6"/>
  <c r="W470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7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60" i="6"/>
  <c r="W427" i="6"/>
  <c r="W252" i="6"/>
  <c r="W462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4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68" i="6"/>
  <c r="W26" i="6"/>
  <c r="W50" i="6"/>
  <c r="W78" i="6"/>
  <c r="W112" i="6"/>
  <c r="W293" i="6"/>
  <c r="W459" i="6"/>
  <c r="W213" i="6"/>
  <c r="W399" i="6"/>
  <c r="W125" i="6"/>
  <c r="W344" i="6"/>
  <c r="W54" i="6"/>
  <c r="W270" i="6"/>
  <c r="W284" i="6"/>
  <c r="X7" i="6"/>
  <c r="W236" i="6"/>
  <c r="W458" i="6"/>
  <c r="W297" i="6"/>
  <c r="W296" i="6"/>
  <c r="W254" i="6"/>
  <c r="W341" i="6"/>
  <c r="W367" i="6"/>
  <c r="W364" i="6"/>
  <c r="W362" i="6"/>
  <c r="W389" i="6"/>
  <c r="W409" i="6"/>
  <c r="W402" i="6"/>
  <c r="W440" i="6"/>
  <c r="W465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1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57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6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6" i="6"/>
  <c r="X471" i="6"/>
  <c r="X477" i="6"/>
  <c r="X478" i="6"/>
  <c r="X474" i="6"/>
  <c r="X472" i="6"/>
  <c r="X475" i="6"/>
  <c r="X473" i="6"/>
  <c r="X190" i="6"/>
  <c r="X469" i="6"/>
  <c r="X470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4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3" i="6"/>
  <c r="X284" i="6"/>
  <c r="X166" i="6"/>
  <c r="X87" i="6"/>
  <c r="W5" i="6"/>
  <c r="X465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459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458" i="6"/>
  <c r="X9" i="6"/>
  <c r="X361" i="6"/>
  <c r="X450" i="6"/>
  <c r="X300" i="6"/>
  <c r="X255" i="6"/>
  <c r="X396" i="6"/>
  <c r="X440" i="6"/>
  <c r="X117" i="6"/>
  <c r="X179" i="6"/>
  <c r="X270" i="6"/>
  <c r="X462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1" i="6"/>
  <c r="X407" i="6"/>
  <c r="X327" i="6"/>
  <c r="X406" i="6"/>
  <c r="X467" i="6"/>
  <c r="X73" i="6"/>
  <c r="X254" i="6"/>
  <c r="X370" i="6"/>
  <c r="X11" i="6"/>
  <c r="X457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68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4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6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3" i="6"/>
  <c r="Y476" i="6"/>
  <c r="Y471" i="6"/>
  <c r="Y477" i="6"/>
  <c r="Y478" i="6"/>
  <c r="Y474" i="6"/>
  <c r="Y472" i="6"/>
  <c r="Y475" i="6"/>
  <c r="Y469" i="6"/>
  <c r="Y470" i="6"/>
  <c r="Y100" i="6"/>
  <c r="Y362" i="6"/>
  <c r="Y134" i="6"/>
  <c r="Y190" i="6"/>
  <c r="Y462" i="6"/>
  <c r="Y396" i="6"/>
  <c r="Y393" i="6"/>
  <c r="Y143" i="6"/>
  <c r="Y41" i="6"/>
  <c r="Y73" i="6"/>
  <c r="Y459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6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1" i="6"/>
  <c r="Y341" i="6"/>
  <c r="Y306" i="6"/>
  <c r="Y43" i="6"/>
  <c r="Y347" i="6"/>
  <c r="Y248" i="6"/>
  <c r="Y376" i="6"/>
  <c r="Y303" i="6"/>
  <c r="Y454" i="6"/>
  <c r="Y458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68" i="6"/>
  <c r="Y467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5" i="6"/>
  <c r="Y186" i="6"/>
  <c r="Y230" i="6"/>
  <c r="Y307" i="6"/>
  <c r="Y299" i="6"/>
  <c r="Y291" i="6"/>
  <c r="Y267" i="6"/>
  <c r="Y318" i="6"/>
  <c r="Y460" i="6"/>
  <c r="Y455" i="6"/>
  <c r="Y274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4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3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3" i="6"/>
  <c r="Z476" i="6"/>
  <c r="Z471" i="6"/>
  <c r="Z477" i="6"/>
  <c r="Z478" i="6"/>
  <c r="Z474" i="6"/>
  <c r="Z472" i="6"/>
  <c r="Z475" i="6"/>
  <c r="Z157" i="6"/>
  <c r="Z190" i="6"/>
  <c r="Z469" i="6"/>
  <c r="Z470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458" i="6"/>
  <c r="Z341" i="6"/>
  <c r="Z442" i="6"/>
  <c r="Z422" i="6"/>
  <c r="Z268" i="6"/>
  <c r="Z434" i="6"/>
  <c r="Z141" i="6"/>
  <c r="Z461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0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5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68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457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4" i="6"/>
  <c r="Z153" i="6"/>
  <c r="Z152" i="6"/>
  <c r="Z149" i="6"/>
  <c r="Z292" i="6"/>
  <c r="Z89" i="6"/>
  <c r="Z316" i="6"/>
  <c r="Z387" i="6"/>
  <c r="Z211" i="6"/>
  <c r="AA7" i="6"/>
  <c r="Z87" i="6"/>
  <c r="Z333" i="6"/>
  <c r="Z462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7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6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459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3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3" i="6"/>
  <c r="AA476" i="6"/>
  <c r="AA471" i="6"/>
  <c r="AA477" i="6"/>
  <c r="AA478" i="6"/>
  <c r="AA474" i="6"/>
  <c r="AA472" i="6"/>
  <c r="AA475" i="6"/>
  <c r="AA190" i="6"/>
  <c r="AA470" i="6"/>
  <c r="AA469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459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457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3" i="6"/>
  <c r="AA453" i="6"/>
  <c r="AA139" i="6"/>
  <c r="AA76" i="6"/>
  <c r="AA192" i="6"/>
  <c r="AA270" i="6"/>
  <c r="AA345" i="6"/>
  <c r="AA425" i="6"/>
  <c r="AA468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7" i="6"/>
  <c r="AA88" i="6"/>
  <c r="AA246" i="6"/>
  <c r="AA42" i="6"/>
  <c r="AA465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58" i="6"/>
  <c r="AA447" i="6"/>
  <c r="AA381" i="6"/>
  <c r="AA464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1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6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460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2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3" i="6"/>
  <c r="AB476" i="6"/>
  <c r="AB471" i="6"/>
  <c r="AB477" i="6"/>
  <c r="AB478" i="6"/>
  <c r="AB474" i="6"/>
  <c r="AB472" i="6"/>
  <c r="AB475" i="6"/>
  <c r="AB190" i="6"/>
  <c r="AB470" i="6"/>
  <c r="AB469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7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6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60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5" i="6"/>
  <c r="AB228" i="6"/>
  <c r="AB9" i="6"/>
  <c r="AB106" i="6"/>
  <c r="AB54" i="6"/>
  <c r="AB459" i="6"/>
  <c r="AB187" i="6"/>
  <c r="AB447" i="6"/>
  <c r="AB462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68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458" i="6"/>
  <c r="AB35" i="6"/>
  <c r="AB19" i="6"/>
  <c r="AB227" i="6"/>
  <c r="AB242" i="6"/>
  <c r="AB299" i="6"/>
  <c r="AB314" i="6"/>
  <c r="AB461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3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4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457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<sst xmlns="http://schemas.openxmlformats.org/spreadsheetml/2006/main" count="4563" uniqueCount="2007">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</sst>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49" activePane="bottomLeft" state="frozen"/>
      <selection pane="bottomLeft" activeCell="O68" sqref="O6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82</v>
      </c>
      <c r="G3" s="5">
        <f>+AF6</f>
        <v>81</v>
      </c>
      <c r="H3" s="5">
        <f>+E3-G3</f>
        <v>29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142</v>
      </c>
      <c r="G4" s="7">
        <f>+AG6</f>
        <v>125</v>
      </c>
      <c r="H4" s="5">
        <f>+E4-G4</f>
        <v>200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224</v>
      </c>
      <c r="G5" s="8">
        <f>+G3+G4</f>
        <v>206</v>
      </c>
      <c r="H5" s="8">
        <f>+H3+H4</f>
        <v>229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82</v>
      </c>
      <c r="AE6" s="1">
        <f t="shared" si="1"/>
        <v>142</v>
      </c>
      <c r="AF6" s="1">
        <f t="shared" si="1"/>
        <v>81</v>
      </c>
      <c r="AG6" s="1">
        <f t="shared" si="1"/>
        <v>125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6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6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6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6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6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6" s="2" customFormat="1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R54" s="1"/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C54" s="1"/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  <c r="AJ54" s="1"/>
    </row>
    <row r="55" spans="1:36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6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6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6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6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6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6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6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6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6" s="2" customFormat="1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R64" s="1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C64" s="1"/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  <c r="AJ64" s="1"/>
    </row>
    <row r="65" spans="1:36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6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6" s="2" customFormat="1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R67" s="1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C67" s="1"/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  <c r="AJ67" s="1"/>
    </row>
    <row r="68" spans="1:36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6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6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6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6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6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6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6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6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6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6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6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6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1244</v>
      </c>
      <c r="E132" s="16" t="s">
        <v>1246</v>
      </c>
      <c r="F132" s="16" t="s">
        <v>1247</v>
      </c>
      <c r="G132" s="16" t="s">
        <v>39</v>
      </c>
      <c r="H132" s="16" t="s">
        <v>369</v>
      </c>
      <c r="I132" s="15" t="s">
        <v>1245</v>
      </c>
      <c r="J132" s="15">
        <v>14</v>
      </c>
      <c r="K132" s="10" t="s">
        <v>958</v>
      </c>
      <c r="L132" s="10" t="s">
        <v>687</v>
      </c>
      <c r="M132" s="19" t="s">
        <v>1396</v>
      </c>
      <c r="N132" s="17"/>
      <c r="Q132" s="16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8" si="185">+O395*P395*(1-A395)</f>
        <v>0</v>
      </c>
      <c r="AG395" s="1">
        <f t="shared" ref="AG395:AG458" si="186">O395*(1-P395)*(1-A395)</f>
        <v>0</v>
      </c>
      <c r="AH395" s="1">
        <f t="shared" ref="AH395:AH458" si="187">+P395*(1-A395)</f>
        <v>0</v>
      </c>
      <c r="AI395" s="1">
        <f t="shared" ref="AI395:AI458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5" si="189">IF(J399=$S$7,1,0)</f>
        <v>0</v>
      </c>
      <c r="T399" s="1">
        <f t="shared" ref="T399:T465" si="190">IF(J399=$T$7,1,0)</f>
        <v>0</v>
      </c>
      <c r="U399" s="1">
        <f t="shared" ref="U399:U465" si="191">IF(J399=$U$7,1,0)</f>
        <v>0</v>
      </c>
      <c r="V399" s="1">
        <f t="shared" ref="V399:V465" si="192">IF(J399=$V$7,1,0)</f>
        <v>0</v>
      </c>
      <c r="W399" s="1">
        <f t="shared" ref="W399:W465" si="193">IF(J399=$W$7,1,0)</f>
        <v>0</v>
      </c>
      <c r="X399" s="1">
        <f t="shared" ref="X399:X465" si="194">IF(J399=$X$7,1,0)</f>
        <v>0</v>
      </c>
      <c r="Y399" s="1">
        <f t="shared" ref="Y399:Y465" si="195">IF(J399=$Y$7,1,0)</f>
        <v>0</v>
      </c>
      <c r="Z399" s="1">
        <f t="shared" ref="Z399:Z465" si="196">IF(J399=$Z$7,1,0)</f>
        <v>0</v>
      </c>
      <c r="AA399" s="1">
        <f t="shared" ref="AA399:AA465" si="197">IF(J399=$AA$7,1,0)</f>
        <v>0</v>
      </c>
      <c r="AB399" s="1">
        <f t="shared" ref="AB399:AB465" si="198">IF(J399=$AB$7,1,0)</f>
        <v>0</v>
      </c>
      <c r="AD399" s="1">
        <f t="shared" ref="AD399:AD465" si="199">+O399*P399</f>
        <v>0</v>
      </c>
      <c r="AE399" s="1">
        <f t="shared" ref="AE399:AE465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si="189"/>
        <v>0</v>
      </c>
      <c r="T457" s="1">
        <f t="shared" si="190"/>
        <v>0</v>
      </c>
      <c r="U457" s="1">
        <f t="shared" si="191"/>
        <v>0</v>
      </c>
      <c r="V457" s="1">
        <f t="shared" si="192"/>
        <v>0</v>
      </c>
      <c r="W457" s="1">
        <f t="shared" si="193"/>
        <v>0</v>
      </c>
      <c r="X457" s="1">
        <f t="shared" si="194"/>
        <v>0</v>
      </c>
      <c r="Y457" s="1">
        <f t="shared" si="195"/>
        <v>0</v>
      </c>
      <c r="Z457" s="1">
        <f t="shared" si="196"/>
        <v>0</v>
      </c>
      <c r="AA457" s="1">
        <f t="shared" si="197"/>
        <v>0</v>
      </c>
      <c r="AB457" s="1">
        <f t="shared" si="198"/>
        <v>0</v>
      </c>
      <c r="AD457" s="1">
        <f t="shared" ref="AD457:AD460" si="219">+O457*P457</f>
        <v>0</v>
      </c>
      <c r="AE457" s="1">
        <f t="shared" ref="AE457:AE460" si="220">O457*(1-P457)</f>
        <v>0</v>
      </c>
      <c r="AF457" s="1">
        <f t="shared" si="185"/>
        <v>0</v>
      </c>
      <c r="AG457" s="1">
        <f t="shared" si="186"/>
        <v>0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1858</v>
      </c>
      <c r="E458" s="16" t="s">
        <v>156</v>
      </c>
      <c r="F458" s="20" t="s">
        <v>1859</v>
      </c>
      <c r="G458" s="20" t="s">
        <v>283</v>
      </c>
      <c r="H458" s="20" t="s">
        <v>354</v>
      </c>
      <c r="I458" s="21" t="s">
        <v>1860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Q458" s="20"/>
      <c r="S458" s="1">
        <f t="shared" si="189"/>
        <v>0</v>
      </c>
      <c r="T458" s="1">
        <f t="shared" si="190"/>
        <v>0</v>
      </c>
      <c r="U458" s="1">
        <f t="shared" si="191"/>
        <v>0</v>
      </c>
      <c r="V458" s="1">
        <f t="shared" si="192"/>
        <v>0</v>
      </c>
      <c r="W458" s="1">
        <f t="shared" si="193"/>
        <v>0</v>
      </c>
      <c r="X458" s="1">
        <f t="shared" si="194"/>
        <v>0</v>
      </c>
      <c r="Y458" s="1">
        <f t="shared" si="195"/>
        <v>0</v>
      </c>
      <c r="Z458" s="1">
        <f t="shared" si="196"/>
        <v>0</v>
      </c>
      <c r="AA458" s="1">
        <f t="shared" si="197"/>
        <v>0</v>
      </c>
      <c r="AB458" s="1">
        <f t="shared" si="198"/>
        <v>0</v>
      </c>
      <c r="AD458" s="1">
        <f t="shared" si="219"/>
        <v>0</v>
      </c>
      <c r="AE458" s="1">
        <f t="shared" si="220"/>
        <v>0</v>
      </c>
      <c r="AF458" s="1">
        <f t="shared" si="185"/>
        <v>0</v>
      </c>
      <c r="AG458" s="1">
        <f t="shared" si="186"/>
        <v>0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163</v>
      </c>
      <c r="F459" s="35" t="s">
        <v>227</v>
      </c>
      <c r="G459" s="35" t="s">
        <v>190</v>
      </c>
      <c r="H459" s="35" t="s">
        <v>354</v>
      </c>
      <c r="I459" s="34" t="s">
        <v>399</v>
      </c>
      <c r="J459" s="34">
        <v>99</v>
      </c>
      <c r="K459" s="36" t="s">
        <v>713</v>
      </c>
      <c r="L459" s="36" t="s">
        <v>722</v>
      </c>
      <c r="M459" s="37" t="s">
        <v>732</v>
      </c>
      <c r="N459" s="37" t="s">
        <v>1748</v>
      </c>
      <c r="O459" s="38">
        <v>1</v>
      </c>
      <c r="P459" s="38"/>
      <c r="Q459" s="35"/>
      <c r="S459" s="1">
        <f t="shared" si="189"/>
        <v>0</v>
      </c>
      <c r="T459" s="1">
        <f t="shared" si="190"/>
        <v>0</v>
      </c>
      <c r="U459" s="1">
        <f t="shared" si="191"/>
        <v>0</v>
      </c>
      <c r="V459" s="1">
        <f t="shared" si="192"/>
        <v>0</v>
      </c>
      <c r="W459" s="1">
        <f t="shared" si="193"/>
        <v>0</v>
      </c>
      <c r="X459" s="1">
        <f t="shared" si="194"/>
        <v>0</v>
      </c>
      <c r="Y459" s="1">
        <f t="shared" si="195"/>
        <v>0</v>
      </c>
      <c r="Z459" s="1">
        <f t="shared" si="196"/>
        <v>0</v>
      </c>
      <c r="AA459" s="1">
        <f t="shared" si="197"/>
        <v>0</v>
      </c>
      <c r="AB459" s="1">
        <f t="shared" si="198"/>
        <v>0</v>
      </c>
      <c r="AD459" s="1">
        <f t="shared" si="219"/>
        <v>0</v>
      </c>
      <c r="AE459" s="1">
        <f t="shared" si="220"/>
        <v>1</v>
      </c>
      <c r="AF459" s="1">
        <f t="shared" ref="AF459:AF476" si="221">+O459*P459*(1-A459)</f>
        <v>0</v>
      </c>
      <c r="AG459" s="1">
        <f t="shared" ref="AG459:AG476" si="222">O459*(1-P459)*(1-A459)</f>
        <v>1</v>
      </c>
      <c r="AH459" s="1">
        <f t="shared" ref="AH459:AH476" si="223">+P459*(1-A459)</f>
        <v>0</v>
      </c>
      <c r="AI459" s="1">
        <f t="shared" ref="AI459:AI476" si="224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1329</v>
      </c>
      <c r="E460" s="35" t="s">
        <v>156</v>
      </c>
      <c r="F460" s="35" t="s">
        <v>1143</v>
      </c>
      <c r="G460" s="35" t="s">
        <v>192</v>
      </c>
      <c r="H460" s="35" t="s">
        <v>354</v>
      </c>
      <c r="I460" s="34" t="s">
        <v>1369</v>
      </c>
      <c r="J460" s="34">
        <v>99</v>
      </c>
      <c r="K460" s="36" t="s">
        <v>712</v>
      </c>
      <c r="L460" s="36" t="s">
        <v>39</v>
      </c>
      <c r="M460" s="37" t="s">
        <v>39</v>
      </c>
      <c r="N460" s="37" t="s">
        <v>1727</v>
      </c>
      <c r="O460" s="38">
        <v>1</v>
      </c>
      <c r="P460" s="38">
        <v>1</v>
      </c>
      <c r="Q460" s="35"/>
      <c r="S460" s="1">
        <f t="shared" si="189"/>
        <v>0</v>
      </c>
      <c r="T460" s="1">
        <f t="shared" si="190"/>
        <v>0</v>
      </c>
      <c r="U460" s="1">
        <f t="shared" si="191"/>
        <v>0</v>
      </c>
      <c r="V460" s="1">
        <f t="shared" si="192"/>
        <v>0</v>
      </c>
      <c r="W460" s="1">
        <f t="shared" si="193"/>
        <v>0</v>
      </c>
      <c r="X460" s="1">
        <f t="shared" si="194"/>
        <v>0</v>
      </c>
      <c r="Y460" s="1">
        <f t="shared" si="195"/>
        <v>0</v>
      </c>
      <c r="Z460" s="1">
        <f t="shared" si="196"/>
        <v>0</v>
      </c>
      <c r="AA460" s="1">
        <f t="shared" si="197"/>
        <v>0</v>
      </c>
      <c r="AB460" s="1">
        <f t="shared" si="198"/>
        <v>0</v>
      </c>
      <c r="AD460" s="1">
        <f t="shared" si="219"/>
        <v>1</v>
      </c>
      <c r="AE460" s="1">
        <f t="shared" si="220"/>
        <v>0</v>
      </c>
      <c r="AF460" s="1">
        <f t="shared" si="221"/>
        <v>1</v>
      </c>
      <c r="AG460" s="1">
        <f t="shared" si="222"/>
        <v>0</v>
      </c>
      <c r="AH460" s="1">
        <f t="shared" si="223"/>
        <v>1</v>
      </c>
      <c r="AI460" s="1">
        <f t="shared" si="224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589</v>
      </c>
      <c r="E461" s="35" t="s">
        <v>1337</v>
      </c>
      <c r="F461" s="35" t="s">
        <v>676</v>
      </c>
      <c r="G461" s="35" t="s">
        <v>240</v>
      </c>
      <c r="H461" s="35" t="s">
        <v>354</v>
      </c>
      <c r="I461" s="34" t="s">
        <v>405</v>
      </c>
      <c r="J461" s="34">
        <v>1</v>
      </c>
      <c r="K461" s="36" t="s">
        <v>713</v>
      </c>
      <c r="L461" s="36" t="s">
        <v>1711</v>
      </c>
      <c r="M461" s="37" t="s">
        <v>1439</v>
      </c>
      <c r="N461" s="37" t="s">
        <v>1748</v>
      </c>
      <c r="O461" s="38">
        <v>1</v>
      </c>
      <c r="P461" s="38"/>
      <c r="Q461" s="35"/>
      <c r="S461" s="1">
        <f t="shared" si="189"/>
        <v>1</v>
      </c>
      <c r="T461" s="1">
        <f t="shared" si="190"/>
        <v>0</v>
      </c>
      <c r="U461" s="1">
        <f t="shared" si="191"/>
        <v>0</v>
      </c>
      <c r="V461" s="1">
        <f t="shared" si="192"/>
        <v>0</v>
      </c>
      <c r="W461" s="1">
        <f t="shared" si="193"/>
        <v>0</v>
      </c>
      <c r="X461" s="1">
        <f t="shared" si="194"/>
        <v>0</v>
      </c>
      <c r="Y461" s="1">
        <f t="shared" si="195"/>
        <v>0</v>
      </c>
      <c r="Z461" s="1">
        <f t="shared" si="196"/>
        <v>0</v>
      </c>
      <c r="AA461" s="1">
        <f t="shared" si="197"/>
        <v>0</v>
      </c>
      <c r="AB461" s="1">
        <f t="shared" si="198"/>
        <v>0</v>
      </c>
      <c r="AD461" s="1">
        <f t="shared" ref="AD461" si="225">+O461*P461</f>
        <v>0</v>
      </c>
      <c r="AE461" s="1">
        <f t="shared" ref="AE461" si="226">O461*(1-P461)</f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589</v>
      </c>
      <c r="E462" s="35" t="s">
        <v>1337</v>
      </c>
      <c r="F462" s="35" t="s">
        <v>239</v>
      </c>
      <c r="G462" s="35" t="s">
        <v>178</v>
      </c>
      <c r="H462" s="35" t="s">
        <v>354</v>
      </c>
      <c r="I462" s="34" t="s">
        <v>404</v>
      </c>
      <c r="J462" s="34">
        <v>1</v>
      </c>
      <c r="K462" s="36" t="s">
        <v>713</v>
      </c>
      <c r="L462" s="36" t="s">
        <v>1711</v>
      </c>
      <c r="M462" s="37" t="s">
        <v>1439</v>
      </c>
      <c r="N462" s="37" t="s">
        <v>1748</v>
      </c>
      <c r="O462" s="38">
        <v>1</v>
      </c>
      <c r="P462" s="38"/>
      <c r="Q462" s="39" t="s">
        <v>1911</v>
      </c>
      <c r="S462" s="1">
        <f t="shared" si="189"/>
        <v>1</v>
      </c>
      <c r="T462" s="1">
        <f t="shared" si="190"/>
        <v>0</v>
      </c>
      <c r="U462" s="1">
        <f t="shared" si="191"/>
        <v>0</v>
      </c>
      <c r="V462" s="1">
        <f t="shared" si="192"/>
        <v>0</v>
      </c>
      <c r="W462" s="1">
        <f t="shared" si="193"/>
        <v>0</v>
      </c>
      <c r="X462" s="1">
        <f t="shared" si="194"/>
        <v>0</v>
      </c>
      <c r="Y462" s="1">
        <f t="shared" si="195"/>
        <v>0</v>
      </c>
      <c r="Z462" s="1">
        <f t="shared" si="196"/>
        <v>0</v>
      </c>
      <c r="AA462" s="1">
        <f t="shared" si="197"/>
        <v>0</v>
      </c>
      <c r="AB462" s="1">
        <f t="shared" si="198"/>
        <v>0</v>
      </c>
      <c r="AD462" s="1">
        <f t="shared" si="199"/>
        <v>0</v>
      </c>
      <c r="AE462" s="1">
        <f t="shared" si="200"/>
        <v>1</v>
      </c>
      <c r="AF462" s="1">
        <f t="shared" si="221"/>
        <v>0</v>
      </c>
      <c r="AG462" s="1">
        <f t="shared" si="222"/>
        <v>0</v>
      </c>
      <c r="AH462" s="1">
        <f t="shared" si="223"/>
        <v>0</v>
      </c>
      <c r="AI462" s="1">
        <f t="shared" si="22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1330</v>
      </c>
      <c r="E463" s="35" t="s">
        <v>156</v>
      </c>
      <c r="F463" s="35" t="s">
        <v>1356</v>
      </c>
      <c r="G463" s="35" t="s">
        <v>258</v>
      </c>
      <c r="H463" s="35" t="s">
        <v>354</v>
      </c>
      <c r="I463" s="34" t="s">
        <v>1239</v>
      </c>
      <c r="J463" s="34">
        <v>8</v>
      </c>
      <c r="K463" s="36" t="s">
        <v>955</v>
      </c>
      <c r="L463" s="36" t="s">
        <v>722</v>
      </c>
      <c r="M463" s="37" t="s">
        <v>732</v>
      </c>
      <c r="N463" s="37" t="s">
        <v>1748</v>
      </c>
      <c r="O463" s="38">
        <v>1</v>
      </c>
      <c r="P463" s="38"/>
      <c r="Q463" s="35"/>
      <c r="S463" s="1">
        <f t="shared" si="189"/>
        <v>0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1</v>
      </c>
      <c r="AA463" s="1">
        <f t="shared" si="197"/>
        <v>0</v>
      </c>
      <c r="AB463" s="1">
        <f t="shared" si="198"/>
        <v>0</v>
      </c>
      <c r="AD463" s="1">
        <f t="shared" si="199"/>
        <v>0</v>
      </c>
      <c r="AE463" s="1">
        <f t="shared" si="200"/>
        <v>1</v>
      </c>
      <c r="AF463" s="1">
        <f t="shared" si="221"/>
        <v>0</v>
      </c>
      <c r="AG463" s="1">
        <f t="shared" si="222"/>
        <v>1</v>
      </c>
      <c r="AH463" s="1">
        <f t="shared" si="223"/>
        <v>0</v>
      </c>
      <c r="AI463" s="1">
        <f t="shared" si="224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1330</v>
      </c>
      <c r="E464" s="35" t="s">
        <v>156</v>
      </c>
      <c r="F464" s="35" t="s">
        <v>1218</v>
      </c>
      <c r="G464" s="35" t="s">
        <v>218</v>
      </c>
      <c r="H464" s="35" t="s">
        <v>354</v>
      </c>
      <c r="I464" s="34" t="s">
        <v>1239</v>
      </c>
      <c r="J464" s="34">
        <v>99</v>
      </c>
      <c r="K464" s="36" t="s">
        <v>955</v>
      </c>
      <c r="L464" s="36" t="s">
        <v>722</v>
      </c>
      <c r="M464" s="37" t="s">
        <v>732</v>
      </c>
      <c r="N464" s="37" t="s">
        <v>1748</v>
      </c>
      <c r="O464" s="38">
        <v>1</v>
      </c>
      <c r="P464" s="38"/>
      <c r="Q464" s="35"/>
      <c r="S464" s="1">
        <f t="shared" si="189"/>
        <v>0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21"/>
        <v>0</v>
      </c>
      <c r="AG464" s="1">
        <f t="shared" si="222"/>
        <v>0</v>
      </c>
      <c r="AH464" s="1">
        <f t="shared" si="223"/>
        <v>0</v>
      </c>
      <c r="AI464" s="1">
        <f t="shared" si="224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1248</v>
      </c>
      <c r="E465" s="48" t="s">
        <v>156</v>
      </c>
      <c r="F465" s="48" t="s">
        <v>1250</v>
      </c>
      <c r="G465" s="48" t="s">
        <v>220</v>
      </c>
      <c r="H465" s="48" t="s">
        <v>354</v>
      </c>
      <c r="I465" s="47" t="s">
        <v>1370</v>
      </c>
      <c r="J465" s="47">
        <v>8</v>
      </c>
      <c r="K465" s="49" t="s">
        <v>954</v>
      </c>
      <c r="L465" s="49" t="s">
        <v>722</v>
      </c>
      <c r="M465" s="50" t="s">
        <v>732</v>
      </c>
      <c r="N465" s="50" t="s">
        <v>1735</v>
      </c>
      <c r="O465" s="51"/>
      <c r="P465" s="51"/>
      <c r="Q465" s="48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0</v>
      </c>
      <c r="AF465" s="1">
        <f t="shared" si="221"/>
        <v>0</v>
      </c>
      <c r="AG465" s="1">
        <f t="shared" si="222"/>
        <v>0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1248</v>
      </c>
      <c r="E466" s="48" t="s">
        <v>156</v>
      </c>
      <c r="F466" s="48" t="s">
        <v>1357</v>
      </c>
      <c r="G466" s="48" t="s">
        <v>39</v>
      </c>
      <c r="H466" s="48" t="s">
        <v>355</v>
      </c>
      <c r="I466" s="47" t="s">
        <v>1249</v>
      </c>
      <c r="J466" s="47">
        <v>99</v>
      </c>
      <c r="K466" s="49" t="s">
        <v>954</v>
      </c>
      <c r="L466" s="49" t="s">
        <v>722</v>
      </c>
      <c r="M466" s="50" t="s">
        <v>732</v>
      </c>
      <c r="N466" s="50" t="s">
        <v>1735</v>
      </c>
      <c r="O466" s="51"/>
      <c r="P466" s="51"/>
      <c r="Q466" s="68" t="s">
        <v>1904</v>
      </c>
      <c r="S466" s="1">
        <f t="shared" ref="S466:S476" si="227">IF(J466=$S$7,1,0)</f>
        <v>0</v>
      </c>
      <c r="T466" s="1">
        <f t="shared" ref="T466:T476" si="228">IF(J466=$T$7,1,0)</f>
        <v>0</v>
      </c>
      <c r="U466" s="1">
        <f t="shared" ref="U466:U476" si="229">IF(J466=$U$7,1,0)</f>
        <v>0</v>
      </c>
      <c r="V466" s="1">
        <f t="shared" ref="V466:V476" si="230">IF(J466=$V$7,1,0)</f>
        <v>0</v>
      </c>
      <c r="W466" s="1">
        <f t="shared" ref="W466:W476" si="231">IF(J466=$W$7,1,0)</f>
        <v>0</v>
      </c>
      <c r="X466" s="1">
        <f t="shared" ref="X466:X476" si="232">IF(J466=$X$7,1,0)</f>
        <v>0</v>
      </c>
      <c r="Y466" s="1">
        <f t="shared" ref="Y466:Y476" si="233">IF(J466=$Y$7,1,0)</f>
        <v>0</v>
      </c>
      <c r="Z466" s="1">
        <f t="shared" ref="Z466:Z476" si="234">IF(J466=$Z$7,1,0)</f>
        <v>0</v>
      </c>
      <c r="AA466" s="1">
        <f t="shared" ref="AA466:AA476" si="235">IF(J466=$AA$7,1,0)</f>
        <v>0</v>
      </c>
      <c r="AB466" s="1">
        <f t="shared" ref="AB466:AB476" si="236">IF(J466=$AB$7,1,0)</f>
        <v>0</v>
      </c>
      <c r="AD466" s="1">
        <f>+O466*P466</f>
        <v>0</v>
      </c>
      <c r="AE466" s="1">
        <f>O466*(1-P466)</f>
        <v>0</v>
      </c>
      <c r="AF466" s="1">
        <f t="shared" si="221"/>
        <v>0</v>
      </c>
      <c r="AG466" s="1">
        <f t="shared" si="222"/>
        <v>0</v>
      </c>
      <c r="AH466" s="1">
        <f t="shared" si="223"/>
        <v>0</v>
      </c>
      <c r="AI466" s="1">
        <f t="shared" si="224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1523</v>
      </c>
      <c r="G467" s="48" t="s">
        <v>235</v>
      </c>
      <c r="H467" s="48" t="s">
        <v>354</v>
      </c>
      <c r="I467" s="47" t="s">
        <v>1691</v>
      </c>
      <c r="J467" s="47">
        <v>99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227"/>
        <v>0</v>
      </c>
      <c r="T467" s="1">
        <f t="shared" si="228"/>
        <v>0</v>
      </c>
      <c r="U467" s="1">
        <f t="shared" si="229"/>
        <v>0</v>
      </c>
      <c r="V467" s="1">
        <f t="shared" si="230"/>
        <v>0</v>
      </c>
      <c r="W467" s="1">
        <f t="shared" si="231"/>
        <v>0</v>
      </c>
      <c r="X467" s="1">
        <f t="shared" si="232"/>
        <v>0</v>
      </c>
      <c r="Y467" s="1">
        <f t="shared" si="233"/>
        <v>0</v>
      </c>
      <c r="Z467" s="1">
        <f t="shared" si="234"/>
        <v>0</v>
      </c>
      <c r="AA467" s="1">
        <f t="shared" si="235"/>
        <v>0</v>
      </c>
      <c r="AB467" s="1">
        <f t="shared" si="236"/>
        <v>0</v>
      </c>
      <c r="AD467" s="1">
        <f>+O467*P467</f>
        <v>0</v>
      </c>
      <c r="AE467" s="1">
        <f>O467*(1-P467)</f>
        <v>0</v>
      </c>
      <c r="AF467" s="1">
        <f t="shared" si="221"/>
        <v>0</v>
      </c>
      <c r="AG467" s="1">
        <f t="shared" si="222"/>
        <v>0</v>
      </c>
      <c r="AH467" s="1">
        <f t="shared" si="223"/>
        <v>0</v>
      </c>
      <c r="AI467" s="1">
        <f t="shared" si="224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1850</v>
      </c>
      <c r="E468" s="35" t="s">
        <v>1851</v>
      </c>
      <c r="F468" s="35" t="s">
        <v>1852</v>
      </c>
      <c r="G468" s="35" t="s">
        <v>265</v>
      </c>
      <c r="H468" s="35" t="s">
        <v>354</v>
      </c>
      <c r="I468" s="34" t="s">
        <v>1853</v>
      </c>
      <c r="J468" s="34">
        <v>99</v>
      </c>
      <c r="K468" s="36" t="s">
        <v>703</v>
      </c>
      <c r="L468" s="36"/>
      <c r="M468" s="37"/>
      <c r="N468" s="37" t="s">
        <v>1727</v>
      </c>
      <c r="O468" s="38">
        <v>1</v>
      </c>
      <c r="P468" s="38">
        <v>1</v>
      </c>
      <c r="Q468" s="35"/>
      <c r="S468" s="1">
        <f t="shared" si="227"/>
        <v>0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D468" s="1">
        <f>+O468*P468</f>
        <v>1</v>
      </c>
      <c r="AE468" s="1">
        <f>O468*(1-P468)</f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1243</v>
      </c>
      <c r="E469" s="48" t="s">
        <v>28</v>
      </c>
      <c r="F469" s="48" t="s">
        <v>1236</v>
      </c>
      <c r="G469" s="48" t="s">
        <v>1237</v>
      </c>
      <c r="H469" s="48" t="s">
        <v>354</v>
      </c>
      <c r="I469" s="47" t="s">
        <v>1238</v>
      </c>
      <c r="J469" s="47">
        <v>99</v>
      </c>
      <c r="K469" s="49" t="s">
        <v>712</v>
      </c>
      <c r="L469" s="49" t="s">
        <v>713</v>
      </c>
      <c r="M469" s="50" t="s">
        <v>731</v>
      </c>
      <c r="N469" s="50" t="s">
        <v>1735</v>
      </c>
      <c r="O469" s="51"/>
      <c r="P469" s="51"/>
      <c r="Q469" s="48"/>
      <c r="S469" s="1">
        <f t="shared" si="227"/>
        <v>0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D469" s="1">
        <f t="shared" ref="AD469:AD476" si="237">+O469*P469</f>
        <v>0</v>
      </c>
      <c r="AE469" s="1">
        <f t="shared" ref="AE469:AE476" si="238">O469*(1-P469)</f>
        <v>0</v>
      </c>
      <c r="AF469" s="1">
        <f t="shared" si="221"/>
        <v>0</v>
      </c>
      <c r="AG469" s="1">
        <f t="shared" si="222"/>
        <v>0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1240</v>
      </c>
      <c r="E470" s="48" t="s">
        <v>28</v>
      </c>
      <c r="F470" s="48" t="s">
        <v>1241</v>
      </c>
      <c r="G470" s="48" t="s">
        <v>523</v>
      </c>
      <c r="H470" s="48" t="s">
        <v>354</v>
      </c>
      <c r="I470" s="47" t="s">
        <v>1242</v>
      </c>
      <c r="J470" s="47">
        <v>99</v>
      </c>
      <c r="K470" s="49" t="s">
        <v>712</v>
      </c>
      <c r="L470" s="49" t="s">
        <v>713</v>
      </c>
      <c r="M470" s="50" t="s">
        <v>731</v>
      </c>
      <c r="N470" s="50" t="s">
        <v>1735</v>
      </c>
      <c r="O470" s="51"/>
      <c r="P470" s="51"/>
      <c r="Q470" s="48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0</v>
      </c>
      <c r="AA470" s="1">
        <f t="shared" si="235"/>
        <v>0</v>
      </c>
      <c r="AB470" s="1">
        <f t="shared" si="236"/>
        <v>0</v>
      </c>
      <c r="AD470" s="1">
        <f t="shared" si="237"/>
        <v>0</v>
      </c>
      <c r="AE470" s="1">
        <f t="shared" si="238"/>
        <v>0</v>
      </c>
      <c r="AF470" s="1">
        <f t="shared" si="221"/>
        <v>0</v>
      </c>
      <c r="AG470" s="1">
        <f t="shared" si="222"/>
        <v>0</v>
      </c>
      <c r="AH470" s="1">
        <f t="shared" si="223"/>
        <v>0</v>
      </c>
      <c r="AI470" s="1">
        <f t="shared" si="224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1846</v>
      </c>
      <c r="E471" s="35" t="s">
        <v>1168</v>
      </c>
      <c r="F471" s="35" t="s">
        <v>1847</v>
      </c>
      <c r="G471" s="35"/>
      <c r="H471" s="35" t="s">
        <v>354</v>
      </c>
      <c r="I471" s="34" t="s">
        <v>1848</v>
      </c>
      <c r="J471" s="34">
        <v>6</v>
      </c>
      <c r="K471" s="36" t="s">
        <v>703</v>
      </c>
      <c r="L471" s="36"/>
      <c r="M471" s="37"/>
      <c r="N471" s="37" t="s">
        <v>1748</v>
      </c>
      <c r="O471" s="38">
        <v>1</v>
      </c>
      <c r="P471" s="38"/>
      <c r="Q471" s="35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1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D471" s="1">
        <f t="shared" si="237"/>
        <v>0</v>
      </c>
      <c r="AE471" s="1">
        <f t="shared" si="238"/>
        <v>1</v>
      </c>
      <c r="AF471" s="1">
        <f t="shared" si="221"/>
        <v>0</v>
      </c>
      <c r="AG471" s="1">
        <f t="shared" si="222"/>
        <v>1</v>
      </c>
      <c r="AH471" s="1">
        <f t="shared" si="223"/>
        <v>0</v>
      </c>
      <c r="AI471" s="1">
        <f t="shared" si="224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1458</v>
      </c>
      <c r="E472" s="48" t="s">
        <v>28</v>
      </c>
      <c r="F472" s="48" t="s">
        <v>1459</v>
      </c>
      <c r="G472" s="48" t="s">
        <v>1460</v>
      </c>
      <c r="H472" s="48" t="s">
        <v>354</v>
      </c>
      <c r="I472" s="47" t="s">
        <v>1461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 t="s">
        <v>1931</v>
      </c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0</v>
      </c>
      <c r="Y472" s="1">
        <f t="shared" si="233"/>
        <v>0</v>
      </c>
      <c r="Z472" s="1">
        <f t="shared" si="234"/>
        <v>0</v>
      </c>
      <c r="AA472" s="1">
        <f t="shared" si="235"/>
        <v>0</v>
      </c>
      <c r="AB472" s="1">
        <f t="shared" si="236"/>
        <v>0</v>
      </c>
      <c r="AD472" s="1">
        <f t="shared" si="237"/>
        <v>0</v>
      </c>
      <c r="AE472" s="1">
        <f t="shared" si="238"/>
        <v>0</v>
      </c>
      <c r="AF472" s="1">
        <f t="shared" si="221"/>
        <v>0</v>
      </c>
      <c r="AG472" s="1">
        <f t="shared" si="222"/>
        <v>0</v>
      </c>
      <c r="AH472" s="1">
        <f t="shared" si="223"/>
        <v>0</v>
      </c>
      <c r="AI472" s="1">
        <f t="shared" si="224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541</v>
      </c>
      <c r="F473" s="35" t="s">
        <v>575</v>
      </c>
      <c r="G473" s="35" t="s">
        <v>235</v>
      </c>
      <c r="H473" s="35" t="s">
        <v>354</v>
      </c>
      <c r="I473" s="34" t="s">
        <v>582</v>
      </c>
      <c r="J473" s="34">
        <v>99</v>
      </c>
      <c r="K473" s="36" t="s">
        <v>712</v>
      </c>
      <c r="L473" s="36" t="s">
        <v>729</v>
      </c>
      <c r="M473" s="37" t="s">
        <v>1440</v>
      </c>
      <c r="N473" s="37" t="s">
        <v>1748</v>
      </c>
      <c r="O473" s="38">
        <v>1</v>
      </c>
      <c r="P473" s="38"/>
      <c r="Q473" s="35"/>
      <c r="S473" s="1">
        <f t="shared" si="227"/>
        <v>0</v>
      </c>
      <c r="T473" s="1">
        <f t="shared" si="228"/>
        <v>0</v>
      </c>
      <c r="U473" s="1">
        <f t="shared" si="229"/>
        <v>0</v>
      </c>
      <c r="V473" s="1">
        <f t="shared" si="230"/>
        <v>0</v>
      </c>
      <c r="W473" s="1">
        <f t="shared" si="231"/>
        <v>0</v>
      </c>
      <c r="X473" s="1">
        <f t="shared" si="232"/>
        <v>0</v>
      </c>
      <c r="Y473" s="1">
        <f t="shared" si="233"/>
        <v>0</v>
      </c>
      <c r="Z473" s="1">
        <f t="shared" si="234"/>
        <v>0</v>
      </c>
      <c r="AA473" s="1">
        <f t="shared" si="235"/>
        <v>0</v>
      </c>
      <c r="AB473" s="1">
        <f t="shared" si="236"/>
        <v>0</v>
      </c>
      <c r="AD473" s="1">
        <f t="shared" si="237"/>
        <v>0</v>
      </c>
      <c r="AE473" s="1">
        <f t="shared" si="238"/>
        <v>1</v>
      </c>
      <c r="AF473" s="1">
        <f t="shared" si="221"/>
        <v>0</v>
      </c>
      <c r="AG473" s="1">
        <f t="shared" si="222"/>
        <v>1</v>
      </c>
      <c r="AH473" s="1">
        <f t="shared" si="223"/>
        <v>0</v>
      </c>
      <c r="AI473" s="1">
        <f t="shared" si="224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541</v>
      </c>
      <c r="F474" s="35" t="s">
        <v>271</v>
      </c>
      <c r="G474" s="35" t="s">
        <v>180</v>
      </c>
      <c r="H474" s="35" t="s">
        <v>354</v>
      </c>
      <c r="I474" s="34" t="s">
        <v>426</v>
      </c>
      <c r="J474" s="34">
        <v>10</v>
      </c>
      <c r="K474" s="36" t="s">
        <v>712</v>
      </c>
      <c r="L474" s="36" t="s">
        <v>729</v>
      </c>
      <c r="M474" s="37" t="s">
        <v>1440</v>
      </c>
      <c r="N474" s="37" t="s">
        <v>1748</v>
      </c>
      <c r="O474" s="38">
        <v>1</v>
      </c>
      <c r="P474" s="38"/>
      <c r="Q474" s="35"/>
      <c r="S474" s="1">
        <f t="shared" si="227"/>
        <v>0</v>
      </c>
      <c r="T474" s="1">
        <f t="shared" si="228"/>
        <v>0</v>
      </c>
      <c r="U474" s="1">
        <f t="shared" si="229"/>
        <v>0</v>
      </c>
      <c r="V474" s="1">
        <f t="shared" si="230"/>
        <v>0</v>
      </c>
      <c r="W474" s="1">
        <f t="shared" si="231"/>
        <v>0</v>
      </c>
      <c r="X474" s="1">
        <f t="shared" si="232"/>
        <v>0</v>
      </c>
      <c r="Y474" s="1">
        <f t="shared" si="233"/>
        <v>0</v>
      </c>
      <c r="Z474" s="1">
        <f t="shared" si="234"/>
        <v>0</v>
      </c>
      <c r="AA474" s="1">
        <f t="shared" si="235"/>
        <v>0</v>
      </c>
      <c r="AB474" s="1">
        <f t="shared" si="236"/>
        <v>1</v>
      </c>
      <c r="AD474" s="1">
        <f t="shared" si="237"/>
        <v>0</v>
      </c>
      <c r="AE474" s="1">
        <f t="shared" si="238"/>
        <v>1</v>
      </c>
      <c r="AF474" s="1">
        <f t="shared" si="221"/>
        <v>0</v>
      </c>
      <c r="AG474" s="1">
        <f t="shared" si="222"/>
        <v>0</v>
      </c>
      <c r="AH474" s="1">
        <f t="shared" si="223"/>
        <v>0</v>
      </c>
      <c r="AI474" s="1">
        <f t="shared" si="224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272</v>
      </c>
      <c r="G475" s="35" t="s">
        <v>39</v>
      </c>
      <c r="H475" s="35" t="s">
        <v>354</v>
      </c>
      <c r="I475" s="34" t="s">
        <v>427</v>
      </c>
      <c r="J475" s="34">
        <v>5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27"/>
        <v>0</v>
      </c>
      <c r="T475" s="1">
        <f t="shared" si="228"/>
        <v>0</v>
      </c>
      <c r="U475" s="1">
        <f t="shared" si="229"/>
        <v>0</v>
      </c>
      <c r="V475" s="1">
        <f t="shared" si="230"/>
        <v>0</v>
      </c>
      <c r="W475" s="1">
        <f t="shared" si="231"/>
        <v>1</v>
      </c>
      <c r="X475" s="1">
        <f t="shared" si="232"/>
        <v>0</v>
      </c>
      <c r="Y475" s="1">
        <f t="shared" si="233"/>
        <v>0</v>
      </c>
      <c r="Z475" s="1">
        <f t="shared" si="234"/>
        <v>0</v>
      </c>
      <c r="AA475" s="1">
        <f t="shared" si="235"/>
        <v>0</v>
      </c>
      <c r="AB475" s="1">
        <f t="shared" si="236"/>
        <v>0</v>
      </c>
      <c r="AD475" s="1">
        <f t="shared" si="237"/>
        <v>0</v>
      </c>
      <c r="AE475" s="1">
        <f t="shared" si="238"/>
        <v>1</v>
      </c>
      <c r="AF475" s="1">
        <f t="shared" si="221"/>
        <v>0</v>
      </c>
      <c r="AG475" s="1">
        <f t="shared" si="222"/>
        <v>0</v>
      </c>
      <c r="AH475" s="1">
        <f t="shared" si="223"/>
        <v>0</v>
      </c>
      <c r="AI475" s="1">
        <f t="shared" si="224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276</v>
      </c>
      <c r="G476" s="35" t="s">
        <v>194</v>
      </c>
      <c r="H476" s="35" t="s">
        <v>354</v>
      </c>
      <c r="I476" s="34" t="s">
        <v>431</v>
      </c>
      <c r="J476" s="34">
        <v>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27"/>
        <v>0</v>
      </c>
      <c r="T476" s="1">
        <f t="shared" si="228"/>
        <v>0</v>
      </c>
      <c r="U476" s="1">
        <f t="shared" si="229"/>
        <v>0</v>
      </c>
      <c r="V476" s="1">
        <f t="shared" si="230"/>
        <v>0</v>
      </c>
      <c r="W476" s="1">
        <f t="shared" si="231"/>
        <v>0</v>
      </c>
      <c r="X476" s="1">
        <f t="shared" si="232"/>
        <v>0</v>
      </c>
      <c r="Y476" s="1">
        <f t="shared" si="233"/>
        <v>0</v>
      </c>
      <c r="Z476" s="1">
        <f t="shared" si="234"/>
        <v>0</v>
      </c>
      <c r="AA476" s="1">
        <f t="shared" si="235"/>
        <v>1</v>
      </c>
      <c r="AB476" s="1">
        <f t="shared" si="236"/>
        <v>0</v>
      </c>
      <c r="AD476" s="1">
        <f t="shared" si="237"/>
        <v>0</v>
      </c>
      <c r="AE476" s="1">
        <f t="shared" si="238"/>
        <v>1</v>
      </c>
      <c r="AF476" s="1">
        <f t="shared" si="221"/>
        <v>0</v>
      </c>
      <c r="AG476" s="1">
        <f t="shared" si="222"/>
        <v>0</v>
      </c>
      <c r="AH476" s="1">
        <f t="shared" si="223"/>
        <v>0</v>
      </c>
      <c r="AI476" s="1">
        <f t="shared" si="224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1561</v>
      </c>
      <c r="E477" s="48" t="s">
        <v>28</v>
      </c>
      <c r="F477" s="48" t="s">
        <v>1562</v>
      </c>
      <c r="G477" s="48" t="s">
        <v>238</v>
      </c>
      <c r="H477" s="48" t="s">
        <v>354</v>
      </c>
      <c r="I477" s="47" t="s">
        <v>1695</v>
      </c>
      <c r="J477" s="47">
        <v>4</v>
      </c>
      <c r="K477" s="49" t="s">
        <v>713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/>
      <c r="S477" s="1">
        <f t="shared" ref="S477:S478" si="239">IF(J477=$S$7,1,0)</f>
        <v>0</v>
      </c>
      <c r="T477" s="1">
        <f t="shared" ref="T477:T478" si="240">IF(J477=$T$7,1,0)</f>
        <v>0</v>
      </c>
      <c r="U477" s="1">
        <f t="shared" ref="U477:U478" si="241">IF(J477=$U$7,1,0)</f>
        <v>0</v>
      </c>
      <c r="V477" s="1">
        <f t="shared" ref="V477:V478" si="242">IF(J477=$V$7,1,0)</f>
        <v>1</v>
      </c>
      <c r="W477" s="1">
        <f t="shared" ref="W477:W478" si="243">IF(J477=$W$7,1,0)</f>
        <v>0</v>
      </c>
      <c r="X477" s="1">
        <f t="shared" ref="X477:X478" si="244">IF(J477=$X$7,1,0)</f>
        <v>0</v>
      </c>
      <c r="Y477" s="1">
        <f t="shared" ref="Y477:Y478" si="245">IF(J477=$Y$7,1,0)</f>
        <v>0</v>
      </c>
      <c r="Z477" s="1">
        <f t="shared" ref="Z477:Z478" si="246">IF(J477=$Z$7,1,0)</f>
        <v>0</v>
      </c>
      <c r="AA477" s="1">
        <f t="shared" ref="AA477:AA478" si="247">IF(J477=$AA$7,1,0)</f>
        <v>0</v>
      </c>
      <c r="AB477" s="1">
        <f t="shared" ref="AB477:AB478" si="248">IF(J477=$AB$7,1,0)</f>
        <v>0</v>
      </c>
      <c r="AD477" s="1">
        <f t="shared" ref="AD477:AD478" si="249">+O477*P477</f>
        <v>0</v>
      </c>
      <c r="AE477" s="1">
        <f t="shared" ref="AE477:AE478" si="250">O477*(1-P477)</f>
        <v>0</v>
      </c>
      <c r="AF477" s="1">
        <f t="shared" ref="AF477:AF478" si="251">+O477*P477*(1-A477)</f>
        <v>0</v>
      </c>
      <c r="AG477" s="1">
        <f t="shared" ref="AG477:AG478" si="252">O477*(1-P477)*(1-A477)</f>
        <v>0</v>
      </c>
      <c r="AH477" s="1">
        <f t="shared" ref="AH477:AH478" si="253">+P477*(1-A477)</f>
        <v>0</v>
      </c>
      <c r="AI477" s="1">
        <f t="shared" ref="AI477:AI478" si="254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236</v>
      </c>
      <c r="G478" s="48" t="s">
        <v>200</v>
      </c>
      <c r="H478" s="48" t="s">
        <v>354</v>
      </c>
      <c r="I478" s="47" t="s">
        <v>402</v>
      </c>
      <c r="J478" s="47">
        <v>2</v>
      </c>
      <c r="K478" s="49" t="s">
        <v>713</v>
      </c>
      <c r="L478" s="49" t="s">
        <v>722</v>
      </c>
      <c r="M478" s="50" t="s">
        <v>735</v>
      </c>
      <c r="N478" s="50" t="s">
        <v>1735</v>
      </c>
      <c r="O478" s="51"/>
      <c r="P478" s="51"/>
      <c r="Q478" s="48"/>
      <c r="S478" s="1">
        <f t="shared" si="239"/>
        <v>0</v>
      </c>
      <c r="T478" s="1">
        <f t="shared" si="240"/>
        <v>1</v>
      </c>
      <c r="U478" s="1">
        <f t="shared" si="241"/>
        <v>0</v>
      </c>
      <c r="V478" s="1">
        <f t="shared" si="242"/>
        <v>0</v>
      </c>
      <c r="W478" s="1">
        <f t="shared" si="243"/>
        <v>0</v>
      </c>
      <c r="X478" s="1">
        <f t="shared" si="244"/>
        <v>0</v>
      </c>
      <c r="Y478" s="1">
        <f t="shared" si="245"/>
        <v>0</v>
      </c>
      <c r="Z478" s="1">
        <f t="shared" si="246"/>
        <v>0</v>
      </c>
      <c r="AA478" s="1">
        <f t="shared" si="247"/>
        <v>0</v>
      </c>
      <c r="AB478" s="1">
        <f t="shared" si="248"/>
        <v>0</v>
      </c>
      <c r="AD478" s="1">
        <f t="shared" si="249"/>
        <v>0</v>
      </c>
      <c r="AE478" s="1">
        <f t="shared" si="250"/>
        <v>0</v>
      </c>
      <c r="AF478" s="1">
        <f t="shared" si="251"/>
        <v>0</v>
      </c>
      <c r="AG478" s="1">
        <f t="shared" si="252"/>
        <v>0</v>
      </c>
      <c r="AH478" s="1">
        <f t="shared" si="253"/>
        <v>0</v>
      </c>
      <c r="AI478" s="1">
        <f t="shared" si="254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2026-06-12T21:05:50Z</dcterms:modified>
</cp:coreProperties>
</file>