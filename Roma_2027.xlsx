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71947C93-080B-4E69-ABD2-C93B93565CFC}" xr6:coauthVersionLast="47" xr6:coauthVersionMax="47" xr10:uidLastSave="{00000000-0000-0000-0000-000000000000}"/>
  <bookViews>
    <workbookView xWindow="-120" yWindow="-120" windowWidth="29040" windowHeight="15840" tabRatio="665" xr2:uid="{370BB6BA-2F30-4775-942F-04016D8D18C4}"/>
  </bookViews>
  <sheets>
    <sheet name="Tavole e pause golose" sheetId="6" r:id="rId1"/>
  </sheets>
  <definedNames>
    <definedName name="_xlnm._FilterDatabase" localSheetId="0" hidden="1">'Tavole e pause golose'!$A$7:$Q$488</definedName>
    <definedName name="_xlnm.Print_Area" localSheetId="0">'Tavole e pause golose'!$D$7:$I$175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55" i="6" l="1"/>
  <c r="T155" i="6"/>
  <c r="U155" i="6"/>
  <c r="V155" i="6"/>
  <c r="W155" i="6"/>
  <c r="X155" i="6"/>
  <c r="Y155" i="6"/>
  <c r="Z155" i="6"/>
  <c r="AA155" i="6"/>
  <c r="AB155" i="6"/>
  <c r="AD155" i="6"/>
  <c r="AE155" i="6"/>
  <c r="AF155" i="6"/>
  <c r="AG155" i="6"/>
  <c r="AH155" i="6"/>
  <c r="AI155" i="6"/>
  <c r="S156" i="6"/>
  <c r="T156" i="6"/>
  <c r="U156" i="6"/>
  <c r="V156" i="6"/>
  <c r="W156" i="6"/>
  <c r="X156" i="6"/>
  <c r="Y156" i="6"/>
  <c r="Z156" i="6"/>
  <c r="AA156" i="6"/>
  <c r="AB156" i="6"/>
  <c r="AD156" i="6"/>
  <c r="AE156" i="6"/>
  <c r="AF156" i="6"/>
  <c r="AG156" i="6"/>
  <c r="AH156" i="6"/>
  <c r="AI156" i="6"/>
  <c r="S157" i="6"/>
  <c r="T157" i="6"/>
  <c r="U157" i="6"/>
  <c r="V157" i="6"/>
  <c r="W157" i="6"/>
  <c r="X157" i="6"/>
  <c r="Y157" i="6"/>
  <c r="Z157" i="6"/>
  <c r="AA157" i="6"/>
  <c r="AB157" i="6"/>
  <c r="AD157" i="6"/>
  <c r="AE157" i="6"/>
  <c r="AF157" i="6"/>
  <c r="AG157" i="6"/>
  <c r="AH157" i="6"/>
  <c r="AI157" i="6"/>
  <c r="S158" i="6"/>
  <c r="T158" i="6"/>
  <c r="U158" i="6"/>
  <c r="V158" i="6"/>
  <c r="W158" i="6"/>
  <c r="X158" i="6"/>
  <c r="Y158" i="6"/>
  <c r="Z158" i="6"/>
  <c r="AA158" i="6"/>
  <c r="AB158" i="6"/>
  <c r="AD158" i="6"/>
  <c r="AE158" i="6"/>
  <c r="AF158" i="6"/>
  <c r="AG158" i="6"/>
  <c r="AH158" i="6"/>
  <c r="AI158" i="6"/>
  <c r="S159" i="6"/>
  <c r="T159" i="6"/>
  <c r="U159" i="6"/>
  <c r="V159" i="6"/>
  <c r="W159" i="6"/>
  <c r="X159" i="6"/>
  <c r="Y159" i="6"/>
  <c r="Z159" i="6"/>
  <c r="AA159" i="6"/>
  <c r="AB159" i="6"/>
  <c r="AD159" i="6"/>
  <c r="AE159" i="6"/>
  <c r="AF159" i="6"/>
  <c r="AG159" i="6"/>
  <c r="AH159" i="6"/>
  <c r="AI159" i="6"/>
  <c r="AD448" i="6"/>
  <c r="AE448" i="6"/>
  <c r="AF448" i="6"/>
  <c r="AG448" i="6"/>
  <c r="AH448" i="6"/>
  <c r="AI448" i="6"/>
  <c r="AD449" i="6"/>
  <c r="AE449" i="6"/>
  <c r="AF449" i="6"/>
  <c r="AG449" i="6"/>
  <c r="AH449" i="6"/>
  <c r="AI449" i="6"/>
  <c r="AD450" i="6"/>
  <c r="AE450" i="6"/>
  <c r="AF450" i="6"/>
  <c r="AG450" i="6"/>
  <c r="AH450" i="6"/>
  <c r="AI450" i="6"/>
  <c r="AD451" i="6"/>
  <c r="AE451" i="6"/>
  <c r="AF451" i="6"/>
  <c r="AG451" i="6"/>
  <c r="AH451" i="6"/>
  <c r="AI451" i="6"/>
  <c r="S448" i="6"/>
  <c r="AD358" i="6"/>
  <c r="AE358" i="6"/>
  <c r="AF358" i="6"/>
  <c r="AG358" i="6"/>
  <c r="AH358" i="6"/>
  <c r="AI358" i="6"/>
  <c r="AD359" i="6"/>
  <c r="AE359" i="6"/>
  <c r="AF359" i="6"/>
  <c r="AG359" i="6"/>
  <c r="AH359" i="6"/>
  <c r="AI359" i="6"/>
  <c r="AD360" i="6"/>
  <c r="AE360" i="6"/>
  <c r="AF360" i="6"/>
  <c r="AG360" i="6"/>
  <c r="AH360" i="6"/>
  <c r="AI360" i="6"/>
  <c r="S359" i="6"/>
  <c r="AI267" i="6"/>
  <c r="AH267" i="6"/>
  <c r="AG267" i="6"/>
  <c r="AF267" i="6"/>
  <c r="AE267" i="6"/>
  <c r="AD267" i="6"/>
  <c r="S267" i="6"/>
  <c r="AI266" i="6"/>
  <c r="AH266" i="6"/>
  <c r="AG266" i="6"/>
  <c r="AF266" i="6"/>
  <c r="AE266" i="6"/>
  <c r="AD266" i="6"/>
  <c r="S266" i="6"/>
  <c r="S403" i="6"/>
  <c r="AD403" i="6"/>
  <c r="AE403" i="6"/>
  <c r="AF403" i="6"/>
  <c r="AG403" i="6"/>
  <c r="AH403" i="6"/>
  <c r="AI403" i="6"/>
  <c r="S404" i="6"/>
  <c r="AD404" i="6"/>
  <c r="AE404" i="6"/>
  <c r="AF404" i="6"/>
  <c r="AG404" i="6"/>
  <c r="AH404" i="6"/>
  <c r="AI404" i="6"/>
  <c r="S405" i="6"/>
  <c r="AD405" i="6"/>
  <c r="AE405" i="6"/>
  <c r="AF405" i="6"/>
  <c r="AG405" i="6"/>
  <c r="AH405" i="6"/>
  <c r="AI405" i="6"/>
  <c r="S406" i="6"/>
  <c r="AD406" i="6"/>
  <c r="AE406" i="6"/>
  <c r="AF406" i="6"/>
  <c r="AG406" i="6"/>
  <c r="AH406" i="6"/>
  <c r="AI406" i="6"/>
  <c r="S407" i="6"/>
  <c r="AD407" i="6"/>
  <c r="AE407" i="6"/>
  <c r="AF407" i="6"/>
  <c r="AG407" i="6"/>
  <c r="AH407" i="6"/>
  <c r="AI407" i="6"/>
  <c r="S408" i="6"/>
  <c r="AD408" i="6"/>
  <c r="AE408" i="6"/>
  <c r="AF408" i="6"/>
  <c r="AG408" i="6"/>
  <c r="AH408" i="6"/>
  <c r="AI408" i="6"/>
  <c r="S409" i="6"/>
  <c r="AD409" i="6"/>
  <c r="AE409" i="6"/>
  <c r="AF409" i="6"/>
  <c r="AG409" i="6"/>
  <c r="AH409" i="6"/>
  <c r="AI409" i="6"/>
  <c r="AD71" i="6"/>
  <c r="AE71" i="6"/>
  <c r="AF71" i="6"/>
  <c r="AG71" i="6"/>
  <c r="AH71" i="6"/>
  <c r="AI71" i="6"/>
  <c r="AD72" i="6"/>
  <c r="AE72" i="6"/>
  <c r="AF72" i="6"/>
  <c r="AG72" i="6"/>
  <c r="AH72" i="6"/>
  <c r="AI72" i="6"/>
  <c r="AD73" i="6"/>
  <c r="AE73" i="6"/>
  <c r="AF73" i="6"/>
  <c r="AG73" i="6"/>
  <c r="AH73" i="6"/>
  <c r="AI73" i="6"/>
  <c r="AD74" i="6"/>
  <c r="AE74" i="6"/>
  <c r="AF74" i="6"/>
  <c r="AG74" i="6"/>
  <c r="AH74" i="6"/>
  <c r="AI74" i="6"/>
  <c r="S73" i="6"/>
  <c r="S465" i="6"/>
  <c r="AD465" i="6"/>
  <c r="AE465" i="6"/>
  <c r="AF465" i="6"/>
  <c r="AG465" i="6"/>
  <c r="AH465" i="6"/>
  <c r="AI465" i="6"/>
  <c r="S466" i="6"/>
  <c r="AD466" i="6"/>
  <c r="AE466" i="6"/>
  <c r="AF466" i="6"/>
  <c r="AG466" i="6"/>
  <c r="AH466" i="6"/>
  <c r="AI466" i="6"/>
  <c r="S467" i="6"/>
  <c r="AD467" i="6"/>
  <c r="AE467" i="6"/>
  <c r="AF467" i="6"/>
  <c r="AG467" i="6"/>
  <c r="AH467" i="6"/>
  <c r="AI467" i="6"/>
  <c r="S468" i="6"/>
  <c r="AD468" i="6"/>
  <c r="AE468" i="6"/>
  <c r="AF468" i="6"/>
  <c r="AG468" i="6"/>
  <c r="AH468" i="6"/>
  <c r="AI468" i="6"/>
  <c r="S469" i="6"/>
  <c r="AD469" i="6"/>
  <c r="AE469" i="6"/>
  <c r="AF469" i="6"/>
  <c r="AG469" i="6"/>
  <c r="AH469" i="6"/>
  <c r="AI469" i="6"/>
  <c r="S470" i="6"/>
  <c r="AD470" i="6"/>
  <c r="AE470" i="6"/>
  <c r="AF470" i="6"/>
  <c r="AG470" i="6"/>
  <c r="AH470" i="6"/>
  <c r="AI47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AD185" i="6"/>
  <c r="AE185" i="6"/>
  <c r="AF185" i="6"/>
  <c r="AD186" i="6"/>
  <c r="AE186" i="6"/>
  <c r="AF186" i="6"/>
  <c r="AD187" i="6"/>
  <c r="AE187" i="6"/>
  <c r="AF187" i="6"/>
  <c r="AD188" i="6"/>
  <c r="AE188" i="6"/>
  <c r="AF188" i="6"/>
  <c r="AD189" i="6"/>
  <c r="AE189" i="6"/>
  <c r="AF189" i="6"/>
  <c r="S187" i="6"/>
  <c r="AG187" i="6"/>
  <c r="AH187" i="6"/>
  <c r="AI187" i="6"/>
  <c r="S487" i="6"/>
  <c r="AD487" i="6"/>
  <c r="AE487" i="6"/>
  <c r="AF487" i="6"/>
  <c r="AG487" i="6"/>
  <c r="AH487" i="6"/>
  <c r="AI487" i="6"/>
  <c r="S488" i="6"/>
  <c r="AD488" i="6"/>
  <c r="AE488" i="6"/>
  <c r="AF488" i="6"/>
  <c r="AG488" i="6"/>
  <c r="AH488" i="6"/>
  <c r="AI488" i="6"/>
  <c r="AI486" i="6"/>
  <c r="AH486" i="6"/>
  <c r="AG486" i="6"/>
  <c r="AF486" i="6"/>
  <c r="AE486" i="6"/>
  <c r="AD486" i="6"/>
  <c r="AI485" i="6"/>
  <c r="AH485" i="6"/>
  <c r="AG485" i="6"/>
  <c r="AF485" i="6"/>
  <c r="AE485" i="6"/>
  <c r="AD485" i="6"/>
  <c r="AI484" i="6"/>
  <c r="AH484" i="6"/>
  <c r="AG484" i="6"/>
  <c r="AF484" i="6"/>
  <c r="AE484" i="6"/>
  <c r="AD484" i="6"/>
  <c r="AI483" i="6"/>
  <c r="AH483" i="6"/>
  <c r="AG483" i="6"/>
  <c r="AF483" i="6"/>
  <c r="AE483" i="6"/>
  <c r="AD483" i="6"/>
  <c r="AI482" i="6"/>
  <c r="AH482" i="6"/>
  <c r="AG482" i="6"/>
  <c r="AF482" i="6"/>
  <c r="AE482" i="6"/>
  <c r="AD482" i="6"/>
  <c r="AI481" i="6"/>
  <c r="AH481" i="6"/>
  <c r="AG481" i="6"/>
  <c r="AF481" i="6"/>
  <c r="AE481" i="6"/>
  <c r="AD481" i="6"/>
  <c r="AI480" i="6"/>
  <c r="AH480" i="6"/>
  <c r="AG480" i="6"/>
  <c r="AF480" i="6"/>
  <c r="AE480" i="6"/>
  <c r="AD480" i="6"/>
  <c r="AI479" i="6"/>
  <c r="AH479" i="6"/>
  <c r="AG479" i="6"/>
  <c r="AF479" i="6"/>
  <c r="AE479" i="6"/>
  <c r="AD479" i="6"/>
  <c r="AI262" i="6"/>
  <c r="AH262" i="6"/>
  <c r="AG262" i="6"/>
  <c r="AF262" i="6"/>
  <c r="AE262" i="6"/>
  <c r="AD262" i="6"/>
  <c r="AI261" i="6"/>
  <c r="AH261" i="6"/>
  <c r="AG261" i="6"/>
  <c r="AF261" i="6"/>
  <c r="AE261" i="6"/>
  <c r="AD261" i="6"/>
  <c r="S486" i="6"/>
  <c r="S485" i="6"/>
  <c r="S484" i="6"/>
  <c r="S483" i="6"/>
  <c r="S482" i="6"/>
  <c r="S481" i="6"/>
  <c r="S480" i="6"/>
  <c r="S479" i="6"/>
  <c r="AD191" i="6"/>
  <c r="AE191" i="6"/>
  <c r="AF191" i="6"/>
  <c r="AD192" i="6"/>
  <c r="AE192" i="6"/>
  <c r="AF192" i="6"/>
  <c r="S192" i="6"/>
  <c r="AG192" i="6"/>
  <c r="AH192" i="6"/>
  <c r="AI192" i="6"/>
  <c r="S423" i="6"/>
  <c r="AD423" i="6"/>
  <c r="AE423" i="6"/>
  <c r="AF423" i="6"/>
  <c r="AG423" i="6"/>
  <c r="AH423" i="6"/>
  <c r="AI423" i="6"/>
  <c r="S424" i="6"/>
  <c r="AD424" i="6"/>
  <c r="AE424" i="6"/>
  <c r="AF424" i="6"/>
  <c r="AG424" i="6"/>
  <c r="AH424" i="6"/>
  <c r="AI424" i="6"/>
  <c r="S425" i="6"/>
  <c r="AD425" i="6"/>
  <c r="AE425" i="6"/>
  <c r="AF425" i="6"/>
  <c r="AG425" i="6"/>
  <c r="AH425" i="6"/>
  <c r="AI425" i="6"/>
  <c r="S426" i="6"/>
  <c r="AD426" i="6"/>
  <c r="AE426" i="6"/>
  <c r="AF426" i="6"/>
  <c r="AG426" i="6"/>
  <c r="AH426" i="6"/>
  <c r="AI426" i="6"/>
  <c r="S427" i="6"/>
  <c r="AD427" i="6"/>
  <c r="AE427" i="6"/>
  <c r="AF427" i="6"/>
  <c r="AG427" i="6"/>
  <c r="AH427" i="6"/>
  <c r="AI427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325" i="6"/>
  <c r="AD325" i="6"/>
  <c r="AE325" i="6"/>
  <c r="AF325" i="6"/>
  <c r="AG325" i="6"/>
  <c r="AH325" i="6"/>
  <c r="AI325" i="6"/>
  <c r="AD362" i="6"/>
  <c r="AE362" i="6"/>
  <c r="AF362" i="6"/>
  <c r="AG362" i="6"/>
  <c r="AH362" i="6"/>
  <c r="AI362" i="6"/>
  <c r="AD363" i="6"/>
  <c r="AE363" i="6"/>
  <c r="AF363" i="6"/>
  <c r="AG363" i="6"/>
  <c r="AH363" i="6"/>
  <c r="AI363" i="6"/>
  <c r="AD364" i="6"/>
  <c r="AE364" i="6"/>
  <c r="AF364" i="6"/>
  <c r="AG364" i="6"/>
  <c r="AH364" i="6"/>
  <c r="AI364" i="6"/>
  <c r="AD365" i="6"/>
  <c r="AE365" i="6"/>
  <c r="AF365" i="6"/>
  <c r="AG365" i="6"/>
  <c r="AH365" i="6"/>
  <c r="AI365" i="6"/>
  <c r="S363" i="6"/>
  <c r="S377" i="6"/>
  <c r="AD377" i="6"/>
  <c r="AE377" i="6"/>
  <c r="AF377" i="6"/>
  <c r="AG377" i="6"/>
  <c r="AH377" i="6"/>
  <c r="AI377" i="6"/>
  <c r="S378" i="6"/>
  <c r="AD378" i="6"/>
  <c r="AE378" i="6"/>
  <c r="AF378" i="6"/>
  <c r="AG378" i="6"/>
  <c r="AH378" i="6"/>
  <c r="AI378" i="6"/>
  <c r="S379" i="6"/>
  <c r="AD379" i="6"/>
  <c r="AE379" i="6"/>
  <c r="AF379" i="6"/>
  <c r="AG379" i="6"/>
  <c r="AH379" i="6"/>
  <c r="AI379" i="6"/>
  <c r="AD456" i="6"/>
  <c r="AE456" i="6"/>
  <c r="AD457" i="6"/>
  <c r="AE457" i="6"/>
  <c r="S456" i="6"/>
  <c r="AF456" i="6"/>
  <c r="AG456" i="6"/>
  <c r="AH456" i="6"/>
  <c r="AI456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AD471" i="6"/>
  <c r="AE471" i="6"/>
  <c r="S471" i="6"/>
  <c r="AF471" i="6"/>
  <c r="AG471" i="6"/>
  <c r="AH471" i="6"/>
  <c r="AI471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S72" i="6"/>
  <c r="S74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G185" i="6"/>
  <c r="AH185" i="6"/>
  <c r="AI185" i="6"/>
  <c r="S186" i="6"/>
  <c r="AG186" i="6"/>
  <c r="AH186" i="6"/>
  <c r="AI186" i="6"/>
  <c r="S188" i="6"/>
  <c r="AG188" i="6"/>
  <c r="AH188" i="6"/>
  <c r="AI188" i="6"/>
  <c r="S189" i="6"/>
  <c r="AG189" i="6"/>
  <c r="AH189" i="6"/>
  <c r="AI189" i="6"/>
  <c r="S190" i="6"/>
  <c r="AD190" i="6"/>
  <c r="AE190" i="6"/>
  <c r="AF190" i="6"/>
  <c r="AG190" i="6"/>
  <c r="AH190" i="6"/>
  <c r="AI190" i="6"/>
  <c r="S191" i="6"/>
  <c r="AG191" i="6"/>
  <c r="AH191" i="6"/>
  <c r="AI191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229" i="6"/>
  <c r="AD229" i="6"/>
  <c r="AE229" i="6"/>
  <c r="AF229" i="6"/>
  <c r="AG229" i="6"/>
  <c r="AH229" i="6"/>
  <c r="AI229" i="6"/>
  <c r="S230" i="6"/>
  <c r="AD230" i="6"/>
  <c r="AE230" i="6"/>
  <c r="AF230" i="6"/>
  <c r="AG230" i="6"/>
  <c r="AH230" i="6"/>
  <c r="AI230" i="6"/>
  <c r="S231" i="6"/>
  <c r="AD231" i="6"/>
  <c r="AE231" i="6"/>
  <c r="AF231" i="6"/>
  <c r="AG231" i="6"/>
  <c r="AH231" i="6"/>
  <c r="AI231" i="6"/>
  <c r="S232" i="6"/>
  <c r="AD232" i="6"/>
  <c r="AE232" i="6"/>
  <c r="AF232" i="6"/>
  <c r="AG232" i="6"/>
  <c r="AH232" i="6"/>
  <c r="AI232" i="6"/>
  <c r="S233" i="6"/>
  <c r="AD233" i="6"/>
  <c r="AE233" i="6"/>
  <c r="AF233" i="6"/>
  <c r="AG233" i="6"/>
  <c r="AH233" i="6"/>
  <c r="AI233" i="6"/>
  <c r="S234" i="6"/>
  <c r="AD234" i="6"/>
  <c r="AE234" i="6"/>
  <c r="AF234" i="6"/>
  <c r="AG234" i="6"/>
  <c r="AH234" i="6"/>
  <c r="AI234" i="6"/>
  <c r="S235" i="6"/>
  <c r="AD235" i="6"/>
  <c r="AE235" i="6"/>
  <c r="AF235" i="6"/>
  <c r="AG235" i="6"/>
  <c r="AH235" i="6"/>
  <c r="AI235" i="6"/>
  <c r="S236" i="6"/>
  <c r="AD236" i="6"/>
  <c r="AE236" i="6"/>
  <c r="AF236" i="6"/>
  <c r="AG236" i="6"/>
  <c r="AH236" i="6"/>
  <c r="AI236" i="6"/>
  <c r="S237" i="6"/>
  <c r="AD237" i="6"/>
  <c r="AE237" i="6"/>
  <c r="AF237" i="6"/>
  <c r="AG237" i="6"/>
  <c r="AH237" i="6"/>
  <c r="AI237" i="6"/>
  <c r="S238" i="6"/>
  <c r="AD238" i="6"/>
  <c r="AE238" i="6"/>
  <c r="AF238" i="6"/>
  <c r="AG238" i="6"/>
  <c r="AH238" i="6"/>
  <c r="AI238" i="6"/>
  <c r="S239" i="6"/>
  <c r="AD239" i="6"/>
  <c r="AE239" i="6"/>
  <c r="AF239" i="6"/>
  <c r="AG239" i="6"/>
  <c r="AH239" i="6"/>
  <c r="AI239" i="6"/>
  <c r="S240" i="6"/>
  <c r="AD240" i="6"/>
  <c r="AE240" i="6"/>
  <c r="AF240" i="6"/>
  <c r="AG240" i="6"/>
  <c r="AH240" i="6"/>
  <c r="AI240" i="6"/>
  <c r="S241" i="6"/>
  <c r="AD241" i="6"/>
  <c r="AE241" i="6"/>
  <c r="AF241" i="6"/>
  <c r="AG241" i="6"/>
  <c r="AH241" i="6"/>
  <c r="AI241" i="6"/>
  <c r="S242" i="6"/>
  <c r="AD242" i="6"/>
  <c r="AE242" i="6"/>
  <c r="AF242" i="6"/>
  <c r="AG242" i="6"/>
  <c r="AH242" i="6"/>
  <c r="AI242" i="6"/>
  <c r="S243" i="6"/>
  <c r="AD243" i="6"/>
  <c r="AE243" i="6"/>
  <c r="AF243" i="6"/>
  <c r="AG243" i="6"/>
  <c r="AH243" i="6"/>
  <c r="AI243" i="6"/>
  <c r="S244" i="6"/>
  <c r="AD244" i="6"/>
  <c r="AE244" i="6"/>
  <c r="AF244" i="6"/>
  <c r="AG244" i="6"/>
  <c r="AH244" i="6"/>
  <c r="AI244" i="6"/>
  <c r="S245" i="6"/>
  <c r="AD245" i="6"/>
  <c r="AE245" i="6"/>
  <c r="AF245" i="6"/>
  <c r="AG245" i="6"/>
  <c r="AH245" i="6"/>
  <c r="AI245" i="6"/>
  <c r="S246" i="6"/>
  <c r="AD246" i="6"/>
  <c r="AE246" i="6"/>
  <c r="AF246" i="6"/>
  <c r="AG246" i="6"/>
  <c r="AH246" i="6"/>
  <c r="AI246" i="6"/>
  <c r="S247" i="6"/>
  <c r="AD247" i="6"/>
  <c r="AE247" i="6"/>
  <c r="AF247" i="6"/>
  <c r="AG247" i="6"/>
  <c r="AH247" i="6"/>
  <c r="AI247" i="6"/>
  <c r="S248" i="6"/>
  <c r="AD248" i="6"/>
  <c r="AE248" i="6"/>
  <c r="AF248" i="6"/>
  <c r="AG248" i="6"/>
  <c r="AH248" i="6"/>
  <c r="AI248" i="6"/>
  <c r="S249" i="6"/>
  <c r="AD249" i="6"/>
  <c r="AE249" i="6"/>
  <c r="AF249" i="6"/>
  <c r="AG249" i="6"/>
  <c r="AH249" i="6"/>
  <c r="AI249" i="6"/>
  <c r="S250" i="6"/>
  <c r="AD250" i="6"/>
  <c r="AE250" i="6"/>
  <c r="AF250" i="6"/>
  <c r="AG250" i="6"/>
  <c r="AH250" i="6"/>
  <c r="AI250" i="6"/>
  <c r="S251" i="6"/>
  <c r="AD251" i="6"/>
  <c r="AE251" i="6"/>
  <c r="AF251" i="6"/>
  <c r="AG251" i="6"/>
  <c r="AH251" i="6"/>
  <c r="AI251" i="6"/>
  <c r="S252" i="6"/>
  <c r="AD252" i="6"/>
  <c r="AE252" i="6"/>
  <c r="AF252" i="6"/>
  <c r="AG252" i="6"/>
  <c r="AH252" i="6"/>
  <c r="AI252" i="6"/>
  <c r="S253" i="6"/>
  <c r="AD253" i="6"/>
  <c r="AE253" i="6"/>
  <c r="AF253" i="6"/>
  <c r="AG253" i="6"/>
  <c r="AH253" i="6"/>
  <c r="AI253" i="6"/>
  <c r="S254" i="6"/>
  <c r="AD254" i="6"/>
  <c r="AE254" i="6"/>
  <c r="AF254" i="6"/>
  <c r="AG254" i="6"/>
  <c r="AH254" i="6"/>
  <c r="AI254" i="6"/>
  <c r="S255" i="6"/>
  <c r="AD255" i="6"/>
  <c r="AE255" i="6"/>
  <c r="AF255" i="6"/>
  <c r="AG255" i="6"/>
  <c r="AH255" i="6"/>
  <c r="AI255" i="6"/>
  <c r="S256" i="6"/>
  <c r="AD256" i="6"/>
  <c r="AE256" i="6"/>
  <c r="AF256" i="6"/>
  <c r="AG256" i="6"/>
  <c r="AH256" i="6"/>
  <c r="AI256" i="6"/>
  <c r="S257" i="6"/>
  <c r="AD257" i="6"/>
  <c r="AE257" i="6"/>
  <c r="AF257" i="6"/>
  <c r="AG257" i="6"/>
  <c r="AH257" i="6"/>
  <c r="AI257" i="6"/>
  <c r="S258" i="6"/>
  <c r="AD258" i="6"/>
  <c r="AE258" i="6"/>
  <c r="AF258" i="6"/>
  <c r="AG258" i="6"/>
  <c r="AH258" i="6"/>
  <c r="AI258" i="6"/>
  <c r="S259" i="6"/>
  <c r="AD259" i="6"/>
  <c r="AE259" i="6"/>
  <c r="AF259" i="6"/>
  <c r="AG259" i="6"/>
  <c r="AH259" i="6"/>
  <c r="AI259" i="6"/>
  <c r="S260" i="6"/>
  <c r="AD260" i="6"/>
  <c r="AE260" i="6"/>
  <c r="AF260" i="6"/>
  <c r="AG260" i="6"/>
  <c r="AH260" i="6"/>
  <c r="AI260" i="6"/>
  <c r="S261" i="6"/>
  <c r="S262" i="6"/>
  <c r="S263" i="6"/>
  <c r="AD263" i="6"/>
  <c r="AE263" i="6"/>
  <c r="AF263" i="6"/>
  <c r="AG263" i="6"/>
  <c r="AH263" i="6"/>
  <c r="AI263" i="6"/>
  <c r="S264" i="6"/>
  <c r="AD264" i="6"/>
  <c r="AE264" i="6"/>
  <c r="AF264" i="6"/>
  <c r="AG264" i="6"/>
  <c r="AH264" i="6"/>
  <c r="AI264" i="6"/>
  <c r="S265" i="6"/>
  <c r="AD265" i="6"/>
  <c r="AE265" i="6"/>
  <c r="AF265" i="6"/>
  <c r="AG265" i="6"/>
  <c r="AH265" i="6"/>
  <c r="AI265" i="6"/>
  <c r="S268" i="6"/>
  <c r="AD268" i="6"/>
  <c r="AE268" i="6"/>
  <c r="AF268" i="6"/>
  <c r="AG268" i="6"/>
  <c r="AH268" i="6"/>
  <c r="AI268" i="6"/>
  <c r="S269" i="6"/>
  <c r="AD269" i="6"/>
  <c r="AE269" i="6"/>
  <c r="AF269" i="6"/>
  <c r="AG269" i="6"/>
  <c r="AH269" i="6"/>
  <c r="AI269" i="6"/>
  <c r="S270" i="6"/>
  <c r="AD270" i="6"/>
  <c r="AE270" i="6"/>
  <c r="AF270" i="6"/>
  <c r="AG270" i="6"/>
  <c r="AH270" i="6"/>
  <c r="AI270" i="6"/>
  <c r="S271" i="6"/>
  <c r="AD271" i="6"/>
  <c r="AE271" i="6"/>
  <c r="AF271" i="6"/>
  <c r="AG271" i="6"/>
  <c r="AH271" i="6"/>
  <c r="AI271" i="6"/>
  <c r="S272" i="6"/>
  <c r="AD272" i="6"/>
  <c r="AE272" i="6"/>
  <c r="AF272" i="6"/>
  <c r="AG272" i="6"/>
  <c r="AH272" i="6"/>
  <c r="AI272" i="6"/>
  <c r="S273" i="6"/>
  <c r="AD273" i="6"/>
  <c r="AE273" i="6"/>
  <c r="AF273" i="6"/>
  <c r="AG273" i="6"/>
  <c r="AH273" i="6"/>
  <c r="AI273" i="6"/>
  <c r="S274" i="6"/>
  <c r="AD274" i="6"/>
  <c r="AE274" i="6"/>
  <c r="AF274" i="6"/>
  <c r="AG274" i="6"/>
  <c r="AH274" i="6"/>
  <c r="AI274" i="6"/>
  <c r="S275" i="6"/>
  <c r="AD275" i="6"/>
  <c r="AE275" i="6"/>
  <c r="AF275" i="6"/>
  <c r="AG275" i="6"/>
  <c r="AH275" i="6"/>
  <c r="AI275" i="6"/>
  <c r="S276" i="6"/>
  <c r="AD276" i="6"/>
  <c r="AE276" i="6"/>
  <c r="AF276" i="6"/>
  <c r="AG276" i="6"/>
  <c r="AH276" i="6"/>
  <c r="AI276" i="6"/>
  <c r="S277" i="6"/>
  <c r="AD277" i="6"/>
  <c r="AE277" i="6"/>
  <c r="AF277" i="6"/>
  <c r="AG277" i="6"/>
  <c r="AH277" i="6"/>
  <c r="AI277" i="6"/>
  <c r="S278" i="6"/>
  <c r="AD278" i="6"/>
  <c r="AE278" i="6"/>
  <c r="AF278" i="6"/>
  <c r="AG278" i="6"/>
  <c r="AH278" i="6"/>
  <c r="AI278" i="6"/>
  <c r="S279" i="6"/>
  <c r="AD279" i="6"/>
  <c r="AE279" i="6"/>
  <c r="AF279" i="6"/>
  <c r="AG279" i="6"/>
  <c r="AH279" i="6"/>
  <c r="AI279" i="6"/>
  <c r="S280" i="6"/>
  <c r="AD280" i="6"/>
  <c r="AE280" i="6"/>
  <c r="AF280" i="6"/>
  <c r="AG280" i="6"/>
  <c r="AH280" i="6"/>
  <c r="AI280" i="6"/>
  <c r="S281" i="6"/>
  <c r="AD281" i="6"/>
  <c r="AE281" i="6"/>
  <c r="AF281" i="6"/>
  <c r="AG281" i="6"/>
  <c r="AH281" i="6"/>
  <c r="AI281" i="6"/>
  <c r="S282" i="6"/>
  <c r="AD282" i="6"/>
  <c r="AE282" i="6"/>
  <c r="AF282" i="6"/>
  <c r="AG282" i="6"/>
  <c r="AH282" i="6"/>
  <c r="AI282" i="6"/>
  <c r="S283" i="6"/>
  <c r="AD283" i="6"/>
  <c r="AE283" i="6"/>
  <c r="AF283" i="6"/>
  <c r="AG283" i="6"/>
  <c r="AH283" i="6"/>
  <c r="AI283" i="6"/>
  <c r="S284" i="6"/>
  <c r="AD284" i="6"/>
  <c r="AE284" i="6"/>
  <c r="AF284" i="6"/>
  <c r="AG284" i="6"/>
  <c r="AH284" i="6"/>
  <c r="AI284" i="6"/>
  <c r="S285" i="6"/>
  <c r="AD285" i="6"/>
  <c r="AE285" i="6"/>
  <c r="AF285" i="6"/>
  <c r="AG285" i="6"/>
  <c r="AH285" i="6"/>
  <c r="AI285" i="6"/>
  <c r="S286" i="6"/>
  <c r="AD286" i="6"/>
  <c r="AE286" i="6"/>
  <c r="AF286" i="6"/>
  <c r="AG286" i="6"/>
  <c r="AH286" i="6"/>
  <c r="AI286" i="6"/>
  <c r="S287" i="6"/>
  <c r="AD287" i="6"/>
  <c r="AE287" i="6"/>
  <c r="AF287" i="6"/>
  <c r="AG287" i="6"/>
  <c r="AH287" i="6"/>
  <c r="AI287" i="6"/>
  <c r="S288" i="6"/>
  <c r="AD288" i="6"/>
  <c r="AE288" i="6"/>
  <c r="AF288" i="6"/>
  <c r="AG288" i="6"/>
  <c r="AH288" i="6"/>
  <c r="AI288" i="6"/>
  <c r="S289" i="6"/>
  <c r="AD289" i="6"/>
  <c r="AE289" i="6"/>
  <c r="AF289" i="6"/>
  <c r="AG289" i="6"/>
  <c r="AH289" i="6"/>
  <c r="AI289" i="6"/>
  <c r="S290" i="6"/>
  <c r="AD290" i="6"/>
  <c r="AE290" i="6"/>
  <c r="AF290" i="6"/>
  <c r="AG290" i="6"/>
  <c r="AH290" i="6"/>
  <c r="AI290" i="6"/>
  <c r="S291" i="6"/>
  <c r="AD291" i="6"/>
  <c r="AE291" i="6"/>
  <c r="AF291" i="6"/>
  <c r="AG291" i="6"/>
  <c r="AH291" i="6"/>
  <c r="AI291" i="6"/>
  <c r="S292" i="6"/>
  <c r="AD292" i="6"/>
  <c r="AE292" i="6"/>
  <c r="AF292" i="6"/>
  <c r="AG292" i="6"/>
  <c r="AH292" i="6"/>
  <c r="AI292" i="6"/>
  <c r="S293" i="6"/>
  <c r="AD293" i="6"/>
  <c r="AE293" i="6"/>
  <c r="AF293" i="6"/>
  <c r="AG293" i="6"/>
  <c r="AH293" i="6"/>
  <c r="AI293" i="6"/>
  <c r="S294" i="6"/>
  <c r="AD294" i="6"/>
  <c r="AE294" i="6"/>
  <c r="AF294" i="6"/>
  <c r="AG294" i="6"/>
  <c r="AH294" i="6"/>
  <c r="AI294" i="6"/>
  <c r="S295" i="6"/>
  <c r="AD295" i="6"/>
  <c r="AE295" i="6"/>
  <c r="AF295" i="6"/>
  <c r="AG295" i="6"/>
  <c r="AH295" i="6"/>
  <c r="AI295" i="6"/>
  <c r="S296" i="6"/>
  <c r="AD296" i="6"/>
  <c r="AE296" i="6"/>
  <c r="AF296" i="6"/>
  <c r="AG296" i="6"/>
  <c r="AH296" i="6"/>
  <c r="AI296" i="6"/>
  <c r="S297" i="6"/>
  <c r="AD297" i="6"/>
  <c r="AE297" i="6"/>
  <c r="AF297" i="6"/>
  <c r="AG297" i="6"/>
  <c r="AH297" i="6"/>
  <c r="AI297" i="6"/>
  <c r="S298" i="6"/>
  <c r="AD298" i="6"/>
  <c r="AE298" i="6"/>
  <c r="AF298" i="6"/>
  <c r="AG298" i="6"/>
  <c r="AH298" i="6"/>
  <c r="AI298" i="6"/>
  <c r="S299" i="6"/>
  <c r="AD299" i="6"/>
  <c r="AE299" i="6"/>
  <c r="AF299" i="6"/>
  <c r="AG299" i="6"/>
  <c r="AH299" i="6"/>
  <c r="AI299" i="6"/>
  <c r="S300" i="6"/>
  <c r="AD300" i="6"/>
  <c r="AE300" i="6"/>
  <c r="AF300" i="6"/>
  <c r="AG300" i="6"/>
  <c r="AH300" i="6"/>
  <c r="AI300" i="6"/>
  <c r="S301" i="6"/>
  <c r="AD301" i="6"/>
  <c r="AE301" i="6"/>
  <c r="AF301" i="6"/>
  <c r="AG301" i="6"/>
  <c r="AH301" i="6"/>
  <c r="AI301" i="6"/>
  <c r="S302" i="6"/>
  <c r="AD302" i="6"/>
  <c r="AE302" i="6"/>
  <c r="AF302" i="6"/>
  <c r="AG302" i="6"/>
  <c r="AH302" i="6"/>
  <c r="AI302" i="6"/>
  <c r="S303" i="6"/>
  <c r="AD303" i="6"/>
  <c r="AE303" i="6"/>
  <c r="AF303" i="6"/>
  <c r="AG303" i="6"/>
  <c r="AH303" i="6"/>
  <c r="AI303" i="6"/>
  <c r="S304" i="6"/>
  <c r="AD304" i="6"/>
  <c r="AE304" i="6"/>
  <c r="AF304" i="6"/>
  <c r="AG304" i="6"/>
  <c r="AH304" i="6"/>
  <c r="AI304" i="6"/>
  <c r="S305" i="6"/>
  <c r="AD305" i="6"/>
  <c r="AE305" i="6"/>
  <c r="AF305" i="6"/>
  <c r="AG305" i="6"/>
  <c r="AH305" i="6"/>
  <c r="AI305" i="6"/>
  <c r="S306" i="6"/>
  <c r="AD306" i="6"/>
  <c r="AE306" i="6"/>
  <c r="AF306" i="6"/>
  <c r="AG306" i="6"/>
  <c r="AH306" i="6"/>
  <c r="AI306" i="6"/>
  <c r="S307" i="6"/>
  <c r="AD307" i="6"/>
  <c r="AE307" i="6"/>
  <c r="AF307" i="6"/>
  <c r="AG307" i="6"/>
  <c r="AH307" i="6"/>
  <c r="AI307" i="6"/>
  <c r="S308" i="6"/>
  <c r="AD308" i="6"/>
  <c r="AE308" i="6"/>
  <c r="AF308" i="6"/>
  <c r="AG308" i="6"/>
  <c r="AH308" i="6"/>
  <c r="AI308" i="6"/>
  <c r="S309" i="6"/>
  <c r="AD309" i="6"/>
  <c r="AE309" i="6"/>
  <c r="AF309" i="6"/>
  <c r="AG309" i="6"/>
  <c r="AH309" i="6"/>
  <c r="AI309" i="6"/>
  <c r="S310" i="6"/>
  <c r="AD310" i="6"/>
  <c r="AE310" i="6"/>
  <c r="AF310" i="6"/>
  <c r="AG310" i="6"/>
  <c r="AH310" i="6"/>
  <c r="AI310" i="6"/>
  <c r="S311" i="6"/>
  <c r="AD311" i="6"/>
  <c r="AE311" i="6"/>
  <c r="AF311" i="6"/>
  <c r="AG311" i="6"/>
  <c r="AH311" i="6"/>
  <c r="AI311" i="6"/>
  <c r="S312" i="6"/>
  <c r="AD312" i="6"/>
  <c r="AE312" i="6"/>
  <c r="AF312" i="6"/>
  <c r="AG312" i="6"/>
  <c r="AH312" i="6"/>
  <c r="AI312" i="6"/>
  <c r="S313" i="6"/>
  <c r="AD313" i="6"/>
  <c r="AE313" i="6"/>
  <c r="AF313" i="6"/>
  <c r="AG313" i="6"/>
  <c r="AH313" i="6"/>
  <c r="AI313" i="6"/>
  <c r="S314" i="6"/>
  <c r="AD314" i="6"/>
  <c r="AE314" i="6"/>
  <c r="AF314" i="6"/>
  <c r="AG314" i="6"/>
  <c r="AH314" i="6"/>
  <c r="AI314" i="6"/>
  <c r="S315" i="6"/>
  <c r="AD315" i="6"/>
  <c r="AE315" i="6"/>
  <c r="AF315" i="6"/>
  <c r="AG315" i="6"/>
  <c r="AH315" i="6"/>
  <c r="AI315" i="6"/>
  <c r="S316" i="6"/>
  <c r="AD316" i="6"/>
  <c r="AE316" i="6"/>
  <c r="AF316" i="6"/>
  <c r="AG316" i="6"/>
  <c r="AH316" i="6"/>
  <c r="AI316" i="6"/>
  <c r="S317" i="6"/>
  <c r="AD317" i="6"/>
  <c r="AE317" i="6"/>
  <c r="AF317" i="6"/>
  <c r="AG317" i="6"/>
  <c r="AH317" i="6"/>
  <c r="AI317" i="6"/>
  <c r="S318" i="6"/>
  <c r="AD318" i="6"/>
  <c r="AE318" i="6"/>
  <c r="AF318" i="6"/>
  <c r="AG318" i="6"/>
  <c r="AH318" i="6"/>
  <c r="AI318" i="6"/>
  <c r="S319" i="6"/>
  <c r="AD319" i="6"/>
  <c r="AE319" i="6"/>
  <c r="AF319" i="6"/>
  <c r="AG319" i="6"/>
  <c r="AH319" i="6"/>
  <c r="AI319" i="6"/>
  <c r="S320" i="6"/>
  <c r="AD320" i="6"/>
  <c r="AE320" i="6"/>
  <c r="AF320" i="6"/>
  <c r="AG320" i="6"/>
  <c r="AH320" i="6"/>
  <c r="AI320" i="6"/>
  <c r="S321" i="6"/>
  <c r="AD321" i="6"/>
  <c r="AE321" i="6"/>
  <c r="AF321" i="6"/>
  <c r="AG321" i="6"/>
  <c r="AH321" i="6"/>
  <c r="AI321" i="6"/>
  <c r="S322" i="6"/>
  <c r="AD322" i="6"/>
  <c r="AE322" i="6"/>
  <c r="AF322" i="6"/>
  <c r="AG322" i="6"/>
  <c r="AH322" i="6"/>
  <c r="AI322" i="6"/>
  <c r="S323" i="6"/>
  <c r="AD323" i="6"/>
  <c r="AE323" i="6"/>
  <c r="AF323" i="6"/>
  <c r="AG323" i="6"/>
  <c r="AH323" i="6"/>
  <c r="AI323" i="6"/>
  <c r="S324" i="6"/>
  <c r="AD324" i="6"/>
  <c r="AE324" i="6"/>
  <c r="AF324" i="6"/>
  <c r="AG324" i="6"/>
  <c r="AH324" i="6"/>
  <c r="AI324" i="6"/>
  <c r="S326" i="6"/>
  <c r="AD326" i="6"/>
  <c r="AE326" i="6"/>
  <c r="AF326" i="6"/>
  <c r="AG326" i="6"/>
  <c r="AH326" i="6"/>
  <c r="AI326" i="6"/>
  <c r="S327" i="6"/>
  <c r="AD327" i="6"/>
  <c r="AE327" i="6"/>
  <c r="AF327" i="6"/>
  <c r="AG327" i="6"/>
  <c r="AH327" i="6"/>
  <c r="AI327" i="6"/>
  <c r="S328" i="6"/>
  <c r="AD328" i="6"/>
  <c r="AE328" i="6"/>
  <c r="AF328" i="6"/>
  <c r="AG328" i="6"/>
  <c r="AH328" i="6"/>
  <c r="AI328" i="6"/>
  <c r="S329" i="6"/>
  <c r="AD329" i="6"/>
  <c r="AE329" i="6"/>
  <c r="AF329" i="6"/>
  <c r="AG329" i="6"/>
  <c r="AH329" i="6"/>
  <c r="AI329" i="6"/>
  <c r="S330" i="6"/>
  <c r="AD330" i="6"/>
  <c r="AE330" i="6"/>
  <c r="AF330" i="6"/>
  <c r="AG330" i="6"/>
  <c r="AH330" i="6"/>
  <c r="AI330" i="6"/>
  <c r="S331" i="6"/>
  <c r="AD331" i="6"/>
  <c r="AE331" i="6"/>
  <c r="AF331" i="6"/>
  <c r="AG331" i="6"/>
  <c r="AH331" i="6"/>
  <c r="AI331" i="6"/>
  <c r="S332" i="6"/>
  <c r="AD332" i="6"/>
  <c r="AE332" i="6"/>
  <c r="AF332" i="6"/>
  <c r="AG332" i="6"/>
  <c r="AH332" i="6"/>
  <c r="AI332" i="6"/>
  <c r="S333" i="6"/>
  <c r="AD333" i="6"/>
  <c r="AE333" i="6"/>
  <c r="AF333" i="6"/>
  <c r="AG333" i="6"/>
  <c r="AH333" i="6"/>
  <c r="AI333" i="6"/>
  <c r="S334" i="6"/>
  <c r="AD334" i="6"/>
  <c r="AE334" i="6"/>
  <c r="AF334" i="6"/>
  <c r="AG334" i="6"/>
  <c r="AH334" i="6"/>
  <c r="AI334" i="6"/>
  <c r="S335" i="6"/>
  <c r="AD335" i="6"/>
  <c r="AE335" i="6"/>
  <c r="AF335" i="6"/>
  <c r="AG335" i="6"/>
  <c r="AH335" i="6"/>
  <c r="AI335" i="6"/>
  <c r="S336" i="6"/>
  <c r="AD336" i="6"/>
  <c r="AE336" i="6"/>
  <c r="AF336" i="6"/>
  <c r="AG336" i="6"/>
  <c r="AH336" i="6"/>
  <c r="AI336" i="6"/>
  <c r="S337" i="6"/>
  <c r="AD337" i="6"/>
  <c r="AE337" i="6"/>
  <c r="AF337" i="6"/>
  <c r="AG337" i="6"/>
  <c r="AH337" i="6"/>
  <c r="AI337" i="6"/>
  <c r="S338" i="6"/>
  <c r="AD338" i="6"/>
  <c r="AE338" i="6"/>
  <c r="AF338" i="6"/>
  <c r="AG338" i="6"/>
  <c r="AH338" i="6"/>
  <c r="AI338" i="6"/>
  <c r="S339" i="6"/>
  <c r="AD339" i="6"/>
  <c r="AE339" i="6"/>
  <c r="AF339" i="6"/>
  <c r="AG339" i="6"/>
  <c r="AH339" i="6"/>
  <c r="AI339" i="6"/>
  <c r="S340" i="6"/>
  <c r="AD340" i="6"/>
  <c r="AE340" i="6"/>
  <c r="AF340" i="6"/>
  <c r="AG340" i="6"/>
  <c r="AH340" i="6"/>
  <c r="AI340" i="6"/>
  <c r="S341" i="6"/>
  <c r="AD341" i="6"/>
  <c r="AE341" i="6"/>
  <c r="AF341" i="6"/>
  <c r="AG341" i="6"/>
  <c r="AH341" i="6"/>
  <c r="AI341" i="6"/>
  <c r="S342" i="6"/>
  <c r="AD342" i="6"/>
  <c r="AE342" i="6"/>
  <c r="AF342" i="6"/>
  <c r="AG342" i="6"/>
  <c r="AH342" i="6"/>
  <c r="AI342" i="6"/>
  <c r="S343" i="6"/>
  <c r="AD343" i="6"/>
  <c r="AE343" i="6"/>
  <c r="AF343" i="6"/>
  <c r="AG343" i="6"/>
  <c r="AH343" i="6"/>
  <c r="AI343" i="6"/>
  <c r="S344" i="6"/>
  <c r="AD344" i="6"/>
  <c r="AE344" i="6"/>
  <c r="AF344" i="6"/>
  <c r="AG344" i="6"/>
  <c r="AH344" i="6"/>
  <c r="AI344" i="6"/>
  <c r="S345" i="6"/>
  <c r="AD345" i="6"/>
  <c r="AE345" i="6"/>
  <c r="AF345" i="6"/>
  <c r="AG345" i="6"/>
  <c r="AH345" i="6"/>
  <c r="AI345" i="6"/>
  <c r="S346" i="6"/>
  <c r="AD346" i="6"/>
  <c r="AE346" i="6"/>
  <c r="AF346" i="6"/>
  <c r="AG346" i="6"/>
  <c r="AH346" i="6"/>
  <c r="AI346" i="6"/>
  <c r="S347" i="6"/>
  <c r="AD347" i="6"/>
  <c r="AE347" i="6"/>
  <c r="AF347" i="6"/>
  <c r="AG347" i="6"/>
  <c r="AH347" i="6"/>
  <c r="AI347" i="6"/>
  <c r="S348" i="6"/>
  <c r="AD348" i="6"/>
  <c r="AE348" i="6"/>
  <c r="AF348" i="6"/>
  <c r="AG348" i="6"/>
  <c r="AH348" i="6"/>
  <c r="AI348" i="6"/>
  <c r="S349" i="6"/>
  <c r="AD349" i="6"/>
  <c r="AE349" i="6"/>
  <c r="AF349" i="6"/>
  <c r="AG349" i="6"/>
  <c r="AH349" i="6"/>
  <c r="AI349" i="6"/>
  <c r="S350" i="6"/>
  <c r="AD350" i="6"/>
  <c r="AE350" i="6"/>
  <c r="AF350" i="6"/>
  <c r="AG350" i="6"/>
  <c r="AH350" i="6"/>
  <c r="AI350" i="6"/>
  <c r="S351" i="6"/>
  <c r="AD351" i="6"/>
  <c r="AE351" i="6"/>
  <c r="AF351" i="6"/>
  <c r="AG351" i="6"/>
  <c r="AH351" i="6"/>
  <c r="AI351" i="6"/>
  <c r="S352" i="6"/>
  <c r="AD352" i="6"/>
  <c r="AE352" i="6"/>
  <c r="AF352" i="6"/>
  <c r="AG352" i="6"/>
  <c r="AH352" i="6"/>
  <c r="AI352" i="6"/>
  <c r="S353" i="6"/>
  <c r="AD353" i="6"/>
  <c r="AE353" i="6"/>
  <c r="AF353" i="6"/>
  <c r="AG353" i="6"/>
  <c r="AH353" i="6"/>
  <c r="AI353" i="6"/>
  <c r="S354" i="6"/>
  <c r="AD354" i="6"/>
  <c r="AE354" i="6"/>
  <c r="AF354" i="6"/>
  <c r="AG354" i="6"/>
  <c r="AH354" i="6"/>
  <c r="AI354" i="6"/>
  <c r="S355" i="6"/>
  <c r="AD355" i="6"/>
  <c r="AE355" i="6"/>
  <c r="AF355" i="6"/>
  <c r="AG355" i="6"/>
  <c r="AH355" i="6"/>
  <c r="AI355" i="6"/>
  <c r="S356" i="6"/>
  <c r="AD356" i="6"/>
  <c r="AE356" i="6"/>
  <c r="AF356" i="6"/>
  <c r="AG356" i="6"/>
  <c r="AH356" i="6"/>
  <c r="AI356" i="6"/>
  <c r="S357" i="6"/>
  <c r="AD357" i="6"/>
  <c r="AE357" i="6"/>
  <c r="AF357" i="6"/>
  <c r="AG357" i="6"/>
  <c r="AH357" i="6"/>
  <c r="AI357" i="6"/>
  <c r="S358" i="6"/>
  <c r="S360" i="6"/>
  <c r="S361" i="6"/>
  <c r="AD361" i="6"/>
  <c r="AE361" i="6"/>
  <c r="AF361" i="6"/>
  <c r="AG361" i="6"/>
  <c r="AH361" i="6"/>
  <c r="AI361" i="6"/>
  <c r="S362" i="6"/>
  <c r="S364" i="6"/>
  <c r="S365" i="6"/>
  <c r="S366" i="6"/>
  <c r="AD366" i="6"/>
  <c r="AE366" i="6"/>
  <c r="AF366" i="6"/>
  <c r="AG366" i="6"/>
  <c r="AH366" i="6"/>
  <c r="AI366" i="6"/>
  <c r="S367" i="6"/>
  <c r="AD367" i="6"/>
  <c r="AE367" i="6"/>
  <c r="AF367" i="6"/>
  <c r="AG367" i="6"/>
  <c r="AH367" i="6"/>
  <c r="AI367" i="6"/>
  <c r="S368" i="6"/>
  <c r="AD368" i="6"/>
  <c r="AE368" i="6"/>
  <c r="AF368" i="6"/>
  <c r="AG368" i="6"/>
  <c r="AH368" i="6"/>
  <c r="AI368" i="6"/>
  <c r="S369" i="6"/>
  <c r="AD369" i="6"/>
  <c r="AE369" i="6"/>
  <c r="AF369" i="6"/>
  <c r="AG369" i="6"/>
  <c r="AH369" i="6"/>
  <c r="AI369" i="6"/>
  <c r="S370" i="6"/>
  <c r="AD370" i="6"/>
  <c r="AE370" i="6"/>
  <c r="AF370" i="6"/>
  <c r="AG370" i="6"/>
  <c r="AH370" i="6"/>
  <c r="AI370" i="6"/>
  <c r="S371" i="6"/>
  <c r="AD371" i="6"/>
  <c r="AE371" i="6"/>
  <c r="AF371" i="6"/>
  <c r="AG371" i="6"/>
  <c r="AH371" i="6"/>
  <c r="AI371" i="6"/>
  <c r="S372" i="6"/>
  <c r="AD372" i="6"/>
  <c r="AE372" i="6"/>
  <c r="AF372" i="6"/>
  <c r="AG372" i="6"/>
  <c r="AH372" i="6"/>
  <c r="AI372" i="6"/>
  <c r="S373" i="6"/>
  <c r="AD373" i="6"/>
  <c r="AE373" i="6"/>
  <c r="AF373" i="6"/>
  <c r="AG373" i="6"/>
  <c r="AH373" i="6"/>
  <c r="AI373" i="6"/>
  <c r="S374" i="6"/>
  <c r="AD374" i="6"/>
  <c r="AE374" i="6"/>
  <c r="AF374" i="6"/>
  <c r="AG374" i="6"/>
  <c r="AH374" i="6"/>
  <c r="AI374" i="6"/>
  <c r="S375" i="6"/>
  <c r="AD375" i="6"/>
  <c r="AE375" i="6"/>
  <c r="AF375" i="6"/>
  <c r="AG375" i="6"/>
  <c r="AH375" i="6"/>
  <c r="AI375" i="6"/>
  <c r="S376" i="6"/>
  <c r="AD376" i="6"/>
  <c r="AE376" i="6"/>
  <c r="AF376" i="6"/>
  <c r="AG376" i="6"/>
  <c r="AH376" i="6"/>
  <c r="AI376" i="6"/>
  <c r="S380" i="6"/>
  <c r="AD380" i="6"/>
  <c r="AE380" i="6"/>
  <c r="AF380" i="6"/>
  <c r="AG380" i="6"/>
  <c r="AH380" i="6"/>
  <c r="AI380" i="6"/>
  <c r="S381" i="6"/>
  <c r="AD381" i="6"/>
  <c r="AE381" i="6"/>
  <c r="AF381" i="6"/>
  <c r="AG381" i="6"/>
  <c r="AH381" i="6"/>
  <c r="AI381" i="6"/>
  <c r="S382" i="6"/>
  <c r="AD382" i="6"/>
  <c r="AE382" i="6"/>
  <c r="AF382" i="6"/>
  <c r="AG382" i="6"/>
  <c r="AH382" i="6"/>
  <c r="AI382" i="6"/>
  <c r="S383" i="6"/>
  <c r="AD383" i="6"/>
  <c r="AE383" i="6"/>
  <c r="AF383" i="6"/>
  <c r="AG383" i="6"/>
  <c r="AH383" i="6"/>
  <c r="AI383" i="6"/>
  <c r="S384" i="6"/>
  <c r="AD384" i="6"/>
  <c r="AE384" i="6"/>
  <c r="AF384" i="6"/>
  <c r="AG384" i="6"/>
  <c r="AH384" i="6"/>
  <c r="AI384" i="6"/>
  <c r="S385" i="6"/>
  <c r="AD385" i="6"/>
  <c r="AE385" i="6"/>
  <c r="AF385" i="6"/>
  <c r="AG385" i="6"/>
  <c r="AH385" i="6"/>
  <c r="AI385" i="6"/>
  <c r="S386" i="6"/>
  <c r="AD386" i="6"/>
  <c r="AE386" i="6"/>
  <c r="AF386" i="6"/>
  <c r="AG386" i="6"/>
  <c r="AH386" i="6"/>
  <c r="AI386" i="6"/>
  <c r="S387" i="6"/>
  <c r="AD387" i="6"/>
  <c r="AE387" i="6"/>
  <c r="AF387" i="6"/>
  <c r="AG387" i="6"/>
  <c r="AH387" i="6"/>
  <c r="AI387" i="6"/>
  <c r="S388" i="6"/>
  <c r="AD388" i="6"/>
  <c r="AE388" i="6"/>
  <c r="AF388" i="6"/>
  <c r="AG388" i="6"/>
  <c r="AH388" i="6"/>
  <c r="AI388" i="6"/>
  <c r="S389" i="6"/>
  <c r="AD389" i="6"/>
  <c r="AE389" i="6"/>
  <c r="AF389" i="6"/>
  <c r="AG389" i="6"/>
  <c r="AH389" i="6"/>
  <c r="AI389" i="6"/>
  <c r="S390" i="6"/>
  <c r="AD390" i="6"/>
  <c r="AE390" i="6"/>
  <c r="AF390" i="6"/>
  <c r="AG390" i="6"/>
  <c r="AH390" i="6"/>
  <c r="AI390" i="6"/>
  <c r="S391" i="6"/>
  <c r="AD391" i="6"/>
  <c r="AE391" i="6"/>
  <c r="AF391" i="6"/>
  <c r="AG391" i="6"/>
  <c r="AH391" i="6"/>
  <c r="AI391" i="6"/>
  <c r="S392" i="6"/>
  <c r="AD392" i="6"/>
  <c r="AE392" i="6"/>
  <c r="AF392" i="6"/>
  <c r="AG392" i="6"/>
  <c r="AH392" i="6"/>
  <c r="AI392" i="6"/>
  <c r="S393" i="6"/>
  <c r="AD393" i="6"/>
  <c r="AE393" i="6"/>
  <c r="AF393" i="6"/>
  <c r="AG393" i="6"/>
  <c r="AH393" i="6"/>
  <c r="AI393" i="6"/>
  <c r="S394" i="6"/>
  <c r="AD394" i="6"/>
  <c r="AE394" i="6"/>
  <c r="AF394" i="6"/>
  <c r="AG394" i="6"/>
  <c r="AH394" i="6"/>
  <c r="AI394" i="6"/>
  <c r="S395" i="6"/>
  <c r="AD395" i="6"/>
  <c r="AE395" i="6"/>
  <c r="AF395" i="6"/>
  <c r="AG395" i="6"/>
  <c r="AH395" i="6"/>
  <c r="AI395" i="6"/>
  <c r="S396" i="6"/>
  <c r="AD396" i="6"/>
  <c r="AE396" i="6"/>
  <c r="AF396" i="6"/>
  <c r="AG396" i="6"/>
  <c r="AH396" i="6"/>
  <c r="AI396" i="6"/>
  <c r="S397" i="6"/>
  <c r="AD397" i="6"/>
  <c r="AE397" i="6"/>
  <c r="AF397" i="6"/>
  <c r="AG397" i="6"/>
  <c r="AH397" i="6"/>
  <c r="AI397" i="6"/>
  <c r="S398" i="6"/>
  <c r="AD398" i="6"/>
  <c r="AE398" i="6"/>
  <c r="AF398" i="6"/>
  <c r="AG398" i="6"/>
  <c r="AH398" i="6"/>
  <c r="AI398" i="6"/>
  <c r="S399" i="6"/>
  <c r="AD399" i="6"/>
  <c r="AE399" i="6"/>
  <c r="AF399" i="6"/>
  <c r="AG399" i="6"/>
  <c r="AH399" i="6"/>
  <c r="AI399" i="6"/>
  <c r="S400" i="6"/>
  <c r="AD400" i="6"/>
  <c r="AE400" i="6"/>
  <c r="AF400" i="6"/>
  <c r="AG400" i="6"/>
  <c r="AH400" i="6"/>
  <c r="AI400" i="6"/>
  <c r="S401" i="6"/>
  <c r="AD401" i="6"/>
  <c r="AE401" i="6"/>
  <c r="AF401" i="6"/>
  <c r="AG401" i="6"/>
  <c r="AH401" i="6"/>
  <c r="AI401" i="6"/>
  <c r="S402" i="6"/>
  <c r="AD402" i="6"/>
  <c r="AE402" i="6"/>
  <c r="AF402" i="6"/>
  <c r="AG402" i="6"/>
  <c r="AH402" i="6"/>
  <c r="AI402" i="6"/>
  <c r="S410" i="6"/>
  <c r="AD410" i="6"/>
  <c r="AE410" i="6"/>
  <c r="AF410" i="6"/>
  <c r="AG410" i="6"/>
  <c r="AH410" i="6"/>
  <c r="AI410" i="6"/>
  <c r="S411" i="6"/>
  <c r="AD411" i="6"/>
  <c r="AE411" i="6"/>
  <c r="AF411" i="6"/>
  <c r="AG411" i="6"/>
  <c r="AH411" i="6"/>
  <c r="AI411" i="6"/>
  <c r="S412" i="6"/>
  <c r="AD412" i="6"/>
  <c r="AE412" i="6"/>
  <c r="AF412" i="6"/>
  <c r="AG412" i="6"/>
  <c r="AH412" i="6"/>
  <c r="AI412" i="6"/>
  <c r="S413" i="6"/>
  <c r="AD413" i="6"/>
  <c r="AE413" i="6"/>
  <c r="AF413" i="6"/>
  <c r="AG413" i="6"/>
  <c r="AH413" i="6"/>
  <c r="AI413" i="6"/>
  <c r="S414" i="6"/>
  <c r="AD414" i="6"/>
  <c r="AE414" i="6"/>
  <c r="AF414" i="6"/>
  <c r="AG414" i="6"/>
  <c r="AH414" i="6"/>
  <c r="AI414" i="6"/>
  <c r="S415" i="6"/>
  <c r="AD415" i="6"/>
  <c r="AE415" i="6"/>
  <c r="AF415" i="6"/>
  <c r="AG415" i="6"/>
  <c r="AH415" i="6"/>
  <c r="AI415" i="6"/>
  <c r="S416" i="6"/>
  <c r="AD416" i="6"/>
  <c r="AE416" i="6"/>
  <c r="AF416" i="6"/>
  <c r="AG416" i="6"/>
  <c r="AH416" i="6"/>
  <c r="AI416" i="6"/>
  <c r="S417" i="6"/>
  <c r="AD417" i="6"/>
  <c r="AE417" i="6"/>
  <c r="AF417" i="6"/>
  <c r="AG417" i="6"/>
  <c r="AH417" i="6"/>
  <c r="AI417" i="6"/>
  <c r="S418" i="6"/>
  <c r="AD418" i="6"/>
  <c r="AE418" i="6"/>
  <c r="AF418" i="6"/>
  <c r="AG418" i="6"/>
  <c r="AH418" i="6"/>
  <c r="AI418" i="6"/>
  <c r="S419" i="6"/>
  <c r="AD419" i="6"/>
  <c r="AE419" i="6"/>
  <c r="AF419" i="6"/>
  <c r="AG419" i="6"/>
  <c r="AH419" i="6"/>
  <c r="AI419" i="6"/>
  <c r="S420" i="6"/>
  <c r="AD420" i="6"/>
  <c r="AE420" i="6"/>
  <c r="AF420" i="6"/>
  <c r="AG420" i="6"/>
  <c r="AH420" i="6"/>
  <c r="AI420" i="6"/>
  <c r="S421" i="6"/>
  <c r="AD421" i="6"/>
  <c r="AE421" i="6"/>
  <c r="AF421" i="6"/>
  <c r="AG421" i="6"/>
  <c r="AH421" i="6"/>
  <c r="AI421" i="6"/>
  <c r="S422" i="6"/>
  <c r="AD422" i="6"/>
  <c r="AE422" i="6"/>
  <c r="AF422" i="6"/>
  <c r="AG422" i="6"/>
  <c r="AH422" i="6"/>
  <c r="AI422" i="6"/>
  <c r="S428" i="6"/>
  <c r="AD428" i="6"/>
  <c r="AE428" i="6"/>
  <c r="AF428" i="6"/>
  <c r="AG428" i="6"/>
  <c r="AH428" i="6"/>
  <c r="AI428" i="6"/>
  <c r="S429" i="6"/>
  <c r="AD429" i="6"/>
  <c r="AE429" i="6"/>
  <c r="AF429" i="6"/>
  <c r="AG429" i="6"/>
  <c r="AH429" i="6"/>
  <c r="AI429" i="6"/>
  <c r="S430" i="6"/>
  <c r="AD430" i="6"/>
  <c r="AE430" i="6"/>
  <c r="AF430" i="6"/>
  <c r="AG430" i="6"/>
  <c r="AH430" i="6"/>
  <c r="AI430" i="6"/>
  <c r="S431" i="6"/>
  <c r="AD431" i="6"/>
  <c r="AE431" i="6"/>
  <c r="AF431" i="6"/>
  <c r="AG431" i="6"/>
  <c r="AH431" i="6"/>
  <c r="AI431" i="6"/>
  <c r="S432" i="6"/>
  <c r="AD432" i="6"/>
  <c r="AE432" i="6"/>
  <c r="AF432" i="6"/>
  <c r="AG432" i="6"/>
  <c r="AH432" i="6"/>
  <c r="AI432" i="6"/>
  <c r="S433" i="6"/>
  <c r="AD433" i="6"/>
  <c r="AE433" i="6"/>
  <c r="AF433" i="6"/>
  <c r="AG433" i="6"/>
  <c r="AH433" i="6"/>
  <c r="AI433" i="6"/>
  <c r="S434" i="6"/>
  <c r="AD434" i="6"/>
  <c r="AE434" i="6"/>
  <c r="AF434" i="6"/>
  <c r="AG434" i="6"/>
  <c r="AH434" i="6"/>
  <c r="AI434" i="6"/>
  <c r="S435" i="6"/>
  <c r="AD435" i="6"/>
  <c r="AE435" i="6"/>
  <c r="AF435" i="6"/>
  <c r="AG435" i="6"/>
  <c r="AH435" i="6"/>
  <c r="AI435" i="6"/>
  <c r="S436" i="6"/>
  <c r="AD436" i="6"/>
  <c r="AE436" i="6"/>
  <c r="AF436" i="6"/>
  <c r="AG436" i="6"/>
  <c r="AH436" i="6"/>
  <c r="AI436" i="6"/>
  <c r="S437" i="6"/>
  <c r="AD437" i="6"/>
  <c r="AE437" i="6"/>
  <c r="AF437" i="6"/>
  <c r="AG437" i="6"/>
  <c r="AH437" i="6"/>
  <c r="AI437" i="6"/>
  <c r="S438" i="6"/>
  <c r="AD438" i="6"/>
  <c r="AE438" i="6"/>
  <c r="AF438" i="6"/>
  <c r="AG438" i="6"/>
  <c r="AH438" i="6"/>
  <c r="AI438" i="6"/>
  <c r="S439" i="6"/>
  <c r="AD439" i="6"/>
  <c r="AE439" i="6"/>
  <c r="AF439" i="6"/>
  <c r="AG439" i="6"/>
  <c r="AH439" i="6"/>
  <c r="AI439" i="6"/>
  <c r="S440" i="6"/>
  <c r="AD440" i="6"/>
  <c r="AE440" i="6"/>
  <c r="AF440" i="6"/>
  <c r="AG440" i="6"/>
  <c r="AH440" i="6"/>
  <c r="AI440" i="6"/>
  <c r="S441" i="6"/>
  <c r="AD441" i="6"/>
  <c r="AE441" i="6"/>
  <c r="AF441" i="6"/>
  <c r="AG441" i="6"/>
  <c r="AH441" i="6"/>
  <c r="AI441" i="6"/>
  <c r="S442" i="6"/>
  <c r="AD442" i="6"/>
  <c r="AE442" i="6"/>
  <c r="AF442" i="6"/>
  <c r="AG442" i="6"/>
  <c r="AH442" i="6"/>
  <c r="AI442" i="6"/>
  <c r="S443" i="6"/>
  <c r="AD443" i="6"/>
  <c r="AE443" i="6"/>
  <c r="AF443" i="6"/>
  <c r="AG443" i="6"/>
  <c r="AH443" i="6"/>
  <c r="AI443" i="6"/>
  <c r="S444" i="6"/>
  <c r="AD444" i="6"/>
  <c r="AE444" i="6"/>
  <c r="AF444" i="6"/>
  <c r="AG444" i="6"/>
  <c r="AH444" i="6"/>
  <c r="AI444" i="6"/>
  <c r="S445" i="6"/>
  <c r="AD445" i="6"/>
  <c r="AE445" i="6"/>
  <c r="AF445" i="6"/>
  <c r="AG445" i="6"/>
  <c r="AH445" i="6"/>
  <c r="AI445" i="6"/>
  <c r="S446" i="6"/>
  <c r="AD446" i="6"/>
  <c r="AE446" i="6"/>
  <c r="AF446" i="6"/>
  <c r="AG446" i="6"/>
  <c r="AH446" i="6"/>
  <c r="AI446" i="6"/>
  <c r="S447" i="6"/>
  <c r="AD447" i="6"/>
  <c r="AE447" i="6"/>
  <c r="AF447" i="6"/>
  <c r="AG447" i="6"/>
  <c r="AH447" i="6"/>
  <c r="AI447" i="6"/>
  <c r="S449" i="6"/>
  <c r="S450" i="6"/>
  <c r="S451" i="6"/>
  <c r="S452" i="6"/>
  <c r="AD452" i="6"/>
  <c r="AE452" i="6"/>
  <c r="AF452" i="6"/>
  <c r="AG452" i="6"/>
  <c r="AH452" i="6"/>
  <c r="AI452" i="6"/>
  <c r="S453" i="6"/>
  <c r="AD453" i="6"/>
  <c r="AE453" i="6"/>
  <c r="AF453" i="6"/>
  <c r="AG453" i="6"/>
  <c r="AH453" i="6"/>
  <c r="AI453" i="6"/>
  <c r="S454" i="6"/>
  <c r="AD454" i="6"/>
  <c r="AE454" i="6"/>
  <c r="AF454" i="6"/>
  <c r="AG454" i="6"/>
  <c r="AH454" i="6"/>
  <c r="AI454" i="6"/>
  <c r="S455" i="6"/>
  <c r="AD455" i="6"/>
  <c r="AE455" i="6"/>
  <c r="AF455" i="6"/>
  <c r="AG455" i="6"/>
  <c r="AH455" i="6"/>
  <c r="AI455" i="6"/>
  <c r="S457" i="6"/>
  <c r="AF457" i="6"/>
  <c r="AG457" i="6"/>
  <c r="AH457" i="6"/>
  <c r="AI457" i="6"/>
  <c r="S458" i="6"/>
  <c r="AD458" i="6"/>
  <c r="AE458" i="6"/>
  <c r="AF458" i="6"/>
  <c r="AG458" i="6"/>
  <c r="AH458" i="6"/>
  <c r="AI458" i="6"/>
  <c r="S459" i="6"/>
  <c r="AD459" i="6"/>
  <c r="AE459" i="6"/>
  <c r="AF459" i="6"/>
  <c r="AG459" i="6"/>
  <c r="AH459" i="6"/>
  <c r="AI459" i="6"/>
  <c r="S460" i="6"/>
  <c r="AD460" i="6"/>
  <c r="AE460" i="6"/>
  <c r="AF460" i="6"/>
  <c r="AG460" i="6"/>
  <c r="AH460" i="6"/>
  <c r="AI460" i="6"/>
  <c r="S461" i="6"/>
  <c r="AD461" i="6"/>
  <c r="AE461" i="6"/>
  <c r="AF461" i="6"/>
  <c r="AG461" i="6"/>
  <c r="AH461" i="6"/>
  <c r="AI461" i="6"/>
  <c r="S462" i="6"/>
  <c r="AD462" i="6"/>
  <c r="AE462" i="6"/>
  <c r="AF462" i="6"/>
  <c r="AG462" i="6"/>
  <c r="AH462" i="6"/>
  <c r="AI462" i="6"/>
  <c r="S463" i="6"/>
  <c r="AD463" i="6"/>
  <c r="AE463" i="6"/>
  <c r="AF463" i="6"/>
  <c r="AG463" i="6"/>
  <c r="AH463" i="6"/>
  <c r="AI463" i="6"/>
  <c r="S464" i="6"/>
  <c r="AD464" i="6"/>
  <c r="AE464" i="6"/>
  <c r="AF464" i="6"/>
  <c r="AG464" i="6"/>
  <c r="AH464" i="6"/>
  <c r="AI464" i="6"/>
  <c r="S472" i="6"/>
  <c r="AD472" i="6"/>
  <c r="AE472" i="6"/>
  <c r="AF472" i="6"/>
  <c r="AG472" i="6"/>
  <c r="AH472" i="6"/>
  <c r="AI472" i="6"/>
  <c r="S473" i="6"/>
  <c r="AD473" i="6"/>
  <c r="AE473" i="6"/>
  <c r="AF473" i="6"/>
  <c r="AG473" i="6"/>
  <c r="AH473" i="6"/>
  <c r="AI473" i="6"/>
  <c r="S474" i="6"/>
  <c r="AD474" i="6"/>
  <c r="AE474" i="6"/>
  <c r="AF474" i="6"/>
  <c r="AG474" i="6"/>
  <c r="AH474" i="6"/>
  <c r="AI474" i="6"/>
  <c r="S475" i="6"/>
  <c r="AD475" i="6"/>
  <c r="AE475" i="6"/>
  <c r="AF475" i="6"/>
  <c r="AG475" i="6"/>
  <c r="AH475" i="6"/>
  <c r="AI475" i="6"/>
  <c r="S476" i="6"/>
  <c r="AD476" i="6"/>
  <c r="AE476" i="6"/>
  <c r="AF476" i="6"/>
  <c r="AG476" i="6"/>
  <c r="AH476" i="6"/>
  <c r="AI476" i="6"/>
  <c r="S477" i="6"/>
  <c r="AD477" i="6"/>
  <c r="AE477" i="6"/>
  <c r="AF477" i="6"/>
  <c r="AG477" i="6"/>
  <c r="AH477" i="6"/>
  <c r="AI477" i="6"/>
  <c r="S478" i="6"/>
  <c r="AD478" i="6"/>
  <c r="AE478" i="6"/>
  <c r="AF478" i="6"/>
  <c r="AG478" i="6"/>
  <c r="AH478" i="6"/>
  <c r="AI478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8" i="6"/>
  <c r="AD8" i="6"/>
  <c r="AE8" i="6"/>
  <c r="AF8" i="6"/>
  <c r="AG8" i="6"/>
  <c r="AH8" i="6"/>
  <c r="AI8" i="6"/>
  <c r="T7" i="6"/>
  <c r="T433" i="6" s="1"/>
  <c r="T448" i="6" l="1"/>
  <c r="T359" i="6"/>
  <c r="T266" i="6"/>
  <c r="T267" i="6"/>
  <c r="T409" i="6"/>
  <c r="T408" i="6"/>
  <c r="T407" i="6"/>
  <c r="T406" i="6"/>
  <c r="T405" i="6"/>
  <c r="T404" i="6"/>
  <c r="T403" i="6"/>
  <c r="T73" i="6"/>
  <c r="T470" i="6"/>
  <c r="T469" i="6"/>
  <c r="T468" i="6"/>
  <c r="T467" i="6"/>
  <c r="T466" i="6"/>
  <c r="T465" i="6"/>
  <c r="T53" i="6"/>
  <c r="T52" i="6"/>
  <c r="T51" i="6"/>
  <c r="T187" i="6"/>
  <c r="T481" i="6"/>
  <c r="T486" i="6"/>
  <c r="T483" i="6"/>
  <c r="T485" i="6"/>
  <c r="T482" i="6"/>
  <c r="T484" i="6"/>
  <c r="T488" i="6"/>
  <c r="T487" i="6"/>
  <c r="T480" i="6"/>
  <c r="T479" i="6"/>
  <c r="T192" i="6"/>
  <c r="T427" i="6"/>
  <c r="T426" i="6"/>
  <c r="T425" i="6"/>
  <c r="T424" i="6"/>
  <c r="T423" i="6"/>
  <c r="T99" i="6"/>
  <c r="T98" i="6"/>
  <c r="T97" i="6"/>
  <c r="T325" i="6"/>
  <c r="T363" i="6"/>
  <c r="T32" i="6"/>
  <c r="T87" i="6"/>
  <c r="T337" i="6"/>
  <c r="T368" i="6"/>
  <c r="T299" i="6"/>
  <c r="T188" i="6"/>
  <c r="T186" i="6"/>
  <c r="T64" i="6"/>
  <c r="T379" i="6"/>
  <c r="T378" i="6"/>
  <c r="T377" i="6"/>
  <c r="T456" i="6"/>
  <c r="T271" i="6"/>
  <c r="T240" i="6"/>
  <c r="T272" i="6"/>
  <c r="T218" i="6"/>
  <c r="T217" i="6"/>
  <c r="T355" i="6"/>
  <c r="T341" i="6"/>
  <c r="T141" i="6"/>
  <c r="T165" i="6"/>
  <c r="T104" i="6"/>
  <c r="T142" i="6"/>
  <c r="T321" i="6"/>
  <c r="T103" i="6"/>
  <c r="T94" i="6"/>
  <c r="T93" i="6"/>
  <c r="T92" i="6"/>
  <c r="T296" i="6"/>
  <c r="T241" i="6"/>
  <c r="T372" i="6"/>
  <c r="T356" i="6"/>
  <c r="T320" i="6"/>
  <c r="T292" i="6"/>
  <c r="T269" i="6"/>
  <c r="T239" i="6"/>
  <c r="T216" i="6"/>
  <c r="T184" i="6"/>
  <c r="T70" i="6"/>
  <c r="T140" i="6"/>
  <c r="T100" i="6"/>
  <c r="T376" i="6"/>
  <c r="T343" i="6"/>
  <c r="T319" i="6"/>
  <c r="T291" i="6"/>
  <c r="T268" i="6"/>
  <c r="T238" i="6"/>
  <c r="T213" i="6"/>
  <c r="T183" i="6"/>
  <c r="T132" i="6"/>
  <c r="T65" i="6"/>
  <c r="T290" i="6"/>
  <c r="T182" i="6"/>
  <c r="T208" i="6"/>
  <c r="T393" i="6"/>
  <c r="T68" i="6"/>
  <c r="T206" i="6"/>
  <c r="T365" i="6"/>
  <c r="T401" i="6"/>
  <c r="T331" i="6"/>
  <c r="T308" i="6"/>
  <c r="T285" i="6"/>
  <c r="T80" i="6"/>
  <c r="T232" i="6"/>
  <c r="T205" i="6"/>
  <c r="T90" i="6"/>
  <c r="T124" i="6"/>
  <c r="T89" i="6"/>
  <c r="T127" i="6"/>
  <c r="T234" i="6"/>
  <c r="T347" i="6"/>
  <c r="T369" i="6"/>
  <c r="T411" i="6"/>
  <c r="T253" i="6"/>
  <c r="T307" i="6"/>
  <c r="T284" i="6"/>
  <c r="T247" i="6"/>
  <c r="T229" i="6"/>
  <c r="T204" i="6"/>
  <c r="T170" i="6"/>
  <c r="T123" i="6"/>
  <c r="T48" i="6"/>
  <c r="T329" i="6"/>
  <c r="T128" i="6"/>
  <c r="T262" i="6"/>
  <c r="T330" i="6"/>
  <c r="T258" i="6"/>
  <c r="T175" i="6"/>
  <c r="T397" i="6"/>
  <c r="T306" i="6"/>
  <c r="T248" i="6"/>
  <c r="T225" i="6"/>
  <c r="T202" i="6"/>
  <c r="T163" i="6"/>
  <c r="T153" i="6"/>
  <c r="T121" i="6"/>
  <c r="T47" i="6"/>
  <c r="T381" i="6"/>
  <c r="T265" i="6"/>
  <c r="T60" i="6"/>
  <c r="T236" i="6"/>
  <c r="T288" i="6"/>
  <c r="T173" i="6"/>
  <c r="T373" i="6"/>
  <c r="T332" i="6"/>
  <c r="T283" i="6"/>
  <c r="T251" i="6"/>
  <c r="T305" i="6"/>
  <c r="T280" i="6"/>
  <c r="T249" i="6"/>
  <c r="T224" i="6"/>
  <c r="T201" i="6"/>
  <c r="T171" i="6"/>
  <c r="T152" i="6"/>
  <c r="T120" i="6"/>
  <c r="T45" i="6"/>
  <c r="T317" i="6"/>
  <c r="T84" i="6"/>
  <c r="T385" i="6"/>
  <c r="T289" i="6"/>
  <c r="T67" i="6"/>
  <c r="T315" i="6"/>
  <c r="T126" i="6"/>
  <c r="T125" i="6"/>
  <c r="T338" i="6"/>
  <c r="T382" i="6"/>
  <c r="T339" i="6"/>
  <c r="T349" i="6"/>
  <c r="T304" i="6"/>
  <c r="T276" i="6"/>
  <c r="T172" i="6"/>
  <c r="T223" i="6"/>
  <c r="T193" i="6"/>
  <c r="T69" i="6"/>
  <c r="T151" i="6"/>
  <c r="T116" i="6"/>
  <c r="T44" i="6"/>
  <c r="T237" i="6"/>
  <c r="T346" i="6"/>
  <c r="T179" i="6"/>
  <c r="T207" i="6"/>
  <c r="T361" i="6"/>
  <c r="T312" i="6"/>
  <c r="T233" i="6"/>
  <c r="T167" i="6"/>
  <c r="T58" i="6"/>
  <c r="T326" i="6"/>
  <c r="T303" i="6"/>
  <c r="T164" i="6"/>
  <c r="T191" i="6"/>
  <c r="T148" i="6"/>
  <c r="T394" i="6"/>
  <c r="T256" i="6"/>
  <c r="T301" i="6"/>
  <c r="T274" i="6"/>
  <c r="T174" i="6"/>
  <c r="T221" i="6"/>
  <c r="T190" i="6"/>
  <c r="T91" i="6"/>
  <c r="T144" i="6"/>
  <c r="T107" i="6"/>
  <c r="T40" i="6"/>
  <c r="T209" i="6"/>
  <c r="T316" i="6"/>
  <c r="T85" i="6"/>
  <c r="T287" i="6"/>
  <c r="T390" i="6"/>
  <c r="T255" i="6"/>
  <c r="T275" i="6"/>
  <c r="T222" i="6"/>
  <c r="T59" i="6"/>
  <c r="T112" i="6"/>
  <c r="T42" i="6"/>
  <c r="T398" i="6"/>
  <c r="T340" i="6"/>
  <c r="T257" i="6"/>
  <c r="T300" i="6"/>
  <c r="T273" i="6"/>
  <c r="T245" i="6"/>
  <c r="T220" i="6"/>
  <c r="T189" i="6"/>
  <c r="T74" i="6"/>
  <c r="T143" i="6"/>
  <c r="T105" i="6"/>
  <c r="T37" i="6"/>
  <c r="T61" i="6"/>
  <c r="T55" i="6"/>
  <c r="T139" i="6"/>
  <c r="T111" i="6"/>
  <c r="T79" i="6"/>
  <c r="T31" i="6"/>
  <c r="T200" i="6"/>
  <c r="T168" i="6"/>
  <c r="T161" i="6"/>
  <c r="T137" i="6"/>
  <c r="T110" i="6"/>
  <c r="T63" i="6"/>
  <c r="T30" i="6"/>
  <c r="T197" i="6"/>
  <c r="T169" i="6"/>
  <c r="T160" i="6"/>
  <c r="T136" i="6"/>
  <c r="T109" i="6"/>
  <c r="T54" i="6"/>
  <c r="T29" i="6"/>
  <c r="T135" i="6"/>
  <c r="T108" i="6"/>
  <c r="T49" i="6"/>
  <c r="T27" i="6"/>
  <c r="T26" i="6"/>
  <c r="T25" i="6"/>
  <c r="T46" i="6"/>
  <c r="T17" i="6"/>
  <c r="T16" i="6"/>
  <c r="T15" i="6"/>
  <c r="T14" i="6"/>
  <c r="T41" i="6"/>
  <c r="T9" i="6"/>
  <c r="T11" i="6"/>
  <c r="T119" i="6"/>
  <c r="T82" i="6"/>
  <c r="T33" i="6"/>
  <c r="T22" i="6"/>
  <c r="T18" i="6"/>
  <c r="T13" i="6"/>
  <c r="U7" i="6"/>
  <c r="T435" i="6"/>
  <c r="T374" i="6"/>
  <c r="T471" i="6"/>
  <c r="T386" i="6"/>
  <c r="T389" i="6"/>
  <c r="T252" i="6"/>
  <c r="T348" i="6"/>
  <c r="T318" i="6"/>
  <c r="T302" i="6"/>
  <c r="T286" i="6"/>
  <c r="T270" i="6"/>
  <c r="T250" i="6"/>
  <c r="T235" i="6"/>
  <c r="T219" i="6"/>
  <c r="T203" i="6"/>
  <c r="T185" i="6"/>
  <c r="T83" i="6"/>
  <c r="T57" i="6"/>
  <c r="T154" i="6"/>
  <c r="T138" i="6"/>
  <c r="T122" i="6"/>
  <c r="T106" i="6"/>
  <c r="T95" i="6"/>
  <c r="T43" i="6"/>
  <c r="T28" i="6"/>
  <c r="T12" i="6"/>
  <c r="T477" i="6"/>
  <c r="T402" i="6"/>
  <c r="T342" i="6"/>
  <c r="T333" i="6"/>
  <c r="T314" i="6"/>
  <c r="T298" i="6"/>
  <c r="T282" i="6"/>
  <c r="T264" i="6"/>
  <c r="T166" i="6"/>
  <c r="T231" i="6"/>
  <c r="T215" i="6"/>
  <c r="T199" i="6"/>
  <c r="T181" i="6"/>
  <c r="T96" i="6"/>
  <c r="T150" i="6"/>
  <c r="T134" i="6"/>
  <c r="T118" i="6"/>
  <c r="T102" i="6"/>
  <c r="T56" i="6"/>
  <c r="T39" i="6"/>
  <c r="T24" i="6"/>
  <c r="T10" i="6"/>
  <c r="T472" i="6"/>
  <c r="T412" i="6"/>
  <c r="T327" i="6"/>
  <c r="T254" i="6"/>
  <c r="T313" i="6"/>
  <c r="T297" i="6"/>
  <c r="T281" i="6"/>
  <c r="T263" i="6"/>
  <c r="T246" i="6"/>
  <c r="T230" i="6"/>
  <c r="T214" i="6"/>
  <c r="T198" i="6"/>
  <c r="T180" i="6"/>
  <c r="T86" i="6"/>
  <c r="T81" i="6"/>
  <c r="T149" i="6"/>
  <c r="T133" i="6"/>
  <c r="T117" i="6"/>
  <c r="T101" i="6"/>
  <c r="T72" i="6"/>
  <c r="T38" i="6"/>
  <c r="T23" i="6"/>
  <c r="T353" i="6"/>
  <c r="T392" i="6"/>
  <c r="T440" i="6"/>
  <c r="AD6" i="6"/>
  <c r="F3" i="6" s="1"/>
  <c r="T415" i="6"/>
  <c r="T413" i="6"/>
  <c r="T352" i="6"/>
  <c r="T344" i="6"/>
  <c r="T324" i="6"/>
  <c r="T311" i="6"/>
  <c r="T295" i="6"/>
  <c r="T279" i="6"/>
  <c r="T261" i="6"/>
  <c r="T244" i="6"/>
  <c r="T228" i="6"/>
  <c r="T212" i="6"/>
  <c r="T196" i="6"/>
  <c r="T178" i="6"/>
  <c r="T66" i="6"/>
  <c r="T78" i="6"/>
  <c r="T147" i="6"/>
  <c r="T131" i="6"/>
  <c r="T115" i="6"/>
  <c r="T88" i="6"/>
  <c r="T36" i="6"/>
  <c r="T21" i="6"/>
  <c r="T452" i="6"/>
  <c r="T358" i="6"/>
  <c r="T335" i="6"/>
  <c r="T336" i="6"/>
  <c r="T328" i="6"/>
  <c r="T323" i="6"/>
  <c r="T310" i="6"/>
  <c r="T294" i="6"/>
  <c r="T278" i="6"/>
  <c r="T260" i="6"/>
  <c r="T243" i="6"/>
  <c r="T227" i="6"/>
  <c r="T211" i="6"/>
  <c r="T195" i="6"/>
  <c r="T177" i="6"/>
  <c r="T62" i="6"/>
  <c r="T146" i="6"/>
  <c r="T130" i="6"/>
  <c r="T114" i="6"/>
  <c r="T35" i="6"/>
  <c r="T20" i="6"/>
  <c r="T350" i="6"/>
  <c r="T360" i="6"/>
  <c r="T354" i="6"/>
  <c r="T345" i="6"/>
  <c r="T322" i="6"/>
  <c r="T309" i="6"/>
  <c r="T293" i="6"/>
  <c r="T277" i="6"/>
  <c r="T259" i="6"/>
  <c r="T242" i="6"/>
  <c r="T226" i="6"/>
  <c r="T210" i="6"/>
  <c r="T194" i="6"/>
  <c r="T176" i="6"/>
  <c r="T77" i="6"/>
  <c r="T162" i="6"/>
  <c r="T145" i="6"/>
  <c r="T129" i="6"/>
  <c r="T113" i="6"/>
  <c r="T71" i="6"/>
  <c r="T50" i="6"/>
  <c r="T34" i="6"/>
  <c r="T19" i="6"/>
  <c r="T76" i="6"/>
  <c r="T75" i="6"/>
  <c r="S5" i="6"/>
  <c r="AF6" i="6"/>
  <c r="G3" i="6" s="1"/>
  <c r="AG6" i="6"/>
  <c r="G4" i="6" s="1"/>
  <c r="AE6" i="6"/>
  <c r="F4" i="6" s="1"/>
  <c r="AI6" i="6"/>
  <c r="E4" i="6" s="1"/>
  <c r="AH6" i="6"/>
  <c r="E3" i="6" s="1"/>
  <c r="T8" i="6"/>
  <c r="T464" i="6"/>
  <c r="T447" i="6"/>
  <c r="T431" i="6"/>
  <c r="T475" i="6"/>
  <c r="T455" i="6"/>
  <c r="T438" i="6"/>
  <c r="T421" i="6"/>
  <c r="T396" i="6"/>
  <c r="T364" i="6"/>
  <c r="T462" i="6"/>
  <c r="T445" i="6"/>
  <c r="T429" i="6"/>
  <c r="T351" i="6"/>
  <c r="T473" i="6"/>
  <c r="T453" i="6"/>
  <c r="T436" i="6"/>
  <c r="T419" i="6"/>
  <c r="T400" i="6"/>
  <c r="T383" i="6"/>
  <c r="T367" i="6"/>
  <c r="T460" i="6"/>
  <c r="T443" i="6"/>
  <c r="T417" i="6"/>
  <c r="T451" i="6"/>
  <c r="T434" i="6"/>
  <c r="T387" i="6"/>
  <c r="T371" i="6"/>
  <c r="T478" i="6"/>
  <c r="T458" i="6"/>
  <c r="T441" i="6"/>
  <c r="T449" i="6"/>
  <c r="T432" i="6"/>
  <c r="T391" i="6"/>
  <c r="T375" i="6"/>
  <c r="T357" i="6"/>
  <c r="T476" i="6"/>
  <c r="T457" i="6"/>
  <c r="T439" i="6"/>
  <c r="T422" i="6"/>
  <c r="T410" i="6"/>
  <c r="T463" i="6"/>
  <c r="T446" i="6"/>
  <c r="T430" i="6"/>
  <c r="T395" i="6"/>
  <c r="T380" i="6"/>
  <c r="T362" i="6"/>
  <c r="T474" i="6"/>
  <c r="T454" i="6"/>
  <c r="T437" i="6"/>
  <c r="T420" i="6"/>
  <c r="T461" i="6"/>
  <c r="T444" i="6"/>
  <c r="T428" i="6"/>
  <c r="T418" i="6"/>
  <c r="T414" i="6"/>
  <c r="T399" i="6"/>
  <c r="T384" i="6"/>
  <c r="T366" i="6"/>
  <c r="T416" i="6"/>
  <c r="T334" i="6"/>
  <c r="T459" i="6"/>
  <c r="T442" i="6"/>
  <c r="T388" i="6"/>
  <c r="T370" i="6"/>
  <c r="T450" i="6"/>
  <c r="U359" i="6" l="1"/>
  <c r="U448" i="6"/>
  <c r="U267" i="6"/>
  <c r="U266" i="6"/>
  <c r="U73" i="6"/>
  <c r="U403" i="6"/>
  <c r="U404" i="6"/>
  <c r="U405" i="6"/>
  <c r="U406" i="6"/>
  <c r="U407" i="6"/>
  <c r="U408" i="6"/>
  <c r="U409" i="6"/>
  <c r="U465" i="6"/>
  <c r="U466" i="6"/>
  <c r="U467" i="6"/>
  <c r="U468" i="6"/>
  <c r="U469" i="6"/>
  <c r="U470" i="6"/>
  <c r="U187" i="6"/>
  <c r="U51" i="6"/>
  <c r="U52" i="6"/>
  <c r="U53" i="6"/>
  <c r="U481" i="6"/>
  <c r="U487" i="6"/>
  <c r="U488" i="6"/>
  <c r="U484" i="6"/>
  <c r="U482" i="6"/>
  <c r="U485" i="6"/>
  <c r="U483" i="6"/>
  <c r="U486" i="6"/>
  <c r="U192" i="6"/>
  <c r="U479" i="6"/>
  <c r="U480" i="6"/>
  <c r="U423" i="6"/>
  <c r="U424" i="6"/>
  <c r="U425" i="6"/>
  <c r="U426" i="6"/>
  <c r="U427" i="6"/>
  <c r="U325" i="6"/>
  <c r="U97" i="6"/>
  <c r="U98" i="6"/>
  <c r="U99" i="6"/>
  <c r="U13" i="6"/>
  <c r="U363" i="6"/>
  <c r="U336" i="6"/>
  <c r="U456" i="6"/>
  <c r="U377" i="6"/>
  <c r="U378" i="6"/>
  <c r="U379" i="6"/>
  <c r="U92" i="6"/>
  <c r="U93" i="6"/>
  <c r="U94" i="6"/>
  <c r="U143" i="6"/>
  <c r="U108" i="6"/>
  <c r="U293" i="6"/>
  <c r="U182" i="6"/>
  <c r="U454" i="6"/>
  <c r="U417" i="6"/>
  <c r="U458" i="6"/>
  <c r="U294" i="6"/>
  <c r="U221" i="6"/>
  <c r="U231" i="6"/>
  <c r="U312" i="6"/>
  <c r="U173" i="6"/>
  <c r="U132" i="6"/>
  <c r="U276" i="6"/>
  <c r="U147" i="6"/>
  <c r="U279" i="6"/>
  <c r="U101" i="6"/>
  <c r="U334" i="6"/>
  <c r="U322" i="6"/>
  <c r="U77" i="6"/>
  <c r="U298" i="6"/>
  <c r="U163" i="6"/>
  <c r="U386" i="6"/>
  <c r="U109" i="6"/>
  <c r="U106" i="6"/>
  <c r="U333" i="6"/>
  <c r="U175" i="6"/>
  <c r="U207" i="6"/>
  <c r="U119" i="6"/>
  <c r="U327" i="6"/>
  <c r="U201" i="6"/>
  <c r="U296" i="6"/>
  <c r="U178" i="6"/>
  <c r="U44" i="6"/>
  <c r="U22" i="6"/>
  <c r="U189" i="6"/>
  <c r="U35" i="6"/>
  <c r="U24" i="6"/>
  <c r="U300" i="6"/>
  <c r="U122" i="6"/>
  <c r="U228" i="6"/>
  <c r="U204" i="6"/>
  <c r="U473" i="6"/>
  <c r="U478" i="6"/>
  <c r="U461" i="6"/>
  <c r="U20" i="6"/>
  <c r="U445" i="6"/>
  <c r="U324" i="6"/>
  <c r="U70" i="6"/>
  <c r="U460" i="6"/>
  <c r="U452" i="6"/>
  <c r="U236" i="6"/>
  <c r="U152" i="6"/>
  <c r="U316" i="6"/>
  <c r="U240" i="6"/>
  <c r="U230" i="6"/>
  <c r="U111" i="6"/>
  <c r="U200" i="6"/>
  <c r="U232" i="6"/>
  <c r="V7" i="6"/>
  <c r="U27" i="6"/>
  <c r="U463" i="6"/>
  <c r="U247" i="6"/>
  <c r="U443" i="6"/>
  <c r="U21" i="6"/>
  <c r="U110" i="6"/>
  <c r="U19" i="6"/>
  <c r="U68" i="6"/>
  <c r="U414" i="6"/>
  <c r="U138" i="6"/>
  <c r="U344" i="6"/>
  <c r="U216" i="6"/>
  <c r="U352" i="6"/>
  <c r="U78" i="6"/>
  <c r="U268" i="6"/>
  <c r="U206" i="6"/>
  <c r="U284" i="6"/>
  <c r="U451" i="6"/>
  <c r="U462" i="6"/>
  <c r="U56" i="6"/>
  <c r="U34" i="6"/>
  <c r="U105" i="6"/>
  <c r="U72" i="6"/>
  <c r="U140" i="6"/>
  <c r="U131" i="6"/>
  <c r="U133" i="6"/>
  <c r="U335" i="6"/>
  <c r="U176" i="6"/>
  <c r="U272" i="6"/>
  <c r="U440" i="6"/>
  <c r="U9" i="6"/>
  <c r="U67" i="6"/>
  <c r="U172" i="6"/>
  <c r="U151" i="6"/>
  <c r="U107" i="6"/>
  <c r="U11" i="6"/>
  <c r="U290" i="6"/>
  <c r="U353" i="6"/>
  <c r="U191" i="6"/>
  <c r="U438" i="6"/>
  <c r="U194" i="6"/>
  <c r="U76" i="6"/>
  <c r="U292" i="6"/>
  <c r="U431" i="6"/>
  <c r="U275" i="6"/>
  <c r="U180" i="6"/>
  <c r="U30" i="6"/>
  <c r="U444" i="6"/>
  <c r="U432" i="6"/>
  <c r="U474" i="6"/>
  <c r="U418" i="6"/>
  <c r="U142" i="6"/>
  <c r="U434" i="6"/>
  <c r="U10" i="6"/>
  <c r="U112" i="6"/>
  <c r="U23" i="6"/>
  <c r="U415" i="6"/>
  <c r="U472" i="6"/>
  <c r="U103" i="6"/>
  <c r="U274" i="6"/>
  <c r="U75" i="6"/>
  <c r="U238" i="6"/>
  <c r="U160" i="6"/>
  <c r="U412" i="6"/>
  <c r="U84" i="6"/>
  <c r="U135" i="6"/>
  <c r="U422" i="6"/>
  <c r="U118" i="6"/>
  <c r="U149" i="6"/>
  <c r="U25" i="6"/>
  <c r="U306" i="6"/>
  <c r="U419" i="6"/>
  <c r="U208" i="6"/>
  <c r="U210" i="6"/>
  <c r="U311" i="6"/>
  <c r="U177" i="6"/>
  <c r="U314" i="6"/>
  <c r="U209" i="6"/>
  <c r="U58" i="6"/>
  <c r="U476" i="6"/>
  <c r="U124" i="6"/>
  <c r="U61" i="6"/>
  <c r="U8" i="6"/>
  <c r="U435" i="6"/>
  <c r="U354" i="6"/>
  <c r="U39" i="6"/>
  <c r="U222" i="6"/>
  <c r="U450" i="6"/>
  <c r="U87" i="6"/>
  <c r="U85" i="6"/>
  <c r="U421" i="6"/>
  <c r="U50" i="6"/>
  <c r="U89" i="6"/>
  <c r="U413" i="6"/>
  <c r="U102" i="6"/>
  <c r="U420" i="6"/>
  <c r="U254" i="6"/>
  <c r="U185" i="6"/>
  <c r="U169" i="6"/>
  <c r="U40" i="6"/>
  <c r="U165" i="6"/>
  <c r="U224" i="6"/>
  <c r="U455" i="6"/>
  <c r="U226" i="6"/>
  <c r="U256" i="6"/>
  <c r="U202" i="6"/>
  <c r="U369" i="6"/>
  <c r="U174" i="6"/>
  <c r="U410" i="6"/>
  <c r="U246" i="6"/>
  <c r="U81" i="6"/>
  <c r="U429" i="6"/>
  <c r="U449" i="6"/>
  <c r="U42" i="6"/>
  <c r="U37" i="6"/>
  <c r="U59" i="6"/>
  <c r="U54" i="6"/>
  <c r="U164" i="6"/>
  <c r="U477" i="6"/>
  <c r="U459" i="6"/>
  <c r="U127" i="6"/>
  <c r="U437" i="6"/>
  <c r="U219" i="6"/>
  <c r="U441" i="6"/>
  <c r="U188" i="6"/>
  <c r="U74" i="6"/>
  <c r="U475" i="6"/>
  <c r="U260" i="6"/>
  <c r="U399" i="6"/>
  <c r="U234" i="6"/>
  <c r="U277" i="6"/>
  <c r="U16" i="6"/>
  <c r="U211" i="6"/>
  <c r="U446" i="6"/>
  <c r="U29" i="6"/>
  <c r="U166" i="6"/>
  <c r="U433" i="6"/>
  <c r="U95" i="6"/>
  <c r="U442" i="6"/>
  <c r="U18" i="6"/>
  <c r="U439" i="6"/>
  <c r="U203" i="6"/>
  <c r="U134" i="6"/>
  <c r="U57" i="6"/>
  <c r="U436" i="6"/>
  <c r="U351" i="6"/>
  <c r="U250" i="6"/>
  <c r="U345" i="6"/>
  <c r="U229" i="6"/>
  <c r="U15" i="6"/>
  <c r="U428" i="6"/>
  <c r="U153" i="6"/>
  <c r="U430" i="6"/>
  <c r="U457" i="6"/>
  <c r="U128" i="6"/>
  <c r="U205" i="6"/>
  <c r="U90" i="6"/>
  <c r="U453" i="6"/>
  <c r="U278" i="6"/>
  <c r="U79" i="6"/>
  <c r="U273" i="6"/>
  <c r="U402" i="6"/>
  <c r="U181" i="6"/>
  <c r="U48" i="6"/>
  <c r="U88" i="6"/>
  <c r="U117" i="6"/>
  <c r="U297" i="6"/>
  <c r="U371" i="6"/>
  <c r="U120" i="6"/>
  <c r="U129" i="6"/>
  <c r="U295" i="6"/>
  <c r="U315" i="6"/>
  <c r="U388" i="6"/>
  <c r="U317" i="6"/>
  <c r="U190" i="6"/>
  <c r="U367" i="6"/>
  <c r="U313" i="6"/>
  <c r="U350" i="6"/>
  <c r="U416" i="6"/>
  <c r="U283" i="6"/>
  <c r="U366" i="6"/>
  <c r="U244" i="6"/>
  <c r="U384" i="6"/>
  <c r="U255" i="6"/>
  <c r="U343" i="6"/>
  <c r="U447" i="6"/>
  <c r="U464" i="6"/>
  <c r="U303" i="6"/>
  <c r="U383" i="6"/>
  <c r="U400" i="6"/>
  <c r="U328" i="6"/>
  <c r="U370" i="6"/>
  <c r="U321" i="6"/>
  <c r="U43" i="6"/>
  <c r="U339" i="6"/>
  <c r="U385" i="6"/>
  <c r="U387" i="6"/>
  <c r="U348" i="6"/>
  <c r="U41" i="6"/>
  <c r="U326" i="6"/>
  <c r="U71" i="6"/>
  <c r="U368" i="6"/>
  <c r="U46" i="6"/>
  <c r="U14" i="6"/>
  <c r="U358" i="6"/>
  <c r="U69" i="6"/>
  <c r="U12" i="6"/>
  <c r="U104" i="6"/>
  <c r="U401" i="6"/>
  <c r="U179" i="6"/>
  <c r="U47" i="6"/>
  <c r="U337" i="6"/>
  <c r="U375" i="6"/>
  <c r="U170" i="6"/>
  <c r="U45" i="6"/>
  <c r="U242" i="6"/>
  <c r="U80" i="6"/>
  <c r="U113" i="6"/>
  <c r="U392" i="6"/>
  <c r="U338" i="6"/>
  <c r="U33" i="6"/>
  <c r="U121" i="6"/>
  <c r="U212" i="6"/>
  <c r="U249" i="6"/>
  <c r="U287" i="6"/>
  <c r="U233" i="6"/>
  <c r="U356" i="6"/>
  <c r="U382" i="6"/>
  <c r="U252" i="6"/>
  <c r="U213" i="6"/>
  <c r="U241" i="6"/>
  <c r="U49" i="6"/>
  <c r="U162" i="6"/>
  <c r="U217" i="6"/>
  <c r="U259" i="6"/>
  <c r="U291" i="6"/>
  <c r="U245" i="6"/>
  <c r="U361" i="6"/>
  <c r="U391" i="6"/>
  <c r="U114" i="6"/>
  <c r="U394" i="6"/>
  <c r="U196" i="6"/>
  <c r="U96" i="6"/>
  <c r="U145" i="6"/>
  <c r="U471" i="6"/>
  <c r="U100" i="6"/>
  <c r="U167" i="6"/>
  <c r="U218" i="6"/>
  <c r="U261" i="6"/>
  <c r="U299" i="6"/>
  <c r="U257" i="6"/>
  <c r="U362" i="6"/>
  <c r="U393" i="6"/>
  <c r="U126" i="6"/>
  <c r="U263" i="6"/>
  <c r="U123" i="6"/>
  <c r="U82" i="6"/>
  <c r="U310" i="6"/>
  <c r="U91" i="6"/>
  <c r="U320" i="6"/>
  <c r="U248" i="6"/>
  <c r="U340" i="6"/>
  <c r="U38" i="6"/>
  <c r="U289" i="6"/>
  <c r="U55" i="6"/>
  <c r="U220" i="6"/>
  <c r="U301" i="6"/>
  <c r="U364" i="6"/>
  <c r="U281" i="6"/>
  <c r="U286" i="6"/>
  <c r="U214" i="6"/>
  <c r="U60" i="6"/>
  <c r="U115" i="6"/>
  <c r="U150" i="6"/>
  <c r="U223" i="6"/>
  <c r="U264" i="6"/>
  <c r="U302" i="6"/>
  <c r="U349" i="6"/>
  <c r="U395" i="6"/>
  <c r="U146" i="6"/>
  <c r="U355" i="6"/>
  <c r="U390" i="6"/>
  <c r="U62" i="6"/>
  <c r="U116" i="6"/>
  <c r="U183" i="6"/>
  <c r="U225" i="6"/>
  <c r="U265" i="6"/>
  <c r="U304" i="6"/>
  <c r="U323" i="6"/>
  <c r="U365" i="6"/>
  <c r="U396" i="6"/>
  <c r="U227" i="6"/>
  <c r="U332" i="6"/>
  <c r="U372" i="6"/>
  <c r="U136" i="6"/>
  <c r="U253" i="6"/>
  <c r="U36" i="6"/>
  <c r="U63" i="6"/>
  <c r="U125" i="6"/>
  <c r="U184" i="6"/>
  <c r="U269" i="6"/>
  <c r="U305" i="6"/>
  <c r="U397" i="6"/>
  <c r="U270" i="6"/>
  <c r="U373" i="6"/>
  <c r="U137" i="6"/>
  <c r="U64" i="6"/>
  <c r="U141" i="6"/>
  <c r="U186" i="6"/>
  <c r="U307" i="6"/>
  <c r="U398" i="6"/>
  <c r="U139" i="6"/>
  <c r="U243" i="6"/>
  <c r="U360" i="6"/>
  <c r="U17" i="6"/>
  <c r="U65" i="6"/>
  <c r="U171" i="6"/>
  <c r="U193" i="6"/>
  <c r="U144" i="6"/>
  <c r="U271" i="6"/>
  <c r="U308" i="6"/>
  <c r="U331" i="6"/>
  <c r="U374" i="6"/>
  <c r="U280" i="6"/>
  <c r="U309" i="6"/>
  <c r="U376" i="6"/>
  <c r="U199" i="6"/>
  <c r="U389" i="6"/>
  <c r="U26" i="6"/>
  <c r="U66" i="6"/>
  <c r="U130" i="6"/>
  <c r="U195" i="6"/>
  <c r="U161" i="6"/>
  <c r="U347" i="6"/>
  <c r="U28" i="6"/>
  <c r="U330" i="6"/>
  <c r="U168" i="6"/>
  <c r="U342" i="6"/>
  <c r="U288" i="6"/>
  <c r="U31" i="6"/>
  <c r="U83" i="6"/>
  <c r="U154" i="6"/>
  <c r="U197" i="6"/>
  <c r="U235" i="6"/>
  <c r="U282" i="6"/>
  <c r="U318" i="6"/>
  <c r="U346" i="6"/>
  <c r="U411" i="6"/>
  <c r="U237" i="6"/>
  <c r="U258" i="6"/>
  <c r="U32" i="6"/>
  <c r="U86" i="6"/>
  <c r="U148" i="6"/>
  <c r="U198" i="6"/>
  <c r="U239" i="6"/>
  <c r="U285" i="6"/>
  <c r="U319" i="6"/>
  <c r="U329" i="6"/>
  <c r="U380" i="6"/>
  <c r="U341" i="6"/>
  <c r="U381" i="6"/>
  <c r="U357" i="6"/>
  <c r="U215" i="6"/>
  <c r="U251" i="6"/>
  <c r="U262" i="6"/>
  <c r="F5" i="6"/>
  <c r="G5" i="6"/>
  <c r="E5" i="6"/>
  <c r="H4" i="6"/>
  <c r="H3" i="6"/>
  <c r="T5" i="6"/>
  <c r="V359" i="6" l="1"/>
  <c r="V448" i="6"/>
  <c r="V266" i="6"/>
  <c r="V267" i="6"/>
  <c r="V73" i="6"/>
  <c r="V403" i="6"/>
  <c r="V404" i="6"/>
  <c r="V405" i="6"/>
  <c r="V406" i="6"/>
  <c r="V407" i="6"/>
  <c r="V408" i="6"/>
  <c r="V409" i="6"/>
  <c r="V313" i="6"/>
  <c r="V465" i="6"/>
  <c r="V466" i="6"/>
  <c r="V467" i="6"/>
  <c r="V468" i="6"/>
  <c r="V469" i="6"/>
  <c r="V470" i="6"/>
  <c r="V51" i="6"/>
  <c r="V52" i="6"/>
  <c r="V53" i="6"/>
  <c r="V140" i="6"/>
  <c r="V187" i="6"/>
  <c r="V471" i="6"/>
  <c r="V481" i="6"/>
  <c r="V487" i="6"/>
  <c r="V488" i="6"/>
  <c r="V484" i="6"/>
  <c r="V482" i="6"/>
  <c r="V485" i="6"/>
  <c r="V483" i="6"/>
  <c r="V486" i="6"/>
  <c r="V380" i="6"/>
  <c r="V189" i="6"/>
  <c r="V355" i="6"/>
  <c r="V238" i="6"/>
  <c r="V192" i="6"/>
  <c r="V479" i="6"/>
  <c r="V480" i="6"/>
  <c r="V423" i="6"/>
  <c r="V424" i="6"/>
  <c r="V425" i="6"/>
  <c r="V426" i="6"/>
  <c r="V427" i="6"/>
  <c r="V97" i="6"/>
  <c r="V98" i="6"/>
  <c r="V99" i="6"/>
  <c r="V363" i="6"/>
  <c r="V325" i="6"/>
  <c r="V95" i="6"/>
  <c r="V310" i="6"/>
  <c r="V384" i="6"/>
  <c r="V37" i="6"/>
  <c r="V262" i="6"/>
  <c r="V128" i="6"/>
  <c r="V318" i="6"/>
  <c r="V392" i="6"/>
  <c r="V13" i="6"/>
  <c r="V67" i="6"/>
  <c r="V136" i="6"/>
  <c r="V352" i="6"/>
  <c r="V167" i="6"/>
  <c r="V284" i="6"/>
  <c r="V289" i="6"/>
  <c r="V227" i="6"/>
  <c r="V322" i="6"/>
  <c r="V28" i="6"/>
  <c r="V18" i="6"/>
  <c r="V233" i="6"/>
  <c r="V439" i="6"/>
  <c r="V182" i="6"/>
  <c r="V456" i="6"/>
  <c r="V377" i="6"/>
  <c r="V378" i="6"/>
  <c r="V379" i="6"/>
  <c r="V92" i="6"/>
  <c r="V93" i="6"/>
  <c r="V94" i="6"/>
  <c r="V153" i="6"/>
  <c r="V419" i="6"/>
  <c r="V204" i="6"/>
  <c r="V473" i="6"/>
  <c r="V251" i="6"/>
  <c r="V72" i="6"/>
  <c r="V358" i="6"/>
  <c r="V104" i="6"/>
  <c r="V390" i="6"/>
  <c r="V134" i="6"/>
  <c r="V252" i="6"/>
  <c r="V201" i="6"/>
  <c r="V254" i="6"/>
  <c r="V55" i="6"/>
  <c r="V281" i="6"/>
  <c r="V12" i="6"/>
  <c r="V230" i="6"/>
  <c r="V345" i="6"/>
  <c r="V50" i="6"/>
  <c r="V278" i="6"/>
  <c r="V451" i="6"/>
  <c r="V195" i="6"/>
  <c r="V292" i="6"/>
  <c r="V33" i="6"/>
  <c r="V249" i="6"/>
  <c r="V32" i="6"/>
  <c r="V393" i="6"/>
  <c r="V124" i="6"/>
  <c r="V441" i="6"/>
  <c r="V357" i="6"/>
  <c r="V64" i="6"/>
  <c r="V458" i="6"/>
  <c r="V348" i="6"/>
  <c r="V34" i="6"/>
  <c r="V373" i="6"/>
  <c r="V118" i="6"/>
  <c r="V234" i="6"/>
  <c r="V440" i="6"/>
  <c r="V183" i="6"/>
  <c r="V147" i="6"/>
  <c r="V263" i="6"/>
  <c r="V474" i="6"/>
  <c r="V214" i="6"/>
  <c r="V326" i="6"/>
  <c r="V19" i="6"/>
  <c r="V260" i="6"/>
  <c r="V434" i="6"/>
  <c r="V177" i="6"/>
  <c r="V276" i="6"/>
  <c r="V395" i="6"/>
  <c r="V139" i="6"/>
  <c r="V239" i="6"/>
  <c r="V268" i="6"/>
  <c r="V453" i="6"/>
  <c r="V302" i="6"/>
  <c r="V478" i="6"/>
  <c r="V9" i="6"/>
  <c r="V247" i="6"/>
  <c r="V88" i="6"/>
  <c r="V429" i="6"/>
  <c r="V319" i="6"/>
  <c r="V65" i="6"/>
  <c r="V356" i="6"/>
  <c r="V102" i="6"/>
  <c r="V218" i="6"/>
  <c r="V171" i="6"/>
  <c r="V387" i="6"/>
  <c r="V131" i="6"/>
  <c r="V80" i="6"/>
  <c r="V454" i="6"/>
  <c r="V198" i="6"/>
  <c r="V311" i="6"/>
  <c r="V79" i="6"/>
  <c r="V244" i="6"/>
  <c r="W7" i="6"/>
  <c r="V91" i="6"/>
  <c r="V258" i="6"/>
  <c r="V123" i="6"/>
  <c r="V223" i="6"/>
  <c r="V477" i="6"/>
  <c r="V209" i="6"/>
  <c r="V445" i="6"/>
  <c r="V364" i="6"/>
  <c r="V168" i="6"/>
  <c r="V462" i="6"/>
  <c r="V413" i="6"/>
  <c r="V303" i="6"/>
  <c r="V66" i="6"/>
  <c r="V349" i="6"/>
  <c r="V31" i="6"/>
  <c r="V202" i="6"/>
  <c r="V338" i="6"/>
  <c r="V81" i="6"/>
  <c r="V370" i="6"/>
  <c r="V115" i="6"/>
  <c r="V231" i="6"/>
  <c r="V437" i="6"/>
  <c r="V180" i="6"/>
  <c r="V295" i="6"/>
  <c r="V39" i="6"/>
  <c r="V228" i="6"/>
  <c r="V416" i="6"/>
  <c r="V242" i="6"/>
  <c r="V362" i="6"/>
  <c r="V107" i="6"/>
  <c r="V207" i="6"/>
  <c r="V449" i="6"/>
  <c r="V253" i="6"/>
  <c r="V172" i="6"/>
  <c r="V367" i="6"/>
  <c r="V308" i="6"/>
  <c r="V137" i="6"/>
  <c r="V10" i="6"/>
  <c r="V272" i="6"/>
  <c r="V42" i="6"/>
  <c r="V431" i="6"/>
  <c r="V320" i="6"/>
  <c r="V287" i="6"/>
  <c r="V24" i="6"/>
  <c r="V317" i="6"/>
  <c r="V85" i="6"/>
  <c r="V184" i="6"/>
  <c r="V148" i="6"/>
  <c r="V343" i="6"/>
  <c r="V78" i="6"/>
  <c r="V215" i="6"/>
  <c r="V420" i="6"/>
  <c r="V90" i="6"/>
  <c r="V279" i="6"/>
  <c r="V472" i="6"/>
  <c r="V212" i="6"/>
  <c r="V398" i="6"/>
  <c r="V142" i="6"/>
  <c r="V226" i="6"/>
  <c r="V347" i="6"/>
  <c r="V40" i="6"/>
  <c r="V190" i="6"/>
  <c r="V76" i="6"/>
  <c r="V307" i="6"/>
  <c r="V447" i="6"/>
  <c r="V376" i="6"/>
  <c r="V186" i="6"/>
  <c r="V464" i="6"/>
  <c r="V415" i="6"/>
  <c r="V236" i="6"/>
  <c r="V271" i="6"/>
  <c r="V103" i="6"/>
  <c r="V301" i="6"/>
  <c r="V170" i="6"/>
  <c r="V388" i="6"/>
  <c r="V132" i="6"/>
  <c r="V334" i="6"/>
  <c r="V25" i="6"/>
  <c r="V199" i="6"/>
  <c r="V340" i="6"/>
  <c r="V162" i="6"/>
  <c r="V261" i="6"/>
  <c r="V452" i="6"/>
  <c r="V196" i="6"/>
  <c r="V382" i="6"/>
  <c r="V126" i="6"/>
  <c r="V210" i="6"/>
  <c r="V257" i="6"/>
  <c r="V96" i="6"/>
  <c r="V59" i="6"/>
  <c r="V75" i="6"/>
  <c r="V222" i="6"/>
  <c r="V354" i="6"/>
  <c r="V286" i="6"/>
  <c r="V108" i="6"/>
  <c r="V433" i="6"/>
  <c r="V332" i="6"/>
  <c r="V166" i="6"/>
  <c r="V285" i="6"/>
  <c r="V20" i="6"/>
  <c r="V371" i="6"/>
  <c r="V116" i="6"/>
  <c r="V314" i="6"/>
  <c r="V58" i="6"/>
  <c r="V181" i="6"/>
  <c r="V401" i="6"/>
  <c r="V145" i="6"/>
  <c r="V245" i="6"/>
  <c r="V435" i="6"/>
  <c r="V178" i="6"/>
  <c r="V365" i="6"/>
  <c r="V110" i="6"/>
  <c r="V194" i="6"/>
  <c r="V306" i="6"/>
  <c r="V30" i="6"/>
  <c r="V70" i="6"/>
  <c r="V151" i="6"/>
  <c r="V391" i="6"/>
  <c r="V193" i="6"/>
  <c r="V241" i="6"/>
  <c r="V69" i="6"/>
  <c r="V237" i="6"/>
  <c r="V60" i="6"/>
  <c r="V269" i="6"/>
  <c r="V149" i="6"/>
  <c r="V327" i="6"/>
  <c r="V100" i="6"/>
  <c r="V298" i="6"/>
  <c r="V45" i="6"/>
  <c r="V164" i="6"/>
  <c r="V385" i="6"/>
  <c r="V129" i="6"/>
  <c r="V229" i="6"/>
  <c r="V336" i="6"/>
  <c r="V61" i="6"/>
  <c r="V255" i="6"/>
  <c r="V46" i="6"/>
  <c r="V176" i="6"/>
  <c r="V290" i="6"/>
  <c r="V412" i="6"/>
  <c r="V154" i="6"/>
  <c r="V26" i="6"/>
  <c r="V291" i="6"/>
  <c r="V121" i="6"/>
  <c r="V438" i="6"/>
  <c r="V330" i="6"/>
  <c r="V57" i="6"/>
  <c r="V418" i="6"/>
  <c r="V221" i="6"/>
  <c r="V54" i="6"/>
  <c r="V174" i="6"/>
  <c r="V389" i="6"/>
  <c r="V133" i="6"/>
  <c r="V350" i="6"/>
  <c r="V27" i="6"/>
  <c r="V282" i="6"/>
  <c r="V14" i="6"/>
  <c r="V163" i="6"/>
  <c r="V368" i="6"/>
  <c r="V113" i="6"/>
  <c r="V213" i="6"/>
  <c r="V341" i="6"/>
  <c r="V160" i="6"/>
  <c r="V323" i="6"/>
  <c r="V15" i="6"/>
  <c r="V74" i="6"/>
  <c r="V274" i="6"/>
  <c r="V394" i="6"/>
  <c r="V138" i="6"/>
  <c r="V450" i="6"/>
  <c r="V206" i="6"/>
  <c r="V475" i="6"/>
  <c r="V11" i="6"/>
  <c r="V250" i="6"/>
  <c r="V71" i="6"/>
  <c r="V461" i="6"/>
  <c r="V205" i="6"/>
  <c r="V22" i="6"/>
  <c r="V235" i="6"/>
  <c r="V372" i="6"/>
  <c r="V117" i="6"/>
  <c r="V315" i="6"/>
  <c r="V82" i="6"/>
  <c r="V264" i="6"/>
  <c r="V402" i="6"/>
  <c r="V146" i="6"/>
  <c r="V328" i="6"/>
  <c r="V197" i="6"/>
  <c r="V399" i="6"/>
  <c r="V143" i="6"/>
  <c r="V309" i="6"/>
  <c r="V63" i="6"/>
  <c r="V248" i="6"/>
  <c r="V122" i="6"/>
  <c r="V288" i="6"/>
  <c r="V84" i="6"/>
  <c r="V150" i="6"/>
  <c r="V297" i="6"/>
  <c r="V112" i="6"/>
  <c r="V56" i="6"/>
  <c r="V421" i="6"/>
  <c r="V135" i="6"/>
  <c r="V443" i="6"/>
  <c r="V360" i="6"/>
  <c r="V460" i="6"/>
  <c r="V444" i="6"/>
  <c r="V188" i="6"/>
  <c r="V417" i="6"/>
  <c r="V219" i="6"/>
  <c r="V342" i="6"/>
  <c r="V101" i="6"/>
  <c r="V299" i="6"/>
  <c r="V47" i="6"/>
  <c r="V165" i="6"/>
  <c r="V386" i="6"/>
  <c r="V130" i="6"/>
  <c r="V335" i="6"/>
  <c r="V21" i="6"/>
  <c r="V179" i="6"/>
  <c r="V383" i="6"/>
  <c r="V127" i="6"/>
  <c r="V293" i="6"/>
  <c r="V35" i="6"/>
  <c r="V141" i="6"/>
  <c r="V240" i="6"/>
  <c r="V361" i="6"/>
  <c r="V106" i="6"/>
  <c r="V225" i="6"/>
  <c r="V436" i="6"/>
  <c r="V120" i="6"/>
  <c r="V422" i="6"/>
  <c r="V246" i="6"/>
  <c r="V87" i="6"/>
  <c r="V455" i="6"/>
  <c r="V396" i="6"/>
  <c r="V353" i="6"/>
  <c r="V8" i="6"/>
  <c r="V270" i="6"/>
  <c r="V36" i="6"/>
  <c r="V430" i="6"/>
  <c r="V428" i="6"/>
  <c r="V169" i="6"/>
  <c r="V459" i="6"/>
  <c r="V203" i="6"/>
  <c r="V333" i="6"/>
  <c r="V29" i="6"/>
  <c r="V283" i="6"/>
  <c r="V16" i="6"/>
  <c r="V232" i="6"/>
  <c r="V369" i="6"/>
  <c r="V114" i="6"/>
  <c r="V312" i="6"/>
  <c r="V89" i="6"/>
  <c r="V83" i="6"/>
  <c r="V366" i="6"/>
  <c r="V111" i="6"/>
  <c r="V277" i="6"/>
  <c r="V397" i="6"/>
  <c r="V125" i="6"/>
  <c r="V224" i="6"/>
  <c r="V331" i="6"/>
  <c r="V38" i="6"/>
  <c r="V304" i="6"/>
  <c r="V446" i="6"/>
  <c r="V374" i="6"/>
  <c r="V175" i="6"/>
  <c r="V463" i="6"/>
  <c r="V414" i="6"/>
  <c r="V337" i="6"/>
  <c r="V442" i="6"/>
  <c r="V185" i="6"/>
  <c r="V316" i="6"/>
  <c r="V68" i="6"/>
  <c r="V265" i="6"/>
  <c r="V476" i="6"/>
  <c r="V216" i="6"/>
  <c r="V344" i="6"/>
  <c r="V62" i="6"/>
  <c r="V296" i="6"/>
  <c r="V41" i="6"/>
  <c r="V161" i="6"/>
  <c r="V329" i="6"/>
  <c r="V48" i="6"/>
  <c r="V259" i="6"/>
  <c r="V381" i="6"/>
  <c r="V109" i="6"/>
  <c r="V208" i="6"/>
  <c r="V321" i="6"/>
  <c r="V119" i="6"/>
  <c r="V375" i="6"/>
  <c r="V217" i="6"/>
  <c r="V43" i="6"/>
  <c r="V294" i="6"/>
  <c r="V211" i="6"/>
  <c r="V273" i="6"/>
  <c r="V411" i="6"/>
  <c r="V220" i="6"/>
  <c r="V339" i="6"/>
  <c r="V275" i="6"/>
  <c r="V105" i="6"/>
  <c r="V432" i="6"/>
  <c r="V256" i="6"/>
  <c r="V410" i="6"/>
  <c r="V152" i="6"/>
  <c r="V77" i="6"/>
  <c r="V300" i="6"/>
  <c r="V49" i="6"/>
  <c r="V173" i="6"/>
  <c r="V457" i="6"/>
  <c r="V200" i="6"/>
  <c r="V351" i="6"/>
  <c r="V23" i="6"/>
  <c r="V280" i="6"/>
  <c r="V400" i="6"/>
  <c r="V144" i="6"/>
  <c r="V324" i="6"/>
  <c r="V17" i="6"/>
  <c r="V243" i="6"/>
  <c r="V346" i="6"/>
  <c r="V44" i="6"/>
  <c r="V191" i="6"/>
  <c r="V305" i="6"/>
  <c r="V86" i="6"/>
  <c r="U5" i="6"/>
  <c r="H5" i="6"/>
  <c r="W359" i="6" l="1"/>
  <c r="W448" i="6"/>
  <c r="W267" i="6"/>
  <c r="W266" i="6"/>
  <c r="W73" i="6"/>
  <c r="W403" i="6"/>
  <c r="W404" i="6"/>
  <c r="W405" i="6"/>
  <c r="W406" i="6"/>
  <c r="W407" i="6"/>
  <c r="W408" i="6"/>
  <c r="W409" i="6"/>
  <c r="W465" i="6"/>
  <c r="W466" i="6"/>
  <c r="W467" i="6"/>
  <c r="W468" i="6"/>
  <c r="W469" i="6"/>
  <c r="W470" i="6"/>
  <c r="W187" i="6"/>
  <c r="W51" i="6"/>
  <c r="W52" i="6"/>
  <c r="W53" i="6"/>
  <c r="W34" i="6"/>
  <c r="W486" i="6"/>
  <c r="W481" i="6"/>
  <c r="W487" i="6"/>
  <c r="W488" i="6"/>
  <c r="W484" i="6"/>
  <c r="W482" i="6"/>
  <c r="W485" i="6"/>
  <c r="W483" i="6"/>
  <c r="W192" i="6"/>
  <c r="W479" i="6"/>
  <c r="W480" i="6"/>
  <c r="W423" i="6"/>
  <c r="W424" i="6"/>
  <c r="W425" i="6"/>
  <c r="W426" i="6"/>
  <c r="W427" i="6"/>
  <c r="W125" i="6"/>
  <c r="W97" i="6"/>
  <c r="W98" i="6"/>
  <c r="W99" i="6"/>
  <c r="W358" i="6"/>
  <c r="W325" i="6"/>
  <c r="W60" i="6"/>
  <c r="W118" i="6"/>
  <c r="W86" i="6"/>
  <c r="W250" i="6"/>
  <c r="W185" i="6"/>
  <c r="W279" i="6"/>
  <c r="W17" i="6"/>
  <c r="W412" i="6"/>
  <c r="W12" i="6"/>
  <c r="W36" i="6"/>
  <c r="W147" i="6"/>
  <c r="W319" i="6"/>
  <c r="W363" i="6"/>
  <c r="W355" i="6"/>
  <c r="W59" i="6"/>
  <c r="W433" i="6"/>
  <c r="W199" i="6"/>
  <c r="W8" i="6"/>
  <c r="W477" i="6"/>
  <c r="W421" i="6"/>
  <c r="W61" i="6"/>
  <c r="W66" i="6"/>
  <c r="W32" i="6"/>
  <c r="W456" i="6"/>
  <c r="W377" i="6"/>
  <c r="W378" i="6"/>
  <c r="W379" i="6"/>
  <c r="W303" i="6"/>
  <c r="W92" i="6"/>
  <c r="W93" i="6"/>
  <c r="W94" i="6"/>
  <c r="V5" i="6"/>
  <c r="W380" i="6"/>
  <c r="W402" i="6"/>
  <c r="W413" i="6"/>
  <c r="W473" i="6"/>
  <c r="W453" i="6"/>
  <c r="W436" i="6"/>
  <c r="W31" i="6"/>
  <c r="W30" i="6"/>
  <c r="W58" i="6"/>
  <c r="W84" i="6"/>
  <c r="W117" i="6"/>
  <c r="W145" i="6"/>
  <c r="W163" i="6"/>
  <c r="W243" i="6"/>
  <c r="W179" i="6"/>
  <c r="W42" i="6"/>
  <c r="W261" i="6"/>
  <c r="W168" i="6"/>
  <c r="W387" i="6"/>
  <c r="W109" i="6"/>
  <c r="W208" i="6"/>
  <c r="W35" i="6"/>
  <c r="W49" i="6"/>
  <c r="W287" i="6"/>
  <c r="W343" i="6"/>
  <c r="W400" i="6"/>
  <c r="W337" i="6"/>
  <c r="W420" i="6"/>
  <c r="W434" i="6"/>
  <c r="W254" i="6"/>
  <c r="W472" i="6"/>
  <c r="W452" i="6"/>
  <c r="W29" i="6"/>
  <c r="W56" i="6"/>
  <c r="W81" i="6"/>
  <c r="W116" i="6"/>
  <c r="W143" i="6"/>
  <c r="W164" i="6"/>
  <c r="W335" i="6"/>
  <c r="W27" i="6"/>
  <c r="W222" i="6"/>
  <c r="W444" i="6"/>
  <c r="W370" i="6"/>
  <c r="W87" i="6"/>
  <c r="W306" i="6"/>
  <c r="W20" i="6"/>
  <c r="W33" i="6"/>
  <c r="W271" i="6"/>
  <c r="W76" i="6"/>
  <c r="W188" i="6"/>
  <c r="W229" i="6"/>
  <c r="W344" i="6"/>
  <c r="W376" i="6"/>
  <c r="W399" i="6"/>
  <c r="W320" i="6"/>
  <c r="W414" i="6"/>
  <c r="W474" i="6"/>
  <c r="W450" i="6"/>
  <c r="W463" i="6"/>
  <c r="W435" i="6"/>
  <c r="W28" i="6"/>
  <c r="W80" i="6"/>
  <c r="W115" i="6"/>
  <c r="W140" i="6"/>
  <c r="W313" i="6"/>
  <c r="W459" i="6"/>
  <c r="W247" i="6"/>
  <c r="W415" i="6"/>
  <c r="W142" i="6"/>
  <c r="W321" i="6"/>
  <c r="W70" i="6"/>
  <c r="W290" i="6"/>
  <c r="W304" i="6"/>
  <c r="W18" i="6"/>
  <c r="W227" i="6"/>
  <c r="W75" i="6"/>
  <c r="W351" i="6"/>
  <c r="W352" i="6"/>
  <c r="W205" i="6"/>
  <c r="W374" i="6"/>
  <c r="W397" i="6"/>
  <c r="W396" i="6"/>
  <c r="W395" i="6"/>
  <c r="W326" i="6"/>
  <c r="W454" i="6"/>
  <c r="W464" i="6"/>
  <c r="W430" i="6"/>
  <c r="W478" i="6"/>
  <c r="W26" i="6"/>
  <c r="W50" i="6"/>
  <c r="W79" i="6"/>
  <c r="W113" i="6"/>
  <c r="W297" i="6"/>
  <c r="W215" i="6"/>
  <c r="W126" i="6"/>
  <c r="W348" i="6"/>
  <c r="W54" i="6"/>
  <c r="W274" i="6"/>
  <c r="W288" i="6"/>
  <c r="X7" i="6"/>
  <c r="W238" i="6"/>
  <c r="W301" i="6"/>
  <c r="W300" i="6"/>
  <c r="W256" i="6"/>
  <c r="W345" i="6"/>
  <c r="W372" i="6"/>
  <c r="W369" i="6"/>
  <c r="W367" i="6"/>
  <c r="W394" i="6"/>
  <c r="W416" i="6"/>
  <c r="W447" i="6"/>
  <c r="W475" i="6"/>
  <c r="W455" i="6"/>
  <c r="W24" i="6"/>
  <c r="W47" i="6"/>
  <c r="W78" i="6"/>
  <c r="W281" i="6"/>
  <c r="W432" i="6"/>
  <c r="W253" i="6"/>
  <c r="W388" i="6"/>
  <c r="W110" i="6"/>
  <c r="W224" i="6"/>
  <c r="W37" i="6"/>
  <c r="W241" i="6"/>
  <c r="W272" i="6"/>
  <c r="W422" i="6"/>
  <c r="W178" i="6"/>
  <c r="W471" i="6"/>
  <c r="W273" i="6"/>
  <c r="W270" i="6"/>
  <c r="W299" i="6"/>
  <c r="W216" i="6"/>
  <c r="W329" i="6"/>
  <c r="W322" i="6"/>
  <c r="W255" i="6"/>
  <c r="W366" i="6"/>
  <c r="W393" i="6"/>
  <c r="W391" i="6"/>
  <c r="W417" i="6"/>
  <c r="W438" i="6"/>
  <c r="W445" i="6"/>
  <c r="W21" i="6"/>
  <c r="W46" i="6"/>
  <c r="W263" i="6"/>
  <c r="W462" i="6"/>
  <c r="W161" i="6"/>
  <c r="W371" i="6"/>
  <c r="W88" i="6"/>
  <c r="W308" i="6"/>
  <c r="W22" i="6"/>
  <c r="W180" i="6"/>
  <c r="W233" i="6"/>
  <c r="W10" i="6"/>
  <c r="W174" i="6"/>
  <c r="W214" i="6"/>
  <c r="W189" i="6"/>
  <c r="W269" i="6"/>
  <c r="W298" i="6"/>
  <c r="W200" i="6"/>
  <c r="W191" i="6"/>
  <c r="W257" i="6"/>
  <c r="W346" i="6"/>
  <c r="W347" i="6"/>
  <c r="W364" i="6"/>
  <c r="W389" i="6"/>
  <c r="W353" i="6"/>
  <c r="W461" i="6"/>
  <c r="W449" i="6"/>
  <c r="W442" i="6"/>
  <c r="W19" i="6"/>
  <c r="W175" i="6"/>
  <c r="W144" i="6"/>
  <c r="W327" i="6"/>
  <c r="W71" i="6"/>
  <c r="W292" i="6"/>
  <c r="W476" i="6"/>
  <c r="W204" i="6"/>
  <c r="W242" i="6"/>
  <c r="W451" i="6"/>
  <c r="W172" i="6"/>
  <c r="W230" i="6"/>
  <c r="W91" i="6"/>
  <c r="W235" i="6"/>
  <c r="W223" i="6"/>
  <c r="W246" i="6"/>
  <c r="W268" i="6"/>
  <c r="W296" i="6"/>
  <c r="W294" i="6"/>
  <c r="W291" i="6"/>
  <c r="W177" i="6"/>
  <c r="W316" i="6"/>
  <c r="W332" i="6"/>
  <c r="W362" i="6"/>
  <c r="W386" i="6"/>
  <c r="W338" i="6"/>
  <c r="W9" i="6"/>
  <c r="W460" i="6"/>
  <c r="W193" i="6"/>
  <c r="W341" i="6"/>
  <c r="W128" i="6"/>
  <c r="W331" i="6"/>
  <c r="W55" i="6"/>
  <c r="W276" i="6"/>
  <c r="W446" i="6"/>
  <c r="W176" i="6"/>
  <c r="W186" i="6"/>
  <c r="W240" i="6"/>
  <c r="W152" i="6"/>
  <c r="W302" i="6"/>
  <c r="W239" i="6"/>
  <c r="W138" i="6"/>
  <c r="W173" i="6"/>
  <c r="W165" i="6"/>
  <c r="W207" i="6"/>
  <c r="W234" i="6"/>
  <c r="W265" i="6"/>
  <c r="W264" i="6"/>
  <c r="W262" i="6"/>
  <c r="W289" i="6"/>
  <c r="W286" i="6"/>
  <c r="W315" i="6"/>
  <c r="W349" i="6"/>
  <c r="W361" i="6"/>
  <c r="W384" i="6"/>
  <c r="W339" i="6"/>
  <c r="W411" i="6"/>
  <c r="W419" i="6"/>
  <c r="W231" i="6"/>
  <c r="W390" i="6"/>
  <c r="W112" i="6"/>
  <c r="W232" i="6"/>
  <c r="W38" i="6"/>
  <c r="W258" i="6"/>
  <c r="W437" i="6"/>
  <c r="W170" i="6"/>
  <c r="W251" i="6"/>
  <c r="W221" i="6"/>
  <c r="W136" i="6"/>
  <c r="W275" i="6"/>
  <c r="W111" i="6"/>
  <c r="W135" i="6"/>
  <c r="W134" i="6"/>
  <c r="W181" i="6"/>
  <c r="W225" i="6"/>
  <c r="W217" i="6"/>
  <c r="W209" i="6"/>
  <c r="W260" i="6"/>
  <c r="W245" i="6"/>
  <c r="W285" i="6"/>
  <c r="W314" i="6"/>
  <c r="W333" i="6"/>
  <c r="W360" i="6"/>
  <c r="W383" i="6"/>
  <c r="W244" i="6"/>
  <c r="W441" i="6"/>
  <c r="W194" i="6"/>
  <c r="W373" i="6"/>
  <c r="W90" i="6"/>
  <c r="W309" i="6"/>
  <c r="W23" i="6"/>
  <c r="W198" i="6"/>
  <c r="W236" i="6"/>
  <c r="W171" i="6"/>
  <c r="W398" i="6"/>
  <c r="W120" i="6"/>
  <c r="W77" i="6"/>
  <c r="W108" i="6"/>
  <c r="W106" i="6"/>
  <c r="W133" i="6"/>
  <c r="W162" i="6"/>
  <c r="W166" i="6"/>
  <c r="W252" i="6"/>
  <c r="W226" i="6"/>
  <c r="W201" i="6"/>
  <c r="W183" i="6"/>
  <c r="W237" i="6"/>
  <c r="W284" i="6"/>
  <c r="W312" i="6"/>
  <c r="W213" i="6"/>
  <c r="W357" i="6"/>
  <c r="W381" i="6"/>
  <c r="W431" i="6"/>
  <c r="W356" i="6"/>
  <c r="W74" i="6"/>
  <c r="W293" i="6"/>
  <c r="W429" i="6"/>
  <c r="W220" i="6"/>
  <c r="W11" i="6"/>
  <c r="W139" i="6"/>
  <c r="W153" i="6"/>
  <c r="W382" i="6"/>
  <c r="W104" i="6"/>
  <c r="W45" i="6"/>
  <c r="W44" i="6"/>
  <c r="W72" i="6"/>
  <c r="W103" i="6"/>
  <c r="W132" i="6"/>
  <c r="W160" i="6"/>
  <c r="W154" i="6"/>
  <c r="W218" i="6"/>
  <c r="W210" i="6"/>
  <c r="W248" i="6"/>
  <c r="W219" i="6"/>
  <c r="W283" i="6"/>
  <c r="W310" i="6"/>
  <c r="W350" i="6"/>
  <c r="W342" i="6"/>
  <c r="W324" i="6"/>
  <c r="W146" i="6"/>
  <c r="W330" i="6"/>
  <c r="W57" i="6"/>
  <c r="W277" i="6"/>
  <c r="W317" i="6"/>
  <c r="W190" i="6"/>
  <c r="W401" i="6"/>
  <c r="W123" i="6"/>
  <c r="W137" i="6"/>
  <c r="W365" i="6"/>
  <c r="W82" i="6"/>
  <c r="W16" i="6"/>
  <c r="W15" i="6"/>
  <c r="W43" i="6"/>
  <c r="W69" i="6"/>
  <c r="W102" i="6"/>
  <c r="W131" i="6"/>
  <c r="W129" i="6"/>
  <c r="W127" i="6"/>
  <c r="W151" i="6"/>
  <c r="W150" i="6"/>
  <c r="W202" i="6"/>
  <c r="W212" i="6"/>
  <c r="W211" i="6"/>
  <c r="W282" i="6"/>
  <c r="W307" i="6"/>
  <c r="W334" i="6"/>
  <c r="W197" i="6"/>
  <c r="W130" i="6"/>
  <c r="W336" i="6"/>
  <c r="W40" i="6"/>
  <c r="W259" i="6"/>
  <c r="W440" i="6"/>
  <c r="W169" i="6"/>
  <c r="W385" i="6"/>
  <c r="W107" i="6"/>
  <c r="W121" i="6"/>
  <c r="W328" i="6"/>
  <c r="W65" i="6"/>
  <c r="W443" i="6"/>
  <c r="W439" i="6"/>
  <c r="W14" i="6"/>
  <c r="W41" i="6"/>
  <c r="W67" i="6"/>
  <c r="W101" i="6"/>
  <c r="W100" i="6"/>
  <c r="W124" i="6"/>
  <c r="W122" i="6"/>
  <c r="W149" i="6"/>
  <c r="W184" i="6"/>
  <c r="W196" i="6"/>
  <c r="W203" i="6"/>
  <c r="W280" i="6"/>
  <c r="W305" i="6"/>
  <c r="W392" i="6"/>
  <c r="W114" i="6"/>
  <c r="W311" i="6"/>
  <c r="W25" i="6"/>
  <c r="W206" i="6"/>
  <c r="W428" i="6"/>
  <c r="W368" i="6"/>
  <c r="W85" i="6"/>
  <c r="W105" i="6"/>
  <c r="W323" i="6"/>
  <c r="W48" i="6"/>
  <c r="W410" i="6"/>
  <c r="W457" i="6"/>
  <c r="W354" i="6"/>
  <c r="W418" i="6"/>
  <c r="W458" i="6"/>
  <c r="W13" i="6"/>
  <c r="W39" i="6"/>
  <c r="W64" i="6"/>
  <c r="W63" i="6"/>
  <c r="W62" i="6"/>
  <c r="W96" i="6"/>
  <c r="W89" i="6"/>
  <c r="W119" i="6"/>
  <c r="W148" i="6"/>
  <c r="W167" i="6"/>
  <c r="W249" i="6"/>
  <c r="W195" i="6"/>
  <c r="W278" i="6"/>
  <c r="W375" i="6"/>
  <c r="W95" i="6"/>
  <c r="W295" i="6"/>
  <c r="W228" i="6"/>
  <c r="W340" i="6"/>
  <c r="W141" i="6"/>
  <c r="W318" i="6"/>
  <c r="W68" i="6"/>
  <c r="W83" i="6"/>
  <c r="W182" i="6"/>
  <c r="X359" i="6" l="1"/>
  <c r="X448" i="6"/>
  <c r="X267" i="6"/>
  <c r="X266" i="6"/>
  <c r="X73" i="6"/>
  <c r="X403" i="6"/>
  <c r="X404" i="6"/>
  <c r="X405" i="6"/>
  <c r="X406" i="6"/>
  <c r="X407" i="6"/>
  <c r="X408" i="6"/>
  <c r="X409" i="6"/>
  <c r="X465" i="6"/>
  <c r="X466" i="6"/>
  <c r="X467" i="6"/>
  <c r="X468" i="6"/>
  <c r="X469" i="6"/>
  <c r="X470" i="6"/>
  <c r="X187" i="6"/>
  <c r="X51" i="6"/>
  <c r="X52" i="6"/>
  <c r="X53" i="6"/>
  <c r="X486" i="6"/>
  <c r="X481" i="6"/>
  <c r="X487" i="6"/>
  <c r="X488" i="6"/>
  <c r="X484" i="6"/>
  <c r="X482" i="6"/>
  <c r="X485" i="6"/>
  <c r="X483" i="6"/>
  <c r="X192" i="6"/>
  <c r="X479" i="6"/>
  <c r="X480" i="6"/>
  <c r="X423" i="6"/>
  <c r="X424" i="6"/>
  <c r="X425" i="6"/>
  <c r="X426" i="6"/>
  <c r="X427" i="6"/>
  <c r="X325" i="6"/>
  <c r="X97" i="6"/>
  <c r="X98" i="6"/>
  <c r="X99" i="6"/>
  <c r="X272" i="6"/>
  <c r="X363" i="6"/>
  <c r="X386" i="6"/>
  <c r="X297" i="6"/>
  <c r="X166" i="6"/>
  <c r="X474" i="6"/>
  <c r="X322" i="6"/>
  <c r="X71" i="6"/>
  <c r="X377" i="6"/>
  <c r="X378" i="6"/>
  <c r="X379" i="6"/>
  <c r="X271" i="6"/>
  <c r="X287" i="6"/>
  <c r="X445" i="6"/>
  <c r="X416" i="6"/>
  <c r="X78" i="6"/>
  <c r="X66" i="6"/>
  <c r="X13" i="6"/>
  <c r="X28" i="6"/>
  <c r="X456" i="6"/>
  <c r="X431" i="6"/>
  <c r="X80" i="6"/>
  <c r="X165" i="6"/>
  <c r="X26" i="6"/>
  <c r="X320" i="6"/>
  <c r="X249" i="6"/>
  <c r="X218" i="6"/>
  <c r="X449" i="6"/>
  <c r="X311" i="6"/>
  <c r="X81" i="6"/>
  <c r="X433" i="6"/>
  <c r="X419" i="6"/>
  <c r="X369" i="6"/>
  <c r="X225" i="6"/>
  <c r="X446" i="6"/>
  <c r="X250" i="6"/>
  <c r="X313" i="6"/>
  <c r="X327" i="6"/>
  <c r="X179" i="6"/>
  <c r="X86" i="6"/>
  <c r="X132" i="6"/>
  <c r="X395" i="6"/>
  <c r="X360" i="6"/>
  <c r="X149" i="6"/>
  <c r="X346" i="6"/>
  <c r="X291" i="6"/>
  <c r="X275" i="6"/>
  <c r="X193" i="6"/>
  <c r="X332" i="6"/>
  <c r="X354" i="6"/>
  <c r="X29" i="6"/>
  <c r="X92" i="6"/>
  <c r="X93" i="6"/>
  <c r="X94" i="6"/>
  <c r="X358" i="6"/>
  <c r="X169" i="6"/>
  <c r="X289" i="6"/>
  <c r="X91" i="6"/>
  <c r="X64" i="6"/>
  <c r="X69" i="6"/>
  <c r="X339" i="6"/>
  <c r="X152" i="6"/>
  <c r="X27" i="6"/>
  <c r="X273" i="6"/>
  <c r="X83" i="6"/>
  <c r="X473" i="6"/>
  <c r="X288" i="6"/>
  <c r="X168" i="6"/>
  <c r="X88" i="6"/>
  <c r="W5" i="6"/>
  <c r="X475" i="6"/>
  <c r="X428" i="6"/>
  <c r="X101" i="6"/>
  <c r="X350" i="6"/>
  <c r="X383" i="6"/>
  <c r="X10" i="6"/>
  <c r="X436" i="6"/>
  <c r="X264" i="6"/>
  <c r="X330" i="6"/>
  <c r="X245" i="6"/>
  <c r="X177" i="6"/>
  <c r="X42" i="6"/>
  <c r="X237" i="6"/>
  <c r="X233" i="6"/>
  <c r="X227" i="6"/>
  <c r="X437" i="6"/>
  <c r="X188" i="6"/>
  <c r="X210" i="6"/>
  <c r="X398" i="6"/>
  <c r="X136" i="6"/>
  <c r="X151" i="6"/>
  <c r="X412" i="6"/>
  <c r="X148" i="6"/>
  <c r="X336" i="6"/>
  <c r="X50" i="6"/>
  <c r="X48" i="6"/>
  <c r="X47" i="6"/>
  <c r="X45" i="6"/>
  <c r="X76" i="6"/>
  <c r="X308" i="6"/>
  <c r="X420" i="6"/>
  <c r="X189" i="6"/>
  <c r="X22" i="6"/>
  <c r="X242" i="6"/>
  <c r="X135" i="6"/>
  <c r="X25" i="6"/>
  <c r="X24" i="6"/>
  <c r="X75" i="6"/>
  <c r="X462" i="6"/>
  <c r="X391" i="6"/>
  <c r="X184" i="6"/>
  <c r="X351" i="6"/>
  <c r="X380" i="6"/>
  <c r="Y7" i="6"/>
  <c r="X185" i="6"/>
  <c r="X212" i="6"/>
  <c r="X290" i="6"/>
  <c r="X196" i="6"/>
  <c r="X186" i="6"/>
  <c r="X178" i="6"/>
  <c r="X418" i="6"/>
  <c r="X154" i="6"/>
  <c r="X170" i="6"/>
  <c r="X365" i="6"/>
  <c r="X104" i="6"/>
  <c r="X119" i="6"/>
  <c r="X116" i="6"/>
  <c r="X295" i="6"/>
  <c r="X294" i="6"/>
  <c r="X293" i="6"/>
  <c r="X292" i="6"/>
  <c r="X9" i="6"/>
  <c r="X366" i="6"/>
  <c r="X458" i="6"/>
  <c r="X304" i="6"/>
  <c r="X257" i="6"/>
  <c r="X401" i="6"/>
  <c r="X447" i="6"/>
  <c r="X118" i="6"/>
  <c r="X181" i="6"/>
  <c r="X274" i="6"/>
  <c r="X472" i="6"/>
  <c r="X251" i="6"/>
  <c r="X252" i="6"/>
  <c r="X226" i="6"/>
  <c r="X400" i="6"/>
  <c r="X138" i="6"/>
  <c r="X153" i="6"/>
  <c r="X345" i="6"/>
  <c r="X79" i="6"/>
  <c r="X103" i="6"/>
  <c r="X361" i="6"/>
  <c r="X100" i="6"/>
  <c r="X279" i="6"/>
  <c r="X278" i="6"/>
  <c r="X277" i="6"/>
  <c r="X276" i="6"/>
  <c r="X35" i="6"/>
  <c r="X471" i="6"/>
  <c r="X414" i="6"/>
  <c r="X331" i="6"/>
  <c r="X413" i="6"/>
  <c r="X477" i="6"/>
  <c r="X74" i="6"/>
  <c r="X256" i="6"/>
  <c r="X375" i="6"/>
  <c r="X11" i="6"/>
  <c r="X229" i="6"/>
  <c r="X241" i="6"/>
  <c r="X213" i="6"/>
  <c r="X205" i="6"/>
  <c r="X197" i="6"/>
  <c r="X384" i="6"/>
  <c r="X122" i="6"/>
  <c r="X137" i="6"/>
  <c r="X334" i="6"/>
  <c r="X57" i="6"/>
  <c r="X56" i="6"/>
  <c r="X191" i="6"/>
  <c r="X90" i="6"/>
  <c r="X261" i="6"/>
  <c r="X260" i="6"/>
  <c r="X259" i="6"/>
  <c r="X258" i="6"/>
  <c r="X20" i="6"/>
  <c r="X399" i="6"/>
  <c r="X314" i="6"/>
  <c r="X388" i="6"/>
  <c r="X341" i="6"/>
  <c r="X422" i="6"/>
  <c r="X298" i="6"/>
  <c r="X216" i="6"/>
  <c r="X396" i="6"/>
  <c r="X429" i="6"/>
  <c r="X84" i="6"/>
  <c r="X180" i="6"/>
  <c r="X478" i="6"/>
  <c r="X174" i="6"/>
  <c r="X173" i="6"/>
  <c r="X172" i="6"/>
  <c r="X367" i="6"/>
  <c r="X106" i="6"/>
  <c r="X121" i="6"/>
  <c r="X316" i="6"/>
  <c r="X36" i="6"/>
  <c r="X34" i="6"/>
  <c r="X352" i="6"/>
  <c r="X222" i="6"/>
  <c r="X214" i="6"/>
  <c r="X206" i="6"/>
  <c r="X198" i="6"/>
  <c r="X49" i="6"/>
  <c r="X434" i="6"/>
  <c r="X134" i="6"/>
  <c r="X306" i="6"/>
  <c r="X238" i="6"/>
  <c r="X389" i="6"/>
  <c r="X201" i="6"/>
  <c r="X362" i="6"/>
  <c r="X440" i="6"/>
  <c r="X167" i="6"/>
  <c r="X337" i="6"/>
  <c r="X372" i="6"/>
  <c r="X444" i="6"/>
  <c r="X160" i="6"/>
  <c r="X204" i="6"/>
  <c r="X340" i="6"/>
  <c r="X328" i="6"/>
  <c r="X82" i="6"/>
  <c r="X105" i="6"/>
  <c r="X300" i="6"/>
  <c r="X12" i="6"/>
  <c r="X96" i="6"/>
  <c r="X312" i="6"/>
  <c r="X30" i="6"/>
  <c r="X247" i="6"/>
  <c r="X248" i="6"/>
  <c r="X228" i="6"/>
  <c r="X220" i="6"/>
  <c r="X33" i="6"/>
  <c r="X356" i="6"/>
  <c r="X120" i="6"/>
  <c r="X374" i="6"/>
  <c r="X102" i="6"/>
  <c r="X323" i="6"/>
  <c r="X385" i="6"/>
  <c r="X355" i="6"/>
  <c r="X453" i="6"/>
  <c r="X282" i="6"/>
  <c r="X255" i="6"/>
  <c r="X182" i="6"/>
  <c r="X143" i="6"/>
  <c r="X176" i="6"/>
  <c r="X141" i="6"/>
  <c r="X140" i="6"/>
  <c r="X139" i="6"/>
  <c r="X224" i="6"/>
  <c r="X59" i="6"/>
  <c r="X89" i="6"/>
  <c r="X284" i="6"/>
  <c r="X299" i="6"/>
  <c r="X55" i="6"/>
  <c r="X296" i="6"/>
  <c r="X439" i="6"/>
  <c r="X215" i="6"/>
  <c r="X207" i="6"/>
  <c r="X199" i="6"/>
  <c r="X190" i="6"/>
  <c r="X18" i="6"/>
  <c r="X417" i="6"/>
  <c r="X382" i="6"/>
  <c r="X364" i="6"/>
  <c r="X432" i="6"/>
  <c r="X309" i="6"/>
  <c r="X357" i="6"/>
  <c r="X454" i="6"/>
  <c r="X150" i="6"/>
  <c r="X319" i="6"/>
  <c r="X392" i="6"/>
  <c r="X127" i="6"/>
  <c r="X221" i="6"/>
  <c r="X387" i="6"/>
  <c r="X125" i="6"/>
  <c r="X124" i="6"/>
  <c r="X123" i="6"/>
  <c r="X318" i="6"/>
  <c r="X38" i="6"/>
  <c r="X58" i="6"/>
  <c r="X268" i="6"/>
  <c r="X283" i="6"/>
  <c r="X280" i="6"/>
  <c r="X443" i="6"/>
  <c r="X244" i="6"/>
  <c r="X240" i="6"/>
  <c r="X236" i="6"/>
  <c r="X232" i="6"/>
  <c r="X63" i="6"/>
  <c r="X394" i="6"/>
  <c r="X329" i="6"/>
  <c r="X430" i="6"/>
  <c r="X231" i="6"/>
  <c r="X200" i="6"/>
  <c r="X381" i="6"/>
  <c r="X8" i="6"/>
  <c r="X438" i="6"/>
  <c r="X263" i="6"/>
  <c r="X368" i="6"/>
  <c r="X111" i="6"/>
  <c r="X67" i="6"/>
  <c r="X370" i="6"/>
  <c r="X109" i="6"/>
  <c r="X108" i="6"/>
  <c r="X107" i="6"/>
  <c r="X302" i="6"/>
  <c r="X16" i="6"/>
  <c r="X37" i="6"/>
  <c r="X203" i="6"/>
  <c r="X265" i="6"/>
  <c r="X72" i="6"/>
  <c r="X262" i="6"/>
  <c r="X87" i="6"/>
  <c r="X70" i="6"/>
  <c r="X46" i="6"/>
  <c r="X333" i="6"/>
  <c r="X452" i="6"/>
  <c r="X459" i="6"/>
  <c r="X307" i="6"/>
  <c r="X342" i="6"/>
  <c r="X402" i="6"/>
  <c r="X464" i="6"/>
  <c r="X133" i="6"/>
  <c r="X347" i="6"/>
  <c r="X65" i="6"/>
  <c r="X343" i="6"/>
  <c r="X85" i="6"/>
  <c r="X68" i="6"/>
  <c r="X95" i="6"/>
  <c r="X286" i="6"/>
  <c r="X301" i="6"/>
  <c r="X14" i="6"/>
  <c r="X217" i="6"/>
  <c r="X195" i="6"/>
  <c r="X54" i="6"/>
  <c r="X230" i="6"/>
  <c r="X208" i="6"/>
  <c r="X164" i="6"/>
  <c r="X163" i="6"/>
  <c r="X162" i="6"/>
  <c r="X161" i="6"/>
  <c r="X31" i="6"/>
  <c r="X246" i="6"/>
  <c r="X324" i="6"/>
  <c r="X415" i="6"/>
  <c r="X455" i="6"/>
  <c r="X253" i="6"/>
  <c r="X335" i="6"/>
  <c r="X338" i="6"/>
  <c r="X450" i="6"/>
  <c r="X315" i="6"/>
  <c r="X43" i="6"/>
  <c r="X142" i="6"/>
  <c r="X349" i="6"/>
  <c r="X62" i="6"/>
  <c r="X61" i="6"/>
  <c r="X60" i="6"/>
  <c r="X270" i="6"/>
  <c r="X285" i="6"/>
  <c r="X442" i="6"/>
  <c r="X243" i="6"/>
  <c r="X209" i="6"/>
  <c r="X32" i="6"/>
  <c r="X183" i="6"/>
  <c r="X411" i="6"/>
  <c r="X147" i="6"/>
  <c r="X146" i="6"/>
  <c r="X145" i="6"/>
  <c r="X144" i="6"/>
  <c r="X15" i="6"/>
  <c r="X435" i="6"/>
  <c r="X317" i="6"/>
  <c r="X421" i="6"/>
  <c r="X310" i="6"/>
  <c r="X390" i="6"/>
  <c r="X441" i="6"/>
  <c r="X457" i="6"/>
  <c r="X303" i="6"/>
  <c r="X344" i="6"/>
  <c r="X397" i="6"/>
  <c r="X461" i="6"/>
  <c r="X175" i="6"/>
  <c r="X23" i="6"/>
  <c r="X126" i="6"/>
  <c r="X321" i="6"/>
  <c r="X41" i="6"/>
  <c r="X40" i="6"/>
  <c r="X39" i="6"/>
  <c r="X219" i="6"/>
  <c r="X269" i="6"/>
  <c r="X463" i="6"/>
  <c r="X202" i="6"/>
  <c r="X239" i="6"/>
  <c r="X476" i="6"/>
  <c r="X223" i="6"/>
  <c r="X393" i="6"/>
  <c r="X131" i="6"/>
  <c r="X130" i="6"/>
  <c r="X129" i="6"/>
  <c r="X128" i="6"/>
  <c r="X44" i="6"/>
  <c r="X171" i="6"/>
  <c r="X235" i="6"/>
  <c r="X281" i="6"/>
  <c r="X348" i="6"/>
  <c r="X410" i="6"/>
  <c r="X353" i="6"/>
  <c r="X373" i="6"/>
  <c r="X326" i="6"/>
  <c r="X117" i="6"/>
  <c r="X371" i="6"/>
  <c r="X110" i="6"/>
  <c r="X305" i="6"/>
  <c r="X21" i="6"/>
  <c r="X19" i="6"/>
  <c r="X17" i="6"/>
  <c r="X234" i="6"/>
  <c r="X211" i="6"/>
  <c r="X451" i="6"/>
  <c r="X77" i="6"/>
  <c r="X194" i="6"/>
  <c r="X460" i="6"/>
  <c r="X254" i="6"/>
  <c r="X376" i="6"/>
  <c r="X115" i="6"/>
  <c r="X114" i="6"/>
  <c r="X113" i="6"/>
  <c r="X112" i="6"/>
  <c r="Y359" i="6" l="1"/>
  <c r="Y448" i="6"/>
  <c r="Y267" i="6"/>
  <c r="Y266" i="6"/>
  <c r="Y73" i="6"/>
  <c r="Y403" i="6"/>
  <c r="Y404" i="6"/>
  <c r="Y405" i="6"/>
  <c r="Y406" i="6"/>
  <c r="Y407" i="6"/>
  <c r="Y408" i="6"/>
  <c r="Y409" i="6"/>
  <c r="Y465" i="6"/>
  <c r="Y466" i="6"/>
  <c r="Y467" i="6"/>
  <c r="Y468" i="6"/>
  <c r="Y469" i="6"/>
  <c r="Y470" i="6"/>
  <c r="Y187" i="6"/>
  <c r="Y51" i="6"/>
  <c r="Y52" i="6"/>
  <c r="Y53" i="6"/>
  <c r="Y483" i="6"/>
  <c r="Y486" i="6"/>
  <c r="Y481" i="6"/>
  <c r="Y487" i="6"/>
  <c r="Y488" i="6"/>
  <c r="Y484" i="6"/>
  <c r="Y482" i="6"/>
  <c r="Y485" i="6"/>
  <c r="Y479" i="6"/>
  <c r="Y480" i="6"/>
  <c r="Y101" i="6"/>
  <c r="Y367" i="6"/>
  <c r="Y135" i="6"/>
  <c r="Y192" i="6"/>
  <c r="Y472" i="6"/>
  <c r="Y401" i="6"/>
  <c r="Y398" i="6"/>
  <c r="Y144" i="6"/>
  <c r="Y41" i="6"/>
  <c r="Y74" i="6"/>
  <c r="Y121" i="6"/>
  <c r="Y198" i="6"/>
  <c r="Y423" i="6"/>
  <c r="Y424" i="6"/>
  <c r="Y425" i="6"/>
  <c r="Y426" i="6"/>
  <c r="Y427" i="6"/>
  <c r="Y269" i="6"/>
  <c r="Y215" i="6"/>
  <c r="Y33" i="6"/>
  <c r="Y175" i="6"/>
  <c r="Y127" i="6"/>
  <c r="Y77" i="6"/>
  <c r="Y56" i="6"/>
  <c r="Y365" i="6"/>
  <c r="Y204" i="6"/>
  <c r="Y14" i="6"/>
  <c r="Y282" i="6"/>
  <c r="Y432" i="6"/>
  <c r="Y276" i="6"/>
  <c r="Y421" i="6"/>
  <c r="Y27" i="6"/>
  <c r="Y290" i="6"/>
  <c r="Y143" i="6"/>
  <c r="Y64" i="6"/>
  <c r="Y103" i="6"/>
  <c r="Y18" i="6"/>
  <c r="Y220" i="6"/>
  <c r="Y108" i="6"/>
  <c r="Y240" i="6"/>
  <c r="Y177" i="6"/>
  <c r="Y147" i="6"/>
  <c r="Y85" i="6"/>
  <c r="Y218" i="6"/>
  <c r="Y71" i="6"/>
  <c r="Y60" i="6"/>
  <c r="Y122" i="6"/>
  <c r="Y348" i="6"/>
  <c r="Y272" i="6"/>
  <c r="Y396" i="6"/>
  <c r="Y304" i="6"/>
  <c r="Y216" i="6"/>
  <c r="Y113" i="6"/>
  <c r="Y325" i="6"/>
  <c r="Y97" i="6"/>
  <c r="Y98" i="6"/>
  <c r="Y99" i="6"/>
  <c r="Y339" i="6"/>
  <c r="Y171" i="6"/>
  <c r="Y231" i="6"/>
  <c r="Y83" i="6"/>
  <c r="Y61" i="6"/>
  <c r="Y410" i="6"/>
  <c r="Y81" i="6"/>
  <c r="Y314" i="6"/>
  <c r="Y185" i="6"/>
  <c r="Y458" i="6"/>
  <c r="Y146" i="6"/>
  <c r="Y102" i="6"/>
  <c r="Y355" i="6"/>
  <c r="Y346" i="6"/>
  <c r="Y252" i="6"/>
  <c r="Y12" i="6"/>
  <c r="Y117" i="6"/>
  <c r="Y229" i="6"/>
  <c r="Y363" i="6"/>
  <c r="Y447" i="6"/>
  <c r="Y130" i="6"/>
  <c r="Y328" i="6"/>
  <c r="Y201" i="6"/>
  <c r="Y132" i="6"/>
  <c r="Y433" i="6"/>
  <c r="Y417" i="6"/>
  <c r="Y393" i="6"/>
  <c r="Y48" i="6"/>
  <c r="Y125" i="6"/>
  <c r="Y193" i="6"/>
  <c r="Y191" i="6"/>
  <c r="Y212" i="6"/>
  <c r="Y312" i="6"/>
  <c r="Y16" i="6"/>
  <c r="Y37" i="6"/>
  <c r="Y59" i="6"/>
  <c r="Y9" i="6"/>
  <c r="Y111" i="6"/>
  <c r="Y186" i="6"/>
  <c r="Y202" i="6"/>
  <c r="Y180" i="6"/>
  <c r="Y45" i="6"/>
  <c r="Y258" i="6"/>
  <c r="Y327" i="6"/>
  <c r="Y236" i="6"/>
  <c r="Y17" i="6"/>
  <c r="Y110" i="6"/>
  <c r="Y370" i="6"/>
  <c r="Y394" i="6"/>
  <c r="Y26" i="6"/>
  <c r="Y100" i="6"/>
  <c r="Y164" i="6"/>
  <c r="Y87" i="6"/>
  <c r="Y189" i="6"/>
  <c r="Y361" i="6"/>
  <c r="Y277" i="6"/>
  <c r="Y13" i="6"/>
  <c r="Y35" i="6"/>
  <c r="Y397" i="6"/>
  <c r="Y72" i="6"/>
  <c r="Y170" i="6"/>
  <c r="Y154" i="6"/>
  <c r="Y165" i="6"/>
  <c r="Y30" i="6"/>
  <c r="Y388" i="6"/>
  <c r="Y274" i="6"/>
  <c r="Y8" i="6"/>
  <c r="Y57" i="6"/>
  <c r="Y245" i="6"/>
  <c r="Y366" i="6"/>
  <c r="Y455" i="6"/>
  <c r="Y389" i="6"/>
  <c r="Y47" i="6"/>
  <c r="Y123" i="6"/>
  <c r="Y68" i="6"/>
  <c r="Y120" i="6"/>
  <c r="Y443" i="6"/>
  <c r="Y340" i="6"/>
  <c r="Y342" i="6"/>
  <c r="Y364" i="6"/>
  <c r="Y356" i="6"/>
  <c r="Y39" i="6"/>
  <c r="Y69" i="6"/>
  <c r="Y106" i="6"/>
  <c r="Y80" i="6"/>
  <c r="Y76" i="6"/>
  <c r="Y256" i="6"/>
  <c r="Y95" i="6"/>
  <c r="Y259" i="6"/>
  <c r="Y375" i="6"/>
  <c r="Y476" i="6"/>
  <c r="Y24" i="6"/>
  <c r="Y36" i="6"/>
  <c r="Y84" i="6"/>
  <c r="Y46" i="6"/>
  <c r="Y75" i="6"/>
  <c r="Y225" i="6"/>
  <c r="Y380" i="6"/>
  <c r="Y416" i="6"/>
  <c r="Y22" i="6"/>
  <c r="Y385" i="6"/>
  <c r="Y54" i="6"/>
  <c r="Y302" i="6"/>
  <c r="Y42" i="6"/>
  <c r="Y440" i="6"/>
  <c r="Y439" i="6"/>
  <c r="Y436" i="6"/>
  <c r="Y376" i="6"/>
  <c r="Y50" i="6"/>
  <c r="Y471" i="6"/>
  <c r="Y345" i="6"/>
  <c r="Y310" i="6"/>
  <c r="Y43" i="6"/>
  <c r="Y351" i="6"/>
  <c r="Y250" i="6"/>
  <c r="Y381" i="6"/>
  <c r="Y307" i="6"/>
  <c r="Y462" i="6"/>
  <c r="Y234" i="6"/>
  <c r="Y337" i="6"/>
  <c r="Y372" i="6"/>
  <c r="Y313" i="6"/>
  <c r="Y15" i="6"/>
  <c r="Y296" i="6"/>
  <c r="Y437" i="6"/>
  <c r="Y107" i="6"/>
  <c r="Y309" i="6"/>
  <c r="Y438" i="6"/>
  <c r="Y131" i="6"/>
  <c r="Y199" i="6"/>
  <c r="Y243" i="6"/>
  <c r="Y354" i="6"/>
  <c r="Y478" i="6"/>
  <c r="Y477" i="6"/>
  <c r="Y368" i="6"/>
  <c r="Y20" i="6"/>
  <c r="Y335" i="6"/>
  <c r="Y299" i="6"/>
  <c r="Y291" i="6"/>
  <c r="Y395" i="6"/>
  <c r="Y265" i="6"/>
  <c r="Y419" i="6"/>
  <c r="Y402" i="6"/>
  <c r="Y34" i="6"/>
  <c r="Y445" i="6"/>
  <c r="Y431" i="6"/>
  <c r="Y362" i="6"/>
  <c r="Y457" i="6"/>
  <c r="Y222" i="6"/>
  <c r="Y412" i="6"/>
  <c r="Y460" i="6"/>
  <c r="Y109" i="6"/>
  <c r="Y294" i="6"/>
  <c r="Y450" i="6"/>
  <c r="Y373" i="6"/>
  <c r="Y305" i="6"/>
  <c r="Y289" i="6"/>
  <c r="Y283" i="6"/>
  <c r="Y308" i="6"/>
  <c r="Y341" i="6"/>
  <c r="Y358" i="6"/>
  <c r="Y288" i="6"/>
  <c r="Y429" i="6"/>
  <c r="Y390" i="6"/>
  <c r="Y420" i="6"/>
  <c r="Y350" i="6"/>
  <c r="Y262" i="6"/>
  <c r="Y442" i="6"/>
  <c r="Y67" i="6"/>
  <c r="Y461" i="6"/>
  <c r="Y382" i="6"/>
  <c r="Y441" i="6"/>
  <c r="Y301" i="6"/>
  <c r="Y391" i="6"/>
  <c r="Y196" i="6"/>
  <c r="Y452" i="6"/>
  <c r="Y211" i="6"/>
  <c r="Y153" i="6"/>
  <c r="Y224" i="6"/>
  <c r="Y78" i="6"/>
  <c r="Y129" i="6"/>
  <c r="Y168" i="6"/>
  <c r="Y219" i="6"/>
  <c r="Y316" i="6"/>
  <c r="Y475" i="6"/>
  <c r="Y188" i="6"/>
  <c r="Y232" i="6"/>
  <c r="Y311" i="6"/>
  <c r="Y303" i="6"/>
  <c r="Y295" i="6"/>
  <c r="Y271" i="6"/>
  <c r="Y322" i="6"/>
  <c r="Y463" i="6"/>
  <c r="Y278" i="6"/>
  <c r="Y116" i="6"/>
  <c r="Y25" i="6"/>
  <c r="Y176" i="6"/>
  <c r="Y10" i="6"/>
  <c r="Y66" i="6"/>
  <c r="Y464" i="6"/>
  <c r="Y31" i="6"/>
  <c r="Y11" i="6"/>
  <c r="Y428" i="6"/>
  <c r="Y418" i="6"/>
  <c r="Y279" i="6"/>
  <c r="Y329" i="6"/>
  <c r="Y174" i="6"/>
  <c r="Y239" i="6"/>
  <c r="Y264" i="6"/>
  <c r="Y349" i="6"/>
  <c r="Y374" i="6"/>
  <c r="Y275" i="6"/>
  <c r="Y200" i="6"/>
  <c r="Y413" i="6"/>
  <c r="Y247" i="6"/>
  <c r="Y40" i="6"/>
  <c r="Y263" i="6"/>
  <c r="Y32" i="6"/>
  <c r="Y105" i="6"/>
  <c r="Y151" i="6"/>
  <c r="Y195" i="6"/>
  <c r="Y338" i="6"/>
  <c r="Y317" i="6"/>
  <c r="Y343" i="6"/>
  <c r="Y449" i="6"/>
  <c r="Y91" i="6"/>
  <c r="Y209" i="6"/>
  <c r="Y255" i="6"/>
  <c r="Y233" i="6"/>
  <c r="Y227" i="6"/>
  <c r="Y207" i="6"/>
  <c r="Y297" i="6"/>
  <c r="Y451" i="6"/>
  <c r="Y446" i="6"/>
  <c r="Y323" i="6"/>
  <c r="Y90" i="6"/>
  <c r="Y142" i="6"/>
  <c r="Y249" i="6"/>
  <c r="Y444" i="6"/>
  <c r="Y238" i="6"/>
  <c r="Y169" i="6"/>
  <c r="Y260" i="6"/>
  <c r="Y206" i="6"/>
  <c r="Y459" i="6"/>
  <c r="Y28" i="6"/>
  <c r="Y119" i="6"/>
  <c r="Y167" i="6"/>
  <c r="Y414" i="6"/>
  <c r="Y23" i="6"/>
  <c r="Y326" i="6"/>
  <c r="Y435" i="6"/>
  <c r="Y474" i="6"/>
  <c r="Y392" i="6"/>
  <c r="Y128" i="6"/>
  <c r="Y235" i="6"/>
  <c r="Y270" i="6"/>
  <c r="Y183" i="6"/>
  <c r="Y208" i="6"/>
  <c r="Y205" i="6"/>
  <c r="Y190" i="6"/>
  <c r="Y353" i="6"/>
  <c r="Y434" i="6"/>
  <c r="Y387" i="6"/>
  <c r="Y261" i="6"/>
  <c r="Y369" i="6"/>
  <c r="Y210" i="6"/>
  <c r="Y226" i="6"/>
  <c r="Y104" i="6"/>
  <c r="Y148" i="6"/>
  <c r="Y217" i="6"/>
  <c r="Y300" i="6"/>
  <c r="Y292" i="6"/>
  <c r="Y257" i="6"/>
  <c r="Y139" i="6"/>
  <c r="Y182" i="6"/>
  <c r="Y161" i="6"/>
  <c r="Y178" i="6"/>
  <c r="Y166" i="6"/>
  <c r="Y318" i="6"/>
  <c r="Y319" i="6"/>
  <c r="Y141" i="6"/>
  <c r="Y244" i="6"/>
  <c r="Y29" i="6"/>
  <c r="Y203" i="6"/>
  <c r="Y415" i="6"/>
  <c r="Y371" i="6"/>
  <c r="Y49" i="6"/>
  <c r="Y126" i="6"/>
  <c r="Y194" i="6"/>
  <c r="Y320" i="6"/>
  <c r="Y298" i="6"/>
  <c r="Y347" i="6"/>
  <c r="Y89" i="6"/>
  <c r="Y115" i="6"/>
  <c r="Y137" i="6"/>
  <c r="Y136" i="6"/>
  <c r="Y160" i="6"/>
  <c r="Y254" i="6"/>
  <c r="Y242" i="6"/>
  <c r="Y286" i="6"/>
  <c r="Y133" i="6"/>
  <c r="Y333" i="6"/>
  <c r="Y336" i="6"/>
  <c r="Y162" i="6"/>
  <c r="Y228" i="6"/>
  <c r="Y273" i="6"/>
  <c r="Y357" i="6"/>
  <c r="Y411" i="6"/>
  <c r="Y86" i="6"/>
  <c r="Y172" i="6"/>
  <c r="Y352" i="6"/>
  <c r="Y306" i="6"/>
  <c r="Y344" i="6"/>
  <c r="Y331" i="6"/>
  <c r="Y287" i="6"/>
  <c r="Y55" i="6"/>
  <c r="Y152" i="6"/>
  <c r="Y221" i="6"/>
  <c r="Y334" i="6"/>
  <c r="Y454" i="6"/>
  <c r="Y285" i="6"/>
  <c r="Y44" i="6"/>
  <c r="Y88" i="6"/>
  <c r="Y173" i="6"/>
  <c r="Y293" i="6"/>
  <c r="Y38" i="6"/>
  <c r="Y114" i="6"/>
  <c r="Y181" i="6"/>
  <c r="Y246" i="6"/>
  <c r="Y332" i="6"/>
  <c r="Y453" i="6"/>
  <c r="Y138" i="6"/>
  <c r="Y248" i="6"/>
  <c r="Y456" i="6"/>
  <c r="Y377" i="6"/>
  <c r="Y378" i="6"/>
  <c r="Y379" i="6"/>
  <c r="Y112" i="6"/>
  <c r="Y241" i="6"/>
  <c r="Y280" i="6"/>
  <c r="Y321" i="6"/>
  <c r="Y384" i="6"/>
  <c r="Y150" i="6"/>
  <c r="Y213" i="6"/>
  <c r="Y82" i="6"/>
  <c r="Y251" i="6"/>
  <c r="Y400" i="6"/>
  <c r="Y140" i="6"/>
  <c r="Y330" i="6"/>
  <c r="Y360" i="6"/>
  <c r="Y134" i="6"/>
  <c r="Y197" i="6"/>
  <c r="Y70" i="6"/>
  <c r="Y145" i="6"/>
  <c r="Y253" i="6"/>
  <c r="Y65" i="6"/>
  <c r="Y163" i="6"/>
  <c r="Y237" i="6"/>
  <c r="Y399" i="6"/>
  <c r="Z7" i="6"/>
  <c r="Y58" i="6"/>
  <c r="Y223" i="6"/>
  <c r="Y473" i="6"/>
  <c r="Y124" i="6"/>
  <c r="Y281" i="6"/>
  <c r="Y386" i="6"/>
  <c r="Y118" i="6"/>
  <c r="Y179" i="6"/>
  <c r="X5" i="6"/>
  <c r="Y62" i="6"/>
  <c r="Y92" i="6"/>
  <c r="Y93" i="6"/>
  <c r="Y94" i="6"/>
  <c r="Y422" i="6"/>
  <c r="Y96" i="6"/>
  <c r="Y284" i="6"/>
  <c r="Y21" i="6"/>
  <c r="Y184" i="6"/>
  <c r="Y430" i="6"/>
  <c r="Y63" i="6"/>
  <c r="Y149" i="6"/>
  <c r="Y268" i="6"/>
  <c r="Y19" i="6"/>
  <c r="Y230" i="6"/>
  <c r="Y383" i="6"/>
  <c r="Y79" i="6"/>
  <c r="Y324" i="6"/>
  <c r="Y214" i="6"/>
  <c r="Y315" i="6"/>
  <c r="Z359" i="6" l="1"/>
  <c r="Z448" i="6"/>
  <c r="Z267" i="6"/>
  <c r="Z266" i="6"/>
  <c r="Z73" i="6"/>
  <c r="Z403" i="6"/>
  <c r="Z404" i="6"/>
  <c r="Z405" i="6"/>
  <c r="Z406" i="6"/>
  <c r="Z407" i="6"/>
  <c r="Z408" i="6"/>
  <c r="Z409" i="6"/>
  <c r="Z465" i="6"/>
  <c r="Z466" i="6"/>
  <c r="Z467" i="6"/>
  <c r="Z468" i="6"/>
  <c r="Z469" i="6"/>
  <c r="Z470" i="6"/>
  <c r="Z187" i="6"/>
  <c r="Z51" i="6"/>
  <c r="Z52" i="6"/>
  <c r="Z53" i="6"/>
  <c r="Z483" i="6"/>
  <c r="Z486" i="6"/>
  <c r="Z481" i="6"/>
  <c r="Z487" i="6"/>
  <c r="Z488" i="6"/>
  <c r="Z484" i="6"/>
  <c r="Z482" i="6"/>
  <c r="Z485" i="6"/>
  <c r="Z192" i="6"/>
  <c r="Z479" i="6"/>
  <c r="Z480" i="6"/>
  <c r="Z199" i="6"/>
  <c r="Z181" i="6"/>
  <c r="Z366" i="6"/>
  <c r="Z423" i="6"/>
  <c r="Z424" i="6"/>
  <c r="Z425" i="6"/>
  <c r="Z426" i="6"/>
  <c r="Z427" i="6"/>
  <c r="Z133" i="6"/>
  <c r="Z325" i="6"/>
  <c r="Z97" i="6"/>
  <c r="Z98" i="6"/>
  <c r="Z99" i="6"/>
  <c r="Z166" i="6"/>
  <c r="Z32" i="6"/>
  <c r="Z12" i="6"/>
  <c r="Z363" i="6"/>
  <c r="Z75" i="6"/>
  <c r="Z344" i="6"/>
  <c r="Z309" i="6"/>
  <c r="Z383" i="6"/>
  <c r="Z447" i="6"/>
  <c r="Z302" i="6"/>
  <c r="Z13" i="6"/>
  <c r="Z345" i="6"/>
  <c r="Z450" i="6"/>
  <c r="Z429" i="6"/>
  <c r="Z272" i="6"/>
  <c r="Z441" i="6"/>
  <c r="Z142" i="6"/>
  <c r="Z471" i="6"/>
  <c r="Z135" i="6"/>
  <c r="Z41" i="6"/>
  <c r="Z152" i="6"/>
  <c r="Z126" i="6"/>
  <c r="Z60" i="6"/>
  <c r="Z384" i="6"/>
  <c r="Z23" i="6"/>
  <c r="Z82" i="6"/>
  <c r="Z8" i="6"/>
  <c r="Z460" i="6"/>
  <c r="Z355" i="6"/>
  <c r="Z317" i="6"/>
  <c r="Y5" i="6"/>
  <c r="Z391" i="6"/>
  <c r="Z246" i="6"/>
  <c r="Z49" i="6"/>
  <c r="Z114" i="6"/>
  <c r="Z348" i="6"/>
  <c r="Z64" i="6"/>
  <c r="Z292" i="6"/>
  <c r="Z62" i="6"/>
  <c r="Z86" i="6"/>
  <c r="Z346" i="6"/>
  <c r="Z298" i="6"/>
  <c r="Z125" i="6"/>
  <c r="Z145" i="6"/>
  <c r="Z282" i="6"/>
  <c r="Z249" i="6"/>
  <c r="Z350" i="6"/>
  <c r="Z87" i="6"/>
  <c r="Z241" i="6"/>
  <c r="Z232" i="6"/>
  <c r="Z281" i="6"/>
  <c r="Z256" i="6"/>
  <c r="Z307" i="6"/>
  <c r="Z411" i="6"/>
  <c r="Z260" i="6"/>
  <c r="Z209" i="6"/>
  <c r="Z393" i="6"/>
  <c r="Z351" i="6"/>
  <c r="Z255" i="6"/>
  <c r="Z273" i="6"/>
  <c r="Z343" i="6"/>
  <c r="Z236" i="6"/>
  <c r="Z413" i="6"/>
  <c r="Z132" i="6"/>
  <c r="Z375" i="6"/>
  <c r="Z116" i="6"/>
  <c r="Z275" i="6"/>
  <c r="Z84" i="6"/>
  <c r="Z327" i="6"/>
  <c r="Z330" i="6"/>
  <c r="Z336" i="6"/>
  <c r="Z248" i="6"/>
  <c r="Z252" i="6"/>
  <c r="Z475" i="6"/>
  <c r="Z431" i="6"/>
  <c r="Z119" i="6"/>
  <c r="Z36" i="6"/>
  <c r="Z141" i="6"/>
  <c r="Z453" i="6"/>
  <c r="Z235" i="6"/>
  <c r="Z367" i="6"/>
  <c r="Z334" i="6"/>
  <c r="Z242" i="6"/>
  <c r="Z358" i="6"/>
  <c r="Z312" i="6"/>
  <c r="Z112" i="6"/>
  <c r="Z61" i="6"/>
  <c r="Z294" i="6"/>
  <c r="Z397" i="6"/>
  <c r="Z478" i="6"/>
  <c r="Z42" i="6"/>
  <c r="Z341" i="6"/>
  <c r="Z376" i="6"/>
  <c r="Z201" i="6"/>
  <c r="Z340" i="6"/>
  <c r="Z458" i="6"/>
  <c r="Z25" i="6"/>
  <c r="Z259" i="6"/>
  <c r="Z50" i="6"/>
  <c r="Z360" i="6"/>
  <c r="Z444" i="6"/>
  <c r="Z285" i="6"/>
  <c r="Z211" i="6"/>
  <c r="Z434" i="6"/>
  <c r="Z55" i="6"/>
  <c r="Z349" i="6"/>
  <c r="Z365" i="6"/>
  <c r="Z176" i="6"/>
  <c r="Z399" i="6"/>
  <c r="Z310" i="6"/>
  <c r="Z31" i="6"/>
  <c r="Z225" i="6"/>
  <c r="Z110" i="6"/>
  <c r="Z109" i="6"/>
  <c r="Z287" i="6"/>
  <c r="Z279" i="6"/>
  <c r="Z321" i="6"/>
  <c r="Z220" i="6"/>
  <c r="Z219" i="6"/>
  <c r="Z216" i="6"/>
  <c r="Z149" i="6"/>
  <c r="Z288" i="6"/>
  <c r="Z72" i="6"/>
  <c r="Z314" i="6"/>
  <c r="Z107" i="6"/>
  <c r="Z382" i="6"/>
  <c r="Z438" i="6"/>
  <c r="Z69" i="6"/>
  <c r="Z313" i="6"/>
  <c r="Z398" i="6"/>
  <c r="Z194" i="6"/>
  <c r="Z419" i="6"/>
  <c r="Z29" i="6"/>
  <c r="Z276" i="6"/>
  <c r="Z335" i="6"/>
  <c r="Z368" i="6"/>
  <c r="Z193" i="6"/>
  <c r="Z318" i="6"/>
  <c r="Z91" i="6"/>
  <c r="Z80" i="6"/>
  <c r="Z323" i="6"/>
  <c r="Z322" i="6"/>
  <c r="Z412" i="6"/>
  <c r="Z186" i="6"/>
  <c r="Z185" i="6"/>
  <c r="Z182" i="6"/>
  <c r="Z432" i="6"/>
  <c r="Z117" i="6"/>
  <c r="Z289" i="6"/>
  <c r="Z33" i="6"/>
  <c r="Z245" i="6"/>
  <c r="Z83" i="6"/>
  <c r="Z93" i="6"/>
  <c r="Z95" i="6"/>
  <c r="Z204" i="6"/>
  <c r="Z200" i="6"/>
  <c r="Z283" i="6"/>
  <c r="Z390" i="6"/>
  <c r="Z175" i="6"/>
  <c r="Z44" i="6"/>
  <c r="Z43" i="6"/>
  <c r="Z238" i="6"/>
  <c r="Z237" i="6"/>
  <c r="Z369" i="6"/>
  <c r="Z171" i="6"/>
  <c r="Z170" i="6"/>
  <c r="Z167" i="6"/>
  <c r="Z395" i="6"/>
  <c r="Z100" i="6"/>
  <c r="Z258" i="6"/>
  <c r="Z15" i="6"/>
  <c r="Z229" i="6"/>
  <c r="Z48" i="6"/>
  <c r="Z92" i="6"/>
  <c r="Z71" i="6"/>
  <c r="Z247" i="6"/>
  <c r="Z233" i="6"/>
  <c r="Z278" i="6"/>
  <c r="Z417" i="6"/>
  <c r="Z162" i="6"/>
  <c r="Z347" i="6"/>
  <c r="Z414" i="6"/>
  <c r="Z202" i="6"/>
  <c r="Z428" i="6"/>
  <c r="Z46" i="6"/>
  <c r="Z300" i="6"/>
  <c r="Z356" i="6"/>
  <c r="Z168" i="6"/>
  <c r="Z253" i="6"/>
  <c r="Z269" i="6"/>
  <c r="Z160" i="6"/>
  <c r="Z319" i="6"/>
  <c r="Z27" i="6"/>
  <c r="Z26" i="6"/>
  <c r="Z222" i="6"/>
  <c r="Z221" i="6"/>
  <c r="Z474" i="6"/>
  <c r="Z154" i="6"/>
  <c r="Z153" i="6"/>
  <c r="Z150" i="6"/>
  <c r="Z296" i="6"/>
  <c r="Z90" i="6"/>
  <c r="Z320" i="6"/>
  <c r="Z392" i="6"/>
  <c r="Z213" i="6"/>
  <c r="AA7" i="6"/>
  <c r="Z88" i="6"/>
  <c r="Z337" i="6"/>
  <c r="Z472" i="6"/>
  <c r="Z136" i="6"/>
  <c r="Z262" i="6"/>
  <c r="Z184" i="6"/>
  <c r="Z243" i="6"/>
  <c r="Z451" i="6"/>
  <c r="Z102" i="6"/>
  <c r="Z244" i="6"/>
  <c r="Z459" i="6"/>
  <c r="Z143" i="6"/>
  <c r="Z303" i="6"/>
  <c r="Z295" i="6"/>
  <c r="Z277" i="6"/>
  <c r="Z206" i="6"/>
  <c r="Z205" i="6"/>
  <c r="Z454" i="6"/>
  <c r="Z138" i="6"/>
  <c r="Z137" i="6"/>
  <c r="Z134" i="6"/>
  <c r="Z329" i="6"/>
  <c r="Z251" i="6"/>
  <c r="Z385" i="6"/>
  <c r="Z197" i="6"/>
  <c r="Z17" i="6"/>
  <c r="Z128" i="6"/>
  <c r="Z372" i="6"/>
  <c r="Z226" i="6"/>
  <c r="Z435" i="6"/>
  <c r="Z263" i="6"/>
  <c r="Z177" i="6"/>
  <c r="Z19" i="6"/>
  <c r="Z228" i="6"/>
  <c r="Z442" i="6"/>
  <c r="Z127" i="6"/>
  <c r="Z274" i="6"/>
  <c r="Z264" i="6"/>
  <c r="Z364" i="6"/>
  <c r="Z189" i="6"/>
  <c r="Z188" i="6"/>
  <c r="Z437" i="6"/>
  <c r="Z122" i="6"/>
  <c r="Z121" i="6"/>
  <c r="Z118" i="6"/>
  <c r="Z297" i="6"/>
  <c r="Z34" i="6"/>
  <c r="Z74" i="6"/>
  <c r="Z415" i="6"/>
  <c r="Z179" i="6"/>
  <c r="Z14" i="6"/>
  <c r="Z401" i="6"/>
  <c r="Z477" i="6"/>
  <c r="Z217" i="6"/>
  <c r="Z57" i="6"/>
  <c r="Z120" i="6"/>
  <c r="Z161" i="6"/>
  <c r="Z151" i="6"/>
  <c r="Z342" i="6"/>
  <c r="Z254" i="6"/>
  <c r="Z37" i="6"/>
  <c r="Z113" i="6"/>
  <c r="Z265" i="6"/>
  <c r="Z388" i="6"/>
  <c r="Z212" i="6"/>
  <c r="Z111" i="6"/>
  <c r="Z326" i="6"/>
  <c r="Z324" i="6"/>
  <c r="Z293" i="6"/>
  <c r="Z173" i="6"/>
  <c r="Z172" i="6"/>
  <c r="Z420" i="6"/>
  <c r="Z105" i="6"/>
  <c r="Z104" i="6"/>
  <c r="Z101" i="6"/>
  <c r="Z268" i="6"/>
  <c r="Z16" i="6"/>
  <c r="Z230" i="6"/>
  <c r="Z416" i="6"/>
  <c r="Z164" i="6"/>
  <c r="Z456" i="6"/>
  <c r="Z377" i="6"/>
  <c r="Z378" i="6"/>
  <c r="Z379" i="6"/>
  <c r="Z227" i="6"/>
  <c r="Z455" i="6"/>
  <c r="Z195" i="6"/>
  <c r="Z284" i="6"/>
  <c r="Z66" i="6"/>
  <c r="Z240" i="6"/>
  <c r="Z239" i="6"/>
  <c r="Z476" i="6"/>
  <c r="Z410" i="6"/>
  <c r="Z65" i="6"/>
  <c r="Z338" i="6"/>
  <c r="Z214" i="6"/>
  <c r="Z463" i="6"/>
  <c r="Z147" i="6"/>
  <c r="Z67" i="6"/>
  <c r="Z78" i="6"/>
  <c r="Z421" i="6"/>
  <c r="Z381" i="6"/>
  <c r="Z89" i="6"/>
  <c r="Z440" i="6"/>
  <c r="Z10" i="6"/>
  <c r="Z299" i="6"/>
  <c r="Z234" i="6"/>
  <c r="Z402" i="6"/>
  <c r="Z178" i="6"/>
  <c r="Z328" i="6"/>
  <c r="Z45" i="6"/>
  <c r="Z224" i="6"/>
  <c r="Z223" i="6"/>
  <c r="Z457" i="6"/>
  <c r="Z140" i="6"/>
  <c r="Z139" i="6"/>
  <c r="Z291" i="6"/>
  <c r="Z59" i="6"/>
  <c r="Z58" i="6"/>
  <c r="Z54" i="6"/>
  <c r="Z250" i="6"/>
  <c r="Z389" i="6"/>
  <c r="Z198" i="6"/>
  <c r="Z446" i="6"/>
  <c r="Z131" i="6"/>
  <c r="Z56" i="6"/>
  <c r="Z94" i="6"/>
  <c r="Z373" i="6"/>
  <c r="Z461" i="6"/>
  <c r="Z79" i="6"/>
  <c r="Z30" i="6"/>
  <c r="Z196" i="6"/>
  <c r="Z96" i="6"/>
  <c r="Z47" i="6"/>
  <c r="Z163" i="6"/>
  <c r="Z28" i="6"/>
  <c r="Z207" i="6"/>
  <c r="Z439" i="6"/>
  <c r="Z124" i="6"/>
  <c r="Z123" i="6"/>
  <c r="Z331" i="6"/>
  <c r="Z40" i="6"/>
  <c r="Z38" i="6"/>
  <c r="Z35" i="6"/>
  <c r="Z9" i="6"/>
  <c r="Z180" i="6"/>
  <c r="Z430" i="6"/>
  <c r="Z115" i="6"/>
  <c r="Z39" i="6"/>
  <c r="Z339" i="6"/>
  <c r="Z203" i="6"/>
  <c r="Z449" i="6"/>
  <c r="Z306" i="6"/>
  <c r="Z332" i="6"/>
  <c r="Z374" i="6"/>
  <c r="Z353" i="6"/>
  <c r="Z473" i="6"/>
  <c r="Z144" i="6"/>
  <c r="Z304" i="6"/>
  <c r="Z380" i="6"/>
  <c r="Z70" i="6"/>
  <c r="Z452" i="6"/>
  <c r="Z103" i="6"/>
  <c r="Z462" i="6"/>
  <c r="Z146" i="6"/>
  <c r="Z333" i="6"/>
  <c r="Z371" i="6"/>
  <c r="Z191" i="6"/>
  <c r="Z190" i="6"/>
  <c r="Z422" i="6"/>
  <c r="Z108" i="6"/>
  <c r="Z106" i="6"/>
  <c r="Z308" i="6"/>
  <c r="Z22" i="6"/>
  <c r="Z21" i="6"/>
  <c r="Z18" i="6"/>
  <c r="Z231" i="6"/>
  <c r="Z257" i="6"/>
  <c r="Z165" i="6"/>
  <c r="Z387" i="6"/>
  <c r="Z81" i="6"/>
  <c r="Z24" i="6"/>
  <c r="Z352" i="6"/>
  <c r="Z301" i="6"/>
  <c r="Z370" i="6"/>
  <c r="Z396" i="6"/>
  <c r="Z362" i="6"/>
  <c r="Z290" i="6"/>
  <c r="Z129" i="6"/>
  <c r="Z270" i="6"/>
  <c r="Z11" i="6"/>
  <c r="Z210" i="6"/>
  <c r="Z433" i="6"/>
  <c r="Z316" i="6"/>
  <c r="Z361" i="6"/>
  <c r="Z169" i="6"/>
  <c r="Z286" i="6"/>
  <c r="Z208" i="6"/>
  <c r="Z443" i="6"/>
  <c r="Z315" i="6"/>
  <c r="Z218" i="6"/>
  <c r="Z436" i="6"/>
  <c r="Z305" i="6"/>
  <c r="Z394" i="6"/>
  <c r="Z183" i="6"/>
  <c r="Z418" i="6"/>
  <c r="Z20" i="6"/>
  <c r="Z445" i="6"/>
  <c r="Z130" i="6"/>
  <c r="Z311" i="6"/>
  <c r="Z386" i="6"/>
  <c r="Z174" i="6"/>
  <c r="Z77" i="6"/>
  <c r="Z357" i="6"/>
  <c r="Z85" i="6"/>
  <c r="Z68" i="6"/>
  <c r="Z271" i="6"/>
  <c r="Z261" i="6"/>
  <c r="Z354" i="6"/>
  <c r="Z400" i="6"/>
  <c r="Z215" i="6"/>
  <c r="Z464" i="6"/>
  <c r="Z148" i="6"/>
  <c r="Z280" i="6"/>
  <c r="Z63" i="6"/>
  <c r="Z76" i="6"/>
  <c r="AA359" i="6" l="1"/>
  <c r="AA448" i="6"/>
  <c r="AA267" i="6"/>
  <c r="AA266" i="6"/>
  <c r="AA73" i="6"/>
  <c r="AA403" i="6"/>
  <c r="AA404" i="6"/>
  <c r="AA405" i="6"/>
  <c r="AA406" i="6"/>
  <c r="AA407" i="6"/>
  <c r="AA408" i="6"/>
  <c r="AA409" i="6"/>
  <c r="AA465" i="6"/>
  <c r="AA466" i="6"/>
  <c r="AA467" i="6"/>
  <c r="AA468" i="6"/>
  <c r="AA469" i="6"/>
  <c r="AA470" i="6"/>
  <c r="AA187" i="6"/>
  <c r="AA51" i="6"/>
  <c r="AA52" i="6"/>
  <c r="AA53" i="6"/>
  <c r="AA483" i="6"/>
  <c r="AA486" i="6"/>
  <c r="AA481" i="6"/>
  <c r="AA487" i="6"/>
  <c r="AA488" i="6"/>
  <c r="AA484" i="6"/>
  <c r="AA482" i="6"/>
  <c r="AA485" i="6"/>
  <c r="AA192" i="6"/>
  <c r="AA480" i="6"/>
  <c r="AA479" i="6"/>
  <c r="AA423" i="6"/>
  <c r="AA424" i="6"/>
  <c r="AA425" i="6"/>
  <c r="AA426" i="6"/>
  <c r="AA427" i="6"/>
  <c r="AA325" i="6"/>
  <c r="AA98" i="6"/>
  <c r="AA99" i="6"/>
  <c r="AA97" i="6"/>
  <c r="AA395" i="6"/>
  <c r="AA269" i="6"/>
  <c r="AA363" i="6"/>
  <c r="AA344" i="6"/>
  <c r="AA137" i="6"/>
  <c r="AA54" i="6"/>
  <c r="AA434" i="6"/>
  <c r="AA38" i="6"/>
  <c r="AA380" i="6"/>
  <c r="AA130" i="6"/>
  <c r="AA364" i="6"/>
  <c r="AA293" i="6"/>
  <c r="AA118" i="6"/>
  <c r="AA23" i="6"/>
  <c r="AA328" i="6"/>
  <c r="AA11" i="6"/>
  <c r="AA96" i="6"/>
  <c r="AA108" i="6"/>
  <c r="AA216" i="6"/>
  <c r="AA320" i="6"/>
  <c r="AA139" i="6"/>
  <c r="AA163" i="6"/>
  <c r="AA90" i="6"/>
  <c r="AA277" i="6"/>
  <c r="AA287" i="6"/>
  <c r="AA250" i="6"/>
  <c r="AA308" i="6"/>
  <c r="AA346" i="6"/>
  <c r="AA65" i="6"/>
  <c r="AA312" i="6"/>
  <c r="AA183" i="6"/>
  <c r="AA198" i="6"/>
  <c r="AA152" i="6"/>
  <c r="AA235" i="6"/>
  <c r="AA270" i="6"/>
  <c r="AA288" i="6"/>
  <c r="AA176" i="6"/>
  <c r="AA80" i="6"/>
  <c r="AA106" i="6"/>
  <c r="AA281" i="6"/>
  <c r="AA48" i="6"/>
  <c r="AA87" i="6"/>
  <c r="AA334" i="6"/>
  <c r="AA29" i="6"/>
  <c r="AA460" i="6"/>
  <c r="AA131" i="6"/>
  <c r="AA203" i="6"/>
  <c r="AA103" i="6"/>
  <c r="AA13" i="6"/>
  <c r="AA361" i="6"/>
  <c r="AA129" i="6"/>
  <c r="AA193" i="6"/>
  <c r="AA391" i="6"/>
  <c r="AA372" i="6"/>
  <c r="AA384" i="6"/>
  <c r="AA251" i="6"/>
  <c r="AA150" i="6"/>
  <c r="AA397" i="6"/>
  <c r="AA100" i="6"/>
  <c r="AA147" i="6"/>
  <c r="AA446" i="6"/>
  <c r="AA358" i="6"/>
  <c r="AA148" i="6"/>
  <c r="AA402" i="6"/>
  <c r="AA410" i="6"/>
  <c r="AA119" i="6"/>
  <c r="AA28" i="6"/>
  <c r="AA69" i="6"/>
  <c r="AA360" i="6"/>
  <c r="AA225" i="6"/>
  <c r="AA92" i="6"/>
  <c r="AA180" i="6"/>
  <c r="AA74" i="6"/>
  <c r="AA201" i="6"/>
  <c r="AA271" i="6"/>
  <c r="AA435" i="6"/>
  <c r="AA357" i="6"/>
  <c r="AA181" i="6"/>
  <c r="AA314" i="6"/>
  <c r="AA206" i="6"/>
  <c r="Z5" i="6"/>
  <c r="AA456" i="6"/>
  <c r="AA377" i="6"/>
  <c r="AA378" i="6"/>
  <c r="AA379" i="6"/>
  <c r="AA238" i="6"/>
  <c r="AA329" i="6"/>
  <c r="AA335" i="6"/>
  <c r="AA387" i="6"/>
  <c r="AA307" i="6"/>
  <c r="AA389" i="6"/>
  <c r="AA64" i="6"/>
  <c r="AA63" i="6"/>
  <c r="AA178" i="6"/>
  <c r="AA279" i="6"/>
  <c r="AA347" i="6"/>
  <c r="AA444" i="6"/>
  <c r="AA291" i="6"/>
  <c r="AA160" i="6"/>
  <c r="AA17" i="6"/>
  <c r="AA393" i="6"/>
  <c r="AA218" i="6"/>
  <c r="AA278" i="6"/>
  <c r="AA57" i="6"/>
  <c r="AA215" i="6"/>
  <c r="AA443" i="6"/>
  <c r="AA141" i="6"/>
  <c r="AA459" i="6"/>
  <c r="AA43" i="6"/>
  <c r="AA275" i="6"/>
  <c r="AA369" i="6"/>
  <c r="AA134" i="6"/>
  <c r="AA282" i="6"/>
  <c r="AA330" i="6"/>
  <c r="AA457" i="6"/>
  <c r="AA398" i="6"/>
  <c r="AA37" i="6"/>
  <c r="AA36" i="6"/>
  <c r="AA256" i="6"/>
  <c r="AA309" i="6"/>
  <c r="AA300" i="6"/>
  <c r="AA422" i="6"/>
  <c r="AA356" i="6"/>
  <c r="AA22" i="6"/>
  <c r="AA174" i="6"/>
  <c r="AA30" i="6"/>
  <c r="AA318" i="6"/>
  <c r="AA205" i="6"/>
  <c r="AA233" i="6"/>
  <c r="AA40" i="6"/>
  <c r="AA223" i="6"/>
  <c r="AA240" i="6"/>
  <c r="AA120" i="6"/>
  <c r="AA213" i="6"/>
  <c r="AA253" i="6"/>
  <c r="AA289" i="6"/>
  <c r="AA58" i="6"/>
  <c r="AA185" i="6"/>
  <c r="AA249" i="6"/>
  <c r="AA182" i="6"/>
  <c r="AA368" i="6"/>
  <c r="AA8" i="6"/>
  <c r="AA112" i="6"/>
  <c r="AA151" i="6"/>
  <c r="AA167" i="6"/>
  <c r="AA263" i="6"/>
  <c r="AA433" i="6"/>
  <c r="AA10" i="6"/>
  <c r="AA385" i="6"/>
  <c r="AA371" i="6"/>
  <c r="AA121" i="6"/>
  <c r="AA247" i="6"/>
  <c r="AA353" i="6"/>
  <c r="AA326" i="6"/>
  <c r="AA304" i="6"/>
  <c r="AA79" i="6"/>
  <c r="AA14" i="6"/>
  <c r="AA280" i="6"/>
  <c r="AA169" i="6"/>
  <c r="AA245" i="6"/>
  <c r="AA25" i="6"/>
  <c r="AA244" i="6"/>
  <c r="AA374" i="6"/>
  <c r="AA83" i="6"/>
  <c r="AA220" i="6"/>
  <c r="AA473" i="6"/>
  <c r="AA461" i="6"/>
  <c r="AA140" i="6"/>
  <c r="AA77" i="6"/>
  <c r="AA194" i="6"/>
  <c r="AA274" i="6"/>
  <c r="AA349" i="6"/>
  <c r="AA432" i="6"/>
  <c r="AA478" i="6"/>
  <c r="AA375" i="6"/>
  <c r="AA91" i="6"/>
  <c r="AA229" i="6"/>
  <c r="AA234" i="6"/>
  <c r="AA292" i="6"/>
  <c r="AA421" i="6"/>
  <c r="AA299" i="6"/>
  <c r="AA21" i="6"/>
  <c r="AA221" i="6"/>
  <c r="AA453" i="6"/>
  <c r="AA138" i="6"/>
  <c r="AA340" i="6"/>
  <c r="AA417" i="6"/>
  <c r="AA109" i="6"/>
  <c r="AA127" i="6"/>
  <c r="AA348" i="6"/>
  <c r="AA49" i="6"/>
  <c r="AA355" i="6"/>
  <c r="AA246" i="6"/>
  <c r="AA370" i="6"/>
  <c r="AA454" i="6"/>
  <c r="AA381" i="6"/>
  <c r="AA62" i="6"/>
  <c r="AA231" i="6"/>
  <c r="AA354" i="6"/>
  <c r="AA315" i="6"/>
  <c r="AA464" i="6"/>
  <c r="AA199" i="6"/>
  <c r="AA111" i="6"/>
  <c r="AA436" i="6"/>
  <c r="AA175" i="6"/>
  <c r="AA123" i="6"/>
  <c r="AA462" i="6"/>
  <c r="AA135" i="6"/>
  <c r="AA149" i="6"/>
  <c r="AA323" i="6"/>
  <c r="AA33" i="6"/>
  <c r="AA272" i="6"/>
  <c r="AA449" i="6"/>
  <c r="AA310" i="6"/>
  <c r="AA32" i="6"/>
  <c r="AA227" i="6"/>
  <c r="AA332" i="6"/>
  <c r="AA419" i="6"/>
  <c r="AA59" i="6"/>
  <c r="AA209" i="6"/>
  <c r="AA445" i="6"/>
  <c r="AA128" i="6"/>
  <c r="AA311" i="6"/>
  <c r="AA18" i="6"/>
  <c r="AA12" i="6"/>
  <c r="AA224" i="6"/>
  <c r="AA339" i="6"/>
  <c r="AA442" i="6"/>
  <c r="AA107" i="6"/>
  <c r="AA168" i="6"/>
  <c r="AA345" i="6"/>
  <c r="AA66" i="6"/>
  <c r="AA226" i="6"/>
  <c r="AA46" i="6"/>
  <c r="AA336" i="6"/>
  <c r="AA413" i="6"/>
  <c r="AA412" i="6"/>
  <c r="AA172" i="6"/>
  <c r="AA431" i="6"/>
  <c r="AA173" i="6"/>
  <c r="AA441" i="6"/>
  <c r="AA414" i="6"/>
  <c r="AA399" i="6"/>
  <c r="AA400" i="6"/>
  <c r="AA184" i="6"/>
  <c r="AA366" i="6"/>
  <c r="AA388" i="6"/>
  <c r="AA124" i="6"/>
  <c r="AA284" i="6"/>
  <c r="AA420" i="6"/>
  <c r="AA142" i="6"/>
  <c r="AA154" i="6"/>
  <c r="AA9" i="6"/>
  <c r="AA243" i="6"/>
  <c r="AA429" i="6"/>
  <c r="AA136" i="6"/>
  <c r="AA84" i="6"/>
  <c r="AA298" i="6"/>
  <c r="AA76" i="6"/>
  <c r="AA439" i="6"/>
  <c r="AA322" i="6"/>
  <c r="AA191" i="6"/>
  <c r="AA337" i="6"/>
  <c r="AA262" i="6"/>
  <c r="AA197" i="6"/>
  <c r="AA56" i="6"/>
  <c r="AA306" i="6"/>
  <c r="AA16" i="6"/>
  <c r="AA212" i="6"/>
  <c r="AA390" i="6"/>
  <c r="AA179" i="6"/>
  <c r="AA232" i="6"/>
  <c r="AA316" i="6"/>
  <c r="AA438" i="6"/>
  <c r="AB7" i="6"/>
  <c r="AA463" i="6"/>
  <c r="AA144" i="6"/>
  <c r="AA230" i="6"/>
  <c r="AA333" i="6"/>
  <c r="AA477" i="6"/>
  <c r="AA89" i="6"/>
  <c r="AA248" i="6"/>
  <c r="AA42" i="6"/>
  <c r="AA475" i="6"/>
  <c r="AA239" i="6"/>
  <c r="AA351" i="6"/>
  <c r="AA290" i="6"/>
  <c r="AA321" i="6"/>
  <c r="AA440" i="6"/>
  <c r="AA71" i="6"/>
  <c r="AA162" i="6"/>
  <c r="AA204" i="6"/>
  <c r="AA303" i="6"/>
  <c r="AA302" i="6"/>
  <c r="AA452" i="6"/>
  <c r="AA376" i="6"/>
  <c r="AA60" i="6"/>
  <c r="AA117" i="6"/>
  <c r="AA252" i="6"/>
  <c r="AA338" i="6"/>
  <c r="AA296" i="6"/>
  <c r="AA170" i="6"/>
  <c r="AA177" i="6"/>
  <c r="AA294" i="6"/>
  <c r="AA27" i="6"/>
  <c r="AA202" i="6"/>
  <c r="AA383" i="6"/>
  <c r="AA85" i="6"/>
  <c r="AA67" i="6"/>
  <c r="AA259" i="6"/>
  <c r="AA75" i="6"/>
  <c r="AA394" i="6"/>
  <c r="AA47" i="6"/>
  <c r="AA261" i="6"/>
  <c r="AA411" i="6"/>
  <c r="AA26" i="6"/>
  <c r="AA102" i="6"/>
  <c r="AA264" i="6"/>
  <c r="AA132" i="6"/>
  <c r="AA260" i="6"/>
  <c r="AA88" i="6"/>
  <c r="AA210" i="6"/>
  <c r="AA45" i="6"/>
  <c r="AA195" i="6"/>
  <c r="AA418" i="6"/>
  <c r="AA342" i="6"/>
  <c r="AA41" i="6"/>
  <c r="AA164" i="6"/>
  <c r="AA113" i="6"/>
  <c r="AA319" i="6"/>
  <c r="AA430" i="6"/>
  <c r="AA382" i="6"/>
  <c r="AA31" i="6"/>
  <c r="AA86" i="6"/>
  <c r="AA104" i="6"/>
  <c r="AA219" i="6"/>
  <c r="AA313" i="6"/>
  <c r="AA105" i="6"/>
  <c r="AA95" i="6"/>
  <c r="AA273" i="6"/>
  <c r="AA415" i="6"/>
  <c r="AA188" i="6"/>
  <c r="AA327" i="6"/>
  <c r="AA68" i="6"/>
  <c r="AA50" i="6"/>
  <c r="AA189" i="6"/>
  <c r="AA455" i="6"/>
  <c r="AA386" i="6"/>
  <c r="AA474" i="6"/>
  <c r="AA343" i="6"/>
  <c r="AA222" i="6"/>
  <c r="AA295" i="6"/>
  <c r="AA362" i="6"/>
  <c r="AA341" i="6"/>
  <c r="AA55" i="6"/>
  <c r="AA114" i="6"/>
  <c r="AA217" i="6"/>
  <c r="AA276" i="6"/>
  <c r="AA133" i="6"/>
  <c r="AA78" i="6"/>
  <c r="AA268" i="6"/>
  <c r="AA208" i="6"/>
  <c r="AA153" i="6"/>
  <c r="AA331" i="6"/>
  <c r="AA34" i="6"/>
  <c r="AA228" i="6"/>
  <c r="AA471" i="6"/>
  <c r="AA285" i="6"/>
  <c r="AA116" i="6"/>
  <c r="AA165" i="6"/>
  <c r="AA286" i="6"/>
  <c r="AA61" i="6"/>
  <c r="AA207" i="6"/>
  <c r="AA166" i="6"/>
  <c r="AA110" i="6"/>
  <c r="AA254" i="6"/>
  <c r="AA241" i="6"/>
  <c r="AA242" i="6"/>
  <c r="AA72" i="6"/>
  <c r="AA373" i="6"/>
  <c r="AA143" i="6"/>
  <c r="AA416" i="6"/>
  <c r="AA396" i="6"/>
  <c r="AA145" i="6"/>
  <c r="AA476" i="6"/>
  <c r="AA367" i="6"/>
  <c r="AA125" i="6"/>
  <c r="AA265" i="6"/>
  <c r="AA15" i="6"/>
  <c r="AA305" i="6"/>
  <c r="AA458" i="6"/>
  <c r="AA401" i="6"/>
  <c r="AA70" i="6"/>
  <c r="AA146" i="6"/>
  <c r="AA196" i="6"/>
  <c r="AA214" i="6"/>
  <c r="AA450" i="6"/>
  <c r="AA365" i="6"/>
  <c r="AA24" i="6"/>
  <c r="AA101" i="6"/>
  <c r="AA190" i="6"/>
  <c r="AA324" i="6"/>
  <c r="AA115" i="6"/>
  <c r="AA200" i="6"/>
  <c r="AA171" i="6"/>
  <c r="AA350" i="6"/>
  <c r="AA35" i="6"/>
  <c r="AA19" i="6"/>
  <c r="AA94" i="6"/>
  <c r="AA161" i="6"/>
  <c r="AA447" i="6"/>
  <c r="AA297" i="6"/>
  <c r="AA301" i="6"/>
  <c r="AA126" i="6"/>
  <c r="AA258" i="6"/>
  <c r="AA437" i="6"/>
  <c r="AA39" i="6"/>
  <c r="AA255" i="6"/>
  <c r="AA186" i="6"/>
  <c r="AA237" i="6"/>
  <c r="AA428" i="6"/>
  <c r="AA472" i="6"/>
  <c r="AA392" i="6"/>
  <c r="AA81" i="6"/>
  <c r="AA257" i="6"/>
  <c r="AA211" i="6"/>
  <c r="AA82" i="6"/>
  <c r="AA44" i="6"/>
  <c r="AA317" i="6"/>
  <c r="AA451" i="6"/>
  <c r="AA122" i="6"/>
  <c r="AA352" i="6"/>
  <c r="AA20" i="6"/>
  <c r="AA283" i="6"/>
  <c r="AA236" i="6"/>
  <c r="AA93" i="6"/>
  <c r="AB359" i="6" l="1"/>
  <c r="AB448" i="6"/>
  <c r="AB266" i="6"/>
  <c r="AB267" i="6"/>
  <c r="AB73" i="6"/>
  <c r="AB403" i="6"/>
  <c r="AB404" i="6"/>
  <c r="AB405" i="6"/>
  <c r="AB406" i="6"/>
  <c r="AB407" i="6"/>
  <c r="AB408" i="6"/>
  <c r="AB409" i="6"/>
  <c r="AB465" i="6"/>
  <c r="AB466" i="6"/>
  <c r="AB467" i="6"/>
  <c r="AB468" i="6"/>
  <c r="AB469" i="6"/>
  <c r="AB470" i="6"/>
  <c r="AB187" i="6"/>
  <c r="AB51" i="6"/>
  <c r="AB52" i="6"/>
  <c r="AB53" i="6"/>
  <c r="AB483" i="6"/>
  <c r="AB486" i="6"/>
  <c r="AB481" i="6"/>
  <c r="AB487" i="6"/>
  <c r="AB488" i="6"/>
  <c r="AB484" i="6"/>
  <c r="AB482" i="6"/>
  <c r="AB485" i="6"/>
  <c r="AB192" i="6"/>
  <c r="AB480" i="6"/>
  <c r="AB479" i="6"/>
  <c r="AB321" i="6"/>
  <c r="AB426" i="6"/>
  <c r="AB425" i="6"/>
  <c r="AB423" i="6"/>
  <c r="AB424" i="6"/>
  <c r="AB427" i="6"/>
  <c r="AB438" i="6"/>
  <c r="AB325" i="6"/>
  <c r="AB97" i="6"/>
  <c r="AB98" i="6"/>
  <c r="AB99" i="6"/>
  <c r="AB126" i="6"/>
  <c r="AB164" i="6"/>
  <c r="AB363" i="6"/>
  <c r="AB364" i="6"/>
  <c r="AB220" i="6"/>
  <c r="AB167" i="6"/>
  <c r="AB304" i="6"/>
  <c r="AB305" i="6"/>
  <c r="AB315" i="6"/>
  <c r="AB239" i="6"/>
  <c r="AB63" i="6"/>
  <c r="AB422" i="6"/>
  <c r="AB55" i="6"/>
  <c r="AB46" i="6"/>
  <c r="AB71" i="6"/>
  <c r="AB368" i="6"/>
  <c r="AB38" i="6"/>
  <c r="AB31" i="6"/>
  <c r="AB110" i="6"/>
  <c r="AB235" i="6"/>
  <c r="AB132" i="6"/>
  <c r="AB183" i="6"/>
  <c r="AB285" i="6"/>
  <c r="AB269" i="6"/>
  <c r="AB17" i="6"/>
  <c r="AB347" i="6"/>
  <c r="AB219" i="6"/>
  <c r="AB434" i="6"/>
  <c r="AB477" i="6"/>
  <c r="AB353" i="6"/>
  <c r="AB113" i="6"/>
  <c r="AB415" i="6"/>
  <c r="AB128" i="6"/>
  <c r="AB251" i="6"/>
  <c r="AB119" i="6"/>
  <c r="AB282" i="6"/>
  <c r="AB369" i="6"/>
  <c r="AB264" i="6"/>
  <c r="AB85" i="6"/>
  <c r="AB331" i="6"/>
  <c r="AB162" i="6"/>
  <c r="AB68" i="6"/>
  <c r="AB476" i="6"/>
  <c r="AB24" i="6"/>
  <c r="AB419" i="6"/>
  <c r="AB449" i="6"/>
  <c r="AB401" i="6"/>
  <c r="AB352" i="6"/>
  <c r="AB324" i="6"/>
  <c r="AB349" i="6"/>
  <c r="AB436" i="6"/>
  <c r="AB310" i="6"/>
  <c r="AB101" i="6"/>
  <c r="AB433" i="6"/>
  <c r="AB218" i="6"/>
  <c r="AB307" i="6"/>
  <c r="AB168" i="6"/>
  <c r="AB169" i="6"/>
  <c r="AB344" i="6"/>
  <c r="AB78" i="6"/>
  <c r="AB108" i="6"/>
  <c r="AB328" i="6"/>
  <c r="AB184" i="6"/>
  <c r="AB61" i="6"/>
  <c r="AB402" i="6"/>
  <c r="AB268" i="6"/>
  <c r="AB247" i="6"/>
  <c r="AB306" i="6"/>
  <c r="AB418" i="6"/>
  <c r="AB154" i="6"/>
  <c r="AB114" i="6"/>
  <c r="AB313" i="6"/>
  <c r="AB389" i="6"/>
  <c r="AB23" i="6"/>
  <c r="AB203" i="6"/>
  <c r="AB136" i="6"/>
  <c r="AB170" i="6"/>
  <c r="AB44" i="6"/>
  <c r="AB240" i="6"/>
  <c r="AB142" i="6"/>
  <c r="AB175" i="6"/>
  <c r="AB130" i="6"/>
  <c r="AB297" i="6"/>
  <c r="AB111" i="6"/>
  <c r="AB358" i="6"/>
  <c r="AB87" i="6"/>
  <c r="AB109" i="6"/>
  <c r="AB105" i="6"/>
  <c r="AB442" i="6"/>
  <c r="AB29" i="6"/>
  <c r="AB104" i="6"/>
  <c r="AB372" i="6"/>
  <c r="AB70" i="6"/>
  <c r="AB417" i="6"/>
  <c r="AB135" i="6"/>
  <c r="AB133" i="6"/>
  <c r="AB385" i="6"/>
  <c r="AB13" i="6"/>
  <c r="AB281" i="6"/>
  <c r="AB338" i="6"/>
  <c r="AB60" i="6"/>
  <c r="AB327" i="6"/>
  <c r="AB350" i="6"/>
  <c r="AB76" i="6"/>
  <c r="AB100" i="6"/>
  <c r="AB191" i="6"/>
  <c r="AB245" i="6"/>
  <c r="AB383" i="6"/>
  <c r="AB149" i="6"/>
  <c r="AB214" i="6"/>
  <c r="AB246" i="6"/>
  <c r="AB223" i="6"/>
  <c r="AB43" i="6"/>
  <c r="AB222" i="6"/>
  <c r="AB153" i="6"/>
  <c r="AB312" i="6"/>
  <c r="AB431" i="6"/>
  <c r="AB202" i="6"/>
  <c r="AB11" i="6"/>
  <c r="AB248" i="6"/>
  <c r="AB460" i="6"/>
  <c r="AB334" i="6"/>
  <c r="AB75" i="6"/>
  <c r="AB398" i="6"/>
  <c r="AB77" i="6"/>
  <c r="AB59" i="6"/>
  <c r="AB416" i="6"/>
  <c r="AB354" i="6"/>
  <c r="AB199" i="6"/>
  <c r="AB58" i="6"/>
  <c r="AB48" i="6"/>
  <c r="AB316" i="6"/>
  <c r="AB387" i="6"/>
  <c r="AB28" i="6"/>
  <c r="AB206" i="6"/>
  <c r="AB205" i="6"/>
  <c r="AB296" i="6"/>
  <c r="AB362" i="6"/>
  <c r="AB86" i="6"/>
  <c r="AB452" i="6"/>
  <c r="AB232" i="6"/>
  <c r="AB399" i="6"/>
  <c r="AB79" i="6"/>
  <c r="AB446" i="6"/>
  <c r="AB475" i="6"/>
  <c r="AB230" i="6"/>
  <c r="AB9" i="6"/>
  <c r="AB107" i="6"/>
  <c r="AB54" i="6"/>
  <c r="AB189" i="6"/>
  <c r="AB455" i="6"/>
  <c r="AB472" i="6"/>
  <c r="AB256" i="6"/>
  <c r="AB371" i="6"/>
  <c r="AB299" i="6"/>
  <c r="AB106" i="6"/>
  <c r="AB291" i="6"/>
  <c r="AB66" i="6"/>
  <c r="AB41" i="6"/>
  <c r="AB439" i="6"/>
  <c r="AB188" i="6"/>
  <c r="AB216" i="6"/>
  <c r="AB62" i="6"/>
  <c r="AB127" i="6"/>
  <c r="AB102" i="6"/>
  <c r="AB166" i="6"/>
  <c r="AB161" i="6"/>
  <c r="AB262" i="6"/>
  <c r="AB150" i="6"/>
  <c r="AB21" i="6"/>
  <c r="AB200" i="6"/>
  <c r="AB443" i="6"/>
  <c r="AB45" i="6"/>
  <c r="AB254" i="6"/>
  <c r="AB263" i="6"/>
  <c r="AB12" i="6"/>
  <c r="AB478" i="6"/>
  <c r="AB215" i="6"/>
  <c r="AB373" i="6"/>
  <c r="AB208" i="6"/>
  <c r="AB42" i="6"/>
  <c r="AB420" i="6"/>
  <c r="AB348" i="6"/>
  <c r="AB365" i="6"/>
  <c r="AB90" i="6"/>
  <c r="AB89" i="6"/>
  <c r="AB145" i="6"/>
  <c r="AB342" i="6"/>
  <c r="AB10" i="6"/>
  <c r="AB249" i="6"/>
  <c r="AB120" i="6"/>
  <c r="AB410" i="6"/>
  <c r="AB30" i="6"/>
  <c r="AB343" i="6"/>
  <c r="AB238" i="6"/>
  <c r="AB82" i="6"/>
  <c r="AB280" i="6"/>
  <c r="AB146" i="6"/>
  <c r="AB413" i="6"/>
  <c r="AB18" i="6"/>
  <c r="AB198" i="6"/>
  <c r="AB411" i="6"/>
  <c r="AB27" i="6"/>
  <c r="AB332" i="6"/>
  <c r="AB441" i="6"/>
  <c r="AB361" i="6"/>
  <c r="AB72" i="6"/>
  <c r="AB163" i="6"/>
  <c r="AB261" i="6"/>
  <c r="AB428" i="6"/>
  <c r="AB233" i="6"/>
  <c r="AB84" i="6"/>
  <c r="AB351" i="6"/>
  <c r="AB14" i="6"/>
  <c r="AB290" i="6"/>
  <c r="AB190" i="6"/>
  <c r="AB437" i="6"/>
  <c r="AB370" i="6"/>
  <c r="AB103" i="6"/>
  <c r="AB429" i="6"/>
  <c r="AB335" i="6"/>
  <c r="AB65" i="6"/>
  <c r="AB444" i="6"/>
  <c r="AB317" i="6"/>
  <c r="AB374" i="6"/>
  <c r="AB56" i="6"/>
  <c r="AB137" i="6"/>
  <c r="AB217" i="6"/>
  <c r="AB360" i="6"/>
  <c r="AB388" i="6"/>
  <c r="AB284" i="6"/>
  <c r="AB414" i="6"/>
  <c r="AB384" i="6"/>
  <c r="AB447" i="6"/>
  <c r="AB301" i="6"/>
  <c r="AB459" i="6"/>
  <c r="AB458" i="6"/>
  <c r="AB39" i="6"/>
  <c r="AB252" i="6"/>
  <c r="AB160" i="6"/>
  <c r="AB341" i="6"/>
  <c r="AB201" i="6"/>
  <c r="AB445" i="6"/>
  <c r="AB320" i="6"/>
  <c r="AB393" i="6"/>
  <c r="AB319" i="6"/>
  <c r="AB333" i="6"/>
  <c r="AB35" i="6"/>
  <c r="AB19" i="6"/>
  <c r="AB229" i="6"/>
  <c r="AB244" i="6"/>
  <c r="AB303" i="6"/>
  <c r="AB318" i="6"/>
  <c r="AB471" i="6"/>
  <c r="AB294" i="6"/>
  <c r="AB340" i="6"/>
  <c r="AB20" i="6"/>
  <c r="AB400" i="6"/>
  <c r="AB213" i="6"/>
  <c r="AB228" i="6"/>
  <c r="AB287" i="6"/>
  <c r="AB302" i="6"/>
  <c r="AB37" i="6"/>
  <c r="AB323" i="6"/>
  <c r="AB197" i="6"/>
  <c r="AB271" i="6"/>
  <c r="AB286" i="6"/>
  <c r="AB462" i="6"/>
  <c r="AB181" i="6"/>
  <c r="AB116" i="6"/>
  <c r="AB134" i="6"/>
  <c r="AB91" i="6"/>
  <c r="AB257" i="6"/>
  <c r="AB118" i="6"/>
  <c r="AB74" i="6"/>
  <c r="AB171" i="6"/>
  <c r="AB435" i="6"/>
  <c r="AB204" i="6"/>
  <c r="AB326" i="6"/>
  <c r="AB22" i="6"/>
  <c r="AB129" i="6"/>
  <c r="AB309" i="6"/>
  <c r="AB394" i="6"/>
  <c r="AB179" i="6"/>
  <c r="AB196" i="6"/>
  <c r="AB131" i="6"/>
  <c r="AB270" i="6"/>
  <c r="AB212" i="6"/>
  <c r="AB283" i="6"/>
  <c r="AB450" i="6"/>
  <c r="AB231" i="6"/>
  <c r="AB26" i="6"/>
  <c r="AB345" i="6"/>
  <c r="AB57" i="6"/>
  <c r="AB253" i="6"/>
  <c r="AB366" i="6"/>
  <c r="AB186" i="6"/>
  <c r="AB311" i="6"/>
  <c r="AB355" i="6"/>
  <c r="AB151" i="6"/>
  <c r="AB293" i="6"/>
  <c r="AB292" i="6"/>
  <c r="AB463" i="6"/>
  <c r="AB178" i="6"/>
  <c r="AB195" i="6"/>
  <c r="AB123" i="6"/>
  <c r="AA5" i="6"/>
  <c r="AB346" i="6"/>
  <c r="AB337" i="6"/>
  <c r="AB49" i="6"/>
  <c r="AB300" i="6"/>
  <c r="AB241" i="6"/>
  <c r="AB138" i="6"/>
  <c r="AB274" i="6"/>
  <c r="AB265" i="6"/>
  <c r="AB380" i="6"/>
  <c r="AB115" i="6"/>
  <c r="AB124" i="6"/>
  <c r="AB376" i="6"/>
  <c r="AB225" i="6"/>
  <c r="AB329" i="6"/>
  <c r="AB25" i="6"/>
  <c r="AB237" i="6"/>
  <c r="AB457" i="6"/>
  <c r="AB152" i="6"/>
  <c r="AB295" i="6"/>
  <c r="AB278" i="6"/>
  <c r="AB250" i="6"/>
  <c r="AB277" i="6"/>
  <c r="AB276" i="6"/>
  <c r="AB81" i="6"/>
  <c r="AB177" i="6"/>
  <c r="AB140" i="6"/>
  <c r="AB260" i="6"/>
  <c r="AB375" i="6"/>
  <c r="AB207" i="6"/>
  <c r="AB141" i="6"/>
  <c r="AB255" i="6"/>
  <c r="AB473" i="6"/>
  <c r="AB33" i="6"/>
  <c r="AB224" i="6"/>
  <c r="AB451" i="6"/>
  <c r="AB209" i="6"/>
  <c r="AB298" i="6"/>
  <c r="AB367" i="6"/>
  <c r="AB221" i="6"/>
  <c r="AB432" i="6"/>
  <c r="AB88" i="6"/>
  <c r="AB279" i="6"/>
  <c r="AB173" i="6"/>
  <c r="AB234" i="6"/>
  <c r="AB259" i="6"/>
  <c r="AB258" i="6"/>
  <c r="AB474" i="6"/>
  <c r="AB390" i="6"/>
  <c r="AB80" i="6"/>
  <c r="AB96" i="6"/>
  <c r="AB456" i="6"/>
  <c r="AB377" i="6"/>
  <c r="AB378" i="6"/>
  <c r="AB379" i="6"/>
  <c r="AB182" i="6"/>
  <c r="AB336" i="6"/>
  <c r="AB64" i="6"/>
  <c r="AB288" i="6"/>
  <c r="AB15" i="6"/>
  <c r="AB148" i="6"/>
  <c r="AB382" i="6"/>
  <c r="AB242" i="6"/>
  <c r="AB94" i="6"/>
  <c r="AB47" i="6"/>
  <c r="AB272" i="6"/>
  <c r="AB392" i="6"/>
  <c r="AB172" i="6"/>
  <c r="AB454" i="6"/>
  <c r="AB226" i="6"/>
  <c r="AB93" i="6"/>
  <c r="AB32" i="6"/>
  <c r="AB139" i="6"/>
  <c r="AB397" i="6"/>
  <c r="AB117" i="6"/>
  <c r="AB391" i="6"/>
  <c r="AB210" i="6"/>
  <c r="AB92" i="6"/>
  <c r="AB69" i="6"/>
  <c r="AB121" i="6"/>
  <c r="AB339" i="6"/>
  <c r="AB67" i="6"/>
  <c r="AB289" i="6"/>
  <c r="AB16" i="6"/>
  <c r="AB386" i="6"/>
  <c r="AB243" i="6"/>
  <c r="AB194" i="6"/>
  <c r="AB36" i="6"/>
  <c r="AB322" i="6"/>
  <c r="AB50" i="6"/>
  <c r="AB273" i="6"/>
  <c r="AB396" i="6"/>
  <c r="AB227" i="6"/>
  <c r="AB440" i="6"/>
  <c r="AB176" i="6"/>
  <c r="AB185" i="6"/>
  <c r="AB357" i="6"/>
  <c r="AB143" i="6"/>
  <c r="AB112" i="6"/>
  <c r="AB83" i="6"/>
  <c r="AB275" i="6"/>
  <c r="AB461" i="6"/>
  <c r="AB330" i="6"/>
  <c r="AB180" i="6"/>
  <c r="AB421" i="6"/>
  <c r="AB174" i="6"/>
  <c r="AB464" i="6"/>
  <c r="AB193" i="6"/>
  <c r="AB314" i="6"/>
  <c r="AB40" i="6"/>
  <c r="AB122" i="6"/>
  <c r="AB356" i="6"/>
  <c r="AB236" i="6"/>
  <c r="AB430" i="6"/>
  <c r="AB144" i="6"/>
  <c r="AB453" i="6"/>
  <c r="AB412" i="6"/>
  <c r="AB165" i="6"/>
  <c r="AB308" i="6"/>
  <c r="AB34" i="6"/>
  <c r="AB147" i="6"/>
  <c r="AB8" i="6"/>
  <c r="AB125" i="6"/>
  <c r="AB395" i="6"/>
  <c r="AB211" i="6"/>
  <c r="AB381" i="6"/>
  <c r="AB95" i="6"/>
  <c r="AB5" i="6" l="1"/>
</calcChain>
</file>

<file path=xl/sharedStrings.xml><?xml version="1.0" encoding="utf-8"?>
<sst xmlns="http://schemas.openxmlformats.org/spreadsheetml/2006/main" count="4661" uniqueCount="2046">
  <si>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</si>
  <si>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</si>
  <si>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</si>
  <si>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</si>
  <si>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</si>
  <si>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</si>
  <si>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</si>
  <si>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</si>
  <si>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</si>
  <si>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</si>
  <si>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</si>
  <si>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</si>
  <si>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</si>
  <si>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</si>
  <si>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</si>
  <si>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</si>
  <si>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</si>
  <si>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</si>
  <si>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</si>
  <si>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</si>
  <si>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</si>
  <si>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</si>
  <si>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</si>
  <si>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</si>
  <si>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</si>
  <si>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</si>
  <si>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</si>
  <si>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bistrot</t>
  </si>
  <si>
    <t>gelateria</t>
  </si>
  <si>
    <t>pizzeria</t>
  </si>
  <si>
    <t>n.d.</t>
  </si>
  <si>
    <t>cocktail bar</t>
  </si>
  <si>
    <t>pasticceria / caffetteria</t>
  </si>
  <si>
    <t>pastificio con cucina</t>
  </si>
  <si>
    <t>caffetteria</t>
  </si>
  <si>
    <t>enoteca</t>
  </si>
  <si>
    <t>bar / pasticceria</t>
  </si>
  <si>
    <t>ristorante / cocktail bar</t>
  </si>
  <si>
    <t>sala da tè</t>
  </si>
  <si>
    <t/>
  </si>
  <si>
    <t>Berberè</t>
  </si>
  <si>
    <t>non recensibile</t>
  </si>
  <si>
    <t>Città</t>
  </si>
  <si>
    <t>Trapizzino</t>
  </si>
  <si>
    <t>panineria</t>
  </si>
  <si>
    <t>Mordi &amp; Vai</t>
  </si>
  <si>
    <t>Elettroforno Frontoni</t>
  </si>
  <si>
    <t>Pasticceria Barberini</t>
  </si>
  <si>
    <t>Cristalli di Zucchero</t>
  </si>
  <si>
    <t>Casa Manfredi</t>
  </si>
  <si>
    <t>Latteria</t>
  </si>
  <si>
    <t>Gori Gelato</t>
  </si>
  <si>
    <t>Nero Vaniglia</t>
  </si>
  <si>
    <t>Jerry Thomas Speakeasy</t>
  </si>
  <si>
    <t>Roscioli Caffè</t>
  </si>
  <si>
    <t>Claudio Torcè</t>
  </si>
  <si>
    <t>Fabrica</t>
  </si>
  <si>
    <t>D'Antoni dal 1974</t>
  </si>
  <si>
    <t>200 gradi</t>
  </si>
  <si>
    <t>Pane e Tempesta</t>
  </si>
  <si>
    <t>Prelibato</t>
  </si>
  <si>
    <t>Santi Sebastiano e Valentino</t>
  </si>
  <si>
    <t>Cus Cus</t>
  </si>
  <si>
    <t>Zia Rosetta</t>
  </si>
  <si>
    <t>Ciao Checca</t>
  </si>
  <si>
    <t>Aromaticus</t>
  </si>
  <si>
    <t>Neve di Latte</t>
  </si>
  <si>
    <t>Fatamorgana</t>
  </si>
  <si>
    <t>Come il Latte</t>
  </si>
  <si>
    <t>Cremeria Alpi</t>
  </si>
  <si>
    <t>Al Settimo Gelo</t>
  </si>
  <si>
    <t>Cremeria Aurelia</t>
  </si>
  <si>
    <t>Gelateria dei Gracchi</t>
  </si>
  <si>
    <t>Otaleg!</t>
  </si>
  <si>
    <t>Pizzarium</t>
  </si>
  <si>
    <t>Il Goccetto</t>
  </si>
  <si>
    <t>La Gourmandise</t>
  </si>
  <si>
    <t>Baccano</t>
  </si>
  <si>
    <t>Mangiafuoco</t>
  </si>
  <si>
    <t>Open Baladin</t>
  </si>
  <si>
    <t>Metropolita</t>
  </si>
  <si>
    <t>Pinsere</t>
  </si>
  <si>
    <t>La Casa del Cremolato</t>
  </si>
  <si>
    <t>La Differenza</t>
  </si>
  <si>
    <t>Mostò</t>
  </si>
  <si>
    <t>Gelateria I Mannari</t>
  </si>
  <si>
    <t>180g pizzeria romana</t>
  </si>
  <si>
    <t>Da Enzo al 29</t>
  </si>
  <si>
    <t>Farinè la pizza</t>
  </si>
  <si>
    <t>Fermentum</t>
  </si>
  <si>
    <t>Galbi</t>
  </si>
  <si>
    <t>Green T.</t>
  </si>
  <si>
    <t>Hasekura</t>
  </si>
  <si>
    <t>La Gatta Mangiona</t>
  </si>
  <si>
    <t>La Punta Expendio de Agave</t>
  </si>
  <si>
    <t>Lin</t>
  </si>
  <si>
    <t>Magnifica</t>
  </si>
  <si>
    <t>Piccolo Buco</t>
  </si>
  <si>
    <t>Sakana Sushi</t>
  </si>
  <si>
    <t>Seu Pizza Illuminati</t>
  </si>
  <si>
    <t>Waraku</t>
  </si>
  <si>
    <t>La Trota</t>
  </si>
  <si>
    <t>Trattoria del Pesce</t>
  </si>
  <si>
    <t>Per Me</t>
  </si>
  <si>
    <t>Da Fausto</t>
  </si>
  <si>
    <t>Lo Stuzzichino</t>
  </si>
  <si>
    <t>Iotto</t>
  </si>
  <si>
    <t>Il Pacchero Solitario</t>
  </si>
  <si>
    <t>Il Giardino</t>
  </si>
  <si>
    <t>Osteria del Velodromo Vecchio</t>
  </si>
  <si>
    <t>Il Pagliaccio</t>
  </si>
  <si>
    <t>Osteria del Vicolo Fatato</t>
  </si>
  <si>
    <t>Pascucci al Porticciolo</t>
  </si>
  <si>
    <t>Bistrot 64</t>
  </si>
  <si>
    <t>Pipero</t>
  </si>
  <si>
    <t>Chinappi</t>
  </si>
  <si>
    <t>Il Convivio Troiani</t>
  </si>
  <si>
    <t>Enoteca La Torre</t>
  </si>
  <si>
    <t>Materia Prima</t>
  </si>
  <si>
    <t>Chalet del Lago</t>
  </si>
  <si>
    <t>Il Tino</t>
  </si>
  <si>
    <t>La Pergola del Rome Cavalieri</t>
  </si>
  <si>
    <t>Hand Made</t>
  </si>
  <si>
    <t>Osteria La Briciola</t>
  </si>
  <si>
    <t>Acqua Pazza</t>
  </si>
  <si>
    <t>Acquolina</t>
  </si>
  <si>
    <t>Da Cesare</t>
  </si>
  <si>
    <t>Felice</t>
  </si>
  <si>
    <t>Il Torchio</t>
  </si>
  <si>
    <t>La Baia</t>
  </si>
  <si>
    <t>Mamma Angelina</t>
  </si>
  <si>
    <t>Osteria Bonelli</t>
  </si>
  <si>
    <t>Prato di Sopra</t>
  </si>
  <si>
    <t>Riso Amaro</t>
  </si>
  <si>
    <t>Roscioli</t>
  </si>
  <si>
    <t>Trattoria Monti</t>
  </si>
  <si>
    <t>Armando al Pantheon</t>
  </si>
  <si>
    <t>Flavio al Velavevodetto</t>
  </si>
  <si>
    <t>Moma</t>
  </si>
  <si>
    <t>Cuoco e Camicia</t>
  </si>
  <si>
    <t>Glass Hostaria</t>
  </si>
  <si>
    <t>Il Calice e la Stella</t>
  </si>
  <si>
    <t>Ristorante degli Angeli</t>
  </si>
  <si>
    <t>Al Ceppo</t>
  </si>
  <si>
    <t>Satricvm</t>
  </si>
  <si>
    <t>Osteria “Il Bersagliere”</t>
  </si>
  <si>
    <t>La Locanda del Bere</t>
  </si>
  <si>
    <t>Santo Palato</t>
  </si>
  <si>
    <t>La Parolina</t>
  </si>
  <si>
    <t>Sora Maria e Arcangelo</t>
  </si>
  <si>
    <t>All'Oro</t>
  </si>
  <si>
    <t>La Tavernaccia</t>
  </si>
  <si>
    <t>Zia Restaurant</t>
  </si>
  <si>
    <t>Osteria del Borgo</t>
  </si>
  <si>
    <t>Retrobottega</t>
  </si>
  <si>
    <t>vineria con cucina</t>
  </si>
  <si>
    <t>pizzeria al taglio</t>
  </si>
  <si>
    <t>gastronomia</t>
  </si>
  <si>
    <t>street food venezuelano</t>
  </si>
  <si>
    <t>birreria con cucina</t>
  </si>
  <si>
    <t>caffetteria / pasticceria</t>
  </si>
  <si>
    <t>bistrot / sala da tè</t>
  </si>
  <si>
    <t>bar / pasticceria / gelateria</t>
  </si>
  <si>
    <t>pizzeria al taglio / panificio</t>
  </si>
  <si>
    <t>negozio / bistrot</t>
  </si>
  <si>
    <t>cinese</t>
  </si>
  <si>
    <t>romana</t>
  </si>
  <si>
    <t>giapponese</t>
  </si>
  <si>
    <t>coreana</t>
  </si>
  <si>
    <t>messicana</t>
  </si>
  <si>
    <t>pesce</t>
  </si>
  <si>
    <t>ricercata</t>
  </si>
  <si>
    <t>tradizionale</t>
  </si>
  <si>
    <t>legata al territorio</t>
  </si>
  <si>
    <t>creativa</t>
  </si>
  <si>
    <t>tradizionale con spunti creativi</t>
  </si>
  <si>
    <t>principalmente pesce</t>
  </si>
  <si>
    <t>gastronomia con cucina</t>
  </si>
  <si>
    <t>Piazza del Popolo</t>
  </si>
  <si>
    <t>San Paolo</t>
  </si>
  <si>
    <t>Testaccio</t>
  </si>
  <si>
    <t>Piazza Istria</t>
  </si>
  <si>
    <t>Largo Somalia</t>
  </si>
  <si>
    <t>Via Ostiense, 387</t>
  </si>
  <si>
    <t>Batteria Nomentana</t>
  </si>
  <si>
    <t>Montesacro</t>
  </si>
  <si>
    <t>Piazza Navona</t>
  </si>
  <si>
    <t>Via Marmorata, 41</t>
  </si>
  <si>
    <t>Largo Benedetto Bompiani, 8/10</t>
  </si>
  <si>
    <t>Via di Val Tellina, 114</t>
  </si>
  <si>
    <t>Monteverde</t>
  </si>
  <si>
    <t>Viale Aventino, 91/93</t>
  </si>
  <si>
    <t>FAO</t>
  </si>
  <si>
    <t>Vicolo della Scala, 1</t>
  </si>
  <si>
    <t>Trastevere</t>
  </si>
  <si>
    <t>Via Tolemaide, 16</t>
  </si>
  <si>
    <t>Trionfale</t>
  </si>
  <si>
    <t>Porta Portese</t>
  </si>
  <si>
    <t>Via Carlo Caneva, 15</t>
  </si>
  <si>
    <t>Portonaccio</t>
  </si>
  <si>
    <t>Monti</t>
  </si>
  <si>
    <t>Laurentino</t>
  </si>
  <si>
    <t>Piramide</t>
  </si>
  <si>
    <t>Talenti</t>
  </si>
  <si>
    <t>Salario</t>
  </si>
  <si>
    <t>Viale Parioli, 200</t>
  </si>
  <si>
    <t>Circonvallazione Ostiense, 201</t>
  </si>
  <si>
    <t>Garbatella</t>
  </si>
  <si>
    <t>Pigneto</t>
  </si>
  <si>
    <t>San Giovanni</t>
  </si>
  <si>
    <t>Vicolo Cellini, 30</t>
  </si>
  <si>
    <t>Corso Vittorio Emanuele</t>
  </si>
  <si>
    <t>Piazza Benedetto Cairoli, 16</t>
  </si>
  <si>
    <t>Campo de' Fiori</t>
  </si>
  <si>
    <t>Aventino</t>
  </si>
  <si>
    <t>Viale Aventino, 59</t>
  </si>
  <si>
    <t>Viale Marconi, 445</t>
  </si>
  <si>
    <t>Viale dell'Aeronautica, 105</t>
  </si>
  <si>
    <t>EUR</t>
  </si>
  <si>
    <t>Via Girolamo Savonarola, 8</t>
  </si>
  <si>
    <t>Prati</t>
  </si>
  <si>
    <t>Collatino</t>
  </si>
  <si>
    <t>Furio Camillo</t>
  </si>
  <si>
    <t>Musei Vaticani</t>
  </si>
  <si>
    <t>Flaminio</t>
  </si>
  <si>
    <t>Via Giovanni de Calvi, 23/25</t>
  </si>
  <si>
    <t>Colli Portuensi</t>
  </si>
  <si>
    <t>Viale di Villa Pamphili, 214</t>
  </si>
  <si>
    <t>Pietralata</t>
  </si>
  <si>
    <t>Via Piave, 55</t>
  </si>
  <si>
    <t>Piazza Fiume</t>
  </si>
  <si>
    <t>Arco di Travertino</t>
  </si>
  <si>
    <t>Centocelle</t>
  </si>
  <si>
    <t>Via Tirso, 107</t>
  </si>
  <si>
    <t>Via Arezzo, 39</t>
  </si>
  <si>
    <t>Piazza Bologna</t>
  </si>
  <si>
    <t>Via Urbana, 54</t>
  </si>
  <si>
    <t>Piazza di Spagna, 23</t>
  </si>
  <si>
    <t>San Lorenzo</t>
  </si>
  <si>
    <t>Via di Ripetta, 40</t>
  </si>
  <si>
    <t>Pantheon</t>
  </si>
  <si>
    <t>Piazza di Firenze, 25/26</t>
  </si>
  <si>
    <t>Campo Marzio</t>
  </si>
  <si>
    <t>Via Urbana, 134</t>
  </si>
  <si>
    <t>Viale Europa, 339</t>
  </si>
  <si>
    <t>Via Luigi Poletti, 6</t>
  </si>
  <si>
    <t>Via Federico Cesi, 1</t>
  </si>
  <si>
    <t>Via dei Chiavari, 37</t>
  </si>
  <si>
    <t>Via Lago di Lesina, 9/11</t>
  </si>
  <si>
    <t>Trieste</t>
  </si>
  <si>
    <t>Piazza degli Zingari, 5</t>
  </si>
  <si>
    <t>Piazza Re di Roma</t>
  </si>
  <si>
    <t>Via Roma Libera, 11</t>
  </si>
  <si>
    <t>Via Silvio Spaventa 24/26</t>
  </si>
  <si>
    <t>Piazza Sallustio</t>
  </si>
  <si>
    <t>Via Padre Reginaldo Giuliani, 16</t>
  </si>
  <si>
    <t>Acilia</t>
  </si>
  <si>
    <t>Esquilino</t>
  </si>
  <si>
    <t>Piazza Mazzini</t>
  </si>
  <si>
    <t>Piazza Irnerio</t>
  </si>
  <si>
    <t>Via di Ripetta, 261</t>
  </si>
  <si>
    <t>Via dei Gracchi, 272</t>
  </si>
  <si>
    <t>Appio Latino</t>
  </si>
  <si>
    <t>Fontana di Trevi</t>
  </si>
  <si>
    <t>Via di San Cosimato, 14/A</t>
  </si>
  <si>
    <t>Piazzale degli Eroi</t>
  </si>
  <si>
    <t>Via dei Banchi Vecchi, 14</t>
  </si>
  <si>
    <t>Via delle Muratte, 23</t>
  </si>
  <si>
    <t>Via degli Specchi, 6</t>
  </si>
  <si>
    <t>Piazza Cavour</t>
  </si>
  <si>
    <t>Piazza Gentile da Fabriano, 2</t>
  </si>
  <si>
    <t>Via Giovanni Branca, 88</t>
  </si>
  <si>
    <t>Piazzale di Ponte Milvio, 13</t>
  </si>
  <si>
    <t>Via Flavia, 98</t>
  </si>
  <si>
    <t>Via di Priscilla, 18</t>
  </si>
  <si>
    <t>Piazza Crati</t>
  </si>
  <si>
    <t>Piazza Trilussa, 46</t>
  </si>
  <si>
    <t>Viale Pinturicchio, 32</t>
  </si>
  <si>
    <t>Via di Grotta Perfetta, 125</t>
  </si>
  <si>
    <t>Montagnola</t>
  </si>
  <si>
    <t>Via Mantova, 5</t>
  </si>
  <si>
    <t>Via degli Aurunci, 6/8</t>
  </si>
  <si>
    <t>Via Lemonia, 214</t>
  </si>
  <si>
    <t>Cinecittà</t>
  </si>
  <si>
    <t>Via Cremera, 21</t>
  </si>
  <si>
    <t>Ostiense</t>
  </si>
  <si>
    <t>Via dei Serpenti, 27</t>
  </si>
  <si>
    <t>Portuense</t>
  </si>
  <si>
    <t>Via Federico Ozanam, 30/32</t>
  </si>
  <si>
    <t>Via di Santa Cecilia, 8</t>
  </si>
  <si>
    <t>Via Basento, 70/76</t>
  </si>
  <si>
    <t>Via Po</t>
  </si>
  <si>
    <t>Via Ugo de Carolis, 72/D</t>
  </si>
  <si>
    <t>Balduina</t>
  </si>
  <si>
    <t>Via della Torre Clementina, 114</t>
  </si>
  <si>
    <t>Via del Lavatore, 91</t>
  </si>
  <si>
    <t>Via del Gazometro, 54</t>
  </si>
  <si>
    <t>Via Angelo Bargoni, 10/18</t>
  </si>
  <si>
    <t>Via Santa Susanna, 33</t>
  </si>
  <si>
    <t>Via Folco Portinari, 27</t>
  </si>
  <si>
    <t>Monteverde Nuovo</t>
  </si>
  <si>
    <t>Vicolo del Malpasso, 9</t>
  </si>
  <si>
    <t>Via Giulia</t>
  </si>
  <si>
    <t>Piazza Cesare Beccaria, 6</t>
  </si>
  <si>
    <t>Corso Vittorio Emanuele, 96</t>
  </si>
  <si>
    <t>Via Giuseppe Verdi, 29</t>
  </si>
  <si>
    <t>Via degli Ulivi, 43</t>
  </si>
  <si>
    <t>Via Genzano, 139</t>
  </si>
  <si>
    <t>Via Cicerone, 40</t>
  </si>
  <si>
    <t>Via dei Banchi Vecchi, 129/A</t>
  </si>
  <si>
    <t>Vicolo Forno Fatato, 11</t>
  </si>
  <si>
    <t>Viale Traiano, 85</t>
  </si>
  <si>
    <t>MAXXI</t>
  </si>
  <si>
    <t>Corso Vittorio Emanuele II, 250</t>
  </si>
  <si>
    <t>Chiesa Nuova</t>
  </si>
  <si>
    <t>Vicolo dei Soldati, 31</t>
  </si>
  <si>
    <t>Lungotevere delle Armi, 22/23</t>
  </si>
  <si>
    <t>Piazza Monte Grappa</t>
  </si>
  <si>
    <t>Via Sardegna, 8</t>
  </si>
  <si>
    <t>Via G.G. Belli, 59/61</t>
  </si>
  <si>
    <t>Via Reginaldo Belloni, 28/29</t>
  </si>
  <si>
    <t>Tuscolano</t>
  </si>
  <si>
    <t>Via Cadlolo, 101</t>
  </si>
  <si>
    <t>Monte Mario</t>
  </si>
  <si>
    <t>Via Scuole Rurali, 1</t>
  </si>
  <si>
    <t>Via del Vantaggio, 14</t>
  </si>
  <si>
    <t>Via Augusto Valenziani, 19</t>
  </si>
  <si>
    <t>Via del Casaletto, 45</t>
  </si>
  <si>
    <t>Via Mastro Giorgio, 29</t>
  </si>
  <si>
    <t>Via Goffredo Mameli, 3</t>
  </si>
  <si>
    <t>Via Silvi Marina, 1</t>
  </si>
  <si>
    <t>Viale Arrigo Boito, 65</t>
  </si>
  <si>
    <t>Viale dell'Acquedotto Alessandrino, 172/174</t>
  </si>
  <si>
    <t>Torpignattara</t>
  </si>
  <si>
    <t>Via Principe Amedeo, 7</t>
  </si>
  <si>
    <t>Viale Regina Margherita, 22</t>
  </si>
  <si>
    <t>Via dei Giubbonari, 21/22</t>
  </si>
  <si>
    <t>Via di Monte Testaccio, 97/99</t>
  </si>
  <si>
    <t>Ex Mattatoio</t>
  </si>
  <si>
    <t>Via di San Basilio, 42/43</t>
  </si>
  <si>
    <t>Vicolo del Cinque, 58</t>
  </si>
  <si>
    <t>Piazza Trilussa</t>
  </si>
  <si>
    <t>Piazza Garibaldi, 9</t>
  </si>
  <si>
    <t>Località Madonna degli Angeli</t>
  </si>
  <si>
    <t>Via Panama, 2</t>
  </si>
  <si>
    <t>Piazza Ungheria</t>
  </si>
  <si>
    <t>Strada Nettuno-Cisterna, 1227 - Loc. Le Ferriere</t>
  </si>
  <si>
    <t>Via Casilina, km 25,000</t>
  </si>
  <si>
    <t>Via Foro Appio, 64 - Loc. Borgo Faiti</t>
  </si>
  <si>
    <t>Via Giacomo Leopardi, 1</t>
  </si>
  <si>
    <t>Via Roma, 45</t>
  </si>
  <si>
    <t>Via Giuseppe Pisanelli, 23/25</t>
  </si>
  <si>
    <t>Via Goffredo Mameli, 45</t>
  </si>
  <si>
    <t>Via Borgo di Sopra, 21/23</t>
  </si>
  <si>
    <t>Roma</t>
  </si>
  <si>
    <t>Fiumicino</t>
  </si>
  <si>
    <t>Rivodutri</t>
  </si>
  <si>
    <t>Fondi</t>
  </si>
  <si>
    <t>Campodimele</t>
  </si>
  <si>
    <t>Campagnano di Roma</t>
  </si>
  <si>
    <t>Aprilia</t>
  </si>
  <si>
    <t>Ventotene</t>
  </si>
  <si>
    <t>Grottaferrata</t>
  </si>
  <si>
    <t>Tivoli</t>
  </si>
  <si>
    <t>Piglio</t>
  </si>
  <si>
    <t>Terracina</t>
  </si>
  <si>
    <t>Formia</t>
  </si>
  <si>
    <t>Latina</t>
  </si>
  <si>
    <t>Pontinia</t>
  </si>
  <si>
    <t>Genazzano</t>
  </si>
  <si>
    <t>Anguillara Sabazia</t>
  </si>
  <si>
    <t>Fregene</t>
  </si>
  <si>
    <t>Viterbo</t>
  </si>
  <si>
    <t>Ponza</t>
  </si>
  <si>
    <t>Anzio</t>
  </si>
  <si>
    <t>Frascati</t>
  </si>
  <si>
    <t>Canepina</t>
  </si>
  <si>
    <t>Magliano Sabina</t>
  </si>
  <si>
    <t>Colonna</t>
  </si>
  <si>
    <t>Trevinano</t>
  </si>
  <si>
    <t>Olevano Romano</t>
  </si>
  <si>
    <t>393/8123386</t>
  </si>
  <si>
    <t>06/45619534</t>
  </si>
  <si>
    <t>06/57250431</t>
  </si>
  <si>
    <t>06/5124103</t>
  </si>
  <si>
    <t>06/58230323</t>
  </si>
  <si>
    <t>06/97605892</t>
  </si>
  <si>
    <t>06/58332008</t>
  </si>
  <si>
    <t>06/45551271</t>
  </si>
  <si>
    <t>06/80662455</t>
  </si>
  <si>
    <t>06/8272092</t>
  </si>
  <si>
    <t>06/5780306</t>
  </si>
  <si>
    <t>06/96845937</t>
  </si>
  <si>
    <t>06/89165330</t>
  </si>
  <si>
    <t>06/5746876</t>
  </si>
  <si>
    <t>06/97882939</t>
  </si>
  <si>
    <t>06/2593441</t>
  </si>
  <si>
    <t>06/39754239</t>
  </si>
  <si>
    <t>06/87725015</t>
  </si>
  <si>
    <t>06/93577165</t>
  </si>
  <si>
    <t>06/42815714</t>
  </si>
  <si>
    <t>06/87568048</t>
  </si>
  <si>
    <t>06/31052516</t>
  </si>
  <si>
    <t>06/6786027</t>
  </si>
  <si>
    <t>06/32652670</t>
  </si>
  <si>
    <t>06/68803029</t>
  </si>
  <si>
    <t>06/68300368</t>
  </si>
  <si>
    <t>06/4881355</t>
  </si>
  <si>
    <t>06/69363592</t>
  </si>
  <si>
    <t>06/3208485</t>
  </si>
  <si>
    <t>06/3225744</t>
  </si>
  <si>
    <t>06/86391589</t>
  </si>
  <si>
    <t>06/48906955</t>
  </si>
  <si>
    <t>06/5803615</t>
  </si>
  <si>
    <t>06/42903882</t>
  </si>
  <si>
    <t>06/88921386</t>
  </si>
  <si>
    <t>06/5211942</t>
  </si>
  <si>
    <t>06/3725567</t>
  </si>
  <si>
    <t>06/6632499</t>
  </si>
  <si>
    <t>06/3224727</t>
  </si>
  <si>
    <t>06/3216668</t>
  </si>
  <si>
    <t>338/6515450</t>
  </si>
  <si>
    <t>06/39745416</t>
  </si>
  <si>
    <t>377/4116621</t>
  </si>
  <si>
    <t>06/69941166</t>
  </si>
  <si>
    <t>06/6838989</t>
  </si>
  <si>
    <t>06/43419624</t>
  </si>
  <si>
    <t>06/33221964</t>
  </si>
  <si>
    <t>06/42020924</t>
  </si>
  <si>
    <t>06/86200724</t>
  </si>
  <si>
    <t>06/64012423</t>
  </si>
  <si>
    <t>06/5817312</t>
  </si>
  <si>
    <t>06/70496477</t>
  </si>
  <si>
    <t>392/2579616</t>
  </si>
  <si>
    <t>06/5410448</t>
  </si>
  <si>
    <t>06/45654390</t>
  </si>
  <si>
    <t>06/5812260</t>
  </si>
  <si>
    <t>06/4451162</t>
  </si>
  <si>
    <t>06/8842132</t>
  </si>
  <si>
    <t>06/6798628</t>
  </si>
  <si>
    <t>06/483648</t>
  </si>
  <si>
    <t>06/5346702</t>
  </si>
  <si>
    <t>06/5816665</t>
  </si>
  <si>
    <t>06/8546270</t>
  </si>
  <si>
    <t>06/6505251</t>
  </si>
  <si>
    <t>06/69380163</t>
  </si>
  <si>
    <t>06/5883384</t>
  </si>
  <si>
    <t>06/21702358</t>
  </si>
  <si>
    <t>0746/685078</t>
  </si>
  <si>
    <t>06/95945393</t>
  </si>
  <si>
    <t>06/6877365</t>
  </si>
  <si>
    <t>0771/531268</t>
  </si>
  <si>
    <t>0771/598099</t>
  </si>
  <si>
    <t>06/9041746</t>
  </si>
  <si>
    <t>06/92062042</t>
  </si>
  <si>
    <t>0771/85020</t>
  </si>
  <si>
    <t>06/7886793</t>
  </si>
  <si>
    <t>06/9411904</t>
  </si>
  <si>
    <t>06/68809595</t>
  </si>
  <si>
    <t>0775/503035</t>
  </si>
  <si>
    <t>06/65029204</t>
  </si>
  <si>
    <t>06/3235531</t>
  </si>
  <si>
    <t>06/68139022</t>
  </si>
  <si>
    <t>06/6869432</t>
  </si>
  <si>
    <t>06/45668304</t>
  </si>
  <si>
    <t>0773/86391</t>
  </si>
  <si>
    <t>06/3210992</t>
  </si>
  <si>
    <t>06/9968229</t>
  </si>
  <si>
    <t>06/35092152</t>
  </si>
  <si>
    <t>06/66562063</t>
  </si>
  <si>
    <t>0774/418421</t>
  </si>
  <si>
    <t>0771/80643</t>
  </si>
  <si>
    <t>06/3201590</t>
  </si>
  <si>
    <t>06/35072243</t>
  </si>
  <si>
    <t>06/4819005</t>
  </si>
  <si>
    <t>06/536015</t>
  </si>
  <si>
    <t>06/5746800</t>
  </si>
  <si>
    <t>06/9425520</t>
  </si>
  <si>
    <t>06/66561647</t>
  </si>
  <si>
    <t>06/8608928</t>
  </si>
  <si>
    <t>329/8633077</t>
  </si>
  <si>
    <t>06/94315464</t>
  </si>
  <si>
    <t>0771/523655</t>
  </si>
  <si>
    <t>06/6875287</t>
  </si>
  <si>
    <t>06/68803034</t>
  </si>
  <si>
    <t>06/5744194</t>
  </si>
  <si>
    <t>06/42011798</t>
  </si>
  <si>
    <t>06/88922987</t>
  </si>
  <si>
    <t>06/58335903</t>
  </si>
  <si>
    <t>328/9024761</t>
  </si>
  <si>
    <t>0744/91377</t>
  </si>
  <si>
    <t>06/8419696</t>
  </si>
  <si>
    <t>349/1923153</t>
  </si>
  <si>
    <t>0773/258620</t>
  </si>
  <si>
    <t>06/77207354</t>
  </si>
  <si>
    <t>0763/717130</t>
  </si>
  <si>
    <t>06/9564043</t>
  </si>
  <si>
    <t>06/97996907</t>
  </si>
  <si>
    <t>06/5812792</t>
  </si>
  <si>
    <t>06/23488093</t>
  </si>
  <si>
    <t>06/30430023</t>
  </si>
  <si>
    <t>06/68136310</t>
  </si>
  <si>
    <t>Trecca - cucina di mercato</t>
  </si>
  <si>
    <t>Via Alessandro Severo, 222</t>
  </si>
  <si>
    <t>Ex Fiera</t>
  </si>
  <si>
    <t>06/88650867</t>
  </si>
  <si>
    <t>Molo 29</t>
  </si>
  <si>
    <t>Via Mario Musco, 29/31</t>
  </si>
  <si>
    <t>06/59600651</t>
  </si>
  <si>
    <t>Agostino</t>
  </si>
  <si>
    <t>Corso Trieste, 66</t>
  </si>
  <si>
    <t>Via Tuscolana, 1677</t>
  </si>
  <si>
    <t>Caffè Conti</t>
  </si>
  <si>
    <t>La Briciola di Adriana</t>
  </si>
  <si>
    <t>Pizza Chef</t>
  </si>
  <si>
    <t>Faro - Caffè Specialty</t>
  </si>
  <si>
    <t>Da Michele</t>
  </si>
  <si>
    <t>Via Tiberio Imperatore, 95/97</t>
  </si>
  <si>
    <t>06/5404352</t>
  </si>
  <si>
    <t>Drink Kong</t>
  </si>
  <si>
    <t>06/23488666</t>
  </si>
  <si>
    <t>Mikachan</t>
  </si>
  <si>
    <t>Via Torcegno, 39</t>
  </si>
  <si>
    <t>Infernetto</t>
  </si>
  <si>
    <t>338/1737246</t>
  </si>
  <si>
    <t>Osteria Fratelli Mori</t>
  </si>
  <si>
    <t>romana / pizzeria</t>
  </si>
  <si>
    <t>Via dei Conciatori, 10</t>
  </si>
  <si>
    <t>331/3234399</t>
  </si>
  <si>
    <t>Mudejar Spiriti e Cucina</t>
  </si>
  <si>
    <t>Sperlonga</t>
  </si>
  <si>
    <t>338/6839418</t>
  </si>
  <si>
    <t>Mater</t>
  </si>
  <si>
    <t>Fiano Romano</t>
  </si>
  <si>
    <t>Idylio by Apreda</t>
  </si>
  <si>
    <t>Parioli</t>
  </si>
  <si>
    <t>Artigiano del Caffè</t>
  </si>
  <si>
    <t>Via Famagosta, 14</t>
  </si>
  <si>
    <t>329/7467044</t>
  </si>
  <si>
    <t>Piazza di Spagna</t>
  </si>
  <si>
    <t>06/36000009</t>
  </si>
  <si>
    <t>street food romano</t>
  </si>
  <si>
    <t>El maiz</t>
  </si>
  <si>
    <t>panificio con cucina</t>
  </si>
  <si>
    <t>forno / bistrot</t>
  </si>
  <si>
    <t>tradizionale / romana</t>
  </si>
  <si>
    <t>Vermicino</t>
  </si>
  <si>
    <t>Via Natale del Grande, 6/7</t>
  </si>
  <si>
    <t>Piazza dei Quiriti, 4/5</t>
  </si>
  <si>
    <t>Via Domenichino, 14</t>
  </si>
  <si>
    <t>06/66006878</t>
  </si>
  <si>
    <t>06/3972 5514</t>
  </si>
  <si>
    <t>06/88798381</t>
  </si>
  <si>
    <t>Gelato d'Essai</t>
  </si>
  <si>
    <t>Prenestino</t>
  </si>
  <si>
    <t>06/89232228</t>
  </si>
  <si>
    <t>Colli Aniene</t>
  </si>
  <si>
    <t>06/64264692</t>
  </si>
  <si>
    <t>Via Cesare Baronio, 179</t>
  </si>
  <si>
    <t>06/69306952</t>
  </si>
  <si>
    <t>Fax Factory</t>
  </si>
  <si>
    <t>caffetteria specialty</t>
  </si>
  <si>
    <t>Via Antonio Raimondi, 87</t>
  </si>
  <si>
    <t>06/69301043</t>
  </si>
  <si>
    <t>Sushisen</t>
  </si>
  <si>
    <t>indirizzo
plurimo</t>
  </si>
  <si>
    <t>riservato
per</t>
  </si>
  <si>
    <t>Duke's - Fine Casual Bar &amp; Restaurant</t>
  </si>
  <si>
    <t>Babingtons</t>
  </si>
  <si>
    <t>Misticanza - Osteria della Terra</t>
  </si>
  <si>
    <t>Via Cristoforo Colombo, 1897</t>
  </si>
  <si>
    <t>Casal Palocco</t>
  </si>
  <si>
    <t>Via Bisagno, 19</t>
  </si>
  <si>
    <t>Ghetto</t>
  </si>
  <si>
    <t>Via Clelia, 63/A</t>
  </si>
  <si>
    <t>Piazzale delle Province, 9</t>
  </si>
  <si>
    <t>Via Dietro la Chiesa, 3/4</t>
  </si>
  <si>
    <t>Via dei Vascellari, 29</t>
  </si>
  <si>
    <t>pasticceria</t>
  </si>
  <si>
    <t>vegetariana</t>
  </si>
  <si>
    <t>06/53095459</t>
  </si>
  <si>
    <t>06/87566046</t>
  </si>
  <si>
    <t>06/90239685</t>
  </si>
  <si>
    <t>06/5756945</t>
  </si>
  <si>
    <t>Sintesi</t>
  </si>
  <si>
    <t>Via Adige, 19/21</t>
  </si>
  <si>
    <t>Viale dei Castani, 17</t>
  </si>
  <si>
    <t>Ariccia</t>
  </si>
  <si>
    <t>06/45557597</t>
  </si>
  <si>
    <t>Salmoneria</t>
  </si>
  <si>
    <t>bottega con cucina</t>
  </si>
  <si>
    <t>Angelo Pezzella</t>
  </si>
  <si>
    <t>Via Appia Nuova, 1095</t>
  </si>
  <si>
    <t>06/7188560</t>
  </si>
  <si>
    <t>06/45495604</t>
  </si>
  <si>
    <t>Largo Argentina</t>
  </si>
  <si>
    <t>Barred</t>
  </si>
  <si>
    <t>Via Cesena, 30</t>
  </si>
  <si>
    <t>06/97273382</t>
  </si>
  <si>
    <t>Bottega Tredici</t>
  </si>
  <si>
    <t>Via dei Falegnami, 14</t>
  </si>
  <si>
    <t>06/92118504</t>
  </si>
  <si>
    <t>Via dell'Arco della Ciambella, 20</t>
  </si>
  <si>
    <t>Sinosteria</t>
  </si>
  <si>
    <t>324/6399916</t>
  </si>
  <si>
    <t>Viale Guglielmo Marconi, 586</t>
  </si>
  <si>
    <t>Radici - pizzicheria salentina</t>
  </si>
  <si>
    <t>street food pugliese</t>
  </si>
  <si>
    <t>Via Emanuele Filiberto, 38</t>
  </si>
  <si>
    <t>06/89021483</t>
  </si>
  <si>
    <t>tradizionale / carne</t>
  </si>
  <si>
    <t>Subiaco</t>
  </si>
  <si>
    <t>06/86937299</t>
  </si>
  <si>
    <t>La Villetta</t>
  </si>
  <si>
    <t>Via del Porticciolo Romano, snc</t>
  </si>
  <si>
    <t>0771/723113</t>
  </si>
  <si>
    <t>Dumpling Bar</t>
  </si>
  <si>
    <t>Piazza Antonio Meucci, 1</t>
  </si>
  <si>
    <t>344/0658913</t>
  </si>
  <si>
    <t>Gastromario</t>
  </si>
  <si>
    <t>pasticceria / bistrot</t>
  </si>
  <si>
    <t>Via Voghera, 10</t>
  </si>
  <si>
    <t>Piazza Lodi</t>
  </si>
  <si>
    <t>06/79782584</t>
  </si>
  <si>
    <t>Vicolo del Bologna, 19</t>
  </si>
  <si>
    <t>342/3006808</t>
  </si>
  <si>
    <t>Via di Tor Pignattara, 190</t>
  </si>
  <si>
    <t>345/5479532</t>
  </si>
  <si>
    <t>Collina Fleming</t>
  </si>
  <si>
    <t>Mine</t>
  </si>
  <si>
    <t>06/3337879</t>
  </si>
  <si>
    <t>347/9998983</t>
  </si>
  <si>
    <t>Porto Quadro</t>
  </si>
  <si>
    <t>Piazza Ippolito Nievo, 13/14</t>
  </si>
  <si>
    <t>340/8640569</t>
  </si>
  <si>
    <t>Tram Tram</t>
  </si>
  <si>
    <t>06/490416</t>
  </si>
  <si>
    <t>Via dei Reti, 44/46</t>
  </si>
  <si>
    <t>Centro</t>
  </si>
  <si>
    <t>N.O.D.O.</t>
  </si>
  <si>
    <t>Piazza delle Coppelle, 52</t>
  </si>
  <si>
    <t>06/94376334</t>
  </si>
  <si>
    <t>Carter Oblio</t>
  </si>
  <si>
    <t>Via Giuseppe Gioachino Belli, 21</t>
  </si>
  <si>
    <t>Piazza Euclide, 25</t>
  </si>
  <si>
    <t>Via Val di Sangro, 35</t>
  </si>
  <si>
    <t>348/0081620</t>
  </si>
  <si>
    <t>La Ciambella bar à vin</t>
  </si>
  <si>
    <t>Menabó Vino e Cucina</t>
  </si>
  <si>
    <t>Mangiadischi la moderna trattoria</t>
  </si>
  <si>
    <t>a Rota - pizzeria romanesca</t>
  </si>
  <si>
    <t>Il tuo fornaio</t>
  </si>
  <si>
    <t>Pasticceria Walter Musco</t>
  </si>
  <si>
    <t>Enoteca L'Antidoto</t>
  </si>
  <si>
    <t>amARanto</t>
  </si>
  <si>
    <t>Viale della Pineta di Fregene, 52/C</t>
  </si>
  <si>
    <t>San Pietro</t>
  </si>
  <si>
    <t>Via delle Palme, 44/D-E</t>
  </si>
  <si>
    <t>Corso San Leone, 3/A</t>
  </si>
  <si>
    <t>Via San Vito, 13/A</t>
  </si>
  <si>
    <t>Via Ostiense, 166/A</t>
  </si>
  <si>
    <t>Via Giuseppe Giulietti, 21/A</t>
  </si>
  <si>
    <t>Via Prenestina, 321/A</t>
  </si>
  <si>
    <t>Via Genazzano, 32</t>
  </si>
  <si>
    <t>Villa Gordiani</t>
  </si>
  <si>
    <t>Via Pier Paolo Pasolini, snc</t>
  </si>
  <si>
    <t>Via Dino Penazzato, 83/H</t>
  </si>
  <si>
    <t>Via Francesco Sapori, 35</t>
  </si>
  <si>
    <t>Tor Marancia</t>
  </si>
  <si>
    <t>Via Beniamino Franklin, 12/E</t>
  </si>
  <si>
    <t>Via Flaminia, 732/B</t>
  </si>
  <si>
    <t>Piazza del Risorgimento, 3</t>
  </si>
  <si>
    <t>Piazza di San Martino ai Monti, 8</t>
  </si>
  <si>
    <t>Via Vodice, 21/A</t>
  </si>
  <si>
    <t>Piazza Menenio Agrippa, 8/B-C</t>
  </si>
  <si>
    <t>Via della Meloria, 43</t>
  </si>
  <si>
    <t>Via della Dogana Vecchia, 12/13</t>
  </si>
  <si>
    <t>06/6832930</t>
  </si>
  <si>
    <t>06/84381895</t>
  </si>
  <si>
    <t>06/93374742</t>
  </si>
  <si>
    <t>06/89831448</t>
  </si>
  <si>
    <t>creativa / pesce</t>
  </si>
  <si>
    <t>tradizionale / rivisitata</t>
  </si>
  <si>
    <t>vegetariana / vegana</t>
  </si>
  <si>
    <t>principalmente romana</t>
  </si>
  <si>
    <t>bottega / bistrot</t>
  </si>
  <si>
    <t>ravioleria cinese</t>
  </si>
  <si>
    <t>45</t>
  </si>
  <si>
    <t>40+20</t>
  </si>
  <si>
    <t>40</t>
  </si>
  <si>
    <t xml:space="preserve">	primo, secondo e dolce (o antipasto)</t>
  </si>
  <si>
    <t>primo, secondo e dolce (o antipasto)</t>
  </si>
  <si>
    <t>25+20</t>
  </si>
  <si>
    <t>35</t>
  </si>
  <si>
    <t>30</t>
  </si>
  <si>
    <t>50+20</t>
  </si>
  <si>
    <t>25</t>
  </si>
  <si>
    <t>30+20</t>
  </si>
  <si>
    <t>antipasto, primo e secondo</t>
  </si>
  <si>
    <t>La Galleria di Sopra</t>
  </si>
  <si>
    <t>Via Leonardo Murialdo, 9</t>
  </si>
  <si>
    <t>Albano Laziale</t>
  </si>
  <si>
    <t>7½</t>
  </si>
  <si>
    <t>novità</t>
  </si>
  <si>
    <t>20</t>
  </si>
  <si>
    <t>1 tipo di sushi (roll o nigiri), un piatto caldo, 1 frittura, 1 dolce</t>
  </si>
  <si>
    <t>1 tacos, 2 piatti forti</t>
  </si>
  <si>
    <t>1 ramen + altri due piatti salati</t>
  </si>
  <si>
    <t>un antipasto e due pizze</t>
  </si>
  <si>
    <t>Tonda</t>
  </si>
  <si>
    <t>Via Valle Corteno, 31</t>
  </si>
  <si>
    <t>06/8180960</t>
  </si>
  <si>
    <t>4,5</t>
  </si>
  <si>
    <t>4</t>
  </si>
  <si>
    <t>1 caffè, 1 cappuccino, 1 lievito</t>
  </si>
  <si>
    <t>2 piatti salati e una centrifuga o succo</t>
  </si>
  <si>
    <t>15</t>
  </si>
  <si>
    <t>2 piatti di pasta diversi</t>
  </si>
  <si>
    <t>2 ciotole cuscus diverse e un antipasto</t>
  </si>
  <si>
    <t>1 panino + 1 piatto freddo</t>
  </si>
  <si>
    <t>12</t>
  </si>
  <si>
    <t>due panini diversi e un fritto</t>
  </si>
  <si>
    <t>7</t>
  </si>
  <si>
    <t>tè + fetta di torta o dolce monoporzione</t>
  </si>
  <si>
    <t>17</t>
  </si>
  <si>
    <t>tea menù</t>
  </si>
  <si>
    <t>1 calice di vino + 2 piatti</t>
  </si>
  <si>
    <t>1 burger + 1 un'alra preparazione salata</t>
  </si>
  <si>
    <t>2 cocktail diversi</t>
  </si>
  <si>
    <t>10</t>
  </si>
  <si>
    <t>1 panino + 1 tagliere</t>
  </si>
  <si>
    <t>1 cono o 1 coppetta con tre gusti+panna</t>
  </si>
  <si>
    <t>2 tranci di pizza piccoli (obbligatorio la margherita) + 1 fritto caratteristico</t>
  </si>
  <si>
    <t>9</t>
  </si>
  <si>
    <t>2 pinse diverse</t>
  </si>
  <si>
    <t>3 mini panini diversi</t>
  </si>
  <si>
    <t>Buccia</t>
  </si>
  <si>
    <t>Sabaudia</t>
  </si>
  <si>
    <t>366/4990849</t>
  </si>
  <si>
    <t>Osteria del Tempo Perso</t>
  </si>
  <si>
    <t>Piazza San Rocco, 13</t>
  </si>
  <si>
    <t>Casalvieri</t>
  </si>
  <si>
    <t>0776/638039</t>
  </si>
  <si>
    <t>Osteria Santa Lucia</t>
  </si>
  <si>
    <t>Corso della Repubblica, 26</t>
  </si>
  <si>
    <t>Frosinone</t>
  </si>
  <si>
    <t>0775/211863</t>
  </si>
  <si>
    <t>Santuccio ai Colli</t>
  </si>
  <si>
    <t>Via Santi Sebastiano e Rocco, 95</t>
  </si>
  <si>
    <t>Sezze</t>
  </si>
  <si>
    <t>0773/888573</t>
  </si>
  <si>
    <t>Da Antonio</t>
  </si>
  <si>
    <t>Via Mario Lizzani, 21</t>
  </si>
  <si>
    <t>Torre Spaccata</t>
  </si>
  <si>
    <t>391/7475549</t>
  </si>
  <si>
    <t>Pupillo Pura Pizza</t>
  </si>
  <si>
    <t>Via Giacomo Matteotti, 29</t>
  </si>
  <si>
    <t>Priverno</t>
  </si>
  <si>
    <t>339/4143148</t>
  </si>
  <si>
    <t>Viale Giuseppe Mazzini, 220</t>
  </si>
  <si>
    <t>331/9610793</t>
  </si>
  <si>
    <t>Madeleine</t>
  </si>
  <si>
    <t>Via Monte Santo, 64</t>
  </si>
  <si>
    <t>06/3728537</t>
  </si>
  <si>
    <t>19.2 Winebar Enoteca</t>
  </si>
  <si>
    <t>winebar / caffetteria</t>
  </si>
  <si>
    <t>Largo Benito Jacovitti, 16</t>
  </si>
  <si>
    <t>Torrino</t>
  </si>
  <si>
    <t>347/4387426</t>
  </si>
  <si>
    <t>1 tagliere + 1 sfizio</t>
  </si>
  <si>
    <t>06/52831571</t>
  </si>
  <si>
    <t>Nettuno</t>
  </si>
  <si>
    <t>enoteca con cucina</t>
  </si>
  <si>
    <t>Via Pontina Km 74,000</t>
  </si>
  <si>
    <t>1 primo, 1 secondo+ 1 antipasto o 1 dolce</t>
  </si>
  <si>
    <t>Enoteca La Mescita</t>
  </si>
  <si>
    <t>333/3015847</t>
  </si>
  <si>
    <t>Via Luigi Fincati, 44</t>
  </si>
  <si>
    <t>Gelateria I Gemelli</t>
  </si>
  <si>
    <t>Via Fonte Buono, 114</t>
  </si>
  <si>
    <t>349/8360994</t>
  </si>
  <si>
    <t>0773/241940</t>
  </si>
  <si>
    <t>Via Antonio Pacinotti, 83</t>
  </si>
  <si>
    <t>Via Nino Bixio, 1</t>
  </si>
  <si>
    <t>06/630640</t>
  </si>
  <si>
    <t>street food cinese</t>
  </si>
  <si>
    <t>Via Bergamo, 15</t>
  </si>
  <si>
    <t>Drogherie del Mare</t>
  </si>
  <si>
    <t>388/8348616</t>
  </si>
  <si>
    <t>Via Giusti, 18</t>
  </si>
  <si>
    <t>Aventina</t>
  </si>
  <si>
    <t>06/66594151</t>
  </si>
  <si>
    <t>Viale della Piramide Cestia, 9</t>
  </si>
  <si>
    <t>Charlotte</t>
  </si>
  <si>
    <t>Via Vercelli, 12/14</t>
  </si>
  <si>
    <t>06/25399727</t>
  </si>
  <si>
    <t>Magazzino Scipioni</t>
  </si>
  <si>
    <t>06/39745233</t>
  </si>
  <si>
    <t>Bosco - Officine del Tartufo</t>
  </si>
  <si>
    <t>Mogano</t>
  </si>
  <si>
    <t>Formello</t>
  </si>
  <si>
    <t>Via del Praticello Alto, 5</t>
  </si>
  <si>
    <t>327/2312156</t>
  </si>
  <si>
    <t>Spiazzo</t>
  </si>
  <si>
    <t>Ponte di Ferro</t>
  </si>
  <si>
    <t>Via Giovan Battista Marzi, 1</t>
  </si>
  <si>
    <t>Tarquinia</t>
  </si>
  <si>
    <t>0766/731637</t>
  </si>
  <si>
    <t>Via Filippo Nicolai, 44</t>
  </si>
  <si>
    <t>Caprarola</t>
  </si>
  <si>
    <t>0761/646173</t>
  </si>
  <si>
    <t>Forma</t>
  </si>
  <si>
    <t>Via Trieste, 9</t>
  </si>
  <si>
    <t>Civitavecchia</t>
  </si>
  <si>
    <t>0766/672647</t>
  </si>
  <si>
    <t>Rimessa Roscioli</t>
  </si>
  <si>
    <t>06/68803914</t>
  </si>
  <si>
    <t>Il Casaletto</t>
  </si>
  <si>
    <t>Strada Grottana, 9</t>
  </si>
  <si>
    <t>Grotte Santo Stefano</t>
  </si>
  <si>
    <t>0761/367077</t>
  </si>
  <si>
    <t>Contrasto</t>
  </si>
  <si>
    <t>0761/973117</t>
  </si>
  <si>
    <t>Spaccio Grosso</t>
  </si>
  <si>
    <t>Via Ancona, 40</t>
  </si>
  <si>
    <t>06/9419004</t>
  </si>
  <si>
    <t>Ristorante Belvedere dal 1933</t>
  </si>
  <si>
    <t>Via Regina Margherita, 29</t>
  </si>
  <si>
    <t>Dazio Roma</t>
  </si>
  <si>
    <t>Via Nomentana, 1206</t>
  </si>
  <si>
    <t>06/83525515</t>
  </si>
  <si>
    <t>tapas bar</t>
  </si>
  <si>
    <t>53 Untitled</t>
  </si>
  <si>
    <t>375/7150155</t>
  </si>
  <si>
    <t>Pastorie</t>
  </si>
  <si>
    <t>Via Pesaro, 40</t>
  </si>
  <si>
    <t>393/9558235</t>
  </si>
  <si>
    <t>Vinificio</t>
  </si>
  <si>
    <t>Dogma</t>
  </si>
  <si>
    <t>06/86679819</t>
  </si>
  <si>
    <t>Piazza Zama, 34</t>
  </si>
  <si>
    <t>Velo Pasticceria</t>
  </si>
  <si>
    <t>06/45427861</t>
  </si>
  <si>
    <t>Via del Corso, 63</t>
  </si>
  <si>
    <t>Via Faleria, 12</t>
  </si>
  <si>
    <t>06/97278919</t>
  </si>
  <si>
    <t>I Quintili</t>
  </si>
  <si>
    <t>Via Eurialo, 7/C</t>
  </si>
  <si>
    <t>06/80077157</t>
  </si>
  <si>
    <t>06/2016003</t>
  </si>
  <si>
    <t>Caffè Doria</t>
  </si>
  <si>
    <t>06/6793805</t>
  </si>
  <si>
    <t>Il Maritozzo Rosso</t>
  </si>
  <si>
    <t>06/5817363</t>
  </si>
  <si>
    <t>Via Pietro Cavallini, 25</t>
  </si>
  <si>
    <t>06/90543525</t>
  </si>
  <si>
    <t>Pulejo</t>
  </si>
  <si>
    <t>Via dei Gracchi, 31</t>
  </si>
  <si>
    <t>06/85956532</t>
  </si>
  <si>
    <t>Baccio e i Gradini</t>
  </si>
  <si>
    <t>Viale della Piramide Cestia, 25</t>
  </si>
  <si>
    <t>351/8823737</t>
  </si>
  <si>
    <t>Tulipane</t>
  </si>
  <si>
    <t>Via del Pavone, 28</t>
  </si>
  <si>
    <t>06/01903840</t>
  </si>
  <si>
    <t>Piazza della Cancelleria, 80</t>
  </si>
  <si>
    <t>06/6897080</t>
  </si>
  <si>
    <t>Molo 21</t>
  </si>
  <si>
    <t>Lungomare Guglielmo Marconi, 21</t>
  </si>
  <si>
    <t>Santa Marinella</t>
  </si>
  <si>
    <t>L'Elementare</t>
  </si>
  <si>
    <t>Via Benedetta, 23</t>
  </si>
  <si>
    <t>06/5894016</t>
  </si>
  <si>
    <t>Michele Chinappi</t>
  </si>
  <si>
    <t>pesce / pizzeria</t>
  </si>
  <si>
    <t>Via Abate Tosti, 101</t>
  </si>
  <si>
    <t>0771/279917</t>
  </si>
  <si>
    <t>Via Guido de Ruggiero, 64</t>
  </si>
  <si>
    <t>06/95938970</t>
  </si>
  <si>
    <t>oWine</t>
  </si>
  <si>
    <t>Contatto</t>
  </si>
  <si>
    <t>Via Gioberti, 11</t>
  </si>
  <si>
    <t>06/21700957</t>
  </si>
  <si>
    <t>0773/703921</t>
  </si>
  <si>
    <t>Santo Bevitore</t>
  </si>
  <si>
    <t>Via Guglielmo Marconi, 8</t>
  </si>
  <si>
    <t>Cassino</t>
  </si>
  <si>
    <t>Il Vecchio Mulino</t>
  </si>
  <si>
    <t>territoriale</t>
  </si>
  <si>
    <t>Lubriano</t>
  </si>
  <si>
    <t>0761/780505</t>
  </si>
  <si>
    <t>0774/282499</t>
  </si>
  <si>
    <t>NU' Trattoria Italiana dal 1960</t>
  </si>
  <si>
    <t>tipica</t>
  </si>
  <si>
    <t>Acuto</t>
  </si>
  <si>
    <t>0775/56372</t>
  </si>
  <si>
    <t>L'Osteria dell'Orologio</t>
  </si>
  <si>
    <t>Umami - trattoria giapponese</t>
  </si>
  <si>
    <t>Clementina</t>
  </si>
  <si>
    <t>Via della Torre Clementina, 158</t>
  </si>
  <si>
    <t>328/8181651</t>
  </si>
  <si>
    <t>Extremis</t>
  </si>
  <si>
    <t>Via del Casale Rocchi, 20/22</t>
  </si>
  <si>
    <t>06/87809051</t>
  </si>
  <si>
    <t>Osteria di Maccarese</t>
  </si>
  <si>
    <t>06/30328324</t>
  </si>
  <si>
    <t>Maccarese</t>
  </si>
  <si>
    <t>ricercata / principalmente pesce</t>
  </si>
  <si>
    <t>street food al tartufo</t>
  </si>
  <si>
    <t>panini di mare</t>
  </si>
  <si>
    <t>enoteca naturale</t>
  </si>
  <si>
    <t>hamburgheria / ristorante di carne</t>
  </si>
  <si>
    <t>cocktail bar / bistrot</t>
  </si>
  <si>
    <t>caffetteria / sala da tè</t>
  </si>
  <si>
    <t>abruzzese</t>
  </si>
  <si>
    <t>Dopo Lavoro Ricreativo</t>
  </si>
  <si>
    <t>Er Macellaio</t>
  </si>
  <si>
    <t>Forno Conti &amp; Co.</t>
  </si>
  <si>
    <t>Jiamo Lab</t>
  </si>
  <si>
    <t>LATTA - Fermenti e miscele</t>
  </si>
  <si>
    <t>Li Somari</t>
  </si>
  <si>
    <t>Mamma Orso</t>
  </si>
  <si>
    <t>Piano C - Circolo del vino</t>
  </si>
  <si>
    <t>Vineria Cesare dal 1963</t>
  </si>
  <si>
    <t>Via del Monte della Farina, 53</t>
  </si>
  <si>
    <t>Via Macerata, 8/C</t>
  </si>
  <si>
    <t>Galleria Doria Pamphilj, Via della Gatta, 1</t>
  </si>
  <si>
    <t>Via Cardinal Pietro La Fontaine, 21</t>
  </si>
  <si>
    <t>GRA</t>
  </si>
  <si>
    <t>Viale Aurelio Galleppini, 60/66</t>
  </si>
  <si>
    <t>Via Francesco Cangiullo, 16</t>
  </si>
  <si>
    <t>Contrada Taverna</t>
  </si>
  <si>
    <t>Via degli Scipioni, 30-30/A</t>
  </si>
  <si>
    <t>Via Arezzo, 17</t>
  </si>
  <si>
    <t>Via Prenestina, 27</t>
  </si>
  <si>
    <t>Via D’Ascanio, 26/A</t>
  </si>
  <si>
    <t>Via del Conservatorio, 58</t>
  </si>
  <si>
    <t>Porta Pia</t>
  </si>
  <si>
    <t>Via Mario Menghini, 99</t>
  </si>
  <si>
    <t>Parco della Caffarella</t>
  </si>
  <si>
    <t>Via San Francesco Nuovo, 1</t>
  </si>
  <si>
    <t>Piazza dell’Emporio, 1</t>
  </si>
  <si>
    <t>06/84382178</t>
  </si>
  <si>
    <t>06/88939709</t>
  </si>
  <si>
    <t>06/2757595</t>
  </si>
  <si>
    <t>06/99448583</t>
  </si>
  <si>
    <t>06/88923791</t>
  </si>
  <si>
    <t>06/97277922</t>
  </si>
  <si>
    <t>0766/1894210</t>
  </si>
  <si>
    <t>347/6632731</t>
  </si>
  <si>
    <t>329/2911575</t>
  </si>
  <si>
    <t>331/4428878</t>
  </si>
  <si>
    <t>065562738</t>
  </si>
  <si>
    <t>06/89138094</t>
  </si>
  <si>
    <t>5</t>
  </si>
  <si>
    <t>3,5</t>
  </si>
  <si>
    <t>7+</t>
  </si>
  <si>
    <t>8-</t>
  </si>
  <si>
    <t>7-</t>
  </si>
  <si>
    <t>2,5</t>
  </si>
  <si>
    <t>8½</t>
  </si>
  <si>
    <t>3</t>
  </si>
  <si>
    <t>8</t>
  </si>
  <si>
    <t>6½</t>
  </si>
  <si>
    <t>8+</t>
  </si>
  <si>
    <t>9½</t>
  </si>
  <si>
    <t>9-</t>
  </si>
  <si>
    <t>9+</t>
  </si>
  <si>
    <t>2 cremolati diversi + panna</t>
  </si>
  <si>
    <t>due piatti salati + 1 dolce</t>
  </si>
  <si>
    <t>antipasto, primo, secondo, dolce</t>
  </si>
  <si>
    <t>antipasto, primo, secondo e dolce</t>
  </si>
  <si>
    <t>uno dei due menù degustazione</t>
  </si>
  <si>
    <t>due pizze diverse + 1 fritto</t>
  </si>
  <si>
    <t>Via Nomentana, 335/F</t>
  </si>
  <si>
    <t>Namo Ristobottega</t>
  </si>
  <si>
    <t>Via Firenze, 30</t>
  </si>
  <si>
    <t>06/87759632</t>
  </si>
  <si>
    <t>Mifang</t>
  </si>
  <si>
    <t>Scottadito</t>
  </si>
  <si>
    <t>Via Veglia, 14</t>
  </si>
  <si>
    <t>06/97162153</t>
  </si>
  <si>
    <t>06/52372056</t>
  </si>
  <si>
    <t>Al Setaccio</t>
  </si>
  <si>
    <t>Via di Mezzocammino, 193</t>
  </si>
  <si>
    <t>Tor de Cenci</t>
  </si>
  <si>
    <t>Via Francesco D'Ovidio, 27</t>
  </si>
  <si>
    <t>06/87609540</t>
  </si>
  <si>
    <t>Montelanico</t>
  </si>
  <si>
    <t>353/4196130</t>
  </si>
  <si>
    <t>Trattoria della Fortuna</t>
  </si>
  <si>
    <t>06/9004098</t>
  </si>
  <si>
    <t>Monterotondo</t>
  </si>
  <si>
    <t>Via Salaria, 57</t>
  </si>
  <si>
    <t>Iodio</t>
  </si>
  <si>
    <t>06/89619556</t>
  </si>
  <si>
    <t>La Barrique</t>
  </si>
  <si>
    <t>06/47825953</t>
  </si>
  <si>
    <t>Piazza di Sant'Eustachio, 47</t>
  </si>
  <si>
    <t>Via dei Pettinari, 43</t>
  </si>
  <si>
    <t>La Locanda della Chiocciola</t>
  </si>
  <si>
    <t>Orte</t>
  </si>
  <si>
    <t>Piazza delle Coppelle, 8</t>
  </si>
  <si>
    <t>06/89024862</t>
  </si>
  <si>
    <t>Via degli Stradivari, 1</t>
  </si>
  <si>
    <t>06/5017873</t>
  </si>
  <si>
    <t>Via Fratelli Bonnet, 5</t>
  </si>
  <si>
    <t>349/6134850</t>
  </si>
  <si>
    <t>Lievito Francesco Arnesano</t>
  </si>
  <si>
    <t>Via Simone Martini, 6/8</t>
  </si>
  <si>
    <t>Ai Due Otri</t>
  </si>
  <si>
    <t>Via Antonio de Viti de Marco, 36/38</t>
  </si>
  <si>
    <t>Corso Francia</t>
  </si>
  <si>
    <t>06/3292209</t>
  </si>
  <si>
    <t>Kohaku</t>
  </si>
  <si>
    <t>Via Marche, 66</t>
  </si>
  <si>
    <t>06/45665202</t>
  </si>
  <si>
    <t>Arte Bianca di Gabriele</t>
  </si>
  <si>
    <t>06/2757763</t>
  </si>
  <si>
    <t>Garibaldi dal 1970</t>
  </si>
  <si>
    <t>Via Tiberina, 62</t>
  </si>
  <si>
    <t>Prima Porta</t>
  </si>
  <si>
    <t>06/33611962</t>
  </si>
  <si>
    <t>Fior di Luna</t>
  </si>
  <si>
    <t>Via della Lungaretta, 96</t>
  </si>
  <si>
    <t>06/64561314</t>
  </si>
  <si>
    <t>Proloco Trastevere</t>
  </si>
  <si>
    <t>Via Goffredo Mameli, 23</t>
  </si>
  <si>
    <t>06/45596137</t>
  </si>
  <si>
    <t>Locanda Altobelli</t>
  </si>
  <si>
    <t>346/8256622</t>
  </si>
  <si>
    <t>Via Annunziata, 121</t>
  </si>
  <si>
    <t>Dieci</t>
  </si>
  <si>
    <t>Nepi</t>
  </si>
  <si>
    <t>Via Vittorio Veneto, 112</t>
  </si>
  <si>
    <t>06/87756896</t>
  </si>
  <si>
    <t>Via dei Banchi Vecchi, 140</t>
  </si>
  <si>
    <t>06/69276422</t>
  </si>
  <si>
    <t>Ludovisi</t>
  </si>
  <si>
    <t>Via della Croce, 46/47</t>
  </si>
  <si>
    <t>Piazza della Quercia, 23</t>
  </si>
  <si>
    <t>06/68300932</t>
  </si>
  <si>
    <t>Caffè Fleming</t>
  </si>
  <si>
    <t>06/3333960</t>
  </si>
  <si>
    <t>Via della Giuliana, 33</t>
  </si>
  <si>
    <t>06/98874558</t>
  </si>
  <si>
    <t>panificio / pizzeria al taglio</t>
  </si>
  <si>
    <t>Ristorante Moi</t>
  </si>
  <si>
    <t>Via Antonio Serra, 15</t>
  </si>
  <si>
    <t>06/87600399</t>
  </si>
  <si>
    <t>Viale dei Quattro Venti, 70</t>
  </si>
  <si>
    <t>Orma</t>
  </si>
  <si>
    <t>06/8543182</t>
  </si>
  <si>
    <t>Federico Prodon Pâtisserie</t>
  </si>
  <si>
    <t>Il Marchese</t>
  </si>
  <si>
    <t>Via di Ripetta, 162</t>
  </si>
  <si>
    <t>Ara Pacis</t>
  </si>
  <si>
    <t>06/90218872</t>
  </si>
  <si>
    <t>Tinello Bistrot</t>
  </si>
  <si>
    <t>Castel Gandolfo</t>
  </si>
  <si>
    <t>Via dei Dalmati, 3</t>
  </si>
  <si>
    <t>06/65498083</t>
  </si>
  <si>
    <t>Criollo - Il Bistrot Del Gelato</t>
  </si>
  <si>
    <t>Via Giuseppe Bagnera, 59</t>
  </si>
  <si>
    <t>Viale Marconi</t>
  </si>
  <si>
    <t>328/2511673</t>
  </si>
  <si>
    <t>Piazza di Santa Maria Ausiliatrice, 17/18</t>
  </si>
  <si>
    <t>327/9470778</t>
  </si>
  <si>
    <t>Via Licinio Stolone, 92</t>
  </si>
  <si>
    <t>327/4128238</t>
  </si>
  <si>
    <t>Antico Forno Roscioli</t>
  </si>
  <si>
    <t>Via dei Chiavari, 34</t>
  </si>
  <si>
    <t>06/6864045</t>
  </si>
  <si>
    <t>Capannelle</t>
  </si>
  <si>
    <t>Casa Manfredi Teatro</t>
  </si>
  <si>
    <t>Panificio Marè Prati</t>
  </si>
  <si>
    <t>Viale Angelico, 88</t>
  </si>
  <si>
    <t>06/37511594</t>
  </si>
  <si>
    <t>La Quercia</t>
  </si>
  <si>
    <t>Forno Ottavi 1921</t>
  </si>
  <si>
    <t>Grani, farine e caffè</t>
  </si>
  <si>
    <t>Günther Gelato</t>
  </si>
  <si>
    <t>Lento - Vineria con Cucina</t>
  </si>
  <si>
    <t>Pork’n’Roll</t>
  </si>
  <si>
    <t>Crunch!</t>
  </si>
  <si>
    <t>Mama-ya Ramen</t>
  </si>
  <si>
    <t>couscouseria siciliana</t>
  </si>
  <si>
    <t>tradizionale / pizzeria</t>
  </si>
  <si>
    <t>Largo Sangemini, 7/B-C</t>
  </si>
  <si>
    <t>Via dei Conciatori, 5/A</t>
  </si>
  <si>
    <t>Via Tortolini, 3/A</t>
  </si>
  <si>
    <t>Via Monte Cadria, 125</t>
  </si>
  <si>
    <t>Via G. Marconi, 25/A</t>
  </si>
  <si>
    <t>Via Tor de' Schiavi, 55/d</t>
  </si>
  <si>
    <t>Via del Boschetto, 41</t>
  </si>
  <si>
    <t>Via Boncompagni, 31/33</t>
  </si>
  <si>
    <t>Via dei Pastori, 26-A/28</t>
  </si>
  <si>
    <t>Via Vigna di Corte, 6</t>
  </si>
  <si>
    <t>Camilluccia</t>
  </si>
  <si>
    <t>Lungotevere dei Vallati</t>
  </si>
  <si>
    <t>Serafico</t>
  </si>
  <si>
    <t>Viale XXI Aprile</t>
  </si>
  <si>
    <t>Ponte Testaccio</t>
  </si>
  <si>
    <t>Via Boncompagni</t>
  </si>
  <si>
    <t>Piazza Farnese</t>
  </si>
  <si>
    <t>Repubblica</t>
  </si>
  <si>
    <t>06/68808292</t>
  </si>
  <si>
    <t>06/68395030</t>
  </si>
  <si>
    <t>06/69346839</t>
  </si>
  <si>
    <t>389/1798451</t>
  </si>
  <si>
    <t>06/83082083</t>
  </si>
  <si>
    <t>06/39728547</t>
  </si>
  <si>
    <t>0761/770885</t>
  </si>
  <si>
    <t>06/5522778</t>
  </si>
  <si>
    <t>06/9459338</t>
  </si>
  <si>
    <t>06/9322791</t>
  </si>
  <si>
    <t>0761/402734</t>
  </si>
  <si>
    <t>06/35452285</t>
  </si>
  <si>
    <t>06/5744958</t>
  </si>
  <si>
    <t xml:space="preserve">1 antipasto, 1 primo, 1 secondo, 1 dolce </t>
  </si>
  <si>
    <t>un antipasto e due pizze diverse</t>
  </si>
  <si>
    <t>Via Piave, 8</t>
  </si>
  <si>
    <t>376/2067672</t>
  </si>
  <si>
    <t>Le Levain Café</t>
  </si>
  <si>
    <t>0746/249202</t>
  </si>
  <si>
    <t>Contigliano</t>
  </si>
  <si>
    <t>Via Umberto I, 2</t>
  </si>
  <si>
    <t>La Palazzina</t>
  </si>
  <si>
    <t>351/7164206</t>
  </si>
  <si>
    <t>San Cesareo</t>
  </si>
  <si>
    <t>Love</t>
  </si>
  <si>
    <t>06/96525119</t>
  </si>
  <si>
    <t>OGGI - Officina Gelato Gusto Italiano</t>
  </si>
  <si>
    <t>Via Tacito, 66</t>
  </si>
  <si>
    <t>06/53099944</t>
  </si>
  <si>
    <t>Nite Kong</t>
  </si>
  <si>
    <t>366/8171293</t>
  </si>
  <si>
    <t>Portale 21 - Opificio di cucina</t>
  </si>
  <si>
    <t>Marino</t>
  </si>
  <si>
    <t>06/94837668</t>
  </si>
  <si>
    <t>Via Rodolfo Morandi, 32</t>
  </si>
  <si>
    <t>45+20</t>
  </si>
  <si>
    <t>0774/282912</t>
  </si>
  <si>
    <t>Viale Aventino, 46</t>
  </si>
  <si>
    <t>Santa Romana</t>
  </si>
  <si>
    <t>Piazza Certaldo, 12</t>
  </si>
  <si>
    <t>06/69317674</t>
  </si>
  <si>
    <t>Magliana</t>
  </si>
  <si>
    <t>Via Reggio Emilia, 24</t>
  </si>
  <si>
    <t>06/88936084</t>
  </si>
  <si>
    <t>06/2590699</t>
  </si>
  <si>
    <t>Via del Gazometro, 5/A</t>
  </si>
  <si>
    <t>06/45479738</t>
  </si>
  <si>
    <t>Don Choc</t>
  </si>
  <si>
    <t>gelateria / cioccolateria</t>
  </si>
  <si>
    <t>06/33221585</t>
  </si>
  <si>
    <t>06/64760483</t>
  </si>
  <si>
    <t>Piazza Rivarola, 21</t>
  </si>
  <si>
    <t>266 La Barraca</t>
  </si>
  <si>
    <t>Lungomare delle Meduse, 266</t>
  </si>
  <si>
    <t>06/85386554</t>
  </si>
  <si>
    <t>06/24597135</t>
  </si>
  <si>
    <t>Song</t>
  </si>
  <si>
    <t>06/3215804</t>
  </si>
  <si>
    <t>Via Valadier, 14</t>
  </si>
  <si>
    <t>Lido di Ostia</t>
  </si>
  <si>
    <t>Piazza Barberini</t>
  </si>
  <si>
    <t>06/3231436</t>
  </si>
  <si>
    <t>street food</t>
  </si>
  <si>
    <t>Osteria La Massaia</t>
  </si>
  <si>
    <t>06/52205140</t>
  </si>
  <si>
    <t>Via della Seta, 1</t>
  </si>
  <si>
    <t>Hotel Vilòn</t>
  </si>
  <si>
    <t>Via dell'Arancio, 68/69</t>
  </si>
  <si>
    <t>06/878187</t>
  </si>
  <si>
    <t>Hotel De' Ricci</t>
  </si>
  <si>
    <t>Via della Barchetta, 14</t>
  </si>
  <si>
    <t>06/6874775</t>
  </si>
  <si>
    <t>Da Tullio</t>
  </si>
  <si>
    <t>Via della Balduina, 211</t>
  </si>
  <si>
    <t>06/35347252</t>
  </si>
  <si>
    <t>Conca d'Oro</t>
  </si>
  <si>
    <t>Bar Sota</t>
  </si>
  <si>
    <t>hamburgheria / caffetteria</t>
  </si>
  <si>
    <t>06/69221898</t>
  </si>
  <si>
    <t>Gelato Romano</t>
  </si>
  <si>
    <t>Casaloca</t>
  </si>
  <si>
    <t>Corso di Francia, 207</t>
  </si>
  <si>
    <t>06/40069361</t>
  </si>
  <si>
    <t>spagnola</t>
  </si>
  <si>
    <t>La Perla</t>
  </si>
  <si>
    <t>Via Collebianco, 11</t>
  </si>
  <si>
    <t>339/8876306</t>
  </si>
  <si>
    <t>Arpino</t>
  </si>
  <si>
    <t>Porta Maggiore</t>
  </si>
  <si>
    <t>06/69350147</t>
  </si>
  <si>
    <t>Oolong</t>
  </si>
  <si>
    <t>06/21707385</t>
  </si>
  <si>
    <t>Nena Mercato&amp;Cucina</t>
  </si>
  <si>
    <t>Via dei Sabelli, 193</t>
  </si>
  <si>
    <t>06/83434951</t>
  </si>
  <si>
    <t>La Tana dei Carbonari</t>
  </si>
  <si>
    <t>Via XX Settembre, 35</t>
  </si>
  <si>
    <t>Roccagorga</t>
  </si>
  <si>
    <t>351/7434838</t>
  </si>
  <si>
    <t>Becco</t>
  </si>
  <si>
    <t>Piazzale degli Eroi, 7</t>
  </si>
  <si>
    <t>Contrada Rapello</t>
  </si>
  <si>
    <t>0774/034382</t>
  </si>
  <si>
    <t>Popina Trattoria</t>
  </si>
  <si>
    <t>06/72499997</t>
  </si>
  <si>
    <t>Via Giovanni Verga, 42</t>
  </si>
  <si>
    <t>Trattoria A Casa Di Rita</t>
  </si>
  <si>
    <t>Via delle Ciliegie, 145</t>
  </si>
  <si>
    <t>Alessandrino</t>
  </si>
  <si>
    <t>338/9860960</t>
  </si>
  <si>
    <t>Il Maratoneta</t>
  </si>
  <si>
    <t>Via dei Volsci, 99</t>
  </si>
  <si>
    <t>Viale Europa, 15</t>
  </si>
  <si>
    <t>Via Santa Margherita, 1</t>
  </si>
  <si>
    <t>Cori</t>
  </si>
  <si>
    <t>06/9678949</t>
  </si>
  <si>
    <t>wine bar / bistrot</t>
  </si>
  <si>
    <t>Sottobanco</t>
  </si>
  <si>
    <t>Via Paolo Frisi, 1</t>
  </si>
  <si>
    <t>06/85857447</t>
  </si>
  <si>
    <t>Frumentario</t>
  </si>
  <si>
    <t>Via Tuscolana, 26</t>
  </si>
  <si>
    <t>324/0578982</t>
  </si>
  <si>
    <t>Mi Cucina Cinese Contemporanea</t>
  </si>
  <si>
    <t>Via Giovanni Botero, 31/33</t>
  </si>
  <si>
    <t>06/89346223</t>
  </si>
  <si>
    <t>Colli Albani</t>
  </si>
  <si>
    <t>InFucina</t>
  </si>
  <si>
    <t>Via dei Salentini, 6/12</t>
  </si>
  <si>
    <t>06/88791819</t>
  </si>
  <si>
    <t>Via Enrico Fermi, 102/104</t>
  </si>
  <si>
    <t>Marconi</t>
  </si>
  <si>
    <t>06/55296621</t>
  </si>
  <si>
    <t>06/45683049</t>
  </si>
  <si>
    <t>Stefano Ferrara - Gelateria</t>
  </si>
  <si>
    <t>Via Francesco Cilea, 244/246</t>
  </si>
  <si>
    <t>06/5578634</t>
  </si>
  <si>
    <t>Stefano Ferrara - Formaessenza</t>
  </si>
  <si>
    <t>Maksymovych</t>
  </si>
  <si>
    <t>06/5576474</t>
  </si>
  <si>
    <t>tradizionale con spunti creativi / pizzeria</t>
  </si>
  <si>
    <t>Via della Portella, 31</t>
  </si>
  <si>
    <t>Sancho</t>
  </si>
  <si>
    <t>06/6580690</t>
  </si>
  <si>
    <t>Via Giuseppe Gioachino Belli, 3/A</t>
  </si>
  <si>
    <t>Viale Trastevere, 255</t>
  </si>
  <si>
    <t>Via Pietro Blaserna, 11</t>
  </si>
  <si>
    <t>Giuffrè forno &amp; gelato</t>
  </si>
  <si>
    <t>06/77205274</t>
  </si>
  <si>
    <t>06/5899616</t>
  </si>
  <si>
    <t>Locanda Nocera</t>
  </si>
  <si>
    <t>Via Viggiano, 155</t>
  </si>
  <si>
    <t>351/7590202</t>
  </si>
  <si>
    <t>Tor Carbone</t>
  </si>
  <si>
    <t>Zero Miglia</t>
  </si>
  <si>
    <t>06/9803030</t>
  </si>
  <si>
    <t>Miao Miao</t>
  </si>
  <si>
    <t>Gallo Ristorante di Pesce</t>
  </si>
  <si>
    <t>Krapfen Paglia</t>
  </si>
  <si>
    <t>bar/ pasticceria</t>
  </si>
  <si>
    <t>Piazza Anco Marzio, 18/19</t>
  </si>
  <si>
    <t>06/5623344</t>
  </si>
  <si>
    <t>Via Girolamo Benzoni, 34</t>
  </si>
  <si>
    <t>334/3855945</t>
  </si>
  <si>
    <t>Koû Koû</t>
  </si>
  <si>
    <t>pasticceria / cucina giapponese</t>
  </si>
  <si>
    <t>Via Monte Pertica, 41</t>
  </si>
  <si>
    <t>Casa Matti</t>
  </si>
  <si>
    <t>Via Sabotino, 49/51</t>
  </si>
  <si>
    <t>06/93563371</t>
  </si>
  <si>
    <t>Hiromi La Maison</t>
  </si>
  <si>
    <t>Via Giovanni Schiaparelli, 21</t>
  </si>
  <si>
    <t>06/89325263</t>
  </si>
  <si>
    <t>TAC - Thin And Crunchy</t>
  </si>
  <si>
    <t>Via Fiume delle Perle, 136/138</t>
  </si>
  <si>
    <t>Mostacciano</t>
  </si>
  <si>
    <t>06/45652738</t>
  </si>
  <si>
    <t>Via Flaminia, 64</t>
  </si>
  <si>
    <t>Piazzale Flaminio</t>
  </si>
  <si>
    <t>06/64781692</t>
  </si>
  <si>
    <t>Marzapane Café &amp; Bakery</t>
  </si>
  <si>
    <t>Mazzo</t>
  </si>
  <si>
    <t>Via degli Equi, 62</t>
  </si>
  <si>
    <t>06/69420455</t>
  </si>
  <si>
    <t>Bap</t>
  </si>
  <si>
    <t>Via Raffaele Cadorna, 5</t>
  </si>
  <si>
    <t>06/2428174</t>
  </si>
  <si>
    <t>Piazza dei Caprettari, 56/60</t>
  </si>
  <si>
    <t>Libera</t>
  </si>
  <si>
    <t>Via Luigi Tosti, 54</t>
  </si>
  <si>
    <t>due dolci e una bevanda "lavorata" (tè, caffè)</t>
  </si>
  <si>
    <t>Scima</t>
  </si>
  <si>
    <t>Via Annia Regilla, 110</t>
  </si>
  <si>
    <t>Quarto Miglio</t>
  </si>
  <si>
    <t>339/8743355</t>
  </si>
  <si>
    <t>Via Cassia, 1839</t>
  </si>
  <si>
    <t>La Storta</t>
  </si>
  <si>
    <t>06/94379873</t>
  </si>
  <si>
    <t>Pontisso</t>
  </si>
  <si>
    <t>Via Antonio Cantore, 3</t>
  </si>
  <si>
    <t>06/86214524</t>
  </si>
  <si>
    <t>Mile</t>
  </si>
  <si>
    <t>Via Pesaro, 8</t>
  </si>
  <si>
    <t>327/5878046</t>
  </si>
  <si>
    <t>N'Antro</t>
  </si>
  <si>
    <t>Largo Appio Claudio, 350</t>
  </si>
  <si>
    <t>333/3900984</t>
  </si>
  <si>
    <t>TE Caffè</t>
  </si>
  <si>
    <t>caffetteria specialty / pasticceria</t>
  </si>
  <si>
    <t>Via Sforza Pallavicini, 19/25</t>
  </si>
  <si>
    <t>Castel Sant'Angelo</t>
  </si>
  <si>
    <t>375/7051217</t>
  </si>
  <si>
    <t>Sordoni</t>
  </si>
  <si>
    <t>Friccico Mangia&amp;Bevi</t>
  </si>
  <si>
    <t>La Bottega delle tre Sorelle</t>
  </si>
  <si>
    <t>MIA - pizzeria creativa</t>
  </si>
  <si>
    <t>NUH Osteria Contemporanea</t>
  </si>
  <si>
    <t>Ristorante Delicato</t>
  </si>
  <si>
    <t>Svario-Pizza Bar</t>
  </si>
  <si>
    <t>UMA</t>
  </si>
  <si>
    <t>Barnum Café</t>
  </si>
  <si>
    <t>Cafè Merenda</t>
  </si>
  <si>
    <t>Gelateria daRe</t>
  </si>
  <si>
    <t>Ruver - teglia frazionata</t>
  </si>
  <si>
    <t>San Biagio pizza e bolle</t>
  </si>
  <si>
    <t>cucina tradizionale con spunti creativi</t>
  </si>
  <si>
    <t>tramezzineria</t>
  </si>
  <si>
    <t>forno / caffetteria specialty</t>
  </si>
  <si>
    <t>caffetteria specialty / bakery</t>
  </si>
  <si>
    <t>albergo con sala da tè</t>
  </si>
  <si>
    <t>caffetteria specialty / forno</t>
  </si>
  <si>
    <t>sandwicheria</t>
  </si>
  <si>
    <t>bar / pasticceria / bistrot</t>
  </si>
  <si>
    <t>Contrada Rapello, 13</t>
  </si>
  <si>
    <t>Viale dei Colli Portuensi, 169</t>
  </si>
  <si>
    <t>Via di Santa Croce in Gerusalemme, 29</t>
  </si>
  <si>
    <t>Piazza Alessandria</t>
  </si>
  <si>
    <t>Via Giovanni XXIII, snc</t>
  </si>
  <si>
    <t>Via del Carzolese, 1 ang. Via Casilina</t>
  </si>
  <si>
    <t>Via Collatina, 126/D</t>
  </si>
  <si>
    <t>Via della Missione, 56</t>
  </si>
  <si>
    <t>Via Val Senio, 18</t>
  </si>
  <si>
    <t>Via della Frezza, 55</t>
  </si>
  <si>
    <t>Via Aurelia, 388/B</t>
  </si>
  <si>
    <t>Mezzocammino</t>
  </si>
  <si>
    <t>Campo dei Fiori</t>
  </si>
  <si>
    <t>Casalbertone</t>
  </si>
  <si>
    <t>Vicolo del Cedro, 26</t>
  </si>
  <si>
    <t>Via Tunisi, 51</t>
  </si>
  <si>
    <t>Via della Stelletta, 4/A</t>
  </si>
  <si>
    <t>Via Oslavia, 39</t>
  </si>
  <si>
    <t>Via della Torre Clementina 142/A</t>
  </si>
  <si>
    <t>Via Flaminia, 67</t>
  </si>
  <si>
    <t>Torvaianica</t>
  </si>
  <si>
    <t>06/87807070</t>
  </si>
  <si>
    <t>06/42990845</t>
  </si>
  <si>
    <t>320/6851104</t>
  </si>
  <si>
    <t>06/701 8134</t>
  </si>
  <si>
    <t>351/9711876</t>
  </si>
  <si>
    <t>06/97997519 - 349/3603694</t>
  </si>
  <si>
    <t>06/24406688</t>
  </si>
  <si>
    <t>06/23488536</t>
  </si>
  <si>
    <t>380/6914759</t>
  </si>
  <si>
    <t>327/0737999</t>
  </si>
  <si>
    <t>06/86299316</t>
  </si>
  <si>
    <t>pl.</t>
  </si>
  <si>
    <t>m.</t>
  </si>
  <si>
    <t>c.</t>
  </si>
  <si>
    <t>Perc.</t>
  </si>
  <si>
    <t>Piatti da provare</t>
  </si>
  <si>
    <t>menù il "vostro All'Oro"</t>
  </si>
  <si>
    <t>menù degustazione 5 portate</t>
  </si>
  <si>
    <t>menù Idylio Butterfly</t>
  </si>
  <si>
    <t>menù degustazione</t>
  </si>
  <si>
    <t>menù "primi passi"</t>
  </si>
  <si>
    <t>menù "piccolo"</t>
  </si>
  <si>
    <t>menù degustazione 6 portate</t>
  </si>
  <si>
    <t>3 piatti salati e 1 dolce</t>
  </si>
  <si>
    <t>menù 5 portate</t>
  </si>
  <si>
    <t>menù "bar a vin"</t>
  </si>
  <si>
    <t>55+20</t>
  </si>
  <si>
    <t>menù degustazione "La Perla"</t>
  </si>
  <si>
    <t>menù degustazione 6 piatti</t>
  </si>
  <si>
    <t>degustazione da 5 portate</t>
  </si>
  <si>
    <t>antipasto (no taglieri), primo, secondo a base di carne, dolci</t>
  </si>
  <si>
    <t>antipasto,primo,secondo e dolce</t>
  </si>
  <si>
    <t>1 antipasto, 1 primo, 1 secondo, 1 dolce (no semplici verdure)</t>
  </si>
  <si>
    <t>antipasto, primo,secondo e dolce</t>
  </si>
  <si>
    <t>1 antipasto (no taglieri e bruschette, verificare se quello della casa contiene cose cucinate, in caso prenderlo, altrimenti sostituirlo con un altro primo), 1 primo, 1 secondo e 1 dolce</t>
  </si>
  <si>
    <t>antipasto (no salumi e sott'oli, primo, secondo e dolce</t>
  </si>
  <si>
    <t>antipasto, primo,secondo, dolce</t>
  </si>
  <si>
    <t>antipasto,primo, secondo e dolce</t>
  </si>
  <si>
    <t>antipasto, primo, secondo,dolce</t>
  </si>
  <si>
    <t>da provare a cena: antipasto, primo, secondo e dolce</t>
  </si>
  <si>
    <t>menù percorso romano</t>
  </si>
  <si>
    <t>antipasto, riso o noodles, secondo di carne o pesce, dolce</t>
  </si>
  <si>
    <t>1 raviolo (no verdure), 1 dim sum, 1 piatto di riso (no semplice), 1 secondo (carne o verdure ma non piatti semplici)</t>
  </si>
  <si>
    <t>menù dim sum</t>
  </si>
  <si>
    <t>1 ramen, 1 piatto tra gyoza, bun o agemono, 1 tipo di huramaki</t>
  </si>
  <si>
    <t>1 fritto, 1 pizza classica, 1 gourmet, 1 dolce</t>
  </si>
  <si>
    <t>due pizze diverse + 1 fritto + 1 lingotto</t>
  </si>
  <si>
    <t>due pizze diverse+1antipasto o fritto+1 dolce</t>
  </si>
  <si>
    <t>due pizze diverse + 1 antipasto</t>
  </si>
  <si>
    <t>due pizze diverse+1 fritto+ 1 dolce</t>
  </si>
  <si>
    <t>1 fritto, due pizze diverse,1 dolce</t>
  </si>
  <si>
    <t>1 fritto, uno spicchio di pizza al padellino, 2 pizze diverse, 1 cocktail</t>
  </si>
  <si>
    <t>due bun diversi</t>
  </si>
  <si>
    <t>3 maritozzi piccoli, magari due salati e uno dolce</t>
  </si>
  <si>
    <t>1 puccia, 1 primo o secondo</t>
  </si>
  <si>
    <t>formula afternoon tea</t>
  </si>
  <si>
    <t>3 piatti salati + 1 calice di vino</t>
  </si>
  <si>
    <t>1 calice di vino + 1 sfizio+1 crostone</t>
  </si>
  <si>
    <t>2 piatti dal menù (no dolce e no piatti di sole verdure); per il vino ho calcolato 5€ di rimborso come il costo medio di un calice anche se la bottiglia rimane a chi la compra.</t>
  </si>
  <si>
    <t>un calice e 2 piatti (no cose semplici o di sole verdure)</t>
  </si>
  <si>
    <t>un calice + 1 fermentato e 2 piatti</t>
  </si>
  <si>
    <t>un calice + 2 fermini e 1 piatto</t>
  </si>
  <si>
    <t>2 piatti salati (no ostriche) e 1 calice di vino</t>
  </si>
  <si>
    <t>2 panini diversi</t>
  </si>
  <si>
    <t>short trip</t>
  </si>
  <si>
    <t>tre varietà di dumpling diversi</t>
  </si>
  <si>
    <t>1 calice di vino, 1 snack, 2 piatti diversi</t>
  </si>
  <si>
    <t>2 hamburger diversi + 1 fritto</t>
  </si>
  <si>
    <t>1 crostino, 1 tagliere misto, 1 piatto, 1 calice di vino</t>
  </si>
  <si>
    <t>3 piatti salati e 1 dolce (no salumi e formaggi, una sola tapas)</t>
  </si>
  <si>
    <t>2 cocktail diversi più due tapas</t>
  </si>
  <si>
    <t>2 cocktail + 1 piatto</t>
  </si>
  <si>
    <t>2 cocktail diversi + 1 piatto</t>
  </si>
  <si>
    <t>2 pizze al tegamino (1 "tradizione", 1 "evoluzione")</t>
  </si>
  <si>
    <t>2 tranci di pizza diversi + 1 fritto</t>
  </si>
  <si>
    <t>3 tramezzini diversi</t>
  </si>
  <si>
    <t>1 arepas, 1 empanada, 1 piatto a scelta</t>
  </si>
  <si>
    <t>2 tranci di pizza piccoli + 1 fritto caratteristico</t>
  </si>
  <si>
    <t>due tipi di kebab diversi</t>
  </si>
  <si>
    <t>2 panini diversi con tipologie di pesce diverse</t>
  </si>
  <si>
    <t>2 trapizzini diversi + 1 fritto</t>
  </si>
  <si>
    <t>3 piatti salati + 1 dolce</t>
  </si>
  <si>
    <t>due pizze diverse, 1 fritto o antipasto, 1 dolce</t>
  </si>
  <si>
    <t>menù serale: antipasto (no insalate), primo, secondo (no sandwiches), dolce</t>
  </si>
  <si>
    <t>Via Conca d'Oro, 38</t>
  </si>
  <si>
    <t>06/83797040</t>
  </si>
  <si>
    <t>menù da 6 portate</t>
  </si>
  <si>
    <t>Riccioli d'Oro</t>
  </si>
  <si>
    <t>Mordi Roma</t>
  </si>
  <si>
    <t>334/7301833</t>
  </si>
  <si>
    <t>Aiki Pub</t>
  </si>
  <si>
    <t>Via Gaetano Rappini, 23</t>
  </si>
  <si>
    <t>378/3064424</t>
  </si>
  <si>
    <t>4 piatti salati (no sfizi iniziali e solo verdure)+ 1 dolce</t>
  </si>
  <si>
    <t>GioMà</t>
  </si>
  <si>
    <t>Via Calpurnio Fiamma, 40/44</t>
  </si>
  <si>
    <t>06/7674717</t>
  </si>
  <si>
    <t>1 fritto, 2 pizze diverse, 1 dolce</t>
  </si>
  <si>
    <t>Terra Gelato</t>
  </si>
  <si>
    <t>Piazza Santa Maria Maggiore, 9</t>
  </si>
  <si>
    <t>Via Cavour</t>
  </si>
  <si>
    <t>06/45666656</t>
  </si>
  <si>
    <t>Avus</t>
  </si>
  <si>
    <t>Via Cavour, 117</t>
  </si>
  <si>
    <t>vegetariano ma non solo</t>
  </si>
  <si>
    <t>06/30324564</t>
  </si>
  <si>
    <t>Via Muggia, 14</t>
  </si>
  <si>
    <t>Fase - cucina spontanea</t>
  </si>
  <si>
    <t>Quadraro</t>
  </si>
  <si>
    <t>370/1411858</t>
  </si>
  <si>
    <t xml:space="preserve">2 tapas salate e una dolce+2 birre diverse </t>
  </si>
  <si>
    <t>Giù Upside Down Restaurant</t>
  </si>
  <si>
    <t>Via Paolo Stoppa, 40</t>
  </si>
  <si>
    <t>Giardino di Roma</t>
  </si>
  <si>
    <t>375/5475445</t>
  </si>
  <si>
    <t>06/69401880</t>
  </si>
  <si>
    <t>Via Siria, 3</t>
  </si>
  <si>
    <t>menù 6 portate</t>
  </si>
  <si>
    <t>06/23209132</t>
  </si>
  <si>
    <t>3 piatti salati+1 dolce</t>
  </si>
  <si>
    <t>Nomisan</t>
  </si>
  <si>
    <t xml:space="preserve"> 342/8036080</t>
  </si>
  <si>
    <t>Viale Gianluigi Bonelli, 237</t>
  </si>
  <si>
    <t>Mezzocamino</t>
  </si>
  <si>
    <t>Brucio - La Contemporanea</t>
  </si>
  <si>
    <t>Brucio - La Romana</t>
  </si>
  <si>
    <t>Ciaparat</t>
  </si>
  <si>
    <t>06/86299221</t>
  </si>
  <si>
    <t>Enofficina</t>
  </si>
  <si>
    <t>Via Trionfale, 50</t>
  </si>
  <si>
    <t>06/39742353</t>
  </si>
  <si>
    <t>Via Vibio Mariano, 5</t>
  </si>
  <si>
    <t>Tomba di Nerone</t>
  </si>
  <si>
    <t>06/33251114 - 334/3112437</t>
  </si>
  <si>
    <t>333/4327944</t>
  </si>
  <si>
    <t>Said dal 1923</t>
  </si>
  <si>
    <t>cioccolateria / bistrot</t>
  </si>
  <si>
    <t>Via Tiburtina, 135</t>
  </si>
  <si>
    <t>06/4469204</t>
  </si>
  <si>
    <t>Piatto Romano</t>
  </si>
  <si>
    <t>Via Giovanni Battista Bodoni, 62</t>
  </si>
  <si>
    <t>06/64014447</t>
  </si>
  <si>
    <t>Locanda Ruggieri</t>
  </si>
  <si>
    <t>Via del Rio, 10</t>
  </si>
  <si>
    <t>333/4758507</t>
  </si>
  <si>
    <t>Il Grecale</t>
  </si>
  <si>
    <t>Riviera Zanardelli, 57</t>
  </si>
  <si>
    <t>06/9846822</t>
  </si>
  <si>
    <t>Locanda Dorica</t>
  </si>
  <si>
    <t>06/5590376</t>
  </si>
  <si>
    <t>Vicolo Giorgi, 15</t>
  </si>
  <si>
    <t>Velletri</t>
  </si>
  <si>
    <t>Casa Malgarini</t>
  </si>
  <si>
    <t>06/87772889</t>
  </si>
  <si>
    <t>Parco di Veio</t>
  </si>
  <si>
    <t>Osteria Landi</t>
  </si>
  <si>
    <t>06/56305565</t>
  </si>
  <si>
    <t>Via Claudio, 28</t>
  </si>
  <si>
    <t>Santa Pizza</t>
  </si>
  <si>
    <t>06/85951563</t>
  </si>
  <si>
    <t>La Lampara</t>
  </si>
  <si>
    <t>Passoscuro</t>
  </si>
  <si>
    <t>06/6672038</t>
  </si>
  <si>
    <t>Via Catania, 51</t>
  </si>
  <si>
    <t>kebab</t>
  </si>
  <si>
    <t>Borgo San Giorgio</t>
  </si>
  <si>
    <t>Via dei Pastori, 30</t>
  </si>
  <si>
    <t>06/59603683</t>
  </si>
  <si>
    <t>Tratto</t>
  </si>
  <si>
    <t>Viale Dell’Aeronautica 67/69</t>
  </si>
  <si>
    <t>06/5921244</t>
  </si>
  <si>
    <t>Enoteca Cavour 313</t>
  </si>
  <si>
    <t>Via Cavour, 313</t>
  </si>
  <si>
    <t>06/6785496</t>
  </si>
  <si>
    <t>Ponte Milvio</t>
  </si>
  <si>
    <t>Via Appia Nuova, 37</t>
  </si>
  <si>
    <t>379/1290077</t>
  </si>
  <si>
    <t>Gelasio</t>
  </si>
  <si>
    <t>Lina - La Pizza in Teglia</t>
  </si>
  <si>
    <t>Circonvallazione Trionfale, 53</t>
  </si>
  <si>
    <t>351/7747767</t>
  </si>
  <si>
    <t>Via Ponte Gregoriano, 1</t>
  </si>
  <si>
    <t>0774/011261</t>
  </si>
  <si>
    <t>Da Brando</t>
  </si>
  <si>
    <t>06/33225327</t>
  </si>
  <si>
    <t>Via Flaminia, 532</t>
  </si>
  <si>
    <t>Casale Verdeluna</t>
  </si>
  <si>
    <t>Località Civitella, 3</t>
  </si>
  <si>
    <t>0775/503051</t>
  </si>
  <si>
    <t>Atlas</t>
  </si>
  <si>
    <t>Via Ciro Menotti, 16/18</t>
  </si>
  <si>
    <t>Via Latina, 80</t>
  </si>
  <si>
    <t>06/86675708</t>
  </si>
  <si>
    <t>Shell</t>
  </si>
  <si>
    <t>libreria / bistrot</t>
  </si>
  <si>
    <t>Vicolo della Fontana, 28</t>
  </si>
  <si>
    <t>Villa Paganini</t>
  </si>
  <si>
    <t>06/86726388</t>
  </si>
  <si>
    <t>Divina Giulia</t>
  </si>
  <si>
    <t>340/8244624</t>
  </si>
  <si>
    <t>menù degustazione Albore</t>
  </si>
  <si>
    <t>Zelato</t>
  </si>
  <si>
    <t>Via degli Aurunci, 40</t>
  </si>
  <si>
    <t>342/5470485</t>
  </si>
  <si>
    <t>Luna</t>
  </si>
  <si>
    <t>Via delle Quattro Fontane, 175</t>
  </si>
  <si>
    <t>06/45595900</t>
  </si>
  <si>
    <t>Osteria Anna</t>
  </si>
  <si>
    <t>S.R. 630 Cassino Formia km. 15</t>
  </si>
  <si>
    <t>Castelnuovo Parano</t>
  </si>
  <si>
    <t>0776/952596</t>
  </si>
  <si>
    <t>Via Savoia, 38/42</t>
  </si>
  <si>
    <t>menù degustazione Dim Sum e Ramen</t>
  </si>
  <si>
    <t>Nonnarè</t>
  </si>
  <si>
    <t>Piazza Augusto Albini, 10</t>
  </si>
  <si>
    <t>328/5367252</t>
  </si>
  <si>
    <t>Cheebo</t>
  </si>
  <si>
    <t>hamburgheria</t>
  </si>
  <si>
    <t>351/7598556</t>
  </si>
  <si>
    <t>Via Aretusa, 6</t>
  </si>
  <si>
    <t>La Rustica</t>
  </si>
  <si>
    <t>1 smashburger, 1 burger con pollo o pulled pork</t>
  </si>
  <si>
    <t>Mario L'Ostricaro</t>
  </si>
  <si>
    <t>0773/702461</t>
  </si>
  <si>
    <t>Via Appia, km 102</t>
  </si>
  <si>
    <t>Garage Forno</t>
  </si>
  <si>
    <t>Via Paolo II, 14</t>
  </si>
  <si>
    <t>392/2984896</t>
  </si>
  <si>
    <t>Nomos Ante</t>
  </si>
  <si>
    <t>Via di San Paolo alla Regola, 3</t>
  </si>
  <si>
    <t>06/84102388</t>
  </si>
  <si>
    <t>Al Madrigale</t>
  </si>
  <si>
    <t>Mafè - osteria moderna</t>
  </si>
  <si>
    <t>Via Valsavaranche, 29/31</t>
  </si>
  <si>
    <t>Prati Fiscali</t>
  </si>
  <si>
    <t>Toma 52</t>
  </si>
  <si>
    <t>Via Cremona, 52/B</t>
  </si>
  <si>
    <t>06/5126917</t>
  </si>
  <si>
    <t>Arcangelo Vino &amp; Cucina</t>
  </si>
  <si>
    <t>Via Gallia, 28</t>
  </si>
  <si>
    <t>Trattoria del Cimino dal 1895</t>
  </si>
  <si>
    <t>Viale dello Scalo di San Lorenzo, 10</t>
  </si>
  <si>
    <t>06/85874176</t>
  </si>
  <si>
    <t>Taps</t>
  </si>
  <si>
    <t>1 antipasto, 1 primo, 1 secondo e 1 dolce</t>
  </si>
  <si>
    <t>Tante Care Cose</t>
  </si>
  <si>
    <t>Via Carlo Errera, 46</t>
  </si>
  <si>
    <t>333/6776681</t>
  </si>
  <si>
    <t>3 piatti salati</t>
  </si>
  <si>
    <t>La Renardière</t>
  </si>
  <si>
    <t>francese</t>
  </si>
  <si>
    <t>Viale Aventino, 31</t>
  </si>
  <si>
    <t>06/87785445</t>
  </si>
  <si>
    <t>due primi tipici, un secondo e un dolce</t>
  </si>
  <si>
    <t>Rosina - cucina di casa</t>
  </si>
  <si>
    <t>Vicolo delle Grotte, 27</t>
  </si>
  <si>
    <t>06/69374499</t>
  </si>
  <si>
    <t>Metis</t>
  </si>
  <si>
    <t>Piazza Enrico Martini, 24/25</t>
  </si>
  <si>
    <t>06/40066729</t>
  </si>
  <si>
    <t>Mare Bistrot</t>
  </si>
  <si>
    <t>Via della Torre Clementina, 126</t>
  </si>
  <si>
    <t>334/7978290</t>
  </si>
  <si>
    <t>L'Osteria di Ianus</t>
  </si>
  <si>
    <t>Antrodoco</t>
  </si>
  <si>
    <t>335/6151823</t>
  </si>
  <si>
    <t>Via Amiterno, 70</t>
  </si>
  <si>
    <t>Avenida Calò</t>
  </si>
  <si>
    <t>06/89238209</t>
  </si>
  <si>
    <t>La Taverna dei Corsari</t>
  </si>
  <si>
    <t>Piazza Vittorio Veneto, 10</t>
  </si>
  <si>
    <t>Montopoli di Sabina</t>
  </si>
  <si>
    <t>0765/279279</t>
  </si>
  <si>
    <t>v.26</t>
  </si>
  <si>
    <t>Amerina - la pizzetta</t>
  </si>
  <si>
    <t>EGO</t>
  </si>
  <si>
    <t>GianPà</t>
  </si>
  <si>
    <t>Hosteria Grappolo d'Oro</t>
  </si>
  <si>
    <t>Inverso</t>
  </si>
  <si>
    <t>Isotta - Trattoria Cortese</t>
  </si>
  <si>
    <t>Lievito Pizza Pane</t>
  </si>
  <si>
    <t>NuAN</t>
  </si>
  <si>
    <t>Santí - tradizione contadina</t>
  </si>
  <si>
    <t>Sicché - Roba toscana</t>
  </si>
  <si>
    <t>Trattoria Enoteca Assunta</t>
  </si>
  <si>
    <t>De Novo e D'Antico</t>
  </si>
  <si>
    <t>Aqla</t>
  </si>
  <si>
    <t>Sensorio Coffee Lab</t>
  </si>
  <si>
    <t>Dar Basha</t>
  </si>
  <si>
    <t>italiana / francese</t>
  </si>
  <si>
    <t>creativo</t>
  </si>
  <si>
    <t>pizzeria al taglio / forno</t>
  </si>
  <si>
    <t>tradizionale rivisitata</t>
  </si>
  <si>
    <t>cucina romana</t>
  </si>
  <si>
    <t>osteria contemporanea</t>
  </si>
  <si>
    <t>bar</t>
  </si>
  <si>
    <t>marocchina</t>
  </si>
  <si>
    <t>Largo dei Librari, 82</t>
  </si>
  <si>
    <t>Via Litoranea, Km 20,600</t>
  </si>
  <si>
    <t>Via Flaminia, 677/A</t>
  </si>
  <si>
    <t>Via della Giustiniana, 670/B</t>
  </si>
  <si>
    <t>Via Etruria, 35</t>
  </si>
  <si>
    <t>Via Portuense, 727 F/G</t>
  </si>
  <si>
    <t>Viale dei Quattro Venti, 152/C</t>
  </si>
  <si>
    <t>Campo dei fiori</t>
  </si>
  <si>
    <t>Via Carlo Livi, 10/16</t>
  </si>
  <si>
    <t>Torrevecchia</t>
  </si>
  <si>
    <t>Via Carbonia, 35</t>
  </si>
  <si>
    <t>Piazza Alessandria c/o Mercato Nomentano - box A2</t>
  </si>
  <si>
    <t>Re di Roma</t>
  </si>
  <si>
    <t>Piazza di San Paolo alla Regola, 40</t>
  </si>
  <si>
    <t>Via di Villa Faonte, 94</t>
  </si>
  <si>
    <t>Tufello</t>
  </si>
  <si>
    <t>Porta Metronia</t>
  </si>
  <si>
    <t>Via Beniamino Franklin, 12/C</t>
  </si>
  <si>
    <t xml:space="preserve"> Via Gaio Melisso, 32</t>
  </si>
  <si>
    <t>Piazza Giuseppe Mazzini, 45</t>
  </si>
  <si>
    <t>Via Giovanni Amendola 1/B</t>
  </si>
  <si>
    <t>Via Giacomo Boni, 33/35</t>
  </si>
  <si>
    <t>Piazza Santa Maria Consolatrice, 15/16</t>
  </si>
  <si>
    <t>Via Andrea Busiri Vici, 13</t>
  </si>
  <si>
    <t>Via Felice Cavallotti, 36/B</t>
  </si>
  <si>
    <t>Viale Pinturicchio, 38/42</t>
  </si>
  <si>
    <t>Via Aurora, 10</t>
  </si>
  <si>
    <t>Porta Pinciana</t>
  </si>
  <si>
    <t>06/98183647</t>
  </si>
  <si>
    <t>06/89716513</t>
  </si>
  <si>
    <t>331/1264351</t>
  </si>
  <si>
    <t>06/6858 5315</t>
  </si>
  <si>
    <t>06/90537554</t>
  </si>
  <si>
    <t>0765/ 480785 - 331/1650624</t>
  </si>
  <si>
    <t>06/55280963</t>
  </si>
  <si>
    <t>329/9299705</t>
  </si>
  <si>
    <t>06/4466573</t>
  </si>
  <si>
    <t>333/2256285</t>
  </si>
  <si>
    <t>375/8666287</t>
  </si>
  <si>
    <t>06/94377684 - 375/8207355</t>
  </si>
  <si>
    <t>6+</t>
  </si>
  <si>
    <t>10-</t>
  </si>
  <si>
    <t>50</t>
  </si>
  <si>
    <t>60</t>
  </si>
  <si>
    <t>85</t>
  </si>
  <si>
    <t>115</t>
  </si>
  <si>
    <t>65</t>
  </si>
  <si>
    <t>55</t>
  </si>
  <si>
    <t>150</t>
  </si>
  <si>
    <t>80</t>
  </si>
  <si>
    <t>34</t>
  </si>
  <si>
    <t>130</t>
  </si>
  <si>
    <t>6</t>
  </si>
  <si>
    <t>110</t>
  </si>
  <si>
    <t>18</t>
  </si>
  <si>
    <t>70</t>
  </si>
  <si>
    <t>29</t>
  </si>
  <si>
    <t>120</t>
  </si>
  <si>
    <t>100</t>
  </si>
  <si>
    <t>Dondolo</t>
  </si>
  <si>
    <t>Via di Monte Sacro, 23</t>
  </si>
  <si>
    <t>bakery</t>
  </si>
  <si>
    <t>06/45752197</t>
  </si>
  <si>
    <t>Diego Vitagliano</t>
  </si>
  <si>
    <t>Via Chiana, 80</t>
  </si>
  <si>
    <t>06/72276443</t>
  </si>
  <si>
    <t>351/3100815</t>
  </si>
  <si>
    <t>Stecca</t>
  </si>
  <si>
    <t>Viale Guglielmo Massaia, 28</t>
  </si>
  <si>
    <t>06/01906053</t>
  </si>
  <si>
    <t>Fernanda D'Arienzo</t>
  </si>
  <si>
    <t>1 caffè, 1 cappuccino, 1 krapfen e 1 lievito</t>
  </si>
  <si>
    <t>Da Danilo</t>
  </si>
  <si>
    <t>Via Petrarca, 13</t>
  </si>
  <si>
    <t>Piazza Vittorio</t>
  </si>
  <si>
    <t>06/77200111</t>
  </si>
  <si>
    <t>Simone Cargiani</t>
  </si>
  <si>
    <t>bloccato per Elisa Del Frate</t>
  </si>
  <si>
    <t>bloccato per Fabrizio Sbicca</t>
  </si>
  <si>
    <t>bloccato per Francesca Sebastio</t>
  </si>
  <si>
    <t>bloccato per Giorgio Sorbino</t>
  </si>
  <si>
    <t>bloccato per Giulia Maria Bellucci</t>
  </si>
  <si>
    <t>bloccato per Luca Veglianti</t>
  </si>
  <si>
    <t>bloccato per Marco Silleni</t>
  </si>
  <si>
    <t>bloccato per Valentino Affinita</t>
  </si>
  <si>
    <t>35+20</t>
  </si>
  <si>
    <t>Fabrizio Sbicca</t>
  </si>
  <si>
    <t>MAE - Slow Brunchers</t>
  </si>
  <si>
    <t>1 tipo di pancake, 1 tipo di uova, 1 tipo di bagel, 1 bevanda</t>
  </si>
  <si>
    <t>1 fritto e 3 tranci piccoli di pizze diverse</t>
  </si>
  <si>
    <t>bloccato per Matteo Damiani</t>
  </si>
  <si>
    <t>Luca Veglianti</t>
  </si>
  <si>
    <t>Elisa Del Frate</t>
  </si>
  <si>
    <t>Andrea Angiolino</t>
  </si>
  <si>
    <t>Brado</t>
  </si>
  <si>
    <t>carne / selvaggina</t>
  </si>
  <si>
    <t>Viale Amelia, 42</t>
  </si>
  <si>
    <t>375/5140851</t>
  </si>
  <si>
    <t>Valentino Affinita</t>
  </si>
  <si>
    <t>Giorgio Sorbino</t>
  </si>
  <si>
    <t>Poldo e Gianna</t>
  </si>
  <si>
    <t>Vicolo Rosini, 6</t>
  </si>
  <si>
    <t>Parlamento</t>
  </si>
  <si>
    <t>06/6893499</t>
  </si>
  <si>
    <t>Giulia Maria Bellucci</t>
  </si>
  <si>
    <t>Bless</t>
  </si>
  <si>
    <t>Via dell’Indipendenza, 208</t>
  </si>
  <si>
    <t>Gaeta</t>
  </si>
  <si>
    <t>0771/030188</t>
  </si>
  <si>
    <t>Via Marcantonio Bragadin, 13</t>
  </si>
  <si>
    <t>348/4302368 - 06/69459860</t>
  </si>
  <si>
    <t>Via Emilio Faà di Bruno, 31</t>
  </si>
  <si>
    <t>392/4799773</t>
  </si>
  <si>
    <t>4 piatti scelti dalle varie categorie</t>
  </si>
  <si>
    <t>Forno Ritorno</t>
  </si>
  <si>
    <t>forno / caffetteria</t>
  </si>
  <si>
    <t>Via Amerigo Vespucci, 20</t>
  </si>
  <si>
    <t>392/7768427</t>
  </si>
  <si>
    <t>Pizza Baar</t>
  </si>
  <si>
    <t>pizzeria al taglio / caffetteria specialty</t>
  </si>
  <si>
    <t xml:space="preserve">Via di Donna Olimpia, 71 </t>
  </si>
  <si>
    <t>Vineria Risorgimento</t>
  </si>
  <si>
    <t>Piazza del Risorgimento, 7</t>
  </si>
  <si>
    <t>06/89533745</t>
  </si>
  <si>
    <t>i calice di vino, 1 pane&amp;olio (per verificare lo stato dell'olio), 1 piatto dalla sezione Gastronomia, 1 piatto da Padellotto (no solo verdure), 1 trancio di pizza</t>
  </si>
  <si>
    <t>Slow</t>
  </si>
  <si>
    <t>caffetteria specilty / bakery</t>
  </si>
  <si>
    <t>Corso Vittorio Emanuele II, 73</t>
  </si>
  <si>
    <t>Largo di Torre Argentina</t>
  </si>
  <si>
    <t>Alla Magnatora</t>
  </si>
  <si>
    <t>0775/1626000</t>
  </si>
  <si>
    <t>Via Volubro, 4</t>
  </si>
  <si>
    <t>Marco Silleni</t>
  </si>
  <si>
    <t>Ie Koji Sakaba</t>
  </si>
  <si>
    <t>Ie Koji Japanese Izakaya</t>
  </si>
  <si>
    <t>Mr. Meat Kitchen and Grill</t>
  </si>
  <si>
    <t>carne</t>
  </si>
  <si>
    <t>Via di Salone, 248</t>
  </si>
  <si>
    <t>Settecamini</t>
  </si>
  <si>
    <t>345/1764800</t>
  </si>
  <si>
    <t>Viale delle Orchidee, 100</t>
  </si>
  <si>
    <t>349/2422046</t>
  </si>
  <si>
    <t>100C Vino e Pesce</t>
  </si>
  <si>
    <t>1 montanara, 1 pizza Bruma, 1 pizza Roots, 1 spicchio doppio crunch</t>
  </si>
  <si>
    <t>Francesca Sebastio</t>
  </si>
  <si>
    <t>bloccato per Anca Enache</t>
  </si>
  <si>
    <t>Futura</t>
  </si>
  <si>
    <t>Piazza di Santa Maria Liberatrice, 31</t>
  </si>
  <si>
    <t>375/6342191</t>
  </si>
  <si>
    <t>Crunch Teglia</t>
  </si>
  <si>
    <t>Via della Bufalotta, 284</t>
  </si>
  <si>
    <t>06/99606077</t>
  </si>
  <si>
    <t>bloccato per Vanessa Picena</t>
  </si>
  <si>
    <t xml:space="preserve">Angelino "ai Fori" dal 1947 </t>
  </si>
  <si>
    <t>Largo Corrado Ricci, 40</t>
  </si>
  <si>
    <t>Fori Imperiali</t>
  </si>
  <si>
    <t>06/6791121</t>
  </si>
  <si>
    <t>antipasto (no salumi e formaggi), primo (preferibilmente della tradizione romana), secondo, dolce</t>
  </si>
  <si>
    <t>Controluce</t>
  </si>
  <si>
    <t>Via della Luce, 44</t>
  </si>
  <si>
    <t>06/5814839</t>
  </si>
  <si>
    <t>1 antipasto, 1 primo, 1 secondo, 1 dolce (no piatti semplici)</t>
  </si>
  <si>
    <t>Concreto Cucina e Vino</t>
  </si>
  <si>
    <t>Via Marianna Dionigi, 4</t>
  </si>
  <si>
    <t>06/5415084</t>
  </si>
  <si>
    <t xml:space="preserve">novità </t>
  </si>
  <si>
    <t>3 piatti salati (no giardiniera, no selezione formaggi e salumi, no sfizi iniziali)+ 1 dolce</t>
  </si>
  <si>
    <t>Via Antonio Cantore, 13</t>
  </si>
  <si>
    <t>Anca Enache</t>
  </si>
  <si>
    <t>Piazza delle Erbe, 16</t>
  </si>
  <si>
    <t>348/7277746</t>
  </si>
  <si>
    <t>Bottega Popolare</t>
  </si>
  <si>
    <t>cucina piemontese</t>
  </si>
  <si>
    <t>Via Andrea Doria, 41 Mercato Trionfale Box 113</t>
  </si>
  <si>
    <t>334/3351068</t>
  </si>
  <si>
    <t>farinata, plin, vitello tonnato</t>
  </si>
  <si>
    <t>Forno Bianchi</t>
  </si>
  <si>
    <t>forno / pizzeria</t>
  </si>
  <si>
    <t>Largo delle Sette Chiese, 16</t>
  </si>
  <si>
    <t>2 pezzi di pizza diversi+1 croissant salato</t>
  </si>
  <si>
    <t>Mrgda Ristorante</t>
  </si>
  <si>
    <t>etiope / eritrea</t>
  </si>
  <si>
    <t>Via Prenestina, 182</t>
  </si>
  <si>
    <t>329/933355</t>
  </si>
  <si>
    <t>Schenardino - Cucina Pizza &amp; Vino</t>
  </si>
  <si>
    <t>Specus</t>
  </si>
  <si>
    <t>Via Casilina, 315</t>
  </si>
  <si>
    <t>Valmontone</t>
  </si>
  <si>
    <t>06/89522332</t>
  </si>
  <si>
    <t>SupplicAmy</t>
  </si>
  <si>
    <t>Viale Parioli, 69</t>
  </si>
  <si>
    <t>377/3192153</t>
  </si>
  <si>
    <t>Vanessa Picena</t>
  </si>
  <si>
    <t>Sando Ie Koji</t>
  </si>
  <si>
    <t>street food giapponese</t>
  </si>
  <si>
    <t>Via Andrea Doria, 32</t>
  </si>
  <si>
    <t>392/8208889</t>
  </si>
  <si>
    <t>Brasserie La Neige</t>
  </si>
  <si>
    <t>Piazzale Plan De Valli, 50</t>
  </si>
  <si>
    <t>Terminillo</t>
  </si>
  <si>
    <t>379/1573597</t>
  </si>
  <si>
    <t>POP Pizzeria Popolare</t>
  </si>
  <si>
    <t>Largo Appio Claudio, 384</t>
  </si>
  <si>
    <t>351/7850356</t>
  </si>
  <si>
    <t>347/6145569</t>
  </si>
  <si>
    <t>Laverve fermenteria</t>
  </si>
  <si>
    <t>kombucha bar</t>
  </si>
  <si>
    <t>Via di Portonaccio, 21</t>
  </si>
  <si>
    <t>340/0832288</t>
  </si>
  <si>
    <t>kombucha alla spina, cocktail base kombucha e 2 sfizi (no patatine)</t>
  </si>
  <si>
    <t>Località Seripola, snc</t>
  </si>
  <si>
    <t>Via Guglielmo Calderini, 64</t>
  </si>
  <si>
    <t>Cesano</t>
  </si>
  <si>
    <t>Via Giovanni da Castel Bolognese, 63</t>
  </si>
  <si>
    <t>Via del Piè di Marmo, 28</t>
  </si>
  <si>
    <t>Largo Magnagrecia, 4</t>
  </si>
  <si>
    <t>Piazza S. Donà di Piave, 14</t>
  </si>
  <si>
    <t>Via dei Basaldella</t>
  </si>
  <si>
    <t>Viale delle Provincie, 30</t>
  </si>
  <si>
    <t>Viale Battista Bardanzellu, 77</t>
  </si>
  <si>
    <t>Via Tor de' Schiavi, 295</t>
  </si>
  <si>
    <t>Via Flaminia, 732</t>
  </si>
  <si>
    <t>Via di Monte Polacco, 4</t>
  </si>
  <si>
    <t>Salita de' Crescenzi, 31</t>
  </si>
  <si>
    <t>GPS</t>
  </si>
  <si>
    <t>40.895192392463066, 12.967058864523024</t>
  </si>
  <si>
    <t>40.79678482724941, 13.431396627622997</t>
  </si>
  <si>
    <t>41.639568304291025, 12.914128534051267</t>
  </si>
  <si>
    <t>41.52541475846666, 13.154755650341361</t>
  </si>
  <si>
    <t>41.668130127692955, 13.606285625808828</t>
  </si>
  <si>
    <t>41.63148771384029, 13.713537624096158</t>
  </si>
  <si>
    <t>41.39343717130358, 13.520841403709602</t>
  </si>
  <si>
    <t>42.09074687985093, 12.262343120947389</t>
  </si>
  <si>
    <t>42.47050614347387, 12.359566954675824</t>
  </si>
  <si>
    <t>42.38615019515154, 12.495906231519927</t>
  </si>
  <si>
    <t>42.45690899942159, 12.978489249161939</t>
  </si>
  <si>
    <t>42.498441707211114, 12.849190594785567</t>
  </si>
  <si>
    <t>42.63589349730473, 12.10927651128648</t>
  </si>
  <si>
    <t>42.24496578825659, 12.692992578950797</t>
  </si>
  <si>
    <t>42.08197413933925, 12.34996953999624</t>
  </si>
  <si>
    <t>41.94512375144278, 12.472919696984244</t>
  </si>
  <si>
    <t>41.94568113790995, 12.473223499943083</t>
  </si>
  <si>
    <t>41.94655573927396, 12.473496611504828</t>
  </si>
  <si>
    <t>41.9397435293709, 12.46968372581943</t>
  </si>
  <si>
    <t>41.9142700552323, 12.474733789090989</t>
  </si>
  <si>
    <t>41.91405522000567, 12.47504955492014</t>
  </si>
  <si>
    <t>41.77138755806573, 12.228188973513207</t>
  </si>
  <si>
    <t>41.77134406682577, 12.229144156450465</t>
  </si>
  <si>
    <t>41.77138359115486, 12.229620634749661</t>
  </si>
  <si>
    <t>41.51116783711071, 12.741851017737611</t>
  </si>
  <si>
    <t>41.8944379009184, 12.493778041993513</t>
  </si>
  <si>
    <t>41.94435489991688, 12.469034833268445</t>
  </si>
  <si>
    <t>41.89638993454456, 12.476047171258973</t>
  </si>
  <si>
    <t>41.9043954992026, 12.47526483926433</t>
  </si>
  <si>
    <t>41.90816049359635, 12.476063715583715</t>
  </si>
  <si>
    <t>41.89776107504589, 12.468759116941461</t>
  </si>
  <si>
    <t>41.37728946359321, 13.737764537660487</t>
  </si>
  <si>
    <t>41.82955701496672, 13.166111144621077</t>
  </si>
  <si>
    <t>41.82857927673047, 13.143353525815082</t>
  </si>
  <si>
    <t>41.80976549234967, 13.122920514770096</t>
  </si>
  <si>
    <t>41.89472309055656, 12.474234812461015</t>
  </si>
  <si>
    <t>41.89456883018618, 12.474274381610769</t>
  </si>
  <si>
    <t>Luca Veglianti (chiuso)</t>
  </si>
  <si>
    <t>41.768741212395845, 12.661723908109279</t>
  </si>
  <si>
    <t>IMHO</t>
  </si>
  <si>
    <t>Via Renzo da Ceri, 6</t>
  </si>
  <si>
    <t>06/94410660</t>
  </si>
  <si>
    <t>41.89206094245367, 12.5381366209542</t>
  </si>
  <si>
    <t>Radici Social Food</t>
  </si>
  <si>
    <t>brunch / caffetteria specialty</t>
  </si>
  <si>
    <t>Via Val Chisone, 28</t>
  </si>
  <si>
    <t>41.93387740594664, 12.52730874517291</t>
  </si>
  <si>
    <t>06/85353456</t>
  </si>
  <si>
    <t>41.8956791569936, 12.501959002216351</t>
  </si>
  <si>
    <t>41.89679564973395, 12.499504573152592</t>
  </si>
  <si>
    <t>Chinappi dal Presidente</t>
  </si>
  <si>
    <t>principalmente pesce / pizzeria</t>
  </si>
  <si>
    <t>Via Anfiteatro, 8</t>
  </si>
  <si>
    <t>41.257529410024596, 13.607647265635304</t>
  </si>
  <si>
    <t>0771/790002</t>
  </si>
  <si>
    <t>Gelateria Numa</t>
  </si>
  <si>
    <t>Via Franco Sacchetti, 105</t>
  </si>
  <si>
    <t>352/0104703</t>
  </si>
  <si>
    <t>41.94700822535606, 12.54287904662492</t>
  </si>
  <si>
    <t>Osteria al Forno di Agnese</t>
  </si>
  <si>
    <t>Civita di Bagnoregio</t>
  </si>
  <si>
    <t>Via S. Maria del Cassero</t>
  </si>
  <si>
    <t>0761/792571</t>
  </si>
  <si>
    <t>42.62801832889736, 12.113497979928281</t>
  </si>
  <si>
    <t>Matteo Damiani</t>
  </si>
  <si>
    <t>Parco delle Querce</t>
  </si>
  <si>
    <t>Orsola</t>
  </si>
  <si>
    <t>Il Filo Rosso di Coralli</t>
  </si>
  <si>
    <t>Leon d'Oro</t>
  </si>
  <si>
    <t>La Bottega dell'Artista</t>
  </si>
  <si>
    <t>Bacchettone e Zazzà</t>
  </si>
  <si>
    <t>Piazzetta del Sole</t>
  </si>
  <si>
    <t>0761/458606</t>
  </si>
  <si>
    <t>Via XX Settembre, 129</t>
  </si>
  <si>
    <t>Farnese</t>
  </si>
  <si>
    <t>42.54204862838347, 11.832933159518674</t>
  </si>
  <si>
    <t>Km 15, SP13</t>
  </si>
  <si>
    <t>Valentano</t>
  </si>
  <si>
    <t>331/7702747</t>
  </si>
  <si>
    <t>42.54891885981214, 11.722242354291765</t>
  </si>
  <si>
    <t>0766/96070</t>
  </si>
  <si>
    <t>Allumiere</t>
  </si>
  <si>
    <t>Piazza della Repubblica, 4</t>
  </si>
  <si>
    <t>42.15604104501563, 11.902343389858135</t>
  </si>
  <si>
    <t>339/3998616</t>
  </si>
  <si>
    <t>Via Costa Del Sole, snc</t>
  </si>
  <si>
    <t>Collebaccaro</t>
  </si>
  <si>
    <t>42.39219014190762, 12.772112791252264</t>
  </si>
  <si>
    <t>Leonessa</t>
  </si>
  <si>
    <t>Corso San Giuseppe da Leonessa, 120</t>
  </si>
  <si>
    <t>0746/923320</t>
  </si>
  <si>
    <t>42.56262903667231, 12.963527058287966</t>
  </si>
  <si>
    <t>0775/662091</t>
  </si>
  <si>
    <t>Via dell'Orologio, 11/A</t>
  </si>
  <si>
    <t>Castro dei Volsci</t>
  </si>
  <si>
    <t>41.50866221112778, 13.40640249472946</t>
  </si>
  <si>
    <t>La Locanda del Ditirambo</t>
  </si>
  <si>
    <t>340/2589224</t>
  </si>
  <si>
    <t>Castelforte</t>
  </si>
  <si>
    <t>Via Alfredo Fusco, 96</t>
  </si>
  <si>
    <t>41.2996898977659, 13.823234188670561</t>
  </si>
  <si>
    <t>principalmente carne</t>
  </si>
  <si>
    <t>Via delle Terme, 77</t>
  </si>
  <si>
    <t>0771/607015</t>
  </si>
  <si>
    <t>41.28954879741742, 13.83952498668336</t>
  </si>
  <si>
    <t>42.40925664400598, 12.76587676294282</t>
  </si>
  <si>
    <t>Via del Pellegrino, 63/65</t>
  </si>
  <si>
    <t>Terracotta Osteria con Brace</t>
  </si>
  <si>
    <t>osteria con brace</t>
  </si>
  <si>
    <t>Viale Maresciallo Pilsudski, 44</t>
  </si>
  <si>
    <t>393/0692511</t>
  </si>
  <si>
    <t>Origine</t>
  </si>
  <si>
    <t>caffèa speciality / brunch</t>
  </si>
  <si>
    <t>Via Corinto, 66</t>
  </si>
  <si>
    <t>06/83405656</t>
  </si>
  <si>
    <t>Da Zacca ar 20</t>
  </si>
  <si>
    <t>Via Domenico Millelire, 20</t>
  </si>
  <si>
    <t>345/5017051</t>
  </si>
  <si>
    <t>41.90530306820849, 12.44651286331835</t>
  </si>
  <si>
    <t>Cipro</t>
  </si>
  <si>
    <t>Gordito</t>
  </si>
  <si>
    <t>Via Francesco Coletti, 21</t>
  </si>
  <si>
    <t>Vigna Clara</t>
  </si>
  <si>
    <t>366/5038646</t>
  </si>
  <si>
    <t>41.94641094326607, 12.465099700815312</t>
  </si>
  <si>
    <t>Pizzeria Der Biondo</t>
  </si>
  <si>
    <t>Via Tuscolana, 1472</t>
  </si>
  <si>
    <t>393/1161874</t>
  </si>
  <si>
    <t>Via Tornimparte, 3A</t>
  </si>
  <si>
    <t>Castelverde</t>
  </si>
  <si>
    <t>340/2752791</t>
  </si>
  <si>
    <t>41.819274095380585, 12.647856071662343</t>
  </si>
  <si>
    <t>Scambio Cucina Condivisa</t>
  </si>
  <si>
    <t>Via Federico Cesi, 22</t>
  </si>
  <si>
    <t>06/95008310</t>
  </si>
  <si>
    <t>41.90631739386229, 12.47060841676495</t>
  </si>
  <si>
    <t>Crema Alta Gelateria</t>
  </si>
  <si>
    <t>Via Leone IV, 62a</t>
  </si>
  <si>
    <t>Via Giulia, 18</t>
  </si>
  <si>
    <t>06/68805851</t>
  </si>
  <si>
    <t>06/42917005</t>
  </si>
  <si>
    <t>41.89563754119089, 12.468609293963063</t>
  </si>
  <si>
    <t>41.90996742029194, 12.454795365832444</t>
  </si>
  <si>
    <t>Largo Trionfale</t>
  </si>
  <si>
    <t>Via degli Stradivari, 25</t>
  </si>
  <si>
    <t>06/69310694</t>
  </si>
  <si>
    <t>Via Gallia, 83</t>
  </si>
  <si>
    <t>Ruvido</t>
  </si>
  <si>
    <t>Via Apulia, 11</t>
  </si>
  <si>
    <t>06/97619059</t>
  </si>
  <si>
    <t>41.88173174194172, 12.504400880125283</t>
  </si>
  <si>
    <t>due piatti principali + calice di vino</t>
  </si>
  <si>
    <t>Labhalo</t>
  </si>
  <si>
    <t>Via Giuseppe Candiani, 69</t>
  </si>
  <si>
    <t>Tor Tre Teste</t>
  </si>
  <si>
    <t>327/4576545</t>
  </si>
  <si>
    <t>fast fusion food</t>
  </si>
  <si>
    <t>41.891703213366675, 12.584924888955737</t>
  </si>
  <si>
    <t>1 snack (no nachos, no plant), 1 bao o 1 taco, 1 ciotola piccola con proteine</t>
  </si>
  <si>
    <t>41.861343527588865, 12.18767684194969</t>
  </si>
  <si>
    <t>Osteria Pontina</t>
  </si>
  <si>
    <t>Via Anime Sante, 31</t>
  </si>
  <si>
    <t>338/2477534</t>
  </si>
  <si>
    <t>41.55425946313123, 12.962091128660296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</si>
</sst>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indexed="1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</borders>
  <cellStyleXfs count="23">
    <xf numFmtId="0" fontId="0" fillId="0" borderId="0"/>
    <xf numFmtId="0" fontId="14" fillId="0" borderId="0" applyNumberFormat="0" applyFill="0" applyBorder="0" applyAlignment="0" applyProtection="0">
      <alignment vertical="top"/>
      <protection locked="0"/>
    </xf>
    <xf numFmtId="164" fontId="13" fillId="0" borderId="0" applyFont="0" applyFill="0" applyBorder="0" applyAlignment="0" applyProtection="0"/>
    <xf numFmtId="0" fontId="6" fillId="0" borderId="0"/>
    <xf numFmtId="0" fontId="3" fillId="0" borderId="0"/>
    <xf numFmtId="0" fontId="13" fillId="0" borderId="0"/>
    <xf numFmtId="0" fontId="3" fillId="0" borderId="0"/>
    <xf numFmtId="0" fontId="7" fillId="0" borderId="0"/>
    <xf numFmtId="0" fontId="5" fillId="0" borderId="0"/>
    <xf numFmtId="0" fontId="9" fillId="0" borderId="0"/>
    <xf numFmtId="0" fontId="5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70">
    <xf numFmtId="0" fontId="0" fillId="0" borderId="0" xfId="0"/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8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3" fillId="0" borderId="0" xfId="8" applyFont="1" applyAlignment="1">
      <alignment vertical="center" wrapText="1"/>
    </xf>
    <xf numFmtId="0" fontId="10" fillId="0" borderId="0" xfId="9" applyFont="1" applyAlignment="1">
      <alignment horizontal="center" wrapText="1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left" wrapText="1"/>
    </xf>
    <xf numFmtId="0" fontId="8" fillId="3" borderId="4" xfId="7" applyFont="1" applyFill="1" applyBorder="1" applyAlignment="1">
      <alignment horizontal="center"/>
    </xf>
    <xf numFmtId="0" fontId="8" fillId="0" borderId="0" xfId="9" applyFont="1" applyAlignment="1">
      <alignment horizontal="left" wrapText="1"/>
    </xf>
    <xf numFmtId="0" fontId="8" fillId="0" borderId="0" xfId="9" applyFont="1" applyAlignment="1">
      <alignment wrapText="1"/>
    </xf>
    <xf numFmtId="0" fontId="8" fillId="0" borderId="0" xfId="9" applyFont="1" applyAlignment="1">
      <alignment horizontal="center" wrapText="1"/>
    </xf>
    <xf numFmtId="0" fontId="11" fillId="4" borderId="5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 wrapText="1"/>
    </xf>
    <xf numFmtId="0" fontId="11" fillId="6" borderId="5" xfId="0" applyFont="1" applyFill="1" applyBorder="1" applyAlignment="1">
      <alignment horizontal="center" vertical="center"/>
    </xf>
    <xf numFmtId="0" fontId="11" fillId="7" borderId="5" xfId="0" applyFont="1" applyFill="1" applyBorder="1" applyAlignment="1">
      <alignment horizontal="center" vertical="center" wrapText="1"/>
    </xf>
    <xf numFmtId="0" fontId="11" fillId="8" borderId="0" xfId="8" applyFont="1" applyFill="1" applyAlignment="1">
      <alignment horizontal="center" vertical="center" wrapText="1"/>
    </xf>
    <xf numFmtId="0" fontId="8" fillId="3" borderId="6" xfId="10" applyFont="1" applyFill="1" applyBorder="1" applyAlignment="1">
      <alignment horizontal="center"/>
    </xf>
    <xf numFmtId="0" fontId="8" fillId="3" borderId="4" xfId="9" applyFont="1" applyFill="1" applyBorder="1" applyAlignment="1">
      <alignment horizontal="left"/>
    </xf>
    <xf numFmtId="0" fontId="8" fillId="3" borderId="6" xfId="10" applyFont="1" applyFill="1" applyBorder="1" applyAlignment="1">
      <alignment horizontal="left"/>
    </xf>
    <xf numFmtId="0" fontId="11" fillId="9" borderId="5" xfId="0" applyFont="1" applyFill="1" applyBorder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8" applyFont="1" applyFill="1" applyAlignment="1">
      <alignment horizontal="center" vertical="center" wrapText="1"/>
    </xf>
    <xf numFmtId="0" fontId="8" fillId="10" borderId="0" xfId="9" applyFont="1" applyFill="1" applyAlignment="1">
      <alignment horizontal="left" wrapText="1"/>
    </xf>
    <xf numFmtId="0" fontId="3" fillId="10" borderId="0" xfId="0" applyFont="1" applyFill="1" applyAlignment="1">
      <alignment horizontal="center" vertical="center"/>
    </xf>
    <xf numFmtId="0" fontId="8" fillId="10" borderId="0" xfId="9" applyFont="1" applyFill="1" applyAlignment="1">
      <alignment wrapText="1"/>
    </xf>
    <xf numFmtId="0" fontId="8" fillId="10" borderId="0" xfId="9" applyFont="1" applyFill="1" applyAlignment="1">
      <alignment horizontal="center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8" applyFont="1" applyFill="1" applyAlignment="1">
      <alignment horizontal="center" vertical="center" wrapText="1"/>
    </xf>
    <xf numFmtId="0" fontId="8" fillId="9" borderId="0" xfId="9" applyFont="1" applyFill="1" applyAlignment="1">
      <alignment horizontal="left" wrapText="1"/>
    </xf>
    <xf numFmtId="0" fontId="10" fillId="9" borderId="0" xfId="9" applyFont="1" applyFill="1" applyAlignment="1">
      <alignment horizontal="left" wrapText="1"/>
    </xf>
    <xf numFmtId="0" fontId="3" fillId="9" borderId="0" xfId="0" applyFont="1" applyFill="1" applyAlignment="1">
      <alignment horizontal="center" vertical="center"/>
    </xf>
    <xf numFmtId="0" fontId="10" fillId="5" borderId="0" xfId="9" applyFont="1" applyFill="1" applyAlignment="1">
      <alignment horizontal="center" wrapText="1"/>
    </xf>
    <xf numFmtId="0" fontId="10" fillId="5" borderId="0" xfId="9" applyFont="1" applyFill="1" applyAlignment="1">
      <alignment wrapText="1"/>
    </xf>
    <xf numFmtId="0" fontId="3" fillId="5" borderId="0" xfId="8" applyFont="1" applyFill="1" applyAlignment="1">
      <alignment horizontal="center" vertical="center" wrapText="1"/>
    </xf>
    <xf numFmtId="0" fontId="8" fillId="5" borderId="0" xfId="9" applyFont="1" applyFill="1" applyAlignment="1">
      <alignment horizontal="left" wrapText="1"/>
    </xf>
    <xf numFmtId="0" fontId="3" fillId="5" borderId="0" xfId="0" applyFont="1" applyFill="1" applyAlignment="1">
      <alignment horizontal="center" vertical="center"/>
    </xf>
    <xf numFmtId="0" fontId="10" fillId="6" borderId="0" xfId="9" applyFont="1" applyFill="1" applyAlignment="1">
      <alignment horizontal="center" wrapText="1"/>
    </xf>
    <xf numFmtId="0" fontId="10" fillId="6" borderId="0" xfId="9" applyFont="1" applyFill="1" applyAlignment="1">
      <alignment wrapText="1"/>
    </xf>
    <xf numFmtId="0" fontId="3" fillId="6" borderId="0" xfId="8" applyFont="1" applyFill="1" applyAlignment="1">
      <alignment horizontal="center" vertical="center" wrapText="1"/>
    </xf>
    <xf numFmtId="0" fontId="8" fillId="6" borderId="0" xfId="9" applyFont="1" applyFill="1" applyAlignment="1">
      <alignment horizontal="left" wrapText="1"/>
    </xf>
    <xf numFmtId="0" fontId="3" fillId="6" borderId="0" xfId="0" applyFont="1" applyFill="1" applyAlignment="1">
      <alignment horizontal="center" vertical="center"/>
    </xf>
    <xf numFmtId="0" fontId="8" fillId="9" borderId="0" xfId="9" applyFont="1" applyFill="1" applyAlignment="1">
      <alignment wrapText="1"/>
    </xf>
    <xf numFmtId="0" fontId="8" fillId="6" borderId="0" xfId="9" applyFont="1" applyFill="1" applyAlignment="1">
      <alignment wrapText="1"/>
    </xf>
    <xf numFmtId="0" fontId="5" fillId="10" borderId="0" xfId="9" applyFont="1" applyFill="1" applyAlignment="1">
      <alignment horizontal="center" wrapText="1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8" applyFont="1" applyFill="1" applyAlignment="1">
      <alignment horizontal="center" vertical="center" wrapText="1"/>
    </xf>
    <xf numFmtId="0" fontId="8" fillId="8" borderId="0" xfId="9" applyFont="1" applyFill="1" applyAlignment="1">
      <alignment horizontal="left" wrapText="1"/>
    </xf>
    <xf numFmtId="0" fontId="10" fillId="8" borderId="0" xfId="9" applyFont="1" applyFill="1" applyAlignment="1">
      <alignment horizontal="left" wrapText="1"/>
    </xf>
    <xf numFmtId="0" fontId="3" fillId="8" borderId="0" xfId="0" applyFont="1" applyFill="1" applyAlignment="1">
      <alignment horizontal="center" vertical="center"/>
    </xf>
    <xf numFmtId="0" fontId="8" fillId="6" borderId="0" xfId="9" applyFont="1" applyFill="1" applyAlignment="1">
      <alignment horizontal="center" wrapText="1"/>
    </xf>
    <xf numFmtId="0" fontId="8" fillId="5" borderId="0" xfId="9" applyFont="1" applyFill="1" applyAlignment="1">
      <alignment horizontal="center" wrapText="1"/>
    </xf>
    <xf numFmtId="0" fontId="8" fillId="5" borderId="0" xfId="9" applyFont="1" applyFill="1" applyAlignment="1">
      <alignment wrapText="1"/>
    </xf>
    <xf numFmtId="0" fontId="8" fillId="8" borderId="0" xfId="9" applyFont="1" applyFill="1" applyAlignment="1">
      <alignment wrapText="1"/>
    </xf>
    <xf numFmtId="0" fontId="8" fillId="9" borderId="0" xfId="9" applyFont="1" applyFill="1" applyAlignment="1">
      <alignment horizontal="center" wrapText="1"/>
    </xf>
    <xf numFmtId="0" fontId="15" fillId="9" borderId="0" xfId="0" applyFont="1" applyFill="1" applyAlignment="1">
      <alignment horizontal="center" vertical="center"/>
    </xf>
    <xf numFmtId="0" fontId="12" fillId="0" borderId="0" xfId="0" applyFont="1" applyAlignment="1">
      <alignment horizontal="center" vertical="center"/>
    </xf>
  </cellXfs>
  <cellStyles count="23">
    <cellStyle name="Collegamento ipertestuale 2" xfId="1" xr:uid="{BB94F41A-D5C6-4F8C-A563-8CC3AA6A9845}"/>
    <cellStyle name="Migliaia 2" xfId="2" xr:uid="{4B29E8E3-4E0F-4FC7-892F-A3B6FFAC2F05}"/>
    <cellStyle name="Normale" xfId="0" builtinId="0"/>
    <cellStyle name="Normale 2" xfId="3" xr:uid="{096CBD50-F433-46C8-80F5-B79FAE02FD52}"/>
    <cellStyle name="Normale 2 2" xfId="4" xr:uid="{CB6DAD72-1EB8-4FDC-9CB6-B9E82A86A6B9}"/>
    <cellStyle name="Normale 3" xfId="5" xr:uid="{85935AF1-2163-4E90-B3E1-017E40D5A6F4}"/>
    <cellStyle name="Normale 4" xfId="6" xr:uid="{A400F8A0-6216-4910-8DA0-197CB13D271B}"/>
    <cellStyle name="Normale_Locali da provare_4" xfId="7" xr:uid="{39E0E402-CF6C-4005-AE64-5DEF6D6DA7D1}"/>
    <cellStyle name="Normale_Ristoranti" xfId="8" xr:uid="{255E40EE-50BA-4C07-A4A9-E348E5495724}"/>
    <cellStyle name="Normale_Tavole e pause golose" xfId="9" xr:uid="{F9E92C35-1D2E-4658-BB67-EA93AF7462FE}"/>
    <cellStyle name="Normale_Tavole e pause golose_1" xfId="10" xr:uid="{85702457-6C8D-4DA2-90E2-E0D71DF14F11}"/>
    <cellStyle name="Percentuale 2" xfId="11" xr:uid="{DC49FEE1-D34F-4833-AB65-8127900D4206}"/>
    <cellStyle name="Percentuale 2 2" xfId="12" xr:uid="{71FAADCA-3C99-44E4-B744-C2F4B56061F1}"/>
    <cellStyle name="Percentuale 2 2 2" xfId="13" xr:uid="{B67F6AE5-5390-4D84-994A-D3E71488B8EA}"/>
    <cellStyle name="Percentuale 2 2 2 2" xfId="14" xr:uid="{3D568C5B-67DB-44DB-B93A-26C009CA29BA}"/>
    <cellStyle name="Percentuale 2 3" xfId="15" xr:uid="{8576ACC6-7B92-4287-A6F5-1DF2FE433CC0}"/>
    <cellStyle name="Percentuale 2 3 2" xfId="16" xr:uid="{34D0E967-D0D9-402B-8D01-01A86A43CA2A}"/>
    <cellStyle name="Percentuale 3" xfId="17" xr:uid="{EF2C2284-8F09-415E-B84F-57F287EFFD29}"/>
    <cellStyle name="Percentuale 3 2" xfId="18" xr:uid="{6CDD1AA1-B6DC-4EAB-BE85-CED041A5C7AA}"/>
    <cellStyle name="Percentuale 3 2 2" xfId="19" xr:uid="{68ECB8EA-AF8E-4CCE-8C44-B018BD1C06C0}"/>
    <cellStyle name="Percentuale 3 2 2 2" xfId="20" xr:uid="{EF0E4ABE-C49C-4DE8-8541-1413AF901F2B}"/>
    <cellStyle name="Percentuale 3 3" xfId="21" xr:uid="{18355B6F-3AB5-4FB7-9A26-80642E63573B}"/>
    <cellStyle name="Percentuale 3 3 2" xfId="22" xr:uid="{75C47007-311F-4D25-B521-E0F82B833469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F1B98-D301-4D81-BF1C-BA4579F153A5}">
  <sheetPr>
    <pageSetUpPr fitToPage="1"/>
  </sheetPr>
  <dimension ref="A1:XFD787"/>
  <sheetViews>
    <sheetView tabSelected="1" topLeftCell="R1" zoomScaleNormal="100" workbookViewId="0">
      <pane ySplit="7" topLeftCell="A135" activePane="bottomLeft" state="frozen"/>
      <selection pane="bottomLeft" activeCell="S151" sqref="S151:AI159"/>
    </sheetView>
  </sheetViews>
  <sheetFormatPr defaultColWidth="9.140625" defaultRowHeight="14.25" customHeight="1" x14ac:dyDescent="0.2"/>
  <cols>
    <col min="1" max="1" width="5.28515625" style="1" customWidth="1"/>
    <col min="2" max="2" width="3.7109375" style="1" customWidth="1"/>
    <col min="3" max="3" width="3.85546875" style="1" customWidth="1"/>
    <col min="4" max="4" width="29.7109375" style="2" customWidth="1"/>
    <col min="5" max="5" width="19" style="11" customWidth="1"/>
    <col min="6" max="6" width="25.7109375" style="2" customWidth="1"/>
    <col min="7" max="7" width="27" style="11" customWidth="1"/>
    <col min="8" max="8" width="17.28515625" style="11" customWidth="1"/>
    <col min="9" max="9" width="19" style="1" customWidth="1"/>
    <col min="10" max="10" width="10.5703125" style="1" customWidth="1"/>
    <col min="11" max="11" width="9.28515625" style="1" customWidth="1"/>
    <col min="12" max="12" width="12.42578125" style="10" customWidth="1"/>
    <col min="13" max="13" width="35.7109375" style="14" customWidth="1"/>
    <col min="14" max="14" width="21.140625" style="14" customWidth="1"/>
    <col min="15" max="15" width="6.42578125" style="1" customWidth="1"/>
    <col min="16" max="16" width="7" style="1" customWidth="1"/>
    <col min="17" max="17" width="17.28515625" style="11" customWidth="1"/>
    <col min="18" max="18" width="7.42578125" style="1" customWidth="1"/>
    <col min="19" max="19" width="9.28515625" style="1" customWidth="1"/>
    <col min="20" max="20" width="8.28515625" style="1" customWidth="1"/>
    <col min="21" max="21" width="5.7109375" style="1" customWidth="1"/>
    <col min="22" max="27" width="9.42578125" style="1" bestFit="1" customWidth="1"/>
    <col min="28" max="28" width="10.85546875" style="1" bestFit="1" customWidth="1"/>
    <col min="29" max="29" width="7" style="1" customWidth="1"/>
    <col min="30" max="30" width="21.85546875" style="1" customWidth="1"/>
    <col min="31" max="31" width="27.28515625" style="1" customWidth="1"/>
    <col min="32" max="32" width="18" style="1" customWidth="1"/>
    <col min="33" max="33" width="19.85546875" style="1" customWidth="1"/>
    <col min="34" max="34" width="15.140625" style="1" customWidth="1"/>
    <col min="35" max="35" width="18.140625" style="1" customWidth="1"/>
    <col min="36" max="16384" width="9.140625" style="1"/>
  </cols>
  <sheetData>
    <row r="1" spans="1:35" ht="14.25" customHeight="1" x14ac:dyDescent="0.2">
      <c r="D1" s="1"/>
      <c r="F1" s="1"/>
    </row>
    <row r="2" spans="1:35" ht="14.25" customHeight="1" x14ac:dyDescent="0.2">
      <c r="D2" s="3" t="s">
        <v>8</v>
      </c>
      <c r="E2" s="12" t="s">
        <v>24</v>
      </c>
      <c r="F2" s="3" t="s">
        <v>25</v>
      </c>
      <c r="G2" s="12" t="s">
        <v>26</v>
      </c>
      <c r="H2" s="12" t="s">
        <v>20</v>
      </c>
    </row>
    <row r="3" spans="1:35" ht="27" customHeight="1" x14ac:dyDescent="0.2">
      <c r="D3" s="1" t="s">
        <v>2</v>
      </c>
      <c r="E3" s="5">
        <f>+AH6</f>
        <v>115</v>
      </c>
      <c r="F3" s="5">
        <f>+AD6</f>
        <v>92</v>
      </c>
      <c r="G3" s="5">
        <f>+AF6</f>
        <v>89</v>
      </c>
      <c r="H3" s="5">
        <f>+E3-G3</f>
        <v>26</v>
      </c>
      <c r="I3" s="13" t="s">
        <v>9</v>
      </c>
      <c r="J3" s="4"/>
      <c r="K3" s="4"/>
    </row>
    <row r="4" spans="1:35" ht="27" customHeight="1" x14ac:dyDescent="0.25">
      <c r="D4" s="6" t="s">
        <v>3</v>
      </c>
      <c r="E4" s="7">
        <f>+AI6</f>
        <v>326</v>
      </c>
      <c r="F4" s="7">
        <f>+AE6</f>
        <v>147</v>
      </c>
      <c r="G4" s="7">
        <f>+AG6</f>
        <v>130</v>
      </c>
      <c r="H4" s="5">
        <f>+E4-G4</f>
        <v>196</v>
      </c>
      <c r="I4" s="22" t="s">
        <v>10</v>
      </c>
      <c r="J4" s="23" t="s">
        <v>566</v>
      </c>
      <c r="K4" s="24" t="s">
        <v>19</v>
      </c>
      <c r="M4" s="17"/>
      <c r="N4" s="17"/>
    </row>
    <row r="5" spans="1:35" ht="14.25" customHeight="1" x14ac:dyDescent="0.25">
      <c r="D5" s="8" t="s">
        <v>12</v>
      </c>
      <c r="E5" s="8">
        <f>+E3+E4</f>
        <v>441</v>
      </c>
      <c r="F5" s="8">
        <f>+F3+F4</f>
        <v>239</v>
      </c>
      <c r="G5" s="8">
        <f>+G3+G4</f>
        <v>219</v>
      </c>
      <c r="H5" s="8">
        <f>+H3+H4</f>
        <v>222</v>
      </c>
      <c r="I5" s="30" t="s">
        <v>16</v>
      </c>
      <c r="J5" s="25" t="s">
        <v>565</v>
      </c>
      <c r="K5" s="26" t="s">
        <v>41</v>
      </c>
      <c r="M5" s="17"/>
      <c r="N5" s="17"/>
      <c r="Q5" s="9"/>
      <c r="S5" s="9">
        <f t="shared" ref="S5:AB5" si="0">SUM(S8:S2430)</f>
        <v>59</v>
      </c>
      <c r="T5" s="9">
        <f t="shared" si="0"/>
        <v>10</v>
      </c>
      <c r="U5" s="9">
        <f t="shared" si="0"/>
        <v>5</v>
      </c>
      <c r="V5" s="9">
        <f t="shared" si="0"/>
        <v>7</v>
      </c>
      <c r="W5" s="9">
        <f t="shared" si="0"/>
        <v>2</v>
      </c>
      <c r="X5" s="9">
        <f t="shared" si="0"/>
        <v>5</v>
      </c>
      <c r="Y5" s="9">
        <f t="shared" si="0"/>
        <v>17</v>
      </c>
      <c r="Z5" s="9">
        <f t="shared" si="0"/>
        <v>29</v>
      </c>
      <c r="AA5" s="9">
        <f t="shared" si="0"/>
        <v>17</v>
      </c>
      <c r="AB5" s="9">
        <f t="shared" si="0"/>
        <v>21</v>
      </c>
      <c r="AC5" s="9"/>
      <c r="AD5" s="9"/>
      <c r="AE5" s="9"/>
      <c r="AF5" s="9"/>
      <c r="AG5" s="9"/>
    </row>
    <row r="6" spans="1:35" ht="14.25" customHeight="1" x14ac:dyDescent="0.25">
      <c r="D6" s="1"/>
      <c r="F6" s="1"/>
      <c r="M6" s="17"/>
      <c r="N6" s="17"/>
      <c r="S6" s="1" t="s">
        <v>15</v>
      </c>
      <c r="T6" s="1" t="s">
        <v>15</v>
      </c>
      <c r="U6" s="1" t="s">
        <v>15</v>
      </c>
      <c r="V6" s="1" t="s">
        <v>15</v>
      </c>
      <c r="W6" s="1" t="s">
        <v>15</v>
      </c>
      <c r="X6" s="1" t="s">
        <v>15</v>
      </c>
      <c r="Y6" s="1" t="s">
        <v>15</v>
      </c>
      <c r="Z6" s="1" t="s">
        <v>15</v>
      </c>
      <c r="AA6" s="1" t="s">
        <v>15</v>
      </c>
      <c r="AB6" s="1" t="s">
        <v>15</v>
      </c>
      <c r="AD6" s="1">
        <f t="shared" ref="AD6:AI6" si="1">SUM(AD8:AD1699)</f>
        <v>92</v>
      </c>
      <c r="AE6" s="1">
        <f t="shared" si="1"/>
        <v>147</v>
      </c>
      <c r="AF6" s="1">
        <f t="shared" si="1"/>
        <v>89</v>
      </c>
      <c r="AG6" s="1">
        <f t="shared" si="1"/>
        <v>130</v>
      </c>
      <c r="AH6" s="1">
        <f t="shared" si="1"/>
        <v>115</v>
      </c>
      <c r="AI6" s="1">
        <f t="shared" si="1"/>
        <v>326</v>
      </c>
    </row>
    <row r="7" spans="1:35" s="69" customFormat="1" ht="14.25" customHeight="1" x14ac:dyDescent="0.25">
      <c r="A7" s="27" t="s">
        <v>1371</v>
      </c>
      <c r="B7" s="27" t="s">
        <v>1372</v>
      </c>
      <c r="C7" s="27" t="s">
        <v>1373</v>
      </c>
      <c r="D7" s="29" t="s">
        <v>13</v>
      </c>
      <c r="E7" s="29" t="s">
        <v>23</v>
      </c>
      <c r="F7" s="29" t="s">
        <v>14</v>
      </c>
      <c r="G7" s="29" t="s">
        <v>18</v>
      </c>
      <c r="H7" s="29" t="s">
        <v>42</v>
      </c>
      <c r="I7" s="27" t="s">
        <v>11</v>
      </c>
      <c r="J7" s="27" t="s">
        <v>1374</v>
      </c>
      <c r="K7" s="27" t="s">
        <v>1633</v>
      </c>
      <c r="L7" s="27" t="s">
        <v>17</v>
      </c>
      <c r="M7" s="29" t="s">
        <v>1375</v>
      </c>
      <c r="N7" s="28" t="s">
        <v>0</v>
      </c>
      <c r="O7" s="18" t="s">
        <v>1</v>
      </c>
      <c r="P7" s="18" t="s">
        <v>2</v>
      </c>
      <c r="Q7" s="29" t="s">
        <v>1881</v>
      </c>
      <c r="S7" s="69">
        <v>1</v>
      </c>
      <c r="T7" s="69">
        <f>+S7+1</f>
        <v>2</v>
      </c>
      <c r="U7" s="69">
        <f t="shared" ref="U7:AB7" si="2">+T7+1</f>
        <v>3</v>
      </c>
      <c r="V7" s="69">
        <f t="shared" si="2"/>
        <v>4</v>
      </c>
      <c r="W7" s="69">
        <f t="shared" si="2"/>
        <v>5</v>
      </c>
      <c r="X7" s="69">
        <f t="shared" si="2"/>
        <v>6</v>
      </c>
      <c r="Y7" s="69">
        <f t="shared" si="2"/>
        <v>7</v>
      </c>
      <c r="Z7" s="69">
        <f t="shared" si="2"/>
        <v>8</v>
      </c>
      <c r="AA7" s="69">
        <f t="shared" si="2"/>
        <v>9</v>
      </c>
      <c r="AB7" s="69">
        <f t="shared" si="2"/>
        <v>10</v>
      </c>
      <c r="AD7" s="69" t="s">
        <v>21</v>
      </c>
      <c r="AE7" s="69" t="s">
        <v>22</v>
      </c>
      <c r="AF7" s="69" t="s">
        <v>4</v>
      </c>
      <c r="AG7" s="69" t="s">
        <v>5</v>
      </c>
      <c r="AH7" s="69" t="s">
        <v>6</v>
      </c>
      <c r="AI7" s="69" t="s">
        <v>7</v>
      </c>
    </row>
    <row r="8" spans="1:35" ht="14.25" customHeight="1" x14ac:dyDescent="0.25">
      <c r="A8" s="44">
        <v>0</v>
      </c>
      <c r="B8" s="44">
        <v>1</v>
      </c>
      <c r="C8" s="44">
        <v>1</v>
      </c>
      <c r="D8" s="45" t="s">
        <v>125</v>
      </c>
      <c r="E8" s="45" t="s">
        <v>907</v>
      </c>
      <c r="F8" s="45" t="s">
        <v>325</v>
      </c>
      <c r="G8" s="45" t="s">
        <v>178</v>
      </c>
      <c r="H8" s="45" t="s">
        <v>354</v>
      </c>
      <c r="I8" s="44" t="s">
        <v>472</v>
      </c>
      <c r="J8" s="44">
        <v>1</v>
      </c>
      <c r="K8" s="46" t="s">
        <v>733</v>
      </c>
      <c r="L8" s="46">
        <v>200</v>
      </c>
      <c r="M8" s="47" t="s">
        <v>39</v>
      </c>
      <c r="N8" s="47" t="s">
        <v>1735</v>
      </c>
      <c r="O8" s="48"/>
      <c r="P8" s="48"/>
      <c r="Q8" s="45"/>
      <c r="S8" s="1">
        <f>IF(J8=$S$7,1,0)</f>
        <v>1</v>
      </c>
      <c r="T8" s="1">
        <f>IF(J8=$T$7,1,0)</f>
        <v>0</v>
      </c>
      <c r="U8" s="1">
        <f>IF(J8=$U$7,1,0)</f>
        <v>0</v>
      </c>
      <c r="V8" s="1">
        <f>IF(J8=$V$7,1,0)</f>
        <v>0</v>
      </c>
      <c r="W8" s="1">
        <f>IF(J8=$W$7,1,0)</f>
        <v>0</v>
      </c>
      <c r="X8" s="1">
        <f>IF(J8=$X$7,1,0)</f>
        <v>0</v>
      </c>
      <c r="Y8" s="1">
        <f>IF(J8=$Y$7,1,0)</f>
        <v>0</v>
      </c>
      <c r="Z8" s="1">
        <f>IF(J8=$Z$7,1,0)</f>
        <v>0</v>
      </c>
      <c r="AA8" s="1">
        <f>IF(J8=$AA$7,1,0)</f>
        <v>0</v>
      </c>
      <c r="AB8" s="1">
        <f>IF(J8=$AB$7,1,0)</f>
        <v>0</v>
      </c>
      <c r="AD8" s="1">
        <f>+O8*P8</f>
        <v>0</v>
      </c>
      <c r="AE8" s="1">
        <f>O8*(1-P8)</f>
        <v>0</v>
      </c>
      <c r="AF8" s="1">
        <f t="shared" ref="AF8:AF70" si="3">+O8*P8*(1-A8)</f>
        <v>0</v>
      </c>
      <c r="AG8" s="1">
        <f t="shared" ref="AG8:AG70" si="4">O8*(1-P8)*(1-A8)</f>
        <v>0</v>
      </c>
      <c r="AH8" s="1">
        <f t="shared" ref="AH8:AH70" si="5">+P8*(1-A8)</f>
        <v>0</v>
      </c>
      <c r="AI8" s="1">
        <f t="shared" ref="AI8:AI70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1591</v>
      </c>
      <c r="E9" s="32" t="s">
        <v>171</v>
      </c>
      <c r="F9" s="32" t="s">
        <v>1541</v>
      </c>
      <c r="G9" s="32" t="s">
        <v>39</v>
      </c>
      <c r="H9" s="32" t="s">
        <v>363</v>
      </c>
      <c r="I9" s="31" t="s">
        <v>1542</v>
      </c>
      <c r="J9" s="31">
        <v>99</v>
      </c>
      <c r="K9" s="33" t="s">
        <v>964</v>
      </c>
      <c r="L9" s="33" t="s">
        <v>1701</v>
      </c>
      <c r="M9" s="34" t="s">
        <v>1379</v>
      </c>
      <c r="N9" s="34" t="s">
        <v>1727</v>
      </c>
      <c r="O9" s="35">
        <v>1</v>
      </c>
      <c r="P9" s="35">
        <v>1</v>
      </c>
      <c r="Q9" s="32"/>
      <c r="S9" s="1">
        <f>IF(J9=$S$7,1,0)</f>
        <v>0</v>
      </c>
      <c r="T9" s="1">
        <f>IF(J9=$T$7,1,0)</f>
        <v>0</v>
      </c>
      <c r="U9" s="1">
        <f>IF(J9=$U$7,1,0)</f>
        <v>0</v>
      </c>
      <c r="V9" s="1">
        <f>IF(J9=$V$7,1,0)</f>
        <v>0</v>
      </c>
      <c r="W9" s="1">
        <f>IF(J9=$W$7,1,0)</f>
        <v>0</v>
      </c>
      <c r="X9" s="1">
        <f>IF(J9=$X$7,1,0)</f>
        <v>0</v>
      </c>
      <c r="Y9" s="1">
        <f>IF(J9=$Y$7,1,0)</f>
        <v>0</v>
      </c>
      <c r="Z9" s="1">
        <f>IF(J9=$Z$7,1,0)</f>
        <v>0</v>
      </c>
      <c r="AA9" s="1">
        <f>IF(J9=$AA$7,1,0)</f>
        <v>0</v>
      </c>
      <c r="AB9" s="1">
        <f>IF(J9=$AB$7,1,0)</f>
        <v>0</v>
      </c>
      <c r="AD9" s="1">
        <f>+O9*P9</f>
        <v>1</v>
      </c>
      <c r="AE9" s="1">
        <f>O9*(1-P9)</f>
        <v>0</v>
      </c>
      <c r="AF9" s="1">
        <f t="shared" si="3"/>
        <v>1</v>
      </c>
      <c r="AG9" s="1">
        <f t="shared" si="4"/>
        <v>0</v>
      </c>
      <c r="AH9" s="1">
        <f t="shared" si="5"/>
        <v>1</v>
      </c>
      <c r="AI9" s="1">
        <f t="shared" si="6"/>
        <v>0</v>
      </c>
    </row>
    <row r="10" spans="1:35" ht="14.25" customHeight="1" x14ac:dyDescent="0.25">
      <c r="A10" s="44">
        <v>0</v>
      </c>
      <c r="B10" s="44">
        <v>1</v>
      </c>
      <c r="C10" s="44">
        <v>1</v>
      </c>
      <c r="D10" s="45" t="s">
        <v>150</v>
      </c>
      <c r="E10" s="45" t="s">
        <v>171</v>
      </c>
      <c r="F10" s="45" t="s">
        <v>351</v>
      </c>
      <c r="G10" s="45" t="s">
        <v>178</v>
      </c>
      <c r="H10" s="45" t="s">
        <v>354</v>
      </c>
      <c r="I10" s="44" t="s">
        <v>497</v>
      </c>
      <c r="J10" s="44">
        <v>1</v>
      </c>
      <c r="K10" s="46" t="s">
        <v>964</v>
      </c>
      <c r="L10" s="46" t="s">
        <v>1702</v>
      </c>
      <c r="M10" s="47" t="s">
        <v>1376</v>
      </c>
      <c r="N10" s="47" t="s">
        <v>1747</v>
      </c>
      <c r="O10" s="48"/>
      <c r="P10" s="48"/>
      <c r="Q10" s="45"/>
      <c r="S10" s="1">
        <f>IF(J10=$S$7,1,0)</f>
        <v>1</v>
      </c>
      <c r="T10" s="1">
        <f>IF(J10=$T$7,1,0)</f>
        <v>0</v>
      </c>
      <c r="U10" s="1">
        <f>IF(J10=$U$7,1,0)</f>
        <v>0</v>
      </c>
      <c r="V10" s="1">
        <f>IF(J10=$V$7,1,0)</f>
        <v>0</v>
      </c>
      <c r="W10" s="1">
        <f>IF(J10=$W$7,1,0)</f>
        <v>0</v>
      </c>
      <c r="X10" s="1">
        <f>IF(J10=$X$7,1,0)</f>
        <v>0</v>
      </c>
      <c r="Y10" s="1">
        <f>IF(J10=$Y$7,1,0)</f>
        <v>0</v>
      </c>
      <c r="Z10" s="1">
        <f>IF(J10=$Z$7,1,0)</f>
        <v>0</v>
      </c>
      <c r="AA10" s="1">
        <f>IF(J10=$AA$7,1,0)</f>
        <v>0</v>
      </c>
      <c r="AB10" s="1">
        <f>IF(J10=$AB$7,1,0)</f>
        <v>0</v>
      </c>
      <c r="AD10" s="1">
        <f>+O10*P10</f>
        <v>0</v>
      </c>
      <c r="AE10" s="1">
        <f>O10*(1-P10)</f>
        <v>0</v>
      </c>
      <c r="AF10" s="1">
        <f t="shared" si="3"/>
        <v>0</v>
      </c>
      <c r="AG10" s="1">
        <f t="shared" si="4"/>
        <v>0</v>
      </c>
      <c r="AH10" s="1">
        <f t="shared" si="5"/>
        <v>0</v>
      </c>
      <c r="AI10" s="1">
        <f t="shared" si="6"/>
        <v>1</v>
      </c>
    </row>
    <row r="11" spans="1:35" ht="14.25" customHeight="1" x14ac:dyDescent="0.25">
      <c r="A11" s="44">
        <v>0</v>
      </c>
      <c r="B11" s="44">
        <v>1</v>
      </c>
      <c r="C11" s="44">
        <v>1</v>
      </c>
      <c r="D11" s="45" t="s">
        <v>1032</v>
      </c>
      <c r="E11" s="45" t="s">
        <v>174</v>
      </c>
      <c r="F11" s="45" t="s">
        <v>1090</v>
      </c>
      <c r="G11" s="45" t="s">
        <v>39</v>
      </c>
      <c r="H11" s="45" t="s">
        <v>1033</v>
      </c>
      <c r="I11" s="44" t="s">
        <v>1112</v>
      </c>
      <c r="J11" s="44">
        <v>16</v>
      </c>
      <c r="K11" s="46" t="s">
        <v>962</v>
      </c>
      <c r="L11" s="46">
        <v>45</v>
      </c>
      <c r="M11" s="47" t="s">
        <v>1377</v>
      </c>
      <c r="N11" s="47" t="s">
        <v>1802</v>
      </c>
      <c r="O11" s="48"/>
      <c r="P11" s="48"/>
      <c r="Q11" s="45"/>
      <c r="S11" s="1">
        <f>IF(J11=$S$7,1,0)</f>
        <v>0</v>
      </c>
      <c r="T11" s="1">
        <f>IF(J11=$T$7,1,0)</f>
        <v>0</v>
      </c>
      <c r="U11" s="1">
        <f>IF(J11=$U$7,1,0)</f>
        <v>0</v>
      </c>
      <c r="V11" s="1">
        <f>IF(J11=$V$7,1,0)</f>
        <v>0</v>
      </c>
      <c r="W11" s="1">
        <f>IF(J11=$W$7,1,0)</f>
        <v>0</v>
      </c>
      <c r="X11" s="1">
        <f>IF(J11=$X$7,1,0)</f>
        <v>0</v>
      </c>
      <c r="Y11" s="1">
        <f>IF(J11=$Y$7,1,0)</f>
        <v>0</v>
      </c>
      <c r="Z11" s="1">
        <f>IF(J11=$Z$7,1,0)</f>
        <v>0</v>
      </c>
      <c r="AA11" s="1">
        <f>IF(J11=$AA$7,1,0)</f>
        <v>0</v>
      </c>
      <c r="AB11" s="1">
        <f>IF(J11=$AB$7,1,0)</f>
        <v>0</v>
      </c>
      <c r="AD11" s="1">
        <f>+O11*P11</f>
        <v>0</v>
      </c>
      <c r="AE11" s="1">
        <f>O11*(1-P11)</f>
        <v>0</v>
      </c>
      <c r="AF11" s="1">
        <f t="shared" si="3"/>
        <v>0</v>
      </c>
      <c r="AG11" s="1">
        <f t="shared" si="4"/>
        <v>0</v>
      </c>
      <c r="AH11" s="1">
        <f t="shared" si="5"/>
        <v>0</v>
      </c>
      <c r="AI11" s="1">
        <f t="shared" si="6"/>
        <v>1</v>
      </c>
    </row>
    <row r="12" spans="1:35" ht="14.25" customHeight="1" x14ac:dyDescent="0.25">
      <c r="A12" s="44">
        <v>0</v>
      </c>
      <c r="B12" s="44">
        <v>1</v>
      </c>
      <c r="C12" s="44">
        <v>1</v>
      </c>
      <c r="D12" s="45" t="s">
        <v>117</v>
      </c>
      <c r="E12" s="45" t="s">
        <v>171</v>
      </c>
      <c r="F12" s="45" t="s">
        <v>316</v>
      </c>
      <c r="G12" s="45" t="s">
        <v>317</v>
      </c>
      <c r="H12" s="45" t="s">
        <v>354</v>
      </c>
      <c r="I12" s="44" t="s">
        <v>464</v>
      </c>
      <c r="J12" s="44">
        <v>8</v>
      </c>
      <c r="K12" s="46" t="s">
        <v>966</v>
      </c>
      <c r="L12" s="46" t="s">
        <v>1705</v>
      </c>
      <c r="M12" s="47" t="s">
        <v>1119</v>
      </c>
      <c r="N12" s="47" t="s">
        <v>1736</v>
      </c>
      <c r="O12" s="48"/>
      <c r="P12" s="48"/>
      <c r="Q12" s="45"/>
      <c r="S12" s="1">
        <f t="shared" ref="S12:S74" si="7">IF(J12=$S$7,1,0)</f>
        <v>0</v>
      </c>
      <c r="T12" s="1">
        <f t="shared" ref="T12:T74" si="8">IF(J12=$T$7,1,0)</f>
        <v>0</v>
      </c>
      <c r="U12" s="1">
        <f t="shared" ref="U12:U74" si="9">IF(J12=$U$7,1,0)</f>
        <v>0</v>
      </c>
      <c r="V12" s="1">
        <f t="shared" ref="V12:V74" si="10">IF(J12=$V$7,1,0)</f>
        <v>0</v>
      </c>
      <c r="W12" s="1">
        <f t="shared" ref="W12:W74" si="11">IF(J12=$W$7,1,0)</f>
        <v>0</v>
      </c>
      <c r="X12" s="1">
        <f t="shared" ref="X12:X74" si="12">IF(J12=$X$7,1,0)</f>
        <v>0</v>
      </c>
      <c r="Y12" s="1">
        <f t="shared" ref="Y12:Y74" si="13">IF(J12=$Y$7,1,0)</f>
        <v>0</v>
      </c>
      <c r="Z12" s="1">
        <f t="shared" ref="Z12:Z74" si="14">IF(J12=$Z$7,1,0)</f>
        <v>1</v>
      </c>
      <c r="AA12" s="1">
        <f t="shared" ref="AA12:AA74" si="15">IF(J12=$AA$7,1,0)</f>
        <v>0</v>
      </c>
      <c r="AB12" s="1">
        <f t="shared" ref="AB12:AB74" si="16">IF(J12=$AB$7,1,0)</f>
        <v>0</v>
      </c>
      <c r="AD12" s="1">
        <f t="shared" ref="AD12:AD70" si="17">+O12*P12</f>
        <v>0</v>
      </c>
      <c r="AE12" s="1">
        <f t="shared" ref="AE12:AE70" si="18">O12*(1-P12)</f>
        <v>0</v>
      </c>
      <c r="AF12" s="1">
        <f t="shared" si="3"/>
        <v>0</v>
      </c>
      <c r="AG12" s="1">
        <f t="shared" si="4"/>
        <v>0</v>
      </c>
      <c r="AH12" s="1">
        <f t="shared" si="5"/>
        <v>0</v>
      </c>
      <c r="AI12" s="1">
        <f t="shared" si="6"/>
        <v>1</v>
      </c>
    </row>
    <row r="13" spans="1:35" ht="14.25" customHeight="1" x14ac:dyDescent="0.25">
      <c r="A13" s="44">
        <v>0</v>
      </c>
      <c r="B13" s="44">
        <v>1</v>
      </c>
      <c r="C13" s="44">
        <v>1</v>
      </c>
      <c r="D13" s="45" t="s">
        <v>140</v>
      </c>
      <c r="E13" s="45" t="s">
        <v>171</v>
      </c>
      <c r="F13" s="45" t="s">
        <v>340</v>
      </c>
      <c r="G13" s="45" t="s">
        <v>341</v>
      </c>
      <c r="H13" s="45" t="s">
        <v>354</v>
      </c>
      <c r="I13" s="44" t="s">
        <v>488</v>
      </c>
      <c r="J13" s="44">
        <v>10</v>
      </c>
      <c r="K13" s="46" t="s">
        <v>964</v>
      </c>
      <c r="L13" s="46" t="s">
        <v>1706</v>
      </c>
      <c r="M13" s="47" t="s">
        <v>1119</v>
      </c>
      <c r="N13" s="47" t="s">
        <v>1736</v>
      </c>
      <c r="O13" s="48"/>
      <c r="P13" s="48"/>
      <c r="Q13" s="45"/>
      <c r="S13" s="1">
        <f t="shared" si="7"/>
        <v>0</v>
      </c>
      <c r="T13" s="1">
        <f t="shared" si="8"/>
        <v>0</v>
      </c>
      <c r="U13" s="1">
        <f t="shared" si="9"/>
        <v>0</v>
      </c>
      <c r="V13" s="1">
        <f t="shared" si="10"/>
        <v>0</v>
      </c>
      <c r="W13" s="1">
        <f t="shared" si="11"/>
        <v>0</v>
      </c>
      <c r="X13" s="1">
        <f t="shared" si="12"/>
        <v>0</v>
      </c>
      <c r="Y13" s="1">
        <f t="shared" si="13"/>
        <v>0</v>
      </c>
      <c r="Z13" s="1">
        <f t="shared" si="14"/>
        <v>0</v>
      </c>
      <c r="AA13" s="1">
        <f t="shared" si="15"/>
        <v>0</v>
      </c>
      <c r="AB13" s="1">
        <f t="shared" si="16"/>
        <v>1</v>
      </c>
      <c r="AD13" s="1">
        <f t="shared" si="17"/>
        <v>0</v>
      </c>
      <c r="AE13" s="1">
        <f t="shared" si="18"/>
        <v>0</v>
      </c>
      <c r="AF13" s="1">
        <f t="shared" si="3"/>
        <v>0</v>
      </c>
      <c r="AG13" s="1">
        <f t="shared" si="4"/>
        <v>0</v>
      </c>
      <c r="AH13" s="1">
        <f t="shared" si="5"/>
        <v>0</v>
      </c>
      <c r="AI13" s="1">
        <f t="shared" si="6"/>
        <v>1</v>
      </c>
    </row>
    <row r="14" spans="1:35" ht="14.25" customHeight="1" x14ac:dyDescent="0.25">
      <c r="A14" s="44">
        <v>0</v>
      </c>
      <c r="B14" s="44">
        <v>1</v>
      </c>
      <c r="C14" s="44">
        <v>1</v>
      </c>
      <c r="D14" s="45" t="s">
        <v>534</v>
      </c>
      <c r="E14" s="45" t="s">
        <v>171</v>
      </c>
      <c r="F14" s="45" t="s">
        <v>1293</v>
      </c>
      <c r="G14" s="45" t="s">
        <v>240</v>
      </c>
      <c r="H14" s="45" t="s">
        <v>354</v>
      </c>
      <c r="I14" s="44" t="s">
        <v>1360</v>
      </c>
      <c r="J14" s="44">
        <v>1</v>
      </c>
      <c r="K14" s="46" t="s">
        <v>960</v>
      </c>
      <c r="L14" s="46" t="s">
        <v>1708</v>
      </c>
      <c r="M14" s="47" t="s">
        <v>1378</v>
      </c>
      <c r="N14" s="47" t="s">
        <v>1739</v>
      </c>
      <c r="O14" s="48"/>
      <c r="P14" s="48"/>
      <c r="Q14" s="45"/>
      <c r="S14" s="1">
        <f t="shared" si="7"/>
        <v>1</v>
      </c>
      <c r="T14" s="1">
        <f t="shared" si="8"/>
        <v>0</v>
      </c>
      <c r="U14" s="1">
        <f t="shared" si="9"/>
        <v>0</v>
      </c>
      <c r="V14" s="1">
        <f t="shared" si="10"/>
        <v>0</v>
      </c>
      <c r="W14" s="1">
        <f t="shared" si="11"/>
        <v>0</v>
      </c>
      <c r="X14" s="1">
        <f t="shared" si="12"/>
        <v>0</v>
      </c>
      <c r="Y14" s="1">
        <f t="shared" si="13"/>
        <v>0</v>
      </c>
      <c r="Z14" s="1">
        <f t="shared" si="14"/>
        <v>0</v>
      </c>
      <c r="AA14" s="1">
        <f t="shared" si="15"/>
        <v>0</v>
      </c>
      <c r="AB14" s="1">
        <f t="shared" si="16"/>
        <v>0</v>
      </c>
      <c r="AD14" s="1">
        <f t="shared" si="17"/>
        <v>0</v>
      </c>
      <c r="AE14" s="1">
        <f t="shared" si="18"/>
        <v>0</v>
      </c>
      <c r="AF14" s="1">
        <f t="shared" si="3"/>
        <v>0</v>
      </c>
      <c r="AG14" s="1">
        <f t="shared" si="4"/>
        <v>0</v>
      </c>
      <c r="AH14" s="1">
        <f t="shared" si="5"/>
        <v>0</v>
      </c>
      <c r="AI14" s="1">
        <f t="shared" si="6"/>
        <v>1</v>
      </c>
    </row>
    <row r="15" spans="1:35" ht="14.25" customHeight="1" x14ac:dyDescent="0.25">
      <c r="A15" s="44">
        <v>0</v>
      </c>
      <c r="B15" s="44">
        <v>1</v>
      </c>
      <c r="C15" s="44">
        <v>1</v>
      </c>
      <c r="D15" s="45" t="s">
        <v>116</v>
      </c>
      <c r="E15" s="45" t="s">
        <v>171</v>
      </c>
      <c r="F15" s="45" t="s">
        <v>315</v>
      </c>
      <c r="G15" s="45" t="s">
        <v>186</v>
      </c>
      <c r="H15" s="45" t="s">
        <v>354</v>
      </c>
      <c r="I15" s="44" t="s">
        <v>463</v>
      </c>
      <c r="J15" s="44">
        <v>1</v>
      </c>
      <c r="K15" s="46" t="s">
        <v>964</v>
      </c>
      <c r="L15" s="46" t="s">
        <v>1706</v>
      </c>
      <c r="M15" s="47" t="s">
        <v>1119</v>
      </c>
      <c r="N15" s="47" t="s">
        <v>1747</v>
      </c>
      <c r="O15" s="48"/>
      <c r="P15" s="48"/>
      <c r="Q15" s="45"/>
      <c r="S15" s="1">
        <f t="shared" si="7"/>
        <v>1</v>
      </c>
      <c r="T15" s="1">
        <f t="shared" si="8"/>
        <v>0</v>
      </c>
      <c r="U15" s="1">
        <f t="shared" si="9"/>
        <v>0</v>
      </c>
      <c r="V15" s="1">
        <f t="shared" si="10"/>
        <v>0</v>
      </c>
      <c r="W15" s="1">
        <f t="shared" si="11"/>
        <v>0</v>
      </c>
      <c r="X15" s="1">
        <f t="shared" si="12"/>
        <v>0</v>
      </c>
      <c r="Y15" s="1">
        <f t="shared" si="13"/>
        <v>0</v>
      </c>
      <c r="Z15" s="1">
        <f t="shared" si="14"/>
        <v>0</v>
      </c>
      <c r="AA15" s="1">
        <f t="shared" si="15"/>
        <v>0</v>
      </c>
      <c r="AB15" s="1">
        <f t="shared" si="16"/>
        <v>0</v>
      </c>
      <c r="AD15" s="1">
        <f t="shared" si="17"/>
        <v>0</v>
      </c>
      <c r="AE15" s="1">
        <f t="shared" si="18"/>
        <v>0</v>
      </c>
      <c r="AF15" s="1">
        <f t="shared" si="3"/>
        <v>0</v>
      </c>
      <c r="AG15" s="1">
        <f t="shared" si="4"/>
        <v>0</v>
      </c>
      <c r="AH15" s="1">
        <f t="shared" si="5"/>
        <v>0</v>
      </c>
      <c r="AI15" s="1">
        <f t="shared" si="6"/>
        <v>1</v>
      </c>
    </row>
    <row r="16" spans="1:35" ht="14.25" customHeight="1" x14ac:dyDescent="0.25">
      <c r="A16" s="38">
        <v>0</v>
      </c>
      <c r="B16" s="38">
        <v>1</v>
      </c>
      <c r="C16" s="38">
        <v>1</v>
      </c>
      <c r="D16" s="39" t="s">
        <v>110</v>
      </c>
      <c r="E16" s="39" t="s">
        <v>171</v>
      </c>
      <c r="F16" s="39" t="s">
        <v>309</v>
      </c>
      <c r="G16" s="39" t="s">
        <v>213</v>
      </c>
      <c r="H16" s="39" t="s">
        <v>354</v>
      </c>
      <c r="I16" s="38" t="s">
        <v>458</v>
      </c>
      <c r="J16" s="38">
        <v>1</v>
      </c>
      <c r="K16" s="40" t="s">
        <v>1698</v>
      </c>
      <c r="L16" s="40" t="s">
        <v>39</v>
      </c>
      <c r="M16" s="41" t="s">
        <v>39</v>
      </c>
      <c r="N16" s="42"/>
      <c r="O16" s="43"/>
      <c r="P16" s="43">
        <v>1</v>
      </c>
      <c r="Q16" s="39"/>
      <c r="S16" s="1">
        <f t="shared" si="7"/>
        <v>1</v>
      </c>
      <c r="T16" s="1">
        <f t="shared" si="8"/>
        <v>0</v>
      </c>
      <c r="U16" s="1">
        <f t="shared" si="9"/>
        <v>0</v>
      </c>
      <c r="V16" s="1">
        <f t="shared" si="10"/>
        <v>0</v>
      </c>
      <c r="W16" s="1">
        <f t="shared" si="11"/>
        <v>0</v>
      </c>
      <c r="X16" s="1">
        <f t="shared" si="12"/>
        <v>0</v>
      </c>
      <c r="Y16" s="1">
        <f t="shared" si="13"/>
        <v>0</v>
      </c>
      <c r="Z16" s="1">
        <f t="shared" si="14"/>
        <v>0</v>
      </c>
      <c r="AA16" s="1">
        <f t="shared" si="15"/>
        <v>0</v>
      </c>
      <c r="AB16" s="1">
        <f t="shared" si="16"/>
        <v>0</v>
      </c>
      <c r="AD16" s="1">
        <f t="shared" si="17"/>
        <v>0</v>
      </c>
      <c r="AE16" s="1">
        <f t="shared" si="18"/>
        <v>0</v>
      </c>
      <c r="AF16" s="1">
        <f t="shared" si="3"/>
        <v>0</v>
      </c>
      <c r="AG16" s="1">
        <f t="shared" si="4"/>
        <v>0</v>
      </c>
      <c r="AH16" s="1">
        <f t="shared" si="5"/>
        <v>1</v>
      </c>
      <c r="AI16" s="1">
        <f t="shared" si="6"/>
        <v>0</v>
      </c>
    </row>
    <row r="17" spans="1:35" ht="14.25" customHeight="1" x14ac:dyDescent="0.25">
      <c r="A17" s="44">
        <v>0</v>
      </c>
      <c r="B17" s="44">
        <v>1</v>
      </c>
      <c r="C17" s="44">
        <v>1</v>
      </c>
      <c r="D17" s="45" t="s">
        <v>120</v>
      </c>
      <c r="E17" s="45" t="s">
        <v>681</v>
      </c>
      <c r="F17" s="45" t="s">
        <v>1091</v>
      </c>
      <c r="G17" s="45" t="s">
        <v>39</v>
      </c>
      <c r="H17" s="45" t="s">
        <v>355</v>
      </c>
      <c r="I17" s="44" t="s">
        <v>1113</v>
      </c>
      <c r="J17" s="44">
        <v>11</v>
      </c>
      <c r="K17" s="46" t="s">
        <v>966</v>
      </c>
      <c r="L17" s="46" t="s">
        <v>1714</v>
      </c>
      <c r="M17" s="47" t="s">
        <v>1379</v>
      </c>
      <c r="N17" s="47" t="s">
        <v>1741</v>
      </c>
      <c r="O17" s="48"/>
      <c r="P17" s="48"/>
      <c r="Q17" s="45"/>
      <c r="S17" s="1">
        <f t="shared" si="7"/>
        <v>0</v>
      </c>
      <c r="T17" s="1">
        <f t="shared" si="8"/>
        <v>0</v>
      </c>
      <c r="U17" s="1">
        <f t="shared" si="9"/>
        <v>0</v>
      </c>
      <c r="V17" s="1">
        <f t="shared" si="10"/>
        <v>0</v>
      </c>
      <c r="W17" s="1">
        <f t="shared" si="11"/>
        <v>0</v>
      </c>
      <c r="X17" s="1">
        <f t="shared" si="12"/>
        <v>0</v>
      </c>
      <c r="Y17" s="1">
        <f t="shared" si="13"/>
        <v>0</v>
      </c>
      <c r="Z17" s="1">
        <f t="shared" si="14"/>
        <v>0</v>
      </c>
      <c r="AA17" s="1">
        <f t="shared" si="15"/>
        <v>0</v>
      </c>
      <c r="AB17" s="1">
        <f t="shared" si="16"/>
        <v>0</v>
      </c>
      <c r="AD17" s="1">
        <f t="shared" si="17"/>
        <v>0</v>
      </c>
      <c r="AE17" s="1">
        <f t="shared" si="18"/>
        <v>0</v>
      </c>
      <c r="AF17" s="1">
        <f t="shared" si="3"/>
        <v>0</v>
      </c>
      <c r="AG17" s="1">
        <f t="shared" si="4"/>
        <v>0</v>
      </c>
      <c r="AH17" s="1">
        <f t="shared" si="5"/>
        <v>0</v>
      </c>
      <c r="AI17" s="1">
        <f t="shared" si="6"/>
        <v>1</v>
      </c>
    </row>
    <row r="18" spans="1:35" ht="14.25" customHeight="1" x14ac:dyDescent="0.25">
      <c r="A18" s="44">
        <v>0</v>
      </c>
      <c r="B18" s="44">
        <v>1</v>
      </c>
      <c r="C18" s="44">
        <v>1</v>
      </c>
      <c r="D18" s="45" t="s">
        <v>148</v>
      </c>
      <c r="E18" s="45" t="s">
        <v>171</v>
      </c>
      <c r="F18" s="45" t="s">
        <v>349</v>
      </c>
      <c r="G18" s="45" t="s">
        <v>39</v>
      </c>
      <c r="H18" s="45" t="s">
        <v>379</v>
      </c>
      <c r="I18" s="44" t="s">
        <v>495</v>
      </c>
      <c r="J18" s="44">
        <v>16</v>
      </c>
      <c r="K18" s="46" t="s">
        <v>960</v>
      </c>
      <c r="L18" s="46">
        <v>75</v>
      </c>
      <c r="M18" s="47" t="s">
        <v>1379</v>
      </c>
      <c r="N18" s="47" t="s">
        <v>1802</v>
      </c>
      <c r="O18" s="48"/>
      <c r="P18" s="48"/>
      <c r="Q18" s="45"/>
      <c r="S18" s="1">
        <f t="shared" si="7"/>
        <v>0</v>
      </c>
      <c r="T18" s="1">
        <f t="shared" si="8"/>
        <v>0</v>
      </c>
      <c r="U18" s="1">
        <f t="shared" si="9"/>
        <v>0</v>
      </c>
      <c r="V18" s="1">
        <f t="shared" si="10"/>
        <v>0</v>
      </c>
      <c r="W18" s="1">
        <f t="shared" si="11"/>
        <v>0</v>
      </c>
      <c r="X18" s="1">
        <f t="shared" si="12"/>
        <v>0</v>
      </c>
      <c r="Y18" s="1">
        <f t="shared" si="13"/>
        <v>0</v>
      </c>
      <c r="Z18" s="1">
        <f t="shared" si="14"/>
        <v>0</v>
      </c>
      <c r="AA18" s="1">
        <f t="shared" si="15"/>
        <v>0</v>
      </c>
      <c r="AB18" s="1">
        <f t="shared" si="16"/>
        <v>0</v>
      </c>
      <c r="AD18" s="1">
        <f t="shared" si="17"/>
        <v>0</v>
      </c>
      <c r="AE18" s="1">
        <f t="shared" si="18"/>
        <v>0</v>
      </c>
      <c r="AF18" s="1">
        <f t="shared" si="3"/>
        <v>0</v>
      </c>
      <c r="AG18" s="1">
        <f t="shared" si="4"/>
        <v>0</v>
      </c>
      <c r="AH18" s="1">
        <f t="shared" si="5"/>
        <v>0</v>
      </c>
      <c r="AI18" s="1">
        <f t="shared" si="6"/>
        <v>1</v>
      </c>
    </row>
    <row r="19" spans="1:35" ht="14.25" customHeight="1" x14ac:dyDescent="0.25">
      <c r="A19" s="44">
        <v>0</v>
      </c>
      <c r="B19" s="44">
        <v>1</v>
      </c>
      <c r="C19" s="44">
        <v>1</v>
      </c>
      <c r="D19" s="45" t="s">
        <v>121</v>
      </c>
      <c r="E19" s="45" t="s">
        <v>171</v>
      </c>
      <c r="F19" s="45" t="s">
        <v>322</v>
      </c>
      <c r="G19" s="45" t="s">
        <v>323</v>
      </c>
      <c r="H19" s="45" t="s">
        <v>354</v>
      </c>
      <c r="I19" s="44" t="s">
        <v>468</v>
      </c>
      <c r="J19" s="44">
        <v>99</v>
      </c>
      <c r="K19" s="46" t="s">
        <v>965</v>
      </c>
      <c r="L19" s="46">
        <v>200</v>
      </c>
      <c r="M19" s="47" t="s">
        <v>39</v>
      </c>
      <c r="N19" s="47" t="s">
        <v>1809</v>
      </c>
      <c r="O19" s="48"/>
      <c r="P19" s="48"/>
      <c r="Q19" s="45"/>
      <c r="S19" s="1">
        <f t="shared" si="7"/>
        <v>0</v>
      </c>
      <c r="T19" s="1">
        <f t="shared" si="8"/>
        <v>0</v>
      </c>
      <c r="U19" s="1">
        <f t="shared" si="9"/>
        <v>0</v>
      </c>
      <c r="V19" s="1">
        <f t="shared" si="10"/>
        <v>0</v>
      </c>
      <c r="W19" s="1">
        <f t="shared" si="11"/>
        <v>0</v>
      </c>
      <c r="X19" s="1">
        <f t="shared" si="12"/>
        <v>0</v>
      </c>
      <c r="Y19" s="1">
        <f t="shared" si="13"/>
        <v>0</v>
      </c>
      <c r="Z19" s="1">
        <f t="shared" si="14"/>
        <v>0</v>
      </c>
      <c r="AA19" s="1">
        <f t="shared" si="15"/>
        <v>0</v>
      </c>
      <c r="AB19" s="1">
        <f t="shared" si="16"/>
        <v>0</v>
      </c>
      <c r="AD19" s="1">
        <f t="shared" si="17"/>
        <v>0</v>
      </c>
      <c r="AE19" s="1">
        <f t="shared" si="18"/>
        <v>0</v>
      </c>
      <c r="AF19" s="1">
        <f t="shared" si="3"/>
        <v>0</v>
      </c>
      <c r="AG19" s="1">
        <f t="shared" si="4"/>
        <v>0</v>
      </c>
      <c r="AH19" s="1">
        <f t="shared" si="5"/>
        <v>0</v>
      </c>
      <c r="AI19" s="1">
        <f t="shared" si="6"/>
        <v>1</v>
      </c>
    </row>
    <row r="20" spans="1:35" ht="14.25" customHeight="1" x14ac:dyDescent="0.25">
      <c r="A20" s="38">
        <v>0</v>
      </c>
      <c r="B20" s="38">
        <v>1</v>
      </c>
      <c r="C20" s="38">
        <v>1</v>
      </c>
      <c r="D20" s="39" t="s">
        <v>101</v>
      </c>
      <c r="E20" s="39" t="s">
        <v>171</v>
      </c>
      <c r="F20" s="39" t="s">
        <v>298</v>
      </c>
      <c r="G20" s="39" t="s">
        <v>39</v>
      </c>
      <c r="H20" s="39" t="s">
        <v>356</v>
      </c>
      <c r="I20" s="38" t="s">
        <v>448</v>
      </c>
      <c r="J20" s="38">
        <v>15</v>
      </c>
      <c r="K20" s="40" t="s">
        <v>967</v>
      </c>
      <c r="L20" s="40" t="s">
        <v>39</v>
      </c>
      <c r="M20" s="41" t="s">
        <v>39</v>
      </c>
      <c r="N20" s="42"/>
      <c r="O20" s="43"/>
      <c r="P20" s="43">
        <v>1</v>
      </c>
      <c r="Q20" s="54" t="s">
        <v>1893</v>
      </c>
      <c r="S20" s="1">
        <f t="shared" si="7"/>
        <v>0</v>
      </c>
      <c r="T20" s="1">
        <f t="shared" si="8"/>
        <v>0</v>
      </c>
      <c r="U20" s="1">
        <f t="shared" si="9"/>
        <v>0</v>
      </c>
      <c r="V20" s="1">
        <f t="shared" si="10"/>
        <v>0</v>
      </c>
      <c r="W20" s="1">
        <f t="shared" si="11"/>
        <v>0</v>
      </c>
      <c r="X20" s="1">
        <f t="shared" si="12"/>
        <v>0</v>
      </c>
      <c r="Y20" s="1">
        <f t="shared" si="13"/>
        <v>0</v>
      </c>
      <c r="Z20" s="1">
        <f t="shared" si="14"/>
        <v>0</v>
      </c>
      <c r="AA20" s="1">
        <f t="shared" si="15"/>
        <v>0</v>
      </c>
      <c r="AB20" s="1">
        <f t="shared" si="16"/>
        <v>0</v>
      </c>
      <c r="AD20" s="1">
        <f t="shared" si="17"/>
        <v>0</v>
      </c>
      <c r="AE20" s="1">
        <f t="shared" si="18"/>
        <v>0</v>
      </c>
      <c r="AF20" s="1">
        <f t="shared" si="3"/>
        <v>0</v>
      </c>
      <c r="AG20" s="1">
        <f t="shared" si="4"/>
        <v>0</v>
      </c>
      <c r="AH20" s="1">
        <f t="shared" si="5"/>
        <v>1</v>
      </c>
      <c r="AI20" s="1">
        <f t="shared" si="6"/>
        <v>0</v>
      </c>
    </row>
    <row r="21" spans="1:35" ht="14.25" customHeight="1" x14ac:dyDescent="0.25">
      <c r="A21" s="38">
        <v>0</v>
      </c>
      <c r="B21" s="38">
        <v>1</v>
      </c>
      <c r="C21" s="38">
        <v>1</v>
      </c>
      <c r="D21" s="54" t="s">
        <v>896</v>
      </c>
      <c r="E21" s="39" t="s">
        <v>170</v>
      </c>
      <c r="F21" s="39" t="s">
        <v>294</v>
      </c>
      <c r="G21" s="39" t="s">
        <v>39</v>
      </c>
      <c r="H21" s="39" t="s">
        <v>355</v>
      </c>
      <c r="I21" s="38" t="s">
        <v>444</v>
      </c>
      <c r="J21" s="38">
        <v>11</v>
      </c>
      <c r="K21" s="40" t="s">
        <v>960</v>
      </c>
      <c r="L21" s="40" t="s">
        <v>39</v>
      </c>
      <c r="M21" s="41" t="s">
        <v>39</v>
      </c>
      <c r="N21" s="42"/>
      <c r="O21" s="43"/>
      <c r="P21" s="43">
        <v>1</v>
      </c>
      <c r="Q21" s="39"/>
      <c r="S21" s="1">
        <f t="shared" si="7"/>
        <v>0</v>
      </c>
      <c r="T21" s="1">
        <f t="shared" si="8"/>
        <v>0</v>
      </c>
      <c r="U21" s="1">
        <f t="shared" si="9"/>
        <v>0</v>
      </c>
      <c r="V21" s="1">
        <f t="shared" si="10"/>
        <v>0</v>
      </c>
      <c r="W21" s="1">
        <f t="shared" si="11"/>
        <v>0</v>
      </c>
      <c r="X21" s="1">
        <f t="shared" si="12"/>
        <v>0</v>
      </c>
      <c r="Y21" s="1">
        <f t="shared" si="13"/>
        <v>0</v>
      </c>
      <c r="Z21" s="1">
        <f t="shared" si="14"/>
        <v>0</v>
      </c>
      <c r="AA21" s="1">
        <f t="shared" si="15"/>
        <v>0</v>
      </c>
      <c r="AB21" s="1">
        <f t="shared" si="16"/>
        <v>0</v>
      </c>
      <c r="AD21" s="1">
        <f t="shared" si="17"/>
        <v>0</v>
      </c>
      <c r="AE21" s="1">
        <f t="shared" si="18"/>
        <v>0</v>
      </c>
      <c r="AF21" s="1">
        <f t="shared" si="3"/>
        <v>0</v>
      </c>
      <c r="AG21" s="1">
        <f t="shared" si="4"/>
        <v>0</v>
      </c>
      <c r="AH21" s="1">
        <f t="shared" si="5"/>
        <v>1</v>
      </c>
      <c r="AI21" s="1">
        <f t="shared" si="6"/>
        <v>0</v>
      </c>
    </row>
    <row r="22" spans="1:35" ht="14.25" customHeight="1" x14ac:dyDescent="0.25">
      <c r="A22" s="38">
        <v>0</v>
      </c>
      <c r="B22" s="38">
        <v>1</v>
      </c>
      <c r="C22" s="38">
        <v>1</v>
      </c>
      <c r="D22" s="39" t="s">
        <v>118</v>
      </c>
      <c r="E22" s="39" t="s">
        <v>171</v>
      </c>
      <c r="F22" s="39" t="s">
        <v>318</v>
      </c>
      <c r="G22" s="39" t="s">
        <v>39</v>
      </c>
      <c r="H22" s="39" t="s">
        <v>368</v>
      </c>
      <c r="I22" s="38" t="s">
        <v>465</v>
      </c>
      <c r="J22" s="38">
        <v>18</v>
      </c>
      <c r="K22" s="40" t="s">
        <v>967</v>
      </c>
      <c r="L22" s="40" t="s">
        <v>39</v>
      </c>
      <c r="M22" s="41" t="s">
        <v>39</v>
      </c>
      <c r="N22" s="42"/>
      <c r="O22" s="43"/>
      <c r="P22" s="43">
        <v>1</v>
      </c>
      <c r="Q22" s="39"/>
      <c r="S22" s="1">
        <f t="shared" si="7"/>
        <v>0</v>
      </c>
      <c r="T22" s="1">
        <f t="shared" si="8"/>
        <v>0</v>
      </c>
      <c r="U22" s="1">
        <f t="shared" si="9"/>
        <v>0</v>
      </c>
      <c r="V22" s="1">
        <f t="shared" si="10"/>
        <v>0</v>
      </c>
      <c r="W22" s="1">
        <f t="shared" si="11"/>
        <v>0</v>
      </c>
      <c r="X22" s="1">
        <f t="shared" si="12"/>
        <v>0</v>
      </c>
      <c r="Y22" s="1">
        <f t="shared" si="13"/>
        <v>0</v>
      </c>
      <c r="Z22" s="1">
        <f t="shared" si="14"/>
        <v>0</v>
      </c>
      <c r="AA22" s="1">
        <f t="shared" si="15"/>
        <v>0</v>
      </c>
      <c r="AB22" s="1">
        <f t="shared" si="16"/>
        <v>0</v>
      </c>
      <c r="AD22" s="1">
        <f t="shared" si="17"/>
        <v>0</v>
      </c>
      <c r="AE22" s="1">
        <f t="shared" si="18"/>
        <v>0</v>
      </c>
      <c r="AF22" s="1">
        <f t="shared" si="3"/>
        <v>0</v>
      </c>
      <c r="AG22" s="1">
        <f t="shared" si="4"/>
        <v>0</v>
      </c>
      <c r="AH22" s="1">
        <f t="shared" si="5"/>
        <v>1</v>
      </c>
      <c r="AI22" s="1">
        <f t="shared" si="6"/>
        <v>0</v>
      </c>
    </row>
    <row r="23" spans="1:35" ht="14.25" customHeight="1" x14ac:dyDescent="0.25">
      <c r="A23" s="31">
        <v>0</v>
      </c>
      <c r="B23" s="31">
        <v>1</v>
      </c>
      <c r="C23" s="31">
        <v>1</v>
      </c>
      <c r="D23" s="32" t="s">
        <v>138</v>
      </c>
      <c r="E23" s="32" t="s">
        <v>682</v>
      </c>
      <c r="F23" s="32" t="s">
        <v>339</v>
      </c>
      <c r="G23" s="32" t="s">
        <v>1166</v>
      </c>
      <c r="H23" s="32" t="s">
        <v>354</v>
      </c>
      <c r="I23" s="31" t="s">
        <v>486</v>
      </c>
      <c r="J23" s="31">
        <v>1</v>
      </c>
      <c r="K23" s="33" t="s">
        <v>960</v>
      </c>
      <c r="L23" s="33" t="s">
        <v>1706</v>
      </c>
      <c r="M23" s="34" t="s">
        <v>1119</v>
      </c>
      <c r="N23" s="34" t="s">
        <v>1743</v>
      </c>
      <c r="O23" s="35">
        <v>1</v>
      </c>
      <c r="P23" s="35"/>
      <c r="Q23" s="32"/>
      <c r="S23" s="1">
        <f t="shared" si="7"/>
        <v>1</v>
      </c>
      <c r="T23" s="1">
        <f t="shared" si="8"/>
        <v>0</v>
      </c>
      <c r="U23" s="1">
        <f t="shared" si="9"/>
        <v>0</v>
      </c>
      <c r="V23" s="1">
        <f t="shared" si="10"/>
        <v>0</v>
      </c>
      <c r="W23" s="1">
        <f t="shared" si="11"/>
        <v>0</v>
      </c>
      <c r="X23" s="1">
        <f t="shared" si="12"/>
        <v>0</v>
      </c>
      <c r="Y23" s="1">
        <f t="shared" si="13"/>
        <v>0</v>
      </c>
      <c r="Z23" s="1">
        <f t="shared" si="14"/>
        <v>0</v>
      </c>
      <c r="AA23" s="1">
        <f t="shared" si="15"/>
        <v>0</v>
      </c>
      <c r="AB23" s="1">
        <f t="shared" si="16"/>
        <v>0</v>
      </c>
      <c r="AD23" s="1">
        <f t="shared" si="17"/>
        <v>0</v>
      </c>
      <c r="AE23" s="1">
        <f t="shared" si="18"/>
        <v>1</v>
      </c>
      <c r="AF23" s="1">
        <f t="shared" si="3"/>
        <v>0</v>
      </c>
      <c r="AG23" s="1">
        <f t="shared" si="4"/>
        <v>1</v>
      </c>
      <c r="AH23" s="1">
        <f t="shared" si="5"/>
        <v>0</v>
      </c>
      <c r="AI23" s="1">
        <f t="shared" si="6"/>
        <v>1</v>
      </c>
    </row>
    <row r="24" spans="1:35" ht="14.25" customHeight="1" x14ac:dyDescent="0.25">
      <c r="A24" s="38">
        <v>0</v>
      </c>
      <c r="B24" s="38">
        <v>1</v>
      </c>
      <c r="C24" s="38">
        <v>1</v>
      </c>
      <c r="D24" s="39" t="s">
        <v>1588</v>
      </c>
      <c r="E24" s="39" t="s">
        <v>171</v>
      </c>
      <c r="F24" s="39" t="s">
        <v>1589</v>
      </c>
      <c r="G24" s="39" t="s">
        <v>213</v>
      </c>
      <c r="H24" s="39" t="s">
        <v>354</v>
      </c>
      <c r="I24" s="38" t="s">
        <v>1590</v>
      </c>
      <c r="J24" s="38">
        <v>1</v>
      </c>
      <c r="K24" s="40" t="s">
        <v>966</v>
      </c>
      <c r="L24" s="40" t="s">
        <v>39</v>
      </c>
      <c r="M24" s="41" t="s">
        <v>39</v>
      </c>
      <c r="N24" s="42"/>
      <c r="O24" s="43"/>
      <c r="P24" s="43">
        <v>1</v>
      </c>
      <c r="Q24" s="39"/>
      <c r="S24" s="1">
        <f t="shared" si="7"/>
        <v>1</v>
      </c>
      <c r="T24" s="1">
        <f t="shared" si="8"/>
        <v>0</v>
      </c>
      <c r="U24" s="1">
        <f t="shared" si="9"/>
        <v>0</v>
      </c>
      <c r="V24" s="1">
        <f t="shared" si="10"/>
        <v>0</v>
      </c>
      <c r="W24" s="1">
        <f t="shared" si="11"/>
        <v>0</v>
      </c>
      <c r="X24" s="1">
        <f t="shared" si="12"/>
        <v>0</v>
      </c>
      <c r="Y24" s="1">
        <f t="shared" si="13"/>
        <v>0</v>
      </c>
      <c r="Z24" s="1">
        <f t="shared" si="14"/>
        <v>0</v>
      </c>
      <c r="AA24" s="1">
        <f t="shared" si="15"/>
        <v>0</v>
      </c>
      <c r="AB24" s="1">
        <f t="shared" si="16"/>
        <v>0</v>
      </c>
      <c r="AD24" s="1">
        <f t="shared" si="17"/>
        <v>0</v>
      </c>
      <c r="AE24" s="1">
        <f t="shared" si="18"/>
        <v>0</v>
      </c>
      <c r="AF24" s="1">
        <f t="shared" si="3"/>
        <v>0</v>
      </c>
      <c r="AG24" s="1">
        <f t="shared" si="4"/>
        <v>0</v>
      </c>
      <c r="AH24" s="1">
        <f t="shared" si="5"/>
        <v>1</v>
      </c>
      <c r="AI24" s="1">
        <f t="shared" si="6"/>
        <v>0</v>
      </c>
    </row>
    <row r="25" spans="1:35" ht="14.25" customHeight="1" x14ac:dyDescent="0.25">
      <c r="A25" s="31">
        <v>0</v>
      </c>
      <c r="B25" s="31">
        <v>1</v>
      </c>
      <c r="C25" s="31">
        <v>1</v>
      </c>
      <c r="D25" s="32" t="s">
        <v>1051</v>
      </c>
      <c r="E25" s="32" t="s">
        <v>171</v>
      </c>
      <c r="F25" s="32" t="s">
        <v>1095</v>
      </c>
      <c r="G25" s="32" t="s">
        <v>1038</v>
      </c>
      <c r="H25" s="32" t="s">
        <v>354</v>
      </c>
      <c r="I25" s="31" t="s">
        <v>1052</v>
      </c>
      <c r="J25" s="31">
        <v>99</v>
      </c>
      <c r="K25" s="33" t="s">
        <v>733</v>
      </c>
      <c r="L25" s="33">
        <v>150</v>
      </c>
      <c r="M25" s="34" t="s">
        <v>39</v>
      </c>
      <c r="N25" s="34" t="s">
        <v>1749</v>
      </c>
      <c r="O25" s="35">
        <v>1</v>
      </c>
      <c r="P25" s="35"/>
      <c r="Q25" s="32"/>
      <c r="S25" s="1">
        <f t="shared" si="7"/>
        <v>0</v>
      </c>
      <c r="T25" s="1">
        <f t="shared" si="8"/>
        <v>0</v>
      </c>
      <c r="U25" s="1">
        <f t="shared" si="9"/>
        <v>0</v>
      </c>
      <c r="V25" s="1">
        <f t="shared" si="10"/>
        <v>0</v>
      </c>
      <c r="W25" s="1">
        <f t="shared" si="11"/>
        <v>0</v>
      </c>
      <c r="X25" s="1">
        <f t="shared" si="12"/>
        <v>0</v>
      </c>
      <c r="Y25" s="1">
        <f t="shared" si="13"/>
        <v>0</v>
      </c>
      <c r="Z25" s="1">
        <f t="shared" si="14"/>
        <v>0</v>
      </c>
      <c r="AA25" s="1">
        <f t="shared" si="15"/>
        <v>0</v>
      </c>
      <c r="AB25" s="1">
        <f t="shared" si="16"/>
        <v>0</v>
      </c>
      <c r="AD25" s="1">
        <f t="shared" si="17"/>
        <v>0</v>
      </c>
      <c r="AE25" s="1">
        <f t="shared" si="18"/>
        <v>1</v>
      </c>
      <c r="AF25" s="1">
        <f t="shared" si="3"/>
        <v>0</v>
      </c>
      <c r="AG25" s="1">
        <f t="shared" si="4"/>
        <v>1</v>
      </c>
      <c r="AH25" s="1">
        <f t="shared" si="5"/>
        <v>0</v>
      </c>
      <c r="AI25" s="1">
        <f t="shared" si="6"/>
        <v>1</v>
      </c>
    </row>
    <row r="26" spans="1:35" ht="14.25" customHeight="1" x14ac:dyDescent="0.25">
      <c r="A26" s="38">
        <v>0</v>
      </c>
      <c r="B26" s="38">
        <v>1</v>
      </c>
      <c r="C26" s="38">
        <v>1</v>
      </c>
      <c r="D26" s="39" t="s">
        <v>112</v>
      </c>
      <c r="E26" s="39" t="s">
        <v>170</v>
      </c>
      <c r="F26" s="39" t="s">
        <v>311</v>
      </c>
      <c r="G26" s="39" t="s">
        <v>39</v>
      </c>
      <c r="H26" s="39" t="s">
        <v>355</v>
      </c>
      <c r="I26" s="38" t="s">
        <v>460</v>
      </c>
      <c r="J26" s="38">
        <v>11</v>
      </c>
      <c r="K26" s="40" t="s">
        <v>733</v>
      </c>
      <c r="L26" s="40" t="s">
        <v>39</v>
      </c>
      <c r="M26" s="41" t="s">
        <v>39</v>
      </c>
      <c r="N26" s="42"/>
      <c r="O26" s="43"/>
      <c r="P26" s="43">
        <v>1</v>
      </c>
      <c r="Q26" s="39"/>
      <c r="S26" s="1">
        <f t="shared" si="7"/>
        <v>0</v>
      </c>
      <c r="T26" s="1">
        <f t="shared" si="8"/>
        <v>0</v>
      </c>
      <c r="U26" s="1">
        <f t="shared" si="9"/>
        <v>0</v>
      </c>
      <c r="V26" s="1">
        <f t="shared" si="10"/>
        <v>0</v>
      </c>
      <c r="W26" s="1">
        <f t="shared" si="11"/>
        <v>0</v>
      </c>
      <c r="X26" s="1">
        <f t="shared" si="12"/>
        <v>0</v>
      </c>
      <c r="Y26" s="1">
        <f t="shared" si="13"/>
        <v>0</v>
      </c>
      <c r="Z26" s="1">
        <f t="shared" si="14"/>
        <v>0</v>
      </c>
      <c r="AA26" s="1">
        <f t="shared" si="15"/>
        <v>0</v>
      </c>
      <c r="AB26" s="1">
        <f t="shared" si="16"/>
        <v>0</v>
      </c>
      <c r="AD26" s="1">
        <f t="shared" si="17"/>
        <v>0</v>
      </c>
      <c r="AE26" s="1">
        <f t="shared" si="18"/>
        <v>0</v>
      </c>
      <c r="AF26" s="1">
        <f t="shared" si="3"/>
        <v>0</v>
      </c>
      <c r="AG26" s="1">
        <f t="shared" si="4"/>
        <v>0</v>
      </c>
      <c r="AH26" s="1">
        <f t="shared" si="5"/>
        <v>1</v>
      </c>
      <c r="AI26" s="1">
        <f t="shared" si="6"/>
        <v>0</v>
      </c>
    </row>
    <row r="27" spans="1:35" ht="14.25" customHeight="1" x14ac:dyDescent="0.25">
      <c r="A27" s="44">
        <v>0</v>
      </c>
      <c r="B27" s="44">
        <v>1</v>
      </c>
      <c r="C27" s="44">
        <v>1</v>
      </c>
      <c r="D27" s="45" t="s">
        <v>103</v>
      </c>
      <c r="E27" s="45" t="s">
        <v>171</v>
      </c>
      <c r="F27" s="45" t="s">
        <v>301</v>
      </c>
      <c r="G27" s="45" t="s">
        <v>302</v>
      </c>
      <c r="H27" s="45" t="s">
        <v>354</v>
      </c>
      <c r="I27" s="44" t="s">
        <v>450</v>
      </c>
      <c r="J27" s="44">
        <v>1</v>
      </c>
      <c r="K27" s="46" t="s">
        <v>964</v>
      </c>
      <c r="L27" s="46" t="s">
        <v>1715</v>
      </c>
      <c r="M27" s="47" t="s">
        <v>1380</v>
      </c>
      <c r="N27" s="47" t="s">
        <v>1736</v>
      </c>
      <c r="O27" s="48"/>
      <c r="P27" s="48"/>
      <c r="Q27" s="45"/>
      <c r="S27" s="1">
        <f t="shared" si="7"/>
        <v>1</v>
      </c>
      <c r="T27" s="1">
        <f t="shared" si="8"/>
        <v>0</v>
      </c>
      <c r="U27" s="1">
        <f t="shared" si="9"/>
        <v>0</v>
      </c>
      <c r="V27" s="1">
        <f t="shared" si="10"/>
        <v>0</v>
      </c>
      <c r="W27" s="1">
        <f t="shared" si="11"/>
        <v>0</v>
      </c>
      <c r="X27" s="1">
        <f t="shared" si="12"/>
        <v>0</v>
      </c>
      <c r="Y27" s="1">
        <f t="shared" si="13"/>
        <v>0</v>
      </c>
      <c r="Z27" s="1">
        <f t="shared" si="14"/>
        <v>0</v>
      </c>
      <c r="AA27" s="1">
        <f t="shared" si="15"/>
        <v>0</v>
      </c>
      <c r="AB27" s="1">
        <f t="shared" si="16"/>
        <v>0</v>
      </c>
      <c r="AD27" s="1">
        <f t="shared" si="17"/>
        <v>0</v>
      </c>
      <c r="AE27" s="1">
        <f t="shared" si="18"/>
        <v>0</v>
      </c>
      <c r="AF27" s="1">
        <f t="shared" si="3"/>
        <v>0</v>
      </c>
      <c r="AG27" s="1">
        <f t="shared" si="4"/>
        <v>0</v>
      </c>
      <c r="AH27" s="1">
        <f t="shared" si="5"/>
        <v>0</v>
      </c>
      <c r="AI27" s="1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1</v>
      </c>
      <c r="D28" s="32" t="s">
        <v>114</v>
      </c>
      <c r="E28" s="32" t="s">
        <v>171</v>
      </c>
      <c r="F28" s="32" t="s">
        <v>313</v>
      </c>
      <c r="G28" s="32" t="s">
        <v>314</v>
      </c>
      <c r="H28" s="32" t="s">
        <v>354</v>
      </c>
      <c r="I28" s="31" t="s">
        <v>462</v>
      </c>
      <c r="J28" s="31">
        <v>1</v>
      </c>
      <c r="K28" s="33" t="s">
        <v>967</v>
      </c>
      <c r="L28" s="33" t="s">
        <v>39</v>
      </c>
      <c r="M28" s="34" t="s">
        <v>39</v>
      </c>
      <c r="N28" s="34" t="s">
        <v>1733</v>
      </c>
      <c r="O28" s="35">
        <v>1</v>
      </c>
      <c r="P28" s="35">
        <v>1</v>
      </c>
      <c r="Q28" s="32" t="s">
        <v>1912</v>
      </c>
      <c r="S28" s="1">
        <f t="shared" si="7"/>
        <v>1</v>
      </c>
      <c r="T28" s="1">
        <f t="shared" si="8"/>
        <v>0</v>
      </c>
      <c r="U28" s="1">
        <f t="shared" si="9"/>
        <v>0</v>
      </c>
      <c r="V28" s="1">
        <f t="shared" si="10"/>
        <v>0</v>
      </c>
      <c r="W28" s="1">
        <f t="shared" si="11"/>
        <v>0</v>
      </c>
      <c r="X28" s="1">
        <f t="shared" si="12"/>
        <v>0</v>
      </c>
      <c r="Y28" s="1">
        <f t="shared" si="13"/>
        <v>0</v>
      </c>
      <c r="Z28" s="1">
        <f t="shared" si="14"/>
        <v>0</v>
      </c>
      <c r="AA28" s="1">
        <f t="shared" si="15"/>
        <v>0</v>
      </c>
      <c r="AB28" s="1">
        <f t="shared" si="16"/>
        <v>0</v>
      </c>
      <c r="AD28" s="1">
        <f t="shared" si="17"/>
        <v>1</v>
      </c>
      <c r="AE28" s="1">
        <f t="shared" si="18"/>
        <v>0</v>
      </c>
      <c r="AF28" s="1">
        <f t="shared" si="3"/>
        <v>1</v>
      </c>
      <c r="AG28" s="1">
        <f t="shared" si="4"/>
        <v>0</v>
      </c>
      <c r="AH28" s="1">
        <f t="shared" si="5"/>
        <v>1</v>
      </c>
      <c r="AI28" s="1">
        <f t="shared" si="6"/>
        <v>0</v>
      </c>
    </row>
    <row r="29" spans="1:35" ht="14.25" customHeight="1" x14ac:dyDescent="0.25">
      <c r="A29" s="31">
        <v>0</v>
      </c>
      <c r="B29" s="31">
        <v>1</v>
      </c>
      <c r="C29" s="31">
        <v>1</v>
      </c>
      <c r="D29" s="32" t="s">
        <v>856</v>
      </c>
      <c r="E29" s="32" t="s">
        <v>171</v>
      </c>
      <c r="F29" s="32" t="s">
        <v>857</v>
      </c>
      <c r="G29" s="32" t="s">
        <v>220</v>
      </c>
      <c r="H29" s="32" t="s">
        <v>354</v>
      </c>
      <c r="I29" s="31" t="s">
        <v>858</v>
      </c>
      <c r="J29" s="31">
        <v>8</v>
      </c>
      <c r="K29" s="33" t="s">
        <v>964</v>
      </c>
      <c r="L29" s="33" t="s">
        <v>1710</v>
      </c>
      <c r="M29" s="34" t="s">
        <v>1560</v>
      </c>
      <c r="N29" s="34" t="s">
        <v>1756</v>
      </c>
      <c r="O29" s="35">
        <v>1</v>
      </c>
      <c r="P29" s="35"/>
      <c r="Q29" s="32"/>
      <c r="S29" s="1">
        <f t="shared" si="7"/>
        <v>0</v>
      </c>
      <c r="T29" s="1">
        <f t="shared" si="8"/>
        <v>0</v>
      </c>
      <c r="U29" s="1">
        <f t="shared" si="9"/>
        <v>0</v>
      </c>
      <c r="V29" s="1">
        <f t="shared" si="10"/>
        <v>0</v>
      </c>
      <c r="W29" s="1">
        <f t="shared" si="11"/>
        <v>0</v>
      </c>
      <c r="X29" s="1">
        <f t="shared" si="12"/>
        <v>0</v>
      </c>
      <c r="Y29" s="1">
        <f t="shared" si="13"/>
        <v>0</v>
      </c>
      <c r="Z29" s="1">
        <f t="shared" si="14"/>
        <v>1</v>
      </c>
      <c r="AA29" s="1">
        <f t="shared" si="15"/>
        <v>0</v>
      </c>
      <c r="AB29" s="1">
        <f t="shared" si="16"/>
        <v>0</v>
      </c>
      <c r="AD29" s="1">
        <f t="shared" si="17"/>
        <v>0</v>
      </c>
      <c r="AE29" s="1">
        <f t="shared" si="18"/>
        <v>1</v>
      </c>
      <c r="AF29" s="1">
        <f t="shared" si="3"/>
        <v>0</v>
      </c>
      <c r="AG29" s="1">
        <f t="shared" si="4"/>
        <v>1</v>
      </c>
      <c r="AH29" s="1">
        <f t="shared" si="5"/>
        <v>0</v>
      </c>
      <c r="AI29" s="1">
        <f t="shared" si="6"/>
        <v>1</v>
      </c>
    </row>
    <row r="30" spans="1:35" ht="14.25" customHeight="1" x14ac:dyDescent="0.25">
      <c r="A30" s="38">
        <v>0</v>
      </c>
      <c r="B30" s="38">
        <v>1</v>
      </c>
      <c r="C30" s="38">
        <v>1</v>
      </c>
      <c r="D30" s="39" t="s">
        <v>133</v>
      </c>
      <c r="E30" s="39" t="s">
        <v>171</v>
      </c>
      <c r="F30" s="39" t="s">
        <v>335</v>
      </c>
      <c r="G30" s="39" t="s">
        <v>39</v>
      </c>
      <c r="H30" s="39" t="s">
        <v>357</v>
      </c>
      <c r="I30" s="38" t="s">
        <v>482</v>
      </c>
      <c r="J30" s="38">
        <v>18</v>
      </c>
      <c r="K30" s="40" t="s">
        <v>960</v>
      </c>
      <c r="L30" s="40" t="s">
        <v>39</v>
      </c>
      <c r="M30" s="41" t="s">
        <v>39</v>
      </c>
      <c r="N30" s="42"/>
      <c r="O30" s="43"/>
      <c r="P30" s="43">
        <v>1</v>
      </c>
      <c r="Q30" s="39"/>
      <c r="S30" s="1">
        <f t="shared" si="7"/>
        <v>0</v>
      </c>
      <c r="T30" s="1">
        <f t="shared" si="8"/>
        <v>0</v>
      </c>
      <c r="U30" s="1">
        <f t="shared" si="9"/>
        <v>0</v>
      </c>
      <c r="V30" s="1">
        <f t="shared" si="10"/>
        <v>0</v>
      </c>
      <c r="W30" s="1">
        <f t="shared" si="11"/>
        <v>0</v>
      </c>
      <c r="X30" s="1">
        <f t="shared" si="12"/>
        <v>0</v>
      </c>
      <c r="Y30" s="1">
        <f t="shared" si="13"/>
        <v>0</v>
      </c>
      <c r="Z30" s="1">
        <f t="shared" si="14"/>
        <v>0</v>
      </c>
      <c r="AA30" s="1">
        <f t="shared" si="15"/>
        <v>0</v>
      </c>
      <c r="AB30" s="1">
        <f t="shared" si="16"/>
        <v>0</v>
      </c>
      <c r="AD30" s="1">
        <f t="shared" si="17"/>
        <v>0</v>
      </c>
      <c r="AE30" s="1">
        <f t="shared" si="18"/>
        <v>0</v>
      </c>
      <c r="AF30" s="1">
        <f t="shared" si="3"/>
        <v>0</v>
      </c>
      <c r="AG30" s="1">
        <f t="shared" si="4"/>
        <v>0</v>
      </c>
      <c r="AH30" s="1">
        <f t="shared" si="5"/>
        <v>1</v>
      </c>
      <c r="AI30" s="1">
        <f t="shared" si="6"/>
        <v>0</v>
      </c>
    </row>
    <row r="31" spans="1:35" ht="14.25" customHeight="1" x14ac:dyDescent="0.25">
      <c r="A31" s="44">
        <v>0</v>
      </c>
      <c r="B31" s="44">
        <v>1</v>
      </c>
      <c r="C31" s="44">
        <v>1</v>
      </c>
      <c r="D31" s="45" t="s">
        <v>144</v>
      </c>
      <c r="E31" s="45" t="s">
        <v>174</v>
      </c>
      <c r="F31" s="45" t="s">
        <v>346</v>
      </c>
      <c r="G31" s="45" t="s">
        <v>39</v>
      </c>
      <c r="H31" s="45" t="s">
        <v>367</v>
      </c>
      <c r="I31" s="44" t="s">
        <v>492</v>
      </c>
      <c r="J31" s="44">
        <v>18</v>
      </c>
      <c r="K31" s="46" t="s">
        <v>964</v>
      </c>
      <c r="L31" s="46">
        <v>70</v>
      </c>
      <c r="M31" s="47" t="s">
        <v>1381</v>
      </c>
      <c r="N31" s="47" t="s">
        <v>1734</v>
      </c>
      <c r="O31" s="48"/>
      <c r="P31" s="48"/>
      <c r="Q31" s="65" t="s">
        <v>1906</v>
      </c>
      <c r="S31" s="1">
        <f t="shared" si="7"/>
        <v>0</v>
      </c>
      <c r="T31" s="1">
        <f t="shared" si="8"/>
        <v>0</v>
      </c>
      <c r="U31" s="1">
        <f t="shared" si="9"/>
        <v>0</v>
      </c>
      <c r="V31" s="1">
        <f t="shared" si="10"/>
        <v>0</v>
      </c>
      <c r="W31" s="1">
        <f t="shared" si="11"/>
        <v>0</v>
      </c>
      <c r="X31" s="1">
        <f t="shared" si="12"/>
        <v>0</v>
      </c>
      <c r="Y31" s="1">
        <f t="shared" si="13"/>
        <v>0</v>
      </c>
      <c r="Z31" s="1">
        <f t="shared" si="14"/>
        <v>0</v>
      </c>
      <c r="AA31" s="1">
        <f t="shared" si="15"/>
        <v>0</v>
      </c>
      <c r="AB31" s="1">
        <f t="shared" si="16"/>
        <v>0</v>
      </c>
      <c r="AD31" s="1">
        <f t="shared" si="17"/>
        <v>0</v>
      </c>
      <c r="AE31" s="1">
        <f t="shared" si="18"/>
        <v>0</v>
      </c>
      <c r="AF31" s="1">
        <f t="shared" si="3"/>
        <v>0</v>
      </c>
      <c r="AG31" s="1">
        <f t="shared" si="4"/>
        <v>0</v>
      </c>
      <c r="AH31" s="1">
        <f t="shared" si="5"/>
        <v>0</v>
      </c>
      <c r="AI31" s="1">
        <f t="shared" si="6"/>
        <v>1</v>
      </c>
    </row>
    <row r="32" spans="1:35" ht="14.25" customHeight="1" x14ac:dyDescent="0.25">
      <c r="A32" s="31">
        <v>0</v>
      </c>
      <c r="B32" s="31">
        <v>1</v>
      </c>
      <c r="C32" s="31">
        <v>1</v>
      </c>
      <c r="D32" s="36" t="s">
        <v>152</v>
      </c>
      <c r="E32" s="36" t="s">
        <v>171</v>
      </c>
      <c r="F32" s="36" t="s">
        <v>352</v>
      </c>
      <c r="G32" s="36" t="s">
        <v>194</v>
      </c>
      <c r="H32" s="36" t="s">
        <v>354</v>
      </c>
      <c r="I32" s="37" t="s">
        <v>499</v>
      </c>
      <c r="J32" s="31">
        <v>9</v>
      </c>
      <c r="K32" s="33" t="s">
        <v>960</v>
      </c>
      <c r="L32" s="33" t="s">
        <v>1706</v>
      </c>
      <c r="M32" s="34" t="s">
        <v>1382</v>
      </c>
      <c r="N32" s="34" t="s">
        <v>1756</v>
      </c>
      <c r="O32" s="35">
        <v>1</v>
      </c>
      <c r="P32" s="35"/>
      <c r="Q32" s="36"/>
      <c r="S32" s="1">
        <f t="shared" si="7"/>
        <v>0</v>
      </c>
      <c r="T32" s="1">
        <f t="shared" si="8"/>
        <v>0</v>
      </c>
      <c r="U32" s="1">
        <f t="shared" si="9"/>
        <v>0</v>
      </c>
      <c r="V32" s="1">
        <f t="shared" si="10"/>
        <v>0</v>
      </c>
      <c r="W32" s="1">
        <f t="shared" si="11"/>
        <v>0</v>
      </c>
      <c r="X32" s="1">
        <f t="shared" si="12"/>
        <v>0</v>
      </c>
      <c r="Y32" s="1">
        <f t="shared" si="13"/>
        <v>0</v>
      </c>
      <c r="Z32" s="1">
        <f t="shared" si="14"/>
        <v>0</v>
      </c>
      <c r="AA32" s="1">
        <f t="shared" si="15"/>
        <v>1</v>
      </c>
      <c r="AB32" s="1">
        <f t="shared" si="16"/>
        <v>0</v>
      </c>
      <c r="AD32" s="1">
        <f t="shared" si="17"/>
        <v>0</v>
      </c>
      <c r="AE32" s="1">
        <f t="shared" si="18"/>
        <v>1</v>
      </c>
      <c r="AF32" s="1">
        <f t="shared" si="3"/>
        <v>0</v>
      </c>
      <c r="AG32" s="1">
        <f t="shared" si="4"/>
        <v>1</v>
      </c>
      <c r="AH32" s="1">
        <f t="shared" si="5"/>
        <v>0</v>
      </c>
      <c r="AI32" s="1">
        <f t="shared" si="6"/>
        <v>1</v>
      </c>
    </row>
    <row r="33" spans="1:35" ht="14.25" customHeight="1" x14ac:dyDescent="0.25">
      <c r="A33" s="31">
        <v>0</v>
      </c>
      <c r="B33" s="31">
        <v>1</v>
      </c>
      <c r="C33" s="31">
        <v>2</v>
      </c>
      <c r="D33" s="36" t="s">
        <v>1549</v>
      </c>
      <c r="E33" s="36" t="s">
        <v>1246</v>
      </c>
      <c r="F33" s="36" t="s">
        <v>1550</v>
      </c>
      <c r="G33" s="36" t="s">
        <v>258</v>
      </c>
      <c r="H33" s="36" t="s">
        <v>354</v>
      </c>
      <c r="I33" s="37" t="s">
        <v>473</v>
      </c>
      <c r="J33" s="31">
        <v>8</v>
      </c>
      <c r="K33" s="33" t="s">
        <v>702</v>
      </c>
      <c r="L33" s="33" t="s">
        <v>689</v>
      </c>
      <c r="M33" s="34" t="s">
        <v>690</v>
      </c>
      <c r="N33" s="34" t="s">
        <v>1789</v>
      </c>
      <c r="O33" s="35">
        <v>1</v>
      </c>
      <c r="P33" s="35"/>
      <c r="Q33" s="36"/>
      <c r="S33" s="1">
        <f t="shared" si="7"/>
        <v>0</v>
      </c>
      <c r="T33" s="1">
        <f t="shared" si="8"/>
        <v>0</v>
      </c>
      <c r="U33" s="1">
        <f t="shared" si="9"/>
        <v>0</v>
      </c>
      <c r="V33" s="1">
        <f t="shared" si="10"/>
        <v>0</v>
      </c>
      <c r="W33" s="1">
        <f t="shared" si="11"/>
        <v>0</v>
      </c>
      <c r="X33" s="1">
        <f t="shared" si="12"/>
        <v>0</v>
      </c>
      <c r="Y33" s="1">
        <f t="shared" si="13"/>
        <v>0</v>
      </c>
      <c r="Z33" s="1">
        <f t="shared" si="14"/>
        <v>1</v>
      </c>
      <c r="AA33" s="1">
        <f t="shared" si="15"/>
        <v>0</v>
      </c>
      <c r="AB33" s="1">
        <f t="shared" si="16"/>
        <v>0</v>
      </c>
      <c r="AD33" s="1">
        <f t="shared" si="17"/>
        <v>0</v>
      </c>
      <c r="AE33" s="1">
        <f t="shared" si="18"/>
        <v>1</v>
      </c>
      <c r="AF33" s="1">
        <f t="shared" si="3"/>
        <v>0</v>
      </c>
      <c r="AG33" s="1">
        <f t="shared" si="4"/>
        <v>1</v>
      </c>
      <c r="AH33" s="1">
        <f t="shared" si="5"/>
        <v>0</v>
      </c>
      <c r="AI33" s="1">
        <f t="shared" si="6"/>
        <v>1</v>
      </c>
    </row>
    <row r="34" spans="1:35" ht="14.25" customHeight="1" x14ac:dyDescent="0.25">
      <c r="A34" s="38">
        <v>0</v>
      </c>
      <c r="B34" s="38">
        <v>1</v>
      </c>
      <c r="C34" s="38">
        <v>2</v>
      </c>
      <c r="D34" s="39" t="s">
        <v>1462</v>
      </c>
      <c r="E34" s="39" t="s">
        <v>1464</v>
      </c>
      <c r="F34" s="39" t="s">
        <v>1463</v>
      </c>
      <c r="G34" s="39"/>
      <c r="H34" s="39" t="s">
        <v>1138</v>
      </c>
      <c r="I34" s="38" t="s">
        <v>1465</v>
      </c>
      <c r="J34" s="38">
        <v>99</v>
      </c>
      <c r="K34" s="40" t="s">
        <v>703</v>
      </c>
      <c r="L34" s="40"/>
      <c r="M34" s="41"/>
      <c r="N34" s="42"/>
      <c r="O34" s="43"/>
      <c r="P34" s="43">
        <v>1</v>
      </c>
      <c r="Q34" s="54" t="s">
        <v>1920</v>
      </c>
      <c r="S34" s="1">
        <f t="shared" si="7"/>
        <v>0</v>
      </c>
      <c r="T34" s="1">
        <f t="shared" si="8"/>
        <v>0</v>
      </c>
      <c r="U34" s="1">
        <f t="shared" si="9"/>
        <v>0</v>
      </c>
      <c r="V34" s="1">
        <f t="shared" si="10"/>
        <v>0</v>
      </c>
      <c r="W34" s="1">
        <f t="shared" si="11"/>
        <v>0</v>
      </c>
      <c r="X34" s="1">
        <f t="shared" si="12"/>
        <v>0</v>
      </c>
      <c r="Y34" s="1">
        <f t="shared" si="13"/>
        <v>0</v>
      </c>
      <c r="Z34" s="1">
        <f t="shared" si="14"/>
        <v>0</v>
      </c>
      <c r="AA34" s="1">
        <f t="shared" si="15"/>
        <v>0</v>
      </c>
      <c r="AB34" s="1">
        <f t="shared" si="16"/>
        <v>0</v>
      </c>
      <c r="AD34" s="1">
        <f t="shared" si="17"/>
        <v>0</v>
      </c>
      <c r="AE34" s="1">
        <f t="shared" si="18"/>
        <v>0</v>
      </c>
      <c r="AF34" s="1">
        <f t="shared" si="3"/>
        <v>0</v>
      </c>
      <c r="AG34" s="1">
        <f t="shared" si="4"/>
        <v>0</v>
      </c>
      <c r="AH34" s="1">
        <f t="shared" si="5"/>
        <v>1</v>
      </c>
      <c r="AI34" s="1">
        <f t="shared" si="6"/>
        <v>0</v>
      </c>
    </row>
    <row r="35" spans="1:35" ht="14.25" customHeight="1" x14ac:dyDescent="0.25">
      <c r="A35" s="44">
        <v>0</v>
      </c>
      <c r="B35" s="44">
        <v>1</v>
      </c>
      <c r="C35" s="44">
        <v>2</v>
      </c>
      <c r="D35" s="45" t="s">
        <v>596</v>
      </c>
      <c r="E35" s="45" t="s">
        <v>175</v>
      </c>
      <c r="F35" s="45" t="s">
        <v>597</v>
      </c>
      <c r="G35" s="45" t="s">
        <v>251</v>
      </c>
      <c r="H35" s="45" t="s">
        <v>354</v>
      </c>
      <c r="I35" s="44" t="s">
        <v>598</v>
      </c>
      <c r="J35" s="44">
        <v>99</v>
      </c>
      <c r="K35" s="46" t="s">
        <v>956</v>
      </c>
      <c r="L35" s="46" t="s">
        <v>689</v>
      </c>
      <c r="M35" s="47" t="s">
        <v>1383</v>
      </c>
      <c r="N35" s="47" t="s">
        <v>1747</v>
      </c>
      <c r="O35" s="48"/>
      <c r="P35" s="48"/>
      <c r="Q35" s="45"/>
      <c r="S35" s="1">
        <f t="shared" si="7"/>
        <v>0</v>
      </c>
      <c r="T35" s="1">
        <f t="shared" si="8"/>
        <v>0</v>
      </c>
      <c r="U35" s="1">
        <f t="shared" si="9"/>
        <v>0</v>
      </c>
      <c r="V35" s="1">
        <f t="shared" si="10"/>
        <v>0</v>
      </c>
      <c r="W35" s="1">
        <f t="shared" si="11"/>
        <v>0</v>
      </c>
      <c r="X35" s="1">
        <f t="shared" si="12"/>
        <v>0</v>
      </c>
      <c r="Y35" s="1">
        <f t="shared" si="13"/>
        <v>0</v>
      </c>
      <c r="Z35" s="1">
        <f t="shared" si="14"/>
        <v>0</v>
      </c>
      <c r="AA35" s="1">
        <f t="shared" si="15"/>
        <v>0</v>
      </c>
      <c r="AB35" s="1">
        <f t="shared" si="16"/>
        <v>0</v>
      </c>
      <c r="AD35" s="1">
        <f t="shared" si="17"/>
        <v>0</v>
      </c>
      <c r="AE35" s="1">
        <f t="shared" si="18"/>
        <v>0</v>
      </c>
      <c r="AF35" s="1">
        <f t="shared" si="3"/>
        <v>0</v>
      </c>
      <c r="AG35" s="1">
        <f t="shared" si="4"/>
        <v>0</v>
      </c>
      <c r="AH35" s="1">
        <f t="shared" si="5"/>
        <v>0</v>
      </c>
      <c r="AI35" s="1">
        <f t="shared" si="6"/>
        <v>1</v>
      </c>
    </row>
    <row r="36" spans="1:35" ht="14.25" customHeight="1" x14ac:dyDescent="0.25">
      <c r="A36" s="44">
        <v>0</v>
      </c>
      <c r="B36" s="44">
        <v>1</v>
      </c>
      <c r="C36" s="44">
        <v>2</v>
      </c>
      <c r="D36" s="45" t="s">
        <v>113</v>
      </c>
      <c r="E36" s="45" t="s">
        <v>175</v>
      </c>
      <c r="F36" s="65" t="s">
        <v>1868</v>
      </c>
      <c r="G36" s="45" t="s">
        <v>312</v>
      </c>
      <c r="H36" s="45" t="s">
        <v>354</v>
      </c>
      <c r="I36" s="44" t="s">
        <v>461</v>
      </c>
      <c r="J36" s="44">
        <v>99</v>
      </c>
      <c r="K36" s="46" t="s">
        <v>702</v>
      </c>
      <c r="L36" s="46" t="s">
        <v>689</v>
      </c>
      <c r="M36" s="47" t="s">
        <v>691</v>
      </c>
      <c r="N36" s="47" t="s">
        <v>1802</v>
      </c>
      <c r="O36" s="48"/>
      <c r="P36" s="48"/>
      <c r="Q36" s="45"/>
      <c r="S36" s="1">
        <f t="shared" si="7"/>
        <v>0</v>
      </c>
      <c r="T36" s="1">
        <f t="shared" si="8"/>
        <v>0</v>
      </c>
      <c r="U36" s="1">
        <f t="shared" si="9"/>
        <v>0</v>
      </c>
      <c r="V36" s="1">
        <f t="shared" si="10"/>
        <v>0</v>
      </c>
      <c r="W36" s="1">
        <f t="shared" si="11"/>
        <v>0</v>
      </c>
      <c r="X36" s="1">
        <f t="shared" si="12"/>
        <v>0</v>
      </c>
      <c r="Y36" s="1">
        <f t="shared" si="13"/>
        <v>0</v>
      </c>
      <c r="Z36" s="1">
        <f t="shared" si="14"/>
        <v>0</v>
      </c>
      <c r="AA36" s="1">
        <f t="shared" si="15"/>
        <v>0</v>
      </c>
      <c r="AB36" s="1">
        <f t="shared" si="16"/>
        <v>0</v>
      </c>
      <c r="AD36" s="1">
        <f t="shared" si="17"/>
        <v>0</v>
      </c>
      <c r="AE36" s="1">
        <f t="shared" si="18"/>
        <v>0</v>
      </c>
      <c r="AF36" s="1">
        <f t="shared" si="3"/>
        <v>0</v>
      </c>
      <c r="AG36" s="1">
        <f t="shared" si="4"/>
        <v>0</v>
      </c>
      <c r="AH36" s="1">
        <f t="shared" si="5"/>
        <v>0</v>
      </c>
      <c r="AI36" s="1">
        <f t="shared" si="6"/>
        <v>1</v>
      </c>
    </row>
    <row r="37" spans="1:35" ht="14.25" customHeight="1" x14ac:dyDescent="0.25">
      <c r="A37" s="31">
        <v>0</v>
      </c>
      <c r="B37" s="31">
        <v>1</v>
      </c>
      <c r="C37" s="31">
        <v>2</v>
      </c>
      <c r="D37" s="36" t="s">
        <v>1762</v>
      </c>
      <c r="E37" s="36" t="s">
        <v>155</v>
      </c>
      <c r="F37" s="36" t="s">
        <v>1763</v>
      </c>
      <c r="G37" s="36"/>
      <c r="H37" s="36" t="s">
        <v>1764</v>
      </c>
      <c r="I37" s="37" t="s">
        <v>1765</v>
      </c>
      <c r="J37" s="31">
        <v>18</v>
      </c>
      <c r="K37" s="33" t="s">
        <v>703</v>
      </c>
      <c r="L37" s="33">
        <v>55</v>
      </c>
      <c r="M37" s="34" t="s">
        <v>1477</v>
      </c>
      <c r="N37" s="34" t="s">
        <v>1733</v>
      </c>
      <c r="O37" s="35">
        <v>1</v>
      </c>
      <c r="P37" s="35">
        <v>1</v>
      </c>
      <c r="Q37" s="36"/>
      <c r="S37" s="1">
        <f t="shared" si="7"/>
        <v>0</v>
      </c>
      <c r="T37" s="1">
        <f t="shared" si="8"/>
        <v>0</v>
      </c>
      <c r="U37" s="1">
        <f t="shared" si="9"/>
        <v>0</v>
      </c>
      <c r="V37" s="1">
        <f t="shared" si="10"/>
        <v>0</v>
      </c>
      <c r="W37" s="1">
        <f t="shared" si="11"/>
        <v>0</v>
      </c>
      <c r="X37" s="1">
        <f t="shared" si="12"/>
        <v>0</v>
      </c>
      <c r="Y37" s="1">
        <f t="shared" si="13"/>
        <v>0</v>
      </c>
      <c r="Z37" s="1">
        <f t="shared" si="14"/>
        <v>0</v>
      </c>
      <c r="AA37" s="1">
        <f t="shared" si="15"/>
        <v>0</v>
      </c>
      <c r="AB37" s="1">
        <f t="shared" si="16"/>
        <v>0</v>
      </c>
      <c r="AD37" s="1">
        <f t="shared" si="17"/>
        <v>1</v>
      </c>
      <c r="AE37" s="1">
        <f t="shared" si="18"/>
        <v>0</v>
      </c>
      <c r="AF37" s="1">
        <f t="shared" si="3"/>
        <v>1</v>
      </c>
      <c r="AG37" s="1">
        <f t="shared" si="4"/>
        <v>0</v>
      </c>
      <c r="AH37" s="1">
        <f t="shared" si="5"/>
        <v>1</v>
      </c>
      <c r="AI37" s="1">
        <f t="shared" si="6"/>
        <v>0</v>
      </c>
    </row>
    <row r="38" spans="1:35" ht="14.25" customHeight="1" x14ac:dyDescent="0.25">
      <c r="A38" s="31">
        <v>0</v>
      </c>
      <c r="B38" s="31">
        <v>1</v>
      </c>
      <c r="C38" s="31">
        <v>2</v>
      </c>
      <c r="D38" s="36" t="s">
        <v>599</v>
      </c>
      <c r="E38" s="36" t="s">
        <v>175</v>
      </c>
      <c r="F38" s="36" t="s">
        <v>600</v>
      </c>
      <c r="G38" s="36" t="s">
        <v>573</v>
      </c>
      <c r="H38" s="36" t="s">
        <v>354</v>
      </c>
      <c r="I38" s="37" t="s">
        <v>601</v>
      </c>
      <c r="J38" s="31">
        <v>1</v>
      </c>
      <c r="K38" s="33" t="s">
        <v>956</v>
      </c>
      <c r="L38" s="33" t="s">
        <v>1703</v>
      </c>
      <c r="M38" s="34" t="s">
        <v>1382</v>
      </c>
      <c r="N38" s="34" t="s">
        <v>1748</v>
      </c>
      <c r="O38" s="35">
        <v>1</v>
      </c>
      <c r="P38" s="35"/>
      <c r="Q38" s="36"/>
      <c r="S38" s="1">
        <f t="shared" si="7"/>
        <v>1</v>
      </c>
      <c r="T38" s="1">
        <f t="shared" si="8"/>
        <v>0</v>
      </c>
      <c r="U38" s="1">
        <f t="shared" si="9"/>
        <v>0</v>
      </c>
      <c r="V38" s="1">
        <f t="shared" si="10"/>
        <v>0</v>
      </c>
      <c r="W38" s="1">
        <f t="shared" si="11"/>
        <v>0</v>
      </c>
      <c r="X38" s="1">
        <f t="shared" si="12"/>
        <v>0</v>
      </c>
      <c r="Y38" s="1">
        <f t="shared" si="13"/>
        <v>0</v>
      </c>
      <c r="Z38" s="1">
        <f t="shared" si="14"/>
        <v>0</v>
      </c>
      <c r="AA38" s="1">
        <f t="shared" si="15"/>
        <v>0</v>
      </c>
      <c r="AB38" s="1">
        <f t="shared" si="16"/>
        <v>0</v>
      </c>
      <c r="AD38" s="1">
        <f t="shared" si="17"/>
        <v>0</v>
      </c>
      <c r="AE38" s="1">
        <f t="shared" si="18"/>
        <v>1</v>
      </c>
      <c r="AF38" s="1">
        <f t="shared" si="3"/>
        <v>0</v>
      </c>
      <c r="AG38" s="1">
        <f t="shared" si="4"/>
        <v>1</v>
      </c>
      <c r="AH38" s="1">
        <f t="shared" si="5"/>
        <v>0</v>
      </c>
      <c r="AI38" s="1">
        <f t="shared" si="6"/>
        <v>1</v>
      </c>
    </row>
    <row r="39" spans="1:35" ht="14.25" customHeight="1" x14ac:dyDescent="0.25">
      <c r="A39" s="31">
        <v>0</v>
      </c>
      <c r="B39" s="31">
        <v>1</v>
      </c>
      <c r="C39" s="31">
        <v>2</v>
      </c>
      <c r="D39" s="36" t="s">
        <v>1751</v>
      </c>
      <c r="E39" s="36" t="s">
        <v>1752</v>
      </c>
      <c r="F39" s="36" t="s">
        <v>1753</v>
      </c>
      <c r="G39" s="36" t="s">
        <v>321</v>
      </c>
      <c r="H39" s="36" t="s">
        <v>354</v>
      </c>
      <c r="I39" s="37" t="s">
        <v>1754</v>
      </c>
      <c r="J39" s="31">
        <v>99</v>
      </c>
      <c r="K39" s="33" t="s">
        <v>703</v>
      </c>
      <c r="L39" s="33"/>
      <c r="M39" s="34"/>
      <c r="N39" s="34" t="s">
        <v>1733</v>
      </c>
      <c r="O39" s="35">
        <v>1</v>
      </c>
      <c r="P39" s="35">
        <v>1</v>
      </c>
      <c r="Q39" s="36"/>
      <c r="S39" s="1">
        <f t="shared" si="7"/>
        <v>0</v>
      </c>
      <c r="T39" s="1">
        <f t="shared" si="8"/>
        <v>0</v>
      </c>
      <c r="U39" s="1">
        <f t="shared" si="9"/>
        <v>0</v>
      </c>
      <c r="V39" s="1">
        <f t="shared" si="10"/>
        <v>0</v>
      </c>
      <c r="W39" s="1">
        <f t="shared" si="11"/>
        <v>0</v>
      </c>
      <c r="X39" s="1">
        <f t="shared" si="12"/>
        <v>0</v>
      </c>
      <c r="Y39" s="1">
        <f t="shared" si="13"/>
        <v>0</v>
      </c>
      <c r="Z39" s="1">
        <f t="shared" si="14"/>
        <v>0</v>
      </c>
      <c r="AA39" s="1">
        <f t="shared" si="15"/>
        <v>0</v>
      </c>
      <c r="AB39" s="1">
        <f t="shared" si="16"/>
        <v>0</v>
      </c>
      <c r="AD39" s="1">
        <f t="shared" si="17"/>
        <v>1</v>
      </c>
      <c r="AE39" s="1">
        <f t="shared" si="18"/>
        <v>0</v>
      </c>
      <c r="AF39" s="1">
        <f t="shared" si="3"/>
        <v>1</v>
      </c>
      <c r="AG39" s="1">
        <f t="shared" si="4"/>
        <v>0</v>
      </c>
      <c r="AH39" s="1">
        <f t="shared" si="5"/>
        <v>1</v>
      </c>
      <c r="AI39" s="1">
        <f t="shared" si="6"/>
        <v>0</v>
      </c>
    </row>
    <row r="40" spans="1:35" ht="14.25" customHeight="1" x14ac:dyDescent="0.25">
      <c r="A40" s="44">
        <v>0</v>
      </c>
      <c r="B40" s="44">
        <v>1</v>
      </c>
      <c r="C40" s="44">
        <v>2</v>
      </c>
      <c r="D40" s="45" t="s">
        <v>642</v>
      </c>
      <c r="E40" s="45" t="s">
        <v>175</v>
      </c>
      <c r="F40" s="45" t="s">
        <v>643</v>
      </c>
      <c r="G40" s="45" t="s">
        <v>220</v>
      </c>
      <c r="H40" s="45" t="s">
        <v>354</v>
      </c>
      <c r="I40" s="44" t="s">
        <v>1111</v>
      </c>
      <c r="J40" s="44">
        <v>8</v>
      </c>
      <c r="K40" s="46" t="s">
        <v>956</v>
      </c>
      <c r="L40" s="46" t="s">
        <v>1700</v>
      </c>
      <c r="M40" s="47" t="s">
        <v>1377</v>
      </c>
      <c r="N40" s="47" t="s">
        <v>1737</v>
      </c>
      <c r="O40" s="48"/>
      <c r="P40" s="48"/>
      <c r="Q40" s="45"/>
      <c r="S40" s="1">
        <f t="shared" si="7"/>
        <v>0</v>
      </c>
      <c r="T40" s="1">
        <f t="shared" si="8"/>
        <v>0</v>
      </c>
      <c r="U40" s="1">
        <f t="shared" si="9"/>
        <v>0</v>
      </c>
      <c r="V40" s="1">
        <f t="shared" si="10"/>
        <v>0</v>
      </c>
      <c r="W40" s="1">
        <f t="shared" si="11"/>
        <v>0</v>
      </c>
      <c r="X40" s="1">
        <f t="shared" si="12"/>
        <v>0</v>
      </c>
      <c r="Y40" s="1">
        <f t="shared" si="13"/>
        <v>0</v>
      </c>
      <c r="Z40" s="1">
        <f t="shared" si="14"/>
        <v>1</v>
      </c>
      <c r="AA40" s="1">
        <f t="shared" si="15"/>
        <v>0</v>
      </c>
      <c r="AB40" s="1">
        <f t="shared" si="16"/>
        <v>0</v>
      </c>
      <c r="AD40" s="1">
        <f t="shared" si="17"/>
        <v>0</v>
      </c>
      <c r="AE40" s="1">
        <f t="shared" si="18"/>
        <v>0</v>
      </c>
      <c r="AF40" s="1">
        <f t="shared" si="3"/>
        <v>0</v>
      </c>
      <c r="AG40" s="1">
        <f t="shared" si="4"/>
        <v>0</v>
      </c>
      <c r="AH40" s="1">
        <f t="shared" si="5"/>
        <v>0</v>
      </c>
      <c r="AI40" s="1">
        <f t="shared" si="6"/>
        <v>1</v>
      </c>
    </row>
    <row r="41" spans="1:35" ht="14.25" customHeight="1" x14ac:dyDescent="0.25">
      <c r="A41" s="31">
        <v>0</v>
      </c>
      <c r="B41" s="31">
        <v>1</v>
      </c>
      <c r="C41" s="31">
        <v>2</v>
      </c>
      <c r="D41" s="36" t="s">
        <v>1512</v>
      </c>
      <c r="E41" s="36" t="s">
        <v>175</v>
      </c>
      <c r="F41" s="36" t="s">
        <v>1660</v>
      </c>
      <c r="G41" s="36" t="s">
        <v>1514</v>
      </c>
      <c r="H41" s="36" t="s">
        <v>354</v>
      </c>
      <c r="I41" s="37" t="s">
        <v>1513</v>
      </c>
      <c r="J41" s="31">
        <v>99</v>
      </c>
      <c r="K41" s="33" t="s">
        <v>957</v>
      </c>
      <c r="L41" s="33" t="s">
        <v>39</v>
      </c>
      <c r="M41" s="34" t="s">
        <v>39</v>
      </c>
      <c r="N41" s="34" t="s">
        <v>1727</v>
      </c>
      <c r="O41" s="35">
        <v>1</v>
      </c>
      <c r="P41" s="35">
        <v>1</v>
      </c>
      <c r="Q41" s="36"/>
      <c r="S41" s="1">
        <f t="shared" si="7"/>
        <v>0</v>
      </c>
      <c r="T41" s="1">
        <f t="shared" si="8"/>
        <v>0</v>
      </c>
      <c r="U41" s="1">
        <f t="shared" si="9"/>
        <v>0</v>
      </c>
      <c r="V41" s="1">
        <f t="shared" si="10"/>
        <v>0</v>
      </c>
      <c r="W41" s="1">
        <f t="shared" si="11"/>
        <v>0</v>
      </c>
      <c r="X41" s="1">
        <f t="shared" si="12"/>
        <v>0</v>
      </c>
      <c r="Y41" s="1">
        <f t="shared" si="13"/>
        <v>0</v>
      </c>
      <c r="Z41" s="1">
        <f t="shared" si="14"/>
        <v>0</v>
      </c>
      <c r="AA41" s="1">
        <f t="shared" si="15"/>
        <v>0</v>
      </c>
      <c r="AB41" s="1">
        <f t="shared" si="16"/>
        <v>0</v>
      </c>
      <c r="AD41" s="1">
        <f t="shared" si="17"/>
        <v>1</v>
      </c>
      <c r="AE41" s="1">
        <f t="shared" si="18"/>
        <v>0</v>
      </c>
      <c r="AF41" s="1">
        <f t="shared" si="3"/>
        <v>1</v>
      </c>
      <c r="AG41" s="1">
        <f t="shared" si="4"/>
        <v>0</v>
      </c>
      <c r="AH41" s="1">
        <f t="shared" si="5"/>
        <v>1</v>
      </c>
      <c r="AI41" s="1">
        <f t="shared" si="6"/>
        <v>0</v>
      </c>
    </row>
    <row r="42" spans="1:35" ht="14.25" customHeight="1" x14ac:dyDescent="0.25">
      <c r="A42" s="31">
        <v>0</v>
      </c>
      <c r="B42" s="31">
        <v>1</v>
      </c>
      <c r="C42" s="31">
        <v>2</v>
      </c>
      <c r="D42" s="32" t="s">
        <v>880</v>
      </c>
      <c r="E42" s="32" t="s">
        <v>174</v>
      </c>
      <c r="F42" s="32" t="s">
        <v>881</v>
      </c>
      <c r="G42" s="32" t="s">
        <v>39</v>
      </c>
      <c r="H42" s="32" t="s">
        <v>375</v>
      </c>
      <c r="I42" s="31" t="s">
        <v>882</v>
      </c>
      <c r="J42" s="31">
        <v>12</v>
      </c>
      <c r="K42" s="33" t="s">
        <v>702</v>
      </c>
      <c r="L42" s="33" t="s">
        <v>1704</v>
      </c>
      <c r="M42" s="34" t="s">
        <v>1384</v>
      </c>
      <c r="N42" s="34" t="s">
        <v>1825</v>
      </c>
      <c r="O42" s="35">
        <v>1</v>
      </c>
      <c r="P42" s="35"/>
      <c r="Q42" s="32"/>
      <c r="S42" s="1">
        <f t="shared" si="7"/>
        <v>0</v>
      </c>
      <c r="T42" s="1">
        <f t="shared" si="8"/>
        <v>0</v>
      </c>
      <c r="U42" s="1">
        <f t="shared" si="9"/>
        <v>0</v>
      </c>
      <c r="V42" s="1">
        <f t="shared" si="10"/>
        <v>0</v>
      </c>
      <c r="W42" s="1">
        <f t="shared" si="11"/>
        <v>0</v>
      </c>
      <c r="X42" s="1">
        <f t="shared" si="12"/>
        <v>0</v>
      </c>
      <c r="Y42" s="1">
        <f t="shared" si="13"/>
        <v>0</v>
      </c>
      <c r="Z42" s="1">
        <f t="shared" si="14"/>
        <v>0</v>
      </c>
      <c r="AA42" s="1">
        <f t="shared" si="15"/>
        <v>0</v>
      </c>
      <c r="AB42" s="1">
        <f t="shared" si="16"/>
        <v>0</v>
      </c>
      <c r="AD42" s="1">
        <f t="shared" si="17"/>
        <v>0</v>
      </c>
      <c r="AE42" s="1">
        <f t="shared" si="18"/>
        <v>1</v>
      </c>
      <c r="AF42" s="1">
        <f t="shared" si="3"/>
        <v>0</v>
      </c>
      <c r="AG42" s="1">
        <f t="shared" si="4"/>
        <v>1</v>
      </c>
      <c r="AH42" s="1">
        <f t="shared" si="5"/>
        <v>0</v>
      </c>
      <c r="AI42" s="1">
        <f t="shared" si="6"/>
        <v>1</v>
      </c>
    </row>
    <row r="43" spans="1:35" ht="14.25" customHeight="1" x14ac:dyDescent="0.25">
      <c r="A43" s="44">
        <v>0</v>
      </c>
      <c r="B43" s="44">
        <v>1</v>
      </c>
      <c r="C43" s="44">
        <v>2</v>
      </c>
      <c r="D43" s="45" t="s">
        <v>1815</v>
      </c>
      <c r="E43" s="45" t="s">
        <v>175</v>
      </c>
      <c r="F43" s="45" t="s">
        <v>1816</v>
      </c>
      <c r="G43" s="45" t="s">
        <v>194</v>
      </c>
      <c r="H43" s="45" t="s">
        <v>354</v>
      </c>
      <c r="I43" s="44" t="s">
        <v>1817</v>
      </c>
      <c r="J43" s="44">
        <v>9</v>
      </c>
      <c r="K43" s="46" t="s">
        <v>703</v>
      </c>
      <c r="L43" s="46">
        <v>60</v>
      </c>
      <c r="M43" s="47" t="s">
        <v>1818</v>
      </c>
      <c r="N43" s="47" t="s">
        <v>1809</v>
      </c>
      <c r="O43" s="48"/>
      <c r="P43" s="48"/>
      <c r="Q43" s="45"/>
      <c r="S43" s="1">
        <f t="shared" si="7"/>
        <v>0</v>
      </c>
      <c r="T43" s="1">
        <f t="shared" si="8"/>
        <v>0</v>
      </c>
      <c r="U43" s="1">
        <f t="shared" si="9"/>
        <v>0</v>
      </c>
      <c r="V43" s="1">
        <f t="shared" si="10"/>
        <v>0</v>
      </c>
      <c r="W43" s="1">
        <f t="shared" si="11"/>
        <v>0</v>
      </c>
      <c r="X43" s="1">
        <f t="shared" si="12"/>
        <v>0</v>
      </c>
      <c r="Y43" s="1">
        <f t="shared" si="13"/>
        <v>0</v>
      </c>
      <c r="Z43" s="1">
        <f t="shared" si="14"/>
        <v>0</v>
      </c>
      <c r="AA43" s="1">
        <f t="shared" si="15"/>
        <v>1</v>
      </c>
      <c r="AB43" s="1">
        <f t="shared" si="16"/>
        <v>0</v>
      </c>
      <c r="AD43" s="1">
        <f t="shared" si="17"/>
        <v>0</v>
      </c>
      <c r="AE43" s="1">
        <f t="shared" si="18"/>
        <v>0</v>
      </c>
      <c r="AF43" s="1">
        <f t="shared" si="3"/>
        <v>0</v>
      </c>
      <c r="AG43" s="1">
        <f t="shared" si="4"/>
        <v>0</v>
      </c>
      <c r="AH43" s="1">
        <f t="shared" si="5"/>
        <v>0</v>
      </c>
      <c r="AI43" s="1">
        <f t="shared" si="6"/>
        <v>1</v>
      </c>
    </row>
    <row r="44" spans="1:35" ht="14.25" customHeight="1" x14ac:dyDescent="0.25">
      <c r="A44" s="44">
        <v>0</v>
      </c>
      <c r="B44" s="44">
        <v>1</v>
      </c>
      <c r="C44" s="44">
        <v>2</v>
      </c>
      <c r="D44" s="45" t="s">
        <v>139</v>
      </c>
      <c r="E44" s="45" t="s">
        <v>175</v>
      </c>
      <c r="F44" s="65" t="s">
        <v>1879</v>
      </c>
      <c r="G44" s="45" t="s">
        <v>200</v>
      </c>
      <c r="H44" s="45" t="s">
        <v>354</v>
      </c>
      <c r="I44" s="44" t="s">
        <v>487</v>
      </c>
      <c r="J44" s="44">
        <v>2</v>
      </c>
      <c r="K44" s="46" t="s">
        <v>956</v>
      </c>
      <c r="L44" s="46" t="s">
        <v>693</v>
      </c>
      <c r="M44" s="47" t="s">
        <v>691</v>
      </c>
      <c r="N44" s="47" t="s">
        <v>1738</v>
      </c>
      <c r="O44" s="48"/>
      <c r="P44" s="48"/>
      <c r="Q44" s="65" t="s">
        <v>1907</v>
      </c>
      <c r="S44" s="1">
        <f t="shared" si="7"/>
        <v>0</v>
      </c>
      <c r="T44" s="1">
        <f t="shared" si="8"/>
        <v>1</v>
      </c>
      <c r="U44" s="1">
        <f t="shared" si="9"/>
        <v>0</v>
      </c>
      <c r="V44" s="1">
        <f t="shared" si="10"/>
        <v>0</v>
      </c>
      <c r="W44" s="1">
        <f t="shared" si="11"/>
        <v>0</v>
      </c>
      <c r="X44" s="1">
        <f t="shared" si="12"/>
        <v>0</v>
      </c>
      <c r="Y44" s="1">
        <f t="shared" si="13"/>
        <v>0</v>
      </c>
      <c r="Z44" s="1">
        <f t="shared" si="14"/>
        <v>0</v>
      </c>
      <c r="AA44" s="1">
        <f t="shared" si="15"/>
        <v>0</v>
      </c>
      <c r="AB44" s="1">
        <f t="shared" si="16"/>
        <v>0</v>
      </c>
      <c r="AD44" s="1">
        <f t="shared" si="17"/>
        <v>0</v>
      </c>
      <c r="AE44" s="1">
        <f t="shared" si="18"/>
        <v>0</v>
      </c>
      <c r="AF44" s="1">
        <f t="shared" si="3"/>
        <v>0</v>
      </c>
      <c r="AG44" s="1">
        <f t="shared" si="4"/>
        <v>0</v>
      </c>
      <c r="AH44" s="1">
        <f t="shared" si="5"/>
        <v>0</v>
      </c>
      <c r="AI44" s="1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2</v>
      </c>
      <c r="D45" s="32" t="s">
        <v>838</v>
      </c>
      <c r="E45" s="32" t="s">
        <v>175</v>
      </c>
      <c r="F45" s="32" t="s">
        <v>840</v>
      </c>
      <c r="G45" s="32" t="s">
        <v>39</v>
      </c>
      <c r="H45" s="32" t="s">
        <v>354</v>
      </c>
      <c r="I45" s="31" t="s">
        <v>839</v>
      </c>
      <c r="J45" s="31">
        <v>99</v>
      </c>
      <c r="K45" s="33" t="s">
        <v>962</v>
      </c>
      <c r="L45" s="33" t="s">
        <v>39</v>
      </c>
      <c r="M45" s="34" t="s">
        <v>39</v>
      </c>
      <c r="N45" s="34" t="s">
        <v>1733</v>
      </c>
      <c r="O45" s="35">
        <v>1</v>
      </c>
      <c r="P45" s="35">
        <v>1</v>
      </c>
      <c r="Q45" s="32"/>
      <c r="S45" s="1">
        <f t="shared" si="7"/>
        <v>0</v>
      </c>
      <c r="T45" s="1">
        <f t="shared" si="8"/>
        <v>0</v>
      </c>
      <c r="U45" s="1">
        <f t="shared" si="9"/>
        <v>0</v>
      </c>
      <c r="V45" s="1">
        <f t="shared" si="10"/>
        <v>0</v>
      </c>
      <c r="W45" s="1">
        <f t="shared" si="11"/>
        <v>0</v>
      </c>
      <c r="X45" s="1">
        <f t="shared" si="12"/>
        <v>0</v>
      </c>
      <c r="Y45" s="1">
        <f t="shared" si="13"/>
        <v>0</v>
      </c>
      <c r="Z45" s="1">
        <f t="shared" si="14"/>
        <v>0</v>
      </c>
      <c r="AA45" s="1">
        <f t="shared" si="15"/>
        <v>0</v>
      </c>
      <c r="AB45" s="1">
        <f t="shared" si="16"/>
        <v>0</v>
      </c>
      <c r="AD45" s="1">
        <f t="shared" si="17"/>
        <v>1</v>
      </c>
      <c r="AE45" s="1">
        <f t="shared" si="18"/>
        <v>0</v>
      </c>
      <c r="AF45" s="1">
        <f t="shared" si="3"/>
        <v>1</v>
      </c>
      <c r="AG45" s="1">
        <f t="shared" si="4"/>
        <v>0</v>
      </c>
      <c r="AH45" s="1">
        <f t="shared" si="5"/>
        <v>1</v>
      </c>
      <c r="AI45" s="1">
        <f t="shared" si="6"/>
        <v>0</v>
      </c>
    </row>
    <row r="46" spans="1:35" ht="14.25" customHeight="1" x14ac:dyDescent="0.25">
      <c r="A46" s="44">
        <v>0</v>
      </c>
      <c r="B46" s="44">
        <v>1</v>
      </c>
      <c r="C46" s="44">
        <v>2</v>
      </c>
      <c r="D46" s="45" t="s">
        <v>915</v>
      </c>
      <c r="E46" s="45" t="s">
        <v>175</v>
      </c>
      <c r="F46" s="45" t="s">
        <v>783</v>
      </c>
      <c r="G46" s="45" t="s">
        <v>39</v>
      </c>
      <c r="H46" s="45" t="s">
        <v>375</v>
      </c>
      <c r="I46" s="44" t="s">
        <v>784</v>
      </c>
      <c r="J46" s="44">
        <v>12</v>
      </c>
      <c r="K46" s="46" t="s">
        <v>722</v>
      </c>
      <c r="L46" s="46" t="s">
        <v>1699</v>
      </c>
      <c r="M46" s="47" t="s">
        <v>1119</v>
      </c>
      <c r="N46" s="47" t="s">
        <v>1802</v>
      </c>
      <c r="O46" s="48"/>
      <c r="P46" s="48"/>
      <c r="Q46" s="45"/>
      <c r="S46" s="1">
        <f t="shared" si="7"/>
        <v>0</v>
      </c>
      <c r="T46" s="1">
        <f t="shared" si="8"/>
        <v>0</v>
      </c>
      <c r="U46" s="1">
        <f t="shared" si="9"/>
        <v>0</v>
      </c>
      <c r="V46" s="1">
        <f t="shared" si="10"/>
        <v>0</v>
      </c>
      <c r="W46" s="1">
        <f t="shared" si="11"/>
        <v>0</v>
      </c>
      <c r="X46" s="1">
        <f t="shared" si="12"/>
        <v>0</v>
      </c>
      <c r="Y46" s="1">
        <f t="shared" si="13"/>
        <v>0</v>
      </c>
      <c r="Z46" s="1">
        <f t="shared" si="14"/>
        <v>0</v>
      </c>
      <c r="AA46" s="1">
        <f t="shared" si="15"/>
        <v>0</v>
      </c>
      <c r="AB46" s="1">
        <f t="shared" si="16"/>
        <v>0</v>
      </c>
      <c r="AD46" s="1">
        <f t="shared" si="17"/>
        <v>0</v>
      </c>
      <c r="AE46" s="1">
        <f t="shared" si="18"/>
        <v>0</v>
      </c>
      <c r="AF46" s="1">
        <f t="shared" si="3"/>
        <v>0</v>
      </c>
      <c r="AG46" s="1">
        <f t="shared" si="4"/>
        <v>0</v>
      </c>
      <c r="AH46" s="1">
        <f t="shared" si="5"/>
        <v>0</v>
      </c>
      <c r="AI46" s="1">
        <f t="shared" si="6"/>
        <v>1</v>
      </c>
    </row>
    <row r="47" spans="1:35" ht="14.25" customHeight="1" x14ac:dyDescent="0.25">
      <c r="A47" s="38">
        <v>0</v>
      </c>
      <c r="B47" s="38">
        <v>1</v>
      </c>
      <c r="C47" s="38">
        <v>2</v>
      </c>
      <c r="D47" s="39" t="s">
        <v>1635</v>
      </c>
      <c r="E47" s="39" t="s">
        <v>174</v>
      </c>
      <c r="F47" s="39" t="s">
        <v>1661</v>
      </c>
      <c r="G47" s="39" t="s">
        <v>251</v>
      </c>
      <c r="H47" s="39" t="s">
        <v>354</v>
      </c>
      <c r="I47" s="38" t="s">
        <v>1563</v>
      </c>
      <c r="J47" s="38">
        <v>99</v>
      </c>
      <c r="K47" s="40" t="s">
        <v>957</v>
      </c>
      <c r="L47" s="40" t="s">
        <v>39</v>
      </c>
      <c r="M47" s="41" t="s">
        <v>39</v>
      </c>
      <c r="N47" s="42"/>
      <c r="O47" s="43"/>
      <c r="P47" s="43">
        <v>1</v>
      </c>
      <c r="Q47" s="39"/>
      <c r="S47" s="1">
        <f t="shared" si="7"/>
        <v>0</v>
      </c>
      <c r="T47" s="1">
        <f t="shared" si="8"/>
        <v>0</v>
      </c>
      <c r="U47" s="1">
        <f t="shared" si="9"/>
        <v>0</v>
      </c>
      <c r="V47" s="1">
        <f t="shared" si="10"/>
        <v>0</v>
      </c>
      <c r="W47" s="1">
        <f t="shared" si="11"/>
        <v>0</v>
      </c>
      <c r="X47" s="1">
        <f t="shared" si="12"/>
        <v>0</v>
      </c>
      <c r="Y47" s="1">
        <f t="shared" si="13"/>
        <v>0</v>
      </c>
      <c r="Z47" s="1">
        <f t="shared" si="14"/>
        <v>0</v>
      </c>
      <c r="AA47" s="1">
        <f t="shared" si="15"/>
        <v>0</v>
      </c>
      <c r="AB47" s="1">
        <f t="shared" si="16"/>
        <v>0</v>
      </c>
      <c r="AD47" s="1">
        <f t="shared" si="17"/>
        <v>0</v>
      </c>
      <c r="AE47" s="1">
        <f t="shared" si="18"/>
        <v>0</v>
      </c>
      <c r="AF47" s="1">
        <f t="shared" si="3"/>
        <v>0</v>
      </c>
      <c r="AG47" s="1">
        <f t="shared" si="4"/>
        <v>0</v>
      </c>
      <c r="AH47" s="1">
        <f t="shared" si="5"/>
        <v>1</v>
      </c>
      <c r="AI47" s="1">
        <f t="shared" si="6"/>
        <v>0</v>
      </c>
    </row>
    <row r="48" spans="1:35" ht="14.25" customHeight="1" x14ac:dyDescent="0.25">
      <c r="A48" s="31">
        <v>0</v>
      </c>
      <c r="B48" s="31">
        <v>1</v>
      </c>
      <c r="C48" s="31">
        <v>2</v>
      </c>
      <c r="D48" s="32" t="s">
        <v>1531</v>
      </c>
      <c r="E48" s="32" t="s">
        <v>1649</v>
      </c>
      <c r="F48" s="32" t="s">
        <v>1532</v>
      </c>
      <c r="G48" s="32" t="s">
        <v>200</v>
      </c>
      <c r="H48" s="32" t="s">
        <v>354</v>
      </c>
      <c r="I48" s="31" t="s">
        <v>1533</v>
      </c>
      <c r="J48" s="31">
        <v>2</v>
      </c>
      <c r="K48" s="33" t="s">
        <v>956</v>
      </c>
      <c r="L48" s="33">
        <v>70</v>
      </c>
      <c r="M48" s="34" t="s">
        <v>39</v>
      </c>
      <c r="N48" s="34" t="s">
        <v>1789</v>
      </c>
      <c r="O48" s="35">
        <v>1</v>
      </c>
      <c r="P48" s="35"/>
      <c r="Q48" s="32"/>
      <c r="S48" s="1">
        <f t="shared" si="7"/>
        <v>0</v>
      </c>
      <c r="T48" s="1">
        <f t="shared" si="8"/>
        <v>1</v>
      </c>
      <c r="U48" s="1">
        <f t="shared" si="9"/>
        <v>0</v>
      </c>
      <c r="V48" s="1">
        <f t="shared" si="10"/>
        <v>0</v>
      </c>
      <c r="W48" s="1">
        <f t="shared" si="11"/>
        <v>0</v>
      </c>
      <c r="X48" s="1">
        <f t="shared" si="12"/>
        <v>0</v>
      </c>
      <c r="Y48" s="1">
        <f t="shared" si="13"/>
        <v>0</v>
      </c>
      <c r="Z48" s="1">
        <f t="shared" si="14"/>
        <v>0</v>
      </c>
      <c r="AA48" s="1">
        <f t="shared" si="15"/>
        <v>0</v>
      </c>
      <c r="AB48" s="1">
        <f t="shared" si="16"/>
        <v>0</v>
      </c>
      <c r="AD48" s="1">
        <f t="shared" si="17"/>
        <v>0</v>
      </c>
      <c r="AE48" s="1">
        <f t="shared" si="18"/>
        <v>1</v>
      </c>
      <c r="AF48" s="1">
        <f t="shared" si="3"/>
        <v>0</v>
      </c>
      <c r="AG48" s="1">
        <f t="shared" si="4"/>
        <v>1</v>
      </c>
      <c r="AH48" s="1">
        <f t="shared" si="5"/>
        <v>0</v>
      </c>
      <c r="AI48" s="1">
        <f t="shared" si="6"/>
        <v>1</v>
      </c>
    </row>
    <row r="49" spans="1:35" ht="14.25" customHeight="1" x14ac:dyDescent="0.25">
      <c r="A49" s="44">
        <v>0</v>
      </c>
      <c r="B49" s="44">
        <v>1</v>
      </c>
      <c r="C49" s="44">
        <v>2</v>
      </c>
      <c r="D49" s="45" t="s">
        <v>1467</v>
      </c>
      <c r="E49" s="45" t="s">
        <v>1650</v>
      </c>
      <c r="F49" s="45" t="s">
        <v>1466</v>
      </c>
      <c r="G49" s="45" t="s">
        <v>220</v>
      </c>
      <c r="H49" s="45" t="s">
        <v>354</v>
      </c>
      <c r="I49" s="44" t="s">
        <v>1687</v>
      </c>
      <c r="J49" s="44">
        <v>8</v>
      </c>
      <c r="K49" s="46" t="s">
        <v>702</v>
      </c>
      <c r="L49" s="46">
        <v>70</v>
      </c>
      <c r="M49" s="47" t="s">
        <v>39</v>
      </c>
      <c r="N49" s="47" t="s">
        <v>1737</v>
      </c>
      <c r="O49" s="48"/>
      <c r="P49" s="48"/>
      <c r="Q49" s="45"/>
      <c r="S49" s="1">
        <f t="shared" si="7"/>
        <v>0</v>
      </c>
      <c r="T49" s="1">
        <f t="shared" si="8"/>
        <v>0</v>
      </c>
      <c r="U49" s="1">
        <f t="shared" si="9"/>
        <v>0</v>
      </c>
      <c r="V49" s="1">
        <f t="shared" si="10"/>
        <v>0</v>
      </c>
      <c r="W49" s="1">
        <f t="shared" si="11"/>
        <v>0</v>
      </c>
      <c r="X49" s="1">
        <f t="shared" si="12"/>
        <v>0</v>
      </c>
      <c r="Y49" s="1">
        <f t="shared" si="13"/>
        <v>0</v>
      </c>
      <c r="Z49" s="1">
        <f t="shared" si="14"/>
        <v>1</v>
      </c>
      <c r="AA49" s="1">
        <f t="shared" si="15"/>
        <v>0</v>
      </c>
      <c r="AB49" s="1">
        <f t="shared" si="16"/>
        <v>0</v>
      </c>
      <c r="AD49" s="1">
        <f t="shared" si="17"/>
        <v>0</v>
      </c>
      <c r="AE49" s="1">
        <f t="shared" si="18"/>
        <v>0</v>
      </c>
      <c r="AF49" s="1">
        <f t="shared" si="3"/>
        <v>0</v>
      </c>
      <c r="AG49" s="1">
        <f t="shared" si="4"/>
        <v>0</v>
      </c>
      <c r="AH49" s="1">
        <f t="shared" si="5"/>
        <v>0</v>
      </c>
      <c r="AI49" s="1">
        <f t="shared" si="6"/>
        <v>1</v>
      </c>
    </row>
    <row r="50" spans="1:35" ht="14.25" customHeight="1" x14ac:dyDescent="0.25">
      <c r="A50" s="31">
        <v>0</v>
      </c>
      <c r="B50" s="31">
        <v>1</v>
      </c>
      <c r="C50" s="31">
        <v>2</v>
      </c>
      <c r="D50" s="32" t="s">
        <v>811</v>
      </c>
      <c r="E50" s="32" t="s">
        <v>175</v>
      </c>
      <c r="F50" s="32" t="s">
        <v>812</v>
      </c>
      <c r="G50" s="32" t="s">
        <v>39</v>
      </c>
      <c r="H50" s="32" t="s">
        <v>813</v>
      </c>
      <c r="I50" s="31" t="s">
        <v>814</v>
      </c>
      <c r="J50" s="31">
        <v>11</v>
      </c>
      <c r="K50" s="33" t="s">
        <v>703</v>
      </c>
      <c r="L50" s="33">
        <v>50</v>
      </c>
      <c r="M50" s="34" t="s">
        <v>1119</v>
      </c>
      <c r="N50" s="34" t="s">
        <v>1946</v>
      </c>
      <c r="O50" s="35">
        <v>1</v>
      </c>
      <c r="P50" s="35"/>
      <c r="Q50" s="32"/>
      <c r="S50" s="1">
        <f t="shared" si="7"/>
        <v>0</v>
      </c>
      <c r="T50" s="1">
        <f t="shared" si="8"/>
        <v>0</v>
      </c>
      <c r="U50" s="1">
        <f t="shared" si="9"/>
        <v>0</v>
      </c>
      <c r="V50" s="1">
        <f t="shared" si="10"/>
        <v>0</v>
      </c>
      <c r="W50" s="1">
        <f t="shared" si="11"/>
        <v>0</v>
      </c>
      <c r="X50" s="1">
        <f t="shared" si="12"/>
        <v>0</v>
      </c>
      <c r="Y50" s="1">
        <f t="shared" si="13"/>
        <v>0</v>
      </c>
      <c r="Z50" s="1">
        <f t="shared" si="14"/>
        <v>0</v>
      </c>
      <c r="AA50" s="1">
        <f t="shared" si="15"/>
        <v>0</v>
      </c>
      <c r="AB50" s="1">
        <f t="shared" si="16"/>
        <v>0</v>
      </c>
      <c r="AD50" s="1">
        <f t="shared" si="17"/>
        <v>0</v>
      </c>
      <c r="AE50" s="1">
        <f t="shared" si="18"/>
        <v>1</v>
      </c>
      <c r="AF50" s="1">
        <f t="shared" si="3"/>
        <v>0</v>
      </c>
      <c r="AG50" s="1">
        <f t="shared" si="4"/>
        <v>1</v>
      </c>
      <c r="AH50" s="1">
        <f t="shared" si="5"/>
        <v>0</v>
      </c>
      <c r="AI50" s="1">
        <f t="shared" si="6"/>
        <v>1</v>
      </c>
    </row>
    <row r="51" spans="1:35" ht="14.25" customHeight="1" x14ac:dyDescent="0.25">
      <c r="A51" s="15">
        <v>0</v>
      </c>
      <c r="B51" s="15">
        <v>1</v>
      </c>
      <c r="C51" s="15">
        <v>2</v>
      </c>
      <c r="D51" s="16" t="s">
        <v>1471</v>
      </c>
      <c r="E51" s="16"/>
      <c r="F51" s="16" t="s">
        <v>1472</v>
      </c>
      <c r="G51" s="16" t="s">
        <v>1473</v>
      </c>
      <c r="H51" s="16" t="s">
        <v>354</v>
      </c>
      <c r="I51" s="15" t="s">
        <v>1474</v>
      </c>
      <c r="J51" s="15">
        <v>99</v>
      </c>
      <c r="K51" s="10" t="s">
        <v>703</v>
      </c>
      <c r="L51" s="10">
        <v>35</v>
      </c>
      <c r="M51" s="19" t="s">
        <v>1479</v>
      </c>
      <c r="N51" s="19"/>
      <c r="Q51" s="16"/>
      <c r="S51" s="1">
        <f t="shared" ref="S51:S53" si="19">IF(J51=$S$7,1,0)</f>
        <v>0</v>
      </c>
      <c r="T51" s="1">
        <f t="shared" ref="T51:T53" si="20">IF(J51=$T$7,1,0)</f>
        <v>0</v>
      </c>
      <c r="U51" s="1">
        <f t="shared" ref="U51:U53" si="21">IF(J51=$U$7,1,0)</f>
        <v>0</v>
      </c>
      <c r="V51" s="1">
        <f t="shared" ref="V51:V53" si="22">IF(J51=$V$7,1,0)</f>
        <v>0</v>
      </c>
      <c r="W51" s="1">
        <f t="shared" ref="W51:W53" si="23">IF(J51=$W$7,1,0)</f>
        <v>0</v>
      </c>
      <c r="X51" s="1">
        <f t="shared" ref="X51:X53" si="24">IF(J51=$X$7,1,0)</f>
        <v>0</v>
      </c>
      <c r="Y51" s="1">
        <f t="shared" ref="Y51:Y53" si="25">IF(J51=$Y$7,1,0)</f>
        <v>0</v>
      </c>
      <c r="Z51" s="1">
        <f t="shared" ref="Z51:Z53" si="26">IF(J51=$Z$7,1,0)</f>
        <v>0</v>
      </c>
      <c r="AA51" s="1">
        <f t="shared" ref="AA51:AA53" si="27">IF(J51=$AA$7,1,0)</f>
        <v>0</v>
      </c>
      <c r="AB51" s="1">
        <f t="shared" ref="AB51:AB53" si="28">IF(J51=$AB$7,1,0)</f>
        <v>0</v>
      </c>
      <c r="AD51" s="1">
        <f t="shared" ref="AD51:AD53" si="29">+O51*P51</f>
        <v>0</v>
      </c>
      <c r="AE51" s="1">
        <f t="shared" ref="AE51:AE53" si="30">O51*(1-P51)</f>
        <v>0</v>
      </c>
      <c r="AF51" s="1">
        <f t="shared" ref="AF51:AF53" si="31">+O51*P51*(1-A51)</f>
        <v>0</v>
      </c>
      <c r="AG51" s="1">
        <f t="shared" ref="AG51:AG53" si="32">O51*(1-P51)*(1-A51)</f>
        <v>0</v>
      </c>
      <c r="AH51" s="1">
        <f t="shared" ref="AH51:AH53" si="33">+P51*(1-A51)</f>
        <v>0</v>
      </c>
      <c r="AI51" s="1">
        <f t="shared" ref="AI51:AI53" si="34">+(1-A51)*(1-P51)</f>
        <v>1</v>
      </c>
    </row>
    <row r="52" spans="1:35" ht="14.25" customHeight="1" x14ac:dyDescent="0.25">
      <c r="A52" s="31">
        <v>0</v>
      </c>
      <c r="B52" s="31">
        <v>1</v>
      </c>
      <c r="C52" s="31">
        <v>2</v>
      </c>
      <c r="D52" s="32" t="s">
        <v>2002</v>
      </c>
      <c r="E52" s="32" t="s">
        <v>175</v>
      </c>
      <c r="F52" s="32" t="s">
        <v>2003</v>
      </c>
      <c r="G52" s="32" t="s">
        <v>2004</v>
      </c>
      <c r="H52" s="32" t="s">
        <v>354</v>
      </c>
      <c r="I52" s="31" t="s">
        <v>2005</v>
      </c>
      <c r="J52" s="31">
        <v>99</v>
      </c>
      <c r="K52" s="33" t="s">
        <v>703</v>
      </c>
      <c r="L52" s="33"/>
      <c r="M52" s="34"/>
      <c r="N52" s="34" t="s">
        <v>1733</v>
      </c>
      <c r="O52" s="35">
        <v>1</v>
      </c>
      <c r="P52" s="35">
        <v>1</v>
      </c>
      <c r="Q52" s="32" t="s">
        <v>2006</v>
      </c>
      <c r="S52" s="1">
        <f t="shared" si="19"/>
        <v>0</v>
      </c>
      <c r="T52" s="1">
        <f t="shared" si="20"/>
        <v>0</v>
      </c>
      <c r="U52" s="1">
        <f t="shared" si="21"/>
        <v>0</v>
      </c>
      <c r="V52" s="1">
        <f t="shared" si="22"/>
        <v>0</v>
      </c>
      <c r="W52" s="1">
        <f t="shared" si="23"/>
        <v>0</v>
      </c>
      <c r="X52" s="1">
        <f t="shared" si="24"/>
        <v>0</v>
      </c>
      <c r="Y52" s="1">
        <f t="shared" si="25"/>
        <v>0</v>
      </c>
      <c r="Z52" s="1">
        <f t="shared" si="26"/>
        <v>0</v>
      </c>
      <c r="AA52" s="1">
        <f t="shared" si="27"/>
        <v>0</v>
      </c>
      <c r="AB52" s="1">
        <f t="shared" si="28"/>
        <v>0</v>
      </c>
      <c r="AD52" s="1">
        <f t="shared" si="29"/>
        <v>1</v>
      </c>
      <c r="AE52" s="1">
        <f t="shared" si="30"/>
        <v>0</v>
      </c>
      <c r="AF52" s="1">
        <f t="shared" si="31"/>
        <v>1</v>
      </c>
      <c r="AG52" s="1">
        <f t="shared" si="32"/>
        <v>0</v>
      </c>
      <c r="AH52" s="1">
        <f t="shared" si="33"/>
        <v>1</v>
      </c>
      <c r="AI52" s="1">
        <f t="shared" si="34"/>
        <v>0</v>
      </c>
    </row>
    <row r="53" spans="1:35" ht="14.25" customHeight="1" x14ac:dyDescent="0.25">
      <c r="A53" s="44">
        <v>0</v>
      </c>
      <c r="B53" s="44">
        <v>1</v>
      </c>
      <c r="C53" s="44">
        <v>2</v>
      </c>
      <c r="D53" s="45" t="s">
        <v>122</v>
      </c>
      <c r="E53" s="45" t="s">
        <v>175</v>
      </c>
      <c r="F53" s="45" t="s">
        <v>655</v>
      </c>
      <c r="G53" s="45" t="s">
        <v>39</v>
      </c>
      <c r="H53" s="45" t="s">
        <v>371</v>
      </c>
      <c r="I53" s="44" t="s">
        <v>469</v>
      </c>
      <c r="J53" s="44">
        <v>11</v>
      </c>
      <c r="K53" s="46" t="s">
        <v>703</v>
      </c>
      <c r="L53" s="46">
        <v>40</v>
      </c>
      <c r="M53" s="47" t="s">
        <v>691</v>
      </c>
      <c r="N53" s="47" t="s">
        <v>1802</v>
      </c>
      <c r="O53" s="48"/>
      <c r="P53" s="48"/>
      <c r="Q53" s="45"/>
      <c r="S53" s="1">
        <f t="shared" si="19"/>
        <v>0</v>
      </c>
      <c r="T53" s="1">
        <f t="shared" si="20"/>
        <v>0</v>
      </c>
      <c r="U53" s="1">
        <f t="shared" si="21"/>
        <v>0</v>
      </c>
      <c r="V53" s="1">
        <f t="shared" si="22"/>
        <v>0</v>
      </c>
      <c r="W53" s="1">
        <f t="shared" si="23"/>
        <v>0</v>
      </c>
      <c r="X53" s="1">
        <f t="shared" si="24"/>
        <v>0</v>
      </c>
      <c r="Y53" s="1">
        <f t="shared" si="25"/>
        <v>0</v>
      </c>
      <c r="Z53" s="1">
        <f t="shared" si="26"/>
        <v>0</v>
      </c>
      <c r="AA53" s="1">
        <f t="shared" si="27"/>
        <v>0</v>
      </c>
      <c r="AB53" s="1">
        <f t="shared" si="28"/>
        <v>0</v>
      </c>
      <c r="AD53" s="1">
        <f t="shared" si="29"/>
        <v>0</v>
      </c>
      <c r="AE53" s="1">
        <f t="shared" si="30"/>
        <v>0</v>
      </c>
      <c r="AF53" s="1">
        <f t="shared" si="31"/>
        <v>0</v>
      </c>
      <c r="AG53" s="1">
        <f t="shared" si="32"/>
        <v>0</v>
      </c>
      <c r="AH53" s="1">
        <f t="shared" si="33"/>
        <v>0</v>
      </c>
      <c r="AI53" s="1">
        <f t="shared" si="34"/>
        <v>1</v>
      </c>
    </row>
    <row r="54" spans="1:35" ht="14.25" customHeight="1" x14ac:dyDescent="0.25">
      <c r="A54" s="31">
        <v>0</v>
      </c>
      <c r="B54" s="31">
        <v>1</v>
      </c>
      <c r="C54" s="31">
        <v>2</v>
      </c>
      <c r="D54" s="32" t="s">
        <v>1054</v>
      </c>
      <c r="E54" s="32" t="s">
        <v>175</v>
      </c>
      <c r="F54" s="32" t="s">
        <v>1055</v>
      </c>
      <c r="G54" s="32" t="s">
        <v>1056</v>
      </c>
      <c r="H54" s="32" t="s">
        <v>354</v>
      </c>
      <c r="I54" s="31" t="s">
        <v>1057</v>
      </c>
      <c r="J54" s="31">
        <v>1</v>
      </c>
      <c r="K54" s="33" t="s">
        <v>722</v>
      </c>
      <c r="L54" s="33" t="s">
        <v>687</v>
      </c>
      <c r="M54" s="34" t="s">
        <v>1119</v>
      </c>
      <c r="N54" s="34" t="s">
        <v>1789</v>
      </c>
      <c r="O54" s="35">
        <v>1</v>
      </c>
      <c r="P54" s="35"/>
      <c r="Q54" s="32" t="s">
        <v>1910</v>
      </c>
      <c r="S54" s="1">
        <f t="shared" si="7"/>
        <v>1</v>
      </c>
      <c r="T54" s="1">
        <f t="shared" si="8"/>
        <v>0</v>
      </c>
      <c r="U54" s="1">
        <f t="shared" si="9"/>
        <v>0</v>
      </c>
      <c r="V54" s="1">
        <f t="shared" si="10"/>
        <v>0</v>
      </c>
      <c r="W54" s="1">
        <f t="shared" si="11"/>
        <v>0</v>
      </c>
      <c r="X54" s="1">
        <f t="shared" si="12"/>
        <v>0</v>
      </c>
      <c r="Y54" s="1">
        <f t="shared" si="13"/>
        <v>0</v>
      </c>
      <c r="Z54" s="1">
        <f t="shared" si="14"/>
        <v>0</v>
      </c>
      <c r="AA54" s="1">
        <f t="shared" si="15"/>
        <v>0</v>
      </c>
      <c r="AB54" s="1">
        <f t="shared" si="16"/>
        <v>0</v>
      </c>
      <c r="AD54" s="1">
        <f t="shared" si="17"/>
        <v>0</v>
      </c>
      <c r="AE54" s="1">
        <f t="shared" si="18"/>
        <v>1</v>
      </c>
      <c r="AF54" s="1">
        <f t="shared" si="3"/>
        <v>0</v>
      </c>
      <c r="AG54" s="1">
        <f t="shared" si="4"/>
        <v>1</v>
      </c>
      <c r="AH54" s="1">
        <f t="shared" si="5"/>
        <v>0</v>
      </c>
      <c r="AI54" s="1">
        <f t="shared" si="6"/>
        <v>1</v>
      </c>
    </row>
    <row r="55" spans="1:35" ht="14.25" customHeight="1" x14ac:dyDescent="0.25">
      <c r="A55" s="44">
        <v>0</v>
      </c>
      <c r="B55" s="44">
        <v>1</v>
      </c>
      <c r="C55" s="44">
        <v>2</v>
      </c>
      <c r="D55" s="45" t="s">
        <v>1639</v>
      </c>
      <c r="E55" s="45" t="s">
        <v>175</v>
      </c>
      <c r="F55" s="45" t="s">
        <v>1665</v>
      </c>
      <c r="G55" s="45" t="s">
        <v>1666</v>
      </c>
      <c r="H55" s="45" t="s">
        <v>354</v>
      </c>
      <c r="I55" s="44" t="s">
        <v>1478</v>
      </c>
      <c r="J55" s="44">
        <v>99</v>
      </c>
      <c r="K55" s="46" t="s">
        <v>702</v>
      </c>
      <c r="L55" s="46">
        <v>45</v>
      </c>
      <c r="M55" s="47" t="s">
        <v>39</v>
      </c>
      <c r="N55" s="47" t="s">
        <v>1741</v>
      </c>
      <c r="O55" s="48"/>
      <c r="P55" s="48"/>
      <c r="Q55" s="45"/>
      <c r="S55" s="1">
        <f t="shared" si="7"/>
        <v>0</v>
      </c>
      <c r="T55" s="1">
        <f t="shared" si="8"/>
        <v>0</v>
      </c>
      <c r="U55" s="1">
        <f t="shared" si="9"/>
        <v>0</v>
      </c>
      <c r="V55" s="1">
        <f t="shared" si="10"/>
        <v>0</v>
      </c>
      <c r="W55" s="1">
        <f t="shared" si="11"/>
        <v>0</v>
      </c>
      <c r="X55" s="1">
        <f t="shared" si="12"/>
        <v>0</v>
      </c>
      <c r="Y55" s="1">
        <f t="shared" si="13"/>
        <v>0</v>
      </c>
      <c r="Z55" s="1">
        <f t="shared" si="14"/>
        <v>0</v>
      </c>
      <c r="AA55" s="1">
        <f t="shared" si="15"/>
        <v>0</v>
      </c>
      <c r="AB55" s="1">
        <f t="shared" si="16"/>
        <v>0</v>
      </c>
      <c r="AD55" s="1">
        <f t="shared" si="17"/>
        <v>0</v>
      </c>
      <c r="AE55" s="1">
        <f t="shared" si="18"/>
        <v>0</v>
      </c>
      <c r="AF55" s="1">
        <f t="shared" si="3"/>
        <v>0</v>
      </c>
      <c r="AG55" s="1">
        <f t="shared" si="4"/>
        <v>0</v>
      </c>
      <c r="AH55" s="1">
        <f t="shared" si="5"/>
        <v>0</v>
      </c>
      <c r="AI55" s="1">
        <f t="shared" si="6"/>
        <v>1</v>
      </c>
    </row>
    <row r="56" spans="1:35" ht="14.25" customHeight="1" x14ac:dyDescent="0.25">
      <c r="A56" s="44">
        <v>0</v>
      </c>
      <c r="B56" s="44">
        <v>1</v>
      </c>
      <c r="C56" s="44">
        <v>2</v>
      </c>
      <c r="D56" s="45" t="s">
        <v>647</v>
      </c>
      <c r="E56" s="45" t="s">
        <v>175</v>
      </c>
      <c r="F56" s="45" t="s">
        <v>602</v>
      </c>
      <c r="G56" s="45" t="s">
        <v>595</v>
      </c>
      <c r="H56" s="45" t="s">
        <v>354</v>
      </c>
      <c r="I56" s="44" t="s">
        <v>677</v>
      </c>
      <c r="J56" s="44">
        <v>1</v>
      </c>
      <c r="K56" s="46" t="s">
        <v>702</v>
      </c>
      <c r="L56" s="46" t="s">
        <v>1700</v>
      </c>
      <c r="M56" s="47" t="s">
        <v>1385</v>
      </c>
      <c r="N56" s="47" t="s">
        <v>1735</v>
      </c>
      <c r="O56" s="48"/>
      <c r="P56" s="48"/>
      <c r="Q56" s="45"/>
      <c r="S56" s="1">
        <f t="shared" si="7"/>
        <v>1</v>
      </c>
      <c r="T56" s="1">
        <f t="shared" si="8"/>
        <v>0</v>
      </c>
      <c r="U56" s="1">
        <f t="shared" si="9"/>
        <v>0</v>
      </c>
      <c r="V56" s="1">
        <f t="shared" si="10"/>
        <v>0</v>
      </c>
      <c r="W56" s="1">
        <f t="shared" si="11"/>
        <v>0</v>
      </c>
      <c r="X56" s="1">
        <f t="shared" si="12"/>
        <v>0</v>
      </c>
      <c r="Y56" s="1">
        <f t="shared" si="13"/>
        <v>0</v>
      </c>
      <c r="Z56" s="1">
        <f t="shared" si="14"/>
        <v>0</v>
      </c>
      <c r="AA56" s="1">
        <f t="shared" si="15"/>
        <v>0</v>
      </c>
      <c r="AB56" s="1">
        <f t="shared" si="16"/>
        <v>0</v>
      </c>
      <c r="AD56" s="1">
        <f t="shared" si="17"/>
        <v>0</v>
      </c>
      <c r="AE56" s="1">
        <f t="shared" si="18"/>
        <v>0</v>
      </c>
      <c r="AF56" s="1">
        <f t="shared" si="3"/>
        <v>0</v>
      </c>
      <c r="AG56" s="1">
        <f t="shared" si="4"/>
        <v>0</v>
      </c>
      <c r="AH56" s="1">
        <f t="shared" si="5"/>
        <v>0</v>
      </c>
      <c r="AI56" s="1">
        <f t="shared" si="6"/>
        <v>1</v>
      </c>
    </row>
    <row r="57" spans="1:35" ht="14.25" customHeight="1" x14ac:dyDescent="0.25">
      <c r="A57" s="15">
        <v>0</v>
      </c>
      <c r="B57" s="15">
        <v>1</v>
      </c>
      <c r="C57" s="15">
        <v>2</v>
      </c>
      <c r="D57" s="16" t="s">
        <v>1190</v>
      </c>
      <c r="E57" s="16" t="s">
        <v>174</v>
      </c>
      <c r="F57" s="16" t="s">
        <v>1191</v>
      </c>
      <c r="G57" s="16" t="s">
        <v>39</v>
      </c>
      <c r="H57" s="16" t="s">
        <v>1193</v>
      </c>
      <c r="I57" s="15" t="s">
        <v>1192</v>
      </c>
      <c r="J57" s="15">
        <v>17</v>
      </c>
      <c r="K57" s="10" t="s">
        <v>703</v>
      </c>
      <c r="L57" s="10" t="s">
        <v>1386</v>
      </c>
      <c r="M57" s="19" t="s">
        <v>1387</v>
      </c>
      <c r="N57" s="17"/>
      <c r="Q57" s="16" t="s">
        <v>1886</v>
      </c>
      <c r="S57" s="1">
        <f t="shared" si="7"/>
        <v>0</v>
      </c>
      <c r="T57" s="1">
        <f t="shared" si="8"/>
        <v>0</v>
      </c>
      <c r="U57" s="1">
        <f t="shared" si="9"/>
        <v>0</v>
      </c>
      <c r="V57" s="1">
        <f t="shared" si="10"/>
        <v>0</v>
      </c>
      <c r="W57" s="1">
        <f t="shared" si="11"/>
        <v>0</v>
      </c>
      <c r="X57" s="1">
        <f t="shared" si="12"/>
        <v>0</v>
      </c>
      <c r="Y57" s="1">
        <f t="shared" si="13"/>
        <v>0</v>
      </c>
      <c r="Z57" s="1">
        <f t="shared" si="14"/>
        <v>0</v>
      </c>
      <c r="AA57" s="1">
        <f t="shared" si="15"/>
        <v>0</v>
      </c>
      <c r="AB57" s="1">
        <f t="shared" si="16"/>
        <v>0</v>
      </c>
      <c r="AD57" s="1">
        <f t="shared" si="17"/>
        <v>0</v>
      </c>
      <c r="AE57" s="1">
        <f t="shared" si="18"/>
        <v>0</v>
      </c>
      <c r="AF57" s="1">
        <f t="shared" si="3"/>
        <v>0</v>
      </c>
      <c r="AG57" s="1">
        <f t="shared" si="4"/>
        <v>0</v>
      </c>
      <c r="AH57" s="1">
        <f t="shared" si="5"/>
        <v>0</v>
      </c>
      <c r="AI57" s="1">
        <f t="shared" si="6"/>
        <v>1</v>
      </c>
    </row>
    <row r="58" spans="1:35" ht="14.25" customHeight="1" x14ac:dyDescent="0.25">
      <c r="A58" s="15">
        <v>0</v>
      </c>
      <c r="B58" s="15">
        <v>1</v>
      </c>
      <c r="C58" s="15">
        <v>2</v>
      </c>
      <c r="D58" s="16" t="s">
        <v>1201</v>
      </c>
      <c r="E58" s="16" t="s">
        <v>174</v>
      </c>
      <c r="F58" s="16" t="s">
        <v>1202</v>
      </c>
      <c r="G58" s="16" t="s">
        <v>39</v>
      </c>
      <c r="H58" s="16" t="s">
        <v>1203</v>
      </c>
      <c r="I58" s="15" t="s">
        <v>1204</v>
      </c>
      <c r="J58" s="15">
        <v>18</v>
      </c>
      <c r="K58" s="10" t="s">
        <v>957</v>
      </c>
      <c r="L58" s="10" t="s">
        <v>695</v>
      </c>
      <c r="M58" s="19" t="s">
        <v>970</v>
      </c>
      <c r="N58" s="17"/>
      <c r="Q58" s="16" t="s">
        <v>1885</v>
      </c>
      <c r="S58" s="1">
        <f t="shared" si="7"/>
        <v>0</v>
      </c>
      <c r="T58" s="1">
        <f t="shared" si="8"/>
        <v>0</v>
      </c>
      <c r="U58" s="1">
        <f t="shared" si="9"/>
        <v>0</v>
      </c>
      <c r="V58" s="1">
        <f t="shared" si="10"/>
        <v>0</v>
      </c>
      <c r="W58" s="1">
        <f t="shared" si="11"/>
        <v>0</v>
      </c>
      <c r="X58" s="1">
        <f t="shared" si="12"/>
        <v>0</v>
      </c>
      <c r="Y58" s="1">
        <f t="shared" si="13"/>
        <v>0</v>
      </c>
      <c r="Z58" s="1">
        <f t="shared" si="14"/>
        <v>0</v>
      </c>
      <c r="AA58" s="1">
        <f t="shared" si="15"/>
        <v>0</v>
      </c>
      <c r="AB58" s="1">
        <f t="shared" si="16"/>
        <v>0</v>
      </c>
      <c r="AD58" s="1">
        <f t="shared" si="17"/>
        <v>0</v>
      </c>
      <c r="AE58" s="1">
        <f t="shared" si="18"/>
        <v>0</v>
      </c>
      <c r="AF58" s="1">
        <f t="shared" si="3"/>
        <v>0</v>
      </c>
      <c r="AG58" s="1">
        <f t="shared" si="4"/>
        <v>0</v>
      </c>
      <c r="AH58" s="1">
        <f t="shared" si="5"/>
        <v>0</v>
      </c>
      <c r="AI58" s="1">
        <f t="shared" si="6"/>
        <v>1</v>
      </c>
    </row>
    <row r="59" spans="1:35" ht="14.25" customHeight="1" x14ac:dyDescent="0.25">
      <c r="A59" s="15">
        <v>0</v>
      </c>
      <c r="B59" s="15">
        <v>1</v>
      </c>
      <c r="C59" s="15">
        <v>2</v>
      </c>
      <c r="D59" s="16" t="s">
        <v>1029</v>
      </c>
      <c r="E59" s="16" t="s">
        <v>175</v>
      </c>
      <c r="F59" s="16" t="s">
        <v>1031</v>
      </c>
      <c r="G59" s="16" t="s">
        <v>39</v>
      </c>
      <c r="H59" s="16" t="s">
        <v>365</v>
      </c>
      <c r="I59" s="15" t="s">
        <v>1030</v>
      </c>
      <c r="J59" s="15">
        <v>18</v>
      </c>
      <c r="K59" s="10" t="s">
        <v>702</v>
      </c>
      <c r="L59" s="10" t="s">
        <v>1141</v>
      </c>
      <c r="M59" s="19" t="s">
        <v>691</v>
      </c>
      <c r="N59" s="17"/>
      <c r="Q59" s="16"/>
      <c r="S59" s="1">
        <f t="shared" si="7"/>
        <v>0</v>
      </c>
      <c r="T59" s="1">
        <f t="shared" si="8"/>
        <v>0</v>
      </c>
      <c r="U59" s="1">
        <f t="shared" si="9"/>
        <v>0</v>
      </c>
      <c r="V59" s="1">
        <f t="shared" si="10"/>
        <v>0</v>
      </c>
      <c r="W59" s="1">
        <f t="shared" si="11"/>
        <v>0</v>
      </c>
      <c r="X59" s="1">
        <f t="shared" si="12"/>
        <v>0</v>
      </c>
      <c r="Y59" s="1">
        <f t="shared" si="13"/>
        <v>0</v>
      </c>
      <c r="Z59" s="1">
        <f t="shared" si="14"/>
        <v>0</v>
      </c>
      <c r="AA59" s="1">
        <f t="shared" si="15"/>
        <v>0</v>
      </c>
      <c r="AB59" s="1">
        <f t="shared" si="16"/>
        <v>0</v>
      </c>
      <c r="AD59" s="1">
        <f t="shared" si="17"/>
        <v>0</v>
      </c>
      <c r="AE59" s="1">
        <f t="shared" si="18"/>
        <v>0</v>
      </c>
      <c r="AF59" s="1">
        <f t="shared" si="3"/>
        <v>0</v>
      </c>
      <c r="AG59" s="1">
        <f t="shared" si="4"/>
        <v>0</v>
      </c>
      <c r="AH59" s="1">
        <f t="shared" si="5"/>
        <v>0</v>
      </c>
      <c r="AI59" s="1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2</v>
      </c>
      <c r="D60" s="32" t="s">
        <v>1592</v>
      </c>
      <c r="E60" s="32" t="s">
        <v>175</v>
      </c>
      <c r="F60" s="32" t="s">
        <v>1593</v>
      </c>
      <c r="G60" s="32" t="s">
        <v>1594</v>
      </c>
      <c r="H60" s="32" t="s">
        <v>354</v>
      </c>
      <c r="I60" s="31" t="s">
        <v>1487</v>
      </c>
      <c r="J60" s="31">
        <v>99</v>
      </c>
      <c r="K60" s="33" t="s">
        <v>702</v>
      </c>
      <c r="L60" s="33" t="s">
        <v>39</v>
      </c>
      <c r="M60" s="34" t="s">
        <v>39</v>
      </c>
      <c r="N60" s="34" t="s">
        <v>1727</v>
      </c>
      <c r="O60" s="35">
        <v>1</v>
      </c>
      <c r="P60" s="35">
        <v>1</v>
      </c>
      <c r="Q60" s="32"/>
      <c r="S60" s="1">
        <f t="shared" si="7"/>
        <v>0</v>
      </c>
      <c r="T60" s="1">
        <f t="shared" si="8"/>
        <v>0</v>
      </c>
      <c r="U60" s="1">
        <f t="shared" si="9"/>
        <v>0</v>
      </c>
      <c r="V60" s="1">
        <f t="shared" si="10"/>
        <v>0</v>
      </c>
      <c r="W60" s="1">
        <f t="shared" si="11"/>
        <v>0</v>
      </c>
      <c r="X60" s="1">
        <f t="shared" si="12"/>
        <v>0</v>
      </c>
      <c r="Y60" s="1">
        <f t="shared" si="13"/>
        <v>0</v>
      </c>
      <c r="Z60" s="1">
        <f t="shared" si="14"/>
        <v>0</v>
      </c>
      <c r="AA60" s="1">
        <f t="shared" si="15"/>
        <v>0</v>
      </c>
      <c r="AB60" s="1">
        <f t="shared" si="16"/>
        <v>0</v>
      </c>
      <c r="AD60" s="1">
        <f t="shared" si="17"/>
        <v>1</v>
      </c>
      <c r="AE60" s="1">
        <f t="shared" si="18"/>
        <v>0</v>
      </c>
      <c r="AF60" s="1">
        <f t="shared" si="3"/>
        <v>1</v>
      </c>
      <c r="AG60" s="1">
        <f t="shared" si="4"/>
        <v>0</v>
      </c>
      <c r="AH60" s="1">
        <f t="shared" si="5"/>
        <v>1</v>
      </c>
      <c r="AI60" s="1">
        <f t="shared" si="6"/>
        <v>0</v>
      </c>
    </row>
    <row r="61" spans="1:35" ht="14.25" customHeight="1" x14ac:dyDescent="0.25">
      <c r="A61" s="31">
        <v>0</v>
      </c>
      <c r="B61" s="31">
        <v>1</v>
      </c>
      <c r="C61" s="31">
        <v>2</v>
      </c>
      <c r="D61" s="32" t="s">
        <v>1620</v>
      </c>
      <c r="E61" s="32" t="s">
        <v>170</v>
      </c>
      <c r="F61" s="32" t="s">
        <v>1621</v>
      </c>
      <c r="G61" s="32" t="s">
        <v>39</v>
      </c>
      <c r="H61" s="32" t="s">
        <v>355</v>
      </c>
      <c r="I61" s="31" t="s">
        <v>1622</v>
      </c>
      <c r="J61" s="31">
        <v>11</v>
      </c>
      <c r="K61" s="33" t="s">
        <v>957</v>
      </c>
      <c r="L61" s="33" t="s">
        <v>39</v>
      </c>
      <c r="M61" s="34" t="s">
        <v>39</v>
      </c>
      <c r="N61" s="34" t="s">
        <v>1727</v>
      </c>
      <c r="O61" s="35">
        <v>1</v>
      </c>
      <c r="P61" s="35">
        <v>1</v>
      </c>
      <c r="Q61" s="36" t="s">
        <v>1905</v>
      </c>
      <c r="S61" s="1">
        <f t="shared" si="7"/>
        <v>0</v>
      </c>
      <c r="T61" s="1">
        <f t="shared" si="8"/>
        <v>0</v>
      </c>
      <c r="U61" s="1">
        <f t="shared" si="9"/>
        <v>0</v>
      </c>
      <c r="V61" s="1">
        <f t="shared" si="10"/>
        <v>0</v>
      </c>
      <c r="W61" s="1">
        <f t="shared" si="11"/>
        <v>0</v>
      </c>
      <c r="X61" s="1">
        <f t="shared" si="12"/>
        <v>0</v>
      </c>
      <c r="Y61" s="1">
        <f t="shared" si="13"/>
        <v>0</v>
      </c>
      <c r="Z61" s="1">
        <f t="shared" si="14"/>
        <v>0</v>
      </c>
      <c r="AA61" s="1">
        <f t="shared" si="15"/>
        <v>0</v>
      </c>
      <c r="AB61" s="1">
        <f t="shared" si="16"/>
        <v>0</v>
      </c>
      <c r="AD61" s="1">
        <f t="shared" si="17"/>
        <v>1</v>
      </c>
      <c r="AE61" s="1">
        <f t="shared" si="18"/>
        <v>0</v>
      </c>
      <c r="AF61" s="1">
        <f t="shared" si="3"/>
        <v>1</v>
      </c>
      <c r="AG61" s="1">
        <f t="shared" si="4"/>
        <v>0</v>
      </c>
      <c r="AH61" s="1">
        <f t="shared" si="5"/>
        <v>1</v>
      </c>
      <c r="AI61" s="1">
        <f t="shared" si="6"/>
        <v>0</v>
      </c>
    </row>
    <row r="62" spans="1:35" ht="14.25" customHeight="1" x14ac:dyDescent="0.25">
      <c r="A62" s="38">
        <v>0</v>
      </c>
      <c r="B62" s="38">
        <v>1</v>
      </c>
      <c r="C62" s="38">
        <v>2</v>
      </c>
      <c r="D62" s="39" t="s">
        <v>1617</v>
      </c>
      <c r="E62" s="39" t="s">
        <v>174</v>
      </c>
      <c r="F62" s="39" t="s">
        <v>1618</v>
      </c>
      <c r="G62" s="39" t="s">
        <v>1483</v>
      </c>
      <c r="H62" s="39" t="s">
        <v>354</v>
      </c>
      <c r="I62" s="38" t="s">
        <v>1619</v>
      </c>
      <c r="J62" s="38">
        <v>99</v>
      </c>
      <c r="K62" s="40" t="s">
        <v>962</v>
      </c>
      <c r="L62" s="40" t="s">
        <v>39</v>
      </c>
      <c r="M62" s="41" t="s">
        <v>39</v>
      </c>
      <c r="N62" s="42"/>
      <c r="O62" s="43"/>
      <c r="P62" s="43">
        <v>1</v>
      </c>
      <c r="Q62" s="39"/>
      <c r="S62" s="1">
        <f t="shared" si="7"/>
        <v>0</v>
      </c>
      <c r="T62" s="1">
        <f t="shared" si="8"/>
        <v>0</v>
      </c>
      <c r="U62" s="1">
        <f t="shared" si="9"/>
        <v>0</v>
      </c>
      <c r="V62" s="1">
        <f t="shared" si="10"/>
        <v>0</v>
      </c>
      <c r="W62" s="1">
        <f t="shared" si="11"/>
        <v>0</v>
      </c>
      <c r="X62" s="1">
        <f t="shared" si="12"/>
        <v>0</v>
      </c>
      <c r="Y62" s="1">
        <f t="shared" si="13"/>
        <v>0</v>
      </c>
      <c r="Z62" s="1">
        <f t="shared" si="14"/>
        <v>0</v>
      </c>
      <c r="AA62" s="1">
        <f t="shared" si="15"/>
        <v>0</v>
      </c>
      <c r="AB62" s="1">
        <f t="shared" si="16"/>
        <v>0</v>
      </c>
      <c r="AD62" s="1">
        <f t="shared" si="17"/>
        <v>0</v>
      </c>
      <c r="AE62" s="1">
        <f t="shared" si="18"/>
        <v>0</v>
      </c>
      <c r="AF62" s="1">
        <f t="shared" si="3"/>
        <v>0</v>
      </c>
      <c r="AG62" s="1">
        <f t="shared" si="4"/>
        <v>0</v>
      </c>
      <c r="AH62" s="1">
        <f t="shared" si="5"/>
        <v>1</v>
      </c>
      <c r="AI62" s="1">
        <f t="shared" si="6"/>
        <v>0</v>
      </c>
    </row>
    <row r="63" spans="1:35" ht="14.25" customHeight="1" x14ac:dyDescent="0.25">
      <c r="A63" s="38">
        <v>0</v>
      </c>
      <c r="B63" s="38">
        <v>1</v>
      </c>
      <c r="C63" s="38">
        <v>2</v>
      </c>
      <c r="D63" s="39" t="s">
        <v>569</v>
      </c>
      <c r="E63" s="39" t="s">
        <v>579</v>
      </c>
      <c r="F63" s="39" t="s">
        <v>558</v>
      </c>
      <c r="G63" s="39" t="s">
        <v>262</v>
      </c>
      <c r="H63" s="39" t="s">
        <v>354</v>
      </c>
      <c r="I63" s="38" t="s">
        <v>559</v>
      </c>
      <c r="J63" s="38">
        <v>99</v>
      </c>
      <c r="K63" s="40" t="s">
        <v>956</v>
      </c>
      <c r="L63" s="40" t="s">
        <v>39</v>
      </c>
      <c r="M63" s="41" t="s">
        <v>39</v>
      </c>
      <c r="N63" s="42"/>
      <c r="O63" s="43"/>
      <c r="P63" s="43">
        <v>1</v>
      </c>
      <c r="Q63" s="39"/>
      <c r="S63" s="1">
        <f t="shared" si="7"/>
        <v>0</v>
      </c>
      <c r="T63" s="1">
        <f t="shared" si="8"/>
        <v>0</v>
      </c>
      <c r="U63" s="1">
        <f t="shared" si="9"/>
        <v>0</v>
      </c>
      <c r="V63" s="1">
        <f t="shared" si="10"/>
        <v>0</v>
      </c>
      <c r="W63" s="1">
        <f t="shared" si="11"/>
        <v>0</v>
      </c>
      <c r="X63" s="1">
        <f t="shared" si="12"/>
        <v>0</v>
      </c>
      <c r="Y63" s="1">
        <f t="shared" si="13"/>
        <v>0</v>
      </c>
      <c r="Z63" s="1">
        <f t="shared" si="14"/>
        <v>0</v>
      </c>
      <c r="AA63" s="1">
        <f t="shared" si="15"/>
        <v>0</v>
      </c>
      <c r="AB63" s="1">
        <f t="shared" si="16"/>
        <v>0</v>
      </c>
      <c r="AD63" s="1">
        <f t="shared" si="17"/>
        <v>0</v>
      </c>
      <c r="AE63" s="1">
        <f t="shared" si="18"/>
        <v>0</v>
      </c>
      <c r="AF63" s="1">
        <f t="shared" si="3"/>
        <v>0</v>
      </c>
      <c r="AG63" s="1">
        <f t="shared" si="4"/>
        <v>0</v>
      </c>
      <c r="AH63" s="1">
        <f t="shared" si="5"/>
        <v>1</v>
      </c>
      <c r="AI63" s="1">
        <f t="shared" si="6"/>
        <v>0</v>
      </c>
    </row>
    <row r="64" spans="1:35" ht="14.25" customHeight="1" x14ac:dyDescent="0.25">
      <c r="A64" s="31">
        <v>0</v>
      </c>
      <c r="B64" s="31">
        <v>1</v>
      </c>
      <c r="C64" s="31">
        <v>2</v>
      </c>
      <c r="D64" s="32" t="s">
        <v>799</v>
      </c>
      <c r="E64" s="32" t="s">
        <v>174</v>
      </c>
      <c r="F64" s="32" t="s">
        <v>801</v>
      </c>
      <c r="G64" s="32" t="s">
        <v>39</v>
      </c>
      <c r="H64" s="32" t="s">
        <v>800</v>
      </c>
      <c r="I64" s="31" t="s">
        <v>802</v>
      </c>
      <c r="J64" s="31">
        <v>14</v>
      </c>
      <c r="K64" s="33" t="s">
        <v>964</v>
      </c>
      <c r="L64" s="33" t="s">
        <v>1706</v>
      </c>
      <c r="M64" s="34" t="s">
        <v>1379</v>
      </c>
      <c r="N64" s="34" t="s">
        <v>1749</v>
      </c>
      <c r="O64" s="35">
        <v>1</v>
      </c>
      <c r="P64" s="35"/>
      <c r="Q64" s="32"/>
      <c r="S64" s="1">
        <f t="shared" si="7"/>
        <v>0</v>
      </c>
      <c r="T64" s="1">
        <f t="shared" si="8"/>
        <v>0</v>
      </c>
      <c r="U64" s="1">
        <f t="shared" si="9"/>
        <v>0</v>
      </c>
      <c r="V64" s="1">
        <f t="shared" si="10"/>
        <v>0</v>
      </c>
      <c r="W64" s="1">
        <f t="shared" si="11"/>
        <v>0</v>
      </c>
      <c r="X64" s="1">
        <f t="shared" si="12"/>
        <v>0</v>
      </c>
      <c r="Y64" s="1">
        <f t="shared" si="13"/>
        <v>0</v>
      </c>
      <c r="Z64" s="1">
        <f t="shared" si="14"/>
        <v>0</v>
      </c>
      <c r="AA64" s="1">
        <f t="shared" si="15"/>
        <v>0</v>
      </c>
      <c r="AB64" s="1">
        <f t="shared" si="16"/>
        <v>0</v>
      </c>
      <c r="AD64" s="1">
        <f t="shared" si="17"/>
        <v>0</v>
      </c>
      <c r="AE64" s="1">
        <f t="shared" si="18"/>
        <v>1</v>
      </c>
      <c r="AF64" s="1">
        <f t="shared" si="3"/>
        <v>0</v>
      </c>
      <c r="AG64" s="1">
        <f t="shared" si="4"/>
        <v>1</v>
      </c>
      <c r="AH64" s="1">
        <f t="shared" si="5"/>
        <v>0</v>
      </c>
      <c r="AI64" s="1">
        <f t="shared" si="6"/>
        <v>1</v>
      </c>
    </row>
    <row r="65" spans="1:35" ht="14.25" customHeight="1" x14ac:dyDescent="0.25">
      <c r="A65" s="15">
        <v>0</v>
      </c>
      <c r="B65" s="15">
        <v>1</v>
      </c>
      <c r="C65" s="15">
        <v>2</v>
      </c>
      <c r="D65" s="16" t="s">
        <v>1322</v>
      </c>
      <c r="E65" s="16" t="s">
        <v>175</v>
      </c>
      <c r="F65" s="16" t="s">
        <v>1346</v>
      </c>
      <c r="G65" s="16" t="s">
        <v>39</v>
      </c>
      <c r="H65" s="16" t="s">
        <v>363</v>
      </c>
      <c r="I65" s="15" t="s">
        <v>1142</v>
      </c>
      <c r="J65" s="15">
        <v>14</v>
      </c>
      <c r="K65" s="10" t="s">
        <v>722</v>
      </c>
      <c r="L65" s="10" t="s">
        <v>1699</v>
      </c>
      <c r="M65" s="19" t="s">
        <v>972</v>
      </c>
      <c r="N65" s="17"/>
      <c r="Q65" s="16"/>
      <c r="S65" s="1">
        <f t="shared" si="7"/>
        <v>0</v>
      </c>
      <c r="T65" s="1">
        <f t="shared" si="8"/>
        <v>0</v>
      </c>
      <c r="U65" s="1">
        <f t="shared" si="9"/>
        <v>0</v>
      </c>
      <c r="V65" s="1">
        <f t="shared" si="10"/>
        <v>0</v>
      </c>
      <c r="W65" s="1">
        <f t="shared" si="11"/>
        <v>0</v>
      </c>
      <c r="X65" s="1">
        <f t="shared" si="12"/>
        <v>0</v>
      </c>
      <c r="Y65" s="1">
        <f t="shared" si="13"/>
        <v>0</v>
      </c>
      <c r="Z65" s="1">
        <f t="shared" si="14"/>
        <v>0</v>
      </c>
      <c r="AA65" s="1">
        <f t="shared" si="15"/>
        <v>0</v>
      </c>
      <c r="AB65" s="1">
        <f t="shared" si="16"/>
        <v>0</v>
      </c>
      <c r="AD65" s="1">
        <f t="shared" si="17"/>
        <v>0</v>
      </c>
      <c r="AE65" s="1">
        <f t="shared" si="18"/>
        <v>0</v>
      </c>
      <c r="AF65" s="1">
        <f t="shared" si="3"/>
        <v>0</v>
      </c>
      <c r="AG65" s="1">
        <f t="shared" si="4"/>
        <v>0</v>
      </c>
      <c r="AH65" s="1">
        <f t="shared" si="5"/>
        <v>0</v>
      </c>
      <c r="AI65" s="1">
        <f t="shared" si="6"/>
        <v>1</v>
      </c>
    </row>
    <row r="66" spans="1:35" ht="14.25" customHeight="1" x14ac:dyDescent="0.25">
      <c r="A66" s="44">
        <v>0</v>
      </c>
      <c r="B66" s="44">
        <v>1</v>
      </c>
      <c r="C66" s="44">
        <v>2</v>
      </c>
      <c r="D66" s="45" t="s">
        <v>1515</v>
      </c>
      <c r="E66" s="45" t="s">
        <v>170</v>
      </c>
      <c r="F66" s="45" t="s">
        <v>1517</v>
      </c>
      <c r="G66" s="45" t="s">
        <v>1165</v>
      </c>
      <c r="H66" s="45" t="s">
        <v>354</v>
      </c>
      <c r="I66" s="44" t="s">
        <v>1516</v>
      </c>
      <c r="J66" s="44">
        <v>11</v>
      </c>
      <c r="K66" s="46" t="s">
        <v>722</v>
      </c>
      <c r="L66" s="46">
        <v>50</v>
      </c>
      <c r="M66" s="47" t="s">
        <v>39</v>
      </c>
      <c r="N66" s="47" t="s">
        <v>1809</v>
      </c>
      <c r="O66" s="48"/>
      <c r="P66" s="48"/>
      <c r="Q66" s="45"/>
      <c r="S66" s="1">
        <f t="shared" si="7"/>
        <v>0</v>
      </c>
      <c r="T66" s="1">
        <f t="shared" si="8"/>
        <v>0</v>
      </c>
      <c r="U66" s="1">
        <f t="shared" si="9"/>
        <v>0</v>
      </c>
      <c r="V66" s="1">
        <f t="shared" si="10"/>
        <v>0</v>
      </c>
      <c r="W66" s="1">
        <f t="shared" si="11"/>
        <v>0</v>
      </c>
      <c r="X66" s="1">
        <f t="shared" si="12"/>
        <v>0</v>
      </c>
      <c r="Y66" s="1">
        <f t="shared" si="13"/>
        <v>0</v>
      </c>
      <c r="Z66" s="1">
        <f t="shared" si="14"/>
        <v>0</v>
      </c>
      <c r="AA66" s="1">
        <f t="shared" si="15"/>
        <v>0</v>
      </c>
      <c r="AB66" s="1">
        <f t="shared" si="16"/>
        <v>0</v>
      </c>
      <c r="AD66" s="1">
        <f t="shared" si="17"/>
        <v>0</v>
      </c>
      <c r="AE66" s="1">
        <f t="shared" si="18"/>
        <v>0</v>
      </c>
      <c r="AF66" s="1">
        <f t="shared" si="3"/>
        <v>0</v>
      </c>
      <c r="AG66" s="1">
        <f t="shared" si="4"/>
        <v>0</v>
      </c>
      <c r="AH66" s="1">
        <f t="shared" si="5"/>
        <v>0</v>
      </c>
      <c r="AI66" s="1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2</v>
      </c>
      <c r="D67" s="32" t="s">
        <v>1137</v>
      </c>
      <c r="E67" s="32" t="s">
        <v>175</v>
      </c>
      <c r="F67" s="32" t="s">
        <v>1140</v>
      </c>
      <c r="G67" s="32" t="s">
        <v>39</v>
      </c>
      <c r="H67" s="32" t="s">
        <v>1138</v>
      </c>
      <c r="I67" s="31" t="s">
        <v>1139</v>
      </c>
      <c r="J67" s="31">
        <v>12</v>
      </c>
      <c r="K67" s="33" t="s">
        <v>703</v>
      </c>
      <c r="L67" s="33">
        <v>50</v>
      </c>
      <c r="M67" s="34" t="s">
        <v>39</v>
      </c>
      <c r="N67" s="34" t="s">
        <v>1749</v>
      </c>
      <c r="O67" s="35">
        <v>1</v>
      </c>
      <c r="P67" s="35"/>
      <c r="Q67" s="32"/>
      <c r="S67" s="1">
        <f t="shared" si="7"/>
        <v>0</v>
      </c>
      <c r="T67" s="1">
        <f t="shared" si="8"/>
        <v>0</v>
      </c>
      <c r="U67" s="1">
        <f t="shared" si="9"/>
        <v>0</v>
      </c>
      <c r="V67" s="1">
        <f t="shared" si="10"/>
        <v>0</v>
      </c>
      <c r="W67" s="1">
        <f t="shared" si="11"/>
        <v>0</v>
      </c>
      <c r="X67" s="1">
        <f t="shared" si="12"/>
        <v>0</v>
      </c>
      <c r="Y67" s="1">
        <f t="shared" si="13"/>
        <v>0</v>
      </c>
      <c r="Z67" s="1">
        <f t="shared" si="14"/>
        <v>0</v>
      </c>
      <c r="AA67" s="1">
        <f t="shared" si="15"/>
        <v>0</v>
      </c>
      <c r="AB67" s="1">
        <f t="shared" si="16"/>
        <v>0</v>
      </c>
      <c r="AD67" s="1">
        <f t="shared" si="17"/>
        <v>0</v>
      </c>
      <c r="AE67" s="1">
        <f t="shared" si="18"/>
        <v>1</v>
      </c>
      <c r="AF67" s="1">
        <f t="shared" si="3"/>
        <v>0</v>
      </c>
      <c r="AG67" s="1">
        <f t="shared" si="4"/>
        <v>1</v>
      </c>
      <c r="AH67" s="1">
        <f t="shared" si="5"/>
        <v>0</v>
      </c>
      <c r="AI67" s="1">
        <f t="shared" si="6"/>
        <v>1</v>
      </c>
    </row>
    <row r="68" spans="1:35" ht="14.25" customHeight="1" x14ac:dyDescent="0.25">
      <c r="A68" s="57">
        <v>0</v>
      </c>
      <c r="B68" s="57">
        <v>1</v>
      </c>
      <c r="C68" s="57">
        <v>2</v>
      </c>
      <c r="D68" s="58" t="s">
        <v>154</v>
      </c>
      <c r="E68" s="58" t="s">
        <v>171</v>
      </c>
      <c r="F68" s="58" t="s">
        <v>935</v>
      </c>
      <c r="G68" s="58" t="s">
        <v>186</v>
      </c>
      <c r="H68" s="58" t="s">
        <v>354</v>
      </c>
      <c r="I68" s="57" t="s">
        <v>501</v>
      </c>
      <c r="J68" s="57">
        <v>1</v>
      </c>
      <c r="K68" s="59" t="s">
        <v>960</v>
      </c>
      <c r="L68" s="59" t="s">
        <v>39</v>
      </c>
      <c r="M68" s="60" t="s">
        <v>39</v>
      </c>
      <c r="N68" s="61"/>
      <c r="O68" s="62"/>
      <c r="P68" s="62">
        <v>1</v>
      </c>
      <c r="Q68" s="58"/>
      <c r="S68" s="1">
        <f t="shared" si="7"/>
        <v>1</v>
      </c>
      <c r="T68" s="1">
        <f t="shared" si="8"/>
        <v>0</v>
      </c>
      <c r="U68" s="1">
        <f t="shared" si="9"/>
        <v>0</v>
      </c>
      <c r="V68" s="1">
        <f t="shared" si="10"/>
        <v>0</v>
      </c>
      <c r="W68" s="1">
        <f t="shared" si="11"/>
        <v>0</v>
      </c>
      <c r="X68" s="1">
        <f t="shared" si="12"/>
        <v>0</v>
      </c>
      <c r="Y68" s="1">
        <f t="shared" si="13"/>
        <v>0</v>
      </c>
      <c r="Z68" s="1">
        <f t="shared" si="14"/>
        <v>0</v>
      </c>
      <c r="AA68" s="1">
        <f t="shared" si="15"/>
        <v>0</v>
      </c>
      <c r="AB68" s="1">
        <f t="shared" si="16"/>
        <v>0</v>
      </c>
      <c r="AD68" s="1">
        <f t="shared" si="17"/>
        <v>0</v>
      </c>
      <c r="AE68" s="1">
        <f t="shared" si="18"/>
        <v>0</v>
      </c>
      <c r="AF68" s="1">
        <f t="shared" si="3"/>
        <v>0</v>
      </c>
      <c r="AG68" s="1">
        <f t="shared" si="4"/>
        <v>0</v>
      </c>
      <c r="AH68" s="1">
        <f t="shared" si="5"/>
        <v>1</v>
      </c>
      <c r="AI68" s="1">
        <f t="shared" si="6"/>
        <v>0</v>
      </c>
    </row>
    <row r="69" spans="1:35" ht="14.25" customHeight="1" x14ac:dyDescent="0.25">
      <c r="A69" s="31">
        <v>0</v>
      </c>
      <c r="B69" s="31">
        <v>1</v>
      </c>
      <c r="C69" s="31">
        <v>2</v>
      </c>
      <c r="D69" s="32" t="s">
        <v>1447</v>
      </c>
      <c r="E69" s="32" t="s">
        <v>175</v>
      </c>
      <c r="F69" s="32" t="s">
        <v>1444</v>
      </c>
      <c r="G69" s="32" t="s">
        <v>39</v>
      </c>
      <c r="H69" s="32" t="s">
        <v>354</v>
      </c>
      <c r="I69" s="31" t="s">
        <v>1445</v>
      </c>
      <c r="J69" s="31">
        <v>99</v>
      </c>
      <c r="K69" s="33" t="s">
        <v>702</v>
      </c>
      <c r="L69" s="33" t="s">
        <v>689</v>
      </c>
      <c r="M69" s="34" t="s">
        <v>1446</v>
      </c>
      <c r="N69" s="34" t="s">
        <v>1727</v>
      </c>
      <c r="O69" s="35">
        <v>1</v>
      </c>
      <c r="P69" s="35">
        <v>1</v>
      </c>
      <c r="Q69" s="32"/>
      <c r="S69" s="1">
        <f t="shared" si="7"/>
        <v>0</v>
      </c>
      <c r="T69" s="1">
        <f t="shared" si="8"/>
        <v>0</v>
      </c>
      <c r="U69" s="1">
        <f t="shared" si="9"/>
        <v>0</v>
      </c>
      <c r="V69" s="1">
        <f t="shared" si="10"/>
        <v>0</v>
      </c>
      <c r="W69" s="1">
        <f t="shared" si="11"/>
        <v>0</v>
      </c>
      <c r="X69" s="1">
        <f t="shared" si="12"/>
        <v>0</v>
      </c>
      <c r="Y69" s="1">
        <f t="shared" si="13"/>
        <v>0</v>
      </c>
      <c r="Z69" s="1">
        <f t="shared" si="14"/>
        <v>0</v>
      </c>
      <c r="AA69" s="1">
        <f t="shared" si="15"/>
        <v>0</v>
      </c>
      <c r="AB69" s="1">
        <f t="shared" si="16"/>
        <v>0</v>
      </c>
      <c r="AD69" s="1">
        <f t="shared" si="17"/>
        <v>1</v>
      </c>
      <c r="AE69" s="1">
        <f t="shared" si="18"/>
        <v>0</v>
      </c>
      <c r="AF69" s="1">
        <f t="shared" si="3"/>
        <v>1</v>
      </c>
      <c r="AG69" s="1">
        <f t="shared" si="4"/>
        <v>0</v>
      </c>
      <c r="AH69" s="1">
        <f t="shared" si="5"/>
        <v>1</v>
      </c>
      <c r="AI69" s="1">
        <f t="shared" si="6"/>
        <v>0</v>
      </c>
    </row>
    <row r="70" spans="1:35" ht="14.25" customHeight="1" x14ac:dyDescent="0.25">
      <c r="A70" s="38">
        <v>0</v>
      </c>
      <c r="B70" s="38">
        <v>1</v>
      </c>
      <c r="C70" s="38">
        <v>2</v>
      </c>
      <c r="D70" s="54" t="s">
        <v>815</v>
      </c>
      <c r="E70" s="39" t="s">
        <v>175</v>
      </c>
      <c r="F70" s="39" t="s">
        <v>936</v>
      </c>
      <c r="G70" s="39" t="s">
        <v>213</v>
      </c>
      <c r="H70" s="39" t="s">
        <v>354</v>
      </c>
      <c r="I70" s="38" t="s">
        <v>816</v>
      </c>
      <c r="J70" s="38">
        <v>1</v>
      </c>
      <c r="K70" s="40" t="s">
        <v>956</v>
      </c>
      <c r="L70" s="40" t="s">
        <v>39</v>
      </c>
      <c r="M70" s="41" t="s">
        <v>39</v>
      </c>
      <c r="N70" s="42"/>
      <c r="O70" s="43"/>
      <c r="P70" s="43">
        <v>1</v>
      </c>
      <c r="Q70" s="39"/>
      <c r="S70" s="1">
        <f t="shared" si="7"/>
        <v>1</v>
      </c>
      <c r="T70" s="1">
        <f t="shared" si="8"/>
        <v>0</v>
      </c>
      <c r="U70" s="1">
        <f t="shared" si="9"/>
        <v>0</v>
      </c>
      <c r="V70" s="1">
        <f t="shared" si="10"/>
        <v>0</v>
      </c>
      <c r="W70" s="1">
        <f t="shared" si="11"/>
        <v>0</v>
      </c>
      <c r="X70" s="1">
        <f t="shared" si="12"/>
        <v>0</v>
      </c>
      <c r="Y70" s="1">
        <f t="shared" si="13"/>
        <v>0</v>
      </c>
      <c r="Z70" s="1">
        <f t="shared" si="14"/>
        <v>0</v>
      </c>
      <c r="AA70" s="1">
        <f t="shared" si="15"/>
        <v>0</v>
      </c>
      <c r="AB70" s="1">
        <f t="shared" si="16"/>
        <v>0</v>
      </c>
      <c r="AD70" s="1">
        <f t="shared" si="17"/>
        <v>0</v>
      </c>
      <c r="AE70" s="1">
        <f t="shared" si="18"/>
        <v>0</v>
      </c>
      <c r="AF70" s="1">
        <f t="shared" si="3"/>
        <v>0</v>
      </c>
      <c r="AG70" s="1">
        <f t="shared" si="4"/>
        <v>0</v>
      </c>
      <c r="AH70" s="1">
        <f t="shared" si="5"/>
        <v>1</v>
      </c>
      <c r="AI70" s="1">
        <f t="shared" si="6"/>
        <v>0</v>
      </c>
    </row>
    <row r="71" spans="1:35" ht="14.25" customHeight="1" x14ac:dyDescent="0.25">
      <c r="A71" s="31">
        <v>0</v>
      </c>
      <c r="B71" s="31">
        <v>1</v>
      </c>
      <c r="C71" s="31">
        <v>2</v>
      </c>
      <c r="D71" s="32" t="s">
        <v>1323</v>
      </c>
      <c r="E71" s="32" t="s">
        <v>175</v>
      </c>
      <c r="F71" s="32" t="s">
        <v>1126</v>
      </c>
      <c r="G71" s="32" t="s">
        <v>39</v>
      </c>
      <c r="H71" s="32" t="s">
        <v>1125</v>
      </c>
      <c r="I71" s="31" t="s">
        <v>1124</v>
      </c>
      <c r="J71" s="31">
        <v>15</v>
      </c>
      <c r="K71" s="33" t="s">
        <v>957</v>
      </c>
      <c r="L71" s="33">
        <v>75</v>
      </c>
      <c r="M71" s="34" t="s">
        <v>1388</v>
      </c>
      <c r="N71" s="34" t="s">
        <v>1733</v>
      </c>
      <c r="O71" s="35">
        <v>1</v>
      </c>
      <c r="P71" s="35">
        <v>1</v>
      </c>
      <c r="Q71" s="32" t="s">
        <v>1987</v>
      </c>
      <c r="S71" s="1">
        <f t="shared" si="7"/>
        <v>0</v>
      </c>
      <c r="T71" s="1">
        <f t="shared" si="8"/>
        <v>0</v>
      </c>
      <c r="U71" s="1">
        <f t="shared" si="9"/>
        <v>0</v>
      </c>
      <c r="V71" s="1">
        <f t="shared" si="10"/>
        <v>0</v>
      </c>
      <c r="W71" s="1">
        <f t="shared" si="11"/>
        <v>0</v>
      </c>
      <c r="X71" s="1">
        <f t="shared" si="12"/>
        <v>0</v>
      </c>
      <c r="Y71" s="1">
        <f t="shared" si="13"/>
        <v>0</v>
      </c>
      <c r="Z71" s="1">
        <f t="shared" si="14"/>
        <v>0</v>
      </c>
      <c r="AA71" s="1">
        <f t="shared" si="15"/>
        <v>0</v>
      </c>
      <c r="AB71" s="1">
        <f t="shared" si="16"/>
        <v>0</v>
      </c>
      <c r="AD71" s="1">
        <f t="shared" ref="AD71:AD74" si="35">+O71*P71</f>
        <v>1</v>
      </c>
      <c r="AE71" s="1">
        <f t="shared" ref="AE71:AE74" si="36">O71*(1-P71)</f>
        <v>0</v>
      </c>
      <c r="AF71" s="1">
        <f t="shared" ref="AF71:AF74" si="37">+O71*P71*(1-A71)</f>
        <v>1</v>
      </c>
      <c r="AG71" s="1">
        <f t="shared" ref="AG71:AG74" si="38">O71*(1-P71)*(1-A71)</f>
        <v>0</v>
      </c>
      <c r="AH71" s="1">
        <f t="shared" ref="AH71:AH74" si="39">+P71*(1-A71)</f>
        <v>1</v>
      </c>
      <c r="AI71" s="1">
        <f t="shared" ref="AI71:AI74" si="40">+(1-A71)*(1-P71)</f>
        <v>0</v>
      </c>
    </row>
    <row r="72" spans="1:35" ht="14.25" customHeight="1" x14ac:dyDescent="0.25">
      <c r="A72" s="31">
        <v>0</v>
      </c>
      <c r="B72" s="31">
        <v>1</v>
      </c>
      <c r="C72" s="31">
        <v>2</v>
      </c>
      <c r="D72" s="32" t="s">
        <v>1047</v>
      </c>
      <c r="E72" s="32" t="s">
        <v>174</v>
      </c>
      <c r="F72" s="32" t="s">
        <v>1048</v>
      </c>
      <c r="G72" s="32" t="s">
        <v>628</v>
      </c>
      <c r="H72" s="32" t="s">
        <v>354</v>
      </c>
      <c r="I72" s="31" t="s">
        <v>1049</v>
      </c>
      <c r="J72" s="31">
        <v>99</v>
      </c>
      <c r="K72" s="33" t="s">
        <v>702</v>
      </c>
      <c r="L72" s="33" t="s">
        <v>39</v>
      </c>
      <c r="M72" s="34" t="s">
        <v>39</v>
      </c>
      <c r="N72" s="34" t="s">
        <v>1733</v>
      </c>
      <c r="O72" s="35">
        <v>1</v>
      </c>
      <c r="P72" s="35">
        <v>1</v>
      </c>
      <c r="Q72" s="32"/>
      <c r="S72" s="1">
        <f t="shared" si="7"/>
        <v>0</v>
      </c>
      <c r="T72" s="1">
        <f t="shared" si="8"/>
        <v>0</v>
      </c>
      <c r="U72" s="1">
        <f t="shared" si="9"/>
        <v>0</v>
      </c>
      <c r="V72" s="1">
        <f t="shared" si="10"/>
        <v>0</v>
      </c>
      <c r="W72" s="1">
        <f t="shared" si="11"/>
        <v>0</v>
      </c>
      <c r="X72" s="1">
        <f t="shared" si="12"/>
        <v>0</v>
      </c>
      <c r="Y72" s="1">
        <f t="shared" si="13"/>
        <v>0</v>
      </c>
      <c r="Z72" s="1">
        <f t="shared" si="14"/>
        <v>0</v>
      </c>
      <c r="AA72" s="1">
        <f t="shared" si="15"/>
        <v>0</v>
      </c>
      <c r="AB72" s="1">
        <f t="shared" si="16"/>
        <v>0</v>
      </c>
      <c r="AD72" s="1">
        <f t="shared" si="35"/>
        <v>1</v>
      </c>
      <c r="AE72" s="1">
        <f t="shared" si="36"/>
        <v>0</v>
      </c>
      <c r="AF72" s="1">
        <f t="shared" si="37"/>
        <v>1</v>
      </c>
      <c r="AG72" s="1">
        <f t="shared" si="38"/>
        <v>0</v>
      </c>
      <c r="AH72" s="1">
        <f t="shared" si="39"/>
        <v>1</v>
      </c>
      <c r="AI72" s="1">
        <f t="shared" si="40"/>
        <v>0</v>
      </c>
    </row>
    <row r="73" spans="1:35" ht="14.25" customHeight="1" x14ac:dyDescent="0.25">
      <c r="A73" s="31">
        <v>0</v>
      </c>
      <c r="B73" s="31">
        <v>1</v>
      </c>
      <c r="C73" s="31">
        <v>2</v>
      </c>
      <c r="D73" s="36" t="s">
        <v>2014</v>
      </c>
      <c r="E73" s="32" t="s">
        <v>175</v>
      </c>
      <c r="F73" s="36" t="s">
        <v>2015</v>
      </c>
      <c r="G73" s="36" t="s">
        <v>220</v>
      </c>
      <c r="H73" s="36" t="s">
        <v>354</v>
      </c>
      <c r="I73" s="37" t="s">
        <v>2016</v>
      </c>
      <c r="J73" s="31">
        <v>8</v>
      </c>
      <c r="K73" s="33" t="s">
        <v>703</v>
      </c>
      <c r="L73" s="33"/>
      <c r="M73" s="34"/>
      <c r="N73" s="34" t="s">
        <v>1733</v>
      </c>
      <c r="O73" s="35">
        <v>1</v>
      </c>
      <c r="P73" s="35">
        <v>1</v>
      </c>
      <c r="Q73" s="32"/>
      <c r="S73" s="1">
        <f t="shared" si="7"/>
        <v>0</v>
      </c>
      <c r="T73" s="1">
        <f t="shared" si="8"/>
        <v>0</v>
      </c>
      <c r="U73" s="1">
        <f t="shared" si="9"/>
        <v>0</v>
      </c>
      <c r="V73" s="1">
        <f t="shared" si="10"/>
        <v>0</v>
      </c>
      <c r="W73" s="1">
        <f t="shared" si="11"/>
        <v>0</v>
      </c>
      <c r="X73" s="1">
        <f t="shared" si="12"/>
        <v>0</v>
      </c>
      <c r="Y73" s="1">
        <f t="shared" si="13"/>
        <v>0</v>
      </c>
      <c r="Z73" s="1">
        <f t="shared" si="14"/>
        <v>1</v>
      </c>
      <c r="AA73" s="1">
        <f t="shared" si="15"/>
        <v>0</v>
      </c>
      <c r="AB73" s="1">
        <f t="shared" si="16"/>
        <v>0</v>
      </c>
      <c r="AD73" s="1">
        <f t="shared" si="35"/>
        <v>1</v>
      </c>
      <c r="AE73" s="1">
        <f t="shared" si="36"/>
        <v>0</v>
      </c>
      <c r="AF73" s="1">
        <f t="shared" si="37"/>
        <v>1</v>
      </c>
      <c r="AG73" s="1">
        <f t="shared" si="38"/>
        <v>0</v>
      </c>
      <c r="AH73" s="1">
        <f t="shared" si="39"/>
        <v>1</v>
      </c>
      <c r="AI73" s="1">
        <f t="shared" si="40"/>
        <v>0</v>
      </c>
    </row>
    <row r="74" spans="1:35" ht="14.25" customHeight="1" x14ac:dyDescent="0.25">
      <c r="A74" s="44">
        <v>0</v>
      </c>
      <c r="B74" s="44">
        <v>1</v>
      </c>
      <c r="C74" s="44">
        <v>2</v>
      </c>
      <c r="D74" s="45" t="s">
        <v>584</v>
      </c>
      <c r="E74" s="45" t="s">
        <v>174</v>
      </c>
      <c r="F74" s="45" t="s">
        <v>586</v>
      </c>
      <c r="G74" s="45" t="s">
        <v>39</v>
      </c>
      <c r="H74" s="45" t="s">
        <v>587</v>
      </c>
      <c r="I74" s="44" t="s">
        <v>588</v>
      </c>
      <c r="J74" s="44">
        <v>12</v>
      </c>
      <c r="K74" s="46" t="s">
        <v>960</v>
      </c>
      <c r="L74" s="46" t="s">
        <v>1712</v>
      </c>
      <c r="M74" s="47" t="s">
        <v>1379</v>
      </c>
      <c r="N74" s="47" t="s">
        <v>1738</v>
      </c>
      <c r="O74" s="48"/>
      <c r="P74" s="48"/>
      <c r="Q74" s="45"/>
      <c r="S74" s="1">
        <f t="shared" si="7"/>
        <v>0</v>
      </c>
      <c r="T74" s="1">
        <f t="shared" si="8"/>
        <v>0</v>
      </c>
      <c r="U74" s="1">
        <f t="shared" si="9"/>
        <v>0</v>
      </c>
      <c r="V74" s="1">
        <f t="shared" si="10"/>
        <v>0</v>
      </c>
      <c r="W74" s="1">
        <f t="shared" si="11"/>
        <v>0</v>
      </c>
      <c r="X74" s="1">
        <f t="shared" si="12"/>
        <v>0</v>
      </c>
      <c r="Y74" s="1">
        <f t="shared" si="13"/>
        <v>0</v>
      </c>
      <c r="Z74" s="1">
        <f t="shared" si="14"/>
        <v>0</v>
      </c>
      <c r="AA74" s="1">
        <f t="shared" si="15"/>
        <v>0</v>
      </c>
      <c r="AB74" s="1">
        <f t="shared" si="16"/>
        <v>0</v>
      </c>
      <c r="AD74" s="1">
        <f t="shared" si="35"/>
        <v>0</v>
      </c>
      <c r="AE74" s="1">
        <f t="shared" si="36"/>
        <v>0</v>
      </c>
      <c r="AF74" s="1">
        <f t="shared" si="37"/>
        <v>0</v>
      </c>
      <c r="AG74" s="1">
        <f t="shared" si="38"/>
        <v>0</v>
      </c>
      <c r="AH74" s="1">
        <f t="shared" si="39"/>
        <v>0</v>
      </c>
      <c r="AI74" s="1">
        <f t="shared" si="40"/>
        <v>1</v>
      </c>
    </row>
    <row r="75" spans="1:35" ht="14.25" customHeight="1" x14ac:dyDescent="0.25">
      <c r="A75" s="31">
        <v>0</v>
      </c>
      <c r="B75" s="31">
        <v>1</v>
      </c>
      <c r="C75" s="31">
        <v>2</v>
      </c>
      <c r="D75" s="32" t="s">
        <v>1842</v>
      </c>
      <c r="E75" s="32" t="s">
        <v>174</v>
      </c>
      <c r="F75" s="32" t="s">
        <v>1843</v>
      </c>
      <c r="G75" s="32"/>
      <c r="H75" s="32" t="s">
        <v>1844</v>
      </c>
      <c r="I75" s="31" t="s">
        <v>1845</v>
      </c>
      <c r="J75" s="31">
        <v>14</v>
      </c>
      <c r="K75" s="33" t="s">
        <v>703</v>
      </c>
      <c r="L75" s="33">
        <v>75</v>
      </c>
      <c r="M75" s="34" t="s">
        <v>971</v>
      </c>
      <c r="N75" s="34" t="s">
        <v>1743</v>
      </c>
      <c r="O75" s="35">
        <v>1</v>
      </c>
      <c r="P75" s="35"/>
      <c r="Q75" s="32"/>
      <c r="S75" s="1">
        <f t="shared" ref="S75:S76" si="41">IF(J75=$S$7,1,0)</f>
        <v>0</v>
      </c>
      <c r="T75" s="1">
        <f t="shared" ref="T75:T76" si="42">IF(J75=$T$7,1,0)</f>
        <v>0</v>
      </c>
      <c r="U75" s="1">
        <f t="shared" ref="U75:U76" si="43">IF(J75=$U$7,1,0)</f>
        <v>0</v>
      </c>
      <c r="V75" s="1">
        <f t="shared" ref="V75:V76" si="44">IF(J75=$V$7,1,0)</f>
        <v>0</v>
      </c>
      <c r="W75" s="1">
        <f t="shared" ref="W75:W76" si="45">IF(J75=$W$7,1,0)</f>
        <v>0</v>
      </c>
      <c r="X75" s="1">
        <f t="shared" ref="X75:X76" si="46">IF(J75=$X$7,1,0)</f>
        <v>0</v>
      </c>
      <c r="Y75" s="1">
        <f t="shared" ref="Y75:Y76" si="47">IF(J75=$Y$7,1,0)</f>
        <v>0</v>
      </c>
      <c r="Z75" s="1">
        <f t="shared" ref="Z75:Z76" si="48">IF(J75=$Z$7,1,0)</f>
        <v>0</v>
      </c>
      <c r="AA75" s="1">
        <f t="shared" ref="AA75:AA76" si="49">IF(J75=$AA$7,1,0)</f>
        <v>0</v>
      </c>
      <c r="AB75" s="1">
        <f t="shared" ref="AB75:AB76" si="50">IF(J75=$AB$7,1,0)</f>
        <v>0</v>
      </c>
      <c r="AD75" s="1">
        <f t="shared" ref="AD75:AD76" si="51">+O75*P75</f>
        <v>0</v>
      </c>
      <c r="AE75" s="1">
        <f t="shared" ref="AE75:AE76" si="52">O75*(1-P75)</f>
        <v>1</v>
      </c>
      <c r="AF75" s="1">
        <f t="shared" ref="AF75:AF137" si="53">+O75*P75*(1-A75)</f>
        <v>0</v>
      </c>
      <c r="AG75" s="1">
        <f t="shared" ref="AG75:AG137" si="54">O75*(1-P75)*(1-A75)</f>
        <v>1</v>
      </c>
      <c r="AH75" s="1">
        <f t="shared" ref="AH75:AH137" si="55">+P75*(1-A75)</f>
        <v>0</v>
      </c>
      <c r="AI75" s="1">
        <f t="shared" ref="AI75:AI137" si="56">+(1-A75)*(1-P75)</f>
        <v>1</v>
      </c>
    </row>
    <row r="76" spans="1:35" ht="14.25" customHeight="1" x14ac:dyDescent="0.25">
      <c r="A76" s="31">
        <v>0</v>
      </c>
      <c r="B76" s="31">
        <v>1</v>
      </c>
      <c r="C76" s="31">
        <v>2</v>
      </c>
      <c r="D76" s="36" t="s">
        <v>1724</v>
      </c>
      <c r="E76" s="32" t="s">
        <v>175</v>
      </c>
      <c r="F76" s="36" t="s">
        <v>1725</v>
      </c>
      <c r="G76" s="36" t="s">
        <v>207</v>
      </c>
      <c r="H76" s="36" t="s">
        <v>354</v>
      </c>
      <c r="I76" s="37" t="s">
        <v>1726</v>
      </c>
      <c r="J76" s="31"/>
      <c r="K76" s="33" t="s">
        <v>703</v>
      </c>
      <c r="L76" s="33"/>
      <c r="M76" s="34"/>
      <c r="N76" s="34" t="s">
        <v>1727</v>
      </c>
      <c r="O76" s="35">
        <v>1</v>
      </c>
      <c r="P76" s="35">
        <v>1</v>
      </c>
      <c r="Q76" s="36"/>
      <c r="S76" s="1">
        <f t="shared" si="41"/>
        <v>0</v>
      </c>
      <c r="T76" s="1">
        <f t="shared" si="42"/>
        <v>0</v>
      </c>
      <c r="U76" s="1">
        <f t="shared" si="43"/>
        <v>0</v>
      </c>
      <c r="V76" s="1">
        <f t="shared" si="44"/>
        <v>0</v>
      </c>
      <c r="W76" s="1">
        <f t="shared" si="45"/>
        <v>0</v>
      </c>
      <c r="X76" s="1">
        <f t="shared" si="46"/>
        <v>0</v>
      </c>
      <c r="Y76" s="1">
        <f t="shared" si="47"/>
        <v>0</v>
      </c>
      <c r="Z76" s="1">
        <f t="shared" si="48"/>
        <v>0</v>
      </c>
      <c r="AA76" s="1">
        <f t="shared" si="49"/>
        <v>0</v>
      </c>
      <c r="AB76" s="1">
        <f t="shared" si="50"/>
        <v>0</v>
      </c>
      <c r="AD76" s="1">
        <f t="shared" si="51"/>
        <v>1</v>
      </c>
      <c r="AE76" s="1">
        <f t="shared" si="52"/>
        <v>0</v>
      </c>
      <c r="AF76" s="1">
        <f t="shared" si="53"/>
        <v>1</v>
      </c>
      <c r="AG76" s="1">
        <f t="shared" si="54"/>
        <v>0</v>
      </c>
      <c r="AH76" s="1">
        <f t="shared" si="55"/>
        <v>1</v>
      </c>
      <c r="AI76" s="1">
        <f t="shared" si="56"/>
        <v>0</v>
      </c>
    </row>
    <row r="77" spans="1:35" ht="14.25" customHeight="1" x14ac:dyDescent="0.25">
      <c r="A77" s="31">
        <v>0</v>
      </c>
      <c r="B77" s="31">
        <v>1</v>
      </c>
      <c r="C77" s="31">
        <v>2</v>
      </c>
      <c r="D77" s="36" t="s">
        <v>1058</v>
      </c>
      <c r="E77" s="32" t="s">
        <v>175</v>
      </c>
      <c r="F77" s="36" t="s">
        <v>1097</v>
      </c>
      <c r="G77" s="36" t="s">
        <v>39</v>
      </c>
      <c r="H77" s="36" t="s">
        <v>1059</v>
      </c>
      <c r="I77" s="37" t="s">
        <v>1161</v>
      </c>
      <c r="J77" s="31">
        <v>13</v>
      </c>
      <c r="K77" s="33" t="s">
        <v>702</v>
      </c>
      <c r="L77" s="33" t="s">
        <v>689</v>
      </c>
      <c r="M77" s="34" t="s">
        <v>1441</v>
      </c>
      <c r="N77" s="34" t="s">
        <v>1749</v>
      </c>
      <c r="O77" s="35">
        <v>1</v>
      </c>
      <c r="P77" s="35"/>
      <c r="Q77" s="36"/>
      <c r="S77" s="1">
        <f t="shared" ref="S77:S142" si="57">IF(J77=$S$7,1,0)</f>
        <v>0</v>
      </c>
      <c r="T77" s="1">
        <f t="shared" ref="T77:T142" si="58">IF(J77=$T$7,1,0)</f>
        <v>0</v>
      </c>
      <c r="U77" s="1">
        <f t="shared" ref="U77:U142" si="59">IF(J77=$U$7,1,0)</f>
        <v>0</v>
      </c>
      <c r="V77" s="1">
        <f t="shared" ref="V77:V142" si="60">IF(J77=$V$7,1,0)</f>
        <v>0</v>
      </c>
      <c r="W77" s="1">
        <f t="shared" ref="W77:W142" si="61">IF(J77=$W$7,1,0)</f>
        <v>0</v>
      </c>
      <c r="X77" s="1">
        <f t="shared" ref="X77:X142" si="62">IF(J77=$X$7,1,0)</f>
        <v>0</v>
      </c>
      <c r="Y77" s="1">
        <f t="shared" ref="Y77:Y142" si="63">IF(J77=$Y$7,1,0)</f>
        <v>0</v>
      </c>
      <c r="Z77" s="1">
        <f t="shared" ref="Z77:Z142" si="64">IF(J77=$Z$7,1,0)</f>
        <v>0</v>
      </c>
      <c r="AA77" s="1">
        <f t="shared" ref="AA77:AA142" si="65">IF(J77=$AA$7,1,0)</f>
        <v>0</v>
      </c>
      <c r="AB77" s="1">
        <f t="shared" ref="AB77:AB142" si="66">IF(J77=$AB$7,1,0)</f>
        <v>0</v>
      </c>
      <c r="AD77" s="1">
        <f t="shared" ref="AD77:AD142" si="67">+O77*P77</f>
        <v>0</v>
      </c>
      <c r="AE77" s="1">
        <f t="shared" ref="AE77:AE142" si="68">O77*(1-P77)</f>
        <v>1</v>
      </c>
      <c r="AF77" s="1">
        <f t="shared" si="53"/>
        <v>0</v>
      </c>
      <c r="AG77" s="1">
        <f t="shared" si="54"/>
        <v>1</v>
      </c>
      <c r="AH77" s="1">
        <f t="shared" si="55"/>
        <v>0</v>
      </c>
      <c r="AI77" s="1">
        <f t="shared" si="56"/>
        <v>1</v>
      </c>
    </row>
    <row r="78" spans="1:35" ht="14.25" customHeight="1" x14ac:dyDescent="0.25">
      <c r="A78" s="31">
        <v>0</v>
      </c>
      <c r="B78" s="31">
        <v>1</v>
      </c>
      <c r="C78" s="31">
        <v>2</v>
      </c>
      <c r="D78" s="36" t="s">
        <v>1595</v>
      </c>
      <c r="E78" s="32" t="s">
        <v>175</v>
      </c>
      <c r="F78" s="36" t="s">
        <v>1596</v>
      </c>
      <c r="G78" s="36" t="s">
        <v>235</v>
      </c>
      <c r="H78" s="36" t="s">
        <v>354</v>
      </c>
      <c r="I78" s="37" t="s">
        <v>1597</v>
      </c>
      <c r="J78" s="31">
        <v>99</v>
      </c>
      <c r="K78" s="33" t="s">
        <v>956</v>
      </c>
      <c r="L78" s="33">
        <v>45</v>
      </c>
      <c r="M78" s="34" t="s">
        <v>39</v>
      </c>
      <c r="N78" s="34" t="s">
        <v>1789</v>
      </c>
      <c r="O78" s="35">
        <v>1</v>
      </c>
      <c r="P78" s="35"/>
      <c r="Q78" s="36"/>
      <c r="S78" s="1">
        <f t="shared" si="57"/>
        <v>0</v>
      </c>
      <c r="T78" s="1">
        <f t="shared" si="58"/>
        <v>0</v>
      </c>
      <c r="U78" s="1">
        <f t="shared" si="59"/>
        <v>0</v>
      </c>
      <c r="V78" s="1">
        <f t="shared" si="60"/>
        <v>0</v>
      </c>
      <c r="W78" s="1">
        <f t="shared" si="61"/>
        <v>0</v>
      </c>
      <c r="X78" s="1">
        <f t="shared" si="62"/>
        <v>0</v>
      </c>
      <c r="Y78" s="1">
        <f t="shared" si="63"/>
        <v>0</v>
      </c>
      <c r="Z78" s="1">
        <f t="shared" si="64"/>
        <v>0</v>
      </c>
      <c r="AA78" s="1">
        <f t="shared" si="65"/>
        <v>0</v>
      </c>
      <c r="AB78" s="1">
        <f t="shared" si="66"/>
        <v>0</v>
      </c>
      <c r="AD78" s="1">
        <f t="shared" si="67"/>
        <v>0</v>
      </c>
      <c r="AE78" s="1">
        <f t="shared" si="68"/>
        <v>1</v>
      </c>
      <c r="AF78" s="1">
        <f t="shared" si="53"/>
        <v>0</v>
      </c>
      <c r="AG78" s="1">
        <f t="shared" si="54"/>
        <v>1</v>
      </c>
      <c r="AH78" s="1">
        <f t="shared" si="55"/>
        <v>0</v>
      </c>
      <c r="AI78" s="1">
        <f t="shared" si="56"/>
        <v>1</v>
      </c>
    </row>
    <row r="79" spans="1:35" ht="14.25" customHeight="1" x14ac:dyDescent="0.25">
      <c r="A79" s="38">
        <v>0</v>
      </c>
      <c r="B79" s="38">
        <v>1</v>
      </c>
      <c r="C79" s="38">
        <v>2</v>
      </c>
      <c r="D79" s="54" t="s">
        <v>1325</v>
      </c>
      <c r="E79" s="39" t="s">
        <v>174</v>
      </c>
      <c r="F79" s="39" t="s">
        <v>1268</v>
      </c>
      <c r="G79" s="39" t="s">
        <v>207</v>
      </c>
      <c r="H79" s="39" t="s">
        <v>354</v>
      </c>
      <c r="I79" s="38" t="s">
        <v>1269</v>
      </c>
      <c r="J79" s="38">
        <v>99</v>
      </c>
      <c r="K79" s="40" t="s">
        <v>962</v>
      </c>
      <c r="L79" s="40" t="s">
        <v>39</v>
      </c>
      <c r="M79" s="41" t="s">
        <v>39</v>
      </c>
      <c r="N79" s="42"/>
      <c r="O79" s="43"/>
      <c r="P79" s="43">
        <v>1</v>
      </c>
      <c r="Q79" s="39"/>
      <c r="S79" s="1">
        <f t="shared" si="57"/>
        <v>0</v>
      </c>
      <c r="T79" s="1">
        <f t="shared" si="58"/>
        <v>0</v>
      </c>
      <c r="U79" s="1">
        <f t="shared" si="59"/>
        <v>0</v>
      </c>
      <c r="V79" s="1">
        <f t="shared" si="60"/>
        <v>0</v>
      </c>
      <c r="W79" s="1">
        <f t="shared" si="61"/>
        <v>0</v>
      </c>
      <c r="X79" s="1">
        <f t="shared" si="62"/>
        <v>0</v>
      </c>
      <c r="Y79" s="1">
        <f t="shared" si="63"/>
        <v>0</v>
      </c>
      <c r="Z79" s="1">
        <f t="shared" si="64"/>
        <v>0</v>
      </c>
      <c r="AA79" s="1">
        <f t="shared" si="65"/>
        <v>0</v>
      </c>
      <c r="AB79" s="1">
        <f t="shared" si="66"/>
        <v>0</v>
      </c>
      <c r="AD79" s="1">
        <f t="shared" si="67"/>
        <v>0</v>
      </c>
      <c r="AE79" s="1">
        <f t="shared" si="68"/>
        <v>0</v>
      </c>
      <c r="AF79" s="1">
        <f t="shared" si="53"/>
        <v>0</v>
      </c>
      <c r="AG79" s="1">
        <f t="shared" si="54"/>
        <v>0</v>
      </c>
      <c r="AH79" s="1">
        <f t="shared" si="55"/>
        <v>1</v>
      </c>
      <c r="AI79" s="1">
        <f t="shared" si="56"/>
        <v>0</v>
      </c>
    </row>
    <row r="80" spans="1:35" ht="14.25" customHeight="1" x14ac:dyDescent="0.25">
      <c r="A80" s="31">
        <v>0</v>
      </c>
      <c r="B80" s="31">
        <v>1</v>
      </c>
      <c r="C80" s="31">
        <v>3</v>
      </c>
      <c r="D80" s="36" t="s">
        <v>1799</v>
      </c>
      <c r="E80" s="32" t="s">
        <v>170</v>
      </c>
      <c r="F80" s="36" t="s">
        <v>1797</v>
      </c>
      <c r="G80" s="36" t="s">
        <v>232</v>
      </c>
      <c r="H80" s="36" t="s">
        <v>354</v>
      </c>
      <c r="I80" s="37" t="s">
        <v>1798</v>
      </c>
      <c r="J80" s="31">
        <v>99</v>
      </c>
      <c r="K80" s="33" t="s">
        <v>703</v>
      </c>
      <c r="L80" s="33"/>
      <c r="M80" s="34"/>
      <c r="N80" s="34" t="s">
        <v>1727</v>
      </c>
      <c r="O80" s="35">
        <v>1</v>
      </c>
      <c r="P80" s="35">
        <v>1</v>
      </c>
      <c r="Q80" s="36"/>
      <c r="S80" s="1">
        <f t="shared" si="57"/>
        <v>0</v>
      </c>
      <c r="T80" s="1">
        <f t="shared" si="58"/>
        <v>0</v>
      </c>
      <c r="U80" s="1">
        <f t="shared" si="59"/>
        <v>0</v>
      </c>
      <c r="V80" s="1">
        <f t="shared" si="60"/>
        <v>0</v>
      </c>
      <c r="W80" s="1">
        <f t="shared" si="61"/>
        <v>0</v>
      </c>
      <c r="X80" s="1">
        <f t="shared" si="62"/>
        <v>0</v>
      </c>
      <c r="Y80" s="1">
        <f t="shared" si="63"/>
        <v>0</v>
      </c>
      <c r="Z80" s="1">
        <f t="shared" si="64"/>
        <v>0</v>
      </c>
      <c r="AA80" s="1">
        <f t="shared" si="65"/>
        <v>0</v>
      </c>
      <c r="AB80" s="1">
        <f t="shared" si="66"/>
        <v>0</v>
      </c>
      <c r="AD80" s="1">
        <f t="shared" si="67"/>
        <v>1</v>
      </c>
      <c r="AE80" s="1">
        <f t="shared" si="68"/>
        <v>0</v>
      </c>
      <c r="AF80" s="1">
        <f t="shared" si="53"/>
        <v>1</v>
      </c>
      <c r="AG80" s="1">
        <f t="shared" si="54"/>
        <v>0</v>
      </c>
      <c r="AH80" s="1">
        <f t="shared" si="55"/>
        <v>1</v>
      </c>
      <c r="AI80" s="1">
        <f t="shared" si="56"/>
        <v>0</v>
      </c>
    </row>
    <row r="81" spans="1:35" ht="14.25" customHeight="1" x14ac:dyDescent="0.25">
      <c r="A81" s="31">
        <v>0</v>
      </c>
      <c r="B81" s="31">
        <v>1</v>
      </c>
      <c r="C81" s="31">
        <v>3</v>
      </c>
      <c r="D81" s="36" t="s">
        <v>1158</v>
      </c>
      <c r="E81" s="32" t="s">
        <v>170</v>
      </c>
      <c r="F81" s="36" t="s">
        <v>1159</v>
      </c>
      <c r="G81" s="36" t="s">
        <v>39</v>
      </c>
      <c r="H81" s="36" t="s">
        <v>1359</v>
      </c>
      <c r="I81" s="37" t="s">
        <v>1160</v>
      </c>
      <c r="J81" s="31">
        <v>11</v>
      </c>
      <c r="K81" s="33" t="s">
        <v>702</v>
      </c>
      <c r="L81" s="33" t="s">
        <v>1699</v>
      </c>
      <c r="M81" s="34" t="s">
        <v>1389</v>
      </c>
      <c r="N81" s="34" t="s">
        <v>1749</v>
      </c>
      <c r="O81" s="35">
        <v>1</v>
      </c>
      <c r="P81" s="35"/>
      <c r="Q81" s="36"/>
      <c r="S81" s="1">
        <f t="shared" si="57"/>
        <v>0</v>
      </c>
      <c r="T81" s="1">
        <f t="shared" si="58"/>
        <v>0</v>
      </c>
      <c r="U81" s="1">
        <f t="shared" si="59"/>
        <v>0</v>
      </c>
      <c r="V81" s="1">
        <f t="shared" si="60"/>
        <v>0</v>
      </c>
      <c r="W81" s="1">
        <f t="shared" si="61"/>
        <v>0</v>
      </c>
      <c r="X81" s="1">
        <f t="shared" si="62"/>
        <v>0</v>
      </c>
      <c r="Y81" s="1">
        <f t="shared" si="63"/>
        <v>0</v>
      </c>
      <c r="Z81" s="1">
        <f t="shared" si="64"/>
        <v>0</v>
      </c>
      <c r="AA81" s="1">
        <f t="shared" si="65"/>
        <v>0</v>
      </c>
      <c r="AB81" s="1">
        <f t="shared" si="66"/>
        <v>0</v>
      </c>
      <c r="AD81" s="1">
        <f t="shared" si="67"/>
        <v>0</v>
      </c>
      <c r="AE81" s="1">
        <f t="shared" si="68"/>
        <v>1</v>
      </c>
      <c r="AF81" s="1">
        <f t="shared" si="53"/>
        <v>0</v>
      </c>
      <c r="AG81" s="1">
        <f t="shared" si="54"/>
        <v>1</v>
      </c>
      <c r="AH81" s="1">
        <f t="shared" si="55"/>
        <v>0</v>
      </c>
      <c r="AI81" s="1">
        <f t="shared" si="56"/>
        <v>1</v>
      </c>
    </row>
    <row r="82" spans="1:35" ht="14.25" customHeight="1" x14ac:dyDescent="0.25">
      <c r="A82" s="15">
        <v>0</v>
      </c>
      <c r="B82" s="15">
        <v>1</v>
      </c>
      <c r="C82" s="15">
        <v>3</v>
      </c>
      <c r="D82" s="16" t="s">
        <v>124</v>
      </c>
      <c r="E82" s="16" t="s">
        <v>170</v>
      </c>
      <c r="F82" s="16" t="s">
        <v>576</v>
      </c>
      <c r="G82" s="16" t="s">
        <v>39</v>
      </c>
      <c r="H82" s="16" t="s">
        <v>373</v>
      </c>
      <c r="I82" s="15" t="s">
        <v>471</v>
      </c>
      <c r="J82" s="15">
        <v>18</v>
      </c>
      <c r="K82" s="10" t="s">
        <v>703</v>
      </c>
      <c r="L82" s="10" t="s">
        <v>695</v>
      </c>
      <c r="M82" s="19" t="s">
        <v>691</v>
      </c>
      <c r="N82" s="17"/>
      <c r="Q82" s="20" t="s">
        <v>1882</v>
      </c>
      <c r="S82" s="1">
        <f t="shared" si="57"/>
        <v>0</v>
      </c>
      <c r="T82" s="1">
        <f t="shared" si="58"/>
        <v>0</v>
      </c>
      <c r="U82" s="1">
        <f t="shared" si="59"/>
        <v>0</v>
      </c>
      <c r="V82" s="1">
        <f t="shared" si="60"/>
        <v>0</v>
      </c>
      <c r="W82" s="1">
        <f t="shared" si="61"/>
        <v>0</v>
      </c>
      <c r="X82" s="1">
        <f t="shared" si="62"/>
        <v>0</v>
      </c>
      <c r="Y82" s="1">
        <f t="shared" si="63"/>
        <v>0</v>
      </c>
      <c r="Z82" s="1">
        <f t="shared" si="64"/>
        <v>0</v>
      </c>
      <c r="AA82" s="1">
        <f t="shared" si="65"/>
        <v>0</v>
      </c>
      <c r="AB82" s="1">
        <f t="shared" si="66"/>
        <v>0</v>
      </c>
      <c r="AD82" s="1">
        <f t="shared" si="67"/>
        <v>0</v>
      </c>
      <c r="AE82" s="1">
        <f t="shared" si="68"/>
        <v>0</v>
      </c>
      <c r="AF82" s="1">
        <f t="shared" si="53"/>
        <v>0</v>
      </c>
      <c r="AG82" s="1">
        <f t="shared" si="54"/>
        <v>0</v>
      </c>
      <c r="AH82" s="1">
        <f t="shared" si="55"/>
        <v>0</v>
      </c>
      <c r="AI82" s="1">
        <f t="shared" si="56"/>
        <v>1</v>
      </c>
    </row>
    <row r="83" spans="1:35" ht="14.25" customHeight="1" x14ac:dyDescent="0.25">
      <c r="A83" s="31">
        <v>0</v>
      </c>
      <c r="B83" s="31">
        <v>1</v>
      </c>
      <c r="C83" s="31">
        <v>3</v>
      </c>
      <c r="D83" s="36" t="s">
        <v>1010</v>
      </c>
      <c r="E83" s="32" t="s">
        <v>172</v>
      </c>
      <c r="F83" s="36" t="s">
        <v>1011</v>
      </c>
      <c r="G83" s="36" t="s">
        <v>1012</v>
      </c>
      <c r="H83" s="36" t="s">
        <v>354</v>
      </c>
      <c r="I83" s="37" t="s">
        <v>1013</v>
      </c>
      <c r="J83" s="31">
        <v>99</v>
      </c>
      <c r="K83" s="33" t="s">
        <v>956</v>
      </c>
      <c r="L83" s="33" t="s">
        <v>39</v>
      </c>
      <c r="M83" s="34" t="s">
        <v>39</v>
      </c>
      <c r="N83" s="34" t="s">
        <v>1733</v>
      </c>
      <c r="O83" s="35">
        <v>1</v>
      </c>
      <c r="P83" s="35">
        <v>1</v>
      </c>
      <c r="Q83" s="36"/>
      <c r="S83" s="1">
        <f t="shared" si="57"/>
        <v>0</v>
      </c>
      <c r="T83" s="1">
        <f t="shared" si="58"/>
        <v>0</v>
      </c>
      <c r="U83" s="1">
        <f t="shared" si="59"/>
        <v>0</v>
      </c>
      <c r="V83" s="1">
        <f t="shared" si="60"/>
        <v>0</v>
      </c>
      <c r="W83" s="1">
        <f t="shared" si="61"/>
        <v>0</v>
      </c>
      <c r="X83" s="1">
        <f t="shared" si="62"/>
        <v>0</v>
      </c>
      <c r="Y83" s="1">
        <f t="shared" si="63"/>
        <v>0</v>
      </c>
      <c r="Z83" s="1">
        <f t="shared" si="64"/>
        <v>0</v>
      </c>
      <c r="AA83" s="1">
        <f t="shared" si="65"/>
        <v>0</v>
      </c>
      <c r="AB83" s="1">
        <f t="shared" si="66"/>
        <v>0</v>
      </c>
      <c r="AD83" s="1">
        <f t="shared" si="67"/>
        <v>1</v>
      </c>
      <c r="AE83" s="1">
        <f t="shared" si="68"/>
        <v>0</v>
      </c>
      <c r="AF83" s="1">
        <f t="shared" si="53"/>
        <v>1</v>
      </c>
      <c r="AG83" s="1">
        <f t="shared" si="54"/>
        <v>0</v>
      </c>
      <c r="AH83" s="1">
        <f t="shared" si="55"/>
        <v>1</v>
      </c>
      <c r="AI83" s="1">
        <f t="shared" si="56"/>
        <v>0</v>
      </c>
    </row>
    <row r="84" spans="1:35" ht="14.25" customHeight="1" x14ac:dyDescent="0.25">
      <c r="A84" s="31">
        <v>0</v>
      </c>
      <c r="B84" s="31">
        <v>1</v>
      </c>
      <c r="C84" s="31">
        <v>3</v>
      </c>
      <c r="D84" s="36" t="s">
        <v>143</v>
      </c>
      <c r="E84" s="32" t="s">
        <v>175</v>
      </c>
      <c r="F84" s="36" t="s">
        <v>344</v>
      </c>
      <c r="G84" s="36" t="s">
        <v>345</v>
      </c>
      <c r="H84" s="36" t="s">
        <v>354</v>
      </c>
      <c r="I84" s="37" t="s">
        <v>491</v>
      </c>
      <c r="J84" s="31">
        <v>6</v>
      </c>
      <c r="K84" s="33" t="s">
        <v>957</v>
      </c>
      <c r="L84" s="33" t="s">
        <v>687</v>
      </c>
      <c r="M84" s="34" t="s">
        <v>691</v>
      </c>
      <c r="N84" s="34" t="s">
        <v>1743</v>
      </c>
      <c r="O84" s="35">
        <v>1</v>
      </c>
      <c r="P84" s="35"/>
      <c r="Q84" s="36"/>
      <c r="S84" s="1">
        <f t="shared" si="57"/>
        <v>0</v>
      </c>
      <c r="T84" s="1">
        <f t="shared" si="58"/>
        <v>0</v>
      </c>
      <c r="U84" s="1">
        <f t="shared" si="59"/>
        <v>0</v>
      </c>
      <c r="V84" s="1">
        <f t="shared" si="60"/>
        <v>0</v>
      </c>
      <c r="W84" s="1">
        <f t="shared" si="61"/>
        <v>0</v>
      </c>
      <c r="X84" s="1">
        <f t="shared" si="62"/>
        <v>1</v>
      </c>
      <c r="Y84" s="1">
        <f t="shared" si="63"/>
        <v>0</v>
      </c>
      <c r="Z84" s="1">
        <f t="shared" si="64"/>
        <v>0</v>
      </c>
      <c r="AA84" s="1">
        <f t="shared" si="65"/>
        <v>0</v>
      </c>
      <c r="AB84" s="1">
        <f t="shared" si="66"/>
        <v>0</v>
      </c>
      <c r="AD84" s="1">
        <f t="shared" si="67"/>
        <v>0</v>
      </c>
      <c r="AE84" s="1">
        <f t="shared" si="68"/>
        <v>1</v>
      </c>
      <c r="AF84" s="1">
        <f t="shared" si="53"/>
        <v>0</v>
      </c>
      <c r="AG84" s="1">
        <f t="shared" si="54"/>
        <v>1</v>
      </c>
      <c r="AH84" s="1">
        <f t="shared" si="55"/>
        <v>0</v>
      </c>
      <c r="AI84" s="1">
        <f t="shared" si="56"/>
        <v>1</v>
      </c>
    </row>
    <row r="85" spans="1:35" ht="14.25" customHeight="1" x14ac:dyDescent="0.25">
      <c r="A85" s="15">
        <v>0</v>
      </c>
      <c r="B85" s="15">
        <v>1</v>
      </c>
      <c r="C85" s="15">
        <v>3</v>
      </c>
      <c r="D85" s="16" t="s">
        <v>1786</v>
      </c>
      <c r="E85" s="16" t="s">
        <v>172</v>
      </c>
      <c r="F85" s="16" t="s">
        <v>1788</v>
      </c>
      <c r="G85" s="16"/>
      <c r="H85" s="16" t="s">
        <v>364</v>
      </c>
      <c r="I85" s="15" t="s">
        <v>1787</v>
      </c>
      <c r="J85" s="15">
        <v>17</v>
      </c>
      <c r="K85" s="10" t="s">
        <v>703</v>
      </c>
      <c r="L85" s="10" t="s">
        <v>1742</v>
      </c>
      <c r="M85" s="19" t="s">
        <v>691</v>
      </c>
      <c r="N85" s="17"/>
      <c r="Q85" s="20" t="s">
        <v>1914</v>
      </c>
      <c r="S85" s="1">
        <f t="shared" si="57"/>
        <v>0</v>
      </c>
      <c r="T85" s="1">
        <f t="shared" si="58"/>
        <v>0</v>
      </c>
      <c r="U85" s="1">
        <f t="shared" si="59"/>
        <v>0</v>
      </c>
      <c r="V85" s="1">
        <f t="shared" si="60"/>
        <v>0</v>
      </c>
      <c r="W85" s="1">
        <f t="shared" si="61"/>
        <v>0</v>
      </c>
      <c r="X85" s="1">
        <f t="shared" si="62"/>
        <v>0</v>
      </c>
      <c r="Y85" s="1">
        <f t="shared" si="63"/>
        <v>0</v>
      </c>
      <c r="Z85" s="1">
        <f t="shared" si="64"/>
        <v>0</v>
      </c>
      <c r="AA85" s="1">
        <f t="shared" si="65"/>
        <v>0</v>
      </c>
      <c r="AB85" s="1">
        <f t="shared" si="66"/>
        <v>0</v>
      </c>
      <c r="AD85" s="1">
        <f t="shared" si="67"/>
        <v>0</v>
      </c>
      <c r="AE85" s="1">
        <f t="shared" si="68"/>
        <v>0</v>
      </c>
      <c r="AF85" s="1">
        <f t="shared" si="53"/>
        <v>0</v>
      </c>
      <c r="AG85" s="1">
        <f t="shared" si="54"/>
        <v>0</v>
      </c>
      <c r="AH85" s="1">
        <f t="shared" si="55"/>
        <v>0</v>
      </c>
      <c r="AI85" s="1">
        <f t="shared" si="56"/>
        <v>1</v>
      </c>
    </row>
    <row r="86" spans="1:35" ht="14.25" customHeight="1" x14ac:dyDescent="0.25">
      <c r="A86" s="31">
        <v>0</v>
      </c>
      <c r="B86" s="31">
        <v>1</v>
      </c>
      <c r="C86" s="31">
        <v>3</v>
      </c>
      <c r="D86" s="32" t="s">
        <v>1810</v>
      </c>
      <c r="E86" s="32" t="s">
        <v>172</v>
      </c>
      <c r="F86" s="32" t="s">
        <v>1811</v>
      </c>
      <c r="G86" s="32" t="s">
        <v>1812</v>
      </c>
      <c r="H86" s="32" t="s">
        <v>354</v>
      </c>
      <c r="I86" s="31" t="s">
        <v>1813</v>
      </c>
      <c r="J86" s="31">
        <v>1</v>
      </c>
      <c r="K86" s="33" t="s">
        <v>703</v>
      </c>
      <c r="L86" s="33">
        <v>60</v>
      </c>
      <c r="M86" s="34" t="s">
        <v>1814</v>
      </c>
      <c r="N86" s="34" t="s">
        <v>1849</v>
      </c>
      <c r="O86" s="35">
        <v>1</v>
      </c>
      <c r="P86" s="35"/>
      <c r="Q86" s="32"/>
      <c r="S86" s="1">
        <f t="shared" si="57"/>
        <v>1</v>
      </c>
      <c r="T86" s="1">
        <f t="shared" si="58"/>
        <v>0</v>
      </c>
      <c r="U86" s="1">
        <f t="shared" si="59"/>
        <v>0</v>
      </c>
      <c r="V86" s="1">
        <f t="shared" si="60"/>
        <v>0</v>
      </c>
      <c r="W86" s="1">
        <f t="shared" si="61"/>
        <v>0</v>
      </c>
      <c r="X86" s="1">
        <f t="shared" si="62"/>
        <v>0</v>
      </c>
      <c r="Y86" s="1">
        <f t="shared" si="63"/>
        <v>0</v>
      </c>
      <c r="Z86" s="1">
        <f t="shared" si="64"/>
        <v>0</v>
      </c>
      <c r="AA86" s="1">
        <f t="shared" si="65"/>
        <v>0</v>
      </c>
      <c r="AB86" s="1">
        <f t="shared" si="66"/>
        <v>0</v>
      </c>
      <c r="AD86" s="1">
        <f t="shared" si="67"/>
        <v>0</v>
      </c>
      <c r="AE86" s="1">
        <f t="shared" si="68"/>
        <v>1</v>
      </c>
      <c r="AF86" s="1">
        <f t="shared" si="53"/>
        <v>0</v>
      </c>
      <c r="AG86" s="1">
        <f t="shared" si="54"/>
        <v>1</v>
      </c>
      <c r="AH86" s="1">
        <f t="shared" si="55"/>
        <v>0</v>
      </c>
      <c r="AI86" s="1">
        <f t="shared" si="56"/>
        <v>1</v>
      </c>
    </row>
    <row r="87" spans="1:35" ht="14.25" customHeight="1" x14ac:dyDescent="0.25">
      <c r="A87" s="31">
        <v>0</v>
      </c>
      <c r="B87" s="31">
        <v>1</v>
      </c>
      <c r="C87" s="31">
        <v>3</v>
      </c>
      <c r="D87" s="36" t="s">
        <v>1598</v>
      </c>
      <c r="E87" s="32" t="s">
        <v>175</v>
      </c>
      <c r="F87" s="36" t="s">
        <v>319</v>
      </c>
      <c r="G87" s="36" t="s">
        <v>269</v>
      </c>
      <c r="H87" s="36" t="s">
        <v>354</v>
      </c>
      <c r="I87" s="37" t="s">
        <v>466</v>
      </c>
      <c r="J87" s="31">
        <v>8</v>
      </c>
      <c r="K87" s="33" t="s">
        <v>702</v>
      </c>
      <c r="L87" s="33" t="s">
        <v>689</v>
      </c>
      <c r="M87" s="34" t="s">
        <v>691</v>
      </c>
      <c r="N87" s="34" t="s">
        <v>1755</v>
      </c>
      <c r="O87" s="35">
        <v>1</v>
      </c>
      <c r="P87" s="35"/>
      <c r="Q87" s="36"/>
      <c r="S87" s="1">
        <f t="shared" si="57"/>
        <v>0</v>
      </c>
      <c r="T87" s="1">
        <f t="shared" si="58"/>
        <v>0</v>
      </c>
      <c r="U87" s="1">
        <f t="shared" si="59"/>
        <v>0</v>
      </c>
      <c r="V87" s="1">
        <f t="shared" si="60"/>
        <v>0</v>
      </c>
      <c r="W87" s="1">
        <f t="shared" si="61"/>
        <v>0</v>
      </c>
      <c r="X87" s="1">
        <f t="shared" si="62"/>
        <v>0</v>
      </c>
      <c r="Y87" s="1">
        <f t="shared" si="63"/>
        <v>0</v>
      </c>
      <c r="Z87" s="1">
        <f t="shared" si="64"/>
        <v>1</v>
      </c>
      <c r="AA87" s="1">
        <f t="shared" si="65"/>
        <v>0</v>
      </c>
      <c r="AB87" s="1">
        <f t="shared" si="66"/>
        <v>0</v>
      </c>
      <c r="AD87" s="1">
        <f t="shared" si="67"/>
        <v>0</v>
      </c>
      <c r="AE87" s="1">
        <f t="shared" si="68"/>
        <v>1</v>
      </c>
      <c r="AF87" s="1">
        <f t="shared" si="53"/>
        <v>0</v>
      </c>
      <c r="AG87" s="1">
        <f t="shared" si="54"/>
        <v>1</v>
      </c>
      <c r="AH87" s="1">
        <f t="shared" si="55"/>
        <v>0</v>
      </c>
      <c r="AI87" s="1">
        <f t="shared" si="56"/>
        <v>1</v>
      </c>
    </row>
    <row r="88" spans="1:35" ht="14.25" customHeight="1" x14ac:dyDescent="0.25">
      <c r="A88" s="38">
        <v>0</v>
      </c>
      <c r="B88" s="38">
        <v>1</v>
      </c>
      <c r="C88" s="38">
        <v>3</v>
      </c>
      <c r="D88" s="39" t="s">
        <v>136</v>
      </c>
      <c r="E88" s="39" t="s">
        <v>172</v>
      </c>
      <c r="F88" s="54" t="s">
        <v>1880</v>
      </c>
      <c r="G88" s="39" t="s">
        <v>240</v>
      </c>
      <c r="H88" s="39" t="s">
        <v>354</v>
      </c>
      <c r="I88" s="38" t="s">
        <v>484</v>
      </c>
      <c r="J88" s="38">
        <v>1</v>
      </c>
      <c r="K88" s="40" t="s">
        <v>956</v>
      </c>
      <c r="L88" s="40" t="s">
        <v>689</v>
      </c>
      <c r="M88" s="41" t="s">
        <v>691</v>
      </c>
      <c r="N88" s="42"/>
      <c r="O88" s="43"/>
      <c r="P88" s="43">
        <v>1</v>
      </c>
      <c r="Q88" s="39"/>
      <c r="S88" s="1">
        <f t="shared" si="57"/>
        <v>1</v>
      </c>
      <c r="T88" s="1">
        <f t="shared" si="58"/>
        <v>0</v>
      </c>
      <c r="U88" s="1">
        <f t="shared" si="59"/>
        <v>0</v>
      </c>
      <c r="V88" s="1">
        <f t="shared" si="60"/>
        <v>0</v>
      </c>
      <c r="W88" s="1">
        <f t="shared" si="61"/>
        <v>0</v>
      </c>
      <c r="X88" s="1">
        <f t="shared" si="62"/>
        <v>0</v>
      </c>
      <c r="Y88" s="1">
        <f t="shared" si="63"/>
        <v>0</v>
      </c>
      <c r="Z88" s="1">
        <f t="shared" si="64"/>
        <v>0</v>
      </c>
      <c r="AA88" s="1">
        <f t="shared" si="65"/>
        <v>0</v>
      </c>
      <c r="AB88" s="1">
        <f t="shared" si="66"/>
        <v>0</v>
      </c>
      <c r="AD88" s="1">
        <f t="shared" si="67"/>
        <v>0</v>
      </c>
      <c r="AE88" s="1">
        <f t="shared" si="68"/>
        <v>0</v>
      </c>
      <c r="AF88" s="1">
        <f t="shared" si="53"/>
        <v>0</v>
      </c>
      <c r="AG88" s="1">
        <f t="shared" si="54"/>
        <v>0</v>
      </c>
      <c r="AH88" s="1">
        <f t="shared" si="55"/>
        <v>1</v>
      </c>
      <c r="AI88" s="1">
        <f t="shared" si="56"/>
        <v>0</v>
      </c>
    </row>
    <row r="89" spans="1:35" ht="14.25" customHeight="1" x14ac:dyDescent="0.25">
      <c r="A89" s="44">
        <v>0</v>
      </c>
      <c r="B89" s="44">
        <v>1</v>
      </c>
      <c r="C89" s="44">
        <v>3</v>
      </c>
      <c r="D89" s="45" t="s">
        <v>790</v>
      </c>
      <c r="E89" s="45" t="s">
        <v>610</v>
      </c>
      <c r="F89" s="45" t="s">
        <v>792</v>
      </c>
      <c r="G89" s="45" t="s">
        <v>214</v>
      </c>
      <c r="H89" s="45" t="s">
        <v>354</v>
      </c>
      <c r="I89" s="44" t="s">
        <v>791</v>
      </c>
      <c r="J89" s="44">
        <v>99</v>
      </c>
      <c r="K89" s="46" t="s">
        <v>722</v>
      </c>
      <c r="L89" s="46" t="s">
        <v>1699</v>
      </c>
      <c r="M89" s="47" t="s">
        <v>1390</v>
      </c>
      <c r="N89" s="47" t="s">
        <v>1747</v>
      </c>
      <c r="O89" s="48"/>
      <c r="P89" s="48"/>
      <c r="Q89" s="45"/>
      <c r="S89" s="1">
        <f t="shared" si="57"/>
        <v>0</v>
      </c>
      <c r="T89" s="1">
        <f t="shared" si="58"/>
        <v>0</v>
      </c>
      <c r="U89" s="1">
        <f t="shared" si="59"/>
        <v>0</v>
      </c>
      <c r="V89" s="1">
        <f t="shared" si="60"/>
        <v>0</v>
      </c>
      <c r="W89" s="1">
        <f t="shared" si="61"/>
        <v>0</v>
      </c>
      <c r="X89" s="1">
        <f t="shared" si="62"/>
        <v>0</v>
      </c>
      <c r="Y89" s="1">
        <f t="shared" si="63"/>
        <v>0</v>
      </c>
      <c r="Z89" s="1">
        <f t="shared" si="64"/>
        <v>0</v>
      </c>
      <c r="AA89" s="1">
        <f t="shared" si="65"/>
        <v>0</v>
      </c>
      <c r="AB89" s="1">
        <f t="shared" si="66"/>
        <v>0</v>
      </c>
      <c r="AD89" s="1">
        <f t="shared" si="67"/>
        <v>0</v>
      </c>
      <c r="AE89" s="1">
        <f t="shared" si="68"/>
        <v>0</v>
      </c>
      <c r="AF89" s="1">
        <f t="shared" si="53"/>
        <v>0</v>
      </c>
      <c r="AG89" s="1">
        <f t="shared" si="54"/>
        <v>0</v>
      </c>
      <c r="AH89" s="1">
        <f t="shared" si="55"/>
        <v>0</v>
      </c>
      <c r="AI89" s="1">
        <f t="shared" si="56"/>
        <v>1</v>
      </c>
    </row>
    <row r="90" spans="1:35" ht="14.25" customHeight="1" x14ac:dyDescent="0.25">
      <c r="A90" s="44">
        <v>0</v>
      </c>
      <c r="B90" s="44">
        <v>1</v>
      </c>
      <c r="C90" s="44">
        <v>3</v>
      </c>
      <c r="D90" s="45" t="s">
        <v>77</v>
      </c>
      <c r="E90" s="45" t="s">
        <v>172</v>
      </c>
      <c r="F90" s="45" t="s">
        <v>267</v>
      </c>
      <c r="G90" s="45" t="s">
        <v>263</v>
      </c>
      <c r="H90" s="45" t="s">
        <v>354</v>
      </c>
      <c r="I90" s="44" t="s">
        <v>424</v>
      </c>
      <c r="J90" s="44">
        <v>1</v>
      </c>
      <c r="K90" s="46" t="s">
        <v>956</v>
      </c>
      <c r="L90" s="46" t="s">
        <v>1699</v>
      </c>
      <c r="M90" s="47" t="s">
        <v>970</v>
      </c>
      <c r="N90" s="47" t="s">
        <v>1735</v>
      </c>
      <c r="O90" s="48"/>
      <c r="P90" s="48"/>
      <c r="Q90" s="45"/>
      <c r="S90" s="1">
        <f t="shared" si="57"/>
        <v>1</v>
      </c>
      <c r="T90" s="1">
        <f t="shared" si="58"/>
        <v>0</v>
      </c>
      <c r="U90" s="1">
        <f t="shared" si="59"/>
        <v>0</v>
      </c>
      <c r="V90" s="1">
        <f t="shared" si="60"/>
        <v>0</v>
      </c>
      <c r="W90" s="1">
        <f t="shared" si="61"/>
        <v>0</v>
      </c>
      <c r="X90" s="1">
        <f t="shared" si="62"/>
        <v>0</v>
      </c>
      <c r="Y90" s="1">
        <f t="shared" si="63"/>
        <v>0</v>
      </c>
      <c r="Z90" s="1">
        <f t="shared" si="64"/>
        <v>0</v>
      </c>
      <c r="AA90" s="1">
        <f t="shared" si="65"/>
        <v>0</v>
      </c>
      <c r="AB90" s="1">
        <f t="shared" si="66"/>
        <v>0</v>
      </c>
      <c r="AD90" s="1">
        <f t="shared" si="67"/>
        <v>0</v>
      </c>
      <c r="AE90" s="1">
        <f t="shared" si="68"/>
        <v>0</v>
      </c>
      <c r="AF90" s="1">
        <f t="shared" si="53"/>
        <v>0</v>
      </c>
      <c r="AG90" s="1">
        <f t="shared" si="54"/>
        <v>0</v>
      </c>
      <c r="AH90" s="1">
        <f t="shared" si="55"/>
        <v>0</v>
      </c>
      <c r="AI90" s="1">
        <f t="shared" si="56"/>
        <v>1</v>
      </c>
    </row>
    <row r="91" spans="1:35" ht="14.25" customHeight="1" x14ac:dyDescent="0.25">
      <c r="A91" s="15">
        <v>0</v>
      </c>
      <c r="B91" s="15">
        <v>1</v>
      </c>
      <c r="C91" s="15">
        <v>3</v>
      </c>
      <c r="D91" s="20" t="s">
        <v>1952</v>
      </c>
      <c r="E91" s="20" t="s">
        <v>1983</v>
      </c>
      <c r="F91" s="20" t="s">
        <v>1984</v>
      </c>
      <c r="G91" s="20"/>
      <c r="H91" s="20" t="s">
        <v>1980</v>
      </c>
      <c r="I91" s="21" t="s">
        <v>1985</v>
      </c>
      <c r="J91" s="15">
        <v>18</v>
      </c>
      <c r="K91" s="10" t="s">
        <v>703</v>
      </c>
      <c r="L91" s="10" t="s">
        <v>1742</v>
      </c>
      <c r="M91" s="19" t="s">
        <v>971</v>
      </c>
      <c r="N91" s="17"/>
      <c r="Q91" s="20" t="s">
        <v>1986</v>
      </c>
      <c r="S91" s="1">
        <f t="shared" si="57"/>
        <v>0</v>
      </c>
      <c r="T91" s="1">
        <f t="shared" si="58"/>
        <v>0</v>
      </c>
      <c r="U91" s="1">
        <f t="shared" si="59"/>
        <v>0</v>
      </c>
      <c r="V91" s="1">
        <f t="shared" si="60"/>
        <v>0</v>
      </c>
      <c r="W91" s="1">
        <f t="shared" si="61"/>
        <v>0</v>
      </c>
      <c r="X91" s="1">
        <f t="shared" si="62"/>
        <v>0</v>
      </c>
      <c r="Y91" s="1">
        <f t="shared" si="63"/>
        <v>0</v>
      </c>
      <c r="Z91" s="1">
        <f t="shared" si="64"/>
        <v>0</v>
      </c>
      <c r="AA91" s="1">
        <f t="shared" si="65"/>
        <v>0</v>
      </c>
      <c r="AB91" s="1">
        <f t="shared" si="66"/>
        <v>0</v>
      </c>
      <c r="AD91" s="1">
        <f t="shared" si="67"/>
        <v>0</v>
      </c>
      <c r="AE91" s="1">
        <f t="shared" si="68"/>
        <v>0</v>
      </c>
      <c r="AF91" s="1">
        <f t="shared" si="53"/>
        <v>0</v>
      </c>
      <c r="AG91" s="1">
        <f t="shared" si="54"/>
        <v>0</v>
      </c>
      <c r="AH91" s="1">
        <f t="shared" si="55"/>
        <v>0</v>
      </c>
      <c r="AI91" s="1">
        <f t="shared" si="56"/>
        <v>1</v>
      </c>
    </row>
    <row r="92" spans="1:35" ht="14.25" customHeight="1" x14ac:dyDescent="0.25">
      <c r="A92" s="31">
        <v>0</v>
      </c>
      <c r="B92" s="31">
        <v>1</v>
      </c>
      <c r="C92" s="31">
        <v>3</v>
      </c>
      <c r="D92" s="36" t="s">
        <v>1525</v>
      </c>
      <c r="E92" s="32" t="s">
        <v>176</v>
      </c>
      <c r="F92" s="36" t="s">
        <v>1526</v>
      </c>
      <c r="G92" s="36" t="s">
        <v>39</v>
      </c>
      <c r="H92" s="36" t="s">
        <v>906</v>
      </c>
      <c r="I92" s="37" t="s">
        <v>1527</v>
      </c>
      <c r="J92" s="31">
        <v>11</v>
      </c>
      <c r="K92" s="33" t="s">
        <v>964</v>
      </c>
      <c r="L92" s="33" t="s">
        <v>39</v>
      </c>
      <c r="M92" s="34" t="s">
        <v>39</v>
      </c>
      <c r="N92" s="34" t="s">
        <v>1733</v>
      </c>
      <c r="O92" s="35">
        <v>1</v>
      </c>
      <c r="P92" s="35">
        <v>1</v>
      </c>
      <c r="Q92" s="36"/>
      <c r="S92" s="1">
        <f t="shared" ref="S92:S94" si="69">IF(J92=$S$7,1,0)</f>
        <v>0</v>
      </c>
      <c r="T92" s="1">
        <f t="shared" ref="T92:T94" si="70">IF(J92=$T$7,1,0)</f>
        <v>0</v>
      </c>
      <c r="U92" s="1">
        <f t="shared" ref="U92:U94" si="71">IF(J92=$U$7,1,0)</f>
        <v>0</v>
      </c>
      <c r="V92" s="1">
        <f t="shared" ref="V92:V94" si="72">IF(J92=$V$7,1,0)</f>
        <v>0</v>
      </c>
      <c r="W92" s="1">
        <f t="shared" ref="W92:W94" si="73">IF(J92=$W$7,1,0)</f>
        <v>0</v>
      </c>
      <c r="X92" s="1">
        <f t="shared" ref="X92:X94" si="74">IF(J92=$X$7,1,0)</f>
        <v>0</v>
      </c>
      <c r="Y92" s="1">
        <f t="shared" ref="Y92:Y94" si="75">IF(J92=$Y$7,1,0)</f>
        <v>0</v>
      </c>
      <c r="Z92" s="1">
        <f t="shared" ref="Z92:Z94" si="76">IF(J92=$Z$7,1,0)</f>
        <v>0</v>
      </c>
      <c r="AA92" s="1">
        <f t="shared" ref="AA92:AA94" si="77">IF(J92=$AA$7,1,0)</f>
        <v>0</v>
      </c>
      <c r="AB92" s="1">
        <f t="shared" ref="AB92:AB94" si="78">IF(J92=$AB$7,1,0)</f>
        <v>0</v>
      </c>
      <c r="AD92" s="1">
        <f t="shared" ref="AD92:AD94" si="79">+O92*P92</f>
        <v>1</v>
      </c>
      <c r="AE92" s="1">
        <f t="shared" ref="AE92:AE94" si="80">O92*(1-P92)</f>
        <v>0</v>
      </c>
      <c r="AF92" s="1">
        <f t="shared" si="53"/>
        <v>1</v>
      </c>
      <c r="AG92" s="1">
        <f t="shared" si="54"/>
        <v>0</v>
      </c>
      <c r="AH92" s="1">
        <f t="shared" si="55"/>
        <v>1</v>
      </c>
      <c r="AI92" s="1">
        <f t="shared" si="56"/>
        <v>0</v>
      </c>
    </row>
    <row r="93" spans="1:35" ht="14.25" customHeight="1" x14ac:dyDescent="0.25">
      <c r="A93" s="31">
        <v>0</v>
      </c>
      <c r="B93" s="31">
        <v>1</v>
      </c>
      <c r="C93" s="31">
        <v>3</v>
      </c>
      <c r="D93" s="36" t="s">
        <v>1854</v>
      </c>
      <c r="E93" s="36" t="s">
        <v>172</v>
      </c>
      <c r="F93" s="36" t="s">
        <v>1855</v>
      </c>
      <c r="G93" s="36"/>
      <c r="H93" s="36" t="s">
        <v>1856</v>
      </c>
      <c r="I93" s="37" t="s">
        <v>1857</v>
      </c>
      <c r="J93" s="31">
        <v>15</v>
      </c>
      <c r="K93" s="33" t="s">
        <v>703</v>
      </c>
      <c r="L93" s="33"/>
      <c r="M93" s="34"/>
      <c r="N93" s="34" t="s">
        <v>1733</v>
      </c>
      <c r="O93" s="35">
        <v>1</v>
      </c>
      <c r="P93" s="35">
        <v>1</v>
      </c>
      <c r="Q93" s="36" t="s">
        <v>1892</v>
      </c>
      <c r="S93" s="1">
        <f t="shared" si="69"/>
        <v>0</v>
      </c>
      <c r="T93" s="1">
        <f t="shared" si="70"/>
        <v>0</v>
      </c>
      <c r="U93" s="1">
        <f t="shared" si="71"/>
        <v>0</v>
      </c>
      <c r="V93" s="1">
        <f t="shared" si="72"/>
        <v>0</v>
      </c>
      <c r="W93" s="1">
        <f t="shared" si="73"/>
        <v>0</v>
      </c>
      <c r="X93" s="1">
        <f t="shared" si="74"/>
        <v>0</v>
      </c>
      <c r="Y93" s="1">
        <f t="shared" si="75"/>
        <v>0</v>
      </c>
      <c r="Z93" s="1">
        <f t="shared" si="76"/>
        <v>0</v>
      </c>
      <c r="AA93" s="1">
        <f t="shared" si="77"/>
        <v>0</v>
      </c>
      <c r="AB93" s="1">
        <f t="shared" si="78"/>
        <v>0</v>
      </c>
      <c r="AD93" s="1">
        <f t="shared" si="79"/>
        <v>1</v>
      </c>
      <c r="AE93" s="1">
        <f t="shared" si="80"/>
        <v>0</v>
      </c>
      <c r="AF93" s="1">
        <f t="shared" si="53"/>
        <v>1</v>
      </c>
      <c r="AG93" s="1">
        <f t="shared" si="54"/>
        <v>0</v>
      </c>
      <c r="AH93" s="1">
        <f t="shared" si="55"/>
        <v>1</v>
      </c>
      <c r="AI93" s="1">
        <f t="shared" si="56"/>
        <v>0</v>
      </c>
    </row>
    <row r="94" spans="1:35" ht="14.25" customHeight="1" x14ac:dyDescent="0.25">
      <c r="A94" s="15">
        <v>0</v>
      </c>
      <c r="B94" s="15">
        <v>1</v>
      </c>
      <c r="C94" s="15">
        <v>3</v>
      </c>
      <c r="D94" s="16" t="s">
        <v>736</v>
      </c>
      <c r="E94" s="16" t="s">
        <v>1331</v>
      </c>
      <c r="F94" s="16" t="s">
        <v>1658</v>
      </c>
      <c r="G94" s="16" t="s">
        <v>39</v>
      </c>
      <c r="H94" s="16" t="s">
        <v>737</v>
      </c>
      <c r="I94" s="15" t="s">
        <v>738</v>
      </c>
      <c r="J94" s="15">
        <v>18</v>
      </c>
      <c r="K94" s="10" t="s">
        <v>702</v>
      </c>
      <c r="L94" s="10" t="s">
        <v>688</v>
      </c>
      <c r="M94" s="19" t="s">
        <v>970</v>
      </c>
      <c r="N94" s="17"/>
      <c r="Q94" s="16"/>
      <c r="S94" s="1">
        <f t="shared" si="69"/>
        <v>0</v>
      </c>
      <c r="T94" s="1">
        <f t="shared" si="70"/>
        <v>0</v>
      </c>
      <c r="U94" s="1">
        <f t="shared" si="71"/>
        <v>0</v>
      </c>
      <c r="V94" s="1">
        <f t="shared" si="72"/>
        <v>0</v>
      </c>
      <c r="W94" s="1">
        <f t="shared" si="73"/>
        <v>0</v>
      </c>
      <c r="X94" s="1">
        <f t="shared" si="74"/>
        <v>0</v>
      </c>
      <c r="Y94" s="1">
        <f t="shared" si="75"/>
        <v>0</v>
      </c>
      <c r="Z94" s="1">
        <f t="shared" si="76"/>
        <v>0</v>
      </c>
      <c r="AA94" s="1">
        <f t="shared" si="77"/>
        <v>0</v>
      </c>
      <c r="AB94" s="1">
        <f t="shared" si="78"/>
        <v>0</v>
      </c>
      <c r="AD94" s="1">
        <f t="shared" si="79"/>
        <v>0</v>
      </c>
      <c r="AE94" s="1">
        <f t="shared" si="80"/>
        <v>0</v>
      </c>
      <c r="AF94" s="1">
        <f t="shared" si="53"/>
        <v>0</v>
      </c>
      <c r="AG94" s="1">
        <f t="shared" si="54"/>
        <v>0</v>
      </c>
      <c r="AH94" s="1">
        <f t="shared" si="55"/>
        <v>0</v>
      </c>
      <c r="AI94" s="1">
        <f t="shared" si="56"/>
        <v>1</v>
      </c>
    </row>
    <row r="95" spans="1:35" ht="14.25" customHeight="1" x14ac:dyDescent="0.25">
      <c r="A95" s="31">
        <v>0</v>
      </c>
      <c r="B95" s="31">
        <v>1</v>
      </c>
      <c r="C95" s="31">
        <v>3</v>
      </c>
      <c r="D95" s="32" t="s">
        <v>1546</v>
      </c>
      <c r="E95" s="32" t="s">
        <v>172</v>
      </c>
      <c r="F95" s="32" t="s">
        <v>1547</v>
      </c>
      <c r="G95" s="32" t="s">
        <v>39</v>
      </c>
      <c r="H95" s="32" t="s">
        <v>364</v>
      </c>
      <c r="I95" s="31" t="s">
        <v>1548</v>
      </c>
      <c r="J95" s="31">
        <v>17</v>
      </c>
      <c r="K95" s="33" t="s">
        <v>722</v>
      </c>
      <c r="L95" s="33" t="s">
        <v>688</v>
      </c>
      <c r="M95" s="34" t="s">
        <v>39</v>
      </c>
      <c r="N95" s="34" t="s">
        <v>1727</v>
      </c>
      <c r="O95" s="35">
        <v>1</v>
      </c>
      <c r="P95" s="35">
        <v>1</v>
      </c>
      <c r="Q95" s="36" t="s">
        <v>1916</v>
      </c>
      <c r="S95" s="1">
        <f t="shared" si="57"/>
        <v>0</v>
      </c>
      <c r="T95" s="1">
        <f t="shared" si="58"/>
        <v>0</v>
      </c>
      <c r="U95" s="1">
        <f t="shared" si="59"/>
        <v>0</v>
      </c>
      <c r="V95" s="1">
        <f t="shared" si="60"/>
        <v>0</v>
      </c>
      <c r="W95" s="1">
        <f t="shared" si="61"/>
        <v>0</v>
      </c>
      <c r="X95" s="1">
        <f t="shared" si="62"/>
        <v>0</v>
      </c>
      <c r="Y95" s="1">
        <f t="shared" si="63"/>
        <v>0</v>
      </c>
      <c r="Z95" s="1">
        <f t="shared" si="64"/>
        <v>0</v>
      </c>
      <c r="AA95" s="1">
        <f t="shared" si="65"/>
        <v>0</v>
      </c>
      <c r="AB95" s="1">
        <f t="shared" si="66"/>
        <v>0</v>
      </c>
      <c r="AD95" s="1">
        <f t="shared" si="67"/>
        <v>1</v>
      </c>
      <c r="AE95" s="1">
        <f t="shared" si="68"/>
        <v>0</v>
      </c>
      <c r="AF95" s="1">
        <f t="shared" si="53"/>
        <v>1</v>
      </c>
      <c r="AG95" s="1">
        <f t="shared" si="54"/>
        <v>0</v>
      </c>
      <c r="AH95" s="1">
        <f t="shared" si="55"/>
        <v>1</v>
      </c>
      <c r="AI95" s="1">
        <f t="shared" si="56"/>
        <v>0</v>
      </c>
    </row>
    <row r="96" spans="1:35" ht="14.25" customHeight="1" x14ac:dyDescent="0.25">
      <c r="A96" s="31">
        <v>0</v>
      </c>
      <c r="B96" s="31">
        <v>1</v>
      </c>
      <c r="C96" s="31">
        <v>3</v>
      </c>
      <c r="D96" s="36" t="s">
        <v>119</v>
      </c>
      <c r="E96" s="32" t="s">
        <v>172</v>
      </c>
      <c r="F96" s="36" t="s">
        <v>320</v>
      </c>
      <c r="G96" s="36" t="s">
        <v>39</v>
      </c>
      <c r="H96" s="36" t="s">
        <v>370</v>
      </c>
      <c r="I96" s="37" t="s">
        <v>467</v>
      </c>
      <c r="J96" s="31">
        <v>14</v>
      </c>
      <c r="K96" s="33" t="s">
        <v>956</v>
      </c>
      <c r="L96" s="33" t="s">
        <v>694</v>
      </c>
      <c r="M96" s="34" t="s">
        <v>691</v>
      </c>
      <c r="N96" s="34" t="s">
        <v>1748</v>
      </c>
      <c r="O96" s="35">
        <v>1</v>
      </c>
      <c r="P96" s="35"/>
      <c r="Q96" s="36" t="s">
        <v>1889</v>
      </c>
      <c r="S96" s="1">
        <f t="shared" si="57"/>
        <v>0</v>
      </c>
      <c r="T96" s="1">
        <f t="shared" si="58"/>
        <v>0</v>
      </c>
      <c r="U96" s="1">
        <f t="shared" si="59"/>
        <v>0</v>
      </c>
      <c r="V96" s="1">
        <f t="shared" si="60"/>
        <v>0</v>
      </c>
      <c r="W96" s="1">
        <f t="shared" si="61"/>
        <v>0</v>
      </c>
      <c r="X96" s="1">
        <f t="shared" si="62"/>
        <v>0</v>
      </c>
      <c r="Y96" s="1">
        <f t="shared" si="63"/>
        <v>0</v>
      </c>
      <c r="Z96" s="1">
        <f t="shared" si="64"/>
        <v>0</v>
      </c>
      <c r="AA96" s="1">
        <f t="shared" si="65"/>
        <v>0</v>
      </c>
      <c r="AB96" s="1">
        <f t="shared" si="66"/>
        <v>0</v>
      </c>
      <c r="AD96" s="1">
        <f t="shared" si="67"/>
        <v>0</v>
      </c>
      <c r="AE96" s="1">
        <f t="shared" si="68"/>
        <v>1</v>
      </c>
      <c r="AF96" s="1">
        <f t="shared" si="53"/>
        <v>0</v>
      </c>
      <c r="AG96" s="1">
        <f t="shared" si="54"/>
        <v>1</v>
      </c>
      <c r="AH96" s="1">
        <f t="shared" si="55"/>
        <v>0</v>
      </c>
      <c r="AI96" s="1">
        <f t="shared" si="56"/>
        <v>1</v>
      </c>
    </row>
    <row r="97" spans="1:35" ht="14.25" customHeight="1" x14ac:dyDescent="0.25">
      <c r="A97" s="31">
        <v>0</v>
      </c>
      <c r="B97" s="31">
        <v>1</v>
      </c>
      <c r="C97" s="31">
        <v>3</v>
      </c>
      <c r="D97" s="36" t="s">
        <v>115</v>
      </c>
      <c r="E97" s="32" t="s">
        <v>170</v>
      </c>
      <c r="F97" s="36" t="s">
        <v>326</v>
      </c>
      <c r="G97" s="36" t="s">
        <v>230</v>
      </c>
      <c r="H97" s="36" t="s">
        <v>354</v>
      </c>
      <c r="I97" s="37" t="s">
        <v>474</v>
      </c>
      <c r="J97" s="31">
        <v>7</v>
      </c>
      <c r="K97" s="33" t="s">
        <v>702</v>
      </c>
      <c r="L97" s="33" t="s">
        <v>39</v>
      </c>
      <c r="M97" s="34" t="s">
        <v>39</v>
      </c>
      <c r="N97" s="34" t="s">
        <v>1733</v>
      </c>
      <c r="O97" s="35">
        <v>1</v>
      </c>
      <c r="P97" s="35">
        <v>1</v>
      </c>
      <c r="Q97" s="36"/>
      <c r="S97" s="1">
        <f t="shared" ref="S97:S99" si="81">IF(J97=$S$7,1,0)</f>
        <v>0</v>
      </c>
      <c r="T97" s="1">
        <f t="shared" ref="T97:T99" si="82">IF(J97=$T$7,1,0)</f>
        <v>0</v>
      </c>
      <c r="U97" s="1">
        <f t="shared" ref="U97:U99" si="83">IF(J97=$U$7,1,0)</f>
        <v>0</v>
      </c>
      <c r="V97" s="1">
        <f t="shared" ref="V97:V99" si="84">IF(J97=$V$7,1,0)</f>
        <v>0</v>
      </c>
      <c r="W97" s="1">
        <f t="shared" ref="W97:W99" si="85">IF(J97=$W$7,1,0)</f>
        <v>0</v>
      </c>
      <c r="X97" s="1">
        <f t="shared" ref="X97:X99" si="86">IF(J97=$X$7,1,0)</f>
        <v>0</v>
      </c>
      <c r="Y97" s="1">
        <f t="shared" ref="Y97:Y99" si="87">IF(J97=$Y$7,1,0)</f>
        <v>1</v>
      </c>
      <c r="Z97" s="1">
        <f t="shared" ref="Z97:Z99" si="88">IF(J97=$Z$7,1,0)</f>
        <v>0</v>
      </c>
      <c r="AA97" s="1">
        <f t="shared" ref="AA97:AA99" si="89">IF(J97=$AA$7,1,0)</f>
        <v>0</v>
      </c>
      <c r="AB97" s="1">
        <f t="shared" ref="AB97:AB99" si="90">IF(J97=$AB$7,1,0)</f>
        <v>0</v>
      </c>
      <c r="AD97" s="1">
        <f t="shared" ref="AD97:AD99" si="91">+O97*P97</f>
        <v>1</v>
      </c>
      <c r="AE97" s="1">
        <f t="shared" ref="AE97:AE99" si="92">O97*(1-P97)</f>
        <v>0</v>
      </c>
      <c r="AF97" s="1">
        <f t="shared" ref="AF97:AF99" si="93">+O97*P97*(1-A97)</f>
        <v>1</v>
      </c>
      <c r="AG97" s="1">
        <f t="shared" ref="AG97:AG99" si="94">O97*(1-P97)*(1-A97)</f>
        <v>0</v>
      </c>
      <c r="AH97" s="1">
        <f t="shared" ref="AH97:AH99" si="95">+P97*(1-A97)</f>
        <v>1</v>
      </c>
      <c r="AI97" s="1">
        <f t="shared" ref="AI97:AI99" si="96">+(1-A97)*(1-P97)</f>
        <v>0</v>
      </c>
    </row>
    <row r="98" spans="1:35" ht="14.25" customHeight="1" x14ac:dyDescent="0.25">
      <c r="A98" s="31">
        <v>0</v>
      </c>
      <c r="B98" s="31">
        <v>1</v>
      </c>
      <c r="C98" s="31">
        <v>3</v>
      </c>
      <c r="D98" s="36" t="s">
        <v>1932</v>
      </c>
      <c r="E98" s="32" t="s">
        <v>1933</v>
      </c>
      <c r="F98" s="36" t="s">
        <v>1934</v>
      </c>
      <c r="G98" s="36"/>
      <c r="H98" s="36" t="s">
        <v>366</v>
      </c>
      <c r="I98" s="37" t="s">
        <v>1936</v>
      </c>
      <c r="J98" s="31">
        <v>18</v>
      </c>
      <c r="K98" s="33" t="s">
        <v>703</v>
      </c>
      <c r="L98" s="33"/>
      <c r="M98" s="34"/>
      <c r="N98" s="34" t="s">
        <v>1733</v>
      </c>
      <c r="O98" s="35">
        <v>1</v>
      </c>
      <c r="P98" s="35">
        <v>1</v>
      </c>
      <c r="Q98" s="36" t="s">
        <v>1935</v>
      </c>
      <c r="S98" s="1">
        <f t="shared" si="81"/>
        <v>0</v>
      </c>
      <c r="T98" s="1">
        <f t="shared" si="82"/>
        <v>0</v>
      </c>
      <c r="U98" s="1">
        <f t="shared" si="83"/>
        <v>0</v>
      </c>
      <c r="V98" s="1">
        <f t="shared" si="84"/>
        <v>0</v>
      </c>
      <c r="W98" s="1">
        <f t="shared" si="85"/>
        <v>0</v>
      </c>
      <c r="X98" s="1">
        <f t="shared" si="86"/>
        <v>0</v>
      </c>
      <c r="Y98" s="1">
        <f t="shared" si="87"/>
        <v>0</v>
      </c>
      <c r="Z98" s="1">
        <f t="shared" si="88"/>
        <v>0</v>
      </c>
      <c r="AA98" s="1">
        <f t="shared" si="89"/>
        <v>0</v>
      </c>
      <c r="AB98" s="1">
        <f t="shared" si="90"/>
        <v>0</v>
      </c>
      <c r="AD98" s="1">
        <f t="shared" si="91"/>
        <v>1</v>
      </c>
      <c r="AE98" s="1">
        <f t="shared" si="92"/>
        <v>0</v>
      </c>
      <c r="AF98" s="1">
        <f t="shared" si="93"/>
        <v>1</v>
      </c>
      <c r="AG98" s="1">
        <f t="shared" si="94"/>
        <v>0</v>
      </c>
      <c r="AH98" s="1">
        <f t="shared" si="95"/>
        <v>1</v>
      </c>
      <c r="AI98" s="1">
        <f t="shared" si="96"/>
        <v>0</v>
      </c>
    </row>
    <row r="99" spans="1:35" ht="14.25" customHeight="1" x14ac:dyDescent="0.25">
      <c r="A99" s="44">
        <v>0</v>
      </c>
      <c r="B99" s="44">
        <v>1</v>
      </c>
      <c r="C99" s="44">
        <v>3</v>
      </c>
      <c r="D99" s="45" t="s">
        <v>1207</v>
      </c>
      <c r="E99" s="45" t="s">
        <v>175</v>
      </c>
      <c r="F99" s="45" t="s">
        <v>1339</v>
      </c>
      <c r="G99" s="45" t="s">
        <v>39</v>
      </c>
      <c r="H99" s="45" t="s">
        <v>611</v>
      </c>
      <c r="I99" s="44" t="s">
        <v>1208</v>
      </c>
      <c r="J99" s="44">
        <v>14</v>
      </c>
      <c r="K99" s="46" t="s">
        <v>956</v>
      </c>
      <c r="L99" s="46" t="s">
        <v>1699</v>
      </c>
      <c r="M99" s="47" t="s">
        <v>1391</v>
      </c>
      <c r="N99" s="47" t="s">
        <v>1802</v>
      </c>
      <c r="O99" s="48"/>
      <c r="P99" s="48"/>
      <c r="Q99" s="45"/>
      <c r="S99" s="1">
        <f t="shared" si="81"/>
        <v>0</v>
      </c>
      <c r="T99" s="1">
        <f t="shared" si="82"/>
        <v>0</v>
      </c>
      <c r="U99" s="1">
        <f t="shared" si="83"/>
        <v>0</v>
      </c>
      <c r="V99" s="1">
        <f t="shared" si="84"/>
        <v>0</v>
      </c>
      <c r="W99" s="1">
        <f t="shared" si="85"/>
        <v>0</v>
      </c>
      <c r="X99" s="1">
        <f t="shared" si="86"/>
        <v>0</v>
      </c>
      <c r="Y99" s="1">
        <f t="shared" si="87"/>
        <v>0</v>
      </c>
      <c r="Z99" s="1">
        <f t="shared" si="88"/>
        <v>0</v>
      </c>
      <c r="AA99" s="1">
        <f t="shared" si="89"/>
        <v>0</v>
      </c>
      <c r="AB99" s="1">
        <f t="shared" si="90"/>
        <v>0</v>
      </c>
      <c r="AD99" s="1">
        <f t="shared" si="91"/>
        <v>0</v>
      </c>
      <c r="AE99" s="1">
        <f t="shared" si="92"/>
        <v>0</v>
      </c>
      <c r="AF99" s="1">
        <f t="shared" si="93"/>
        <v>0</v>
      </c>
      <c r="AG99" s="1">
        <f t="shared" si="94"/>
        <v>0</v>
      </c>
      <c r="AH99" s="1">
        <f t="shared" si="95"/>
        <v>0</v>
      </c>
      <c r="AI99" s="1">
        <f t="shared" si="96"/>
        <v>1</v>
      </c>
    </row>
    <row r="100" spans="1:35" ht="14.25" customHeight="1" x14ac:dyDescent="0.25">
      <c r="A100" s="31">
        <v>0</v>
      </c>
      <c r="B100" s="31">
        <v>1</v>
      </c>
      <c r="C100" s="31">
        <v>3</v>
      </c>
      <c r="D100" s="36" t="s">
        <v>821</v>
      </c>
      <c r="E100" s="32" t="s">
        <v>176</v>
      </c>
      <c r="F100" s="36" t="s">
        <v>927</v>
      </c>
      <c r="G100" s="36" t="s">
        <v>39</v>
      </c>
      <c r="H100" s="36" t="s">
        <v>372</v>
      </c>
      <c r="I100" s="37" t="s">
        <v>822</v>
      </c>
      <c r="J100" s="31">
        <v>16</v>
      </c>
      <c r="K100" s="33" t="s">
        <v>957</v>
      </c>
      <c r="L100" s="33" t="s">
        <v>688</v>
      </c>
      <c r="M100" s="34" t="s">
        <v>970</v>
      </c>
      <c r="N100" s="34" t="s">
        <v>1727</v>
      </c>
      <c r="O100" s="35">
        <v>1</v>
      </c>
      <c r="P100" s="35">
        <v>1</v>
      </c>
      <c r="Q100" s="36"/>
      <c r="S100" s="1">
        <f t="shared" si="57"/>
        <v>0</v>
      </c>
      <c r="T100" s="1">
        <f t="shared" si="58"/>
        <v>0</v>
      </c>
      <c r="U100" s="1">
        <f t="shared" si="59"/>
        <v>0</v>
      </c>
      <c r="V100" s="1">
        <f t="shared" si="60"/>
        <v>0</v>
      </c>
      <c r="W100" s="1">
        <f t="shared" si="61"/>
        <v>0</v>
      </c>
      <c r="X100" s="1">
        <f t="shared" si="62"/>
        <v>0</v>
      </c>
      <c r="Y100" s="1">
        <f t="shared" si="63"/>
        <v>0</v>
      </c>
      <c r="Z100" s="1">
        <f t="shared" si="64"/>
        <v>0</v>
      </c>
      <c r="AA100" s="1">
        <f t="shared" si="65"/>
        <v>0</v>
      </c>
      <c r="AB100" s="1">
        <f t="shared" si="66"/>
        <v>0</v>
      </c>
      <c r="AD100" s="1">
        <f t="shared" si="67"/>
        <v>1</v>
      </c>
      <c r="AE100" s="1">
        <f t="shared" si="68"/>
        <v>0</v>
      </c>
      <c r="AF100" s="1">
        <f t="shared" si="53"/>
        <v>1</v>
      </c>
      <c r="AG100" s="1">
        <f t="shared" si="54"/>
        <v>0</v>
      </c>
      <c r="AH100" s="1">
        <f t="shared" si="55"/>
        <v>1</v>
      </c>
      <c r="AI100" s="1">
        <f t="shared" si="56"/>
        <v>0</v>
      </c>
    </row>
    <row r="101" spans="1:35" ht="14.25" customHeight="1" x14ac:dyDescent="0.25">
      <c r="A101" s="15">
        <v>0</v>
      </c>
      <c r="B101" s="15">
        <v>1</v>
      </c>
      <c r="C101" s="15">
        <v>3</v>
      </c>
      <c r="D101" s="16" t="s">
        <v>104</v>
      </c>
      <c r="E101" s="16" t="s">
        <v>170</v>
      </c>
      <c r="F101" s="16" t="s">
        <v>303</v>
      </c>
      <c r="G101" s="16" t="s">
        <v>39</v>
      </c>
      <c r="H101" s="16" t="s">
        <v>357</v>
      </c>
      <c r="I101" s="15" t="s">
        <v>451</v>
      </c>
      <c r="J101" s="15">
        <v>18</v>
      </c>
      <c r="K101" s="10" t="s">
        <v>702</v>
      </c>
      <c r="L101" s="10" t="s">
        <v>688</v>
      </c>
      <c r="M101" s="19" t="s">
        <v>691</v>
      </c>
      <c r="N101" s="17"/>
      <c r="Q101" s="16"/>
      <c r="S101" s="1">
        <f t="shared" si="57"/>
        <v>0</v>
      </c>
      <c r="T101" s="1">
        <f t="shared" si="58"/>
        <v>0</v>
      </c>
      <c r="U101" s="1">
        <f t="shared" si="59"/>
        <v>0</v>
      </c>
      <c r="V101" s="1">
        <f t="shared" si="60"/>
        <v>0</v>
      </c>
      <c r="W101" s="1">
        <f t="shared" si="61"/>
        <v>0</v>
      </c>
      <c r="X101" s="1">
        <f t="shared" si="62"/>
        <v>0</v>
      </c>
      <c r="Y101" s="1">
        <f t="shared" si="63"/>
        <v>0</v>
      </c>
      <c r="Z101" s="1">
        <f t="shared" si="64"/>
        <v>0</v>
      </c>
      <c r="AA101" s="1">
        <f t="shared" si="65"/>
        <v>0</v>
      </c>
      <c r="AB101" s="1">
        <f t="shared" si="66"/>
        <v>0</v>
      </c>
      <c r="AD101" s="1">
        <f t="shared" si="67"/>
        <v>0</v>
      </c>
      <c r="AE101" s="1">
        <f t="shared" si="68"/>
        <v>0</v>
      </c>
      <c r="AF101" s="1">
        <f t="shared" si="53"/>
        <v>0</v>
      </c>
      <c r="AG101" s="1">
        <f t="shared" si="54"/>
        <v>0</v>
      </c>
      <c r="AH101" s="1">
        <f t="shared" si="55"/>
        <v>0</v>
      </c>
      <c r="AI101" s="1">
        <f t="shared" si="56"/>
        <v>1</v>
      </c>
    </row>
    <row r="102" spans="1:35" ht="14.25" customHeight="1" x14ac:dyDescent="0.25">
      <c r="A102" s="44">
        <v>0</v>
      </c>
      <c r="B102" s="44">
        <v>1</v>
      </c>
      <c r="C102" s="44">
        <v>3</v>
      </c>
      <c r="D102" s="45" t="s">
        <v>516</v>
      </c>
      <c r="E102" s="45" t="s">
        <v>170</v>
      </c>
      <c r="F102" s="45" t="s">
        <v>517</v>
      </c>
      <c r="G102" s="45" t="s">
        <v>504</v>
      </c>
      <c r="H102" s="45" t="s">
        <v>354</v>
      </c>
      <c r="I102" s="44" t="s">
        <v>518</v>
      </c>
      <c r="J102" s="44">
        <v>99</v>
      </c>
      <c r="K102" s="46" t="s">
        <v>956</v>
      </c>
      <c r="L102" s="46" t="s">
        <v>694</v>
      </c>
      <c r="M102" s="47" t="s">
        <v>691</v>
      </c>
      <c r="N102" s="47" t="s">
        <v>1747</v>
      </c>
      <c r="O102" s="48"/>
      <c r="P102" s="48"/>
      <c r="Q102" s="45"/>
      <c r="S102" s="1">
        <f t="shared" si="57"/>
        <v>0</v>
      </c>
      <c r="T102" s="1">
        <f t="shared" si="58"/>
        <v>0</v>
      </c>
      <c r="U102" s="1">
        <f t="shared" si="59"/>
        <v>0</v>
      </c>
      <c r="V102" s="1">
        <f t="shared" si="60"/>
        <v>0</v>
      </c>
      <c r="W102" s="1">
        <f t="shared" si="61"/>
        <v>0</v>
      </c>
      <c r="X102" s="1">
        <f t="shared" si="62"/>
        <v>0</v>
      </c>
      <c r="Y102" s="1">
        <f t="shared" si="63"/>
        <v>0</v>
      </c>
      <c r="Z102" s="1">
        <f t="shared" si="64"/>
        <v>0</v>
      </c>
      <c r="AA102" s="1">
        <f t="shared" si="65"/>
        <v>0</v>
      </c>
      <c r="AB102" s="1">
        <f t="shared" si="66"/>
        <v>0</v>
      </c>
      <c r="AD102" s="1">
        <f t="shared" si="67"/>
        <v>0</v>
      </c>
      <c r="AE102" s="1">
        <f t="shared" si="68"/>
        <v>0</v>
      </c>
      <c r="AF102" s="1">
        <f t="shared" si="53"/>
        <v>0</v>
      </c>
      <c r="AG102" s="1">
        <f t="shared" si="54"/>
        <v>0</v>
      </c>
      <c r="AH102" s="1">
        <f t="shared" si="55"/>
        <v>0</v>
      </c>
      <c r="AI102" s="1">
        <f t="shared" si="56"/>
        <v>1</v>
      </c>
    </row>
    <row r="103" spans="1:35" ht="14.25" customHeight="1" x14ac:dyDescent="0.25">
      <c r="A103" s="15">
        <v>0</v>
      </c>
      <c r="B103" s="15">
        <v>1</v>
      </c>
      <c r="C103" s="15">
        <v>3</v>
      </c>
      <c r="D103" s="16" t="s">
        <v>1645</v>
      </c>
      <c r="E103" s="16" t="s">
        <v>1087</v>
      </c>
      <c r="F103" s="16" t="s">
        <v>1219</v>
      </c>
      <c r="G103" s="16" t="s">
        <v>39</v>
      </c>
      <c r="H103" s="16" t="s">
        <v>1220</v>
      </c>
      <c r="I103" s="15" t="s">
        <v>1221</v>
      </c>
      <c r="J103" s="15">
        <v>18</v>
      </c>
      <c r="K103" s="10" t="s">
        <v>958</v>
      </c>
      <c r="L103" s="10" t="s">
        <v>688</v>
      </c>
      <c r="M103" s="19" t="s">
        <v>970</v>
      </c>
      <c r="N103" s="17"/>
      <c r="Q103" s="16" t="s">
        <v>1884</v>
      </c>
      <c r="S103" s="1">
        <f t="shared" si="57"/>
        <v>0</v>
      </c>
      <c r="T103" s="1">
        <f t="shared" si="58"/>
        <v>0</v>
      </c>
      <c r="U103" s="1">
        <f t="shared" si="59"/>
        <v>0</v>
      </c>
      <c r="V103" s="1">
        <f t="shared" si="60"/>
        <v>0</v>
      </c>
      <c r="W103" s="1">
        <f t="shared" si="61"/>
        <v>0</v>
      </c>
      <c r="X103" s="1">
        <f t="shared" si="62"/>
        <v>0</v>
      </c>
      <c r="Y103" s="1">
        <f t="shared" si="63"/>
        <v>0</v>
      </c>
      <c r="Z103" s="1">
        <f t="shared" si="64"/>
        <v>0</v>
      </c>
      <c r="AA103" s="1">
        <f t="shared" si="65"/>
        <v>0</v>
      </c>
      <c r="AB103" s="1">
        <f t="shared" si="66"/>
        <v>0</v>
      </c>
      <c r="AD103" s="1">
        <f t="shared" si="67"/>
        <v>0</v>
      </c>
      <c r="AE103" s="1">
        <f t="shared" si="68"/>
        <v>0</v>
      </c>
      <c r="AF103" s="1">
        <f t="shared" si="53"/>
        <v>0</v>
      </c>
      <c r="AG103" s="1">
        <f t="shared" si="54"/>
        <v>0</v>
      </c>
      <c r="AH103" s="1">
        <f t="shared" si="55"/>
        <v>0</v>
      </c>
      <c r="AI103" s="1">
        <f t="shared" si="56"/>
        <v>1</v>
      </c>
    </row>
    <row r="104" spans="1:35" ht="14.25" customHeight="1" x14ac:dyDescent="0.25">
      <c r="A104" s="15">
        <v>0</v>
      </c>
      <c r="B104" s="15">
        <v>1</v>
      </c>
      <c r="C104" s="15">
        <v>3</v>
      </c>
      <c r="D104" s="16" t="s">
        <v>1558</v>
      </c>
      <c r="E104" s="16" t="s">
        <v>170</v>
      </c>
      <c r="F104" s="16" t="s">
        <v>1677</v>
      </c>
      <c r="G104" s="16" t="s">
        <v>39</v>
      </c>
      <c r="H104" s="16" t="s">
        <v>357</v>
      </c>
      <c r="I104" s="15" t="s">
        <v>1559</v>
      </c>
      <c r="J104" s="15">
        <v>18</v>
      </c>
      <c r="K104" s="10" t="s">
        <v>722</v>
      </c>
      <c r="L104" s="10" t="s">
        <v>688</v>
      </c>
      <c r="M104" s="19" t="s">
        <v>691</v>
      </c>
      <c r="N104" s="17"/>
      <c r="Q104" s="16"/>
      <c r="S104" s="1">
        <f t="shared" si="57"/>
        <v>0</v>
      </c>
      <c r="T104" s="1">
        <f t="shared" si="58"/>
        <v>0</v>
      </c>
      <c r="U104" s="1">
        <f t="shared" si="59"/>
        <v>0</v>
      </c>
      <c r="V104" s="1">
        <f t="shared" si="60"/>
        <v>0</v>
      </c>
      <c r="W104" s="1">
        <f t="shared" si="61"/>
        <v>0</v>
      </c>
      <c r="X104" s="1">
        <f t="shared" si="62"/>
        <v>0</v>
      </c>
      <c r="Y104" s="1">
        <f t="shared" si="63"/>
        <v>0</v>
      </c>
      <c r="Z104" s="1">
        <f t="shared" si="64"/>
        <v>0</v>
      </c>
      <c r="AA104" s="1">
        <f t="shared" si="65"/>
        <v>0</v>
      </c>
      <c r="AB104" s="1">
        <f t="shared" si="66"/>
        <v>0</v>
      </c>
      <c r="AD104" s="1">
        <f t="shared" si="67"/>
        <v>0</v>
      </c>
      <c r="AE104" s="1">
        <f t="shared" si="68"/>
        <v>0</v>
      </c>
      <c r="AF104" s="1">
        <f t="shared" si="53"/>
        <v>0</v>
      </c>
      <c r="AG104" s="1">
        <f t="shared" si="54"/>
        <v>0</v>
      </c>
      <c r="AH104" s="1">
        <f t="shared" si="55"/>
        <v>0</v>
      </c>
      <c r="AI104" s="1">
        <f t="shared" si="56"/>
        <v>1</v>
      </c>
    </row>
    <row r="105" spans="1:35" ht="14.25" customHeight="1" x14ac:dyDescent="0.25">
      <c r="A105" s="31">
        <v>0</v>
      </c>
      <c r="B105" s="31">
        <v>1</v>
      </c>
      <c r="C105" s="31">
        <v>3</v>
      </c>
      <c r="D105" s="32" t="s">
        <v>1319</v>
      </c>
      <c r="E105" s="32" t="s">
        <v>175</v>
      </c>
      <c r="F105" s="32" t="s">
        <v>1340</v>
      </c>
      <c r="G105" s="32" t="s">
        <v>39</v>
      </c>
      <c r="H105" s="32" t="s">
        <v>354</v>
      </c>
      <c r="I105" s="31" t="s">
        <v>1136</v>
      </c>
      <c r="J105" s="31">
        <v>99</v>
      </c>
      <c r="K105" s="33" t="s">
        <v>702</v>
      </c>
      <c r="L105" s="33" t="s">
        <v>1699</v>
      </c>
      <c r="M105" s="34" t="s">
        <v>1392</v>
      </c>
      <c r="N105" s="34" t="s">
        <v>1749</v>
      </c>
      <c r="O105" s="35">
        <v>1</v>
      </c>
      <c r="P105" s="35"/>
      <c r="Q105" s="32"/>
      <c r="S105" s="1">
        <f t="shared" si="57"/>
        <v>0</v>
      </c>
      <c r="T105" s="1">
        <f t="shared" si="58"/>
        <v>0</v>
      </c>
      <c r="U105" s="1">
        <f t="shared" si="59"/>
        <v>0</v>
      </c>
      <c r="V105" s="1">
        <f t="shared" si="60"/>
        <v>0</v>
      </c>
      <c r="W105" s="1">
        <f t="shared" si="61"/>
        <v>0</v>
      </c>
      <c r="X105" s="1">
        <f t="shared" si="62"/>
        <v>0</v>
      </c>
      <c r="Y105" s="1">
        <f t="shared" si="63"/>
        <v>0</v>
      </c>
      <c r="Z105" s="1">
        <f t="shared" si="64"/>
        <v>0</v>
      </c>
      <c r="AA105" s="1">
        <f t="shared" si="65"/>
        <v>0</v>
      </c>
      <c r="AB105" s="1">
        <f t="shared" si="66"/>
        <v>0</v>
      </c>
      <c r="AD105" s="1">
        <f t="shared" si="67"/>
        <v>0</v>
      </c>
      <c r="AE105" s="1">
        <f t="shared" si="68"/>
        <v>1</v>
      </c>
      <c r="AF105" s="1">
        <f t="shared" si="53"/>
        <v>0</v>
      </c>
      <c r="AG105" s="1">
        <f t="shared" si="54"/>
        <v>1</v>
      </c>
      <c r="AH105" s="1">
        <f t="shared" si="55"/>
        <v>0</v>
      </c>
      <c r="AI105" s="1">
        <f t="shared" si="56"/>
        <v>1</v>
      </c>
    </row>
    <row r="106" spans="1:35" ht="14.25" customHeight="1" x14ac:dyDescent="0.25">
      <c r="A106" s="31">
        <v>0</v>
      </c>
      <c r="B106" s="31">
        <v>1</v>
      </c>
      <c r="C106" s="31">
        <v>3</v>
      </c>
      <c r="D106" s="32" t="s">
        <v>1263</v>
      </c>
      <c r="E106" s="32" t="s">
        <v>170</v>
      </c>
      <c r="F106" s="32" t="s">
        <v>1341</v>
      </c>
      <c r="G106" s="32" t="s">
        <v>1194</v>
      </c>
      <c r="H106" s="32" t="s">
        <v>354</v>
      </c>
      <c r="I106" s="31" t="s">
        <v>1195</v>
      </c>
      <c r="J106" s="31">
        <v>99</v>
      </c>
      <c r="K106" s="33" t="s">
        <v>722</v>
      </c>
      <c r="L106" s="33">
        <v>50</v>
      </c>
      <c r="M106" s="34" t="s">
        <v>39</v>
      </c>
      <c r="N106" s="34" t="s">
        <v>1801</v>
      </c>
      <c r="O106" s="35">
        <v>1</v>
      </c>
      <c r="P106" s="35"/>
      <c r="Q106" s="32"/>
      <c r="S106" s="1">
        <f t="shared" si="57"/>
        <v>0</v>
      </c>
      <c r="T106" s="1">
        <f t="shared" si="58"/>
        <v>0</v>
      </c>
      <c r="U106" s="1">
        <f t="shared" si="59"/>
        <v>0</v>
      </c>
      <c r="V106" s="1">
        <f t="shared" si="60"/>
        <v>0</v>
      </c>
      <c r="W106" s="1">
        <f t="shared" si="61"/>
        <v>0</v>
      </c>
      <c r="X106" s="1">
        <f t="shared" si="62"/>
        <v>0</v>
      </c>
      <c r="Y106" s="1">
        <f t="shared" si="63"/>
        <v>0</v>
      </c>
      <c r="Z106" s="1">
        <f t="shared" si="64"/>
        <v>0</v>
      </c>
      <c r="AA106" s="1">
        <f t="shared" si="65"/>
        <v>0</v>
      </c>
      <c r="AB106" s="1">
        <f t="shared" si="66"/>
        <v>0</v>
      </c>
      <c r="AD106" s="1">
        <f t="shared" si="67"/>
        <v>0</v>
      </c>
      <c r="AE106" s="1">
        <f t="shared" si="68"/>
        <v>1</v>
      </c>
      <c r="AF106" s="1">
        <f t="shared" si="53"/>
        <v>0</v>
      </c>
      <c r="AG106" s="1">
        <f t="shared" si="54"/>
        <v>1</v>
      </c>
      <c r="AH106" s="1">
        <f t="shared" si="55"/>
        <v>0</v>
      </c>
      <c r="AI106" s="1">
        <f t="shared" si="56"/>
        <v>1</v>
      </c>
    </row>
    <row r="107" spans="1:35" ht="14.25" customHeight="1" x14ac:dyDescent="0.25">
      <c r="A107" s="31">
        <v>0</v>
      </c>
      <c r="B107" s="31">
        <v>1</v>
      </c>
      <c r="C107" s="31">
        <v>3</v>
      </c>
      <c r="D107" s="32" t="s">
        <v>1019</v>
      </c>
      <c r="E107" s="32" t="s">
        <v>610</v>
      </c>
      <c r="F107" s="32" t="s">
        <v>1020</v>
      </c>
      <c r="G107" s="32" t="s">
        <v>1021</v>
      </c>
      <c r="H107" s="32" t="s">
        <v>354</v>
      </c>
      <c r="I107" s="31" t="s">
        <v>1022</v>
      </c>
      <c r="J107" s="31">
        <v>99</v>
      </c>
      <c r="K107" s="33" t="s">
        <v>956</v>
      </c>
      <c r="L107" s="33" t="s">
        <v>39</v>
      </c>
      <c r="M107" s="34" t="s">
        <v>39</v>
      </c>
      <c r="N107" s="34" t="s">
        <v>1733</v>
      </c>
      <c r="O107" s="35">
        <v>1</v>
      </c>
      <c r="P107" s="35">
        <v>1</v>
      </c>
      <c r="Q107" s="32"/>
      <c r="S107" s="1">
        <f t="shared" si="57"/>
        <v>0</v>
      </c>
      <c r="T107" s="1">
        <f t="shared" si="58"/>
        <v>0</v>
      </c>
      <c r="U107" s="1">
        <f t="shared" si="59"/>
        <v>0</v>
      </c>
      <c r="V107" s="1">
        <f t="shared" si="60"/>
        <v>0</v>
      </c>
      <c r="W107" s="1">
        <f t="shared" si="61"/>
        <v>0</v>
      </c>
      <c r="X107" s="1">
        <f t="shared" si="62"/>
        <v>0</v>
      </c>
      <c r="Y107" s="1">
        <f t="shared" si="63"/>
        <v>0</v>
      </c>
      <c r="Z107" s="1">
        <f t="shared" si="64"/>
        <v>0</v>
      </c>
      <c r="AA107" s="1">
        <f t="shared" si="65"/>
        <v>0</v>
      </c>
      <c r="AB107" s="1">
        <f t="shared" si="66"/>
        <v>0</v>
      </c>
      <c r="AD107" s="1">
        <f t="shared" si="67"/>
        <v>1</v>
      </c>
      <c r="AE107" s="1">
        <f t="shared" si="68"/>
        <v>0</v>
      </c>
      <c r="AF107" s="1">
        <f t="shared" si="53"/>
        <v>1</v>
      </c>
      <c r="AG107" s="1">
        <f t="shared" si="54"/>
        <v>0</v>
      </c>
      <c r="AH107" s="1">
        <f t="shared" si="55"/>
        <v>1</v>
      </c>
      <c r="AI107" s="1">
        <f t="shared" si="56"/>
        <v>0</v>
      </c>
    </row>
    <row r="108" spans="1:35" ht="14.25" customHeight="1" x14ac:dyDescent="0.25">
      <c r="A108" s="31">
        <v>0</v>
      </c>
      <c r="B108" s="31">
        <v>1</v>
      </c>
      <c r="C108" s="31">
        <v>3</v>
      </c>
      <c r="D108" s="32" t="s">
        <v>141</v>
      </c>
      <c r="E108" s="32" t="s">
        <v>175</v>
      </c>
      <c r="F108" s="32" t="s">
        <v>342</v>
      </c>
      <c r="G108" s="32" t="s">
        <v>39</v>
      </c>
      <c r="H108" s="32" t="s">
        <v>376</v>
      </c>
      <c r="I108" s="31" t="s">
        <v>489</v>
      </c>
      <c r="J108" s="31">
        <v>16</v>
      </c>
      <c r="K108" s="33" t="s">
        <v>702</v>
      </c>
      <c r="L108" s="33" t="s">
        <v>688</v>
      </c>
      <c r="M108" s="34" t="s">
        <v>1393</v>
      </c>
      <c r="N108" s="34" t="s">
        <v>1748</v>
      </c>
      <c r="O108" s="35">
        <v>1</v>
      </c>
      <c r="P108" s="35"/>
      <c r="Q108" s="32"/>
      <c r="S108" s="1">
        <f t="shared" si="57"/>
        <v>0</v>
      </c>
      <c r="T108" s="1">
        <f t="shared" si="58"/>
        <v>0</v>
      </c>
      <c r="U108" s="1">
        <f t="shared" si="59"/>
        <v>0</v>
      </c>
      <c r="V108" s="1">
        <f t="shared" si="60"/>
        <v>0</v>
      </c>
      <c r="W108" s="1">
        <f t="shared" si="61"/>
        <v>0</v>
      </c>
      <c r="X108" s="1">
        <f t="shared" si="62"/>
        <v>0</v>
      </c>
      <c r="Y108" s="1">
        <f t="shared" si="63"/>
        <v>0</v>
      </c>
      <c r="Z108" s="1">
        <f t="shared" si="64"/>
        <v>0</v>
      </c>
      <c r="AA108" s="1">
        <f t="shared" si="65"/>
        <v>0</v>
      </c>
      <c r="AB108" s="1">
        <f t="shared" si="66"/>
        <v>0</v>
      </c>
      <c r="AD108" s="1">
        <f t="shared" si="67"/>
        <v>0</v>
      </c>
      <c r="AE108" s="1">
        <f t="shared" si="68"/>
        <v>1</v>
      </c>
      <c r="AF108" s="1">
        <f t="shared" si="53"/>
        <v>0</v>
      </c>
      <c r="AG108" s="1">
        <f t="shared" si="54"/>
        <v>1</v>
      </c>
      <c r="AH108" s="1">
        <f t="shared" si="55"/>
        <v>0</v>
      </c>
      <c r="AI108" s="1">
        <f t="shared" si="56"/>
        <v>1</v>
      </c>
    </row>
    <row r="109" spans="1:35" ht="14.25" customHeight="1" x14ac:dyDescent="0.25">
      <c r="A109" s="31">
        <v>0</v>
      </c>
      <c r="B109" s="31">
        <v>1</v>
      </c>
      <c r="C109" s="31">
        <v>3</v>
      </c>
      <c r="D109" s="32" t="s">
        <v>817</v>
      </c>
      <c r="E109" s="32" t="s">
        <v>172</v>
      </c>
      <c r="F109" s="32" t="s">
        <v>818</v>
      </c>
      <c r="G109" s="32" t="s">
        <v>39</v>
      </c>
      <c r="H109" s="32" t="s">
        <v>819</v>
      </c>
      <c r="I109" s="31" t="s">
        <v>820</v>
      </c>
      <c r="J109" s="31">
        <v>16</v>
      </c>
      <c r="K109" s="33" t="s">
        <v>702</v>
      </c>
      <c r="L109" s="33" t="s">
        <v>688</v>
      </c>
      <c r="M109" s="34" t="s">
        <v>1393</v>
      </c>
      <c r="N109" s="34" t="s">
        <v>1727</v>
      </c>
      <c r="O109" s="35">
        <v>1</v>
      </c>
      <c r="P109" s="35">
        <v>1</v>
      </c>
      <c r="Q109" s="32"/>
      <c r="S109" s="1">
        <f t="shared" si="57"/>
        <v>0</v>
      </c>
      <c r="T109" s="1">
        <f t="shared" si="58"/>
        <v>0</v>
      </c>
      <c r="U109" s="1">
        <f t="shared" si="59"/>
        <v>0</v>
      </c>
      <c r="V109" s="1">
        <f t="shared" si="60"/>
        <v>0</v>
      </c>
      <c r="W109" s="1">
        <f t="shared" si="61"/>
        <v>0</v>
      </c>
      <c r="X109" s="1">
        <f t="shared" si="62"/>
        <v>0</v>
      </c>
      <c r="Y109" s="1">
        <f t="shared" si="63"/>
        <v>0</v>
      </c>
      <c r="Z109" s="1">
        <f t="shared" si="64"/>
        <v>0</v>
      </c>
      <c r="AA109" s="1">
        <f t="shared" si="65"/>
        <v>0</v>
      </c>
      <c r="AB109" s="1">
        <f t="shared" si="66"/>
        <v>0</v>
      </c>
      <c r="AD109" s="1">
        <f t="shared" si="67"/>
        <v>1</v>
      </c>
      <c r="AE109" s="1">
        <f t="shared" si="68"/>
        <v>0</v>
      </c>
      <c r="AF109" s="1">
        <f t="shared" si="53"/>
        <v>1</v>
      </c>
      <c r="AG109" s="1">
        <f t="shared" si="54"/>
        <v>0</v>
      </c>
      <c r="AH109" s="1">
        <f t="shared" si="55"/>
        <v>1</v>
      </c>
      <c r="AI109" s="1">
        <f t="shared" si="56"/>
        <v>0</v>
      </c>
    </row>
    <row r="110" spans="1:35" ht="14.25" customHeight="1" x14ac:dyDescent="0.25">
      <c r="A110" s="15">
        <v>0</v>
      </c>
      <c r="B110" s="15">
        <v>1</v>
      </c>
      <c r="C110" s="15">
        <v>3</v>
      </c>
      <c r="D110" s="16" t="s">
        <v>108</v>
      </c>
      <c r="E110" s="16" t="s">
        <v>170</v>
      </c>
      <c r="F110" s="16" t="s">
        <v>306</v>
      </c>
      <c r="G110" s="16" t="s">
        <v>39</v>
      </c>
      <c r="H110" s="16" t="s">
        <v>361</v>
      </c>
      <c r="I110" s="15" t="s">
        <v>455</v>
      </c>
      <c r="J110" s="15">
        <v>18</v>
      </c>
      <c r="K110" s="10" t="s">
        <v>703</v>
      </c>
      <c r="L110" s="10" t="s">
        <v>688</v>
      </c>
      <c r="M110" s="19" t="s">
        <v>691</v>
      </c>
      <c r="N110" s="17"/>
      <c r="Q110" s="20" t="s">
        <v>1883</v>
      </c>
      <c r="S110" s="1">
        <f t="shared" si="57"/>
        <v>0</v>
      </c>
      <c r="T110" s="1">
        <f t="shared" si="58"/>
        <v>0</v>
      </c>
      <c r="U110" s="1">
        <f t="shared" si="59"/>
        <v>0</v>
      </c>
      <c r="V110" s="1">
        <f t="shared" si="60"/>
        <v>0</v>
      </c>
      <c r="W110" s="1">
        <f t="shared" si="61"/>
        <v>0</v>
      </c>
      <c r="X110" s="1">
        <f t="shared" si="62"/>
        <v>0</v>
      </c>
      <c r="Y110" s="1">
        <f t="shared" si="63"/>
        <v>0</v>
      </c>
      <c r="Z110" s="1">
        <f t="shared" si="64"/>
        <v>0</v>
      </c>
      <c r="AA110" s="1">
        <f t="shared" si="65"/>
        <v>0</v>
      </c>
      <c r="AB110" s="1">
        <f t="shared" si="66"/>
        <v>0</v>
      </c>
      <c r="AD110" s="1">
        <f t="shared" si="67"/>
        <v>0</v>
      </c>
      <c r="AE110" s="1">
        <f t="shared" si="68"/>
        <v>0</v>
      </c>
      <c r="AF110" s="1">
        <f t="shared" si="53"/>
        <v>0</v>
      </c>
      <c r="AG110" s="1">
        <f t="shared" si="54"/>
        <v>0</v>
      </c>
      <c r="AH110" s="1">
        <f t="shared" si="55"/>
        <v>0</v>
      </c>
      <c r="AI110" s="1">
        <f t="shared" si="56"/>
        <v>1</v>
      </c>
    </row>
    <row r="111" spans="1:35" ht="14.25" customHeight="1" x14ac:dyDescent="0.25">
      <c r="A111" s="44">
        <v>0</v>
      </c>
      <c r="B111" s="44">
        <v>1</v>
      </c>
      <c r="C111" s="44">
        <v>3</v>
      </c>
      <c r="D111" s="45" t="s">
        <v>1505</v>
      </c>
      <c r="E111" s="45" t="s">
        <v>170</v>
      </c>
      <c r="F111" s="45" t="s">
        <v>1506</v>
      </c>
      <c r="G111" s="45" t="s">
        <v>39</v>
      </c>
      <c r="H111" s="45" t="s">
        <v>374</v>
      </c>
      <c r="I111" s="44" t="s">
        <v>1507</v>
      </c>
      <c r="J111" s="44">
        <v>11</v>
      </c>
      <c r="K111" s="46" t="s">
        <v>722</v>
      </c>
      <c r="L111" s="46">
        <v>50</v>
      </c>
      <c r="M111" s="47" t="s">
        <v>39</v>
      </c>
      <c r="N111" s="47" t="s">
        <v>1734</v>
      </c>
      <c r="O111" s="48"/>
      <c r="P111" s="48"/>
      <c r="Q111" s="45"/>
      <c r="S111" s="1">
        <f t="shared" si="57"/>
        <v>0</v>
      </c>
      <c r="T111" s="1">
        <f t="shared" si="58"/>
        <v>0</v>
      </c>
      <c r="U111" s="1">
        <f t="shared" si="59"/>
        <v>0</v>
      </c>
      <c r="V111" s="1">
        <f t="shared" si="60"/>
        <v>0</v>
      </c>
      <c r="W111" s="1">
        <f t="shared" si="61"/>
        <v>0</v>
      </c>
      <c r="X111" s="1">
        <f t="shared" si="62"/>
        <v>0</v>
      </c>
      <c r="Y111" s="1">
        <f t="shared" si="63"/>
        <v>0</v>
      </c>
      <c r="Z111" s="1">
        <f t="shared" si="64"/>
        <v>0</v>
      </c>
      <c r="AA111" s="1">
        <f t="shared" si="65"/>
        <v>0</v>
      </c>
      <c r="AB111" s="1">
        <f t="shared" si="66"/>
        <v>0</v>
      </c>
      <c r="AD111" s="1">
        <f t="shared" si="67"/>
        <v>0</v>
      </c>
      <c r="AE111" s="1">
        <f t="shared" si="68"/>
        <v>0</v>
      </c>
      <c r="AF111" s="1">
        <f t="shared" si="53"/>
        <v>0</v>
      </c>
      <c r="AG111" s="1">
        <f t="shared" si="54"/>
        <v>0</v>
      </c>
      <c r="AH111" s="1">
        <f t="shared" si="55"/>
        <v>0</v>
      </c>
      <c r="AI111" s="1">
        <f t="shared" si="56"/>
        <v>1</v>
      </c>
    </row>
    <row r="112" spans="1:35" ht="14.25" customHeight="1" x14ac:dyDescent="0.25">
      <c r="A112" s="44">
        <v>0</v>
      </c>
      <c r="B112" s="44">
        <v>1</v>
      </c>
      <c r="C112" s="44">
        <v>3</v>
      </c>
      <c r="D112" s="45" t="s">
        <v>107</v>
      </c>
      <c r="E112" s="45" t="s">
        <v>170</v>
      </c>
      <c r="F112" s="45" t="s">
        <v>305</v>
      </c>
      <c r="G112" s="45" t="s">
        <v>39</v>
      </c>
      <c r="H112" s="45" t="s">
        <v>360</v>
      </c>
      <c r="I112" s="44" t="s">
        <v>454</v>
      </c>
      <c r="J112" s="44">
        <v>18</v>
      </c>
      <c r="K112" s="46" t="s">
        <v>702</v>
      </c>
      <c r="L112" s="46">
        <v>55</v>
      </c>
      <c r="M112" s="47" t="s">
        <v>691</v>
      </c>
      <c r="N112" s="47" t="s">
        <v>1734</v>
      </c>
      <c r="O112" s="48"/>
      <c r="P112" s="48"/>
      <c r="Q112" s="45"/>
      <c r="S112" s="1">
        <f t="shared" si="57"/>
        <v>0</v>
      </c>
      <c r="T112" s="1">
        <f t="shared" si="58"/>
        <v>0</v>
      </c>
      <c r="U112" s="1">
        <f t="shared" si="59"/>
        <v>0</v>
      </c>
      <c r="V112" s="1">
        <f t="shared" si="60"/>
        <v>0</v>
      </c>
      <c r="W112" s="1">
        <f t="shared" si="61"/>
        <v>0</v>
      </c>
      <c r="X112" s="1">
        <f t="shared" si="62"/>
        <v>0</v>
      </c>
      <c r="Y112" s="1">
        <f t="shared" si="63"/>
        <v>0</v>
      </c>
      <c r="Z112" s="1">
        <f t="shared" si="64"/>
        <v>0</v>
      </c>
      <c r="AA112" s="1">
        <f t="shared" si="65"/>
        <v>0</v>
      </c>
      <c r="AB112" s="1">
        <f t="shared" si="66"/>
        <v>0</v>
      </c>
      <c r="AD112" s="1">
        <f t="shared" si="67"/>
        <v>0</v>
      </c>
      <c r="AE112" s="1">
        <f t="shared" si="68"/>
        <v>0</v>
      </c>
      <c r="AF112" s="1">
        <f t="shared" si="53"/>
        <v>0</v>
      </c>
      <c r="AG112" s="1">
        <f t="shared" si="54"/>
        <v>0</v>
      </c>
      <c r="AH112" s="1">
        <f t="shared" si="55"/>
        <v>0</v>
      </c>
      <c r="AI112" s="1">
        <f t="shared" si="56"/>
        <v>1</v>
      </c>
    </row>
    <row r="113" spans="1:35" ht="14.25" customHeight="1" x14ac:dyDescent="0.25">
      <c r="A113" s="31">
        <v>0</v>
      </c>
      <c r="B113" s="31">
        <v>1</v>
      </c>
      <c r="C113" s="31">
        <v>3</v>
      </c>
      <c r="D113" s="32" t="s">
        <v>128</v>
      </c>
      <c r="E113" s="32" t="s">
        <v>175</v>
      </c>
      <c r="F113" s="32" t="s">
        <v>329</v>
      </c>
      <c r="G113" s="32" t="s">
        <v>39</v>
      </c>
      <c r="H113" s="32" t="s">
        <v>375</v>
      </c>
      <c r="I113" s="31" t="s">
        <v>477</v>
      </c>
      <c r="J113" s="31">
        <v>12</v>
      </c>
      <c r="K113" s="33" t="s">
        <v>702</v>
      </c>
      <c r="L113" s="33">
        <v>35</v>
      </c>
      <c r="M113" s="34" t="s">
        <v>691</v>
      </c>
      <c r="N113" s="34" t="s">
        <v>1749</v>
      </c>
      <c r="O113" s="35">
        <v>1</v>
      </c>
      <c r="P113" s="35"/>
      <c r="Q113" s="32"/>
      <c r="S113" s="1">
        <f t="shared" si="57"/>
        <v>0</v>
      </c>
      <c r="T113" s="1">
        <f t="shared" si="58"/>
        <v>0</v>
      </c>
      <c r="U113" s="1">
        <f t="shared" si="59"/>
        <v>0</v>
      </c>
      <c r="V113" s="1">
        <f t="shared" si="60"/>
        <v>0</v>
      </c>
      <c r="W113" s="1">
        <f t="shared" si="61"/>
        <v>0</v>
      </c>
      <c r="X113" s="1">
        <f t="shared" si="62"/>
        <v>0</v>
      </c>
      <c r="Y113" s="1">
        <f t="shared" si="63"/>
        <v>0</v>
      </c>
      <c r="Z113" s="1">
        <f t="shared" si="64"/>
        <v>0</v>
      </c>
      <c r="AA113" s="1">
        <f t="shared" si="65"/>
        <v>0</v>
      </c>
      <c r="AB113" s="1">
        <f t="shared" si="66"/>
        <v>0</v>
      </c>
      <c r="AD113" s="1">
        <f t="shared" si="67"/>
        <v>0</v>
      </c>
      <c r="AE113" s="1">
        <f t="shared" si="68"/>
        <v>1</v>
      </c>
      <c r="AF113" s="1">
        <f t="shared" si="53"/>
        <v>0</v>
      </c>
      <c r="AG113" s="1">
        <f t="shared" si="54"/>
        <v>1</v>
      </c>
      <c r="AH113" s="1">
        <f t="shared" si="55"/>
        <v>0</v>
      </c>
      <c r="AI113" s="1">
        <f t="shared" si="56"/>
        <v>1</v>
      </c>
    </row>
    <row r="114" spans="1:35" ht="14.25" customHeight="1" x14ac:dyDescent="0.25">
      <c r="A114" s="44">
        <v>0</v>
      </c>
      <c r="B114" s="44">
        <v>1</v>
      </c>
      <c r="C114" s="44">
        <v>3</v>
      </c>
      <c r="D114" s="45" t="s">
        <v>994</v>
      </c>
      <c r="E114" s="45" t="s">
        <v>170</v>
      </c>
      <c r="F114" s="45" t="s">
        <v>1093</v>
      </c>
      <c r="G114" s="45" t="s">
        <v>232</v>
      </c>
      <c r="H114" s="45" t="s">
        <v>354</v>
      </c>
      <c r="I114" s="44" t="s">
        <v>995</v>
      </c>
      <c r="J114" s="44">
        <v>99</v>
      </c>
      <c r="K114" s="46" t="s">
        <v>956</v>
      </c>
      <c r="L114" s="46">
        <v>40</v>
      </c>
      <c r="M114" s="47" t="s">
        <v>39</v>
      </c>
      <c r="N114" s="47" t="s">
        <v>1747</v>
      </c>
      <c r="O114" s="48"/>
      <c r="P114" s="48"/>
      <c r="Q114" s="45"/>
      <c r="S114" s="1">
        <f t="shared" si="57"/>
        <v>0</v>
      </c>
      <c r="T114" s="1">
        <f t="shared" si="58"/>
        <v>0</v>
      </c>
      <c r="U114" s="1">
        <f t="shared" si="59"/>
        <v>0</v>
      </c>
      <c r="V114" s="1">
        <f t="shared" si="60"/>
        <v>0</v>
      </c>
      <c r="W114" s="1">
        <f t="shared" si="61"/>
        <v>0</v>
      </c>
      <c r="X114" s="1">
        <f t="shared" si="62"/>
        <v>0</v>
      </c>
      <c r="Y114" s="1">
        <f t="shared" si="63"/>
        <v>0</v>
      </c>
      <c r="Z114" s="1">
        <f t="shared" si="64"/>
        <v>0</v>
      </c>
      <c r="AA114" s="1">
        <f t="shared" si="65"/>
        <v>0</v>
      </c>
      <c r="AB114" s="1">
        <f t="shared" si="66"/>
        <v>0</v>
      </c>
      <c r="AD114" s="1">
        <f t="shared" si="67"/>
        <v>0</v>
      </c>
      <c r="AE114" s="1">
        <f t="shared" si="68"/>
        <v>0</v>
      </c>
      <c r="AF114" s="1">
        <f t="shared" si="53"/>
        <v>0</v>
      </c>
      <c r="AG114" s="1">
        <f t="shared" si="54"/>
        <v>0</v>
      </c>
      <c r="AH114" s="1">
        <f t="shared" si="55"/>
        <v>0</v>
      </c>
      <c r="AI114" s="1">
        <f t="shared" si="56"/>
        <v>1</v>
      </c>
    </row>
    <row r="115" spans="1:35" ht="14.25" customHeight="1" x14ac:dyDescent="0.25">
      <c r="A115" s="38">
        <v>0</v>
      </c>
      <c r="B115" s="38">
        <v>1</v>
      </c>
      <c r="C115" s="38">
        <v>3</v>
      </c>
      <c r="D115" s="54" t="s">
        <v>129</v>
      </c>
      <c r="E115" s="39" t="s">
        <v>170</v>
      </c>
      <c r="F115" s="39" t="s">
        <v>330</v>
      </c>
      <c r="G115" s="39" t="s">
        <v>39</v>
      </c>
      <c r="H115" s="39" t="s">
        <v>371</v>
      </c>
      <c r="I115" s="38" t="s">
        <v>478</v>
      </c>
      <c r="J115" s="38">
        <v>11</v>
      </c>
      <c r="K115" s="40" t="s">
        <v>702</v>
      </c>
      <c r="L115" s="40" t="s">
        <v>39</v>
      </c>
      <c r="M115" s="41" t="s">
        <v>39</v>
      </c>
      <c r="N115" s="42"/>
      <c r="O115" s="43"/>
      <c r="P115" s="43">
        <v>1</v>
      </c>
      <c r="Q115" s="39" t="s">
        <v>2041</v>
      </c>
      <c r="S115" s="1">
        <f t="shared" si="57"/>
        <v>0</v>
      </c>
      <c r="T115" s="1">
        <f t="shared" si="58"/>
        <v>0</v>
      </c>
      <c r="U115" s="1">
        <f t="shared" si="59"/>
        <v>0</v>
      </c>
      <c r="V115" s="1">
        <f t="shared" si="60"/>
        <v>0</v>
      </c>
      <c r="W115" s="1">
        <f t="shared" si="61"/>
        <v>0</v>
      </c>
      <c r="X115" s="1">
        <f t="shared" si="62"/>
        <v>0</v>
      </c>
      <c r="Y115" s="1">
        <f t="shared" si="63"/>
        <v>0</v>
      </c>
      <c r="Z115" s="1">
        <f t="shared" si="64"/>
        <v>0</v>
      </c>
      <c r="AA115" s="1">
        <f t="shared" si="65"/>
        <v>0</v>
      </c>
      <c r="AB115" s="1">
        <f t="shared" si="66"/>
        <v>0</v>
      </c>
      <c r="AD115" s="1">
        <f t="shared" si="67"/>
        <v>0</v>
      </c>
      <c r="AE115" s="1">
        <f t="shared" si="68"/>
        <v>0</v>
      </c>
      <c r="AF115" s="1">
        <f t="shared" si="53"/>
        <v>0</v>
      </c>
      <c r="AG115" s="1">
        <f t="shared" si="54"/>
        <v>0</v>
      </c>
      <c r="AH115" s="1">
        <f t="shared" si="55"/>
        <v>1</v>
      </c>
      <c r="AI115" s="1">
        <f t="shared" si="56"/>
        <v>0</v>
      </c>
    </row>
    <row r="116" spans="1:35" ht="14.25" customHeight="1" x14ac:dyDescent="0.25">
      <c r="A116" s="15">
        <v>0</v>
      </c>
      <c r="B116" s="15">
        <v>1</v>
      </c>
      <c r="C116" s="15">
        <v>3</v>
      </c>
      <c r="D116" s="16" t="s">
        <v>1320</v>
      </c>
      <c r="E116" s="16" t="s">
        <v>172</v>
      </c>
      <c r="F116" s="16" t="s">
        <v>1343</v>
      </c>
      <c r="G116" s="16" t="s">
        <v>39</v>
      </c>
      <c r="H116" s="16" t="s">
        <v>988</v>
      </c>
      <c r="I116" s="15" t="s">
        <v>989</v>
      </c>
      <c r="J116" s="15">
        <v>14</v>
      </c>
      <c r="K116" s="10" t="s">
        <v>703</v>
      </c>
      <c r="L116" s="10">
        <v>30</v>
      </c>
      <c r="M116" s="19" t="s">
        <v>971</v>
      </c>
      <c r="N116" s="17"/>
      <c r="Q116" s="16"/>
      <c r="S116" s="1">
        <f t="shared" si="57"/>
        <v>0</v>
      </c>
      <c r="T116" s="1">
        <f t="shared" si="58"/>
        <v>0</v>
      </c>
      <c r="U116" s="1">
        <f t="shared" si="59"/>
        <v>0</v>
      </c>
      <c r="V116" s="1">
        <f t="shared" si="60"/>
        <v>0</v>
      </c>
      <c r="W116" s="1">
        <f t="shared" si="61"/>
        <v>0</v>
      </c>
      <c r="X116" s="1">
        <f t="shared" si="62"/>
        <v>0</v>
      </c>
      <c r="Y116" s="1">
        <f t="shared" si="63"/>
        <v>0</v>
      </c>
      <c r="Z116" s="1">
        <f t="shared" si="64"/>
        <v>0</v>
      </c>
      <c r="AA116" s="1">
        <f t="shared" si="65"/>
        <v>0</v>
      </c>
      <c r="AB116" s="1">
        <f t="shared" si="66"/>
        <v>0</v>
      </c>
      <c r="AD116" s="1">
        <f t="shared" si="67"/>
        <v>0</v>
      </c>
      <c r="AE116" s="1">
        <f t="shared" si="68"/>
        <v>0</v>
      </c>
      <c r="AF116" s="1">
        <f t="shared" si="53"/>
        <v>0</v>
      </c>
      <c r="AG116" s="1">
        <f t="shared" si="54"/>
        <v>0</v>
      </c>
      <c r="AH116" s="1">
        <f t="shared" si="55"/>
        <v>0</v>
      </c>
      <c r="AI116" s="1">
        <f t="shared" si="56"/>
        <v>1</v>
      </c>
    </row>
    <row r="117" spans="1:35" ht="14.25" customHeight="1" x14ac:dyDescent="0.25">
      <c r="A117" s="44">
        <v>0</v>
      </c>
      <c r="B117" s="44">
        <v>1</v>
      </c>
      <c r="C117" s="44">
        <v>3</v>
      </c>
      <c r="D117" s="45" t="s">
        <v>699</v>
      </c>
      <c r="E117" s="45" t="s">
        <v>175</v>
      </c>
      <c r="F117" s="45" t="s">
        <v>700</v>
      </c>
      <c r="G117" s="45" t="s">
        <v>39</v>
      </c>
      <c r="H117" s="45" t="s">
        <v>701</v>
      </c>
      <c r="I117" s="44" t="s">
        <v>1115</v>
      </c>
      <c r="J117" s="44">
        <v>13</v>
      </c>
      <c r="K117" s="46" t="s">
        <v>702</v>
      </c>
      <c r="L117" s="46" t="s">
        <v>1699</v>
      </c>
      <c r="M117" s="47" t="s">
        <v>970</v>
      </c>
      <c r="N117" s="47" t="s">
        <v>1802</v>
      </c>
      <c r="O117" s="48"/>
      <c r="P117" s="48"/>
      <c r="Q117" s="45"/>
      <c r="S117" s="1">
        <f t="shared" si="57"/>
        <v>0</v>
      </c>
      <c r="T117" s="1">
        <f t="shared" si="58"/>
        <v>0</v>
      </c>
      <c r="U117" s="1">
        <f t="shared" si="59"/>
        <v>0</v>
      </c>
      <c r="V117" s="1">
        <f t="shared" si="60"/>
        <v>0</v>
      </c>
      <c r="W117" s="1">
        <f t="shared" si="61"/>
        <v>0</v>
      </c>
      <c r="X117" s="1">
        <f t="shared" si="62"/>
        <v>0</v>
      </c>
      <c r="Y117" s="1">
        <f t="shared" si="63"/>
        <v>0</v>
      </c>
      <c r="Z117" s="1">
        <f t="shared" si="64"/>
        <v>0</v>
      </c>
      <c r="AA117" s="1">
        <f t="shared" si="65"/>
        <v>0</v>
      </c>
      <c r="AB117" s="1">
        <f t="shared" si="66"/>
        <v>0</v>
      </c>
      <c r="AD117" s="1">
        <f t="shared" si="67"/>
        <v>0</v>
      </c>
      <c r="AE117" s="1">
        <f t="shared" si="68"/>
        <v>0</v>
      </c>
      <c r="AF117" s="1">
        <f t="shared" si="53"/>
        <v>0</v>
      </c>
      <c r="AG117" s="1">
        <f t="shared" si="54"/>
        <v>0</v>
      </c>
      <c r="AH117" s="1">
        <f t="shared" si="55"/>
        <v>0</v>
      </c>
      <c r="AI117" s="1">
        <f t="shared" si="56"/>
        <v>1</v>
      </c>
    </row>
    <row r="118" spans="1:35" ht="14.25" customHeight="1" x14ac:dyDescent="0.25">
      <c r="A118" s="31">
        <v>0</v>
      </c>
      <c r="B118" s="31">
        <v>1</v>
      </c>
      <c r="C118" s="31">
        <v>3</v>
      </c>
      <c r="D118" s="32" t="s">
        <v>1520</v>
      </c>
      <c r="E118" s="32" t="s">
        <v>170</v>
      </c>
      <c r="F118" s="32" t="s">
        <v>1667</v>
      </c>
      <c r="G118" s="32" t="s">
        <v>39</v>
      </c>
      <c r="H118" s="32" t="s">
        <v>1521</v>
      </c>
      <c r="I118" s="31" t="s">
        <v>1522</v>
      </c>
      <c r="J118" s="31">
        <v>11</v>
      </c>
      <c r="K118" s="33" t="s">
        <v>722</v>
      </c>
      <c r="L118" s="33">
        <v>40</v>
      </c>
      <c r="M118" s="34" t="s">
        <v>39</v>
      </c>
      <c r="N118" s="34" t="s">
        <v>1727</v>
      </c>
      <c r="O118" s="35">
        <v>1</v>
      </c>
      <c r="P118" s="35">
        <v>1</v>
      </c>
      <c r="Q118" s="32"/>
      <c r="S118" s="1">
        <f t="shared" si="57"/>
        <v>0</v>
      </c>
      <c r="T118" s="1">
        <f t="shared" si="58"/>
        <v>0</v>
      </c>
      <c r="U118" s="1">
        <f t="shared" si="59"/>
        <v>0</v>
      </c>
      <c r="V118" s="1">
        <f t="shared" si="60"/>
        <v>0</v>
      </c>
      <c r="W118" s="1">
        <f t="shared" si="61"/>
        <v>0</v>
      </c>
      <c r="X118" s="1">
        <f t="shared" si="62"/>
        <v>0</v>
      </c>
      <c r="Y118" s="1">
        <f t="shared" si="63"/>
        <v>0</v>
      </c>
      <c r="Z118" s="1">
        <f t="shared" si="64"/>
        <v>0</v>
      </c>
      <c r="AA118" s="1">
        <f t="shared" si="65"/>
        <v>0</v>
      </c>
      <c r="AB118" s="1">
        <f t="shared" si="66"/>
        <v>0</v>
      </c>
      <c r="AD118" s="1">
        <f t="shared" si="67"/>
        <v>1</v>
      </c>
      <c r="AE118" s="1">
        <f t="shared" si="68"/>
        <v>0</v>
      </c>
      <c r="AF118" s="1">
        <f t="shared" si="53"/>
        <v>1</v>
      </c>
      <c r="AG118" s="1">
        <f t="shared" si="54"/>
        <v>0</v>
      </c>
      <c r="AH118" s="1">
        <f t="shared" si="55"/>
        <v>1</v>
      </c>
      <c r="AI118" s="1">
        <f t="shared" si="56"/>
        <v>0</v>
      </c>
    </row>
    <row r="119" spans="1:35" ht="14.25" customHeight="1" x14ac:dyDescent="0.25">
      <c r="A119" s="15">
        <v>0</v>
      </c>
      <c r="B119" s="15">
        <v>1</v>
      </c>
      <c r="C119" s="15">
        <v>3</v>
      </c>
      <c r="D119" s="16" t="s">
        <v>146</v>
      </c>
      <c r="E119" s="16" t="s">
        <v>172</v>
      </c>
      <c r="F119" s="16" t="s">
        <v>348</v>
      </c>
      <c r="G119" s="16" t="s">
        <v>39</v>
      </c>
      <c r="H119" s="16" t="s">
        <v>367</v>
      </c>
      <c r="I119" s="15" t="s">
        <v>493</v>
      </c>
      <c r="J119" s="15">
        <v>18</v>
      </c>
      <c r="K119" s="10" t="s">
        <v>956</v>
      </c>
      <c r="L119" s="10" t="s">
        <v>697</v>
      </c>
      <c r="M119" s="19" t="s">
        <v>970</v>
      </c>
      <c r="N119" s="17"/>
      <c r="Q119" s="16"/>
      <c r="S119" s="1">
        <f t="shared" si="57"/>
        <v>0</v>
      </c>
      <c r="T119" s="1">
        <f t="shared" si="58"/>
        <v>0</v>
      </c>
      <c r="U119" s="1">
        <f t="shared" si="59"/>
        <v>0</v>
      </c>
      <c r="V119" s="1">
        <f t="shared" si="60"/>
        <v>0</v>
      </c>
      <c r="W119" s="1">
        <f t="shared" si="61"/>
        <v>0</v>
      </c>
      <c r="X119" s="1">
        <f t="shared" si="62"/>
        <v>0</v>
      </c>
      <c r="Y119" s="1">
        <f t="shared" si="63"/>
        <v>0</v>
      </c>
      <c r="Z119" s="1">
        <f t="shared" si="64"/>
        <v>0</v>
      </c>
      <c r="AA119" s="1">
        <f t="shared" si="65"/>
        <v>0</v>
      </c>
      <c r="AB119" s="1">
        <f t="shared" si="66"/>
        <v>0</v>
      </c>
      <c r="AD119" s="1">
        <f t="shared" si="67"/>
        <v>0</v>
      </c>
      <c r="AE119" s="1">
        <f t="shared" si="68"/>
        <v>0</v>
      </c>
      <c r="AF119" s="1">
        <f t="shared" si="53"/>
        <v>0</v>
      </c>
      <c r="AG119" s="1">
        <f t="shared" si="54"/>
        <v>0</v>
      </c>
      <c r="AH119" s="1">
        <f t="shared" si="55"/>
        <v>0</v>
      </c>
      <c r="AI119" s="1">
        <f t="shared" si="56"/>
        <v>1</v>
      </c>
    </row>
    <row r="120" spans="1:35" ht="14.25" customHeight="1" x14ac:dyDescent="0.25">
      <c r="A120" s="15">
        <v>0</v>
      </c>
      <c r="B120" s="15">
        <v>1</v>
      </c>
      <c r="C120" s="15">
        <v>3</v>
      </c>
      <c r="D120" s="20" t="s">
        <v>1978</v>
      </c>
      <c r="E120" s="20" t="s">
        <v>172</v>
      </c>
      <c r="F120" s="20" t="s">
        <v>1975</v>
      </c>
      <c r="G120" s="20"/>
      <c r="H120" s="20" t="s">
        <v>1976</v>
      </c>
      <c r="I120" s="21" t="s">
        <v>1974</v>
      </c>
      <c r="J120" s="15">
        <v>17</v>
      </c>
      <c r="K120" s="10" t="s">
        <v>703</v>
      </c>
      <c r="L120" s="10" t="s">
        <v>1742</v>
      </c>
      <c r="M120" s="19" t="s">
        <v>971</v>
      </c>
      <c r="N120" s="17"/>
      <c r="Q120" s="20" t="s">
        <v>1977</v>
      </c>
      <c r="S120" s="1">
        <f t="shared" si="57"/>
        <v>0</v>
      </c>
      <c r="T120" s="1">
        <f t="shared" si="58"/>
        <v>0</v>
      </c>
      <c r="U120" s="1">
        <f t="shared" si="59"/>
        <v>0</v>
      </c>
      <c r="V120" s="1">
        <f t="shared" si="60"/>
        <v>0</v>
      </c>
      <c r="W120" s="1">
        <f t="shared" si="61"/>
        <v>0</v>
      </c>
      <c r="X120" s="1">
        <f t="shared" si="62"/>
        <v>0</v>
      </c>
      <c r="Y120" s="1">
        <f t="shared" si="63"/>
        <v>0</v>
      </c>
      <c r="Z120" s="1">
        <f t="shared" si="64"/>
        <v>0</v>
      </c>
      <c r="AA120" s="1">
        <f t="shared" si="65"/>
        <v>0</v>
      </c>
      <c r="AB120" s="1">
        <f t="shared" si="66"/>
        <v>0</v>
      </c>
      <c r="AD120" s="1">
        <f t="shared" si="67"/>
        <v>0</v>
      </c>
      <c r="AE120" s="1">
        <f t="shared" si="68"/>
        <v>0</v>
      </c>
      <c r="AF120" s="1">
        <f t="shared" si="53"/>
        <v>0</v>
      </c>
      <c r="AG120" s="1">
        <f t="shared" si="54"/>
        <v>0</v>
      </c>
      <c r="AH120" s="1">
        <f t="shared" si="55"/>
        <v>0</v>
      </c>
      <c r="AI120" s="1">
        <f t="shared" si="56"/>
        <v>1</v>
      </c>
    </row>
    <row r="121" spans="1:35" ht="14.25" customHeight="1" x14ac:dyDescent="0.25">
      <c r="A121" s="44">
        <v>0</v>
      </c>
      <c r="B121" s="44">
        <v>1</v>
      </c>
      <c r="C121" s="44">
        <v>3</v>
      </c>
      <c r="D121" s="45" t="s">
        <v>1000</v>
      </c>
      <c r="E121" s="45" t="s">
        <v>172</v>
      </c>
      <c r="F121" s="65" t="s">
        <v>1867</v>
      </c>
      <c r="G121" s="45" t="s">
        <v>39</v>
      </c>
      <c r="H121" s="45" t="s">
        <v>1001</v>
      </c>
      <c r="I121" s="44" t="s">
        <v>1116</v>
      </c>
      <c r="J121" s="44">
        <v>16</v>
      </c>
      <c r="K121" s="46" t="s">
        <v>722</v>
      </c>
      <c r="L121" s="46" t="s">
        <v>1742</v>
      </c>
      <c r="M121" s="47" t="s">
        <v>1394</v>
      </c>
      <c r="N121" s="47" t="s">
        <v>1802</v>
      </c>
      <c r="O121" s="48"/>
      <c r="P121" s="48"/>
      <c r="Q121" s="65" t="s">
        <v>1890</v>
      </c>
      <c r="S121" s="1">
        <f t="shared" si="57"/>
        <v>0</v>
      </c>
      <c r="T121" s="1">
        <f t="shared" si="58"/>
        <v>0</v>
      </c>
      <c r="U121" s="1">
        <f t="shared" si="59"/>
        <v>0</v>
      </c>
      <c r="V121" s="1">
        <f t="shared" si="60"/>
        <v>0</v>
      </c>
      <c r="W121" s="1">
        <f t="shared" si="61"/>
        <v>0</v>
      </c>
      <c r="X121" s="1">
        <f t="shared" si="62"/>
        <v>0</v>
      </c>
      <c r="Y121" s="1">
        <f t="shared" si="63"/>
        <v>0</v>
      </c>
      <c r="Z121" s="1">
        <f t="shared" si="64"/>
        <v>0</v>
      </c>
      <c r="AA121" s="1">
        <f t="shared" si="65"/>
        <v>0</v>
      </c>
      <c r="AB121" s="1">
        <f t="shared" si="66"/>
        <v>0</v>
      </c>
      <c r="AD121" s="1">
        <f t="shared" si="67"/>
        <v>0</v>
      </c>
      <c r="AE121" s="1">
        <f t="shared" si="68"/>
        <v>0</v>
      </c>
      <c r="AF121" s="1">
        <f t="shared" si="53"/>
        <v>0</v>
      </c>
      <c r="AG121" s="1">
        <f t="shared" si="54"/>
        <v>0</v>
      </c>
      <c r="AH121" s="1">
        <f t="shared" si="55"/>
        <v>0</v>
      </c>
      <c r="AI121" s="1">
        <f t="shared" si="56"/>
        <v>1</v>
      </c>
    </row>
    <row r="122" spans="1:35" ht="14.25" customHeight="1" x14ac:dyDescent="0.25">
      <c r="A122" s="15">
        <v>0</v>
      </c>
      <c r="B122" s="15">
        <v>1</v>
      </c>
      <c r="C122" s="15">
        <v>3</v>
      </c>
      <c r="D122" s="16" t="s">
        <v>1127</v>
      </c>
      <c r="E122" s="16" t="s">
        <v>172</v>
      </c>
      <c r="F122" s="16" t="s">
        <v>1344</v>
      </c>
      <c r="G122" s="16" t="s">
        <v>39</v>
      </c>
      <c r="H122" s="16" t="s">
        <v>1129</v>
      </c>
      <c r="I122" s="15" t="s">
        <v>1128</v>
      </c>
      <c r="J122" s="15">
        <v>14</v>
      </c>
      <c r="K122" s="10" t="s">
        <v>958</v>
      </c>
      <c r="L122" s="10" t="s">
        <v>1699</v>
      </c>
      <c r="M122" s="19" t="s">
        <v>1395</v>
      </c>
      <c r="N122" s="17"/>
      <c r="Q122" s="16"/>
      <c r="S122" s="1">
        <f t="shared" si="57"/>
        <v>0</v>
      </c>
      <c r="T122" s="1">
        <f t="shared" si="58"/>
        <v>0</v>
      </c>
      <c r="U122" s="1">
        <f t="shared" si="59"/>
        <v>0</v>
      </c>
      <c r="V122" s="1">
        <f t="shared" si="60"/>
        <v>0</v>
      </c>
      <c r="W122" s="1">
        <f t="shared" si="61"/>
        <v>0</v>
      </c>
      <c r="X122" s="1">
        <f t="shared" si="62"/>
        <v>0</v>
      </c>
      <c r="Y122" s="1">
        <f t="shared" si="63"/>
        <v>0</v>
      </c>
      <c r="Z122" s="1">
        <f t="shared" si="64"/>
        <v>0</v>
      </c>
      <c r="AA122" s="1">
        <f t="shared" si="65"/>
        <v>0</v>
      </c>
      <c r="AB122" s="1">
        <f t="shared" si="66"/>
        <v>0</v>
      </c>
      <c r="AD122" s="1">
        <f t="shared" si="67"/>
        <v>0</v>
      </c>
      <c r="AE122" s="1">
        <f t="shared" si="68"/>
        <v>0</v>
      </c>
      <c r="AF122" s="1">
        <f t="shared" si="53"/>
        <v>0</v>
      </c>
      <c r="AG122" s="1">
        <f t="shared" si="54"/>
        <v>0</v>
      </c>
      <c r="AH122" s="1">
        <f t="shared" si="55"/>
        <v>0</v>
      </c>
      <c r="AI122" s="1">
        <f t="shared" si="56"/>
        <v>1</v>
      </c>
    </row>
    <row r="123" spans="1:35" ht="14.25" customHeight="1" x14ac:dyDescent="0.25">
      <c r="A123" s="31">
        <v>0</v>
      </c>
      <c r="B123" s="31">
        <v>1</v>
      </c>
      <c r="C123" s="31">
        <v>3</v>
      </c>
      <c r="D123" s="32" t="s">
        <v>1078</v>
      </c>
      <c r="E123" s="32" t="s">
        <v>172</v>
      </c>
      <c r="F123" s="32" t="s">
        <v>1040</v>
      </c>
      <c r="G123" s="32" t="s">
        <v>1104</v>
      </c>
      <c r="H123" s="32" t="s">
        <v>354</v>
      </c>
      <c r="I123" s="31" t="s">
        <v>1041</v>
      </c>
      <c r="J123" s="31">
        <v>1</v>
      </c>
      <c r="K123" s="33" t="s">
        <v>958</v>
      </c>
      <c r="L123" s="33" t="s">
        <v>687</v>
      </c>
      <c r="M123" s="34" t="s">
        <v>971</v>
      </c>
      <c r="N123" s="34" t="s">
        <v>1755</v>
      </c>
      <c r="O123" s="35">
        <v>1</v>
      </c>
      <c r="P123" s="35"/>
      <c r="Q123" s="32"/>
      <c r="S123" s="1">
        <f t="shared" si="57"/>
        <v>1</v>
      </c>
      <c r="T123" s="1">
        <f t="shared" si="58"/>
        <v>0</v>
      </c>
      <c r="U123" s="1">
        <f t="shared" si="59"/>
        <v>0</v>
      </c>
      <c r="V123" s="1">
        <f t="shared" si="60"/>
        <v>0</v>
      </c>
      <c r="W123" s="1">
        <f t="shared" si="61"/>
        <v>0</v>
      </c>
      <c r="X123" s="1">
        <f t="shared" si="62"/>
        <v>0</v>
      </c>
      <c r="Y123" s="1">
        <f t="shared" si="63"/>
        <v>0</v>
      </c>
      <c r="Z123" s="1">
        <f t="shared" si="64"/>
        <v>0</v>
      </c>
      <c r="AA123" s="1">
        <f t="shared" si="65"/>
        <v>0</v>
      </c>
      <c r="AB123" s="1">
        <f t="shared" si="66"/>
        <v>0</v>
      </c>
      <c r="AD123" s="1">
        <f t="shared" si="67"/>
        <v>0</v>
      </c>
      <c r="AE123" s="1">
        <f t="shared" si="68"/>
        <v>1</v>
      </c>
      <c r="AF123" s="1">
        <f t="shared" si="53"/>
        <v>0</v>
      </c>
      <c r="AG123" s="1">
        <f t="shared" si="54"/>
        <v>1</v>
      </c>
      <c r="AH123" s="1">
        <f t="shared" si="55"/>
        <v>0</v>
      </c>
      <c r="AI123" s="1">
        <f t="shared" si="56"/>
        <v>1</v>
      </c>
    </row>
    <row r="124" spans="1:35" ht="14.25" customHeight="1" x14ac:dyDescent="0.25">
      <c r="A124" s="31">
        <v>0</v>
      </c>
      <c r="B124" s="31">
        <v>1</v>
      </c>
      <c r="C124" s="31">
        <v>3</v>
      </c>
      <c r="D124" s="32" t="s">
        <v>1629</v>
      </c>
      <c r="E124" s="32" t="s">
        <v>1087</v>
      </c>
      <c r="F124" s="32" t="s">
        <v>1630</v>
      </c>
      <c r="G124" s="32" t="s">
        <v>39</v>
      </c>
      <c r="H124" s="32" t="s">
        <v>1631</v>
      </c>
      <c r="I124" s="31" t="s">
        <v>1632</v>
      </c>
      <c r="J124" s="31">
        <v>15</v>
      </c>
      <c r="K124" s="33" t="s">
        <v>958</v>
      </c>
      <c r="L124" s="33" t="s">
        <v>39</v>
      </c>
      <c r="M124" s="34" t="s">
        <v>39</v>
      </c>
      <c r="N124" s="34" t="s">
        <v>1748</v>
      </c>
      <c r="O124" s="35">
        <v>1</v>
      </c>
      <c r="P124" s="35"/>
      <c r="Q124" s="36" t="s">
        <v>1895</v>
      </c>
      <c r="S124" s="1">
        <f t="shared" si="57"/>
        <v>0</v>
      </c>
      <c r="T124" s="1">
        <f t="shared" si="58"/>
        <v>0</v>
      </c>
      <c r="U124" s="1">
        <f t="shared" si="59"/>
        <v>0</v>
      </c>
      <c r="V124" s="1">
        <f t="shared" si="60"/>
        <v>0</v>
      </c>
      <c r="W124" s="1">
        <f t="shared" si="61"/>
        <v>0</v>
      </c>
      <c r="X124" s="1">
        <f t="shared" si="62"/>
        <v>0</v>
      </c>
      <c r="Y124" s="1">
        <f t="shared" si="63"/>
        <v>0</v>
      </c>
      <c r="Z124" s="1">
        <f t="shared" si="64"/>
        <v>0</v>
      </c>
      <c r="AA124" s="1">
        <f t="shared" si="65"/>
        <v>0</v>
      </c>
      <c r="AB124" s="1">
        <f t="shared" si="66"/>
        <v>0</v>
      </c>
      <c r="AD124" s="1">
        <f t="shared" si="67"/>
        <v>0</v>
      </c>
      <c r="AE124" s="1">
        <f t="shared" si="68"/>
        <v>1</v>
      </c>
      <c r="AF124" s="1">
        <f t="shared" si="53"/>
        <v>0</v>
      </c>
      <c r="AG124" s="1">
        <f t="shared" si="54"/>
        <v>1</v>
      </c>
      <c r="AH124" s="1">
        <f t="shared" si="55"/>
        <v>0</v>
      </c>
      <c r="AI124" s="1">
        <f t="shared" si="56"/>
        <v>1</v>
      </c>
    </row>
    <row r="125" spans="1:35" ht="14.25" customHeight="1" x14ac:dyDescent="0.25">
      <c r="A125" s="15">
        <v>0</v>
      </c>
      <c r="B125" s="15">
        <v>1</v>
      </c>
      <c r="C125" s="15">
        <v>3</v>
      </c>
      <c r="D125" s="16" t="s">
        <v>613</v>
      </c>
      <c r="E125" s="16" t="s">
        <v>170</v>
      </c>
      <c r="F125" s="16" t="s">
        <v>614</v>
      </c>
      <c r="G125" s="16" t="s">
        <v>39</v>
      </c>
      <c r="H125" s="16" t="s">
        <v>366</v>
      </c>
      <c r="I125" s="15" t="s">
        <v>615</v>
      </c>
      <c r="J125" s="15">
        <v>18</v>
      </c>
      <c r="K125" s="10" t="s">
        <v>722</v>
      </c>
      <c r="L125" s="10" t="s">
        <v>1742</v>
      </c>
      <c r="M125" s="19" t="s">
        <v>39</v>
      </c>
      <c r="N125" s="17"/>
      <c r="Q125" s="16"/>
      <c r="S125" s="1">
        <f t="shared" si="57"/>
        <v>0</v>
      </c>
      <c r="T125" s="1">
        <f t="shared" si="58"/>
        <v>0</v>
      </c>
      <c r="U125" s="1">
        <f t="shared" si="59"/>
        <v>0</v>
      </c>
      <c r="V125" s="1">
        <f t="shared" si="60"/>
        <v>0</v>
      </c>
      <c r="W125" s="1">
        <f t="shared" si="61"/>
        <v>0</v>
      </c>
      <c r="X125" s="1">
        <f t="shared" si="62"/>
        <v>0</v>
      </c>
      <c r="Y125" s="1">
        <f t="shared" si="63"/>
        <v>0</v>
      </c>
      <c r="Z125" s="1">
        <f t="shared" si="64"/>
        <v>0</v>
      </c>
      <c r="AA125" s="1">
        <f t="shared" si="65"/>
        <v>0</v>
      </c>
      <c r="AB125" s="1">
        <f t="shared" si="66"/>
        <v>0</v>
      </c>
      <c r="AD125" s="1">
        <f t="shared" si="67"/>
        <v>0</v>
      </c>
      <c r="AE125" s="1">
        <f t="shared" si="68"/>
        <v>0</v>
      </c>
      <c r="AF125" s="1">
        <f t="shared" si="53"/>
        <v>0</v>
      </c>
      <c r="AG125" s="1">
        <f t="shared" si="54"/>
        <v>0</v>
      </c>
      <c r="AH125" s="1">
        <f t="shared" si="55"/>
        <v>0</v>
      </c>
      <c r="AI125" s="1">
        <f t="shared" si="56"/>
        <v>1</v>
      </c>
    </row>
    <row r="126" spans="1:35" ht="14.25" customHeight="1" x14ac:dyDescent="0.25">
      <c r="A126" s="15">
        <v>0</v>
      </c>
      <c r="B126" s="15">
        <v>1</v>
      </c>
      <c r="C126" s="15">
        <v>3</v>
      </c>
      <c r="D126" s="20" t="s">
        <v>1950</v>
      </c>
      <c r="E126" s="20" t="s">
        <v>172</v>
      </c>
      <c r="F126" s="20" t="s">
        <v>1971</v>
      </c>
      <c r="G126" s="20"/>
      <c r="H126" s="20" t="s">
        <v>1970</v>
      </c>
      <c r="I126" s="21" t="s">
        <v>1972</v>
      </c>
      <c r="J126" s="15">
        <v>15</v>
      </c>
      <c r="K126" s="10" t="s">
        <v>703</v>
      </c>
      <c r="L126" s="10" t="s">
        <v>1742</v>
      </c>
      <c r="M126" s="19" t="s">
        <v>971</v>
      </c>
      <c r="N126" s="17"/>
      <c r="Q126" s="20" t="s">
        <v>1973</v>
      </c>
      <c r="S126" s="1">
        <f t="shared" si="57"/>
        <v>0</v>
      </c>
      <c r="T126" s="1">
        <f t="shared" si="58"/>
        <v>0</v>
      </c>
      <c r="U126" s="1">
        <f t="shared" si="59"/>
        <v>0</v>
      </c>
      <c r="V126" s="1">
        <f t="shared" si="60"/>
        <v>0</v>
      </c>
      <c r="W126" s="1">
        <f t="shared" si="61"/>
        <v>0</v>
      </c>
      <c r="X126" s="1">
        <f t="shared" si="62"/>
        <v>0</v>
      </c>
      <c r="Y126" s="1">
        <f t="shared" si="63"/>
        <v>0</v>
      </c>
      <c r="Z126" s="1">
        <f t="shared" si="64"/>
        <v>0</v>
      </c>
      <c r="AA126" s="1">
        <f t="shared" si="65"/>
        <v>0</v>
      </c>
      <c r="AB126" s="1">
        <f t="shared" si="66"/>
        <v>0</v>
      </c>
      <c r="AD126" s="1">
        <f t="shared" si="67"/>
        <v>0</v>
      </c>
      <c r="AE126" s="1">
        <f t="shared" si="68"/>
        <v>0</v>
      </c>
      <c r="AF126" s="1">
        <f t="shared" si="53"/>
        <v>0</v>
      </c>
      <c r="AG126" s="1">
        <f t="shared" si="54"/>
        <v>0</v>
      </c>
      <c r="AH126" s="1">
        <f t="shared" si="55"/>
        <v>0</v>
      </c>
      <c r="AI126" s="1">
        <f t="shared" si="56"/>
        <v>1</v>
      </c>
    </row>
    <row r="127" spans="1:35" ht="14.25" customHeight="1" x14ac:dyDescent="0.25">
      <c r="A127" s="31">
        <v>0</v>
      </c>
      <c r="B127" s="31">
        <v>1</v>
      </c>
      <c r="C127" s="31">
        <v>3</v>
      </c>
      <c r="D127" s="32" t="s">
        <v>920</v>
      </c>
      <c r="E127" s="32" t="s">
        <v>172</v>
      </c>
      <c r="F127" s="32" t="s">
        <v>1157</v>
      </c>
      <c r="G127" s="32" t="s">
        <v>39</v>
      </c>
      <c r="H127" s="32" t="s">
        <v>363</v>
      </c>
      <c r="I127" s="31" t="s">
        <v>891</v>
      </c>
      <c r="J127" s="31">
        <v>14</v>
      </c>
      <c r="K127" s="33" t="s">
        <v>957</v>
      </c>
      <c r="L127" s="33" t="s">
        <v>39</v>
      </c>
      <c r="M127" s="34" t="s">
        <v>39</v>
      </c>
      <c r="N127" s="34" t="s">
        <v>1733</v>
      </c>
      <c r="O127" s="35">
        <v>1</v>
      </c>
      <c r="P127" s="35">
        <v>1</v>
      </c>
      <c r="Q127" s="36"/>
      <c r="S127" s="1">
        <f t="shared" si="57"/>
        <v>0</v>
      </c>
      <c r="T127" s="1">
        <f t="shared" si="58"/>
        <v>0</v>
      </c>
      <c r="U127" s="1">
        <f t="shared" si="59"/>
        <v>0</v>
      </c>
      <c r="V127" s="1">
        <f t="shared" si="60"/>
        <v>0</v>
      </c>
      <c r="W127" s="1">
        <f t="shared" si="61"/>
        <v>0</v>
      </c>
      <c r="X127" s="1">
        <f t="shared" si="62"/>
        <v>0</v>
      </c>
      <c r="Y127" s="1">
        <f t="shared" si="63"/>
        <v>0</v>
      </c>
      <c r="Z127" s="1">
        <f t="shared" si="64"/>
        <v>0</v>
      </c>
      <c r="AA127" s="1">
        <f t="shared" si="65"/>
        <v>0</v>
      </c>
      <c r="AB127" s="1">
        <f t="shared" si="66"/>
        <v>0</v>
      </c>
      <c r="AD127" s="1">
        <f t="shared" si="67"/>
        <v>1</v>
      </c>
      <c r="AE127" s="1">
        <f t="shared" si="68"/>
        <v>0</v>
      </c>
      <c r="AF127" s="1">
        <f t="shared" si="53"/>
        <v>1</v>
      </c>
      <c r="AG127" s="1">
        <f t="shared" si="54"/>
        <v>0</v>
      </c>
      <c r="AH127" s="1">
        <f t="shared" si="55"/>
        <v>1</v>
      </c>
      <c r="AI127" s="1">
        <f t="shared" si="56"/>
        <v>0</v>
      </c>
    </row>
    <row r="128" spans="1:35" ht="14.25" customHeight="1" x14ac:dyDescent="0.25">
      <c r="A128" s="15">
        <v>0</v>
      </c>
      <c r="B128" s="15">
        <v>1</v>
      </c>
      <c r="C128" s="15">
        <v>3</v>
      </c>
      <c r="D128" s="16" t="s">
        <v>105</v>
      </c>
      <c r="E128" s="16" t="s">
        <v>172</v>
      </c>
      <c r="F128" s="16" t="s">
        <v>931</v>
      </c>
      <c r="G128" s="16" t="s">
        <v>39</v>
      </c>
      <c r="H128" s="16" t="s">
        <v>358</v>
      </c>
      <c r="I128" s="15" t="s">
        <v>452</v>
      </c>
      <c r="J128" s="15">
        <v>18</v>
      </c>
      <c r="K128" s="10" t="s">
        <v>956</v>
      </c>
      <c r="L128" s="10" t="s">
        <v>697</v>
      </c>
      <c r="M128" s="19" t="s">
        <v>691</v>
      </c>
      <c r="N128" s="17"/>
      <c r="Q128" s="16" t="s">
        <v>1888</v>
      </c>
      <c r="S128" s="1">
        <f t="shared" si="57"/>
        <v>0</v>
      </c>
      <c r="T128" s="1">
        <f t="shared" si="58"/>
        <v>0</v>
      </c>
      <c r="U128" s="1">
        <f t="shared" si="59"/>
        <v>0</v>
      </c>
      <c r="V128" s="1">
        <f t="shared" si="60"/>
        <v>0</v>
      </c>
      <c r="W128" s="1">
        <f t="shared" si="61"/>
        <v>0</v>
      </c>
      <c r="X128" s="1">
        <f t="shared" si="62"/>
        <v>0</v>
      </c>
      <c r="Y128" s="1">
        <f t="shared" si="63"/>
        <v>0</v>
      </c>
      <c r="Z128" s="1">
        <f t="shared" si="64"/>
        <v>0</v>
      </c>
      <c r="AA128" s="1">
        <f t="shared" si="65"/>
        <v>0</v>
      </c>
      <c r="AB128" s="1">
        <f t="shared" si="66"/>
        <v>0</v>
      </c>
      <c r="AD128" s="1">
        <f t="shared" si="67"/>
        <v>0</v>
      </c>
      <c r="AE128" s="1">
        <f t="shared" si="68"/>
        <v>0</v>
      </c>
      <c r="AF128" s="1">
        <f t="shared" si="53"/>
        <v>0</v>
      </c>
      <c r="AG128" s="1">
        <f t="shared" si="54"/>
        <v>0</v>
      </c>
      <c r="AH128" s="1">
        <f t="shared" si="55"/>
        <v>0</v>
      </c>
      <c r="AI128" s="1">
        <f t="shared" si="56"/>
        <v>1</v>
      </c>
    </row>
    <row r="129" spans="1:35" ht="14.25" customHeight="1" x14ac:dyDescent="0.25">
      <c r="A129" s="31">
        <v>0</v>
      </c>
      <c r="B129" s="31">
        <v>1</v>
      </c>
      <c r="C129" s="31">
        <v>3</v>
      </c>
      <c r="D129" s="32" t="s">
        <v>1508</v>
      </c>
      <c r="E129" s="32" t="s">
        <v>1652</v>
      </c>
      <c r="F129" s="32" t="s">
        <v>1510</v>
      </c>
      <c r="G129" s="32" t="s">
        <v>39</v>
      </c>
      <c r="H129" s="32" t="s">
        <v>1511</v>
      </c>
      <c r="I129" s="31" t="s">
        <v>1509</v>
      </c>
      <c r="J129" s="31">
        <v>14</v>
      </c>
      <c r="K129" s="33" t="s">
        <v>962</v>
      </c>
      <c r="L129" s="33" t="s">
        <v>687</v>
      </c>
      <c r="M129" s="34" t="s">
        <v>1396</v>
      </c>
      <c r="N129" s="34" t="s">
        <v>1727</v>
      </c>
      <c r="O129" s="35">
        <v>1</v>
      </c>
      <c r="P129" s="35">
        <v>1</v>
      </c>
      <c r="Q129" s="36"/>
      <c r="S129" s="1">
        <f t="shared" si="57"/>
        <v>0</v>
      </c>
      <c r="T129" s="1">
        <f t="shared" si="58"/>
        <v>0</v>
      </c>
      <c r="U129" s="1">
        <f t="shared" si="59"/>
        <v>0</v>
      </c>
      <c r="V129" s="1">
        <f t="shared" si="60"/>
        <v>0</v>
      </c>
      <c r="W129" s="1">
        <f t="shared" si="61"/>
        <v>0</v>
      </c>
      <c r="X129" s="1">
        <f t="shared" si="62"/>
        <v>0</v>
      </c>
      <c r="Y129" s="1">
        <f t="shared" si="63"/>
        <v>0</v>
      </c>
      <c r="Z129" s="1">
        <f t="shared" si="64"/>
        <v>0</v>
      </c>
      <c r="AA129" s="1">
        <f t="shared" si="65"/>
        <v>0</v>
      </c>
      <c r="AB129" s="1">
        <f t="shared" si="66"/>
        <v>0</v>
      </c>
      <c r="AD129" s="1">
        <f t="shared" si="67"/>
        <v>1</v>
      </c>
      <c r="AE129" s="1">
        <f t="shared" si="68"/>
        <v>0</v>
      </c>
      <c r="AF129" s="1">
        <f t="shared" si="53"/>
        <v>1</v>
      </c>
      <c r="AG129" s="1">
        <f t="shared" si="54"/>
        <v>0</v>
      </c>
      <c r="AH129" s="1">
        <f t="shared" si="55"/>
        <v>1</v>
      </c>
      <c r="AI129" s="1">
        <f t="shared" si="56"/>
        <v>0</v>
      </c>
    </row>
    <row r="130" spans="1:35" ht="14.25" customHeight="1" x14ac:dyDescent="0.25">
      <c r="A130" s="44">
        <v>0</v>
      </c>
      <c r="B130" s="44">
        <v>1</v>
      </c>
      <c r="C130" s="44">
        <v>3</v>
      </c>
      <c r="D130" s="45" t="s">
        <v>1256</v>
      </c>
      <c r="E130" s="45" t="s">
        <v>172</v>
      </c>
      <c r="F130" s="45" t="s">
        <v>1257</v>
      </c>
      <c r="G130" s="45" t="s">
        <v>1259</v>
      </c>
      <c r="H130" s="45" t="s">
        <v>354</v>
      </c>
      <c r="I130" s="44" t="s">
        <v>1258</v>
      </c>
      <c r="J130" s="44">
        <v>99</v>
      </c>
      <c r="K130" s="46" t="s">
        <v>958</v>
      </c>
      <c r="L130" s="46" t="s">
        <v>693</v>
      </c>
      <c r="M130" s="47" t="s">
        <v>971</v>
      </c>
      <c r="N130" s="47" t="s">
        <v>1802</v>
      </c>
      <c r="O130" s="48"/>
      <c r="P130" s="48"/>
      <c r="Q130" s="45"/>
      <c r="S130" s="1">
        <f t="shared" si="57"/>
        <v>0</v>
      </c>
      <c r="T130" s="1">
        <f t="shared" si="58"/>
        <v>0</v>
      </c>
      <c r="U130" s="1">
        <f t="shared" si="59"/>
        <v>0</v>
      </c>
      <c r="V130" s="1">
        <f t="shared" si="60"/>
        <v>0</v>
      </c>
      <c r="W130" s="1">
        <f t="shared" si="61"/>
        <v>0</v>
      </c>
      <c r="X130" s="1">
        <f t="shared" si="62"/>
        <v>0</v>
      </c>
      <c r="Y130" s="1">
        <f t="shared" si="63"/>
        <v>0</v>
      </c>
      <c r="Z130" s="1">
        <f t="shared" si="64"/>
        <v>0</v>
      </c>
      <c r="AA130" s="1">
        <f t="shared" si="65"/>
        <v>0</v>
      </c>
      <c r="AB130" s="1">
        <f t="shared" si="66"/>
        <v>0</v>
      </c>
      <c r="AD130" s="1">
        <f t="shared" si="67"/>
        <v>0</v>
      </c>
      <c r="AE130" s="1">
        <f t="shared" si="68"/>
        <v>0</v>
      </c>
      <c r="AF130" s="1">
        <f t="shared" si="53"/>
        <v>0</v>
      </c>
      <c r="AG130" s="1">
        <f t="shared" si="54"/>
        <v>0</v>
      </c>
      <c r="AH130" s="1">
        <f t="shared" si="55"/>
        <v>0</v>
      </c>
      <c r="AI130" s="1">
        <f t="shared" si="56"/>
        <v>1</v>
      </c>
    </row>
    <row r="131" spans="1:35" ht="14.25" customHeight="1" x14ac:dyDescent="0.25">
      <c r="A131" s="15">
        <v>0</v>
      </c>
      <c r="B131" s="15">
        <v>1</v>
      </c>
      <c r="C131" s="15">
        <v>3</v>
      </c>
      <c r="D131" s="16" t="s">
        <v>1502</v>
      </c>
      <c r="E131" s="16" t="s">
        <v>172</v>
      </c>
      <c r="F131" s="16" t="s">
        <v>1503</v>
      </c>
      <c r="G131" s="16" t="s">
        <v>39</v>
      </c>
      <c r="H131" s="16" t="s">
        <v>365</v>
      </c>
      <c r="I131" s="15" t="s">
        <v>1504</v>
      </c>
      <c r="J131" s="15">
        <v>18</v>
      </c>
      <c r="K131" s="10" t="s">
        <v>956</v>
      </c>
      <c r="L131" s="10" t="s">
        <v>1742</v>
      </c>
      <c r="M131" s="19" t="s">
        <v>39</v>
      </c>
      <c r="N131" s="17"/>
      <c r="Q131" s="16"/>
      <c r="S131" s="1">
        <f t="shared" si="57"/>
        <v>0</v>
      </c>
      <c r="T131" s="1">
        <f t="shared" si="58"/>
        <v>0</v>
      </c>
      <c r="U131" s="1">
        <f t="shared" si="59"/>
        <v>0</v>
      </c>
      <c r="V131" s="1">
        <f t="shared" si="60"/>
        <v>0</v>
      </c>
      <c r="W131" s="1">
        <f t="shared" si="61"/>
        <v>0</v>
      </c>
      <c r="X131" s="1">
        <f t="shared" si="62"/>
        <v>0</v>
      </c>
      <c r="Y131" s="1">
        <f t="shared" si="63"/>
        <v>0</v>
      </c>
      <c r="Z131" s="1">
        <f t="shared" si="64"/>
        <v>0</v>
      </c>
      <c r="AA131" s="1">
        <f t="shared" si="65"/>
        <v>0</v>
      </c>
      <c r="AB131" s="1">
        <f t="shared" si="66"/>
        <v>0</v>
      </c>
      <c r="AD131" s="1">
        <f t="shared" si="67"/>
        <v>0</v>
      </c>
      <c r="AE131" s="1">
        <f t="shared" si="68"/>
        <v>0</v>
      </c>
      <c r="AF131" s="1">
        <f t="shared" si="53"/>
        <v>0</v>
      </c>
      <c r="AG131" s="1">
        <f t="shared" si="54"/>
        <v>0</v>
      </c>
      <c r="AH131" s="1">
        <f t="shared" si="55"/>
        <v>0</v>
      </c>
      <c r="AI131" s="1">
        <f t="shared" si="56"/>
        <v>1</v>
      </c>
    </row>
    <row r="132" spans="1:35" ht="14.25" customHeight="1" x14ac:dyDescent="0.25">
      <c r="A132" s="15">
        <v>0</v>
      </c>
      <c r="B132" s="15">
        <v>1</v>
      </c>
      <c r="C132" s="15">
        <v>3</v>
      </c>
      <c r="D132" s="16" t="s">
        <v>1623</v>
      </c>
      <c r="E132" s="16" t="s">
        <v>172</v>
      </c>
      <c r="F132" s="16" t="s">
        <v>1626</v>
      </c>
      <c r="G132" s="16" t="s">
        <v>39</v>
      </c>
      <c r="H132" s="16" t="s">
        <v>1624</v>
      </c>
      <c r="I132" s="15" t="s">
        <v>1625</v>
      </c>
      <c r="J132" s="15">
        <v>15</v>
      </c>
      <c r="K132" s="10" t="s">
        <v>722</v>
      </c>
      <c r="L132" s="10" t="s">
        <v>39</v>
      </c>
      <c r="M132" s="19" t="s">
        <v>39</v>
      </c>
      <c r="N132" s="17"/>
      <c r="Q132" s="16"/>
      <c r="S132" s="1">
        <f t="shared" si="57"/>
        <v>0</v>
      </c>
      <c r="T132" s="1">
        <f t="shared" si="58"/>
        <v>0</v>
      </c>
      <c r="U132" s="1">
        <f t="shared" si="59"/>
        <v>0</v>
      </c>
      <c r="V132" s="1">
        <f t="shared" si="60"/>
        <v>0</v>
      </c>
      <c r="W132" s="1">
        <f t="shared" si="61"/>
        <v>0</v>
      </c>
      <c r="X132" s="1">
        <f t="shared" si="62"/>
        <v>0</v>
      </c>
      <c r="Y132" s="1">
        <f t="shared" si="63"/>
        <v>0</v>
      </c>
      <c r="Z132" s="1">
        <f t="shared" si="64"/>
        <v>0</v>
      </c>
      <c r="AA132" s="1">
        <f t="shared" si="65"/>
        <v>0</v>
      </c>
      <c r="AB132" s="1">
        <f t="shared" si="66"/>
        <v>0</v>
      </c>
      <c r="AD132" s="1">
        <f t="shared" si="67"/>
        <v>0</v>
      </c>
      <c r="AE132" s="1">
        <f t="shared" si="68"/>
        <v>0</v>
      </c>
      <c r="AF132" s="1">
        <f t="shared" si="53"/>
        <v>0</v>
      </c>
      <c r="AG132" s="1">
        <f t="shared" si="54"/>
        <v>0</v>
      </c>
      <c r="AH132" s="1">
        <f t="shared" si="55"/>
        <v>0</v>
      </c>
      <c r="AI132" s="1">
        <f t="shared" si="56"/>
        <v>1</v>
      </c>
    </row>
    <row r="133" spans="1:35" ht="14.25" customHeight="1" x14ac:dyDescent="0.25">
      <c r="A133" s="31">
        <v>0</v>
      </c>
      <c r="B133" s="31">
        <v>1</v>
      </c>
      <c r="C133" s="31">
        <v>3</v>
      </c>
      <c r="D133" s="32" t="s">
        <v>1244</v>
      </c>
      <c r="E133" s="32" t="s">
        <v>1246</v>
      </c>
      <c r="F133" s="32" t="s">
        <v>1247</v>
      </c>
      <c r="G133" s="32" t="s">
        <v>39</v>
      </c>
      <c r="H133" s="32" t="s">
        <v>369</v>
      </c>
      <c r="I133" s="31" t="s">
        <v>1245</v>
      </c>
      <c r="J133" s="31">
        <v>14</v>
      </c>
      <c r="K133" s="33" t="s">
        <v>958</v>
      </c>
      <c r="L133" s="33" t="s">
        <v>687</v>
      </c>
      <c r="M133" s="34" t="s">
        <v>1396</v>
      </c>
      <c r="N133" s="34" t="s">
        <v>1733</v>
      </c>
      <c r="O133" s="35">
        <v>1</v>
      </c>
      <c r="P133" s="35">
        <v>1</v>
      </c>
      <c r="Q133" s="32"/>
      <c r="S133" s="1">
        <f t="shared" si="57"/>
        <v>0</v>
      </c>
      <c r="T133" s="1">
        <f t="shared" si="58"/>
        <v>0</v>
      </c>
      <c r="U133" s="1">
        <f t="shared" si="59"/>
        <v>0</v>
      </c>
      <c r="V133" s="1">
        <f t="shared" si="60"/>
        <v>0</v>
      </c>
      <c r="W133" s="1">
        <f t="shared" si="61"/>
        <v>0</v>
      </c>
      <c r="X133" s="1">
        <f t="shared" si="62"/>
        <v>0</v>
      </c>
      <c r="Y133" s="1">
        <f t="shared" si="63"/>
        <v>0</v>
      </c>
      <c r="Z133" s="1">
        <f t="shared" si="64"/>
        <v>0</v>
      </c>
      <c r="AA133" s="1">
        <f t="shared" si="65"/>
        <v>0</v>
      </c>
      <c r="AB133" s="1">
        <f t="shared" si="66"/>
        <v>0</v>
      </c>
      <c r="AD133" s="1">
        <f t="shared" si="67"/>
        <v>1</v>
      </c>
      <c r="AE133" s="1">
        <f t="shared" si="68"/>
        <v>0</v>
      </c>
      <c r="AF133" s="1">
        <f t="shared" si="53"/>
        <v>1</v>
      </c>
      <c r="AG133" s="1">
        <f t="shared" si="54"/>
        <v>0</v>
      </c>
      <c r="AH133" s="1">
        <f t="shared" si="55"/>
        <v>1</v>
      </c>
      <c r="AI133" s="1">
        <f t="shared" si="56"/>
        <v>0</v>
      </c>
    </row>
    <row r="134" spans="1:35" ht="14.25" customHeight="1" x14ac:dyDescent="0.25">
      <c r="A134" s="31">
        <v>0</v>
      </c>
      <c r="B134" s="31">
        <v>1</v>
      </c>
      <c r="C134" s="31">
        <v>3</v>
      </c>
      <c r="D134" s="32" t="s">
        <v>130</v>
      </c>
      <c r="E134" s="32" t="s">
        <v>176</v>
      </c>
      <c r="F134" s="32" t="s">
        <v>331</v>
      </c>
      <c r="G134" s="32" t="s">
        <v>182</v>
      </c>
      <c r="H134" s="32" t="s">
        <v>354</v>
      </c>
      <c r="I134" s="31" t="s">
        <v>479</v>
      </c>
      <c r="J134" s="31">
        <v>99</v>
      </c>
      <c r="K134" s="33" t="s">
        <v>957</v>
      </c>
      <c r="L134" s="33" t="s">
        <v>39</v>
      </c>
      <c r="M134" s="34" t="s">
        <v>39</v>
      </c>
      <c r="N134" s="34" t="s">
        <v>1733</v>
      </c>
      <c r="O134" s="35">
        <v>1</v>
      </c>
      <c r="P134" s="35">
        <v>1</v>
      </c>
      <c r="Q134" s="32"/>
      <c r="S134" s="1">
        <f t="shared" si="57"/>
        <v>0</v>
      </c>
      <c r="T134" s="1">
        <f t="shared" si="58"/>
        <v>0</v>
      </c>
      <c r="U134" s="1">
        <f t="shared" si="59"/>
        <v>0</v>
      </c>
      <c r="V134" s="1">
        <f t="shared" si="60"/>
        <v>0</v>
      </c>
      <c r="W134" s="1">
        <f t="shared" si="61"/>
        <v>0</v>
      </c>
      <c r="X134" s="1">
        <f t="shared" si="62"/>
        <v>0</v>
      </c>
      <c r="Y134" s="1">
        <f t="shared" si="63"/>
        <v>0</v>
      </c>
      <c r="Z134" s="1">
        <f t="shared" si="64"/>
        <v>0</v>
      </c>
      <c r="AA134" s="1">
        <f t="shared" si="65"/>
        <v>0</v>
      </c>
      <c r="AB134" s="1">
        <f t="shared" si="66"/>
        <v>0</v>
      </c>
      <c r="AD134" s="1">
        <f t="shared" si="67"/>
        <v>1</v>
      </c>
      <c r="AE134" s="1">
        <f t="shared" si="68"/>
        <v>0</v>
      </c>
      <c r="AF134" s="1">
        <f t="shared" si="53"/>
        <v>1</v>
      </c>
      <c r="AG134" s="1">
        <f t="shared" si="54"/>
        <v>0</v>
      </c>
      <c r="AH134" s="1">
        <f t="shared" si="55"/>
        <v>1</v>
      </c>
      <c r="AI134" s="1">
        <f t="shared" si="56"/>
        <v>0</v>
      </c>
    </row>
    <row r="135" spans="1:35" ht="14.25" customHeight="1" x14ac:dyDescent="0.25">
      <c r="A135" s="31">
        <v>0</v>
      </c>
      <c r="B135" s="31">
        <v>1</v>
      </c>
      <c r="C135" s="31">
        <v>3</v>
      </c>
      <c r="D135" s="32" t="s">
        <v>921</v>
      </c>
      <c r="E135" s="32" t="s">
        <v>172</v>
      </c>
      <c r="F135" s="32" t="s">
        <v>933</v>
      </c>
      <c r="G135" s="32" t="s">
        <v>235</v>
      </c>
      <c r="H135" s="32" t="s">
        <v>354</v>
      </c>
      <c r="I135" s="31" t="s">
        <v>947</v>
      </c>
      <c r="J135" s="31">
        <v>99</v>
      </c>
      <c r="K135" s="33" t="s">
        <v>722</v>
      </c>
      <c r="L135" s="33">
        <v>45</v>
      </c>
      <c r="M135" s="34" t="s">
        <v>39</v>
      </c>
      <c r="N135" s="34" t="s">
        <v>1801</v>
      </c>
      <c r="O135" s="35">
        <v>1</v>
      </c>
      <c r="P135" s="35"/>
      <c r="Q135" s="32"/>
      <c r="S135" s="1">
        <f t="shared" si="57"/>
        <v>0</v>
      </c>
      <c r="T135" s="1">
        <f t="shared" si="58"/>
        <v>0</v>
      </c>
      <c r="U135" s="1">
        <f t="shared" si="59"/>
        <v>0</v>
      </c>
      <c r="V135" s="1">
        <f t="shared" si="60"/>
        <v>0</v>
      </c>
      <c r="W135" s="1">
        <f t="shared" si="61"/>
        <v>0</v>
      </c>
      <c r="X135" s="1">
        <f t="shared" si="62"/>
        <v>0</v>
      </c>
      <c r="Y135" s="1">
        <f t="shared" si="63"/>
        <v>0</v>
      </c>
      <c r="Z135" s="1">
        <f t="shared" si="64"/>
        <v>0</v>
      </c>
      <c r="AA135" s="1">
        <f t="shared" si="65"/>
        <v>0</v>
      </c>
      <c r="AB135" s="1">
        <f t="shared" si="66"/>
        <v>0</v>
      </c>
      <c r="AD135" s="1">
        <f t="shared" si="67"/>
        <v>0</v>
      </c>
      <c r="AE135" s="1">
        <f t="shared" si="68"/>
        <v>1</v>
      </c>
      <c r="AF135" s="1">
        <f t="shared" si="53"/>
        <v>0</v>
      </c>
      <c r="AG135" s="1">
        <f t="shared" si="54"/>
        <v>1</v>
      </c>
      <c r="AH135" s="1">
        <f t="shared" si="55"/>
        <v>0</v>
      </c>
      <c r="AI135" s="1">
        <f t="shared" si="56"/>
        <v>1</v>
      </c>
    </row>
    <row r="136" spans="1:35" ht="14.25" customHeight="1" x14ac:dyDescent="0.25">
      <c r="A136" s="44">
        <v>0</v>
      </c>
      <c r="B136" s="44">
        <v>1</v>
      </c>
      <c r="C136" s="44">
        <v>3</v>
      </c>
      <c r="D136" s="45" t="s">
        <v>78</v>
      </c>
      <c r="E136" s="45" t="s">
        <v>610</v>
      </c>
      <c r="F136" s="45" t="s">
        <v>308</v>
      </c>
      <c r="G136" s="45" t="s">
        <v>39</v>
      </c>
      <c r="H136" s="45" t="s">
        <v>362</v>
      </c>
      <c r="I136" s="44" t="s">
        <v>457</v>
      </c>
      <c r="J136" s="44">
        <v>12</v>
      </c>
      <c r="K136" s="46" t="s">
        <v>703</v>
      </c>
      <c r="L136" s="46">
        <v>40</v>
      </c>
      <c r="M136" s="47" t="s">
        <v>971</v>
      </c>
      <c r="N136" s="47" t="s">
        <v>1802</v>
      </c>
      <c r="O136" s="48"/>
      <c r="P136" s="48"/>
      <c r="Q136" s="45"/>
      <c r="S136" s="1">
        <f t="shared" si="57"/>
        <v>0</v>
      </c>
      <c r="T136" s="1">
        <f t="shared" si="58"/>
        <v>0</v>
      </c>
      <c r="U136" s="1">
        <f t="shared" si="59"/>
        <v>0</v>
      </c>
      <c r="V136" s="1">
        <f t="shared" si="60"/>
        <v>0</v>
      </c>
      <c r="W136" s="1">
        <f t="shared" si="61"/>
        <v>0</v>
      </c>
      <c r="X136" s="1">
        <f t="shared" si="62"/>
        <v>0</v>
      </c>
      <c r="Y136" s="1">
        <f t="shared" si="63"/>
        <v>0</v>
      </c>
      <c r="Z136" s="1">
        <f t="shared" si="64"/>
        <v>0</v>
      </c>
      <c r="AA136" s="1">
        <f t="shared" si="65"/>
        <v>0</v>
      </c>
      <c r="AB136" s="1">
        <f t="shared" si="66"/>
        <v>0</v>
      </c>
      <c r="AD136" s="1">
        <f t="shared" si="67"/>
        <v>0</v>
      </c>
      <c r="AE136" s="1">
        <f t="shared" si="68"/>
        <v>0</v>
      </c>
      <c r="AF136" s="1">
        <f t="shared" si="53"/>
        <v>0</v>
      </c>
      <c r="AG136" s="1">
        <f t="shared" si="54"/>
        <v>0</v>
      </c>
      <c r="AH136" s="1">
        <f t="shared" si="55"/>
        <v>0</v>
      </c>
      <c r="AI136" s="1">
        <f t="shared" si="56"/>
        <v>1</v>
      </c>
    </row>
    <row r="137" spans="1:35" ht="14.25" customHeight="1" x14ac:dyDescent="0.25">
      <c r="A137" s="15">
        <v>0</v>
      </c>
      <c r="B137" s="15">
        <v>1</v>
      </c>
      <c r="C137" s="15">
        <v>3</v>
      </c>
      <c r="D137" s="16" t="s">
        <v>1582</v>
      </c>
      <c r="E137" s="16" t="s">
        <v>170</v>
      </c>
      <c r="F137" s="16" t="s">
        <v>1584</v>
      </c>
      <c r="G137" s="16"/>
      <c r="H137" s="16" t="s">
        <v>365</v>
      </c>
      <c r="I137" s="15" t="s">
        <v>1583</v>
      </c>
      <c r="J137" s="15">
        <v>18</v>
      </c>
      <c r="K137" s="10" t="s">
        <v>703</v>
      </c>
      <c r="L137" s="10" t="s">
        <v>688</v>
      </c>
      <c r="M137" s="19" t="s">
        <v>971</v>
      </c>
      <c r="N137" s="17"/>
      <c r="Q137" s="16"/>
      <c r="S137" s="1">
        <f t="shared" si="57"/>
        <v>0</v>
      </c>
      <c r="T137" s="1">
        <f t="shared" si="58"/>
        <v>0</v>
      </c>
      <c r="U137" s="1">
        <f t="shared" si="59"/>
        <v>0</v>
      </c>
      <c r="V137" s="1">
        <f t="shared" si="60"/>
        <v>0</v>
      </c>
      <c r="W137" s="1">
        <f t="shared" si="61"/>
        <v>0</v>
      </c>
      <c r="X137" s="1">
        <f t="shared" si="62"/>
        <v>0</v>
      </c>
      <c r="Y137" s="1">
        <f t="shared" si="63"/>
        <v>0</v>
      </c>
      <c r="Z137" s="1">
        <f t="shared" si="64"/>
        <v>0</v>
      </c>
      <c r="AA137" s="1">
        <f t="shared" si="65"/>
        <v>0</v>
      </c>
      <c r="AB137" s="1">
        <f t="shared" si="66"/>
        <v>0</v>
      </c>
      <c r="AD137" s="1">
        <f t="shared" si="67"/>
        <v>0</v>
      </c>
      <c r="AE137" s="1">
        <f t="shared" si="68"/>
        <v>0</v>
      </c>
      <c r="AF137" s="1">
        <f t="shared" si="53"/>
        <v>0</v>
      </c>
      <c r="AG137" s="1">
        <f t="shared" si="54"/>
        <v>0</v>
      </c>
      <c r="AH137" s="1">
        <f t="shared" si="55"/>
        <v>0</v>
      </c>
      <c r="AI137" s="1">
        <f t="shared" si="56"/>
        <v>1</v>
      </c>
    </row>
    <row r="138" spans="1:35" ht="14.25" customHeight="1" x14ac:dyDescent="0.25">
      <c r="A138" s="31">
        <v>0</v>
      </c>
      <c r="B138" s="31">
        <v>1</v>
      </c>
      <c r="C138" s="31">
        <v>3</v>
      </c>
      <c r="D138" s="32" t="s">
        <v>1287</v>
      </c>
      <c r="E138" s="32" t="s">
        <v>172</v>
      </c>
      <c r="F138" s="32" t="s">
        <v>1288</v>
      </c>
      <c r="G138" s="32" t="s">
        <v>238</v>
      </c>
      <c r="H138" s="32" t="s">
        <v>354</v>
      </c>
      <c r="I138" s="31" t="s">
        <v>1289</v>
      </c>
      <c r="J138" s="31">
        <v>4</v>
      </c>
      <c r="K138" s="33" t="s">
        <v>957</v>
      </c>
      <c r="L138" s="33" t="s">
        <v>39</v>
      </c>
      <c r="M138" s="34" t="s">
        <v>39</v>
      </c>
      <c r="N138" s="34" t="s">
        <v>1727</v>
      </c>
      <c r="O138" s="35">
        <v>1</v>
      </c>
      <c r="P138" s="35">
        <v>1</v>
      </c>
      <c r="Q138" s="32"/>
      <c r="S138" s="1">
        <f t="shared" si="57"/>
        <v>0</v>
      </c>
      <c r="T138" s="1">
        <f t="shared" si="58"/>
        <v>0</v>
      </c>
      <c r="U138" s="1">
        <f t="shared" si="59"/>
        <v>0</v>
      </c>
      <c r="V138" s="1">
        <f t="shared" si="60"/>
        <v>1</v>
      </c>
      <c r="W138" s="1">
        <f t="shared" si="61"/>
        <v>0</v>
      </c>
      <c r="X138" s="1">
        <f t="shared" si="62"/>
        <v>0</v>
      </c>
      <c r="Y138" s="1">
        <f t="shared" si="63"/>
        <v>0</v>
      </c>
      <c r="Z138" s="1">
        <f t="shared" si="64"/>
        <v>0</v>
      </c>
      <c r="AA138" s="1">
        <f t="shared" si="65"/>
        <v>0</v>
      </c>
      <c r="AB138" s="1">
        <f t="shared" si="66"/>
        <v>0</v>
      </c>
      <c r="AD138" s="1">
        <f t="shared" si="67"/>
        <v>1</v>
      </c>
      <c r="AE138" s="1">
        <f t="shared" si="68"/>
        <v>0</v>
      </c>
      <c r="AF138" s="1">
        <f t="shared" ref="AF138:AF204" si="97">+O138*P138*(1-A138)</f>
        <v>1</v>
      </c>
      <c r="AG138" s="1">
        <f t="shared" ref="AG138:AG204" si="98">O138*(1-P138)*(1-A138)</f>
        <v>0</v>
      </c>
      <c r="AH138" s="1">
        <f t="shared" ref="AH138:AH204" si="99">+P138*(1-A138)</f>
        <v>1</v>
      </c>
      <c r="AI138" s="1">
        <f t="shared" ref="AI138:AI204" si="100">+(1-A138)*(1-P138)</f>
        <v>0</v>
      </c>
    </row>
    <row r="139" spans="1:35" ht="14.25" customHeight="1" x14ac:dyDescent="0.25">
      <c r="A139" s="31">
        <v>0</v>
      </c>
      <c r="B139" s="31">
        <v>1</v>
      </c>
      <c r="C139" s="31">
        <v>3</v>
      </c>
      <c r="D139" s="32" t="s">
        <v>648</v>
      </c>
      <c r="E139" s="32" t="s">
        <v>172</v>
      </c>
      <c r="F139" s="32" t="s">
        <v>657</v>
      </c>
      <c r="G139" s="32" t="s">
        <v>232</v>
      </c>
      <c r="H139" s="32" t="s">
        <v>354</v>
      </c>
      <c r="I139" s="31" t="s">
        <v>612</v>
      </c>
      <c r="J139" s="31">
        <v>99</v>
      </c>
      <c r="K139" s="33" t="s">
        <v>702</v>
      </c>
      <c r="L139" s="33" t="s">
        <v>39</v>
      </c>
      <c r="M139" s="34" t="s">
        <v>39</v>
      </c>
      <c r="N139" s="34" t="s">
        <v>1733</v>
      </c>
      <c r="O139" s="35">
        <v>1</v>
      </c>
      <c r="P139" s="35">
        <v>1</v>
      </c>
      <c r="Q139" s="32"/>
      <c r="S139" s="1">
        <f t="shared" si="57"/>
        <v>0</v>
      </c>
      <c r="T139" s="1">
        <f t="shared" si="58"/>
        <v>0</v>
      </c>
      <c r="U139" s="1">
        <f t="shared" si="59"/>
        <v>0</v>
      </c>
      <c r="V139" s="1">
        <f t="shared" si="60"/>
        <v>0</v>
      </c>
      <c r="W139" s="1">
        <f t="shared" si="61"/>
        <v>0</v>
      </c>
      <c r="X139" s="1">
        <f t="shared" si="62"/>
        <v>0</v>
      </c>
      <c r="Y139" s="1">
        <f t="shared" si="63"/>
        <v>0</v>
      </c>
      <c r="Z139" s="1">
        <f t="shared" si="64"/>
        <v>0</v>
      </c>
      <c r="AA139" s="1">
        <f t="shared" si="65"/>
        <v>0</v>
      </c>
      <c r="AB139" s="1">
        <f t="shared" si="66"/>
        <v>0</v>
      </c>
      <c r="AD139" s="1">
        <f t="shared" si="67"/>
        <v>1</v>
      </c>
      <c r="AE139" s="1">
        <f t="shared" si="68"/>
        <v>0</v>
      </c>
      <c r="AF139" s="1">
        <f t="shared" si="97"/>
        <v>1</v>
      </c>
      <c r="AG139" s="1">
        <f t="shared" si="98"/>
        <v>0</v>
      </c>
      <c r="AH139" s="1">
        <f t="shared" si="99"/>
        <v>1</v>
      </c>
      <c r="AI139" s="1">
        <f t="shared" si="100"/>
        <v>0</v>
      </c>
    </row>
    <row r="140" spans="1:35" ht="14.25" customHeight="1" x14ac:dyDescent="0.25">
      <c r="A140" s="38">
        <v>0</v>
      </c>
      <c r="B140" s="38">
        <v>1</v>
      </c>
      <c r="C140" s="38">
        <v>3</v>
      </c>
      <c r="D140" s="39" t="s">
        <v>873</v>
      </c>
      <c r="E140" s="39" t="s">
        <v>874</v>
      </c>
      <c r="F140" s="39" t="s">
        <v>875</v>
      </c>
      <c r="G140" s="39" t="s">
        <v>39</v>
      </c>
      <c r="H140" s="39" t="s">
        <v>366</v>
      </c>
      <c r="I140" s="38" t="s">
        <v>876</v>
      </c>
      <c r="J140" s="38">
        <v>18</v>
      </c>
      <c r="K140" s="40" t="s">
        <v>956</v>
      </c>
      <c r="L140" s="40" t="s">
        <v>39</v>
      </c>
      <c r="M140" s="41" t="s">
        <v>39</v>
      </c>
      <c r="N140" s="42"/>
      <c r="O140" s="43"/>
      <c r="P140" s="43">
        <v>1</v>
      </c>
      <c r="Q140" s="39"/>
      <c r="S140" s="1">
        <f t="shared" si="57"/>
        <v>0</v>
      </c>
      <c r="T140" s="1">
        <f t="shared" si="58"/>
        <v>0</v>
      </c>
      <c r="U140" s="1">
        <f t="shared" si="59"/>
        <v>0</v>
      </c>
      <c r="V140" s="1">
        <f t="shared" si="60"/>
        <v>0</v>
      </c>
      <c r="W140" s="1">
        <f t="shared" si="61"/>
        <v>0</v>
      </c>
      <c r="X140" s="1">
        <f t="shared" si="62"/>
        <v>0</v>
      </c>
      <c r="Y140" s="1">
        <f t="shared" si="63"/>
        <v>0</v>
      </c>
      <c r="Z140" s="1">
        <f t="shared" si="64"/>
        <v>0</v>
      </c>
      <c r="AA140" s="1">
        <f t="shared" si="65"/>
        <v>0</v>
      </c>
      <c r="AB140" s="1">
        <f t="shared" si="66"/>
        <v>0</v>
      </c>
      <c r="AD140" s="1">
        <f t="shared" si="67"/>
        <v>0</v>
      </c>
      <c r="AE140" s="1">
        <f t="shared" si="68"/>
        <v>0</v>
      </c>
      <c r="AF140" s="1">
        <f t="shared" si="97"/>
        <v>0</v>
      </c>
      <c r="AG140" s="1">
        <f t="shared" si="98"/>
        <v>0</v>
      </c>
      <c r="AH140" s="1">
        <f t="shared" si="99"/>
        <v>1</v>
      </c>
      <c r="AI140" s="1">
        <f t="shared" si="100"/>
        <v>0</v>
      </c>
    </row>
    <row r="141" spans="1:35" ht="14.25" customHeight="1" x14ac:dyDescent="0.25">
      <c r="A141" s="31">
        <v>0</v>
      </c>
      <c r="B141" s="31">
        <v>1</v>
      </c>
      <c r="C141" s="31">
        <v>3</v>
      </c>
      <c r="D141" s="32" t="s">
        <v>1307</v>
      </c>
      <c r="E141" s="32" t="s">
        <v>172</v>
      </c>
      <c r="F141" s="32" t="s">
        <v>1308</v>
      </c>
      <c r="G141" s="32" t="s">
        <v>208</v>
      </c>
      <c r="H141" s="32" t="s">
        <v>354</v>
      </c>
      <c r="I141" s="31" t="s">
        <v>1309</v>
      </c>
      <c r="J141" s="31">
        <v>3</v>
      </c>
      <c r="K141" s="33" t="s">
        <v>956</v>
      </c>
      <c r="L141" s="33" t="s">
        <v>39</v>
      </c>
      <c r="M141" s="34" t="s">
        <v>39</v>
      </c>
      <c r="N141" s="34" t="s">
        <v>1733</v>
      </c>
      <c r="O141" s="35">
        <v>1</v>
      </c>
      <c r="P141" s="35">
        <v>1</v>
      </c>
      <c r="Q141" s="32"/>
      <c r="S141" s="1">
        <f t="shared" si="57"/>
        <v>0</v>
      </c>
      <c r="T141" s="1">
        <f t="shared" si="58"/>
        <v>0</v>
      </c>
      <c r="U141" s="1">
        <f t="shared" si="59"/>
        <v>1</v>
      </c>
      <c r="V141" s="1">
        <f t="shared" si="60"/>
        <v>0</v>
      </c>
      <c r="W141" s="1">
        <f t="shared" si="61"/>
        <v>0</v>
      </c>
      <c r="X141" s="1">
        <f t="shared" si="62"/>
        <v>0</v>
      </c>
      <c r="Y141" s="1">
        <f t="shared" si="63"/>
        <v>0</v>
      </c>
      <c r="Z141" s="1">
        <f t="shared" si="64"/>
        <v>0</v>
      </c>
      <c r="AA141" s="1">
        <f t="shared" si="65"/>
        <v>0</v>
      </c>
      <c r="AB141" s="1">
        <f t="shared" si="66"/>
        <v>0</v>
      </c>
      <c r="AD141" s="1">
        <f t="shared" si="67"/>
        <v>1</v>
      </c>
      <c r="AE141" s="1">
        <f t="shared" si="68"/>
        <v>0</v>
      </c>
      <c r="AF141" s="1">
        <f t="shared" si="97"/>
        <v>1</v>
      </c>
      <c r="AG141" s="1">
        <f t="shared" si="98"/>
        <v>0</v>
      </c>
      <c r="AH141" s="1">
        <f t="shared" si="99"/>
        <v>1</v>
      </c>
      <c r="AI141" s="1">
        <f t="shared" si="100"/>
        <v>0</v>
      </c>
    </row>
    <row r="142" spans="1:35" ht="14.25" customHeight="1" x14ac:dyDescent="0.25">
      <c r="A142" s="44">
        <v>0</v>
      </c>
      <c r="B142" s="44">
        <v>1</v>
      </c>
      <c r="C142" s="44">
        <v>3</v>
      </c>
      <c r="D142" s="45" t="s">
        <v>867</v>
      </c>
      <c r="E142" s="45" t="s">
        <v>170</v>
      </c>
      <c r="F142" s="45" t="s">
        <v>868</v>
      </c>
      <c r="G142" s="45" t="s">
        <v>39</v>
      </c>
      <c r="H142" s="45" t="s">
        <v>869</v>
      </c>
      <c r="I142" s="44" t="s">
        <v>948</v>
      </c>
      <c r="J142" s="44">
        <v>11</v>
      </c>
      <c r="K142" s="46" t="s">
        <v>702</v>
      </c>
      <c r="L142" s="46" t="s">
        <v>689</v>
      </c>
      <c r="M142" s="47" t="s">
        <v>971</v>
      </c>
      <c r="N142" s="47" t="s">
        <v>1741</v>
      </c>
      <c r="O142" s="48"/>
      <c r="P142" s="48"/>
      <c r="Q142" s="45"/>
      <c r="S142" s="1">
        <f t="shared" si="57"/>
        <v>0</v>
      </c>
      <c r="T142" s="1">
        <f t="shared" si="58"/>
        <v>0</v>
      </c>
      <c r="U142" s="1">
        <f t="shared" si="59"/>
        <v>0</v>
      </c>
      <c r="V142" s="1">
        <f t="shared" si="60"/>
        <v>0</v>
      </c>
      <c r="W142" s="1">
        <f t="shared" si="61"/>
        <v>0</v>
      </c>
      <c r="X142" s="1">
        <f t="shared" si="62"/>
        <v>0</v>
      </c>
      <c r="Y142" s="1">
        <f t="shared" si="63"/>
        <v>0</v>
      </c>
      <c r="Z142" s="1">
        <f t="shared" si="64"/>
        <v>0</v>
      </c>
      <c r="AA142" s="1">
        <f t="shared" si="65"/>
        <v>0</v>
      </c>
      <c r="AB142" s="1">
        <f t="shared" si="66"/>
        <v>0</v>
      </c>
      <c r="AD142" s="1">
        <f t="shared" si="67"/>
        <v>0</v>
      </c>
      <c r="AE142" s="1">
        <f t="shared" si="68"/>
        <v>0</v>
      </c>
      <c r="AF142" s="1">
        <f t="shared" si="97"/>
        <v>0</v>
      </c>
      <c r="AG142" s="1">
        <f t="shared" si="98"/>
        <v>0</v>
      </c>
      <c r="AH142" s="1">
        <f t="shared" si="99"/>
        <v>0</v>
      </c>
      <c r="AI142" s="1">
        <f t="shared" si="100"/>
        <v>1</v>
      </c>
    </row>
    <row r="143" spans="1:35" ht="14.25" customHeight="1" x14ac:dyDescent="0.25">
      <c r="A143" s="31">
        <v>0</v>
      </c>
      <c r="B143" s="31">
        <v>1</v>
      </c>
      <c r="C143" s="31">
        <v>3</v>
      </c>
      <c r="D143" s="36" t="s">
        <v>506</v>
      </c>
      <c r="E143" s="36" t="s">
        <v>170</v>
      </c>
      <c r="F143" s="36" t="s">
        <v>507</v>
      </c>
      <c r="G143" s="36" t="s">
        <v>504</v>
      </c>
      <c r="H143" s="36" t="s">
        <v>354</v>
      </c>
      <c r="I143" s="37" t="s">
        <v>508</v>
      </c>
      <c r="J143" s="31">
        <v>99</v>
      </c>
      <c r="K143" s="33" t="s">
        <v>703</v>
      </c>
      <c r="L143" s="33">
        <v>40</v>
      </c>
      <c r="M143" s="34" t="s">
        <v>971</v>
      </c>
      <c r="N143" s="34" t="s">
        <v>1946</v>
      </c>
      <c r="O143" s="35">
        <v>1</v>
      </c>
      <c r="P143" s="35"/>
      <c r="Q143" s="36"/>
      <c r="S143" s="1">
        <f t="shared" ref="S143:S209" si="101">IF(J143=$S$7,1,0)</f>
        <v>0</v>
      </c>
      <c r="T143" s="1">
        <f t="shared" ref="T143:T209" si="102">IF(J143=$T$7,1,0)</f>
        <v>0</v>
      </c>
      <c r="U143" s="1">
        <f t="shared" ref="U143:U209" si="103">IF(J143=$U$7,1,0)</f>
        <v>0</v>
      </c>
      <c r="V143" s="1">
        <f t="shared" ref="V143:V209" si="104">IF(J143=$V$7,1,0)</f>
        <v>0</v>
      </c>
      <c r="W143" s="1">
        <f t="shared" ref="W143:W209" si="105">IF(J143=$W$7,1,0)</f>
        <v>0</v>
      </c>
      <c r="X143" s="1">
        <f t="shared" ref="X143:X209" si="106">IF(J143=$X$7,1,0)</f>
        <v>0</v>
      </c>
      <c r="Y143" s="1">
        <f t="shared" ref="Y143:Y209" si="107">IF(J143=$Y$7,1,0)</f>
        <v>0</v>
      </c>
      <c r="Z143" s="1">
        <f t="shared" ref="Z143:Z209" si="108">IF(J143=$Z$7,1,0)</f>
        <v>0</v>
      </c>
      <c r="AA143" s="1">
        <f t="shared" ref="AA143:AA209" si="109">IF(J143=$AA$7,1,0)</f>
        <v>0</v>
      </c>
      <c r="AB143" s="1">
        <f t="shared" ref="AB143:AB209" si="110">IF(J143=$AB$7,1,0)</f>
        <v>0</v>
      </c>
      <c r="AD143" s="1">
        <f t="shared" ref="AD143:AD209" si="111">+O143*P143</f>
        <v>0</v>
      </c>
      <c r="AE143" s="1">
        <f t="shared" ref="AE143:AE209" si="112">O143*(1-P143)</f>
        <v>1</v>
      </c>
      <c r="AF143" s="1">
        <f t="shared" si="97"/>
        <v>0</v>
      </c>
      <c r="AG143" s="1">
        <f t="shared" si="98"/>
        <v>1</v>
      </c>
      <c r="AH143" s="1">
        <f t="shared" si="99"/>
        <v>0</v>
      </c>
      <c r="AI143" s="1">
        <f t="shared" si="100"/>
        <v>1</v>
      </c>
    </row>
    <row r="144" spans="1:35" ht="14.25" customHeight="1" x14ac:dyDescent="0.25">
      <c r="A144" s="31">
        <v>0</v>
      </c>
      <c r="B144" s="31">
        <v>1</v>
      </c>
      <c r="C144" s="31">
        <v>3</v>
      </c>
      <c r="D144" s="36" t="s">
        <v>1792</v>
      </c>
      <c r="E144" s="36" t="s">
        <v>1793</v>
      </c>
      <c r="F144" s="36" t="s">
        <v>1794</v>
      </c>
      <c r="G144" s="36" t="s">
        <v>1795</v>
      </c>
      <c r="H144" s="36" t="s">
        <v>354</v>
      </c>
      <c r="I144" s="37" t="s">
        <v>1796</v>
      </c>
      <c r="J144" s="31">
        <v>99</v>
      </c>
      <c r="K144" s="33" t="s">
        <v>703</v>
      </c>
      <c r="L144" s="33"/>
      <c r="M144" s="34"/>
      <c r="N144" s="34" t="s">
        <v>1733</v>
      </c>
      <c r="O144" s="35">
        <v>1</v>
      </c>
      <c r="P144" s="35">
        <v>1</v>
      </c>
      <c r="Q144" s="36"/>
      <c r="S144" s="1">
        <f t="shared" si="101"/>
        <v>0</v>
      </c>
      <c r="T144" s="1">
        <f t="shared" si="102"/>
        <v>0</v>
      </c>
      <c r="U144" s="1">
        <f t="shared" si="103"/>
        <v>0</v>
      </c>
      <c r="V144" s="1">
        <f t="shared" si="104"/>
        <v>0</v>
      </c>
      <c r="W144" s="1">
        <f t="shared" si="105"/>
        <v>0</v>
      </c>
      <c r="X144" s="1">
        <f t="shared" si="106"/>
        <v>0</v>
      </c>
      <c r="Y144" s="1">
        <f t="shared" si="107"/>
        <v>0</v>
      </c>
      <c r="Z144" s="1">
        <f t="shared" si="108"/>
        <v>0</v>
      </c>
      <c r="AA144" s="1">
        <f t="shared" si="109"/>
        <v>0</v>
      </c>
      <c r="AB144" s="1">
        <f t="shared" si="110"/>
        <v>0</v>
      </c>
      <c r="AD144" s="1">
        <f t="shared" si="111"/>
        <v>1</v>
      </c>
      <c r="AE144" s="1">
        <f t="shared" si="112"/>
        <v>0</v>
      </c>
      <c r="AF144" s="1">
        <f t="shared" si="97"/>
        <v>1</v>
      </c>
      <c r="AG144" s="1">
        <f t="shared" si="98"/>
        <v>0</v>
      </c>
      <c r="AH144" s="1">
        <f t="shared" si="99"/>
        <v>1</v>
      </c>
      <c r="AI144" s="1">
        <f t="shared" si="100"/>
        <v>0</v>
      </c>
    </row>
    <row r="145" spans="1:35" ht="14.25" customHeight="1" x14ac:dyDescent="0.25">
      <c r="A145" s="31">
        <v>0</v>
      </c>
      <c r="B145" s="31">
        <v>1</v>
      </c>
      <c r="C145" s="31">
        <v>3</v>
      </c>
      <c r="D145" s="32" t="s">
        <v>529</v>
      </c>
      <c r="E145" s="32" t="s">
        <v>170</v>
      </c>
      <c r="F145" s="32" t="s">
        <v>658</v>
      </c>
      <c r="G145" s="32" t="s">
        <v>39</v>
      </c>
      <c r="H145" s="32" t="s">
        <v>530</v>
      </c>
      <c r="I145" s="31" t="s">
        <v>531</v>
      </c>
      <c r="J145" s="31">
        <v>18</v>
      </c>
      <c r="K145" s="33" t="s">
        <v>956</v>
      </c>
      <c r="L145" s="33" t="s">
        <v>1742</v>
      </c>
      <c r="M145" s="34" t="s">
        <v>970</v>
      </c>
      <c r="N145" s="34" t="s">
        <v>1733</v>
      </c>
      <c r="O145" s="35">
        <v>1</v>
      </c>
      <c r="P145" s="35">
        <v>1</v>
      </c>
      <c r="Q145" s="32"/>
      <c r="S145" s="1">
        <f t="shared" si="101"/>
        <v>0</v>
      </c>
      <c r="T145" s="1">
        <f t="shared" si="102"/>
        <v>0</v>
      </c>
      <c r="U145" s="1">
        <f t="shared" si="103"/>
        <v>0</v>
      </c>
      <c r="V145" s="1">
        <f t="shared" si="104"/>
        <v>0</v>
      </c>
      <c r="W145" s="1">
        <f t="shared" si="105"/>
        <v>0</v>
      </c>
      <c r="X145" s="1">
        <f t="shared" si="106"/>
        <v>0</v>
      </c>
      <c r="Y145" s="1">
        <f t="shared" si="107"/>
        <v>0</v>
      </c>
      <c r="Z145" s="1">
        <f t="shared" si="108"/>
        <v>0</v>
      </c>
      <c r="AA145" s="1">
        <f t="shared" si="109"/>
        <v>0</v>
      </c>
      <c r="AB145" s="1">
        <f t="shared" si="110"/>
        <v>0</v>
      </c>
      <c r="AD145" s="1">
        <f t="shared" si="111"/>
        <v>1</v>
      </c>
      <c r="AE145" s="1">
        <f t="shared" si="112"/>
        <v>0</v>
      </c>
      <c r="AF145" s="1">
        <f t="shared" si="97"/>
        <v>1</v>
      </c>
      <c r="AG145" s="1">
        <f t="shared" si="98"/>
        <v>0</v>
      </c>
      <c r="AH145" s="1">
        <f t="shared" si="99"/>
        <v>1</v>
      </c>
      <c r="AI145" s="1">
        <f t="shared" si="100"/>
        <v>0</v>
      </c>
    </row>
    <row r="146" spans="1:35" ht="14.25" customHeight="1" x14ac:dyDescent="0.25">
      <c r="A146" s="44">
        <v>0</v>
      </c>
      <c r="B146" s="44">
        <v>1</v>
      </c>
      <c r="C146" s="44">
        <v>3</v>
      </c>
      <c r="D146" s="45" t="s">
        <v>975</v>
      </c>
      <c r="E146" s="45" t="s">
        <v>175</v>
      </c>
      <c r="F146" s="45" t="s">
        <v>805</v>
      </c>
      <c r="G146" s="45" t="s">
        <v>39</v>
      </c>
      <c r="H146" s="45" t="s">
        <v>806</v>
      </c>
      <c r="I146" s="44" t="s">
        <v>807</v>
      </c>
      <c r="J146" s="44">
        <v>16</v>
      </c>
      <c r="K146" s="46" t="s">
        <v>957</v>
      </c>
      <c r="L146" s="46" t="s">
        <v>1141</v>
      </c>
      <c r="M146" s="47" t="s">
        <v>970</v>
      </c>
      <c r="N146" s="47" t="s">
        <v>1739</v>
      </c>
      <c r="O146" s="48"/>
      <c r="P146" s="48"/>
      <c r="Q146" s="45"/>
      <c r="S146" s="1">
        <f t="shared" si="101"/>
        <v>0</v>
      </c>
      <c r="T146" s="1">
        <f t="shared" si="102"/>
        <v>0</v>
      </c>
      <c r="U146" s="1">
        <f t="shared" si="103"/>
        <v>0</v>
      </c>
      <c r="V146" s="1">
        <f t="shared" si="104"/>
        <v>0</v>
      </c>
      <c r="W146" s="1">
        <f t="shared" si="105"/>
        <v>0</v>
      </c>
      <c r="X146" s="1">
        <f t="shared" si="106"/>
        <v>0</v>
      </c>
      <c r="Y146" s="1">
        <f t="shared" si="107"/>
        <v>0</v>
      </c>
      <c r="Z146" s="1">
        <f t="shared" si="108"/>
        <v>0</v>
      </c>
      <c r="AA146" s="1">
        <f t="shared" si="109"/>
        <v>0</v>
      </c>
      <c r="AB146" s="1">
        <f t="shared" si="110"/>
        <v>0</v>
      </c>
      <c r="AD146" s="1">
        <f t="shared" si="111"/>
        <v>0</v>
      </c>
      <c r="AE146" s="1">
        <f t="shared" si="112"/>
        <v>0</v>
      </c>
      <c r="AF146" s="1">
        <f t="shared" si="97"/>
        <v>0</v>
      </c>
      <c r="AG146" s="1">
        <f t="shared" si="98"/>
        <v>0</v>
      </c>
      <c r="AH146" s="1">
        <f t="shared" si="99"/>
        <v>0</v>
      </c>
      <c r="AI146" s="1">
        <f t="shared" si="100"/>
        <v>1</v>
      </c>
    </row>
    <row r="147" spans="1:35" ht="14.25" customHeight="1" x14ac:dyDescent="0.25">
      <c r="A147" s="31">
        <v>0</v>
      </c>
      <c r="B147" s="31">
        <v>1</v>
      </c>
      <c r="C147" s="31">
        <v>3</v>
      </c>
      <c r="D147" s="32" t="s">
        <v>1198</v>
      </c>
      <c r="E147" s="32" t="s">
        <v>172</v>
      </c>
      <c r="F147" s="32" t="s">
        <v>1199</v>
      </c>
      <c r="G147" s="32" t="s">
        <v>238</v>
      </c>
      <c r="H147" s="32" t="s">
        <v>354</v>
      </c>
      <c r="I147" s="31" t="s">
        <v>1200</v>
      </c>
      <c r="J147" s="31">
        <v>4</v>
      </c>
      <c r="K147" s="33" t="s">
        <v>963</v>
      </c>
      <c r="L147" s="33" t="s">
        <v>1699</v>
      </c>
      <c r="M147" s="34" t="s">
        <v>1604</v>
      </c>
      <c r="N147" s="34" t="s">
        <v>1727</v>
      </c>
      <c r="O147" s="35">
        <v>1</v>
      </c>
      <c r="P147" s="35">
        <v>1</v>
      </c>
      <c r="Q147" s="32"/>
      <c r="S147" s="1">
        <f t="shared" si="101"/>
        <v>0</v>
      </c>
      <c r="T147" s="1">
        <f t="shared" si="102"/>
        <v>0</v>
      </c>
      <c r="U147" s="1">
        <f t="shared" si="103"/>
        <v>0</v>
      </c>
      <c r="V147" s="1">
        <f t="shared" si="104"/>
        <v>1</v>
      </c>
      <c r="W147" s="1">
        <f t="shared" si="105"/>
        <v>0</v>
      </c>
      <c r="X147" s="1">
        <f t="shared" si="106"/>
        <v>0</v>
      </c>
      <c r="Y147" s="1">
        <f t="shared" si="107"/>
        <v>0</v>
      </c>
      <c r="Z147" s="1">
        <f t="shared" si="108"/>
        <v>0</v>
      </c>
      <c r="AA147" s="1">
        <f t="shared" si="109"/>
        <v>0</v>
      </c>
      <c r="AB147" s="1">
        <f t="shared" si="110"/>
        <v>0</v>
      </c>
      <c r="AD147" s="1">
        <f t="shared" si="111"/>
        <v>1</v>
      </c>
      <c r="AE147" s="1">
        <f t="shared" si="112"/>
        <v>0</v>
      </c>
      <c r="AF147" s="1">
        <f t="shared" si="97"/>
        <v>1</v>
      </c>
      <c r="AG147" s="1">
        <f t="shared" si="98"/>
        <v>0</v>
      </c>
      <c r="AH147" s="1">
        <f t="shared" si="99"/>
        <v>1</v>
      </c>
      <c r="AI147" s="1">
        <f t="shared" si="100"/>
        <v>0</v>
      </c>
    </row>
    <row r="148" spans="1:35" ht="14.25" customHeight="1" x14ac:dyDescent="0.25">
      <c r="A148" s="31">
        <v>0</v>
      </c>
      <c r="B148" s="31">
        <v>1</v>
      </c>
      <c r="C148" s="31">
        <v>3</v>
      </c>
      <c r="D148" s="32" t="s">
        <v>1641</v>
      </c>
      <c r="E148" s="32" t="s">
        <v>170</v>
      </c>
      <c r="F148" s="32" t="s">
        <v>1476</v>
      </c>
      <c r="G148" s="32" t="s">
        <v>1669</v>
      </c>
      <c r="H148" s="32" t="s">
        <v>354</v>
      </c>
      <c r="I148" s="31" t="s">
        <v>1475</v>
      </c>
      <c r="J148" s="31">
        <v>99</v>
      </c>
      <c r="K148" s="33" t="s">
        <v>702</v>
      </c>
      <c r="L148" s="33" t="s">
        <v>1704</v>
      </c>
      <c r="M148" s="34" t="s">
        <v>1477</v>
      </c>
      <c r="N148" s="34" t="s">
        <v>1749</v>
      </c>
      <c r="O148" s="35">
        <v>1</v>
      </c>
      <c r="P148" s="35"/>
      <c r="Q148" s="32"/>
      <c r="S148" s="1">
        <f t="shared" si="101"/>
        <v>0</v>
      </c>
      <c r="T148" s="1">
        <f t="shared" si="102"/>
        <v>0</v>
      </c>
      <c r="U148" s="1">
        <f t="shared" si="103"/>
        <v>0</v>
      </c>
      <c r="V148" s="1">
        <f t="shared" si="104"/>
        <v>0</v>
      </c>
      <c r="W148" s="1">
        <f t="shared" si="105"/>
        <v>0</v>
      </c>
      <c r="X148" s="1">
        <f t="shared" si="106"/>
        <v>0</v>
      </c>
      <c r="Y148" s="1">
        <f t="shared" si="107"/>
        <v>0</v>
      </c>
      <c r="Z148" s="1">
        <f t="shared" si="108"/>
        <v>0</v>
      </c>
      <c r="AA148" s="1">
        <f t="shared" si="109"/>
        <v>0</v>
      </c>
      <c r="AB148" s="1">
        <f t="shared" si="110"/>
        <v>0</v>
      </c>
      <c r="AD148" s="1">
        <f t="shared" si="111"/>
        <v>0</v>
      </c>
      <c r="AE148" s="1">
        <f t="shared" si="112"/>
        <v>1</v>
      </c>
      <c r="AF148" s="1">
        <f t="shared" si="97"/>
        <v>0</v>
      </c>
      <c r="AG148" s="1">
        <f t="shared" si="98"/>
        <v>1</v>
      </c>
      <c r="AH148" s="1">
        <f t="shared" si="99"/>
        <v>0</v>
      </c>
      <c r="AI148" s="1">
        <f t="shared" si="100"/>
        <v>1</v>
      </c>
    </row>
    <row r="149" spans="1:35" ht="14.25" customHeight="1" x14ac:dyDescent="0.25">
      <c r="A149" s="15">
        <v>0</v>
      </c>
      <c r="B149" s="15">
        <v>1</v>
      </c>
      <c r="C149" s="15">
        <v>3</v>
      </c>
      <c r="D149" s="20" t="s">
        <v>1948</v>
      </c>
      <c r="E149" s="20" t="s">
        <v>172</v>
      </c>
      <c r="F149" s="20" t="s">
        <v>1964</v>
      </c>
      <c r="G149" s="20"/>
      <c r="H149" s="20" t="s">
        <v>1963</v>
      </c>
      <c r="I149" s="21" t="s">
        <v>1962</v>
      </c>
      <c r="J149" s="15">
        <v>14</v>
      </c>
      <c r="K149" s="10" t="s">
        <v>703</v>
      </c>
      <c r="L149" s="10" t="s">
        <v>697</v>
      </c>
      <c r="M149" s="19" t="s">
        <v>971</v>
      </c>
      <c r="N149" s="17"/>
      <c r="Q149" s="20" t="s">
        <v>1965</v>
      </c>
      <c r="S149" s="1">
        <f t="shared" si="101"/>
        <v>0</v>
      </c>
      <c r="T149" s="1">
        <f t="shared" si="102"/>
        <v>0</v>
      </c>
      <c r="U149" s="1">
        <f t="shared" si="103"/>
        <v>0</v>
      </c>
      <c r="V149" s="1">
        <f t="shared" si="104"/>
        <v>0</v>
      </c>
      <c r="W149" s="1">
        <f t="shared" si="105"/>
        <v>0</v>
      </c>
      <c r="X149" s="1">
        <f t="shared" si="106"/>
        <v>0</v>
      </c>
      <c r="Y149" s="1">
        <f t="shared" si="107"/>
        <v>0</v>
      </c>
      <c r="Z149" s="1">
        <f t="shared" si="108"/>
        <v>0</v>
      </c>
      <c r="AA149" s="1">
        <f t="shared" si="109"/>
        <v>0</v>
      </c>
      <c r="AB149" s="1">
        <f t="shared" si="110"/>
        <v>0</v>
      </c>
      <c r="AD149" s="1">
        <f t="shared" si="111"/>
        <v>0</v>
      </c>
      <c r="AE149" s="1">
        <f t="shared" si="112"/>
        <v>0</v>
      </c>
      <c r="AF149" s="1">
        <f t="shared" si="97"/>
        <v>0</v>
      </c>
      <c r="AG149" s="1">
        <f t="shared" si="98"/>
        <v>0</v>
      </c>
      <c r="AH149" s="1">
        <f t="shared" si="99"/>
        <v>0</v>
      </c>
      <c r="AI149" s="1">
        <f t="shared" si="100"/>
        <v>1</v>
      </c>
    </row>
    <row r="150" spans="1:35" ht="14.25" customHeight="1" x14ac:dyDescent="0.25">
      <c r="A150" s="31">
        <v>0</v>
      </c>
      <c r="B150" s="31">
        <v>1</v>
      </c>
      <c r="C150" s="31">
        <v>3</v>
      </c>
      <c r="D150" s="32" t="s">
        <v>145</v>
      </c>
      <c r="E150" s="32" t="s">
        <v>172</v>
      </c>
      <c r="F150" s="32" t="s">
        <v>347</v>
      </c>
      <c r="G150" s="32" t="s">
        <v>39</v>
      </c>
      <c r="H150" s="32" t="s">
        <v>378</v>
      </c>
      <c r="I150" s="31" t="s">
        <v>1362</v>
      </c>
      <c r="J150" s="31">
        <v>14</v>
      </c>
      <c r="K150" s="33" t="s">
        <v>956</v>
      </c>
      <c r="L150" s="33" t="s">
        <v>689</v>
      </c>
      <c r="M150" s="34" t="s">
        <v>691</v>
      </c>
      <c r="N150" s="34" t="s">
        <v>1748</v>
      </c>
      <c r="O150" s="35">
        <v>1</v>
      </c>
      <c r="P150" s="35"/>
      <c r="Q150" s="32"/>
      <c r="S150" s="1">
        <f t="shared" si="101"/>
        <v>0</v>
      </c>
      <c r="T150" s="1">
        <f t="shared" si="102"/>
        <v>0</v>
      </c>
      <c r="U150" s="1">
        <f t="shared" si="103"/>
        <v>0</v>
      </c>
      <c r="V150" s="1">
        <f t="shared" si="104"/>
        <v>0</v>
      </c>
      <c r="W150" s="1">
        <f t="shared" si="105"/>
        <v>0</v>
      </c>
      <c r="X150" s="1">
        <f t="shared" si="106"/>
        <v>0</v>
      </c>
      <c r="Y150" s="1">
        <f t="shared" si="107"/>
        <v>0</v>
      </c>
      <c r="Z150" s="1">
        <f t="shared" si="108"/>
        <v>0</v>
      </c>
      <c r="AA150" s="1">
        <f t="shared" si="109"/>
        <v>0</v>
      </c>
      <c r="AB150" s="1">
        <f t="shared" si="110"/>
        <v>0</v>
      </c>
      <c r="AD150" s="1">
        <f t="shared" si="111"/>
        <v>0</v>
      </c>
      <c r="AE150" s="1">
        <f t="shared" si="112"/>
        <v>1</v>
      </c>
      <c r="AF150" s="1">
        <f t="shared" si="97"/>
        <v>0</v>
      </c>
      <c r="AG150" s="1">
        <f t="shared" si="98"/>
        <v>1</v>
      </c>
      <c r="AH150" s="1">
        <f t="shared" si="99"/>
        <v>0</v>
      </c>
      <c r="AI150" s="1">
        <f t="shared" si="100"/>
        <v>1</v>
      </c>
    </row>
    <row r="151" spans="1:35" ht="14.25" customHeight="1" x14ac:dyDescent="0.25">
      <c r="A151" s="31">
        <v>0</v>
      </c>
      <c r="B151" s="31">
        <v>1</v>
      </c>
      <c r="C151" s="31">
        <v>3</v>
      </c>
      <c r="D151" s="32" t="s">
        <v>1567</v>
      </c>
      <c r="E151" s="32" t="s">
        <v>172</v>
      </c>
      <c r="F151" s="32" t="s">
        <v>1568</v>
      </c>
      <c r="G151" s="32" t="s">
        <v>39</v>
      </c>
      <c r="H151" s="32" t="s">
        <v>1569</v>
      </c>
      <c r="I151" s="31" t="s">
        <v>1570</v>
      </c>
      <c r="J151" s="31">
        <v>17</v>
      </c>
      <c r="K151" s="33" t="s">
        <v>722</v>
      </c>
      <c r="L151" s="33" t="s">
        <v>39</v>
      </c>
      <c r="M151" s="34" t="s">
        <v>39</v>
      </c>
      <c r="N151" s="34" t="s">
        <v>1733</v>
      </c>
      <c r="O151" s="35">
        <v>1</v>
      </c>
      <c r="P151" s="35">
        <v>1</v>
      </c>
      <c r="Q151" s="32" t="s">
        <v>1913</v>
      </c>
      <c r="S151" s="1">
        <f t="shared" si="101"/>
        <v>0</v>
      </c>
      <c r="T151" s="1">
        <f t="shared" si="102"/>
        <v>0</v>
      </c>
      <c r="U151" s="1">
        <f t="shared" si="103"/>
        <v>0</v>
      </c>
      <c r="V151" s="1">
        <f t="shared" si="104"/>
        <v>0</v>
      </c>
      <c r="W151" s="1">
        <f t="shared" si="105"/>
        <v>0</v>
      </c>
      <c r="X151" s="1">
        <f t="shared" si="106"/>
        <v>0</v>
      </c>
      <c r="Y151" s="1">
        <f t="shared" si="107"/>
        <v>0</v>
      </c>
      <c r="Z151" s="1">
        <f t="shared" si="108"/>
        <v>0</v>
      </c>
      <c r="AA151" s="1">
        <f t="shared" si="109"/>
        <v>0</v>
      </c>
      <c r="AB151" s="1">
        <f t="shared" si="110"/>
        <v>0</v>
      </c>
      <c r="AD151" s="1">
        <f t="shared" si="111"/>
        <v>1</v>
      </c>
      <c r="AE151" s="1">
        <f t="shared" si="112"/>
        <v>0</v>
      </c>
      <c r="AF151" s="1">
        <f t="shared" si="97"/>
        <v>1</v>
      </c>
      <c r="AG151" s="1">
        <f t="shared" si="98"/>
        <v>0</v>
      </c>
      <c r="AH151" s="1">
        <f t="shared" si="99"/>
        <v>1</v>
      </c>
      <c r="AI151" s="1">
        <f t="shared" si="100"/>
        <v>0</v>
      </c>
    </row>
    <row r="152" spans="1:35" ht="14.25" customHeight="1" x14ac:dyDescent="0.25">
      <c r="A152" s="31">
        <v>0</v>
      </c>
      <c r="B152" s="31">
        <v>1</v>
      </c>
      <c r="C152" s="31">
        <v>3</v>
      </c>
      <c r="D152" s="32" t="s">
        <v>153</v>
      </c>
      <c r="E152" s="32" t="s">
        <v>172</v>
      </c>
      <c r="F152" s="32" t="s">
        <v>353</v>
      </c>
      <c r="G152" s="32" t="s">
        <v>39</v>
      </c>
      <c r="H152" s="32" t="s">
        <v>1869</v>
      </c>
      <c r="I152" s="31" t="s">
        <v>500</v>
      </c>
      <c r="J152" s="31">
        <v>14</v>
      </c>
      <c r="K152" s="33" t="s">
        <v>702</v>
      </c>
      <c r="L152" s="33" t="s">
        <v>689</v>
      </c>
      <c r="M152" s="34" t="s">
        <v>970</v>
      </c>
      <c r="N152" s="34" t="s">
        <v>1748</v>
      </c>
      <c r="O152" s="35">
        <v>1</v>
      </c>
      <c r="P152" s="35"/>
      <c r="Q152" s="32" t="s">
        <v>1896</v>
      </c>
      <c r="S152" s="1">
        <f t="shared" si="101"/>
        <v>0</v>
      </c>
      <c r="T152" s="1">
        <f t="shared" si="102"/>
        <v>0</v>
      </c>
      <c r="U152" s="1">
        <f t="shared" si="103"/>
        <v>0</v>
      </c>
      <c r="V152" s="1">
        <f t="shared" si="104"/>
        <v>0</v>
      </c>
      <c r="W152" s="1">
        <f t="shared" si="105"/>
        <v>0</v>
      </c>
      <c r="X152" s="1">
        <f t="shared" si="106"/>
        <v>0</v>
      </c>
      <c r="Y152" s="1">
        <f t="shared" si="107"/>
        <v>0</v>
      </c>
      <c r="Z152" s="1">
        <f t="shared" si="108"/>
        <v>0</v>
      </c>
      <c r="AA152" s="1">
        <f t="shared" si="109"/>
        <v>0</v>
      </c>
      <c r="AB152" s="1">
        <f t="shared" si="110"/>
        <v>0</v>
      </c>
      <c r="AD152" s="1">
        <f t="shared" si="111"/>
        <v>0</v>
      </c>
      <c r="AE152" s="1">
        <f t="shared" si="112"/>
        <v>1</v>
      </c>
      <c r="AF152" s="1">
        <f t="shared" si="97"/>
        <v>0</v>
      </c>
      <c r="AG152" s="1">
        <f t="shared" si="98"/>
        <v>1</v>
      </c>
      <c r="AH152" s="1">
        <f t="shared" si="99"/>
        <v>0</v>
      </c>
      <c r="AI152" s="1">
        <f t="shared" si="100"/>
        <v>1</v>
      </c>
    </row>
    <row r="153" spans="1:35" ht="14.25" customHeight="1" x14ac:dyDescent="0.25">
      <c r="A153" s="15">
        <v>0</v>
      </c>
      <c r="B153" s="15">
        <v>1</v>
      </c>
      <c r="C153" s="15">
        <v>3</v>
      </c>
      <c r="D153" s="16" t="s">
        <v>739</v>
      </c>
      <c r="E153" s="16" t="s">
        <v>172</v>
      </c>
      <c r="F153" s="16" t="s">
        <v>740</v>
      </c>
      <c r="G153" s="16" t="s">
        <v>39</v>
      </c>
      <c r="H153" s="16" t="s">
        <v>741</v>
      </c>
      <c r="I153" s="15" t="s">
        <v>742</v>
      </c>
      <c r="J153" s="15">
        <v>17</v>
      </c>
      <c r="K153" s="10" t="s">
        <v>722</v>
      </c>
      <c r="L153" s="10" t="s">
        <v>697</v>
      </c>
      <c r="M153" s="19" t="s">
        <v>691</v>
      </c>
      <c r="N153" s="17"/>
      <c r="Q153" s="16" t="s">
        <v>1887</v>
      </c>
      <c r="S153" s="1">
        <f t="shared" si="101"/>
        <v>0</v>
      </c>
      <c r="T153" s="1">
        <f t="shared" si="102"/>
        <v>0</v>
      </c>
      <c r="U153" s="1">
        <f t="shared" si="103"/>
        <v>0</v>
      </c>
      <c r="V153" s="1">
        <f t="shared" si="104"/>
        <v>0</v>
      </c>
      <c r="W153" s="1">
        <f t="shared" si="105"/>
        <v>0</v>
      </c>
      <c r="X153" s="1">
        <f t="shared" si="106"/>
        <v>0</v>
      </c>
      <c r="Y153" s="1">
        <f t="shared" si="107"/>
        <v>0</v>
      </c>
      <c r="Z153" s="1">
        <f t="shared" si="108"/>
        <v>0</v>
      </c>
      <c r="AA153" s="1">
        <f t="shared" si="109"/>
        <v>0</v>
      </c>
      <c r="AB153" s="1">
        <f t="shared" si="110"/>
        <v>0</v>
      </c>
      <c r="AD153" s="1">
        <f t="shared" si="111"/>
        <v>0</v>
      </c>
      <c r="AE153" s="1">
        <f t="shared" si="112"/>
        <v>0</v>
      </c>
      <c r="AF153" s="1">
        <f t="shared" si="97"/>
        <v>0</v>
      </c>
      <c r="AG153" s="1">
        <f t="shared" si="98"/>
        <v>0</v>
      </c>
      <c r="AH153" s="1">
        <f t="shared" si="99"/>
        <v>0</v>
      </c>
      <c r="AI153" s="1">
        <f t="shared" si="100"/>
        <v>1</v>
      </c>
    </row>
    <row r="154" spans="1:35" ht="14.25" customHeight="1" x14ac:dyDescent="0.25">
      <c r="A154" s="44">
        <v>0</v>
      </c>
      <c r="B154" s="44">
        <v>1</v>
      </c>
      <c r="C154" s="44">
        <v>3</v>
      </c>
      <c r="D154" s="45" t="s">
        <v>904</v>
      </c>
      <c r="E154" s="45" t="s">
        <v>172</v>
      </c>
      <c r="F154" s="45" t="s">
        <v>1096</v>
      </c>
      <c r="G154" s="45" t="s">
        <v>39</v>
      </c>
      <c r="H154" s="45" t="s">
        <v>906</v>
      </c>
      <c r="I154" s="44" t="s">
        <v>905</v>
      </c>
      <c r="J154" s="44">
        <v>11</v>
      </c>
      <c r="K154" s="46" t="s">
        <v>957</v>
      </c>
      <c r="L154" s="46">
        <v>60</v>
      </c>
      <c r="M154" s="47" t="s">
        <v>39</v>
      </c>
      <c r="N154" s="47" t="s">
        <v>1739</v>
      </c>
      <c r="O154" s="48"/>
      <c r="P154" s="48"/>
      <c r="Q154" s="45"/>
      <c r="S154" s="1">
        <f t="shared" si="101"/>
        <v>0</v>
      </c>
      <c r="T154" s="1">
        <f t="shared" si="102"/>
        <v>0</v>
      </c>
      <c r="U154" s="1">
        <f t="shared" si="103"/>
        <v>0</v>
      </c>
      <c r="V154" s="1">
        <f t="shared" si="104"/>
        <v>0</v>
      </c>
      <c r="W154" s="1">
        <f t="shared" si="105"/>
        <v>0</v>
      </c>
      <c r="X154" s="1">
        <f t="shared" si="106"/>
        <v>0</v>
      </c>
      <c r="Y154" s="1">
        <f t="shared" si="107"/>
        <v>0</v>
      </c>
      <c r="Z154" s="1">
        <f t="shared" si="108"/>
        <v>0</v>
      </c>
      <c r="AA154" s="1">
        <f t="shared" si="109"/>
        <v>0</v>
      </c>
      <c r="AB154" s="1">
        <f t="shared" si="110"/>
        <v>0</v>
      </c>
      <c r="AD154" s="1">
        <f t="shared" si="111"/>
        <v>0</v>
      </c>
      <c r="AE154" s="1">
        <f t="shared" si="112"/>
        <v>0</v>
      </c>
      <c r="AF154" s="1">
        <f t="shared" si="97"/>
        <v>0</v>
      </c>
      <c r="AG154" s="1">
        <f t="shared" si="98"/>
        <v>0</v>
      </c>
      <c r="AH154" s="1">
        <f t="shared" si="99"/>
        <v>0</v>
      </c>
      <c r="AI154" s="1">
        <f t="shared" si="100"/>
        <v>1</v>
      </c>
    </row>
    <row r="155" spans="1:35" ht="14.25" customHeight="1" x14ac:dyDescent="0.25">
      <c r="A155" s="44">
        <v>0</v>
      </c>
      <c r="B155" s="44">
        <v>1</v>
      </c>
      <c r="C155" s="44">
        <v>3</v>
      </c>
      <c r="D155" s="45" t="s">
        <v>123</v>
      </c>
      <c r="E155" s="45" t="s">
        <v>175</v>
      </c>
      <c r="F155" s="45" t="s">
        <v>324</v>
      </c>
      <c r="G155" s="45" t="s">
        <v>39</v>
      </c>
      <c r="H155" s="45" t="s">
        <v>363</v>
      </c>
      <c r="I155" s="44" t="s">
        <v>470</v>
      </c>
      <c r="J155" s="44">
        <v>14</v>
      </c>
      <c r="K155" s="46" t="s">
        <v>722</v>
      </c>
      <c r="L155" s="46" t="s">
        <v>693</v>
      </c>
      <c r="M155" s="47" t="s">
        <v>1379</v>
      </c>
      <c r="N155" s="47" t="s">
        <v>1809</v>
      </c>
      <c r="O155" s="48"/>
      <c r="P155" s="48"/>
      <c r="Q155" s="45"/>
      <c r="S155" s="1">
        <f t="shared" ref="S155:S159" si="113">IF(J155=$S$7,1,0)</f>
        <v>0</v>
      </c>
      <c r="T155" s="1">
        <f t="shared" ref="T155:T159" si="114">IF(J155=$T$7,1,0)</f>
        <v>0</v>
      </c>
      <c r="U155" s="1">
        <f t="shared" ref="U155:U159" si="115">IF(J155=$U$7,1,0)</f>
        <v>0</v>
      </c>
      <c r="V155" s="1">
        <f t="shared" ref="V155:V159" si="116">IF(J155=$V$7,1,0)</f>
        <v>0</v>
      </c>
      <c r="W155" s="1">
        <f t="shared" ref="W155:W159" si="117">IF(J155=$W$7,1,0)</f>
        <v>0</v>
      </c>
      <c r="X155" s="1">
        <f t="shared" ref="X155:X159" si="118">IF(J155=$X$7,1,0)</f>
        <v>0</v>
      </c>
      <c r="Y155" s="1">
        <f t="shared" ref="Y155:Y159" si="119">IF(J155=$Y$7,1,0)</f>
        <v>0</v>
      </c>
      <c r="Z155" s="1">
        <f t="shared" ref="Z155:Z159" si="120">IF(J155=$Z$7,1,0)</f>
        <v>0</v>
      </c>
      <c r="AA155" s="1">
        <f t="shared" ref="AA155:AA159" si="121">IF(J155=$AA$7,1,0)</f>
        <v>0</v>
      </c>
      <c r="AB155" s="1">
        <f t="shared" ref="AB155:AB159" si="122">IF(J155=$AB$7,1,0)</f>
        <v>0</v>
      </c>
      <c r="AD155" s="1">
        <f t="shared" ref="AD155:AD159" si="123">+O155*P155</f>
        <v>0</v>
      </c>
      <c r="AE155" s="1">
        <f t="shared" ref="AE155:AE159" si="124">O155*(1-P155)</f>
        <v>0</v>
      </c>
      <c r="AF155" s="1">
        <f t="shared" ref="AF155:AF159" si="125">+O155*P155*(1-A155)</f>
        <v>0</v>
      </c>
      <c r="AG155" s="1">
        <f t="shared" ref="AG155:AG159" si="126">O155*(1-P155)*(1-A155)</f>
        <v>0</v>
      </c>
      <c r="AH155" s="1">
        <f t="shared" ref="AH155:AH159" si="127">+P155*(1-A155)</f>
        <v>0</v>
      </c>
      <c r="AI155" s="1">
        <f t="shared" ref="AI155:AI159" si="128">+(1-A155)*(1-P155)</f>
        <v>1</v>
      </c>
    </row>
    <row r="156" spans="1:35" s="1" customFormat="1" ht="14.25" customHeight="1" x14ac:dyDescent="0.25">
      <c r="A156" s="31">
        <v>0</v>
      </c>
      <c r="B156" s="31">
        <v>1</v>
      </c>
      <c r="C156" s="31">
        <v>3</v>
      </c>
      <c r="D156" s="32" t="s">
        <v>1169</v>
      </c>
      <c r="E156" s="32" t="s">
        <v>172</v>
      </c>
      <c r="F156" s="32" t="s">
        <v>1171</v>
      </c>
      <c r="G156" s="32" t="s">
        <v>767</v>
      </c>
      <c r="H156" s="32" t="s">
        <v>354</v>
      </c>
      <c r="I156" s="31" t="s">
        <v>1170</v>
      </c>
      <c r="J156" s="31">
        <v>99</v>
      </c>
      <c r="K156" s="33" t="s">
        <v>703</v>
      </c>
      <c r="L156" s="33">
        <v>30</v>
      </c>
      <c r="M156" s="34" t="s">
        <v>970</v>
      </c>
      <c r="N156" s="34" t="s">
        <v>1825</v>
      </c>
      <c r="O156" s="35">
        <v>1</v>
      </c>
      <c r="P156" s="35"/>
      <c r="Q156" s="36"/>
      <c r="S156" s="1">
        <f t="shared" si="113"/>
        <v>0</v>
      </c>
      <c r="T156" s="1">
        <f t="shared" si="114"/>
        <v>0</v>
      </c>
      <c r="U156" s="1">
        <f t="shared" si="115"/>
        <v>0</v>
      </c>
      <c r="V156" s="1">
        <f t="shared" si="116"/>
        <v>0</v>
      </c>
      <c r="W156" s="1">
        <f t="shared" si="117"/>
        <v>0</v>
      </c>
      <c r="X156" s="1">
        <f t="shared" si="118"/>
        <v>0</v>
      </c>
      <c r="Y156" s="1">
        <f t="shared" si="119"/>
        <v>0</v>
      </c>
      <c r="Z156" s="1">
        <f t="shared" si="120"/>
        <v>0</v>
      </c>
      <c r="AA156" s="1">
        <f t="shared" si="121"/>
        <v>0</v>
      </c>
      <c r="AB156" s="1">
        <f t="shared" si="122"/>
        <v>0</v>
      </c>
      <c r="AD156" s="1">
        <f t="shared" si="123"/>
        <v>0</v>
      </c>
      <c r="AE156" s="1">
        <f t="shared" si="124"/>
        <v>1</v>
      </c>
      <c r="AF156" s="1">
        <f t="shared" si="125"/>
        <v>0</v>
      </c>
      <c r="AG156" s="1">
        <f t="shared" si="126"/>
        <v>1</v>
      </c>
      <c r="AH156" s="1">
        <f t="shared" si="127"/>
        <v>0</v>
      </c>
      <c r="AI156" s="1">
        <f t="shared" si="128"/>
        <v>1</v>
      </c>
    </row>
    <row r="157" spans="1:35" s="1" customFormat="1" ht="14.25" customHeight="1" x14ac:dyDescent="0.25">
      <c r="A157" s="38">
        <v>0</v>
      </c>
      <c r="B157" s="38">
        <v>1</v>
      </c>
      <c r="C157" s="38">
        <v>3</v>
      </c>
      <c r="D157" s="39" t="s">
        <v>2042</v>
      </c>
      <c r="E157" s="39" t="s">
        <v>172</v>
      </c>
      <c r="F157" s="39" t="s">
        <v>2043</v>
      </c>
      <c r="G157" s="39"/>
      <c r="H157" s="39" t="s">
        <v>354</v>
      </c>
      <c r="I157" s="38" t="s">
        <v>2044</v>
      </c>
      <c r="J157" s="38">
        <v>18</v>
      </c>
      <c r="K157" s="40" t="s">
        <v>703</v>
      </c>
      <c r="L157" s="40"/>
      <c r="M157" s="41"/>
      <c r="N157" s="42"/>
      <c r="O157" s="43"/>
      <c r="P157" s="43">
        <v>1</v>
      </c>
      <c r="Q157" s="39" t="s">
        <v>2045</v>
      </c>
      <c r="S157" s="1">
        <f t="shared" si="113"/>
        <v>0</v>
      </c>
      <c r="T157" s="1">
        <f t="shared" si="114"/>
        <v>0</v>
      </c>
      <c r="U157" s="1">
        <f t="shared" si="115"/>
        <v>0</v>
      </c>
      <c r="V157" s="1">
        <f t="shared" si="116"/>
        <v>0</v>
      </c>
      <c r="W157" s="1">
        <f t="shared" si="117"/>
        <v>0</v>
      </c>
      <c r="X157" s="1">
        <f t="shared" si="118"/>
        <v>0</v>
      </c>
      <c r="Y157" s="1">
        <f t="shared" si="119"/>
        <v>0</v>
      </c>
      <c r="Z157" s="1">
        <f t="shared" si="120"/>
        <v>0</v>
      </c>
      <c r="AA157" s="1">
        <f t="shared" si="121"/>
        <v>0</v>
      </c>
      <c r="AB157" s="1">
        <f t="shared" si="122"/>
        <v>0</v>
      </c>
      <c r="AD157" s="1">
        <f t="shared" si="123"/>
        <v>0</v>
      </c>
      <c r="AE157" s="1">
        <f t="shared" si="124"/>
        <v>0</v>
      </c>
      <c r="AF157" s="1">
        <f t="shared" si="125"/>
        <v>0</v>
      </c>
      <c r="AG157" s="1">
        <f t="shared" si="126"/>
        <v>0</v>
      </c>
      <c r="AH157" s="1">
        <f t="shared" si="127"/>
        <v>1</v>
      </c>
      <c r="AI157" s="1">
        <f t="shared" si="128"/>
        <v>0</v>
      </c>
    </row>
    <row r="158" spans="1:35" s="1" customFormat="1" ht="14.25" customHeight="1" x14ac:dyDescent="0.25">
      <c r="A158" s="15">
        <v>0</v>
      </c>
      <c r="B158" s="15">
        <v>1</v>
      </c>
      <c r="C158" s="15">
        <v>3</v>
      </c>
      <c r="D158" s="16" t="s">
        <v>743</v>
      </c>
      <c r="E158" s="16" t="s">
        <v>170</v>
      </c>
      <c r="F158" s="16" t="s">
        <v>744</v>
      </c>
      <c r="G158" s="16" t="s">
        <v>39</v>
      </c>
      <c r="H158" s="16" t="s">
        <v>745</v>
      </c>
      <c r="I158" s="15" t="s">
        <v>746</v>
      </c>
      <c r="J158" s="15">
        <v>17</v>
      </c>
      <c r="K158" s="10" t="s">
        <v>703</v>
      </c>
      <c r="L158" s="10" t="s">
        <v>697</v>
      </c>
      <c r="M158" s="19" t="s">
        <v>971</v>
      </c>
      <c r="N158" s="17"/>
      <c r="Q158" s="16"/>
      <c r="S158" s="1">
        <f t="shared" si="113"/>
        <v>0</v>
      </c>
      <c r="T158" s="1">
        <f t="shared" si="114"/>
        <v>0</v>
      </c>
      <c r="U158" s="1">
        <f t="shared" si="115"/>
        <v>0</v>
      </c>
      <c r="V158" s="1">
        <f t="shared" si="116"/>
        <v>0</v>
      </c>
      <c r="W158" s="1">
        <f t="shared" si="117"/>
        <v>0</v>
      </c>
      <c r="X158" s="1">
        <f t="shared" si="118"/>
        <v>0</v>
      </c>
      <c r="Y158" s="1">
        <f t="shared" si="119"/>
        <v>0</v>
      </c>
      <c r="Z158" s="1">
        <f t="shared" si="120"/>
        <v>0</v>
      </c>
      <c r="AA158" s="1">
        <f t="shared" si="121"/>
        <v>0</v>
      </c>
      <c r="AB158" s="1">
        <f t="shared" si="122"/>
        <v>0</v>
      </c>
      <c r="AD158" s="1">
        <f t="shared" si="123"/>
        <v>0</v>
      </c>
      <c r="AE158" s="1">
        <f t="shared" si="124"/>
        <v>0</v>
      </c>
      <c r="AF158" s="1">
        <f t="shared" si="125"/>
        <v>0</v>
      </c>
      <c r="AG158" s="1">
        <f t="shared" si="126"/>
        <v>0</v>
      </c>
      <c r="AH158" s="1">
        <f t="shared" si="127"/>
        <v>0</v>
      </c>
      <c r="AI158" s="1">
        <f t="shared" si="128"/>
        <v>1</v>
      </c>
    </row>
    <row r="159" spans="1:35" s="1" customFormat="1" ht="14.25" customHeight="1" x14ac:dyDescent="0.25">
      <c r="A159" s="15">
        <v>0</v>
      </c>
      <c r="B159" s="15">
        <v>1</v>
      </c>
      <c r="C159" s="15">
        <v>3</v>
      </c>
      <c r="D159" s="20" t="s">
        <v>1947</v>
      </c>
      <c r="E159" s="20" t="s">
        <v>172</v>
      </c>
      <c r="F159" s="20" t="s">
        <v>1958</v>
      </c>
      <c r="G159" s="20"/>
      <c r="H159" s="20" t="s">
        <v>1959</v>
      </c>
      <c r="I159" s="21" t="s">
        <v>1960</v>
      </c>
      <c r="J159" s="15">
        <v>16</v>
      </c>
      <c r="K159" s="10" t="s">
        <v>703</v>
      </c>
      <c r="L159" s="10" t="s">
        <v>697</v>
      </c>
      <c r="M159" s="19" t="s">
        <v>971</v>
      </c>
      <c r="N159" s="17"/>
      <c r="Q159" s="20" t="s">
        <v>1957</v>
      </c>
      <c r="S159" s="1">
        <f t="shared" si="113"/>
        <v>0</v>
      </c>
      <c r="T159" s="1">
        <f t="shared" si="114"/>
        <v>0</v>
      </c>
      <c r="U159" s="1">
        <f t="shared" si="115"/>
        <v>0</v>
      </c>
      <c r="V159" s="1">
        <f t="shared" si="116"/>
        <v>0</v>
      </c>
      <c r="W159" s="1">
        <f t="shared" si="117"/>
        <v>0</v>
      </c>
      <c r="X159" s="1">
        <f t="shared" si="118"/>
        <v>0</v>
      </c>
      <c r="Y159" s="1">
        <f t="shared" si="119"/>
        <v>0</v>
      </c>
      <c r="Z159" s="1">
        <f t="shared" si="120"/>
        <v>0</v>
      </c>
      <c r="AA159" s="1">
        <f t="shared" si="121"/>
        <v>0</v>
      </c>
      <c r="AB159" s="1">
        <f t="shared" si="122"/>
        <v>0</v>
      </c>
      <c r="AD159" s="1">
        <f t="shared" si="123"/>
        <v>0</v>
      </c>
      <c r="AE159" s="1">
        <f t="shared" si="124"/>
        <v>0</v>
      </c>
      <c r="AF159" s="1">
        <f t="shared" si="125"/>
        <v>0</v>
      </c>
      <c r="AG159" s="1">
        <f t="shared" si="126"/>
        <v>0</v>
      </c>
      <c r="AH159" s="1">
        <f t="shared" si="127"/>
        <v>0</v>
      </c>
      <c r="AI159" s="1">
        <f t="shared" si="128"/>
        <v>1</v>
      </c>
    </row>
    <row r="160" spans="1:35" s="1" customFormat="1" ht="14.25" customHeight="1" x14ac:dyDescent="0.25">
      <c r="A160" s="44">
        <v>0</v>
      </c>
      <c r="B160" s="44">
        <v>1</v>
      </c>
      <c r="C160" s="44">
        <v>3</v>
      </c>
      <c r="D160" s="45" t="s">
        <v>834</v>
      </c>
      <c r="E160" s="45" t="s">
        <v>914</v>
      </c>
      <c r="F160" s="45" t="s">
        <v>835</v>
      </c>
      <c r="G160" s="45" t="s">
        <v>208</v>
      </c>
      <c r="H160" s="45" t="s">
        <v>354</v>
      </c>
      <c r="I160" s="44" t="s">
        <v>836</v>
      </c>
      <c r="J160" s="44">
        <v>3</v>
      </c>
      <c r="K160" s="46" t="s">
        <v>722</v>
      </c>
      <c r="L160" s="46" t="s">
        <v>693</v>
      </c>
      <c r="M160" s="47" t="s">
        <v>698</v>
      </c>
      <c r="N160" s="47" t="s">
        <v>1740</v>
      </c>
      <c r="O160" s="48"/>
      <c r="P160" s="48"/>
      <c r="Q160" s="45"/>
      <c r="S160" s="1">
        <f t="shared" si="101"/>
        <v>0</v>
      </c>
      <c r="T160" s="1">
        <f t="shared" si="102"/>
        <v>0</v>
      </c>
      <c r="U160" s="1">
        <f t="shared" si="103"/>
        <v>1</v>
      </c>
      <c r="V160" s="1">
        <f t="shared" si="104"/>
        <v>0</v>
      </c>
      <c r="W160" s="1">
        <f t="shared" si="105"/>
        <v>0</v>
      </c>
      <c r="X160" s="1">
        <f t="shared" si="106"/>
        <v>0</v>
      </c>
      <c r="Y160" s="1">
        <f t="shared" si="107"/>
        <v>0</v>
      </c>
      <c r="Z160" s="1">
        <f t="shared" si="108"/>
        <v>0</v>
      </c>
      <c r="AA160" s="1">
        <f t="shared" si="109"/>
        <v>0</v>
      </c>
      <c r="AB160" s="1">
        <f t="shared" si="110"/>
        <v>0</v>
      </c>
      <c r="AD160" s="1">
        <f t="shared" si="111"/>
        <v>0</v>
      </c>
      <c r="AE160" s="1">
        <f t="shared" si="112"/>
        <v>0</v>
      </c>
      <c r="AF160" s="1">
        <f t="shared" si="97"/>
        <v>0</v>
      </c>
      <c r="AG160" s="1">
        <f t="shared" si="98"/>
        <v>0</v>
      </c>
      <c r="AH160" s="1">
        <f t="shared" si="99"/>
        <v>0</v>
      </c>
      <c r="AI160" s="1">
        <f t="shared" si="100"/>
        <v>1</v>
      </c>
    </row>
    <row r="161" spans="1:35" s="1" customFormat="1" ht="14.25" customHeight="1" x14ac:dyDescent="0.25">
      <c r="A161" s="15">
        <v>0</v>
      </c>
      <c r="B161" s="15">
        <v>1</v>
      </c>
      <c r="C161" s="15">
        <v>3</v>
      </c>
      <c r="D161" s="20" t="s">
        <v>1953</v>
      </c>
      <c r="E161" s="20" t="s">
        <v>172</v>
      </c>
      <c r="F161" s="20" t="s">
        <v>1955</v>
      </c>
      <c r="G161" s="20"/>
      <c r="H161" s="20" t="s">
        <v>1956</v>
      </c>
      <c r="I161" s="21" t="s">
        <v>1954</v>
      </c>
      <c r="J161" s="15">
        <v>16</v>
      </c>
      <c r="K161" s="10" t="s">
        <v>703</v>
      </c>
      <c r="L161" s="10" t="s">
        <v>697</v>
      </c>
      <c r="M161" s="19" t="s">
        <v>971</v>
      </c>
      <c r="N161" s="17"/>
      <c r="Q161" s="20" t="s">
        <v>1961</v>
      </c>
      <c r="S161" s="1">
        <f t="shared" si="101"/>
        <v>0</v>
      </c>
      <c r="T161" s="1">
        <f t="shared" si="102"/>
        <v>0</v>
      </c>
      <c r="U161" s="1">
        <f t="shared" si="103"/>
        <v>0</v>
      </c>
      <c r="V161" s="1">
        <f t="shared" si="104"/>
        <v>0</v>
      </c>
      <c r="W161" s="1">
        <f t="shared" si="105"/>
        <v>0</v>
      </c>
      <c r="X161" s="1">
        <f t="shared" si="106"/>
        <v>0</v>
      </c>
      <c r="Y161" s="1">
        <f t="shared" si="107"/>
        <v>0</v>
      </c>
      <c r="Z161" s="1">
        <f t="shared" si="108"/>
        <v>0</v>
      </c>
      <c r="AA161" s="1">
        <f t="shared" si="109"/>
        <v>0</v>
      </c>
      <c r="AB161" s="1">
        <f t="shared" si="110"/>
        <v>0</v>
      </c>
      <c r="AD161" s="1">
        <f t="shared" si="111"/>
        <v>0</v>
      </c>
      <c r="AE161" s="1">
        <f t="shared" si="112"/>
        <v>0</v>
      </c>
      <c r="AF161" s="1">
        <f t="shared" si="97"/>
        <v>0</v>
      </c>
      <c r="AG161" s="1">
        <f t="shared" si="98"/>
        <v>0</v>
      </c>
      <c r="AH161" s="1">
        <f t="shared" si="99"/>
        <v>0</v>
      </c>
      <c r="AI161" s="1">
        <f t="shared" si="100"/>
        <v>1</v>
      </c>
    </row>
    <row r="162" spans="1:35" s="1" customFormat="1" ht="14.25" customHeight="1" x14ac:dyDescent="0.25">
      <c r="A162" s="44">
        <v>0</v>
      </c>
      <c r="B162" s="44">
        <v>1</v>
      </c>
      <c r="C162" s="44">
        <v>3</v>
      </c>
      <c r="D162" s="45" t="s">
        <v>1209</v>
      </c>
      <c r="E162" s="45" t="s">
        <v>172</v>
      </c>
      <c r="F162" s="45" t="s">
        <v>1211</v>
      </c>
      <c r="G162" s="45" t="s">
        <v>185</v>
      </c>
      <c r="H162" s="45" t="s">
        <v>354</v>
      </c>
      <c r="I162" s="44" t="s">
        <v>1210</v>
      </c>
      <c r="J162" s="44">
        <v>99</v>
      </c>
      <c r="K162" s="46" t="s">
        <v>958</v>
      </c>
      <c r="L162" s="46" t="s">
        <v>689</v>
      </c>
      <c r="M162" s="47" t="s">
        <v>971</v>
      </c>
      <c r="N162" s="47" t="s">
        <v>1734</v>
      </c>
      <c r="O162" s="48"/>
      <c r="P162" s="48"/>
      <c r="Q162" s="45"/>
      <c r="S162" s="1">
        <f t="shared" si="101"/>
        <v>0</v>
      </c>
      <c r="T162" s="1">
        <f t="shared" si="102"/>
        <v>0</v>
      </c>
      <c r="U162" s="1">
        <f t="shared" si="103"/>
        <v>0</v>
      </c>
      <c r="V162" s="1">
        <f t="shared" si="104"/>
        <v>0</v>
      </c>
      <c r="W162" s="1">
        <f t="shared" si="105"/>
        <v>0</v>
      </c>
      <c r="X162" s="1">
        <f t="shared" si="106"/>
        <v>0</v>
      </c>
      <c r="Y162" s="1">
        <f t="shared" si="107"/>
        <v>0</v>
      </c>
      <c r="Z162" s="1">
        <f t="shared" si="108"/>
        <v>0</v>
      </c>
      <c r="AA162" s="1">
        <f t="shared" si="109"/>
        <v>0</v>
      </c>
      <c r="AB162" s="1">
        <f t="shared" si="110"/>
        <v>0</v>
      </c>
      <c r="AD162" s="1">
        <f t="shared" si="111"/>
        <v>0</v>
      </c>
      <c r="AE162" s="1">
        <f t="shared" si="112"/>
        <v>0</v>
      </c>
      <c r="AF162" s="1">
        <f t="shared" si="97"/>
        <v>0</v>
      </c>
      <c r="AG162" s="1">
        <f t="shared" si="98"/>
        <v>0</v>
      </c>
      <c r="AH162" s="1">
        <f t="shared" si="99"/>
        <v>0</v>
      </c>
      <c r="AI162" s="1">
        <f t="shared" si="100"/>
        <v>1</v>
      </c>
    </row>
    <row r="163" spans="1:35" s="1" customFormat="1" ht="14.25" customHeight="1" x14ac:dyDescent="0.25">
      <c r="A163" s="31">
        <v>0</v>
      </c>
      <c r="B163" s="31">
        <v>1</v>
      </c>
      <c r="C163" s="31">
        <v>3</v>
      </c>
      <c r="D163" s="32" t="s">
        <v>632</v>
      </c>
      <c r="E163" s="32" t="s">
        <v>170</v>
      </c>
      <c r="F163" s="32" t="s">
        <v>633</v>
      </c>
      <c r="G163" s="32" t="s">
        <v>194</v>
      </c>
      <c r="H163" s="32" t="s">
        <v>354</v>
      </c>
      <c r="I163" s="31" t="s">
        <v>634</v>
      </c>
      <c r="J163" s="31">
        <v>9</v>
      </c>
      <c r="K163" s="33" t="s">
        <v>957</v>
      </c>
      <c r="L163" s="33" t="s">
        <v>1699</v>
      </c>
      <c r="M163" s="34" t="s">
        <v>970</v>
      </c>
      <c r="N163" s="34" t="s">
        <v>1727</v>
      </c>
      <c r="O163" s="35">
        <v>1</v>
      </c>
      <c r="P163" s="35">
        <v>1</v>
      </c>
      <c r="Q163" s="32"/>
      <c r="S163" s="1">
        <f t="shared" si="101"/>
        <v>0</v>
      </c>
      <c r="T163" s="1">
        <f t="shared" si="102"/>
        <v>0</v>
      </c>
      <c r="U163" s="1">
        <f t="shared" si="103"/>
        <v>0</v>
      </c>
      <c r="V163" s="1">
        <f t="shared" si="104"/>
        <v>0</v>
      </c>
      <c r="W163" s="1">
        <f t="shared" si="105"/>
        <v>0</v>
      </c>
      <c r="X163" s="1">
        <f t="shared" si="106"/>
        <v>0</v>
      </c>
      <c r="Y163" s="1">
        <f t="shared" si="107"/>
        <v>0</v>
      </c>
      <c r="Z163" s="1">
        <f t="shared" si="108"/>
        <v>0</v>
      </c>
      <c r="AA163" s="1">
        <f t="shared" si="109"/>
        <v>1</v>
      </c>
      <c r="AB163" s="1">
        <f t="shared" si="110"/>
        <v>0</v>
      </c>
      <c r="AD163" s="1">
        <f t="shared" si="111"/>
        <v>1</v>
      </c>
      <c r="AE163" s="1">
        <f t="shared" si="112"/>
        <v>0</v>
      </c>
      <c r="AF163" s="1">
        <f t="shared" si="97"/>
        <v>1</v>
      </c>
      <c r="AG163" s="1">
        <f t="shared" si="98"/>
        <v>0</v>
      </c>
      <c r="AH163" s="1">
        <f t="shared" si="99"/>
        <v>1</v>
      </c>
      <c r="AI163" s="1">
        <f t="shared" si="100"/>
        <v>0</v>
      </c>
    </row>
    <row r="164" spans="1:35" s="1" customFormat="1" ht="14.25" customHeight="1" x14ac:dyDescent="0.25">
      <c r="A164" s="44">
        <v>0</v>
      </c>
      <c r="B164" s="44">
        <v>1</v>
      </c>
      <c r="C164" s="44">
        <v>3</v>
      </c>
      <c r="D164" s="45" t="s">
        <v>132</v>
      </c>
      <c r="E164" s="45" t="s">
        <v>683</v>
      </c>
      <c r="F164" s="45" t="s">
        <v>334</v>
      </c>
      <c r="G164" s="45" t="s">
        <v>39</v>
      </c>
      <c r="H164" s="45" t="s">
        <v>362</v>
      </c>
      <c r="I164" s="44" t="s">
        <v>481</v>
      </c>
      <c r="J164" s="44">
        <v>12</v>
      </c>
      <c r="K164" s="46" t="s">
        <v>722</v>
      </c>
      <c r="L164" s="46">
        <v>35</v>
      </c>
      <c r="M164" s="47" t="s">
        <v>39</v>
      </c>
      <c r="N164" s="47" t="s">
        <v>1802</v>
      </c>
      <c r="O164" s="48"/>
      <c r="P164" s="48"/>
      <c r="Q164" s="45"/>
      <c r="S164" s="1">
        <f t="shared" si="101"/>
        <v>0</v>
      </c>
      <c r="T164" s="1">
        <f t="shared" si="102"/>
        <v>0</v>
      </c>
      <c r="U164" s="1">
        <f t="shared" si="103"/>
        <v>0</v>
      </c>
      <c r="V164" s="1">
        <f t="shared" si="104"/>
        <v>0</v>
      </c>
      <c r="W164" s="1">
        <f t="shared" si="105"/>
        <v>0</v>
      </c>
      <c r="X164" s="1">
        <f t="shared" si="106"/>
        <v>0</v>
      </c>
      <c r="Y164" s="1">
        <f t="shared" si="107"/>
        <v>0</v>
      </c>
      <c r="Z164" s="1">
        <f t="shared" si="108"/>
        <v>0</v>
      </c>
      <c r="AA164" s="1">
        <f t="shared" si="109"/>
        <v>0</v>
      </c>
      <c r="AB164" s="1">
        <f t="shared" si="110"/>
        <v>0</v>
      </c>
      <c r="AD164" s="1">
        <f t="shared" si="111"/>
        <v>0</v>
      </c>
      <c r="AE164" s="1">
        <f t="shared" si="112"/>
        <v>0</v>
      </c>
      <c r="AF164" s="1">
        <f t="shared" si="97"/>
        <v>0</v>
      </c>
      <c r="AG164" s="1">
        <f t="shared" si="98"/>
        <v>0</v>
      </c>
      <c r="AH164" s="1">
        <f t="shared" si="99"/>
        <v>0</v>
      </c>
      <c r="AI164" s="1">
        <f t="shared" si="100"/>
        <v>1</v>
      </c>
    </row>
    <row r="165" spans="1:35" s="1" customFormat="1" ht="14.25" customHeight="1" x14ac:dyDescent="0.25">
      <c r="A165" s="15">
        <v>0</v>
      </c>
      <c r="B165" s="15">
        <v>1</v>
      </c>
      <c r="C165" s="15">
        <v>3</v>
      </c>
      <c r="D165" s="16" t="s">
        <v>826</v>
      </c>
      <c r="E165" s="16" t="s">
        <v>172</v>
      </c>
      <c r="F165" s="16" t="s">
        <v>827</v>
      </c>
      <c r="G165" s="16" t="s">
        <v>39</v>
      </c>
      <c r="H165" s="16" t="s">
        <v>375</v>
      </c>
      <c r="I165" s="15" t="s">
        <v>825</v>
      </c>
      <c r="J165" s="15">
        <v>12</v>
      </c>
      <c r="K165" s="10" t="s">
        <v>703</v>
      </c>
      <c r="L165" s="10">
        <v>40</v>
      </c>
      <c r="M165" s="19" t="s">
        <v>970</v>
      </c>
      <c r="N165" s="19"/>
      <c r="Q165" s="16"/>
      <c r="S165" s="1">
        <f t="shared" si="101"/>
        <v>0</v>
      </c>
      <c r="T165" s="1">
        <f t="shared" si="102"/>
        <v>0</v>
      </c>
      <c r="U165" s="1">
        <f t="shared" si="103"/>
        <v>0</v>
      </c>
      <c r="V165" s="1">
        <f t="shared" si="104"/>
        <v>0</v>
      </c>
      <c r="W165" s="1">
        <f t="shared" si="105"/>
        <v>0</v>
      </c>
      <c r="X165" s="1">
        <f t="shared" si="106"/>
        <v>0</v>
      </c>
      <c r="Y165" s="1">
        <f t="shared" si="107"/>
        <v>0</v>
      </c>
      <c r="Z165" s="1">
        <f t="shared" si="108"/>
        <v>0</v>
      </c>
      <c r="AA165" s="1">
        <f t="shared" si="109"/>
        <v>0</v>
      </c>
      <c r="AB165" s="1">
        <f t="shared" si="110"/>
        <v>0</v>
      </c>
      <c r="AD165" s="1">
        <f t="shared" si="111"/>
        <v>0</v>
      </c>
      <c r="AE165" s="1">
        <f t="shared" si="112"/>
        <v>0</v>
      </c>
      <c r="AF165" s="1">
        <f t="shared" si="97"/>
        <v>0</v>
      </c>
      <c r="AG165" s="1">
        <f t="shared" si="98"/>
        <v>0</v>
      </c>
      <c r="AH165" s="1">
        <f t="shared" si="99"/>
        <v>0</v>
      </c>
      <c r="AI165" s="1">
        <f t="shared" si="100"/>
        <v>1</v>
      </c>
    </row>
    <row r="166" spans="1:35" s="1" customFormat="1" ht="14.25" customHeight="1" x14ac:dyDescent="0.25">
      <c r="A166" s="31">
        <v>0</v>
      </c>
      <c r="B166" s="31">
        <v>1</v>
      </c>
      <c r="C166" s="31">
        <v>3</v>
      </c>
      <c r="D166" s="32" t="s">
        <v>142</v>
      </c>
      <c r="E166" s="32" t="s">
        <v>172</v>
      </c>
      <c r="F166" s="32" t="s">
        <v>343</v>
      </c>
      <c r="G166" s="32" t="s">
        <v>39</v>
      </c>
      <c r="H166" s="32" t="s">
        <v>377</v>
      </c>
      <c r="I166" s="31" t="s">
        <v>490</v>
      </c>
      <c r="J166" s="31">
        <v>15</v>
      </c>
      <c r="K166" s="33" t="s">
        <v>702</v>
      </c>
      <c r="L166" s="33" t="s">
        <v>692</v>
      </c>
      <c r="M166" s="34" t="s">
        <v>691</v>
      </c>
      <c r="N166" s="34" t="s">
        <v>1733</v>
      </c>
      <c r="O166" s="35">
        <v>1</v>
      </c>
      <c r="P166" s="35">
        <v>1</v>
      </c>
      <c r="Q166" s="36" t="s">
        <v>1891</v>
      </c>
      <c r="S166" s="1">
        <f t="shared" si="101"/>
        <v>0</v>
      </c>
      <c r="T166" s="1">
        <f t="shared" si="102"/>
        <v>0</v>
      </c>
      <c r="U166" s="1">
        <f t="shared" si="103"/>
        <v>0</v>
      </c>
      <c r="V166" s="1">
        <f t="shared" si="104"/>
        <v>0</v>
      </c>
      <c r="W166" s="1">
        <f t="shared" si="105"/>
        <v>0</v>
      </c>
      <c r="X166" s="1">
        <f t="shared" si="106"/>
        <v>0</v>
      </c>
      <c r="Y166" s="1">
        <f t="shared" si="107"/>
        <v>0</v>
      </c>
      <c r="Z166" s="1">
        <f t="shared" si="108"/>
        <v>0</v>
      </c>
      <c r="AA166" s="1">
        <f t="shared" si="109"/>
        <v>0</v>
      </c>
      <c r="AB166" s="1">
        <f t="shared" si="110"/>
        <v>0</v>
      </c>
      <c r="AD166" s="1">
        <f t="shared" si="111"/>
        <v>1</v>
      </c>
      <c r="AE166" s="1">
        <f t="shared" si="112"/>
        <v>0</v>
      </c>
      <c r="AF166" s="1">
        <f t="shared" si="97"/>
        <v>1</v>
      </c>
      <c r="AG166" s="1">
        <f t="shared" si="98"/>
        <v>0</v>
      </c>
      <c r="AH166" s="1">
        <f t="shared" si="99"/>
        <v>1</v>
      </c>
      <c r="AI166" s="1">
        <f t="shared" si="100"/>
        <v>0</v>
      </c>
    </row>
    <row r="167" spans="1:35" s="1" customFormat="1" ht="14.25" customHeight="1" x14ac:dyDescent="0.25">
      <c r="A167" s="15">
        <v>0</v>
      </c>
      <c r="B167" s="15">
        <v>1</v>
      </c>
      <c r="C167" s="15">
        <v>3</v>
      </c>
      <c r="D167" s="16" t="s">
        <v>747</v>
      </c>
      <c r="E167" s="16" t="s">
        <v>610</v>
      </c>
      <c r="F167" s="16" t="s">
        <v>748</v>
      </c>
      <c r="G167" s="16" t="s">
        <v>39</v>
      </c>
      <c r="H167" s="16" t="s">
        <v>749</v>
      </c>
      <c r="I167" s="15" t="s">
        <v>750</v>
      </c>
      <c r="J167" s="15">
        <v>18</v>
      </c>
      <c r="K167" s="10" t="s">
        <v>703</v>
      </c>
      <c r="L167" s="10" t="s">
        <v>697</v>
      </c>
      <c r="M167" s="19" t="s">
        <v>691</v>
      </c>
      <c r="N167" s="17"/>
      <c r="Q167" s="16"/>
      <c r="S167" s="1">
        <f t="shared" si="101"/>
        <v>0</v>
      </c>
      <c r="T167" s="1">
        <f t="shared" si="102"/>
        <v>0</v>
      </c>
      <c r="U167" s="1">
        <f t="shared" si="103"/>
        <v>0</v>
      </c>
      <c r="V167" s="1">
        <f t="shared" si="104"/>
        <v>0</v>
      </c>
      <c r="W167" s="1">
        <f t="shared" si="105"/>
        <v>0</v>
      </c>
      <c r="X167" s="1">
        <f t="shared" si="106"/>
        <v>0</v>
      </c>
      <c r="Y167" s="1">
        <f t="shared" si="107"/>
        <v>0</v>
      </c>
      <c r="Z167" s="1">
        <f t="shared" si="108"/>
        <v>0</v>
      </c>
      <c r="AA167" s="1">
        <f t="shared" si="109"/>
        <v>0</v>
      </c>
      <c r="AB167" s="1">
        <f t="shared" si="110"/>
        <v>0</v>
      </c>
      <c r="AD167" s="1">
        <f t="shared" si="111"/>
        <v>0</v>
      </c>
      <c r="AE167" s="1">
        <f t="shared" si="112"/>
        <v>0</v>
      </c>
      <c r="AF167" s="1">
        <f t="shared" si="97"/>
        <v>0</v>
      </c>
      <c r="AG167" s="1">
        <f t="shared" si="98"/>
        <v>0</v>
      </c>
      <c r="AH167" s="1">
        <f t="shared" si="99"/>
        <v>0</v>
      </c>
      <c r="AI167" s="1">
        <f t="shared" si="100"/>
        <v>1</v>
      </c>
    </row>
    <row r="168" spans="1:35" s="1" customFormat="1" ht="14.25" customHeight="1" x14ac:dyDescent="0.25">
      <c r="A168" s="31">
        <v>0</v>
      </c>
      <c r="B168" s="31">
        <v>1</v>
      </c>
      <c r="C168" s="31">
        <v>3</v>
      </c>
      <c r="D168" s="36" t="s">
        <v>1841</v>
      </c>
      <c r="E168" s="32" t="s">
        <v>1087</v>
      </c>
      <c r="F168" s="32" t="s">
        <v>1826</v>
      </c>
      <c r="G168" s="32"/>
      <c r="H168" s="32" t="s">
        <v>372</v>
      </c>
      <c r="I168" s="31" t="s">
        <v>1827</v>
      </c>
      <c r="J168" s="31">
        <v>16</v>
      </c>
      <c r="K168" s="33" t="s">
        <v>703</v>
      </c>
      <c r="L168" s="33"/>
      <c r="M168" s="34"/>
      <c r="N168" s="34" t="s">
        <v>1727</v>
      </c>
      <c r="O168" s="35">
        <v>1</v>
      </c>
      <c r="P168" s="35">
        <v>1</v>
      </c>
      <c r="Q168" s="32"/>
      <c r="S168" s="1">
        <f t="shared" si="101"/>
        <v>0</v>
      </c>
      <c r="T168" s="1">
        <f t="shared" si="102"/>
        <v>0</v>
      </c>
      <c r="U168" s="1">
        <f t="shared" si="103"/>
        <v>0</v>
      </c>
      <c r="V168" s="1">
        <f t="shared" si="104"/>
        <v>0</v>
      </c>
      <c r="W168" s="1">
        <f t="shared" si="105"/>
        <v>0</v>
      </c>
      <c r="X168" s="1">
        <f t="shared" si="106"/>
        <v>0</v>
      </c>
      <c r="Y168" s="1">
        <f t="shared" si="107"/>
        <v>0</v>
      </c>
      <c r="Z168" s="1">
        <f t="shared" si="108"/>
        <v>0</v>
      </c>
      <c r="AA168" s="1">
        <f t="shared" si="109"/>
        <v>0</v>
      </c>
      <c r="AB168" s="1">
        <f t="shared" si="110"/>
        <v>0</v>
      </c>
      <c r="AD168" s="1">
        <f t="shared" si="111"/>
        <v>1</v>
      </c>
      <c r="AE168" s="1">
        <f t="shared" si="112"/>
        <v>0</v>
      </c>
      <c r="AF168" s="1">
        <f t="shared" si="97"/>
        <v>1</v>
      </c>
      <c r="AG168" s="1">
        <f t="shared" si="98"/>
        <v>0</v>
      </c>
      <c r="AH168" s="1">
        <f t="shared" si="99"/>
        <v>1</v>
      </c>
      <c r="AI168" s="1">
        <f t="shared" si="100"/>
        <v>0</v>
      </c>
    </row>
    <row r="169" spans="1:35" s="1" customFormat="1" ht="14.25" customHeight="1" x14ac:dyDescent="0.25">
      <c r="A169" s="31">
        <v>0</v>
      </c>
      <c r="B169" s="31">
        <v>1</v>
      </c>
      <c r="C169" s="31">
        <v>3</v>
      </c>
      <c r="D169" s="32" t="s">
        <v>979</v>
      </c>
      <c r="E169" s="32" t="s">
        <v>610</v>
      </c>
      <c r="F169" s="32" t="s">
        <v>980</v>
      </c>
      <c r="G169" s="32" t="s">
        <v>203</v>
      </c>
      <c r="H169" s="32" t="s">
        <v>354</v>
      </c>
      <c r="I169" s="31" t="s">
        <v>981</v>
      </c>
      <c r="J169" s="31">
        <v>99</v>
      </c>
      <c r="K169" s="33" t="s">
        <v>956</v>
      </c>
      <c r="L169" s="33" t="s">
        <v>39</v>
      </c>
      <c r="M169" s="34" t="s">
        <v>39</v>
      </c>
      <c r="N169" s="34" t="s">
        <v>1727</v>
      </c>
      <c r="O169" s="35">
        <v>1</v>
      </c>
      <c r="P169" s="35">
        <v>1</v>
      </c>
      <c r="Q169" s="32"/>
      <c r="S169" s="1">
        <f t="shared" si="101"/>
        <v>0</v>
      </c>
      <c r="T169" s="1">
        <f t="shared" si="102"/>
        <v>0</v>
      </c>
      <c r="U169" s="1">
        <f t="shared" si="103"/>
        <v>0</v>
      </c>
      <c r="V169" s="1">
        <f t="shared" si="104"/>
        <v>0</v>
      </c>
      <c r="W169" s="1">
        <f t="shared" si="105"/>
        <v>0</v>
      </c>
      <c r="X169" s="1">
        <f t="shared" si="106"/>
        <v>0</v>
      </c>
      <c r="Y169" s="1">
        <f t="shared" si="107"/>
        <v>0</v>
      </c>
      <c r="Z169" s="1">
        <f t="shared" si="108"/>
        <v>0</v>
      </c>
      <c r="AA169" s="1">
        <f t="shared" si="109"/>
        <v>0</v>
      </c>
      <c r="AB169" s="1">
        <f t="shared" si="110"/>
        <v>0</v>
      </c>
      <c r="AD169" s="1">
        <f t="shared" si="111"/>
        <v>1</v>
      </c>
      <c r="AE169" s="1">
        <f t="shared" si="112"/>
        <v>0</v>
      </c>
      <c r="AF169" s="1">
        <f t="shared" si="97"/>
        <v>1</v>
      </c>
      <c r="AG169" s="1">
        <f t="shared" si="98"/>
        <v>0</v>
      </c>
      <c r="AH169" s="1">
        <f t="shared" si="99"/>
        <v>1</v>
      </c>
      <c r="AI169" s="1">
        <f t="shared" si="100"/>
        <v>0</v>
      </c>
    </row>
    <row r="170" spans="1:35" s="1" customFormat="1" ht="14.25" customHeight="1" x14ac:dyDescent="0.25">
      <c r="A170" s="31">
        <v>0</v>
      </c>
      <c r="B170" s="31">
        <v>1</v>
      </c>
      <c r="C170" s="31">
        <v>3</v>
      </c>
      <c r="D170" s="32" t="s">
        <v>149</v>
      </c>
      <c r="E170" s="32" t="s">
        <v>172</v>
      </c>
      <c r="F170" s="32" t="s">
        <v>350</v>
      </c>
      <c r="G170" s="32" t="s">
        <v>39</v>
      </c>
      <c r="H170" s="32" t="s">
        <v>380</v>
      </c>
      <c r="I170" s="31" t="s">
        <v>496</v>
      </c>
      <c r="J170" s="31">
        <v>14</v>
      </c>
      <c r="K170" s="33" t="s">
        <v>964</v>
      </c>
      <c r="L170" s="33" t="s">
        <v>39</v>
      </c>
      <c r="M170" s="34" t="s">
        <v>39</v>
      </c>
      <c r="N170" s="34" t="s">
        <v>1733</v>
      </c>
      <c r="O170" s="35">
        <v>1</v>
      </c>
      <c r="P170" s="35">
        <v>1</v>
      </c>
      <c r="Q170" s="32"/>
      <c r="S170" s="1">
        <f t="shared" si="101"/>
        <v>0</v>
      </c>
      <c r="T170" s="1">
        <f t="shared" si="102"/>
        <v>0</v>
      </c>
      <c r="U170" s="1">
        <f t="shared" si="103"/>
        <v>0</v>
      </c>
      <c r="V170" s="1">
        <f t="shared" si="104"/>
        <v>0</v>
      </c>
      <c r="W170" s="1">
        <f t="shared" si="105"/>
        <v>0</v>
      </c>
      <c r="X170" s="1">
        <f t="shared" si="106"/>
        <v>0</v>
      </c>
      <c r="Y170" s="1">
        <f t="shared" si="107"/>
        <v>0</v>
      </c>
      <c r="Z170" s="1">
        <f t="shared" si="108"/>
        <v>0</v>
      </c>
      <c r="AA170" s="1">
        <f t="shared" si="109"/>
        <v>0</v>
      </c>
      <c r="AB170" s="1">
        <f t="shared" si="110"/>
        <v>0</v>
      </c>
      <c r="AD170" s="1">
        <f t="shared" si="111"/>
        <v>1</v>
      </c>
      <c r="AE170" s="1">
        <f t="shared" si="112"/>
        <v>0</v>
      </c>
      <c r="AF170" s="1">
        <f t="shared" si="97"/>
        <v>1</v>
      </c>
      <c r="AG170" s="1">
        <f t="shared" si="98"/>
        <v>0</v>
      </c>
      <c r="AH170" s="1">
        <f t="shared" si="99"/>
        <v>1</v>
      </c>
      <c r="AI170" s="1">
        <f t="shared" si="100"/>
        <v>0</v>
      </c>
    </row>
    <row r="171" spans="1:35" s="1" customFormat="1" ht="14.25" customHeight="1" x14ac:dyDescent="0.25">
      <c r="A171" s="31">
        <v>0</v>
      </c>
      <c r="B171" s="31">
        <v>1</v>
      </c>
      <c r="C171" s="31">
        <v>3</v>
      </c>
      <c r="D171" s="32" t="s">
        <v>1989</v>
      </c>
      <c r="E171" s="32" t="s">
        <v>1990</v>
      </c>
      <c r="F171" s="32" t="s">
        <v>1991</v>
      </c>
      <c r="G171" s="32" t="s">
        <v>535</v>
      </c>
      <c r="H171" s="32" t="s">
        <v>354</v>
      </c>
      <c r="I171" s="31" t="s">
        <v>1992</v>
      </c>
      <c r="J171" s="31"/>
      <c r="K171" s="33" t="s">
        <v>703</v>
      </c>
      <c r="L171" s="33"/>
      <c r="M171" s="34"/>
      <c r="N171" s="34" t="s">
        <v>1733</v>
      </c>
      <c r="O171" s="35">
        <v>1</v>
      </c>
      <c r="P171" s="35">
        <v>1</v>
      </c>
      <c r="Q171" s="32"/>
      <c r="S171" s="1">
        <f t="shared" si="101"/>
        <v>0</v>
      </c>
      <c r="T171" s="1">
        <f t="shared" si="102"/>
        <v>0</v>
      </c>
      <c r="U171" s="1">
        <f t="shared" si="103"/>
        <v>0</v>
      </c>
      <c r="V171" s="1">
        <f t="shared" si="104"/>
        <v>0</v>
      </c>
      <c r="W171" s="1">
        <f t="shared" si="105"/>
        <v>0</v>
      </c>
      <c r="X171" s="1">
        <f t="shared" si="106"/>
        <v>0</v>
      </c>
      <c r="Y171" s="1">
        <f t="shared" si="107"/>
        <v>0</v>
      </c>
      <c r="Z171" s="1">
        <f t="shared" si="108"/>
        <v>0</v>
      </c>
      <c r="AA171" s="1">
        <f t="shared" si="109"/>
        <v>0</v>
      </c>
      <c r="AB171" s="1">
        <f t="shared" si="110"/>
        <v>0</v>
      </c>
      <c r="AD171" s="1">
        <f t="shared" si="111"/>
        <v>1</v>
      </c>
      <c r="AE171" s="1">
        <f t="shared" si="112"/>
        <v>0</v>
      </c>
      <c r="AF171" s="1">
        <f t="shared" si="97"/>
        <v>1</v>
      </c>
      <c r="AG171" s="1">
        <f t="shared" si="98"/>
        <v>0</v>
      </c>
      <c r="AH171" s="1">
        <f t="shared" si="99"/>
        <v>1</v>
      </c>
      <c r="AI171" s="1">
        <f t="shared" si="100"/>
        <v>0</v>
      </c>
    </row>
    <row r="172" spans="1:35" s="1" customFormat="1" ht="14.25" customHeight="1" x14ac:dyDescent="0.25">
      <c r="A172" s="31">
        <v>0</v>
      </c>
      <c r="B172" s="31">
        <v>1</v>
      </c>
      <c r="C172" s="31">
        <v>3</v>
      </c>
      <c r="D172" s="32" t="s">
        <v>635</v>
      </c>
      <c r="E172" s="32" t="s">
        <v>172</v>
      </c>
      <c r="F172" s="32" t="s">
        <v>637</v>
      </c>
      <c r="G172" s="32" t="s">
        <v>238</v>
      </c>
      <c r="H172" s="32" t="s">
        <v>354</v>
      </c>
      <c r="I172" s="31" t="s">
        <v>636</v>
      </c>
      <c r="J172" s="31">
        <v>4</v>
      </c>
      <c r="K172" s="33" t="s">
        <v>956</v>
      </c>
      <c r="L172" s="33" t="s">
        <v>39</v>
      </c>
      <c r="M172" s="34" t="s">
        <v>39</v>
      </c>
      <c r="N172" s="34" t="s">
        <v>1733</v>
      </c>
      <c r="O172" s="35">
        <v>1</v>
      </c>
      <c r="P172" s="35">
        <v>1</v>
      </c>
      <c r="Q172" s="32"/>
      <c r="S172" s="1">
        <f t="shared" si="101"/>
        <v>0</v>
      </c>
      <c r="T172" s="1">
        <f t="shared" si="102"/>
        <v>0</v>
      </c>
      <c r="U172" s="1">
        <f t="shared" si="103"/>
        <v>0</v>
      </c>
      <c r="V172" s="1">
        <f t="shared" si="104"/>
        <v>1</v>
      </c>
      <c r="W172" s="1">
        <f t="shared" si="105"/>
        <v>0</v>
      </c>
      <c r="X172" s="1">
        <f t="shared" si="106"/>
        <v>0</v>
      </c>
      <c r="Y172" s="1">
        <f t="shared" si="107"/>
        <v>0</v>
      </c>
      <c r="Z172" s="1">
        <f t="shared" si="108"/>
        <v>0</v>
      </c>
      <c r="AA172" s="1">
        <f t="shared" si="109"/>
        <v>0</v>
      </c>
      <c r="AB172" s="1">
        <f t="shared" si="110"/>
        <v>0</v>
      </c>
      <c r="AD172" s="1">
        <f t="shared" si="111"/>
        <v>1</v>
      </c>
      <c r="AE172" s="1">
        <f t="shared" si="112"/>
        <v>0</v>
      </c>
      <c r="AF172" s="1">
        <f t="shared" si="97"/>
        <v>1</v>
      </c>
      <c r="AG172" s="1">
        <f t="shared" si="98"/>
        <v>0</v>
      </c>
      <c r="AH172" s="1">
        <f t="shared" si="99"/>
        <v>1</v>
      </c>
      <c r="AI172" s="1">
        <f t="shared" si="100"/>
        <v>0</v>
      </c>
    </row>
    <row r="173" spans="1:35" s="1" customFormat="1" ht="14.25" customHeight="1" x14ac:dyDescent="0.25">
      <c r="A173" s="15">
        <v>0</v>
      </c>
      <c r="B173" s="15">
        <v>1</v>
      </c>
      <c r="C173" s="15">
        <v>3</v>
      </c>
      <c r="D173" s="16" t="s">
        <v>1528</v>
      </c>
      <c r="E173" s="16" t="s">
        <v>1087</v>
      </c>
      <c r="F173" s="16" t="s">
        <v>1529</v>
      </c>
      <c r="G173" s="16" t="s">
        <v>218</v>
      </c>
      <c r="H173" s="16" t="s">
        <v>354</v>
      </c>
      <c r="I173" s="15" t="s">
        <v>1530</v>
      </c>
      <c r="J173" s="15">
        <v>99</v>
      </c>
      <c r="K173" s="10" t="s">
        <v>703</v>
      </c>
      <c r="L173" s="10">
        <v>40</v>
      </c>
      <c r="M173" s="19" t="s">
        <v>970</v>
      </c>
      <c r="N173" s="19"/>
      <c r="Q173" s="16"/>
      <c r="S173" s="1">
        <f t="shared" si="101"/>
        <v>0</v>
      </c>
      <c r="T173" s="1">
        <f t="shared" si="102"/>
        <v>0</v>
      </c>
      <c r="U173" s="1">
        <f t="shared" si="103"/>
        <v>0</v>
      </c>
      <c r="V173" s="1">
        <f t="shared" si="104"/>
        <v>0</v>
      </c>
      <c r="W173" s="1">
        <f t="shared" si="105"/>
        <v>0</v>
      </c>
      <c r="X173" s="1">
        <f t="shared" si="106"/>
        <v>0</v>
      </c>
      <c r="Y173" s="1">
        <f t="shared" si="107"/>
        <v>0</v>
      </c>
      <c r="Z173" s="1">
        <f t="shared" si="108"/>
        <v>0</v>
      </c>
      <c r="AA173" s="1">
        <f t="shared" si="109"/>
        <v>0</v>
      </c>
      <c r="AB173" s="1">
        <f t="shared" si="110"/>
        <v>0</v>
      </c>
      <c r="AD173" s="1">
        <f t="shared" si="111"/>
        <v>0</v>
      </c>
      <c r="AE173" s="1">
        <f t="shared" si="112"/>
        <v>0</v>
      </c>
      <c r="AF173" s="1">
        <f t="shared" si="97"/>
        <v>0</v>
      </c>
      <c r="AG173" s="1">
        <f t="shared" si="98"/>
        <v>0</v>
      </c>
      <c r="AH173" s="1">
        <f t="shared" si="99"/>
        <v>0</v>
      </c>
      <c r="AI173" s="1">
        <f t="shared" si="100"/>
        <v>1</v>
      </c>
    </row>
    <row r="174" spans="1:35" s="1" customFormat="1" ht="14.25" customHeight="1" x14ac:dyDescent="0.25">
      <c r="A174" s="31">
        <v>0</v>
      </c>
      <c r="B174" s="31">
        <v>1</v>
      </c>
      <c r="C174" s="31">
        <v>3</v>
      </c>
      <c r="D174" s="32" t="s">
        <v>102</v>
      </c>
      <c r="E174" s="32" t="s">
        <v>172</v>
      </c>
      <c r="F174" s="32" t="s">
        <v>299</v>
      </c>
      <c r="G174" s="32" t="s">
        <v>300</v>
      </c>
      <c r="H174" s="32" t="s">
        <v>354</v>
      </c>
      <c r="I174" s="31" t="s">
        <v>449</v>
      </c>
      <c r="J174" s="31">
        <v>99</v>
      </c>
      <c r="K174" s="33" t="s">
        <v>958</v>
      </c>
      <c r="L174" s="33" t="s">
        <v>693</v>
      </c>
      <c r="M174" s="34" t="s">
        <v>691</v>
      </c>
      <c r="N174" s="34" t="s">
        <v>1743</v>
      </c>
      <c r="O174" s="35">
        <v>1</v>
      </c>
      <c r="P174" s="35"/>
      <c r="Q174" s="32"/>
      <c r="S174" s="1">
        <f t="shared" si="101"/>
        <v>0</v>
      </c>
      <c r="T174" s="1">
        <f t="shared" si="102"/>
        <v>0</v>
      </c>
      <c r="U174" s="1">
        <f t="shared" si="103"/>
        <v>0</v>
      </c>
      <c r="V174" s="1">
        <f t="shared" si="104"/>
        <v>0</v>
      </c>
      <c r="W174" s="1">
        <f t="shared" si="105"/>
        <v>0</v>
      </c>
      <c r="X174" s="1">
        <f t="shared" si="106"/>
        <v>0</v>
      </c>
      <c r="Y174" s="1">
        <f t="shared" si="107"/>
        <v>0</v>
      </c>
      <c r="Z174" s="1">
        <f t="shared" si="108"/>
        <v>0</v>
      </c>
      <c r="AA174" s="1">
        <f t="shared" si="109"/>
        <v>0</v>
      </c>
      <c r="AB174" s="1">
        <f t="shared" si="110"/>
        <v>0</v>
      </c>
      <c r="AD174" s="1">
        <f t="shared" si="111"/>
        <v>0</v>
      </c>
      <c r="AE174" s="1">
        <f t="shared" si="112"/>
        <v>1</v>
      </c>
      <c r="AF174" s="1">
        <f t="shared" si="97"/>
        <v>0</v>
      </c>
      <c r="AG174" s="1">
        <f t="shared" si="98"/>
        <v>1</v>
      </c>
      <c r="AH174" s="1">
        <f t="shared" si="99"/>
        <v>0</v>
      </c>
      <c r="AI174" s="1">
        <f t="shared" si="100"/>
        <v>1</v>
      </c>
    </row>
    <row r="175" spans="1:35" s="1" customFormat="1" ht="14.25" customHeight="1" x14ac:dyDescent="0.25">
      <c r="A175" s="44">
        <v>0</v>
      </c>
      <c r="B175" s="44">
        <v>1</v>
      </c>
      <c r="C175" s="44">
        <v>3</v>
      </c>
      <c r="D175" s="45" t="s">
        <v>990</v>
      </c>
      <c r="E175" s="45" t="s">
        <v>172</v>
      </c>
      <c r="F175" s="45" t="s">
        <v>993</v>
      </c>
      <c r="G175" s="45" t="s">
        <v>39</v>
      </c>
      <c r="H175" s="45" t="s">
        <v>992</v>
      </c>
      <c r="I175" s="44" t="s">
        <v>991</v>
      </c>
      <c r="J175" s="44">
        <v>14</v>
      </c>
      <c r="K175" s="46" t="s">
        <v>722</v>
      </c>
      <c r="L175" s="46" t="s">
        <v>694</v>
      </c>
      <c r="M175" s="47" t="s">
        <v>971</v>
      </c>
      <c r="N175" s="47" t="s">
        <v>1735</v>
      </c>
      <c r="O175" s="48"/>
      <c r="P175" s="48"/>
      <c r="Q175" s="45"/>
      <c r="S175" s="1">
        <f t="shared" si="101"/>
        <v>0</v>
      </c>
      <c r="T175" s="1">
        <f t="shared" si="102"/>
        <v>0</v>
      </c>
      <c r="U175" s="1">
        <f t="shared" si="103"/>
        <v>0</v>
      </c>
      <c r="V175" s="1">
        <f t="shared" si="104"/>
        <v>0</v>
      </c>
      <c r="W175" s="1">
        <f t="shared" si="105"/>
        <v>0</v>
      </c>
      <c r="X175" s="1">
        <f t="shared" si="106"/>
        <v>0</v>
      </c>
      <c r="Y175" s="1">
        <f t="shared" si="107"/>
        <v>0</v>
      </c>
      <c r="Z175" s="1">
        <f t="shared" si="108"/>
        <v>0</v>
      </c>
      <c r="AA175" s="1">
        <f t="shared" si="109"/>
        <v>0</v>
      </c>
      <c r="AB175" s="1">
        <f t="shared" si="110"/>
        <v>0</v>
      </c>
      <c r="AD175" s="1">
        <f t="shared" si="111"/>
        <v>0</v>
      </c>
      <c r="AE175" s="1">
        <f t="shared" si="112"/>
        <v>0</v>
      </c>
      <c r="AF175" s="1">
        <f t="shared" si="97"/>
        <v>0</v>
      </c>
      <c r="AG175" s="1">
        <f t="shared" si="98"/>
        <v>0</v>
      </c>
      <c r="AH175" s="1">
        <f t="shared" si="99"/>
        <v>0</v>
      </c>
      <c r="AI175" s="1">
        <f t="shared" si="100"/>
        <v>1</v>
      </c>
    </row>
    <row r="176" spans="1:35" s="1" customFormat="1" ht="14.25" customHeight="1" x14ac:dyDescent="0.25">
      <c r="A176" s="57">
        <v>0</v>
      </c>
      <c r="B176" s="57">
        <v>1</v>
      </c>
      <c r="C176" s="57">
        <v>3</v>
      </c>
      <c r="D176" s="58" t="s">
        <v>1644</v>
      </c>
      <c r="E176" s="58" t="s">
        <v>172</v>
      </c>
      <c r="F176" s="58" t="s">
        <v>773</v>
      </c>
      <c r="G176" s="58" t="s">
        <v>39</v>
      </c>
      <c r="H176" s="58" t="s">
        <v>367</v>
      </c>
      <c r="I176" s="57" t="s">
        <v>781</v>
      </c>
      <c r="J176" s="57">
        <v>18</v>
      </c>
      <c r="K176" s="59" t="s">
        <v>1697</v>
      </c>
      <c r="L176" s="59" t="s">
        <v>39</v>
      </c>
      <c r="M176" s="60" t="s">
        <v>774</v>
      </c>
      <c r="N176" s="61"/>
      <c r="O176" s="62"/>
      <c r="P176" s="62"/>
      <c r="Q176" s="58"/>
      <c r="S176" s="1">
        <f t="shared" si="101"/>
        <v>0</v>
      </c>
      <c r="T176" s="1">
        <f t="shared" si="102"/>
        <v>0</v>
      </c>
      <c r="U176" s="1">
        <f t="shared" si="103"/>
        <v>0</v>
      </c>
      <c r="V176" s="1">
        <f t="shared" si="104"/>
        <v>0</v>
      </c>
      <c r="W176" s="1">
        <f t="shared" si="105"/>
        <v>0</v>
      </c>
      <c r="X176" s="1">
        <f t="shared" si="106"/>
        <v>0</v>
      </c>
      <c r="Y176" s="1">
        <f t="shared" si="107"/>
        <v>0</v>
      </c>
      <c r="Z176" s="1">
        <f t="shared" si="108"/>
        <v>0</v>
      </c>
      <c r="AA176" s="1">
        <f t="shared" si="109"/>
        <v>0</v>
      </c>
      <c r="AB176" s="1">
        <f t="shared" si="110"/>
        <v>0</v>
      </c>
      <c r="AD176" s="1">
        <f t="shared" si="111"/>
        <v>0</v>
      </c>
      <c r="AE176" s="1">
        <f t="shared" si="112"/>
        <v>0</v>
      </c>
      <c r="AF176" s="1">
        <f t="shared" si="97"/>
        <v>0</v>
      </c>
      <c r="AG176" s="1">
        <f t="shared" si="98"/>
        <v>0</v>
      </c>
      <c r="AH176" s="1">
        <f t="shared" si="99"/>
        <v>0</v>
      </c>
      <c r="AI176" s="1">
        <f t="shared" si="100"/>
        <v>1</v>
      </c>
    </row>
    <row r="177" spans="1:35" s="1" customFormat="1" ht="14.25" customHeight="1" x14ac:dyDescent="0.25">
      <c r="A177" s="49">
        <v>0</v>
      </c>
      <c r="B177" s="49">
        <v>1</v>
      </c>
      <c r="C177" s="49">
        <v>3</v>
      </c>
      <c r="D177" s="50" t="s">
        <v>135</v>
      </c>
      <c r="E177" s="50" t="s">
        <v>172</v>
      </c>
      <c r="F177" s="50" t="s">
        <v>659</v>
      </c>
      <c r="G177" s="50" t="s">
        <v>257</v>
      </c>
      <c r="H177" s="50" t="s">
        <v>354</v>
      </c>
      <c r="I177" s="49" t="s">
        <v>1693</v>
      </c>
      <c r="J177" s="49">
        <v>99</v>
      </c>
      <c r="K177" s="51" t="s">
        <v>722</v>
      </c>
      <c r="L177" s="51" t="s">
        <v>687</v>
      </c>
      <c r="M177" s="52" t="s">
        <v>1397</v>
      </c>
      <c r="N177" s="52" t="s">
        <v>1743</v>
      </c>
      <c r="O177" s="53">
        <v>1</v>
      </c>
      <c r="P177" s="53"/>
      <c r="Q177" s="50" t="s">
        <v>1930</v>
      </c>
      <c r="S177" s="1">
        <f t="shared" si="101"/>
        <v>0</v>
      </c>
      <c r="T177" s="1">
        <f t="shared" si="102"/>
        <v>0</v>
      </c>
      <c r="U177" s="1">
        <f t="shared" si="103"/>
        <v>0</v>
      </c>
      <c r="V177" s="1">
        <f t="shared" si="104"/>
        <v>0</v>
      </c>
      <c r="W177" s="1">
        <f t="shared" si="105"/>
        <v>0</v>
      </c>
      <c r="X177" s="1">
        <f t="shared" si="106"/>
        <v>0</v>
      </c>
      <c r="Y177" s="1">
        <f t="shared" si="107"/>
        <v>0</v>
      </c>
      <c r="Z177" s="1">
        <f t="shared" si="108"/>
        <v>0</v>
      </c>
      <c r="AA177" s="1">
        <f t="shared" si="109"/>
        <v>0</v>
      </c>
      <c r="AB177" s="1">
        <f t="shared" si="110"/>
        <v>0</v>
      </c>
      <c r="AD177" s="1">
        <f t="shared" si="111"/>
        <v>0</v>
      </c>
      <c r="AE177" s="1">
        <f t="shared" si="112"/>
        <v>1</v>
      </c>
      <c r="AF177" s="1">
        <f t="shared" si="97"/>
        <v>0</v>
      </c>
      <c r="AG177" s="1">
        <f t="shared" si="98"/>
        <v>1</v>
      </c>
      <c r="AH177" s="1">
        <f t="shared" si="99"/>
        <v>0</v>
      </c>
      <c r="AI177" s="1">
        <f t="shared" si="100"/>
        <v>1</v>
      </c>
    </row>
    <row r="178" spans="1:35" s="1" customFormat="1" ht="14.25" customHeight="1" x14ac:dyDescent="0.25">
      <c r="A178" s="15">
        <v>0</v>
      </c>
      <c r="B178" s="15">
        <v>1</v>
      </c>
      <c r="C178" s="15">
        <v>3</v>
      </c>
      <c r="D178" s="16" t="s">
        <v>923</v>
      </c>
      <c r="E178" s="16" t="s">
        <v>170</v>
      </c>
      <c r="F178" s="16" t="s">
        <v>940</v>
      </c>
      <c r="G178" s="16" t="s">
        <v>39</v>
      </c>
      <c r="H178" s="16" t="s">
        <v>365</v>
      </c>
      <c r="I178" s="15" t="s">
        <v>883</v>
      </c>
      <c r="J178" s="15">
        <v>18</v>
      </c>
      <c r="K178" s="10" t="s">
        <v>702</v>
      </c>
      <c r="L178" s="10" t="s">
        <v>697</v>
      </c>
      <c r="M178" s="19" t="s">
        <v>971</v>
      </c>
      <c r="N178" s="17"/>
      <c r="Q178" s="16"/>
      <c r="S178" s="1">
        <f t="shared" si="101"/>
        <v>0</v>
      </c>
      <c r="T178" s="1">
        <f t="shared" si="102"/>
        <v>0</v>
      </c>
      <c r="U178" s="1">
        <f t="shared" si="103"/>
        <v>0</v>
      </c>
      <c r="V178" s="1">
        <f t="shared" si="104"/>
        <v>0</v>
      </c>
      <c r="W178" s="1">
        <f t="shared" si="105"/>
        <v>0</v>
      </c>
      <c r="X178" s="1">
        <f t="shared" si="106"/>
        <v>0</v>
      </c>
      <c r="Y178" s="1">
        <f t="shared" si="107"/>
        <v>0</v>
      </c>
      <c r="Z178" s="1">
        <f t="shared" si="108"/>
        <v>0</v>
      </c>
      <c r="AA178" s="1">
        <f t="shared" si="109"/>
        <v>0</v>
      </c>
      <c r="AB178" s="1">
        <f t="shared" si="110"/>
        <v>0</v>
      </c>
      <c r="AD178" s="1">
        <f t="shared" si="111"/>
        <v>0</v>
      </c>
      <c r="AE178" s="1">
        <f t="shared" si="112"/>
        <v>0</v>
      </c>
      <c r="AF178" s="1">
        <f t="shared" si="97"/>
        <v>0</v>
      </c>
      <c r="AG178" s="1">
        <f t="shared" si="98"/>
        <v>0</v>
      </c>
      <c r="AH178" s="1">
        <f t="shared" si="99"/>
        <v>0</v>
      </c>
      <c r="AI178" s="1">
        <f t="shared" si="100"/>
        <v>1</v>
      </c>
    </row>
    <row r="179" spans="1:35" s="1" customFormat="1" ht="14.25" customHeight="1" x14ac:dyDescent="0.25">
      <c r="A179" s="31">
        <v>0</v>
      </c>
      <c r="B179" s="31">
        <v>1</v>
      </c>
      <c r="C179" s="31">
        <v>3</v>
      </c>
      <c r="D179" s="32" t="s">
        <v>1260</v>
      </c>
      <c r="E179" s="32" t="s">
        <v>170</v>
      </c>
      <c r="F179" s="32" t="s">
        <v>1676</v>
      </c>
      <c r="G179" s="32" t="s">
        <v>39</v>
      </c>
      <c r="H179" s="32" t="s">
        <v>771</v>
      </c>
      <c r="I179" s="31" t="s">
        <v>1261</v>
      </c>
      <c r="J179" s="31">
        <v>11</v>
      </c>
      <c r="K179" s="33" t="s">
        <v>722</v>
      </c>
      <c r="L179" s="33" t="s">
        <v>689</v>
      </c>
      <c r="M179" s="34" t="s">
        <v>1398</v>
      </c>
      <c r="N179" s="34" t="s">
        <v>1749</v>
      </c>
      <c r="O179" s="35">
        <v>1</v>
      </c>
      <c r="P179" s="35"/>
      <c r="Q179" s="32"/>
      <c r="S179" s="1">
        <f t="shared" si="101"/>
        <v>0</v>
      </c>
      <c r="T179" s="1">
        <f t="shared" si="102"/>
        <v>0</v>
      </c>
      <c r="U179" s="1">
        <f t="shared" si="103"/>
        <v>0</v>
      </c>
      <c r="V179" s="1">
        <f t="shared" si="104"/>
        <v>0</v>
      </c>
      <c r="W179" s="1">
        <f t="shared" si="105"/>
        <v>0</v>
      </c>
      <c r="X179" s="1">
        <f t="shared" si="106"/>
        <v>0</v>
      </c>
      <c r="Y179" s="1">
        <f t="shared" si="107"/>
        <v>0</v>
      </c>
      <c r="Z179" s="1">
        <f t="shared" si="108"/>
        <v>0</v>
      </c>
      <c r="AA179" s="1">
        <f t="shared" si="109"/>
        <v>0</v>
      </c>
      <c r="AB179" s="1">
        <f t="shared" si="110"/>
        <v>0</v>
      </c>
      <c r="AD179" s="1">
        <f t="shared" si="111"/>
        <v>0</v>
      </c>
      <c r="AE179" s="1">
        <f t="shared" si="112"/>
        <v>1</v>
      </c>
      <c r="AF179" s="1">
        <f t="shared" si="97"/>
        <v>0</v>
      </c>
      <c r="AG179" s="1">
        <f t="shared" si="98"/>
        <v>1</v>
      </c>
      <c r="AH179" s="1">
        <f t="shared" si="99"/>
        <v>0</v>
      </c>
      <c r="AI179" s="1">
        <f t="shared" si="100"/>
        <v>1</v>
      </c>
    </row>
    <row r="180" spans="1:35" s="1" customFormat="1" ht="14.25" customHeight="1" x14ac:dyDescent="0.25">
      <c r="A180" s="31">
        <v>0</v>
      </c>
      <c r="B180" s="31">
        <v>1</v>
      </c>
      <c r="C180" s="31">
        <v>4</v>
      </c>
      <c r="D180" s="32" t="s">
        <v>996</v>
      </c>
      <c r="E180" s="32" t="s">
        <v>772</v>
      </c>
      <c r="F180" s="32" t="s">
        <v>1094</v>
      </c>
      <c r="G180" s="32" t="s">
        <v>200</v>
      </c>
      <c r="H180" s="32" t="s">
        <v>354</v>
      </c>
      <c r="I180" s="31" t="s">
        <v>997</v>
      </c>
      <c r="J180" s="31">
        <v>2</v>
      </c>
      <c r="K180" s="33" t="s">
        <v>956</v>
      </c>
      <c r="L180" s="33" t="s">
        <v>693</v>
      </c>
      <c r="M180" s="34" t="s">
        <v>1399</v>
      </c>
      <c r="N180" s="34" t="s">
        <v>1727</v>
      </c>
      <c r="O180" s="35">
        <v>1</v>
      </c>
      <c r="P180" s="35">
        <v>1</v>
      </c>
      <c r="Q180" s="32"/>
      <c r="S180" s="1">
        <f t="shared" si="101"/>
        <v>0</v>
      </c>
      <c r="T180" s="1">
        <f t="shared" si="102"/>
        <v>1</v>
      </c>
      <c r="U180" s="1">
        <f t="shared" si="103"/>
        <v>0</v>
      </c>
      <c r="V180" s="1">
        <f t="shared" si="104"/>
        <v>0</v>
      </c>
      <c r="W180" s="1">
        <f t="shared" si="105"/>
        <v>0</v>
      </c>
      <c r="X180" s="1">
        <f t="shared" si="106"/>
        <v>0</v>
      </c>
      <c r="Y180" s="1">
        <f t="shared" si="107"/>
        <v>0</v>
      </c>
      <c r="Z180" s="1">
        <f t="shared" si="108"/>
        <v>0</v>
      </c>
      <c r="AA180" s="1">
        <f t="shared" si="109"/>
        <v>0</v>
      </c>
      <c r="AB180" s="1">
        <f t="shared" si="110"/>
        <v>0</v>
      </c>
      <c r="AD180" s="1">
        <f t="shared" si="111"/>
        <v>1</v>
      </c>
      <c r="AE180" s="1">
        <f t="shared" si="112"/>
        <v>0</v>
      </c>
      <c r="AF180" s="1">
        <f t="shared" si="97"/>
        <v>1</v>
      </c>
      <c r="AG180" s="1">
        <f t="shared" si="98"/>
        <v>0</v>
      </c>
      <c r="AH180" s="1">
        <f t="shared" si="99"/>
        <v>1</v>
      </c>
      <c r="AI180" s="1">
        <f t="shared" si="100"/>
        <v>0</v>
      </c>
    </row>
    <row r="181" spans="1:35" s="1" customFormat="1" ht="14.25" customHeight="1" x14ac:dyDescent="0.25">
      <c r="A181" s="44">
        <v>0</v>
      </c>
      <c r="B181" s="44">
        <v>1</v>
      </c>
      <c r="C181" s="44">
        <v>4</v>
      </c>
      <c r="D181" s="45" t="s">
        <v>50</v>
      </c>
      <c r="E181" s="45" t="s">
        <v>772</v>
      </c>
      <c r="F181" s="45" t="s">
        <v>193</v>
      </c>
      <c r="G181" s="45" t="s">
        <v>194</v>
      </c>
      <c r="H181" s="45" t="s">
        <v>354</v>
      </c>
      <c r="I181" s="44" t="s">
        <v>387</v>
      </c>
      <c r="J181" s="44">
        <v>9</v>
      </c>
      <c r="K181" s="46" t="s">
        <v>956</v>
      </c>
      <c r="L181" s="46" t="s">
        <v>694</v>
      </c>
      <c r="M181" s="47" t="s">
        <v>969</v>
      </c>
      <c r="N181" s="47" t="s">
        <v>1736</v>
      </c>
      <c r="O181" s="48"/>
      <c r="P181" s="48"/>
      <c r="Q181" s="45"/>
      <c r="S181" s="1">
        <f t="shared" si="101"/>
        <v>0</v>
      </c>
      <c r="T181" s="1">
        <f t="shared" si="102"/>
        <v>0</v>
      </c>
      <c r="U181" s="1">
        <f t="shared" si="103"/>
        <v>0</v>
      </c>
      <c r="V181" s="1">
        <f t="shared" si="104"/>
        <v>0</v>
      </c>
      <c r="W181" s="1">
        <f t="shared" si="105"/>
        <v>0</v>
      </c>
      <c r="X181" s="1">
        <f t="shared" si="106"/>
        <v>0</v>
      </c>
      <c r="Y181" s="1">
        <f t="shared" si="107"/>
        <v>0</v>
      </c>
      <c r="Z181" s="1">
        <f t="shared" si="108"/>
        <v>0</v>
      </c>
      <c r="AA181" s="1">
        <f t="shared" si="109"/>
        <v>1</v>
      </c>
      <c r="AB181" s="1">
        <f t="shared" si="110"/>
        <v>0</v>
      </c>
      <c r="AD181" s="1">
        <f t="shared" si="111"/>
        <v>0</v>
      </c>
      <c r="AE181" s="1">
        <f t="shared" si="112"/>
        <v>0</v>
      </c>
      <c r="AF181" s="1">
        <f t="shared" si="97"/>
        <v>0</v>
      </c>
      <c r="AG181" s="1">
        <f t="shared" si="98"/>
        <v>0</v>
      </c>
      <c r="AH181" s="1">
        <f t="shared" si="99"/>
        <v>0</v>
      </c>
      <c r="AI181" s="1">
        <f t="shared" si="100"/>
        <v>1</v>
      </c>
    </row>
    <row r="182" spans="1:35" s="1" customFormat="1" ht="14.25" customHeight="1" x14ac:dyDescent="0.25">
      <c r="A182" s="44">
        <v>0</v>
      </c>
      <c r="B182" s="44">
        <v>1</v>
      </c>
      <c r="C182" s="44">
        <v>4</v>
      </c>
      <c r="D182" s="45" t="s">
        <v>134</v>
      </c>
      <c r="E182" s="45" t="s">
        <v>177</v>
      </c>
      <c r="F182" s="45" t="s">
        <v>336</v>
      </c>
      <c r="G182" s="45" t="s">
        <v>213</v>
      </c>
      <c r="H182" s="45" t="s">
        <v>354</v>
      </c>
      <c r="I182" s="44" t="s">
        <v>483</v>
      </c>
      <c r="J182" s="44">
        <v>1</v>
      </c>
      <c r="K182" s="46" t="s">
        <v>956</v>
      </c>
      <c r="L182" s="46" t="s">
        <v>689</v>
      </c>
      <c r="M182" s="47" t="s">
        <v>691</v>
      </c>
      <c r="N182" s="47" t="s">
        <v>1735</v>
      </c>
      <c r="O182" s="48"/>
      <c r="P182" s="48"/>
      <c r="Q182" s="45"/>
      <c r="S182" s="1">
        <f t="shared" si="101"/>
        <v>1</v>
      </c>
      <c r="T182" s="1">
        <f t="shared" si="102"/>
        <v>0</v>
      </c>
      <c r="U182" s="1">
        <f t="shared" si="103"/>
        <v>0</v>
      </c>
      <c r="V182" s="1">
        <f t="shared" si="104"/>
        <v>0</v>
      </c>
      <c r="W182" s="1">
        <f t="shared" si="105"/>
        <v>0</v>
      </c>
      <c r="X182" s="1">
        <f t="shared" si="106"/>
        <v>0</v>
      </c>
      <c r="Y182" s="1">
        <f t="shared" si="107"/>
        <v>0</v>
      </c>
      <c r="Z182" s="1">
        <f t="shared" si="108"/>
        <v>0</v>
      </c>
      <c r="AA182" s="1">
        <f t="shared" si="109"/>
        <v>0</v>
      </c>
      <c r="AB182" s="1">
        <f t="shared" si="110"/>
        <v>0</v>
      </c>
      <c r="AD182" s="1">
        <f t="shared" si="111"/>
        <v>0</v>
      </c>
      <c r="AE182" s="1">
        <f t="shared" si="112"/>
        <v>0</v>
      </c>
      <c r="AF182" s="1">
        <f t="shared" si="97"/>
        <v>0</v>
      </c>
      <c r="AG182" s="1">
        <f t="shared" si="98"/>
        <v>0</v>
      </c>
      <c r="AH182" s="1">
        <f t="shared" si="99"/>
        <v>0</v>
      </c>
      <c r="AI182" s="1">
        <f t="shared" si="100"/>
        <v>1</v>
      </c>
    </row>
    <row r="183" spans="1:35" s="1" customFormat="1" ht="14.25" customHeight="1" x14ac:dyDescent="0.25">
      <c r="A183" s="15">
        <v>0</v>
      </c>
      <c r="B183" s="15">
        <v>1</v>
      </c>
      <c r="C183" s="15">
        <v>4</v>
      </c>
      <c r="D183" s="16" t="s">
        <v>884</v>
      </c>
      <c r="E183" s="16" t="s">
        <v>772</v>
      </c>
      <c r="F183" s="16" t="s">
        <v>885</v>
      </c>
      <c r="G183" s="16" t="s">
        <v>39</v>
      </c>
      <c r="H183" s="16" t="s">
        <v>886</v>
      </c>
      <c r="I183" s="15" t="s">
        <v>950</v>
      </c>
      <c r="J183" s="15">
        <v>17</v>
      </c>
      <c r="K183" s="10" t="s">
        <v>703</v>
      </c>
      <c r="L183" s="10" t="s">
        <v>1141</v>
      </c>
      <c r="M183" s="19" t="s">
        <v>972</v>
      </c>
      <c r="N183" s="17"/>
      <c r="Q183" s="16"/>
      <c r="S183" s="1">
        <f t="shared" si="101"/>
        <v>0</v>
      </c>
      <c r="T183" s="1">
        <f t="shared" si="102"/>
        <v>0</v>
      </c>
      <c r="U183" s="1">
        <f t="shared" si="103"/>
        <v>0</v>
      </c>
      <c r="V183" s="1">
        <f t="shared" si="104"/>
        <v>0</v>
      </c>
      <c r="W183" s="1">
        <f t="shared" si="105"/>
        <v>0</v>
      </c>
      <c r="X183" s="1">
        <f t="shared" si="106"/>
        <v>0</v>
      </c>
      <c r="Y183" s="1">
        <f t="shared" si="107"/>
        <v>0</v>
      </c>
      <c r="Z183" s="1">
        <f t="shared" si="108"/>
        <v>0</v>
      </c>
      <c r="AA183" s="1">
        <f t="shared" si="109"/>
        <v>0</v>
      </c>
      <c r="AB183" s="1">
        <f t="shared" si="110"/>
        <v>0</v>
      </c>
      <c r="AD183" s="1">
        <f t="shared" si="111"/>
        <v>0</v>
      </c>
      <c r="AE183" s="1">
        <f t="shared" si="112"/>
        <v>0</v>
      </c>
      <c r="AF183" s="1">
        <f t="shared" si="97"/>
        <v>0</v>
      </c>
      <c r="AG183" s="1">
        <f t="shared" si="98"/>
        <v>0</v>
      </c>
      <c r="AH183" s="1">
        <f t="shared" si="99"/>
        <v>0</v>
      </c>
      <c r="AI183" s="1">
        <f t="shared" si="100"/>
        <v>1</v>
      </c>
    </row>
    <row r="184" spans="1:35" s="1" customFormat="1" ht="14.25" customHeight="1" x14ac:dyDescent="0.25">
      <c r="A184" s="44">
        <v>0</v>
      </c>
      <c r="B184" s="44">
        <v>1</v>
      </c>
      <c r="C184" s="44">
        <v>5</v>
      </c>
      <c r="D184" s="45" t="s">
        <v>126</v>
      </c>
      <c r="E184" s="45" t="s">
        <v>526</v>
      </c>
      <c r="F184" s="45" t="s">
        <v>327</v>
      </c>
      <c r="G184" s="45" t="s">
        <v>300</v>
      </c>
      <c r="H184" s="45" t="s">
        <v>354</v>
      </c>
      <c r="I184" s="44" t="s">
        <v>475</v>
      </c>
      <c r="J184" s="44">
        <v>99</v>
      </c>
      <c r="K184" s="46" t="s">
        <v>702</v>
      </c>
      <c r="L184" s="46" t="s">
        <v>689</v>
      </c>
      <c r="M184" s="47" t="s">
        <v>970</v>
      </c>
      <c r="N184" s="47" t="s">
        <v>1737</v>
      </c>
      <c r="O184" s="48"/>
      <c r="P184" s="48"/>
      <c r="Q184" s="45"/>
      <c r="S184" s="1">
        <f t="shared" si="101"/>
        <v>0</v>
      </c>
      <c r="T184" s="1">
        <f t="shared" si="102"/>
        <v>0</v>
      </c>
      <c r="U184" s="1">
        <f t="shared" si="103"/>
        <v>0</v>
      </c>
      <c r="V184" s="1">
        <f t="shared" si="104"/>
        <v>0</v>
      </c>
      <c r="W184" s="1">
        <f t="shared" si="105"/>
        <v>0</v>
      </c>
      <c r="X184" s="1">
        <f t="shared" si="106"/>
        <v>0</v>
      </c>
      <c r="Y184" s="1">
        <f t="shared" si="107"/>
        <v>0</v>
      </c>
      <c r="Z184" s="1">
        <f t="shared" si="108"/>
        <v>0</v>
      </c>
      <c r="AA184" s="1">
        <f t="shared" si="109"/>
        <v>0</v>
      </c>
      <c r="AB184" s="1">
        <f t="shared" si="110"/>
        <v>0</v>
      </c>
      <c r="AD184" s="1">
        <f t="shared" si="111"/>
        <v>0</v>
      </c>
      <c r="AE184" s="1">
        <f t="shared" si="112"/>
        <v>0</v>
      </c>
      <c r="AF184" s="1">
        <f t="shared" si="97"/>
        <v>0</v>
      </c>
      <c r="AG184" s="1">
        <f t="shared" si="98"/>
        <v>0</v>
      </c>
      <c r="AH184" s="1">
        <f t="shared" si="99"/>
        <v>0</v>
      </c>
      <c r="AI184" s="1">
        <f t="shared" si="100"/>
        <v>1</v>
      </c>
    </row>
    <row r="185" spans="1:35" s="1" customFormat="1" ht="14.25" customHeight="1" x14ac:dyDescent="0.25">
      <c r="A185" s="31">
        <v>0</v>
      </c>
      <c r="B185" s="31">
        <v>1</v>
      </c>
      <c r="C185" s="31">
        <v>5</v>
      </c>
      <c r="D185" s="32" t="s">
        <v>1729</v>
      </c>
      <c r="E185" s="32" t="s">
        <v>166</v>
      </c>
      <c r="F185" s="32" t="s">
        <v>1730</v>
      </c>
      <c r="G185" s="32" t="s">
        <v>1731</v>
      </c>
      <c r="H185" s="32" t="s">
        <v>354</v>
      </c>
      <c r="I185" s="31" t="s">
        <v>1732</v>
      </c>
      <c r="J185" s="31">
        <v>2</v>
      </c>
      <c r="K185" s="33" t="s">
        <v>703</v>
      </c>
      <c r="L185" s="33"/>
      <c r="M185" s="34"/>
      <c r="N185" s="34" t="s">
        <v>1733</v>
      </c>
      <c r="O185" s="35">
        <v>1</v>
      </c>
      <c r="P185" s="35">
        <v>1</v>
      </c>
      <c r="Q185" s="32"/>
      <c r="S185" s="1">
        <f t="shared" si="101"/>
        <v>0</v>
      </c>
      <c r="T185" s="1">
        <f t="shared" si="102"/>
        <v>1</v>
      </c>
      <c r="U185" s="1">
        <f t="shared" si="103"/>
        <v>0</v>
      </c>
      <c r="V185" s="1">
        <f t="shared" si="104"/>
        <v>0</v>
      </c>
      <c r="W185" s="1">
        <f t="shared" si="105"/>
        <v>0</v>
      </c>
      <c r="X185" s="1">
        <f t="shared" si="106"/>
        <v>0</v>
      </c>
      <c r="Y185" s="1">
        <f t="shared" si="107"/>
        <v>0</v>
      </c>
      <c r="Z185" s="1">
        <f t="shared" si="108"/>
        <v>0</v>
      </c>
      <c r="AA185" s="1">
        <f t="shared" si="109"/>
        <v>0</v>
      </c>
      <c r="AB185" s="1">
        <f t="shared" si="110"/>
        <v>0</v>
      </c>
      <c r="AD185" s="1">
        <f t="shared" ref="AD185:AD189" si="129">+O185*P185</f>
        <v>1</v>
      </c>
      <c r="AE185" s="1">
        <f t="shared" ref="AE185:AE189" si="130">O185*(1-P185)</f>
        <v>0</v>
      </c>
      <c r="AF185" s="1">
        <f t="shared" ref="AF185:AF189" si="131">+O185*P185*(1-A185)</f>
        <v>1</v>
      </c>
      <c r="AG185" s="1">
        <f t="shared" si="98"/>
        <v>0</v>
      </c>
      <c r="AH185" s="1">
        <f t="shared" si="99"/>
        <v>1</v>
      </c>
      <c r="AI185" s="1">
        <f t="shared" si="100"/>
        <v>0</v>
      </c>
    </row>
    <row r="186" spans="1:35" s="1" customFormat="1" ht="14.25" customHeight="1" x14ac:dyDescent="0.25">
      <c r="A186" s="44">
        <v>0</v>
      </c>
      <c r="B186" s="44">
        <v>1</v>
      </c>
      <c r="C186" s="44">
        <v>5</v>
      </c>
      <c r="D186" s="45" t="s">
        <v>87</v>
      </c>
      <c r="E186" s="45" t="s">
        <v>166</v>
      </c>
      <c r="F186" s="45" t="s">
        <v>577</v>
      </c>
      <c r="G186" s="45" t="s">
        <v>194</v>
      </c>
      <c r="H186" s="45" t="s">
        <v>354</v>
      </c>
      <c r="I186" s="44" t="s">
        <v>436</v>
      </c>
      <c r="J186" s="44">
        <v>9</v>
      </c>
      <c r="K186" s="46" t="s">
        <v>956</v>
      </c>
      <c r="L186" s="46" t="s">
        <v>696</v>
      </c>
      <c r="M186" s="47" t="s">
        <v>691</v>
      </c>
      <c r="N186" s="47" t="s">
        <v>1735</v>
      </c>
      <c r="O186" s="48"/>
      <c r="P186" s="48"/>
      <c r="Q186" s="45"/>
      <c r="S186" s="1">
        <f t="shared" si="101"/>
        <v>0</v>
      </c>
      <c r="T186" s="1">
        <f t="shared" si="102"/>
        <v>0</v>
      </c>
      <c r="U186" s="1">
        <f t="shared" si="103"/>
        <v>0</v>
      </c>
      <c r="V186" s="1">
        <f t="shared" si="104"/>
        <v>0</v>
      </c>
      <c r="W186" s="1">
        <f t="shared" si="105"/>
        <v>0</v>
      </c>
      <c r="X186" s="1">
        <f t="shared" si="106"/>
        <v>0</v>
      </c>
      <c r="Y186" s="1">
        <f t="shared" si="107"/>
        <v>0</v>
      </c>
      <c r="Z186" s="1">
        <f t="shared" si="108"/>
        <v>0</v>
      </c>
      <c r="AA186" s="1">
        <f t="shared" si="109"/>
        <v>1</v>
      </c>
      <c r="AB186" s="1">
        <f t="shared" si="110"/>
        <v>0</v>
      </c>
      <c r="AD186" s="1">
        <f t="shared" si="129"/>
        <v>0</v>
      </c>
      <c r="AE186" s="1">
        <f t="shared" si="130"/>
        <v>0</v>
      </c>
      <c r="AF186" s="1">
        <f t="shared" si="131"/>
        <v>0</v>
      </c>
      <c r="AG186" s="1">
        <f t="shared" si="98"/>
        <v>0</v>
      </c>
      <c r="AH186" s="1">
        <f t="shared" si="99"/>
        <v>0</v>
      </c>
      <c r="AI186" s="1">
        <f t="shared" si="100"/>
        <v>1</v>
      </c>
    </row>
    <row r="187" spans="1:35" s="1" customFormat="1" ht="14.25" customHeight="1" x14ac:dyDescent="0.25">
      <c r="A187" s="31">
        <v>0</v>
      </c>
      <c r="B187" s="31">
        <v>1</v>
      </c>
      <c r="C187" s="31">
        <v>5</v>
      </c>
      <c r="D187" s="32" t="s">
        <v>1997</v>
      </c>
      <c r="E187" s="32" t="s">
        <v>166</v>
      </c>
      <c r="F187" s="32" t="s">
        <v>1998</v>
      </c>
      <c r="G187" s="32" t="s">
        <v>2001</v>
      </c>
      <c r="H187" s="32" t="s">
        <v>354</v>
      </c>
      <c r="I187" s="31" t="s">
        <v>1999</v>
      </c>
      <c r="J187" s="31">
        <v>99</v>
      </c>
      <c r="K187" s="33" t="s">
        <v>703</v>
      </c>
      <c r="L187" s="33">
        <v>25</v>
      </c>
      <c r="M187" s="34" t="s">
        <v>691</v>
      </c>
      <c r="N187" s="34" t="s">
        <v>1743</v>
      </c>
      <c r="O187" s="35">
        <v>1</v>
      </c>
      <c r="P187" s="35"/>
      <c r="Q187" s="32" t="s">
        <v>2000</v>
      </c>
      <c r="S187" s="1">
        <f t="shared" si="101"/>
        <v>0</v>
      </c>
      <c r="T187" s="1">
        <f t="shared" si="102"/>
        <v>0</v>
      </c>
      <c r="U187" s="1">
        <f t="shared" si="103"/>
        <v>0</v>
      </c>
      <c r="V187" s="1">
        <f t="shared" si="104"/>
        <v>0</v>
      </c>
      <c r="W187" s="1">
        <f t="shared" si="105"/>
        <v>0</v>
      </c>
      <c r="X187" s="1">
        <f t="shared" si="106"/>
        <v>0</v>
      </c>
      <c r="Y187" s="1">
        <f t="shared" si="107"/>
        <v>0</v>
      </c>
      <c r="Z187" s="1">
        <f t="shared" si="108"/>
        <v>0</v>
      </c>
      <c r="AA187" s="1">
        <f t="shared" si="109"/>
        <v>0</v>
      </c>
      <c r="AB187" s="1">
        <f t="shared" si="110"/>
        <v>0</v>
      </c>
      <c r="AD187" s="1">
        <f t="shared" si="129"/>
        <v>0</v>
      </c>
      <c r="AE187" s="1">
        <f t="shared" si="130"/>
        <v>1</v>
      </c>
      <c r="AF187" s="1">
        <f t="shared" si="131"/>
        <v>0</v>
      </c>
      <c r="AG187" s="1">
        <f t="shared" si="98"/>
        <v>1</v>
      </c>
      <c r="AH187" s="1">
        <f t="shared" si="99"/>
        <v>0</v>
      </c>
      <c r="AI187" s="1">
        <f t="shared" si="100"/>
        <v>1</v>
      </c>
    </row>
    <row r="188" spans="1:35" s="1" customFormat="1" ht="14.25" customHeight="1" x14ac:dyDescent="0.25">
      <c r="A188" s="44">
        <v>0</v>
      </c>
      <c r="B188" s="44">
        <v>1</v>
      </c>
      <c r="C188" s="44">
        <v>5</v>
      </c>
      <c r="D188" s="45" t="s">
        <v>127</v>
      </c>
      <c r="E188" s="45" t="s">
        <v>166</v>
      </c>
      <c r="F188" s="45" t="s">
        <v>328</v>
      </c>
      <c r="G188" s="45" t="s">
        <v>180</v>
      </c>
      <c r="H188" s="45" t="s">
        <v>354</v>
      </c>
      <c r="I188" s="44" t="s">
        <v>476</v>
      </c>
      <c r="J188" s="44">
        <v>10</v>
      </c>
      <c r="K188" s="46" t="s">
        <v>958</v>
      </c>
      <c r="L188" s="46" t="s">
        <v>694</v>
      </c>
      <c r="M188" s="47" t="s">
        <v>691</v>
      </c>
      <c r="N188" s="47" t="s">
        <v>1740</v>
      </c>
      <c r="O188" s="48"/>
      <c r="P188" s="48"/>
      <c r="Q188" s="45"/>
      <c r="S188" s="1">
        <f t="shared" si="101"/>
        <v>0</v>
      </c>
      <c r="T188" s="1">
        <f t="shared" si="102"/>
        <v>0</v>
      </c>
      <c r="U188" s="1">
        <f t="shared" si="103"/>
        <v>0</v>
      </c>
      <c r="V188" s="1">
        <f t="shared" si="104"/>
        <v>0</v>
      </c>
      <c r="W188" s="1">
        <f t="shared" si="105"/>
        <v>0</v>
      </c>
      <c r="X188" s="1">
        <f t="shared" si="106"/>
        <v>0</v>
      </c>
      <c r="Y188" s="1">
        <f t="shared" si="107"/>
        <v>0</v>
      </c>
      <c r="Z188" s="1">
        <f t="shared" si="108"/>
        <v>0</v>
      </c>
      <c r="AA188" s="1">
        <f t="shared" si="109"/>
        <v>0</v>
      </c>
      <c r="AB188" s="1">
        <f t="shared" si="110"/>
        <v>1</v>
      </c>
      <c r="AD188" s="1">
        <f t="shared" si="129"/>
        <v>0</v>
      </c>
      <c r="AE188" s="1">
        <f t="shared" si="130"/>
        <v>0</v>
      </c>
      <c r="AF188" s="1">
        <f t="shared" si="131"/>
        <v>0</v>
      </c>
      <c r="AG188" s="1">
        <f t="shared" si="98"/>
        <v>0</v>
      </c>
      <c r="AH188" s="1">
        <f t="shared" si="99"/>
        <v>0</v>
      </c>
      <c r="AI188" s="1">
        <f t="shared" si="100"/>
        <v>1</v>
      </c>
    </row>
    <row r="189" spans="1:35" s="1" customFormat="1" ht="13.9" customHeight="1" x14ac:dyDescent="0.25">
      <c r="A189" s="44">
        <v>0</v>
      </c>
      <c r="B189" s="44">
        <v>1</v>
      </c>
      <c r="C189" s="44">
        <v>5</v>
      </c>
      <c r="D189" s="45" t="s">
        <v>137</v>
      </c>
      <c r="E189" s="45" t="s">
        <v>166</v>
      </c>
      <c r="F189" s="45" t="s">
        <v>548</v>
      </c>
      <c r="G189" s="45" t="s">
        <v>220</v>
      </c>
      <c r="H189" s="45" t="s">
        <v>354</v>
      </c>
      <c r="I189" s="44" t="s">
        <v>540</v>
      </c>
      <c r="J189" s="44">
        <v>8</v>
      </c>
      <c r="K189" s="46" t="s">
        <v>956</v>
      </c>
      <c r="L189" s="46" t="s">
        <v>694</v>
      </c>
      <c r="M189" s="47" t="s">
        <v>691</v>
      </c>
      <c r="N189" s="47" t="s">
        <v>1735</v>
      </c>
      <c r="O189" s="48"/>
      <c r="P189" s="48"/>
      <c r="Q189" s="45"/>
      <c r="S189" s="1">
        <f t="shared" si="101"/>
        <v>0</v>
      </c>
      <c r="T189" s="1">
        <f t="shared" si="102"/>
        <v>0</v>
      </c>
      <c r="U189" s="1">
        <f t="shared" si="103"/>
        <v>0</v>
      </c>
      <c r="V189" s="1">
        <f t="shared" si="104"/>
        <v>0</v>
      </c>
      <c r="W189" s="1">
        <f t="shared" si="105"/>
        <v>0</v>
      </c>
      <c r="X189" s="1">
        <f t="shared" si="106"/>
        <v>0</v>
      </c>
      <c r="Y189" s="1">
        <f t="shared" si="107"/>
        <v>0</v>
      </c>
      <c r="Z189" s="1">
        <f t="shared" si="108"/>
        <v>1</v>
      </c>
      <c r="AA189" s="1">
        <f t="shared" si="109"/>
        <v>0</v>
      </c>
      <c r="AB189" s="1">
        <f t="shared" si="110"/>
        <v>0</v>
      </c>
      <c r="AD189" s="1">
        <f t="shared" si="129"/>
        <v>0</v>
      </c>
      <c r="AE189" s="1">
        <f t="shared" si="130"/>
        <v>0</v>
      </c>
      <c r="AF189" s="1">
        <f t="shared" si="131"/>
        <v>0</v>
      </c>
      <c r="AG189" s="1">
        <f t="shared" si="98"/>
        <v>0</v>
      </c>
      <c r="AH189" s="1">
        <f t="shared" si="99"/>
        <v>0</v>
      </c>
      <c r="AI189" s="1">
        <f t="shared" si="100"/>
        <v>1</v>
      </c>
    </row>
    <row r="190" spans="1:35" s="1" customFormat="1" ht="14.25" customHeight="1" x14ac:dyDescent="0.25">
      <c r="A190" s="44">
        <v>1</v>
      </c>
      <c r="B190" s="44">
        <v>1</v>
      </c>
      <c r="C190" s="44">
        <v>5</v>
      </c>
      <c r="D190" s="45" t="s">
        <v>137</v>
      </c>
      <c r="E190" s="45" t="s">
        <v>166</v>
      </c>
      <c r="F190" s="45" t="s">
        <v>337</v>
      </c>
      <c r="G190" s="45" t="s">
        <v>338</v>
      </c>
      <c r="H190" s="45" t="s">
        <v>354</v>
      </c>
      <c r="I190" s="44" t="s">
        <v>485</v>
      </c>
      <c r="J190" s="44">
        <v>10</v>
      </c>
      <c r="K190" s="46" t="s">
        <v>956</v>
      </c>
      <c r="L190" s="46" t="s">
        <v>694</v>
      </c>
      <c r="M190" s="47" t="s">
        <v>691</v>
      </c>
      <c r="N190" s="47" t="s">
        <v>1735</v>
      </c>
      <c r="O190" s="48"/>
      <c r="P190" s="48"/>
      <c r="Q190" s="45"/>
      <c r="S190" s="1">
        <f t="shared" si="101"/>
        <v>0</v>
      </c>
      <c r="T190" s="1">
        <f t="shared" si="102"/>
        <v>0</v>
      </c>
      <c r="U190" s="1">
        <f t="shared" si="103"/>
        <v>0</v>
      </c>
      <c r="V190" s="1">
        <f t="shared" si="104"/>
        <v>0</v>
      </c>
      <c r="W190" s="1">
        <f t="shared" si="105"/>
        <v>0</v>
      </c>
      <c r="X190" s="1">
        <f t="shared" si="106"/>
        <v>0</v>
      </c>
      <c r="Y190" s="1">
        <f t="shared" si="107"/>
        <v>0</v>
      </c>
      <c r="Z190" s="1">
        <f t="shared" si="108"/>
        <v>0</v>
      </c>
      <c r="AA190" s="1">
        <f t="shared" si="109"/>
        <v>0</v>
      </c>
      <c r="AB190" s="1">
        <f t="shared" si="110"/>
        <v>1</v>
      </c>
      <c r="AD190" s="1">
        <f t="shared" si="111"/>
        <v>0</v>
      </c>
      <c r="AE190" s="1">
        <f t="shared" si="112"/>
        <v>0</v>
      </c>
      <c r="AF190" s="1">
        <f t="shared" si="97"/>
        <v>0</v>
      </c>
      <c r="AG190" s="1">
        <f t="shared" si="98"/>
        <v>0</v>
      </c>
      <c r="AH190" s="1">
        <f t="shared" si="99"/>
        <v>0</v>
      </c>
      <c r="AI190" s="1">
        <f t="shared" si="100"/>
        <v>0</v>
      </c>
    </row>
    <row r="191" spans="1:35" s="1" customFormat="1" ht="14.25" customHeight="1" x14ac:dyDescent="0.25">
      <c r="A191" s="44">
        <v>0</v>
      </c>
      <c r="B191" s="44">
        <v>1</v>
      </c>
      <c r="C191" s="44">
        <v>5</v>
      </c>
      <c r="D191" s="45" t="s">
        <v>1637</v>
      </c>
      <c r="E191" s="45" t="s">
        <v>166</v>
      </c>
      <c r="F191" s="45" t="s">
        <v>865</v>
      </c>
      <c r="G191" s="45" t="s">
        <v>1664</v>
      </c>
      <c r="H191" s="45" t="s">
        <v>354</v>
      </c>
      <c r="I191" s="44" t="s">
        <v>866</v>
      </c>
      <c r="J191" s="44">
        <v>1</v>
      </c>
      <c r="K191" s="46" t="s">
        <v>722</v>
      </c>
      <c r="L191" s="46" t="s">
        <v>1707</v>
      </c>
      <c r="M191" s="47" t="s">
        <v>1400</v>
      </c>
      <c r="N191" s="47" t="s">
        <v>1735</v>
      </c>
      <c r="O191" s="48"/>
      <c r="P191" s="48"/>
      <c r="Q191" s="45"/>
      <c r="S191" s="1">
        <f t="shared" si="101"/>
        <v>1</v>
      </c>
      <c r="T191" s="1">
        <f t="shared" si="102"/>
        <v>0</v>
      </c>
      <c r="U191" s="1">
        <f t="shared" si="103"/>
        <v>0</v>
      </c>
      <c r="V191" s="1">
        <f t="shared" si="104"/>
        <v>0</v>
      </c>
      <c r="W191" s="1">
        <f t="shared" si="105"/>
        <v>0</v>
      </c>
      <c r="X191" s="1">
        <f t="shared" si="106"/>
        <v>0</v>
      </c>
      <c r="Y191" s="1">
        <f t="shared" si="107"/>
        <v>0</v>
      </c>
      <c r="Z191" s="1">
        <f t="shared" si="108"/>
        <v>0</v>
      </c>
      <c r="AA191" s="1">
        <f t="shared" si="109"/>
        <v>0</v>
      </c>
      <c r="AB191" s="1">
        <f t="shared" si="110"/>
        <v>0</v>
      </c>
      <c r="AD191" s="1">
        <f t="shared" ref="AD191:AD192" si="132">+O191*P191</f>
        <v>0</v>
      </c>
      <c r="AE191" s="1">
        <f t="shared" ref="AE191:AE192" si="133">O191*(1-P191)</f>
        <v>0</v>
      </c>
      <c r="AF191" s="1">
        <f t="shared" ref="AF191:AF192" si="134">+O191*P191*(1-A191)</f>
        <v>0</v>
      </c>
      <c r="AG191" s="1">
        <f t="shared" si="98"/>
        <v>0</v>
      </c>
      <c r="AH191" s="1">
        <f t="shared" si="99"/>
        <v>0</v>
      </c>
      <c r="AI191" s="1">
        <f t="shared" si="100"/>
        <v>1</v>
      </c>
    </row>
    <row r="192" spans="1:35" s="1" customFormat="1" ht="14.25" customHeight="1" x14ac:dyDescent="0.25">
      <c r="A192" s="15">
        <v>0</v>
      </c>
      <c r="B192" s="15">
        <v>1</v>
      </c>
      <c r="C192" s="15">
        <v>5</v>
      </c>
      <c r="D192" s="20" t="s">
        <v>1949</v>
      </c>
      <c r="E192" s="20" t="s">
        <v>893</v>
      </c>
      <c r="F192" s="20" t="s">
        <v>1967</v>
      </c>
      <c r="G192" s="20"/>
      <c r="H192" s="20" t="s">
        <v>1968</v>
      </c>
      <c r="I192" s="21" t="s">
        <v>1966</v>
      </c>
      <c r="J192" s="15">
        <v>15</v>
      </c>
      <c r="K192" s="10" t="s">
        <v>703</v>
      </c>
      <c r="L192" s="10" t="s">
        <v>697</v>
      </c>
      <c r="M192" s="19" t="s">
        <v>971</v>
      </c>
      <c r="N192" s="17"/>
      <c r="Q192" s="20" t="s">
        <v>1969</v>
      </c>
      <c r="S192" s="1">
        <f t="shared" si="101"/>
        <v>0</v>
      </c>
      <c r="T192" s="1">
        <f t="shared" si="102"/>
        <v>0</v>
      </c>
      <c r="U192" s="1">
        <f t="shared" si="103"/>
        <v>0</v>
      </c>
      <c r="V192" s="1">
        <f t="shared" si="104"/>
        <v>0</v>
      </c>
      <c r="W192" s="1">
        <f t="shared" si="105"/>
        <v>0</v>
      </c>
      <c r="X192" s="1">
        <f t="shared" si="106"/>
        <v>0</v>
      </c>
      <c r="Y192" s="1">
        <f t="shared" si="107"/>
        <v>0</v>
      </c>
      <c r="Z192" s="1">
        <f t="shared" si="108"/>
        <v>0</v>
      </c>
      <c r="AA192" s="1">
        <f t="shared" si="109"/>
        <v>0</v>
      </c>
      <c r="AB192" s="1">
        <f t="shared" si="110"/>
        <v>0</v>
      </c>
      <c r="AD192" s="1">
        <f t="shared" si="132"/>
        <v>0</v>
      </c>
      <c r="AE192" s="1">
        <f t="shared" si="133"/>
        <v>0</v>
      </c>
      <c r="AF192" s="1">
        <f t="shared" si="134"/>
        <v>0</v>
      </c>
      <c r="AG192" s="1">
        <f t="shared" si="98"/>
        <v>0</v>
      </c>
      <c r="AH192" s="1">
        <f t="shared" si="99"/>
        <v>0</v>
      </c>
      <c r="AI192" s="1">
        <f t="shared" si="100"/>
        <v>1</v>
      </c>
    </row>
    <row r="193" spans="1:35" s="1" customFormat="1" ht="14.25" customHeight="1" x14ac:dyDescent="0.25">
      <c r="A193" s="31">
        <v>0</v>
      </c>
      <c r="B193" s="31">
        <v>1</v>
      </c>
      <c r="C193" s="31">
        <v>5</v>
      </c>
      <c r="D193" s="32" t="s">
        <v>887</v>
      </c>
      <c r="E193" s="32" t="s">
        <v>888</v>
      </c>
      <c r="F193" s="32" t="s">
        <v>1092</v>
      </c>
      <c r="G193" s="32" t="s">
        <v>39</v>
      </c>
      <c r="H193" s="32" t="s">
        <v>889</v>
      </c>
      <c r="I193" s="31" t="s">
        <v>890</v>
      </c>
      <c r="J193" s="31">
        <v>16</v>
      </c>
      <c r="K193" s="33" t="s">
        <v>703</v>
      </c>
      <c r="L193" s="33" t="s">
        <v>692</v>
      </c>
      <c r="M193" s="34" t="s">
        <v>970</v>
      </c>
      <c r="N193" s="34" t="s">
        <v>1733</v>
      </c>
      <c r="O193" s="35">
        <v>1</v>
      </c>
      <c r="P193" s="35">
        <v>1</v>
      </c>
      <c r="Q193" s="36" t="s">
        <v>1894</v>
      </c>
      <c r="S193" s="1">
        <f t="shared" si="101"/>
        <v>0</v>
      </c>
      <c r="T193" s="1">
        <f t="shared" si="102"/>
        <v>0</v>
      </c>
      <c r="U193" s="1">
        <f t="shared" si="103"/>
        <v>0</v>
      </c>
      <c r="V193" s="1">
        <f t="shared" si="104"/>
        <v>0</v>
      </c>
      <c r="W193" s="1">
        <f t="shared" si="105"/>
        <v>0</v>
      </c>
      <c r="X193" s="1">
        <f t="shared" si="106"/>
        <v>0</v>
      </c>
      <c r="Y193" s="1">
        <f t="shared" si="107"/>
        <v>0</v>
      </c>
      <c r="Z193" s="1">
        <f t="shared" si="108"/>
        <v>0</v>
      </c>
      <c r="AA193" s="1">
        <f t="shared" si="109"/>
        <v>0</v>
      </c>
      <c r="AB193" s="1">
        <f t="shared" si="110"/>
        <v>0</v>
      </c>
      <c r="AD193" s="1">
        <f t="shared" si="111"/>
        <v>1</v>
      </c>
      <c r="AE193" s="1">
        <f t="shared" si="112"/>
        <v>0</v>
      </c>
      <c r="AF193" s="1">
        <f t="shared" si="97"/>
        <v>1</v>
      </c>
      <c r="AG193" s="1">
        <f t="shared" si="98"/>
        <v>0</v>
      </c>
      <c r="AH193" s="1">
        <f t="shared" si="99"/>
        <v>1</v>
      </c>
      <c r="AI193" s="1">
        <f t="shared" si="100"/>
        <v>0</v>
      </c>
    </row>
    <row r="194" spans="1:35" s="1" customFormat="1" ht="14.25" customHeight="1" x14ac:dyDescent="0.25">
      <c r="A194" s="31">
        <v>0</v>
      </c>
      <c r="B194" s="31">
        <v>1</v>
      </c>
      <c r="C194" s="31">
        <v>5</v>
      </c>
      <c r="D194" s="32" t="s">
        <v>106</v>
      </c>
      <c r="E194" s="32" t="s">
        <v>173</v>
      </c>
      <c r="F194" s="32" t="s">
        <v>304</v>
      </c>
      <c r="G194" s="32" t="s">
        <v>39</v>
      </c>
      <c r="H194" s="32" t="s">
        <v>359</v>
      </c>
      <c r="I194" s="31" t="s">
        <v>453</v>
      </c>
      <c r="J194" s="31">
        <v>14</v>
      </c>
      <c r="K194" s="33" t="s">
        <v>956</v>
      </c>
      <c r="L194" s="33" t="s">
        <v>693</v>
      </c>
      <c r="M194" s="34" t="s">
        <v>970</v>
      </c>
      <c r="N194" s="34" t="s">
        <v>1743</v>
      </c>
      <c r="O194" s="35">
        <v>1</v>
      </c>
      <c r="P194" s="35"/>
      <c r="Q194" s="32"/>
      <c r="S194" s="1">
        <f t="shared" si="101"/>
        <v>0</v>
      </c>
      <c r="T194" s="1">
        <f t="shared" si="102"/>
        <v>0</v>
      </c>
      <c r="U194" s="1">
        <f t="shared" si="103"/>
        <v>0</v>
      </c>
      <c r="V194" s="1">
        <f t="shared" si="104"/>
        <v>0</v>
      </c>
      <c r="W194" s="1">
        <f t="shared" si="105"/>
        <v>0</v>
      </c>
      <c r="X194" s="1">
        <f t="shared" si="106"/>
        <v>0</v>
      </c>
      <c r="Y194" s="1">
        <f t="shared" si="107"/>
        <v>0</v>
      </c>
      <c r="Z194" s="1">
        <f t="shared" si="108"/>
        <v>0</v>
      </c>
      <c r="AA194" s="1">
        <f t="shared" si="109"/>
        <v>0</v>
      </c>
      <c r="AB194" s="1">
        <f t="shared" si="110"/>
        <v>0</v>
      </c>
      <c r="AD194" s="1">
        <f t="shared" si="111"/>
        <v>0</v>
      </c>
      <c r="AE194" s="1">
        <f t="shared" si="112"/>
        <v>1</v>
      </c>
      <c r="AF194" s="1">
        <f t="shared" si="97"/>
        <v>0</v>
      </c>
      <c r="AG194" s="1">
        <f t="shared" si="98"/>
        <v>1</v>
      </c>
      <c r="AH194" s="1">
        <f t="shared" si="99"/>
        <v>0</v>
      </c>
      <c r="AI194" s="1">
        <f t="shared" si="100"/>
        <v>1</v>
      </c>
    </row>
    <row r="195" spans="1:35" s="1" customFormat="1" ht="14.25" customHeight="1" x14ac:dyDescent="0.25">
      <c r="A195" s="15">
        <v>0</v>
      </c>
      <c r="B195" s="15">
        <v>1</v>
      </c>
      <c r="C195" s="15">
        <v>5</v>
      </c>
      <c r="D195" s="20" t="s">
        <v>1951</v>
      </c>
      <c r="E195" s="20" t="s">
        <v>893</v>
      </c>
      <c r="F195" s="20" t="s">
        <v>1981</v>
      </c>
      <c r="G195" s="20"/>
      <c r="H195" s="20" t="s">
        <v>1980</v>
      </c>
      <c r="I195" s="21" t="s">
        <v>1979</v>
      </c>
      <c r="J195" s="15">
        <v>18</v>
      </c>
      <c r="K195" s="10" t="s">
        <v>703</v>
      </c>
      <c r="L195" s="10" t="s">
        <v>697</v>
      </c>
      <c r="M195" s="19" t="s">
        <v>971</v>
      </c>
      <c r="N195" s="17"/>
      <c r="Q195" s="20" t="s">
        <v>1982</v>
      </c>
      <c r="S195" s="1">
        <f t="shared" si="101"/>
        <v>0</v>
      </c>
      <c r="T195" s="1">
        <f t="shared" si="102"/>
        <v>0</v>
      </c>
      <c r="U195" s="1">
        <f t="shared" si="103"/>
        <v>0</v>
      </c>
      <c r="V195" s="1">
        <f t="shared" si="104"/>
        <v>0</v>
      </c>
      <c r="W195" s="1">
        <f t="shared" si="105"/>
        <v>0</v>
      </c>
      <c r="X195" s="1">
        <f t="shared" si="106"/>
        <v>0</v>
      </c>
      <c r="Y195" s="1">
        <f t="shared" si="107"/>
        <v>0</v>
      </c>
      <c r="Z195" s="1">
        <f t="shared" si="108"/>
        <v>0</v>
      </c>
      <c r="AA195" s="1">
        <f t="shared" si="109"/>
        <v>0</v>
      </c>
      <c r="AB195" s="1">
        <f t="shared" si="110"/>
        <v>0</v>
      </c>
      <c r="AD195" s="1">
        <f t="shared" si="111"/>
        <v>0</v>
      </c>
      <c r="AE195" s="1">
        <f t="shared" si="112"/>
        <v>0</v>
      </c>
      <c r="AF195" s="1">
        <f t="shared" si="97"/>
        <v>0</v>
      </c>
      <c r="AG195" s="1">
        <f t="shared" si="98"/>
        <v>0</v>
      </c>
      <c r="AH195" s="1">
        <f t="shared" si="99"/>
        <v>0</v>
      </c>
      <c r="AI195" s="1">
        <f t="shared" si="100"/>
        <v>1</v>
      </c>
    </row>
    <row r="196" spans="1:35" s="1" customFormat="1" ht="14.25" customHeight="1" x14ac:dyDescent="0.25">
      <c r="A196" s="44">
        <v>0</v>
      </c>
      <c r="B196" s="44">
        <v>1</v>
      </c>
      <c r="C196" s="44">
        <v>5</v>
      </c>
      <c r="D196" s="45" t="s">
        <v>513</v>
      </c>
      <c r="E196" s="45" t="s">
        <v>172</v>
      </c>
      <c r="F196" s="45" t="s">
        <v>549</v>
      </c>
      <c r="G196" s="45" t="s">
        <v>39</v>
      </c>
      <c r="H196" s="45" t="s">
        <v>362</v>
      </c>
      <c r="I196" s="44" t="s">
        <v>1114</v>
      </c>
      <c r="J196" s="44">
        <v>12</v>
      </c>
      <c r="K196" s="46" t="s">
        <v>703</v>
      </c>
      <c r="L196" s="46">
        <v>35</v>
      </c>
      <c r="M196" s="47" t="s">
        <v>970</v>
      </c>
      <c r="N196" s="47" t="s">
        <v>1802</v>
      </c>
      <c r="O196" s="48"/>
      <c r="P196" s="48"/>
      <c r="Q196" s="45"/>
      <c r="S196" s="1">
        <f t="shared" si="101"/>
        <v>0</v>
      </c>
      <c r="T196" s="1">
        <f t="shared" si="102"/>
        <v>0</v>
      </c>
      <c r="U196" s="1">
        <f t="shared" si="103"/>
        <v>0</v>
      </c>
      <c r="V196" s="1">
        <f t="shared" si="104"/>
        <v>0</v>
      </c>
      <c r="W196" s="1">
        <f t="shared" si="105"/>
        <v>0</v>
      </c>
      <c r="X196" s="1">
        <f t="shared" si="106"/>
        <v>0</v>
      </c>
      <c r="Y196" s="1">
        <f t="shared" si="107"/>
        <v>0</v>
      </c>
      <c r="Z196" s="1">
        <f t="shared" si="108"/>
        <v>0</v>
      </c>
      <c r="AA196" s="1">
        <f t="shared" si="109"/>
        <v>0</v>
      </c>
      <c r="AB196" s="1">
        <f t="shared" si="110"/>
        <v>0</v>
      </c>
      <c r="AD196" s="1">
        <f t="shared" si="111"/>
        <v>0</v>
      </c>
      <c r="AE196" s="1">
        <f t="shared" si="112"/>
        <v>0</v>
      </c>
      <c r="AF196" s="1">
        <f t="shared" si="97"/>
        <v>0</v>
      </c>
      <c r="AG196" s="1">
        <f t="shared" si="98"/>
        <v>0</v>
      </c>
      <c r="AH196" s="1">
        <f t="shared" si="99"/>
        <v>0</v>
      </c>
      <c r="AI196" s="1">
        <f t="shared" si="100"/>
        <v>1</v>
      </c>
    </row>
    <row r="197" spans="1:35" s="1" customFormat="1" ht="14.25" customHeight="1" x14ac:dyDescent="0.25">
      <c r="A197" s="31">
        <v>0</v>
      </c>
      <c r="B197" s="31">
        <v>1</v>
      </c>
      <c r="C197" s="31">
        <v>5</v>
      </c>
      <c r="D197" s="32" t="s">
        <v>151</v>
      </c>
      <c r="E197" s="32" t="s">
        <v>166</v>
      </c>
      <c r="F197" s="36" t="s">
        <v>1870</v>
      </c>
      <c r="G197" s="32" t="s">
        <v>197</v>
      </c>
      <c r="H197" s="32" t="s">
        <v>354</v>
      </c>
      <c r="I197" s="31" t="s">
        <v>498</v>
      </c>
      <c r="J197" s="31">
        <v>99</v>
      </c>
      <c r="K197" s="33" t="s">
        <v>956</v>
      </c>
      <c r="L197" s="33" t="s">
        <v>693</v>
      </c>
      <c r="M197" s="34" t="s">
        <v>970</v>
      </c>
      <c r="N197" s="34" t="s">
        <v>1748</v>
      </c>
      <c r="O197" s="35">
        <v>1</v>
      </c>
      <c r="P197" s="35"/>
      <c r="Q197" s="32"/>
      <c r="S197" s="1">
        <f t="shared" si="101"/>
        <v>0</v>
      </c>
      <c r="T197" s="1">
        <f t="shared" si="102"/>
        <v>0</v>
      </c>
      <c r="U197" s="1">
        <f t="shared" si="103"/>
        <v>0</v>
      </c>
      <c r="V197" s="1">
        <f t="shared" si="104"/>
        <v>0</v>
      </c>
      <c r="W197" s="1">
        <f t="shared" si="105"/>
        <v>0</v>
      </c>
      <c r="X197" s="1">
        <f t="shared" si="106"/>
        <v>0</v>
      </c>
      <c r="Y197" s="1">
        <f t="shared" si="107"/>
        <v>0</v>
      </c>
      <c r="Z197" s="1">
        <f t="shared" si="108"/>
        <v>0</v>
      </c>
      <c r="AA197" s="1">
        <f t="shared" si="109"/>
        <v>0</v>
      </c>
      <c r="AB197" s="1">
        <f t="shared" si="110"/>
        <v>0</v>
      </c>
      <c r="AD197" s="1">
        <f t="shared" si="111"/>
        <v>0</v>
      </c>
      <c r="AE197" s="1">
        <f t="shared" si="112"/>
        <v>1</v>
      </c>
      <c r="AF197" s="1">
        <f t="shared" si="97"/>
        <v>0</v>
      </c>
      <c r="AG197" s="1">
        <f t="shared" si="98"/>
        <v>1</v>
      </c>
      <c r="AH197" s="1">
        <f t="shared" si="99"/>
        <v>0</v>
      </c>
      <c r="AI197" s="1">
        <f t="shared" si="100"/>
        <v>1</v>
      </c>
    </row>
    <row r="198" spans="1:35" s="1" customFormat="1" ht="14.25" customHeight="1" x14ac:dyDescent="0.25">
      <c r="A198" s="44">
        <v>0</v>
      </c>
      <c r="B198" s="44">
        <v>1</v>
      </c>
      <c r="C198" s="44">
        <v>5</v>
      </c>
      <c r="D198" s="45" t="s">
        <v>649</v>
      </c>
      <c r="E198" s="45" t="s">
        <v>684</v>
      </c>
      <c r="F198" s="45" t="s">
        <v>645</v>
      </c>
      <c r="G198" s="45" t="s">
        <v>185</v>
      </c>
      <c r="H198" s="45" t="s">
        <v>354</v>
      </c>
      <c r="I198" s="44" t="s">
        <v>646</v>
      </c>
      <c r="J198" s="44">
        <v>99</v>
      </c>
      <c r="K198" s="46" t="s">
        <v>722</v>
      </c>
      <c r="L198" s="46" t="s">
        <v>693</v>
      </c>
      <c r="M198" s="47" t="s">
        <v>970</v>
      </c>
      <c r="N198" s="47" t="s">
        <v>1734</v>
      </c>
      <c r="O198" s="48"/>
      <c r="P198" s="48"/>
      <c r="Q198" s="45"/>
      <c r="S198" s="1">
        <f t="shared" si="101"/>
        <v>0</v>
      </c>
      <c r="T198" s="1">
        <f t="shared" si="102"/>
        <v>0</v>
      </c>
      <c r="U198" s="1">
        <f t="shared" si="103"/>
        <v>0</v>
      </c>
      <c r="V198" s="1">
        <f t="shared" si="104"/>
        <v>0</v>
      </c>
      <c r="W198" s="1">
        <f t="shared" si="105"/>
        <v>0</v>
      </c>
      <c r="X198" s="1">
        <f t="shared" si="106"/>
        <v>0</v>
      </c>
      <c r="Y198" s="1">
        <f t="shared" si="107"/>
        <v>0</v>
      </c>
      <c r="Z198" s="1">
        <f t="shared" si="108"/>
        <v>0</v>
      </c>
      <c r="AA198" s="1">
        <f t="shared" si="109"/>
        <v>0</v>
      </c>
      <c r="AB198" s="1">
        <f t="shared" si="110"/>
        <v>0</v>
      </c>
      <c r="AD198" s="1">
        <f t="shared" si="111"/>
        <v>0</v>
      </c>
      <c r="AE198" s="1">
        <f t="shared" si="112"/>
        <v>0</v>
      </c>
      <c r="AF198" s="1">
        <f t="shared" si="97"/>
        <v>0</v>
      </c>
      <c r="AG198" s="1">
        <f t="shared" si="98"/>
        <v>0</v>
      </c>
      <c r="AH198" s="1">
        <f t="shared" si="99"/>
        <v>0</v>
      </c>
      <c r="AI198" s="1">
        <f t="shared" si="100"/>
        <v>1</v>
      </c>
    </row>
    <row r="199" spans="1:35" s="1" customFormat="1" ht="14.25" customHeight="1" x14ac:dyDescent="0.25">
      <c r="A199" s="31">
        <v>0</v>
      </c>
      <c r="B199" s="31">
        <v>1</v>
      </c>
      <c r="C199" s="31">
        <v>5</v>
      </c>
      <c r="D199" s="32" t="s">
        <v>1310</v>
      </c>
      <c r="E199" s="32" t="s">
        <v>166</v>
      </c>
      <c r="F199" s="32" t="s">
        <v>1311</v>
      </c>
      <c r="G199" s="32" t="s">
        <v>283</v>
      </c>
      <c r="H199" s="32" t="s">
        <v>354</v>
      </c>
      <c r="I199" s="31" t="s">
        <v>1312</v>
      </c>
      <c r="J199" s="31">
        <v>99</v>
      </c>
      <c r="K199" s="33" t="s">
        <v>702</v>
      </c>
      <c r="L199" s="33" t="s">
        <v>39</v>
      </c>
      <c r="M199" s="34" t="s">
        <v>39</v>
      </c>
      <c r="N199" s="34" t="s">
        <v>1733</v>
      </c>
      <c r="O199" s="35">
        <v>1</v>
      </c>
      <c r="P199" s="35">
        <v>1</v>
      </c>
      <c r="Q199" s="32"/>
      <c r="S199" s="1">
        <f t="shared" si="101"/>
        <v>0</v>
      </c>
      <c r="T199" s="1">
        <f t="shared" si="102"/>
        <v>0</v>
      </c>
      <c r="U199" s="1">
        <f t="shared" si="103"/>
        <v>0</v>
      </c>
      <c r="V199" s="1">
        <f t="shared" si="104"/>
        <v>0</v>
      </c>
      <c r="W199" s="1">
        <f t="shared" si="105"/>
        <v>0</v>
      </c>
      <c r="X199" s="1">
        <f t="shared" si="106"/>
        <v>0</v>
      </c>
      <c r="Y199" s="1">
        <f t="shared" si="107"/>
        <v>0</v>
      </c>
      <c r="Z199" s="1">
        <f t="shared" si="108"/>
        <v>0</v>
      </c>
      <c r="AA199" s="1">
        <f t="shared" si="109"/>
        <v>0</v>
      </c>
      <c r="AB199" s="1">
        <f t="shared" si="110"/>
        <v>0</v>
      </c>
      <c r="AD199" s="1">
        <f t="shared" si="111"/>
        <v>1</v>
      </c>
      <c r="AE199" s="1">
        <f t="shared" si="112"/>
        <v>0</v>
      </c>
      <c r="AF199" s="1">
        <f t="shared" si="97"/>
        <v>1</v>
      </c>
      <c r="AG199" s="1">
        <f t="shared" si="98"/>
        <v>0</v>
      </c>
      <c r="AH199" s="1">
        <f t="shared" si="99"/>
        <v>1</v>
      </c>
      <c r="AI199" s="1">
        <f t="shared" si="100"/>
        <v>0</v>
      </c>
    </row>
    <row r="200" spans="1:35" s="1" customFormat="1" ht="14.25" customHeight="1" x14ac:dyDescent="0.25">
      <c r="A200" s="44">
        <v>0</v>
      </c>
      <c r="B200" s="44">
        <v>1</v>
      </c>
      <c r="C200" s="44">
        <v>5</v>
      </c>
      <c r="D200" s="45" t="s">
        <v>892</v>
      </c>
      <c r="E200" s="45" t="s">
        <v>893</v>
      </c>
      <c r="F200" s="45" t="s">
        <v>934</v>
      </c>
      <c r="G200" s="45" t="s">
        <v>39</v>
      </c>
      <c r="H200" s="45" t="s">
        <v>894</v>
      </c>
      <c r="I200" s="44" t="s">
        <v>895</v>
      </c>
      <c r="J200" s="44">
        <v>17</v>
      </c>
      <c r="K200" s="46" t="s">
        <v>703</v>
      </c>
      <c r="L200" s="46" t="s">
        <v>697</v>
      </c>
      <c r="M200" s="47" t="s">
        <v>970</v>
      </c>
      <c r="N200" s="47" t="s">
        <v>1741</v>
      </c>
      <c r="O200" s="48"/>
      <c r="P200" s="48"/>
      <c r="Q200" s="45"/>
      <c r="S200" s="1">
        <f t="shared" si="101"/>
        <v>0</v>
      </c>
      <c r="T200" s="1">
        <f t="shared" si="102"/>
        <v>0</v>
      </c>
      <c r="U200" s="1">
        <f t="shared" si="103"/>
        <v>0</v>
      </c>
      <c r="V200" s="1">
        <f t="shared" si="104"/>
        <v>0</v>
      </c>
      <c r="W200" s="1">
        <f t="shared" si="105"/>
        <v>0</v>
      </c>
      <c r="X200" s="1">
        <f t="shared" si="106"/>
        <v>0</v>
      </c>
      <c r="Y200" s="1">
        <f t="shared" si="107"/>
        <v>0</v>
      </c>
      <c r="Z200" s="1">
        <f t="shared" si="108"/>
        <v>0</v>
      </c>
      <c r="AA200" s="1">
        <f t="shared" si="109"/>
        <v>0</v>
      </c>
      <c r="AB200" s="1">
        <f t="shared" si="110"/>
        <v>0</v>
      </c>
      <c r="AD200" s="1">
        <f t="shared" si="111"/>
        <v>0</v>
      </c>
      <c r="AE200" s="1">
        <f t="shared" si="112"/>
        <v>0</v>
      </c>
      <c r="AF200" s="1">
        <f t="shared" si="97"/>
        <v>0</v>
      </c>
      <c r="AG200" s="1">
        <f t="shared" si="98"/>
        <v>0</v>
      </c>
      <c r="AH200" s="1">
        <f t="shared" si="99"/>
        <v>0</v>
      </c>
      <c r="AI200" s="1">
        <f t="shared" si="100"/>
        <v>1</v>
      </c>
    </row>
    <row r="201" spans="1:35" s="1" customFormat="1" ht="14.25" customHeight="1" x14ac:dyDescent="0.25">
      <c r="A201" s="15">
        <v>0</v>
      </c>
      <c r="B201" s="15">
        <v>1</v>
      </c>
      <c r="C201" s="15">
        <v>5</v>
      </c>
      <c r="D201" s="16" t="s">
        <v>1941</v>
      </c>
      <c r="E201" s="16" t="s">
        <v>893</v>
      </c>
      <c r="F201" s="16" t="s">
        <v>1943</v>
      </c>
      <c r="G201" s="16"/>
      <c r="H201" s="16" t="s">
        <v>1942</v>
      </c>
      <c r="I201" s="15" t="s">
        <v>1944</v>
      </c>
      <c r="J201" s="15">
        <v>16</v>
      </c>
      <c r="K201" s="10" t="s">
        <v>703</v>
      </c>
      <c r="L201" s="10" t="s">
        <v>697</v>
      </c>
      <c r="M201" s="19" t="s">
        <v>970</v>
      </c>
      <c r="N201" s="17"/>
      <c r="Q201" s="20" t="s">
        <v>1945</v>
      </c>
      <c r="S201" s="1">
        <f t="shared" si="101"/>
        <v>0</v>
      </c>
      <c r="T201" s="1">
        <f t="shared" si="102"/>
        <v>0</v>
      </c>
      <c r="U201" s="1">
        <f t="shared" si="103"/>
        <v>0</v>
      </c>
      <c r="V201" s="1">
        <f t="shared" si="104"/>
        <v>0</v>
      </c>
      <c r="W201" s="1">
        <f t="shared" si="105"/>
        <v>0</v>
      </c>
      <c r="X201" s="1">
        <f t="shared" si="106"/>
        <v>0</v>
      </c>
      <c r="Y201" s="1">
        <f t="shared" si="107"/>
        <v>0</v>
      </c>
      <c r="Z201" s="1">
        <f t="shared" si="108"/>
        <v>0</v>
      </c>
      <c r="AA201" s="1">
        <f t="shared" si="109"/>
        <v>0</v>
      </c>
      <c r="AB201" s="1">
        <f t="shared" si="110"/>
        <v>0</v>
      </c>
      <c r="AD201" s="1">
        <f t="shared" si="111"/>
        <v>0</v>
      </c>
      <c r="AE201" s="1">
        <f t="shared" si="112"/>
        <v>0</v>
      </c>
      <c r="AF201" s="1">
        <f t="shared" si="97"/>
        <v>0</v>
      </c>
      <c r="AG201" s="1">
        <f t="shared" si="98"/>
        <v>0</v>
      </c>
      <c r="AH201" s="1">
        <f t="shared" si="99"/>
        <v>0</v>
      </c>
      <c r="AI201" s="1">
        <f t="shared" si="100"/>
        <v>1</v>
      </c>
    </row>
    <row r="202" spans="1:35" s="1" customFormat="1" ht="14.25" customHeight="1" x14ac:dyDescent="0.25">
      <c r="A202" s="44">
        <v>0</v>
      </c>
      <c r="B202" s="44">
        <v>1</v>
      </c>
      <c r="C202" s="44">
        <v>5</v>
      </c>
      <c r="D202" s="45" t="s">
        <v>131</v>
      </c>
      <c r="E202" s="45" t="s">
        <v>166</v>
      </c>
      <c r="F202" s="45" t="s">
        <v>332</v>
      </c>
      <c r="G202" s="45" t="s">
        <v>333</v>
      </c>
      <c r="H202" s="45" t="s">
        <v>354</v>
      </c>
      <c r="I202" s="44" t="s">
        <v>480</v>
      </c>
      <c r="J202" s="44">
        <v>99</v>
      </c>
      <c r="K202" s="46" t="s">
        <v>722</v>
      </c>
      <c r="L202" s="46" t="s">
        <v>694</v>
      </c>
      <c r="M202" s="47" t="s">
        <v>970</v>
      </c>
      <c r="N202" s="47" t="s">
        <v>1747</v>
      </c>
      <c r="O202" s="48"/>
      <c r="P202" s="48"/>
      <c r="Q202" s="45"/>
      <c r="S202" s="1">
        <f t="shared" si="101"/>
        <v>0</v>
      </c>
      <c r="T202" s="1">
        <f t="shared" si="102"/>
        <v>0</v>
      </c>
      <c r="U202" s="1">
        <f t="shared" si="103"/>
        <v>0</v>
      </c>
      <c r="V202" s="1">
        <f t="shared" si="104"/>
        <v>0</v>
      </c>
      <c r="W202" s="1">
        <f t="shared" si="105"/>
        <v>0</v>
      </c>
      <c r="X202" s="1">
        <f t="shared" si="106"/>
        <v>0</v>
      </c>
      <c r="Y202" s="1">
        <f t="shared" si="107"/>
        <v>0</v>
      </c>
      <c r="Z202" s="1">
        <f t="shared" si="108"/>
        <v>0</v>
      </c>
      <c r="AA202" s="1">
        <f t="shared" si="109"/>
        <v>0</v>
      </c>
      <c r="AB202" s="1">
        <f t="shared" si="110"/>
        <v>0</v>
      </c>
      <c r="AD202" s="1">
        <f t="shared" si="111"/>
        <v>0</v>
      </c>
      <c r="AE202" s="1">
        <f t="shared" si="112"/>
        <v>0</v>
      </c>
      <c r="AF202" s="1">
        <f t="shared" si="97"/>
        <v>0</v>
      </c>
      <c r="AG202" s="1">
        <f t="shared" si="98"/>
        <v>0</v>
      </c>
      <c r="AH202" s="1">
        <f t="shared" si="99"/>
        <v>0</v>
      </c>
      <c r="AI202" s="1">
        <f t="shared" si="100"/>
        <v>1</v>
      </c>
    </row>
    <row r="203" spans="1:35" s="1" customFormat="1" ht="14.25" customHeight="1" x14ac:dyDescent="0.25">
      <c r="A203" s="31">
        <v>0</v>
      </c>
      <c r="B203" s="31">
        <v>1</v>
      </c>
      <c r="C203" s="31">
        <v>5</v>
      </c>
      <c r="D203" s="32" t="s">
        <v>109</v>
      </c>
      <c r="E203" s="32" t="s">
        <v>166</v>
      </c>
      <c r="F203" s="32" t="s">
        <v>307</v>
      </c>
      <c r="G203" s="32" t="s">
        <v>231</v>
      </c>
      <c r="H203" s="32" t="s">
        <v>354</v>
      </c>
      <c r="I203" s="31" t="s">
        <v>456</v>
      </c>
      <c r="J203" s="31">
        <v>99</v>
      </c>
      <c r="K203" s="33" t="s">
        <v>722</v>
      </c>
      <c r="L203" s="33" t="s">
        <v>696</v>
      </c>
      <c r="M203" s="34" t="s">
        <v>691</v>
      </c>
      <c r="N203" s="34" t="s">
        <v>1743</v>
      </c>
      <c r="O203" s="35">
        <v>1</v>
      </c>
      <c r="P203" s="35"/>
      <c r="Q203" s="32"/>
      <c r="S203" s="1">
        <f t="shared" si="101"/>
        <v>0</v>
      </c>
      <c r="T203" s="1">
        <f t="shared" si="102"/>
        <v>0</v>
      </c>
      <c r="U203" s="1">
        <f t="shared" si="103"/>
        <v>0</v>
      </c>
      <c r="V203" s="1">
        <f t="shared" si="104"/>
        <v>0</v>
      </c>
      <c r="W203" s="1">
        <f t="shared" si="105"/>
        <v>0</v>
      </c>
      <c r="X203" s="1">
        <f t="shared" si="106"/>
        <v>0</v>
      </c>
      <c r="Y203" s="1">
        <f t="shared" si="107"/>
        <v>0</v>
      </c>
      <c r="Z203" s="1">
        <f t="shared" si="108"/>
        <v>0</v>
      </c>
      <c r="AA203" s="1">
        <f t="shared" si="109"/>
        <v>0</v>
      </c>
      <c r="AB203" s="1">
        <f t="shared" si="110"/>
        <v>0</v>
      </c>
      <c r="AD203" s="1">
        <f t="shared" si="111"/>
        <v>0</v>
      </c>
      <c r="AE203" s="1">
        <f t="shared" si="112"/>
        <v>1</v>
      </c>
      <c r="AF203" s="1">
        <f t="shared" si="97"/>
        <v>0</v>
      </c>
      <c r="AG203" s="1">
        <f t="shared" si="98"/>
        <v>1</v>
      </c>
      <c r="AH203" s="1">
        <f t="shared" si="99"/>
        <v>0</v>
      </c>
      <c r="AI203" s="1">
        <f t="shared" si="100"/>
        <v>1</v>
      </c>
    </row>
    <row r="204" spans="1:35" s="1" customFormat="1" ht="14.25" customHeight="1" x14ac:dyDescent="0.25">
      <c r="A204" s="15">
        <v>0</v>
      </c>
      <c r="B204" s="15">
        <v>1</v>
      </c>
      <c r="C204" s="15">
        <v>5</v>
      </c>
      <c r="D204" s="16" t="s">
        <v>111</v>
      </c>
      <c r="E204" s="16" t="s">
        <v>172</v>
      </c>
      <c r="F204" s="16" t="s">
        <v>310</v>
      </c>
      <c r="G204" s="16" t="s">
        <v>39</v>
      </c>
      <c r="H204" s="16" t="s">
        <v>364</v>
      </c>
      <c r="I204" s="15" t="s">
        <v>459</v>
      </c>
      <c r="J204" s="15">
        <v>17</v>
      </c>
      <c r="K204" s="10" t="s">
        <v>703</v>
      </c>
      <c r="L204" s="10" t="s">
        <v>697</v>
      </c>
      <c r="M204" s="19" t="s">
        <v>691</v>
      </c>
      <c r="N204" s="17"/>
      <c r="Q204" s="20" t="s">
        <v>1915</v>
      </c>
      <c r="S204" s="1">
        <f t="shared" si="101"/>
        <v>0</v>
      </c>
      <c r="T204" s="1">
        <f t="shared" si="102"/>
        <v>0</v>
      </c>
      <c r="U204" s="1">
        <f t="shared" si="103"/>
        <v>0</v>
      </c>
      <c r="V204" s="1">
        <f t="shared" si="104"/>
        <v>0</v>
      </c>
      <c r="W204" s="1">
        <f t="shared" si="105"/>
        <v>0</v>
      </c>
      <c r="X204" s="1">
        <f t="shared" si="106"/>
        <v>0</v>
      </c>
      <c r="Y204" s="1">
        <f t="shared" si="107"/>
        <v>0</v>
      </c>
      <c r="Z204" s="1">
        <f t="shared" si="108"/>
        <v>0</v>
      </c>
      <c r="AA204" s="1">
        <f t="shared" si="109"/>
        <v>0</v>
      </c>
      <c r="AB204" s="1">
        <f t="shared" si="110"/>
        <v>0</v>
      </c>
      <c r="AD204" s="1">
        <f t="shared" si="111"/>
        <v>0</v>
      </c>
      <c r="AE204" s="1">
        <f t="shared" si="112"/>
        <v>0</v>
      </c>
      <c r="AF204" s="1">
        <f t="shared" si="97"/>
        <v>0</v>
      </c>
      <c r="AG204" s="1">
        <f t="shared" si="98"/>
        <v>0</v>
      </c>
      <c r="AH204" s="1">
        <f t="shared" si="99"/>
        <v>0</v>
      </c>
      <c r="AI204" s="1">
        <f t="shared" si="100"/>
        <v>1</v>
      </c>
    </row>
    <row r="205" spans="1:35" s="1" customFormat="1" ht="14.25" customHeight="1" x14ac:dyDescent="0.25">
      <c r="A205" s="31">
        <v>0</v>
      </c>
      <c r="B205" s="31">
        <v>1</v>
      </c>
      <c r="C205" s="31">
        <v>5</v>
      </c>
      <c r="D205" s="32" t="s">
        <v>525</v>
      </c>
      <c r="E205" s="32" t="s">
        <v>526</v>
      </c>
      <c r="F205" s="32" t="s">
        <v>527</v>
      </c>
      <c r="G205" s="32" t="s">
        <v>202</v>
      </c>
      <c r="H205" s="32" t="s">
        <v>354</v>
      </c>
      <c r="I205" s="31" t="s">
        <v>528</v>
      </c>
      <c r="J205" s="31">
        <v>10</v>
      </c>
      <c r="K205" s="33" t="s">
        <v>702</v>
      </c>
      <c r="L205" s="33" t="s">
        <v>693</v>
      </c>
      <c r="M205" s="34" t="s">
        <v>970</v>
      </c>
      <c r="N205" s="34" t="s">
        <v>1733</v>
      </c>
      <c r="O205" s="35">
        <v>1</v>
      </c>
      <c r="P205" s="35">
        <v>1</v>
      </c>
      <c r="Q205" s="32"/>
      <c r="S205" s="1">
        <f t="shared" si="101"/>
        <v>0</v>
      </c>
      <c r="T205" s="1">
        <f t="shared" si="102"/>
        <v>0</v>
      </c>
      <c r="U205" s="1">
        <f t="shared" si="103"/>
        <v>0</v>
      </c>
      <c r="V205" s="1">
        <f t="shared" si="104"/>
        <v>0</v>
      </c>
      <c r="W205" s="1">
        <f t="shared" si="105"/>
        <v>0</v>
      </c>
      <c r="X205" s="1">
        <f t="shared" si="106"/>
        <v>0</v>
      </c>
      <c r="Y205" s="1">
        <f t="shared" si="107"/>
        <v>0</v>
      </c>
      <c r="Z205" s="1">
        <f t="shared" si="108"/>
        <v>0</v>
      </c>
      <c r="AA205" s="1">
        <f t="shared" si="109"/>
        <v>0</v>
      </c>
      <c r="AB205" s="1">
        <f t="shared" si="110"/>
        <v>1</v>
      </c>
      <c r="AD205" s="1">
        <f t="shared" si="111"/>
        <v>1</v>
      </c>
      <c r="AE205" s="1">
        <f t="shared" si="112"/>
        <v>0</v>
      </c>
      <c r="AF205" s="1">
        <f t="shared" ref="AF205:AF270" si="135">+O205*P205*(1-A205)</f>
        <v>1</v>
      </c>
      <c r="AG205" s="1">
        <f t="shared" ref="AG205:AG270" si="136">O205*(1-P205)*(1-A205)</f>
        <v>0</v>
      </c>
      <c r="AH205" s="1">
        <f t="shared" ref="AH205:AH270" si="137">+P205*(1-A205)</f>
        <v>1</v>
      </c>
      <c r="AI205" s="1">
        <f t="shared" ref="AI205:AI270" si="138">+(1-A205)*(1-P205)</f>
        <v>0</v>
      </c>
    </row>
    <row r="206" spans="1:35" s="1" customFormat="1" ht="14.25" customHeight="1" x14ac:dyDescent="0.25">
      <c r="A206" s="31">
        <v>0</v>
      </c>
      <c r="B206" s="31">
        <v>1</v>
      </c>
      <c r="C206" s="31">
        <v>5</v>
      </c>
      <c r="D206" s="32" t="s">
        <v>1499</v>
      </c>
      <c r="E206" s="32" t="s">
        <v>166</v>
      </c>
      <c r="F206" s="32" t="s">
        <v>1500</v>
      </c>
      <c r="G206" s="32" t="s">
        <v>180</v>
      </c>
      <c r="H206" s="32" t="s">
        <v>354</v>
      </c>
      <c r="I206" s="31" t="s">
        <v>1501</v>
      </c>
      <c r="J206" s="31">
        <v>10</v>
      </c>
      <c r="K206" s="33" t="s">
        <v>956</v>
      </c>
      <c r="L206" s="33" t="s">
        <v>693</v>
      </c>
      <c r="M206" s="34" t="s">
        <v>970</v>
      </c>
      <c r="N206" s="34" t="s">
        <v>1727</v>
      </c>
      <c r="O206" s="35">
        <v>1</v>
      </c>
      <c r="P206" s="35">
        <v>1</v>
      </c>
      <c r="Q206" s="32"/>
      <c r="S206" s="1">
        <f t="shared" si="101"/>
        <v>0</v>
      </c>
      <c r="T206" s="1">
        <f t="shared" si="102"/>
        <v>0</v>
      </c>
      <c r="U206" s="1">
        <f t="shared" si="103"/>
        <v>0</v>
      </c>
      <c r="V206" s="1">
        <f t="shared" si="104"/>
        <v>0</v>
      </c>
      <c r="W206" s="1">
        <f t="shared" si="105"/>
        <v>0</v>
      </c>
      <c r="X206" s="1">
        <f t="shared" si="106"/>
        <v>0</v>
      </c>
      <c r="Y206" s="1">
        <f t="shared" si="107"/>
        <v>0</v>
      </c>
      <c r="Z206" s="1">
        <f t="shared" si="108"/>
        <v>0</v>
      </c>
      <c r="AA206" s="1">
        <f t="shared" si="109"/>
        <v>0</v>
      </c>
      <c r="AB206" s="1">
        <f t="shared" si="110"/>
        <v>1</v>
      </c>
      <c r="AD206" s="1">
        <f t="shared" si="111"/>
        <v>1</v>
      </c>
      <c r="AE206" s="1">
        <f t="shared" si="112"/>
        <v>0</v>
      </c>
      <c r="AF206" s="1">
        <f t="shared" si="135"/>
        <v>1</v>
      </c>
      <c r="AG206" s="1">
        <f t="shared" si="136"/>
        <v>0</v>
      </c>
      <c r="AH206" s="1">
        <f t="shared" si="137"/>
        <v>1</v>
      </c>
      <c r="AI206" s="1">
        <f t="shared" si="138"/>
        <v>0</v>
      </c>
    </row>
    <row r="207" spans="1:35" s="1" customFormat="1" ht="14.25" customHeight="1" x14ac:dyDescent="0.25">
      <c r="A207" s="31">
        <v>0</v>
      </c>
      <c r="B207" s="31">
        <v>1</v>
      </c>
      <c r="C207" s="31">
        <v>5</v>
      </c>
      <c r="D207" s="32" t="s">
        <v>1757</v>
      </c>
      <c r="E207" s="32" t="s">
        <v>166</v>
      </c>
      <c r="F207" s="32" t="s">
        <v>1758</v>
      </c>
      <c r="G207" s="32" t="s">
        <v>1759</v>
      </c>
      <c r="H207" s="32" t="s">
        <v>354</v>
      </c>
      <c r="I207" s="31" t="s">
        <v>1760</v>
      </c>
      <c r="J207" s="31">
        <v>1</v>
      </c>
      <c r="K207" s="33" t="s">
        <v>703</v>
      </c>
      <c r="L207" s="33"/>
      <c r="M207" s="34"/>
      <c r="N207" s="34" t="s">
        <v>1748</v>
      </c>
      <c r="O207" s="35">
        <v>1</v>
      </c>
      <c r="P207" s="35"/>
      <c r="Q207" s="32"/>
      <c r="S207" s="1">
        <f t="shared" si="101"/>
        <v>1</v>
      </c>
      <c r="T207" s="1">
        <f t="shared" si="102"/>
        <v>0</v>
      </c>
      <c r="U207" s="1">
        <f t="shared" si="103"/>
        <v>0</v>
      </c>
      <c r="V207" s="1">
        <f t="shared" si="104"/>
        <v>0</v>
      </c>
      <c r="W207" s="1">
        <f t="shared" si="105"/>
        <v>0</v>
      </c>
      <c r="X207" s="1">
        <f t="shared" si="106"/>
        <v>0</v>
      </c>
      <c r="Y207" s="1">
        <f t="shared" si="107"/>
        <v>0</v>
      </c>
      <c r="Z207" s="1">
        <f t="shared" si="108"/>
        <v>0</v>
      </c>
      <c r="AA207" s="1">
        <f t="shared" si="109"/>
        <v>0</v>
      </c>
      <c r="AB207" s="1">
        <f t="shared" si="110"/>
        <v>0</v>
      </c>
      <c r="AD207" s="1">
        <f t="shared" si="111"/>
        <v>0</v>
      </c>
      <c r="AE207" s="1">
        <f t="shared" si="112"/>
        <v>1</v>
      </c>
      <c r="AF207" s="1">
        <f t="shared" si="135"/>
        <v>0</v>
      </c>
      <c r="AG207" s="1">
        <f t="shared" si="136"/>
        <v>1</v>
      </c>
      <c r="AH207" s="1">
        <f t="shared" si="137"/>
        <v>0</v>
      </c>
      <c r="AI207" s="1">
        <f t="shared" si="138"/>
        <v>1</v>
      </c>
    </row>
    <row r="208" spans="1:35" s="1" customFormat="1" ht="14.25" customHeight="1" x14ac:dyDescent="0.25">
      <c r="A208" s="44">
        <v>0</v>
      </c>
      <c r="B208" s="44">
        <v>1</v>
      </c>
      <c r="C208" s="44">
        <v>5</v>
      </c>
      <c r="D208" s="45" t="s">
        <v>1026</v>
      </c>
      <c r="E208" s="45" t="s">
        <v>1087</v>
      </c>
      <c r="F208" s="45" t="s">
        <v>1027</v>
      </c>
      <c r="G208" s="45" t="s">
        <v>194</v>
      </c>
      <c r="H208" s="45" t="s">
        <v>354</v>
      </c>
      <c r="I208" s="44" t="s">
        <v>1028</v>
      </c>
      <c r="J208" s="44">
        <v>9</v>
      </c>
      <c r="K208" s="46" t="s">
        <v>722</v>
      </c>
      <c r="L208" s="46" t="s">
        <v>1704</v>
      </c>
      <c r="M208" s="47" t="s">
        <v>1604</v>
      </c>
      <c r="N208" s="47" t="s">
        <v>1735</v>
      </c>
      <c r="O208" s="48"/>
      <c r="P208" s="48"/>
      <c r="Q208" s="45"/>
      <c r="S208" s="1">
        <f t="shared" si="101"/>
        <v>0</v>
      </c>
      <c r="T208" s="1">
        <f t="shared" si="102"/>
        <v>0</v>
      </c>
      <c r="U208" s="1">
        <f t="shared" si="103"/>
        <v>0</v>
      </c>
      <c r="V208" s="1">
        <f t="shared" si="104"/>
        <v>0</v>
      </c>
      <c r="W208" s="1">
        <f t="shared" si="105"/>
        <v>0</v>
      </c>
      <c r="X208" s="1">
        <f t="shared" si="106"/>
        <v>0</v>
      </c>
      <c r="Y208" s="1">
        <f t="shared" si="107"/>
        <v>0</v>
      </c>
      <c r="Z208" s="1">
        <f t="shared" si="108"/>
        <v>0</v>
      </c>
      <c r="AA208" s="1">
        <f t="shared" si="109"/>
        <v>1</v>
      </c>
      <c r="AB208" s="1">
        <f t="shared" si="110"/>
        <v>0</v>
      </c>
      <c r="AD208" s="1">
        <f t="shared" si="111"/>
        <v>0</v>
      </c>
      <c r="AE208" s="1">
        <f t="shared" si="112"/>
        <v>0</v>
      </c>
      <c r="AF208" s="1">
        <f t="shared" si="135"/>
        <v>0</v>
      </c>
      <c r="AG208" s="1">
        <f t="shared" si="136"/>
        <v>0</v>
      </c>
      <c r="AH208" s="1">
        <f t="shared" si="137"/>
        <v>0</v>
      </c>
      <c r="AI208" s="1">
        <f t="shared" si="138"/>
        <v>1</v>
      </c>
    </row>
    <row r="209" spans="1:35" s="1" customFormat="1" ht="14.25" customHeight="1" x14ac:dyDescent="0.25">
      <c r="A209" s="44">
        <v>0</v>
      </c>
      <c r="B209" s="44">
        <v>1</v>
      </c>
      <c r="C209" s="44">
        <v>5</v>
      </c>
      <c r="D209" s="45" t="s">
        <v>1614</v>
      </c>
      <c r="E209" s="45" t="s">
        <v>166</v>
      </c>
      <c r="F209" s="45" t="s">
        <v>1615</v>
      </c>
      <c r="G209" s="45" t="s">
        <v>213</v>
      </c>
      <c r="H209" s="45" t="s">
        <v>354</v>
      </c>
      <c r="I209" s="44" t="s">
        <v>1616</v>
      </c>
      <c r="J209" s="44">
        <v>1</v>
      </c>
      <c r="K209" s="46" t="s">
        <v>722</v>
      </c>
      <c r="L209" s="46" t="s">
        <v>694</v>
      </c>
      <c r="M209" s="47" t="s">
        <v>970</v>
      </c>
      <c r="N209" s="47" t="s">
        <v>1736</v>
      </c>
      <c r="O209" s="48"/>
      <c r="P209" s="48"/>
      <c r="Q209" s="45"/>
      <c r="S209" s="1">
        <f t="shared" si="101"/>
        <v>1</v>
      </c>
      <c r="T209" s="1">
        <f t="shared" si="102"/>
        <v>0</v>
      </c>
      <c r="U209" s="1">
        <f t="shared" si="103"/>
        <v>0</v>
      </c>
      <c r="V209" s="1">
        <f t="shared" si="104"/>
        <v>0</v>
      </c>
      <c r="W209" s="1">
        <f t="shared" si="105"/>
        <v>0</v>
      </c>
      <c r="X209" s="1">
        <f t="shared" si="106"/>
        <v>0</v>
      </c>
      <c r="Y209" s="1">
        <f t="shared" si="107"/>
        <v>0</v>
      </c>
      <c r="Z209" s="1">
        <f t="shared" si="108"/>
        <v>0</v>
      </c>
      <c r="AA209" s="1">
        <f t="shared" si="109"/>
        <v>0</v>
      </c>
      <c r="AB209" s="1">
        <f t="shared" si="110"/>
        <v>0</v>
      </c>
      <c r="AD209" s="1">
        <f t="shared" si="111"/>
        <v>0</v>
      </c>
      <c r="AE209" s="1">
        <f t="shared" si="112"/>
        <v>0</v>
      </c>
      <c r="AF209" s="1">
        <f t="shared" si="135"/>
        <v>0</v>
      </c>
      <c r="AG209" s="1">
        <f t="shared" si="136"/>
        <v>0</v>
      </c>
      <c r="AH209" s="1">
        <f t="shared" si="137"/>
        <v>0</v>
      </c>
      <c r="AI209" s="1">
        <f t="shared" si="138"/>
        <v>1</v>
      </c>
    </row>
    <row r="210" spans="1:35" s="1" customFormat="1" ht="14.25" customHeight="1" x14ac:dyDescent="0.25">
      <c r="A210" s="38">
        <v>0</v>
      </c>
      <c r="B210" s="38">
        <v>1</v>
      </c>
      <c r="C210" s="38">
        <v>5</v>
      </c>
      <c r="D210" s="39" t="s">
        <v>147</v>
      </c>
      <c r="E210" s="39" t="s">
        <v>545</v>
      </c>
      <c r="F210" s="39" t="s">
        <v>1599</v>
      </c>
      <c r="G210" s="39" t="s">
        <v>1673</v>
      </c>
      <c r="H210" s="39" t="s">
        <v>354</v>
      </c>
      <c r="I210" s="38" t="s">
        <v>494</v>
      </c>
      <c r="J210" s="38">
        <v>99</v>
      </c>
      <c r="K210" s="40" t="s">
        <v>702</v>
      </c>
      <c r="L210" s="40" t="s">
        <v>689</v>
      </c>
      <c r="M210" s="41" t="s">
        <v>970</v>
      </c>
      <c r="N210" s="42"/>
      <c r="O210" s="43"/>
      <c r="P210" s="43">
        <v>1</v>
      </c>
      <c r="Q210" s="39"/>
      <c r="S210" s="1">
        <f t="shared" ref="S210:S274" si="139">IF(J210=$S$7,1,0)</f>
        <v>0</v>
      </c>
      <c r="T210" s="1">
        <f t="shared" ref="T210:T274" si="140">IF(J210=$T$7,1,0)</f>
        <v>0</v>
      </c>
      <c r="U210" s="1">
        <f t="shared" ref="U210:U274" si="141">IF(J210=$U$7,1,0)</f>
        <v>0</v>
      </c>
      <c r="V210" s="1">
        <f t="shared" ref="V210:V274" si="142">IF(J210=$V$7,1,0)</f>
        <v>0</v>
      </c>
      <c r="W210" s="1">
        <f t="shared" ref="W210:W274" si="143">IF(J210=$W$7,1,0)</f>
        <v>0</v>
      </c>
      <c r="X210" s="1">
        <f t="shared" ref="X210:X274" si="144">IF(J210=$X$7,1,0)</f>
        <v>0</v>
      </c>
      <c r="Y210" s="1">
        <f t="shared" ref="Y210:Y274" si="145">IF(J210=$Y$7,1,0)</f>
        <v>0</v>
      </c>
      <c r="Z210" s="1">
        <f t="shared" ref="Z210:Z274" si="146">IF(J210=$Z$7,1,0)</f>
        <v>0</v>
      </c>
      <c r="AA210" s="1">
        <f t="shared" ref="AA210:AA274" si="147">IF(J210=$AA$7,1,0)</f>
        <v>0</v>
      </c>
      <c r="AB210" s="1">
        <f t="shared" ref="AB210:AB274" si="148">IF(J210=$AB$7,1,0)</f>
        <v>0</v>
      </c>
      <c r="AD210" s="1">
        <f t="shared" ref="AD210:AD274" si="149">+O210*P210</f>
        <v>0</v>
      </c>
      <c r="AE210" s="1">
        <f t="shared" ref="AE210:AE274" si="150">O210*(1-P210)</f>
        <v>0</v>
      </c>
      <c r="AF210" s="1">
        <f t="shared" si="135"/>
        <v>0</v>
      </c>
      <c r="AG210" s="1">
        <f t="shared" si="136"/>
        <v>0</v>
      </c>
      <c r="AH210" s="1">
        <f t="shared" si="137"/>
        <v>1</v>
      </c>
      <c r="AI210" s="1">
        <f t="shared" si="138"/>
        <v>0</v>
      </c>
    </row>
    <row r="211" spans="1:35" s="1" customFormat="1" ht="14.25" customHeight="1" x14ac:dyDescent="0.25">
      <c r="A211" s="15">
        <v>0</v>
      </c>
      <c r="B211" s="15">
        <v>1</v>
      </c>
      <c r="C211" s="15">
        <v>5</v>
      </c>
      <c r="D211" s="16" t="s">
        <v>1212</v>
      </c>
      <c r="E211" s="16" t="s">
        <v>166</v>
      </c>
      <c r="F211" s="16" t="s">
        <v>1213</v>
      </c>
      <c r="G211" s="16" t="s">
        <v>1214</v>
      </c>
      <c r="H211" s="16" t="s">
        <v>354</v>
      </c>
      <c r="I211" s="15" t="s">
        <v>1215</v>
      </c>
      <c r="J211" s="15">
        <v>99</v>
      </c>
      <c r="K211" s="10" t="s">
        <v>703</v>
      </c>
      <c r="L211" s="10">
        <v>30</v>
      </c>
      <c r="M211" s="19" t="s">
        <v>970</v>
      </c>
      <c r="N211" s="19"/>
      <c r="Q211" s="16"/>
      <c r="S211" s="1">
        <f t="shared" si="139"/>
        <v>0</v>
      </c>
      <c r="T211" s="1">
        <f t="shared" si="140"/>
        <v>0</v>
      </c>
      <c r="U211" s="1">
        <f t="shared" si="141"/>
        <v>0</v>
      </c>
      <c r="V211" s="1">
        <f t="shared" si="142"/>
        <v>0</v>
      </c>
      <c r="W211" s="1">
        <f t="shared" si="143"/>
        <v>0</v>
      </c>
      <c r="X211" s="1">
        <f t="shared" si="144"/>
        <v>0</v>
      </c>
      <c r="Y211" s="1">
        <f t="shared" si="145"/>
        <v>0</v>
      </c>
      <c r="Z211" s="1">
        <f t="shared" si="146"/>
        <v>0</v>
      </c>
      <c r="AA211" s="1">
        <f t="shared" si="147"/>
        <v>0</v>
      </c>
      <c r="AB211" s="1">
        <f t="shared" si="148"/>
        <v>0</v>
      </c>
      <c r="AD211" s="1">
        <f t="shared" si="149"/>
        <v>0</v>
      </c>
      <c r="AE211" s="1">
        <f t="shared" si="150"/>
        <v>0</v>
      </c>
      <c r="AF211" s="1">
        <f t="shared" si="135"/>
        <v>0</v>
      </c>
      <c r="AG211" s="1">
        <f t="shared" si="136"/>
        <v>0</v>
      </c>
      <c r="AH211" s="1">
        <f t="shared" si="137"/>
        <v>0</v>
      </c>
      <c r="AI211" s="1">
        <f t="shared" si="138"/>
        <v>1</v>
      </c>
    </row>
    <row r="212" spans="1:35" s="1" customFormat="1" ht="14.25" customHeight="1" x14ac:dyDescent="0.25">
      <c r="A212" s="31">
        <v>0</v>
      </c>
      <c r="B212" s="31">
        <v>1</v>
      </c>
      <c r="C212" s="31">
        <v>5</v>
      </c>
      <c r="D212" s="32" t="s">
        <v>1600</v>
      </c>
      <c r="E212" s="32" t="s">
        <v>172</v>
      </c>
      <c r="F212" s="32" t="s">
        <v>808</v>
      </c>
      <c r="G212" s="32" t="s">
        <v>39</v>
      </c>
      <c r="H212" s="32" t="s">
        <v>809</v>
      </c>
      <c r="I212" s="31" t="s">
        <v>810</v>
      </c>
      <c r="J212" s="31">
        <v>16</v>
      </c>
      <c r="K212" s="33" t="s">
        <v>957</v>
      </c>
      <c r="L212" s="33" t="s">
        <v>1742</v>
      </c>
      <c r="M212" s="34" t="s">
        <v>970</v>
      </c>
      <c r="N212" s="34" t="s">
        <v>1748</v>
      </c>
      <c r="O212" s="35">
        <v>1</v>
      </c>
      <c r="P212" s="35"/>
      <c r="Q212" s="32"/>
      <c r="S212" s="1">
        <f t="shared" si="139"/>
        <v>0</v>
      </c>
      <c r="T212" s="1">
        <f t="shared" si="140"/>
        <v>0</v>
      </c>
      <c r="U212" s="1">
        <f t="shared" si="141"/>
        <v>0</v>
      </c>
      <c r="V212" s="1">
        <f t="shared" si="142"/>
        <v>0</v>
      </c>
      <c r="W212" s="1">
        <f t="shared" si="143"/>
        <v>0</v>
      </c>
      <c r="X212" s="1">
        <f t="shared" si="144"/>
        <v>0</v>
      </c>
      <c r="Y212" s="1">
        <f t="shared" si="145"/>
        <v>0</v>
      </c>
      <c r="Z212" s="1">
        <f t="shared" si="146"/>
        <v>0</v>
      </c>
      <c r="AA212" s="1">
        <f t="shared" si="147"/>
        <v>0</v>
      </c>
      <c r="AB212" s="1">
        <f t="shared" si="148"/>
        <v>0</v>
      </c>
      <c r="AD212" s="1">
        <f t="shared" si="149"/>
        <v>0</v>
      </c>
      <c r="AE212" s="1">
        <f t="shared" si="150"/>
        <v>1</v>
      </c>
      <c r="AF212" s="1">
        <f t="shared" si="135"/>
        <v>0</v>
      </c>
      <c r="AG212" s="1">
        <f t="shared" si="136"/>
        <v>1</v>
      </c>
      <c r="AH212" s="1">
        <f t="shared" si="137"/>
        <v>0</v>
      </c>
      <c r="AI212" s="1">
        <f t="shared" si="138"/>
        <v>1</v>
      </c>
    </row>
    <row r="213" spans="1:35" s="1" customFormat="1" ht="14.25" customHeight="1" x14ac:dyDescent="0.25">
      <c r="A213" s="31">
        <v>0</v>
      </c>
      <c r="B213" s="31">
        <v>1</v>
      </c>
      <c r="C213" s="31">
        <v>5</v>
      </c>
      <c r="D213" s="32" t="s">
        <v>502</v>
      </c>
      <c r="E213" s="32" t="s">
        <v>166</v>
      </c>
      <c r="F213" s="32" t="s">
        <v>503</v>
      </c>
      <c r="G213" s="32" t="s">
        <v>504</v>
      </c>
      <c r="H213" s="32" t="s">
        <v>354</v>
      </c>
      <c r="I213" s="31" t="s">
        <v>505</v>
      </c>
      <c r="J213" s="31">
        <v>99</v>
      </c>
      <c r="K213" s="33" t="s">
        <v>957</v>
      </c>
      <c r="L213" s="33" t="s">
        <v>694</v>
      </c>
      <c r="M213" s="34" t="s">
        <v>691</v>
      </c>
      <c r="N213" s="34" t="s">
        <v>1727</v>
      </c>
      <c r="O213" s="35">
        <v>1</v>
      </c>
      <c r="P213" s="35">
        <v>1</v>
      </c>
      <c r="Q213" s="32"/>
      <c r="S213" s="1">
        <f t="shared" si="139"/>
        <v>0</v>
      </c>
      <c r="T213" s="1">
        <f t="shared" si="140"/>
        <v>0</v>
      </c>
      <c r="U213" s="1">
        <f t="shared" si="141"/>
        <v>0</v>
      </c>
      <c r="V213" s="1">
        <f t="shared" si="142"/>
        <v>0</v>
      </c>
      <c r="W213" s="1">
        <f t="shared" si="143"/>
        <v>0</v>
      </c>
      <c r="X213" s="1">
        <f t="shared" si="144"/>
        <v>0</v>
      </c>
      <c r="Y213" s="1">
        <f t="shared" si="145"/>
        <v>0</v>
      </c>
      <c r="Z213" s="1">
        <f t="shared" si="146"/>
        <v>0</v>
      </c>
      <c r="AA213" s="1">
        <f t="shared" si="147"/>
        <v>0</v>
      </c>
      <c r="AB213" s="1">
        <f t="shared" si="148"/>
        <v>0</v>
      </c>
      <c r="AD213" s="1">
        <f t="shared" si="149"/>
        <v>1</v>
      </c>
      <c r="AE213" s="1">
        <f t="shared" si="150"/>
        <v>0</v>
      </c>
      <c r="AF213" s="1">
        <f t="shared" si="135"/>
        <v>1</v>
      </c>
      <c r="AG213" s="1">
        <f t="shared" si="136"/>
        <v>0</v>
      </c>
      <c r="AH213" s="1">
        <f t="shared" si="137"/>
        <v>1</v>
      </c>
      <c r="AI213" s="1">
        <f t="shared" si="138"/>
        <v>0</v>
      </c>
    </row>
    <row r="214" spans="1:35" s="1" customFormat="1" ht="14.25" customHeight="1" x14ac:dyDescent="0.25">
      <c r="A214" s="31">
        <v>0</v>
      </c>
      <c r="B214" s="31">
        <v>1</v>
      </c>
      <c r="C214" s="31">
        <v>6</v>
      </c>
      <c r="D214" s="32" t="s">
        <v>1450</v>
      </c>
      <c r="E214" s="32" t="s">
        <v>167</v>
      </c>
      <c r="F214" s="32" t="s">
        <v>1451</v>
      </c>
      <c r="G214" s="32" t="s">
        <v>179</v>
      </c>
      <c r="H214" s="32" t="s">
        <v>354</v>
      </c>
      <c r="I214" s="31" t="s">
        <v>1452</v>
      </c>
      <c r="J214" s="31">
        <v>99</v>
      </c>
      <c r="K214" s="33" t="s">
        <v>956</v>
      </c>
      <c r="L214" s="33" t="s">
        <v>696</v>
      </c>
      <c r="M214" s="34" t="s">
        <v>1453</v>
      </c>
      <c r="N214" s="34" t="s">
        <v>1749</v>
      </c>
      <c r="O214" s="35">
        <v>1</v>
      </c>
      <c r="P214" s="35"/>
      <c r="Q214" s="36"/>
      <c r="S214" s="1">
        <f t="shared" si="139"/>
        <v>0</v>
      </c>
      <c r="T214" s="1">
        <f t="shared" si="140"/>
        <v>0</v>
      </c>
      <c r="U214" s="1">
        <f t="shared" si="141"/>
        <v>0</v>
      </c>
      <c r="V214" s="1">
        <f t="shared" si="142"/>
        <v>0</v>
      </c>
      <c r="W214" s="1">
        <f t="shared" si="143"/>
        <v>0</v>
      </c>
      <c r="X214" s="1">
        <f t="shared" si="144"/>
        <v>0</v>
      </c>
      <c r="Y214" s="1">
        <f t="shared" si="145"/>
        <v>0</v>
      </c>
      <c r="Z214" s="1">
        <f t="shared" si="146"/>
        <v>0</v>
      </c>
      <c r="AA214" s="1">
        <f t="shared" si="147"/>
        <v>0</v>
      </c>
      <c r="AB214" s="1">
        <f t="shared" si="148"/>
        <v>0</v>
      </c>
      <c r="AD214" s="1">
        <f t="shared" si="149"/>
        <v>0</v>
      </c>
      <c r="AE214" s="1">
        <f t="shared" si="150"/>
        <v>1</v>
      </c>
      <c r="AF214" s="1">
        <f t="shared" si="135"/>
        <v>0</v>
      </c>
      <c r="AG214" s="1">
        <f t="shared" si="136"/>
        <v>1</v>
      </c>
      <c r="AH214" s="1">
        <f t="shared" si="137"/>
        <v>0</v>
      </c>
      <c r="AI214" s="1">
        <f t="shared" si="138"/>
        <v>1</v>
      </c>
    </row>
    <row r="215" spans="1:35" s="1" customFormat="1" ht="14.25" customHeight="1" x14ac:dyDescent="0.25">
      <c r="A215" s="31">
        <v>0</v>
      </c>
      <c r="B215" s="31">
        <v>1</v>
      </c>
      <c r="C215" s="31">
        <v>6</v>
      </c>
      <c r="D215" s="32" t="s">
        <v>1186</v>
      </c>
      <c r="E215" s="32" t="s">
        <v>1189</v>
      </c>
      <c r="F215" s="32" t="s">
        <v>1187</v>
      </c>
      <c r="G215" s="32" t="s">
        <v>39</v>
      </c>
      <c r="H215" s="32" t="s">
        <v>354</v>
      </c>
      <c r="I215" s="31" t="s">
        <v>1188</v>
      </c>
      <c r="J215" s="31">
        <v>99</v>
      </c>
      <c r="K215" s="33" t="s">
        <v>962</v>
      </c>
      <c r="L215" s="33" t="s">
        <v>39</v>
      </c>
      <c r="M215" s="34" t="s">
        <v>39</v>
      </c>
      <c r="N215" s="34" t="s">
        <v>1733</v>
      </c>
      <c r="O215" s="35">
        <v>1</v>
      </c>
      <c r="P215" s="35">
        <v>1</v>
      </c>
      <c r="Q215" s="36" t="s">
        <v>1908</v>
      </c>
      <c r="S215" s="1">
        <f t="shared" si="139"/>
        <v>0</v>
      </c>
      <c r="T215" s="1">
        <f t="shared" si="140"/>
        <v>0</v>
      </c>
      <c r="U215" s="1">
        <f t="shared" si="141"/>
        <v>0</v>
      </c>
      <c r="V215" s="1">
        <f t="shared" si="142"/>
        <v>0</v>
      </c>
      <c r="W215" s="1">
        <f t="shared" si="143"/>
        <v>0</v>
      </c>
      <c r="X215" s="1">
        <f t="shared" si="144"/>
        <v>0</v>
      </c>
      <c r="Y215" s="1">
        <f t="shared" si="145"/>
        <v>0</v>
      </c>
      <c r="Z215" s="1">
        <f t="shared" si="146"/>
        <v>0</v>
      </c>
      <c r="AA215" s="1">
        <f t="shared" si="147"/>
        <v>0</v>
      </c>
      <c r="AB215" s="1">
        <f t="shared" si="148"/>
        <v>0</v>
      </c>
      <c r="AD215" s="1">
        <f t="shared" si="149"/>
        <v>1</v>
      </c>
      <c r="AE215" s="1">
        <f t="shared" si="150"/>
        <v>0</v>
      </c>
      <c r="AF215" s="1">
        <f t="shared" si="135"/>
        <v>1</v>
      </c>
      <c r="AG215" s="1">
        <f t="shared" si="136"/>
        <v>0</v>
      </c>
      <c r="AH215" s="1">
        <f t="shared" si="137"/>
        <v>1</v>
      </c>
      <c r="AI215" s="1">
        <f t="shared" si="138"/>
        <v>0</v>
      </c>
    </row>
    <row r="216" spans="1:35" s="1" customFormat="1" ht="14.25" customHeight="1" x14ac:dyDescent="0.25">
      <c r="A216" s="31">
        <v>0</v>
      </c>
      <c r="B216" s="31">
        <v>1</v>
      </c>
      <c r="C216" s="31">
        <v>6</v>
      </c>
      <c r="D216" s="32" t="s">
        <v>1648</v>
      </c>
      <c r="E216" s="32" t="s">
        <v>1656</v>
      </c>
      <c r="F216" s="32" t="s">
        <v>1683</v>
      </c>
      <c r="G216" s="32" t="s">
        <v>1684</v>
      </c>
      <c r="H216" s="32" t="s">
        <v>354</v>
      </c>
      <c r="I216" s="31" t="s">
        <v>1696</v>
      </c>
      <c r="J216" s="31">
        <v>1</v>
      </c>
      <c r="K216" s="33" t="s">
        <v>958</v>
      </c>
      <c r="L216" s="33" t="s">
        <v>39</v>
      </c>
      <c r="M216" s="34" t="s">
        <v>39</v>
      </c>
      <c r="N216" s="34" t="s">
        <v>1727</v>
      </c>
      <c r="O216" s="35">
        <v>1</v>
      </c>
      <c r="P216" s="35">
        <v>1</v>
      </c>
      <c r="Q216" s="32"/>
      <c r="S216" s="1">
        <f t="shared" si="139"/>
        <v>1</v>
      </c>
      <c r="T216" s="1">
        <f t="shared" si="140"/>
        <v>0</v>
      </c>
      <c r="U216" s="1">
        <f t="shared" si="141"/>
        <v>0</v>
      </c>
      <c r="V216" s="1">
        <f t="shared" si="142"/>
        <v>0</v>
      </c>
      <c r="W216" s="1">
        <f t="shared" si="143"/>
        <v>0</v>
      </c>
      <c r="X216" s="1">
        <f t="shared" si="144"/>
        <v>0</v>
      </c>
      <c r="Y216" s="1">
        <f t="shared" si="145"/>
        <v>0</v>
      </c>
      <c r="Z216" s="1">
        <f t="shared" si="146"/>
        <v>0</v>
      </c>
      <c r="AA216" s="1">
        <f t="shared" si="147"/>
        <v>0</v>
      </c>
      <c r="AB216" s="1">
        <f t="shared" si="148"/>
        <v>0</v>
      </c>
      <c r="AD216" s="1">
        <f t="shared" si="149"/>
        <v>1</v>
      </c>
      <c r="AE216" s="1">
        <f t="shared" si="150"/>
        <v>0</v>
      </c>
      <c r="AF216" s="1">
        <f t="shared" si="135"/>
        <v>1</v>
      </c>
      <c r="AG216" s="1">
        <f t="shared" si="136"/>
        <v>0</v>
      </c>
      <c r="AH216" s="1">
        <f t="shared" si="137"/>
        <v>1</v>
      </c>
      <c r="AI216" s="1">
        <f t="shared" si="138"/>
        <v>0</v>
      </c>
    </row>
    <row r="217" spans="1:35" s="1" customFormat="1" ht="14.25" customHeight="1" x14ac:dyDescent="0.25">
      <c r="A217" s="31">
        <v>0</v>
      </c>
      <c r="B217" s="31">
        <v>1</v>
      </c>
      <c r="C217" s="31">
        <v>6</v>
      </c>
      <c r="D217" s="32" t="s">
        <v>90</v>
      </c>
      <c r="E217" s="32" t="s">
        <v>168</v>
      </c>
      <c r="F217" s="32" t="s">
        <v>284</v>
      </c>
      <c r="G217" s="32" t="s">
        <v>230</v>
      </c>
      <c r="H217" s="32" t="s">
        <v>354</v>
      </c>
      <c r="I217" s="31" t="s">
        <v>438</v>
      </c>
      <c r="J217" s="31">
        <v>7</v>
      </c>
      <c r="K217" s="33" t="s">
        <v>722</v>
      </c>
      <c r="L217" s="33">
        <v>40</v>
      </c>
      <c r="M217" s="34" t="s">
        <v>39</v>
      </c>
      <c r="N217" s="34" t="s">
        <v>1748</v>
      </c>
      <c r="O217" s="35">
        <v>1</v>
      </c>
      <c r="P217" s="35"/>
      <c r="Q217" s="32"/>
      <c r="S217" s="1">
        <f t="shared" si="139"/>
        <v>0</v>
      </c>
      <c r="T217" s="1">
        <f t="shared" si="140"/>
        <v>0</v>
      </c>
      <c r="U217" s="1">
        <f t="shared" si="141"/>
        <v>0</v>
      </c>
      <c r="V217" s="1">
        <f t="shared" si="142"/>
        <v>0</v>
      </c>
      <c r="W217" s="1">
        <f t="shared" si="143"/>
        <v>0</v>
      </c>
      <c r="X217" s="1">
        <f t="shared" si="144"/>
        <v>0</v>
      </c>
      <c r="Y217" s="1">
        <f t="shared" si="145"/>
        <v>1</v>
      </c>
      <c r="Z217" s="1">
        <f t="shared" si="146"/>
        <v>0</v>
      </c>
      <c r="AA217" s="1">
        <f t="shared" si="147"/>
        <v>0</v>
      </c>
      <c r="AB217" s="1">
        <f t="shared" si="148"/>
        <v>0</v>
      </c>
      <c r="AD217" s="1">
        <f t="shared" si="149"/>
        <v>0</v>
      </c>
      <c r="AE217" s="1">
        <f t="shared" si="150"/>
        <v>1</v>
      </c>
      <c r="AF217" s="1">
        <f t="shared" si="135"/>
        <v>0</v>
      </c>
      <c r="AG217" s="1">
        <f t="shared" si="136"/>
        <v>1</v>
      </c>
      <c r="AH217" s="1">
        <f t="shared" si="137"/>
        <v>0</v>
      </c>
      <c r="AI217" s="1">
        <f t="shared" si="138"/>
        <v>1</v>
      </c>
    </row>
    <row r="218" spans="1:35" s="1" customFormat="1" ht="14.25" customHeight="1" x14ac:dyDescent="0.25">
      <c r="A218" s="31">
        <v>0</v>
      </c>
      <c r="B218" s="31">
        <v>1</v>
      </c>
      <c r="C218" s="31">
        <v>6</v>
      </c>
      <c r="D218" s="32" t="s">
        <v>91</v>
      </c>
      <c r="E218" s="32" t="s">
        <v>165</v>
      </c>
      <c r="F218" s="36" t="s">
        <v>1871</v>
      </c>
      <c r="G218" s="32" t="s">
        <v>240</v>
      </c>
      <c r="H218" s="32" t="s">
        <v>354</v>
      </c>
      <c r="I218" s="31" t="s">
        <v>439</v>
      </c>
      <c r="J218" s="31">
        <v>1</v>
      </c>
      <c r="K218" s="33" t="s">
        <v>964</v>
      </c>
      <c r="L218" s="33" t="s">
        <v>39</v>
      </c>
      <c r="M218" s="34" t="s">
        <v>39</v>
      </c>
      <c r="N218" s="34" t="s">
        <v>1727</v>
      </c>
      <c r="O218" s="35">
        <v>1</v>
      </c>
      <c r="P218" s="35">
        <v>1</v>
      </c>
      <c r="Q218" s="32"/>
      <c r="S218" s="1">
        <f t="shared" si="139"/>
        <v>1</v>
      </c>
      <c r="T218" s="1">
        <f t="shared" si="140"/>
        <v>0</v>
      </c>
      <c r="U218" s="1">
        <f t="shared" si="141"/>
        <v>0</v>
      </c>
      <c r="V218" s="1">
        <f t="shared" si="142"/>
        <v>0</v>
      </c>
      <c r="W218" s="1">
        <f t="shared" si="143"/>
        <v>0</v>
      </c>
      <c r="X218" s="1">
        <f t="shared" si="144"/>
        <v>0</v>
      </c>
      <c r="Y218" s="1">
        <f t="shared" si="145"/>
        <v>0</v>
      </c>
      <c r="Z218" s="1">
        <f t="shared" si="146"/>
        <v>0</v>
      </c>
      <c r="AA218" s="1">
        <f t="shared" si="147"/>
        <v>0</v>
      </c>
      <c r="AB218" s="1">
        <f t="shared" si="148"/>
        <v>0</v>
      </c>
      <c r="AD218" s="1">
        <f t="shared" si="149"/>
        <v>1</v>
      </c>
      <c r="AE218" s="1">
        <f t="shared" si="150"/>
        <v>0</v>
      </c>
      <c r="AF218" s="1">
        <f t="shared" si="135"/>
        <v>1</v>
      </c>
      <c r="AG218" s="1">
        <f t="shared" si="136"/>
        <v>0</v>
      </c>
      <c r="AH218" s="1">
        <f t="shared" si="137"/>
        <v>1</v>
      </c>
      <c r="AI218" s="1">
        <f t="shared" si="138"/>
        <v>0</v>
      </c>
    </row>
    <row r="219" spans="1:35" s="1" customFormat="1" ht="14.25" customHeight="1" x14ac:dyDescent="0.25">
      <c r="A219" s="31">
        <v>0</v>
      </c>
      <c r="B219" s="31">
        <v>1</v>
      </c>
      <c r="C219" s="31">
        <v>6</v>
      </c>
      <c r="D219" s="32" t="s">
        <v>92</v>
      </c>
      <c r="E219" s="32" t="s">
        <v>167</v>
      </c>
      <c r="F219" s="32" t="s">
        <v>286</v>
      </c>
      <c r="G219" s="32" t="s">
        <v>200</v>
      </c>
      <c r="H219" s="32" t="s">
        <v>354</v>
      </c>
      <c r="I219" s="31" t="s">
        <v>440</v>
      </c>
      <c r="J219" s="31">
        <v>2</v>
      </c>
      <c r="K219" s="33" t="s">
        <v>962</v>
      </c>
      <c r="L219" s="33" t="s">
        <v>39</v>
      </c>
      <c r="M219" s="34" t="s">
        <v>39</v>
      </c>
      <c r="N219" s="34" t="s">
        <v>1727</v>
      </c>
      <c r="O219" s="35">
        <v>1</v>
      </c>
      <c r="P219" s="35">
        <v>1</v>
      </c>
      <c r="Q219" s="32"/>
      <c r="S219" s="1">
        <f t="shared" si="139"/>
        <v>0</v>
      </c>
      <c r="T219" s="1">
        <f t="shared" si="140"/>
        <v>1</v>
      </c>
      <c r="U219" s="1">
        <f t="shared" si="141"/>
        <v>0</v>
      </c>
      <c r="V219" s="1">
        <f t="shared" si="142"/>
        <v>0</v>
      </c>
      <c r="W219" s="1">
        <f t="shared" si="143"/>
        <v>0</v>
      </c>
      <c r="X219" s="1">
        <f t="shared" si="144"/>
        <v>0</v>
      </c>
      <c r="Y219" s="1">
        <f t="shared" si="145"/>
        <v>0</v>
      </c>
      <c r="Z219" s="1">
        <f t="shared" si="146"/>
        <v>0</v>
      </c>
      <c r="AA219" s="1">
        <f t="shared" si="147"/>
        <v>0</v>
      </c>
      <c r="AB219" s="1">
        <f t="shared" si="148"/>
        <v>0</v>
      </c>
      <c r="AD219" s="1">
        <f t="shared" si="149"/>
        <v>1</v>
      </c>
      <c r="AE219" s="1">
        <f t="shared" si="150"/>
        <v>0</v>
      </c>
      <c r="AF219" s="1">
        <f t="shared" si="135"/>
        <v>1</v>
      </c>
      <c r="AG219" s="1">
        <f t="shared" si="136"/>
        <v>0</v>
      </c>
      <c r="AH219" s="1">
        <f t="shared" si="137"/>
        <v>1</v>
      </c>
      <c r="AI219" s="1">
        <f t="shared" si="138"/>
        <v>0</v>
      </c>
    </row>
    <row r="220" spans="1:35" s="1" customFormat="1" ht="14.25" customHeight="1" x14ac:dyDescent="0.25">
      <c r="A220" s="44">
        <v>0</v>
      </c>
      <c r="B220" s="44">
        <v>1</v>
      </c>
      <c r="C220" s="44">
        <v>6</v>
      </c>
      <c r="D220" s="45" t="s">
        <v>1276</v>
      </c>
      <c r="E220" s="45" t="s">
        <v>167</v>
      </c>
      <c r="F220" s="45" t="s">
        <v>1148</v>
      </c>
      <c r="G220" s="45" t="s">
        <v>1342</v>
      </c>
      <c r="H220" s="45" t="s">
        <v>354</v>
      </c>
      <c r="I220" s="44" t="s">
        <v>1149</v>
      </c>
      <c r="J220" s="44">
        <v>99</v>
      </c>
      <c r="K220" s="46" t="s">
        <v>702</v>
      </c>
      <c r="L220" s="46">
        <v>45</v>
      </c>
      <c r="M220" s="47" t="s">
        <v>39</v>
      </c>
      <c r="N220" s="47" t="s">
        <v>1735</v>
      </c>
      <c r="O220" s="48"/>
      <c r="P220" s="48"/>
      <c r="Q220" s="45"/>
      <c r="S220" s="1">
        <f t="shared" si="139"/>
        <v>0</v>
      </c>
      <c r="T220" s="1">
        <f t="shared" si="140"/>
        <v>0</v>
      </c>
      <c r="U220" s="1">
        <f t="shared" si="141"/>
        <v>0</v>
      </c>
      <c r="V220" s="1">
        <f t="shared" si="142"/>
        <v>0</v>
      </c>
      <c r="W220" s="1">
        <f t="shared" si="143"/>
        <v>0</v>
      </c>
      <c r="X220" s="1">
        <f t="shared" si="144"/>
        <v>0</v>
      </c>
      <c r="Y220" s="1">
        <f t="shared" si="145"/>
        <v>0</v>
      </c>
      <c r="Z220" s="1">
        <f t="shared" si="146"/>
        <v>0</v>
      </c>
      <c r="AA220" s="1">
        <f t="shared" si="147"/>
        <v>0</v>
      </c>
      <c r="AB220" s="1">
        <f t="shared" si="148"/>
        <v>0</v>
      </c>
      <c r="AD220" s="1">
        <f t="shared" si="149"/>
        <v>0</v>
      </c>
      <c r="AE220" s="1">
        <f t="shared" si="150"/>
        <v>0</v>
      </c>
      <c r="AF220" s="1">
        <f t="shared" si="135"/>
        <v>0</v>
      </c>
      <c r="AG220" s="1">
        <f t="shared" si="136"/>
        <v>0</v>
      </c>
      <c r="AH220" s="1">
        <f t="shared" si="137"/>
        <v>0</v>
      </c>
      <c r="AI220" s="1">
        <f t="shared" si="138"/>
        <v>1</v>
      </c>
    </row>
    <row r="221" spans="1:35" s="1" customFormat="1" ht="14.25" customHeight="1" x14ac:dyDescent="0.25">
      <c r="A221" s="31">
        <v>0</v>
      </c>
      <c r="B221" s="31">
        <v>1</v>
      </c>
      <c r="C221" s="31">
        <v>6</v>
      </c>
      <c r="D221" s="32" t="s">
        <v>1791</v>
      </c>
      <c r="E221" s="32" t="s">
        <v>167</v>
      </c>
      <c r="F221" s="32" t="s">
        <v>1766</v>
      </c>
      <c r="G221" s="32"/>
      <c r="H221" s="32" t="s">
        <v>354</v>
      </c>
      <c r="I221" s="31" t="s">
        <v>1767</v>
      </c>
      <c r="J221" s="31"/>
      <c r="K221" s="33" t="s">
        <v>703</v>
      </c>
      <c r="L221" s="33"/>
      <c r="M221" s="34"/>
      <c r="N221" s="34" t="s">
        <v>1727</v>
      </c>
      <c r="O221" s="35">
        <v>1</v>
      </c>
      <c r="P221" s="35">
        <v>1</v>
      </c>
      <c r="Q221" s="32"/>
      <c r="S221" s="1">
        <f t="shared" si="139"/>
        <v>0</v>
      </c>
      <c r="T221" s="1">
        <f t="shared" si="140"/>
        <v>0</v>
      </c>
      <c r="U221" s="1">
        <f t="shared" si="141"/>
        <v>0</v>
      </c>
      <c r="V221" s="1">
        <f t="shared" si="142"/>
        <v>0</v>
      </c>
      <c r="W221" s="1">
        <f t="shared" si="143"/>
        <v>0</v>
      </c>
      <c r="X221" s="1">
        <f t="shared" si="144"/>
        <v>0</v>
      </c>
      <c r="Y221" s="1">
        <f t="shared" si="145"/>
        <v>0</v>
      </c>
      <c r="Z221" s="1">
        <f t="shared" si="146"/>
        <v>0</v>
      </c>
      <c r="AA221" s="1">
        <f t="shared" si="147"/>
        <v>0</v>
      </c>
      <c r="AB221" s="1">
        <f t="shared" si="148"/>
        <v>0</v>
      </c>
      <c r="AD221" s="1">
        <f t="shared" si="149"/>
        <v>1</v>
      </c>
      <c r="AE221" s="1">
        <f t="shared" si="150"/>
        <v>0</v>
      </c>
      <c r="AF221" s="1">
        <f t="shared" si="135"/>
        <v>1</v>
      </c>
      <c r="AG221" s="1">
        <f t="shared" si="136"/>
        <v>0</v>
      </c>
      <c r="AH221" s="1">
        <f t="shared" si="137"/>
        <v>1</v>
      </c>
      <c r="AI221" s="1">
        <f t="shared" si="138"/>
        <v>0</v>
      </c>
    </row>
    <row r="222" spans="1:35" s="1" customFormat="1" ht="14.25" customHeight="1" x14ac:dyDescent="0.25">
      <c r="A222" s="31">
        <v>0</v>
      </c>
      <c r="B222" s="31">
        <v>1</v>
      </c>
      <c r="C222" s="31">
        <v>6</v>
      </c>
      <c r="D222" s="32" t="s">
        <v>1014</v>
      </c>
      <c r="E222" s="32" t="s">
        <v>167</v>
      </c>
      <c r="F222" s="32" t="s">
        <v>1015</v>
      </c>
      <c r="G222" s="32" t="s">
        <v>1103</v>
      </c>
      <c r="H222" s="32" t="s">
        <v>354</v>
      </c>
      <c r="I222" s="31" t="s">
        <v>1016</v>
      </c>
      <c r="J222" s="31">
        <v>99</v>
      </c>
      <c r="K222" s="33" t="s">
        <v>964</v>
      </c>
      <c r="L222" s="33" t="s">
        <v>39</v>
      </c>
      <c r="M222" s="34" t="s">
        <v>39</v>
      </c>
      <c r="N222" s="34" t="s">
        <v>1727</v>
      </c>
      <c r="O222" s="35">
        <v>1</v>
      </c>
      <c r="P222" s="35">
        <v>1</v>
      </c>
      <c r="Q222" s="32"/>
      <c r="S222" s="1">
        <f t="shared" si="139"/>
        <v>0</v>
      </c>
      <c r="T222" s="1">
        <f t="shared" si="140"/>
        <v>0</v>
      </c>
      <c r="U222" s="1">
        <f t="shared" si="141"/>
        <v>0</v>
      </c>
      <c r="V222" s="1">
        <f t="shared" si="142"/>
        <v>0</v>
      </c>
      <c r="W222" s="1">
        <f t="shared" si="143"/>
        <v>0</v>
      </c>
      <c r="X222" s="1">
        <f t="shared" si="144"/>
        <v>0</v>
      </c>
      <c r="Y222" s="1">
        <f t="shared" si="145"/>
        <v>0</v>
      </c>
      <c r="Z222" s="1">
        <f t="shared" si="146"/>
        <v>0</v>
      </c>
      <c r="AA222" s="1">
        <f t="shared" si="147"/>
        <v>0</v>
      </c>
      <c r="AB222" s="1">
        <f t="shared" si="148"/>
        <v>0</v>
      </c>
      <c r="AD222" s="1">
        <f t="shared" si="149"/>
        <v>1</v>
      </c>
      <c r="AE222" s="1">
        <f t="shared" si="150"/>
        <v>0</v>
      </c>
      <c r="AF222" s="1">
        <f t="shared" si="135"/>
        <v>1</v>
      </c>
      <c r="AG222" s="1">
        <f t="shared" si="136"/>
        <v>0</v>
      </c>
      <c r="AH222" s="1">
        <f t="shared" si="137"/>
        <v>1</v>
      </c>
      <c r="AI222" s="1">
        <f t="shared" si="138"/>
        <v>0</v>
      </c>
    </row>
    <row r="223" spans="1:35" s="1" customFormat="1" ht="14.25" customHeight="1" x14ac:dyDescent="0.25">
      <c r="A223" s="31">
        <v>0</v>
      </c>
      <c r="B223" s="31">
        <v>1</v>
      </c>
      <c r="C223" s="31">
        <v>6</v>
      </c>
      <c r="D223" s="32" t="s">
        <v>94</v>
      </c>
      <c r="E223" s="32" t="s">
        <v>169</v>
      </c>
      <c r="F223" s="32" t="s">
        <v>289</v>
      </c>
      <c r="G223" s="32" t="s">
        <v>194</v>
      </c>
      <c r="H223" s="32" t="s">
        <v>354</v>
      </c>
      <c r="I223" s="31" t="s">
        <v>442</v>
      </c>
      <c r="J223" s="31">
        <v>9</v>
      </c>
      <c r="K223" s="33" t="s">
        <v>702</v>
      </c>
      <c r="L223" s="33" t="s">
        <v>694</v>
      </c>
      <c r="M223" s="34" t="s">
        <v>706</v>
      </c>
      <c r="N223" s="34" t="s">
        <v>1748</v>
      </c>
      <c r="O223" s="35">
        <v>1</v>
      </c>
      <c r="P223" s="35"/>
      <c r="Q223" s="32"/>
      <c r="S223" s="1">
        <f t="shared" si="139"/>
        <v>0</v>
      </c>
      <c r="T223" s="1">
        <f t="shared" si="140"/>
        <v>0</v>
      </c>
      <c r="U223" s="1">
        <f t="shared" si="141"/>
        <v>0</v>
      </c>
      <c r="V223" s="1">
        <f t="shared" si="142"/>
        <v>0</v>
      </c>
      <c r="W223" s="1">
        <f t="shared" si="143"/>
        <v>0</v>
      </c>
      <c r="X223" s="1">
        <f t="shared" si="144"/>
        <v>0</v>
      </c>
      <c r="Y223" s="1">
        <f t="shared" si="145"/>
        <v>0</v>
      </c>
      <c r="Z223" s="1">
        <f t="shared" si="146"/>
        <v>0</v>
      </c>
      <c r="AA223" s="1">
        <f t="shared" si="147"/>
        <v>1</v>
      </c>
      <c r="AB223" s="1">
        <f t="shared" si="148"/>
        <v>0</v>
      </c>
      <c r="AD223" s="1">
        <f t="shared" si="149"/>
        <v>0</v>
      </c>
      <c r="AE223" s="1">
        <f t="shared" si="150"/>
        <v>1</v>
      </c>
      <c r="AF223" s="1">
        <f t="shared" si="135"/>
        <v>0</v>
      </c>
      <c r="AG223" s="1">
        <f t="shared" si="136"/>
        <v>1</v>
      </c>
      <c r="AH223" s="1">
        <f t="shared" si="137"/>
        <v>0</v>
      </c>
      <c r="AI223" s="1">
        <f t="shared" si="138"/>
        <v>1</v>
      </c>
    </row>
    <row r="224" spans="1:35" s="1" customFormat="1" ht="14.25" customHeight="1" x14ac:dyDescent="0.25">
      <c r="A224" s="38">
        <v>0</v>
      </c>
      <c r="B224" s="38">
        <v>1</v>
      </c>
      <c r="C224" s="38">
        <v>6</v>
      </c>
      <c r="D224" s="54" t="s">
        <v>1609</v>
      </c>
      <c r="E224" s="39" t="s">
        <v>1610</v>
      </c>
      <c r="F224" s="39" t="s">
        <v>1611</v>
      </c>
      <c r="G224" s="39" t="s">
        <v>192</v>
      </c>
      <c r="H224" s="39" t="s">
        <v>354</v>
      </c>
      <c r="I224" s="38" t="s">
        <v>1612</v>
      </c>
      <c r="J224" s="38">
        <v>10</v>
      </c>
      <c r="K224" s="40" t="s">
        <v>956</v>
      </c>
      <c r="L224" s="40" t="s">
        <v>687</v>
      </c>
      <c r="M224" s="41" t="s">
        <v>1613</v>
      </c>
      <c r="N224" s="42"/>
      <c r="O224" s="43"/>
      <c r="P224" s="43">
        <v>1</v>
      </c>
      <c r="Q224" s="39"/>
      <c r="S224" s="1">
        <f t="shared" si="139"/>
        <v>0</v>
      </c>
      <c r="T224" s="1">
        <f t="shared" si="140"/>
        <v>0</v>
      </c>
      <c r="U224" s="1">
        <f t="shared" si="141"/>
        <v>0</v>
      </c>
      <c r="V224" s="1">
        <f t="shared" si="142"/>
        <v>0</v>
      </c>
      <c r="W224" s="1">
        <f t="shared" si="143"/>
        <v>0</v>
      </c>
      <c r="X224" s="1">
        <f t="shared" si="144"/>
        <v>0</v>
      </c>
      <c r="Y224" s="1">
        <f t="shared" si="145"/>
        <v>0</v>
      </c>
      <c r="Z224" s="1">
        <f t="shared" si="146"/>
        <v>0</v>
      </c>
      <c r="AA224" s="1">
        <f t="shared" si="147"/>
        <v>0</v>
      </c>
      <c r="AB224" s="1">
        <f t="shared" si="148"/>
        <v>1</v>
      </c>
      <c r="AD224" s="1">
        <f t="shared" si="149"/>
        <v>0</v>
      </c>
      <c r="AE224" s="1">
        <f t="shared" si="150"/>
        <v>0</v>
      </c>
      <c r="AF224" s="1">
        <f t="shared" si="135"/>
        <v>0</v>
      </c>
      <c r="AG224" s="1">
        <f t="shared" si="136"/>
        <v>0</v>
      </c>
      <c r="AH224" s="1">
        <f t="shared" si="137"/>
        <v>1</v>
      </c>
      <c r="AI224" s="1">
        <f t="shared" si="138"/>
        <v>0</v>
      </c>
    </row>
    <row r="225" spans="1:4094 4097:8191 8194:12288 12291:16384" s="1" customFormat="1" ht="14.25" customHeight="1" x14ac:dyDescent="0.25">
      <c r="A225" s="44">
        <v>0</v>
      </c>
      <c r="B225" s="44">
        <v>1</v>
      </c>
      <c r="C225" s="44">
        <v>6</v>
      </c>
      <c r="D225" s="45" t="s">
        <v>95</v>
      </c>
      <c r="E225" s="45" t="s">
        <v>165</v>
      </c>
      <c r="F225" s="45" t="s">
        <v>290</v>
      </c>
      <c r="G225" s="45" t="s">
        <v>291</v>
      </c>
      <c r="H225" s="45" t="s">
        <v>354</v>
      </c>
      <c r="I225" s="44" t="s">
        <v>443</v>
      </c>
      <c r="J225" s="44">
        <v>7</v>
      </c>
      <c r="K225" s="46" t="s">
        <v>702</v>
      </c>
      <c r="L225" s="46" t="s">
        <v>694</v>
      </c>
      <c r="M225" s="47" t="s">
        <v>698</v>
      </c>
      <c r="N225" s="47" t="s">
        <v>1734</v>
      </c>
      <c r="O225" s="48"/>
      <c r="P225" s="48"/>
      <c r="Q225" s="45"/>
      <c r="S225" s="1">
        <f t="shared" si="139"/>
        <v>0</v>
      </c>
      <c r="T225" s="1">
        <f t="shared" si="140"/>
        <v>0</v>
      </c>
      <c r="U225" s="1">
        <f t="shared" si="141"/>
        <v>0</v>
      </c>
      <c r="V225" s="1">
        <f t="shared" si="142"/>
        <v>0</v>
      </c>
      <c r="W225" s="1">
        <f t="shared" si="143"/>
        <v>0</v>
      </c>
      <c r="X225" s="1">
        <f t="shared" si="144"/>
        <v>0</v>
      </c>
      <c r="Y225" s="1">
        <f t="shared" si="145"/>
        <v>1</v>
      </c>
      <c r="Z225" s="1">
        <f t="shared" si="146"/>
        <v>0</v>
      </c>
      <c r="AA225" s="1">
        <f t="shared" si="147"/>
        <v>0</v>
      </c>
      <c r="AB225" s="1">
        <f t="shared" si="148"/>
        <v>0</v>
      </c>
      <c r="AD225" s="1">
        <f t="shared" si="149"/>
        <v>0</v>
      </c>
      <c r="AE225" s="1">
        <f t="shared" si="150"/>
        <v>0</v>
      </c>
      <c r="AF225" s="1">
        <f t="shared" si="135"/>
        <v>0</v>
      </c>
      <c r="AG225" s="1">
        <f t="shared" si="136"/>
        <v>0</v>
      </c>
      <c r="AH225" s="1">
        <f t="shared" si="137"/>
        <v>0</v>
      </c>
      <c r="AI225" s="1">
        <f t="shared" si="138"/>
        <v>1</v>
      </c>
    </row>
    <row r="226" spans="1:4094 4097:8191 8194:12288 12291:16384" s="1" customFormat="1" ht="14.25" customHeight="1" x14ac:dyDescent="0.25">
      <c r="A226" s="31">
        <v>0</v>
      </c>
      <c r="B226" s="31">
        <v>1</v>
      </c>
      <c r="C226" s="31">
        <v>6</v>
      </c>
      <c r="D226" s="32" t="s">
        <v>1085</v>
      </c>
      <c r="E226" s="32" t="s">
        <v>167</v>
      </c>
      <c r="F226" s="32" t="s">
        <v>660</v>
      </c>
      <c r="G226" s="32" t="s">
        <v>179</v>
      </c>
      <c r="H226" s="32" t="s">
        <v>354</v>
      </c>
      <c r="I226" s="31" t="s">
        <v>381</v>
      </c>
      <c r="J226" s="31">
        <v>10</v>
      </c>
      <c r="K226" s="33" t="s">
        <v>722</v>
      </c>
      <c r="L226" s="33" t="s">
        <v>704</v>
      </c>
      <c r="M226" s="34" t="s">
        <v>707</v>
      </c>
      <c r="N226" s="34" t="s">
        <v>1750</v>
      </c>
      <c r="O226" s="35">
        <v>1</v>
      </c>
      <c r="P226" s="35"/>
      <c r="Q226" s="32"/>
      <c r="S226" s="1">
        <f t="shared" si="139"/>
        <v>0</v>
      </c>
      <c r="T226" s="1">
        <f t="shared" si="140"/>
        <v>0</v>
      </c>
      <c r="U226" s="1">
        <f t="shared" si="141"/>
        <v>0</v>
      </c>
      <c r="V226" s="1">
        <f t="shared" si="142"/>
        <v>0</v>
      </c>
      <c r="W226" s="1">
        <f t="shared" si="143"/>
        <v>0</v>
      </c>
      <c r="X226" s="1">
        <f t="shared" si="144"/>
        <v>0</v>
      </c>
      <c r="Y226" s="1">
        <f t="shared" si="145"/>
        <v>0</v>
      </c>
      <c r="Z226" s="1">
        <f t="shared" si="146"/>
        <v>0</v>
      </c>
      <c r="AA226" s="1">
        <f t="shared" si="147"/>
        <v>0</v>
      </c>
      <c r="AB226" s="1">
        <f t="shared" si="148"/>
        <v>1</v>
      </c>
      <c r="AD226" s="1">
        <f t="shared" si="149"/>
        <v>0</v>
      </c>
      <c r="AE226" s="1">
        <f t="shared" si="150"/>
        <v>1</v>
      </c>
      <c r="AF226" s="1">
        <f t="shared" si="135"/>
        <v>0</v>
      </c>
      <c r="AG226" s="1">
        <f t="shared" si="136"/>
        <v>1</v>
      </c>
      <c r="AH226" s="1">
        <f t="shared" si="137"/>
        <v>0</v>
      </c>
      <c r="AI226" s="1">
        <f t="shared" si="138"/>
        <v>1</v>
      </c>
    </row>
    <row r="227" spans="1:4094 4097:8191 8194:12288 12291:16384" s="1" customFormat="1" ht="14.25" customHeight="1" x14ac:dyDescent="0.25">
      <c r="A227" s="31">
        <v>0</v>
      </c>
      <c r="B227" s="31">
        <v>1</v>
      </c>
      <c r="C227" s="31">
        <v>6</v>
      </c>
      <c r="D227" s="32" t="s">
        <v>1229</v>
      </c>
      <c r="E227" s="32" t="s">
        <v>165</v>
      </c>
      <c r="F227" s="32" t="s">
        <v>1230</v>
      </c>
      <c r="G227" s="32" t="s">
        <v>1232</v>
      </c>
      <c r="H227" s="32" t="s">
        <v>354</v>
      </c>
      <c r="I227" s="31" t="s">
        <v>1231</v>
      </c>
      <c r="J227" s="31">
        <v>99</v>
      </c>
      <c r="K227" s="33" t="s">
        <v>722</v>
      </c>
      <c r="L227" s="33" t="s">
        <v>693</v>
      </c>
      <c r="M227" s="34" t="s">
        <v>1401</v>
      </c>
      <c r="N227" s="34" t="s">
        <v>1743</v>
      </c>
      <c r="O227" s="35">
        <v>1</v>
      </c>
      <c r="P227" s="35"/>
      <c r="Q227" s="32"/>
      <c r="R227" s="15"/>
      <c r="S227" s="15">
        <f t="shared" si="139"/>
        <v>0</v>
      </c>
      <c r="T227" s="15">
        <f t="shared" si="140"/>
        <v>0</v>
      </c>
      <c r="U227" s="15">
        <f t="shared" si="141"/>
        <v>0</v>
      </c>
      <c r="V227" s="15">
        <f t="shared" si="142"/>
        <v>0</v>
      </c>
      <c r="W227" s="15">
        <f t="shared" si="143"/>
        <v>0</v>
      </c>
      <c r="X227" s="15">
        <f t="shared" si="144"/>
        <v>0</v>
      </c>
      <c r="Y227" s="15">
        <f t="shared" si="145"/>
        <v>0</v>
      </c>
      <c r="Z227" s="15">
        <f t="shared" si="146"/>
        <v>0</v>
      </c>
      <c r="AA227" s="15">
        <f t="shared" si="147"/>
        <v>0</v>
      </c>
      <c r="AB227" s="10">
        <f t="shared" si="148"/>
        <v>0</v>
      </c>
      <c r="AC227" s="10"/>
      <c r="AD227" s="21">
        <f t="shared" si="149"/>
        <v>0</v>
      </c>
      <c r="AE227" s="21">
        <f t="shared" si="150"/>
        <v>1</v>
      </c>
      <c r="AF227" s="1">
        <f t="shared" si="135"/>
        <v>0</v>
      </c>
      <c r="AG227" s="1">
        <f t="shared" si="136"/>
        <v>1</v>
      </c>
      <c r="AH227" s="21">
        <f t="shared" si="137"/>
        <v>0</v>
      </c>
      <c r="AI227" s="15">
        <f t="shared" si="138"/>
        <v>1</v>
      </c>
      <c r="AJ227" s="15"/>
      <c r="AK227" s="15"/>
      <c r="AL227" s="15"/>
      <c r="AM227" s="15"/>
      <c r="AN227" s="15"/>
      <c r="AO227" s="15"/>
      <c r="AP227" s="15"/>
      <c r="AQ227" s="15"/>
      <c r="AR227" s="15"/>
      <c r="AS227" s="10"/>
      <c r="AT227" s="10"/>
      <c r="AU227" s="21"/>
      <c r="AV227" s="21"/>
      <c r="AY227" s="21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  <c r="BJ227" s="10"/>
      <c r="BK227" s="10"/>
      <c r="BL227" s="21"/>
      <c r="BM227" s="21"/>
      <c r="BP227" s="21"/>
      <c r="BQ227" s="15"/>
      <c r="BR227" s="15"/>
      <c r="BS227" s="15"/>
      <c r="BT227" s="15"/>
      <c r="BU227" s="15"/>
      <c r="BV227" s="15"/>
      <c r="BW227" s="15"/>
      <c r="BX227" s="15"/>
      <c r="BY227" s="15"/>
      <c r="BZ227" s="15"/>
      <c r="CA227" s="10"/>
      <c r="CB227" s="10"/>
      <c r="CC227" s="21"/>
      <c r="CD227" s="21"/>
      <c r="CG227" s="21"/>
      <c r="CH227" s="15"/>
      <c r="CI227" s="15"/>
      <c r="CJ227" s="15"/>
      <c r="CK227" s="15"/>
      <c r="CL227" s="15"/>
      <c r="CM227" s="15"/>
      <c r="CN227" s="15"/>
      <c r="CO227" s="15"/>
      <c r="CP227" s="15"/>
      <c r="CQ227" s="15"/>
      <c r="CR227" s="10"/>
      <c r="CS227" s="10"/>
      <c r="CT227" s="21"/>
      <c r="CU227" s="21"/>
      <c r="CX227" s="21"/>
      <c r="CY227" s="15"/>
      <c r="CZ227" s="15"/>
      <c r="DA227" s="15"/>
      <c r="DB227" s="15"/>
      <c r="DC227" s="15"/>
      <c r="DD227" s="15"/>
      <c r="DE227" s="15"/>
      <c r="DF227" s="15"/>
      <c r="DG227" s="15"/>
      <c r="DH227" s="15"/>
      <c r="DI227" s="10"/>
      <c r="DJ227" s="10"/>
      <c r="DK227" s="21"/>
      <c r="DL227" s="21"/>
      <c r="DO227" s="21"/>
      <c r="DP227" s="15"/>
      <c r="DQ227" s="15"/>
      <c r="DR227" s="15"/>
      <c r="DS227" s="15"/>
      <c r="DT227" s="15"/>
      <c r="DU227" s="15"/>
      <c r="DV227" s="15"/>
      <c r="DW227" s="15"/>
      <c r="DX227" s="15"/>
      <c r="DY227" s="15"/>
      <c r="DZ227" s="10"/>
      <c r="EA227" s="10"/>
      <c r="EB227" s="21"/>
      <c r="EC227" s="21"/>
      <c r="EF227" s="21"/>
      <c r="EG227" s="15"/>
      <c r="EH227" s="15"/>
      <c r="EI227" s="15"/>
      <c r="EJ227" s="15"/>
      <c r="EK227" s="15"/>
      <c r="EL227" s="15"/>
      <c r="EM227" s="15"/>
      <c r="EN227" s="15"/>
      <c r="EO227" s="15"/>
      <c r="EP227" s="15"/>
      <c r="EQ227" s="10"/>
      <c r="ER227" s="10"/>
      <c r="ES227" s="21"/>
      <c r="ET227" s="21"/>
      <c r="EW227" s="21"/>
      <c r="EX227" s="15"/>
      <c r="EY227" s="15"/>
      <c r="EZ227" s="15"/>
      <c r="FA227" s="15"/>
      <c r="FB227" s="15"/>
      <c r="FC227" s="15"/>
      <c r="FD227" s="15"/>
      <c r="FE227" s="15"/>
      <c r="FF227" s="15"/>
      <c r="FG227" s="15"/>
      <c r="FH227" s="10"/>
      <c r="FI227" s="10"/>
      <c r="FJ227" s="21"/>
      <c r="FK227" s="21"/>
      <c r="FN227" s="21"/>
      <c r="FO227" s="15"/>
      <c r="FP227" s="15"/>
      <c r="FQ227" s="15"/>
      <c r="FR227" s="15"/>
      <c r="FS227" s="15"/>
      <c r="FT227" s="15"/>
      <c r="FU227" s="15"/>
      <c r="FV227" s="15"/>
      <c r="FW227" s="15"/>
      <c r="FX227" s="15"/>
      <c r="FY227" s="10"/>
      <c r="FZ227" s="10"/>
      <c r="GA227" s="21"/>
      <c r="GB227" s="21"/>
      <c r="GE227" s="21"/>
      <c r="GF227" s="15"/>
      <c r="GG227" s="15"/>
      <c r="GH227" s="15"/>
      <c r="GI227" s="15"/>
      <c r="GJ227" s="15"/>
      <c r="GK227" s="15"/>
      <c r="GL227" s="15"/>
      <c r="GM227" s="15"/>
      <c r="GN227" s="15"/>
      <c r="GO227" s="15"/>
      <c r="GP227" s="10"/>
      <c r="GQ227" s="10"/>
      <c r="GR227" s="21"/>
      <c r="GS227" s="21"/>
      <c r="GV227" s="21"/>
      <c r="GW227" s="15"/>
      <c r="GX227" s="15"/>
      <c r="GY227" s="15"/>
      <c r="GZ227" s="15"/>
      <c r="HA227" s="15"/>
      <c r="HB227" s="15"/>
      <c r="HC227" s="15"/>
      <c r="HD227" s="15"/>
      <c r="HE227" s="15"/>
      <c r="HF227" s="15"/>
      <c r="HG227" s="10"/>
      <c r="HH227" s="10"/>
      <c r="HI227" s="21"/>
      <c r="HJ227" s="21"/>
      <c r="HM227" s="21"/>
      <c r="HN227" s="15"/>
      <c r="HO227" s="15"/>
      <c r="HP227" s="15"/>
      <c r="HQ227" s="15"/>
      <c r="HR227" s="15"/>
      <c r="HS227" s="15"/>
      <c r="HT227" s="15"/>
      <c r="HU227" s="15"/>
      <c r="HV227" s="15"/>
      <c r="HW227" s="15"/>
      <c r="HX227" s="10"/>
      <c r="HY227" s="10"/>
      <c r="HZ227" s="21"/>
      <c r="IA227" s="21"/>
      <c r="ID227" s="21"/>
      <c r="IE227" s="15"/>
      <c r="IF227" s="15"/>
      <c r="IG227" s="15"/>
      <c r="IH227" s="15"/>
      <c r="II227" s="15"/>
      <c r="IJ227" s="15"/>
      <c r="IK227" s="15"/>
      <c r="IL227" s="15"/>
      <c r="IM227" s="15"/>
      <c r="IN227" s="15"/>
      <c r="IO227" s="10"/>
      <c r="IP227" s="10"/>
      <c r="IQ227" s="21"/>
      <c r="IR227" s="21"/>
      <c r="IU227" s="21"/>
      <c r="IV227" s="15"/>
      <c r="IW227" s="15"/>
      <c r="IX227" s="15"/>
      <c r="IY227" s="15"/>
      <c r="IZ227" s="15"/>
      <c r="JA227" s="15"/>
      <c r="JB227" s="15"/>
      <c r="JC227" s="15"/>
      <c r="JD227" s="15"/>
      <c r="JE227" s="15"/>
      <c r="JF227" s="10"/>
      <c r="JG227" s="10"/>
      <c r="JH227" s="21"/>
      <c r="JI227" s="21"/>
      <c r="JL227" s="21"/>
      <c r="JM227" s="15"/>
      <c r="JN227" s="15"/>
      <c r="JO227" s="15"/>
      <c r="JP227" s="15"/>
      <c r="JQ227" s="15"/>
      <c r="JR227" s="15"/>
      <c r="JS227" s="15"/>
      <c r="JT227" s="15"/>
      <c r="JU227" s="15"/>
      <c r="JV227" s="15"/>
      <c r="JW227" s="10"/>
      <c r="JX227" s="10"/>
      <c r="JY227" s="21"/>
      <c r="JZ227" s="21"/>
      <c r="KC227" s="21"/>
      <c r="KD227" s="15"/>
      <c r="KE227" s="15"/>
      <c r="KF227" s="15"/>
      <c r="KG227" s="15"/>
      <c r="KH227" s="15"/>
      <c r="KI227" s="15"/>
      <c r="KJ227" s="15"/>
      <c r="KK227" s="15"/>
      <c r="KL227" s="15"/>
      <c r="KM227" s="15"/>
      <c r="KN227" s="10"/>
      <c r="KO227" s="10"/>
      <c r="KP227" s="21"/>
      <c r="KQ227" s="21"/>
      <c r="KT227" s="21"/>
      <c r="KU227" s="15"/>
      <c r="KV227" s="15"/>
      <c r="KW227" s="15"/>
      <c r="KX227" s="15"/>
      <c r="KY227" s="15"/>
      <c r="KZ227" s="15"/>
      <c r="LA227" s="15"/>
      <c r="LB227" s="15"/>
      <c r="LC227" s="15"/>
      <c r="LD227" s="15"/>
      <c r="LE227" s="10"/>
      <c r="LF227" s="10"/>
      <c r="LG227" s="21"/>
      <c r="LH227" s="21"/>
      <c r="LK227" s="21"/>
      <c r="LL227" s="15"/>
      <c r="LM227" s="15"/>
      <c r="LN227" s="15"/>
      <c r="LO227" s="15"/>
      <c r="LP227" s="15"/>
      <c r="LQ227" s="15"/>
      <c r="LR227" s="15"/>
      <c r="LS227" s="15"/>
      <c r="LT227" s="15"/>
      <c r="LU227" s="15"/>
      <c r="LV227" s="10"/>
      <c r="LW227" s="10"/>
      <c r="LX227" s="21"/>
      <c r="LY227" s="21"/>
      <c r="MB227" s="21"/>
      <c r="MC227" s="15"/>
      <c r="MD227" s="15"/>
      <c r="ME227" s="15"/>
      <c r="MF227" s="15"/>
      <c r="MG227" s="15"/>
      <c r="MH227" s="15"/>
      <c r="MI227" s="15"/>
      <c r="MJ227" s="15"/>
      <c r="MK227" s="15"/>
      <c r="ML227" s="15"/>
      <c r="MM227" s="10"/>
      <c r="MN227" s="10"/>
      <c r="MO227" s="21"/>
      <c r="MP227" s="21"/>
      <c r="MS227" s="21"/>
      <c r="MT227" s="15"/>
      <c r="MU227" s="15"/>
      <c r="MV227" s="15"/>
      <c r="MW227" s="15"/>
      <c r="MX227" s="15"/>
      <c r="MY227" s="15"/>
      <c r="MZ227" s="15"/>
      <c r="NA227" s="15"/>
      <c r="NB227" s="15"/>
      <c r="NC227" s="15"/>
      <c r="ND227" s="10"/>
      <c r="NE227" s="10"/>
      <c r="NF227" s="21"/>
      <c r="NG227" s="21"/>
      <c r="NJ227" s="21"/>
      <c r="NK227" s="15"/>
      <c r="NL227" s="15"/>
      <c r="NM227" s="15"/>
      <c r="NN227" s="15"/>
      <c r="NO227" s="15"/>
      <c r="NP227" s="15"/>
      <c r="NQ227" s="15"/>
      <c r="NR227" s="15"/>
      <c r="NS227" s="15"/>
      <c r="NT227" s="15"/>
      <c r="NU227" s="10"/>
      <c r="NV227" s="10"/>
      <c r="NW227" s="21"/>
      <c r="NX227" s="21"/>
      <c r="OA227" s="21"/>
      <c r="OB227" s="15"/>
      <c r="OC227" s="15"/>
      <c r="OD227" s="15"/>
      <c r="OE227" s="15"/>
      <c r="OF227" s="15"/>
      <c r="OG227" s="15"/>
      <c r="OH227" s="15"/>
      <c r="OI227" s="15"/>
      <c r="OJ227" s="15"/>
      <c r="OK227" s="15"/>
      <c r="OL227" s="10"/>
      <c r="OM227" s="10"/>
      <c r="ON227" s="21"/>
      <c r="OO227" s="21"/>
      <c r="OR227" s="21"/>
      <c r="OS227" s="15"/>
      <c r="OT227" s="15"/>
      <c r="OU227" s="15"/>
      <c r="OV227" s="15"/>
      <c r="OW227" s="15"/>
      <c r="OX227" s="15"/>
      <c r="OY227" s="15"/>
      <c r="OZ227" s="15"/>
      <c r="PA227" s="15"/>
      <c r="PB227" s="15"/>
      <c r="PC227" s="10"/>
      <c r="PD227" s="10"/>
      <c r="PE227" s="21"/>
      <c r="PF227" s="21"/>
      <c r="PI227" s="21"/>
      <c r="PJ227" s="15"/>
      <c r="PK227" s="15"/>
      <c r="PL227" s="15"/>
      <c r="PM227" s="15"/>
      <c r="PN227" s="15"/>
      <c r="PO227" s="15"/>
      <c r="PP227" s="15"/>
      <c r="PQ227" s="15"/>
      <c r="PR227" s="15"/>
      <c r="PS227" s="15"/>
      <c r="PT227" s="10"/>
      <c r="PU227" s="10"/>
      <c r="PV227" s="21"/>
      <c r="PW227" s="21"/>
      <c r="PZ227" s="21"/>
      <c r="QA227" s="15"/>
      <c r="QB227" s="15"/>
      <c r="QC227" s="15"/>
      <c r="QD227" s="15"/>
      <c r="QE227" s="15"/>
      <c r="QF227" s="15"/>
      <c r="QG227" s="15"/>
      <c r="QH227" s="15"/>
      <c r="QI227" s="15"/>
      <c r="QJ227" s="15"/>
      <c r="QK227" s="10"/>
      <c r="QL227" s="10"/>
      <c r="QM227" s="21"/>
      <c r="QN227" s="21"/>
      <c r="QQ227" s="21"/>
      <c r="QR227" s="15"/>
      <c r="QS227" s="15"/>
      <c r="QT227" s="15"/>
      <c r="QU227" s="15"/>
      <c r="QV227" s="15"/>
      <c r="QW227" s="15"/>
      <c r="QX227" s="15"/>
      <c r="QY227" s="15"/>
      <c r="QZ227" s="15"/>
      <c r="RA227" s="15"/>
      <c r="RB227" s="10"/>
      <c r="RC227" s="10"/>
      <c r="RD227" s="21"/>
      <c r="RE227" s="21"/>
      <c r="RH227" s="21"/>
      <c r="RI227" s="15"/>
      <c r="RJ227" s="15"/>
      <c r="RK227" s="15"/>
      <c r="RL227" s="15"/>
      <c r="RM227" s="15"/>
      <c r="RN227" s="15"/>
      <c r="RO227" s="15"/>
      <c r="RP227" s="15"/>
      <c r="RQ227" s="15"/>
      <c r="RR227" s="15"/>
      <c r="RS227" s="10"/>
      <c r="RT227" s="10"/>
      <c r="RU227" s="21"/>
      <c r="RV227" s="21"/>
      <c r="RY227" s="21"/>
      <c r="RZ227" s="15"/>
      <c r="SA227" s="15"/>
      <c r="SB227" s="15"/>
      <c r="SC227" s="15"/>
      <c r="SD227" s="15"/>
      <c r="SE227" s="15"/>
      <c r="SF227" s="15"/>
      <c r="SG227" s="15"/>
      <c r="SH227" s="15"/>
      <c r="SI227" s="15"/>
      <c r="SJ227" s="10"/>
      <c r="SK227" s="10"/>
      <c r="SL227" s="21"/>
      <c r="SM227" s="21"/>
      <c r="SP227" s="21"/>
      <c r="SQ227" s="15"/>
      <c r="SR227" s="15"/>
      <c r="SS227" s="15"/>
      <c r="ST227" s="15"/>
      <c r="SU227" s="15"/>
      <c r="SV227" s="15"/>
      <c r="SW227" s="15"/>
      <c r="SX227" s="15"/>
      <c r="SY227" s="15"/>
      <c r="SZ227" s="15"/>
      <c r="TA227" s="10"/>
      <c r="TB227" s="10"/>
      <c r="TC227" s="21"/>
      <c r="TD227" s="21"/>
      <c r="TG227" s="21"/>
      <c r="TH227" s="15"/>
      <c r="TI227" s="15"/>
      <c r="TJ227" s="15"/>
      <c r="TK227" s="15"/>
      <c r="TL227" s="15"/>
      <c r="TM227" s="15"/>
      <c r="TN227" s="15"/>
      <c r="TO227" s="15"/>
      <c r="TP227" s="15"/>
      <c r="TQ227" s="15"/>
      <c r="TR227" s="10"/>
      <c r="TS227" s="10"/>
      <c r="TT227" s="21"/>
      <c r="TU227" s="21"/>
      <c r="TX227" s="21"/>
      <c r="TY227" s="15"/>
      <c r="TZ227" s="15"/>
      <c r="UA227" s="15"/>
      <c r="UB227" s="15"/>
      <c r="UC227" s="15"/>
      <c r="UD227" s="15"/>
      <c r="UE227" s="15"/>
      <c r="UF227" s="15"/>
      <c r="UG227" s="15"/>
      <c r="UH227" s="15"/>
      <c r="UI227" s="10"/>
      <c r="UJ227" s="10"/>
      <c r="UK227" s="21"/>
      <c r="UL227" s="21"/>
      <c r="UO227" s="21"/>
      <c r="UP227" s="15"/>
      <c r="UQ227" s="15"/>
      <c r="UR227" s="15"/>
      <c r="US227" s="15"/>
      <c r="UT227" s="15"/>
      <c r="UU227" s="15"/>
      <c r="UV227" s="15"/>
      <c r="UW227" s="15"/>
      <c r="UX227" s="15"/>
      <c r="UY227" s="15"/>
      <c r="UZ227" s="10"/>
      <c r="VA227" s="10"/>
      <c r="VB227" s="21"/>
      <c r="VC227" s="21"/>
      <c r="VF227" s="21"/>
      <c r="VG227" s="15"/>
      <c r="VH227" s="15"/>
      <c r="VI227" s="15"/>
      <c r="VJ227" s="15"/>
      <c r="VK227" s="15"/>
      <c r="VL227" s="15"/>
      <c r="VM227" s="15"/>
      <c r="VN227" s="15"/>
      <c r="VO227" s="15"/>
      <c r="VP227" s="15"/>
      <c r="VQ227" s="10"/>
      <c r="VR227" s="10"/>
      <c r="VS227" s="21"/>
      <c r="VT227" s="21"/>
      <c r="VW227" s="21"/>
      <c r="VX227" s="15"/>
      <c r="VY227" s="15"/>
      <c r="VZ227" s="15"/>
      <c r="WA227" s="15"/>
      <c r="WB227" s="15"/>
      <c r="WC227" s="15"/>
      <c r="WD227" s="15"/>
      <c r="WE227" s="15"/>
      <c r="WF227" s="15"/>
      <c r="WG227" s="15"/>
      <c r="WH227" s="10"/>
      <c r="WI227" s="10"/>
      <c r="WJ227" s="21"/>
      <c r="WK227" s="21"/>
      <c r="WN227" s="21"/>
      <c r="WO227" s="15"/>
      <c r="WP227" s="15"/>
      <c r="WQ227" s="15"/>
      <c r="WR227" s="15"/>
      <c r="WS227" s="15"/>
      <c r="WT227" s="15"/>
      <c r="WU227" s="15"/>
      <c r="WV227" s="15"/>
      <c r="WW227" s="15"/>
      <c r="WX227" s="15"/>
      <c r="WY227" s="10"/>
      <c r="WZ227" s="10"/>
      <c r="XA227" s="21"/>
      <c r="XB227" s="21"/>
      <c r="XE227" s="21"/>
      <c r="XF227" s="15"/>
      <c r="XG227" s="15"/>
      <c r="XH227" s="15"/>
      <c r="XI227" s="15"/>
      <c r="XJ227" s="15"/>
      <c r="XK227" s="15"/>
      <c r="XL227" s="15"/>
      <c r="XM227" s="15"/>
      <c r="XN227" s="15"/>
      <c r="XO227" s="15"/>
      <c r="XP227" s="10"/>
      <c r="XQ227" s="10"/>
      <c r="XR227" s="21"/>
      <c r="XS227" s="21"/>
      <c r="XV227" s="21"/>
      <c r="XW227" s="15"/>
      <c r="XX227" s="15"/>
      <c r="XY227" s="15"/>
      <c r="XZ227" s="15"/>
      <c r="YA227" s="15"/>
      <c r="YB227" s="15"/>
      <c r="YC227" s="15"/>
      <c r="YD227" s="15"/>
      <c r="YE227" s="15"/>
      <c r="YF227" s="15"/>
      <c r="YG227" s="10"/>
      <c r="YH227" s="10"/>
      <c r="YI227" s="21"/>
      <c r="YJ227" s="21"/>
      <c r="YM227" s="21"/>
      <c r="YN227" s="15"/>
      <c r="YO227" s="15"/>
      <c r="YP227" s="15"/>
      <c r="YQ227" s="15"/>
      <c r="YR227" s="15"/>
      <c r="YS227" s="15"/>
      <c r="YT227" s="15"/>
      <c r="YU227" s="15"/>
      <c r="YV227" s="15"/>
      <c r="YW227" s="15"/>
      <c r="YX227" s="10"/>
      <c r="YY227" s="10"/>
      <c r="YZ227" s="21"/>
      <c r="ZA227" s="21"/>
      <c r="ZD227" s="21"/>
      <c r="ZE227" s="15"/>
      <c r="ZF227" s="15"/>
      <c r="ZG227" s="15"/>
      <c r="ZH227" s="15"/>
      <c r="ZI227" s="15"/>
      <c r="ZJ227" s="15"/>
      <c r="ZK227" s="15"/>
      <c r="ZL227" s="15"/>
      <c r="ZM227" s="15"/>
      <c r="ZN227" s="15"/>
      <c r="ZO227" s="10"/>
      <c r="ZP227" s="10"/>
      <c r="ZQ227" s="21"/>
      <c r="ZR227" s="21"/>
      <c r="ZU227" s="21"/>
      <c r="ZV227" s="15"/>
      <c r="ZW227" s="15"/>
      <c r="ZX227" s="15"/>
      <c r="ZY227" s="15"/>
      <c r="ZZ227" s="15"/>
      <c r="AAA227" s="15"/>
      <c r="AAB227" s="15"/>
      <c r="AAC227" s="15"/>
      <c r="AAD227" s="15"/>
      <c r="AAE227" s="15"/>
      <c r="AAF227" s="10"/>
      <c r="AAG227" s="10"/>
      <c r="AAH227" s="21"/>
      <c r="AAI227" s="21"/>
      <c r="AAL227" s="21"/>
      <c r="AAM227" s="15"/>
      <c r="AAN227" s="15"/>
      <c r="AAO227" s="15"/>
      <c r="AAP227" s="15"/>
      <c r="AAQ227" s="15"/>
      <c r="AAR227" s="15"/>
      <c r="AAS227" s="15"/>
      <c r="AAT227" s="15"/>
      <c r="AAU227" s="15"/>
      <c r="AAV227" s="15"/>
      <c r="AAW227" s="10"/>
      <c r="AAX227" s="10"/>
      <c r="AAY227" s="21"/>
      <c r="AAZ227" s="21"/>
      <c r="ABC227" s="21"/>
      <c r="ABD227" s="15"/>
      <c r="ABE227" s="15"/>
      <c r="ABF227" s="15"/>
      <c r="ABG227" s="15"/>
      <c r="ABH227" s="15"/>
      <c r="ABI227" s="15"/>
      <c r="ABJ227" s="15"/>
      <c r="ABK227" s="15"/>
      <c r="ABL227" s="15"/>
      <c r="ABM227" s="15"/>
      <c r="ABN227" s="10"/>
      <c r="ABO227" s="10"/>
      <c r="ABP227" s="21"/>
      <c r="ABQ227" s="21"/>
      <c r="ABT227" s="21"/>
      <c r="ABU227" s="15"/>
      <c r="ABV227" s="15"/>
      <c r="ABW227" s="15"/>
      <c r="ABX227" s="15"/>
      <c r="ABY227" s="15"/>
      <c r="ABZ227" s="15"/>
      <c r="ACA227" s="15"/>
      <c r="ACB227" s="15"/>
      <c r="ACC227" s="15"/>
      <c r="ACD227" s="15"/>
      <c r="ACE227" s="10"/>
      <c r="ACF227" s="10"/>
      <c r="ACG227" s="21"/>
      <c r="ACH227" s="21"/>
      <c r="ACK227" s="21"/>
      <c r="ACL227" s="15"/>
      <c r="ACM227" s="15"/>
      <c r="ACN227" s="15"/>
      <c r="ACO227" s="15"/>
      <c r="ACP227" s="15"/>
      <c r="ACQ227" s="15"/>
      <c r="ACR227" s="15"/>
      <c r="ACS227" s="15"/>
      <c r="ACT227" s="15"/>
      <c r="ACU227" s="15"/>
      <c r="ACV227" s="10"/>
      <c r="ACW227" s="10"/>
      <c r="ACX227" s="21"/>
      <c r="ACY227" s="21"/>
      <c r="ADB227" s="21"/>
      <c r="ADC227" s="15"/>
      <c r="ADD227" s="15"/>
      <c r="ADE227" s="15"/>
      <c r="ADF227" s="15"/>
      <c r="ADG227" s="15"/>
      <c r="ADH227" s="15"/>
      <c r="ADI227" s="15"/>
      <c r="ADJ227" s="15"/>
      <c r="ADK227" s="15"/>
      <c r="ADL227" s="15"/>
      <c r="ADM227" s="10"/>
      <c r="ADN227" s="10"/>
      <c r="ADO227" s="21"/>
      <c r="ADP227" s="21"/>
      <c r="ADS227" s="21"/>
      <c r="ADT227" s="15"/>
      <c r="ADU227" s="15"/>
      <c r="ADV227" s="15"/>
      <c r="ADW227" s="15"/>
      <c r="ADX227" s="15"/>
      <c r="ADY227" s="15"/>
      <c r="ADZ227" s="15"/>
      <c r="AEA227" s="15"/>
      <c r="AEB227" s="15"/>
      <c r="AEC227" s="15"/>
      <c r="AED227" s="10"/>
      <c r="AEE227" s="10"/>
      <c r="AEF227" s="21"/>
      <c r="AEG227" s="21"/>
      <c r="AEJ227" s="21"/>
      <c r="AEK227" s="15"/>
      <c r="AEL227" s="15"/>
      <c r="AEM227" s="15"/>
      <c r="AEN227" s="15"/>
      <c r="AEO227" s="15"/>
      <c r="AEP227" s="15"/>
      <c r="AEQ227" s="15"/>
      <c r="AER227" s="15"/>
      <c r="AES227" s="15"/>
      <c r="AET227" s="15"/>
      <c r="AEU227" s="10"/>
      <c r="AEV227" s="10"/>
      <c r="AEW227" s="21"/>
      <c r="AEX227" s="21"/>
      <c r="AFA227" s="21"/>
      <c r="AFB227" s="15"/>
      <c r="AFC227" s="15"/>
      <c r="AFD227" s="15"/>
      <c r="AFE227" s="15"/>
      <c r="AFF227" s="15"/>
      <c r="AFG227" s="15"/>
      <c r="AFH227" s="15"/>
      <c r="AFI227" s="15"/>
      <c r="AFJ227" s="15"/>
      <c r="AFK227" s="15"/>
      <c r="AFL227" s="10"/>
      <c r="AFM227" s="10"/>
      <c r="AFN227" s="21"/>
      <c r="AFO227" s="21"/>
      <c r="AFR227" s="21"/>
      <c r="AFS227" s="15"/>
      <c r="AFT227" s="15"/>
      <c r="AFU227" s="15"/>
      <c r="AFV227" s="15"/>
      <c r="AFW227" s="15"/>
      <c r="AFX227" s="15"/>
      <c r="AFY227" s="15"/>
      <c r="AFZ227" s="15"/>
      <c r="AGA227" s="15"/>
      <c r="AGB227" s="15"/>
      <c r="AGC227" s="10"/>
      <c r="AGD227" s="10"/>
      <c r="AGE227" s="21"/>
      <c r="AGF227" s="21"/>
      <c r="AGI227" s="21"/>
      <c r="AGJ227" s="15"/>
      <c r="AGK227" s="15"/>
      <c r="AGL227" s="15"/>
      <c r="AGM227" s="15"/>
      <c r="AGN227" s="15"/>
      <c r="AGO227" s="15"/>
      <c r="AGP227" s="15"/>
      <c r="AGQ227" s="15"/>
      <c r="AGR227" s="15"/>
      <c r="AGS227" s="15"/>
      <c r="AGT227" s="10"/>
      <c r="AGU227" s="10"/>
      <c r="AGV227" s="21"/>
      <c r="AGW227" s="21"/>
      <c r="AGZ227" s="21"/>
      <c r="AHA227" s="15"/>
      <c r="AHB227" s="15"/>
      <c r="AHC227" s="15"/>
      <c r="AHD227" s="15"/>
      <c r="AHE227" s="15"/>
      <c r="AHF227" s="15"/>
      <c r="AHG227" s="15"/>
      <c r="AHH227" s="15"/>
      <c r="AHI227" s="15"/>
      <c r="AHJ227" s="15"/>
      <c r="AHK227" s="10"/>
      <c r="AHL227" s="10"/>
      <c r="AHM227" s="21"/>
      <c r="AHN227" s="21"/>
      <c r="AHQ227" s="21"/>
      <c r="AHR227" s="15"/>
      <c r="AHS227" s="15"/>
      <c r="AHT227" s="15"/>
      <c r="AHU227" s="15"/>
      <c r="AHV227" s="15"/>
      <c r="AHW227" s="15"/>
      <c r="AHX227" s="15"/>
      <c r="AHY227" s="15"/>
      <c r="AHZ227" s="15"/>
      <c r="AIA227" s="15"/>
      <c r="AIB227" s="10"/>
      <c r="AIC227" s="10"/>
      <c r="AID227" s="21"/>
      <c r="AIE227" s="21"/>
      <c r="AIH227" s="21"/>
      <c r="AII227" s="15"/>
      <c r="AIJ227" s="15"/>
      <c r="AIK227" s="15"/>
      <c r="AIL227" s="15"/>
      <c r="AIM227" s="15"/>
      <c r="AIN227" s="15"/>
      <c r="AIO227" s="15"/>
      <c r="AIP227" s="15"/>
      <c r="AIQ227" s="15"/>
      <c r="AIR227" s="15"/>
      <c r="AIS227" s="10"/>
      <c r="AIT227" s="10"/>
      <c r="AIU227" s="21"/>
      <c r="AIV227" s="21"/>
      <c r="AIY227" s="21"/>
      <c r="AIZ227" s="15"/>
      <c r="AJA227" s="15"/>
      <c r="AJB227" s="15"/>
      <c r="AJC227" s="15"/>
      <c r="AJD227" s="15"/>
      <c r="AJE227" s="15"/>
      <c r="AJF227" s="15"/>
      <c r="AJG227" s="15"/>
      <c r="AJH227" s="15"/>
      <c r="AJI227" s="15"/>
      <c r="AJJ227" s="10"/>
      <c r="AJK227" s="10"/>
      <c r="AJL227" s="21"/>
      <c r="AJM227" s="21"/>
      <c r="AJP227" s="21"/>
      <c r="AJQ227" s="15"/>
      <c r="AJR227" s="15"/>
      <c r="AJS227" s="15"/>
      <c r="AJT227" s="15"/>
      <c r="AJU227" s="15"/>
      <c r="AJV227" s="15"/>
      <c r="AJW227" s="15"/>
      <c r="AJX227" s="15"/>
      <c r="AJY227" s="15"/>
      <c r="AJZ227" s="15"/>
      <c r="AKA227" s="10"/>
      <c r="AKB227" s="10"/>
      <c r="AKC227" s="21"/>
      <c r="AKD227" s="21"/>
      <c r="AKG227" s="21"/>
      <c r="AKH227" s="15"/>
      <c r="AKI227" s="15"/>
      <c r="AKJ227" s="15"/>
      <c r="AKK227" s="15"/>
      <c r="AKL227" s="15"/>
      <c r="AKM227" s="15"/>
      <c r="AKN227" s="15"/>
      <c r="AKO227" s="15"/>
      <c r="AKP227" s="15"/>
      <c r="AKQ227" s="15"/>
      <c r="AKR227" s="10"/>
      <c r="AKS227" s="10"/>
      <c r="AKT227" s="21"/>
      <c r="AKU227" s="21"/>
      <c r="AKX227" s="21"/>
      <c r="AKY227" s="15"/>
      <c r="AKZ227" s="15"/>
      <c r="ALA227" s="15"/>
      <c r="ALB227" s="15"/>
      <c r="ALC227" s="15"/>
      <c r="ALD227" s="15"/>
      <c r="ALE227" s="15"/>
      <c r="ALF227" s="15"/>
      <c r="ALG227" s="15"/>
      <c r="ALH227" s="15"/>
      <c r="ALI227" s="10"/>
      <c r="ALJ227" s="10"/>
      <c r="ALK227" s="21"/>
      <c r="ALL227" s="21"/>
      <c r="ALO227" s="21"/>
      <c r="ALP227" s="15"/>
      <c r="ALQ227" s="15"/>
      <c r="ALR227" s="15"/>
      <c r="ALS227" s="15"/>
      <c r="ALT227" s="15"/>
      <c r="ALU227" s="15"/>
      <c r="ALV227" s="15"/>
      <c r="ALW227" s="15"/>
      <c r="ALX227" s="15"/>
      <c r="ALY227" s="15"/>
      <c r="ALZ227" s="10"/>
      <c r="AMA227" s="10"/>
      <c r="AMB227" s="21"/>
      <c r="AMC227" s="21"/>
      <c r="AMF227" s="21"/>
      <c r="AMG227" s="15"/>
      <c r="AMH227" s="15"/>
      <c r="AMI227" s="15"/>
      <c r="AMJ227" s="15"/>
      <c r="AMK227" s="15"/>
      <c r="AML227" s="15"/>
      <c r="AMM227" s="15"/>
      <c r="AMN227" s="15"/>
      <c r="AMO227" s="15"/>
      <c r="AMP227" s="15"/>
      <c r="AMQ227" s="10"/>
      <c r="AMR227" s="10"/>
      <c r="AMS227" s="21"/>
      <c r="AMT227" s="21"/>
      <c r="AMW227" s="21"/>
      <c r="AMX227" s="15"/>
      <c r="AMY227" s="15"/>
      <c r="AMZ227" s="15"/>
      <c r="ANA227" s="15"/>
      <c r="ANB227" s="15"/>
      <c r="ANC227" s="15"/>
      <c r="AND227" s="15"/>
      <c r="ANE227" s="15"/>
      <c r="ANF227" s="15"/>
      <c r="ANG227" s="15"/>
      <c r="ANH227" s="10"/>
      <c r="ANI227" s="10"/>
      <c r="ANJ227" s="21"/>
      <c r="ANK227" s="21"/>
      <c r="ANN227" s="21"/>
      <c r="ANO227" s="15"/>
      <c r="ANP227" s="15"/>
      <c r="ANQ227" s="15"/>
      <c r="ANR227" s="15"/>
      <c r="ANS227" s="15"/>
      <c r="ANT227" s="15"/>
      <c r="ANU227" s="15"/>
      <c r="ANV227" s="15"/>
      <c r="ANW227" s="15"/>
      <c r="ANX227" s="15"/>
      <c r="ANY227" s="10"/>
      <c r="ANZ227" s="10"/>
      <c r="AOA227" s="21"/>
      <c r="AOB227" s="21"/>
      <c r="AOE227" s="21"/>
      <c r="AOF227" s="15"/>
      <c r="AOG227" s="15"/>
      <c r="AOH227" s="15"/>
      <c r="AOI227" s="15"/>
      <c r="AOJ227" s="15"/>
      <c r="AOK227" s="15"/>
      <c r="AOL227" s="15"/>
      <c r="AOM227" s="15"/>
      <c r="AON227" s="15"/>
      <c r="AOO227" s="15"/>
      <c r="AOP227" s="10"/>
      <c r="AOQ227" s="10"/>
      <c r="AOR227" s="21"/>
      <c r="AOS227" s="21"/>
      <c r="AOV227" s="21"/>
      <c r="AOW227" s="15"/>
      <c r="AOX227" s="15"/>
      <c r="AOY227" s="15"/>
      <c r="AOZ227" s="15"/>
      <c r="APA227" s="15"/>
      <c r="APB227" s="15"/>
      <c r="APC227" s="15"/>
      <c r="APD227" s="15"/>
      <c r="APE227" s="15"/>
      <c r="APF227" s="15"/>
      <c r="APG227" s="10"/>
      <c r="APH227" s="10"/>
      <c r="API227" s="21"/>
      <c r="APJ227" s="21"/>
      <c r="APM227" s="21"/>
      <c r="APN227" s="15"/>
      <c r="APO227" s="15"/>
      <c r="APP227" s="15"/>
      <c r="APQ227" s="15"/>
      <c r="APR227" s="15"/>
      <c r="APS227" s="15"/>
      <c r="APT227" s="15"/>
      <c r="APU227" s="15"/>
      <c r="APV227" s="15"/>
      <c r="APW227" s="15"/>
      <c r="APX227" s="10"/>
      <c r="APY227" s="10"/>
      <c r="APZ227" s="21"/>
      <c r="AQA227" s="21"/>
      <c r="AQD227" s="21"/>
      <c r="AQE227" s="15"/>
      <c r="AQF227" s="15"/>
      <c r="AQG227" s="15"/>
      <c r="AQH227" s="15"/>
      <c r="AQI227" s="15"/>
      <c r="AQJ227" s="15"/>
      <c r="AQK227" s="15"/>
      <c r="AQL227" s="15"/>
      <c r="AQM227" s="15"/>
      <c r="AQN227" s="15"/>
      <c r="AQO227" s="10"/>
      <c r="AQP227" s="10"/>
      <c r="AQQ227" s="21"/>
      <c r="AQR227" s="21"/>
      <c r="AQU227" s="21"/>
      <c r="AQV227" s="15"/>
      <c r="AQW227" s="15"/>
      <c r="AQX227" s="15"/>
      <c r="AQY227" s="15"/>
      <c r="AQZ227" s="15"/>
      <c r="ARA227" s="15"/>
      <c r="ARB227" s="15"/>
      <c r="ARC227" s="15"/>
      <c r="ARD227" s="15"/>
      <c r="ARE227" s="15"/>
      <c r="ARF227" s="10"/>
      <c r="ARG227" s="10"/>
      <c r="ARH227" s="21"/>
      <c r="ARI227" s="21"/>
      <c r="ARL227" s="21"/>
      <c r="ARM227" s="15"/>
      <c r="ARN227" s="15"/>
      <c r="ARO227" s="15"/>
      <c r="ARP227" s="15"/>
      <c r="ARQ227" s="15"/>
      <c r="ARR227" s="15"/>
      <c r="ARS227" s="15"/>
      <c r="ART227" s="15"/>
      <c r="ARU227" s="15"/>
      <c r="ARV227" s="15"/>
      <c r="ARW227" s="10"/>
      <c r="ARX227" s="10"/>
      <c r="ARY227" s="21"/>
      <c r="ARZ227" s="21"/>
      <c r="ASC227" s="21"/>
      <c r="ASD227" s="15"/>
      <c r="ASE227" s="15"/>
      <c r="ASF227" s="15"/>
      <c r="ASG227" s="15"/>
      <c r="ASH227" s="15"/>
      <c r="ASI227" s="15"/>
      <c r="ASJ227" s="15"/>
      <c r="ASK227" s="15"/>
      <c r="ASL227" s="15"/>
      <c r="ASM227" s="15"/>
      <c r="ASN227" s="10"/>
      <c r="ASO227" s="10"/>
      <c r="ASP227" s="21"/>
      <c r="ASQ227" s="21"/>
      <c r="AST227" s="21"/>
      <c r="ASU227" s="15"/>
      <c r="ASV227" s="15"/>
      <c r="ASW227" s="15"/>
      <c r="ASX227" s="15"/>
      <c r="ASY227" s="15"/>
      <c r="ASZ227" s="15"/>
      <c r="ATA227" s="15"/>
      <c r="ATB227" s="15"/>
      <c r="ATC227" s="15"/>
      <c r="ATD227" s="15"/>
      <c r="ATE227" s="10"/>
      <c r="ATF227" s="10"/>
      <c r="ATG227" s="21"/>
      <c r="ATH227" s="21"/>
      <c r="ATK227" s="21"/>
      <c r="ATL227" s="15"/>
      <c r="ATM227" s="15"/>
      <c r="ATN227" s="15"/>
      <c r="ATO227" s="15"/>
      <c r="ATP227" s="15"/>
      <c r="ATQ227" s="15"/>
      <c r="ATR227" s="15"/>
      <c r="ATS227" s="15"/>
      <c r="ATT227" s="15"/>
      <c r="ATU227" s="15"/>
      <c r="ATV227" s="10"/>
      <c r="ATW227" s="10"/>
      <c r="ATX227" s="21"/>
      <c r="ATY227" s="21"/>
      <c r="AUB227" s="21"/>
      <c r="AUC227" s="15"/>
      <c r="AUD227" s="15"/>
      <c r="AUE227" s="15"/>
      <c r="AUF227" s="15"/>
      <c r="AUG227" s="15"/>
      <c r="AUH227" s="15"/>
      <c r="AUI227" s="15"/>
      <c r="AUJ227" s="15"/>
      <c r="AUK227" s="15"/>
      <c r="AUL227" s="15"/>
      <c r="AUM227" s="10"/>
      <c r="AUN227" s="10"/>
      <c r="AUO227" s="21"/>
      <c r="AUP227" s="21"/>
      <c r="AUS227" s="21"/>
      <c r="AUT227" s="15"/>
      <c r="AUU227" s="15"/>
      <c r="AUV227" s="15"/>
      <c r="AUW227" s="15"/>
      <c r="AUX227" s="15"/>
      <c r="AUY227" s="15"/>
      <c r="AUZ227" s="15"/>
      <c r="AVA227" s="15"/>
      <c r="AVB227" s="15"/>
      <c r="AVC227" s="15"/>
      <c r="AVD227" s="10"/>
      <c r="AVE227" s="10"/>
      <c r="AVF227" s="21"/>
      <c r="AVG227" s="21"/>
      <c r="AVJ227" s="21"/>
      <c r="AVK227" s="15"/>
      <c r="AVL227" s="15"/>
      <c r="AVM227" s="15"/>
      <c r="AVN227" s="15"/>
      <c r="AVO227" s="15"/>
      <c r="AVP227" s="15"/>
      <c r="AVQ227" s="15"/>
      <c r="AVR227" s="15"/>
      <c r="AVS227" s="15"/>
      <c r="AVT227" s="15"/>
      <c r="AVU227" s="10"/>
      <c r="AVV227" s="10"/>
      <c r="AVW227" s="21"/>
      <c r="AVX227" s="21"/>
      <c r="AWA227" s="21"/>
      <c r="AWB227" s="15"/>
      <c r="AWC227" s="15"/>
      <c r="AWD227" s="15"/>
      <c r="AWE227" s="15"/>
      <c r="AWF227" s="15"/>
      <c r="AWG227" s="15"/>
      <c r="AWH227" s="15"/>
      <c r="AWI227" s="15"/>
      <c r="AWJ227" s="15"/>
      <c r="AWK227" s="15"/>
      <c r="AWL227" s="10"/>
      <c r="AWM227" s="10"/>
      <c r="AWN227" s="21"/>
      <c r="AWO227" s="21"/>
      <c r="AWR227" s="21"/>
      <c r="AWS227" s="15"/>
      <c r="AWT227" s="15"/>
      <c r="AWU227" s="15"/>
      <c r="AWV227" s="15"/>
      <c r="AWW227" s="15"/>
      <c r="AWX227" s="15"/>
      <c r="AWY227" s="15"/>
      <c r="AWZ227" s="15"/>
      <c r="AXA227" s="15"/>
      <c r="AXB227" s="15"/>
      <c r="AXC227" s="10"/>
      <c r="AXD227" s="10"/>
      <c r="AXE227" s="21"/>
      <c r="AXF227" s="21"/>
      <c r="AXI227" s="21"/>
      <c r="AXJ227" s="15"/>
      <c r="AXK227" s="15"/>
      <c r="AXL227" s="15"/>
      <c r="AXM227" s="15"/>
      <c r="AXN227" s="15"/>
      <c r="AXO227" s="15"/>
      <c r="AXP227" s="15"/>
      <c r="AXQ227" s="15"/>
      <c r="AXR227" s="15"/>
      <c r="AXS227" s="15"/>
      <c r="AXT227" s="10"/>
      <c r="AXU227" s="10"/>
      <c r="AXV227" s="21"/>
      <c r="AXW227" s="21"/>
      <c r="AXZ227" s="21"/>
      <c r="AYA227" s="15"/>
      <c r="AYB227" s="15"/>
      <c r="AYC227" s="15"/>
      <c r="AYD227" s="15"/>
      <c r="AYE227" s="15"/>
      <c r="AYF227" s="15"/>
      <c r="AYG227" s="15"/>
      <c r="AYH227" s="15"/>
      <c r="AYI227" s="15"/>
      <c r="AYJ227" s="15"/>
      <c r="AYK227" s="10"/>
      <c r="AYL227" s="10"/>
      <c r="AYM227" s="21"/>
      <c r="AYN227" s="21"/>
      <c r="AYQ227" s="21"/>
      <c r="AYR227" s="15"/>
      <c r="AYS227" s="15"/>
      <c r="AYT227" s="15"/>
      <c r="AYU227" s="15"/>
      <c r="AYV227" s="15"/>
      <c r="AYW227" s="15"/>
      <c r="AYX227" s="15"/>
      <c r="AYY227" s="15"/>
      <c r="AYZ227" s="15"/>
      <c r="AZA227" s="15"/>
      <c r="AZB227" s="10"/>
      <c r="AZC227" s="10"/>
      <c r="AZD227" s="21"/>
      <c r="AZE227" s="21"/>
      <c r="AZH227" s="21"/>
      <c r="AZI227" s="15"/>
      <c r="AZJ227" s="15"/>
      <c r="AZK227" s="15"/>
      <c r="AZL227" s="15"/>
      <c r="AZM227" s="15"/>
      <c r="AZN227" s="15"/>
      <c r="AZO227" s="15"/>
      <c r="AZP227" s="15"/>
      <c r="AZQ227" s="15"/>
      <c r="AZR227" s="15"/>
      <c r="AZS227" s="10"/>
      <c r="AZT227" s="10"/>
      <c r="AZU227" s="21"/>
      <c r="AZV227" s="21"/>
      <c r="AZY227" s="21"/>
      <c r="AZZ227" s="15"/>
      <c r="BAA227" s="15"/>
      <c r="BAB227" s="15"/>
      <c r="BAC227" s="15"/>
      <c r="BAD227" s="15"/>
      <c r="BAE227" s="15"/>
      <c r="BAF227" s="15"/>
      <c r="BAG227" s="15"/>
      <c r="BAH227" s="15"/>
      <c r="BAI227" s="15"/>
      <c r="BAJ227" s="10"/>
      <c r="BAK227" s="10"/>
      <c r="BAL227" s="21"/>
      <c r="BAM227" s="21"/>
      <c r="BAP227" s="21"/>
      <c r="BAQ227" s="15"/>
      <c r="BAR227" s="15"/>
      <c r="BAS227" s="15"/>
      <c r="BAT227" s="15"/>
      <c r="BAU227" s="15"/>
      <c r="BAV227" s="15"/>
      <c r="BAW227" s="15"/>
      <c r="BAX227" s="15"/>
      <c r="BAY227" s="15"/>
      <c r="BAZ227" s="15"/>
      <c r="BBA227" s="10"/>
      <c r="BBB227" s="10"/>
      <c r="BBC227" s="21"/>
      <c r="BBD227" s="21"/>
      <c r="BBG227" s="21"/>
      <c r="BBH227" s="15"/>
      <c r="BBI227" s="15"/>
      <c r="BBJ227" s="15"/>
      <c r="BBK227" s="15"/>
      <c r="BBL227" s="15"/>
      <c r="BBM227" s="15"/>
      <c r="BBN227" s="15"/>
      <c r="BBO227" s="15"/>
      <c r="BBP227" s="15"/>
      <c r="BBQ227" s="15"/>
      <c r="BBR227" s="10"/>
      <c r="BBS227" s="10"/>
      <c r="BBT227" s="21"/>
      <c r="BBU227" s="21"/>
      <c r="BBX227" s="21"/>
      <c r="BBY227" s="15"/>
      <c r="BBZ227" s="15"/>
      <c r="BCA227" s="15"/>
      <c r="BCB227" s="15"/>
      <c r="BCC227" s="15"/>
      <c r="BCD227" s="15"/>
      <c r="BCE227" s="15"/>
      <c r="BCF227" s="15"/>
      <c r="BCG227" s="15"/>
      <c r="BCH227" s="15"/>
      <c r="BCI227" s="10"/>
      <c r="BCJ227" s="10"/>
      <c r="BCK227" s="21"/>
      <c r="BCL227" s="21"/>
      <c r="BCO227" s="21"/>
      <c r="BCP227" s="15"/>
      <c r="BCQ227" s="15"/>
      <c r="BCR227" s="15"/>
      <c r="BCS227" s="15"/>
      <c r="BCT227" s="15"/>
      <c r="BCU227" s="15"/>
      <c r="BCV227" s="15"/>
      <c r="BCW227" s="15"/>
      <c r="BCX227" s="15"/>
      <c r="BCY227" s="15"/>
      <c r="BCZ227" s="10"/>
      <c r="BDA227" s="10"/>
      <c r="BDB227" s="21"/>
      <c r="BDC227" s="21"/>
      <c r="BDF227" s="21"/>
      <c r="BDG227" s="15"/>
      <c r="BDH227" s="15"/>
      <c r="BDI227" s="15"/>
      <c r="BDJ227" s="15"/>
      <c r="BDK227" s="15"/>
      <c r="BDL227" s="15"/>
      <c r="BDM227" s="15"/>
      <c r="BDN227" s="15"/>
      <c r="BDO227" s="15"/>
      <c r="BDP227" s="15"/>
      <c r="BDQ227" s="10"/>
      <c r="BDR227" s="10"/>
      <c r="BDS227" s="21"/>
      <c r="BDT227" s="21"/>
      <c r="BDW227" s="21"/>
      <c r="BDX227" s="15"/>
      <c r="BDY227" s="15"/>
      <c r="BDZ227" s="15"/>
      <c r="BEA227" s="15"/>
      <c r="BEB227" s="15"/>
      <c r="BEC227" s="15"/>
      <c r="BED227" s="15"/>
      <c r="BEE227" s="15"/>
      <c r="BEF227" s="15"/>
      <c r="BEG227" s="15"/>
      <c r="BEH227" s="10"/>
      <c r="BEI227" s="10"/>
      <c r="BEJ227" s="21"/>
      <c r="BEK227" s="21"/>
      <c r="BEN227" s="21"/>
      <c r="BEO227" s="15"/>
      <c r="BEP227" s="15"/>
      <c r="BEQ227" s="15"/>
      <c r="BER227" s="15"/>
      <c r="BES227" s="15"/>
      <c r="BET227" s="15"/>
      <c r="BEU227" s="15"/>
      <c r="BEV227" s="15"/>
      <c r="BEW227" s="15"/>
      <c r="BEX227" s="15"/>
      <c r="BEY227" s="10"/>
      <c r="BEZ227" s="10"/>
      <c r="BFA227" s="21"/>
      <c r="BFB227" s="21"/>
      <c r="BFE227" s="21"/>
      <c r="BFF227" s="15"/>
      <c r="BFG227" s="15"/>
      <c r="BFH227" s="15"/>
      <c r="BFI227" s="15"/>
      <c r="BFJ227" s="15"/>
      <c r="BFK227" s="15"/>
      <c r="BFL227" s="15"/>
      <c r="BFM227" s="15"/>
      <c r="BFN227" s="15"/>
      <c r="BFO227" s="15"/>
      <c r="BFP227" s="10"/>
      <c r="BFQ227" s="10"/>
      <c r="BFR227" s="21"/>
      <c r="BFS227" s="21"/>
      <c r="BFV227" s="21"/>
      <c r="BFW227" s="15"/>
      <c r="BFX227" s="15"/>
      <c r="BFY227" s="15"/>
      <c r="BFZ227" s="15"/>
      <c r="BGA227" s="15"/>
      <c r="BGB227" s="15"/>
      <c r="BGC227" s="15"/>
      <c r="BGD227" s="15"/>
      <c r="BGE227" s="15"/>
      <c r="BGF227" s="15"/>
      <c r="BGG227" s="10"/>
      <c r="BGH227" s="10"/>
      <c r="BGI227" s="21"/>
      <c r="BGJ227" s="21"/>
      <c r="BGM227" s="21"/>
      <c r="BGN227" s="15"/>
      <c r="BGO227" s="15"/>
      <c r="BGP227" s="15"/>
      <c r="BGQ227" s="15"/>
      <c r="BGR227" s="15"/>
      <c r="BGS227" s="15"/>
      <c r="BGT227" s="15"/>
      <c r="BGU227" s="15"/>
      <c r="BGV227" s="15"/>
      <c r="BGW227" s="15"/>
      <c r="BGX227" s="10"/>
      <c r="BGY227" s="10"/>
      <c r="BGZ227" s="21"/>
      <c r="BHA227" s="21"/>
      <c r="BHD227" s="21"/>
      <c r="BHE227" s="15"/>
      <c r="BHF227" s="15"/>
      <c r="BHG227" s="15"/>
      <c r="BHH227" s="15"/>
      <c r="BHI227" s="15"/>
      <c r="BHJ227" s="15"/>
      <c r="BHK227" s="15"/>
      <c r="BHL227" s="15"/>
      <c r="BHM227" s="15"/>
      <c r="BHN227" s="15"/>
      <c r="BHO227" s="10"/>
      <c r="BHP227" s="10"/>
      <c r="BHQ227" s="21"/>
      <c r="BHR227" s="21"/>
      <c r="BHU227" s="21"/>
      <c r="BHV227" s="15"/>
      <c r="BHW227" s="15"/>
      <c r="BHX227" s="15"/>
      <c r="BHY227" s="15"/>
      <c r="BHZ227" s="15"/>
      <c r="BIA227" s="15"/>
      <c r="BIB227" s="15"/>
      <c r="BIC227" s="15"/>
      <c r="BID227" s="15"/>
      <c r="BIE227" s="15"/>
      <c r="BIF227" s="10"/>
      <c r="BIG227" s="10"/>
      <c r="BIH227" s="21"/>
      <c r="BII227" s="21"/>
      <c r="BIL227" s="21"/>
      <c r="BIM227" s="15"/>
      <c r="BIN227" s="15"/>
      <c r="BIO227" s="15"/>
      <c r="BIP227" s="15"/>
      <c r="BIQ227" s="15"/>
      <c r="BIR227" s="15"/>
      <c r="BIS227" s="15"/>
      <c r="BIT227" s="15"/>
      <c r="BIU227" s="15"/>
      <c r="BIV227" s="15"/>
      <c r="BIW227" s="10"/>
      <c r="BIX227" s="10"/>
      <c r="BIY227" s="21"/>
      <c r="BIZ227" s="21"/>
      <c r="BJC227" s="21"/>
      <c r="BJD227" s="15"/>
      <c r="BJE227" s="15"/>
      <c r="BJF227" s="15"/>
      <c r="BJG227" s="15"/>
      <c r="BJH227" s="15"/>
      <c r="BJI227" s="15"/>
      <c r="BJJ227" s="15"/>
      <c r="BJK227" s="15"/>
      <c r="BJL227" s="15"/>
      <c r="BJM227" s="15"/>
      <c r="BJN227" s="10"/>
      <c r="BJO227" s="10"/>
      <c r="BJP227" s="21"/>
      <c r="BJQ227" s="21"/>
      <c r="BJT227" s="21"/>
      <c r="BJU227" s="15"/>
      <c r="BJV227" s="15"/>
      <c r="BJW227" s="15"/>
      <c r="BJX227" s="15"/>
      <c r="BJY227" s="15"/>
      <c r="BJZ227" s="15"/>
      <c r="BKA227" s="15"/>
      <c r="BKB227" s="15"/>
      <c r="BKC227" s="15"/>
      <c r="BKD227" s="15"/>
      <c r="BKE227" s="10"/>
      <c r="BKF227" s="10"/>
      <c r="BKG227" s="21"/>
      <c r="BKH227" s="21"/>
      <c r="BKK227" s="21"/>
      <c r="BKL227" s="15"/>
      <c r="BKM227" s="15"/>
      <c r="BKN227" s="15"/>
      <c r="BKO227" s="15"/>
      <c r="BKP227" s="15"/>
      <c r="BKQ227" s="15"/>
      <c r="BKR227" s="15"/>
      <c r="BKS227" s="15"/>
      <c r="BKT227" s="15"/>
      <c r="BKU227" s="15"/>
      <c r="BKV227" s="10"/>
      <c r="BKW227" s="10"/>
      <c r="BKX227" s="21"/>
      <c r="BKY227" s="21"/>
      <c r="BLB227" s="21"/>
      <c r="BLC227" s="15"/>
      <c r="BLD227" s="15"/>
      <c r="BLE227" s="15"/>
      <c r="BLF227" s="15"/>
      <c r="BLG227" s="15"/>
      <c r="BLH227" s="15"/>
      <c r="BLI227" s="15"/>
      <c r="BLJ227" s="15"/>
      <c r="BLK227" s="15"/>
      <c r="BLL227" s="15"/>
      <c r="BLM227" s="10"/>
      <c r="BLN227" s="10"/>
      <c r="BLO227" s="21"/>
      <c r="BLP227" s="21"/>
      <c r="BLS227" s="21"/>
      <c r="BLT227" s="15"/>
      <c r="BLU227" s="15"/>
      <c r="BLV227" s="15"/>
      <c r="BLW227" s="15"/>
      <c r="BLX227" s="15"/>
      <c r="BLY227" s="15"/>
      <c r="BLZ227" s="15"/>
      <c r="BMA227" s="15"/>
      <c r="BMB227" s="15"/>
      <c r="BMC227" s="15"/>
      <c r="BMD227" s="10"/>
      <c r="BME227" s="10"/>
      <c r="BMF227" s="21"/>
      <c r="BMG227" s="21"/>
      <c r="BMJ227" s="21"/>
      <c r="BMK227" s="15"/>
      <c r="BML227" s="15"/>
      <c r="BMM227" s="15"/>
      <c r="BMN227" s="15"/>
      <c r="BMO227" s="15"/>
      <c r="BMP227" s="15"/>
      <c r="BMQ227" s="15"/>
      <c r="BMR227" s="15"/>
      <c r="BMS227" s="15"/>
      <c r="BMT227" s="15"/>
      <c r="BMU227" s="10"/>
      <c r="BMV227" s="10"/>
      <c r="BMW227" s="21"/>
      <c r="BMX227" s="21"/>
      <c r="BNA227" s="21"/>
      <c r="BNB227" s="15"/>
      <c r="BNC227" s="15"/>
      <c r="BND227" s="15"/>
      <c r="BNE227" s="15"/>
      <c r="BNF227" s="15"/>
      <c r="BNG227" s="15"/>
      <c r="BNH227" s="15"/>
      <c r="BNI227" s="15"/>
      <c r="BNJ227" s="15"/>
      <c r="BNK227" s="15"/>
      <c r="BNL227" s="10"/>
      <c r="BNM227" s="10"/>
      <c r="BNN227" s="21"/>
      <c r="BNO227" s="21"/>
      <c r="BNR227" s="21"/>
      <c r="BNS227" s="15"/>
      <c r="BNT227" s="15"/>
      <c r="BNU227" s="15"/>
      <c r="BNV227" s="15"/>
      <c r="BNW227" s="15"/>
      <c r="BNX227" s="15"/>
      <c r="BNY227" s="15"/>
      <c r="BNZ227" s="15"/>
      <c r="BOA227" s="15"/>
      <c r="BOB227" s="15"/>
      <c r="BOC227" s="10"/>
      <c r="BOD227" s="10"/>
      <c r="BOE227" s="21"/>
      <c r="BOF227" s="21"/>
      <c r="BOI227" s="21"/>
      <c r="BOJ227" s="15"/>
      <c r="BOK227" s="15"/>
      <c r="BOL227" s="15"/>
      <c r="BOM227" s="15"/>
      <c r="BON227" s="15"/>
      <c r="BOO227" s="15"/>
      <c r="BOP227" s="15"/>
      <c r="BOQ227" s="15"/>
      <c r="BOR227" s="15"/>
      <c r="BOS227" s="15"/>
      <c r="BOT227" s="10"/>
      <c r="BOU227" s="10"/>
      <c r="BOV227" s="21"/>
      <c r="BOW227" s="21"/>
      <c r="BOZ227" s="21"/>
      <c r="BPA227" s="15"/>
      <c r="BPB227" s="15"/>
      <c r="BPC227" s="15"/>
      <c r="BPD227" s="15"/>
      <c r="BPE227" s="15"/>
      <c r="BPF227" s="15"/>
      <c r="BPG227" s="15"/>
      <c r="BPH227" s="15"/>
      <c r="BPI227" s="15"/>
      <c r="BPJ227" s="15"/>
      <c r="BPK227" s="10"/>
      <c r="BPL227" s="10"/>
      <c r="BPM227" s="21"/>
      <c r="BPN227" s="21"/>
      <c r="BPQ227" s="21"/>
      <c r="BPR227" s="15"/>
      <c r="BPS227" s="15"/>
      <c r="BPT227" s="15"/>
      <c r="BPU227" s="15"/>
      <c r="BPV227" s="15"/>
      <c r="BPW227" s="15"/>
      <c r="BPX227" s="15"/>
      <c r="BPY227" s="15"/>
      <c r="BPZ227" s="15"/>
      <c r="BQA227" s="15"/>
      <c r="BQB227" s="10"/>
      <c r="BQC227" s="10"/>
      <c r="BQD227" s="21"/>
      <c r="BQE227" s="21"/>
      <c r="BQH227" s="21"/>
      <c r="BQI227" s="15"/>
      <c r="BQJ227" s="15"/>
      <c r="BQK227" s="15"/>
      <c r="BQL227" s="15"/>
      <c r="BQM227" s="15"/>
      <c r="BQN227" s="15"/>
      <c r="BQO227" s="15"/>
      <c r="BQP227" s="15"/>
      <c r="BQQ227" s="15"/>
      <c r="BQR227" s="15"/>
      <c r="BQS227" s="10"/>
      <c r="BQT227" s="10"/>
      <c r="BQU227" s="21"/>
      <c r="BQV227" s="21"/>
      <c r="BQY227" s="21"/>
      <c r="BQZ227" s="15"/>
      <c r="BRA227" s="15"/>
      <c r="BRB227" s="15"/>
      <c r="BRC227" s="15"/>
      <c r="BRD227" s="15"/>
      <c r="BRE227" s="15"/>
      <c r="BRF227" s="15"/>
      <c r="BRG227" s="15"/>
      <c r="BRH227" s="15"/>
      <c r="BRI227" s="15"/>
      <c r="BRJ227" s="10"/>
      <c r="BRK227" s="10"/>
      <c r="BRL227" s="21"/>
      <c r="BRM227" s="21"/>
      <c r="BRP227" s="21"/>
      <c r="BRQ227" s="15"/>
      <c r="BRR227" s="15"/>
      <c r="BRS227" s="15"/>
      <c r="BRT227" s="15"/>
      <c r="BRU227" s="15"/>
      <c r="BRV227" s="15"/>
      <c r="BRW227" s="15"/>
      <c r="BRX227" s="15"/>
      <c r="BRY227" s="15"/>
      <c r="BRZ227" s="15"/>
      <c r="BSA227" s="10"/>
      <c r="BSB227" s="10"/>
      <c r="BSC227" s="21"/>
      <c r="BSD227" s="21"/>
      <c r="BSG227" s="21"/>
      <c r="BSH227" s="15"/>
      <c r="BSI227" s="15"/>
      <c r="BSJ227" s="15"/>
      <c r="BSK227" s="15"/>
      <c r="BSL227" s="15"/>
      <c r="BSM227" s="15"/>
      <c r="BSN227" s="15"/>
      <c r="BSO227" s="15"/>
      <c r="BSP227" s="15"/>
      <c r="BSQ227" s="15"/>
      <c r="BSR227" s="10"/>
      <c r="BSS227" s="10"/>
      <c r="BST227" s="21"/>
      <c r="BSU227" s="21"/>
      <c r="BSX227" s="21"/>
      <c r="BSY227" s="15"/>
      <c r="BSZ227" s="15"/>
      <c r="BTA227" s="15"/>
      <c r="BTB227" s="15"/>
      <c r="BTC227" s="15"/>
      <c r="BTD227" s="15"/>
      <c r="BTE227" s="15"/>
      <c r="BTF227" s="15"/>
      <c r="BTG227" s="15"/>
      <c r="BTH227" s="15"/>
      <c r="BTI227" s="10"/>
      <c r="BTJ227" s="10"/>
      <c r="BTK227" s="21"/>
      <c r="BTL227" s="21"/>
      <c r="BTO227" s="21"/>
      <c r="BTP227" s="15"/>
      <c r="BTQ227" s="15"/>
      <c r="BTR227" s="15"/>
      <c r="BTS227" s="15"/>
      <c r="BTT227" s="15"/>
      <c r="BTU227" s="15"/>
      <c r="BTV227" s="15"/>
      <c r="BTW227" s="15"/>
      <c r="BTX227" s="15"/>
      <c r="BTY227" s="15"/>
      <c r="BTZ227" s="10"/>
      <c r="BUA227" s="10"/>
      <c r="BUB227" s="21"/>
      <c r="BUC227" s="21"/>
      <c r="BUF227" s="21"/>
      <c r="BUG227" s="15"/>
      <c r="BUH227" s="15"/>
      <c r="BUI227" s="15"/>
      <c r="BUJ227" s="15"/>
      <c r="BUK227" s="15"/>
      <c r="BUL227" s="15"/>
      <c r="BUM227" s="15"/>
      <c r="BUN227" s="15"/>
      <c r="BUO227" s="15"/>
      <c r="BUP227" s="15"/>
      <c r="BUQ227" s="10"/>
      <c r="BUR227" s="10"/>
      <c r="BUS227" s="21"/>
      <c r="BUT227" s="21"/>
      <c r="BUW227" s="21"/>
      <c r="BUX227" s="15"/>
      <c r="BUY227" s="15"/>
      <c r="BUZ227" s="15"/>
      <c r="BVA227" s="15"/>
      <c r="BVB227" s="15"/>
      <c r="BVC227" s="15"/>
      <c r="BVD227" s="15"/>
      <c r="BVE227" s="15"/>
      <c r="BVF227" s="15"/>
      <c r="BVG227" s="15"/>
      <c r="BVH227" s="10"/>
      <c r="BVI227" s="10"/>
      <c r="BVJ227" s="21"/>
      <c r="BVK227" s="21"/>
      <c r="BVN227" s="21"/>
      <c r="BVO227" s="15"/>
      <c r="BVP227" s="15"/>
      <c r="BVQ227" s="15"/>
      <c r="BVR227" s="15"/>
      <c r="BVS227" s="15"/>
      <c r="BVT227" s="15"/>
      <c r="BVU227" s="15"/>
      <c r="BVV227" s="15"/>
      <c r="BVW227" s="15"/>
      <c r="BVX227" s="15"/>
      <c r="BVY227" s="10"/>
      <c r="BVZ227" s="10"/>
      <c r="BWA227" s="21"/>
      <c r="BWB227" s="21"/>
      <c r="BWE227" s="21"/>
      <c r="BWF227" s="15"/>
      <c r="BWG227" s="15"/>
      <c r="BWH227" s="15"/>
      <c r="BWI227" s="15"/>
      <c r="BWJ227" s="15"/>
      <c r="BWK227" s="15"/>
      <c r="BWL227" s="15"/>
      <c r="BWM227" s="15"/>
      <c r="BWN227" s="15"/>
      <c r="BWO227" s="15"/>
      <c r="BWP227" s="10"/>
      <c r="BWQ227" s="10"/>
      <c r="BWR227" s="21"/>
      <c r="BWS227" s="21"/>
      <c r="BWV227" s="21"/>
      <c r="BWW227" s="15"/>
      <c r="BWX227" s="15"/>
      <c r="BWY227" s="15"/>
      <c r="BWZ227" s="15"/>
      <c r="BXA227" s="15"/>
      <c r="BXB227" s="15"/>
      <c r="BXC227" s="15"/>
      <c r="BXD227" s="15"/>
      <c r="BXE227" s="15"/>
      <c r="BXF227" s="15"/>
      <c r="BXG227" s="10"/>
      <c r="BXH227" s="10"/>
      <c r="BXI227" s="21"/>
      <c r="BXJ227" s="21"/>
      <c r="BXM227" s="21"/>
      <c r="BXN227" s="15"/>
      <c r="BXO227" s="15"/>
      <c r="BXP227" s="15"/>
      <c r="BXQ227" s="15"/>
      <c r="BXR227" s="15"/>
      <c r="BXS227" s="15"/>
      <c r="BXT227" s="15"/>
      <c r="BXU227" s="15"/>
      <c r="BXV227" s="15"/>
      <c r="BXW227" s="15"/>
      <c r="BXX227" s="10"/>
      <c r="BXY227" s="10"/>
      <c r="BXZ227" s="21"/>
      <c r="BYA227" s="21"/>
      <c r="BYD227" s="21"/>
      <c r="BYE227" s="15"/>
      <c r="BYF227" s="15"/>
      <c r="BYG227" s="15"/>
      <c r="BYH227" s="15"/>
      <c r="BYI227" s="15"/>
      <c r="BYJ227" s="15"/>
      <c r="BYK227" s="15"/>
      <c r="BYL227" s="15"/>
      <c r="BYM227" s="15"/>
      <c r="BYN227" s="15"/>
      <c r="BYO227" s="10"/>
      <c r="BYP227" s="10"/>
      <c r="BYQ227" s="21"/>
      <c r="BYR227" s="21"/>
      <c r="BYU227" s="21"/>
      <c r="BYV227" s="15"/>
      <c r="BYW227" s="15"/>
      <c r="BYX227" s="15"/>
      <c r="BYY227" s="15"/>
      <c r="BYZ227" s="15"/>
      <c r="BZA227" s="15"/>
      <c r="BZB227" s="15"/>
      <c r="BZC227" s="15"/>
      <c r="BZD227" s="15"/>
      <c r="BZE227" s="15"/>
      <c r="BZF227" s="10"/>
      <c r="BZG227" s="10"/>
      <c r="BZH227" s="21"/>
      <c r="BZI227" s="21"/>
      <c r="BZL227" s="21"/>
      <c r="BZM227" s="15"/>
      <c r="BZN227" s="15"/>
      <c r="BZO227" s="15"/>
      <c r="BZP227" s="15"/>
      <c r="BZQ227" s="15"/>
      <c r="BZR227" s="15"/>
      <c r="BZS227" s="15"/>
      <c r="BZT227" s="15"/>
      <c r="BZU227" s="15"/>
      <c r="BZV227" s="15"/>
      <c r="BZW227" s="10"/>
      <c r="BZX227" s="10"/>
      <c r="BZY227" s="21"/>
      <c r="BZZ227" s="21"/>
      <c r="CAC227" s="21"/>
      <c r="CAD227" s="15"/>
      <c r="CAE227" s="15"/>
      <c r="CAF227" s="15"/>
      <c r="CAG227" s="15"/>
      <c r="CAH227" s="15"/>
      <c r="CAI227" s="15"/>
      <c r="CAJ227" s="15"/>
      <c r="CAK227" s="15"/>
      <c r="CAL227" s="15"/>
      <c r="CAM227" s="15"/>
      <c r="CAN227" s="10"/>
      <c r="CAO227" s="10"/>
      <c r="CAP227" s="21"/>
      <c r="CAQ227" s="21"/>
      <c r="CAT227" s="21"/>
      <c r="CAU227" s="15"/>
      <c r="CAV227" s="15"/>
      <c r="CAW227" s="15"/>
      <c r="CAX227" s="15"/>
      <c r="CAY227" s="15"/>
      <c r="CAZ227" s="15"/>
      <c r="CBA227" s="15"/>
      <c r="CBB227" s="15"/>
      <c r="CBC227" s="15"/>
      <c r="CBD227" s="15"/>
      <c r="CBE227" s="10"/>
      <c r="CBF227" s="10"/>
      <c r="CBG227" s="21"/>
      <c r="CBH227" s="21"/>
      <c r="CBK227" s="21"/>
      <c r="CBL227" s="15"/>
      <c r="CBM227" s="15"/>
      <c r="CBN227" s="15"/>
      <c r="CBO227" s="15"/>
      <c r="CBP227" s="15"/>
      <c r="CBQ227" s="15"/>
      <c r="CBR227" s="15"/>
      <c r="CBS227" s="15"/>
      <c r="CBT227" s="15"/>
      <c r="CBU227" s="15"/>
      <c r="CBV227" s="10"/>
      <c r="CBW227" s="10"/>
      <c r="CBX227" s="21"/>
      <c r="CBY227" s="21"/>
      <c r="CCB227" s="21"/>
      <c r="CCC227" s="15"/>
      <c r="CCD227" s="15"/>
      <c r="CCE227" s="15"/>
      <c r="CCF227" s="15"/>
      <c r="CCG227" s="15"/>
      <c r="CCH227" s="15"/>
      <c r="CCI227" s="15"/>
      <c r="CCJ227" s="15"/>
      <c r="CCK227" s="15"/>
      <c r="CCL227" s="15"/>
      <c r="CCM227" s="10"/>
      <c r="CCN227" s="10"/>
      <c r="CCO227" s="21"/>
      <c r="CCP227" s="21"/>
      <c r="CCS227" s="21"/>
      <c r="CCT227" s="15"/>
      <c r="CCU227" s="15"/>
      <c r="CCV227" s="15"/>
      <c r="CCW227" s="15"/>
      <c r="CCX227" s="15"/>
      <c r="CCY227" s="15"/>
      <c r="CCZ227" s="15"/>
      <c r="CDA227" s="15"/>
      <c r="CDB227" s="15"/>
      <c r="CDC227" s="15"/>
      <c r="CDD227" s="10"/>
      <c r="CDE227" s="10"/>
      <c r="CDF227" s="21"/>
      <c r="CDG227" s="21"/>
      <c r="CDJ227" s="21"/>
      <c r="CDK227" s="15"/>
      <c r="CDL227" s="15"/>
      <c r="CDM227" s="15"/>
      <c r="CDN227" s="15"/>
      <c r="CDO227" s="15"/>
      <c r="CDP227" s="15"/>
      <c r="CDQ227" s="15"/>
      <c r="CDR227" s="15"/>
      <c r="CDS227" s="15"/>
      <c r="CDT227" s="15"/>
      <c r="CDU227" s="10"/>
      <c r="CDV227" s="10"/>
      <c r="CDW227" s="21"/>
      <c r="CDX227" s="21"/>
      <c r="CEA227" s="21"/>
      <c r="CEB227" s="15"/>
      <c r="CEC227" s="15"/>
      <c r="CED227" s="15"/>
      <c r="CEE227" s="15"/>
      <c r="CEF227" s="15"/>
      <c r="CEG227" s="15"/>
      <c r="CEH227" s="15"/>
      <c r="CEI227" s="15"/>
      <c r="CEJ227" s="15"/>
      <c r="CEK227" s="15"/>
      <c r="CEL227" s="10"/>
      <c r="CEM227" s="10"/>
      <c r="CEN227" s="21"/>
      <c r="CEO227" s="21"/>
      <c r="CER227" s="21"/>
      <c r="CES227" s="15"/>
      <c r="CET227" s="15"/>
      <c r="CEU227" s="15"/>
      <c r="CEV227" s="15"/>
      <c r="CEW227" s="15"/>
      <c r="CEX227" s="15"/>
      <c r="CEY227" s="15"/>
      <c r="CEZ227" s="15"/>
      <c r="CFA227" s="15"/>
      <c r="CFB227" s="15"/>
      <c r="CFC227" s="10"/>
      <c r="CFD227" s="10"/>
      <c r="CFE227" s="21"/>
      <c r="CFF227" s="21"/>
      <c r="CFI227" s="21"/>
      <c r="CFJ227" s="15"/>
      <c r="CFK227" s="15"/>
      <c r="CFL227" s="15"/>
      <c r="CFM227" s="15"/>
      <c r="CFN227" s="15"/>
      <c r="CFO227" s="15"/>
      <c r="CFP227" s="15"/>
      <c r="CFQ227" s="15"/>
      <c r="CFR227" s="15"/>
      <c r="CFS227" s="15"/>
      <c r="CFT227" s="10"/>
      <c r="CFU227" s="10"/>
      <c r="CFV227" s="21"/>
      <c r="CFW227" s="21"/>
      <c r="CFZ227" s="21"/>
      <c r="CGA227" s="15"/>
      <c r="CGB227" s="15"/>
      <c r="CGC227" s="15"/>
      <c r="CGD227" s="15"/>
      <c r="CGE227" s="15"/>
      <c r="CGF227" s="15"/>
      <c r="CGG227" s="15"/>
      <c r="CGH227" s="15"/>
      <c r="CGI227" s="15"/>
      <c r="CGJ227" s="15"/>
      <c r="CGK227" s="10"/>
      <c r="CGL227" s="10"/>
      <c r="CGM227" s="21"/>
      <c r="CGN227" s="21"/>
      <c r="CGQ227" s="21"/>
      <c r="CGR227" s="15"/>
      <c r="CGS227" s="15"/>
      <c r="CGT227" s="15"/>
      <c r="CGU227" s="15"/>
      <c r="CGV227" s="15"/>
      <c r="CGW227" s="15"/>
      <c r="CGX227" s="15"/>
      <c r="CGY227" s="15"/>
      <c r="CGZ227" s="15"/>
      <c r="CHA227" s="15"/>
      <c r="CHB227" s="10"/>
      <c r="CHC227" s="10"/>
      <c r="CHD227" s="21"/>
      <c r="CHE227" s="21"/>
      <c r="CHH227" s="21"/>
      <c r="CHI227" s="15"/>
      <c r="CHJ227" s="15"/>
      <c r="CHK227" s="15"/>
      <c r="CHL227" s="15"/>
      <c r="CHM227" s="15"/>
      <c r="CHN227" s="15"/>
      <c r="CHO227" s="15"/>
      <c r="CHP227" s="15"/>
      <c r="CHQ227" s="15"/>
      <c r="CHR227" s="15"/>
      <c r="CHS227" s="10"/>
      <c r="CHT227" s="10"/>
      <c r="CHU227" s="21"/>
      <c r="CHV227" s="21"/>
      <c r="CHY227" s="21"/>
      <c r="CHZ227" s="15"/>
      <c r="CIA227" s="15"/>
      <c r="CIB227" s="15"/>
      <c r="CIC227" s="15"/>
      <c r="CID227" s="15"/>
      <c r="CIE227" s="15"/>
      <c r="CIF227" s="15"/>
      <c r="CIG227" s="15"/>
      <c r="CIH227" s="15"/>
      <c r="CII227" s="15"/>
      <c r="CIJ227" s="10"/>
      <c r="CIK227" s="10"/>
      <c r="CIL227" s="21"/>
      <c r="CIM227" s="21"/>
      <c r="CIP227" s="21"/>
      <c r="CIQ227" s="15"/>
      <c r="CIR227" s="15"/>
      <c r="CIS227" s="15"/>
      <c r="CIT227" s="15"/>
      <c r="CIU227" s="15"/>
      <c r="CIV227" s="15"/>
      <c r="CIW227" s="15"/>
      <c r="CIX227" s="15"/>
      <c r="CIY227" s="15"/>
      <c r="CIZ227" s="15"/>
      <c r="CJA227" s="10"/>
      <c r="CJB227" s="10"/>
      <c r="CJC227" s="21"/>
      <c r="CJD227" s="21"/>
      <c r="CJG227" s="21"/>
      <c r="CJH227" s="15"/>
      <c r="CJI227" s="15"/>
      <c r="CJJ227" s="15"/>
      <c r="CJK227" s="15"/>
      <c r="CJL227" s="15"/>
      <c r="CJM227" s="15"/>
      <c r="CJN227" s="15"/>
      <c r="CJO227" s="15"/>
      <c r="CJP227" s="15"/>
      <c r="CJQ227" s="15"/>
      <c r="CJR227" s="10"/>
      <c r="CJS227" s="10"/>
      <c r="CJT227" s="21"/>
      <c r="CJU227" s="21"/>
      <c r="CJX227" s="21"/>
      <c r="CJY227" s="15"/>
      <c r="CJZ227" s="15"/>
      <c r="CKA227" s="15"/>
      <c r="CKB227" s="15"/>
      <c r="CKC227" s="15"/>
      <c r="CKD227" s="15"/>
      <c r="CKE227" s="15"/>
      <c r="CKF227" s="15"/>
      <c r="CKG227" s="15"/>
      <c r="CKH227" s="15"/>
      <c r="CKI227" s="10"/>
      <c r="CKJ227" s="10"/>
      <c r="CKK227" s="21"/>
      <c r="CKL227" s="21"/>
      <c r="CKO227" s="21"/>
      <c r="CKP227" s="15"/>
      <c r="CKQ227" s="15"/>
      <c r="CKR227" s="15"/>
      <c r="CKS227" s="15"/>
      <c r="CKT227" s="15"/>
      <c r="CKU227" s="15"/>
      <c r="CKV227" s="15"/>
      <c r="CKW227" s="15"/>
      <c r="CKX227" s="15"/>
      <c r="CKY227" s="15"/>
      <c r="CKZ227" s="10"/>
      <c r="CLA227" s="10"/>
      <c r="CLB227" s="21"/>
      <c r="CLC227" s="21"/>
      <c r="CLF227" s="21"/>
      <c r="CLG227" s="15"/>
      <c r="CLH227" s="15"/>
      <c r="CLI227" s="15"/>
      <c r="CLJ227" s="15"/>
      <c r="CLK227" s="15"/>
      <c r="CLL227" s="15"/>
      <c r="CLM227" s="15"/>
      <c r="CLN227" s="15"/>
      <c r="CLO227" s="15"/>
      <c r="CLP227" s="15"/>
      <c r="CLQ227" s="10"/>
      <c r="CLR227" s="10"/>
      <c r="CLS227" s="21"/>
      <c r="CLT227" s="21"/>
      <c r="CLW227" s="21"/>
      <c r="CLX227" s="15"/>
      <c r="CLY227" s="15"/>
      <c r="CLZ227" s="15"/>
      <c r="CMA227" s="15"/>
      <c r="CMB227" s="15"/>
      <c r="CMC227" s="15"/>
      <c r="CMD227" s="15"/>
      <c r="CME227" s="15"/>
      <c r="CMF227" s="15"/>
      <c r="CMG227" s="15"/>
      <c r="CMH227" s="10"/>
      <c r="CMI227" s="10"/>
      <c r="CMJ227" s="21"/>
      <c r="CMK227" s="21"/>
      <c r="CMN227" s="21"/>
      <c r="CMO227" s="15"/>
      <c r="CMP227" s="15"/>
      <c r="CMQ227" s="15"/>
      <c r="CMR227" s="15"/>
      <c r="CMS227" s="15"/>
      <c r="CMT227" s="15"/>
      <c r="CMU227" s="15"/>
      <c r="CMV227" s="15"/>
      <c r="CMW227" s="15"/>
      <c r="CMX227" s="15"/>
      <c r="CMY227" s="10"/>
      <c r="CMZ227" s="10"/>
      <c r="CNA227" s="21"/>
      <c r="CNB227" s="21"/>
      <c r="CNE227" s="21"/>
      <c r="CNF227" s="15"/>
      <c r="CNG227" s="15"/>
      <c r="CNH227" s="15"/>
      <c r="CNI227" s="15"/>
      <c r="CNJ227" s="15"/>
      <c r="CNK227" s="15"/>
      <c r="CNL227" s="15"/>
      <c r="CNM227" s="15"/>
      <c r="CNN227" s="15"/>
      <c r="CNO227" s="15"/>
      <c r="CNP227" s="10"/>
      <c r="CNQ227" s="10"/>
      <c r="CNR227" s="21"/>
      <c r="CNS227" s="21"/>
      <c r="CNV227" s="21"/>
      <c r="CNW227" s="15"/>
      <c r="CNX227" s="15"/>
      <c r="CNY227" s="15"/>
      <c r="CNZ227" s="15"/>
      <c r="COA227" s="15"/>
      <c r="COB227" s="15"/>
      <c r="COC227" s="15"/>
      <c r="COD227" s="15"/>
      <c r="COE227" s="15"/>
      <c r="COF227" s="15"/>
      <c r="COG227" s="10"/>
      <c r="COH227" s="10"/>
      <c r="COI227" s="21"/>
      <c r="COJ227" s="21"/>
      <c r="COM227" s="21"/>
      <c r="CON227" s="15"/>
      <c r="COO227" s="15"/>
      <c r="COP227" s="15"/>
      <c r="COQ227" s="15"/>
      <c r="COR227" s="15"/>
      <c r="COS227" s="15"/>
      <c r="COT227" s="15"/>
      <c r="COU227" s="15"/>
      <c r="COV227" s="15"/>
      <c r="COW227" s="15"/>
      <c r="COX227" s="10"/>
      <c r="COY227" s="10"/>
      <c r="COZ227" s="21"/>
      <c r="CPA227" s="21"/>
      <c r="CPD227" s="21"/>
      <c r="CPE227" s="15"/>
      <c r="CPF227" s="15"/>
      <c r="CPG227" s="15"/>
      <c r="CPH227" s="15"/>
      <c r="CPI227" s="15"/>
      <c r="CPJ227" s="15"/>
      <c r="CPK227" s="15"/>
      <c r="CPL227" s="15"/>
      <c r="CPM227" s="15"/>
      <c r="CPN227" s="15"/>
      <c r="CPO227" s="10"/>
      <c r="CPP227" s="10"/>
      <c r="CPQ227" s="21"/>
      <c r="CPR227" s="21"/>
      <c r="CPU227" s="21"/>
      <c r="CPV227" s="15"/>
      <c r="CPW227" s="15"/>
      <c r="CPX227" s="15"/>
      <c r="CPY227" s="15"/>
      <c r="CPZ227" s="15"/>
      <c r="CQA227" s="15"/>
      <c r="CQB227" s="15"/>
      <c r="CQC227" s="15"/>
      <c r="CQD227" s="15"/>
      <c r="CQE227" s="15"/>
      <c r="CQF227" s="10"/>
      <c r="CQG227" s="10"/>
      <c r="CQH227" s="21"/>
      <c r="CQI227" s="21"/>
      <c r="CQL227" s="21"/>
      <c r="CQM227" s="15"/>
      <c r="CQN227" s="15"/>
      <c r="CQO227" s="15"/>
      <c r="CQP227" s="15"/>
      <c r="CQQ227" s="15"/>
      <c r="CQR227" s="15"/>
      <c r="CQS227" s="15"/>
      <c r="CQT227" s="15"/>
      <c r="CQU227" s="15"/>
      <c r="CQV227" s="15"/>
      <c r="CQW227" s="10"/>
      <c r="CQX227" s="10"/>
      <c r="CQY227" s="21"/>
      <c r="CQZ227" s="21"/>
      <c r="CRC227" s="21"/>
      <c r="CRD227" s="15"/>
      <c r="CRE227" s="15"/>
      <c r="CRF227" s="15"/>
      <c r="CRG227" s="15"/>
      <c r="CRH227" s="15"/>
      <c r="CRI227" s="15"/>
      <c r="CRJ227" s="15"/>
      <c r="CRK227" s="15"/>
      <c r="CRL227" s="15"/>
      <c r="CRM227" s="15"/>
      <c r="CRN227" s="10"/>
      <c r="CRO227" s="10"/>
      <c r="CRP227" s="21"/>
      <c r="CRQ227" s="21"/>
      <c r="CRT227" s="21"/>
      <c r="CRU227" s="15"/>
      <c r="CRV227" s="15"/>
      <c r="CRW227" s="15"/>
      <c r="CRX227" s="15"/>
      <c r="CRY227" s="15"/>
      <c r="CRZ227" s="15"/>
      <c r="CSA227" s="15"/>
      <c r="CSB227" s="15"/>
      <c r="CSC227" s="15"/>
      <c r="CSD227" s="15"/>
      <c r="CSE227" s="10"/>
      <c r="CSF227" s="10"/>
      <c r="CSG227" s="21"/>
      <c r="CSH227" s="21"/>
      <c r="CSK227" s="21"/>
      <c r="CSL227" s="15"/>
      <c r="CSM227" s="15"/>
      <c r="CSN227" s="15"/>
      <c r="CSO227" s="15"/>
      <c r="CSP227" s="15"/>
      <c r="CSQ227" s="15"/>
      <c r="CSR227" s="15"/>
      <c r="CSS227" s="15"/>
      <c r="CST227" s="15"/>
      <c r="CSU227" s="15"/>
      <c r="CSV227" s="10"/>
      <c r="CSW227" s="10"/>
      <c r="CSX227" s="21"/>
      <c r="CSY227" s="21"/>
      <c r="CTB227" s="21"/>
      <c r="CTC227" s="15"/>
      <c r="CTD227" s="15"/>
      <c r="CTE227" s="15"/>
      <c r="CTF227" s="15"/>
      <c r="CTG227" s="15"/>
      <c r="CTH227" s="15"/>
      <c r="CTI227" s="15"/>
      <c r="CTJ227" s="15"/>
      <c r="CTK227" s="15"/>
      <c r="CTL227" s="15"/>
      <c r="CTM227" s="10"/>
      <c r="CTN227" s="10"/>
      <c r="CTO227" s="21"/>
      <c r="CTP227" s="21"/>
      <c r="CTS227" s="21"/>
      <c r="CTT227" s="15"/>
      <c r="CTU227" s="15"/>
      <c r="CTV227" s="15"/>
      <c r="CTW227" s="15"/>
      <c r="CTX227" s="15"/>
      <c r="CTY227" s="15"/>
      <c r="CTZ227" s="15"/>
      <c r="CUA227" s="15"/>
      <c r="CUB227" s="15"/>
      <c r="CUC227" s="15"/>
      <c r="CUD227" s="10"/>
      <c r="CUE227" s="10"/>
      <c r="CUF227" s="21"/>
      <c r="CUG227" s="21"/>
      <c r="CUJ227" s="21"/>
      <c r="CUK227" s="15"/>
      <c r="CUL227" s="15"/>
      <c r="CUM227" s="15"/>
      <c r="CUN227" s="15"/>
      <c r="CUO227" s="15"/>
      <c r="CUP227" s="15"/>
      <c r="CUQ227" s="15"/>
      <c r="CUR227" s="15"/>
      <c r="CUS227" s="15"/>
      <c r="CUT227" s="15"/>
      <c r="CUU227" s="10"/>
      <c r="CUV227" s="10"/>
      <c r="CUW227" s="21"/>
      <c r="CUX227" s="21"/>
      <c r="CVA227" s="21"/>
      <c r="CVB227" s="15"/>
      <c r="CVC227" s="15"/>
      <c r="CVD227" s="15"/>
      <c r="CVE227" s="15"/>
      <c r="CVF227" s="15"/>
      <c r="CVG227" s="15"/>
      <c r="CVH227" s="15"/>
      <c r="CVI227" s="15"/>
      <c r="CVJ227" s="15"/>
      <c r="CVK227" s="15"/>
      <c r="CVL227" s="10"/>
      <c r="CVM227" s="10"/>
      <c r="CVN227" s="21"/>
      <c r="CVO227" s="21"/>
      <c r="CVR227" s="21"/>
      <c r="CVS227" s="15"/>
      <c r="CVT227" s="15"/>
      <c r="CVU227" s="15"/>
      <c r="CVV227" s="15"/>
      <c r="CVW227" s="15"/>
      <c r="CVX227" s="15"/>
      <c r="CVY227" s="15"/>
      <c r="CVZ227" s="15"/>
      <c r="CWA227" s="15"/>
      <c r="CWB227" s="15"/>
      <c r="CWC227" s="10"/>
      <c r="CWD227" s="10"/>
      <c r="CWE227" s="21"/>
      <c r="CWF227" s="21"/>
      <c r="CWI227" s="21"/>
      <c r="CWJ227" s="15"/>
      <c r="CWK227" s="15"/>
      <c r="CWL227" s="15"/>
      <c r="CWM227" s="15"/>
      <c r="CWN227" s="15"/>
      <c r="CWO227" s="15"/>
      <c r="CWP227" s="15"/>
      <c r="CWQ227" s="15"/>
      <c r="CWR227" s="15"/>
      <c r="CWS227" s="15"/>
      <c r="CWT227" s="10"/>
      <c r="CWU227" s="10"/>
      <c r="CWV227" s="21"/>
      <c r="CWW227" s="21"/>
      <c r="CWZ227" s="21"/>
      <c r="CXA227" s="15"/>
      <c r="CXB227" s="15"/>
      <c r="CXC227" s="15"/>
      <c r="CXD227" s="15"/>
      <c r="CXE227" s="15"/>
      <c r="CXF227" s="15"/>
      <c r="CXG227" s="15"/>
      <c r="CXH227" s="15"/>
      <c r="CXI227" s="15"/>
      <c r="CXJ227" s="15"/>
      <c r="CXK227" s="10"/>
      <c r="CXL227" s="10"/>
      <c r="CXM227" s="21"/>
      <c r="CXN227" s="21"/>
      <c r="CXQ227" s="21"/>
      <c r="CXR227" s="15"/>
      <c r="CXS227" s="15"/>
      <c r="CXT227" s="15"/>
      <c r="CXU227" s="15"/>
      <c r="CXV227" s="15"/>
      <c r="CXW227" s="15"/>
      <c r="CXX227" s="15"/>
      <c r="CXY227" s="15"/>
      <c r="CXZ227" s="15"/>
      <c r="CYA227" s="15"/>
      <c r="CYB227" s="10"/>
      <c r="CYC227" s="10"/>
      <c r="CYD227" s="21"/>
      <c r="CYE227" s="21"/>
      <c r="CYH227" s="21"/>
      <c r="CYI227" s="15"/>
      <c r="CYJ227" s="15"/>
      <c r="CYK227" s="15"/>
      <c r="CYL227" s="15"/>
      <c r="CYM227" s="15"/>
      <c r="CYN227" s="15"/>
      <c r="CYO227" s="15"/>
      <c r="CYP227" s="15"/>
      <c r="CYQ227" s="15"/>
      <c r="CYR227" s="15"/>
      <c r="CYS227" s="10"/>
      <c r="CYT227" s="10"/>
      <c r="CYU227" s="21"/>
      <c r="CYV227" s="21"/>
      <c r="CYY227" s="21"/>
      <c r="CYZ227" s="15"/>
      <c r="CZA227" s="15"/>
      <c r="CZB227" s="15"/>
      <c r="CZC227" s="15"/>
      <c r="CZD227" s="15"/>
      <c r="CZE227" s="15"/>
      <c r="CZF227" s="15"/>
      <c r="CZG227" s="15"/>
      <c r="CZH227" s="15"/>
      <c r="CZI227" s="15"/>
      <c r="CZJ227" s="10"/>
      <c r="CZK227" s="10"/>
      <c r="CZL227" s="21"/>
      <c r="CZM227" s="21"/>
      <c r="CZP227" s="21"/>
      <c r="CZQ227" s="15"/>
      <c r="CZR227" s="15"/>
      <c r="CZS227" s="15"/>
      <c r="CZT227" s="15"/>
      <c r="CZU227" s="15"/>
      <c r="CZV227" s="15"/>
      <c r="CZW227" s="15"/>
      <c r="CZX227" s="15"/>
      <c r="CZY227" s="15"/>
      <c r="CZZ227" s="15"/>
      <c r="DAA227" s="10"/>
      <c r="DAB227" s="10"/>
      <c r="DAC227" s="21"/>
      <c r="DAD227" s="21"/>
      <c r="DAG227" s="21"/>
      <c r="DAH227" s="15"/>
      <c r="DAI227" s="15"/>
      <c r="DAJ227" s="15"/>
      <c r="DAK227" s="15"/>
      <c r="DAL227" s="15"/>
      <c r="DAM227" s="15"/>
      <c r="DAN227" s="15"/>
      <c r="DAO227" s="15"/>
      <c r="DAP227" s="15"/>
      <c r="DAQ227" s="15"/>
      <c r="DAR227" s="10"/>
      <c r="DAS227" s="10"/>
      <c r="DAT227" s="21"/>
      <c r="DAU227" s="21"/>
      <c r="DAX227" s="21"/>
      <c r="DAY227" s="15"/>
      <c r="DAZ227" s="15"/>
      <c r="DBA227" s="15"/>
      <c r="DBB227" s="15"/>
      <c r="DBC227" s="15"/>
      <c r="DBD227" s="15"/>
      <c r="DBE227" s="15"/>
      <c r="DBF227" s="15"/>
      <c r="DBG227" s="15"/>
      <c r="DBH227" s="15"/>
      <c r="DBI227" s="10"/>
      <c r="DBJ227" s="10"/>
      <c r="DBK227" s="21"/>
      <c r="DBL227" s="21"/>
      <c r="DBO227" s="21"/>
      <c r="DBP227" s="15"/>
      <c r="DBQ227" s="15"/>
      <c r="DBR227" s="15"/>
      <c r="DBS227" s="15"/>
      <c r="DBT227" s="15"/>
      <c r="DBU227" s="15"/>
      <c r="DBV227" s="15"/>
      <c r="DBW227" s="15"/>
      <c r="DBX227" s="15"/>
      <c r="DBY227" s="15"/>
      <c r="DBZ227" s="10"/>
      <c r="DCA227" s="10"/>
      <c r="DCB227" s="21"/>
      <c r="DCC227" s="21"/>
      <c r="DCF227" s="21"/>
      <c r="DCG227" s="15"/>
      <c r="DCH227" s="15"/>
      <c r="DCI227" s="15"/>
      <c r="DCJ227" s="15"/>
      <c r="DCK227" s="15"/>
      <c r="DCL227" s="15"/>
      <c r="DCM227" s="15"/>
      <c r="DCN227" s="15"/>
      <c r="DCO227" s="15"/>
      <c r="DCP227" s="15"/>
      <c r="DCQ227" s="10"/>
      <c r="DCR227" s="10"/>
      <c r="DCS227" s="21"/>
      <c r="DCT227" s="21"/>
      <c r="DCW227" s="21"/>
      <c r="DCX227" s="15"/>
      <c r="DCY227" s="15"/>
      <c r="DCZ227" s="15"/>
      <c r="DDA227" s="15"/>
      <c r="DDB227" s="15"/>
      <c r="DDC227" s="15"/>
      <c r="DDD227" s="15"/>
      <c r="DDE227" s="15"/>
      <c r="DDF227" s="15"/>
      <c r="DDG227" s="15"/>
      <c r="DDH227" s="10"/>
      <c r="DDI227" s="10"/>
      <c r="DDJ227" s="21"/>
      <c r="DDK227" s="21"/>
      <c r="DDN227" s="21"/>
      <c r="DDO227" s="15"/>
      <c r="DDP227" s="15"/>
      <c r="DDQ227" s="15"/>
      <c r="DDR227" s="15"/>
      <c r="DDS227" s="15"/>
      <c r="DDT227" s="15"/>
      <c r="DDU227" s="15"/>
      <c r="DDV227" s="15"/>
      <c r="DDW227" s="15"/>
      <c r="DDX227" s="15"/>
      <c r="DDY227" s="10"/>
      <c r="DDZ227" s="10"/>
      <c r="DEA227" s="21"/>
      <c r="DEB227" s="21"/>
      <c r="DEE227" s="21"/>
      <c r="DEF227" s="15"/>
      <c r="DEG227" s="15"/>
      <c r="DEH227" s="15"/>
      <c r="DEI227" s="15"/>
      <c r="DEJ227" s="15"/>
      <c r="DEK227" s="15"/>
      <c r="DEL227" s="15"/>
      <c r="DEM227" s="15"/>
      <c r="DEN227" s="15"/>
      <c r="DEO227" s="15"/>
      <c r="DEP227" s="10"/>
      <c r="DEQ227" s="10"/>
      <c r="DER227" s="21"/>
      <c r="DES227" s="21"/>
      <c r="DEV227" s="21"/>
      <c r="DEW227" s="15"/>
      <c r="DEX227" s="15"/>
      <c r="DEY227" s="15"/>
      <c r="DEZ227" s="15"/>
      <c r="DFA227" s="15"/>
      <c r="DFB227" s="15"/>
      <c r="DFC227" s="15"/>
      <c r="DFD227" s="15"/>
      <c r="DFE227" s="15"/>
      <c r="DFF227" s="15"/>
      <c r="DFG227" s="10"/>
      <c r="DFH227" s="10"/>
      <c r="DFI227" s="21"/>
      <c r="DFJ227" s="21"/>
      <c r="DFM227" s="21"/>
      <c r="DFN227" s="15"/>
      <c r="DFO227" s="15"/>
      <c r="DFP227" s="15"/>
      <c r="DFQ227" s="15"/>
      <c r="DFR227" s="15"/>
      <c r="DFS227" s="15"/>
      <c r="DFT227" s="15"/>
      <c r="DFU227" s="15"/>
      <c r="DFV227" s="15"/>
      <c r="DFW227" s="15"/>
      <c r="DFX227" s="10"/>
      <c r="DFY227" s="10"/>
      <c r="DFZ227" s="21"/>
      <c r="DGA227" s="21"/>
      <c r="DGD227" s="21"/>
      <c r="DGE227" s="15"/>
      <c r="DGF227" s="15"/>
      <c r="DGG227" s="15"/>
      <c r="DGH227" s="15"/>
      <c r="DGI227" s="15"/>
      <c r="DGJ227" s="15"/>
      <c r="DGK227" s="15"/>
      <c r="DGL227" s="15"/>
      <c r="DGM227" s="15"/>
      <c r="DGN227" s="15"/>
      <c r="DGO227" s="10"/>
      <c r="DGP227" s="10"/>
      <c r="DGQ227" s="21"/>
      <c r="DGR227" s="21"/>
      <c r="DGU227" s="21"/>
      <c r="DGV227" s="15"/>
      <c r="DGW227" s="15"/>
      <c r="DGX227" s="15"/>
      <c r="DGY227" s="15"/>
      <c r="DGZ227" s="15"/>
      <c r="DHA227" s="15"/>
      <c r="DHB227" s="15"/>
      <c r="DHC227" s="15"/>
      <c r="DHD227" s="15"/>
      <c r="DHE227" s="15"/>
      <c r="DHF227" s="10"/>
      <c r="DHG227" s="10"/>
      <c r="DHH227" s="21"/>
      <c r="DHI227" s="21"/>
      <c r="DHL227" s="21"/>
      <c r="DHM227" s="15"/>
      <c r="DHN227" s="15"/>
      <c r="DHO227" s="15"/>
      <c r="DHP227" s="15"/>
      <c r="DHQ227" s="15"/>
      <c r="DHR227" s="15"/>
      <c r="DHS227" s="15"/>
      <c r="DHT227" s="15"/>
      <c r="DHU227" s="15"/>
      <c r="DHV227" s="15"/>
      <c r="DHW227" s="10"/>
      <c r="DHX227" s="10"/>
      <c r="DHY227" s="21"/>
      <c r="DHZ227" s="21"/>
      <c r="DIC227" s="21"/>
      <c r="DID227" s="15"/>
      <c r="DIE227" s="15"/>
      <c r="DIF227" s="15"/>
      <c r="DIG227" s="15"/>
      <c r="DIH227" s="15"/>
      <c r="DII227" s="15"/>
      <c r="DIJ227" s="15"/>
      <c r="DIK227" s="15"/>
      <c r="DIL227" s="15"/>
      <c r="DIM227" s="15"/>
      <c r="DIN227" s="10"/>
      <c r="DIO227" s="10"/>
      <c r="DIP227" s="21"/>
      <c r="DIQ227" s="21"/>
      <c r="DIT227" s="21"/>
      <c r="DIU227" s="15"/>
      <c r="DIV227" s="15"/>
      <c r="DIW227" s="15"/>
      <c r="DIX227" s="15"/>
      <c r="DIY227" s="15"/>
      <c r="DIZ227" s="15"/>
      <c r="DJA227" s="15"/>
      <c r="DJB227" s="15"/>
      <c r="DJC227" s="15"/>
      <c r="DJD227" s="15"/>
      <c r="DJE227" s="10"/>
      <c r="DJF227" s="10"/>
      <c r="DJG227" s="21"/>
      <c r="DJH227" s="21"/>
      <c r="DJK227" s="21"/>
      <c r="DJL227" s="15"/>
      <c r="DJM227" s="15"/>
      <c r="DJN227" s="15"/>
      <c r="DJO227" s="15"/>
      <c r="DJP227" s="15"/>
      <c r="DJQ227" s="15"/>
      <c r="DJR227" s="15"/>
      <c r="DJS227" s="15"/>
      <c r="DJT227" s="15"/>
      <c r="DJU227" s="15"/>
      <c r="DJV227" s="10"/>
      <c r="DJW227" s="10"/>
      <c r="DJX227" s="21"/>
      <c r="DJY227" s="21"/>
      <c r="DKB227" s="21"/>
      <c r="DKC227" s="15"/>
      <c r="DKD227" s="15"/>
      <c r="DKE227" s="15"/>
      <c r="DKF227" s="15"/>
      <c r="DKG227" s="15"/>
      <c r="DKH227" s="15"/>
      <c r="DKI227" s="15"/>
      <c r="DKJ227" s="15"/>
      <c r="DKK227" s="15"/>
      <c r="DKL227" s="15"/>
      <c r="DKM227" s="10"/>
      <c r="DKN227" s="10"/>
      <c r="DKO227" s="21"/>
      <c r="DKP227" s="21"/>
      <c r="DKS227" s="21"/>
      <c r="DKT227" s="15"/>
      <c r="DKU227" s="15"/>
      <c r="DKV227" s="15"/>
      <c r="DKW227" s="15"/>
      <c r="DKX227" s="15"/>
      <c r="DKY227" s="15"/>
      <c r="DKZ227" s="15"/>
      <c r="DLA227" s="15"/>
      <c r="DLB227" s="15"/>
      <c r="DLC227" s="15"/>
      <c r="DLD227" s="10"/>
      <c r="DLE227" s="10"/>
      <c r="DLF227" s="21"/>
      <c r="DLG227" s="21"/>
      <c r="DLJ227" s="21"/>
      <c r="DLK227" s="15"/>
      <c r="DLL227" s="15"/>
      <c r="DLM227" s="15"/>
      <c r="DLN227" s="15"/>
      <c r="DLO227" s="15"/>
      <c r="DLP227" s="15"/>
      <c r="DLQ227" s="15"/>
      <c r="DLR227" s="15"/>
      <c r="DLS227" s="15"/>
      <c r="DLT227" s="15"/>
      <c r="DLU227" s="10"/>
      <c r="DLV227" s="10"/>
      <c r="DLW227" s="21"/>
      <c r="DLX227" s="21"/>
      <c r="DMA227" s="21"/>
      <c r="DMB227" s="15"/>
      <c r="DMC227" s="15"/>
      <c r="DMD227" s="15"/>
      <c r="DME227" s="15"/>
      <c r="DMF227" s="15"/>
      <c r="DMG227" s="15"/>
      <c r="DMH227" s="15"/>
      <c r="DMI227" s="15"/>
      <c r="DMJ227" s="15"/>
      <c r="DMK227" s="15"/>
      <c r="DML227" s="10"/>
      <c r="DMM227" s="10"/>
      <c r="DMN227" s="21"/>
      <c r="DMO227" s="21"/>
      <c r="DMR227" s="21"/>
      <c r="DMS227" s="15"/>
      <c r="DMT227" s="15"/>
      <c r="DMU227" s="15"/>
      <c r="DMV227" s="15"/>
      <c r="DMW227" s="15"/>
      <c r="DMX227" s="15"/>
      <c r="DMY227" s="15"/>
      <c r="DMZ227" s="15"/>
      <c r="DNA227" s="15"/>
      <c r="DNB227" s="15"/>
      <c r="DNC227" s="10"/>
      <c r="DND227" s="10"/>
      <c r="DNE227" s="21"/>
      <c r="DNF227" s="21"/>
      <c r="DNI227" s="21"/>
      <c r="DNJ227" s="15"/>
      <c r="DNK227" s="15"/>
      <c r="DNL227" s="15"/>
      <c r="DNM227" s="15"/>
      <c r="DNN227" s="15"/>
      <c r="DNO227" s="15"/>
      <c r="DNP227" s="15"/>
      <c r="DNQ227" s="15"/>
      <c r="DNR227" s="15"/>
      <c r="DNS227" s="15"/>
      <c r="DNT227" s="10"/>
      <c r="DNU227" s="10"/>
      <c r="DNV227" s="21"/>
      <c r="DNW227" s="21"/>
      <c r="DNZ227" s="21"/>
      <c r="DOA227" s="15"/>
      <c r="DOB227" s="15"/>
      <c r="DOC227" s="15"/>
      <c r="DOD227" s="15"/>
      <c r="DOE227" s="15"/>
      <c r="DOF227" s="15"/>
      <c r="DOG227" s="15"/>
      <c r="DOH227" s="15"/>
      <c r="DOI227" s="15"/>
      <c r="DOJ227" s="15"/>
      <c r="DOK227" s="10"/>
      <c r="DOL227" s="10"/>
      <c r="DOM227" s="21"/>
      <c r="DON227" s="21"/>
      <c r="DOQ227" s="21"/>
      <c r="DOR227" s="15"/>
      <c r="DOS227" s="15"/>
      <c r="DOT227" s="15"/>
      <c r="DOU227" s="15"/>
      <c r="DOV227" s="15"/>
      <c r="DOW227" s="15"/>
      <c r="DOX227" s="15"/>
      <c r="DOY227" s="15"/>
      <c r="DOZ227" s="15"/>
      <c r="DPA227" s="15"/>
      <c r="DPB227" s="10"/>
      <c r="DPC227" s="10"/>
      <c r="DPD227" s="21"/>
      <c r="DPE227" s="21"/>
      <c r="DPH227" s="21"/>
      <c r="DPI227" s="15"/>
      <c r="DPJ227" s="15"/>
      <c r="DPK227" s="15"/>
      <c r="DPL227" s="15"/>
      <c r="DPM227" s="15"/>
      <c r="DPN227" s="15"/>
      <c r="DPO227" s="15"/>
      <c r="DPP227" s="15"/>
      <c r="DPQ227" s="15"/>
      <c r="DPR227" s="15"/>
      <c r="DPS227" s="10"/>
      <c r="DPT227" s="10"/>
      <c r="DPU227" s="21"/>
      <c r="DPV227" s="21"/>
      <c r="DPY227" s="21"/>
      <c r="DPZ227" s="15"/>
      <c r="DQA227" s="15"/>
      <c r="DQB227" s="15"/>
      <c r="DQC227" s="15"/>
      <c r="DQD227" s="15"/>
      <c r="DQE227" s="15"/>
      <c r="DQF227" s="15"/>
      <c r="DQG227" s="15"/>
      <c r="DQH227" s="15"/>
      <c r="DQI227" s="15"/>
      <c r="DQJ227" s="10"/>
      <c r="DQK227" s="10"/>
      <c r="DQL227" s="21"/>
      <c r="DQM227" s="21"/>
      <c r="DQP227" s="21"/>
      <c r="DQQ227" s="15"/>
      <c r="DQR227" s="15"/>
      <c r="DQS227" s="15"/>
      <c r="DQT227" s="15"/>
      <c r="DQU227" s="15"/>
      <c r="DQV227" s="15"/>
      <c r="DQW227" s="15"/>
      <c r="DQX227" s="15"/>
      <c r="DQY227" s="15"/>
      <c r="DQZ227" s="15"/>
      <c r="DRA227" s="10"/>
      <c r="DRB227" s="10"/>
      <c r="DRC227" s="21"/>
      <c r="DRD227" s="21"/>
      <c r="DRG227" s="21"/>
      <c r="DRH227" s="15"/>
      <c r="DRI227" s="15"/>
      <c r="DRJ227" s="15"/>
      <c r="DRK227" s="15"/>
      <c r="DRL227" s="15"/>
      <c r="DRM227" s="15"/>
      <c r="DRN227" s="15"/>
      <c r="DRO227" s="15"/>
      <c r="DRP227" s="15"/>
      <c r="DRQ227" s="15"/>
      <c r="DRR227" s="10"/>
      <c r="DRS227" s="10"/>
      <c r="DRT227" s="21"/>
      <c r="DRU227" s="21"/>
      <c r="DRX227" s="21"/>
      <c r="DRY227" s="15"/>
      <c r="DRZ227" s="15"/>
      <c r="DSA227" s="15"/>
      <c r="DSB227" s="15"/>
      <c r="DSC227" s="15"/>
      <c r="DSD227" s="15"/>
      <c r="DSE227" s="15"/>
      <c r="DSF227" s="15"/>
      <c r="DSG227" s="15"/>
      <c r="DSH227" s="15"/>
      <c r="DSI227" s="10"/>
      <c r="DSJ227" s="10"/>
      <c r="DSK227" s="21"/>
      <c r="DSL227" s="21"/>
      <c r="DSO227" s="21"/>
      <c r="DSP227" s="15"/>
      <c r="DSQ227" s="15"/>
      <c r="DSR227" s="15"/>
      <c r="DSS227" s="15"/>
      <c r="DST227" s="15"/>
      <c r="DSU227" s="15"/>
      <c r="DSV227" s="15"/>
      <c r="DSW227" s="15"/>
      <c r="DSX227" s="15"/>
      <c r="DSY227" s="15"/>
      <c r="DSZ227" s="10"/>
      <c r="DTA227" s="10"/>
      <c r="DTB227" s="21"/>
      <c r="DTC227" s="21"/>
      <c r="DTF227" s="21"/>
      <c r="DTG227" s="15"/>
      <c r="DTH227" s="15"/>
      <c r="DTI227" s="15"/>
      <c r="DTJ227" s="15"/>
      <c r="DTK227" s="15"/>
      <c r="DTL227" s="15"/>
      <c r="DTM227" s="15"/>
      <c r="DTN227" s="15"/>
      <c r="DTO227" s="15"/>
      <c r="DTP227" s="15"/>
      <c r="DTQ227" s="10"/>
      <c r="DTR227" s="10"/>
      <c r="DTS227" s="21"/>
      <c r="DTT227" s="21"/>
      <c r="DTW227" s="21"/>
      <c r="DTX227" s="15"/>
      <c r="DTY227" s="15"/>
      <c r="DTZ227" s="15"/>
      <c r="DUA227" s="15"/>
      <c r="DUB227" s="15"/>
      <c r="DUC227" s="15"/>
      <c r="DUD227" s="15"/>
      <c r="DUE227" s="15"/>
      <c r="DUF227" s="15"/>
      <c r="DUG227" s="15"/>
      <c r="DUH227" s="10"/>
      <c r="DUI227" s="10"/>
      <c r="DUJ227" s="21"/>
      <c r="DUK227" s="21"/>
      <c r="DUN227" s="21"/>
      <c r="DUO227" s="15"/>
      <c r="DUP227" s="15"/>
      <c r="DUQ227" s="15"/>
      <c r="DUR227" s="15"/>
      <c r="DUS227" s="15"/>
      <c r="DUT227" s="15"/>
      <c r="DUU227" s="15"/>
      <c r="DUV227" s="15"/>
      <c r="DUW227" s="15"/>
      <c r="DUX227" s="15"/>
      <c r="DUY227" s="10"/>
      <c r="DUZ227" s="10"/>
      <c r="DVA227" s="21"/>
      <c r="DVB227" s="21"/>
      <c r="DVE227" s="21"/>
      <c r="DVF227" s="15"/>
      <c r="DVG227" s="15"/>
      <c r="DVH227" s="15"/>
      <c r="DVI227" s="15"/>
      <c r="DVJ227" s="15"/>
      <c r="DVK227" s="15"/>
      <c r="DVL227" s="15"/>
      <c r="DVM227" s="15"/>
      <c r="DVN227" s="15"/>
      <c r="DVO227" s="15"/>
      <c r="DVP227" s="10"/>
      <c r="DVQ227" s="10"/>
      <c r="DVR227" s="21"/>
      <c r="DVS227" s="21"/>
      <c r="DVV227" s="21"/>
      <c r="DVW227" s="15"/>
      <c r="DVX227" s="15"/>
      <c r="DVY227" s="15"/>
      <c r="DVZ227" s="15"/>
      <c r="DWA227" s="15"/>
      <c r="DWB227" s="15"/>
      <c r="DWC227" s="15"/>
      <c r="DWD227" s="15"/>
      <c r="DWE227" s="15"/>
      <c r="DWF227" s="15"/>
      <c r="DWG227" s="10"/>
      <c r="DWH227" s="10"/>
      <c r="DWI227" s="21"/>
      <c r="DWJ227" s="21"/>
      <c r="DWM227" s="21"/>
      <c r="DWN227" s="15"/>
      <c r="DWO227" s="15"/>
      <c r="DWP227" s="15"/>
      <c r="DWQ227" s="15"/>
      <c r="DWR227" s="15"/>
      <c r="DWS227" s="15"/>
      <c r="DWT227" s="15"/>
      <c r="DWU227" s="15"/>
      <c r="DWV227" s="15"/>
      <c r="DWW227" s="15"/>
      <c r="DWX227" s="10"/>
      <c r="DWY227" s="10"/>
      <c r="DWZ227" s="21"/>
      <c r="DXA227" s="21"/>
      <c r="DXD227" s="21"/>
      <c r="DXE227" s="15"/>
      <c r="DXF227" s="15"/>
      <c r="DXG227" s="15"/>
      <c r="DXH227" s="15"/>
      <c r="DXI227" s="15"/>
      <c r="DXJ227" s="15"/>
      <c r="DXK227" s="15"/>
      <c r="DXL227" s="15"/>
      <c r="DXM227" s="15"/>
      <c r="DXN227" s="15"/>
      <c r="DXO227" s="10"/>
      <c r="DXP227" s="10"/>
      <c r="DXQ227" s="21"/>
      <c r="DXR227" s="21"/>
      <c r="DXU227" s="21"/>
      <c r="DXV227" s="15"/>
      <c r="DXW227" s="15"/>
      <c r="DXX227" s="15"/>
      <c r="DXY227" s="15"/>
      <c r="DXZ227" s="15"/>
      <c r="DYA227" s="15"/>
      <c r="DYB227" s="15"/>
      <c r="DYC227" s="15"/>
      <c r="DYD227" s="15"/>
      <c r="DYE227" s="15"/>
      <c r="DYF227" s="10"/>
      <c r="DYG227" s="10"/>
      <c r="DYH227" s="21"/>
      <c r="DYI227" s="21"/>
      <c r="DYL227" s="21"/>
      <c r="DYM227" s="15"/>
      <c r="DYN227" s="15"/>
      <c r="DYO227" s="15"/>
      <c r="DYP227" s="15"/>
      <c r="DYQ227" s="15"/>
      <c r="DYR227" s="15"/>
      <c r="DYS227" s="15"/>
      <c r="DYT227" s="15"/>
      <c r="DYU227" s="15"/>
      <c r="DYV227" s="15"/>
      <c r="DYW227" s="10"/>
      <c r="DYX227" s="10"/>
      <c r="DYY227" s="21"/>
      <c r="DYZ227" s="21"/>
      <c r="DZC227" s="21"/>
      <c r="DZD227" s="15"/>
      <c r="DZE227" s="15"/>
      <c r="DZF227" s="15"/>
      <c r="DZG227" s="15"/>
      <c r="DZH227" s="15"/>
      <c r="DZI227" s="15"/>
      <c r="DZJ227" s="15"/>
      <c r="DZK227" s="15"/>
      <c r="DZL227" s="15"/>
      <c r="DZM227" s="15"/>
      <c r="DZN227" s="10"/>
      <c r="DZO227" s="10"/>
      <c r="DZP227" s="21"/>
      <c r="DZQ227" s="21"/>
      <c r="DZT227" s="21"/>
      <c r="DZU227" s="15"/>
      <c r="DZV227" s="15"/>
      <c r="DZW227" s="15"/>
      <c r="DZX227" s="15"/>
      <c r="DZY227" s="15"/>
      <c r="DZZ227" s="15"/>
      <c r="EAA227" s="15"/>
      <c r="EAB227" s="15"/>
      <c r="EAC227" s="15"/>
      <c r="EAD227" s="15"/>
      <c r="EAE227" s="10"/>
      <c r="EAF227" s="10"/>
      <c r="EAG227" s="21"/>
      <c r="EAH227" s="21"/>
      <c r="EAK227" s="21"/>
      <c r="EAL227" s="15"/>
      <c r="EAM227" s="15"/>
      <c r="EAN227" s="15"/>
      <c r="EAO227" s="15"/>
      <c r="EAP227" s="15"/>
      <c r="EAQ227" s="15"/>
      <c r="EAR227" s="15"/>
      <c r="EAS227" s="15"/>
      <c r="EAT227" s="15"/>
      <c r="EAU227" s="15"/>
      <c r="EAV227" s="10"/>
      <c r="EAW227" s="10"/>
      <c r="EAX227" s="21"/>
      <c r="EAY227" s="21"/>
      <c r="EBB227" s="21"/>
      <c r="EBC227" s="15"/>
      <c r="EBD227" s="15"/>
      <c r="EBE227" s="15"/>
      <c r="EBF227" s="15"/>
      <c r="EBG227" s="15"/>
      <c r="EBH227" s="15"/>
      <c r="EBI227" s="15"/>
      <c r="EBJ227" s="15"/>
      <c r="EBK227" s="15"/>
      <c r="EBL227" s="15"/>
      <c r="EBM227" s="10"/>
      <c r="EBN227" s="10"/>
      <c r="EBO227" s="21"/>
      <c r="EBP227" s="21"/>
      <c r="EBS227" s="21"/>
      <c r="EBT227" s="15"/>
      <c r="EBU227" s="15"/>
      <c r="EBV227" s="15"/>
      <c r="EBW227" s="15"/>
      <c r="EBX227" s="15"/>
      <c r="EBY227" s="15"/>
      <c r="EBZ227" s="15"/>
      <c r="ECA227" s="15"/>
      <c r="ECB227" s="15"/>
      <c r="ECC227" s="15"/>
      <c r="ECD227" s="10"/>
      <c r="ECE227" s="10"/>
      <c r="ECF227" s="21"/>
      <c r="ECG227" s="21"/>
      <c r="ECJ227" s="21"/>
      <c r="ECK227" s="15"/>
      <c r="ECL227" s="15"/>
      <c r="ECM227" s="15"/>
      <c r="ECN227" s="15"/>
      <c r="ECO227" s="15"/>
      <c r="ECP227" s="15"/>
      <c r="ECQ227" s="15"/>
      <c r="ECR227" s="15"/>
      <c r="ECS227" s="15"/>
      <c r="ECT227" s="15"/>
      <c r="ECU227" s="10"/>
      <c r="ECV227" s="10"/>
      <c r="ECW227" s="21"/>
      <c r="ECX227" s="21"/>
      <c r="EDA227" s="21"/>
      <c r="EDB227" s="15"/>
      <c r="EDC227" s="15"/>
      <c r="EDD227" s="15"/>
      <c r="EDE227" s="15"/>
      <c r="EDF227" s="15"/>
      <c r="EDG227" s="15"/>
      <c r="EDH227" s="15"/>
      <c r="EDI227" s="15"/>
      <c r="EDJ227" s="15"/>
      <c r="EDK227" s="15"/>
      <c r="EDL227" s="10"/>
      <c r="EDM227" s="10"/>
      <c r="EDN227" s="21"/>
      <c r="EDO227" s="21"/>
      <c r="EDR227" s="21"/>
      <c r="EDS227" s="15"/>
      <c r="EDT227" s="15"/>
      <c r="EDU227" s="15"/>
      <c r="EDV227" s="15"/>
      <c r="EDW227" s="15"/>
      <c r="EDX227" s="15"/>
      <c r="EDY227" s="15"/>
      <c r="EDZ227" s="15"/>
      <c r="EEA227" s="15"/>
      <c r="EEB227" s="15"/>
      <c r="EEC227" s="10"/>
      <c r="EED227" s="10"/>
      <c r="EEE227" s="21"/>
      <c r="EEF227" s="21"/>
      <c r="EEI227" s="21"/>
      <c r="EEJ227" s="15"/>
      <c r="EEK227" s="15"/>
      <c r="EEL227" s="15"/>
      <c r="EEM227" s="15"/>
      <c r="EEN227" s="15"/>
      <c r="EEO227" s="15"/>
      <c r="EEP227" s="15"/>
      <c r="EEQ227" s="15"/>
      <c r="EER227" s="15"/>
      <c r="EES227" s="15"/>
      <c r="EET227" s="10"/>
      <c r="EEU227" s="10"/>
      <c r="EEV227" s="21"/>
      <c r="EEW227" s="21"/>
      <c r="EEZ227" s="21"/>
      <c r="EFA227" s="15"/>
      <c r="EFB227" s="15"/>
      <c r="EFC227" s="15"/>
      <c r="EFD227" s="15"/>
      <c r="EFE227" s="15"/>
      <c r="EFF227" s="15"/>
      <c r="EFG227" s="15"/>
      <c r="EFH227" s="15"/>
      <c r="EFI227" s="15"/>
      <c r="EFJ227" s="15"/>
      <c r="EFK227" s="10"/>
      <c r="EFL227" s="10"/>
      <c r="EFM227" s="21"/>
      <c r="EFN227" s="21"/>
      <c r="EFQ227" s="21"/>
      <c r="EFR227" s="15"/>
      <c r="EFS227" s="15"/>
      <c r="EFT227" s="15"/>
      <c r="EFU227" s="15"/>
      <c r="EFV227" s="15"/>
      <c r="EFW227" s="15"/>
      <c r="EFX227" s="15"/>
      <c r="EFY227" s="15"/>
      <c r="EFZ227" s="15"/>
      <c r="EGA227" s="15"/>
      <c r="EGB227" s="10"/>
      <c r="EGC227" s="10"/>
      <c r="EGD227" s="21"/>
      <c r="EGE227" s="21"/>
      <c r="EGH227" s="21"/>
      <c r="EGI227" s="15"/>
      <c r="EGJ227" s="15"/>
      <c r="EGK227" s="15"/>
      <c r="EGL227" s="15"/>
      <c r="EGM227" s="15"/>
      <c r="EGN227" s="15"/>
      <c r="EGO227" s="15"/>
      <c r="EGP227" s="15"/>
      <c r="EGQ227" s="15"/>
      <c r="EGR227" s="15"/>
      <c r="EGS227" s="10"/>
      <c r="EGT227" s="10"/>
      <c r="EGU227" s="21"/>
      <c r="EGV227" s="21"/>
      <c r="EGY227" s="21"/>
      <c r="EGZ227" s="15"/>
      <c r="EHA227" s="15"/>
      <c r="EHB227" s="15"/>
      <c r="EHC227" s="15"/>
      <c r="EHD227" s="15"/>
      <c r="EHE227" s="15"/>
      <c r="EHF227" s="15"/>
      <c r="EHG227" s="15"/>
      <c r="EHH227" s="15"/>
      <c r="EHI227" s="15"/>
      <c r="EHJ227" s="10"/>
      <c r="EHK227" s="10"/>
      <c r="EHL227" s="21"/>
      <c r="EHM227" s="21"/>
      <c r="EHP227" s="21"/>
      <c r="EHQ227" s="15"/>
      <c r="EHR227" s="15"/>
      <c r="EHS227" s="15"/>
      <c r="EHT227" s="15"/>
      <c r="EHU227" s="15"/>
      <c r="EHV227" s="15"/>
      <c r="EHW227" s="15"/>
      <c r="EHX227" s="15"/>
      <c r="EHY227" s="15"/>
      <c r="EHZ227" s="15"/>
      <c r="EIA227" s="10"/>
      <c r="EIB227" s="10"/>
      <c r="EIC227" s="21"/>
      <c r="EID227" s="21"/>
      <c r="EIG227" s="21"/>
      <c r="EIH227" s="15"/>
      <c r="EII227" s="15"/>
      <c r="EIJ227" s="15"/>
      <c r="EIK227" s="15"/>
      <c r="EIL227" s="15"/>
      <c r="EIM227" s="15"/>
      <c r="EIN227" s="15"/>
      <c r="EIO227" s="15"/>
      <c r="EIP227" s="15"/>
      <c r="EIQ227" s="15"/>
      <c r="EIR227" s="10"/>
      <c r="EIS227" s="10"/>
      <c r="EIT227" s="21"/>
      <c r="EIU227" s="21"/>
      <c r="EIX227" s="21"/>
      <c r="EIY227" s="15"/>
      <c r="EIZ227" s="15"/>
      <c r="EJA227" s="15"/>
      <c r="EJB227" s="15"/>
      <c r="EJC227" s="15"/>
      <c r="EJD227" s="15"/>
      <c r="EJE227" s="15"/>
      <c r="EJF227" s="15"/>
      <c r="EJG227" s="15"/>
      <c r="EJH227" s="15"/>
      <c r="EJI227" s="10"/>
      <c r="EJJ227" s="10"/>
      <c r="EJK227" s="21"/>
      <c r="EJL227" s="21"/>
      <c r="EJO227" s="21"/>
      <c r="EJP227" s="15"/>
      <c r="EJQ227" s="15"/>
      <c r="EJR227" s="15"/>
      <c r="EJS227" s="15"/>
      <c r="EJT227" s="15"/>
      <c r="EJU227" s="15"/>
      <c r="EJV227" s="15"/>
      <c r="EJW227" s="15"/>
      <c r="EJX227" s="15"/>
      <c r="EJY227" s="15"/>
      <c r="EJZ227" s="10"/>
      <c r="EKA227" s="10"/>
      <c r="EKB227" s="21"/>
      <c r="EKC227" s="21"/>
      <c r="EKF227" s="21"/>
      <c r="EKG227" s="15"/>
      <c r="EKH227" s="15"/>
      <c r="EKI227" s="15"/>
      <c r="EKJ227" s="15"/>
      <c r="EKK227" s="15"/>
      <c r="EKL227" s="15"/>
      <c r="EKM227" s="15"/>
      <c r="EKN227" s="15"/>
      <c r="EKO227" s="15"/>
      <c r="EKP227" s="15"/>
      <c r="EKQ227" s="10"/>
      <c r="EKR227" s="10"/>
      <c r="EKS227" s="21"/>
      <c r="EKT227" s="21"/>
      <c r="EKW227" s="21"/>
      <c r="EKX227" s="15"/>
      <c r="EKY227" s="15"/>
      <c r="EKZ227" s="15"/>
      <c r="ELA227" s="15"/>
      <c r="ELB227" s="15"/>
      <c r="ELC227" s="15"/>
      <c r="ELD227" s="15"/>
      <c r="ELE227" s="15"/>
      <c r="ELF227" s="15"/>
      <c r="ELG227" s="15"/>
      <c r="ELH227" s="10"/>
      <c r="ELI227" s="10"/>
      <c r="ELJ227" s="21"/>
      <c r="ELK227" s="21"/>
      <c r="ELN227" s="21"/>
      <c r="ELO227" s="15"/>
      <c r="ELP227" s="15"/>
      <c r="ELQ227" s="15"/>
      <c r="ELR227" s="15"/>
      <c r="ELS227" s="15"/>
      <c r="ELT227" s="15"/>
      <c r="ELU227" s="15"/>
      <c r="ELV227" s="15"/>
      <c r="ELW227" s="15"/>
      <c r="ELX227" s="15"/>
      <c r="ELY227" s="10"/>
      <c r="ELZ227" s="10"/>
      <c r="EMA227" s="21"/>
      <c r="EMB227" s="21"/>
      <c r="EME227" s="21"/>
      <c r="EMF227" s="15"/>
      <c r="EMG227" s="15"/>
      <c r="EMH227" s="15"/>
      <c r="EMI227" s="15"/>
      <c r="EMJ227" s="15"/>
      <c r="EMK227" s="15"/>
      <c r="EML227" s="15"/>
      <c r="EMM227" s="15"/>
      <c r="EMN227" s="15"/>
      <c r="EMO227" s="15"/>
      <c r="EMP227" s="10"/>
      <c r="EMQ227" s="10"/>
      <c r="EMR227" s="21"/>
      <c r="EMS227" s="21"/>
      <c r="EMV227" s="21"/>
      <c r="EMW227" s="15"/>
      <c r="EMX227" s="15"/>
      <c r="EMY227" s="15"/>
      <c r="EMZ227" s="15"/>
      <c r="ENA227" s="15"/>
      <c r="ENB227" s="15"/>
      <c r="ENC227" s="15"/>
      <c r="END227" s="15"/>
      <c r="ENE227" s="15"/>
      <c r="ENF227" s="15"/>
      <c r="ENG227" s="10"/>
      <c r="ENH227" s="10"/>
      <c r="ENI227" s="21"/>
      <c r="ENJ227" s="21"/>
      <c r="ENM227" s="21"/>
      <c r="ENN227" s="15"/>
      <c r="ENO227" s="15"/>
      <c r="ENP227" s="15"/>
      <c r="ENQ227" s="15"/>
      <c r="ENR227" s="15"/>
      <c r="ENS227" s="15"/>
      <c r="ENT227" s="15"/>
      <c r="ENU227" s="15"/>
      <c r="ENV227" s="15"/>
      <c r="ENW227" s="15"/>
      <c r="ENX227" s="10"/>
      <c r="ENY227" s="10"/>
      <c r="ENZ227" s="21"/>
      <c r="EOA227" s="21"/>
      <c r="EOD227" s="21"/>
      <c r="EOE227" s="15"/>
      <c r="EOF227" s="15"/>
      <c r="EOG227" s="15"/>
      <c r="EOH227" s="15"/>
      <c r="EOI227" s="15"/>
      <c r="EOJ227" s="15"/>
      <c r="EOK227" s="15"/>
      <c r="EOL227" s="15"/>
      <c r="EOM227" s="15"/>
      <c r="EON227" s="15"/>
      <c r="EOO227" s="10"/>
      <c r="EOP227" s="10"/>
      <c r="EOQ227" s="21"/>
      <c r="EOR227" s="21"/>
      <c r="EOU227" s="21"/>
      <c r="EOV227" s="15"/>
      <c r="EOW227" s="15"/>
      <c r="EOX227" s="15"/>
      <c r="EOY227" s="15"/>
      <c r="EOZ227" s="15"/>
      <c r="EPA227" s="15"/>
      <c r="EPB227" s="15"/>
      <c r="EPC227" s="15"/>
      <c r="EPD227" s="15"/>
      <c r="EPE227" s="15"/>
      <c r="EPF227" s="10"/>
      <c r="EPG227" s="10"/>
      <c r="EPH227" s="21"/>
      <c r="EPI227" s="21"/>
      <c r="EPL227" s="21"/>
      <c r="EPM227" s="15"/>
      <c r="EPN227" s="15"/>
      <c r="EPO227" s="15"/>
      <c r="EPP227" s="15"/>
      <c r="EPQ227" s="15"/>
      <c r="EPR227" s="15"/>
      <c r="EPS227" s="15"/>
      <c r="EPT227" s="15"/>
      <c r="EPU227" s="15"/>
      <c r="EPV227" s="15"/>
      <c r="EPW227" s="10"/>
      <c r="EPX227" s="10"/>
      <c r="EPY227" s="21"/>
      <c r="EPZ227" s="21"/>
      <c r="EQC227" s="21"/>
      <c r="EQD227" s="15"/>
      <c r="EQE227" s="15"/>
      <c r="EQF227" s="15"/>
      <c r="EQG227" s="15"/>
      <c r="EQH227" s="15"/>
      <c r="EQI227" s="15"/>
      <c r="EQJ227" s="15"/>
      <c r="EQK227" s="15"/>
      <c r="EQL227" s="15"/>
      <c r="EQM227" s="15"/>
      <c r="EQN227" s="10"/>
      <c r="EQO227" s="10"/>
      <c r="EQP227" s="21"/>
      <c r="EQQ227" s="21"/>
      <c r="EQT227" s="21"/>
      <c r="EQU227" s="15"/>
      <c r="EQV227" s="15"/>
      <c r="EQW227" s="15"/>
      <c r="EQX227" s="15"/>
      <c r="EQY227" s="15"/>
      <c r="EQZ227" s="15"/>
      <c r="ERA227" s="15"/>
      <c r="ERB227" s="15"/>
      <c r="ERC227" s="15"/>
      <c r="ERD227" s="15"/>
      <c r="ERE227" s="10"/>
      <c r="ERF227" s="10"/>
      <c r="ERG227" s="21"/>
      <c r="ERH227" s="21"/>
      <c r="ERK227" s="21"/>
      <c r="ERL227" s="15"/>
      <c r="ERM227" s="15"/>
      <c r="ERN227" s="15"/>
      <c r="ERO227" s="15"/>
      <c r="ERP227" s="15"/>
      <c r="ERQ227" s="15"/>
      <c r="ERR227" s="15"/>
      <c r="ERS227" s="15"/>
      <c r="ERT227" s="15"/>
      <c r="ERU227" s="15"/>
      <c r="ERV227" s="10"/>
      <c r="ERW227" s="10"/>
      <c r="ERX227" s="21"/>
      <c r="ERY227" s="21"/>
      <c r="ESB227" s="21"/>
      <c r="ESC227" s="15"/>
      <c r="ESD227" s="15"/>
      <c r="ESE227" s="15"/>
      <c r="ESF227" s="15"/>
      <c r="ESG227" s="15"/>
      <c r="ESH227" s="15"/>
      <c r="ESI227" s="15"/>
      <c r="ESJ227" s="15"/>
      <c r="ESK227" s="15"/>
      <c r="ESL227" s="15"/>
      <c r="ESM227" s="10"/>
      <c r="ESN227" s="10"/>
      <c r="ESO227" s="21"/>
      <c r="ESP227" s="21"/>
      <c r="ESS227" s="21"/>
      <c r="EST227" s="15"/>
      <c r="ESU227" s="15"/>
      <c r="ESV227" s="15"/>
      <c r="ESW227" s="15"/>
      <c r="ESX227" s="15"/>
      <c r="ESY227" s="15"/>
      <c r="ESZ227" s="15"/>
      <c r="ETA227" s="15"/>
      <c r="ETB227" s="15"/>
      <c r="ETC227" s="15"/>
      <c r="ETD227" s="10"/>
      <c r="ETE227" s="10"/>
      <c r="ETF227" s="21"/>
      <c r="ETG227" s="21"/>
      <c r="ETJ227" s="21"/>
      <c r="ETK227" s="15"/>
      <c r="ETL227" s="15"/>
      <c r="ETM227" s="15"/>
      <c r="ETN227" s="15"/>
      <c r="ETO227" s="15"/>
      <c r="ETP227" s="15"/>
      <c r="ETQ227" s="15"/>
      <c r="ETR227" s="15"/>
      <c r="ETS227" s="15"/>
      <c r="ETT227" s="15"/>
      <c r="ETU227" s="10"/>
      <c r="ETV227" s="10"/>
      <c r="ETW227" s="21"/>
      <c r="ETX227" s="21"/>
      <c r="EUA227" s="21"/>
      <c r="EUB227" s="15"/>
      <c r="EUC227" s="15"/>
      <c r="EUD227" s="15"/>
      <c r="EUE227" s="15"/>
      <c r="EUF227" s="15"/>
      <c r="EUG227" s="15"/>
      <c r="EUH227" s="15"/>
      <c r="EUI227" s="15"/>
      <c r="EUJ227" s="15"/>
      <c r="EUK227" s="15"/>
      <c r="EUL227" s="10"/>
      <c r="EUM227" s="10"/>
      <c r="EUN227" s="21"/>
      <c r="EUO227" s="21"/>
      <c r="EUR227" s="21"/>
      <c r="EUS227" s="15"/>
      <c r="EUT227" s="15"/>
      <c r="EUU227" s="15"/>
      <c r="EUV227" s="15"/>
      <c r="EUW227" s="15"/>
      <c r="EUX227" s="15"/>
      <c r="EUY227" s="15"/>
      <c r="EUZ227" s="15"/>
      <c r="EVA227" s="15"/>
      <c r="EVB227" s="15"/>
      <c r="EVC227" s="10"/>
      <c r="EVD227" s="10"/>
      <c r="EVE227" s="21"/>
      <c r="EVF227" s="21"/>
      <c r="EVI227" s="21"/>
      <c r="EVJ227" s="15"/>
      <c r="EVK227" s="15"/>
      <c r="EVL227" s="15"/>
      <c r="EVM227" s="15"/>
      <c r="EVN227" s="15"/>
      <c r="EVO227" s="15"/>
      <c r="EVP227" s="15"/>
      <c r="EVQ227" s="15"/>
      <c r="EVR227" s="15"/>
      <c r="EVS227" s="15"/>
      <c r="EVT227" s="10"/>
      <c r="EVU227" s="10"/>
      <c r="EVV227" s="21"/>
      <c r="EVW227" s="21"/>
      <c r="EVZ227" s="21"/>
      <c r="EWA227" s="15"/>
      <c r="EWB227" s="15"/>
      <c r="EWC227" s="15"/>
      <c r="EWD227" s="15"/>
      <c r="EWE227" s="15"/>
      <c r="EWF227" s="15"/>
      <c r="EWG227" s="15"/>
      <c r="EWH227" s="15"/>
      <c r="EWI227" s="15"/>
      <c r="EWJ227" s="15"/>
      <c r="EWK227" s="10"/>
      <c r="EWL227" s="10"/>
      <c r="EWM227" s="21"/>
      <c r="EWN227" s="21"/>
      <c r="EWQ227" s="21"/>
      <c r="EWR227" s="15"/>
      <c r="EWS227" s="15"/>
      <c r="EWT227" s="15"/>
      <c r="EWU227" s="15"/>
      <c r="EWV227" s="15"/>
      <c r="EWW227" s="15"/>
      <c r="EWX227" s="15"/>
      <c r="EWY227" s="15"/>
      <c r="EWZ227" s="15"/>
      <c r="EXA227" s="15"/>
      <c r="EXB227" s="10"/>
      <c r="EXC227" s="10"/>
      <c r="EXD227" s="21"/>
      <c r="EXE227" s="21"/>
      <c r="EXH227" s="21"/>
      <c r="EXI227" s="15"/>
      <c r="EXJ227" s="15"/>
      <c r="EXK227" s="15"/>
      <c r="EXL227" s="15"/>
      <c r="EXM227" s="15"/>
      <c r="EXN227" s="15"/>
      <c r="EXO227" s="15"/>
      <c r="EXP227" s="15"/>
      <c r="EXQ227" s="15"/>
      <c r="EXR227" s="15"/>
      <c r="EXS227" s="10"/>
      <c r="EXT227" s="10"/>
      <c r="EXU227" s="21"/>
      <c r="EXV227" s="21"/>
      <c r="EXY227" s="21"/>
      <c r="EXZ227" s="15"/>
      <c r="EYA227" s="15"/>
      <c r="EYB227" s="15"/>
      <c r="EYC227" s="15"/>
      <c r="EYD227" s="15"/>
      <c r="EYE227" s="15"/>
      <c r="EYF227" s="15"/>
      <c r="EYG227" s="15"/>
      <c r="EYH227" s="15"/>
      <c r="EYI227" s="15"/>
      <c r="EYJ227" s="10"/>
      <c r="EYK227" s="10"/>
      <c r="EYL227" s="21"/>
      <c r="EYM227" s="21"/>
      <c r="EYP227" s="21"/>
      <c r="EYQ227" s="15"/>
      <c r="EYR227" s="15"/>
      <c r="EYS227" s="15"/>
      <c r="EYT227" s="15"/>
      <c r="EYU227" s="15"/>
      <c r="EYV227" s="15"/>
      <c r="EYW227" s="15"/>
      <c r="EYX227" s="15"/>
      <c r="EYY227" s="15"/>
      <c r="EYZ227" s="15"/>
      <c r="EZA227" s="10"/>
      <c r="EZB227" s="10"/>
      <c r="EZC227" s="21"/>
      <c r="EZD227" s="21"/>
      <c r="EZG227" s="21"/>
      <c r="EZH227" s="15"/>
      <c r="EZI227" s="15"/>
      <c r="EZJ227" s="15"/>
      <c r="EZK227" s="15"/>
      <c r="EZL227" s="15"/>
      <c r="EZM227" s="15"/>
      <c r="EZN227" s="15"/>
      <c r="EZO227" s="15"/>
      <c r="EZP227" s="15"/>
      <c r="EZQ227" s="15"/>
      <c r="EZR227" s="10"/>
      <c r="EZS227" s="10"/>
      <c r="EZT227" s="21"/>
      <c r="EZU227" s="21"/>
      <c r="EZX227" s="21"/>
      <c r="EZY227" s="15"/>
      <c r="EZZ227" s="15"/>
      <c r="FAA227" s="15"/>
      <c r="FAB227" s="15"/>
      <c r="FAC227" s="15"/>
      <c r="FAD227" s="15"/>
      <c r="FAE227" s="15"/>
      <c r="FAF227" s="15"/>
      <c r="FAG227" s="15"/>
      <c r="FAH227" s="15"/>
      <c r="FAI227" s="10"/>
      <c r="FAJ227" s="10"/>
      <c r="FAK227" s="21"/>
      <c r="FAL227" s="21"/>
      <c r="FAO227" s="21"/>
      <c r="FAP227" s="15"/>
      <c r="FAQ227" s="15"/>
      <c r="FAR227" s="15"/>
      <c r="FAS227" s="15"/>
      <c r="FAT227" s="15"/>
      <c r="FAU227" s="15"/>
      <c r="FAV227" s="15"/>
      <c r="FAW227" s="15"/>
      <c r="FAX227" s="15"/>
      <c r="FAY227" s="15"/>
      <c r="FAZ227" s="10"/>
      <c r="FBA227" s="10"/>
      <c r="FBB227" s="21"/>
      <c r="FBC227" s="21"/>
      <c r="FBF227" s="21"/>
      <c r="FBG227" s="15"/>
      <c r="FBH227" s="15"/>
      <c r="FBI227" s="15"/>
      <c r="FBJ227" s="15"/>
      <c r="FBK227" s="15"/>
      <c r="FBL227" s="15"/>
      <c r="FBM227" s="15"/>
      <c r="FBN227" s="15"/>
      <c r="FBO227" s="15"/>
      <c r="FBP227" s="15"/>
      <c r="FBQ227" s="10"/>
      <c r="FBR227" s="10"/>
      <c r="FBS227" s="21"/>
      <c r="FBT227" s="21"/>
      <c r="FBW227" s="21"/>
      <c r="FBX227" s="15"/>
      <c r="FBY227" s="15"/>
      <c r="FBZ227" s="15"/>
      <c r="FCA227" s="15"/>
      <c r="FCB227" s="15"/>
      <c r="FCC227" s="15"/>
      <c r="FCD227" s="15"/>
      <c r="FCE227" s="15"/>
      <c r="FCF227" s="15"/>
      <c r="FCG227" s="15"/>
      <c r="FCH227" s="10"/>
      <c r="FCI227" s="10"/>
      <c r="FCJ227" s="21"/>
      <c r="FCK227" s="21"/>
      <c r="FCN227" s="21"/>
      <c r="FCO227" s="15"/>
      <c r="FCP227" s="15"/>
      <c r="FCQ227" s="15"/>
      <c r="FCR227" s="15"/>
      <c r="FCS227" s="15"/>
      <c r="FCT227" s="15"/>
      <c r="FCU227" s="15"/>
      <c r="FCV227" s="15"/>
      <c r="FCW227" s="15"/>
      <c r="FCX227" s="15"/>
      <c r="FCY227" s="10"/>
      <c r="FCZ227" s="10"/>
      <c r="FDA227" s="21"/>
      <c r="FDB227" s="21"/>
      <c r="FDE227" s="21"/>
      <c r="FDF227" s="15"/>
      <c r="FDG227" s="15"/>
      <c r="FDH227" s="15"/>
      <c r="FDI227" s="15"/>
      <c r="FDJ227" s="15"/>
      <c r="FDK227" s="15"/>
      <c r="FDL227" s="15"/>
      <c r="FDM227" s="15"/>
      <c r="FDN227" s="15"/>
      <c r="FDO227" s="15"/>
      <c r="FDP227" s="10"/>
      <c r="FDQ227" s="10"/>
      <c r="FDR227" s="21"/>
      <c r="FDS227" s="21"/>
      <c r="FDV227" s="21"/>
      <c r="FDW227" s="15"/>
      <c r="FDX227" s="15"/>
      <c r="FDY227" s="15"/>
      <c r="FDZ227" s="15"/>
      <c r="FEA227" s="15"/>
      <c r="FEB227" s="15"/>
      <c r="FEC227" s="15"/>
      <c r="FED227" s="15"/>
      <c r="FEE227" s="15"/>
      <c r="FEF227" s="15"/>
      <c r="FEG227" s="10"/>
      <c r="FEH227" s="10"/>
      <c r="FEI227" s="21"/>
      <c r="FEJ227" s="21"/>
      <c r="FEM227" s="21"/>
      <c r="FEN227" s="15"/>
      <c r="FEO227" s="15"/>
      <c r="FEP227" s="15"/>
      <c r="FEQ227" s="15"/>
      <c r="FER227" s="15"/>
      <c r="FES227" s="15"/>
      <c r="FET227" s="15"/>
      <c r="FEU227" s="15"/>
      <c r="FEV227" s="15"/>
      <c r="FEW227" s="15"/>
      <c r="FEX227" s="10"/>
      <c r="FEY227" s="10"/>
      <c r="FEZ227" s="21"/>
      <c r="FFA227" s="21"/>
      <c r="FFD227" s="21"/>
      <c r="FFE227" s="15"/>
      <c r="FFF227" s="15"/>
      <c r="FFG227" s="15"/>
      <c r="FFH227" s="15"/>
      <c r="FFI227" s="15"/>
      <c r="FFJ227" s="15"/>
      <c r="FFK227" s="15"/>
      <c r="FFL227" s="15"/>
      <c r="FFM227" s="15"/>
      <c r="FFN227" s="15"/>
      <c r="FFO227" s="10"/>
      <c r="FFP227" s="10"/>
      <c r="FFQ227" s="21"/>
      <c r="FFR227" s="21"/>
      <c r="FFU227" s="21"/>
      <c r="FFV227" s="15"/>
      <c r="FFW227" s="15"/>
      <c r="FFX227" s="15"/>
      <c r="FFY227" s="15"/>
      <c r="FFZ227" s="15"/>
      <c r="FGA227" s="15"/>
      <c r="FGB227" s="15"/>
      <c r="FGC227" s="15"/>
      <c r="FGD227" s="15"/>
      <c r="FGE227" s="15"/>
      <c r="FGF227" s="10"/>
      <c r="FGG227" s="10"/>
      <c r="FGH227" s="21"/>
      <c r="FGI227" s="21"/>
      <c r="FGL227" s="21"/>
      <c r="FGM227" s="15"/>
      <c r="FGN227" s="15"/>
      <c r="FGO227" s="15"/>
      <c r="FGP227" s="15"/>
      <c r="FGQ227" s="15"/>
      <c r="FGR227" s="15"/>
      <c r="FGS227" s="15"/>
      <c r="FGT227" s="15"/>
      <c r="FGU227" s="15"/>
      <c r="FGV227" s="15"/>
      <c r="FGW227" s="10"/>
      <c r="FGX227" s="10"/>
      <c r="FGY227" s="21"/>
      <c r="FGZ227" s="21"/>
      <c r="FHC227" s="21"/>
      <c r="FHD227" s="15"/>
      <c r="FHE227" s="15"/>
      <c r="FHF227" s="15"/>
      <c r="FHG227" s="15"/>
      <c r="FHH227" s="15"/>
      <c r="FHI227" s="15"/>
      <c r="FHJ227" s="15"/>
      <c r="FHK227" s="15"/>
      <c r="FHL227" s="15"/>
      <c r="FHM227" s="15"/>
      <c r="FHN227" s="10"/>
      <c r="FHO227" s="10"/>
      <c r="FHP227" s="21"/>
      <c r="FHQ227" s="21"/>
      <c r="FHT227" s="21"/>
      <c r="FHU227" s="15"/>
      <c r="FHV227" s="15"/>
      <c r="FHW227" s="15"/>
      <c r="FHX227" s="15"/>
      <c r="FHY227" s="15"/>
      <c r="FHZ227" s="15"/>
      <c r="FIA227" s="15"/>
      <c r="FIB227" s="15"/>
      <c r="FIC227" s="15"/>
      <c r="FID227" s="15"/>
      <c r="FIE227" s="10"/>
      <c r="FIF227" s="10"/>
      <c r="FIG227" s="21"/>
      <c r="FIH227" s="21"/>
      <c r="FIK227" s="21"/>
      <c r="FIL227" s="15"/>
      <c r="FIM227" s="15"/>
      <c r="FIN227" s="15"/>
      <c r="FIO227" s="15"/>
      <c r="FIP227" s="15"/>
      <c r="FIQ227" s="15"/>
      <c r="FIR227" s="15"/>
      <c r="FIS227" s="15"/>
      <c r="FIT227" s="15"/>
      <c r="FIU227" s="15"/>
      <c r="FIV227" s="10"/>
      <c r="FIW227" s="10"/>
      <c r="FIX227" s="21"/>
      <c r="FIY227" s="21"/>
      <c r="FJB227" s="21"/>
      <c r="FJC227" s="15"/>
      <c r="FJD227" s="15"/>
      <c r="FJE227" s="15"/>
      <c r="FJF227" s="15"/>
      <c r="FJG227" s="15"/>
      <c r="FJH227" s="15"/>
      <c r="FJI227" s="15"/>
      <c r="FJJ227" s="15"/>
      <c r="FJK227" s="15"/>
      <c r="FJL227" s="15"/>
      <c r="FJM227" s="10"/>
      <c r="FJN227" s="10"/>
      <c r="FJO227" s="21"/>
      <c r="FJP227" s="21"/>
      <c r="FJS227" s="21"/>
      <c r="FJT227" s="15"/>
      <c r="FJU227" s="15"/>
      <c r="FJV227" s="15"/>
      <c r="FJW227" s="15"/>
      <c r="FJX227" s="15"/>
      <c r="FJY227" s="15"/>
      <c r="FJZ227" s="15"/>
      <c r="FKA227" s="15"/>
      <c r="FKB227" s="15"/>
      <c r="FKC227" s="15"/>
      <c r="FKD227" s="10"/>
      <c r="FKE227" s="10"/>
      <c r="FKF227" s="21"/>
      <c r="FKG227" s="21"/>
      <c r="FKJ227" s="21"/>
      <c r="FKK227" s="15"/>
      <c r="FKL227" s="15"/>
      <c r="FKM227" s="15"/>
      <c r="FKN227" s="15"/>
      <c r="FKO227" s="15"/>
      <c r="FKP227" s="15"/>
      <c r="FKQ227" s="15"/>
      <c r="FKR227" s="15"/>
      <c r="FKS227" s="15"/>
      <c r="FKT227" s="15"/>
      <c r="FKU227" s="10"/>
      <c r="FKV227" s="10"/>
      <c r="FKW227" s="21"/>
      <c r="FKX227" s="21"/>
      <c r="FLA227" s="21"/>
      <c r="FLB227" s="15"/>
      <c r="FLC227" s="15"/>
      <c r="FLD227" s="15"/>
      <c r="FLE227" s="15"/>
      <c r="FLF227" s="15"/>
      <c r="FLG227" s="15"/>
      <c r="FLH227" s="15"/>
      <c r="FLI227" s="15"/>
      <c r="FLJ227" s="15"/>
      <c r="FLK227" s="15"/>
      <c r="FLL227" s="10"/>
      <c r="FLM227" s="10"/>
      <c r="FLN227" s="21"/>
      <c r="FLO227" s="21"/>
      <c r="FLR227" s="21"/>
      <c r="FLS227" s="15"/>
      <c r="FLT227" s="15"/>
      <c r="FLU227" s="15"/>
      <c r="FLV227" s="15"/>
      <c r="FLW227" s="15"/>
      <c r="FLX227" s="15"/>
      <c r="FLY227" s="15"/>
      <c r="FLZ227" s="15"/>
      <c r="FMA227" s="15"/>
      <c r="FMB227" s="15"/>
      <c r="FMC227" s="10"/>
      <c r="FMD227" s="10"/>
      <c r="FME227" s="21"/>
      <c r="FMF227" s="21"/>
      <c r="FMI227" s="21"/>
      <c r="FMJ227" s="15"/>
      <c r="FMK227" s="15"/>
      <c r="FML227" s="15"/>
      <c r="FMM227" s="15"/>
      <c r="FMN227" s="15"/>
      <c r="FMO227" s="15"/>
      <c r="FMP227" s="15"/>
      <c r="FMQ227" s="15"/>
      <c r="FMR227" s="15"/>
      <c r="FMS227" s="15"/>
      <c r="FMT227" s="10"/>
      <c r="FMU227" s="10"/>
      <c r="FMV227" s="21"/>
      <c r="FMW227" s="21"/>
      <c r="FMZ227" s="21"/>
      <c r="FNA227" s="15"/>
      <c r="FNB227" s="15"/>
      <c r="FNC227" s="15"/>
      <c r="FND227" s="15"/>
      <c r="FNE227" s="15"/>
      <c r="FNF227" s="15"/>
      <c r="FNG227" s="15"/>
      <c r="FNH227" s="15"/>
      <c r="FNI227" s="15"/>
      <c r="FNJ227" s="15"/>
      <c r="FNK227" s="10"/>
      <c r="FNL227" s="10"/>
      <c r="FNM227" s="21"/>
      <c r="FNN227" s="21"/>
      <c r="FNQ227" s="21"/>
      <c r="FNR227" s="15"/>
      <c r="FNS227" s="15"/>
      <c r="FNT227" s="15"/>
      <c r="FNU227" s="15"/>
      <c r="FNV227" s="15"/>
      <c r="FNW227" s="15"/>
      <c r="FNX227" s="15"/>
      <c r="FNY227" s="15"/>
      <c r="FNZ227" s="15"/>
      <c r="FOA227" s="15"/>
      <c r="FOB227" s="10"/>
      <c r="FOC227" s="10"/>
      <c r="FOD227" s="21"/>
      <c r="FOE227" s="21"/>
      <c r="FOH227" s="21"/>
      <c r="FOI227" s="15"/>
      <c r="FOJ227" s="15"/>
      <c r="FOK227" s="15"/>
      <c r="FOL227" s="15"/>
      <c r="FOM227" s="15"/>
      <c r="FON227" s="15"/>
      <c r="FOO227" s="15"/>
      <c r="FOP227" s="15"/>
      <c r="FOQ227" s="15"/>
      <c r="FOR227" s="15"/>
      <c r="FOS227" s="10"/>
      <c r="FOT227" s="10"/>
      <c r="FOU227" s="21"/>
      <c r="FOV227" s="21"/>
      <c r="FOY227" s="21"/>
      <c r="FOZ227" s="15"/>
      <c r="FPA227" s="15"/>
      <c r="FPB227" s="15"/>
      <c r="FPC227" s="15"/>
      <c r="FPD227" s="15"/>
      <c r="FPE227" s="15"/>
      <c r="FPF227" s="15"/>
      <c r="FPG227" s="15"/>
      <c r="FPH227" s="15"/>
      <c r="FPI227" s="15"/>
      <c r="FPJ227" s="10"/>
      <c r="FPK227" s="10"/>
      <c r="FPL227" s="21"/>
      <c r="FPM227" s="21"/>
      <c r="FPP227" s="21"/>
      <c r="FPQ227" s="15"/>
      <c r="FPR227" s="15"/>
      <c r="FPS227" s="15"/>
      <c r="FPT227" s="15"/>
      <c r="FPU227" s="15"/>
      <c r="FPV227" s="15"/>
      <c r="FPW227" s="15"/>
      <c r="FPX227" s="15"/>
      <c r="FPY227" s="15"/>
      <c r="FPZ227" s="15"/>
      <c r="FQA227" s="10"/>
      <c r="FQB227" s="10"/>
      <c r="FQC227" s="21"/>
      <c r="FQD227" s="21"/>
      <c r="FQG227" s="21"/>
      <c r="FQH227" s="15"/>
      <c r="FQI227" s="15"/>
      <c r="FQJ227" s="15"/>
      <c r="FQK227" s="15"/>
      <c r="FQL227" s="15"/>
      <c r="FQM227" s="15"/>
      <c r="FQN227" s="15"/>
      <c r="FQO227" s="15"/>
      <c r="FQP227" s="15"/>
      <c r="FQQ227" s="15"/>
      <c r="FQR227" s="10"/>
      <c r="FQS227" s="10"/>
      <c r="FQT227" s="21"/>
      <c r="FQU227" s="21"/>
      <c r="FQX227" s="21"/>
      <c r="FQY227" s="15"/>
      <c r="FQZ227" s="15"/>
      <c r="FRA227" s="15"/>
      <c r="FRB227" s="15"/>
      <c r="FRC227" s="15"/>
      <c r="FRD227" s="15"/>
      <c r="FRE227" s="15"/>
      <c r="FRF227" s="15"/>
      <c r="FRG227" s="15"/>
      <c r="FRH227" s="15"/>
      <c r="FRI227" s="10"/>
      <c r="FRJ227" s="10"/>
      <c r="FRK227" s="21"/>
      <c r="FRL227" s="21"/>
      <c r="FRO227" s="21"/>
      <c r="FRP227" s="15"/>
      <c r="FRQ227" s="15"/>
      <c r="FRR227" s="15"/>
      <c r="FRS227" s="15"/>
      <c r="FRT227" s="15"/>
      <c r="FRU227" s="15"/>
      <c r="FRV227" s="15"/>
      <c r="FRW227" s="15"/>
      <c r="FRX227" s="15"/>
      <c r="FRY227" s="15"/>
      <c r="FRZ227" s="10"/>
      <c r="FSA227" s="10"/>
      <c r="FSB227" s="21"/>
      <c r="FSC227" s="21"/>
      <c r="FSF227" s="21"/>
      <c r="FSG227" s="15"/>
      <c r="FSH227" s="15"/>
      <c r="FSI227" s="15"/>
      <c r="FSJ227" s="15"/>
      <c r="FSK227" s="15"/>
      <c r="FSL227" s="15"/>
      <c r="FSM227" s="15"/>
      <c r="FSN227" s="15"/>
      <c r="FSO227" s="15"/>
      <c r="FSP227" s="15"/>
      <c r="FSQ227" s="10"/>
      <c r="FSR227" s="10"/>
      <c r="FSS227" s="21"/>
      <c r="FST227" s="21"/>
      <c r="FSW227" s="21"/>
      <c r="FSX227" s="15"/>
      <c r="FSY227" s="15"/>
      <c r="FSZ227" s="15"/>
      <c r="FTA227" s="15"/>
      <c r="FTB227" s="15"/>
      <c r="FTC227" s="15"/>
      <c r="FTD227" s="15"/>
      <c r="FTE227" s="15"/>
      <c r="FTF227" s="15"/>
      <c r="FTG227" s="15"/>
      <c r="FTH227" s="10"/>
      <c r="FTI227" s="10"/>
      <c r="FTJ227" s="21"/>
      <c r="FTK227" s="21"/>
      <c r="FTN227" s="21"/>
      <c r="FTO227" s="15"/>
      <c r="FTP227" s="15"/>
      <c r="FTQ227" s="15"/>
      <c r="FTR227" s="15"/>
      <c r="FTS227" s="15"/>
      <c r="FTT227" s="15"/>
      <c r="FTU227" s="15"/>
      <c r="FTV227" s="15"/>
      <c r="FTW227" s="15"/>
      <c r="FTX227" s="15"/>
      <c r="FTY227" s="10"/>
      <c r="FTZ227" s="10"/>
      <c r="FUA227" s="21"/>
      <c r="FUB227" s="21"/>
      <c r="FUE227" s="21"/>
      <c r="FUF227" s="15"/>
      <c r="FUG227" s="15"/>
      <c r="FUH227" s="15"/>
      <c r="FUI227" s="15"/>
      <c r="FUJ227" s="15"/>
      <c r="FUK227" s="15"/>
      <c r="FUL227" s="15"/>
      <c r="FUM227" s="15"/>
      <c r="FUN227" s="15"/>
      <c r="FUO227" s="15"/>
      <c r="FUP227" s="10"/>
      <c r="FUQ227" s="10"/>
      <c r="FUR227" s="21"/>
      <c r="FUS227" s="21"/>
      <c r="FUV227" s="21"/>
      <c r="FUW227" s="15"/>
      <c r="FUX227" s="15"/>
      <c r="FUY227" s="15"/>
      <c r="FUZ227" s="15"/>
      <c r="FVA227" s="15"/>
      <c r="FVB227" s="15"/>
      <c r="FVC227" s="15"/>
      <c r="FVD227" s="15"/>
      <c r="FVE227" s="15"/>
      <c r="FVF227" s="15"/>
      <c r="FVG227" s="10"/>
      <c r="FVH227" s="10"/>
      <c r="FVI227" s="21"/>
      <c r="FVJ227" s="21"/>
      <c r="FVM227" s="21"/>
      <c r="FVN227" s="15"/>
      <c r="FVO227" s="15"/>
      <c r="FVP227" s="15"/>
      <c r="FVQ227" s="15"/>
      <c r="FVR227" s="15"/>
      <c r="FVS227" s="15"/>
      <c r="FVT227" s="15"/>
      <c r="FVU227" s="15"/>
      <c r="FVV227" s="15"/>
      <c r="FVW227" s="15"/>
      <c r="FVX227" s="10"/>
      <c r="FVY227" s="10"/>
      <c r="FVZ227" s="21"/>
      <c r="FWA227" s="21"/>
      <c r="FWD227" s="21"/>
      <c r="FWE227" s="15"/>
      <c r="FWF227" s="15"/>
      <c r="FWG227" s="15"/>
      <c r="FWH227" s="15"/>
      <c r="FWI227" s="15"/>
      <c r="FWJ227" s="15"/>
      <c r="FWK227" s="15"/>
      <c r="FWL227" s="15"/>
      <c r="FWM227" s="15"/>
      <c r="FWN227" s="15"/>
      <c r="FWO227" s="10"/>
      <c r="FWP227" s="10"/>
      <c r="FWQ227" s="21"/>
      <c r="FWR227" s="21"/>
      <c r="FWU227" s="21"/>
      <c r="FWV227" s="15"/>
      <c r="FWW227" s="15"/>
      <c r="FWX227" s="15"/>
      <c r="FWY227" s="15"/>
      <c r="FWZ227" s="15"/>
      <c r="FXA227" s="15"/>
      <c r="FXB227" s="15"/>
      <c r="FXC227" s="15"/>
      <c r="FXD227" s="15"/>
      <c r="FXE227" s="15"/>
      <c r="FXF227" s="10"/>
      <c r="FXG227" s="10"/>
      <c r="FXH227" s="21"/>
      <c r="FXI227" s="21"/>
      <c r="FXL227" s="21"/>
      <c r="FXM227" s="15"/>
      <c r="FXN227" s="15"/>
      <c r="FXO227" s="15"/>
      <c r="FXP227" s="15"/>
      <c r="FXQ227" s="15"/>
      <c r="FXR227" s="15"/>
      <c r="FXS227" s="15"/>
      <c r="FXT227" s="15"/>
      <c r="FXU227" s="15"/>
      <c r="FXV227" s="15"/>
      <c r="FXW227" s="10"/>
      <c r="FXX227" s="10"/>
      <c r="FXY227" s="21"/>
      <c r="FXZ227" s="21"/>
      <c r="FYC227" s="21"/>
      <c r="FYD227" s="15"/>
      <c r="FYE227" s="15"/>
      <c r="FYF227" s="15"/>
      <c r="FYG227" s="15"/>
      <c r="FYH227" s="15"/>
      <c r="FYI227" s="15"/>
      <c r="FYJ227" s="15"/>
      <c r="FYK227" s="15"/>
      <c r="FYL227" s="15"/>
      <c r="FYM227" s="15"/>
      <c r="FYN227" s="10"/>
      <c r="FYO227" s="10"/>
      <c r="FYP227" s="21"/>
      <c r="FYQ227" s="21"/>
      <c r="FYT227" s="21"/>
      <c r="FYU227" s="15"/>
      <c r="FYV227" s="15"/>
      <c r="FYW227" s="15"/>
      <c r="FYX227" s="15"/>
      <c r="FYY227" s="15"/>
      <c r="FYZ227" s="15"/>
      <c r="FZA227" s="15"/>
      <c r="FZB227" s="15"/>
      <c r="FZC227" s="15"/>
      <c r="FZD227" s="15"/>
      <c r="FZE227" s="10"/>
      <c r="FZF227" s="10"/>
      <c r="FZG227" s="21"/>
      <c r="FZH227" s="21"/>
      <c r="FZK227" s="21"/>
      <c r="FZL227" s="15"/>
      <c r="FZM227" s="15"/>
      <c r="FZN227" s="15"/>
      <c r="FZO227" s="15"/>
      <c r="FZP227" s="15"/>
      <c r="FZQ227" s="15"/>
      <c r="FZR227" s="15"/>
      <c r="FZS227" s="15"/>
      <c r="FZT227" s="15"/>
      <c r="FZU227" s="15"/>
      <c r="FZV227" s="10"/>
      <c r="FZW227" s="10"/>
      <c r="FZX227" s="21"/>
      <c r="FZY227" s="21"/>
      <c r="GAB227" s="21"/>
      <c r="GAC227" s="15"/>
      <c r="GAD227" s="15"/>
      <c r="GAE227" s="15"/>
      <c r="GAF227" s="15"/>
      <c r="GAG227" s="15"/>
      <c r="GAH227" s="15"/>
      <c r="GAI227" s="15"/>
      <c r="GAJ227" s="15"/>
      <c r="GAK227" s="15"/>
      <c r="GAL227" s="15"/>
      <c r="GAM227" s="10"/>
      <c r="GAN227" s="10"/>
      <c r="GAO227" s="21"/>
      <c r="GAP227" s="21"/>
      <c r="GAS227" s="21"/>
      <c r="GAT227" s="15"/>
      <c r="GAU227" s="15"/>
      <c r="GAV227" s="15"/>
      <c r="GAW227" s="15"/>
      <c r="GAX227" s="15"/>
      <c r="GAY227" s="15"/>
      <c r="GAZ227" s="15"/>
      <c r="GBA227" s="15"/>
      <c r="GBB227" s="15"/>
      <c r="GBC227" s="15"/>
      <c r="GBD227" s="10"/>
      <c r="GBE227" s="10"/>
      <c r="GBF227" s="21"/>
      <c r="GBG227" s="21"/>
      <c r="GBJ227" s="21"/>
      <c r="GBK227" s="15"/>
      <c r="GBL227" s="15"/>
      <c r="GBM227" s="15"/>
      <c r="GBN227" s="15"/>
      <c r="GBO227" s="15"/>
      <c r="GBP227" s="15"/>
      <c r="GBQ227" s="15"/>
      <c r="GBR227" s="15"/>
      <c r="GBS227" s="15"/>
      <c r="GBT227" s="15"/>
      <c r="GBU227" s="10"/>
      <c r="GBV227" s="10"/>
      <c r="GBW227" s="21"/>
      <c r="GBX227" s="21"/>
      <c r="GCA227" s="21"/>
      <c r="GCB227" s="15"/>
      <c r="GCC227" s="15"/>
      <c r="GCD227" s="15"/>
      <c r="GCE227" s="15"/>
      <c r="GCF227" s="15"/>
      <c r="GCG227" s="15"/>
      <c r="GCH227" s="15"/>
      <c r="GCI227" s="15"/>
      <c r="GCJ227" s="15"/>
      <c r="GCK227" s="15"/>
      <c r="GCL227" s="10"/>
      <c r="GCM227" s="10"/>
      <c r="GCN227" s="21"/>
      <c r="GCO227" s="21"/>
      <c r="GCR227" s="21"/>
      <c r="GCS227" s="15"/>
      <c r="GCT227" s="15"/>
      <c r="GCU227" s="15"/>
      <c r="GCV227" s="15"/>
      <c r="GCW227" s="15"/>
      <c r="GCX227" s="15"/>
      <c r="GCY227" s="15"/>
      <c r="GCZ227" s="15"/>
      <c r="GDA227" s="15"/>
      <c r="GDB227" s="15"/>
      <c r="GDC227" s="10"/>
      <c r="GDD227" s="10"/>
      <c r="GDE227" s="21"/>
      <c r="GDF227" s="21"/>
      <c r="GDI227" s="21"/>
      <c r="GDJ227" s="15"/>
      <c r="GDK227" s="15"/>
      <c r="GDL227" s="15"/>
      <c r="GDM227" s="15"/>
      <c r="GDN227" s="15"/>
      <c r="GDO227" s="15"/>
      <c r="GDP227" s="15"/>
      <c r="GDQ227" s="15"/>
      <c r="GDR227" s="15"/>
      <c r="GDS227" s="15"/>
      <c r="GDT227" s="10"/>
      <c r="GDU227" s="10"/>
      <c r="GDV227" s="21"/>
      <c r="GDW227" s="21"/>
      <c r="GDZ227" s="21"/>
      <c r="GEA227" s="15"/>
      <c r="GEB227" s="15"/>
      <c r="GEC227" s="15"/>
      <c r="GED227" s="15"/>
      <c r="GEE227" s="15"/>
      <c r="GEF227" s="15"/>
      <c r="GEG227" s="15"/>
      <c r="GEH227" s="15"/>
      <c r="GEI227" s="15"/>
      <c r="GEJ227" s="15"/>
      <c r="GEK227" s="10"/>
      <c r="GEL227" s="10"/>
      <c r="GEM227" s="21"/>
      <c r="GEN227" s="21"/>
      <c r="GEQ227" s="21"/>
      <c r="GER227" s="15"/>
      <c r="GES227" s="15"/>
      <c r="GET227" s="15"/>
      <c r="GEU227" s="15"/>
      <c r="GEV227" s="15"/>
      <c r="GEW227" s="15"/>
      <c r="GEX227" s="15"/>
      <c r="GEY227" s="15"/>
      <c r="GEZ227" s="15"/>
      <c r="GFA227" s="15"/>
      <c r="GFB227" s="10"/>
      <c r="GFC227" s="10"/>
      <c r="GFD227" s="21"/>
      <c r="GFE227" s="21"/>
      <c r="GFH227" s="21"/>
      <c r="GFI227" s="15"/>
      <c r="GFJ227" s="15"/>
      <c r="GFK227" s="15"/>
      <c r="GFL227" s="15"/>
      <c r="GFM227" s="15"/>
      <c r="GFN227" s="15"/>
      <c r="GFO227" s="15"/>
      <c r="GFP227" s="15"/>
      <c r="GFQ227" s="15"/>
      <c r="GFR227" s="15"/>
      <c r="GFS227" s="10"/>
      <c r="GFT227" s="10"/>
      <c r="GFU227" s="21"/>
      <c r="GFV227" s="21"/>
      <c r="GFY227" s="21"/>
      <c r="GFZ227" s="15"/>
      <c r="GGA227" s="15"/>
      <c r="GGB227" s="15"/>
      <c r="GGC227" s="15"/>
      <c r="GGD227" s="15"/>
      <c r="GGE227" s="15"/>
      <c r="GGF227" s="15"/>
      <c r="GGG227" s="15"/>
      <c r="GGH227" s="15"/>
      <c r="GGI227" s="15"/>
      <c r="GGJ227" s="10"/>
      <c r="GGK227" s="10"/>
      <c r="GGL227" s="21"/>
      <c r="GGM227" s="21"/>
      <c r="GGP227" s="21"/>
      <c r="GGQ227" s="15"/>
      <c r="GGR227" s="15"/>
      <c r="GGS227" s="15"/>
      <c r="GGT227" s="15"/>
      <c r="GGU227" s="15"/>
      <c r="GGV227" s="15"/>
      <c r="GGW227" s="15"/>
      <c r="GGX227" s="15"/>
      <c r="GGY227" s="15"/>
      <c r="GGZ227" s="15"/>
      <c r="GHA227" s="10"/>
      <c r="GHB227" s="10"/>
      <c r="GHC227" s="21"/>
      <c r="GHD227" s="21"/>
      <c r="GHG227" s="21"/>
      <c r="GHH227" s="15"/>
      <c r="GHI227" s="15"/>
      <c r="GHJ227" s="15"/>
      <c r="GHK227" s="15"/>
      <c r="GHL227" s="15"/>
      <c r="GHM227" s="15"/>
      <c r="GHN227" s="15"/>
      <c r="GHO227" s="15"/>
      <c r="GHP227" s="15"/>
      <c r="GHQ227" s="15"/>
      <c r="GHR227" s="10"/>
      <c r="GHS227" s="10"/>
      <c r="GHT227" s="21"/>
      <c r="GHU227" s="21"/>
      <c r="GHX227" s="21"/>
      <c r="GHY227" s="15"/>
      <c r="GHZ227" s="15"/>
      <c r="GIA227" s="15"/>
      <c r="GIB227" s="15"/>
      <c r="GIC227" s="15"/>
      <c r="GID227" s="15"/>
      <c r="GIE227" s="15"/>
      <c r="GIF227" s="15"/>
      <c r="GIG227" s="15"/>
      <c r="GIH227" s="15"/>
      <c r="GII227" s="10"/>
      <c r="GIJ227" s="10"/>
      <c r="GIK227" s="21"/>
      <c r="GIL227" s="21"/>
      <c r="GIO227" s="21"/>
      <c r="GIP227" s="15"/>
      <c r="GIQ227" s="15"/>
      <c r="GIR227" s="15"/>
      <c r="GIS227" s="15"/>
      <c r="GIT227" s="15"/>
      <c r="GIU227" s="15"/>
      <c r="GIV227" s="15"/>
      <c r="GIW227" s="15"/>
      <c r="GIX227" s="15"/>
      <c r="GIY227" s="15"/>
      <c r="GIZ227" s="10"/>
      <c r="GJA227" s="10"/>
      <c r="GJB227" s="21"/>
      <c r="GJC227" s="21"/>
      <c r="GJF227" s="21"/>
      <c r="GJG227" s="15"/>
      <c r="GJH227" s="15"/>
      <c r="GJI227" s="15"/>
      <c r="GJJ227" s="15"/>
      <c r="GJK227" s="15"/>
      <c r="GJL227" s="15"/>
      <c r="GJM227" s="15"/>
      <c r="GJN227" s="15"/>
      <c r="GJO227" s="15"/>
      <c r="GJP227" s="15"/>
      <c r="GJQ227" s="10"/>
      <c r="GJR227" s="10"/>
      <c r="GJS227" s="21"/>
      <c r="GJT227" s="21"/>
      <c r="GJW227" s="21"/>
      <c r="GJX227" s="15"/>
      <c r="GJY227" s="15"/>
      <c r="GJZ227" s="15"/>
      <c r="GKA227" s="15"/>
      <c r="GKB227" s="15"/>
      <c r="GKC227" s="15"/>
      <c r="GKD227" s="15"/>
      <c r="GKE227" s="15"/>
      <c r="GKF227" s="15"/>
      <c r="GKG227" s="15"/>
      <c r="GKH227" s="10"/>
      <c r="GKI227" s="10"/>
      <c r="GKJ227" s="21"/>
      <c r="GKK227" s="21"/>
      <c r="GKN227" s="21"/>
      <c r="GKO227" s="15"/>
      <c r="GKP227" s="15"/>
      <c r="GKQ227" s="15"/>
      <c r="GKR227" s="15"/>
      <c r="GKS227" s="15"/>
      <c r="GKT227" s="15"/>
      <c r="GKU227" s="15"/>
      <c r="GKV227" s="15"/>
      <c r="GKW227" s="15"/>
      <c r="GKX227" s="15"/>
      <c r="GKY227" s="10"/>
      <c r="GKZ227" s="10"/>
      <c r="GLA227" s="21"/>
      <c r="GLB227" s="21"/>
      <c r="GLE227" s="21"/>
      <c r="GLF227" s="15"/>
      <c r="GLG227" s="15"/>
      <c r="GLH227" s="15"/>
      <c r="GLI227" s="15"/>
      <c r="GLJ227" s="15"/>
      <c r="GLK227" s="15"/>
      <c r="GLL227" s="15"/>
      <c r="GLM227" s="15"/>
      <c r="GLN227" s="15"/>
      <c r="GLO227" s="15"/>
      <c r="GLP227" s="10"/>
      <c r="GLQ227" s="10"/>
      <c r="GLR227" s="21"/>
      <c r="GLS227" s="21"/>
      <c r="GLV227" s="21"/>
      <c r="GLW227" s="15"/>
      <c r="GLX227" s="15"/>
      <c r="GLY227" s="15"/>
      <c r="GLZ227" s="15"/>
      <c r="GMA227" s="15"/>
      <c r="GMB227" s="15"/>
      <c r="GMC227" s="15"/>
      <c r="GMD227" s="15"/>
      <c r="GME227" s="15"/>
      <c r="GMF227" s="15"/>
      <c r="GMG227" s="10"/>
      <c r="GMH227" s="10"/>
      <c r="GMI227" s="21"/>
      <c r="GMJ227" s="21"/>
      <c r="GMM227" s="21"/>
      <c r="GMN227" s="15"/>
      <c r="GMO227" s="15"/>
      <c r="GMP227" s="15"/>
      <c r="GMQ227" s="15"/>
      <c r="GMR227" s="15"/>
      <c r="GMS227" s="15"/>
      <c r="GMT227" s="15"/>
      <c r="GMU227" s="15"/>
      <c r="GMV227" s="15"/>
      <c r="GMW227" s="15"/>
      <c r="GMX227" s="10"/>
      <c r="GMY227" s="10"/>
      <c r="GMZ227" s="21"/>
      <c r="GNA227" s="21"/>
      <c r="GND227" s="21"/>
      <c r="GNE227" s="15"/>
      <c r="GNF227" s="15"/>
      <c r="GNG227" s="15"/>
      <c r="GNH227" s="15"/>
      <c r="GNI227" s="15"/>
      <c r="GNJ227" s="15"/>
      <c r="GNK227" s="15"/>
      <c r="GNL227" s="15"/>
      <c r="GNM227" s="15"/>
      <c r="GNN227" s="15"/>
      <c r="GNO227" s="10"/>
      <c r="GNP227" s="10"/>
      <c r="GNQ227" s="21"/>
      <c r="GNR227" s="21"/>
      <c r="GNU227" s="21"/>
      <c r="GNV227" s="15"/>
      <c r="GNW227" s="15"/>
      <c r="GNX227" s="15"/>
      <c r="GNY227" s="15"/>
      <c r="GNZ227" s="15"/>
      <c r="GOA227" s="15"/>
      <c r="GOB227" s="15"/>
      <c r="GOC227" s="15"/>
      <c r="GOD227" s="15"/>
      <c r="GOE227" s="15"/>
      <c r="GOF227" s="10"/>
      <c r="GOG227" s="10"/>
      <c r="GOH227" s="21"/>
      <c r="GOI227" s="21"/>
      <c r="GOL227" s="21"/>
      <c r="GOM227" s="15"/>
      <c r="GON227" s="15"/>
      <c r="GOO227" s="15"/>
      <c r="GOP227" s="15"/>
      <c r="GOQ227" s="15"/>
      <c r="GOR227" s="15"/>
      <c r="GOS227" s="15"/>
      <c r="GOT227" s="15"/>
      <c r="GOU227" s="15"/>
      <c r="GOV227" s="15"/>
      <c r="GOW227" s="10"/>
      <c r="GOX227" s="10"/>
      <c r="GOY227" s="21"/>
      <c r="GOZ227" s="21"/>
      <c r="GPC227" s="21"/>
      <c r="GPD227" s="15"/>
      <c r="GPE227" s="15"/>
      <c r="GPF227" s="15"/>
      <c r="GPG227" s="15"/>
      <c r="GPH227" s="15"/>
      <c r="GPI227" s="15"/>
      <c r="GPJ227" s="15"/>
      <c r="GPK227" s="15"/>
      <c r="GPL227" s="15"/>
      <c r="GPM227" s="15"/>
      <c r="GPN227" s="10"/>
      <c r="GPO227" s="10"/>
      <c r="GPP227" s="21"/>
      <c r="GPQ227" s="21"/>
      <c r="GPT227" s="21"/>
      <c r="GPU227" s="15"/>
      <c r="GPV227" s="15"/>
      <c r="GPW227" s="15"/>
      <c r="GPX227" s="15"/>
      <c r="GPY227" s="15"/>
      <c r="GPZ227" s="15"/>
      <c r="GQA227" s="15"/>
      <c r="GQB227" s="15"/>
      <c r="GQC227" s="15"/>
      <c r="GQD227" s="15"/>
      <c r="GQE227" s="10"/>
      <c r="GQF227" s="10"/>
      <c r="GQG227" s="21"/>
      <c r="GQH227" s="21"/>
      <c r="GQK227" s="21"/>
      <c r="GQL227" s="15"/>
      <c r="GQM227" s="15"/>
      <c r="GQN227" s="15"/>
      <c r="GQO227" s="15"/>
      <c r="GQP227" s="15"/>
      <c r="GQQ227" s="15"/>
      <c r="GQR227" s="15"/>
      <c r="GQS227" s="15"/>
      <c r="GQT227" s="15"/>
      <c r="GQU227" s="15"/>
      <c r="GQV227" s="10"/>
      <c r="GQW227" s="10"/>
      <c r="GQX227" s="21"/>
      <c r="GQY227" s="21"/>
      <c r="GRB227" s="21"/>
      <c r="GRC227" s="15"/>
      <c r="GRD227" s="15"/>
      <c r="GRE227" s="15"/>
      <c r="GRF227" s="15"/>
      <c r="GRG227" s="15"/>
      <c r="GRH227" s="15"/>
      <c r="GRI227" s="15"/>
      <c r="GRJ227" s="15"/>
      <c r="GRK227" s="15"/>
      <c r="GRL227" s="15"/>
      <c r="GRM227" s="10"/>
      <c r="GRN227" s="10"/>
      <c r="GRO227" s="21"/>
      <c r="GRP227" s="21"/>
      <c r="GRS227" s="21"/>
      <c r="GRT227" s="15"/>
      <c r="GRU227" s="15"/>
      <c r="GRV227" s="15"/>
      <c r="GRW227" s="15"/>
      <c r="GRX227" s="15"/>
      <c r="GRY227" s="15"/>
      <c r="GRZ227" s="15"/>
      <c r="GSA227" s="15"/>
      <c r="GSB227" s="15"/>
      <c r="GSC227" s="15"/>
      <c r="GSD227" s="10"/>
      <c r="GSE227" s="10"/>
      <c r="GSF227" s="21"/>
      <c r="GSG227" s="21"/>
      <c r="GSJ227" s="21"/>
      <c r="GSK227" s="15"/>
      <c r="GSL227" s="15"/>
      <c r="GSM227" s="15"/>
      <c r="GSN227" s="15"/>
      <c r="GSO227" s="15"/>
      <c r="GSP227" s="15"/>
      <c r="GSQ227" s="15"/>
      <c r="GSR227" s="15"/>
      <c r="GSS227" s="15"/>
      <c r="GST227" s="15"/>
      <c r="GSU227" s="10"/>
      <c r="GSV227" s="10"/>
      <c r="GSW227" s="21"/>
      <c r="GSX227" s="21"/>
      <c r="GTA227" s="21"/>
      <c r="GTB227" s="15"/>
      <c r="GTC227" s="15"/>
      <c r="GTD227" s="15"/>
      <c r="GTE227" s="15"/>
      <c r="GTF227" s="15"/>
      <c r="GTG227" s="15"/>
      <c r="GTH227" s="15"/>
      <c r="GTI227" s="15"/>
      <c r="GTJ227" s="15"/>
      <c r="GTK227" s="15"/>
      <c r="GTL227" s="10"/>
      <c r="GTM227" s="10"/>
      <c r="GTN227" s="21"/>
      <c r="GTO227" s="21"/>
      <c r="GTR227" s="21"/>
      <c r="GTS227" s="15"/>
      <c r="GTT227" s="15"/>
      <c r="GTU227" s="15"/>
      <c r="GTV227" s="15"/>
      <c r="GTW227" s="15"/>
      <c r="GTX227" s="15"/>
      <c r="GTY227" s="15"/>
      <c r="GTZ227" s="15"/>
      <c r="GUA227" s="15"/>
      <c r="GUB227" s="15"/>
      <c r="GUC227" s="10"/>
      <c r="GUD227" s="10"/>
      <c r="GUE227" s="21"/>
      <c r="GUF227" s="21"/>
      <c r="GUI227" s="21"/>
      <c r="GUJ227" s="15"/>
      <c r="GUK227" s="15"/>
      <c r="GUL227" s="15"/>
      <c r="GUM227" s="15"/>
      <c r="GUN227" s="15"/>
      <c r="GUO227" s="15"/>
      <c r="GUP227" s="15"/>
      <c r="GUQ227" s="15"/>
      <c r="GUR227" s="15"/>
      <c r="GUS227" s="15"/>
      <c r="GUT227" s="10"/>
      <c r="GUU227" s="10"/>
      <c r="GUV227" s="21"/>
      <c r="GUW227" s="21"/>
      <c r="GUZ227" s="21"/>
      <c r="GVA227" s="15"/>
      <c r="GVB227" s="15"/>
      <c r="GVC227" s="15"/>
      <c r="GVD227" s="15"/>
      <c r="GVE227" s="15"/>
      <c r="GVF227" s="15"/>
      <c r="GVG227" s="15"/>
      <c r="GVH227" s="15"/>
      <c r="GVI227" s="15"/>
      <c r="GVJ227" s="15"/>
      <c r="GVK227" s="10"/>
      <c r="GVL227" s="10"/>
      <c r="GVM227" s="21"/>
      <c r="GVN227" s="21"/>
      <c r="GVQ227" s="21"/>
      <c r="GVR227" s="15"/>
      <c r="GVS227" s="15"/>
      <c r="GVT227" s="15"/>
      <c r="GVU227" s="15"/>
      <c r="GVV227" s="15"/>
      <c r="GVW227" s="15"/>
      <c r="GVX227" s="15"/>
      <c r="GVY227" s="15"/>
      <c r="GVZ227" s="15"/>
      <c r="GWA227" s="15"/>
      <c r="GWB227" s="10"/>
      <c r="GWC227" s="10"/>
      <c r="GWD227" s="21"/>
      <c r="GWE227" s="21"/>
      <c r="GWH227" s="21"/>
      <c r="GWI227" s="15"/>
      <c r="GWJ227" s="15"/>
      <c r="GWK227" s="15"/>
      <c r="GWL227" s="15"/>
      <c r="GWM227" s="15"/>
      <c r="GWN227" s="15"/>
      <c r="GWO227" s="15"/>
      <c r="GWP227" s="15"/>
      <c r="GWQ227" s="15"/>
      <c r="GWR227" s="15"/>
      <c r="GWS227" s="10"/>
      <c r="GWT227" s="10"/>
      <c r="GWU227" s="21"/>
      <c r="GWV227" s="21"/>
      <c r="GWY227" s="21"/>
      <c r="GWZ227" s="15"/>
      <c r="GXA227" s="15"/>
      <c r="GXB227" s="15"/>
      <c r="GXC227" s="15"/>
      <c r="GXD227" s="15"/>
      <c r="GXE227" s="15"/>
      <c r="GXF227" s="15"/>
      <c r="GXG227" s="15"/>
      <c r="GXH227" s="15"/>
      <c r="GXI227" s="15"/>
      <c r="GXJ227" s="10"/>
      <c r="GXK227" s="10"/>
      <c r="GXL227" s="21"/>
      <c r="GXM227" s="21"/>
      <c r="GXP227" s="21"/>
      <c r="GXQ227" s="15"/>
      <c r="GXR227" s="15"/>
      <c r="GXS227" s="15"/>
      <c r="GXT227" s="15"/>
      <c r="GXU227" s="15"/>
      <c r="GXV227" s="15"/>
      <c r="GXW227" s="15"/>
      <c r="GXX227" s="15"/>
      <c r="GXY227" s="15"/>
      <c r="GXZ227" s="15"/>
      <c r="GYA227" s="10"/>
      <c r="GYB227" s="10"/>
      <c r="GYC227" s="21"/>
      <c r="GYD227" s="21"/>
      <c r="GYG227" s="21"/>
      <c r="GYH227" s="15"/>
      <c r="GYI227" s="15"/>
      <c r="GYJ227" s="15"/>
      <c r="GYK227" s="15"/>
      <c r="GYL227" s="15"/>
      <c r="GYM227" s="15"/>
      <c r="GYN227" s="15"/>
      <c r="GYO227" s="15"/>
      <c r="GYP227" s="15"/>
      <c r="GYQ227" s="15"/>
      <c r="GYR227" s="10"/>
      <c r="GYS227" s="10"/>
      <c r="GYT227" s="21"/>
      <c r="GYU227" s="21"/>
      <c r="GYX227" s="21"/>
      <c r="GYY227" s="15"/>
      <c r="GYZ227" s="15"/>
      <c r="GZA227" s="15"/>
      <c r="GZB227" s="15"/>
      <c r="GZC227" s="15"/>
      <c r="GZD227" s="15"/>
      <c r="GZE227" s="15"/>
      <c r="GZF227" s="15"/>
      <c r="GZG227" s="15"/>
      <c r="GZH227" s="15"/>
      <c r="GZI227" s="10"/>
      <c r="GZJ227" s="10"/>
      <c r="GZK227" s="21"/>
      <c r="GZL227" s="21"/>
      <c r="GZO227" s="21"/>
      <c r="GZP227" s="15"/>
      <c r="GZQ227" s="15"/>
      <c r="GZR227" s="15"/>
      <c r="GZS227" s="15"/>
      <c r="GZT227" s="15"/>
      <c r="GZU227" s="15"/>
      <c r="GZV227" s="15"/>
      <c r="GZW227" s="15"/>
      <c r="GZX227" s="15"/>
      <c r="GZY227" s="15"/>
      <c r="GZZ227" s="10"/>
      <c r="HAA227" s="10"/>
      <c r="HAB227" s="21"/>
      <c r="HAC227" s="21"/>
      <c r="HAF227" s="21"/>
      <c r="HAG227" s="15"/>
      <c r="HAH227" s="15"/>
      <c r="HAI227" s="15"/>
      <c r="HAJ227" s="15"/>
      <c r="HAK227" s="15"/>
      <c r="HAL227" s="15"/>
      <c r="HAM227" s="15"/>
      <c r="HAN227" s="15"/>
      <c r="HAO227" s="15"/>
      <c r="HAP227" s="15"/>
      <c r="HAQ227" s="10"/>
      <c r="HAR227" s="10"/>
      <c r="HAS227" s="21"/>
      <c r="HAT227" s="21"/>
      <c r="HAW227" s="21"/>
      <c r="HAX227" s="15"/>
      <c r="HAY227" s="15"/>
      <c r="HAZ227" s="15"/>
      <c r="HBA227" s="15"/>
      <c r="HBB227" s="15"/>
      <c r="HBC227" s="15"/>
      <c r="HBD227" s="15"/>
      <c r="HBE227" s="15"/>
      <c r="HBF227" s="15"/>
      <c r="HBG227" s="15"/>
      <c r="HBH227" s="10"/>
      <c r="HBI227" s="10"/>
      <c r="HBJ227" s="21"/>
      <c r="HBK227" s="21"/>
      <c r="HBN227" s="21"/>
      <c r="HBO227" s="15"/>
      <c r="HBP227" s="15"/>
      <c r="HBQ227" s="15"/>
      <c r="HBR227" s="15"/>
      <c r="HBS227" s="15"/>
      <c r="HBT227" s="15"/>
      <c r="HBU227" s="15"/>
      <c r="HBV227" s="15"/>
      <c r="HBW227" s="15"/>
      <c r="HBX227" s="15"/>
      <c r="HBY227" s="10"/>
      <c r="HBZ227" s="10"/>
      <c r="HCA227" s="21"/>
      <c r="HCB227" s="21"/>
      <c r="HCE227" s="21"/>
      <c r="HCF227" s="15"/>
      <c r="HCG227" s="15"/>
      <c r="HCH227" s="15"/>
      <c r="HCI227" s="15"/>
      <c r="HCJ227" s="15"/>
      <c r="HCK227" s="15"/>
      <c r="HCL227" s="15"/>
      <c r="HCM227" s="15"/>
      <c r="HCN227" s="15"/>
      <c r="HCO227" s="15"/>
      <c r="HCP227" s="10"/>
      <c r="HCQ227" s="10"/>
      <c r="HCR227" s="21"/>
      <c r="HCS227" s="21"/>
      <c r="HCV227" s="21"/>
      <c r="HCW227" s="15"/>
      <c r="HCX227" s="15"/>
      <c r="HCY227" s="15"/>
      <c r="HCZ227" s="15"/>
      <c r="HDA227" s="15"/>
      <c r="HDB227" s="15"/>
      <c r="HDC227" s="15"/>
      <c r="HDD227" s="15"/>
      <c r="HDE227" s="15"/>
      <c r="HDF227" s="15"/>
      <c r="HDG227" s="10"/>
      <c r="HDH227" s="10"/>
      <c r="HDI227" s="21"/>
      <c r="HDJ227" s="21"/>
      <c r="HDM227" s="21"/>
      <c r="HDN227" s="15"/>
      <c r="HDO227" s="15"/>
      <c r="HDP227" s="15"/>
      <c r="HDQ227" s="15"/>
      <c r="HDR227" s="15"/>
      <c r="HDS227" s="15"/>
      <c r="HDT227" s="15"/>
      <c r="HDU227" s="15"/>
      <c r="HDV227" s="15"/>
      <c r="HDW227" s="15"/>
      <c r="HDX227" s="10"/>
      <c r="HDY227" s="10"/>
      <c r="HDZ227" s="21"/>
      <c r="HEA227" s="21"/>
      <c r="HED227" s="21"/>
      <c r="HEE227" s="15"/>
      <c r="HEF227" s="15"/>
      <c r="HEG227" s="15"/>
      <c r="HEH227" s="15"/>
      <c r="HEI227" s="15"/>
      <c r="HEJ227" s="15"/>
      <c r="HEK227" s="15"/>
      <c r="HEL227" s="15"/>
      <c r="HEM227" s="15"/>
      <c r="HEN227" s="15"/>
      <c r="HEO227" s="10"/>
      <c r="HEP227" s="10"/>
      <c r="HEQ227" s="21"/>
      <c r="HER227" s="21"/>
      <c r="HEU227" s="21"/>
      <c r="HEV227" s="15"/>
      <c r="HEW227" s="15"/>
      <c r="HEX227" s="15"/>
      <c r="HEY227" s="15"/>
      <c r="HEZ227" s="15"/>
      <c r="HFA227" s="15"/>
      <c r="HFB227" s="15"/>
      <c r="HFC227" s="15"/>
      <c r="HFD227" s="15"/>
      <c r="HFE227" s="15"/>
      <c r="HFF227" s="10"/>
      <c r="HFG227" s="10"/>
      <c r="HFH227" s="21"/>
      <c r="HFI227" s="21"/>
      <c r="HFL227" s="21"/>
      <c r="HFM227" s="15"/>
      <c r="HFN227" s="15"/>
      <c r="HFO227" s="15"/>
      <c r="HFP227" s="15"/>
      <c r="HFQ227" s="15"/>
      <c r="HFR227" s="15"/>
      <c r="HFS227" s="15"/>
      <c r="HFT227" s="15"/>
      <c r="HFU227" s="15"/>
      <c r="HFV227" s="15"/>
      <c r="HFW227" s="10"/>
      <c r="HFX227" s="10"/>
      <c r="HFY227" s="21"/>
      <c r="HFZ227" s="21"/>
      <c r="HGC227" s="21"/>
      <c r="HGD227" s="15"/>
      <c r="HGE227" s="15"/>
      <c r="HGF227" s="15"/>
      <c r="HGG227" s="15"/>
      <c r="HGH227" s="15"/>
      <c r="HGI227" s="15"/>
      <c r="HGJ227" s="15"/>
      <c r="HGK227" s="15"/>
      <c r="HGL227" s="15"/>
      <c r="HGM227" s="15"/>
      <c r="HGN227" s="10"/>
      <c r="HGO227" s="10"/>
      <c r="HGP227" s="21"/>
      <c r="HGQ227" s="21"/>
      <c r="HGT227" s="21"/>
      <c r="HGU227" s="15"/>
      <c r="HGV227" s="15"/>
      <c r="HGW227" s="15"/>
      <c r="HGX227" s="15"/>
      <c r="HGY227" s="15"/>
      <c r="HGZ227" s="15"/>
      <c r="HHA227" s="15"/>
      <c r="HHB227" s="15"/>
      <c r="HHC227" s="15"/>
      <c r="HHD227" s="15"/>
      <c r="HHE227" s="10"/>
      <c r="HHF227" s="10"/>
      <c r="HHG227" s="21"/>
      <c r="HHH227" s="21"/>
      <c r="HHK227" s="21"/>
      <c r="HHL227" s="15"/>
      <c r="HHM227" s="15"/>
      <c r="HHN227" s="15"/>
      <c r="HHO227" s="15"/>
      <c r="HHP227" s="15"/>
      <c r="HHQ227" s="15"/>
      <c r="HHR227" s="15"/>
      <c r="HHS227" s="15"/>
      <c r="HHT227" s="15"/>
      <c r="HHU227" s="15"/>
      <c r="HHV227" s="10"/>
      <c r="HHW227" s="10"/>
      <c r="HHX227" s="21"/>
      <c r="HHY227" s="21"/>
      <c r="HIB227" s="21"/>
      <c r="HIC227" s="15"/>
      <c r="HID227" s="15"/>
      <c r="HIE227" s="15"/>
      <c r="HIF227" s="15"/>
      <c r="HIG227" s="15"/>
      <c r="HIH227" s="15"/>
      <c r="HII227" s="15"/>
      <c r="HIJ227" s="15"/>
      <c r="HIK227" s="15"/>
      <c r="HIL227" s="15"/>
      <c r="HIM227" s="10"/>
      <c r="HIN227" s="10"/>
      <c r="HIO227" s="21"/>
      <c r="HIP227" s="21"/>
      <c r="HIS227" s="21"/>
      <c r="HIT227" s="15"/>
      <c r="HIU227" s="15"/>
      <c r="HIV227" s="15"/>
      <c r="HIW227" s="15"/>
      <c r="HIX227" s="15"/>
      <c r="HIY227" s="15"/>
      <c r="HIZ227" s="15"/>
      <c r="HJA227" s="15"/>
      <c r="HJB227" s="15"/>
      <c r="HJC227" s="15"/>
      <c r="HJD227" s="10"/>
      <c r="HJE227" s="10"/>
      <c r="HJF227" s="21"/>
      <c r="HJG227" s="21"/>
      <c r="HJJ227" s="21"/>
      <c r="HJK227" s="15"/>
      <c r="HJL227" s="15"/>
      <c r="HJM227" s="15"/>
      <c r="HJN227" s="15"/>
      <c r="HJO227" s="15"/>
      <c r="HJP227" s="15"/>
      <c r="HJQ227" s="15"/>
      <c r="HJR227" s="15"/>
      <c r="HJS227" s="15"/>
      <c r="HJT227" s="15"/>
      <c r="HJU227" s="10"/>
      <c r="HJV227" s="10"/>
      <c r="HJW227" s="21"/>
      <c r="HJX227" s="21"/>
      <c r="HKA227" s="21"/>
      <c r="HKB227" s="15"/>
      <c r="HKC227" s="15"/>
      <c r="HKD227" s="15"/>
      <c r="HKE227" s="15"/>
      <c r="HKF227" s="15"/>
      <c r="HKG227" s="15"/>
      <c r="HKH227" s="15"/>
      <c r="HKI227" s="15"/>
      <c r="HKJ227" s="15"/>
      <c r="HKK227" s="15"/>
      <c r="HKL227" s="10"/>
      <c r="HKM227" s="10"/>
      <c r="HKN227" s="21"/>
      <c r="HKO227" s="21"/>
      <c r="HKR227" s="21"/>
      <c r="HKS227" s="15"/>
      <c r="HKT227" s="15"/>
      <c r="HKU227" s="15"/>
      <c r="HKV227" s="15"/>
      <c r="HKW227" s="15"/>
      <c r="HKX227" s="15"/>
      <c r="HKY227" s="15"/>
      <c r="HKZ227" s="15"/>
      <c r="HLA227" s="15"/>
      <c r="HLB227" s="15"/>
      <c r="HLC227" s="10"/>
      <c r="HLD227" s="10"/>
      <c r="HLE227" s="21"/>
      <c r="HLF227" s="21"/>
      <c r="HLI227" s="21"/>
      <c r="HLJ227" s="15"/>
      <c r="HLK227" s="15"/>
      <c r="HLL227" s="15"/>
      <c r="HLM227" s="15"/>
      <c r="HLN227" s="15"/>
      <c r="HLO227" s="15"/>
      <c r="HLP227" s="15"/>
      <c r="HLQ227" s="15"/>
      <c r="HLR227" s="15"/>
      <c r="HLS227" s="15"/>
      <c r="HLT227" s="10"/>
      <c r="HLU227" s="10"/>
      <c r="HLV227" s="21"/>
      <c r="HLW227" s="21"/>
      <c r="HLZ227" s="21"/>
      <c r="HMA227" s="15"/>
      <c r="HMB227" s="15"/>
      <c r="HMC227" s="15"/>
      <c r="HMD227" s="15"/>
      <c r="HME227" s="15"/>
      <c r="HMF227" s="15"/>
      <c r="HMG227" s="15"/>
      <c r="HMH227" s="15"/>
      <c r="HMI227" s="15"/>
      <c r="HMJ227" s="15"/>
      <c r="HMK227" s="10"/>
      <c r="HML227" s="10"/>
      <c r="HMM227" s="21"/>
      <c r="HMN227" s="21"/>
      <c r="HMQ227" s="21"/>
      <c r="HMR227" s="15"/>
      <c r="HMS227" s="15"/>
      <c r="HMT227" s="15"/>
      <c r="HMU227" s="15"/>
      <c r="HMV227" s="15"/>
      <c r="HMW227" s="15"/>
      <c r="HMX227" s="15"/>
      <c r="HMY227" s="15"/>
      <c r="HMZ227" s="15"/>
      <c r="HNA227" s="15"/>
      <c r="HNB227" s="10"/>
      <c r="HNC227" s="10"/>
      <c r="HND227" s="21"/>
      <c r="HNE227" s="21"/>
      <c r="HNH227" s="21"/>
      <c r="HNI227" s="15"/>
      <c r="HNJ227" s="15"/>
      <c r="HNK227" s="15"/>
      <c r="HNL227" s="15"/>
      <c r="HNM227" s="15"/>
      <c r="HNN227" s="15"/>
      <c r="HNO227" s="15"/>
      <c r="HNP227" s="15"/>
      <c r="HNQ227" s="15"/>
      <c r="HNR227" s="15"/>
      <c r="HNS227" s="10"/>
      <c r="HNT227" s="10"/>
      <c r="HNU227" s="21"/>
      <c r="HNV227" s="21"/>
      <c r="HNY227" s="21"/>
      <c r="HNZ227" s="15"/>
      <c r="HOA227" s="15"/>
      <c r="HOB227" s="15"/>
      <c r="HOC227" s="15"/>
      <c r="HOD227" s="15"/>
      <c r="HOE227" s="15"/>
      <c r="HOF227" s="15"/>
      <c r="HOG227" s="15"/>
      <c r="HOH227" s="15"/>
      <c r="HOI227" s="15"/>
      <c r="HOJ227" s="10"/>
      <c r="HOK227" s="10"/>
      <c r="HOL227" s="21"/>
      <c r="HOM227" s="21"/>
      <c r="HOP227" s="21"/>
      <c r="HOQ227" s="15"/>
      <c r="HOR227" s="15"/>
      <c r="HOS227" s="15"/>
      <c r="HOT227" s="15"/>
      <c r="HOU227" s="15"/>
      <c r="HOV227" s="15"/>
      <c r="HOW227" s="15"/>
      <c r="HOX227" s="15"/>
      <c r="HOY227" s="15"/>
      <c r="HOZ227" s="15"/>
      <c r="HPA227" s="10"/>
      <c r="HPB227" s="10"/>
      <c r="HPC227" s="21"/>
      <c r="HPD227" s="21"/>
      <c r="HPG227" s="21"/>
      <c r="HPH227" s="15"/>
      <c r="HPI227" s="15"/>
      <c r="HPJ227" s="15"/>
      <c r="HPK227" s="15"/>
      <c r="HPL227" s="15"/>
      <c r="HPM227" s="15"/>
      <c r="HPN227" s="15"/>
      <c r="HPO227" s="15"/>
      <c r="HPP227" s="15"/>
      <c r="HPQ227" s="15"/>
      <c r="HPR227" s="10"/>
      <c r="HPS227" s="10"/>
      <c r="HPT227" s="21"/>
      <c r="HPU227" s="21"/>
      <c r="HPX227" s="21"/>
      <c r="HPY227" s="15"/>
      <c r="HPZ227" s="15"/>
      <c r="HQA227" s="15"/>
      <c r="HQB227" s="15"/>
      <c r="HQC227" s="15"/>
      <c r="HQD227" s="15"/>
      <c r="HQE227" s="15"/>
      <c r="HQF227" s="15"/>
      <c r="HQG227" s="15"/>
      <c r="HQH227" s="15"/>
      <c r="HQI227" s="10"/>
      <c r="HQJ227" s="10"/>
      <c r="HQK227" s="21"/>
      <c r="HQL227" s="21"/>
      <c r="HQO227" s="21"/>
      <c r="HQP227" s="15"/>
      <c r="HQQ227" s="15"/>
      <c r="HQR227" s="15"/>
      <c r="HQS227" s="15"/>
      <c r="HQT227" s="15"/>
      <c r="HQU227" s="15"/>
      <c r="HQV227" s="15"/>
      <c r="HQW227" s="15"/>
      <c r="HQX227" s="15"/>
      <c r="HQY227" s="15"/>
      <c r="HQZ227" s="10"/>
      <c r="HRA227" s="10"/>
      <c r="HRB227" s="21"/>
      <c r="HRC227" s="21"/>
      <c r="HRF227" s="21"/>
      <c r="HRG227" s="15"/>
      <c r="HRH227" s="15"/>
      <c r="HRI227" s="15"/>
      <c r="HRJ227" s="15"/>
      <c r="HRK227" s="15"/>
      <c r="HRL227" s="15"/>
      <c r="HRM227" s="15"/>
      <c r="HRN227" s="15"/>
      <c r="HRO227" s="15"/>
      <c r="HRP227" s="15"/>
      <c r="HRQ227" s="10"/>
      <c r="HRR227" s="10"/>
      <c r="HRS227" s="21"/>
      <c r="HRT227" s="21"/>
      <c r="HRW227" s="21"/>
      <c r="HRX227" s="15"/>
      <c r="HRY227" s="15"/>
      <c r="HRZ227" s="15"/>
      <c r="HSA227" s="15"/>
      <c r="HSB227" s="15"/>
      <c r="HSC227" s="15"/>
      <c r="HSD227" s="15"/>
      <c r="HSE227" s="15"/>
      <c r="HSF227" s="15"/>
      <c r="HSG227" s="15"/>
      <c r="HSH227" s="10"/>
      <c r="HSI227" s="10"/>
      <c r="HSJ227" s="21"/>
      <c r="HSK227" s="21"/>
      <c r="HSN227" s="21"/>
      <c r="HSO227" s="15"/>
      <c r="HSP227" s="15"/>
      <c r="HSQ227" s="15"/>
      <c r="HSR227" s="15"/>
      <c r="HSS227" s="15"/>
      <c r="HST227" s="15"/>
      <c r="HSU227" s="15"/>
      <c r="HSV227" s="15"/>
      <c r="HSW227" s="15"/>
      <c r="HSX227" s="15"/>
      <c r="HSY227" s="10"/>
      <c r="HSZ227" s="10"/>
      <c r="HTA227" s="21"/>
      <c r="HTB227" s="21"/>
      <c r="HTE227" s="21"/>
      <c r="HTF227" s="15"/>
      <c r="HTG227" s="15"/>
      <c r="HTH227" s="15"/>
      <c r="HTI227" s="15"/>
      <c r="HTJ227" s="15"/>
      <c r="HTK227" s="15"/>
      <c r="HTL227" s="15"/>
      <c r="HTM227" s="15"/>
      <c r="HTN227" s="15"/>
      <c r="HTO227" s="15"/>
      <c r="HTP227" s="10"/>
      <c r="HTQ227" s="10"/>
      <c r="HTR227" s="21"/>
      <c r="HTS227" s="21"/>
      <c r="HTV227" s="21"/>
      <c r="HTW227" s="15"/>
      <c r="HTX227" s="15"/>
      <c r="HTY227" s="15"/>
      <c r="HTZ227" s="15"/>
      <c r="HUA227" s="15"/>
      <c r="HUB227" s="15"/>
      <c r="HUC227" s="15"/>
      <c r="HUD227" s="15"/>
      <c r="HUE227" s="15"/>
      <c r="HUF227" s="15"/>
      <c r="HUG227" s="10"/>
      <c r="HUH227" s="10"/>
      <c r="HUI227" s="21"/>
      <c r="HUJ227" s="21"/>
      <c r="HUM227" s="21"/>
      <c r="HUN227" s="15"/>
      <c r="HUO227" s="15"/>
      <c r="HUP227" s="15"/>
      <c r="HUQ227" s="15"/>
      <c r="HUR227" s="15"/>
      <c r="HUS227" s="15"/>
      <c r="HUT227" s="15"/>
      <c r="HUU227" s="15"/>
      <c r="HUV227" s="15"/>
      <c r="HUW227" s="15"/>
      <c r="HUX227" s="10"/>
      <c r="HUY227" s="10"/>
      <c r="HUZ227" s="21"/>
      <c r="HVA227" s="21"/>
      <c r="HVD227" s="21"/>
      <c r="HVE227" s="15"/>
      <c r="HVF227" s="15"/>
      <c r="HVG227" s="15"/>
      <c r="HVH227" s="15"/>
      <c r="HVI227" s="15"/>
      <c r="HVJ227" s="15"/>
      <c r="HVK227" s="15"/>
      <c r="HVL227" s="15"/>
      <c r="HVM227" s="15"/>
      <c r="HVN227" s="15"/>
      <c r="HVO227" s="10"/>
      <c r="HVP227" s="10"/>
      <c r="HVQ227" s="21"/>
      <c r="HVR227" s="21"/>
      <c r="HVU227" s="21"/>
      <c r="HVV227" s="15"/>
      <c r="HVW227" s="15"/>
      <c r="HVX227" s="15"/>
      <c r="HVY227" s="15"/>
      <c r="HVZ227" s="15"/>
      <c r="HWA227" s="15"/>
      <c r="HWB227" s="15"/>
      <c r="HWC227" s="15"/>
      <c r="HWD227" s="15"/>
      <c r="HWE227" s="15"/>
      <c r="HWF227" s="10"/>
      <c r="HWG227" s="10"/>
      <c r="HWH227" s="21"/>
      <c r="HWI227" s="21"/>
      <c r="HWL227" s="21"/>
      <c r="HWM227" s="15"/>
      <c r="HWN227" s="15"/>
      <c r="HWO227" s="15"/>
      <c r="HWP227" s="15"/>
      <c r="HWQ227" s="15"/>
      <c r="HWR227" s="15"/>
      <c r="HWS227" s="15"/>
      <c r="HWT227" s="15"/>
      <c r="HWU227" s="15"/>
      <c r="HWV227" s="15"/>
      <c r="HWW227" s="10"/>
      <c r="HWX227" s="10"/>
      <c r="HWY227" s="21"/>
      <c r="HWZ227" s="21"/>
      <c r="HXC227" s="21"/>
      <c r="HXD227" s="15"/>
      <c r="HXE227" s="15"/>
      <c r="HXF227" s="15"/>
      <c r="HXG227" s="15"/>
      <c r="HXH227" s="15"/>
      <c r="HXI227" s="15"/>
      <c r="HXJ227" s="15"/>
      <c r="HXK227" s="15"/>
      <c r="HXL227" s="15"/>
      <c r="HXM227" s="15"/>
      <c r="HXN227" s="10"/>
      <c r="HXO227" s="10"/>
      <c r="HXP227" s="21"/>
      <c r="HXQ227" s="21"/>
      <c r="HXT227" s="21"/>
      <c r="HXU227" s="15"/>
      <c r="HXV227" s="15"/>
      <c r="HXW227" s="15"/>
      <c r="HXX227" s="15"/>
      <c r="HXY227" s="15"/>
      <c r="HXZ227" s="15"/>
      <c r="HYA227" s="15"/>
      <c r="HYB227" s="15"/>
      <c r="HYC227" s="15"/>
      <c r="HYD227" s="15"/>
      <c r="HYE227" s="10"/>
      <c r="HYF227" s="10"/>
      <c r="HYG227" s="21"/>
      <c r="HYH227" s="21"/>
      <c r="HYK227" s="21"/>
      <c r="HYL227" s="15"/>
      <c r="HYM227" s="15"/>
      <c r="HYN227" s="15"/>
      <c r="HYO227" s="15"/>
      <c r="HYP227" s="15"/>
      <c r="HYQ227" s="15"/>
      <c r="HYR227" s="15"/>
      <c r="HYS227" s="15"/>
      <c r="HYT227" s="15"/>
      <c r="HYU227" s="15"/>
      <c r="HYV227" s="10"/>
      <c r="HYW227" s="10"/>
      <c r="HYX227" s="21"/>
      <c r="HYY227" s="21"/>
      <c r="HZB227" s="21"/>
      <c r="HZC227" s="15"/>
      <c r="HZD227" s="15"/>
      <c r="HZE227" s="15"/>
      <c r="HZF227" s="15"/>
      <c r="HZG227" s="15"/>
      <c r="HZH227" s="15"/>
      <c r="HZI227" s="15"/>
      <c r="HZJ227" s="15"/>
      <c r="HZK227" s="15"/>
      <c r="HZL227" s="15"/>
      <c r="HZM227" s="10"/>
      <c r="HZN227" s="10"/>
      <c r="HZO227" s="21"/>
      <c r="HZP227" s="21"/>
      <c r="HZS227" s="21"/>
      <c r="HZT227" s="15"/>
      <c r="HZU227" s="15"/>
      <c r="HZV227" s="15"/>
      <c r="HZW227" s="15"/>
      <c r="HZX227" s="15"/>
      <c r="HZY227" s="15"/>
      <c r="HZZ227" s="15"/>
      <c r="IAA227" s="15"/>
      <c r="IAB227" s="15"/>
      <c r="IAC227" s="15"/>
      <c r="IAD227" s="10"/>
      <c r="IAE227" s="10"/>
      <c r="IAF227" s="21"/>
      <c r="IAG227" s="21"/>
      <c r="IAJ227" s="21"/>
      <c r="IAK227" s="15"/>
      <c r="IAL227" s="15"/>
      <c r="IAM227" s="15"/>
      <c r="IAN227" s="15"/>
      <c r="IAO227" s="15"/>
      <c r="IAP227" s="15"/>
      <c r="IAQ227" s="15"/>
      <c r="IAR227" s="15"/>
      <c r="IAS227" s="15"/>
      <c r="IAT227" s="15"/>
      <c r="IAU227" s="10"/>
      <c r="IAV227" s="10"/>
      <c r="IAW227" s="21"/>
      <c r="IAX227" s="21"/>
      <c r="IBA227" s="21"/>
      <c r="IBB227" s="15"/>
      <c r="IBC227" s="15"/>
      <c r="IBD227" s="15"/>
      <c r="IBE227" s="15"/>
      <c r="IBF227" s="15"/>
      <c r="IBG227" s="15"/>
      <c r="IBH227" s="15"/>
      <c r="IBI227" s="15"/>
      <c r="IBJ227" s="15"/>
      <c r="IBK227" s="15"/>
      <c r="IBL227" s="10"/>
      <c r="IBM227" s="10"/>
      <c r="IBN227" s="21"/>
      <c r="IBO227" s="21"/>
      <c r="IBR227" s="21"/>
      <c r="IBS227" s="15"/>
      <c r="IBT227" s="15"/>
      <c r="IBU227" s="15"/>
      <c r="IBV227" s="15"/>
      <c r="IBW227" s="15"/>
      <c r="IBX227" s="15"/>
      <c r="IBY227" s="15"/>
      <c r="IBZ227" s="15"/>
      <c r="ICA227" s="15"/>
      <c r="ICB227" s="15"/>
      <c r="ICC227" s="10"/>
      <c r="ICD227" s="10"/>
      <c r="ICE227" s="21"/>
      <c r="ICF227" s="21"/>
      <c r="ICI227" s="21"/>
      <c r="ICJ227" s="15"/>
      <c r="ICK227" s="15"/>
      <c r="ICL227" s="15"/>
      <c r="ICM227" s="15"/>
      <c r="ICN227" s="15"/>
      <c r="ICO227" s="15"/>
      <c r="ICP227" s="15"/>
      <c r="ICQ227" s="15"/>
      <c r="ICR227" s="15"/>
      <c r="ICS227" s="15"/>
      <c r="ICT227" s="10"/>
      <c r="ICU227" s="10"/>
      <c r="ICV227" s="21"/>
      <c r="ICW227" s="21"/>
      <c r="ICZ227" s="21"/>
      <c r="IDA227" s="15"/>
      <c r="IDB227" s="15"/>
      <c r="IDC227" s="15"/>
      <c r="IDD227" s="15"/>
      <c r="IDE227" s="15"/>
      <c r="IDF227" s="15"/>
      <c r="IDG227" s="15"/>
      <c r="IDH227" s="15"/>
      <c r="IDI227" s="15"/>
      <c r="IDJ227" s="15"/>
      <c r="IDK227" s="10"/>
      <c r="IDL227" s="10"/>
      <c r="IDM227" s="21"/>
      <c r="IDN227" s="21"/>
      <c r="IDQ227" s="21"/>
      <c r="IDR227" s="15"/>
      <c r="IDS227" s="15"/>
      <c r="IDT227" s="15"/>
      <c r="IDU227" s="15"/>
      <c r="IDV227" s="15"/>
      <c r="IDW227" s="15"/>
      <c r="IDX227" s="15"/>
      <c r="IDY227" s="15"/>
      <c r="IDZ227" s="15"/>
      <c r="IEA227" s="15"/>
      <c r="IEB227" s="10"/>
      <c r="IEC227" s="10"/>
      <c r="IED227" s="21"/>
      <c r="IEE227" s="21"/>
      <c r="IEH227" s="21"/>
      <c r="IEI227" s="15"/>
      <c r="IEJ227" s="15"/>
      <c r="IEK227" s="15"/>
      <c r="IEL227" s="15"/>
      <c r="IEM227" s="15"/>
      <c r="IEN227" s="15"/>
      <c r="IEO227" s="15"/>
      <c r="IEP227" s="15"/>
      <c r="IEQ227" s="15"/>
      <c r="IER227" s="15"/>
      <c r="IES227" s="10"/>
      <c r="IET227" s="10"/>
      <c r="IEU227" s="21"/>
      <c r="IEV227" s="21"/>
      <c r="IEY227" s="21"/>
      <c r="IEZ227" s="15"/>
      <c r="IFA227" s="15"/>
      <c r="IFB227" s="15"/>
      <c r="IFC227" s="15"/>
      <c r="IFD227" s="15"/>
      <c r="IFE227" s="15"/>
      <c r="IFF227" s="15"/>
      <c r="IFG227" s="15"/>
      <c r="IFH227" s="15"/>
      <c r="IFI227" s="15"/>
      <c r="IFJ227" s="10"/>
      <c r="IFK227" s="10"/>
      <c r="IFL227" s="21"/>
      <c r="IFM227" s="21"/>
      <c r="IFP227" s="21"/>
      <c r="IFQ227" s="15"/>
      <c r="IFR227" s="15"/>
      <c r="IFS227" s="15"/>
      <c r="IFT227" s="15"/>
      <c r="IFU227" s="15"/>
      <c r="IFV227" s="15"/>
      <c r="IFW227" s="15"/>
      <c r="IFX227" s="15"/>
      <c r="IFY227" s="15"/>
      <c r="IFZ227" s="15"/>
      <c r="IGA227" s="10"/>
      <c r="IGB227" s="10"/>
      <c r="IGC227" s="21"/>
      <c r="IGD227" s="21"/>
      <c r="IGG227" s="21"/>
      <c r="IGH227" s="15"/>
      <c r="IGI227" s="15"/>
      <c r="IGJ227" s="15"/>
      <c r="IGK227" s="15"/>
      <c r="IGL227" s="15"/>
      <c r="IGM227" s="15"/>
      <c r="IGN227" s="15"/>
      <c r="IGO227" s="15"/>
      <c r="IGP227" s="15"/>
      <c r="IGQ227" s="15"/>
      <c r="IGR227" s="10"/>
      <c r="IGS227" s="10"/>
      <c r="IGT227" s="21"/>
      <c r="IGU227" s="21"/>
      <c r="IGX227" s="21"/>
      <c r="IGY227" s="15"/>
      <c r="IGZ227" s="15"/>
      <c r="IHA227" s="15"/>
      <c r="IHB227" s="15"/>
      <c r="IHC227" s="15"/>
      <c r="IHD227" s="15"/>
      <c r="IHE227" s="15"/>
      <c r="IHF227" s="15"/>
      <c r="IHG227" s="15"/>
      <c r="IHH227" s="15"/>
      <c r="IHI227" s="10"/>
      <c r="IHJ227" s="10"/>
      <c r="IHK227" s="21"/>
      <c r="IHL227" s="21"/>
      <c r="IHO227" s="21"/>
      <c r="IHP227" s="15"/>
      <c r="IHQ227" s="15"/>
      <c r="IHR227" s="15"/>
      <c r="IHS227" s="15"/>
      <c r="IHT227" s="15"/>
      <c r="IHU227" s="15"/>
      <c r="IHV227" s="15"/>
      <c r="IHW227" s="15"/>
      <c r="IHX227" s="15"/>
      <c r="IHY227" s="15"/>
      <c r="IHZ227" s="10"/>
      <c r="IIA227" s="10"/>
      <c r="IIB227" s="21"/>
      <c r="IIC227" s="21"/>
      <c r="IIF227" s="21"/>
      <c r="IIG227" s="15"/>
      <c r="IIH227" s="15"/>
      <c r="III227" s="15"/>
      <c r="IIJ227" s="15"/>
      <c r="IIK227" s="15"/>
      <c r="IIL227" s="15"/>
      <c r="IIM227" s="15"/>
      <c r="IIN227" s="15"/>
      <c r="IIO227" s="15"/>
      <c r="IIP227" s="15"/>
      <c r="IIQ227" s="10"/>
      <c r="IIR227" s="10"/>
      <c r="IIS227" s="21"/>
      <c r="IIT227" s="21"/>
      <c r="IIW227" s="21"/>
      <c r="IIX227" s="15"/>
      <c r="IIY227" s="15"/>
      <c r="IIZ227" s="15"/>
      <c r="IJA227" s="15"/>
      <c r="IJB227" s="15"/>
      <c r="IJC227" s="15"/>
      <c r="IJD227" s="15"/>
      <c r="IJE227" s="15"/>
      <c r="IJF227" s="15"/>
      <c r="IJG227" s="15"/>
      <c r="IJH227" s="10"/>
      <c r="IJI227" s="10"/>
      <c r="IJJ227" s="21"/>
      <c r="IJK227" s="21"/>
      <c r="IJN227" s="21"/>
      <c r="IJO227" s="15"/>
      <c r="IJP227" s="15"/>
      <c r="IJQ227" s="15"/>
      <c r="IJR227" s="15"/>
      <c r="IJS227" s="15"/>
      <c r="IJT227" s="15"/>
      <c r="IJU227" s="15"/>
      <c r="IJV227" s="15"/>
      <c r="IJW227" s="15"/>
      <c r="IJX227" s="15"/>
      <c r="IJY227" s="10"/>
      <c r="IJZ227" s="10"/>
      <c r="IKA227" s="21"/>
      <c r="IKB227" s="21"/>
      <c r="IKE227" s="21"/>
      <c r="IKF227" s="15"/>
      <c r="IKG227" s="15"/>
      <c r="IKH227" s="15"/>
      <c r="IKI227" s="15"/>
      <c r="IKJ227" s="15"/>
      <c r="IKK227" s="15"/>
      <c r="IKL227" s="15"/>
      <c r="IKM227" s="15"/>
      <c r="IKN227" s="15"/>
      <c r="IKO227" s="15"/>
      <c r="IKP227" s="10"/>
      <c r="IKQ227" s="10"/>
      <c r="IKR227" s="21"/>
      <c r="IKS227" s="21"/>
      <c r="IKV227" s="21"/>
      <c r="IKW227" s="15"/>
      <c r="IKX227" s="15"/>
      <c r="IKY227" s="15"/>
      <c r="IKZ227" s="15"/>
      <c r="ILA227" s="15"/>
      <c r="ILB227" s="15"/>
      <c r="ILC227" s="15"/>
      <c r="ILD227" s="15"/>
      <c r="ILE227" s="15"/>
      <c r="ILF227" s="15"/>
      <c r="ILG227" s="10"/>
      <c r="ILH227" s="10"/>
      <c r="ILI227" s="21"/>
      <c r="ILJ227" s="21"/>
      <c r="ILM227" s="21"/>
      <c r="ILN227" s="15"/>
      <c r="ILO227" s="15"/>
      <c r="ILP227" s="15"/>
      <c r="ILQ227" s="15"/>
      <c r="ILR227" s="15"/>
      <c r="ILS227" s="15"/>
      <c r="ILT227" s="15"/>
      <c r="ILU227" s="15"/>
      <c r="ILV227" s="15"/>
      <c r="ILW227" s="15"/>
      <c r="ILX227" s="10"/>
      <c r="ILY227" s="10"/>
      <c r="ILZ227" s="21"/>
      <c r="IMA227" s="21"/>
      <c r="IMD227" s="21"/>
      <c r="IME227" s="15"/>
      <c r="IMF227" s="15"/>
      <c r="IMG227" s="15"/>
      <c r="IMH227" s="15"/>
      <c r="IMI227" s="15"/>
      <c r="IMJ227" s="15"/>
      <c r="IMK227" s="15"/>
      <c r="IML227" s="15"/>
      <c r="IMM227" s="15"/>
      <c r="IMN227" s="15"/>
      <c r="IMO227" s="10"/>
      <c r="IMP227" s="10"/>
      <c r="IMQ227" s="21"/>
      <c r="IMR227" s="21"/>
      <c r="IMU227" s="21"/>
      <c r="IMV227" s="15"/>
      <c r="IMW227" s="15"/>
      <c r="IMX227" s="15"/>
      <c r="IMY227" s="15"/>
      <c r="IMZ227" s="15"/>
      <c r="INA227" s="15"/>
      <c r="INB227" s="15"/>
      <c r="INC227" s="15"/>
      <c r="IND227" s="15"/>
      <c r="INE227" s="15"/>
      <c r="INF227" s="10"/>
      <c r="ING227" s="10"/>
      <c r="INH227" s="21"/>
      <c r="INI227" s="21"/>
      <c r="INL227" s="21"/>
      <c r="INM227" s="15"/>
      <c r="INN227" s="15"/>
      <c r="INO227" s="15"/>
      <c r="INP227" s="15"/>
      <c r="INQ227" s="15"/>
      <c r="INR227" s="15"/>
      <c r="INS227" s="15"/>
      <c r="INT227" s="15"/>
      <c r="INU227" s="15"/>
      <c r="INV227" s="15"/>
      <c r="INW227" s="10"/>
      <c r="INX227" s="10"/>
      <c r="INY227" s="21"/>
      <c r="INZ227" s="21"/>
      <c r="IOC227" s="21"/>
      <c r="IOD227" s="15"/>
      <c r="IOE227" s="15"/>
      <c r="IOF227" s="15"/>
      <c r="IOG227" s="15"/>
      <c r="IOH227" s="15"/>
      <c r="IOI227" s="15"/>
      <c r="IOJ227" s="15"/>
      <c r="IOK227" s="15"/>
      <c r="IOL227" s="15"/>
      <c r="IOM227" s="15"/>
      <c r="ION227" s="10"/>
      <c r="IOO227" s="10"/>
      <c r="IOP227" s="21"/>
      <c r="IOQ227" s="21"/>
      <c r="IOT227" s="21"/>
      <c r="IOU227" s="15"/>
      <c r="IOV227" s="15"/>
      <c r="IOW227" s="15"/>
      <c r="IOX227" s="15"/>
      <c r="IOY227" s="15"/>
      <c r="IOZ227" s="15"/>
      <c r="IPA227" s="15"/>
      <c r="IPB227" s="15"/>
      <c r="IPC227" s="15"/>
      <c r="IPD227" s="15"/>
      <c r="IPE227" s="10"/>
      <c r="IPF227" s="10"/>
      <c r="IPG227" s="21"/>
      <c r="IPH227" s="21"/>
      <c r="IPK227" s="21"/>
      <c r="IPL227" s="15"/>
      <c r="IPM227" s="15"/>
      <c r="IPN227" s="15"/>
      <c r="IPO227" s="15"/>
      <c r="IPP227" s="15"/>
      <c r="IPQ227" s="15"/>
      <c r="IPR227" s="15"/>
      <c r="IPS227" s="15"/>
      <c r="IPT227" s="15"/>
      <c r="IPU227" s="15"/>
      <c r="IPV227" s="10"/>
      <c r="IPW227" s="10"/>
      <c r="IPX227" s="21"/>
      <c r="IPY227" s="21"/>
      <c r="IQB227" s="21"/>
      <c r="IQC227" s="15"/>
      <c r="IQD227" s="15"/>
      <c r="IQE227" s="15"/>
      <c r="IQF227" s="15"/>
      <c r="IQG227" s="15"/>
      <c r="IQH227" s="15"/>
      <c r="IQI227" s="15"/>
      <c r="IQJ227" s="15"/>
      <c r="IQK227" s="15"/>
      <c r="IQL227" s="15"/>
      <c r="IQM227" s="10"/>
      <c r="IQN227" s="10"/>
      <c r="IQO227" s="21"/>
      <c r="IQP227" s="21"/>
      <c r="IQS227" s="21"/>
      <c r="IQT227" s="15"/>
      <c r="IQU227" s="15"/>
      <c r="IQV227" s="15"/>
      <c r="IQW227" s="15"/>
      <c r="IQX227" s="15"/>
      <c r="IQY227" s="15"/>
      <c r="IQZ227" s="15"/>
      <c r="IRA227" s="15"/>
      <c r="IRB227" s="15"/>
      <c r="IRC227" s="15"/>
      <c r="IRD227" s="10"/>
      <c r="IRE227" s="10"/>
      <c r="IRF227" s="21"/>
      <c r="IRG227" s="21"/>
      <c r="IRJ227" s="21"/>
      <c r="IRK227" s="15"/>
      <c r="IRL227" s="15"/>
      <c r="IRM227" s="15"/>
      <c r="IRN227" s="15"/>
      <c r="IRO227" s="15"/>
      <c r="IRP227" s="15"/>
      <c r="IRQ227" s="15"/>
      <c r="IRR227" s="15"/>
      <c r="IRS227" s="15"/>
      <c r="IRT227" s="15"/>
      <c r="IRU227" s="10"/>
      <c r="IRV227" s="10"/>
      <c r="IRW227" s="21"/>
      <c r="IRX227" s="21"/>
      <c r="ISA227" s="21"/>
      <c r="ISB227" s="15"/>
      <c r="ISC227" s="15"/>
      <c r="ISD227" s="15"/>
      <c r="ISE227" s="15"/>
      <c r="ISF227" s="15"/>
      <c r="ISG227" s="15"/>
      <c r="ISH227" s="15"/>
      <c r="ISI227" s="15"/>
      <c r="ISJ227" s="15"/>
      <c r="ISK227" s="15"/>
      <c r="ISL227" s="10"/>
      <c r="ISM227" s="10"/>
      <c r="ISN227" s="21"/>
      <c r="ISO227" s="21"/>
      <c r="ISR227" s="21"/>
      <c r="ISS227" s="15"/>
      <c r="IST227" s="15"/>
      <c r="ISU227" s="15"/>
      <c r="ISV227" s="15"/>
      <c r="ISW227" s="15"/>
      <c r="ISX227" s="15"/>
      <c r="ISY227" s="15"/>
      <c r="ISZ227" s="15"/>
      <c r="ITA227" s="15"/>
      <c r="ITB227" s="15"/>
      <c r="ITC227" s="10"/>
      <c r="ITD227" s="10"/>
      <c r="ITE227" s="21"/>
      <c r="ITF227" s="21"/>
      <c r="ITI227" s="21"/>
      <c r="ITJ227" s="15"/>
      <c r="ITK227" s="15"/>
      <c r="ITL227" s="15"/>
      <c r="ITM227" s="15"/>
      <c r="ITN227" s="15"/>
      <c r="ITO227" s="15"/>
      <c r="ITP227" s="15"/>
      <c r="ITQ227" s="15"/>
      <c r="ITR227" s="15"/>
      <c r="ITS227" s="15"/>
      <c r="ITT227" s="10"/>
      <c r="ITU227" s="10"/>
      <c r="ITV227" s="21"/>
      <c r="ITW227" s="21"/>
      <c r="ITZ227" s="21"/>
      <c r="IUA227" s="15"/>
      <c r="IUB227" s="15"/>
      <c r="IUC227" s="15"/>
      <c r="IUD227" s="15"/>
      <c r="IUE227" s="15"/>
      <c r="IUF227" s="15"/>
      <c r="IUG227" s="15"/>
      <c r="IUH227" s="15"/>
      <c r="IUI227" s="15"/>
      <c r="IUJ227" s="15"/>
      <c r="IUK227" s="10"/>
      <c r="IUL227" s="10"/>
      <c r="IUM227" s="21"/>
      <c r="IUN227" s="21"/>
      <c r="IUQ227" s="21"/>
      <c r="IUR227" s="15"/>
      <c r="IUS227" s="15"/>
      <c r="IUT227" s="15"/>
      <c r="IUU227" s="15"/>
      <c r="IUV227" s="15"/>
      <c r="IUW227" s="15"/>
      <c r="IUX227" s="15"/>
      <c r="IUY227" s="15"/>
      <c r="IUZ227" s="15"/>
      <c r="IVA227" s="15"/>
      <c r="IVB227" s="10"/>
      <c r="IVC227" s="10"/>
      <c r="IVD227" s="21"/>
      <c r="IVE227" s="21"/>
      <c r="IVH227" s="21"/>
      <c r="IVI227" s="15"/>
      <c r="IVJ227" s="15"/>
      <c r="IVK227" s="15"/>
      <c r="IVL227" s="15"/>
      <c r="IVM227" s="15"/>
      <c r="IVN227" s="15"/>
      <c r="IVO227" s="15"/>
      <c r="IVP227" s="15"/>
      <c r="IVQ227" s="15"/>
      <c r="IVR227" s="15"/>
      <c r="IVS227" s="10"/>
      <c r="IVT227" s="10"/>
      <c r="IVU227" s="21"/>
      <c r="IVV227" s="21"/>
      <c r="IVY227" s="21"/>
      <c r="IVZ227" s="15"/>
      <c r="IWA227" s="15"/>
      <c r="IWB227" s="15"/>
      <c r="IWC227" s="15"/>
      <c r="IWD227" s="15"/>
      <c r="IWE227" s="15"/>
      <c r="IWF227" s="15"/>
      <c r="IWG227" s="15"/>
      <c r="IWH227" s="15"/>
      <c r="IWI227" s="15"/>
      <c r="IWJ227" s="10"/>
      <c r="IWK227" s="10"/>
      <c r="IWL227" s="21"/>
      <c r="IWM227" s="21"/>
      <c r="IWP227" s="21"/>
      <c r="IWQ227" s="15"/>
      <c r="IWR227" s="15"/>
      <c r="IWS227" s="15"/>
      <c r="IWT227" s="15"/>
      <c r="IWU227" s="15"/>
      <c r="IWV227" s="15"/>
      <c r="IWW227" s="15"/>
      <c r="IWX227" s="15"/>
      <c r="IWY227" s="15"/>
      <c r="IWZ227" s="15"/>
      <c r="IXA227" s="10"/>
      <c r="IXB227" s="10"/>
      <c r="IXC227" s="21"/>
      <c r="IXD227" s="21"/>
      <c r="IXG227" s="21"/>
      <c r="IXH227" s="15"/>
      <c r="IXI227" s="15"/>
      <c r="IXJ227" s="15"/>
      <c r="IXK227" s="15"/>
      <c r="IXL227" s="15"/>
      <c r="IXM227" s="15"/>
      <c r="IXN227" s="15"/>
      <c r="IXO227" s="15"/>
      <c r="IXP227" s="15"/>
      <c r="IXQ227" s="15"/>
      <c r="IXR227" s="10"/>
      <c r="IXS227" s="10"/>
      <c r="IXT227" s="21"/>
      <c r="IXU227" s="21"/>
      <c r="IXX227" s="21"/>
      <c r="IXY227" s="15"/>
      <c r="IXZ227" s="15"/>
      <c r="IYA227" s="15"/>
      <c r="IYB227" s="15"/>
      <c r="IYC227" s="15"/>
      <c r="IYD227" s="15"/>
      <c r="IYE227" s="15"/>
      <c r="IYF227" s="15"/>
      <c r="IYG227" s="15"/>
      <c r="IYH227" s="15"/>
      <c r="IYI227" s="10"/>
      <c r="IYJ227" s="10"/>
      <c r="IYK227" s="21"/>
      <c r="IYL227" s="21"/>
      <c r="IYO227" s="21"/>
      <c r="IYP227" s="15"/>
      <c r="IYQ227" s="15"/>
      <c r="IYR227" s="15"/>
      <c r="IYS227" s="15"/>
      <c r="IYT227" s="15"/>
      <c r="IYU227" s="15"/>
      <c r="IYV227" s="15"/>
      <c r="IYW227" s="15"/>
      <c r="IYX227" s="15"/>
      <c r="IYY227" s="15"/>
      <c r="IYZ227" s="10"/>
      <c r="IZA227" s="10"/>
      <c r="IZB227" s="21"/>
      <c r="IZC227" s="21"/>
      <c r="IZF227" s="21"/>
      <c r="IZG227" s="15"/>
      <c r="IZH227" s="15"/>
      <c r="IZI227" s="15"/>
      <c r="IZJ227" s="15"/>
      <c r="IZK227" s="15"/>
      <c r="IZL227" s="15"/>
      <c r="IZM227" s="15"/>
      <c r="IZN227" s="15"/>
      <c r="IZO227" s="15"/>
      <c r="IZP227" s="15"/>
      <c r="IZQ227" s="10"/>
      <c r="IZR227" s="10"/>
      <c r="IZS227" s="21"/>
      <c r="IZT227" s="21"/>
      <c r="IZW227" s="21"/>
      <c r="IZX227" s="15"/>
      <c r="IZY227" s="15"/>
      <c r="IZZ227" s="15"/>
      <c r="JAA227" s="15"/>
      <c r="JAB227" s="15"/>
      <c r="JAC227" s="15"/>
      <c r="JAD227" s="15"/>
      <c r="JAE227" s="15"/>
      <c r="JAF227" s="15"/>
      <c r="JAG227" s="15"/>
      <c r="JAH227" s="10"/>
      <c r="JAI227" s="10"/>
      <c r="JAJ227" s="21"/>
      <c r="JAK227" s="21"/>
      <c r="JAN227" s="21"/>
      <c r="JAO227" s="15"/>
      <c r="JAP227" s="15"/>
      <c r="JAQ227" s="15"/>
      <c r="JAR227" s="15"/>
      <c r="JAS227" s="15"/>
      <c r="JAT227" s="15"/>
      <c r="JAU227" s="15"/>
      <c r="JAV227" s="15"/>
      <c r="JAW227" s="15"/>
      <c r="JAX227" s="15"/>
      <c r="JAY227" s="10"/>
      <c r="JAZ227" s="10"/>
      <c r="JBA227" s="21"/>
      <c r="JBB227" s="21"/>
      <c r="JBE227" s="21"/>
      <c r="JBF227" s="15"/>
      <c r="JBG227" s="15"/>
      <c r="JBH227" s="15"/>
      <c r="JBI227" s="15"/>
      <c r="JBJ227" s="15"/>
      <c r="JBK227" s="15"/>
      <c r="JBL227" s="15"/>
      <c r="JBM227" s="15"/>
      <c r="JBN227" s="15"/>
      <c r="JBO227" s="15"/>
      <c r="JBP227" s="10"/>
      <c r="JBQ227" s="10"/>
      <c r="JBR227" s="21"/>
      <c r="JBS227" s="21"/>
      <c r="JBV227" s="21"/>
      <c r="JBW227" s="15"/>
      <c r="JBX227" s="15"/>
      <c r="JBY227" s="15"/>
      <c r="JBZ227" s="15"/>
      <c r="JCA227" s="15"/>
      <c r="JCB227" s="15"/>
      <c r="JCC227" s="15"/>
      <c r="JCD227" s="15"/>
      <c r="JCE227" s="15"/>
      <c r="JCF227" s="15"/>
      <c r="JCG227" s="10"/>
      <c r="JCH227" s="10"/>
      <c r="JCI227" s="21"/>
      <c r="JCJ227" s="21"/>
      <c r="JCM227" s="21"/>
      <c r="JCN227" s="15"/>
      <c r="JCO227" s="15"/>
      <c r="JCP227" s="15"/>
      <c r="JCQ227" s="15"/>
      <c r="JCR227" s="15"/>
      <c r="JCS227" s="15"/>
      <c r="JCT227" s="15"/>
      <c r="JCU227" s="15"/>
      <c r="JCV227" s="15"/>
      <c r="JCW227" s="15"/>
      <c r="JCX227" s="10"/>
      <c r="JCY227" s="10"/>
      <c r="JCZ227" s="21"/>
      <c r="JDA227" s="21"/>
      <c r="JDD227" s="21"/>
      <c r="JDE227" s="15"/>
      <c r="JDF227" s="15"/>
      <c r="JDG227" s="15"/>
      <c r="JDH227" s="15"/>
      <c r="JDI227" s="15"/>
      <c r="JDJ227" s="15"/>
      <c r="JDK227" s="15"/>
      <c r="JDL227" s="15"/>
      <c r="JDM227" s="15"/>
      <c r="JDN227" s="15"/>
      <c r="JDO227" s="10"/>
      <c r="JDP227" s="10"/>
      <c r="JDQ227" s="21"/>
      <c r="JDR227" s="21"/>
      <c r="JDU227" s="21"/>
      <c r="JDV227" s="15"/>
      <c r="JDW227" s="15"/>
      <c r="JDX227" s="15"/>
      <c r="JDY227" s="15"/>
      <c r="JDZ227" s="15"/>
      <c r="JEA227" s="15"/>
      <c r="JEB227" s="15"/>
      <c r="JEC227" s="15"/>
      <c r="JED227" s="15"/>
      <c r="JEE227" s="15"/>
      <c r="JEF227" s="10"/>
      <c r="JEG227" s="10"/>
      <c r="JEH227" s="21"/>
      <c r="JEI227" s="21"/>
      <c r="JEL227" s="21"/>
      <c r="JEM227" s="15"/>
      <c r="JEN227" s="15"/>
      <c r="JEO227" s="15"/>
      <c r="JEP227" s="15"/>
      <c r="JEQ227" s="15"/>
      <c r="JER227" s="15"/>
      <c r="JES227" s="15"/>
      <c r="JET227" s="15"/>
      <c r="JEU227" s="15"/>
      <c r="JEV227" s="15"/>
      <c r="JEW227" s="10"/>
      <c r="JEX227" s="10"/>
      <c r="JEY227" s="21"/>
      <c r="JEZ227" s="21"/>
      <c r="JFC227" s="21"/>
      <c r="JFD227" s="15"/>
      <c r="JFE227" s="15"/>
      <c r="JFF227" s="15"/>
      <c r="JFG227" s="15"/>
      <c r="JFH227" s="15"/>
      <c r="JFI227" s="15"/>
      <c r="JFJ227" s="15"/>
      <c r="JFK227" s="15"/>
      <c r="JFL227" s="15"/>
      <c r="JFM227" s="15"/>
      <c r="JFN227" s="10"/>
      <c r="JFO227" s="10"/>
      <c r="JFP227" s="21"/>
      <c r="JFQ227" s="21"/>
      <c r="JFT227" s="21"/>
      <c r="JFU227" s="15"/>
      <c r="JFV227" s="15"/>
      <c r="JFW227" s="15"/>
      <c r="JFX227" s="15"/>
      <c r="JFY227" s="15"/>
      <c r="JFZ227" s="15"/>
      <c r="JGA227" s="15"/>
      <c r="JGB227" s="15"/>
      <c r="JGC227" s="15"/>
      <c r="JGD227" s="15"/>
      <c r="JGE227" s="10"/>
      <c r="JGF227" s="10"/>
      <c r="JGG227" s="21"/>
      <c r="JGH227" s="21"/>
      <c r="JGK227" s="21"/>
      <c r="JGL227" s="15"/>
      <c r="JGM227" s="15"/>
      <c r="JGN227" s="15"/>
      <c r="JGO227" s="15"/>
      <c r="JGP227" s="15"/>
      <c r="JGQ227" s="15"/>
      <c r="JGR227" s="15"/>
      <c r="JGS227" s="15"/>
      <c r="JGT227" s="15"/>
      <c r="JGU227" s="15"/>
      <c r="JGV227" s="10"/>
      <c r="JGW227" s="10"/>
      <c r="JGX227" s="21"/>
      <c r="JGY227" s="21"/>
      <c r="JHB227" s="21"/>
      <c r="JHC227" s="15"/>
      <c r="JHD227" s="15"/>
      <c r="JHE227" s="15"/>
      <c r="JHF227" s="15"/>
      <c r="JHG227" s="15"/>
      <c r="JHH227" s="15"/>
      <c r="JHI227" s="15"/>
      <c r="JHJ227" s="15"/>
      <c r="JHK227" s="15"/>
      <c r="JHL227" s="15"/>
      <c r="JHM227" s="10"/>
      <c r="JHN227" s="10"/>
      <c r="JHO227" s="21"/>
      <c r="JHP227" s="21"/>
      <c r="JHS227" s="21"/>
      <c r="JHT227" s="15"/>
      <c r="JHU227" s="15"/>
      <c r="JHV227" s="15"/>
      <c r="JHW227" s="15"/>
      <c r="JHX227" s="15"/>
      <c r="JHY227" s="15"/>
      <c r="JHZ227" s="15"/>
      <c r="JIA227" s="15"/>
      <c r="JIB227" s="15"/>
      <c r="JIC227" s="15"/>
      <c r="JID227" s="10"/>
      <c r="JIE227" s="10"/>
      <c r="JIF227" s="21"/>
      <c r="JIG227" s="21"/>
      <c r="JIJ227" s="21"/>
      <c r="JIK227" s="15"/>
      <c r="JIL227" s="15"/>
      <c r="JIM227" s="15"/>
      <c r="JIN227" s="15"/>
      <c r="JIO227" s="15"/>
      <c r="JIP227" s="15"/>
      <c r="JIQ227" s="15"/>
      <c r="JIR227" s="15"/>
      <c r="JIS227" s="15"/>
      <c r="JIT227" s="15"/>
      <c r="JIU227" s="10"/>
      <c r="JIV227" s="10"/>
      <c r="JIW227" s="21"/>
      <c r="JIX227" s="21"/>
      <c r="JJA227" s="21"/>
      <c r="JJB227" s="15"/>
      <c r="JJC227" s="15"/>
      <c r="JJD227" s="15"/>
      <c r="JJE227" s="15"/>
      <c r="JJF227" s="15"/>
      <c r="JJG227" s="15"/>
      <c r="JJH227" s="15"/>
      <c r="JJI227" s="15"/>
      <c r="JJJ227" s="15"/>
      <c r="JJK227" s="15"/>
      <c r="JJL227" s="10"/>
      <c r="JJM227" s="10"/>
      <c r="JJN227" s="21"/>
      <c r="JJO227" s="21"/>
      <c r="JJR227" s="21"/>
      <c r="JJS227" s="15"/>
      <c r="JJT227" s="15"/>
      <c r="JJU227" s="15"/>
      <c r="JJV227" s="15"/>
      <c r="JJW227" s="15"/>
      <c r="JJX227" s="15"/>
      <c r="JJY227" s="15"/>
      <c r="JJZ227" s="15"/>
      <c r="JKA227" s="15"/>
      <c r="JKB227" s="15"/>
      <c r="JKC227" s="10"/>
      <c r="JKD227" s="10"/>
      <c r="JKE227" s="21"/>
      <c r="JKF227" s="21"/>
      <c r="JKI227" s="21"/>
      <c r="JKJ227" s="15"/>
      <c r="JKK227" s="15"/>
      <c r="JKL227" s="15"/>
      <c r="JKM227" s="15"/>
      <c r="JKN227" s="15"/>
      <c r="JKO227" s="15"/>
      <c r="JKP227" s="15"/>
      <c r="JKQ227" s="15"/>
      <c r="JKR227" s="15"/>
      <c r="JKS227" s="15"/>
      <c r="JKT227" s="10"/>
      <c r="JKU227" s="10"/>
      <c r="JKV227" s="21"/>
      <c r="JKW227" s="21"/>
      <c r="JKZ227" s="21"/>
      <c r="JLA227" s="15"/>
      <c r="JLB227" s="15"/>
      <c r="JLC227" s="15"/>
      <c r="JLD227" s="15"/>
      <c r="JLE227" s="15"/>
      <c r="JLF227" s="15"/>
      <c r="JLG227" s="15"/>
      <c r="JLH227" s="15"/>
      <c r="JLI227" s="15"/>
      <c r="JLJ227" s="15"/>
      <c r="JLK227" s="10"/>
      <c r="JLL227" s="10"/>
      <c r="JLM227" s="21"/>
      <c r="JLN227" s="21"/>
      <c r="JLQ227" s="21"/>
      <c r="JLR227" s="15"/>
      <c r="JLS227" s="15"/>
      <c r="JLT227" s="15"/>
      <c r="JLU227" s="15"/>
      <c r="JLV227" s="15"/>
      <c r="JLW227" s="15"/>
      <c r="JLX227" s="15"/>
      <c r="JLY227" s="15"/>
      <c r="JLZ227" s="15"/>
      <c r="JMA227" s="15"/>
      <c r="JMB227" s="10"/>
      <c r="JMC227" s="10"/>
      <c r="JMD227" s="21"/>
      <c r="JME227" s="21"/>
      <c r="JMH227" s="21"/>
      <c r="JMI227" s="15"/>
      <c r="JMJ227" s="15"/>
      <c r="JMK227" s="15"/>
      <c r="JML227" s="15"/>
      <c r="JMM227" s="15"/>
      <c r="JMN227" s="15"/>
      <c r="JMO227" s="15"/>
      <c r="JMP227" s="15"/>
      <c r="JMQ227" s="15"/>
      <c r="JMR227" s="15"/>
      <c r="JMS227" s="10"/>
      <c r="JMT227" s="10"/>
      <c r="JMU227" s="21"/>
      <c r="JMV227" s="21"/>
      <c r="JMY227" s="21"/>
      <c r="JMZ227" s="15"/>
      <c r="JNA227" s="15"/>
      <c r="JNB227" s="15"/>
      <c r="JNC227" s="15"/>
      <c r="JND227" s="15"/>
      <c r="JNE227" s="15"/>
      <c r="JNF227" s="15"/>
      <c r="JNG227" s="15"/>
      <c r="JNH227" s="15"/>
      <c r="JNI227" s="15"/>
      <c r="JNJ227" s="10"/>
      <c r="JNK227" s="10"/>
      <c r="JNL227" s="21"/>
      <c r="JNM227" s="21"/>
      <c r="JNP227" s="21"/>
      <c r="JNQ227" s="15"/>
      <c r="JNR227" s="15"/>
      <c r="JNS227" s="15"/>
      <c r="JNT227" s="15"/>
      <c r="JNU227" s="15"/>
      <c r="JNV227" s="15"/>
      <c r="JNW227" s="15"/>
      <c r="JNX227" s="15"/>
      <c r="JNY227" s="15"/>
      <c r="JNZ227" s="15"/>
      <c r="JOA227" s="10"/>
      <c r="JOB227" s="10"/>
      <c r="JOC227" s="21"/>
      <c r="JOD227" s="21"/>
      <c r="JOG227" s="21"/>
      <c r="JOH227" s="15"/>
      <c r="JOI227" s="15"/>
      <c r="JOJ227" s="15"/>
      <c r="JOK227" s="15"/>
      <c r="JOL227" s="15"/>
      <c r="JOM227" s="15"/>
      <c r="JON227" s="15"/>
      <c r="JOO227" s="15"/>
      <c r="JOP227" s="15"/>
      <c r="JOQ227" s="15"/>
      <c r="JOR227" s="10"/>
      <c r="JOS227" s="10"/>
      <c r="JOT227" s="21"/>
      <c r="JOU227" s="21"/>
      <c r="JOX227" s="21"/>
      <c r="JOY227" s="15"/>
      <c r="JOZ227" s="15"/>
      <c r="JPA227" s="15"/>
      <c r="JPB227" s="15"/>
      <c r="JPC227" s="15"/>
      <c r="JPD227" s="15"/>
      <c r="JPE227" s="15"/>
      <c r="JPF227" s="15"/>
      <c r="JPG227" s="15"/>
      <c r="JPH227" s="15"/>
      <c r="JPI227" s="10"/>
      <c r="JPJ227" s="10"/>
      <c r="JPK227" s="21"/>
      <c r="JPL227" s="21"/>
      <c r="JPO227" s="21"/>
      <c r="JPP227" s="15"/>
      <c r="JPQ227" s="15"/>
      <c r="JPR227" s="15"/>
      <c r="JPS227" s="15"/>
      <c r="JPT227" s="15"/>
      <c r="JPU227" s="15"/>
      <c r="JPV227" s="15"/>
      <c r="JPW227" s="15"/>
      <c r="JPX227" s="15"/>
      <c r="JPY227" s="15"/>
      <c r="JPZ227" s="10"/>
      <c r="JQA227" s="10"/>
      <c r="JQB227" s="21"/>
      <c r="JQC227" s="21"/>
      <c r="JQF227" s="21"/>
      <c r="JQG227" s="15"/>
      <c r="JQH227" s="15"/>
      <c r="JQI227" s="15"/>
      <c r="JQJ227" s="15"/>
      <c r="JQK227" s="15"/>
      <c r="JQL227" s="15"/>
      <c r="JQM227" s="15"/>
      <c r="JQN227" s="15"/>
      <c r="JQO227" s="15"/>
      <c r="JQP227" s="15"/>
      <c r="JQQ227" s="10"/>
      <c r="JQR227" s="10"/>
      <c r="JQS227" s="21"/>
      <c r="JQT227" s="21"/>
      <c r="JQW227" s="21"/>
      <c r="JQX227" s="15"/>
      <c r="JQY227" s="15"/>
      <c r="JQZ227" s="15"/>
      <c r="JRA227" s="15"/>
      <c r="JRB227" s="15"/>
      <c r="JRC227" s="15"/>
      <c r="JRD227" s="15"/>
      <c r="JRE227" s="15"/>
      <c r="JRF227" s="15"/>
      <c r="JRG227" s="15"/>
      <c r="JRH227" s="10"/>
      <c r="JRI227" s="10"/>
      <c r="JRJ227" s="21"/>
      <c r="JRK227" s="21"/>
      <c r="JRN227" s="21"/>
      <c r="JRO227" s="15"/>
      <c r="JRP227" s="15"/>
      <c r="JRQ227" s="15"/>
      <c r="JRR227" s="15"/>
      <c r="JRS227" s="15"/>
      <c r="JRT227" s="15"/>
      <c r="JRU227" s="15"/>
      <c r="JRV227" s="15"/>
      <c r="JRW227" s="15"/>
      <c r="JRX227" s="15"/>
      <c r="JRY227" s="10"/>
      <c r="JRZ227" s="10"/>
      <c r="JSA227" s="21"/>
      <c r="JSB227" s="21"/>
      <c r="JSE227" s="21"/>
      <c r="JSF227" s="15"/>
      <c r="JSG227" s="15"/>
      <c r="JSH227" s="15"/>
      <c r="JSI227" s="15"/>
      <c r="JSJ227" s="15"/>
      <c r="JSK227" s="15"/>
      <c r="JSL227" s="15"/>
      <c r="JSM227" s="15"/>
      <c r="JSN227" s="15"/>
      <c r="JSO227" s="15"/>
      <c r="JSP227" s="10"/>
      <c r="JSQ227" s="10"/>
      <c r="JSR227" s="21"/>
      <c r="JSS227" s="21"/>
      <c r="JSV227" s="21"/>
      <c r="JSW227" s="15"/>
      <c r="JSX227" s="15"/>
      <c r="JSY227" s="15"/>
      <c r="JSZ227" s="15"/>
      <c r="JTA227" s="15"/>
      <c r="JTB227" s="15"/>
      <c r="JTC227" s="15"/>
      <c r="JTD227" s="15"/>
      <c r="JTE227" s="15"/>
      <c r="JTF227" s="15"/>
      <c r="JTG227" s="10"/>
      <c r="JTH227" s="10"/>
      <c r="JTI227" s="21"/>
      <c r="JTJ227" s="21"/>
      <c r="JTM227" s="21"/>
      <c r="JTN227" s="15"/>
      <c r="JTO227" s="15"/>
      <c r="JTP227" s="15"/>
      <c r="JTQ227" s="15"/>
      <c r="JTR227" s="15"/>
      <c r="JTS227" s="15"/>
      <c r="JTT227" s="15"/>
      <c r="JTU227" s="15"/>
      <c r="JTV227" s="15"/>
      <c r="JTW227" s="15"/>
      <c r="JTX227" s="10"/>
      <c r="JTY227" s="10"/>
      <c r="JTZ227" s="21"/>
      <c r="JUA227" s="21"/>
      <c r="JUD227" s="21"/>
      <c r="JUE227" s="15"/>
      <c r="JUF227" s="15"/>
      <c r="JUG227" s="15"/>
      <c r="JUH227" s="15"/>
      <c r="JUI227" s="15"/>
      <c r="JUJ227" s="15"/>
      <c r="JUK227" s="15"/>
      <c r="JUL227" s="15"/>
      <c r="JUM227" s="15"/>
      <c r="JUN227" s="15"/>
      <c r="JUO227" s="10"/>
      <c r="JUP227" s="10"/>
      <c r="JUQ227" s="21"/>
      <c r="JUR227" s="21"/>
      <c r="JUU227" s="21"/>
      <c r="JUV227" s="15"/>
      <c r="JUW227" s="15"/>
      <c r="JUX227" s="15"/>
      <c r="JUY227" s="15"/>
      <c r="JUZ227" s="15"/>
      <c r="JVA227" s="15"/>
      <c r="JVB227" s="15"/>
      <c r="JVC227" s="15"/>
      <c r="JVD227" s="15"/>
      <c r="JVE227" s="15"/>
      <c r="JVF227" s="10"/>
      <c r="JVG227" s="10"/>
      <c r="JVH227" s="21"/>
      <c r="JVI227" s="21"/>
      <c r="JVL227" s="21"/>
      <c r="JVM227" s="15"/>
      <c r="JVN227" s="15"/>
      <c r="JVO227" s="15"/>
      <c r="JVP227" s="15"/>
      <c r="JVQ227" s="15"/>
      <c r="JVR227" s="15"/>
      <c r="JVS227" s="15"/>
      <c r="JVT227" s="15"/>
      <c r="JVU227" s="15"/>
      <c r="JVV227" s="15"/>
      <c r="JVW227" s="10"/>
      <c r="JVX227" s="10"/>
      <c r="JVY227" s="21"/>
      <c r="JVZ227" s="21"/>
      <c r="JWC227" s="21"/>
      <c r="JWD227" s="15"/>
      <c r="JWE227" s="15"/>
      <c r="JWF227" s="15"/>
      <c r="JWG227" s="15"/>
      <c r="JWH227" s="15"/>
      <c r="JWI227" s="15"/>
      <c r="JWJ227" s="15"/>
      <c r="JWK227" s="15"/>
      <c r="JWL227" s="15"/>
      <c r="JWM227" s="15"/>
      <c r="JWN227" s="10"/>
      <c r="JWO227" s="10"/>
      <c r="JWP227" s="21"/>
      <c r="JWQ227" s="21"/>
      <c r="JWT227" s="21"/>
      <c r="JWU227" s="15"/>
      <c r="JWV227" s="15"/>
      <c r="JWW227" s="15"/>
      <c r="JWX227" s="15"/>
      <c r="JWY227" s="15"/>
      <c r="JWZ227" s="15"/>
      <c r="JXA227" s="15"/>
      <c r="JXB227" s="15"/>
      <c r="JXC227" s="15"/>
      <c r="JXD227" s="15"/>
      <c r="JXE227" s="10"/>
      <c r="JXF227" s="10"/>
      <c r="JXG227" s="21"/>
      <c r="JXH227" s="21"/>
      <c r="JXK227" s="21"/>
      <c r="JXL227" s="15"/>
      <c r="JXM227" s="15"/>
      <c r="JXN227" s="15"/>
      <c r="JXO227" s="15"/>
      <c r="JXP227" s="15"/>
      <c r="JXQ227" s="15"/>
      <c r="JXR227" s="15"/>
      <c r="JXS227" s="15"/>
      <c r="JXT227" s="15"/>
      <c r="JXU227" s="15"/>
      <c r="JXV227" s="10"/>
      <c r="JXW227" s="10"/>
      <c r="JXX227" s="21"/>
      <c r="JXY227" s="21"/>
      <c r="JYB227" s="21"/>
      <c r="JYC227" s="15"/>
      <c r="JYD227" s="15"/>
      <c r="JYE227" s="15"/>
      <c r="JYF227" s="15"/>
      <c r="JYG227" s="15"/>
      <c r="JYH227" s="15"/>
      <c r="JYI227" s="15"/>
      <c r="JYJ227" s="15"/>
      <c r="JYK227" s="15"/>
      <c r="JYL227" s="15"/>
      <c r="JYM227" s="10"/>
      <c r="JYN227" s="10"/>
      <c r="JYO227" s="21"/>
      <c r="JYP227" s="21"/>
      <c r="JYS227" s="21"/>
      <c r="JYT227" s="15"/>
      <c r="JYU227" s="15"/>
      <c r="JYV227" s="15"/>
      <c r="JYW227" s="15"/>
      <c r="JYX227" s="15"/>
      <c r="JYY227" s="15"/>
      <c r="JYZ227" s="15"/>
      <c r="JZA227" s="15"/>
      <c r="JZB227" s="15"/>
      <c r="JZC227" s="15"/>
      <c r="JZD227" s="10"/>
      <c r="JZE227" s="10"/>
      <c r="JZF227" s="21"/>
      <c r="JZG227" s="21"/>
      <c r="JZJ227" s="21"/>
      <c r="JZK227" s="15"/>
      <c r="JZL227" s="15"/>
      <c r="JZM227" s="15"/>
      <c r="JZN227" s="15"/>
      <c r="JZO227" s="15"/>
      <c r="JZP227" s="15"/>
      <c r="JZQ227" s="15"/>
      <c r="JZR227" s="15"/>
      <c r="JZS227" s="15"/>
      <c r="JZT227" s="15"/>
      <c r="JZU227" s="10"/>
      <c r="JZV227" s="10"/>
      <c r="JZW227" s="21"/>
      <c r="JZX227" s="21"/>
      <c r="KAA227" s="21"/>
      <c r="KAB227" s="15"/>
      <c r="KAC227" s="15"/>
      <c r="KAD227" s="15"/>
      <c r="KAE227" s="15"/>
      <c r="KAF227" s="15"/>
      <c r="KAG227" s="15"/>
      <c r="KAH227" s="15"/>
      <c r="KAI227" s="15"/>
      <c r="KAJ227" s="15"/>
      <c r="KAK227" s="15"/>
      <c r="KAL227" s="10"/>
      <c r="KAM227" s="10"/>
      <c r="KAN227" s="21"/>
      <c r="KAO227" s="21"/>
      <c r="KAR227" s="21"/>
      <c r="KAS227" s="15"/>
      <c r="KAT227" s="15"/>
      <c r="KAU227" s="15"/>
      <c r="KAV227" s="15"/>
      <c r="KAW227" s="15"/>
      <c r="KAX227" s="15"/>
      <c r="KAY227" s="15"/>
      <c r="KAZ227" s="15"/>
      <c r="KBA227" s="15"/>
      <c r="KBB227" s="15"/>
      <c r="KBC227" s="10"/>
      <c r="KBD227" s="10"/>
      <c r="KBE227" s="21"/>
      <c r="KBF227" s="21"/>
      <c r="KBI227" s="21"/>
      <c r="KBJ227" s="15"/>
      <c r="KBK227" s="15"/>
      <c r="KBL227" s="15"/>
      <c r="KBM227" s="15"/>
      <c r="KBN227" s="15"/>
      <c r="KBO227" s="15"/>
      <c r="KBP227" s="15"/>
      <c r="KBQ227" s="15"/>
      <c r="KBR227" s="15"/>
      <c r="KBS227" s="15"/>
      <c r="KBT227" s="10"/>
      <c r="KBU227" s="10"/>
      <c r="KBV227" s="21"/>
      <c r="KBW227" s="21"/>
      <c r="KBZ227" s="21"/>
      <c r="KCA227" s="15"/>
      <c r="KCB227" s="15"/>
      <c r="KCC227" s="15"/>
      <c r="KCD227" s="15"/>
      <c r="KCE227" s="15"/>
      <c r="KCF227" s="15"/>
      <c r="KCG227" s="15"/>
      <c r="KCH227" s="15"/>
      <c r="KCI227" s="15"/>
      <c r="KCJ227" s="15"/>
      <c r="KCK227" s="10"/>
      <c r="KCL227" s="10"/>
      <c r="KCM227" s="21"/>
      <c r="KCN227" s="21"/>
      <c r="KCQ227" s="21"/>
      <c r="KCR227" s="15"/>
      <c r="KCS227" s="15"/>
      <c r="KCT227" s="15"/>
      <c r="KCU227" s="15"/>
      <c r="KCV227" s="15"/>
      <c r="KCW227" s="15"/>
      <c r="KCX227" s="15"/>
      <c r="KCY227" s="15"/>
      <c r="KCZ227" s="15"/>
      <c r="KDA227" s="15"/>
      <c r="KDB227" s="10"/>
      <c r="KDC227" s="10"/>
      <c r="KDD227" s="21"/>
      <c r="KDE227" s="21"/>
      <c r="KDH227" s="21"/>
      <c r="KDI227" s="15"/>
      <c r="KDJ227" s="15"/>
      <c r="KDK227" s="15"/>
      <c r="KDL227" s="15"/>
      <c r="KDM227" s="15"/>
      <c r="KDN227" s="15"/>
      <c r="KDO227" s="15"/>
      <c r="KDP227" s="15"/>
      <c r="KDQ227" s="15"/>
      <c r="KDR227" s="15"/>
      <c r="KDS227" s="10"/>
      <c r="KDT227" s="10"/>
      <c r="KDU227" s="21"/>
      <c r="KDV227" s="21"/>
      <c r="KDY227" s="21"/>
      <c r="KDZ227" s="15"/>
      <c r="KEA227" s="15"/>
      <c r="KEB227" s="15"/>
      <c r="KEC227" s="15"/>
      <c r="KED227" s="15"/>
      <c r="KEE227" s="15"/>
      <c r="KEF227" s="15"/>
      <c r="KEG227" s="15"/>
      <c r="KEH227" s="15"/>
      <c r="KEI227" s="15"/>
      <c r="KEJ227" s="10"/>
      <c r="KEK227" s="10"/>
      <c r="KEL227" s="21"/>
      <c r="KEM227" s="21"/>
      <c r="KEP227" s="21"/>
      <c r="KEQ227" s="15"/>
      <c r="KER227" s="15"/>
      <c r="KES227" s="15"/>
      <c r="KET227" s="15"/>
      <c r="KEU227" s="15"/>
      <c r="KEV227" s="15"/>
      <c r="KEW227" s="15"/>
      <c r="KEX227" s="15"/>
      <c r="KEY227" s="15"/>
      <c r="KEZ227" s="15"/>
      <c r="KFA227" s="10"/>
      <c r="KFB227" s="10"/>
      <c r="KFC227" s="21"/>
      <c r="KFD227" s="21"/>
      <c r="KFG227" s="21"/>
      <c r="KFH227" s="15"/>
      <c r="KFI227" s="15"/>
      <c r="KFJ227" s="15"/>
      <c r="KFK227" s="15"/>
      <c r="KFL227" s="15"/>
      <c r="KFM227" s="15"/>
      <c r="KFN227" s="15"/>
      <c r="KFO227" s="15"/>
      <c r="KFP227" s="15"/>
      <c r="KFQ227" s="15"/>
      <c r="KFR227" s="10"/>
      <c r="KFS227" s="10"/>
      <c r="KFT227" s="21"/>
      <c r="KFU227" s="21"/>
      <c r="KFX227" s="21"/>
      <c r="KFY227" s="15"/>
      <c r="KFZ227" s="15"/>
      <c r="KGA227" s="15"/>
      <c r="KGB227" s="15"/>
      <c r="KGC227" s="15"/>
      <c r="KGD227" s="15"/>
      <c r="KGE227" s="15"/>
      <c r="KGF227" s="15"/>
      <c r="KGG227" s="15"/>
      <c r="KGH227" s="15"/>
      <c r="KGI227" s="10"/>
      <c r="KGJ227" s="10"/>
      <c r="KGK227" s="21"/>
      <c r="KGL227" s="21"/>
      <c r="KGO227" s="21"/>
      <c r="KGP227" s="15"/>
      <c r="KGQ227" s="15"/>
      <c r="KGR227" s="15"/>
      <c r="KGS227" s="15"/>
      <c r="KGT227" s="15"/>
      <c r="KGU227" s="15"/>
      <c r="KGV227" s="15"/>
      <c r="KGW227" s="15"/>
      <c r="KGX227" s="15"/>
      <c r="KGY227" s="15"/>
      <c r="KGZ227" s="10"/>
      <c r="KHA227" s="10"/>
      <c r="KHB227" s="21"/>
      <c r="KHC227" s="21"/>
      <c r="KHF227" s="21"/>
      <c r="KHG227" s="15"/>
      <c r="KHH227" s="15"/>
      <c r="KHI227" s="15"/>
      <c r="KHJ227" s="15"/>
      <c r="KHK227" s="15"/>
      <c r="KHL227" s="15"/>
      <c r="KHM227" s="15"/>
      <c r="KHN227" s="15"/>
      <c r="KHO227" s="15"/>
      <c r="KHP227" s="15"/>
      <c r="KHQ227" s="10"/>
      <c r="KHR227" s="10"/>
      <c r="KHS227" s="21"/>
      <c r="KHT227" s="21"/>
      <c r="KHW227" s="21"/>
      <c r="KHX227" s="15"/>
      <c r="KHY227" s="15"/>
      <c r="KHZ227" s="15"/>
      <c r="KIA227" s="15"/>
      <c r="KIB227" s="15"/>
      <c r="KIC227" s="15"/>
      <c r="KID227" s="15"/>
      <c r="KIE227" s="15"/>
      <c r="KIF227" s="15"/>
      <c r="KIG227" s="15"/>
      <c r="KIH227" s="10"/>
      <c r="KII227" s="10"/>
      <c r="KIJ227" s="21"/>
      <c r="KIK227" s="21"/>
      <c r="KIN227" s="21"/>
      <c r="KIO227" s="15"/>
      <c r="KIP227" s="15"/>
      <c r="KIQ227" s="15"/>
      <c r="KIR227" s="15"/>
      <c r="KIS227" s="15"/>
      <c r="KIT227" s="15"/>
      <c r="KIU227" s="15"/>
      <c r="KIV227" s="15"/>
      <c r="KIW227" s="15"/>
      <c r="KIX227" s="15"/>
      <c r="KIY227" s="10"/>
      <c r="KIZ227" s="10"/>
      <c r="KJA227" s="21"/>
      <c r="KJB227" s="21"/>
      <c r="KJE227" s="21"/>
      <c r="KJF227" s="15"/>
      <c r="KJG227" s="15"/>
      <c r="KJH227" s="15"/>
      <c r="KJI227" s="15"/>
      <c r="KJJ227" s="15"/>
      <c r="KJK227" s="15"/>
      <c r="KJL227" s="15"/>
      <c r="KJM227" s="15"/>
      <c r="KJN227" s="15"/>
      <c r="KJO227" s="15"/>
      <c r="KJP227" s="10"/>
      <c r="KJQ227" s="10"/>
      <c r="KJR227" s="21"/>
      <c r="KJS227" s="21"/>
      <c r="KJV227" s="21"/>
      <c r="KJW227" s="15"/>
      <c r="KJX227" s="15"/>
      <c r="KJY227" s="15"/>
      <c r="KJZ227" s="15"/>
      <c r="KKA227" s="15"/>
      <c r="KKB227" s="15"/>
      <c r="KKC227" s="15"/>
      <c r="KKD227" s="15"/>
      <c r="KKE227" s="15"/>
      <c r="KKF227" s="15"/>
      <c r="KKG227" s="10"/>
      <c r="KKH227" s="10"/>
      <c r="KKI227" s="21"/>
      <c r="KKJ227" s="21"/>
      <c r="KKM227" s="21"/>
      <c r="KKN227" s="15"/>
      <c r="KKO227" s="15"/>
      <c r="KKP227" s="15"/>
      <c r="KKQ227" s="15"/>
      <c r="KKR227" s="15"/>
      <c r="KKS227" s="15"/>
      <c r="KKT227" s="15"/>
      <c r="KKU227" s="15"/>
      <c r="KKV227" s="15"/>
      <c r="KKW227" s="15"/>
      <c r="KKX227" s="10"/>
      <c r="KKY227" s="10"/>
      <c r="KKZ227" s="21"/>
      <c r="KLA227" s="21"/>
      <c r="KLD227" s="21"/>
      <c r="KLE227" s="15"/>
      <c r="KLF227" s="15"/>
      <c r="KLG227" s="15"/>
      <c r="KLH227" s="15"/>
      <c r="KLI227" s="15"/>
      <c r="KLJ227" s="15"/>
      <c r="KLK227" s="15"/>
      <c r="KLL227" s="15"/>
      <c r="KLM227" s="15"/>
      <c r="KLN227" s="15"/>
      <c r="KLO227" s="10"/>
      <c r="KLP227" s="10"/>
      <c r="KLQ227" s="21"/>
      <c r="KLR227" s="21"/>
      <c r="KLU227" s="21"/>
      <c r="KLV227" s="15"/>
      <c r="KLW227" s="15"/>
      <c r="KLX227" s="15"/>
      <c r="KLY227" s="15"/>
      <c r="KLZ227" s="15"/>
      <c r="KMA227" s="15"/>
      <c r="KMB227" s="15"/>
      <c r="KMC227" s="15"/>
      <c r="KMD227" s="15"/>
      <c r="KME227" s="15"/>
      <c r="KMF227" s="10"/>
      <c r="KMG227" s="10"/>
      <c r="KMH227" s="21"/>
      <c r="KMI227" s="21"/>
      <c r="KML227" s="21"/>
      <c r="KMM227" s="15"/>
      <c r="KMN227" s="15"/>
      <c r="KMO227" s="15"/>
      <c r="KMP227" s="15"/>
      <c r="KMQ227" s="15"/>
      <c r="KMR227" s="15"/>
      <c r="KMS227" s="15"/>
      <c r="KMT227" s="15"/>
      <c r="KMU227" s="15"/>
      <c r="KMV227" s="15"/>
      <c r="KMW227" s="10"/>
      <c r="KMX227" s="10"/>
      <c r="KMY227" s="21"/>
      <c r="KMZ227" s="21"/>
      <c r="KNC227" s="21"/>
      <c r="KND227" s="15"/>
      <c r="KNE227" s="15"/>
      <c r="KNF227" s="15"/>
      <c r="KNG227" s="15"/>
      <c r="KNH227" s="15"/>
      <c r="KNI227" s="15"/>
      <c r="KNJ227" s="15"/>
      <c r="KNK227" s="15"/>
      <c r="KNL227" s="15"/>
      <c r="KNM227" s="15"/>
      <c r="KNN227" s="10"/>
      <c r="KNO227" s="10"/>
      <c r="KNP227" s="21"/>
      <c r="KNQ227" s="21"/>
      <c r="KNT227" s="21"/>
      <c r="KNU227" s="15"/>
      <c r="KNV227" s="15"/>
      <c r="KNW227" s="15"/>
      <c r="KNX227" s="15"/>
      <c r="KNY227" s="15"/>
      <c r="KNZ227" s="15"/>
      <c r="KOA227" s="15"/>
      <c r="KOB227" s="15"/>
      <c r="KOC227" s="15"/>
      <c r="KOD227" s="15"/>
      <c r="KOE227" s="10"/>
      <c r="KOF227" s="10"/>
      <c r="KOG227" s="21"/>
      <c r="KOH227" s="21"/>
      <c r="KOK227" s="21"/>
      <c r="KOL227" s="15"/>
      <c r="KOM227" s="15"/>
      <c r="KON227" s="15"/>
      <c r="KOO227" s="15"/>
      <c r="KOP227" s="15"/>
      <c r="KOQ227" s="15"/>
      <c r="KOR227" s="15"/>
      <c r="KOS227" s="15"/>
      <c r="KOT227" s="15"/>
      <c r="KOU227" s="15"/>
      <c r="KOV227" s="10"/>
      <c r="KOW227" s="10"/>
      <c r="KOX227" s="21"/>
      <c r="KOY227" s="21"/>
      <c r="KPB227" s="21"/>
      <c r="KPC227" s="15"/>
      <c r="KPD227" s="15"/>
      <c r="KPE227" s="15"/>
      <c r="KPF227" s="15"/>
      <c r="KPG227" s="15"/>
      <c r="KPH227" s="15"/>
      <c r="KPI227" s="15"/>
      <c r="KPJ227" s="15"/>
      <c r="KPK227" s="15"/>
      <c r="KPL227" s="15"/>
      <c r="KPM227" s="10"/>
      <c r="KPN227" s="10"/>
      <c r="KPO227" s="21"/>
      <c r="KPP227" s="21"/>
      <c r="KPS227" s="21"/>
      <c r="KPT227" s="15"/>
      <c r="KPU227" s="15"/>
      <c r="KPV227" s="15"/>
      <c r="KPW227" s="15"/>
      <c r="KPX227" s="15"/>
      <c r="KPY227" s="15"/>
      <c r="KPZ227" s="15"/>
      <c r="KQA227" s="15"/>
      <c r="KQB227" s="15"/>
      <c r="KQC227" s="15"/>
      <c r="KQD227" s="10"/>
      <c r="KQE227" s="10"/>
      <c r="KQF227" s="21"/>
      <c r="KQG227" s="21"/>
      <c r="KQJ227" s="21"/>
      <c r="KQK227" s="15"/>
      <c r="KQL227" s="15"/>
      <c r="KQM227" s="15"/>
      <c r="KQN227" s="15"/>
      <c r="KQO227" s="15"/>
      <c r="KQP227" s="15"/>
      <c r="KQQ227" s="15"/>
      <c r="KQR227" s="15"/>
      <c r="KQS227" s="15"/>
      <c r="KQT227" s="15"/>
      <c r="KQU227" s="10"/>
      <c r="KQV227" s="10"/>
      <c r="KQW227" s="21"/>
      <c r="KQX227" s="21"/>
      <c r="KRA227" s="21"/>
      <c r="KRB227" s="15"/>
      <c r="KRC227" s="15"/>
      <c r="KRD227" s="15"/>
      <c r="KRE227" s="15"/>
      <c r="KRF227" s="15"/>
      <c r="KRG227" s="15"/>
      <c r="KRH227" s="15"/>
      <c r="KRI227" s="15"/>
      <c r="KRJ227" s="15"/>
      <c r="KRK227" s="15"/>
      <c r="KRL227" s="10"/>
      <c r="KRM227" s="10"/>
      <c r="KRN227" s="21"/>
      <c r="KRO227" s="21"/>
      <c r="KRR227" s="21"/>
      <c r="KRS227" s="15"/>
      <c r="KRT227" s="15"/>
      <c r="KRU227" s="15"/>
      <c r="KRV227" s="15"/>
      <c r="KRW227" s="15"/>
      <c r="KRX227" s="15"/>
      <c r="KRY227" s="15"/>
      <c r="KRZ227" s="15"/>
      <c r="KSA227" s="15"/>
      <c r="KSB227" s="15"/>
      <c r="KSC227" s="10"/>
      <c r="KSD227" s="10"/>
      <c r="KSE227" s="21"/>
      <c r="KSF227" s="21"/>
      <c r="KSI227" s="21"/>
      <c r="KSJ227" s="15"/>
      <c r="KSK227" s="15"/>
      <c r="KSL227" s="15"/>
      <c r="KSM227" s="15"/>
      <c r="KSN227" s="15"/>
      <c r="KSO227" s="15"/>
      <c r="KSP227" s="15"/>
      <c r="KSQ227" s="15"/>
      <c r="KSR227" s="15"/>
      <c r="KSS227" s="15"/>
      <c r="KST227" s="10"/>
      <c r="KSU227" s="10"/>
      <c r="KSV227" s="21"/>
      <c r="KSW227" s="21"/>
      <c r="KSZ227" s="21"/>
      <c r="KTA227" s="15"/>
      <c r="KTB227" s="15"/>
      <c r="KTC227" s="15"/>
      <c r="KTD227" s="15"/>
      <c r="KTE227" s="15"/>
      <c r="KTF227" s="15"/>
      <c r="KTG227" s="15"/>
      <c r="KTH227" s="15"/>
      <c r="KTI227" s="15"/>
      <c r="KTJ227" s="15"/>
      <c r="KTK227" s="10"/>
      <c r="KTL227" s="10"/>
      <c r="KTM227" s="21"/>
      <c r="KTN227" s="21"/>
      <c r="KTQ227" s="21"/>
      <c r="KTR227" s="15"/>
      <c r="KTS227" s="15"/>
      <c r="KTT227" s="15"/>
      <c r="KTU227" s="15"/>
      <c r="KTV227" s="15"/>
      <c r="KTW227" s="15"/>
      <c r="KTX227" s="15"/>
      <c r="KTY227" s="15"/>
      <c r="KTZ227" s="15"/>
      <c r="KUA227" s="15"/>
      <c r="KUB227" s="10"/>
      <c r="KUC227" s="10"/>
      <c r="KUD227" s="21"/>
      <c r="KUE227" s="21"/>
      <c r="KUH227" s="21"/>
      <c r="KUI227" s="15"/>
      <c r="KUJ227" s="15"/>
      <c r="KUK227" s="15"/>
      <c r="KUL227" s="15"/>
      <c r="KUM227" s="15"/>
      <c r="KUN227" s="15"/>
      <c r="KUO227" s="15"/>
      <c r="KUP227" s="15"/>
      <c r="KUQ227" s="15"/>
      <c r="KUR227" s="15"/>
      <c r="KUS227" s="10"/>
      <c r="KUT227" s="10"/>
      <c r="KUU227" s="21"/>
      <c r="KUV227" s="21"/>
      <c r="KUY227" s="21"/>
      <c r="KUZ227" s="15"/>
      <c r="KVA227" s="15"/>
      <c r="KVB227" s="15"/>
      <c r="KVC227" s="15"/>
      <c r="KVD227" s="15"/>
      <c r="KVE227" s="15"/>
      <c r="KVF227" s="15"/>
      <c r="KVG227" s="15"/>
      <c r="KVH227" s="15"/>
      <c r="KVI227" s="15"/>
      <c r="KVJ227" s="10"/>
      <c r="KVK227" s="10"/>
      <c r="KVL227" s="21"/>
      <c r="KVM227" s="21"/>
      <c r="KVP227" s="21"/>
      <c r="KVQ227" s="15"/>
      <c r="KVR227" s="15"/>
      <c r="KVS227" s="15"/>
      <c r="KVT227" s="15"/>
      <c r="KVU227" s="15"/>
      <c r="KVV227" s="15"/>
      <c r="KVW227" s="15"/>
      <c r="KVX227" s="15"/>
      <c r="KVY227" s="15"/>
      <c r="KVZ227" s="15"/>
      <c r="KWA227" s="10"/>
      <c r="KWB227" s="10"/>
      <c r="KWC227" s="21"/>
      <c r="KWD227" s="21"/>
      <c r="KWG227" s="21"/>
      <c r="KWH227" s="15"/>
      <c r="KWI227" s="15"/>
      <c r="KWJ227" s="15"/>
      <c r="KWK227" s="15"/>
      <c r="KWL227" s="15"/>
      <c r="KWM227" s="15"/>
      <c r="KWN227" s="15"/>
      <c r="KWO227" s="15"/>
      <c r="KWP227" s="15"/>
      <c r="KWQ227" s="15"/>
      <c r="KWR227" s="10"/>
      <c r="KWS227" s="10"/>
      <c r="KWT227" s="21"/>
      <c r="KWU227" s="21"/>
      <c r="KWX227" s="21"/>
      <c r="KWY227" s="15"/>
      <c r="KWZ227" s="15"/>
      <c r="KXA227" s="15"/>
      <c r="KXB227" s="15"/>
      <c r="KXC227" s="15"/>
      <c r="KXD227" s="15"/>
      <c r="KXE227" s="15"/>
      <c r="KXF227" s="15"/>
      <c r="KXG227" s="15"/>
      <c r="KXH227" s="15"/>
      <c r="KXI227" s="10"/>
      <c r="KXJ227" s="10"/>
      <c r="KXK227" s="21"/>
      <c r="KXL227" s="21"/>
      <c r="KXO227" s="21"/>
      <c r="KXP227" s="15"/>
      <c r="KXQ227" s="15"/>
      <c r="KXR227" s="15"/>
      <c r="KXS227" s="15"/>
      <c r="KXT227" s="15"/>
      <c r="KXU227" s="15"/>
      <c r="KXV227" s="15"/>
      <c r="KXW227" s="15"/>
      <c r="KXX227" s="15"/>
      <c r="KXY227" s="15"/>
      <c r="KXZ227" s="10"/>
      <c r="KYA227" s="10"/>
      <c r="KYB227" s="21"/>
      <c r="KYC227" s="21"/>
      <c r="KYF227" s="21"/>
      <c r="KYG227" s="15"/>
      <c r="KYH227" s="15"/>
      <c r="KYI227" s="15"/>
      <c r="KYJ227" s="15"/>
      <c r="KYK227" s="15"/>
      <c r="KYL227" s="15"/>
      <c r="KYM227" s="15"/>
      <c r="KYN227" s="15"/>
      <c r="KYO227" s="15"/>
      <c r="KYP227" s="15"/>
      <c r="KYQ227" s="10"/>
      <c r="KYR227" s="10"/>
      <c r="KYS227" s="21"/>
      <c r="KYT227" s="21"/>
      <c r="KYW227" s="21"/>
      <c r="KYX227" s="15"/>
      <c r="KYY227" s="15"/>
      <c r="KYZ227" s="15"/>
      <c r="KZA227" s="15"/>
      <c r="KZB227" s="15"/>
      <c r="KZC227" s="15"/>
      <c r="KZD227" s="15"/>
      <c r="KZE227" s="15"/>
      <c r="KZF227" s="15"/>
      <c r="KZG227" s="15"/>
      <c r="KZH227" s="10"/>
      <c r="KZI227" s="10"/>
      <c r="KZJ227" s="21"/>
      <c r="KZK227" s="21"/>
      <c r="KZN227" s="21"/>
      <c r="KZO227" s="15"/>
      <c r="KZP227" s="15"/>
      <c r="KZQ227" s="15"/>
      <c r="KZR227" s="15"/>
      <c r="KZS227" s="15"/>
      <c r="KZT227" s="15"/>
      <c r="KZU227" s="15"/>
      <c r="KZV227" s="15"/>
      <c r="KZW227" s="15"/>
      <c r="KZX227" s="15"/>
      <c r="KZY227" s="10"/>
      <c r="KZZ227" s="10"/>
      <c r="LAA227" s="21"/>
      <c r="LAB227" s="21"/>
      <c r="LAE227" s="21"/>
      <c r="LAF227" s="15"/>
      <c r="LAG227" s="15"/>
      <c r="LAH227" s="15"/>
      <c r="LAI227" s="15"/>
      <c r="LAJ227" s="15"/>
      <c r="LAK227" s="15"/>
      <c r="LAL227" s="15"/>
      <c r="LAM227" s="15"/>
      <c r="LAN227" s="15"/>
      <c r="LAO227" s="15"/>
      <c r="LAP227" s="10"/>
      <c r="LAQ227" s="10"/>
      <c r="LAR227" s="21"/>
      <c r="LAS227" s="21"/>
      <c r="LAV227" s="21"/>
      <c r="LAW227" s="15"/>
      <c r="LAX227" s="15"/>
      <c r="LAY227" s="15"/>
      <c r="LAZ227" s="15"/>
      <c r="LBA227" s="15"/>
      <c r="LBB227" s="15"/>
      <c r="LBC227" s="15"/>
      <c r="LBD227" s="15"/>
      <c r="LBE227" s="15"/>
      <c r="LBF227" s="15"/>
      <c r="LBG227" s="10"/>
      <c r="LBH227" s="10"/>
      <c r="LBI227" s="21"/>
      <c r="LBJ227" s="21"/>
      <c r="LBM227" s="21"/>
      <c r="LBN227" s="15"/>
      <c r="LBO227" s="15"/>
      <c r="LBP227" s="15"/>
      <c r="LBQ227" s="15"/>
      <c r="LBR227" s="15"/>
      <c r="LBS227" s="15"/>
      <c r="LBT227" s="15"/>
      <c r="LBU227" s="15"/>
      <c r="LBV227" s="15"/>
      <c r="LBW227" s="15"/>
      <c r="LBX227" s="10"/>
      <c r="LBY227" s="10"/>
      <c r="LBZ227" s="21"/>
      <c r="LCA227" s="21"/>
      <c r="LCD227" s="21"/>
      <c r="LCE227" s="15"/>
      <c r="LCF227" s="15"/>
      <c r="LCG227" s="15"/>
      <c r="LCH227" s="15"/>
      <c r="LCI227" s="15"/>
      <c r="LCJ227" s="15"/>
      <c r="LCK227" s="15"/>
      <c r="LCL227" s="15"/>
      <c r="LCM227" s="15"/>
      <c r="LCN227" s="15"/>
      <c r="LCO227" s="10"/>
      <c r="LCP227" s="10"/>
      <c r="LCQ227" s="21"/>
      <c r="LCR227" s="21"/>
      <c r="LCU227" s="21"/>
      <c r="LCV227" s="15"/>
      <c r="LCW227" s="15"/>
      <c r="LCX227" s="15"/>
      <c r="LCY227" s="15"/>
      <c r="LCZ227" s="15"/>
      <c r="LDA227" s="15"/>
      <c r="LDB227" s="15"/>
      <c r="LDC227" s="15"/>
      <c r="LDD227" s="15"/>
      <c r="LDE227" s="15"/>
      <c r="LDF227" s="10"/>
      <c r="LDG227" s="10"/>
      <c r="LDH227" s="21"/>
      <c r="LDI227" s="21"/>
      <c r="LDL227" s="21"/>
      <c r="LDM227" s="15"/>
      <c r="LDN227" s="15"/>
      <c r="LDO227" s="15"/>
      <c r="LDP227" s="15"/>
      <c r="LDQ227" s="15"/>
      <c r="LDR227" s="15"/>
      <c r="LDS227" s="15"/>
      <c r="LDT227" s="15"/>
      <c r="LDU227" s="15"/>
      <c r="LDV227" s="15"/>
      <c r="LDW227" s="10"/>
      <c r="LDX227" s="10"/>
      <c r="LDY227" s="21"/>
      <c r="LDZ227" s="21"/>
      <c r="LEC227" s="21"/>
      <c r="LED227" s="15"/>
      <c r="LEE227" s="15"/>
      <c r="LEF227" s="15"/>
      <c r="LEG227" s="15"/>
      <c r="LEH227" s="15"/>
      <c r="LEI227" s="15"/>
      <c r="LEJ227" s="15"/>
      <c r="LEK227" s="15"/>
      <c r="LEL227" s="15"/>
      <c r="LEM227" s="15"/>
      <c r="LEN227" s="10"/>
      <c r="LEO227" s="10"/>
      <c r="LEP227" s="21"/>
      <c r="LEQ227" s="21"/>
      <c r="LET227" s="21"/>
      <c r="LEU227" s="15"/>
      <c r="LEV227" s="15"/>
      <c r="LEW227" s="15"/>
      <c r="LEX227" s="15"/>
      <c r="LEY227" s="15"/>
      <c r="LEZ227" s="15"/>
      <c r="LFA227" s="15"/>
      <c r="LFB227" s="15"/>
      <c r="LFC227" s="15"/>
      <c r="LFD227" s="15"/>
      <c r="LFE227" s="10"/>
      <c r="LFF227" s="10"/>
      <c r="LFG227" s="21"/>
      <c r="LFH227" s="21"/>
      <c r="LFK227" s="21"/>
      <c r="LFL227" s="15"/>
      <c r="LFM227" s="15"/>
      <c r="LFN227" s="15"/>
      <c r="LFO227" s="15"/>
      <c r="LFP227" s="15"/>
      <c r="LFQ227" s="15"/>
      <c r="LFR227" s="15"/>
      <c r="LFS227" s="15"/>
      <c r="LFT227" s="15"/>
      <c r="LFU227" s="15"/>
      <c r="LFV227" s="10"/>
      <c r="LFW227" s="10"/>
      <c r="LFX227" s="21"/>
      <c r="LFY227" s="21"/>
      <c r="LGB227" s="21"/>
      <c r="LGC227" s="15"/>
      <c r="LGD227" s="15"/>
      <c r="LGE227" s="15"/>
      <c r="LGF227" s="15"/>
      <c r="LGG227" s="15"/>
      <c r="LGH227" s="15"/>
      <c r="LGI227" s="15"/>
      <c r="LGJ227" s="15"/>
      <c r="LGK227" s="15"/>
      <c r="LGL227" s="15"/>
      <c r="LGM227" s="10"/>
      <c r="LGN227" s="10"/>
      <c r="LGO227" s="21"/>
      <c r="LGP227" s="21"/>
      <c r="LGS227" s="21"/>
      <c r="LGT227" s="15"/>
      <c r="LGU227" s="15"/>
      <c r="LGV227" s="15"/>
      <c r="LGW227" s="15"/>
      <c r="LGX227" s="15"/>
      <c r="LGY227" s="15"/>
      <c r="LGZ227" s="15"/>
      <c r="LHA227" s="15"/>
      <c r="LHB227" s="15"/>
      <c r="LHC227" s="15"/>
      <c r="LHD227" s="10"/>
      <c r="LHE227" s="10"/>
      <c r="LHF227" s="21"/>
      <c r="LHG227" s="21"/>
      <c r="LHJ227" s="21"/>
      <c r="LHK227" s="15"/>
      <c r="LHL227" s="15"/>
      <c r="LHM227" s="15"/>
      <c r="LHN227" s="15"/>
      <c r="LHO227" s="15"/>
      <c r="LHP227" s="15"/>
      <c r="LHQ227" s="15"/>
      <c r="LHR227" s="15"/>
      <c r="LHS227" s="15"/>
      <c r="LHT227" s="15"/>
      <c r="LHU227" s="10"/>
      <c r="LHV227" s="10"/>
      <c r="LHW227" s="21"/>
      <c r="LHX227" s="21"/>
      <c r="LIA227" s="21"/>
      <c r="LIB227" s="15"/>
      <c r="LIC227" s="15"/>
      <c r="LID227" s="15"/>
      <c r="LIE227" s="15"/>
      <c r="LIF227" s="15"/>
      <c r="LIG227" s="15"/>
      <c r="LIH227" s="15"/>
      <c r="LII227" s="15"/>
      <c r="LIJ227" s="15"/>
      <c r="LIK227" s="15"/>
      <c r="LIL227" s="10"/>
      <c r="LIM227" s="10"/>
      <c r="LIN227" s="21"/>
      <c r="LIO227" s="21"/>
      <c r="LIR227" s="21"/>
      <c r="LIS227" s="15"/>
      <c r="LIT227" s="15"/>
      <c r="LIU227" s="15"/>
      <c r="LIV227" s="15"/>
      <c r="LIW227" s="15"/>
      <c r="LIX227" s="15"/>
      <c r="LIY227" s="15"/>
      <c r="LIZ227" s="15"/>
      <c r="LJA227" s="15"/>
      <c r="LJB227" s="15"/>
      <c r="LJC227" s="10"/>
      <c r="LJD227" s="10"/>
      <c r="LJE227" s="21"/>
      <c r="LJF227" s="21"/>
      <c r="LJI227" s="21"/>
      <c r="LJJ227" s="15"/>
      <c r="LJK227" s="15"/>
      <c r="LJL227" s="15"/>
      <c r="LJM227" s="15"/>
      <c r="LJN227" s="15"/>
      <c r="LJO227" s="15"/>
      <c r="LJP227" s="15"/>
      <c r="LJQ227" s="15"/>
      <c r="LJR227" s="15"/>
      <c r="LJS227" s="15"/>
      <c r="LJT227" s="10"/>
      <c r="LJU227" s="10"/>
      <c r="LJV227" s="21"/>
      <c r="LJW227" s="21"/>
      <c r="LJZ227" s="21"/>
      <c r="LKA227" s="15"/>
      <c r="LKB227" s="15"/>
      <c r="LKC227" s="15"/>
      <c r="LKD227" s="15"/>
      <c r="LKE227" s="15"/>
      <c r="LKF227" s="15"/>
      <c r="LKG227" s="15"/>
      <c r="LKH227" s="15"/>
      <c r="LKI227" s="15"/>
      <c r="LKJ227" s="15"/>
      <c r="LKK227" s="10"/>
      <c r="LKL227" s="10"/>
      <c r="LKM227" s="21"/>
      <c r="LKN227" s="21"/>
      <c r="LKQ227" s="21"/>
      <c r="LKR227" s="15"/>
      <c r="LKS227" s="15"/>
      <c r="LKT227" s="15"/>
      <c r="LKU227" s="15"/>
      <c r="LKV227" s="15"/>
      <c r="LKW227" s="15"/>
      <c r="LKX227" s="15"/>
      <c r="LKY227" s="15"/>
      <c r="LKZ227" s="15"/>
      <c r="LLA227" s="15"/>
      <c r="LLB227" s="10"/>
      <c r="LLC227" s="10"/>
      <c r="LLD227" s="21"/>
      <c r="LLE227" s="21"/>
      <c r="LLH227" s="21"/>
      <c r="LLI227" s="15"/>
      <c r="LLJ227" s="15"/>
      <c r="LLK227" s="15"/>
      <c r="LLL227" s="15"/>
      <c r="LLM227" s="15"/>
      <c r="LLN227" s="15"/>
      <c r="LLO227" s="15"/>
      <c r="LLP227" s="15"/>
      <c r="LLQ227" s="15"/>
      <c r="LLR227" s="15"/>
      <c r="LLS227" s="10"/>
      <c r="LLT227" s="10"/>
      <c r="LLU227" s="21"/>
      <c r="LLV227" s="21"/>
      <c r="LLY227" s="21"/>
      <c r="LLZ227" s="15"/>
      <c r="LMA227" s="15"/>
      <c r="LMB227" s="15"/>
      <c r="LMC227" s="15"/>
      <c r="LMD227" s="15"/>
      <c r="LME227" s="15"/>
      <c r="LMF227" s="15"/>
      <c r="LMG227" s="15"/>
      <c r="LMH227" s="15"/>
      <c r="LMI227" s="15"/>
      <c r="LMJ227" s="10"/>
      <c r="LMK227" s="10"/>
      <c r="LML227" s="21"/>
      <c r="LMM227" s="21"/>
      <c r="LMP227" s="21"/>
      <c r="LMQ227" s="15"/>
      <c r="LMR227" s="15"/>
      <c r="LMS227" s="15"/>
      <c r="LMT227" s="15"/>
      <c r="LMU227" s="15"/>
      <c r="LMV227" s="15"/>
      <c r="LMW227" s="15"/>
      <c r="LMX227" s="15"/>
      <c r="LMY227" s="15"/>
      <c r="LMZ227" s="15"/>
      <c r="LNA227" s="10"/>
      <c r="LNB227" s="10"/>
      <c r="LNC227" s="21"/>
      <c r="LND227" s="21"/>
      <c r="LNG227" s="21"/>
      <c r="LNH227" s="15"/>
      <c r="LNI227" s="15"/>
      <c r="LNJ227" s="15"/>
      <c r="LNK227" s="15"/>
      <c r="LNL227" s="15"/>
      <c r="LNM227" s="15"/>
      <c r="LNN227" s="15"/>
      <c r="LNO227" s="15"/>
      <c r="LNP227" s="15"/>
      <c r="LNQ227" s="15"/>
      <c r="LNR227" s="10"/>
      <c r="LNS227" s="10"/>
      <c r="LNT227" s="21"/>
      <c r="LNU227" s="21"/>
      <c r="LNX227" s="21"/>
      <c r="LNY227" s="15"/>
      <c r="LNZ227" s="15"/>
      <c r="LOA227" s="15"/>
      <c r="LOB227" s="15"/>
      <c r="LOC227" s="15"/>
      <c r="LOD227" s="15"/>
      <c r="LOE227" s="15"/>
      <c r="LOF227" s="15"/>
      <c r="LOG227" s="15"/>
      <c r="LOH227" s="15"/>
      <c r="LOI227" s="10"/>
      <c r="LOJ227" s="10"/>
      <c r="LOK227" s="21"/>
      <c r="LOL227" s="21"/>
      <c r="LOO227" s="21"/>
      <c r="LOP227" s="15"/>
      <c r="LOQ227" s="15"/>
      <c r="LOR227" s="15"/>
      <c r="LOS227" s="15"/>
      <c r="LOT227" s="15"/>
      <c r="LOU227" s="15"/>
      <c r="LOV227" s="15"/>
      <c r="LOW227" s="15"/>
      <c r="LOX227" s="15"/>
      <c r="LOY227" s="15"/>
      <c r="LOZ227" s="10"/>
      <c r="LPA227" s="10"/>
      <c r="LPB227" s="21"/>
      <c r="LPC227" s="21"/>
      <c r="LPF227" s="21"/>
      <c r="LPG227" s="15"/>
      <c r="LPH227" s="15"/>
      <c r="LPI227" s="15"/>
      <c r="LPJ227" s="15"/>
      <c r="LPK227" s="15"/>
      <c r="LPL227" s="15"/>
      <c r="LPM227" s="15"/>
      <c r="LPN227" s="15"/>
      <c r="LPO227" s="15"/>
      <c r="LPP227" s="15"/>
      <c r="LPQ227" s="10"/>
      <c r="LPR227" s="10"/>
      <c r="LPS227" s="21"/>
      <c r="LPT227" s="21"/>
      <c r="LPW227" s="21"/>
      <c r="LPX227" s="15"/>
      <c r="LPY227" s="15"/>
      <c r="LPZ227" s="15"/>
      <c r="LQA227" s="15"/>
      <c r="LQB227" s="15"/>
      <c r="LQC227" s="15"/>
      <c r="LQD227" s="15"/>
      <c r="LQE227" s="15"/>
      <c r="LQF227" s="15"/>
      <c r="LQG227" s="15"/>
      <c r="LQH227" s="10"/>
      <c r="LQI227" s="10"/>
      <c r="LQJ227" s="21"/>
      <c r="LQK227" s="21"/>
      <c r="LQN227" s="21"/>
      <c r="LQO227" s="15"/>
      <c r="LQP227" s="15"/>
      <c r="LQQ227" s="15"/>
      <c r="LQR227" s="15"/>
      <c r="LQS227" s="15"/>
      <c r="LQT227" s="15"/>
      <c r="LQU227" s="15"/>
      <c r="LQV227" s="15"/>
      <c r="LQW227" s="15"/>
      <c r="LQX227" s="15"/>
      <c r="LQY227" s="10"/>
      <c r="LQZ227" s="10"/>
      <c r="LRA227" s="21"/>
      <c r="LRB227" s="21"/>
      <c r="LRE227" s="21"/>
      <c r="LRF227" s="15"/>
      <c r="LRG227" s="15"/>
      <c r="LRH227" s="15"/>
      <c r="LRI227" s="15"/>
      <c r="LRJ227" s="15"/>
      <c r="LRK227" s="15"/>
      <c r="LRL227" s="15"/>
      <c r="LRM227" s="15"/>
      <c r="LRN227" s="15"/>
      <c r="LRO227" s="15"/>
      <c r="LRP227" s="10"/>
      <c r="LRQ227" s="10"/>
      <c r="LRR227" s="21"/>
      <c r="LRS227" s="21"/>
      <c r="LRV227" s="21"/>
      <c r="LRW227" s="15"/>
      <c r="LRX227" s="15"/>
      <c r="LRY227" s="15"/>
      <c r="LRZ227" s="15"/>
      <c r="LSA227" s="15"/>
      <c r="LSB227" s="15"/>
      <c r="LSC227" s="15"/>
      <c r="LSD227" s="15"/>
      <c r="LSE227" s="15"/>
      <c r="LSF227" s="15"/>
      <c r="LSG227" s="10"/>
      <c r="LSH227" s="10"/>
      <c r="LSI227" s="21"/>
      <c r="LSJ227" s="21"/>
      <c r="LSM227" s="21"/>
      <c r="LSN227" s="15"/>
      <c r="LSO227" s="15"/>
      <c r="LSP227" s="15"/>
      <c r="LSQ227" s="15"/>
      <c r="LSR227" s="15"/>
      <c r="LSS227" s="15"/>
      <c r="LST227" s="15"/>
      <c r="LSU227" s="15"/>
      <c r="LSV227" s="15"/>
      <c r="LSW227" s="15"/>
      <c r="LSX227" s="10"/>
      <c r="LSY227" s="10"/>
      <c r="LSZ227" s="21"/>
      <c r="LTA227" s="21"/>
      <c r="LTD227" s="21"/>
      <c r="LTE227" s="15"/>
      <c r="LTF227" s="15"/>
      <c r="LTG227" s="15"/>
      <c r="LTH227" s="15"/>
      <c r="LTI227" s="15"/>
      <c r="LTJ227" s="15"/>
      <c r="LTK227" s="15"/>
      <c r="LTL227" s="15"/>
      <c r="LTM227" s="15"/>
      <c r="LTN227" s="15"/>
      <c r="LTO227" s="10"/>
      <c r="LTP227" s="10"/>
      <c r="LTQ227" s="21"/>
      <c r="LTR227" s="21"/>
      <c r="LTU227" s="21"/>
      <c r="LTV227" s="15"/>
      <c r="LTW227" s="15"/>
      <c r="LTX227" s="15"/>
      <c r="LTY227" s="15"/>
      <c r="LTZ227" s="15"/>
      <c r="LUA227" s="15"/>
      <c r="LUB227" s="15"/>
      <c r="LUC227" s="15"/>
      <c r="LUD227" s="15"/>
      <c r="LUE227" s="15"/>
      <c r="LUF227" s="10"/>
      <c r="LUG227" s="10"/>
      <c r="LUH227" s="21"/>
      <c r="LUI227" s="21"/>
      <c r="LUL227" s="21"/>
      <c r="LUM227" s="15"/>
      <c r="LUN227" s="15"/>
      <c r="LUO227" s="15"/>
      <c r="LUP227" s="15"/>
      <c r="LUQ227" s="15"/>
      <c r="LUR227" s="15"/>
      <c r="LUS227" s="15"/>
      <c r="LUT227" s="15"/>
      <c r="LUU227" s="15"/>
      <c r="LUV227" s="15"/>
      <c r="LUW227" s="10"/>
      <c r="LUX227" s="10"/>
      <c r="LUY227" s="21"/>
      <c r="LUZ227" s="21"/>
      <c r="LVC227" s="21"/>
      <c r="LVD227" s="15"/>
      <c r="LVE227" s="15"/>
      <c r="LVF227" s="15"/>
      <c r="LVG227" s="15"/>
      <c r="LVH227" s="15"/>
      <c r="LVI227" s="15"/>
      <c r="LVJ227" s="15"/>
      <c r="LVK227" s="15"/>
      <c r="LVL227" s="15"/>
      <c r="LVM227" s="15"/>
      <c r="LVN227" s="10"/>
      <c r="LVO227" s="10"/>
      <c r="LVP227" s="21"/>
      <c r="LVQ227" s="21"/>
      <c r="LVT227" s="21"/>
      <c r="LVU227" s="15"/>
      <c r="LVV227" s="15"/>
      <c r="LVW227" s="15"/>
      <c r="LVX227" s="15"/>
      <c r="LVY227" s="15"/>
      <c r="LVZ227" s="15"/>
      <c r="LWA227" s="15"/>
      <c r="LWB227" s="15"/>
      <c r="LWC227" s="15"/>
      <c r="LWD227" s="15"/>
      <c r="LWE227" s="10"/>
      <c r="LWF227" s="10"/>
      <c r="LWG227" s="21"/>
      <c r="LWH227" s="21"/>
      <c r="LWK227" s="21"/>
      <c r="LWL227" s="15"/>
      <c r="LWM227" s="15"/>
      <c r="LWN227" s="15"/>
      <c r="LWO227" s="15"/>
      <c r="LWP227" s="15"/>
      <c r="LWQ227" s="15"/>
      <c r="LWR227" s="15"/>
      <c r="LWS227" s="15"/>
      <c r="LWT227" s="15"/>
      <c r="LWU227" s="15"/>
      <c r="LWV227" s="10"/>
      <c r="LWW227" s="10"/>
      <c r="LWX227" s="21"/>
      <c r="LWY227" s="21"/>
      <c r="LXB227" s="21"/>
      <c r="LXC227" s="15"/>
      <c r="LXD227" s="15"/>
      <c r="LXE227" s="15"/>
      <c r="LXF227" s="15"/>
      <c r="LXG227" s="15"/>
      <c r="LXH227" s="15"/>
      <c r="LXI227" s="15"/>
      <c r="LXJ227" s="15"/>
      <c r="LXK227" s="15"/>
      <c r="LXL227" s="15"/>
      <c r="LXM227" s="10"/>
      <c r="LXN227" s="10"/>
      <c r="LXO227" s="21"/>
      <c r="LXP227" s="21"/>
      <c r="LXS227" s="21"/>
      <c r="LXT227" s="15"/>
      <c r="LXU227" s="15"/>
      <c r="LXV227" s="15"/>
      <c r="LXW227" s="15"/>
      <c r="LXX227" s="15"/>
      <c r="LXY227" s="15"/>
      <c r="LXZ227" s="15"/>
      <c r="LYA227" s="15"/>
      <c r="LYB227" s="15"/>
      <c r="LYC227" s="15"/>
      <c r="LYD227" s="10"/>
      <c r="LYE227" s="10"/>
      <c r="LYF227" s="21"/>
      <c r="LYG227" s="21"/>
      <c r="LYJ227" s="21"/>
      <c r="LYK227" s="15"/>
      <c r="LYL227" s="15"/>
      <c r="LYM227" s="15"/>
      <c r="LYN227" s="15"/>
      <c r="LYO227" s="15"/>
      <c r="LYP227" s="15"/>
      <c r="LYQ227" s="15"/>
      <c r="LYR227" s="15"/>
      <c r="LYS227" s="15"/>
      <c r="LYT227" s="15"/>
      <c r="LYU227" s="10"/>
      <c r="LYV227" s="10"/>
      <c r="LYW227" s="21"/>
      <c r="LYX227" s="21"/>
      <c r="LZA227" s="21"/>
      <c r="LZB227" s="15"/>
      <c r="LZC227" s="15"/>
      <c r="LZD227" s="15"/>
      <c r="LZE227" s="15"/>
      <c r="LZF227" s="15"/>
      <c r="LZG227" s="15"/>
      <c r="LZH227" s="15"/>
      <c r="LZI227" s="15"/>
      <c r="LZJ227" s="15"/>
      <c r="LZK227" s="15"/>
      <c r="LZL227" s="10"/>
      <c r="LZM227" s="10"/>
      <c r="LZN227" s="21"/>
      <c r="LZO227" s="21"/>
      <c r="LZR227" s="21"/>
      <c r="LZS227" s="15"/>
      <c r="LZT227" s="15"/>
      <c r="LZU227" s="15"/>
      <c r="LZV227" s="15"/>
      <c r="LZW227" s="15"/>
      <c r="LZX227" s="15"/>
      <c r="LZY227" s="15"/>
      <c r="LZZ227" s="15"/>
      <c r="MAA227" s="15"/>
      <c r="MAB227" s="15"/>
      <c r="MAC227" s="10"/>
      <c r="MAD227" s="10"/>
      <c r="MAE227" s="21"/>
      <c r="MAF227" s="21"/>
      <c r="MAI227" s="21"/>
      <c r="MAJ227" s="15"/>
      <c r="MAK227" s="15"/>
      <c r="MAL227" s="15"/>
      <c r="MAM227" s="15"/>
      <c r="MAN227" s="15"/>
      <c r="MAO227" s="15"/>
      <c r="MAP227" s="15"/>
      <c r="MAQ227" s="15"/>
      <c r="MAR227" s="15"/>
      <c r="MAS227" s="15"/>
      <c r="MAT227" s="10"/>
      <c r="MAU227" s="10"/>
      <c r="MAV227" s="21"/>
      <c r="MAW227" s="21"/>
      <c r="MAZ227" s="21"/>
      <c r="MBA227" s="15"/>
      <c r="MBB227" s="15"/>
      <c r="MBC227" s="15"/>
      <c r="MBD227" s="15"/>
      <c r="MBE227" s="15"/>
      <c r="MBF227" s="15"/>
      <c r="MBG227" s="15"/>
      <c r="MBH227" s="15"/>
      <c r="MBI227" s="15"/>
      <c r="MBJ227" s="15"/>
      <c r="MBK227" s="10"/>
      <c r="MBL227" s="10"/>
      <c r="MBM227" s="21"/>
      <c r="MBN227" s="21"/>
      <c r="MBQ227" s="21"/>
      <c r="MBR227" s="15"/>
      <c r="MBS227" s="15"/>
      <c r="MBT227" s="15"/>
      <c r="MBU227" s="15"/>
      <c r="MBV227" s="15"/>
      <c r="MBW227" s="15"/>
      <c r="MBX227" s="15"/>
      <c r="MBY227" s="15"/>
      <c r="MBZ227" s="15"/>
      <c r="MCA227" s="15"/>
      <c r="MCB227" s="10"/>
      <c r="MCC227" s="10"/>
      <c r="MCD227" s="21"/>
      <c r="MCE227" s="21"/>
      <c r="MCH227" s="21"/>
      <c r="MCI227" s="15"/>
      <c r="MCJ227" s="15"/>
      <c r="MCK227" s="15"/>
      <c r="MCL227" s="15"/>
      <c r="MCM227" s="15"/>
      <c r="MCN227" s="15"/>
      <c r="MCO227" s="15"/>
      <c r="MCP227" s="15"/>
      <c r="MCQ227" s="15"/>
      <c r="MCR227" s="15"/>
      <c r="MCS227" s="10"/>
      <c r="MCT227" s="10"/>
      <c r="MCU227" s="21"/>
      <c r="MCV227" s="21"/>
      <c r="MCY227" s="21"/>
      <c r="MCZ227" s="15"/>
      <c r="MDA227" s="15"/>
      <c r="MDB227" s="15"/>
      <c r="MDC227" s="15"/>
      <c r="MDD227" s="15"/>
      <c r="MDE227" s="15"/>
      <c r="MDF227" s="15"/>
      <c r="MDG227" s="15"/>
      <c r="MDH227" s="15"/>
      <c r="MDI227" s="15"/>
      <c r="MDJ227" s="10"/>
      <c r="MDK227" s="10"/>
      <c r="MDL227" s="21"/>
      <c r="MDM227" s="21"/>
      <c r="MDP227" s="21"/>
      <c r="MDQ227" s="15"/>
      <c r="MDR227" s="15"/>
      <c r="MDS227" s="15"/>
      <c r="MDT227" s="15"/>
      <c r="MDU227" s="15"/>
      <c r="MDV227" s="15"/>
      <c r="MDW227" s="15"/>
      <c r="MDX227" s="15"/>
      <c r="MDY227" s="15"/>
      <c r="MDZ227" s="15"/>
      <c r="MEA227" s="10"/>
      <c r="MEB227" s="10"/>
      <c r="MEC227" s="21"/>
      <c r="MED227" s="21"/>
      <c r="MEG227" s="21"/>
      <c r="MEH227" s="15"/>
      <c r="MEI227" s="15"/>
      <c r="MEJ227" s="15"/>
      <c r="MEK227" s="15"/>
      <c r="MEL227" s="15"/>
      <c r="MEM227" s="15"/>
      <c r="MEN227" s="15"/>
      <c r="MEO227" s="15"/>
      <c r="MEP227" s="15"/>
      <c r="MEQ227" s="15"/>
      <c r="MER227" s="10"/>
      <c r="MES227" s="10"/>
      <c r="MET227" s="21"/>
      <c r="MEU227" s="21"/>
      <c r="MEX227" s="21"/>
      <c r="MEY227" s="15"/>
      <c r="MEZ227" s="15"/>
      <c r="MFA227" s="15"/>
      <c r="MFB227" s="15"/>
      <c r="MFC227" s="15"/>
      <c r="MFD227" s="15"/>
      <c r="MFE227" s="15"/>
      <c r="MFF227" s="15"/>
      <c r="MFG227" s="15"/>
      <c r="MFH227" s="15"/>
      <c r="MFI227" s="10"/>
      <c r="MFJ227" s="10"/>
      <c r="MFK227" s="21"/>
      <c r="MFL227" s="21"/>
      <c r="MFO227" s="21"/>
      <c r="MFP227" s="15"/>
      <c r="MFQ227" s="15"/>
      <c r="MFR227" s="15"/>
      <c r="MFS227" s="15"/>
      <c r="MFT227" s="15"/>
      <c r="MFU227" s="15"/>
      <c r="MFV227" s="15"/>
      <c r="MFW227" s="15"/>
      <c r="MFX227" s="15"/>
      <c r="MFY227" s="15"/>
      <c r="MFZ227" s="10"/>
      <c r="MGA227" s="10"/>
      <c r="MGB227" s="21"/>
      <c r="MGC227" s="21"/>
      <c r="MGF227" s="21"/>
      <c r="MGG227" s="15"/>
      <c r="MGH227" s="15"/>
      <c r="MGI227" s="15"/>
      <c r="MGJ227" s="15"/>
      <c r="MGK227" s="15"/>
      <c r="MGL227" s="15"/>
      <c r="MGM227" s="15"/>
      <c r="MGN227" s="15"/>
      <c r="MGO227" s="15"/>
      <c r="MGP227" s="15"/>
      <c r="MGQ227" s="10"/>
      <c r="MGR227" s="10"/>
      <c r="MGS227" s="21"/>
      <c r="MGT227" s="21"/>
      <c r="MGW227" s="21"/>
      <c r="MGX227" s="15"/>
      <c r="MGY227" s="15"/>
      <c r="MGZ227" s="15"/>
      <c r="MHA227" s="15"/>
      <c r="MHB227" s="15"/>
      <c r="MHC227" s="15"/>
      <c r="MHD227" s="15"/>
      <c r="MHE227" s="15"/>
      <c r="MHF227" s="15"/>
      <c r="MHG227" s="15"/>
      <c r="MHH227" s="10"/>
      <c r="MHI227" s="10"/>
      <c r="MHJ227" s="21"/>
      <c r="MHK227" s="21"/>
      <c r="MHN227" s="21"/>
      <c r="MHO227" s="15"/>
      <c r="MHP227" s="15"/>
      <c r="MHQ227" s="15"/>
      <c r="MHR227" s="15"/>
      <c r="MHS227" s="15"/>
      <c r="MHT227" s="15"/>
      <c r="MHU227" s="15"/>
      <c r="MHV227" s="15"/>
      <c r="MHW227" s="15"/>
      <c r="MHX227" s="15"/>
      <c r="MHY227" s="10"/>
      <c r="MHZ227" s="10"/>
      <c r="MIA227" s="21"/>
      <c r="MIB227" s="21"/>
      <c r="MIE227" s="21"/>
      <c r="MIF227" s="15"/>
      <c r="MIG227" s="15"/>
      <c r="MIH227" s="15"/>
      <c r="MII227" s="15"/>
      <c r="MIJ227" s="15"/>
      <c r="MIK227" s="15"/>
      <c r="MIL227" s="15"/>
      <c r="MIM227" s="15"/>
      <c r="MIN227" s="15"/>
      <c r="MIO227" s="15"/>
      <c r="MIP227" s="10"/>
      <c r="MIQ227" s="10"/>
      <c r="MIR227" s="21"/>
      <c r="MIS227" s="21"/>
      <c r="MIV227" s="21"/>
      <c r="MIW227" s="15"/>
      <c r="MIX227" s="15"/>
      <c r="MIY227" s="15"/>
      <c r="MIZ227" s="15"/>
      <c r="MJA227" s="15"/>
      <c r="MJB227" s="15"/>
      <c r="MJC227" s="15"/>
      <c r="MJD227" s="15"/>
      <c r="MJE227" s="15"/>
      <c r="MJF227" s="15"/>
      <c r="MJG227" s="10"/>
      <c r="MJH227" s="10"/>
      <c r="MJI227" s="21"/>
      <c r="MJJ227" s="21"/>
      <c r="MJM227" s="21"/>
      <c r="MJN227" s="15"/>
      <c r="MJO227" s="15"/>
      <c r="MJP227" s="15"/>
      <c r="MJQ227" s="15"/>
      <c r="MJR227" s="15"/>
      <c r="MJS227" s="15"/>
      <c r="MJT227" s="15"/>
      <c r="MJU227" s="15"/>
      <c r="MJV227" s="15"/>
      <c r="MJW227" s="15"/>
      <c r="MJX227" s="10"/>
      <c r="MJY227" s="10"/>
      <c r="MJZ227" s="21"/>
      <c r="MKA227" s="21"/>
      <c r="MKD227" s="21"/>
      <c r="MKE227" s="15"/>
      <c r="MKF227" s="15"/>
      <c r="MKG227" s="15"/>
      <c r="MKH227" s="15"/>
      <c r="MKI227" s="15"/>
      <c r="MKJ227" s="15"/>
      <c r="MKK227" s="15"/>
      <c r="MKL227" s="15"/>
      <c r="MKM227" s="15"/>
      <c r="MKN227" s="15"/>
      <c r="MKO227" s="10"/>
      <c r="MKP227" s="10"/>
      <c r="MKQ227" s="21"/>
      <c r="MKR227" s="21"/>
      <c r="MKU227" s="21"/>
      <c r="MKV227" s="15"/>
      <c r="MKW227" s="15"/>
      <c r="MKX227" s="15"/>
      <c r="MKY227" s="15"/>
      <c r="MKZ227" s="15"/>
      <c r="MLA227" s="15"/>
      <c r="MLB227" s="15"/>
      <c r="MLC227" s="15"/>
      <c r="MLD227" s="15"/>
      <c r="MLE227" s="15"/>
      <c r="MLF227" s="10"/>
      <c r="MLG227" s="10"/>
      <c r="MLH227" s="21"/>
      <c r="MLI227" s="21"/>
      <c r="MLL227" s="21"/>
      <c r="MLM227" s="15"/>
      <c r="MLN227" s="15"/>
      <c r="MLO227" s="15"/>
      <c r="MLP227" s="15"/>
      <c r="MLQ227" s="15"/>
      <c r="MLR227" s="15"/>
      <c r="MLS227" s="15"/>
      <c r="MLT227" s="15"/>
      <c r="MLU227" s="15"/>
      <c r="MLV227" s="15"/>
      <c r="MLW227" s="10"/>
      <c r="MLX227" s="10"/>
      <c r="MLY227" s="21"/>
      <c r="MLZ227" s="21"/>
      <c r="MMC227" s="21"/>
      <c r="MMD227" s="15"/>
      <c r="MME227" s="15"/>
      <c r="MMF227" s="15"/>
      <c r="MMG227" s="15"/>
      <c r="MMH227" s="15"/>
      <c r="MMI227" s="15"/>
      <c r="MMJ227" s="15"/>
      <c r="MMK227" s="15"/>
      <c r="MML227" s="15"/>
      <c r="MMM227" s="15"/>
      <c r="MMN227" s="10"/>
      <c r="MMO227" s="10"/>
      <c r="MMP227" s="21"/>
      <c r="MMQ227" s="21"/>
      <c r="MMT227" s="21"/>
      <c r="MMU227" s="15"/>
      <c r="MMV227" s="15"/>
      <c r="MMW227" s="15"/>
      <c r="MMX227" s="15"/>
      <c r="MMY227" s="15"/>
      <c r="MMZ227" s="15"/>
      <c r="MNA227" s="15"/>
      <c r="MNB227" s="15"/>
      <c r="MNC227" s="15"/>
      <c r="MND227" s="15"/>
      <c r="MNE227" s="10"/>
      <c r="MNF227" s="10"/>
      <c r="MNG227" s="21"/>
      <c r="MNH227" s="21"/>
      <c r="MNK227" s="21"/>
      <c r="MNL227" s="15"/>
      <c r="MNM227" s="15"/>
      <c r="MNN227" s="15"/>
      <c r="MNO227" s="15"/>
      <c r="MNP227" s="15"/>
      <c r="MNQ227" s="15"/>
      <c r="MNR227" s="15"/>
      <c r="MNS227" s="15"/>
      <c r="MNT227" s="15"/>
      <c r="MNU227" s="15"/>
      <c r="MNV227" s="10"/>
      <c r="MNW227" s="10"/>
      <c r="MNX227" s="21"/>
      <c r="MNY227" s="21"/>
      <c r="MOB227" s="21"/>
      <c r="MOC227" s="15"/>
      <c r="MOD227" s="15"/>
      <c r="MOE227" s="15"/>
      <c r="MOF227" s="15"/>
      <c r="MOG227" s="15"/>
      <c r="MOH227" s="15"/>
      <c r="MOI227" s="15"/>
      <c r="MOJ227" s="15"/>
      <c r="MOK227" s="15"/>
      <c r="MOL227" s="15"/>
      <c r="MOM227" s="10"/>
      <c r="MON227" s="10"/>
      <c r="MOO227" s="21"/>
      <c r="MOP227" s="21"/>
      <c r="MOS227" s="21"/>
      <c r="MOT227" s="15"/>
      <c r="MOU227" s="15"/>
      <c r="MOV227" s="15"/>
      <c r="MOW227" s="15"/>
      <c r="MOX227" s="15"/>
      <c r="MOY227" s="15"/>
      <c r="MOZ227" s="15"/>
      <c r="MPA227" s="15"/>
      <c r="MPB227" s="15"/>
      <c r="MPC227" s="15"/>
      <c r="MPD227" s="10"/>
      <c r="MPE227" s="10"/>
      <c r="MPF227" s="21"/>
      <c r="MPG227" s="21"/>
      <c r="MPJ227" s="21"/>
      <c r="MPK227" s="15"/>
      <c r="MPL227" s="15"/>
      <c r="MPM227" s="15"/>
      <c r="MPN227" s="15"/>
      <c r="MPO227" s="15"/>
      <c r="MPP227" s="15"/>
      <c r="MPQ227" s="15"/>
      <c r="MPR227" s="15"/>
      <c r="MPS227" s="15"/>
      <c r="MPT227" s="15"/>
      <c r="MPU227" s="10"/>
      <c r="MPV227" s="10"/>
      <c r="MPW227" s="21"/>
      <c r="MPX227" s="21"/>
      <c r="MQA227" s="21"/>
      <c r="MQB227" s="15"/>
      <c r="MQC227" s="15"/>
      <c r="MQD227" s="15"/>
      <c r="MQE227" s="15"/>
      <c r="MQF227" s="15"/>
      <c r="MQG227" s="15"/>
      <c r="MQH227" s="15"/>
      <c r="MQI227" s="15"/>
      <c r="MQJ227" s="15"/>
      <c r="MQK227" s="15"/>
      <c r="MQL227" s="10"/>
      <c r="MQM227" s="10"/>
      <c r="MQN227" s="21"/>
      <c r="MQO227" s="21"/>
      <c r="MQR227" s="21"/>
      <c r="MQS227" s="15"/>
      <c r="MQT227" s="15"/>
      <c r="MQU227" s="15"/>
      <c r="MQV227" s="15"/>
      <c r="MQW227" s="15"/>
      <c r="MQX227" s="15"/>
      <c r="MQY227" s="15"/>
      <c r="MQZ227" s="15"/>
      <c r="MRA227" s="15"/>
      <c r="MRB227" s="15"/>
      <c r="MRC227" s="10"/>
      <c r="MRD227" s="10"/>
      <c r="MRE227" s="21"/>
      <c r="MRF227" s="21"/>
      <c r="MRI227" s="21"/>
      <c r="MRJ227" s="15"/>
      <c r="MRK227" s="15"/>
      <c r="MRL227" s="15"/>
      <c r="MRM227" s="15"/>
      <c r="MRN227" s="15"/>
      <c r="MRO227" s="15"/>
      <c r="MRP227" s="15"/>
      <c r="MRQ227" s="15"/>
      <c r="MRR227" s="15"/>
      <c r="MRS227" s="15"/>
      <c r="MRT227" s="10"/>
      <c r="MRU227" s="10"/>
      <c r="MRV227" s="21"/>
      <c r="MRW227" s="21"/>
      <c r="MRZ227" s="21"/>
      <c r="MSA227" s="15"/>
      <c r="MSB227" s="15"/>
      <c r="MSC227" s="15"/>
      <c r="MSD227" s="15"/>
      <c r="MSE227" s="15"/>
      <c r="MSF227" s="15"/>
      <c r="MSG227" s="15"/>
      <c r="MSH227" s="15"/>
      <c r="MSI227" s="15"/>
      <c r="MSJ227" s="15"/>
      <c r="MSK227" s="10"/>
      <c r="MSL227" s="10"/>
      <c r="MSM227" s="21"/>
      <c r="MSN227" s="21"/>
      <c r="MSQ227" s="21"/>
      <c r="MSR227" s="15"/>
      <c r="MSS227" s="15"/>
      <c r="MST227" s="15"/>
      <c r="MSU227" s="15"/>
      <c r="MSV227" s="15"/>
      <c r="MSW227" s="15"/>
      <c r="MSX227" s="15"/>
      <c r="MSY227" s="15"/>
      <c r="MSZ227" s="15"/>
      <c r="MTA227" s="15"/>
      <c r="MTB227" s="10"/>
      <c r="MTC227" s="10"/>
      <c r="MTD227" s="21"/>
      <c r="MTE227" s="21"/>
      <c r="MTH227" s="21"/>
      <c r="MTI227" s="15"/>
      <c r="MTJ227" s="15"/>
      <c r="MTK227" s="15"/>
      <c r="MTL227" s="15"/>
      <c r="MTM227" s="15"/>
      <c r="MTN227" s="15"/>
      <c r="MTO227" s="15"/>
      <c r="MTP227" s="15"/>
      <c r="MTQ227" s="15"/>
      <c r="MTR227" s="15"/>
      <c r="MTS227" s="10"/>
      <c r="MTT227" s="10"/>
      <c r="MTU227" s="21"/>
      <c r="MTV227" s="21"/>
      <c r="MTY227" s="21"/>
      <c r="MTZ227" s="15"/>
      <c r="MUA227" s="15"/>
      <c r="MUB227" s="15"/>
      <c r="MUC227" s="15"/>
      <c r="MUD227" s="15"/>
      <c r="MUE227" s="15"/>
      <c r="MUF227" s="15"/>
      <c r="MUG227" s="15"/>
      <c r="MUH227" s="15"/>
      <c r="MUI227" s="15"/>
      <c r="MUJ227" s="10"/>
      <c r="MUK227" s="10"/>
      <c r="MUL227" s="21"/>
      <c r="MUM227" s="21"/>
      <c r="MUP227" s="21"/>
      <c r="MUQ227" s="15"/>
      <c r="MUR227" s="15"/>
      <c r="MUS227" s="15"/>
      <c r="MUT227" s="15"/>
      <c r="MUU227" s="15"/>
      <c r="MUV227" s="15"/>
      <c r="MUW227" s="15"/>
      <c r="MUX227" s="15"/>
      <c r="MUY227" s="15"/>
      <c r="MUZ227" s="15"/>
      <c r="MVA227" s="10"/>
      <c r="MVB227" s="10"/>
      <c r="MVC227" s="21"/>
      <c r="MVD227" s="21"/>
      <c r="MVG227" s="21"/>
      <c r="MVH227" s="15"/>
      <c r="MVI227" s="15"/>
      <c r="MVJ227" s="15"/>
      <c r="MVK227" s="15"/>
      <c r="MVL227" s="15"/>
      <c r="MVM227" s="15"/>
      <c r="MVN227" s="15"/>
      <c r="MVO227" s="15"/>
      <c r="MVP227" s="15"/>
      <c r="MVQ227" s="15"/>
      <c r="MVR227" s="10"/>
      <c r="MVS227" s="10"/>
      <c r="MVT227" s="21"/>
      <c r="MVU227" s="21"/>
      <c r="MVX227" s="21"/>
      <c r="MVY227" s="15"/>
      <c r="MVZ227" s="15"/>
      <c r="MWA227" s="15"/>
      <c r="MWB227" s="15"/>
      <c r="MWC227" s="15"/>
      <c r="MWD227" s="15"/>
      <c r="MWE227" s="15"/>
      <c r="MWF227" s="15"/>
      <c r="MWG227" s="15"/>
      <c r="MWH227" s="15"/>
      <c r="MWI227" s="10"/>
      <c r="MWJ227" s="10"/>
      <c r="MWK227" s="21"/>
      <c r="MWL227" s="21"/>
      <c r="MWO227" s="21"/>
      <c r="MWP227" s="15"/>
      <c r="MWQ227" s="15"/>
      <c r="MWR227" s="15"/>
      <c r="MWS227" s="15"/>
      <c r="MWT227" s="15"/>
      <c r="MWU227" s="15"/>
      <c r="MWV227" s="15"/>
      <c r="MWW227" s="15"/>
      <c r="MWX227" s="15"/>
      <c r="MWY227" s="15"/>
      <c r="MWZ227" s="10"/>
      <c r="MXA227" s="10"/>
      <c r="MXB227" s="21"/>
      <c r="MXC227" s="21"/>
      <c r="MXF227" s="21"/>
      <c r="MXG227" s="15"/>
      <c r="MXH227" s="15"/>
      <c r="MXI227" s="15"/>
      <c r="MXJ227" s="15"/>
      <c r="MXK227" s="15"/>
      <c r="MXL227" s="15"/>
      <c r="MXM227" s="15"/>
      <c r="MXN227" s="15"/>
      <c r="MXO227" s="15"/>
      <c r="MXP227" s="15"/>
      <c r="MXQ227" s="10"/>
      <c r="MXR227" s="10"/>
      <c r="MXS227" s="21"/>
      <c r="MXT227" s="21"/>
      <c r="MXW227" s="21"/>
      <c r="MXX227" s="15"/>
      <c r="MXY227" s="15"/>
      <c r="MXZ227" s="15"/>
      <c r="MYA227" s="15"/>
      <c r="MYB227" s="15"/>
      <c r="MYC227" s="15"/>
      <c r="MYD227" s="15"/>
      <c r="MYE227" s="15"/>
      <c r="MYF227" s="15"/>
      <c r="MYG227" s="15"/>
      <c r="MYH227" s="10"/>
      <c r="MYI227" s="10"/>
      <c r="MYJ227" s="21"/>
      <c r="MYK227" s="21"/>
      <c r="MYN227" s="21"/>
      <c r="MYO227" s="15"/>
      <c r="MYP227" s="15"/>
      <c r="MYQ227" s="15"/>
      <c r="MYR227" s="15"/>
      <c r="MYS227" s="15"/>
      <c r="MYT227" s="15"/>
      <c r="MYU227" s="15"/>
      <c r="MYV227" s="15"/>
      <c r="MYW227" s="15"/>
      <c r="MYX227" s="15"/>
      <c r="MYY227" s="10"/>
      <c r="MYZ227" s="10"/>
      <c r="MZA227" s="21"/>
      <c r="MZB227" s="21"/>
      <c r="MZE227" s="21"/>
      <c r="MZF227" s="15"/>
      <c r="MZG227" s="15"/>
      <c r="MZH227" s="15"/>
      <c r="MZI227" s="15"/>
      <c r="MZJ227" s="15"/>
      <c r="MZK227" s="15"/>
      <c r="MZL227" s="15"/>
      <c r="MZM227" s="15"/>
      <c r="MZN227" s="15"/>
      <c r="MZO227" s="15"/>
      <c r="MZP227" s="10"/>
      <c r="MZQ227" s="10"/>
      <c r="MZR227" s="21"/>
      <c r="MZS227" s="21"/>
      <c r="MZV227" s="21"/>
      <c r="MZW227" s="15"/>
      <c r="MZX227" s="15"/>
      <c r="MZY227" s="15"/>
      <c r="MZZ227" s="15"/>
      <c r="NAA227" s="15"/>
      <c r="NAB227" s="15"/>
      <c r="NAC227" s="15"/>
      <c r="NAD227" s="15"/>
      <c r="NAE227" s="15"/>
      <c r="NAF227" s="15"/>
      <c r="NAG227" s="10"/>
      <c r="NAH227" s="10"/>
      <c r="NAI227" s="21"/>
      <c r="NAJ227" s="21"/>
      <c r="NAM227" s="21"/>
      <c r="NAN227" s="15"/>
      <c r="NAO227" s="15"/>
      <c r="NAP227" s="15"/>
      <c r="NAQ227" s="15"/>
      <c r="NAR227" s="15"/>
      <c r="NAS227" s="15"/>
      <c r="NAT227" s="15"/>
      <c r="NAU227" s="15"/>
      <c r="NAV227" s="15"/>
      <c r="NAW227" s="15"/>
      <c r="NAX227" s="10"/>
      <c r="NAY227" s="10"/>
      <c r="NAZ227" s="21"/>
      <c r="NBA227" s="21"/>
      <c r="NBD227" s="21"/>
      <c r="NBE227" s="15"/>
      <c r="NBF227" s="15"/>
      <c r="NBG227" s="15"/>
      <c r="NBH227" s="15"/>
      <c r="NBI227" s="15"/>
      <c r="NBJ227" s="15"/>
      <c r="NBK227" s="15"/>
      <c r="NBL227" s="15"/>
      <c r="NBM227" s="15"/>
      <c r="NBN227" s="15"/>
      <c r="NBO227" s="10"/>
      <c r="NBP227" s="10"/>
      <c r="NBQ227" s="21"/>
      <c r="NBR227" s="21"/>
      <c r="NBU227" s="21"/>
      <c r="NBV227" s="15"/>
      <c r="NBW227" s="15"/>
      <c r="NBX227" s="15"/>
      <c r="NBY227" s="15"/>
      <c r="NBZ227" s="15"/>
      <c r="NCA227" s="15"/>
      <c r="NCB227" s="15"/>
      <c r="NCC227" s="15"/>
      <c r="NCD227" s="15"/>
      <c r="NCE227" s="15"/>
      <c r="NCF227" s="10"/>
      <c r="NCG227" s="10"/>
      <c r="NCH227" s="21"/>
      <c r="NCI227" s="21"/>
      <c r="NCL227" s="21"/>
      <c r="NCM227" s="15"/>
      <c r="NCN227" s="15"/>
      <c r="NCO227" s="15"/>
      <c r="NCP227" s="15"/>
      <c r="NCQ227" s="15"/>
      <c r="NCR227" s="15"/>
      <c r="NCS227" s="15"/>
      <c r="NCT227" s="15"/>
      <c r="NCU227" s="15"/>
      <c r="NCV227" s="15"/>
      <c r="NCW227" s="10"/>
      <c r="NCX227" s="10"/>
      <c r="NCY227" s="21"/>
      <c r="NCZ227" s="21"/>
      <c r="NDC227" s="21"/>
      <c r="NDD227" s="15"/>
      <c r="NDE227" s="15"/>
      <c r="NDF227" s="15"/>
      <c r="NDG227" s="15"/>
      <c r="NDH227" s="15"/>
      <c r="NDI227" s="15"/>
      <c r="NDJ227" s="15"/>
      <c r="NDK227" s="15"/>
      <c r="NDL227" s="15"/>
      <c r="NDM227" s="15"/>
      <c r="NDN227" s="10"/>
      <c r="NDO227" s="10"/>
      <c r="NDP227" s="21"/>
      <c r="NDQ227" s="21"/>
      <c r="NDT227" s="21"/>
      <c r="NDU227" s="15"/>
      <c r="NDV227" s="15"/>
      <c r="NDW227" s="15"/>
      <c r="NDX227" s="15"/>
      <c r="NDY227" s="15"/>
      <c r="NDZ227" s="15"/>
      <c r="NEA227" s="15"/>
      <c r="NEB227" s="15"/>
      <c r="NEC227" s="15"/>
      <c r="NED227" s="15"/>
      <c r="NEE227" s="10"/>
      <c r="NEF227" s="10"/>
      <c r="NEG227" s="21"/>
      <c r="NEH227" s="21"/>
      <c r="NEK227" s="21"/>
      <c r="NEL227" s="15"/>
      <c r="NEM227" s="15"/>
      <c r="NEN227" s="15"/>
      <c r="NEO227" s="15"/>
      <c r="NEP227" s="15"/>
      <c r="NEQ227" s="15"/>
      <c r="NER227" s="15"/>
      <c r="NES227" s="15"/>
      <c r="NET227" s="15"/>
      <c r="NEU227" s="15"/>
      <c r="NEV227" s="10"/>
      <c r="NEW227" s="10"/>
      <c r="NEX227" s="21"/>
      <c r="NEY227" s="21"/>
      <c r="NFB227" s="21"/>
      <c r="NFC227" s="15"/>
      <c r="NFD227" s="15"/>
      <c r="NFE227" s="15"/>
      <c r="NFF227" s="15"/>
      <c r="NFG227" s="15"/>
      <c r="NFH227" s="15"/>
      <c r="NFI227" s="15"/>
      <c r="NFJ227" s="15"/>
      <c r="NFK227" s="15"/>
      <c r="NFL227" s="15"/>
      <c r="NFM227" s="10"/>
      <c r="NFN227" s="10"/>
      <c r="NFO227" s="21"/>
      <c r="NFP227" s="21"/>
      <c r="NFS227" s="21"/>
      <c r="NFT227" s="15"/>
      <c r="NFU227" s="15"/>
      <c r="NFV227" s="15"/>
      <c r="NFW227" s="15"/>
      <c r="NFX227" s="15"/>
      <c r="NFY227" s="15"/>
      <c r="NFZ227" s="15"/>
      <c r="NGA227" s="15"/>
      <c r="NGB227" s="15"/>
      <c r="NGC227" s="15"/>
      <c r="NGD227" s="10"/>
      <c r="NGE227" s="10"/>
      <c r="NGF227" s="21"/>
      <c r="NGG227" s="21"/>
      <c r="NGJ227" s="21"/>
      <c r="NGK227" s="15"/>
      <c r="NGL227" s="15"/>
      <c r="NGM227" s="15"/>
      <c r="NGN227" s="15"/>
      <c r="NGO227" s="15"/>
      <c r="NGP227" s="15"/>
      <c r="NGQ227" s="15"/>
      <c r="NGR227" s="15"/>
      <c r="NGS227" s="15"/>
      <c r="NGT227" s="15"/>
      <c r="NGU227" s="10"/>
      <c r="NGV227" s="10"/>
      <c r="NGW227" s="21"/>
      <c r="NGX227" s="21"/>
      <c r="NHA227" s="21"/>
      <c r="NHB227" s="15"/>
      <c r="NHC227" s="15"/>
      <c r="NHD227" s="15"/>
      <c r="NHE227" s="15"/>
      <c r="NHF227" s="15"/>
      <c r="NHG227" s="15"/>
      <c r="NHH227" s="15"/>
      <c r="NHI227" s="15"/>
      <c r="NHJ227" s="15"/>
      <c r="NHK227" s="15"/>
      <c r="NHL227" s="10"/>
      <c r="NHM227" s="10"/>
      <c r="NHN227" s="21"/>
      <c r="NHO227" s="21"/>
      <c r="NHR227" s="21"/>
      <c r="NHS227" s="15"/>
      <c r="NHT227" s="15"/>
      <c r="NHU227" s="15"/>
      <c r="NHV227" s="15"/>
      <c r="NHW227" s="15"/>
      <c r="NHX227" s="15"/>
      <c r="NHY227" s="15"/>
      <c r="NHZ227" s="15"/>
      <c r="NIA227" s="15"/>
      <c r="NIB227" s="15"/>
      <c r="NIC227" s="10"/>
      <c r="NID227" s="10"/>
      <c r="NIE227" s="21"/>
      <c r="NIF227" s="21"/>
      <c r="NII227" s="21"/>
      <c r="NIJ227" s="15"/>
      <c r="NIK227" s="15"/>
      <c r="NIL227" s="15"/>
      <c r="NIM227" s="15"/>
      <c r="NIN227" s="15"/>
      <c r="NIO227" s="15"/>
      <c r="NIP227" s="15"/>
      <c r="NIQ227" s="15"/>
      <c r="NIR227" s="15"/>
      <c r="NIS227" s="15"/>
      <c r="NIT227" s="10"/>
      <c r="NIU227" s="10"/>
      <c r="NIV227" s="21"/>
      <c r="NIW227" s="21"/>
      <c r="NIZ227" s="21"/>
      <c r="NJA227" s="15"/>
      <c r="NJB227" s="15"/>
      <c r="NJC227" s="15"/>
      <c r="NJD227" s="15"/>
      <c r="NJE227" s="15"/>
      <c r="NJF227" s="15"/>
      <c r="NJG227" s="15"/>
      <c r="NJH227" s="15"/>
      <c r="NJI227" s="15"/>
      <c r="NJJ227" s="15"/>
      <c r="NJK227" s="10"/>
      <c r="NJL227" s="10"/>
      <c r="NJM227" s="21"/>
      <c r="NJN227" s="21"/>
      <c r="NJQ227" s="21"/>
      <c r="NJR227" s="15"/>
      <c r="NJS227" s="15"/>
      <c r="NJT227" s="15"/>
      <c r="NJU227" s="15"/>
      <c r="NJV227" s="15"/>
      <c r="NJW227" s="15"/>
      <c r="NJX227" s="15"/>
      <c r="NJY227" s="15"/>
      <c r="NJZ227" s="15"/>
      <c r="NKA227" s="15"/>
      <c r="NKB227" s="10"/>
      <c r="NKC227" s="10"/>
      <c r="NKD227" s="21"/>
      <c r="NKE227" s="21"/>
      <c r="NKH227" s="21"/>
      <c r="NKI227" s="15"/>
      <c r="NKJ227" s="15"/>
      <c r="NKK227" s="15"/>
      <c r="NKL227" s="15"/>
      <c r="NKM227" s="15"/>
      <c r="NKN227" s="15"/>
      <c r="NKO227" s="15"/>
      <c r="NKP227" s="15"/>
      <c r="NKQ227" s="15"/>
      <c r="NKR227" s="15"/>
      <c r="NKS227" s="10"/>
      <c r="NKT227" s="10"/>
      <c r="NKU227" s="21"/>
      <c r="NKV227" s="21"/>
      <c r="NKY227" s="21"/>
      <c r="NKZ227" s="15"/>
      <c r="NLA227" s="15"/>
      <c r="NLB227" s="15"/>
      <c r="NLC227" s="15"/>
      <c r="NLD227" s="15"/>
      <c r="NLE227" s="15"/>
      <c r="NLF227" s="15"/>
      <c r="NLG227" s="15"/>
      <c r="NLH227" s="15"/>
      <c r="NLI227" s="15"/>
      <c r="NLJ227" s="10"/>
      <c r="NLK227" s="10"/>
      <c r="NLL227" s="21"/>
      <c r="NLM227" s="21"/>
      <c r="NLP227" s="21"/>
      <c r="NLQ227" s="15"/>
      <c r="NLR227" s="15"/>
      <c r="NLS227" s="15"/>
      <c r="NLT227" s="15"/>
      <c r="NLU227" s="15"/>
      <c r="NLV227" s="15"/>
      <c r="NLW227" s="15"/>
      <c r="NLX227" s="15"/>
      <c r="NLY227" s="15"/>
      <c r="NLZ227" s="15"/>
      <c r="NMA227" s="10"/>
      <c r="NMB227" s="10"/>
      <c r="NMC227" s="21"/>
      <c r="NMD227" s="21"/>
      <c r="NMG227" s="21"/>
      <c r="NMH227" s="15"/>
      <c r="NMI227" s="15"/>
      <c r="NMJ227" s="15"/>
      <c r="NMK227" s="15"/>
      <c r="NML227" s="15"/>
      <c r="NMM227" s="15"/>
      <c r="NMN227" s="15"/>
      <c r="NMO227" s="15"/>
      <c r="NMP227" s="15"/>
      <c r="NMQ227" s="15"/>
      <c r="NMR227" s="10"/>
      <c r="NMS227" s="10"/>
      <c r="NMT227" s="21"/>
      <c r="NMU227" s="21"/>
      <c r="NMX227" s="21"/>
      <c r="NMY227" s="15"/>
      <c r="NMZ227" s="15"/>
      <c r="NNA227" s="15"/>
      <c r="NNB227" s="15"/>
      <c r="NNC227" s="15"/>
      <c r="NND227" s="15"/>
      <c r="NNE227" s="15"/>
      <c r="NNF227" s="15"/>
      <c r="NNG227" s="15"/>
      <c r="NNH227" s="15"/>
      <c r="NNI227" s="10"/>
      <c r="NNJ227" s="10"/>
      <c r="NNK227" s="21"/>
      <c r="NNL227" s="21"/>
      <c r="NNO227" s="21"/>
      <c r="NNP227" s="15"/>
      <c r="NNQ227" s="15"/>
      <c r="NNR227" s="15"/>
      <c r="NNS227" s="15"/>
      <c r="NNT227" s="15"/>
      <c r="NNU227" s="15"/>
      <c r="NNV227" s="15"/>
      <c r="NNW227" s="15"/>
      <c r="NNX227" s="15"/>
      <c r="NNY227" s="15"/>
      <c r="NNZ227" s="10"/>
      <c r="NOA227" s="10"/>
      <c r="NOB227" s="21"/>
      <c r="NOC227" s="21"/>
      <c r="NOF227" s="21"/>
      <c r="NOG227" s="15"/>
      <c r="NOH227" s="15"/>
      <c r="NOI227" s="15"/>
      <c r="NOJ227" s="15"/>
      <c r="NOK227" s="15"/>
      <c r="NOL227" s="15"/>
      <c r="NOM227" s="15"/>
      <c r="NON227" s="15"/>
      <c r="NOO227" s="15"/>
      <c r="NOP227" s="15"/>
      <c r="NOQ227" s="10"/>
      <c r="NOR227" s="10"/>
      <c r="NOS227" s="21"/>
      <c r="NOT227" s="21"/>
      <c r="NOW227" s="21"/>
      <c r="NOX227" s="15"/>
      <c r="NOY227" s="15"/>
      <c r="NOZ227" s="15"/>
      <c r="NPA227" s="15"/>
      <c r="NPB227" s="15"/>
      <c r="NPC227" s="15"/>
      <c r="NPD227" s="15"/>
      <c r="NPE227" s="15"/>
      <c r="NPF227" s="15"/>
      <c r="NPG227" s="15"/>
      <c r="NPH227" s="10"/>
      <c r="NPI227" s="10"/>
      <c r="NPJ227" s="21"/>
      <c r="NPK227" s="21"/>
      <c r="NPN227" s="21"/>
      <c r="NPO227" s="15"/>
      <c r="NPP227" s="15"/>
      <c r="NPQ227" s="15"/>
      <c r="NPR227" s="15"/>
      <c r="NPS227" s="15"/>
      <c r="NPT227" s="15"/>
      <c r="NPU227" s="15"/>
      <c r="NPV227" s="15"/>
      <c r="NPW227" s="15"/>
      <c r="NPX227" s="15"/>
      <c r="NPY227" s="10"/>
      <c r="NPZ227" s="10"/>
      <c r="NQA227" s="21"/>
      <c r="NQB227" s="21"/>
      <c r="NQE227" s="21"/>
      <c r="NQF227" s="15"/>
      <c r="NQG227" s="15"/>
      <c r="NQH227" s="15"/>
      <c r="NQI227" s="15"/>
      <c r="NQJ227" s="15"/>
      <c r="NQK227" s="15"/>
      <c r="NQL227" s="15"/>
      <c r="NQM227" s="15"/>
      <c r="NQN227" s="15"/>
      <c r="NQO227" s="15"/>
      <c r="NQP227" s="10"/>
      <c r="NQQ227" s="10"/>
      <c r="NQR227" s="21"/>
      <c r="NQS227" s="21"/>
      <c r="NQV227" s="21"/>
      <c r="NQW227" s="15"/>
      <c r="NQX227" s="15"/>
      <c r="NQY227" s="15"/>
      <c r="NQZ227" s="15"/>
      <c r="NRA227" s="15"/>
      <c r="NRB227" s="15"/>
      <c r="NRC227" s="15"/>
      <c r="NRD227" s="15"/>
      <c r="NRE227" s="15"/>
      <c r="NRF227" s="15"/>
      <c r="NRG227" s="10"/>
      <c r="NRH227" s="10"/>
      <c r="NRI227" s="21"/>
      <c r="NRJ227" s="21"/>
      <c r="NRM227" s="21"/>
      <c r="NRN227" s="15"/>
      <c r="NRO227" s="15"/>
      <c r="NRP227" s="15"/>
      <c r="NRQ227" s="15"/>
      <c r="NRR227" s="15"/>
      <c r="NRS227" s="15"/>
      <c r="NRT227" s="15"/>
      <c r="NRU227" s="15"/>
      <c r="NRV227" s="15"/>
      <c r="NRW227" s="15"/>
      <c r="NRX227" s="10"/>
      <c r="NRY227" s="10"/>
      <c r="NRZ227" s="21"/>
      <c r="NSA227" s="21"/>
      <c r="NSD227" s="21"/>
      <c r="NSE227" s="15"/>
      <c r="NSF227" s="15"/>
      <c r="NSG227" s="15"/>
      <c r="NSH227" s="15"/>
      <c r="NSI227" s="15"/>
      <c r="NSJ227" s="15"/>
      <c r="NSK227" s="15"/>
      <c r="NSL227" s="15"/>
      <c r="NSM227" s="15"/>
      <c r="NSN227" s="15"/>
      <c r="NSO227" s="10"/>
      <c r="NSP227" s="10"/>
      <c r="NSQ227" s="21"/>
      <c r="NSR227" s="21"/>
      <c r="NSU227" s="21"/>
      <c r="NSV227" s="15"/>
      <c r="NSW227" s="15"/>
      <c r="NSX227" s="15"/>
      <c r="NSY227" s="15"/>
      <c r="NSZ227" s="15"/>
      <c r="NTA227" s="15"/>
      <c r="NTB227" s="15"/>
      <c r="NTC227" s="15"/>
      <c r="NTD227" s="15"/>
      <c r="NTE227" s="15"/>
      <c r="NTF227" s="10"/>
      <c r="NTG227" s="10"/>
      <c r="NTH227" s="21"/>
      <c r="NTI227" s="21"/>
      <c r="NTL227" s="21"/>
      <c r="NTM227" s="15"/>
      <c r="NTN227" s="15"/>
      <c r="NTO227" s="15"/>
      <c r="NTP227" s="15"/>
      <c r="NTQ227" s="15"/>
      <c r="NTR227" s="15"/>
      <c r="NTS227" s="15"/>
      <c r="NTT227" s="15"/>
      <c r="NTU227" s="15"/>
      <c r="NTV227" s="15"/>
      <c r="NTW227" s="10"/>
      <c r="NTX227" s="10"/>
      <c r="NTY227" s="21"/>
      <c r="NTZ227" s="21"/>
      <c r="NUC227" s="21"/>
      <c r="NUD227" s="15"/>
      <c r="NUE227" s="15"/>
      <c r="NUF227" s="15"/>
      <c r="NUG227" s="15"/>
      <c r="NUH227" s="15"/>
      <c r="NUI227" s="15"/>
      <c r="NUJ227" s="15"/>
      <c r="NUK227" s="15"/>
      <c r="NUL227" s="15"/>
      <c r="NUM227" s="15"/>
      <c r="NUN227" s="10"/>
      <c r="NUO227" s="10"/>
      <c r="NUP227" s="21"/>
      <c r="NUQ227" s="21"/>
      <c r="NUT227" s="21"/>
      <c r="NUU227" s="15"/>
      <c r="NUV227" s="15"/>
      <c r="NUW227" s="15"/>
      <c r="NUX227" s="15"/>
      <c r="NUY227" s="15"/>
      <c r="NUZ227" s="15"/>
      <c r="NVA227" s="15"/>
      <c r="NVB227" s="15"/>
      <c r="NVC227" s="15"/>
      <c r="NVD227" s="15"/>
      <c r="NVE227" s="10"/>
      <c r="NVF227" s="10"/>
      <c r="NVG227" s="21"/>
      <c r="NVH227" s="21"/>
      <c r="NVK227" s="21"/>
      <c r="NVL227" s="15"/>
      <c r="NVM227" s="15"/>
      <c r="NVN227" s="15"/>
      <c r="NVO227" s="15"/>
      <c r="NVP227" s="15"/>
      <c r="NVQ227" s="15"/>
      <c r="NVR227" s="15"/>
      <c r="NVS227" s="15"/>
      <c r="NVT227" s="15"/>
      <c r="NVU227" s="15"/>
      <c r="NVV227" s="10"/>
      <c r="NVW227" s="10"/>
      <c r="NVX227" s="21"/>
      <c r="NVY227" s="21"/>
      <c r="NWB227" s="21"/>
      <c r="NWC227" s="15"/>
      <c r="NWD227" s="15"/>
      <c r="NWE227" s="15"/>
      <c r="NWF227" s="15"/>
      <c r="NWG227" s="15"/>
      <c r="NWH227" s="15"/>
      <c r="NWI227" s="15"/>
      <c r="NWJ227" s="15"/>
      <c r="NWK227" s="15"/>
      <c r="NWL227" s="15"/>
      <c r="NWM227" s="10"/>
      <c r="NWN227" s="10"/>
      <c r="NWO227" s="21"/>
      <c r="NWP227" s="21"/>
      <c r="NWS227" s="21"/>
      <c r="NWT227" s="15"/>
      <c r="NWU227" s="15"/>
      <c r="NWV227" s="15"/>
      <c r="NWW227" s="15"/>
      <c r="NWX227" s="15"/>
      <c r="NWY227" s="15"/>
      <c r="NWZ227" s="15"/>
      <c r="NXA227" s="15"/>
      <c r="NXB227" s="15"/>
      <c r="NXC227" s="15"/>
      <c r="NXD227" s="10"/>
      <c r="NXE227" s="10"/>
      <c r="NXF227" s="21"/>
      <c r="NXG227" s="21"/>
      <c r="NXJ227" s="21"/>
      <c r="NXK227" s="15"/>
      <c r="NXL227" s="15"/>
      <c r="NXM227" s="15"/>
      <c r="NXN227" s="15"/>
      <c r="NXO227" s="15"/>
      <c r="NXP227" s="15"/>
      <c r="NXQ227" s="15"/>
      <c r="NXR227" s="15"/>
      <c r="NXS227" s="15"/>
      <c r="NXT227" s="15"/>
      <c r="NXU227" s="10"/>
      <c r="NXV227" s="10"/>
      <c r="NXW227" s="21"/>
      <c r="NXX227" s="21"/>
      <c r="NYA227" s="21"/>
      <c r="NYB227" s="15"/>
      <c r="NYC227" s="15"/>
      <c r="NYD227" s="15"/>
      <c r="NYE227" s="15"/>
      <c r="NYF227" s="15"/>
      <c r="NYG227" s="15"/>
      <c r="NYH227" s="15"/>
      <c r="NYI227" s="15"/>
      <c r="NYJ227" s="15"/>
      <c r="NYK227" s="15"/>
      <c r="NYL227" s="10"/>
      <c r="NYM227" s="10"/>
      <c r="NYN227" s="21"/>
      <c r="NYO227" s="21"/>
      <c r="NYR227" s="21"/>
      <c r="NYS227" s="15"/>
      <c r="NYT227" s="15"/>
      <c r="NYU227" s="15"/>
      <c r="NYV227" s="15"/>
      <c r="NYW227" s="15"/>
      <c r="NYX227" s="15"/>
      <c r="NYY227" s="15"/>
      <c r="NYZ227" s="15"/>
      <c r="NZA227" s="15"/>
      <c r="NZB227" s="15"/>
      <c r="NZC227" s="10"/>
      <c r="NZD227" s="10"/>
      <c r="NZE227" s="21"/>
      <c r="NZF227" s="21"/>
      <c r="NZI227" s="21"/>
      <c r="NZJ227" s="15"/>
      <c r="NZK227" s="15"/>
      <c r="NZL227" s="15"/>
      <c r="NZM227" s="15"/>
      <c r="NZN227" s="15"/>
      <c r="NZO227" s="15"/>
      <c r="NZP227" s="15"/>
      <c r="NZQ227" s="15"/>
      <c r="NZR227" s="15"/>
      <c r="NZS227" s="15"/>
      <c r="NZT227" s="10"/>
      <c r="NZU227" s="10"/>
      <c r="NZV227" s="21"/>
      <c r="NZW227" s="21"/>
      <c r="NZZ227" s="21"/>
      <c r="OAA227" s="15"/>
      <c r="OAB227" s="15"/>
      <c r="OAC227" s="15"/>
      <c r="OAD227" s="15"/>
      <c r="OAE227" s="15"/>
      <c r="OAF227" s="15"/>
      <c r="OAG227" s="15"/>
      <c r="OAH227" s="15"/>
      <c r="OAI227" s="15"/>
      <c r="OAJ227" s="15"/>
      <c r="OAK227" s="10"/>
      <c r="OAL227" s="10"/>
      <c r="OAM227" s="21"/>
      <c r="OAN227" s="21"/>
      <c r="OAQ227" s="21"/>
      <c r="OAR227" s="15"/>
      <c r="OAS227" s="15"/>
      <c r="OAT227" s="15"/>
      <c r="OAU227" s="15"/>
      <c r="OAV227" s="15"/>
      <c r="OAW227" s="15"/>
      <c r="OAX227" s="15"/>
      <c r="OAY227" s="15"/>
      <c r="OAZ227" s="15"/>
      <c r="OBA227" s="15"/>
      <c r="OBB227" s="10"/>
      <c r="OBC227" s="10"/>
      <c r="OBD227" s="21"/>
      <c r="OBE227" s="21"/>
      <c r="OBH227" s="21"/>
      <c r="OBI227" s="15"/>
      <c r="OBJ227" s="15"/>
      <c r="OBK227" s="15"/>
      <c r="OBL227" s="15"/>
      <c r="OBM227" s="15"/>
      <c r="OBN227" s="15"/>
      <c r="OBO227" s="15"/>
      <c r="OBP227" s="15"/>
      <c r="OBQ227" s="15"/>
      <c r="OBR227" s="15"/>
      <c r="OBS227" s="10"/>
      <c r="OBT227" s="10"/>
      <c r="OBU227" s="21"/>
      <c r="OBV227" s="21"/>
      <c r="OBY227" s="21"/>
      <c r="OBZ227" s="15"/>
      <c r="OCA227" s="15"/>
      <c r="OCB227" s="15"/>
      <c r="OCC227" s="15"/>
      <c r="OCD227" s="15"/>
      <c r="OCE227" s="15"/>
      <c r="OCF227" s="15"/>
      <c r="OCG227" s="15"/>
      <c r="OCH227" s="15"/>
      <c r="OCI227" s="15"/>
      <c r="OCJ227" s="10"/>
      <c r="OCK227" s="10"/>
      <c r="OCL227" s="21"/>
      <c r="OCM227" s="21"/>
      <c r="OCP227" s="21"/>
      <c r="OCQ227" s="15"/>
      <c r="OCR227" s="15"/>
      <c r="OCS227" s="15"/>
      <c r="OCT227" s="15"/>
      <c r="OCU227" s="15"/>
      <c r="OCV227" s="15"/>
      <c r="OCW227" s="15"/>
      <c r="OCX227" s="15"/>
      <c r="OCY227" s="15"/>
      <c r="OCZ227" s="15"/>
      <c r="ODA227" s="10"/>
      <c r="ODB227" s="10"/>
      <c r="ODC227" s="21"/>
      <c r="ODD227" s="21"/>
      <c r="ODG227" s="21"/>
      <c r="ODH227" s="15"/>
      <c r="ODI227" s="15"/>
      <c r="ODJ227" s="15"/>
      <c r="ODK227" s="15"/>
      <c r="ODL227" s="15"/>
      <c r="ODM227" s="15"/>
      <c r="ODN227" s="15"/>
      <c r="ODO227" s="15"/>
      <c r="ODP227" s="15"/>
      <c r="ODQ227" s="15"/>
      <c r="ODR227" s="10"/>
      <c r="ODS227" s="10"/>
      <c r="ODT227" s="21"/>
      <c r="ODU227" s="21"/>
      <c r="ODX227" s="21"/>
      <c r="ODY227" s="15"/>
      <c r="ODZ227" s="15"/>
      <c r="OEA227" s="15"/>
      <c r="OEB227" s="15"/>
      <c r="OEC227" s="15"/>
      <c r="OED227" s="15"/>
      <c r="OEE227" s="15"/>
      <c r="OEF227" s="15"/>
      <c r="OEG227" s="15"/>
      <c r="OEH227" s="15"/>
      <c r="OEI227" s="10"/>
      <c r="OEJ227" s="10"/>
      <c r="OEK227" s="21"/>
      <c r="OEL227" s="21"/>
      <c r="OEO227" s="21"/>
      <c r="OEP227" s="15"/>
      <c r="OEQ227" s="15"/>
      <c r="OER227" s="15"/>
      <c r="OES227" s="15"/>
      <c r="OET227" s="15"/>
      <c r="OEU227" s="15"/>
      <c r="OEV227" s="15"/>
      <c r="OEW227" s="15"/>
      <c r="OEX227" s="15"/>
      <c r="OEY227" s="15"/>
      <c r="OEZ227" s="10"/>
      <c r="OFA227" s="10"/>
      <c r="OFB227" s="21"/>
      <c r="OFC227" s="21"/>
      <c r="OFF227" s="21"/>
      <c r="OFG227" s="15"/>
      <c r="OFH227" s="15"/>
      <c r="OFI227" s="15"/>
      <c r="OFJ227" s="15"/>
      <c r="OFK227" s="15"/>
      <c r="OFL227" s="15"/>
      <c r="OFM227" s="15"/>
      <c r="OFN227" s="15"/>
      <c r="OFO227" s="15"/>
      <c r="OFP227" s="15"/>
      <c r="OFQ227" s="10"/>
      <c r="OFR227" s="10"/>
      <c r="OFS227" s="21"/>
      <c r="OFT227" s="21"/>
      <c r="OFW227" s="21"/>
      <c r="OFX227" s="15"/>
      <c r="OFY227" s="15"/>
      <c r="OFZ227" s="15"/>
      <c r="OGA227" s="15"/>
      <c r="OGB227" s="15"/>
      <c r="OGC227" s="15"/>
      <c r="OGD227" s="15"/>
      <c r="OGE227" s="15"/>
      <c r="OGF227" s="15"/>
      <c r="OGG227" s="15"/>
      <c r="OGH227" s="10"/>
      <c r="OGI227" s="10"/>
      <c r="OGJ227" s="21"/>
      <c r="OGK227" s="21"/>
      <c r="OGN227" s="21"/>
      <c r="OGO227" s="15"/>
      <c r="OGP227" s="15"/>
      <c r="OGQ227" s="15"/>
      <c r="OGR227" s="15"/>
      <c r="OGS227" s="15"/>
      <c r="OGT227" s="15"/>
      <c r="OGU227" s="15"/>
      <c r="OGV227" s="15"/>
      <c r="OGW227" s="15"/>
      <c r="OGX227" s="15"/>
      <c r="OGY227" s="10"/>
      <c r="OGZ227" s="10"/>
      <c r="OHA227" s="21"/>
      <c r="OHB227" s="21"/>
      <c r="OHE227" s="21"/>
      <c r="OHF227" s="15"/>
      <c r="OHG227" s="15"/>
      <c r="OHH227" s="15"/>
      <c r="OHI227" s="15"/>
      <c r="OHJ227" s="15"/>
      <c r="OHK227" s="15"/>
      <c r="OHL227" s="15"/>
      <c r="OHM227" s="15"/>
      <c r="OHN227" s="15"/>
      <c r="OHO227" s="15"/>
      <c r="OHP227" s="10"/>
      <c r="OHQ227" s="10"/>
      <c r="OHR227" s="21"/>
      <c r="OHS227" s="21"/>
      <c r="OHV227" s="21"/>
      <c r="OHW227" s="15"/>
      <c r="OHX227" s="15"/>
      <c r="OHY227" s="15"/>
      <c r="OHZ227" s="15"/>
      <c r="OIA227" s="15"/>
      <c r="OIB227" s="15"/>
      <c r="OIC227" s="15"/>
      <c r="OID227" s="15"/>
      <c r="OIE227" s="15"/>
      <c r="OIF227" s="15"/>
      <c r="OIG227" s="10"/>
      <c r="OIH227" s="10"/>
      <c r="OII227" s="21"/>
      <c r="OIJ227" s="21"/>
      <c r="OIM227" s="21"/>
      <c r="OIN227" s="15"/>
      <c r="OIO227" s="15"/>
      <c r="OIP227" s="15"/>
      <c r="OIQ227" s="15"/>
      <c r="OIR227" s="15"/>
      <c r="OIS227" s="15"/>
      <c r="OIT227" s="15"/>
      <c r="OIU227" s="15"/>
      <c r="OIV227" s="15"/>
      <c r="OIW227" s="15"/>
      <c r="OIX227" s="10"/>
      <c r="OIY227" s="10"/>
      <c r="OIZ227" s="21"/>
      <c r="OJA227" s="21"/>
      <c r="OJD227" s="21"/>
      <c r="OJE227" s="15"/>
      <c r="OJF227" s="15"/>
      <c r="OJG227" s="15"/>
      <c r="OJH227" s="15"/>
      <c r="OJI227" s="15"/>
      <c r="OJJ227" s="15"/>
      <c r="OJK227" s="15"/>
      <c r="OJL227" s="15"/>
      <c r="OJM227" s="15"/>
      <c r="OJN227" s="15"/>
      <c r="OJO227" s="10"/>
      <c r="OJP227" s="10"/>
      <c r="OJQ227" s="21"/>
      <c r="OJR227" s="21"/>
      <c r="OJU227" s="21"/>
      <c r="OJV227" s="15"/>
      <c r="OJW227" s="15"/>
      <c r="OJX227" s="15"/>
      <c r="OJY227" s="15"/>
      <c r="OJZ227" s="15"/>
      <c r="OKA227" s="15"/>
      <c r="OKB227" s="15"/>
      <c r="OKC227" s="15"/>
      <c r="OKD227" s="15"/>
      <c r="OKE227" s="15"/>
      <c r="OKF227" s="10"/>
      <c r="OKG227" s="10"/>
      <c r="OKH227" s="21"/>
      <c r="OKI227" s="21"/>
      <c r="OKL227" s="21"/>
      <c r="OKM227" s="15"/>
      <c r="OKN227" s="15"/>
      <c r="OKO227" s="15"/>
      <c r="OKP227" s="15"/>
      <c r="OKQ227" s="15"/>
      <c r="OKR227" s="15"/>
      <c r="OKS227" s="15"/>
      <c r="OKT227" s="15"/>
      <c r="OKU227" s="15"/>
      <c r="OKV227" s="15"/>
      <c r="OKW227" s="10"/>
      <c r="OKX227" s="10"/>
      <c r="OKY227" s="21"/>
      <c r="OKZ227" s="21"/>
      <c r="OLC227" s="21"/>
      <c r="OLD227" s="15"/>
      <c r="OLE227" s="15"/>
      <c r="OLF227" s="15"/>
      <c r="OLG227" s="15"/>
      <c r="OLH227" s="15"/>
      <c r="OLI227" s="15"/>
      <c r="OLJ227" s="15"/>
      <c r="OLK227" s="15"/>
      <c r="OLL227" s="15"/>
      <c r="OLM227" s="15"/>
      <c r="OLN227" s="10"/>
      <c r="OLO227" s="10"/>
      <c r="OLP227" s="21"/>
      <c r="OLQ227" s="21"/>
      <c r="OLT227" s="21"/>
      <c r="OLU227" s="15"/>
      <c r="OLV227" s="15"/>
      <c r="OLW227" s="15"/>
      <c r="OLX227" s="15"/>
      <c r="OLY227" s="15"/>
      <c r="OLZ227" s="15"/>
      <c r="OMA227" s="15"/>
      <c r="OMB227" s="15"/>
      <c r="OMC227" s="15"/>
      <c r="OMD227" s="15"/>
      <c r="OME227" s="10"/>
      <c r="OMF227" s="10"/>
      <c r="OMG227" s="21"/>
      <c r="OMH227" s="21"/>
      <c r="OMK227" s="21"/>
      <c r="OML227" s="15"/>
      <c r="OMM227" s="15"/>
      <c r="OMN227" s="15"/>
      <c r="OMO227" s="15"/>
      <c r="OMP227" s="15"/>
      <c r="OMQ227" s="15"/>
      <c r="OMR227" s="15"/>
      <c r="OMS227" s="15"/>
      <c r="OMT227" s="15"/>
      <c r="OMU227" s="15"/>
      <c r="OMV227" s="10"/>
      <c r="OMW227" s="10"/>
      <c r="OMX227" s="21"/>
      <c r="OMY227" s="21"/>
      <c r="ONB227" s="21"/>
      <c r="ONC227" s="15"/>
      <c r="OND227" s="15"/>
      <c r="ONE227" s="15"/>
      <c r="ONF227" s="15"/>
      <c r="ONG227" s="15"/>
      <c r="ONH227" s="15"/>
      <c r="ONI227" s="15"/>
      <c r="ONJ227" s="15"/>
      <c r="ONK227" s="15"/>
      <c r="ONL227" s="15"/>
      <c r="ONM227" s="10"/>
      <c r="ONN227" s="10"/>
      <c r="ONO227" s="21"/>
      <c r="ONP227" s="21"/>
      <c r="ONS227" s="21"/>
      <c r="ONT227" s="15"/>
      <c r="ONU227" s="15"/>
      <c r="ONV227" s="15"/>
      <c r="ONW227" s="15"/>
      <c r="ONX227" s="15"/>
      <c r="ONY227" s="15"/>
      <c r="ONZ227" s="15"/>
      <c r="OOA227" s="15"/>
      <c r="OOB227" s="15"/>
      <c r="OOC227" s="15"/>
      <c r="OOD227" s="10"/>
      <c r="OOE227" s="10"/>
      <c r="OOF227" s="21"/>
      <c r="OOG227" s="21"/>
      <c r="OOJ227" s="21"/>
      <c r="OOK227" s="15"/>
      <c r="OOL227" s="15"/>
      <c r="OOM227" s="15"/>
      <c r="OON227" s="15"/>
      <c r="OOO227" s="15"/>
      <c r="OOP227" s="15"/>
      <c r="OOQ227" s="15"/>
      <c r="OOR227" s="15"/>
      <c r="OOS227" s="15"/>
      <c r="OOT227" s="15"/>
      <c r="OOU227" s="10"/>
      <c r="OOV227" s="10"/>
      <c r="OOW227" s="21"/>
      <c r="OOX227" s="21"/>
      <c r="OPA227" s="21"/>
      <c r="OPB227" s="15"/>
      <c r="OPC227" s="15"/>
      <c r="OPD227" s="15"/>
      <c r="OPE227" s="15"/>
      <c r="OPF227" s="15"/>
      <c r="OPG227" s="15"/>
      <c r="OPH227" s="15"/>
      <c r="OPI227" s="15"/>
      <c r="OPJ227" s="15"/>
      <c r="OPK227" s="15"/>
      <c r="OPL227" s="10"/>
      <c r="OPM227" s="10"/>
      <c r="OPN227" s="21"/>
      <c r="OPO227" s="21"/>
      <c r="OPR227" s="21"/>
      <c r="OPS227" s="15"/>
      <c r="OPT227" s="15"/>
      <c r="OPU227" s="15"/>
      <c r="OPV227" s="15"/>
      <c r="OPW227" s="15"/>
      <c r="OPX227" s="15"/>
      <c r="OPY227" s="15"/>
      <c r="OPZ227" s="15"/>
      <c r="OQA227" s="15"/>
      <c r="OQB227" s="15"/>
      <c r="OQC227" s="10"/>
      <c r="OQD227" s="10"/>
      <c r="OQE227" s="21"/>
      <c r="OQF227" s="21"/>
      <c r="OQI227" s="21"/>
      <c r="OQJ227" s="15"/>
      <c r="OQK227" s="15"/>
      <c r="OQL227" s="15"/>
      <c r="OQM227" s="15"/>
      <c r="OQN227" s="15"/>
      <c r="OQO227" s="15"/>
      <c r="OQP227" s="15"/>
      <c r="OQQ227" s="15"/>
      <c r="OQR227" s="15"/>
      <c r="OQS227" s="15"/>
      <c r="OQT227" s="10"/>
      <c r="OQU227" s="10"/>
      <c r="OQV227" s="21"/>
      <c r="OQW227" s="21"/>
      <c r="OQZ227" s="21"/>
      <c r="ORA227" s="15"/>
      <c r="ORB227" s="15"/>
      <c r="ORC227" s="15"/>
      <c r="ORD227" s="15"/>
      <c r="ORE227" s="15"/>
      <c r="ORF227" s="15"/>
      <c r="ORG227" s="15"/>
      <c r="ORH227" s="15"/>
      <c r="ORI227" s="15"/>
      <c r="ORJ227" s="15"/>
      <c r="ORK227" s="10"/>
      <c r="ORL227" s="10"/>
      <c r="ORM227" s="21"/>
      <c r="ORN227" s="21"/>
      <c r="ORQ227" s="21"/>
      <c r="ORR227" s="15"/>
      <c r="ORS227" s="15"/>
      <c r="ORT227" s="15"/>
      <c r="ORU227" s="15"/>
      <c r="ORV227" s="15"/>
      <c r="ORW227" s="15"/>
      <c r="ORX227" s="15"/>
      <c r="ORY227" s="15"/>
      <c r="ORZ227" s="15"/>
      <c r="OSA227" s="15"/>
      <c r="OSB227" s="10"/>
      <c r="OSC227" s="10"/>
      <c r="OSD227" s="21"/>
      <c r="OSE227" s="21"/>
      <c r="OSH227" s="21"/>
      <c r="OSI227" s="15"/>
      <c r="OSJ227" s="15"/>
      <c r="OSK227" s="15"/>
      <c r="OSL227" s="15"/>
      <c r="OSM227" s="15"/>
      <c r="OSN227" s="15"/>
      <c r="OSO227" s="15"/>
      <c r="OSP227" s="15"/>
      <c r="OSQ227" s="15"/>
      <c r="OSR227" s="15"/>
      <c r="OSS227" s="10"/>
      <c r="OST227" s="10"/>
      <c r="OSU227" s="21"/>
      <c r="OSV227" s="21"/>
      <c r="OSY227" s="21"/>
      <c r="OSZ227" s="15"/>
      <c r="OTA227" s="15"/>
      <c r="OTB227" s="15"/>
      <c r="OTC227" s="15"/>
      <c r="OTD227" s="15"/>
      <c r="OTE227" s="15"/>
      <c r="OTF227" s="15"/>
      <c r="OTG227" s="15"/>
      <c r="OTH227" s="15"/>
      <c r="OTI227" s="15"/>
      <c r="OTJ227" s="10"/>
      <c r="OTK227" s="10"/>
      <c r="OTL227" s="21"/>
      <c r="OTM227" s="21"/>
      <c r="OTP227" s="21"/>
      <c r="OTQ227" s="15"/>
      <c r="OTR227" s="15"/>
      <c r="OTS227" s="15"/>
      <c r="OTT227" s="15"/>
      <c r="OTU227" s="15"/>
      <c r="OTV227" s="15"/>
      <c r="OTW227" s="15"/>
      <c r="OTX227" s="15"/>
      <c r="OTY227" s="15"/>
      <c r="OTZ227" s="15"/>
      <c r="OUA227" s="10"/>
      <c r="OUB227" s="10"/>
      <c r="OUC227" s="21"/>
      <c r="OUD227" s="21"/>
      <c r="OUG227" s="21"/>
      <c r="OUH227" s="15"/>
      <c r="OUI227" s="15"/>
      <c r="OUJ227" s="15"/>
      <c r="OUK227" s="15"/>
      <c r="OUL227" s="15"/>
      <c r="OUM227" s="15"/>
      <c r="OUN227" s="15"/>
      <c r="OUO227" s="15"/>
      <c r="OUP227" s="15"/>
      <c r="OUQ227" s="15"/>
      <c r="OUR227" s="10"/>
      <c r="OUS227" s="10"/>
      <c r="OUT227" s="21"/>
      <c r="OUU227" s="21"/>
      <c r="OUX227" s="21"/>
      <c r="OUY227" s="15"/>
      <c r="OUZ227" s="15"/>
      <c r="OVA227" s="15"/>
      <c r="OVB227" s="15"/>
      <c r="OVC227" s="15"/>
      <c r="OVD227" s="15"/>
      <c r="OVE227" s="15"/>
      <c r="OVF227" s="15"/>
      <c r="OVG227" s="15"/>
      <c r="OVH227" s="15"/>
      <c r="OVI227" s="10"/>
      <c r="OVJ227" s="10"/>
      <c r="OVK227" s="21"/>
      <c r="OVL227" s="21"/>
      <c r="OVO227" s="21"/>
      <c r="OVP227" s="15"/>
      <c r="OVQ227" s="15"/>
      <c r="OVR227" s="15"/>
      <c r="OVS227" s="15"/>
      <c r="OVT227" s="15"/>
      <c r="OVU227" s="15"/>
      <c r="OVV227" s="15"/>
      <c r="OVW227" s="15"/>
      <c r="OVX227" s="15"/>
      <c r="OVY227" s="15"/>
      <c r="OVZ227" s="10"/>
      <c r="OWA227" s="10"/>
      <c r="OWB227" s="21"/>
      <c r="OWC227" s="21"/>
      <c r="OWF227" s="21"/>
      <c r="OWG227" s="15"/>
      <c r="OWH227" s="15"/>
      <c r="OWI227" s="15"/>
      <c r="OWJ227" s="15"/>
      <c r="OWK227" s="15"/>
      <c r="OWL227" s="15"/>
      <c r="OWM227" s="15"/>
      <c r="OWN227" s="15"/>
      <c r="OWO227" s="15"/>
      <c r="OWP227" s="15"/>
      <c r="OWQ227" s="10"/>
      <c r="OWR227" s="10"/>
      <c r="OWS227" s="21"/>
      <c r="OWT227" s="21"/>
      <c r="OWW227" s="21"/>
      <c r="OWX227" s="15"/>
      <c r="OWY227" s="15"/>
      <c r="OWZ227" s="15"/>
      <c r="OXA227" s="15"/>
      <c r="OXB227" s="15"/>
      <c r="OXC227" s="15"/>
      <c r="OXD227" s="15"/>
      <c r="OXE227" s="15"/>
      <c r="OXF227" s="15"/>
      <c r="OXG227" s="15"/>
      <c r="OXH227" s="10"/>
      <c r="OXI227" s="10"/>
      <c r="OXJ227" s="21"/>
      <c r="OXK227" s="21"/>
      <c r="OXN227" s="21"/>
      <c r="OXO227" s="15"/>
      <c r="OXP227" s="15"/>
      <c r="OXQ227" s="15"/>
      <c r="OXR227" s="15"/>
      <c r="OXS227" s="15"/>
      <c r="OXT227" s="15"/>
      <c r="OXU227" s="15"/>
      <c r="OXV227" s="15"/>
      <c r="OXW227" s="15"/>
      <c r="OXX227" s="15"/>
      <c r="OXY227" s="10"/>
      <c r="OXZ227" s="10"/>
      <c r="OYA227" s="21"/>
      <c r="OYB227" s="21"/>
      <c r="OYE227" s="21"/>
      <c r="OYF227" s="15"/>
      <c r="OYG227" s="15"/>
      <c r="OYH227" s="15"/>
      <c r="OYI227" s="15"/>
      <c r="OYJ227" s="15"/>
      <c r="OYK227" s="15"/>
      <c r="OYL227" s="15"/>
      <c r="OYM227" s="15"/>
      <c r="OYN227" s="15"/>
      <c r="OYO227" s="15"/>
      <c r="OYP227" s="10"/>
      <c r="OYQ227" s="10"/>
      <c r="OYR227" s="21"/>
      <c r="OYS227" s="21"/>
      <c r="OYV227" s="21"/>
      <c r="OYW227" s="15"/>
      <c r="OYX227" s="15"/>
      <c r="OYY227" s="15"/>
      <c r="OYZ227" s="15"/>
      <c r="OZA227" s="15"/>
      <c r="OZB227" s="15"/>
      <c r="OZC227" s="15"/>
      <c r="OZD227" s="15"/>
      <c r="OZE227" s="15"/>
      <c r="OZF227" s="15"/>
      <c r="OZG227" s="10"/>
      <c r="OZH227" s="10"/>
      <c r="OZI227" s="21"/>
      <c r="OZJ227" s="21"/>
      <c r="OZM227" s="21"/>
      <c r="OZN227" s="15"/>
      <c r="OZO227" s="15"/>
      <c r="OZP227" s="15"/>
      <c r="OZQ227" s="15"/>
      <c r="OZR227" s="15"/>
      <c r="OZS227" s="15"/>
      <c r="OZT227" s="15"/>
      <c r="OZU227" s="15"/>
      <c r="OZV227" s="15"/>
      <c r="OZW227" s="15"/>
      <c r="OZX227" s="10"/>
      <c r="OZY227" s="10"/>
      <c r="OZZ227" s="21"/>
      <c r="PAA227" s="21"/>
      <c r="PAD227" s="21"/>
      <c r="PAE227" s="15"/>
      <c r="PAF227" s="15"/>
      <c r="PAG227" s="15"/>
      <c r="PAH227" s="15"/>
      <c r="PAI227" s="15"/>
      <c r="PAJ227" s="15"/>
      <c r="PAK227" s="15"/>
      <c r="PAL227" s="15"/>
      <c r="PAM227" s="15"/>
      <c r="PAN227" s="15"/>
      <c r="PAO227" s="10"/>
      <c r="PAP227" s="10"/>
      <c r="PAQ227" s="21"/>
      <c r="PAR227" s="21"/>
      <c r="PAU227" s="21"/>
      <c r="PAV227" s="15"/>
      <c r="PAW227" s="15"/>
      <c r="PAX227" s="15"/>
      <c r="PAY227" s="15"/>
      <c r="PAZ227" s="15"/>
      <c r="PBA227" s="15"/>
      <c r="PBB227" s="15"/>
      <c r="PBC227" s="15"/>
      <c r="PBD227" s="15"/>
      <c r="PBE227" s="15"/>
      <c r="PBF227" s="10"/>
      <c r="PBG227" s="10"/>
      <c r="PBH227" s="21"/>
      <c r="PBI227" s="21"/>
      <c r="PBL227" s="21"/>
      <c r="PBM227" s="15"/>
      <c r="PBN227" s="15"/>
      <c r="PBO227" s="15"/>
      <c r="PBP227" s="15"/>
      <c r="PBQ227" s="15"/>
      <c r="PBR227" s="15"/>
      <c r="PBS227" s="15"/>
      <c r="PBT227" s="15"/>
      <c r="PBU227" s="15"/>
      <c r="PBV227" s="15"/>
      <c r="PBW227" s="10"/>
      <c r="PBX227" s="10"/>
      <c r="PBY227" s="21"/>
      <c r="PBZ227" s="21"/>
      <c r="PCC227" s="21"/>
      <c r="PCD227" s="15"/>
      <c r="PCE227" s="15"/>
      <c r="PCF227" s="15"/>
      <c r="PCG227" s="15"/>
      <c r="PCH227" s="15"/>
      <c r="PCI227" s="15"/>
      <c r="PCJ227" s="15"/>
      <c r="PCK227" s="15"/>
      <c r="PCL227" s="15"/>
      <c r="PCM227" s="15"/>
      <c r="PCN227" s="10"/>
      <c r="PCO227" s="10"/>
      <c r="PCP227" s="21"/>
      <c r="PCQ227" s="21"/>
      <c r="PCT227" s="21"/>
      <c r="PCU227" s="15"/>
      <c r="PCV227" s="15"/>
      <c r="PCW227" s="15"/>
      <c r="PCX227" s="15"/>
      <c r="PCY227" s="15"/>
      <c r="PCZ227" s="15"/>
      <c r="PDA227" s="15"/>
      <c r="PDB227" s="15"/>
      <c r="PDC227" s="15"/>
      <c r="PDD227" s="15"/>
      <c r="PDE227" s="10"/>
      <c r="PDF227" s="10"/>
      <c r="PDG227" s="21"/>
      <c r="PDH227" s="21"/>
      <c r="PDK227" s="21"/>
      <c r="PDL227" s="15"/>
      <c r="PDM227" s="15"/>
      <c r="PDN227" s="15"/>
      <c r="PDO227" s="15"/>
      <c r="PDP227" s="15"/>
      <c r="PDQ227" s="15"/>
      <c r="PDR227" s="15"/>
      <c r="PDS227" s="15"/>
      <c r="PDT227" s="15"/>
      <c r="PDU227" s="15"/>
      <c r="PDV227" s="10"/>
      <c r="PDW227" s="10"/>
      <c r="PDX227" s="21"/>
      <c r="PDY227" s="21"/>
      <c r="PEB227" s="21"/>
      <c r="PEC227" s="15"/>
      <c r="PED227" s="15"/>
      <c r="PEE227" s="15"/>
      <c r="PEF227" s="15"/>
      <c r="PEG227" s="15"/>
      <c r="PEH227" s="15"/>
      <c r="PEI227" s="15"/>
      <c r="PEJ227" s="15"/>
      <c r="PEK227" s="15"/>
      <c r="PEL227" s="15"/>
      <c r="PEM227" s="10"/>
      <c r="PEN227" s="10"/>
      <c r="PEO227" s="21"/>
      <c r="PEP227" s="21"/>
      <c r="PES227" s="21"/>
      <c r="PET227" s="15"/>
      <c r="PEU227" s="15"/>
      <c r="PEV227" s="15"/>
      <c r="PEW227" s="15"/>
      <c r="PEX227" s="15"/>
      <c r="PEY227" s="15"/>
      <c r="PEZ227" s="15"/>
      <c r="PFA227" s="15"/>
      <c r="PFB227" s="15"/>
      <c r="PFC227" s="15"/>
      <c r="PFD227" s="10"/>
      <c r="PFE227" s="10"/>
      <c r="PFF227" s="21"/>
      <c r="PFG227" s="21"/>
      <c r="PFJ227" s="21"/>
      <c r="PFK227" s="15"/>
      <c r="PFL227" s="15"/>
      <c r="PFM227" s="15"/>
      <c r="PFN227" s="15"/>
      <c r="PFO227" s="15"/>
      <c r="PFP227" s="15"/>
      <c r="PFQ227" s="15"/>
      <c r="PFR227" s="15"/>
      <c r="PFS227" s="15"/>
      <c r="PFT227" s="15"/>
      <c r="PFU227" s="10"/>
      <c r="PFV227" s="10"/>
      <c r="PFW227" s="21"/>
      <c r="PFX227" s="21"/>
      <c r="PGA227" s="21"/>
      <c r="PGB227" s="15"/>
      <c r="PGC227" s="15"/>
      <c r="PGD227" s="15"/>
      <c r="PGE227" s="15"/>
      <c r="PGF227" s="15"/>
      <c r="PGG227" s="15"/>
      <c r="PGH227" s="15"/>
      <c r="PGI227" s="15"/>
      <c r="PGJ227" s="15"/>
      <c r="PGK227" s="15"/>
      <c r="PGL227" s="10"/>
      <c r="PGM227" s="10"/>
      <c r="PGN227" s="21"/>
      <c r="PGO227" s="21"/>
      <c r="PGR227" s="21"/>
      <c r="PGS227" s="15"/>
      <c r="PGT227" s="15"/>
      <c r="PGU227" s="15"/>
      <c r="PGV227" s="15"/>
      <c r="PGW227" s="15"/>
      <c r="PGX227" s="15"/>
      <c r="PGY227" s="15"/>
      <c r="PGZ227" s="15"/>
      <c r="PHA227" s="15"/>
      <c r="PHB227" s="15"/>
      <c r="PHC227" s="10"/>
      <c r="PHD227" s="10"/>
      <c r="PHE227" s="21"/>
      <c r="PHF227" s="21"/>
      <c r="PHI227" s="21"/>
      <c r="PHJ227" s="15"/>
      <c r="PHK227" s="15"/>
      <c r="PHL227" s="15"/>
      <c r="PHM227" s="15"/>
      <c r="PHN227" s="15"/>
      <c r="PHO227" s="15"/>
      <c r="PHP227" s="15"/>
      <c r="PHQ227" s="15"/>
      <c r="PHR227" s="15"/>
      <c r="PHS227" s="15"/>
      <c r="PHT227" s="10"/>
      <c r="PHU227" s="10"/>
      <c r="PHV227" s="21"/>
      <c r="PHW227" s="21"/>
      <c r="PHZ227" s="21"/>
      <c r="PIA227" s="15"/>
      <c r="PIB227" s="15"/>
      <c r="PIC227" s="15"/>
      <c r="PID227" s="15"/>
      <c r="PIE227" s="15"/>
      <c r="PIF227" s="15"/>
      <c r="PIG227" s="15"/>
      <c r="PIH227" s="15"/>
      <c r="PII227" s="15"/>
      <c r="PIJ227" s="15"/>
      <c r="PIK227" s="10"/>
      <c r="PIL227" s="10"/>
      <c r="PIM227" s="21"/>
      <c r="PIN227" s="21"/>
      <c r="PIQ227" s="21"/>
      <c r="PIR227" s="15"/>
      <c r="PIS227" s="15"/>
      <c r="PIT227" s="15"/>
      <c r="PIU227" s="15"/>
      <c r="PIV227" s="15"/>
      <c r="PIW227" s="15"/>
      <c r="PIX227" s="15"/>
      <c r="PIY227" s="15"/>
      <c r="PIZ227" s="15"/>
      <c r="PJA227" s="15"/>
      <c r="PJB227" s="10"/>
      <c r="PJC227" s="10"/>
      <c r="PJD227" s="21"/>
      <c r="PJE227" s="21"/>
      <c r="PJH227" s="21"/>
      <c r="PJI227" s="15"/>
      <c r="PJJ227" s="15"/>
      <c r="PJK227" s="15"/>
      <c r="PJL227" s="15"/>
      <c r="PJM227" s="15"/>
      <c r="PJN227" s="15"/>
      <c r="PJO227" s="15"/>
      <c r="PJP227" s="15"/>
      <c r="PJQ227" s="15"/>
      <c r="PJR227" s="15"/>
      <c r="PJS227" s="10"/>
      <c r="PJT227" s="10"/>
      <c r="PJU227" s="21"/>
      <c r="PJV227" s="21"/>
      <c r="PJY227" s="21"/>
      <c r="PJZ227" s="15"/>
      <c r="PKA227" s="15"/>
      <c r="PKB227" s="15"/>
      <c r="PKC227" s="15"/>
      <c r="PKD227" s="15"/>
      <c r="PKE227" s="15"/>
      <c r="PKF227" s="15"/>
      <c r="PKG227" s="15"/>
      <c r="PKH227" s="15"/>
      <c r="PKI227" s="15"/>
      <c r="PKJ227" s="10"/>
      <c r="PKK227" s="10"/>
      <c r="PKL227" s="21"/>
      <c r="PKM227" s="21"/>
      <c r="PKP227" s="21"/>
      <c r="PKQ227" s="15"/>
      <c r="PKR227" s="15"/>
      <c r="PKS227" s="15"/>
      <c r="PKT227" s="15"/>
      <c r="PKU227" s="15"/>
      <c r="PKV227" s="15"/>
      <c r="PKW227" s="15"/>
      <c r="PKX227" s="15"/>
      <c r="PKY227" s="15"/>
      <c r="PKZ227" s="15"/>
      <c r="PLA227" s="10"/>
      <c r="PLB227" s="10"/>
      <c r="PLC227" s="21"/>
      <c r="PLD227" s="21"/>
      <c r="PLG227" s="21"/>
      <c r="PLH227" s="15"/>
      <c r="PLI227" s="15"/>
      <c r="PLJ227" s="15"/>
      <c r="PLK227" s="15"/>
      <c r="PLL227" s="15"/>
      <c r="PLM227" s="15"/>
      <c r="PLN227" s="15"/>
      <c r="PLO227" s="15"/>
      <c r="PLP227" s="15"/>
      <c r="PLQ227" s="15"/>
      <c r="PLR227" s="10"/>
      <c r="PLS227" s="10"/>
      <c r="PLT227" s="21"/>
      <c r="PLU227" s="21"/>
      <c r="PLX227" s="21"/>
      <c r="PLY227" s="15"/>
      <c r="PLZ227" s="15"/>
      <c r="PMA227" s="15"/>
      <c r="PMB227" s="15"/>
      <c r="PMC227" s="15"/>
      <c r="PMD227" s="15"/>
      <c r="PME227" s="15"/>
      <c r="PMF227" s="15"/>
      <c r="PMG227" s="15"/>
      <c r="PMH227" s="15"/>
      <c r="PMI227" s="10"/>
      <c r="PMJ227" s="10"/>
      <c r="PMK227" s="21"/>
      <c r="PML227" s="21"/>
      <c r="PMO227" s="21"/>
      <c r="PMP227" s="15"/>
      <c r="PMQ227" s="15"/>
      <c r="PMR227" s="15"/>
      <c r="PMS227" s="15"/>
      <c r="PMT227" s="15"/>
      <c r="PMU227" s="15"/>
      <c r="PMV227" s="15"/>
      <c r="PMW227" s="15"/>
      <c r="PMX227" s="15"/>
      <c r="PMY227" s="15"/>
      <c r="PMZ227" s="10"/>
      <c r="PNA227" s="10"/>
      <c r="PNB227" s="21"/>
      <c r="PNC227" s="21"/>
      <c r="PNF227" s="21"/>
      <c r="PNG227" s="15"/>
      <c r="PNH227" s="15"/>
      <c r="PNI227" s="15"/>
      <c r="PNJ227" s="15"/>
      <c r="PNK227" s="15"/>
      <c r="PNL227" s="15"/>
      <c r="PNM227" s="15"/>
      <c r="PNN227" s="15"/>
      <c r="PNO227" s="15"/>
      <c r="PNP227" s="15"/>
      <c r="PNQ227" s="10"/>
      <c r="PNR227" s="10"/>
      <c r="PNS227" s="21"/>
      <c r="PNT227" s="21"/>
      <c r="PNW227" s="21"/>
      <c r="PNX227" s="15"/>
      <c r="PNY227" s="15"/>
      <c r="PNZ227" s="15"/>
      <c r="POA227" s="15"/>
      <c r="POB227" s="15"/>
      <c r="POC227" s="15"/>
      <c r="POD227" s="15"/>
      <c r="POE227" s="15"/>
      <c r="POF227" s="15"/>
      <c r="POG227" s="15"/>
      <c r="POH227" s="10"/>
      <c r="POI227" s="10"/>
      <c r="POJ227" s="21"/>
      <c r="POK227" s="21"/>
      <c r="PON227" s="21"/>
      <c r="POO227" s="15"/>
      <c r="POP227" s="15"/>
      <c r="POQ227" s="15"/>
      <c r="POR227" s="15"/>
      <c r="POS227" s="15"/>
      <c r="POT227" s="15"/>
      <c r="POU227" s="15"/>
      <c r="POV227" s="15"/>
      <c r="POW227" s="15"/>
      <c r="POX227" s="15"/>
      <c r="POY227" s="10"/>
      <c r="POZ227" s="10"/>
      <c r="PPA227" s="21"/>
      <c r="PPB227" s="21"/>
      <c r="PPE227" s="21"/>
      <c r="PPF227" s="15"/>
      <c r="PPG227" s="15"/>
      <c r="PPH227" s="15"/>
      <c r="PPI227" s="15"/>
      <c r="PPJ227" s="15"/>
      <c r="PPK227" s="15"/>
      <c r="PPL227" s="15"/>
      <c r="PPM227" s="15"/>
      <c r="PPN227" s="15"/>
      <c r="PPO227" s="15"/>
      <c r="PPP227" s="10"/>
      <c r="PPQ227" s="10"/>
      <c r="PPR227" s="21"/>
      <c r="PPS227" s="21"/>
      <c r="PPV227" s="21"/>
      <c r="PPW227" s="15"/>
      <c r="PPX227" s="15"/>
      <c r="PPY227" s="15"/>
      <c r="PPZ227" s="15"/>
      <c r="PQA227" s="15"/>
      <c r="PQB227" s="15"/>
      <c r="PQC227" s="15"/>
      <c r="PQD227" s="15"/>
      <c r="PQE227" s="15"/>
      <c r="PQF227" s="15"/>
      <c r="PQG227" s="10"/>
      <c r="PQH227" s="10"/>
      <c r="PQI227" s="21"/>
      <c r="PQJ227" s="21"/>
      <c r="PQM227" s="21"/>
      <c r="PQN227" s="15"/>
      <c r="PQO227" s="15"/>
      <c r="PQP227" s="15"/>
      <c r="PQQ227" s="15"/>
      <c r="PQR227" s="15"/>
      <c r="PQS227" s="15"/>
      <c r="PQT227" s="15"/>
      <c r="PQU227" s="15"/>
      <c r="PQV227" s="15"/>
      <c r="PQW227" s="15"/>
      <c r="PQX227" s="10"/>
      <c r="PQY227" s="10"/>
      <c r="PQZ227" s="21"/>
      <c r="PRA227" s="21"/>
      <c r="PRD227" s="21"/>
      <c r="PRE227" s="15"/>
      <c r="PRF227" s="15"/>
      <c r="PRG227" s="15"/>
      <c r="PRH227" s="15"/>
      <c r="PRI227" s="15"/>
      <c r="PRJ227" s="15"/>
      <c r="PRK227" s="15"/>
      <c r="PRL227" s="15"/>
      <c r="PRM227" s="15"/>
      <c r="PRN227" s="15"/>
      <c r="PRO227" s="10"/>
      <c r="PRP227" s="10"/>
      <c r="PRQ227" s="21"/>
      <c r="PRR227" s="21"/>
      <c r="PRU227" s="21"/>
      <c r="PRV227" s="15"/>
      <c r="PRW227" s="15"/>
      <c r="PRX227" s="15"/>
      <c r="PRY227" s="15"/>
      <c r="PRZ227" s="15"/>
      <c r="PSA227" s="15"/>
      <c r="PSB227" s="15"/>
      <c r="PSC227" s="15"/>
      <c r="PSD227" s="15"/>
      <c r="PSE227" s="15"/>
      <c r="PSF227" s="10"/>
      <c r="PSG227" s="10"/>
      <c r="PSH227" s="21"/>
      <c r="PSI227" s="21"/>
      <c r="PSL227" s="21"/>
      <c r="PSM227" s="15"/>
      <c r="PSN227" s="15"/>
      <c r="PSO227" s="15"/>
      <c r="PSP227" s="15"/>
      <c r="PSQ227" s="15"/>
      <c r="PSR227" s="15"/>
      <c r="PSS227" s="15"/>
      <c r="PST227" s="15"/>
      <c r="PSU227" s="15"/>
      <c r="PSV227" s="15"/>
      <c r="PSW227" s="10"/>
      <c r="PSX227" s="10"/>
      <c r="PSY227" s="21"/>
      <c r="PSZ227" s="21"/>
      <c r="PTC227" s="21"/>
      <c r="PTD227" s="15"/>
      <c r="PTE227" s="15"/>
      <c r="PTF227" s="15"/>
      <c r="PTG227" s="15"/>
      <c r="PTH227" s="15"/>
      <c r="PTI227" s="15"/>
      <c r="PTJ227" s="15"/>
      <c r="PTK227" s="15"/>
      <c r="PTL227" s="15"/>
      <c r="PTM227" s="15"/>
      <c r="PTN227" s="10"/>
      <c r="PTO227" s="10"/>
      <c r="PTP227" s="21"/>
      <c r="PTQ227" s="21"/>
      <c r="PTT227" s="21"/>
      <c r="PTU227" s="15"/>
      <c r="PTV227" s="15"/>
      <c r="PTW227" s="15"/>
      <c r="PTX227" s="15"/>
      <c r="PTY227" s="15"/>
      <c r="PTZ227" s="15"/>
      <c r="PUA227" s="15"/>
      <c r="PUB227" s="15"/>
      <c r="PUC227" s="15"/>
      <c r="PUD227" s="15"/>
      <c r="PUE227" s="10"/>
      <c r="PUF227" s="10"/>
      <c r="PUG227" s="21"/>
      <c r="PUH227" s="21"/>
      <c r="PUK227" s="21"/>
      <c r="PUL227" s="15"/>
      <c r="PUM227" s="15"/>
      <c r="PUN227" s="15"/>
      <c r="PUO227" s="15"/>
      <c r="PUP227" s="15"/>
      <c r="PUQ227" s="15"/>
      <c r="PUR227" s="15"/>
      <c r="PUS227" s="15"/>
      <c r="PUT227" s="15"/>
      <c r="PUU227" s="15"/>
      <c r="PUV227" s="10"/>
      <c r="PUW227" s="10"/>
      <c r="PUX227" s="21"/>
      <c r="PUY227" s="21"/>
      <c r="PVB227" s="21"/>
      <c r="PVC227" s="15"/>
      <c r="PVD227" s="15"/>
      <c r="PVE227" s="15"/>
      <c r="PVF227" s="15"/>
      <c r="PVG227" s="15"/>
      <c r="PVH227" s="15"/>
      <c r="PVI227" s="15"/>
      <c r="PVJ227" s="15"/>
      <c r="PVK227" s="15"/>
      <c r="PVL227" s="15"/>
      <c r="PVM227" s="10"/>
      <c r="PVN227" s="10"/>
      <c r="PVO227" s="21"/>
      <c r="PVP227" s="21"/>
      <c r="PVS227" s="21"/>
      <c r="PVT227" s="15"/>
      <c r="PVU227" s="15"/>
      <c r="PVV227" s="15"/>
      <c r="PVW227" s="15"/>
      <c r="PVX227" s="15"/>
      <c r="PVY227" s="15"/>
      <c r="PVZ227" s="15"/>
      <c r="PWA227" s="15"/>
      <c r="PWB227" s="15"/>
      <c r="PWC227" s="15"/>
      <c r="PWD227" s="10"/>
      <c r="PWE227" s="10"/>
      <c r="PWF227" s="21"/>
      <c r="PWG227" s="21"/>
      <c r="PWJ227" s="21"/>
      <c r="PWK227" s="15"/>
      <c r="PWL227" s="15"/>
      <c r="PWM227" s="15"/>
      <c r="PWN227" s="15"/>
      <c r="PWO227" s="15"/>
      <c r="PWP227" s="15"/>
      <c r="PWQ227" s="15"/>
      <c r="PWR227" s="15"/>
      <c r="PWS227" s="15"/>
      <c r="PWT227" s="15"/>
      <c r="PWU227" s="10"/>
      <c r="PWV227" s="10"/>
      <c r="PWW227" s="21"/>
      <c r="PWX227" s="21"/>
      <c r="PXA227" s="21"/>
      <c r="PXB227" s="15"/>
      <c r="PXC227" s="15"/>
      <c r="PXD227" s="15"/>
      <c r="PXE227" s="15"/>
      <c r="PXF227" s="15"/>
      <c r="PXG227" s="15"/>
      <c r="PXH227" s="15"/>
      <c r="PXI227" s="15"/>
      <c r="PXJ227" s="15"/>
      <c r="PXK227" s="15"/>
      <c r="PXL227" s="10"/>
      <c r="PXM227" s="10"/>
      <c r="PXN227" s="21"/>
      <c r="PXO227" s="21"/>
      <c r="PXR227" s="21"/>
      <c r="PXS227" s="15"/>
      <c r="PXT227" s="15"/>
      <c r="PXU227" s="15"/>
      <c r="PXV227" s="15"/>
      <c r="PXW227" s="15"/>
      <c r="PXX227" s="15"/>
      <c r="PXY227" s="15"/>
      <c r="PXZ227" s="15"/>
      <c r="PYA227" s="15"/>
      <c r="PYB227" s="15"/>
      <c r="PYC227" s="10"/>
      <c r="PYD227" s="10"/>
      <c r="PYE227" s="21"/>
      <c r="PYF227" s="21"/>
      <c r="PYI227" s="21"/>
      <c r="PYJ227" s="15"/>
      <c r="PYK227" s="15"/>
      <c r="PYL227" s="15"/>
      <c r="PYM227" s="15"/>
      <c r="PYN227" s="15"/>
      <c r="PYO227" s="15"/>
      <c r="PYP227" s="15"/>
      <c r="PYQ227" s="15"/>
      <c r="PYR227" s="15"/>
      <c r="PYS227" s="15"/>
      <c r="PYT227" s="10"/>
      <c r="PYU227" s="10"/>
      <c r="PYV227" s="21"/>
      <c r="PYW227" s="21"/>
      <c r="PYZ227" s="21"/>
      <c r="PZA227" s="15"/>
      <c r="PZB227" s="15"/>
      <c r="PZC227" s="15"/>
      <c r="PZD227" s="15"/>
      <c r="PZE227" s="15"/>
      <c r="PZF227" s="15"/>
      <c r="PZG227" s="15"/>
      <c r="PZH227" s="15"/>
      <c r="PZI227" s="15"/>
      <c r="PZJ227" s="15"/>
      <c r="PZK227" s="10"/>
      <c r="PZL227" s="10"/>
      <c r="PZM227" s="21"/>
      <c r="PZN227" s="21"/>
      <c r="PZQ227" s="21"/>
      <c r="PZR227" s="15"/>
      <c r="PZS227" s="15"/>
      <c r="PZT227" s="15"/>
      <c r="PZU227" s="15"/>
      <c r="PZV227" s="15"/>
      <c r="PZW227" s="15"/>
      <c r="PZX227" s="15"/>
      <c r="PZY227" s="15"/>
      <c r="PZZ227" s="15"/>
      <c r="QAA227" s="15"/>
      <c r="QAB227" s="10"/>
      <c r="QAC227" s="10"/>
      <c r="QAD227" s="21"/>
      <c r="QAE227" s="21"/>
      <c r="QAH227" s="21"/>
      <c r="QAI227" s="15"/>
      <c r="QAJ227" s="15"/>
      <c r="QAK227" s="15"/>
      <c r="QAL227" s="15"/>
      <c r="QAM227" s="15"/>
      <c r="QAN227" s="15"/>
      <c r="QAO227" s="15"/>
      <c r="QAP227" s="15"/>
      <c r="QAQ227" s="15"/>
      <c r="QAR227" s="15"/>
      <c r="QAS227" s="10"/>
      <c r="QAT227" s="10"/>
      <c r="QAU227" s="21"/>
      <c r="QAV227" s="21"/>
      <c r="QAY227" s="21"/>
      <c r="QAZ227" s="15"/>
      <c r="QBA227" s="15"/>
      <c r="QBB227" s="15"/>
      <c r="QBC227" s="15"/>
      <c r="QBD227" s="15"/>
      <c r="QBE227" s="15"/>
      <c r="QBF227" s="15"/>
      <c r="QBG227" s="15"/>
      <c r="QBH227" s="15"/>
      <c r="QBI227" s="15"/>
      <c r="QBJ227" s="10"/>
      <c r="QBK227" s="10"/>
      <c r="QBL227" s="21"/>
      <c r="QBM227" s="21"/>
      <c r="QBP227" s="21"/>
      <c r="QBQ227" s="15"/>
      <c r="QBR227" s="15"/>
      <c r="QBS227" s="15"/>
      <c r="QBT227" s="15"/>
      <c r="QBU227" s="15"/>
      <c r="QBV227" s="15"/>
      <c r="QBW227" s="15"/>
      <c r="QBX227" s="15"/>
      <c r="QBY227" s="15"/>
      <c r="QBZ227" s="15"/>
      <c r="QCA227" s="10"/>
      <c r="QCB227" s="10"/>
      <c r="QCC227" s="21"/>
      <c r="QCD227" s="21"/>
      <c r="QCG227" s="21"/>
      <c r="QCH227" s="15"/>
      <c r="QCI227" s="15"/>
      <c r="QCJ227" s="15"/>
      <c r="QCK227" s="15"/>
      <c r="QCL227" s="15"/>
      <c r="QCM227" s="15"/>
      <c r="QCN227" s="15"/>
      <c r="QCO227" s="15"/>
      <c r="QCP227" s="15"/>
      <c r="QCQ227" s="15"/>
      <c r="QCR227" s="10"/>
      <c r="QCS227" s="10"/>
      <c r="QCT227" s="21"/>
      <c r="QCU227" s="21"/>
      <c r="QCX227" s="21"/>
      <c r="QCY227" s="15"/>
      <c r="QCZ227" s="15"/>
      <c r="QDA227" s="15"/>
      <c r="QDB227" s="15"/>
      <c r="QDC227" s="15"/>
      <c r="QDD227" s="15"/>
      <c r="QDE227" s="15"/>
      <c r="QDF227" s="15"/>
      <c r="QDG227" s="15"/>
      <c r="QDH227" s="15"/>
      <c r="QDI227" s="10"/>
      <c r="QDJ227" s="10"/>
      <c r="QDK227" s="21"/>
      <c r="QDL227" s="21"/>
      <c r="QDO227" s="21"/>
      <c r="QDP227" s="15"/>
      <c r="QDQ227" s="15"/>
      <c r="QDR227" s="15"/>
      <c r="QDS227" s="15"/>
      <c r="QDT227" s="15"/>
      <c r="QDU227" s="15"/>
      <c r="QDV227" s="15"/>
      <c r="QDW227" s="15"/>
      <c r="QDX227" s="15"/>
      <c r="QDY227" s="15"/>
      <c r="QDZ227" s="10"/>
      <c r="QEA227" s="10"/>
      <c r="QEB227" s="21"/>
      <c r="QEC227" s="21"/>
      <c r="QEF227" s="21"/>
      <c r="QEG227" s="15"/>
      <c r="QEH227" s="15"/>
      <c r="QEI227" s="15"/>
      <c r="QEJ227" s="15"/>
      <c r="QEK227" s="15"/>
      <c r="QEL227" s="15"/>
      <c r="QEM227" s="15"/>
      <c r="QEN227" s="15"/>
      <c r="QEO227" s="15"/>
      <c r="QEP227" s="15"/>
      <c r="QEQ227" s="10"/>
      <c r="QER227" s="10"/>
      <c r="QES227" s="21"/>
      <c r="QET227" s="21"/>
      <c r="QEW227" s="21"/>
      <c r="QEX227" s="15"/>
      <c r="QEY227" s="15"/>
      <c r="QEZ227" s="15"/>
      <c r="QFA227" s="15"/>
      <c r="QFB227" s="15"/>
      <c r="QFC227" s="15"/>
      <c r="QFD227" s="15"/>
      <c r="QFE227" s="15"/>
      <c r="QFF227" s="15"/>
      <c r="QFG227" s="15"/>
      <c r="QFH227" s="10"/>
      <c r="QFI227" s="10"/>
      <c r="QFJ227" s="21"/>
      <c r="QFK227" s="21"/>
      <c r="QFN227" s="21"/>
      <c r="QFO227" s="15"/>
      <c r="QFP227" s="15"/>
      <c r="QFQ227" s="15"/>
      <c r="QFR227" s="15"/>
      <c r="QFS227" s="15"/>
      <c r="QFT227" s="15"/>
      <c r="QFU227" s="15"/>
      <c r="QFV227" s="15"/>
      <c r="QFW227" s="15"/>
      <c r="QFX227" s="15"/>
      <c r="QFY227" s="10"/>
      <c r="QFZ227" s="10"/>
      <c r="QGA227" s="21"/>
      <c r="QGB227" s="21"/>
      <c r="QGE227" s="21"/>
      <c r="QGF227" s="15"/>
      <c r="QGG227" s="15"/>
      <c r="QGH227" s="15"/>
      <c r="QGI227" s="15"/>
      <c r="QGJ227" s="15"/>
      <c r="QGK227" s="15"/>
      <c r="QGL227" s="15"/>
      <c r="QGM227" s="15"/>
      <c r="QGN227" s="15"/>
      <c r="QGO227" s="15"/>
      <c r="QGP227" s="10"/>
      <c r="QGQ227" s="10"/>
      <c r="QGR227" s="21"/>
      <c r="QGS227" s="21"/>
      <c r="QGV227" s="21"/>
      <c r="QGW227" s="15"/>
      <c r="QGX227" s="15"/>
      <c r="QGY227" s="15"/>
      <c r="QGZ227" s="15"/>
      <c r="QHA227" s="15"/>
      <c r="QHB227" s="15"/>
      <c r="QHC227" s="15"/>
      <c r="QHD227" s="15"/>
      <c r="QHE227" s="15"/>
      <c r="QHF227" s="15"/>
      <c r="QHG227" s="10"/>
      <c r="QHH227" s="10"/>
      <c r="QHI227" s="21"/>
      <c r="QHJ227" s="21"/>
      <c r="QHM227" s="21"/>
      <c r="QHN227" s="15"/>
      <c r="QHO227" s="15"/>
      <c r="QHP227" s="15"/>
      <c r="QHQ227" s="15"/>
      <c r="QHR227" s="15"/>
      <c r="QHS227" s="15"/>
      <c r="QHT227" s="15"/>
      <c r="QHU227" s="15"/>
      <c r="QHV227" s="15"/>
      <c r="QHW227" s="15"/>
      <c r="QHX227" s="10"/>
      <c r="QHY227" s="10"/>
      <c r="QHZ227" s="21"/>
      <c r="QIA227" s="21"/>
      <c r="QID227" s="21"/>
      <c r="QIE227" s="15"/>
      <c r="QIF227" s="15"/>
      <c r="QIG227" s="15"/>
      <c r="QIH227" s="15"/>
      <c r="QII227" s="15"/>
      <c r="QIJ227" s="15"/>
      <c r="QIK227" s="15"/>
      <c r="QIL227" s="15"/>
      <c r="QIM227" s="15"/>
      <c r="QIN227" s="15"/>
      <c r="QIO227" s="10"/>
      <c r="QIP227" s="10"/>
      <c r="QIQ227" s="21"/>
      <c r="QIR227" s="21"/>
      <c r="QIU227" s="21"/>
      <c r="QIV227" s="15"/>
      <c r="QIW227" s="15"/>
      <c r="QIX227" s="15"/>
      <c r="QIY227" s="15"/>
      <c r="QIZ227" s="15"/>
      <c r="QJA227" s="15"/>
      <c r="QJB227" s="15"/>
      <c r="QJC227" s="15"/>
      <c r="QJD227" s="15"/>
      <c r="QJE227" s="15"/>
      <c r="QJF227" s="10"/>
      <c r="QJG227" s="10"/>
      <c r="QJH227" s="21"/>
      <c r="QJI227" s="21"/>
      <c r="QJL227" s="21"/>
      <c r="QJM227" s="15"/>
      <c r="QJN227" s="15"/>
      <c r="QJO227" s="15"/>
      <c r="QJP227" s="15"/>
      <c r="QJQ227" s="15"/>
      <c r="QJR227" s="15"/>
      <c r="QJS227" s="15"/>
      <c r="QJT227" s="15"/>
      <c r="QJU227" s="15"/>
      <c r="QJV227" s="15"/>
      <c r="QJW227" s="10"/>
      <c r="QJX227" s="10"/>
      <c r="QJY227" s="21"/>
      <c r="QJZ227" s="21"/>
      <c r="QKC227" s="21"/>
      <c r="QKD227" s="15"/>
      <c r="QKE227" s="15"/>
      <c r="QKF227" s="15"/>
      <c r="QKG227" s="15"/>
      <c r="QKH227" s="15"/>
      <c r="QKI227" s="15"/>
      <c r="QKJ227" s="15"/>
      <c r="QKK227" s="15"/>
      <c r="QKL227" s="15"/>
      <c r="QKM227" s="15"/>
      <c r="QKN227" s="10"/>
      <c r="QKO227" s="10"/>
      <c r="QKP227" s="21"/>
      <c r="QKQ227" s="21"/>
      <c r="QKT227" s="21"/>
      <c r="QKU227" s="15"/>
      <c r="QKV227" s="15"/>
      <c r="QKW227" s="15"/>
      <c r="QKX227" s="15"/>
      <c r="QKY227" s="15"/>
      <c r="QKZ227" s="15"/>
      <c r="QLA227" s="15"/>
      <c r="QLB227" s="15"/>
      <c r="QLC227" s="15"/>
      <c r="QLD227" s="15"/>
      <c r="QLE227" s="10"/>
      <c r="QLF227" s="10"/>
      <c r="QLG227" s="21"/>
      <c r="QLH227" s="21"/>
      <c r="QLK227" s="21"/>
      <c r="QLL227" s="15"/>
      <c r="QLM227" s="15"/>
      <c r="QLN227" s="15"/>
      <c r="QLO227" s="15"/>
      <c r="QLP227" s="15"/>
      <c r="QLQ227" s="15"/>
      <c r="QLR227" s="15"/>
      <c r="QLS227" s="15"/>
      <c r="QLT227" s="15"/>
      <c r="QLU227" s="15"/>
      <c r="QLV227" s="10"/>
      <c r="QLW227" s="10"/>
      <c r="QLX227" s="21"/>
      <c r="QLY227" s="21"/>
      <c r="QMB227" s="21"/>
      <c r="QMC227" s="15"/>
      <c r="QMD227" s="15"/>
      <c r="QME227" s="15"/>
      <c r="QMF227" s="15"/>
      <c r="QMG227" s="15"/>
      <c r="QMH227" s="15"/>
      <c r="QMI227" s="15"/>
      <c r="QMJ227" s="15"/>
      <c r="QMK227" s="15"/>
      <c r="QML227" s="15"/>
      <c r="QMM227" s="10"/>
      <c r="QMN227" s="10"/>
      <c r="QMO227" s="21"/>
      <c r="QMP227" s="21"/>
      <c r="QMS227" s="21"/>
      <c r="QMT227" s="15"/>
      <c r="QMU227" s="15"/>
      <c r="QMV227" s="15"/>
      <c r="QMW227" s="15"/>
      <c r="QMX227" s="15"/>
      <c r="QMY227" s="15"/>
      <c r="QMZ227" s="15"/>
      <c r="QNA227" s="15"/>
      <c r="QNB227" s="15"/>
      <c r="QNC227" s="15"/>
      <c r="QND227" s="10"/>
      <c r="QNE227" s="10"/>
      <c r="QNF227" s="21"/>
      <c r="QNG227" s="21"/>
      <c r="QNJ227" s="21"/>
      <c r="QNK227" s="15"/>
      <c r="QNL227" s="15"/>
      <c r="QNM227" s="15"/>
      <c r="QNN227" s="15"/>
      <c r="QNO227" s="15"/>
      <c r="QNP227" s="15"/>
      <c r="QNQ227" s="15"/>
      <c r="QNR227" s="15"/>
      <c r="QNS227" s="15"/>
      <c r="QNT227" s="15"/>
      <c r="QNU227" s="10"/>
      <c r="QNV227" s="10"/>
      <c r="QNW227" s="21"/>
      <c r="QNX227" s="21"/>
      <c r="QOA227" s="21"/>
      <c r="QOB227" s="15"/>
      <c r="QOC227" s="15"/>
      <c r="QOD227" s="15"/>
      <c r="QOE227" s="15"/>
      <c r="QOF227" s="15"/>
      <c r="QOG227" s="15"/>
      <c r="QOH227" s="15"/>
      <c r="QOI227" s="15"/>
      <c r="QOJ227" s="15"/>
      <c r="QOK227" s="15"/>
      <c r="QOL227" s="10"/>
      <c r="QOM227" s="10"/>
      <c r="QON227" s="21"/>
      <c r="QOO227" s="21"/>
      <c r="QOR227" s="21"/>
      <c r="QOS227" s="15"/>
      <c r="QOT227" s="15"/>
      <c r="QOU227" s="15"/>
      <c r="QOV227" s="15"/>
      <c r="QOW227" s="15"/>
      <c r="QOX227" s="15"/>
      <c r="QOY227" s="15"/>
      <c r="QOZ227" s="15"/>
      <c r="QPA227" s="15"/>
      <c r="QPB227" s="15"/>
      <c r="QPC227" s="10"/>
      <c r="QPD227" s="10"/>
      <c r="QPE227" s="21"/>
      <c r="QPF227" s="21"/>
      <c r="QPI227" s="21"/>
      <c r="QPJ227" s="15"/>
      <c r="QPK227" s="15"/>
      <c r="QPL227" s="15"/>
      <c r="QPM227" s="15"/>
      <c r="QPN227" s="15"/>
      <c r="QPO227" s="15"/>
      <c r="QPP227" s="15"/>
      <c r="QPQ227" s="15"/>
      <c r="QPR227" s="15"/>
      <c r="QPS227" s="15"/>
      <c r="QPT227" s="10"/>
      <c r="QPU227" s="10"/>
      <c r="QPV227" s="21"/>
      <c r="QPW227" s="21"/>
      <c r="QPZ227" s="21"/>
      <c r="QQA227" s="15"/>
      <c r="QQB227" s="15"/>
      <c r="QQC227" s="15"/>
      <c r="QQD227" s="15"/>
      <c r="QQE227" s="15"/>
      <c r="QQF227" s="15"/>
      <c r="QQG227" s="15"/>
      <c r="QQH227" s="15"/>
      <c r="QQI227" s="15"/>
      <c r="QQJ227" s="15"/>
      <c r="QQK227" s="10"/>
      <c r="QQL227" s="10"/>
      <c r="QQM227" s="21"/>
      <c r="QQN227" s="21"/>
      <c r="QQQ227" s="21"/>
      <c r="QQR227" s="15"/>
      <c r="QQS227" s="15"/>
      <c r="QQT227" s="15"/>
      <c r="QQU227" s="15"/>
      <c r="QQV227" s="15"/>
      <c r="QQW227" s="15"/>
      <c r="QQX227" s="15"/>
      <c r="QQY227" s="15"/>
      <c r="QQZ227" s="15"/>
      <c r="QRA227" s="15"/>
      <c r="QRB227" s="10"/>
      <c r="QRC227" s="10"/>
      <c r="QRD227" s="21"/>
      <c r="QRE227" s="21"/>
      <c r="QRH227" s="21"/>
      <c r="QRI227" s="15"/>
      <c r="QRJ227" s="15"/>
      <c r="QRK227" s="15"/>
      <c r="QRL227" s="15"/>
      <c r="QRM227" s="15"/>
      <c r="QRN227" s="15"/>
      <c r="QRO227" s="15"/>
      <c r="QRP227" s="15"/>
      <c r="QRQ227" s="15"/>
      <c r="QRR227" s="15"/>
      <c r="QRS227" s="10"/>
      <c r="QRT227" s="10"/>
      <c r="QRU227" s="21"/>
      <c r="QRV227" s="21"/>
      <c r="QRY227" s="21"/>
      <c r="QRZ227" s="15"/>
      <c r="QSA227" s="15"/>
      <c r="QSB227" s="15"/>
      <c r="QSC227" s="15"/>
      <c r="QSD227" s="15"/>
      <c r="QSE227" s="15"/>
      <c r="QSF227" s="15"/>
      <c r="QSG227" s="15"/>
      <c r="QSH227" s="15"/>
      <c r="QSI227" s="15"/>
      <c r="QSJ227" s="10"/>
      <c r="QSK227" s="10"/>
      <c r="QSL227" s="21"/>
      <c r="QSM227" s="21"/>
      <c r="QSP227" s="21"/>
      <c r="QSQ227" s="15"/>
      <c r="QSR227" s="15"/>
      <c r="QSS227" s="15"/>
      <c r="QST227" s="15"/>
      <c r="QSU227" s="15"/>
      <c r="QSV227" s="15"/>
      <c r="QSW227" s="15"/>
      <c r="QSX227" s="15"/>
      <c r="QSY227" s="15"/>
      <c r="QSZ227" s="15"/>
      <c r="QTA227" s="10"/>
      <c r="QTB227" s="10"/>
      <c r="QTC227" s="21"/>
      <c r="QTD227" s="21"/>
      <c r="QTG227" s="21"/>
      <c r="QTH227" s="15"/>
      <c r="QTI227" s="15"/>
      <c r="QTJ227" s="15"/>
      <c r="QTK227" s="15"/>
      <c r="QTL227" s="15"/>
      <c r="QTM227" s="15"/>
      <c r="QTN227" s="15"/>
      <c r="QTO227" s="15"/>
      <c r="QTP227" s="15"/>
      <c r="QTQ227" s="15"/>
      <c r="QTR227" s="10"/>
      <c r="QTS227" s="10"/>
      <c r="QTT227" s="21"/>
      <c r="QTU227" s="21"/>
      <c r="QTX227" s="21"/>
      <c r="QTY227" s="15"/>
      <c r="QTZ227" s="15"/>
      <c r="QUA227" s="15"/>
      <c r="QUB227" s="15"/>
      <c r="QUC227" s="15"/>
      <c r="QUD227" s="15"/>
      <c r="QUE227" s="15"/>
      <c r="QUF227" s="15"/>
      <c r="QUG227" s="15"/>
      <c r="QUH227" s="15"/>
      <c r="QUI227" s="10"/>
      <c r="QUJ227" s="10"/>
      <c r="QUK227" s="21"/>
      <c r="QUL227" s="21"/>
      <c r="QUO227" s="21"/>
      <c r="QUP227" s="15"/>
      <c r="QUQ227" s="15"/>
      <c r="QUR227" s="15"/>
      <c r="QUS227" s="15"/>
      <c r="QUT227" s="15"/>
      <c r="QUU227" s="15"/>
      <c r="QUV227" s="15"/>
      <c r="QUW227" s="15"/>
      <c r="QUX227" s="15"/>
      <c r="QUY227" s="15"/>
      <c r="QUZ227" s="10"/>
      <c r="QVA227" s="10"/>
      <c r="QVB227" s="21"/>
      <c r="QVC227" s="21"/>
      <c r="QVF227" s="21"/>
      <c r="QVG227" s="15"/>
      <c r="QVH227" s="15"/>
      <c r="QVI227" s="15"/>
      <c r="QVJ227" s="15"/>
      <c r="QVK227" s="15"/>
      <c r="QVL227" s="15"/>
      <c r="QVM227" s="15"/>
      <c r="QVN227" s="15"/>
      <c r="QVO227" s="15"/>
      <c r="QVP227" s="15"/>
      <c r="QVQ227" s="10"/>
      <c r="QVR227" s="10"/>
      <c r="QVS227" s="21"/>
      <c r="QVT227" s="21"/>
      <c r="QVW227" s="21"/>
      <c r="QVX227" s="15"/>
      <c r="QVY227" s="15"/>
      <c r="QVZ227" s="15"/>
      <c r="QWA227" s="15"/>
      <c r="QWB227" s="15"/>
      <c r="QWC227" s="15"/>
      <c r="QWD227" s="15"/>
      <c r="QWE227" s="15"/>
      <c r="QWF227" s="15"/>
      <c r="QWG227" s="15"/>
      <c r="QWH227" s="10"/>
      <c r="QWI227" s="10"/>
      <c r="QWJ227" s="21"/>
      <c r="QWK227" s="21"/>
      <c r="QWN227" s="21"/>
      <c r="QWO227" s="15"/>
      <c r="QWP227" s="15"/>
      <c r="QWQ227" s="15"/>
      <c r="QWR227" s="15"/>
      <c r="QWS227" s="15"/>
      <c r="QWT227" s="15"/>
      <c r="QWU227" s="15"/>
      <c r="QWV227" s="15"/>
      <c r="QWW227" s="15"/>
      <c r="QWX227" s="15"/>
      <c r="QWY227" s="10"/>
      <c r="QWZ227" s="10"/>
      <c r="QXA227" s="21"/>
      <c r="QXB227" s="21"/>
      <c r="QXE227" s="21"/>
      <c r="QXF227" s="15"/>
      <c r="QXG227" s="15"/>
      <c r="QXH227" s="15"/>
      <c r="QXI227" s="15"/>
      <c r="QXJ227" s="15"/>
      <c r="QXK227" s="15"/>
      <c r="QXL227" s="15"/>
      <c r="QXM227" s="15"/>
      <c r="QXN227" s="15"/>
      <c r="QXO227" s="15"/>
      <c r="QXP227" s="10"/>
      <c r="QXQ227" s="10"/>
      <c r="QXR227" s="21"/>
      <c r="QXS227" s="21"/>
      <c r="QXV227" s="21"/>
      <c r="QXW227" s="15"/>
      <c r="QXX227" s="15"/>
      <c r="QXY227" s="15"/>
      <c r="QXZ227" s="15"/>
      <c r="QYA227" s="15"/>
      <c r="QYB227" s="15"/>
      <c r="QYC227" s="15"/>
      <c r="QYD227" s="15"/>
      <c r="QYE227" s="15"/>
      <c r="QYF227" s="15"/>
      <c r="QYG227" s="10"/>
      <c r="QYH227" s="10"/>
      <c r="QYI227" s="21"/>
      <c r="QYJ227" s="21"/>
      <c r="QYM227" s="21"/>
      <c r="QYN227" s="15"/>
      <c r="QYO227" s="15"/>
      <c r="QYP227" s="15"/>
      <c r="QYQ227" s="15"/>
      <c r="QYR227" s="15"/>
      <c r="QYS227" s="15"/>
      <c r="QYT227" s="15"/>
      <c r="QYU227" s="15"/>
      <c r="QYV227" s="15"/>
      <c r="QYW227" s="15"/>
      <c r="QYX227" s="10"/>
      <c r="QYY227" s="10"/>
      <c r="QYZ227" s="21"/>
      <c r="QZA227" s="21"/>
      <c r="QZD227" s="21"/>
      <c r="QZE227" s="15"/>
      <c r="QZF227" s="15"/>
      <c r="QZG227" s="15"/>
      <c r="QZH227" s="15"/>
      <c r="QZI227" s="15"/>
      <c r="QZJ227" s="15"/>
      <c r="QZK227" s="15"/>
      <c r="QZL227" s="15"/>
      <c r="QZM227" s="15"/>
      <c r="QZN227" s="15"/>
      <c r="QZO227" s="10"/>
      <c r="QZP227" s="10"/>
      <c r="QZQ227" s="21"/>
      <c r="QZR227" s="21"/>
      <c r="QZU227" s="21"/>
      <c r="QZV227" s="15"/>
      <c r="QZW227" s="15"/>
      <c r="QZX227" s="15"/>
      <c r="QZY227" s="15"/>
      <c r="QZZ227" s="15"/>
      <c r="RAA227" s="15"/>
      <c r="RAB227" s="15"/>
      <c r="RAC227" s="15"/>
      <c r="RAD227" s="15"/>
      <c r="RAE227" s="15"/>
      <c r="RAF227" s="10"/>
      <c r="RAG227" s="10"/>
      <c r="RAH227" s="21"/>
      <c r="RAI227" s="21"/>
      <c r="RAL227" s="21"/>
      <c r="RAM227" s="15"/>
      <c r="RAN227" s="15"/>
      <c r="RAO227" s="15"/>
      <c r="RAP227" s="15"/>
      <c r="RAQ227" s="15"/>
      <c r="RAR227" s="15"/>
      <c r="RAS227" s="15"/>
      <c r="RAT227" s="15"/>
      <c r="RAU227" s="15"/>
      <c r="RAV227" s="15"/>
      <c r="RAW227" s="10"/>
      <c r="RAX227" s="10"/>
      <c r="RAY227" s="21"/>
      <c r="RAZ227" s="21"/>
      <c r="RBC227" s="21"/>
      <c r="RBD227" s="15"/>
      <c r="RBE227" s="15"/>
      <c r="RBF227" s="15"/>
      <c r="RBG227" s="15"/>
      <c r="RBH227" s="15"/>
      <c r="RBI227" s="15"/>
      <c r="RBJ227" s="15"/>
      <c r="RBK227" s="15"/>
      <c r="RBL227" s="15"/>
      <c r="RBM227" s="15"/>
      <c r="RBN227" s="10"/>
      <c r="RBO227" s="10"/>
      <c r="RBP227" s="21"/>
      <c r="RBQ227" s="21"/>
      <c r="RBT227" s="21"/>
      <c r="RBU227" s="15"/>
      <c r="RBV227" s="15"/>
      <c r="RBW227" s="15"/>
      <c r="RBX227" s="15"/>
      <c r="RBY227" s="15"/>
      <c r="RBZ227" s="15"/>
      <c r="RCA227" s="15"/>
      <c r="RCB227" s="15"/>
      <c r="RCC227" s="15"/>
      <c r="RCD227" s="15"/>
      <c r="RCE227" s="10"/>
      <c r="RCF227" s="10"/>
      <c r="RCG227" s="21"/>
      <c r="RCH227" s="21"/>
      <c r="RCK227" s="21"/>
      <c r="RCL227" s="15"/>
      <c r="RCM227" s="15"/>
      <c r="RCN227" s="15"/>
      <c r="RCO227" s="15"/>
      <c r="RCP227" s="15"/>
      <c r="RCQ227" s="15"/>
      <c r="RCR227" s="15"/>
      <c r="RCS227" s="15"/>
      <c r="RCT227" s="15"/>
      <c r="RCU227" s="15"/>
      <c r="RCV227" s="10"/>
      <c r="RCW227" s="10"/>
      <c r="RCX227" s="21"/>
      <c r="RCY227" s="21"/>
      <c r="RDB227" s="21"/>
      <c r="RDC227" s="15"/>
      <c r="RDD227" s="15"/>
      <c r="RDE227" s="15"/>
      <c r="RDF227" s="15"/>
      <c r="RDG227" s="15"/>
      <c r="RDH227" s="15"/>
      <c r="RDI227" s="15"/>
      <c r="RDJ227" s="15"/>
      <c r="RDK227" s="15"/>
      <c r="RDL227" s="15"/>
      <c r="RDM227" s="10"/>
      <c r="RDN227" s="10"/>
      <c r="RDO227" s="21"/>
      <c r="RDP227" s="21"/>
      <c r="RDS227" s="21"/>
      <c r="RDT227" s="15"/>
      <c r="RDU227" s="15"/>
      <c r="RDV227" s="15"/>
      <c r="RDW227" s="15"/>
      <c r="RDX227" s="15"/>
      <c r="RDY227" s="15"/>
      <c r="RDZ227" s="15"/>
      <c r="REA227" s="15"/>
      <c r="REB227" s="15"/>
      <c r="REC227" s="15"/>
      <c r="RED227" s="10"/>
      <c r="REE227" s="10"/>
      <c r="REF227" s="21"/>
      <c r="REG227" s="21"/>
      <c r="REJ227" s="21"/>
      <c r="REK227" s="15"/>
      <c r="REL227" s="15"/>
      <c r="REM227" s="15"/>
      <c r="REN227" s="15"/>
      <c r="REO227" s="15"/>
      <c r="REP227" s="15"/>
      <c r="REQ227" s="15"/>
      <c r="RER227" s="15"/>
      <c r="RES227" s="15"/>
      <c r="RET227" s="15"/>
      <c r="REU227" s="10"/>
      <c r="REV227" s="10"/>
      <c r="REW227" s="21"/>
      <c r="REX227" s="21"/>
      <c r="RFA227" s="21"/>
      <c r="RFB227" s="15"/>
      <c r="RFC227" s="15"/>
      <c r="RFD227" s="15"/>
      <c r="RFE227" s="15"/>
      <c r="RFF227" s="15"/>
      <c r="RFG227" s="15"/>
      <c r="RFH227" s="15"/>
      <c r="RFI227" s="15"/>
      <c r="RFJ227" s="15"/>
      <c r="RFK227" s="15"/>
      <c r="RFL227" s="10"/>
      <c r="RFM227" s="10"/>
      <c r="RFN227" s="21"/>
      <c r="RFO227" s="21"/>
      <c r="RFR227" s="21"/>
      <c r="RFS227" s="15"/>
      <c r="RFT227" s="15"/>
      <c r="RFU227" s="15"/>
      <c r="RFV227" s="15"/>
      <c r="RFW227" s="15"/>
      <c r="RFX227" s="15"/>
      <c r="RFY227" s="15"/>
      <c r="RFZ227" s="15"/>
      <c r="RGA227" s="15"/>
      <c r="RGB227" s="15"/>
      <c r="RGC227" s="10"/>
      <c r="RGD227" s="10"/>
      <c r="RGE227" s="21"/>
      <c r="RGF227" s="21"/>
      <c r="RGI227" s="21"/>
      <c r="RGJ227" s="15"/>
      <c r="RGK227" s="15"/>
      <c r="RGL227" s="15"/>
      <c r="RGM227" s="15"/>
      <c r="RGN227" s="15"/>
      <c r="RGO227" s="15"/>
      <c r="RGP227" s="15"/>
      <c r="RGQ227" s="15"/>
      <c r="RGR227" s="15"/>
      <c r="RGS227" s="15"/>
      <c r="RGT227" s="10"/>
      <c r="RGU227" s="10"/>
      <c r="RGV227" s="21"/>
      <c r="RGW227" s="21"/>
      <c r="RGZ227" s="21"/>
      <c r="RHA227" s="15"/>
      <c r="RHB227" s="15"/>
      <c r="RHC227" s="15"/>
      <c r="RHD227" s="15"/>
      <c r="RHE227" s="15"/>
      <c r="RHF227" s="15"/>
      <c r="RHG227" s="15"/>
      <c r="RHH227" s="15"/>
      <c r="RHI227" s="15"/>
      <c r="RHJ227" s="15"/>
      <c r="RHK227" s="10"/>
      <c r="RHL227" s="10"/>
      <c r="RHM227" s="21"/>
      <c r="RHN227" s="21"/>
      <c r="RHQ227" s="21"/>
      <c r="RHR227" s="15"/>
      <c r="RHS227" s="15"/>
      <c r="RHT227" s="15"/>
      <c r="RHU227" s="15"/>
      <c r="RHV227" s="15"/>
      <c r="RHW227" s="15"/>
      <c r="RHX227" s="15"/>
      <c r="RHY227" s="15"/>
      <c r="RHZ227" s="15"/>
      <c r="RIA227" s="15"/>
      <c r="RIB227" s="10"/>
      <c r="RIC227" s="10"/>
      <c r="RID227" s="21"/>
      <c r="RIE227" s="21"/>
      <c r="RIH227" s="21"/>
      <c r="RII227" s="15"/>
      <c r="RIJ227" s="15"/>
      <c r="RIK227" s="15"/>
      <c r="RIL227" s="15"/>
      <c r="RIM227" s="15"/>
      <c r="RIN227" s="15"/>
      <c r="RIO227" s="15"/>
      <c r="RIP227" s="15"/>
      <c r="RIQ227" s="15"/>
      <c r="RIR227" s="15"/>
      <c r="RIS227" s="10"/>
      <c r="RIT227" s="10"/>
      <c r="RIU227" s="21"/>
      <c r="RIV227" s="21"/>
      <c r="RIY227" s="21"/>
      <c r="RIZ227" s="15"/>
      <c r="RJA227" s="15"/>
      <c r="RJB227" s="15"/>
      <c r="RJC227" s="15"/>
      <c r="RJD227" s="15"/>
      <c r="RJE227" s="15"/>
      <c r="RJF227" s="15"/>
      <c r="RJG227" s="15"/>
      <c r="RJH227" s="15"/>
      <c r="RJI227" s="15"/>
      <c r="RJJ227" s="10"/>
      <c r="RJK227" s="10"/>
      <c r="RJL227" s="21"/>
      <c r="RJM227" s="21"/>
      <c r="RJP227" s="21"/>
      <c r="RJQ227" s="15"/>
      <c r="RJR227" s="15"/>
      <c r="RJS227" s="15"/>
      <c r="RJT227" s="15"/>
      <c r="RJU227" s="15"/>
      <c r="RJV227" s="15"/>
      <c r="RJW227" s="15"/>
      <c r="RJX227" s="15"/>
      <c r="RJY227" s="15"/>
      <c r="RJZ227" s="15"/>
      <c r="RKA227" s="10"/>
      <c r="RKB227" s="10"/>
      <c r="RKC227" s="21"/>
      <c r="RKD227" s="21"/>
      <c r="RKG227" s="21"/>
      <c r="RKH227" s="15"/>
      <c r="RKI227" s="15"/>
      <c r="RKJ227" s="15"/>
      <c r="RKK227" s="15"/>
      <c r="RKL227" s="15"/>
      <c r="RKM227" s="15"/>
      <c r="RKN227" s="15"/>
      <c r="RKO227" s="15"/>
      <c r="RKP227" s="15"/>
      <c r="RKQ227" s="15"/>
      <c r="RKR227" s="10"/>
      <c r="RKS227" s="10"/>
      <c r="RKT227" s="21"/>
      <c r="RKU227" s="21"/>
      <c r="RKX227" s="21"/>
      <c r="RKY227" s="15"/>
      <c r="RKZ227" s="15"/>
      <c r="RLA227" s="15"/>
      <c r="RLB227" s="15"/>
      <c r="RLC227" s="15"/>
      <c r="RLD227" s="15"/>
      <c r="RLE227" s="15"/>
      <c r="RLF227" s="15"/>
      <c r="RLG227" s="15"/>
      <c r="RLH227" s="15"/>
      <c r="RLI227" s="10"/>
      <c r="RLJ227" s="10"/>
      <c r="RLK227" s="21"/>
      <c r="RLL227" s="21"/>
      <c r="RLO227" s="21"/>
      <c r="RLP227" s="15"/>
      <c r="RLQ227" s="15"/>
      <c r="RLR227" s="15"/>
      <c r="RLS227" s="15"/>
      <c r="RLT227" s="15"/>
      <c r="RLU227" s="15"/>
      <c r="RLV227" s="15"/>
      <c r="RLW227" s="15"/>
      <c r="RLX227" s="15"/>
      <c r="RLY227" s="15"/>
      <c r="RLZ227" s="10"/>
      <c r="RMA227" s="10"/>
      <c r="RMB227" s="21"/>
      <c r="RMC227" s="21"/>
      <c r="RMF227" s="21"/>
      <c r="RMG227" s="15"/>
      <c r="RMH227" s="15"/>
      <c r="RMI227" s="15"/>
      <c r="RMJ227" s="15"/>
      <c r="RMK227" s="15"/>
      <c r="RML227" s="15"/>
      <c r="RMM227" s="15"/>
      <c r="RMN227" s="15"/>
      <c r="RMO227" s="15"/>
      <c r="RMP227" s="15"/>
      <c r="RMQ227" s="10"/>
      <c r="RMR227" s="10"/>
      <c r="RMS227" s="21"/>
      <c r="RMT227" s="21"/>
      <c r="RMW227" s="21"/>
      <c r="RMX227" s="15"/>
      <c r="RMY227" s="15"/>
      <c r="RMZ227" s="15"/>
      <c r="RNA227" s="15"/>
      <c r="RNB227" s="15"/>
      <c r="RNC227" s="15"/>
      <c r="RND227" s="15"/>
      <c r="RNE227" s="15"/>
      <c r="RNF227" s="15"/>
      <c r="RNG227" s="15"/>
      <c r="RNH227" s="10"/>
      <c r="RNI227" s="10"/>
      <c r="RNJ227" s="21"/>
      <c r="RNK227" s="21"/>
      <c r="RNN227" s="21"/>
      <c r="RNO227" s="15"/>
      <c r="RNP227" s="15"/>
      <c r="RNQ227" s="15"/>
      <c r="RNR227" s="15"/>
      <c r="RNS227" s="15"/>
      <c r="RNT227" s="15"/>
      <c r="RNU227" s="15"/>
      <c r="RNV227" s="15"/>
      <c r="RNW227" s="15"/>
      <c r="RNX227" s="15"/>
      <c r="RNY227" s="10"/>
      <c r="RNZ227" s="10"/>
      <c r="ROA227" s="21"/>
      <c r="ROB227" s="21"/>
      <c r="ROE227" s="21"/>
      <c r="ROF227" s="15"/>
      <c r="ROG227" s="15"/>
      <c r="ROH227" s="15"/>
      <c r="ROI227" s="15"/>
      <c r="ROJ227" s="15"/>
      <c r="ROK227" s="15"/>
      <c r="ROL227" s="15"/>
      <c r="ROM227" s="15"/>
      <c r="RON227" s="15"/>
      <c r="ROO227" s="15"/>
      <c r="ROP227" s="10"/>
      <c r="ROQ227" s="10"/>
      <c r="ROR227" s="21"/>
      <c r="ROS227" s="21"/>
      <c r="ROV227" s="21"/>
      <c r="ROW227" s="15"/>
      <c r="ROX227" s="15"/>
      <c r="ROY227" s="15"/>
      <c r="ROZ227" s="15"/>
      <c r="RPA227" s="15"/>
      <c r="RPB227" s="15"/>
      <c r="RPC227" s="15"/>
      <c r="RPD227" s="15"/>
      <c r="RPE227" s="15"/>
      <c r="RPF227" s="15"/>
      <c r="RPG227" s="10"/>
      <c r="RPH227" s="10"/>
      <c r="RPI227" s="21"/>
      <c r="RPJ227" s="21"/>
      <c r="RPM227" s="21"/>
      <c r="RPN227" s="15"/>
      <c r="RPO227" s="15"/>
      <c r="RPP227" s="15"/>
      <c r="RPQ227" s="15"/>
      <c r="RPR227" s="15"/>
      <c r="RPS227" s="15"/>
      <c r="RPT227" s="15"/>
      <c r="RPU227" s="15"/>
      <c r="RPV227" s="15"/>
      <c r="RPW227" s="15"/>
      <c r="RPX227" s="10"/>
      <c r="RPY227" s="10"/>
      <c r="RPZ227" s="21"/>
      <c r="RQA227" s="21"/>
      <c r="RQD227" s="21"/>
      <c r="RQE227" s="15"/>
      <c r="RQF227" s="15"/>
      <c r="RQG227" s="15"/>
      <c r="RQH227" s="15"/>
      <c r="RQI227" s="15"/>
      <c r="RQJ227" s="15"/>
      <c r="RQK227" s="15"/>
      <c r="RQL227" s="15"/>
      <c r="RQM227" s="15"/>
      <c r="RQN227" s="15"/>
      <c r="RQO227" s="10"/>
      <c r="RQP227" s="10"/>
      <c r="RQQ227" s="21"/>
      <c r="RQR227" s="21"/>
      <c r="RQU227" s="21"/>
      <c r="RQV227" s="15"/>
      <c r="RQW227" s="15"/>
      <c r="RQX227" s="15"/>
      <c r="RQY227" s="15"/>
      <c r="RQZ227" s="15"/>
      <c r="RRA227" s="15"/>
      <c r="RRB227" s="15"/>
      <c r="RRC227" s="15"/>
      <c r="RRD227" s="15"/>
      <c r="RRE227" s="15"/>
      <c r="RRF227" s="10"/>
      <c r="RRG227" s="10"/>
      <c r="RRH227" s="21"/>
      <c r="RRI227" s="21"/>
      <c r="RRL227" s="21"/>
      <c r="RRM227" s="15"/>
      <c r="RRN227" s="15"/>
      <c r="RRO227" s="15"/>
      <c r="RRP227" s="15"/>
      <c r="RRQ227" s="15"/>
      <c r="RRR227" s="15"/>
      <c r="RRS227" s="15"/>
      <c r="RRT227" s="15"/>
      <c r="RRU227" s="15"/>
      <c r="RRV227" s="15"/>
      <c r="RRW227" s="10"/>
      <c r="RRX227" s="10"/>
      <c r="RRY227" s="21"/>
      <c r="RRZ227" s="21"/>
      <c r="RSC227" s="21"/>
      <c r="RSD227" s="15"/>
      <c r="RSE227" s="15"/>
      <c r="RSF227" s="15"/>
      <c r="RSG227" s="15"/>
      <c r="RSH227" s="15"/>
      <c r="RSI227" s="15"/>
      <c r="RSJ227" s="15"/>
      <c r="RSK227" s="15"/>
      <c r="RSL227" s="15"/>
      <c r="RSM227" s="15"/>
      <c r="RSN227" s="10"/>
      <c r="RSO227" s="10"/>
      <c r="RSP227" s="21"/>
      <c r="RSQ227" s="21"/>
      <c r="RST227" s="21"/>
      <c r="RSU227" s="15"/>
      <c r="RSV227" s="15"/>
      <c r="RSW227" s="15"/>
      <c r="RSX227" s="15"/>
      <c r="RSY227" s="15"/>
      <c r="RSZ227" s="15"/>
      <c r="RTA227" s="15"/>
      <c r="RTB227" s="15"/>
      <c r="RTC227" s="15"/>
      <c r="RTD227" s="15"/>
      <c r="RTE227" s="10"/>
      <c r="RTF227" s="10"/>
      <c r="RTG227" s="21"/>
      <c r="RTH227" s="21"/>
      <c r="RTK227" s="21"/>
      <c r="RTL227" s="15"/>
      <c r="RTM227" s="15"/>
      <c r="RTN227" s="15"/>
      <c r="RTO227" s="15"/>
      <c r="RTP227" s="15"/>
      <c r="RTQ227" s="15"/>
      <c r="RTR227" s="15"/>
      <c r="RTS227" s="15"/>
      <c r="RTT227" s="15"/>
      <c r="RTU227" s="15"/>
      <c r="RTV227" s="10"/>
      <c r="RTW227" s="10"/>
      <c r="RTX227" s="21"/>
      <c r="RTY227" s="21"/>
      <c r="RUB227" s="21"/>
      <c r="RUC227" s="15"/>
      <c r="RUD227" s="15"/>
      <c r="RUE227" s="15"/>
      <c r="RUF227" s="15"/>
      <c r="RUG227" s="15"/>
      <c r="RUH227" s="15"/>
      <c r="RUI227" s="15"/>
      <c r="RUJ227" s="15"/>
      <c r="RUK227" s="15"/>
      <c r="RUL227" s="15"/>
      <c r="RUM227" s="10"/>
      <c r="RUN227" s="10"/>
      <c r="RUO227" s="21"/>
      <c r="RUP227" s="21"/>
      <c r="RUS227" s="21"/>
      <c r="RUT227" s="15"/>
      <c r="RUU227" s="15"/>
      <c r="RUV227" s="15"/>
      <c r="RUW227" s="15"/>
      <c r="RUX227" s="15"/>
      <c r="RUY227" s="15"/>
      <c r="RUZ227" s="15"/>
      <c r="RVA227" s="15"/>
      <c r="RVB227" s="15"/>
      <c r="RVC227" s="15"/>
      <c r="RVD227" s="10"/>
      <c r="RVE227" s="10"/>
      <c r="RVF227" s="21"/>
      <c r="RVG227" s="21"/>
      <c r="RVJ227" s="21"/>
      <c r="RVK227" s="15"/>
      <c r="RVL227" s="15"/>
      <c r="RVM227" s="15"/>
      <c r="RVN227" s="15"/>
      <c r="RVO227" s="15"/>
      <c r="RVP227" s="15"/>
      <c r="RVQ227" s="15"/>
      <c r="RVR227" s="15"/>
      <c r="RVS227" s="15"/>
      <c r="RVT227" s="15"/>
      <c r="RVU227" s="10"/>
      <c r="RVV227" s="10"/>
      <c r="RVW227" s="21"/>
      <c r="RVX227" s="21"/>
      <c r="RWA227" s="21"/>
      <c r="RWB227" s="15"/>
      <c r="RWC227" s="15"/>
      <c r="RWD227" s="15"/>
      <c r="RWE227" s="15"/>
      <c r="RWF227" s="15"/>
      <c r="RWG227" s="15"/>
      <c r="RWH227" s="15"/>
      <c r="RWI227" s="15"/>
      <c r="RWJ227" s="15"/>
      <c r="RWK227" s="15"/>
      <c r="RWL227" s="10"/>
      <c r="RWM227" s="10"/>
      <c r="RWN227" s="21"/>
      <c r="RWO227" s="21"/>
      <c r="RWR227" s="21"/>
      <c r="RWS227" s="15"/>
      <c r="RWT227" s="15"/>
      <c r="RWU227" s="15"/>
      <c r="RWV227" s="15"/>
      <c r="RWW227" s="15"/>
      <c r="RWX227" s="15"/>
      <c r="RWY227" s="15"/>
      <c r="RWZ227" s="15"/>
      <c r="RXA227" s="15"/>
      <c r="RXB227" s="15"/>
      <c r="RXC227" s="10"/>
      <c r="RXD227" s="10"/>
      <c r="RXE227" s="21"/>
      <c r="RXF227" s="21"/>
      <c r="RXI227" s="21"/>
      <c r="RXJ227" s="15"/>
      <c r="RXK227" s="15"/>
      <c r="RXL227" s="15"/>
      <c r="RXM227" s="15"/>
      <c r="RXN227" s="15"/>
      <c r="RXO227" s="15"/>
      <c r="RXP227" s="15"/>
      <c r="RXQ227" s="15"/>
      <c r="RXR227" s="15"/>
      <c r="RXS227" s="15"/>
      <c r="RXT227" s="10"/>
      <c r="RXU227" s="10"/>
      <c r="RXV227" s="21"/>
      <c r="RXW227" s="21"/>
      <c r="RXZ227" s="21"/>
      <c r="RYA227" s="15"/>
      <c r="RYB227" s="15"/>
      <c r="RYC227" s="15"/>
      <c r="RYD227" s="15"/>
      <c r="RYE227" s="15"/>
      <c r="RYF227" s="15"/>
      <c r="RYG227" s="15"/>
      <c r="RYH227" s="15"/>
      <c r="RYI227" s="15"/>
      <c r="RYJ227" s="15"/>
      <c r="RYK227" s="10"/>
      <c r="RYL227" s="10"/>
      <c r="RYM227" s="21"/>
      <c r="RYN227" s="21"/>
      <c r="RYQ227" s="21"/>
      <c r="RYR227" s="15"/>
      <c r="RYS227" s="15"/>
      <c r="RYT227" s="15"/>
      <c r="RYU227" s="15"/>
      <c r="RYV227" s="15"/>
      <c r="RYW227" s="15"/>
      <c r="RYX227" s="15"/>
      <c r="RYY227" s="15"/>
      <c r="RYZ227" s="15"/>
      <c r="RZA227" s="15"/>
      <c r="RZB227" s="10"/>
      <c r="RZC227" s="10"/>
      <c r="RZD227" s="21"/>
      <c r="RZE227" s="21"/>
      <c r="RZH227" s="21"/>
      <c r="RZI227" s="15"/>
      <c r="RZJ227" s="15"/>
      <c r="RZK227" s="15"/>
      <c r="RZL227" s="15"/>
      <c r="RZM227" s="15"/>
      <c r="RZN227" s="15"/>
      <c r="RZO227" s="15"/>
      <c r="RZP227" s="15"/>
      <c r="RZQ227" s="15"/>
      <c r="RZR227" s="15"/>
      <c r="RZS227" s="10"/>
      <c r="RZT227" s="10"/>
      <c r="RZU227" s="21"/>
      <c r="RZV227" s="21"/>
      <c r="RZY227" s="21"/>
      <c r="RZZ227" s="15"/>
      <c r="SAA227" s="15"/>
      <c r="SAB227" s="15"/>
      <c r="SAC227" s="15"/>
      <c r="SAD227" s="15"/>
      <c r="SAE227" s="15"/>
      <c r="SAF227" s="15"/>
      <c r="SAG227" s="15"/>
      <c r="SAH227" s="15"/>
      <c r="SAI227" s="15"/>
      <c r="SAJ227" s="10"/>
      <c r="SAK227" s="10"/>
      <c r="SAL227" s="21"/>
      <c r="SAM227" s="21"/>
      <c r="SAP227" s="21"/>
      <c r="SAQ227" s="15"/>
      <c r="SAR227" s="15"/>
      <c r="SAS227" s="15"/>
      <c r="SAT227" s="15"/>
      <c r="SAU227" s="15"/>
      <c r="SAV227" s="15"/>
      <c r="SAW227" s="15"/>
      <c r="SAX227" s="15"/>
      <c r="SAY227" s="15"/>
      <c r="SAZ227" s="15"/>
      <c r="SBA227" s="10"/>
      <c r="SBB227" s="10"/>
      <c r="SBC227" s="21"/>
      <c r="SBD227" s="21"/>
      <c r="SBG227" s="21"/>
      <c r="SBH227" s="15"/>
      <c r="SBI227" s="15"/>
      <c r="SBJ227" s="15"/>
      <c r="SBK227" s="15"/>
      <c r="SBL227" s="15"/>
      <c r="SBM227" s="15"/>
      <c r="SBN227" s="15"/>
      <c r="SBO227" s="15"/>
      <c r="SBP227" s="15"/>
      <c r="SBQ227" s="15"/>
      <c r="SBR227" s="10"/>
      <c r="SBS227" s="10"/>
      <c r="SBT227" s="21"/>
      <c r="SBU227" s="21"/>
      <c r="SBX227" s="21"/>
      <c r="SBY227" s="15"/>
      <c r="SBZ227" s="15"/>
      <c r="SCA227" s="15"/>
      <c r="SCB227" s="15"/>
      <c r="SCC227" s="15"/>
      <c r="SCD227" s="15"/>
      <c r="SCE227" s="15"/>
      <c r="SCF227" s="15"/>
      <c r="SCG227" s="15"/>
      <c r="SCH227" s="15"/>
      <c r="SCI227" s="10"/>
      <c r="SCJ227" s="10"/>
      <c r="SCK227" s="21"/>
      <c r="SCL227" s="21"/>
      <c r="SCO227" s="21"/>
      <c r="SCP227" s="15"/>
      <c r="SCQ227" s="15"/>
      <c r="SCR227" s="15"/>
      <c r="SCS227" s="15"/>
      <c r="SCT227" s="15"/>
      <c r="SCU227" s="15"/>
      <c r="SCV227" s="15"/>
      <c r="SCW227" s="15"/>
      <c r="SCX227" s="15"/>
      <c r="SCY227" s="15"/>
      <c r="SCZ227" s="10"/>
      <c r="SDA227" s="10"/>
      <c r="SDB227" s="21"/>
      <c r="SDC227" s="21"/>
      <c r="SDF227" s="21"/>
      <c r="SDG227" s="15"/>
      <c r="SDH227" s="15"/>
      <c r="SDI227" s="15"/>
      <c r="SDJ227" s="15"/>
      <c r="SDK227" s="15"/>
      <c r="SDL227" s="15"/>
      <c r="SDM227" s="15"/>
      <c r="SDN227" s="15"/>
      <c r="SDO227" s="15"/>
      <c r="SDP227" s="15"/>
      <c r="SDQ227" s="10"/>
      <c r="SDR227" s="10"/>
      <c r="SDS227" s="21"/>
      <c r="SDT227" s="21"/>
      <c r="SDW227" s="21"/>
      <c r="SDX227" s="15"/>
      <c r="SDY227" s="15"/>
      <c r="SDZ227" s="15"/>
      <c r="SEA227" s="15"/>
      <c r="SEB227" s="15"/>
      <c r="SEC227" s="15"/>
      <c r="SED227" s="15"/>
      <c r="SEE227" s="15"/>
      <c r="SEF227" s="15"/>
      <c r="SEG227" s="15"/>
      <c r="SEH227" s="10"/>
      <c r="SEI227" s="10"/>
      <c r="SEJ227" s="21"/>
      <c r="SEK227" s="21"/>
      <c r="SEN227" s="21"/>
      <c r="SEO227" s="15"/>
      <c r="SEP227" s="15"/>
      <c r="SEQ227" s="15"/>
      <c r="SER227" s="15"/>
      <c r="SES227" s="15"/>
      <c r="SET227" s="15"/>
      <c r="SEU227" s="15"/>
      <c r="SEV227" s="15"/>
      <c r="SEW227" s="15"/>
      <c r="SEX227" s="15"/>
      <c r="SEY227" s="10"/>
      <c r="SEZ227" s="10"/>
      <c r="SFA227" s="21"/>
      <c r="SFB227" s="21"/>
      <c r="SFE227" s="21"/>
      <c r="SFF227" s="15"/>
      <c r="SFG227" s="15"/>
      <c r="SFH227" s="15"/>
      <c r="SFI227" s="15"/>
      <c r="SFJ227" s="15"/>
      <c r="SFK227" s="15"/>
      <c r="SFL227" s="15"/>
      <c r="SFM227" s="15"/>
      <c r="SFN227" s="15"/>
      <c r="SFO227" s="15"/>
      <c r="SFP227" s="10"/>
      <c r="SFQ227" s="10"/>
      <c r="SFR227" s="21"/>
      <c r="SFS227" s="21"/>
      <c r="SFV227" s="21"/>
      <c r="SFW227" s="15"/>
      <c r="SFX227" s="15"/>
      <c r="SFY227" s="15"/>
      <c r="SFZ227" s="15"/>
      <c r="SGA227" s="15"/>
      <c r="SGB227" s="15"/>
      <c r="SGC227" s="15"/>
      <c r="SGD227" s="15"/>
      <c r="SGE227" s="15"/>
      <c r="SGF227" s="15"/>
      <c r="SGG227" s="10"/>
      <c r="SGH227" s="10"/>
      <c r="SGI227" s="21"/>
      <c r="SGJ227" s="21"/>
      <c r="SGM227" s="21"/>
      <c r="SGN227" s="15"/>
      <c r="SGO227" s="15"/>
      <c r="SGP227" s="15"/>
      <c r="SGQ227" s="15"/>
      <c r="SGR227" s="15"/>
      <c r="SGS227" s="15"/>
      <c r="SGT227" s="15"/>
      <c r="SGU227" s="15"/>
      <c r="SGV227" s="15"/>
      <c r="SGW227" s="15"/>
      <c r="SGX227" s="10"/>
      <c r="SGY227" s="10"/>
      <c r="SGZ227" s="21"/>
      <c r="SHA227" s="21"/>
      <c r="SHD227" s="21"/>
      <c r="SHE227" s="15"/>
      <c r="SHF227" s="15"/>
      <c r="SHG227" s="15"/>
      <c r="SHH227" s="15"/>
      <c r="SHI227" s="15"/>
      <c r="SHJ227" s="15"/>
      <c r="SHK227" s="15"/>
      <c r="SHL227" s="15"/>
      <c r="SHM227" s="15"/>
      <c r="SHN227" s="15"/>
      <c r="SHO227" s="10"/>
      <c r="SHP227" s="10"/>
      <c r="SHQ227" s="21"/>
      <c r="SHR227" s="21"/>
      <c r="SHU227" s="21"/>
      <c r="SHV227" s="15"/>
      <c r="SHW227" s="15"/>
      <c r="SHX227" s="15"/>
      <c r="SHY227" s="15"/>
      <c r="SHZ227" s="15"/>
      <c r="SIA227" s="15"/>
      <c r="SIB227" s="15"/>
      <c r="SIC227" s="15"/>
      <c r="SID227" s="15"/>
      <c r="SIE227" s="15"/>
      <c r="SIF227" s="10"/>
      <c r="SIG227" s="10"/>
      <c r="SIH227" s="21"/>
      <c r="SII227" s="21"/>
      <c r="SIL227" s="21"/>
      <c r="SIM227" s="15"/>
      <c r="SIN227" s="15"/>
      <c r="SIO227" s="15"/>
      <c r="SIP227" s="15"/>
      <c r="SIQ227" s="15"/>
      <c r="SIR227" s="15"/>
      <c r="SIS227" s="15"/>
      <c r="SIT227" s="15"/>
      <c r="SIU227" s="15"/>
      <c r="SIV227" s="15"/>
      <c r="SIW227" s="10"/>
      <c r="SIX227" s="10"/>
      <c r="SIY227" s="21"/>
      <c r="SIZ227" s="21"/>
      <c r="SJC227" s="21"/>
      <c r="SJD227" s="15"/>
      <c r="SJE227" s="15"/>
      <c r="SJF227" s="15"/>
      <c r="SJG227" s="15"/>
      <c r="SJH227" s="15"/>
      <c r="SJI227" s="15"/>
      <c r="SJJ227" s="15"/>
      <c r="SJK227" s="15"/>
      <c r="SJL227" s="15"/>
      <c r="SJM227" s="15"/>
      <c r="SJN227" s="10"/>
      <c r="SJO227" s="10"/>
      <c r="SJP227" s="21"/>
      <c r="SJQ227" s="21"/>
      <c r="SJT227" s="21"/>
      <c r="SJU227" s="15"/>
      <c r="SJV227" s="15"/>
      <c r="SJW227" s="15"/>
      <c r="SJX227" s="15"/>
      <c r="SJY227" s="15"/>
      <c r="SJZ227" s="15"/>
      <c r="SKA227" s="15"/>
      <c r="SKB227" s="15"/>
      <c r="SKC227" s="15"/>
      <c r="SKD227" s="15"/>
      <c r="SKE227" s="10"/>
      <c r="SKF227" s="10"/>
      <c r="SKG227" s="21"/>
      <c r="SKH227" s="21"/>
      <c r="SKK227" s="21"/>
      <c r="SKL227" s="15"/>
      <c r="SKM227" s="15"/>
      <c r="SKN227" s="15"/>
      <c r="SKO227" s="15"/>
      <c r="SKP227" s="15"/>
      <c r="SKQ227" s="15"/>
      <c r="SKR227" s="15"/>
      <c r="SKS227" s="15"/>
      <c r="SKT227" s="15"/>
      <c r="SKU227" s="15"/>
      <c r="SKV227" s="10"/>
      <c r="SKW227" s="10"/>
      <c r="SKX227" s="21"/>
      <c r="SKY227" s="21"/>
      <c r="SLB227" s="21"/>
      <c r="SLC227" s="15"/>
      <c r="SLD227" s="15"/>
      <c r="SLE227" s="15"/>
      <c r="SLF227" s="15"/>
      <c r="SLG227" s="15"/>
      <c r="SLH227" s="15"/>
      <c r="SLI227" s="15"/>
      <c r="SLJ227" s="15"/>
      <c r="SLK227" s="15"/>
      <c r="SLL227" s="15"/>
      <c r="SLM227" s="10"/>
      <c r="SLN227" s="10"/>
      <c r="SLO227" s="21"/>
      <c r="SLP227" s="21"/>
      <c r="SLS227" s="21"/>
      <c r="SLT227" s="15"/>
      <c r="SLU227" s="15"/>
      <c r="SLV227" s="15"/>
      <c r="SLW227" s="15"/>
      <c r="SLX227" s="15"/>
      <c r="SLY227" s="15"/>
      <c r="SLZ227" s="15"/>
      <c r="SMA227" s="15"/>
      <c r="SMB227" s="15"/>
      <c r="SMC227" s="15"/>
      <c r="SMD227" s="10"/>
      <c r="SME227" s="10"/>
      <c r="SMF227" s="21"/>
      <c r="SMG227" s="21"/>
      <c r="SMJ227" s="21"/>
      <c r="SMK227" s="15"/>
      <c r="SML227" s="15"/>
      <c r="SMM227" s="15"/>
      <c r="SMN227" s="15"/>
      <c r="SMO227" s="15"/>
      <c r="SMP227" s="15"/>
      <c r="SMQ227" s="15"/>
      <c r="SMR227" s="15"/>
      <c r="SMS227" s="15"/>
      <c r="SMT227" s="15"/>
      <c r="SMU227" s="10"/>
      <c r="SMV227" s="10"/>
      <c r="SMW227" s="21"/>
      <c r="SMX227" s="21"/>
      <c r="SNA227" s="21"/>
      <c r="SNB227" s="15"/>
      <c r="SNC227" s="15"/>
      <c r="SND227" s="15"/>
      <c r="SNE227" s="15"/>
      <c r="SNF227" s="15"/>
      <c r="SNG227" s="15"/>
      <c r="SNH227" s="15"/>
      <c r="SNI227" s="15"/>
      <c r="SNJ227" s="15"/>
      <c r="SNK227" s="15"/>
      <c r="SNL227" s="10"/>
      <c r="SNM227" s="10"/>
      <c r="SNN227" s="21"/>
      <c r="SNO227" s="21"/>
      <c r="SNR227" s="21"/>
      <c r="SNS227" s="15"/>
      <c r="SNT227" s="15"/>
      <c r="SNU227" s="15"/>
      <c r="SNV227" s="15"/>
      <c r="SNW227" s="15"/>
      <c r="SNX227" s="15"/>
      <c r="SNY227" s="15"/>
      <c r="SNZ227" s="15"/>
      <c r="SOA227" s="15"/>
      <c r="SOB227" s="15"/>
      <c r="SOC227" s="10"/>
      <c r="SOD227" s="10"/>
      <c r="SOE227" s="21"/>
      <c r="SOF227" s="21"/>
      <c r="SOI227" s="21"/>
      <c r="SOJ227" s="15"/>
      <c r="SOK227" s="15"/>
      <c r="SOL227" s="15"/>
      <c r="SOM227" s="15"/>
      <c r="SON227" s="15"/>
      <c r="SOO227" s="15"/>
      <c r="SOP227" s="15"/>
      <c r="SOQ227" s="15"/>
      <c r="SOR227" s="15"/>
      <c r="SOS227" s="15"/>
      <c r="SOT227" s="10"/>
      <c r="SOU227" s="10"/>
      <c r="SOV227" s="21"/>
      <c r="SOW227" s="21"/>
      <c r="SOZ227" s="21"/>
      <c r="SPA227" s="15"/>
      <c r="SPB227" s="15"/>
      <c r="SPC227" s="15"/>
      <c r="SPD227" s="15"/>
      <c r="SPE227" s="15"/>
      <c r="SPF227" s="15"/>
      <c r="SPG227" s="15"/>
      <c r="SPH227" s="15"/>
      <c r="SPI227" s="15"/>
      <c r="SPJ227" s="15"/>
      <c r="SPK227" s="10"/>
      <c r="SPL227" s="10"/>
      <c r="SPM227" s="21"/>
      <c r="SPN227" s="21"/>
      <c r="SPQ227" s="21"/>
      <c r="SPR227" s="15"/>
      <c r="SPS227" s="15"/>
      <c r="SPT227" s="15"/>
      <c r="SPU227" s="15"/>
      <c r="SPV227" s="15"/>
      <c r="SPW227" s="15"/>
      <c r="SPX227" s="15"/>
      <c r="SPY227" s="15"/>
      <c r="SPZ227" s="15"/>
      <c r="SQA227" s="15"/>
      <c r="SQB227" s="10"/>
      <c r="SQC227" s="10"/>
      <c r="SQD227" s="21"/>
      <c r="SQE227" s="21"/>
      <c r="SQH227" s="21"/>
      <c r="SQI227" s="15"/>
      <c r="SQJ227" s="15"/>
      <c r="SQK227" s="15"/>
      <c r="SQL227" s="15"/>
      <c r="SQM227" s="15"/>
      <c r="SQN227" s="15"/>
      <c r="SQO227" s="15"/>
      <c r="SQP227" s="15"/>
      <c r="SQQ227" s="15"/>
      <c r="SQR227" s="15"/>
      <c r="SQS227" s="10"/>
      <c r="SQT227" s="10"/>
      <c r="SQU227" s="21"/>
      <c r="SQV227" s="21"/>
      <c r="SQY227" s="21"/>
      <c r="SQZ227" s="15"/>
      <c r="SRA227" s="15"/>
      <c r="SRB227" s="15"/>
      <c r="SRC227" s="15"/>
      <c r="SRD227" s="15"/>
      <c r="SRE227" s="15"/>
      <c r="SRF227" s="15"/>
      <c r="SRG227" s="15"/>
      <c r="SRH227" s="15"/>
      <c r="SRI227" s="15"/>
      <c r="SRJ227" s="10"/>
      <c r="SRK227" s="10"/>
      <c r="SRL227" s="21"/>
      <c r="SRM227" s="21"/>
      <c r="SRP227" s="21"/>
      <c r="SRQ227" s="15"/>
      <c r="SRR227" s="15"/>
      <c r="SRS227" s="15"/>
      <c r="SRT227" s="15"/>
      <c r="SRU227" s="15"/>
      <c r="SRV227" s="15"/>
      <c r="SRW227" s="15"/>
      <c r="SRX227" s="15"/>
      <c r="SRY227" s="15"/>
      <c r="SRZ227" s="15"/>
      <c r="SSA227" s="10"/>
      <c r="SSB227" s="10"/>
      <c r="SSC227" s="21"/>
      <c r="SSD227" s="21"/>
      <c r="SSG227" s="21"/>
      <c r="SSH227" s="15"/>
      <c r="SSI227" s="15"/>
      <c r="SSJ227" s="15"/>
      <c r="SSK227" s="15"/>
      <c r="SSL227" s="15"/>
      <c r="SSM227" s="15"/>
      <c r="SSN227" s="15"/>
      <c r="SSO227" s="15"/>
      <c r="SSP227" s="15"/>
      <c r="SSQ227" s="15"/>
      <c r="SSR227" s="10"/>
      <c r="SSS227" s="10"/>
      <c r="SST227" s="21"/>
      <c r="SSU227" s="21"/>
      <c r="SSX227" s="21"/>
      <c r="SSY227" s="15"/>
      <c r="SSZ227" s="15"/>
      <c r="STA227" s="15"/>
      <c r="STB227" s="15"/>
      <c r="STC227" s="15"/>
      <c r="STD227" s="15"/>
      <c r="STE227" s="15"/>
      <c r="STF227" s="15"/>
      <c r="STG227" s="15"/>
      <c r="STH227" s="15"/>
      <c r="STI227" s="10"/>
      <c r="STJ227" s="10"/>
      <c r="STK227" s="21"/>
      <c r="STL227" s="21"/>
      <c r="STO227" s="21"/>
      <c r="STP227" s="15"/>
      <c r="STQ227" s="15"/>
      <c r="STR227" s="15"/>
      <c r="STS227" s="15"/>
      <c r="STT227" s="15"/>
      <c r="STU227" s="15"/>
      <c r="STV227" s="15"/>
      <c r="STW227" s="15"/>
      <c r="STX227" s="15"/>
      <c r="STY227" s="15"/>
      <c r="STZ227" s="10"/>
      <c r="SUA227" s="10"/>
      <c r="SUB227" s="21"/>
      <c r="SUC227" s="21"/>
      <c r="SUF227" s="21"/>
      <c r="SUG227" s="15"/>
      <c r="SUH227" s="15"/>
      <c r="SUI227" s="15"/>
      <c r="SUJ227" s="15"/>
      <c r="SUK227" s="15"/>
      <c r="SUL227" s="15"/>
      <c r="SUM227" s="15"/>
      <c r="SUN227" s="15"/>
      <c r="SUO227" s="15"/>
      <c r="SUP227" s="15"/>
      <c r="SUQ227" s="10"/>
      <c r="SUR227" s="10"/>
      <c r="SUS227" s="21"/>
      <c r="SUT227" s="21"/>
      <c r="SUW227" s="21"/>
      <c r="SUX227" s="15"/>
      <c r="SUY227" s="15"/>
      <c r="SUZ227" s="15"/>
      <c r="SVA227" s="15"/>
      <c r="SVB227" s="15"/>
      <c r="SVC227" s="15"/>
      <c r="SVD227" s="15"/>
      <c r="SVE227" s="15"/>
      <c r="SVF227" s="15"/>
      <c r="SVG227" s="15"/>
      <c r="SVH227" s="10"/>
      <c r="SVI227" s="10"/>
      <c r="SVJ227" s="21"/>
      <c r="SVK227" s="21"/>
      <c r="SVN227" s="21"/>
      <c r="SVO227" s="15"/>
      <c r="SVP227" s="15"/>
      <c r="SVQ227" s="15"/>
      <c r="SVR227" s="15"/>
      <c r="SVS227" s="15"/>
      <c r="SVT227" s="15"/>
      <c r="SVU227" s="15"/>
      <c r="SVV227" s="15"/>
      <c r="SVW227" s="15"/>
      <c r="SVX227" s="15"/>
      <c r="SVY227" s="10"/>
      <c r="SVZ227" s="10"/>
      <c r="SWA227" s="21"/>
      <c r="SWB227" s="21"/>
      <c r="SWE227" s="21"/>
      <c r="SWF227" s="15"/>
      <c r="SWG227" s="15"/>
      <c r="SWH227" s="15"/>
      <c r="SWI227" s="15"/>
      <c r="SWJ227" s="15"/>
      <c r="SWK227" s="15"/>
      <c r="SWL227" s="15"/>
      <c r="SWM227" s="15"/>
      <c r="SWN227" s="15"/>
      <c r="SWO227" s="15"/>
      <c r="SWP227" s="10"/>
      <c r="SWQ227" s="10"/>
      <c r="SWR227" s="21"/>
      <c r="SWS227" s="21"/>
      <c r="SWV227" s="21"/>
      <c r="SWW227" s="15"/>
      <c r="SWX227" s="15"/>
      <c r="SWY227" s="15"/>
      <c r="SWZ227" s="15"/>
      <c r="SXA227" s="15"/>
      <c r="SXB227" s="15"/>
      <c r="SXC227" s="15"/>
      <c r="SXD227" s="15"/>
      <c r="SXE227" s="15"/>
      <c r="SXF227" s="15"/>
      <c r="SXG227" s="10"/>
      <c r="SXH227" s="10"/>
      <c r="SXI227" s="21"/>
      <c r="SXJ227" s="21"/>
      <c r="SXM227" s="21"/>
      <c r="SXN227" s="15"/>
      <c r="SXO227" s="15"/>
      <c r="SXP227" s="15"/>
      <c r="SXQ227" s="15"/>
      <c r="SXR227" s="15"/>
      <c r="SXS227" s="15"/>
      <c r="SXT227" s="15"/>
      <c r="SXU227" s="15"/>
      <c r="SXV227" s="15"/>
      <c r="SXW227" s="15"/>
      <c r="SXX227" s="10"/>
      <c r="SXY227" s="10"/>
      <c r="SXZ227" s="21"/>
      <c r="SYA227" s="21"/>
      <c r="SYD227" s="21"/>
      <c r="SYE227" s="15"/>
      <c r="SYF227" s="15"/>
      <c r="SYG227" s="15"/>
      <c r="SYH227" s="15"/>
      <c r="SYI227" s="15"/>
      <c r="SYJ227" s="15"/>
      <c r="SYK227" s="15"/>
      <c r="SYL227" s="15"/>
      <c r="SYM227" s="15"/>
      <c r="SYN227" s="15"/>
      <c r="SYO227" s="10"/>
      <c r="SYP227" s="10"/>
      <c r="SYQ227" s="21"/>
      <c r="SYR227" s="21"/>
      <c r="SYU227" s="21"/>
      <c r="SYV227" s="15"/>
      <c r="SYW227" s="15"/>
      <c r="SYX227" s="15"/>
      <c r="SYY227" s="15"/>
      <c r="SYZ227" s="15"/>
      <c r="SZA227" s="15"/>
      <c r="SZB227" s="15"/>
      <c r="SZC227" s="15"/>
      <c r="SZD227" s="15"/>
      <c r="SZE227" s="15"/>
      <c r="SZF227" s="10"/>
      <c r="SZG227" s="10"/>
      <c r="SZH227" s="21"/>
      <c r="SZI227" s="21"/>
      <c r="SZL227" s="21"/>
      <c r="SZM227" s="15"/>
      <c r="SZN227" s="15"/>
      <c r="SZO227" s="15"/>
      <c r="SZP227" s="15"/>
      <c r="SZQ227" s="15"/>
      <c r="SZR227" s="15"/>
      <c r="SZS227" s="15"/>
      <c r="SZT227" s="15"/>
      <c r="SZU227" s="15"/>
      <c r="SZV227" s="15"/>
      <c r="SZW227" s="10"/>
      <c r="SZX227" s="10"/>
      <c r="SZY227" s="21"/>
      <c r="SZZ227" s="21"/>
      <c r="TAC227" s="21"/>
      <c r="TAD227" s="15"/>
      <c r="TAE227" s="15"/>
      <c r="TAF227" s="15"/>
      <c r="TAG227" s="15"/>
      <c r="TAH227" s="15"/>
      <c r="TAI227" s="15"/>
      <c r="TAJ227" s="15"/>
      <c r="TAK227" s="15"/>
      <c r="TAL227" s="15"/>
      <c r="TAM227" s="15"/>
      <c r="TAN227" s="10"/>
      <c r="TAO227" s="10"/>
      <c r="TAP227" s="21"/>
      <c r="TAQ227" s="21"/>
      <c r="TAT227" s="21"/>
      <c r="TAU227" s="15"/>
      <c r="TAV227" s="15"/>
      <c r="TAW227" s="15"/>
      <c r="TAX227" s="15"/>
      <c r="TAY227" s="15"/>
      <c r="TAZ227" s="15"/>
      <c r="TBA227" s="15"/>
      <c r="TBB227" s="15"/>
      <c r="TBC227" s="15"/>
      <c r="TBD227" s="15"/>
      <c r="TBE227" s="10"/>
      <c r="TBF227" s="10"/>
      <c r="TBG227" s="21"/>
      <c r="TBH227" s="21"/>
      <c r="TBK227" s="21"/>
      <c r="TBL227" s="15"/>
      <c r="TBM227" s="15"/>
      <c r="TBN227" s="15"/>
      <c r="TBO227" s="15"/>
      <c r="TBP227" s="15"/>
      <c r="TBQ227" s="15"/>
      <c r="TBR227" s="15"/>
      <c r="TBS227" s="15"/>
      <c r="TBT227" s="15"/>
      <c r="TBU227" s="15"/>
      <c r="TBV227" s="10"/>
      <c r="TBW227" s="10"/>
      <c r="TBX227" s="21"/>
      <c r="TBY227" s="21"/>
      <c r="TCB227" s="21"/>
      <c r="TCC227" s="15"/>
      <c r="TCD227" s="15"/>
      <c r="TCE227" s="15"/>
      <c r="TCF227" s="15"/>
      <c r="TCG227" s="15"/>
      <c r="TCH227" s="15"/>
      <c r="TCI227" s="15"/>
      <c r="TCJ227" s="15"/>
      <c r="TCK227" s="15"/>
      <c r="TCL227" s="15"/>
      <c r="TCM227" s="10"/>
      <c r="TCN227" s="10"/>
      <c r="TCO227" s="21"/>
      <c r="TCP227" s="21"/>
      <c r="TCS227" s="21"/>
      <c r="TCT227" s="15"/>
      <c r="TCU227" s="15"/>
      <c r="TCV227" s="15"/>
      <c r="TCW227" s="15"/>
      <c r="TCX227" s="15"/>
      <c r="TCY227" s="15"/>
      <c r="TCZ227" s="15"/>
      <c r="TDA227" s="15"/>
      <c r="TDB227" s="15"/>
      <c r="TDC227" s="15"/>
      <c r="TDD227" s="10"/>
      <c r="TDE227" s="10"/>
      <c r="TDF227" s="21"/>
      <c r="TDG227" s="21"/>
      <c r="TDJ227" s="21"/>
      <c r="TDK227" s="15"/>
      <c r="TDL227" s="15"/>
      <c r="TDM227" s="15"/>
      <c r="TDN227" s="15"/>
      <c r="TDO227" s="15"/>
      <c r="TDP227" s="15"/>
      <c r="TDQ227" s="15"/>
      <c r="TDR227" s="15"/>
      <c r="TDS227" s="15"/>
      <c r="TDT227" s="15"/>
      <c r="TDU227" s="10"/>
      <c r="TDV227" s="10"/>
      <c r="TDW227" s="21"/>
      <c r="TDX227" s="21"/>
      <c r="TEA227" s="21"/>
      <c r="TEB227" s="15"/>
      <c r="TEC227" s="15"/>
      <c r="TED227" s="15"/>
      <c r="TEE227" s="15"/>
      <c r="TEF227" s="15"/>
      <c r="TEG227" s="15"/>
      <c r="TEH227" s="15"/>
      <c r="TEI227" s="15"/>
      <c r="TEJ227" s="15"/>
      <c r="TEK227" s="15"/>
      <c r="TEL227" s="10"/>
      <c r="TEM227" s="10"/>
      <c r="TEN227" s="21"/>
      <c r="TEO227" s="21"/>
      <c r="TER227" s="21"/>
      <c r="TES227" s="15"/>
      <c r="TET227" s="15"/>
      <c r="TEU227" s="15"/>
      <c r="TEV227" s="15"/>
      <c r="TEW227" s="15"/>
      <c r="TEX227" s="15"/>
      <c r="TEY227" s="15"/>
      <c r="TEZ227" s="15"/>
      <c r="TFA227" s="15"/>
      <c r="TFB227" s="15"/>
      <c r="TFC227" s="10"/>
      <c r="TFD227" s="10"/>
      <c r="TFE227" s="21"/>
      <c r="TFF227" s="21"/>
      <c r="TFI227" s="21"/>
      <c r="TFJ227" s="15"/>
      <c r="TFK227" s="15"/>
      <c r="TFL227" s="15"/>
      <c r="TFM227" s="15"/>
      <c r="TFN227" s="15"/>
      <c r="TFO227" s="15"/>
      <c r="TFP227" s="15"/>
      <c r="TFQ227" s="15"/>
      <c r="TFR227" s="15"/>
      <c r="TFS227" s="15"/>
      <c r="TFT227" s="10"/>
      <c r="TFU227" s="10"/>
      <c r="TFV227" s="21"/>
      <c r="TFW227" s="21"/>
      <c r="TFZ227" s="21"/>
      <c r="TGA227" s="15"/>
      <c r="TGB227" s="15"/>
      <c r="TGC227" s="15"/>
      <c r="TGD227" s="15"/>
      <c r="TGE227" s="15"/>
      <c r="TGF227" s="15"/>
      <c r="TGG227" s="15"/>
      <c r="TGH227" s="15"/>
      <c r="TGI227" s="15"/>
      <c r="TGJ227" s="15"/>
      <c r="TGK227" s="10"/>
      <c r="TGL227" s="10"/>
      <c r="TGM227" s="21"/>
      <c r="TGN227" s="21"/>
      <c r="TGQ227" s="21"/>
      <c r="TGR227" s="15"/>
      <c r="TGS227" s="15"/>
      <c r="TGT227" s="15"/>
      <c r="TGU227" s="15"/>
      <c r="TGV227" s="15"/>
      <c r="TGW227" s="15"/>
      <c r="TGX227" s="15"/>
      <c r="TGY227" s="15"/>
      <c r="TGZ227" s="15"/>
      <c r="THA227" s="15"/>
      <c r="THB227" s="10"/>
      <c r="THC227" s="10"/>
      <c r="THD227" s="21"/>
      <c r="THE227" s="21"/>
      <c r="THH227" s="21"/>
      <c r="THI227" s="15"/>
      <c r="THJ227" s="15"/>
      <c r="THK227" s="15"/>
      <c r="THL227" s="15"/>
      <c r="THM227" s="15"/>
      <c r="THN227" s="15"/>
      <c r="THO227" s="15"/>
      <c r="THP227" s="15"/>
      <c r="THQ227" s="15"/>
      <c r="THR227" s="15"/>
      <c r="THS227" s="10"/>
      <c r="THT227" s="10"/>
      <c r="THU227" s="21"/>
      <c r="THV227" s="21"/>
      <c r="THY227" s="21"/>
      <c r="THZ227" s="15"/>
      <c r="TIA227" s="15"/>
      <c r="TIB227" s="15"/>
      <c r="TIC227" s="15"/>
      <c r="TID227" s="15"/>
      <c r="TIE227" s="15"/>
      <c r="TIF227" s="15"/>
      <c r="TIG227" s="15"/>
      <c r="TIH227" s="15"/>
      <c r="TII227" s="15"/>
      <c r="TIJ227" s="10"/>
      <c r="TIK227" s="10"/>
      <c r="TIL227" s="21"/>
      <c r="TIM227" s="21"/>
      <c r="TIP227" s="21"/>
      <c r="TIQ227" s="15"/>
      <c r="TIR227" s="15"/>
      <c r="TIS227" s="15"/>
      <c r="TIT227" s="15"/>
      <c r="TIU227" s="15"/>
      <c r="TIV227" s="15"/>
      <c r="TIW227" s="15"/>
      <c r="TIX227" s="15"/>
      <c r="TIY227" s="15"/>
      <c r="TIZ227" s="15"/>
      <c r="TJA227" s="10"/>
      <c r="TJB227" s="10"/>
      <c r="TJC227" s="21"/>
      <c r="TJD227" s="21"/>
      <c r="TJG227" s="21"/>
      <c r="TJH227" s="15"/>
      <c r="TJI227" s="15"/>
      <c r="TJJ227" s="15"/>
      <c r="TJK227" s="15"/>
      <c r="TJL227" s="15"/>
      <c r="TJM227" s="15"/>
      <c r="TJN227" s="15"/>
      <c r="TJO227" s="15"/>
      <c r="TJP227" s="15"/>
      <c r="TJQ227" s="15"/>
      <c r="TJR227" s="10"/>
      <c r="TJS227" s="10"/>
      <c r="TJT227" s="21"/>
      <c r="TJU227" s="21"/>
      <c r="TJX227" s="21"/>
      <c r="TJY227" s="15"/>
      <c r="TJZ227" s="15"/>
      <c r="TKA227" s="15"/>
      <c r="TKB227" s="15"/>
      <c r="TKC227" s="15"/>
      <c r="TKD227" s="15"/>
      <c r="TKE227" s="15"/>
      <c r="TKF227" s="15"/>
      <c r="TKG227" s="15"/>
      <c r="TKH227" s="15"/>
      <c r="TKI227" s="10"/>
      <c r="TKJ227" s="10"/>
      <c r="TKK227" s="21"/>
      <c r="TKL227" s="21"/>
      <c r="TKO227" s="21"/>
      <c r="TKP227" s="15"/>
      <c r="TKQ227" s="15"/>
      <c r="TKR227" s="15"/>
      <c r="TKS227" s="15"/>
      <c r="TKT227" s="15"/>
      <c r="TKU227" s="15"/>
      <c r="TKV227" s="15"/>
      <c r="TKW227" s="15"/>
      <c r="TKX227" s="15"/>
      <c r="TKY227" s="15"/>
      <c r="TKZ227" s="10"/>
      <c r="TLA227" s="10"/>
      <c r="TLB227" s="21"/>
      <c r="TLC227" s="21"/>
      <c r="TLF227" s="21"/>
      <c r="TLG227" s="15"/>
      <c r="TLH227" s="15"/>
      <c r="TLI227" s="15"/>
      <c r="TLJ227" s="15"/>
      <c r="TLK227" s="15"/>
      <c r="TLL227" s="15"/>
      <c r="TLM227" s="15"/>
      <c r="TLN227" s="15"/>
      <c r="TLO227" s="15"/>
      <c r="TLP227" s="15"/>
      <c r="TLQ227" s="10"/>
      <c r="TLR227" s="10"/>
      <c r="TLS227" s="21"/>
      <c r="TLT227" s="21"/>
      <c r="TLW227" s="21"/>
      <c r="TLX227" s="15"/>
      <c r="TLY227" s="15"/>
      <c r="TLZ227" s="15"/>
      <c r="TMA227" s="15"/>
      <c r="TMB227" s="15"/>
      <c r="TMC227" s="15"/>
      <c r="TMD227" s="15"/>
      <c r="TME227" s="15"/>
      <c r="TMF227" s="15"/>
      <c r="TMG227" s="15"/>
      <c r="TMH227" s="10"/>
      <c r="TMI227" s="10"/>
      <c r="TMJ227" s="21"/>
      <c r="TMK227" s="21"/>
      <c r="TMN227" s="21"/>
      <c r="TMO227" s="15"/>
      <c r="TMP227" s="15"/>
      <c r="TMQ227" s="15"/>
      <c r="TMR227" s="15"/>
      <c r="TMS227" s="15"/>
      <c r="TMT227" s="15"/>
      <c r="TMU227" s="15"/>
      <c r="TMV227" s="15"/>
      <c r="TMW227" s="15"/>
      <c r="TMX227" s="15"/>
      <c r="TMY227" s="10"/>
      <c r="TMZ227" s="10"/>
      <c r="TNA227" s="21"/>
      <c r="TNB227" s="21"/>
      <c r="TNE227" s="21"/>
      <c r="TNF227" s="15"/>
      <c r="TNG227" s="15"/>
      <c r="TNH227" s="15"/>
      <c r="TNI227" s="15"/>
      <c r="TNJ227" s="15"/>
      <c r="TNK227" s="15"/>
      <c r="TNL227" s="15"/>
      <c r="TNM227" s="15"/>
      <c r="TNN227" s="15"/>
      <c r="TNO227" s="15"/>
      <c r="TNP227" s="10"/>
      <c r="TNQ227" s="10"/>
      <c r="TNR227" s="21"/>
      <c r="TNS227" s="21"/>
      <c r="TNV227" s="21"/>
      <c r="TNW227" s="15"/>
      <c r="TNX227" s="15"/>
      <c r="TNY227" s="15"/>
      <c r="TNZ227" s="15"/>
      <c r="TOA227" s="15"/>
      <c r="TOB227" s="15"/>
      <c r="TOC227" s="15"/>
      <c r="TOD227" s="15"/>
      <c r="TOE227" s="15"/>
      <c r="TOF227" s="15"/>
      <c r="TOG227" s="10"/>
      <c r="TOH227" s="10"/>
      <c r="TOI227" s="21"/>
      <c r="TOJ227" s="21"/>
      <c r="TOM227" s="21"/>
      <c r="TON227" s="15"/>
      <c r="TOO227" s="15"/>
      <c r="TOP227" s="15"/>
      <c r="TOQ227" s="15"/>
      <c r="TOR227" s="15"/>
      <c r="TOS227" s="15"/>
      <c r="TOT227" s="15"/>
      <c r="TOU227" s="15"/>
      <c r="TOV227" s="15"/>
      <c r="TOW227" s="15"/>
      <c r="TOX227" s="10"/>
      <c r="TOY227" s="10"/>
      <c r="TOZ227" s="21"/>
      <c r="TPA227" s="21"/>
      <c r="TPD227" s="21"/>
      <c r="TPE227" s="15"/>
      <c r="TPF227" s="15"/>
      <c r="TPG227" s="15"/>
      <c r="TPH227" s="15"/>
      <c r="TPI227" s="15"/>
      <c r="TPJ227" s="15"/>
      <c r="TPK227" s="15"/>
      <c r="TPL227" s="15"/>
      <c r="TPM227" s="15"/>
      <c r="TPN227" s="15"/>
      <c r="TPO227" s="10"/>
      <c r="TPP227" s="10"/>
      <c r="TPQ227" s="21"/>
      <c r="TPR227" s="21"/>
      <c r="TPU227" s="21"/>
      <c r="TPV227" s="15"/>
      <c r="TPW227" s="15"/>
      <c r="TPX227" s="15"/>
      <c r="TPY227" s="15"/>
      <c r="TPZ227" s="15"/>
      <c r="TQA227" s="15"/>
      <c r="TQB227" s="15"/>
      <c r="TQC227" s="15"/>
      <c r="TQD227" s="15"/>
      <c r="TQE227" s="15"/>
      <c r="TQF227" s="10"/>
      <c r="TQG227" s="10"/>
      <c r="TQH227" s="21"/>
      <c r="TQI227" s="21"/>
      <c r="TQL227" s="21"/>
      <c r="TQM227" s="15"/>
      <c r="TQN227" s="15"/>
      <c r="TQO227" s="15"/>
      <c r="TQP227" s="15"/>
      <c r="TQQ227" s="15"/>
      <c r="TQR227" s="15"/>
      <c r="TQS227" s="15"/>
      <c r="TQT227" s="15"/>
      <c r="TQU227" s="15"/>
      <c r="TQV227" s="15"/>
      <c r="TQW227" s="10"/>
      <c r="TQX227" s="10"/>
      <c r="TQY227" s="21"/>
      <c r="TQZ227" s="21"/>
      <c r="TRC227" s="21"/>
      <c r="TRD227" s="15"/>
      <c r="TRE227" s="15"/>
      <c r="TRF227" s="15"/>
      <c r="TRG227" s="15"/>
      <c r="TRH227" s="15"/>
      <c r="TRI227" s="15"/>
      <c r="TRJ227" s="15"/>
      <c r="TRK227" s="15"/>
      <c r="TRL227" s="15"/>
      <c r="TRM227" s="15"/>
      <c r="TRN227" s="10"/>
      <c r="TRO227" s="10"/>
      <c r="TRP227" s="21"/>
      <c r="TRQ227" s="21"/>
      <c r="TRT227" s="21"/>
      <c r="TRU227" s="15"/>
      <c r="TRV227" s="15"/>
      <c r="TRW227" s="15"/>
      <c r="TRX227" s="15"/>
      <c r="TRY227" s="15"/>
      <c r="TRZ227" s="15"/>
      <c r="TSA227" s="15"/>
      <c r="TSB227" s="15"/>
      <c r="TSC227" s="15"/>
      <c r="TSD227" s="15"/>
      <c r="TSE227" s="10"/>
      <c r="TSF227" s="10"/>
      <c r="TSG227" s="21"/>
      <c r="TSH227" s="21"/>
      <c r="TSK227" s="21"/>
      <c r="TSL227" s="15"/>
      <c r="TSM227" s="15"/>
      <c r="TSN227" s="15"/>
      <c r="TSO227" s="15"/>
      <c r="TSP227" s="15"/>
      <c r="TSQ227" s="15"/>
      <c r="TSR227" s="15"/>
      <c r="TSS227" s="15"/>
      <c r="TST227" s="15"/>
      <c r="TSU227" s="15"/>
      <c r="TSV227" s="10"/>
      <c r="TSW227" s="10"/>
      <c r="TSX227" s="21"/>
      <c r="TSY227" s="21"/>
      <c r="TTB227" s="21"/>
      <c r="TTC227" s="15"/>
      <c r="TTD227" s="15"/>
      <c r="TTE227" s="15"/>
      <c r="TTF227" s="15"/>
      <c r="TTG227" s="15"/>
      <c r="TTH227" s="15"/>
      <c r="TTI227" s="15"/>
      <c r="TTJ227" s="15"/>
      <c r="TTK227" s="15"/>
      <c r="TTL227" s="15"/>
      <c r="TTM227" s="10"/>
      <c r="TTN227" s="10"/>
      <c r="TTO227" s="21"/>
      <c r="TTP227" s="21"/>
      <c r="TTS227" s="21"/>
      <c r="TTT227" s="15"/>
      <c r="TTU227" s="15"/>
      <c r="TTV227" s="15"/>
      <c r="TTW227" s="15"/>
      <c r="TTX227" s="15"/>
      <c r="TTY227" s="15"/>
      <c r="TTZ227" s="15"/>
      <c r="TUA227" s="15"/>
      <c r="TUB227" s="15"/>
      <c r="TUC227" s="15"/>
      <c r="TUD227" s="10"/>
      <c r="TUE227" s="10"/>
      <c r="TUF227" s="21"/>
      <c r="TUG227" s="21"/>
      <c r="TUJ227" s="21"/>
      <c r="TUK227" s="15"/>
      <c r="TUL227" s="15"/>
      <c r="TUM227" s="15"/>
      <c r="TUN227" s="15"/>
      <c r="TUO227" s="15"/>
      <c r="TUP227" s="15"/>
      <c r="TUQ227" s="15"/>
      <c r="TUR227" s="15"/>
      <c r="TUS227" s="15"/>
      <c r="TUT227" s="15"/>
      <c r="TUU227" s="10"/>
      <c r="TUV227" s="10"/>
      <c r="TUW227" s="21"/>
      <c r="TUX227" s="21"/>
      <c r="TVA227" s="21"/>
      <c r="TVB227" s="15"/>
      <c r="TVC227" s="15"/>
      <c r="TVD227" s="15"/>
      <c r="TVE227" s="15"/>
      <c r="TVF227" s="15"/>
      <c r="TVG227" s="15"/>
      <c r="TVH227" s="15"/>
      <c r="TVI227" s="15"/>
      <c r="TVJ227" s="15"/>
      <c r="TVK227" s="15"/>
      <c r="TVL227" s="10"/>
      <c r="TVM227" s="10"/>
      <c r="TVN227" s="21"/>
      <c r="TVO227" s="21"/>
      <c r="TVR227" s="21"/>
      <c r="TVS227" s="15"/>
      <c r="TVT227" s="15"/>
      <c r="TVU227" s="15"/>
      <c r="TVV227" s="15"/>
      <c r="TVW227" s="15"/>
      <c r="TVX227" s="15"/>
      <c r="TVY227" s="15"/>
      <c r="TVZ227" s="15"/>
      <c r="TWA227" s="15"/>
      <c r="TWB227" s="15"/>
      <c r="TWC227" s="10"/>
      <c r="TWD227" s="10"/>
      <c r="TWE227" s="21"/>
      <c r="TWF227" s="21"/>
      <c r="TWI227" s="21"/>
      <c r="TWJ227" s="15"/>
      <c r="TWK227" s="15"/>
      <c r="TWL227" s="15"/>
      <c r="TWM227" s="15"/>
      <c r="TWN227" s="15"/>
      <c r="TWO227" s="15"/>
      <c r="TWP227" s="15"/>
      <c r="TWQ227" s="15"/>
      <c r="TWR227" s="15"/>
      <c r="TWS227" s="15"/>
      <c r="TWT227" s="10"/>
      <c r="TWU227" s="10"/>
      <c r="TWV227" s="21"/>
      <c r="TWW227" s="21"/>
      <c r="TWZ227" s="21"/>
      <c r="TXA227" s="15"/>
      <c r="TXB227" s="15"/>
      <c r="TXC227" s="15"/>
      <c r="TXD227" s="15"/>
      <c r="TXE227" s="15"/>
      <c r="TXF227" s="15"/>
      <c r="TXG227" s="15"/>
      <c r="TXH227" s="15"/>
      <c r="TXI227" s="15"/>
      <c r="TXJ227" s="15"/>
      <c r="TXK227" s="10"/>
      <c r="TXL227" s="10"/>
      <c r="TXM227" s="21"/>
      <c r="TXN227" s="21"/>
      <c r="TXQ227" s="21"/>
      <c r="TXR227" s="15"/>
      <c r="TXS227" s="15"/>
      <c r="TXT227" s="15"/>
      <c r="TXU227" s="15"/>
      <c r="TXV227" s="15"/>
      <c r="TXW227" s="15"/>
      <c r="TXX227" s="15"/>
      <c r="TXY227" s="15"/>
      <c r="TXZ227" s="15"/>
      <c r="TYA227" s="15"/>
      <c r="TYB227" s="10"/>
      <c r="TYC227" s="10"/>
      <c r="TYD227" s="21"/>
      <c r="TYE227" s="21"/>
      <c r="TYH227" s="21"/>
      <c r="TYI227" s="15"/>
      <c r="TYJ227" s="15"/>
      <c r="TYK227" s="15"/>
      <c r="TYL227" s="15"/>
      <c r="TYM227" s="15"/>
      <c r="TYN227" s="15"/>
      <c r="TYO227" s="15"/>
      <c r="TYP227" s="15"/>
      <c r="TYQ227" s="15"/>
      <c r="TYR227" s="15"/>
      <c r="TYS227" s="10"/>
      <c r="TYT227" s="10"/>
      <c r="TYU227" s="21"/>
      <c r="TYV227" s="21"/>
      <c r="TYY227" s="21"/>
      <c r="TYZ227" s="15"/>
      <c r="TZA227" s="15"/>
      <c r="TZB227" s="15"/>
      <c r="TZC227" s="15"/>
      <c r="TZD227" s="15"/>
      <c r="TZE227" s="15"/>
      <c r="TZF227" s="15"/>
      <c r="TZG227" s="15"/>
      <c r="TZH227" s="15"/>
      <c r="TZI227" s="15"/>
      <c r="TZJ227" s="10"/>
      <c r="TZK227" s="10"/>
      <c r="TZL227" s="21"/>
      <c r="TZM227" s="21"/>
      <c r="TZP227" s="21"/>
      <c r="TZQ227" s="15"/>
      <c r="TZR227" s="15"/>
      <c r="TZS227" s="15"/>
      <c r="TZT227" s="15"/>
      <c r="TZU227" s="15"/>
      <c r="TZV227" s="15"/>
      <c r="TZW227" s="15"/>
      <c r="TZX227" s="15"/>
      <c r="TZY227" s="15"/>
      <c r="TZZ227" s="15"/>
      <c r="UAA227" s="10"/>
      <c r="UAB227" s="10"/>
      <c r="UAC227" s="21"/>
      <c r="UAD227" s="21"/>
      <c r="UAG227" s="21"/>
      <c r="UAH227" s="15"/>
      <c r="UAI227" s="15"/>
      <c r="UAJ227" s="15"/>
      <c r="UAK227" s="15"/>
      <c r="UAL227" s="15"/>
      <c r="UAM227" s="15"/>
      <c r="UAN227" s="15"/>
      <c r="UAO227" s="15"/>
      <c r="UAP227" s="15"/>
      <c r="UAQ227" s="15"/>
      <c r="UAR227" s="10"/>
      <c r="UAS227" s="10"/>
      <c r="UAT227" s="21"/>
      <c r="UAU227" s="21"/>
      <c r="UAX227" s="21"/>
      <c r="UAY227" s="15"/>
      <c r="UAZ227" s="15"/>
      <c r="UBA227" s="15"/>
      <c r="UBB227" s="15"/>
      <c r="UBC227" s="15"/>
      <c r="UBD227" s="15"/>
      <c r="UBE227" s="15"/>
      <c r="UBF227" s="15"/>
      <c r="UBG227" s="15"/>
      <c r="UBH227" s="15"/>
      <c r="UBI227" s="10"/>
      <c r="UBJ227" s="10"/>
      <c r="UBK227" s="21"/>
      <c r="UBL227" s="21"/>
      <c r="UBO227" s="21"/>
      <c r="UBP227" s="15"/>
      <c r="UBQ227" s="15"/>
      <c r="UBR227" s="15"/>
      <c r="UBS227" s="15"/>
      <c r="UBT227" s="15"/>
      <c r="UBU227" s="15"/>
      <c r="UBV227" s="15"/>
      <c r="UBW227" s="15"/>
      <c r="UBX227" s="15"/>
      <c r="UBY227" s="15"/>
      <c r="UBZ227" s="10"/>
      <c r="UCA227" s="10"/>
      <c r="UCB227" s="21"/>
      <c r="UCC227" s="21"/>
      <c r="UCF227" s="21"/>
      <c r="UCG227" s="15"/>
      <c r="UCH227" s="15"/>
      <c r="UCI227" s="15"/>
      <c r="UCJ227" s="15"/>
      <c r="UCK227" s="15"/>
      <c r="UCL227" s="15"/>
      <c r="UCM227" s="15"/>
      <c r="UCN227" s="15"/>
      <c r="UCO227" s="15"/>
      <c r="UCP227" s="15"/>
      <c r="UCQ227" s="10"/>
      <c r="UCR227" s="10"/>
      <c r="UCS227" s="21"/>
      <c r="UCT227" s="21"/>
      <c r="UCW227" s="21"/>
      <c r="UCX227" s="15"/>
      <c r="UCY227" s="15"/>
      <c r="UCZ227" s="15"/>
      <c r="UDA227" s="15"/>
      <c r="UDB227" s="15"/>
      <c r="UDC227" s="15"/>
      <c r="UDD227" s="15"/>
      <c r="UDE227" s="15"/>
      <c r="UDF227" s="15"/>
      <c r="UDG227" s="15"/>
      <c r="UDH227" s="10"/>
      <c r="UDI227" s="10"/>
      <c r="UDJ227" s="21"/>
      <c r="UDK227" s="21"/>
      <c r="UDN227" s="21"/>
      <c r="UDO227" s="15"/>
      <c r="UDP227" s="15"/>
      <c r="UDQ227" s="15"/>
      <c r="UDR227" s="15"/>
      <c r="UDS227" s="15"/>
      <c r="UDT227" s="15"/>
      <c r="UDU227" s="15"/>
      <c r="UDV227" s="15"/>
      <c r="UDW227" s="15"/>
      <c r="UDX227" s="15"/>
      <c r="UDY227" s="10"/>
      <c r="UDZ227" s="10"/>
      <c r="UEA227" s="21"/>
      <c r="UEB227" s="21"/>
      <c r="UEE227" s="21"/>
      <c r="UEF227" s="15"/>
      <c r="UEG227" s="15"/>
      <c r="UEH227" s="15"/>
      <c r="UEI227" s="15"/>
      <c r="UEJ227" s="15"/>
      <c r="UEK227" s="15"/>
      <c r="UEL227" s="15"/>
      <c r="UEM227" s="15"/>
      <c r="UEN227" s="15"/>
      <c r="UEO227" s="15"/>
      <c r="UEP227" s="10"/>
      <c r="UEQ227" s="10"/>
      <c r="UER227" s="21"/>
      <c r="UES227" s="21"/>
      <c r="UEV227" s="21"/>
      <c r="UEW227" s="15"/>
      <c r="UEX227" s="15"/>
      <c r="UEY227" s="15"/>
      <c r="UEZ227" s="15"/>
      <c r="UFA227" s="15"/>
      <c r="UFB227" s="15"/>
      <c r="UFC227" s="15"/>
      <c r="UFD227" s="15"/>
      <c r="UFE227" s="15"/>
      <c r="UFF227" s="15"/>
      <c r="UFG227" s="10"/>
      <c r="UFH227" s="10"/>
      <c r="UFI227" s="21"/>
      <c r="UFJ227" s="21"/>
      <c r="UFM227" s="21"/>
      <c r="UFN227" s="15"/>
      <c r="UFO227" s="15"/>
      <c r="UFP227" s="15"/>
      <c r="UFQ227" s="15"/>
      <c r="UFR227" s="15"/>
      <c r="UFS227" s="15"/>
      <c r="UFT227" s="15"/>
      <c r="UFU227" s="15"/>
      <c r="UFV227" s="15"/>
      <c r="UFW227" s="15"/>
      <c r="UFX227" s="10"/>
      <c r="UFY227" s="10"/>
      <c r="UFZ227" s="21"/>
      <c r="UGA227" s="21"/>
      <c r="UGD227" s="21"/>
      <c r="UGE227" s="15"/>
      <c r="UGF227" s="15"/>
      <c r="UGG227" s="15"/>
      <c r="UGH227" s="15"/>
      <c r="UGI227" s="15"/>
      <c r="UGJ227" s="15"/>
      <c r="UGK227" s="15"/>
      <c r="UGL227" s="15"/>
      <c r="UGM227" s="15"/>
      <c r="UGN227" s="15"/>
      <c r="UGO227" s="10"/>
      <c r="UGP227" s="10"/>
      <c r="UGQ227" s="21"/>
      <c r="UGR227" s="21"/>
      <c r="UGU227" s="21"/>
      <c r="UGV227" s="15"/>
      <c r="UGW227" s="15"/>
      <c r="UGX227" s="15"/>
      <c r="UGY227" s="15"/>
      <c r="UGZ227" s="15"/>
      <c r="UHA227" s="15"/>
      <c r="UHB227" s="15"/>
      <c r="UHC227" s="15"/>
      <c r="UHD227" s="15"/>
      <c r="UHE227" s="15"/>
      <c r="UHF227" s="10"/>
      <c r="UHG227" s="10"/>
      <c r="UHH227" s="21"/>
      <c r="UHI227" s="21"/>
      <c r="UHL227" s="21"/>
      <c r="UHM227" s="15"/>
      <c r="UHN227" s="15"/>
      <c r="UHO227" s="15"/>
      <c r="UHP227" s="15"/>
      <c r="UHQ227" s="15"/>
      <c r="UHR227" s="15"/>
      <c r="UHS227" s="15"/>
      <c r="UHT227" s="15"/>
      <c r="UHU227" s="15"/>
      <c r="UHV227" s="15"/>
      <c r="UHW227" s="10"/>
      <c r="UHX227" s="10"/>
      <c r="UHY227" s="21"/>
      <c r="UHZ227" s="21"/>
      <c r="UIC227" s="21"/>
      <c r="UID227" s="15"/>
      <c r="UIE227" s="15"/>
      <c r="UIF227" s="15"/>
      <c r="UIG227" s="15"/>
      <c r="UIH227" s="15"/>
      <c r="UII227" s="15"/>
      <c r="UIJ227" s="15"/>
      <c r="UIK227" s="15"/>
      <c r="UIL227" s="15"/>
      <c r="UIM227" s="15"/>
      <c r="UIN227" s="10"/>
      <c r="UIO227" s="10"/>
      <c r="UIP227" s="21"/>
      <c r="UIQ227" s="21"/>
      <c r="UIT227" s="21"/>
      <c r="UIU227" s="15"/>
      <c r="UIV227" s="15"/>
      <c r="UIW227" s="15"/>
      <c r="UIX227" s="15"/>
      <c r="UIY227" s="15"/>
      <c r="UIZ227" s="15"/>
      <c r="UJA227" s="15"/>
      <c r="UJB227" s="15"/>
      <c r="UJC227" s="15"/>
      <c r="UJD227" s="15"/>
      <c r="UJE227" s="10"/>
      <c r="UJF227" s="10"/>
      <c r="UJG227" s="21"/>
      <c r="UJH227" s="21"/>
      <c r="UJK227" s="21"/>
      <c r="UJL227" s="15"/>
      <c r="UJM227" s="15"/>
      <c r="UJN227" s="15"/>
      <c r="UJO227" s="15"/>
      <c r="UJP227" s="15"/>
      <c r="UJQ227" s="15"/>
      <c r="UJR227" s="15"/>
      <c r="UJS227" s="15"/>
      <c r="UJT227" s="15"/>
      <c r="UJU227" s="15"/>
      <c r="UJV227" s="10"/>
      <c r="UJW227" s="10"/>
      <c r="UJX227" s="21"/>
      <c r="UJY227" s="21"/>
      <c r="UKB227" s="21"/>
      <c r="UKC227" s="15"/>
      <c r="UKD227" s="15"/>
      <c r="UKE227" s="15"/>
      <c r="UKF227" s="15"/>
      <c r="UKG227" s="15"/>
      <c r="UKH227" s="15"/>
      <c r="UKI227" s="15"/>
      <c r="UKJ227" s="15"/>
      <c r="UKK227" s="15"/>
      <c r="UKL227" s="15"/>
      <c r="UKM227" s="10"/>
      <c r="UKN227" s="10"/>
      <c r="UKO227" s="21"/>
      <c r="UKP227" s="21"/>
      <c r="UKS227" s="21"/>
      <c r="UKT227" s="15"/>
      <c r="UKU227" s="15"/>
      <c r="UKV227" s="15"/>
      <c r="UKW227" s="15"/>
      <c r="UKX227" s="15"/>
      <c r="UKY227" s="15"/>
      <c r="UKZ227" s="15"/>
      <c r="ULA227" s="15"/>
      <c r="ULB227" s="15"/>
      <c r="ULC227" s="15"/>
      <c r="ULD227" s="10"/>
      <c r="ULE227" s="10"/>
      <c r="ULF227" s="21"/>
      <c r="ULG227" s="21"/>
      <c r="ULJ227" s="21"/>
      <c r="ULK227" s="15"/>
      <c r="ULL227" s="15"/>
      <c r="ULM227" s="15"/>
      <c r="ULN227" s="15"/>
      <c r="ULO227" s="15"/>
      <c r="ULP227" s="15"/>
      <c r="ULQ227" s="15"/>
      <c r="ULR227" s="15"/>
      <c r="ULS227" s="15"/>
      <c r="ULT227" s="15"/>
      <c r="ULU227" s="10"/>
      <c r="ULV227" s="10"/>
      <c r="ULW227" s="21"/>
      <c r="ULX227" s="21"/>
      <c r="UMA227" s="21"/>
      <c r="UMB227" s="15"/>
      <c r="UMC227" s="15"/>
      <c r="UMD227" s="15"/>
      <c r="UME227" s="15"/>
      <c r="UMF227" s="15"/>
      <c r="UMG227" s="15"/>
      <c r="UMH227" s="15"/>
      <c r="UMI227" s="15"/>
      <c r="UMJ227" s="15"/>
      <c r="UMK227" s="15"/>
      <c r="UML227" s="10"/>
      <c r="UMM227" s="10"/>
      <c r="UMN227" s="21"/>
      <c r="UMO227" s="21"/>
      <c r="UMR227" s="21"/>
      <c r="UMS227" s="15"/>
      <c r="UMT227" s="15"/>
      <c r="UMU227" s="15"/>
      <c r="UMV227" s="15"/>
      <c r="UMW227" s="15"/>
      <c r="UMX227" s="15"/>
      <c r="UMY227" s="15"/>
      <c r="UMZ227" s="15"/>
      <c r="UNA227" s="15"/>
      <c r="UNB227" s="15"/>
      <c r="UNC227" s="10"/>
      <c r="UND227" s="10"/>
      <c r="UNE227" s="21"/>
      <c r="UNF227" s="21"/>
      <c r="UNI227" s="21"/>
      <c r="UNJ227" s="15"/>
      <c r="UNK227" s="15"/>
      <c r="UNL227" s="15"/>
      <c r="UNM227" s="15"/>
      <c r="UNN227" s="15"/>
      <c r="UNO227" s="15"/>
      <c r="UNP227" s="15"/>
      <c r="UNQ227" s="15"/>
      <c r="UNR227" s="15"/>
      <c r="UNS227" s="15"/>
      <c r="UNT227" s="10"/>
      <c r="UNU227" s="10"/>
      <c r="UNV227" s="21"/>
      <c r="UNW227" s="21"/>
      <c r="UNZ227" s="21"/>
      <c r="UOA227" s="15"/>
      <c r="UOB227" s="15"/>
      <c r="UOC227" s="15"/>
      <c r="UOD227" s="15"/>
      <c r="UOE227" s="15"/>
      <c r="UOF227" s="15"/>
      <c r="UOG227" s="15"/>
      <c r="UOH227" s="15"/>
      <c r="UOI227" s="15"/>
      <c r="UOJ227" s="15"/>
      <c r="UOK227" s="10"/>
      <c r="UOL227" s="10"/>
      <c r="UOM227" s="21"/>
      <c r="UON227" s="21"/>
      <c r="UOQ227" s="21"/>
      <c r="UOR227" s="15"/>
      <c r="UOS227" s="15"/>
      <c r="UOT227" s="15"/>
      <c r="UOU227" s="15"/>
      <c r="UOV227" s="15"/>
      <c r="UOW227" s="15"/>
      <c r="UOX227" s="15"/>
      <c r="UOY227" s="15"/>
      <c r="UOZ227" s="15"/>
      <c r="UPA227" s="15"/>
      <c r="UPB227" s="10"/>
      <c r="UPC227" s="10"/>
      <c r="UPD227" s="21"/>
      <c r="UPE227" s="21"/>
      <c r="UPH227" s="21"/>
      <c r="UPI227" s="15"/>
      <c r="UPJ227" s="15"/>
      <c r="UPK227" s="15"/>
      <c r="UPL227" s="15"/>
      <c r="UPM227" s="15"/>
      <c r="UPN227" s="15"/>
      <c r="UPO227" s="15"/>
      <c r="UPP227" s="15"/>
      <c r="UPQ227" s="15"/>
      <c r="UPR227" s="15"/>
      <c r="UPS227" s="10"/>
      <c r="UPT227" s="10"/>
      <c r="UPU227" s="21"/>
      <c r="UPV227" s="21"/>
      <c r="UPY227" s="21"/>
      <c r="UPZ227" s="15"/>
      <c r="UQA227" s="15"/>
      <c r="UQB227" s="15"/>
      <c r="UQC227" s="15"/>
      <c r="UQD227" s="15"/>
      <c r="UQE227" s="15"/>
      <c r="UQF227" s="15"/>
      <c r="UQG227" s="15"/>
      <c r="UQH227" s="15"/>
      <c r="UQI227" s="15"/>
      <c r="UQJ227" s="10"/>
      <c r="UQK227" s="10"/>
      <c r="UQL227" s="21"/>
      <c r="UQM227" s="21"/>
      <c r="UQP227" s="21"/>
      <c r="UQQ227" s="15"/>
      <c r="UQR227" s="15"/>
      <c r="UQS227" s="15"/>
      <c r="UQT227" s="15"/>
      <c r="UQU227" s="15"/>
      <c r="UQV227" s="15"/>
      <c r="UQW227" s="15"/>
      <c r="UQX227" s="15"/>
      <c r="UQY227" s="15"/>
      <c r="UQZ227" s="15"/>
      <c r="URA227" s="10"/>
      <c r="URB227" s="10"/>
      <c r="URC227" s="21"/>
      <c r="URD227" s="21"/>
      <c r="URG227" s="21"/>
      <c r="URH227" s="15"/>
      <c r="URI227" s="15"/>
      <c r="URJ227" s="15"/>
      <c r="URK227" s="15"/>
      <c r="URL227" s="15"/>
      <c r="URM227" s="15"/>
      <c r="URN227" s="15"/>
      <c r="URO227" s="15"/>
      <c r="URP227" s="15"/>
      <c r="URQ227" s="15"/>
      <c r="URR227" s="10"/>
      <c r="URS227" s="10"/>
      <c r="URT227" s="21"/>
      <c r="URU227" s="21"/>
      <c r="URX227" s="21"/>
      <c r="URY227" s="15"/>
      <c r="URZ227" s="15"/>
      <c r="USA227" s="15"/>
      <c r="USB227" s="15"/>
      <c r="USC227" s="15"/>
      <c r="USD227" s="15"/>
      <c r="USE227" s="15"/>
      <c r="USF227" s="15"/>
      <c r="USG227" s="15"/>
      <c r="USH227" s="15"/>
      <c r="USI227" s="10"/>
      <c r="USJ227" s="10"/>
      <c r="USK227" s="21"/>
      <c r="USL227" s="21"/>
      <c r="USO227" s="21"/>
      <c r="USP227" s="15"/>
      <c r="USQ227" s="15"/>
      <c r="USR227" s="15"/>
      <c r="USS227" s="15"/>
      <c r="UST227" s="15"/>
      <c r="USU227" s="15"/>
      <c r="USV227" s="15"/>
      <c r="USW227" s="15"/>
      <c r="USX227" s="15"/>
      <c r="USY227" s="15"/>
      <c r="USZ227" s="10"/>
      <c r="UTA227" s="10"/>
      <c r="UTB227" s="21"/>
      <c r="UTC227" s="21"/>
      <c r="UTF227" s="21"/>
      <c r="UTG227" s="15"/>
      <c r="UTH227" s="15"/>
      <c r="UTI227" s="15"/>
      <c r="UTJ227" s="15"/>
      <c r="UTK227" s="15"/>
      <c r="UTL227" s="15"/>
      <c r="UTM227" s="15"/>
      <c r="UTN227" s="15"/>
      <c r="UTO227" s="15"/>
      <c r="UTP227" s="15"/>
      <c r="UTQ227" s="10"/>
      <c r="UTR227" s="10"/>
      <c r="UTS227" s="21"/>
      <c r="UTT227" s="21"/>
      <c r="UTW227" s="21"/>
      <c r="UTX227" s="15"/>
      <c r="UTY227" s="15"/>
      <c r="UTZ227" s="15"/>
      <c r="UUA227" s="15"/>
      <c r="UUB227" s="15"/>
      <c r="UUC227" s="15"/>
      <c r="UUD227" s="15"/>
      <c r="UUE227" s="15"/>
      <c r="UUF227" s="15"/>
      <c r="UUG227" s="15"/>
      <c r="UUH227" s="10"/>
      <c r="UUI227" s="10"/>
      <c r="UUJ227" s="21"/>
      <c r="UUK227" s="21"/>
      <c r="UUN227" s="21"/>
      <c r="UUO227" s="15"/>
      <c r="UUP227" s="15"/>
      <c r="UUQ227" s="15"/>
      <c r="UUR227" s="15"/>
      <c r="UUS227" s="15"/>
      <c r="UUT227" s="15"/>
      <c r="UUU227" s="15"/>
      <c r="UUV227" s="15"/>
      <c r="UUW227" s="15"/>
      <c r="UUX227" s="15"/>
      <c r="UUY227" s="10"/>
      <c r="UUZ227" s="10"/>
      <c r="UVA227" s="21"/>
      <c r="UVB227" s="21"/>
      <c r="UVE227" s="21"/>
      <c r="UVF227" s="15"/>
      <c r="UVG227" s="15"/>
      <c r="UVH227" s="15"/>
      <c r="UVI227" s="15"/>
      <c r="UVJ227" s="15"/>
      <c r="UVK227" s="15"/>
      <c r="UVL227" s="15"/>
      <c r="UVM227" s="15"/>
      <c r="UVN227" s="15"/>
      <c r="UVO227" s="15"/>
      <c r="UVP227" s="10"/>
      <c r="UVQ227" s="10"/>
      <c r="UVR227" s="21"/>
      <c r="UVS227" s="21"/>
      <c r="UVV227" s="21"/>
      <c r="UVW227" s="15"/>
      <c r="UVX227" s="15"/>
      <c r="UVY227" s="15"/>
      <c r="UVZ227" s="15"/>
      <c r="UWA227" s="15"/>
      <c r="UWB227" s="15"/>
      <c r="UWC227" s="15"/>
      <c r="UWD227" s="15"/>
      <c r="UWE227" s="15"/>
      <c r="UWF227" s="15"/>
      <c r="UWG227" s="10"/>
      <c r="UWH227" s="10"/>
      <c r="UWI227" s="21"/>
      <c r="UWJ227" s="21"/>
      <c r="UWM227" s="21"/>
      <c r="UWN227" s="15"/>
      <c r="UWO227" s="15"/>
      <c r="UWP227" s="15"/>
      <c r="UWQ227" s="15"/>
      <c r="UWR227" s="15"/>
      <c r="UWS227" s="15"/>
      <c r="UWT227" s="15"/>
      <c r="UWU227" s="15"/>
      <c r="UWV227" s="15"/>
      <c r="UWW227" s="15"/>
      <c r="UWX227" s="10"/>
      <c r="UWY227" s="10"/>
      <c r="UWZ227" s="21"/>
      <c r="UXA227" s="21"/>
      <c r="UXD227" s="21"/>
      <c r="UXE227" s="15"/>
      <c r="UXF227" s="15"/>
      <c r="UXG227" s="15"/>
      <c r="UXH227" s="15"/>
      <c r="UXI227" s="15"/>
      <c r="UXJ227" s="15"/>
      <c r="UXK227" s="15"/>
      <c r="UXL227" s="15"/>
      <c r="UXM227" s="15"/>
      <c r="UXN227" s="15"/>
      <c r="UXO227" s="10"/>
      <c r="UXP227" s="10"/>
      <c r="UXQ227" s="21"/>
      <c r="UXR227" s="21"/>
      <c r="UXU227" s="21"/>
      <c r="UXV227" s="15"/>
      <c r="UXW227" s="15"/>
      <c r="UXX227" s="15"/>
      <c r="UXY227" s="15"/>
      <c r="UXZ227" s="15"/>
      <c r="UYA227" s="15"/>
      <c r="UYB227" s="15"/>
      <c r="UYC227" s="15"/>
      <c r="UYD227" s="15"/>
      <c r="UYE227" s="15"/>
      <c r="UYF227" s="10"/>
      <c r="UYG227" s="10"/>
      <c r="UYH227" s="21"/>
      <c r="UYI227" s="21"/>
      <c r="UYL227" s="21"/>
      <c r="UYM227" s="15"/>
      <c r="UYN227" s="15"/>
      <c r="UYO227" s="15"/>
      <c r="UYP227" s="15"/>
      <c r="UYQ227" s="15"/>
      <c r="UYR227" s="15"/>
      <c r="UYS227" s="15"/>
      <c r="UYT227" s="15"/>
      <c r="UYU227" s="15"/>
      <c r="UYV227" s="15"/>
      <c r="UYW227" s="10"/>
      <c r="UYX227" s="10"/>
      <c r="UYY227" s="21"/>
      <c r="UYZ227" s="21"/>
      <c r="UZC227" s="21"/>
      <c r="UZD227" s="15"/>
      <c r="UZE227" s="15"/>
      <c r="UZF227" s="15"/>
      <c r="UZG227" s="15"/>
      <c r="UZH227" s="15"/>
      <c r="UZI227" s="15"/>
      <c r="UZJ227" s="15"/>
      <c r="UZK227" s="15"/>
      <c r="UZL227" s="15"/>
      <c r="UZM227" s="15"/>
      <c r="UZN227" s="10"/>
      <c r="UZO227" s="10"/>
      <c r="UZP227" s="21"/>
      <c r="UZQ227" s="21"/>
      <c r="UZT227" s="21"/>
      <c r="UZU227" s="15"/>
      <c r="UZV227" s="15"/>
      <c r="UZW227" s="15"/>
      <c r="UZX227" s="15"/>
      <c r="UZY227" s="15"/>
      <c r="UZZ227" s="15"/>
      <c r="VAA227" s="15"/>
      <c r="VAB227" s="15"/>
      <c r="VAC227" s="15"/>
      <c r="VAD227" s="15"/>
      <c r="VAE227" s="10"/>
      <c r="VAF227" s="10"/>
      <c r="VAG227" s="21"/>
      <c r="VAH227" s="21"/>
      <c r="VAK227" s="21"/>
      <c r="VAL227" s="15"/>
      <c r="VAM227" s="15"/>
      <c r="VAN227" s="15"/>
      <c r="VAO227" s="15"/>
      <c r="VAP227" s="15"/>
      <c r="VAQ227" s="15"/>
      <c r="VAR227" s="15"/>
      <c r="VAS227" s="15"/>
      <c r="VAT227" s="15"/>
      <c r="VAU227" s="15"/>
      <c r="VAV227" s="10"/>
      <c r="VAW227" s="10"/>
      <c r="VAX227" s="21"/>
      <c r="VAY227" s="21"/>
      <c r="VBB227" s="21"/>
      <c r="VBC227" s="15"/>
      <c r="VBD227" s="15"/>
      <c r="VBE227" s="15"/>
      <c r="VBF227" s="15"/>
      <c r="VBG227" s="15"/>
      <c r="VBH227" s="15"/>
      <c r="VBI227" s="15"/>
      <c r="VBJ227" s="15"/>
      <c r="VBK227" s="15"/>
      <c r="VBL227" s="15"/>
      <c r="VBM227" s="10"/>
      <c r="VBN227" s="10"/>
      <c r="VBO227" s="21"/>
      <c r="VBP227" s="21"/>
      <c r="VBS227" s="21"/>
      <c r="VBT227" s="15"/>
      <c r="VBU227" s="15"/>
      <c r="VBV227" s="15"/>
      <c r="VBW227" s="15"/>
      <c r="VBX227" s="15"/>
      <c r="VBY227" s="15"/>
      <c r="VBZ227" s="15"/>
      <c r="VCA227" s="15"/>
      <c r="VCB227" s="15"/>
      <c r="VCC227" s="15"/>
      <c r="VCD227" s="10"/>
      <c r="VCE227" s="10"/>
      <c r="VCF227" s="21"/>
      <c r="VCG227" s="21"/>
      <c r="VCJ227" s="21"/>
      <c r="VCK227" s="15"/>
      <c r="VCL227" s="15"/>
      <c r="VCM227" s="15"/>
      <c r="VCN227" s="15"/>
      <c r="VCO227" s="15"/>
      <c r="VCP227" s="15"/>
      <c r="VCQ227" s="15"/>
      <c r="VCR227" s="15"/>
      <c r="VCS227" s="15"/>
      <c r="VCT227" s="15"/>
      <c r="VCU227" s="10"/>
      <c r="VCV227" s="10"/>
      <c r="VCW227" s="21"/>
      <c r="VCX227" s="21"/>
      <c r="VDA227" s="21"/>
      <c r="VDB227" s="15"/>
      <c r="VDC227" s="15"/>
      <c r="VDD227" s="15"/>
      <c r="VDE227" s="15"/>
      <c r="VDF227" s="15"/>
      <c r="VDG227" s="15"/>
      <c r="VDH227" s="15"/>
      <c r="VDI227" s="15"/>
      <c r="VDJ227" s="15"/>
      <c r="VDK227" s="15"/>
      <c r="VDL227" s="10"/>
      <c r="VDM227" s="10"/>
      <c r="VDN227" s="21"/>
      <c r="VDO227" s="21"/>
      <c r="VDR227" s="21"/>
      <c r="VDS227" s="15"/>
      <c r="VDT227" s="15"/>
      <c r="VDU227" s="15"/>
      <c r="VDV227" s="15"/>
      <c r="VDW227" s="15"/>
      <c r="VDX227" s="15"/>
      <c r="VDY227" s="15"/>
      <c r="VDZ227" s="15"/>
      <c r="VEA227" s="15"/>
      <c r="VEB227" s="15"/>
      <c r="VEC227" s="10"/>
      <c r="VED227" s="10"/>
      <c r="VEE227" s="21"/>
      <c r="VEF227" s="21"/>
      <c r="VEI227" s="21"/>
      <c r="VEJ227" s="15"/>
      <c r="VEK227" s="15"/>
      <c r="VEL227" s="15"/>
      <c r="VEM227" s="15"/>
      <c r="VEN227" s="15"/>
      <c r="VEO227" s="15"/>
      <c r="VEP227" s="15"/>
      <c r="VEQ227" s="15"/>
      <c r="VER227" s="15"/>
      <c r="VES227" s="15"/>
      <c r="VET227" s="10"/>
      <c r="VEU227" s="10"/>
      <c r="VEV227" s="21"/>
      <c r="VEW227" s="21"/>
      <c r="VEZ227" s="21"/>
      <c r="VFA227" s="15"/>
      <c r="VFB227" s="15"/>
      <c r="VFC227" s="15"/>
      <c r="VFD227" s="15"/>
      <c r="VFE227" s="15"/>
      <c r="VFF227" s="15"/>
      <c r="VFG227" s="15"/>
      <c r="VFH227" s="15"/>
      <c r="VFI227" s="15"/>
      <c r="VFJ227" s="15"/>
      <c r="VFK227" s="10"/>
      <c r="VFL227" s="10"/>
      <c r="VFM227" s="21"/>
      <c r="VFN227" s="21"/>
      <c r="VFQ227" s="21"/>
      <c r="VFR227" s="15"/>
      <c r="VFS227" s="15"/>
      <c r="VFT227" s="15"/>
      <c r="VFU227" s="15"/>
      <c r="VFV227" s="15"/>
      <c r="VFW227" s="15"/>
      <c r="VFX227" s="15"/>
      <c r="VFY227" s="15"/>
      <c r="VFZ227" s="15"/>
      <c r="VGA227" s="15"/>
      <c r="VGB227" s="10"/>
      <c r="VGC227" s="10"/>
      <c r="VGD227" s="21"/>
      <c r="VGE227" s="21"/>
      <c r="VGH227" s="21"/>
      <c r="VGI227" s="15"/>
      <c r="VGJ227" s="15"/>
      <c r="VGK227" s="15"/>
      <c r="VGL227" s="15"/>
      <c r="VGM227" s="15"/>
      <c r="VGN227" s="15"/>
      <c r="VGO227" s="15"/>
      <c r="VGP227" s="15"/>
      <c r="VGQ227" s="15"/>
      <c r="VGR227" s="15"/>
      <c r="VGS227" s="10"/>
      <c r="VGT227" s="10"/>
      <c r="VGU227" s="21"/>
      <c r="VGV227" s="21"/>
      <c r="VGY227" s="21"/>
      <c r="VGZ227" s="15"/>
      <c r="VHA227" s="15"/>
      <c r="VHB227" s="15"/>
      <c r="VHC227" s="15"/>
      <c r="VHD227" s="15"/>
      <c r="VHE227" s="15"/>
      <c r="VHF227" s="15"/>
      <c r="VHG227" s="15"/>
      <c r="VHH227" s="15"/>
      <c r="VHI227" s="15"/>
      <c r="VHJ227" s="10"/>
      <c r="VHK227" s="10"/>
      <c r="VHL227" s="21"/>
      <c r="VHM227" s="21"/>
      <c r="VHP227" s="21"/>
      <c r="VHQ227" s="15"/>
      <c r="VHR227" s="15"/>
      <c r="VHS227" s="15"/>
      <c r="VHT227" s="15"/>
      <c r="VHU227" s="15"/>
      <c r="VHV227" s="15"/>
      <c r="VHW227" s="15"/>
      <c r="VHX227" s="15"/>
      <c r="VHY227" s="15"/>
      <c r="VHZ227" s="15"/>
      <c r="VIA227" s="10"/>
      <c r="VIB227" s="10"/>
      <c r="VIC227" s="21"/>
      <c r="VID227" s="21"/>
      <c r="VIG227" s="21"/>
      <c r="VIH227" s="15"/>
      <c r="VII227" s="15"/>
      <c r="VIJ227" s="15"/>
      <c r="VIK227" s="15"/>
      <c r="VIL227" s="15"/>
      <c r="VIM227" s="15"/>
      <c r="VIN227" s="15"/>
      <c r="VIO227" s="15"/>
      <c r="VIP227" s="15"/>
      <c r="VIQ227" s="15"/>
      <c r="VIR227" s="10"/>
      <c r="VIS227" s="10"/>
      <c r="VIT227" s="21"/>
      <c r="VIU227" s="21"/>
      <c r="VIX227" s="21"/>
      <c r="VIY227" s="15"/>
      <c r="VIZ227" s="15"/>
      <c r="VJA227" s="15"/>
      <c r="VJB227" s="15"/>
      <c r="VJC227" s="15"/>
      <c r="VJD227" s="15"/>
      <c r="VJE227" s="15"/>
      <c r="VJF227" s="15"/>
      <c r="VJG227" s="15"/>
      <c r="VJH227" s="15"/>
      <c r="VJI227" s="10"/>
      <c r="VJJ227" s="10"/>
      <c r="VJK227" s="21"/>
      <c r="VJL227" s="21"/>
      <c r="VJO227" s="21"/>
      <c r="VJP227" s="15"/>
      <c r="VJQ227" s="15"/>
      <c r="VJR227" s="15"/>
      <c r="VJS227" s="15"/>
      <c r="VJT227" s="15"/>
      <c r="VJU227" s="15"/>
      <c r="VJV227" s="15"/>
      <c r="VJW227" s="15"/>
      <c r="VJX227" s="15"/>
      <c r="VJY227" s="15"/>
      <c r="VJZ227" s="10"/>
      <c r="VKA227" s="10"/>
      <c r="VKB227" s="21"/>
      <c r="VKC227" s="21"/>
      <c r="VKF227" s="21"/>
      <c r="VKG227" s="15"/>
      <c r="VKH227" s="15"/>
      <c r="VKI227" s="15"/>
      <c r="VKJ227" s="15"/>
      <c r="VKK227" s="15"/>
      <c r="VKL227" s="15"/>
      <c r="VKM227" s="15"/>
      <c r="VKN227" s="15"/>
      <c r="VKO227" s="15"/>
      <c r="VKP227" s="15"/>
      <c r="VKQ227" s="10"/>
      <c r="VKR227" s="10"/>
      <c r="VKS227" s="21"/>
      <c r="VKT227" s="21"/>
      <c r="VKW227" s="21"/>
      <c r="VKX227" s="15"/>
      <c r="VKY227" s="15"/>
      <c r="VKZ227" s="15"/>
      <c r="VLA227" s="15"/>
      <c r="VLB227" s="15"/>
      <c r="VLC227" s="15"/>
      <c r="VLD227" s="15"/>
      <c r="VLE227" s="15"/>
      <c r="VLF227" s="15"/>
      <c r="VLG227" s="15"/>
      <c r="VLH227" s="10"/>
      <c r="VLI227" s="10"/>
      <c r="VLJ227" s="21"/>
      <c r="VLK227" s="21"/>
      <c r="VLN227" s="21"/>
      <c r="VLO227" s="15"/>
      <c r="VLP227" s="15"/>
      <c r="VLQ227" s="15"/>
      <c r="VLR227" s="15"/>
      <c r="VLS227" s="15"/>
      <c r="VLT227" s="15"/>
      <c r="VLU227" s="15"/>
      <c r="VLV227" s="15"/>
      <c r="VLW227" s="15"/>
      <c r="VLX227" s="15"/>
      <c r="VLY227" s="10"/>
      <c r="VLZ227" s="10"/>
      <c r="VMA227" s="21"/>
      <c r="VMB227" s="21"/>
      <c r="VME227" s="21"/>
      <c r="VMF227" s="15"/>
      <c r="VMG227" s="15"/>
      <c r="VMH227" s="15"/>
      <c r="VMI227" s="15"/>
      <c r="VMJ227" s="15"/>
      <c r="VMK227" s="15"/>
      <c r="VML227" s="15"/>
      <c r="VMM227" s="15"/>
      <c r="VMN227" s="15"/>
      <c r="VMO227" s="15"/>
      <c r="VMP227" s="10"/>
      <c r="VMQ227" s="10"/>
      <c r="VMR227" s="21"/>
      <c r="VMS227" s="21"/>
      <c r="VMV227" s="21"/>
      <c r="VMW227" s="15"/>
      <c r="VMX227" s="15"/>
      <c r="VMY227" s="15"/>
      <c r="VMZ227" s="15"/>
      <c r="VNA227" s="15"/>
      <c r="VNB227" s="15"/>
      <c r="VNC227" s="15"/>
      <c r="VND227" s="15"/>
      <c r="VNE227" s="15"/>
      <c r="VNF227" s="15"/>
      <c r="VNG227" s="10"/>
      <c r="VNH227" s="10"/>
      <c r="VNI227" s="21"/>
      <c r="VNJ227" s="21"/>
      <c r="VNM227" s="21"/>
      <c r="VNN227" s="15"/>
      <c r="VNO227" s="15"/>
      <c r="VNP227" s="15"/>
      <c r="VNQ227" s="15"/>
      <c r="VNR227" s="15"/>
      <c r="VNS227" s="15"/>
      <c r="VNT227" s="15"/>
      <c r="VNU227" s="15"/>
      <c r="VNV227" s="15"/>
      <c r="VNW227" s="15"/>
      <c r="VNX227" s="10"/>
      <c r="VNY227" s="10"/>
      <c r="VNZ227" s="21"/>
      <c r="VOA227" s="21"/>
      <c r="VOD227" s="21"/>
      <c r="VOE227" s="15"/>
      <c r="VOF227" s="15"/>
      <c r="VOG227" s="15"/>
      <c r="VOH227" s="15"/>
      <c r="VOI227" s="15"/>
      <c r="VOJ227" s="15"/>
      <c r="VOK227" s="15"/>
      <c r="VOL227" s="15"/>
      <c r="VOM227" s="15"/>
      <c r="VON227" s="15"/>
      <c r="VOO227" s="10"/>
      <c r="VOP227" s="10"/>
      <c r="VOQ227" s="21"/>
      <c r="VOR227" s="21"/>
      <c r="VOU227" s="21"/>
      <c r="VOV227" s="15"/>
      <c r="VOW227" s="15"/>
      <c r="VOX227" s="15"/>
      <c r="VOY227" s="15"/>
      <c r="VOZ227" s="15"/>
      <c r="VPA227" s="15"/>
      <c r="VPB227" s="15"/>
      <c r="VPC227" s="15"/>
      <c r="VPD227" s="15"/>
      <c r="VPE227" s="15"/>
      <c r="VPF227" s="10"/>
      <c r="VPG227" s="10"/>
      <c r="VPH227" s="21"/>
      <c r="VPI227" s="21"/>
      <c r="VPL227" s="21"/>
      <c r="VPM227" s="15"/>
      <c r="VPN227" s="15"/>
      <c r="VPO227" s="15"/>
      <c r="VPP227" s="15"/>
      <c r="VPQ227" s="15"/>
      <c r="VPR227" s="15"/>
      <c r="VPS227" s="15"/>
      <c r="VPT227" s="15"/>
      <c r="VPU227" s="15"/>
      <c r="VPV227" s="15"/>
      <c r="VPW227" s="10"/>
      <c r="VPX227" s="10"/>
      <c r="VPY227" s="21"/>
      <c r="VPZ227" s="21"/>
      <c r="VQC227" s="21"/>
      <c r="VQD227" s="15"/>
      <c r="VQE227" s="15"/>
      <c r="VQF227" s="15"/>
      <c r="VQG227" s="15"/>
      <c r="VQH227" s="15"/>
      <c r="VQI227" s="15"/>
      <c r="VQJ227" s="15"/>
      <c r="VQK227" s="15"/>
      <c r="VQL227" s="15"/>
      <c r="VQM227" s="15"/>
      <c r="VQN227" s="10"/>
      <c r="VQO227" s="10"/>
      <c r="VQP227" s="21"/>
      <c r="VQQ227" s="21"/>
      <c r="VQT227" s="21"/>
      <c r="VQU227" s="15"/>
      <c r="VQV227" s="15"/>
      <c r="VQW227" s="15"/>
      <c r="VQX227" s="15"/>
      <c r="VQY227" s="15"/>
      <c r="VQZ227" s="15"/>
      <c r="VRA227" s="15"/>
      <c r="VRB227" s="15"/>
      <c r="VRC227" s="15"/>
      <c r="VRD227" s="15"/>
      <c r="VRE227" s="10"/>
      <c r="VRF227" s="10"/>
      <c r="VRG227" s="21"/>
      <c r="VRH227" s="21"/>
      <c r="VRK227" s="21"/>
      <c r="VRL227" s="15"/>
      <c r="VRM227" s="15"/>
      <c r="VRN227" s="15"/>
      <c r="VRO227" s="15"/>
      <c r="VRP227" s="15"/>
      <c r="VRQ227" s="15"/>
      <c r="VRR227" s="15"/>
      <c r="VRS227" s="15"/>
      <c r="VRT227" s="15"/>
      <c r="VRU227" s="15"/>
      <c r="VRV227" s="10"/>
      <c r="VRW227" s="10"/>
      <c r="VRX227" s="21"/>
      <c r="VRY227" s="21"/>
      <c r="VSB227" s="21"/>
      <c r="VSC227" s="15"/>
      <c r="VSD227" s="15"/>
      <c r="VSE227" s="15"/>
      <c r="VSF227" s="15"/>
      <c r="VSG227" s="15"/>
      <c r="VSH227" s="15"/>
      <c r="VSI227" s="15"/>
      <c r="VSJ227" s="15"/>
      <c r="VSK227" s="15"/>
      <c r="VSL227" s="15"/>
      <c r="VSM227" s="10"/>
      <c r="VSN227" s="10"/>
      <c r="VSO227" s="21"/>
      <c r="VSP227" s="21"/>
      <c r="VSS227" s="21"/>
      <c r="VST227" s="15"/>
      <c r="VSU227" s="15"/>
      <c r="VSV227" s="15"/>
      <c r="VSW227" s="15"/>
      <c r="VSX227" s="15"/>
      <c r="VSY227" s="15"/>
      <c r="VSZ227" s="15"/>
      <c r="VTA227" s="15"/>
      <c r="VTB227" s="15"/>
      <c r="VTC227" s="15"/>
      <c r="VTD227" s="10"/>
      <c r="VTE227" s="10"/>
      <c r="VTF227" s="21"/>
      <c r="VTG227" s="21"/>
      <c r="VTJ227" s="21"/>
      <c r="VTK227" s="15"/>
      <c r="VTL227" s="15"/>
      <c r="VTM227" s="15"/>
      <c r="VTN227" s="15"/>
      <c r="VTO227" s="15"/>
      <c r="VTP227" s="15"/>
      <c r="VTQ227" s="15"/>
      <c r="VTR227" s="15"/>
      <c r="VTS227" s="15"/>
      <c r="VTT227" s="15"/>
      <c r="VTU227" s="10"/>
      <c r="VTV227" s="10"/>
      <c r="VTW227" s="21"/>
      <c r="VTX227" s="21"/>
      <c r="VUA227" s="21"/>
      <c r="VUB227" s="15"/>
      <c r="VUC227" s="15"/>
      <c r="VUD227" s="15"/>
      <c r="VUE227" s="15"/>
      <c r="VUF227" s="15"/>
      <c r="VUG227" s="15"/>
      <c r="VUH227" s="15"/>
      <c r="VUI227" s="15"/>
      <c r="VUJ227" s="15"/>
      <c r="VUK227" s="15"/>
      <c r="VUL227" s="10"/>
      <c r="VUM227" s="10"/>
      <c r="VUN227" s="21"/>
      <c r="VUO227" s="21"/>
      <c r="VUR227" s="21"/>
      <c r="VUS227" s="15"/>
      <c r="VUT227" s="15"/>
      <c r="VUU227" s="15"/>
      <c r="VUV227" s="15"/>
      <c r="VUW227" s="15"/>
      <c r="VUX227" s="15"/>
      <c r="VUY227" s="15"/>
      <c r="VUZ227" s="15"/>
      <c r="VVA227" s="15"/>
      <c r="VVB227" s="15"/>
      <c r="VVC227" s="10"/>
      <c r="VVD227" s="10"/>
      <c r="VVE227" s="21"/>
      <c r="VVF227" s="21"/>
      <c r="VVI227" s="21"/>
      <c r="VVJ227" s="15"/>
      <c r="VVK227" s="15"/>
      <c r="VVL227" s="15"/>
      <c r="VVM227" s="15"/>
      <c r="VVN227" s="15"/>
      <c r="VVO227" s="15"/>
      <c r="VVP227" s="15"/>
      <c r="VVQ227" s="15"/>
      <c r="VVR227" s="15"/>
      <c r="VVS227" s="15"/>
      <c r="VVT227" s="10"/>
      <c r="VVU227" s="10"/>
      <c r="VVV227" s="21"/>
      <c r="VVW227" s="21"/>
      <c r="VVZ227" s="21"/>
      <c r="VWA227" s="15"/>
      <c r="VWB227" s="15"/>
      <c r="VWC227" s="15"/>
      <c r="VWD227" s="15"/>
      <c r="VWE227" s="15"/>
      <c r="VWF227" s="15"/>
      <c r="VWG227" s="15"/>
      <c r="VWH227" s="15"/>
      <c r="VWI227" s="15"/>
      <c r="VWJ227" s="15"/>
      <c r="VWK227" s="10"/>
      <c r="VWL227" s="10"/>
      <c r="VWM227" s="21"/>
      <c r="VWN227" s="21"/>
      <c r="VWQ227" s="21"/>
      <c r="VWR227" s="15"/>
      <c r="VWS227" s="15"/>
      <c r="VWT227" s="15"/>
      <c r="VWU227" s="15"/>
      <c r="VWV227" s="15"/>
      <c r="VWW227" s="15"/>
      <c r="VWX227" s="15"/>
      <c r="VWY227" s="15"/>
      <c r="VWZ227" s="15"/>
      <c r="VXA227" s="15"/>
      <c r="VXB227" s="10"/>
      <c r="VXC227" s="10"/>
      <c r="VXD227" s="21"/>
      <c r="VXE227" s="21"/>
      <c r="VXH227" s="21"/>
      <c r="VXI227" s="15"/>
      <c r="VXJ227" s="15"/>
      <c r="VXK227" s="15"/>
      <c r="VXL227" s="15"/>
      <c r="VXM227" s="15"/>
      <c r="VXN227" s="15"/>
      <c r="VXO227" s="15"/>
      <c r="VXP227" s="15"/>
      <c r="VXQ227" s="15"/>
      <c r="VXR227" s="15"/>
      <c r="VXS227" s="10"/>
      <c r="VXT227" s="10"/>
      <c r="VXU227" s="21"/>
      <c r="VXV227" s="21"/>
      <c r="VXY227" s="21"/>
      <c r="VXZ227" s="15"/>
      <c r="VYA227" s="15"/>
      <c r="VYB227" s="15"/>
      <c r="VYC227" s="15"/>
      <c r="VYD227" s="15"/>
      <c r="VYE227" s="15"/>
      <c r="VYF227" s="15"/>
      <c r="VYG227" s="15"/>
      <c r="VYH227" s="15"/>
      <c r="VYI227" s="15"/>
      <c r="VYJ227" s="10"/>
      <c r="VYK227" s="10"/>
      <c r="VYL227" s="21"/>
      <c r="VYM227" s="21"/>
      <c r="VYP227" s="21"/>
      <c r="VYQ227" s="15"/>
      <c r="VYR227" s="15"/>
      <c r="VYS227" s="15"/>
      <c r="VYT227" s="15"/>
      <c r="VYU227" s="15"/>
      <c r="VYV227" s="15"/>
      <c r="VYW227" s="15"/>
      <c r="VYX227" s="15"/>
      <c r="VYY227" s="15"/>
      <c r="VYZ227" s="15"/>
      <c r="VZA227" s="10"/>
      <c r="VZB227" s="10"/>
      <c r="VZC227" s="21"/>
      <c r="VZD227" s="21"/>
      <c r="VZG227" s="21"/>
      <c r="VZH227" s="15"/>
      <c r="VZI227" s="15"/>
      <c r="VZJ227" s="15"/>
      <c r="VZK227" s="15"/>
      <c r="VZL227" s="15"/>
      <c r="VZM227" s="15"/>
      <c r="VZN227" s="15"/>
      <c r="VZO227" s="15"/>
      <c r="VZP227" s="15"/>
      <c r="VZQ227" s="15"/>
      <c r="VZR227" s="10"/>
      <c r="VZS227" s="10"/>
      <c r="VZT227" s="21"/>
      <c r="VZU227" s="21"/>
      <c r="VZX227" s="21"/>
      <c r="VZY227" s="15"/>
      <c r="VZZ227" s="15"/>
      <c r="WAA227" s="15"/>
      <c r="WAB227" s="15"/>
      <c r="WAC227" s="15"/>
      <c r="WAD227" s="15"/>
      <c r="WAE227" s="15"/>
      <c r="WAF227" s="15"/>
      <c r="WAG227" s="15"/>
      <c r="WAH227" s="15"/>
      <c r="WAI227" s="10"/>
      <c r="WAJ227" s="10"/>
      <c r="WAK227" s="21"/>
      <c r="WAL227" s="21"/>
      <c r="WAO227" s="21"/>
      <c r="WAP227" s="15"/>
      <c r="WAQ227" s="15"/>
      <c r="WAR227" s="15"/>
      <c r="WAS227" s="15"/>
      <c r="WAT227" s="15"/>
      <c r="WAU227" s="15"/>
      <c r="WAV227" s="15"/>
      <c r="WAW227" s="15"/>
      <c r="WAX227" s="15"/>
      <c r="WAY227" s="15"/>
      <c r="WAZ227" s="10"/>
      <c r="WBA227" s="10"/>
      <c r="WBB227" s="21"/>
      <c r="WBC227" s="21"/>
      <c r="WBF227" s="21"/>
      <c r="WBG227" s="15"/>
      <c r="WBH227" s="15"/>
      <c r="WBI227" s="15"/>
      <c r="WBJ227" s="15"/>
      <c r="WBK227" s="15"/>
      <c r="WBL227" s="15"/>
      <c r="WBM227" s="15"/>
      <c r="WBN227" s="15"/>
      <c r="WBO227" s="15"/>
      <c r="WBP227" s="15"/>
      <c r="WBQ227" s="10"/>
      <c r="WBR227" s="10"/>
      <c r="WBS227" s="21"/>
      <c r="WBT227" s="21"/>
      <c r="WBW227" s="21"/>
      <c r="WBX227" s="15"/>
      <c r="WBY227" s="15"/>
      <c r="WBZ227" s="15"/>
      <c r="WCA227" s="15"/>
      <c r="WCB227" s="15"/>
      <c r="WCC227" s="15"/>
      <c r="WCD227" s="15"/>
      <c r="WCE227" s="15"/>
      <c r="WCF227" s="15"/>
      <c r="WCG227" s="15"/>
      <c r="WCH227" s="10"/>
      <c r="WCI227" s="10"/>
      <c r="WCJ227" s="21"/>
      <c r="WCK227" s="21"/>
      <c r="WCN227" s="21"/>
      <c r="WCO227" s="15"/>
      <c r="WCP227" s="15"/>
      <c r="WCQ227" s="15"/>
      <c r="WCR227" s="15"/>
      <c r="WCS227" s="15"/>
      <c r="WCT227" s="15"/>
      <c r="WCU227" s="15"/>
      <c r="WCV227" s="15"/>
      <c r="WCW227" s="15"/>
      <c r="WCX227" s="15"/>
      <c r="WCY227" s="10"/>
      <c r="WCZ227" s="10"/>
      <c r="WDA227" s="21"/>
      <c r="WDB227" s="21"/>
      <c r="WDE227" s="21"/>
      <c r="WDF227" s="15"/>
      <c r="WDG227" s="15"/>
      <c r="WDH227" s="15"/>
      <c r="WDI227" s="15"/>
      <c r="WDJ227" s="15"/>
      <c r="WDK227" s="15"/>
      <c r="WDL227" s="15"/>
      <c r="WDM227" s="15"/>
      <c r="WDN227" s="15"/>
      <c r="WDO227" s="15"/>
      <c r="WDP227" s="10"/>
      <c r="WDQ227" s="10"/>
      <c r="WDR227" s="21"/>
      <c r="WDS227" s="21"/>
      <c r="WDV227" s="21"/>
      <c r="WDW227" s="15"/>
      <c r="WDX227" s="15"/>
      <c r="WDY227" s="15"/>
      <c r="WDZ227" s="15"/>
      <c r="WEA227" s="15"/>
      <c r="WEB227" s="15"/>
      <c r="WEC227" s="15"/>
      <c r="WED227" s="15"/>
      <c r="WEE227" s="15"/>
      <c r="WEF227" s="15"/>
      <c r="WEG227" s="10"/>
      <c r="WEH227" s="10"/>
      <c r="WEI227" s="21"/>
      <c r="WEJ227" s="21"/>
      <c r="WEM227" s="21"/>
      <c r="WEN227" s="15"/>
      <c r="WEO227" s="15"/>
      <c r="WEP227" s="15"/>
      <c r="WEQ227" s="15"/>
      <c r="WER227" s="15"/>
      <c r="WES227" s="15"/>
      <c r="WET227" s="15"/>
      <c r="WEU227" s="15"/>
      <c r="WEV227" s="15"/>
      <c r="WEW227" s="15"/>
      <c r="WEX227" s="10"/>
      <c r="WEY227" s="10"/>
      <c r="WEZ227" s="21"/>
      <c r="WFA227" s="21"/>
      <c r="WFD227" s="21"/>
      <c r="WFE227" s="15"/>
      <c r="WFF227" s="15"/>
      <c r="WFG227" s="15"/>
      <c r="WFH227" s="15"/>
      <c r="WFI227" s="15"/>
      <c r="WFJ227" s="15"/>
      <c r="WFK227" s="15"/>
      <c r="WFL227" s="15"/>
      <c r="WFM227" s="15"/>
      <c r="WFN227" s="15"/>
      <c r="WFO227" s="10"/>
      <c r="WFP227" s="10"/>
      <c r="WFQ227" s="21"/>
      <c r="WFR227" s="21"/>
      <c r="WFU227" s="21"/>
      <c r="WFV227" s="15"/>
      <c r="WFW227" s="15"/>
      <c r="WFX227" s="15"/>
      <c r="WFY227" s="15"/>
      <c r="WFZ227" s="15"/>
      <c r="WGA227" s="15"/>
      <c r="WGB227" s="15"/>
      <c r="WGC227" s="15"/>
      <c r="WGD227" s="15"/>
      <c r="WGE227" s="15"/>
      <c r="WGF227" s="10"/>
      <c r="WGG227" s="10"/>
      <c r="WGH227" s="21"/>
      <c r="WGI227" s="21"/>
      <c r="WGL227" s="21"/>
      <c r="WGM227" s="15"/>
      <c r="WGN227" s="15"/>
      <c r="WGO227" s="15"/>
      <c r="WGP227" s="15"/>
      <c r="WGQ227" s="15"/>
      <c r="WGR227" s="15"/>
      <c r="WGS227" s="15"/>
      <c r="WGT227" s="15"/>
      <c r="WGU227" s="15"/>
      <c r="WGV227" s="15"/>
      <c r="WGW227" s="10"/>
      <c r="WGX227" s="10"/>
      <c r="WGY227" s="21"/>
      <c r="WGZ227" s="21"/>
      <c r="WHC227" s="21"/>
      <c r="WHD227" s="15"/>
      <c r="WHE227" s="15"/>
      <c r="WHF227" s="15"/>
      <c r="WHG227" s="15"/>
      <c r="WHH227" s="15"/>
      <c r="WHI227" s="15"/>
      <c r="WHJ227" s="15"/>
      <c r="WHK227" s="15"/>
      <c r="WHL227" s="15"/>
      <c r="WHM227" s="15"/>
      <c r="WHN227" s="10"/>
      <c r="WHO227" s="10"/>
      <c r="WHP227" s="21"/>
      <c r="WHQ227" s="21"/>
      <c r="WHT227" s="21"/>
      <c r="WHU227" s="15"/>
      <c r="WHV227" s="15"/>
      <c r="WHW227" s="15"/>
      <c r="WHX227" s="15"/>
      <c r="WHY227" s="15"/>
      <c r="WHZ227" s="15"/>
      <c r="WIA227" s="15"/>
      <c r="WIB227" s="15"/>
      <c r="WIC227" s="15"/>
      <c r="WID227" s="15"/>
      <c r="WIE227" s="10"/>
      <c r="WIF227" s="10"/>
      <c r="WIG227" s="21"/>
      <c r="WIH227" s="21"/>
      <c r="WIK227" s="21"/>
      <c r="WIL227" s="15"/>
      <c r="WIM227" s="15"/>
      <c r="WIN227" s="15"/>
      <c r="WIO227" s="15"/>
      <c r="WIP227" s="15"/>
      <c r="WIQ227" s="15"/>
      <c r="WIR227" s="15"/>
      <c r="WIS227" s="15"/>
      <c r="WIT227" s="15"/>
      <c r="WIU227" s="15"/>
      <c r="WIV227" s="10"/>
      <c r="WIW227" s="10"/>
      <c r="WIX227" s="21"/>
      <c r="WIY227" s="21"/>
      <c r="WJB227" s="21"/>
      <c r="WJC227" s="15"/>
      <c r="WJD227" s="15"/>
      <c r="WJE227" s="15"/>
      <c r="WJF227" s="15"/>
      <c r="WJG227" s="15"/>
      <c r="WJH227" s="15"/>
      <c r="WJI227" s="15"/>
      <c r="WJJ227" s="15"/>
      <c r="WJK227" s="15"/>
      <c r="WJL227" s="15"/>
      <c r="WJM227" s="10"/>
      <c r="WJN227" s="10"/>
      <c r="WJO227" s="21"/>
      <c r="WJP227" s="21"/>
      <c r="WJS227" s="21"/>
      <c r="WJT227" s="15"/>
      <c r="WJU227" s="15"/>
      <c r="WJV227" s="15"/>
      <c r="WJW227" s="15"/>
      <c r="WJX227" s="15"/>
      <c r="WJY227" s="15"/>
      <c r="WJZ227" s="15"/>
      <c r="WKA227" s="15"/>
      <c r="WKB227" s="15"/>
      <c r="WKC227" s="15"/>
      <c r="WKD227" s="10"/>
      <c r="WKE227" s="10"/>
      <c r="WKF227" s="21"/>
      <c r="WKG227" s="21"/>
      <c r="WKJ227" s="21"/>
      <c r="WKK227" s="15"/>
      <c r="WKL227" s="15"/>
      <c r="WKM227" s="15"/>
      <c r="WKN227" s="15"/>
      <c r="WKO227" s="15"/>
      <c r="WKP227" s="15"/>
      <c r="WKQ227" s="15"/>
      <c r="WKR227" s="15"/>
      <c r="WKS227" s="15"/>
      <c r="WKT227" s="15"/>
      <c r="WKU227" s="10"/>
      <c r="WKV227" s="10"/>
      <c r="WKW227" s="21"/>
      <c r="WKX227" s="21"/>
      <c r="WLA227" s="21"/>
      <c r="WLB227" s="15"/>
      <c r="WLC227" s="15"/>
      <c r="WLD227" s="15"/>
      <c r="WLE227" s="15"/>
      <c r="WLF227" s="15"/>
      <c r="WLG227" s="15"/>
      <c r="WLH227" s="15"/>
      <c r="WLI227" s="15"/>
      <c r="WLJ227" s="15"/>
      <c r="WLK227" s="15"/>
      <c r="WLL227" s="10"/>
      <c r="WLM227" s="10"/>
      <c r="WLN227" s="21"/>
      <c r="WLO227" s="21"/>
      <c r="WLR227" s="21"/>
      <c r="WLS227" s="15"/>
      <c r="WLT227" s="15"/>
      <c r="WLU227" s="15"/>
      <c r="WLV227" s="15"/>
      <c r="WLW227" s="15"/>
      <c r="WLX227" s="15"/>
      <c r="WLY227" s="15"/>
      <c r="WLZ227" s="15"/>
      <c r="WMA227" s="15"/>
      <c r="WMB227" s="15"/>
      <c r="WMC227" s="10"/>
      <c r="WMD227" s="10"/>
      <c r="WME227" s="21"/>
      <c r="WMF227" s="21"/>
      <c r="WMI227" s="21"/>
      <c r="WMJ227" s="15"/>
      <c r="WMK227" s="15"/>
      <c r="WML227" s="15"/>
      <c r="WMM227" s="15"/>
      <c r="WMN227" s="15"/>
      <c r="WMO227" s="15"/>
      <c r="WMP227" s="15"/>
      <c r="WMQ227" s="15"/>
      <c r="WMR227" s="15"/>
      <c r="WMS227" s="15"/>
      <c r="WMT227" s="10"/>
      <c r="WMU227" s="10"/>
      <c r="WMV227" s="21"/>
      <c r="WMW227" s="21"/>
      <c r="WMZ227" s="21"/>
      <c r="WNA227" s="15"/>
      <c r="WNB227" s="15"/>
      <c r="WNC227" s="15"/>
      <c r="WND227" s="15"/>
      <c r="WNE227" s="15"/>
      <c r="WNF227" s="15"/>
      <c r="WNG227" s="15"/>
      <c r="WNH227" s="15"/>
      <c r="WNI227" s="15"/>
      <c r="WNJ227" s="15"/>
      <c r="WNK227" s="10"/>
      <c r="WNL227" s="10"/>
      <c r="WNM227" s="21"/>
      <c r="WNN227" s="21"/>
      <c r="WNQ227" s="21"/>
      <c r="WNR227" s="15"/>
      <c r="WNS227" s="15"/>
      <c r="WNT227" s="15"/>
      <c r="WNU227" s="15"/>
      <c r="WNV227" s="15"/>
      <c r="WNW227" s="15"/>
      <c r="WNX227" s="15"/>
      <c r="WNY227" s="15"/>
      <c r="WNZ227" s="15"/>
      <c r="WOA227" s="15"/>
      <c r="WOB227" s="10"/>
      <c r="WOC227" s="10"/>
      <c r="WOD227" s="21"/>
      <c r="WOE227" s="21"/>
      <c r="WOH227" s="21"/>
      <c r="WOI227" s="15"/>
      <c r="WOJ227" s="15"/>
      <c r="WOK227" s="15"/>
      <c r="WOL227" s="15"/>
      <c r="WOM227" s="15"/>
      <c r="WON227" s="15"/>
      <c r="WOO227" s="15"/>
      <c r="WOP227" s="15"/>
      <c r="WOQ227" s="15"/>
      <c r="WOR227" s="15"/>
      <c r="WOS227" s="10"/>
      <c r="WOT227" s="10"/>
      <c r="WOU227" s="21"/>
      <c r="WOV227" s="21"/>
      <c r="WOY227" s="21"/>
      <c r="WOZ227" s="15"/>
      <c r="WPA227" s="15"/>
      <c r="WPB227" s="15"/>
      <c r="WPC227" s="15"/>
      <c r="WPD227" s="15"/>
      <c r="WPE227" s="15"/>
      <c r="WPF227" s="15"/>
      <c r="WPG227" s="15"/>
      <c r="WPH227" s="15"/>
      <c r="WPI227" s="15"/>
      <c r="WPJ227" s="10"/>
      <c r="WPK227" s="10"/>
      <c r="WPL227" s="21"/>
      <c r="WPM227" s="21"/>
      <c r="WPP227" s="21"/>
      <c r="WPQ227" s="15"/>
      <c r="WPR227" s="15"/>
      <c r="WPS227" s="15"/>
      <c r="WPT227" s="15"/>
      <c r="WPU227" s="15"/>
      <c r="WPV227" s="15"/>
      <c r="WPW227" s="15"/>
      <c r="WPX227" s="15"/>
      <c r="WPY227" s="15"/>
      <c r="WPZ227" s="15"/>
      <c r="WQA227" s="10"/>
      <c r="WQB227" s="10"/>
      <c r="WQC227" s="21"/>
      <c r="WQD227" s="21"/>
      <c r="WQG227" s="21"/>
      <c r="WQH227" s="15"/>
      <c r="WQI227" s="15"/>
      <c r="WQJ227" s="15"/>
      <c r="WQK227" s="15"/>
      <c r="WQL227" s="15"/>
      <c r="WQM227" s="15"/>
      <c r="WQN227" s="15"/>
      <c r="WQO227" s="15"/>
      <c r="WQP227" s="15"/>
      <c r="WQQ227" s="15"/>
      <c r="WQR227" s="10"/>
      <c r="WQS227" s="10"/>
      <c r="WQT227" s="21"/>
      <c r="WQU227" s="21"/>
      <c r="WQX227" s="21"/>
      <c r="WQY227" s="15"/>
      <c r="WQZ227" s="15"/>
      <c r="WRA227" s="15"/>
      <c r="WRB227" s="15"/>
      <c r="WRC227" s="15"/>
      <c r="WRD227" s="15"/>
      <c r="WRE227" s="15"/>
      <c r="WRF227" s="15"/>
      <c r="WRG227" s="15"/>
      <c r="WRH227" s="15"/>
      <c r="WRI227" s="10"/>
      <c r="WRJ227" s="10"/>
      <c r="WRK227" s="21"/>
      <c r="WRL227" s="21"/>
      <c r="WRO227" s="21"/>
      <c r="WRP227" s="15"/>
      <c r="WRQ227" s="15"/>
      <c r="WRR227" s="15"/>
      <c r="WRS227" s="15"/>
      <c r="WRT227" s="15"/>
      <c r="WRU227" s="15"/>
      <c r="WRV227" s="15"/>
      <c r="WRW227" s="15"/>
      <c r="WRX227" s="15"/>
      <c r="WRY227" s="15"/>
      <c r="WRZ227" s="10"/>
      <c r="WSA227" s="10"/>
      <c r="WSB227" s="21"/>
      <c r="WSC227" s="21"/>
      <c r="WSF227" s="21"/>
      <c r="WSG227" s="15"/>
      <c r="WSH227" s="15"/>
      <c r="WSI227" s="15"/>
      <c r="WSJ227" s="15"/>
      <c r="WSK227" s="15"/>
      <c r="WSL227" s="15"/>
      <c r="WSM227" s="15"/>
      <c r="WSN227" s="15"/>
      <c r="WSO227" s="15"/>
      <c r="WSP227" s="15"/>
      <c r="WSQ227" s="10"/>
      <c r="WSR227" s="10"/>
      <c r="WSS227" s="21"/>
      <c r="WST227" s="21"/>
      <c r="WSW227" s="21"/>
      <c r="WSX227" s="15"/>
      <c r="WSY227" s="15"/>
      <c r="WSZ227" s="15"/>
      <c r="WTA227" s="15"/>
      <c r="WTB227" s="15"/>
      <c r="WTC227" s="15"/>
      <c r="WTD227" s="15"/>
      <c r="WTE227" s="15"/>
      <c r="WTF227" s="15"/>
      <c r="WTG227" s="15"/>
      <c r="WTH227" s="10"/>
      <c r="WTI227" s="10"/>
      <c r="WTJ227" s="21"/>
      <c r="WTK227" s="21"/>
      <c r="WTN227" s="21"/>
      <c r="WTO227" s="15"/>
      <c r="WTP227" s="15"/>
      <c r="WTQ227" s="15"/>
      <c r="WTR227" s="15"/>
      <c r="WTS227" s="15"/>
      <c r="WTT227" s="15"/>
      <c r="WTU227" s="15"/>
      <c r="WTV227" s="15"/>
      <c r="WTW227" s="15"/>
      <c r="WTX227" s="15"/>
      <c r="WTY227" s="10"/>
      <c r="WTZ227" s="10"/>
      <c r="WUA227" s="21"/>
      <c r="WUB227" s="21"/>
      <c r="WUE227" s="21"/>
      <c r="WUF227" s="15"/>
      <c r="WUG227" s="15"/>
      <c r="WUH227" s="15"/>
      <c r="WUI227" s="15"/>
      <c r="WUJ227" s="15"/>
      <c r="WUK227" s="15"/>
      <c r="WUL227" s="15"/>
      <c r="WUM227" s="15"/>
      <c r="WUN227" s="15"/>
      <c r="WUO227" s="15"/>
      <c r="WUP227" s="10"/>
      <c r="WUQ227" s="10"/>
      <c r="WUR227" s="21"/>
      <c r="WUS227" s="21"/>
      <c r="WUV227" s="21"/>
      <c r="WUW227" s="15"/>
      <c r="WUX227" s="15"/>
      <c r="WUY227" s="15"/>
      <c r="WUZ227" s="15"/>
      <c r="WVA227" s="15"/>
      <c r="WVB227" s="15"/>
      <c r="WVC227" s="15"/>
      <c r="WVD227" s="15"/>
      <c r="WVE227" s="15"/>
      <c r="WVF227" s="15"/>
      <c r="WVG227" s="10"/>
      <c r="WVH227" s="10"/>
      <c r="WVI227" s="21"/>
      <c r="WVJ227" s="21"/>
      <c r="WVM227" s="21"/>
      <c r="WVN227" s="15"/>
      <c r="WVO227" s="15"/>
      <c r="WVP227" s="15"/>
      <c r="WVQ227" s="15"/>
      <c r="WVR227" s="15"/>
      <c r="WVS227" s="15"/>
      <c r="WVT227" s="15"/>
      <c r="WVU227" s="15"/>
      <c r="WVV227" s="15"/>
      <c r="WVW227" s="15"/>
      <c r="WVX227" s="10"/>
      <c r="WVY227" s="10"/>
      <c r="WVZ227" s="21"/>
      <c r="WWA227" s="21"/>
      <c r="WWD227" s="21"/>
      <c r="WWE227" s="15"/>
      <c r="WWF227" s="15"/>
      <c r="WWG227" s="15"/>
      <c r="WWH227" s="15"/>
      <c r="WWI227" s="15"/>
      <c r="WWJ227" s="15"/>
      <c r="WWK227" s="15"/>
      <c r="WWL227" s="15"/>
      <c r="WWM227" s="15"/>
      <c r="WWN227" s="15"/>
      <c r="WWO227" s="10"/>
      <c r="WWP227" s="10"/>
      <c r="WWQ227" s="21"/>
      <c r="WWR227" s="21"/>
      <c r="WWU227" s="21"/>
      <c r="WWV227" s="15"/>
      <c r="WWW227" s="15"/>
      <c r="WWX227" s="15"/>
      <c r="WWY227" s="15"/>
      <c r="WWZ227" s="15"/>
      <c r="WXA227" s="15"/>
      <c r="WXB227" s="15"/>
      <c r="WXC227" s="15"/>
      <c r="WXD227" s="15"/>
      <c r="WXE227" s="15"/>
      <c r="WXF227" s="10"/>
      <c r="WXG227" s="10"/>
      <c r="WXH227" s="21"/>
      <c r="WXI227" s="21"/>
      <c r="WXL227" s="21"/>
      <c r="WXM227" s="15"/>
      <c r="WXN227" s="15"/>
      <c r="WXO227" s="15"/>
      <c r="WXP227" s="15"/>
      <c r="WXQ227" s="15"/>
      <c r="WXR227" s="15"/>
      <c r="WXS227" s="15"/>
      <c r="WXT227" s="15"/>
      <c r="WXU227" s="15"/>
      <c r="WXV227" s="15"/>
      <c r="WXW227" s="10"/>
      <c r="WXX227" s="10"/>
      <c r="WXY227" s="21"/>
      <c r="WXZ227" s="21"/>
      <c r="WYC227" s="21"/>
      <c r="WYD227" s="15"/>
      <c r="WYE227" s="15"/>
      <c r="WYF227" s="15"/>
      <c r="WYG227" s="15"/>
      <c r="WYH227" s="15"/>
      <c r="WYI227" s="15"/>
      <c r="WYJ227" s="15"/>
      <c r="WYK227" s="15"/>
      <c r="WYL227" s="15"/>
      <c r="WYM227" s="15"/>
      <c r="WYN227" s="10"/>
      <c r="WYO227" s="10"/>
      <c r="WYP227" s="21"/>
      <c r="WYQ227" s="21"/>
      <c r="WYT227" s="21"/>
      <c r="WYU227" s="15"/>
      <c r="WYV227" s="15"/>
      <c r="WYW227" s="15"/>
      <c r="WYX227" s="15"/>
      <c r="WYY227" s="15"/>
      <c r="WYZ227" s="15"/>
      <c r="WZA227" s="15"/>
      <c r="WZB227" s="15"/>
      <c r="WZC227" s="15"/>
      <c r="WZD227" s="15"/>
      <c r="WZE227" s="10"/>
      <c r="WZF227" s="10"/>
      <c r="WZG227" s="21"/>
      <c r="WZH227" s="21"/>
      <c r="WZK227" s="21"/>
      <c r="WZL227" s="15"/>
      <c r="WZM227" s="15"/>
      <c r="WZN227" s="15"/>
      <c r="WZO227" s="15"/>
      <c r="WZP227" s="15"/>
      <c r="WZQ227" s="15"/>
      <c r="WZR227" s="15"/>
      <c r="WZS227" s="15"/>
      <c r="WZT227" s="15"/>
      <c r="WZU227" s="15"/>
      <c r="WZV227" s="10"/>
      <c r="WZW227" s="10"/>
      <c r="WZX227" s="21"/>
      <c r="WZY227" s="21"/>
      <c r="XAB227" s="21"/>
      <c r="XAC227" s="15"/>
      <c r="XAD227" s="15"/>
      <c r="XAE227" s="15"/>
      <c r="XAF227" s="15"/>
      <c r="XAG227" s="15"/>
      <c r="XAH227" s="15"/>
      <c r="XAI227" s="15"/>
      <c r="XAJ227" s="15"/>
      <c r="XAK227" s="15"/>
      <c r="XAL227" s="15"/>
      <c r="XAM227" s="10"/>
      <c r="XAN227" s="10"/>
      <c r="XAO227" s="21"/>
      <c r="XAP227" s="21"/>
      <c r="XAS227" s="21"/>
      <c r="XAT227" s="15"/>
      <c r="XAU227" s="15"/>
      <c r="XAV227" s="15"/>
      <c r="XAW227" s="15"/>
      <c r="XAX227" s="15"/>
      <c r="XAY227" s="15"/>
      <c r="XAZ227" s="15"/>
      <c r="XBA227" s="15"/>
      <c r="XBB227" s="15"/>
      <c r="XBC227" s="15"/>
      <c r="XBD227" s="10"/>
      <c r="XBE227" s="10"/>
      <c r="XBF227" s="21"/>
      <c r="XBG227" s="21"/>
      <c r="XBJ227" s="21"/>
      <c r="XBK227" s="15"/>
      <c r="XBL227" s="15"/>
      <c r="XBM227" s="15"/>
      <c r="XBN227" s="15"/>
      <c r="XBO227" s="15"/>
      <c r="XBP227" s="15"/>
      <c r="XBQ227" s="15"/>
      <c r="XBR227" s="15"/>
      <c r="XBS227" s="15"/>
      <c r="XBT227" s="15"/>
      <c r="XBU227" s="10"/>
      <c r="XBV227" s="10"/>
      <c r="XBW227" s="21"/>
      <c r="XBX227" s="21"/>
      <c r="XCA227" s="21"/>
      <c r="XCB227" s="15"/>
      <c r="XCC227" s="15"/>
      <c r="XCD227" s="15"/>
      <c r="XCE227" s="15"/>
      <c r="XCF227" s="15"/>
      <c r="XCG227" s="15"/>
      <c r="XCH227" s="15"/>
      <c r="XCI227" s="15"/>
      <c r="XCJ227" s="15"/>
      <c r="XCK227" s="15"/>
      <c r="XCL227" s="10"/>
      <c r="XCM227" s="10"/>
      <c r="XCN227" s="21"/>
      <c r="XCO227" s="21"/>
      <c r="XCR227" s="21"/>
      <c r="XCS227" s="15"/>
      <c r="XCT227" s="15"/>
      <c r="XCU227" s="15"/>
      <c r="XCV227" s="15"/>
      <c r="XCW227" s="15"/>
      <c r="XCX227" s="15"/>
      <c r="XCY227" s="15"/>
      <c r="XCZ227" s="15"/>
      <c r="XDA227" s="15"/>
      <c r="XDB227" s="15"/>
      <c r="XDC227" s="10"/>
      <c r="XDD227" s="10"/>
      <c r="XDE227" s="21"/>
      <c r="XDF227" s="21"/>
      <c r="XDI227" s="21"/>
      <c r="XDJ227" s="15"/>
      <c r="XDK227" s="15"/>
      <c r="XDL227" s="15"/>
      <c r="XDM227" s="15"/>
      <c r="XDN227" s="15"/>
      <c r="XDO227" s="15"/>
      <c r="XDP227" s="15"/>
      <c r="XDQ227" s="15"/>
      <c r="XDR227" s="15"/>
      <c r="XDS227" s="15"/>
      <c r="XDT227" s="10"/>
      <c r="XDU227" s="10"/>
      <c r="XDV227" s="21"/>
      <c r="XDW227" s="21"/>
      <c r="XDZ227" s="21"/>
      <c r="XEA227" s="15"/>
      <c r="XEB227" s="15"/>
      <c r="XEC227" s="15"/>
      <c r="XED227" s="15"/>
      <c r="XEE227" s="15"/>
      <c r="XEF227" s="15"/>
      <c r="XEG227" s="15"/>
      <c r="XEH227" s="15"/>
      <c r="XEI227" s="15"/>
      <c r="XEJ227" s="15"/>
      <c r="XEK227" s="10"/>
      <c r="XEL227" s="10"/>
      <c r="XEM227" s="21"/>
      <c r="XEN227" s="21"/>
      <c r="XEQ227" s="21"/>
      <c r="XER227" s="15"/>
      <c r="XES227" s="15"/>
      <c r="XET227" s="15"/>
      <c r="XEU227" s="15"/>
      <c r="XEV227" s="15"/>
      <c r="XEW227" s="15"/>
      <c r="XEX227" s="15"/>
      <c r="XEY227" s="15"/>
      <c r="XEZ227" s="15"/>
      <c r="XFA227" s="15"/>
      <c r="XFB227" s="10"/>
      <c r="XFC227" s="10"/>
      <c r="XFD227" s="21"/>
    </row>
    <row r="228" spans="1:4094 4097:8191 8194:12288 12291:16384" s="1" customFormat="1" ht="14.25" customHeight="1" x14ac:dyDescent="0.25">
      <c r="A228" s="31">
        <v>0</v>
      </c>
      <c r="B228" s="31">
        <v>1</v>
      </c>
      <c r="C228" s="31">
        <v>6</v>
      </c>
      <c r="D228" s="32" t="s">
        <v>978</v>
      </c>
      <c r="E228" s="32" t="s">
        <v>165</v>
      </c>
      <c r="F228" s="32" t="s">
        <v>976</v>
      </c>
      <c r="G228" s="32" t="s">
        <v>1105</v>
      </c>
      <c r="H228" s="32" t="s">
        <v>354</v>
      </c>
      <c r="I228" s="31" t="s">
        <v>977</v>
      </c>
      <c r="J228" s="31">
        <v>1</v>
      </c>
      <c r="K228" s="33" t="s">
        <v>956</v>
      </c>
      <c r="L228" s="33" t="s">
        <v>689</v>
      </c>
      <c r="M228" s="34" t="s">
        <v>1402</v>
      </c>
      <c r="N228" s="34" t="s">
        <v>1748</v>
      </c>
      <c r="O228" s="35">
        <v>1</v>
      </c>
      <c r="P228" s="35"/>
      <c r="Q228" s="32"/>
      <c r="S228" s="1">
        <f t="shared" si="139"/>
        <v>1</v>
      </c>
      <c r="T228" s="1">
        <f t="shared" si="140"/>
        <v>0</v>
      </c>
      <c r="U228" s="1">
        <f t="shared" si="141"/>
        <v>0</v>
      </c>
      <c r="V228" s="1">
        <f t="shared" si="142"/>
        <v>0</v>
      </c>
      <c r="W228" s="1">
        <f t="shared" si="143"/>
        <v>0</v>
      </c>
      <c r="X228" s="1">
        <f t="shared" si="144"/>
        <v>0</v>
      </c>
      <c r="Y228" s="1">
        <f t="shared" si="145"/>
        <v>0</v>
      </c>
      <c r="Z228" s="1">
        <f t="shared" si="146"/>
        <v>0</v>
      </c>
      <c r="AA228" s="1">
        <f t="shared" si="147"/>
        <v>0</v>
      </c>
      <c r="AB228" s="1">
        <f t="shared" si="148"/>
        <v>0</v>
      </c>
      <c r="AD228" s="1">
        <f t="shared" si="149"/>
        <v>0</v>
      </c>
      <c r="AE228" s="1">
        <f t="shared" si="150"/>
        <v>1</v>
      </c>
      <c r="AF228" s="1">
        <f t="shared" si="135"/>
        <v>0</v>
      </c>
      <c r="AG228" s="1">
        <f t="shared" si="136"/>
        <v>1</v>
      </c>
      <c r="AH228" s="1">
        <f t="shared" si="137"/>
        <v>0</v>
      </c>
      <c r="AI228" s="1">
        <f t="shared" si="138"/>
        <v>1</v>
      </c>
    </row>
    <row r="229" spans="1:4094 4097:8191 8194:12288 12291:16384" s="1" customFormat="1" ht="14.25" customHeight="1" x14ac:dyDescent="0.25">
      <c r="A229" s="31">
        <v>0</v>
      </c>
      <c r="B229" s="31">
        <v>1</v>
      </c>
      <c r="C229" s="31">
        <v>6</v>
      </c>
      <c r="D229" s="32" t="s">
        <v>521</v>
      </c>
      <c r="E229" s="32" t="s">
        <v>167</v>
      </c>
      <c r="F229" s="32" t="s">
        <v>522</v>
      </c>
      <c r="G229" s="32" t="s">
        <v>523</v>
      </c>
      <c r="H229" s="32" t="s">
        <v>354</v>
      </c>
      <c r="I229" s="31" t="s">
        <v>524</v>
      </c>
      <c r="J229" s="31">
        <v>99</v>
      </c>
      <c r="K229" s="33" t="s">
        <v>702</v>
      </c>
      <c r="L229" s="33">
        <v>40</v>
      </c>
      <c r="M229" s="34" t="s">
        <v>972</v>
      </c>
      <c r="N229" s="34" t="s">
        <v>1849</v>
      </c>
      <c r="O229" s="35">
        <v>1</v>
      </c>
      <c r="P229" s="35"/>
      <c r="Q229" s="32"/>
      <c r="S229" s="1">
        <f t="shared" si="139"/>
        <v>0</v>
      </c>
      <c r="T229" s="1">
        <f t="shared" si="140"/>
        <v>0</v>
      </c>
      <c r="U229" s="1">
        <f t="shared" si="141"/>
        <v>0</v>
      </c>
      <c r="V229" s="1">
        <f t="shared" si="142"/>
        <v>0</v>
      </c>
      <c r="W229" s="1">
        <f t="shared" si="143"/>
        <v>0</v>
      </c>
      <c r="X229" s="1">
        <f t="shared" si="144"/>
        <v>0</v>
      </c>
      <c r="Y229" s="1">
        <f t="shared" si="145"/>
        <v>0</v>
      </c>
      <c r="Z229" s="1">
        <f t="shared" si="146"/>
        <v>0</v>
      </c>
      <c r="AA229" s="1">
        <f t="shared" si="147"/>
        <v>0</v>
      </c>
      <c r="AB229" s="1">
        <f t="shared" si="148"/>
        <v>0</v>
      </c>
      <c r="AD229" s="1">
        <f t="shared" si="149"/>
        <v>0</v>
      </c>
      <c r="AE229" s="1">
        <f t="shared" si="150"/>
        <v>1</v>
      </c>
      <c r="AF229" s="1">
        <f t="shared" si="135"/>
        <v>0</v>
      </c>
      <c r="AG229" s="1">
        <f t="shared" si="136"/>
        <v>1</v>
      </c>
      <c r="AH229" s="1">
        <f t="shared" si="137"/>
        <v>0</v>
      </c>
      <c r="AI229" s="1">
        <f t="shared" si="138"/>
        <v>1</v>
      </c>
    </row>
    <row r="230" spans="1:4094 4097:8191 8194:12288 12291:16384" s="1" customFormat="1" ht="14.25" customHeight="1" x14ac:dyDescent="0.25">
      <c r="A230" s="38">
        <v>0</v>
      </c>
      <c r="B230" s="38">
        <v>1</v>
      </c>
      <c r="C230" s="38">
        <v>6</v>
      </c>
      <c r="D230" s="39" t="s">
        <v>1837</v>
      </c>
      <c r="E230" s="39" t="s">
        <v>1838</v>
      </c>
      <c r="F230" s="39" t="s">
        <v>1839</v>
      </c>
      <c r="G230" s="39"/>
      <c r="H230" s="39" t="s">
        <v>354</v>
      </c>
      <c r="I230" s="38" t="s">
        <v>1840</v>
      </c>
      <c r="J230" s="38"/>
      <c r="K230" s="40" t="s">
        <v>703</v>
      </c>
      <c r="L230" s="40"/>
      <c r="M230" s="41"/>
      <c r="N230" s="42"/>
      <c r="O230" s="43"/>
      <c r="P230" s="43">
        <v>1</v>
      </c>
      <c r="Q230" s="39"/>
      <c r="S230" s="1">
        <f t="shared" si="139"/>
        <v>0</v>
      </c>
      <c r="T230" s="1">
        <f t="shared" si="140"/>
        <v>0</v>
      </c>
      <c r="U230" s="1">
        <f t="shared" si="141"/>
        <v>0</v>
      </c>
      <c r="V230" s="1">
        <f t="shared" si="142"/>
        <v>0</v>
      </c>
      <c r="W230" s="1">
        <f t="shared" si="143"/>
        <v>0</v>
      </c>
      <c r="X230" s="1">
        <f t="shared" si="144"/>
        <v>0</v>
      </c>
      <c r="Y230" s="1">
        <f t="shared" si="145"/>
        <v>0</v>
      </c>
      <c r="Z230" s="1">
        <f t="shared" si="146"/>
        <v>0</v>
      </c>
      <c r="AA230" s="1">
        <f t="shared" si="147"/>
        <v>0</v>
      </c>
      <c r="AB230" s="1">
        <f t="shared" si="148"/>
        <v>0</v>
      </c>
      <c r="AD230" s="1">
        <f t="shared" si="149"/>
        <v>0</v>
      </c>
      <c r="AE230" s="1">
        <f t="shared" si="150"/>
        <v>0</v>
      </c>
      <c r="AF230" s="1">
        <f t="shared" si="135"/>
        <v>0</v>
      </c>
      <c r="AG230" s="1">
        <f t="shared" si="136"/>
        <v>0</v>
      </c>
      <c r="AH230" s="1">
        <f t="shared" si="137"/>
        <v>1</v>
      </c>
      <c r="AI230" s="1">
        <f t="shared" si="138"/>
        <v>0</v>
      </c>
    </row>
    <row r="231" spans="1:4094 4097:8191 8194:12288 12291:16384" s="1" customFormat="1" ht="14.25" customHeight="1" x14ac:dyDescent="0.25">
      <c r="A231" s="44">
        <v>0</v>
      </c>
      <c r="B231" s="44">
        <v>1</v>
      </c>
      <c r="C231" s="44">
        <v>6</v>
      </c>
      <c r="D231" s="45" t="s">
        <v>1480</v>
      </c>
      <c r="E231" s="45" t="s">
        <v>167</v>
      </c>
      <c r="F231" s="45" t="s">
        <v>1482</v>
      </c>
      <c r="G231" s="45" t="s">
        <v>1483</v>
      </c>
      <c r="H231" s="45" t="s">
        <v>354</v>
      </c>
      <c r="I231" s="44" t="s">
        <v>1481</v>
      </c>
      <c r="J231" s="44">
        <v>99</v>
      </c>
      <c r="K231" s="46" t="s">
        <v>703</v>
      </c>
      <c r="L231" s="46">
        <v>62</v>
      </c>
      <c r="M231" s="47"/>
      <c r="N231" s="47" t="s">
        <v>1734</v>
      </c>
      <c r="O231" s="48"/>
      <c r="P231" s="48"/>
      <c r="Q231" s="45"/>
      <c r="S231" s="1">
        <f t="shared" si="139"/>
        <v>0</v>
      </c>
      <c r="T231" s="1">
        <f t="shared" si="140"/>
        <v>0</v>
      </c>
      <c r="U231" s="1">
        <f t="shared" si="141"/>
        <v>0</v>
      </c>
      <c r="V231" s="1">
        <f t="shared" si="142"/>
        <v>0</v>
      </c>
      <c r="W231" s="1">
        <f t="shared" si="143"/>
        <v>0</v>
      </c>
      <c r="X231" s="1">
        <f t="shared" si="144"/>
        <v>0</v>
      </c>
      <c r="Y231" s="1">
        <f t="shared" si="145"/>
        <v>0</v>
      </c>
      <c r="Z231" s="1">
        <f t="shared" si="146"/>
        <v>0</v>
      </c>
      <c r="AA231" s="1">
        <f t="shared" si="147"/>
        <v>0</v>
      </c>
      <c r="AB231" s="1">
        <f t="shared" si="148"/>
        <v>0</v>
      </c>
      <c r="AD231" s="1">
        <f t="shared" si="149"/>
        <v>0</v>
      </c>
      <c r="AE231" s="1">
        <f t="shared" si="150"/>
        <v>0</v>
      </c>
      <c r="AF231" s="1">
        <f t="shared" si="135"/>
        <v>0</v>
      </c>
      <c r="AG231" s="1">
        <f t="shared" si="136"/>
        <v>0</v>
      </c>
      <c r="AH231" s="1">
        <f t="shared" si="137"/>
        <v>0</v>
      </c>
      <c r="AI231" s="1">
        <f t="shared" si="138"/>
        <v>1</v>
      </c>
    </row>
    <row r="232" spans="1:4094 4097:8191 8194:12288 12291:16384" s="1" customFormat="1" ht="14.25" customHeight="1" x14ac:dyDescent="0.25">
      <c r="A232" s="31">
        <v>0</v>
      </c>
      <c r="B232" s="31">
        <v>1</v>
      </c>
      <c r="C232" s="31">
        <v>6</v>
      </c>
      <c r="D232" s="32" t="s">
        <v>1196</v>
      </c>
      <c r="E232" s="32" t="s">
        <v>165</v>
      </c>
      <c r="F232" s="32" t="s">
        <v>1670</v>
      </c>
      <c r="G232" s="32" t="s">
        <v>213</v>
      </c>
      <c r="H232" s="32" t="s">
        <v>354</v>
      </c>
      <c r="I232" s="31" t="s">
        <v>1197</v>
      </c>
      <c r="J232" s="31">
        <v>1</v>
      </c>
      <c r="K232" s="33" t="s">
        <v>962</v>
      </c>
      <c r="L232" s="33" t="s">
        <v>687</v>
      </c>
      <c r="M232" s="34" t="s">
        <v>1572</v>
      </c>
      <c r="N232" s="34" t="s">
        <v>1755</v>
      </c>
      <c r="O232" s="35">
        <v>1</v>
      </c>
      <c r="P232" s="35"/>
      <c r="Q232" s="32"/>
      <c r="S232" s="1">
        <f t="shared" si="139"/>
        <v>1</v>
      </c>
      <c r="T232" s="1">
        <f t="shared" si="140"/>
        <v>0</v>
      </c>
      <c r="U232" s="1">
        <f t="shared" si="141"/>
        <v>0</v>
      </c>
      <c r="V232" s="1">
        <f t="shared" si="142"/>
        <v>0</v>
      </c>
      <c r="W232" s="1">
        <f t="shared" si="143"/>
        <v>0</v>
      </c>
      <c r="X232" s="1">
        <f t="shared" si="144"/>
        <v>0</v>
      </c>
      <c r="Y232" s="1">
        <f t="shared" si="145"/>
        <v>0</v>
      </c>
      <c r="Z232" s="1">
        <f t="shared" si="146"/>
        <v>0</v>
      </c>
      <c r="AA232" s="1">
        <f t="shared" si="147"/>
        <v>0</v>
      </c>
      <c r="AB232" s="1">
        <f t="shared" si="148"/>
        <v>0</v>
      </c>
      <c r="AD232" s="1">
        <f t="shared" si="149"/>
        <v>0</v>
      </c>
      <c r="AE232" s="1">
        <f t="shared" si="150"/>
        <v>1</v>
      </c>
      <c r="AF232" s="1">
        <f t="shared" si="135"/>
        <v>0</v>
      </c>
      <c r="AG232" s="1">
        <f t="shared" si="136"/>
        <v>1</v>
      </c>
      <c r="AH232" s="1">
        <f t="shared" si="137"/>
        <v>0</v>
      </c>
      <c r="AI232" s="1">
        <f t="shared" si="138"/>
        <v>1</v>
      </c>
    </row>
    <row r="233" spans="1:4094 4097:8191 8194:12288 12291:16384" s="1" customFormat="1" ht="14.25" customHeight="1" x14ac:dyDescent="0.25">
      <c r="A233" s="31">
        <v>0</v>
      </c>
      <c r="B233" s="31">
        <v>1</v>
      </c>
      <c r="C233" s="31">
        <v>6</v>
      </c>
      <c r="D233" s="32" t="s">
        <v>98</v>
      </c>
      <c r="E233" s="32" t="s">
        <v>167</v>
      </c>
      <c r="F233" s="32" t="s">
        <v>296</v>
      </c>
      <c r="G233" s="32" t="s">
        <v>285</v>
      </c>
      <c r="H233" s="32" t="s">
        <v>354</v>
      </c>
      <c r="I233" s="31" t="s">
        <v>1118</v>
      </c>
      <c r="J233" s="31">
        <v>10</v>
      </c>
      <c r="K233" s="33" t="s">
        <v>956</v>
      </c>
      <c r="L233" s="33" t="s">
        <v>694</v>
      </c>
      <c r="M233" s="34" t="s">
        <v>705</v>
      </c>
      <c r="N233" s="34" t="s">
        <v>1749</v>
      </c>
      <c r="O233" s="35">
        <v>1</v>
      </c>
      <c r="P233" s="35"/>
      <c r="Q233" s="32"/>
      <c r="S233" s="1">
        <f t="shared" si="139"/>
        <v>0</v>
      </c>
      <c r="T233" s="1">
        <f t="shared" si="140"/>
        <v>0</v>
      </c>
      <c r="U233" s="1">
        <f t="shared" si="141"/>
        <v>0</v>
      </c>
      <c r="V233" s="1">
        <f t="shared" si="142"/>
        <v>0</v>
      </c>
      <c r="W233" s="1">
        <f t="shared" si="143"/>
        <v>0</v>
      </c>
      <c r="X233" s="1">
        <f t="shared" si="144"/>
        <v>0</v>
      </c>
      <c r="Y233" s="1">
        <f t="shared" si="145"/>
        <v>0</v>
      </c>
      <c r="Z233" s="1">
        <f t="shared" si="146"/>
        <v>0</v>
      </c>
      <c r="AA233" s="1">
        <f t="shared" si="147"/>
        <v>0</v>
      </c>
      <c r="AB233" s="1">
        <f t="shared" si="148"/>
        <v>1</v>
      </c>
      <c r="AD233" s="1">
        <f t="shared" si="149"/>
        <v>0</v>
      </c>
      <c r="AE233" s="1">
        <f t="shared" si="150"/>
        <v>1</v>
      </c>
      <c r="AF233" s="1">
        <f t="shared" si="135"/>
        <v>0</v>
      </c>
      <c r="AG233" s="1">
        <f t="shared" si="136"/>
        <v>1</v>
      </c>
      <c r="AH233" s="1">
        <f t="shared" si="137"/>
        <v>0</v>
      </c>
      <c r="AI233" s="1">
        <f t="shared" si="138"/>
        <v>1</v>
      </c>
    </row>
    <row r="234" spans="1:4094 4097:8191 8194:12288 12291:16384" s="1" customFormat="1" ht="14.25" customHeight="1" x14ac:dyDescent="0.25">
      <c r="A234" s="31">
        <v>0</v>
      </c>
      <c r="B234" s="31">
        <v>1</v>
      </c>
      <c r="C234" s="31">
        <v>6</v>
      </c>
      <c r="D234" s="32" t="s">
        <v>603</v>
      </c>
      <c r="E234" s="32" t="s">
        <v>165</v>
      </c>
      <c r="F234" s="32" t="s">
        <v>605</v>
      </c>
      <c r="G234" s="32" t="s">
        <v>39</v>
      </c>
      <c r="H234" s="32" t="s">
        <v>354</v>
      </c>
      <c r="I234" s="31" t="s">
        <v>604</v>
      </c>
      <c r="J234" s="31">
        <v>99</v>
      </c>
      <c r="K234" s="33" t="s">
        <v>956</v>
      </c>
      <c r="L234" s="33" t="s">
        <v>693</v>
      </c>
      <c r="M234" s="34" t="s">
        <v>970</v>
      </c>
      <c r="N234" s="34" t="s">
        <v>1749</v>
      </c>
      <c r="O234" s="35">
        <v>1</v>
      </c>
      <c r="P234" s="35"/>
      <c r="Q234" s="32"/>
      <c r="S234" s="1">
        <f t="shared" si="139"/>
        <v>0</v>
      </c>
      <c r="T234" s="1">
        <f t="shared" si="140"/>
        <v>0</v>
      </c>
      <c r="U234" s="1">
        <f t="shared" si="141"/>
        <v>0</v>
      </c>
      <c r="V234" s="1">
        <f t="shared" si="142"/>
        <v>0</v>
      </c>
      <c r="W234" s="1">
        <f t="shared" si="143"/>
        <v>0</v>
      </c>
      <c r="X234" s="1">
        <f t="shared" si="144"/>
        <v>0</v>
      </c>
      <c r="Y234" s="1">
        <f t="shared" si="145"/>
        <v>0</v>
      </c>
      <c r="Z234" s="1">
        <f t="shared" si="146"/>
        <v>0</v>
      </c>
      <c r="AA234" s="1">
        <f t="shared" si="147"/>
        <v>0</v>
      </c>
      <c r="AB234" s="1">
        <f t="shared" si="148"/>
        <v>0</v>
      </c>
      <c r="AD234" s="1">
        <f t="shared" si="149"/>
        <v>0</v>
      </c>
      <c r="AE234" s="1">
        <f t="shared" si="150"/>
        <v>1</v>
      </c>
      <c r="AF234" s="1">
        <f t="shared" si="135"/>
        <v>0</v>
      </c>
      <c r="AG234" s="1">
        <f t="shared" si="136"/>
        <v>1</v>
      </c>
      <c r="AH234" s="1">
        <f t="shared" si="137"/>
        <v>0</v>
      </c>
      <c r="AI234" s="1">
        <f t="shared" si="138"/>
        <v>1</v>
      </c>
    </row>
    <row r="235" spans="1:4094 4097:8191 8194:12288 12291:16384" s="1" customFormat="1" ht="14.25" customHeight="1" x14ac:dyDescent="0.25">
      <c r="A235" s="31">
        <v>0</v>
      </c>
      <c r="B235" s="31">
        <v>1</v>
      </c>
      <c r="C235" s="31">
        <v>6</v>
      </c>
      <c r="D235" s="32" t="s">
        <v>1162</v>
      </c>
      <c r="E235" s="32" t="s">
        <v>165</v>
      </c>
      <c r="F235" s="32" t="s">
        <v>1164</v>
      </c>
      <c r="G235" s="32" t="s">
        <v>220</v>
      </c>
      <c r="H235" s="32" t="s">
        <v>354</v>
      </c>
      <c r="I235" s="31" t="s">
        <v>1163</v>
      </c>
      <c r="J235" s="31">
        <v>8</v>
      </c>
      <c r="K235" s="33" t="s">
        <v>702</v>
      </c>
      <c r="L235" s="33" t="s">
        <v>1713</v>
      </c>
      <c r="M235" s="34" t="s">
        <v>1403</v>
      </c>
      <c r="N235" s="34" t="s">
        <v>1748</v>
      </c>
      <c r="O235" s="35">
        <v>1</v>
      </c>
      <c r="P235" s="35"/>
      <c r="Q235" s="32"/>
      <c r="S235" s="1">
        <f t="shared" si="139"/>
        <v>0</v>
      </c>
      <c r="T235" s="1">
        <f t="shared" si="140"/>
        <v>0</v>
      </c>
      <c r="U235" s="1">
        <f t="shared" si="141"/>
        <v>0</v>
      </c>
      <c r="V235" s="1">
        <f t="shared" si="142"/>
        <v>0</v>
      </c>
      <c r="W235" s="1">
        <f t="shared" si="143"/>
        <v>0</v>
      </c>
      <c r="X235" s="1">
        <f t="shared" si="144"/>
        <v>0</v>
      </c>
      <c r="Y235" s="1">
        <f t="shared" si="145"/>
        <v>0</v>
      </c>
      <c r="Z235" s="1">
        <f t="shared" si="146"/>
        <v>1</v>
      </c>
      <c r="AA235" s="1">
        <f t="shared" si="147"/>
        <v>0</v>
      </c>
      <c r="AB235" s="1">
        <f t="shared" si="148"/>
        <v>0</v>
      </c>
      <c r="AD235" s="1">
        <f t="shared" si="149"/>
        <v>0</v>
      </c>
      <c r="AE235" s="1">
        <f t="shared" si="150"/>
        <v>1</v>
      </c>
      <c r="AF235" s="1">
        <f t="shared" si="135"/>
        <v>0</v>
      </c>
      <c r="AG235" s="1">
        <f t="shared" si="136"/>
        <v>1</v>
      </c>
      <c r="AH235" s="1">
        <f t="shared" si="137"/>
        <v>0</v>
      </c>
      <c r="AI235" s="1">
        <f t="shared" si="138"/>
        <v>1</v>
      </c>
    </row>
    <row r="236" spans="1:4094 4097:8191 8194:12288 12291:16384" s="1" customFormat="1" ht="14.25" customHeight="1" x14ac:dyDescent="0.25">
      <c r="A236" s="31">
        <v>0</v>
      </c>
      <c r="B236" s="31">
        <v>1</v>
      </c>
      <c r="C236" s="31">
        <v>6</v>
      </c>
      <c r="D236" s="32" t="s">
        <v>564</v>
      </c>
      <c r="E236" s="32" t="s">
        <v>167</v>
      </c>
      <c r="F236" s="32" t="s">
        <v>661</v>
      </c>
      <c r="G236" s="32" t="s">
        <v>202</v>
      </c>
      <c r="H236" s="32" t="s">
        <v>354</v>
      </c>
      <c r="I236" s="31" t="s">
        <v>583</v>
      </c>
      <c r="J236" s="31">
        <v>10</v>
      </c>
      <c r="K236" s="33" t="s">
        <v>962</v>
      </c>
      <c r="L236" s="33" t="s">
        <v>693</v>
      </c>
      <c r="M236" s="34" t="s">
        <v>705</v>
      </c>
      <c r="N236" s="34" t="s">
        <v>1748</v>
      </c>
      <c r="O236" s="35">
        <v>1</v>
      </c>
      <c r="P236" s="35"/>
      <c r="Q236" s="36"/>
      <c r="S236" s="1">
        <f t="shared" si="139"/>
        <v>0</v>
      </c>
      <c r="T236" s="1">
        <f t="shared" si="140"/>
        <v>0</v>
      </c>
      <c r="U236" s="1">
        <f t="shared" si="141"/>
        <v>0</v>
      </c>
      <c r="V236" s="1">
        <f t="shared" si="142"/>
        <v>0</v>
      </c>
      <c r="W236" s="1">
        <f t="shared" si="143"/>
        <v>0</v>
      </c>
      <c r="X236" s="1">
        <f t="shared" si="144"/>
        <v>0</v>
      </c>
      <c r="Y236" s="1">
        <f t="shared" si="145"/>
        <v>0</v>
      </c>
      <c r="Z236" s="1">
        <f t="shared" si="146"/>
        <v>0</v>
      </c>
      <c r="AA236" s="1">
        <f t="shared" si="147"/>
        <v>0</v>
      </c>
      <c r="AB236" s="1">
        <f t="shared" si="148"/>
        <v>1</v>
      </c>
      <c r="AD236" s="1">
        <f t="shared" si="149"/>
        <v>0</v>
      </c>
      <c r="AE236" s="1">
        <f t="shared" si="150"/>
        <v>1</v>
      </c>
      <c r="AF236" s="1">
        <f t="shared" si="135"/>
        <v>0</v>
      </c>
      <c r="AG236" s="1">
        <f t="shared" si="136"/>
        <v>1</v>
      </c>
      <c r="AH236" s="1">
        <f t="shared" si="137"/>
        <v>0</v>
      </c>
      <c r="AI236" s="1">
        <f t="shared" si="138"/>
        <v>1</v>
      </c>
    </row>
    <row r="237" spans="1:4094 4097:8191 8194:12288 12291:16384" s="1" customFormat="1" ht="14.25" customHeight="1" x14ac:dyDescent="0.25">
      <c r="A237" s="44">
        <v>0</v>
      </c>
      <c r="B237" s="44">
        <v>1</v>
      </c>
      <c r="C237" s="44">
        <v>6</v>
      </c>
      <c r="D237" s="45" t="s">
        <v>897</v>
      </c>
      <c r="E237" s="45" t="s">
        <v>167</v>
      </c>
      <c r="F237" s="45" t="s">
        <v>938</v>
      </c>
      <c r="G237" s="45" t="s">
        <v>939</v>
      </c>
      <c r="H237" s="45" t="s">
        <v>354</v>
      </c>
      <c r="I237" s="44" t="s">
        <v>953</v>
      </c>
      <c r="J237" s="44">
        <v>99</v>
      </c>
      <c r="K237" s="46" t="s">
        <v>702</v>
      </c>
      <c r="L237" s="46" t="s">
        <v>689</v>
      </c>
      <c r="M237" s="47" t="s">
        <v>1404</v>
      </c>
      <c r="N237" s="47" t="s">
        <v>1738</v>
      </c>
      <c r="O237" s="48"/>
      <c r="P237" s="48"/>
      <c r="Q237" s="45"/>
      <c r="S237" s="1">
        <f t="shared" si="139"/>
        <v>0</v>
      </c>
      <c r="T237" s="1">
        <f t="shared" si="140"/>
        <v>0</v>
      </c>
      <c r="U237" s="1">
        <f t="shared" si="141"/>
        <v>0</v>
      </c>
      <c r="V237" s="1">
        <f t="shared" si="142"/>
        <v>0</v>
      </c>
      <c r="W237" s="1">
        <f t="shared" si="143"/>
        <v>0</v>
      </c>
      <c r="X237" s="1">
        <f t="shared" si="144"/>
        <v>0</v>
      </c>
      <c r="Y237" s="1">
        <f t="shared" si="145"/>
        <v>0</v>
      </c>
      <c r="Z237" s="1">
        <f t="shared" si="146"/>
        <v>0</v>
      </c>
      <c r="AA237" s="1">
        <f t="shared" si="147"/>
        <v>0</v>
      </c>
      <c r="AB237" s="1">
        <f t="shared" si="148"/>
        <v>0</v>
      </c>
      <c r="AD237" s="1">
        <f t="shared" si="149"/>
        <v>0</v>
      </c>
      <c r="AE237" s="1">
        <f t="shared" si="150"/>
        <v>0</v>
      </c>
      <c r="AF237" s="1">
        <f t="shared" si="135"/>
        <v>0</v>
      </c>
      <c r="AG237" s="1">
        <f t="shared" si="136"/>
        <v>0</v>
      </c>
      <c r="AH237" s="1">
        <f t="shared" si="137"/>
        <v>0</v>
      </c>
      <c r="AI237" s="1">
        <f t="shared" si="138"/>
        <v>1</v>
      </c>
    </row>
    <row r="238" spans="1:4094 4097:8191 8194:12288 12291:16384" s="1" customFormat="1" ht="14.25" customHeight="1" x14ac:dyDescent="0.25">
      <c r="A238" s="31">
        <v>0</v>
      </c>
      <c r="B238" s="31">
        <v>1</v>
      </c>
      <c r="C238" s="31">
        <v>6</v>
      </c>
      <c r="D238" s="32" t="s">
        <v>100</v>
      </c>
      <c r="E238" s="32" t="s">
        <v>167</v>
      </c>
      <c r="F238" s="32" t="s">
        <v>662</v>
      </c>
      <c r="G238" s="32" t="s">
        <v>664</v>
      </c>
      <c r="H238" s="32" t="s">
        <v>354</v>
      </c>
      <c r="I238" s="31" t="s">
        <v>447</v>
      </c>
      <c r="J238" s="31">
        <v>99</v>
      </c>
      <c r="K238" s="33" t="s">
        <v>722</v>
      </c>
      <c r="L238" s="33" t="s">
        <v>696</v>
      </c>
      <c r="M238" s="34" t="s">
        <v>707</v>
      </c>
      <c r="N238" s="34" t="s">
        <v>1749</v>
      </c>
      <c r="O238" s="35">
        <v>1</v>
      </c>
      <c r="P238" s="35"/>
      <c r="Q238" s="32"/>
      <c r="S238" s="1">
        <f t="shared" si="139"/>
        <v>0</v>
      </c>
      <c r="T238" s="1">
        <f t="shared" si="140"/>
        <v>0</v>
      </c>
      <c r="U238" s="1">
        <f t="shared" si="141"/>
        <v>0</v>
      </c>
      <c r="V238" s="1">
        <f t="shared" si="142"/>
        <v>0</v>
      </c>
      <c r="W238" s="1">
        <f t="shared" si="143"/>
        <v>0</v>
      </c>
      <c r="X238" s="1">
        <f t="shared" si="144"/>
        <v>0</v>
      </c>
      <c r="Y238" s="1">
        <f t="shared" si="145"/>
        <v>0</v>
      </c>
      <c r="Z238" s="1">
        <f t="shared" si="146"/>
        <v>0</v>
      </c>
      <c r="AA238" s="1">
        <f t="shared" si="147"/>
        <v>0</v>
      </c>
      <c r="AB238" s="1">
        <f t="shared" si="148"/>
        <v>0</v>
      </c>
      <c r="AD238" s="1">
        <f t="shared" si="149"/>
        <v>0</v>
      </c>
      <c r="AE238" s="1">
        <f t="shared" si="150"/>
        <v>1</v>
      </c>
      <c r="AF238" s="1">
        <f t="shared" si="135"/>
        <v>0</v>
      </c>
      <c r="AG238" s="1">
        <f t="shared" si="136"/>
        <v>1</v>
      </c>
      <c r="AH238" s="1">
        <f t="shared" si="137"/>
        <v>0</v>
      </c>
      <c r="AI238" s="1">
        <f t="shared" si="138"/>
        <v>1</v>
      </c>
    </row>
    <row r="239" spans="1:4094 4097:8191 8194:12288 12291:16384" s="1" customFormat="1" ht="14.25" customHeight="1" x14ac:dyDescent="0.25">
      <c r="A239" s="38">
        <v>0</v>
      </c>
      <c r="B239" s="38">
        <v>1</v>
      </c>
      <c r="C239" s="38">
        <v>7</v>
      </c>
      <c r="D239" s="39" t="s">
        <v>86</v>
      </c>
      <c r="E239" s="39" t="s">
        <v>29</v>
      </c>
      <c r="F239" s="39" t="s">
        <v>663</v>
      </c>
      <c r="G239" s="39" t="s">
        <v>664</v>
      </c>
      <c r="H239" s="39" t="s">
        <v>354</v>
      </c>
      <c r="I239" s="38" t="s">
        <v>631</v>
      </c>
      <c r="J239" s="38">
        <v>99</v>
      </c>
      <c r="K239" s="40" t="s">
        <v>954</v>
      </c>
      <c r="L239" s="40" t="s">
        <v>693</v>
      </c>
      <c r="M239" s="41" t="s">
        <v>1405</v>
      </c>
      <c r="N239" s="42"/>
      <c r="O239" s="43"/>
      <c r="P239" s="43">
        <v>1</v>
      </c>
      <c r="Q239" s="39"/>
      <c r="S239" s="1">
        <f t="shared" si="139"/>
        <v>0</v>
      </c>
      <c r="T239" s="1">
        <f t="shared" si="140"/>
        <v>0</v>
      </c>
      <c r="U239" s="1">
        <f t="shared" si="141"/>
        <v>0</v>
      </c>
      <c r="V239" s="1">
        <f t="shared" si="142"/>
        <v>0</v>
      </c>
      <c r="W239" s="1">
        <f t="shared" si="143"/>
        <v>0</v>
      </c>
      <c r="X239" s="1">
        <f t="shared" si="144"/>
        <v>0</v>
      </c>
      <c r="Y239" s="1">
        <f t="shared" si="145"/>
        <v>0</v>
      </c>
      <c r="Z239" s="1">
        <f t="shared" si="146"/>
        <v>0</v>
      </c>
      <c r="AA239" s="1">
        <f t="shared" si="147"/>
        <v>0</v>
      </c>
      <c r="AB239" s="1">
        <f t="shared" si="148"/>
        <v>0</v>
      </c>
      <c r="AD239" s="1">
        <f t="shared" si="149"/>
        <v>0</v>
      </c>
      <c r="AE239" s="1">
        <f t="shared" si="150"/>
        <v>0</v>
      </c>
      <c r="AF239" s="1">
        <f t="shared" si="135"/>
        <v>0</v>
      </c>
      <c r="AG239" s="1">
        <f t="shared" si="136"/>
        <v>0</v>
      </c>
      <c r="AH239" s="1">
        <f t="shared" si="137"/>
        <v>1</v>
      </c>
      <c r="AI239" s="1">
        <f t="shared" si="138"/>
        <v>0</v>
      </c>
    </row>
    <row r="240" spans="1:4094 4097:8191 8194:12288 12291:16384" s="1" customFormat="1" ht="14.25" customHeight="1" x14ac:dyDescent="0.25">
      <c r="A240" s="31">
        <v>0</v>
      </c>
      <c r="B240" s="31">
        <v>1</v>
      </c>
      <c r="C240" s="31">
        <v>7</v>
      </c>
      <c r="D240" s="32" t="s">
        <v>650</v>
      </c>
      <c r="E240" s="32" t="s">
        <v>29</v>
      </c>
      <c r="F240" s="32" t="s">
        <v>626</v>
      </c>
      <c r="G240" s="32" t="s">
        <v>232</v>
      </c>
      <c r="H240" s="32" t="s">
        <v>354</v>
      </c>
      <c r="I240" s="31" t="s">
        <v>627</v>
      </c>
      <c r="J240" s="31">
        <v>99</v>
      </c>
      <c r="K240" s="33" t="s">
        <v>713</v>
      </c>
      <c r="L240" s="33" t="s">
        <v>696</v>
      </c>
      <c r="M240" s="34" t="s">
        <v>973</v>
      </c>
      <c r="N240" s="34" t="s">
        <v>1849</v>
      </c>
      <c r="O240" s="35">
        <v>1</v>
      </c>
      <c r="P240" s="35"/>
      <c r="Q240" s="32"/>
      <c r="S240" s="1">
        <f t="shared" si="139"/>
        <v>0</v>
      </c>
      <c r="T240" s="1">
        <f t="shared" si="140"/>
        <v>0</v>
      </c>
      <c r="U240" s="1">
        <f t="shared" si="141"/>
        <v>0</v>
      </c>
      <c r="V240" s="1">
        <f t="shared" si="142"/>
        <v>0</v>
      </c>
      <c r="W240" s="1">
        <f t="shared" si="143"/>
        <v>0</v>
      </c>
      <c r="X240" s="1">
        <f t="shared" si="144"/>
        <v>0</v>
      </c>
      <c r="Y240" s="1">
        <f t="shared" si="145"/>
        <v>0</v>
      </c>
      <c r="Z240" s="1">
        <f t="shared" si="146"/>
        <v>0</v>
      </c>
      <c r="AA240" s="1">
        <f t="shared" si="147"/>
        <v>0</v>
      </c>
      <c r="AB240" s="1">
        <f t="shared" si="148"/>
        <v>0</v>
      </c>
      <c r="AD240" s="1">
        <f t="shared" si="149"/>
        <v>0</v>
      </c>
      <c r="AE240" s="1">
        <f t="shared" si="150"/>
        <v>1</v>
      </c>
      <c r="AF240" s="1">
        <f t="shared" si="135"/>
        <v>0</v>
      </c>
      <c r="AG240" s="1">
        <f t="shared" si="136"/>
        <v>1</v>
      </c>
      <c r="AH240" s="1">
        <f t="shared" si="137"/>
        <v>0</v>
      </c>
      <c r="AI240" s="1">
        <f t="shared" si="138"/>
        <v>1</v>
      </c>
    </row>
    <row r="241" spans="1:35" s="1" customFormat="1" ht="14.25" customHeight="1" x14ac:dyDescent="0.25">
      <c r="A241" s="15">
        <v>0</v>
      </c>
      <c r="B241" s="15">
        <v>1</v>
      </c>
      <c r="C241" s="15">
        <v>7</v>
      </c>
      <c r="D241" s="16" t="s">
        <v>983</v>
      </c>
      <c r="E241" s="16" t="s">
        <v>29</v>
      </c>
      <c r="F241" s="16" t="s">
        <v>984</v>
      </c>
      <c r="G241" s="16" t="s">
        <v>985</v>
      </c>
      <c r="H241" s="16" t="s">
        <v>354</v>
      </c>
      <c r="I241" s="15" t="s">
        <v>982</v>
      </c>
      <c r="J241" s="15">
        <v>99</v>
      </c>
      <c r="K241" s="10" t="s">
        <v>703</v>
      </c>
      <c r="L241" s="10">
        <v>20</v>
      </c>
      <c r="M241" s="19" t="s">
        <v>973</v>
      </c>
      <c r="N241" s="19"/>
      <c r="Q241" s="16"/>
      <c r="S241" s="1">
        <f t="shared" si="139"/>
        <v>0</v>
      </c>
      <c r="T241" s="1">
        <f t="shared" si="140"/>
        <v>0</v>
      </c>
      <c r="U241" s="1">
        <f t="shared" si="141"/>
        <v>0</v>
      </c>
      <c r="V241" s="1">
        <f t="shared" si="142"/>
        <v>0</v>
      </c>
      <c r="W241" s="1">
        <f t="shared" si="143"/>
        <v>0</v>
      </c>
      <c r="X241" s="1">
        <f t="shared" si="144"/>
        <v>0</v>
      </c>
      <c r="Y241" s="1">
        <f t="shared" si="145"/>
        <v>0</v>
      </c>
      <c r="Z241" s="1">
        <f t="shared" si="146"/>
        <v>0</v>
      </c>
      <c r="AA241" s="1">
        <f t="shared" si="147"/>
        <v>0</v>
      </c>
      <c r="AB241" s="1">
        <f t="shared" si="148"/>
        <v>0</v>
      </c>
      <c r="AD241" s="1">
        <f t="shared" si="149"/>
        <v>0</v>
      </c>
      <c r="AE241" s="1">
        <f t="shared" si="150"/>
        <v>0</v>
      </c>
      <c r="AF241" s="1">
        <f t="shared" si="135"/>
        <v>0</v>
      </c>
      <c r="AG241" s="1">
        <f t="shared" si="136"/>
        <v>0</v>
      </c>
      <c r="AH241" s="1">
        <f t="shared" si="137"/>
        <v>0</v>
      </c>
      <c r="AI241" s="1">
        <f t="shared" si="138"/>
        <v>1</v>
      </c>
    </row>
    <row r="242" spans="1:35" s="1" customFormat="1" ht="14.25" customHeight="1" x14ac:dyDescent="0.25">
      <c r="A242" s="38">
        <v>0</v>
      </c>
      <c r="B242" s="38">
        <v>1</v>
      </c>
      <c r="C242" s="38">
        <v>7</v>
      </c>
      <c r="D242" s="39" t="s">
        <v>591</v>
      </c>
      <c r="E242" s="39" t="s">
        <v>29</v>
      </c>
      <c r="F242" s="39" t="s">
        <v>592</v>
      </c>
      <c r="G242" s="39" t="s">
        <v>1073</v>
      </c>
      <c r="H242" s="39" t="s">
        <v>354</v>
      </c>
      <c r="I242" s="38" t="s">
        <v>593</v>
      </c>
      <c r="J242" s="38">
        <v>99</v>
      </c>
      <c r="K242" s="40" t="s">
        <v>703</v>
      </c>
      <c r="L242" s="40">
        <v>35</v>
      </c>
      <c r="M242" s="41" t="s">
        <v>1405</v>
      </c>
      <c r="N242" s="41"/>
      <c r="O242" s="43"/>
      <c r="P242" s="43">
        <v>1</v>
      </c>
      <c r="Q242" s="39"/>
      <c r="S242" s="1">
        <f t="shared" si="139"/>
        <v>0</v>
      </c>
      <c r="T242" s="1">
        <f t="shared" si="140"/>
        <v>0</v>
      </c>
      <c r="U242" s="1">
        <f t="shared" si="141"/>
        <v>0</v>
      </c>
      <c r="V242" s="1">
        <f t="shared" si="142"/>
        <v>0</v>
      </c>
      <c r="W242" s="1">
        <f t="shared" si="143"/>
        <v>0</v>
      </c>
      <c r="X242" s="1">
        <f t="shared" si="144"/>
        <v>0</v>
      </c>
      <c r="Y242" s="1">
        <f t="shared" si="145"/>
        <v>0</v>
      </c>
      <c r="Z242" s="1">
        <f t="shared" si="146"/>
        <v>0</v>
      </c>
      <c r="AA242" s="1">
        <f t="shared" si="147"/>
        <v>0</v>
      </c>
      <c r="AB242" s="1">
        <f t="shared" si="148"/>
        <v>0</v>
      </c>
      <c r="AD242" s="1">
        <f t="shared" si="149"/>
        <v>0</v>
      </c>
      <c r="AE242" s="1">
        <f t="shared" si="150"/>
        <v>0</v>
      </c>
      <c r="AF242" s="1">
        <f t="shared" si="135"/>
        <v>0</v>
      </c>
      <c r="AG242" s="1">
        <f t="shared" si="136"/>
        <v>0</v>
      </c>
      <c r="AH242" s="1">
        <f t="shared" si="137"/>
        <v>1</v>
      </c>
      <c r="AI242" s="1">
        <f t="shared" si="138"/>
        <v>0</v>
      </c>
    </row>
    <row r="243" spans="1:35" s="1" customFormat="1" ht="14.25" customHeight="1" x14ac:dyDescent="0.25">
      <c r="A243" s="31">
        <v>0</v>
      </c>
      <c r="B243" s="31">
        <v>1</v>
      </c>
      <c r="C243" s="31">
        <v>7</v>
      </c>
      <c r="D243" s="32" t="s">
        <v>1627</v>
      </c>
      <c r="E243" s="32" t="s">
        <v>29</v>
      </c>
      <c r="F243" s="32" t="s">
        <v>1682</v>
      </c>
      <c r="G243" s="32" t="s">
        <v>312</v>
      </c>
      <c r="H243" s="32" t="s">
        <v>354</v>
      </c>
      <c r="I243" s="31" t="s">
        <v>1628</v>
      </c>
      <c r="J243" s="31"/>
      <c r="K243" s="33" t="s">
        <v>713</v>
      </c>
      <c r="L243" s="33">
        <v>45</v>
      </c>
      <c r="M243" s="34" t="s">
        <v>1800</v>
      </c>
      <c r="N243" s="34" t="s">
        <v>1733</v>
      </c>
      <c r="O243" s="35">
        <v>1</v>
      </c>
      <c r="P243" s="35">
        <v>1</v>
      </c>
      <c r="Q243" s="32"/>
      <c r="S243" s="1">
        <f t="shared" si="139"/>
        <v>0</v>
      </c>
      <c r="T243" s="1">
        <f t="shared" si="140"/>
        <v>0</v>
      </c>
      <c r="U243" s="1">
        <f t="shared" si="141"/>
        <v>0</v>
      </c>
      <c r="V243" s="1">
        <f t="shared" si="142"/>
        <v>0</v>
      </c>
      <c r="W243" s="1">
        <f t="shared" si="143"/>
        <v>0</v>
      </c>
      <c r="X243" s="1">
        <f t="shared" si="144"/>
        <v>0</v>
      </c>
      <c r="Y243" s="1">
        <f t="shared" si="145"/>
        <v>0</v>
      </c>
      <c r="Z243" s="1">
        <f t="shared" si="146"/>
        <v>0</v>
      </c>
      <c r="AA243" s="1">
        <f t="shared" si="147"/>
        <v>0</v>
      </c>
      <c r="AB243" s="1">
        <f t="shared" si="148"/>
        <v>0</v>
      </c>
      <c r="AD243" s="1">
        <f t="shared" si="149"/>
        <v>1</v>
      </c>
      <c r="AE243" s="1">
        <f t="shared" si="150"/>
        <v>0</v>
      </c>
      <c r="AF243" s="1">
        <f t="shared" si="135"/>
        <v>1</v>
      </c>
      <c r="AG243" s="1">
        <f t="shared" si="136"/>
        <v>0</v>
      </c>
      <c r="AH243" s="1">
        <f t="shared" si="137"/>
        <v>1</v>
      </c>
      <c r="AI243" s="1">
        <f t="shared" si="138"/>
        <v>0</v>
      </c>
    </row>
    <row r="244" spans="1:35" s="1" customFormat="1" ht="14.25" customHeight="1" x14ac:dyDescent="0.25">
      <c r="A244" s="31">
        <v>0</v>
      </c>
      <c r="B244" s="31">
        <v>1</v>
      </c>
      <c r="C244" s="31">
        <v>7</v>
      </c>
      <c r="D244" s="32" t="s">
        <v>859</v>
      </c>
      <c r="E244" s="32" t="s">
        <v>29</v>
      </c>
      <c r="F244" s="32" t="s">
        <v>860</v>
      </c>
      <c r="G244" s="32" t="s">
        <v>202</v>
      </c>
      <c r="H244" s="32" t="s">
        <v>354</v>
      </c>
      <c r="I244" s="31" t="s">
        <v>861</v>
      </c>
      <c r="J244" s="31">
        <v>10</v>
      </c>
      <c r="K244" s="33" t="s">
        <v>713</v>
      </c>
      <c r="L244" s="33" t="s">
        <v>693</v>
      </c>
      <c r="M244" s="34" t="s">
        <v>1405</v>
      </c>
      <c r="N244" s="34" t="s">
        <v>1755</v>
      </c>
      <c r="O244" s="35">
        <v>1</v>
      </c>
      <c r="P244" s="35"/>
      <c r="Q244" s="32"/>
      <c r="S244" s="1">
        <f t="shared" si="139"/>
        <v>0</v>
      </c>
      <c r="T244" s="1">
        <f t="shared" si="140"/>
        <v>0</v>
      </c>
      <c r="U244" s="1">
        <f t="shared" si="141"/>
        <v>0</v>
      </c>
      <c r="V244" s="1">
        <f t="shared" si="142"/>
        <v>0</v>
      </c>
      <c r="W244" s="1">
        <f t="shared" si="143"/>
        <v>0</v>
      </c>
      <c r="X244" s="1">
        <f t="shared" si="144"/>
        <v>0</v>
      </c>
      <c r="Y244" s="1">
        <f t="shared" si="145"/>
        <v>0</v>
      </c>
      <c r="Z244" s="1">
        <f t="shared" si="146"/>
        <v>0</v>
      </c>
      <c r="AA244" s="1">
        <f t="shared" si="147"/>
        <v>0</v>
      </c>
      <c r="AB244" s="1">
        <f t="shared" si="148"/>
        <v>1</v>
      </c>
      <c r="AD244" s="1">
        <f t="shared" si="149"/>
        <v>0</v>
      </c>
      <c r="AE244" s="1">
        <f t="shared" si="150"/>
        <v>1</v>
      </c>
      <c r="AF244" s="1">
        <f t="shared" si="135"/>
        <v>0</v>
      </c>
      <c r="AG244" s="1">
        <f t="shared" si="136"/>
        <v>1</v>
      </c>
      <c r="AH244" s="1">
        <f t="shared" si="137"/>
        <v>0</v>
      </c>
      <c r="AI244" s="1">
        <f t="shared" si="138"/>
        <v>1</v>
      </c>
    </row>
    <row r="245" spans="1:35" s="1" customFormat="1" ht="14.25" customHeight="1" x14ac:dyDescent="0.25">
      <c r="A245" s="31">
        <v>0</v>
      </c>
      <c r="B245" s="31">
        <v>1</v>
      </c>
      <c r="C245" s="31">
        <v>7</v>
      </c>
      <c r="D245" s="32" t="s">
        <v>40</v>
      </c>
      <c r="E245" s="32" t="s">
        <v>29</v>
      </c>
      <c r="F245" s="32" t="s">
        <v>280</v>
      </c>
      <c r="G245" s="32" t="s">
        <v>230</v>
      </c>
      <c r="H245" s="32" t="s">
        <v>354</v>
      </c>
      <c r="I245" s="31" t="s">
        <v>435</v>
      </c>
      <c r="J245" s="31">
        <v>7</v>
      </c>
      <c r="K245" s="33" t="s">
        <v>713</v>
      </c>
      <c r="L245" s="33" t="s">
        <v>696</v>
      </c>
      <c r="M245" s="34" t="s">
        <v>973</v>
      </c>
      <c r="N245" s="34" t="s">
        <v>1727</v>
      </c>
      <c r="O245" s="35">
        <v>1</v>
      </c>
      <c r="P245" s="35">
        <v>1</v>
      </c>
      <c r="Q245" s="32"/>
      <c r="S245" s="1">
        <f t="shared" si="139"/>
        <v>0</v>
      </c>
      <c r="T245" s="1">
        <f t="shared" si="140"/>
        <v>0</v>
      </c>
      <c r="U245" s="1">
        <f t="shared" si="141"/>
        <v>0</v>
      </c>
      <c r="V245" s="1">
        <f t="shared" si="142"/>
        <v>0</v>
      </c>
      <c r="W245" s="1">
        <f t="shared" si="143"/>
        <v>0</v>
      </c>
      <c r="X245" s="1">
        <f t="shared" si="144"/>
        <v>0</v>
      </c>
      <c r="Y245" s="1">
        <f t="shared" si="145"/>
        <v>1</v>
      </c>
      <c r="Z245" s="1">
        <f t="shared" si="146"/>
        <v>0</v>
      </c>
      <c r="AA245" s="1">
        <f t="shared" si="147"/>
        <v>0</v>
      </c>
      <c r="AB245" s="1">
        <f t="shared" si="148"/>
        <v>0</v>
      </c>
      <c r="AD245" s="1">
        <f t="shared" si="149"/>
        <v>1</v>
      </c>
      <c r="AE245" s="1">
        <f t="shared" si="150"/>
        <v>0</v>
      </c>
      <c r="AF245" s="1">
        <f t="shared" si="135"/>
        <v>1</v>
      </c>
      <c r="AG245" s="1">
        <f t="shared" si="136"/>
        <v>0</v>
      </c>
      <c r="AH245" s="1">
        <f t="shared" si="137"/>
        <v>1</v>
      </c>
      <c r="AI245" s="1">
        <f t="shared" si="138"/>
        <v>0</v>
      </c>
    </row>
    <row r="246" spans="1:35" s="1" customFormat="1" ht="14.25" customHeight="1" x14ac:dyDescent="0.25">
      <c r="A246" s="31">
        <v>1</v>
      </c>
      <c r="B246" s="31">
        <v>1</v>
      </c>
      <c r="C246" s="31">
        <v>7</v>
      </c>
      <c r="D246" s="32" t="s">
        <v>40</v>
      </c>
      <c r="E246" s="32" t="s">
        <v>29</v>
      </c>
      <c r="F246" s="32" t="s">
        <v>1601</v>
      </c>
      <c r="G246" s="32" t="s">
        <v>39</v>
      </c>
      <c r="H246" s="32" t="s">
        <v>354</v>
      </c>
      <c r="I246" s="31" t="s">
        <v>1602</v>
      </c>
      <c r="J246" s="31">
        <v>99</v>
      </c>
      <c r="K246" s="33" t="s">
        <v>713</v>
      </c>
      <c r="L246" s="33" t="s">
        <v>696</v>
      </c>
      <c r="M246" s="34" t="s">
        <v>973</v>
      </c>
      <c r="N246" s="34" t="s">
        <v>1727</v>
      </c>
      <c r="O246" s="35">
        <v>1</v>
      </c>
      <c r="P246" s="35">
        <v>1</v>
      </c>
      <c r="Q246" s="32"/>
      <c r="S246" s="1">
        <f t="shared" si="139"/>
        <v>0</v>
      </c>
      <c r="T246" s="1">
        <f t="shared" si="140"/>
        <v>0</v>
      </c>
      <c r="U246" s="1">
        <f t="shared" si="141"/>
        <v>0</v>
      </c>
      <c r="V246" s="1">
        <f t="shared" si="142"/>
        <v>0</v>
      </c>
      <c r="W246" s="1">
        <f t="shared" si="143"/>
        <v>0</v>
      </c>
      <c r="X246" s="1">
        <f t="shared" si="144"/>
        <v>0</v>
      </c>
      <c r="Y246" s="1">
        <f t="shared" si="145"/>
        <v>0</v>
      </c>
      <c r="Z246" s="1">
        <f t="shared" si="146"/>
        <v>0</v>
      </c>
      <c r="AA246" s="1">
        <f t="shared" si="147"/>
        <v>0</v>
      </c>
      <c r="AB246" s="1">
        <f t="shared" si="148"/>
        <v>0</v>
      </c>
      <c r="AD246" s="1">
        <f t="shared" si="149"/>
        <v>1</v>
      </c>
      <c r="AE246" s="1">
        <f t="shared" si="150"/>
        <v>0</v>
      </c>
      <c r="AF246" s="1">
        <f t="shared" si="135"/>
        <v>0</v>
      </c>
      <c r="AG246" s="1">
        <f t="shared" si="136"/>
        <v>0</v>
      </c>
      <c r="AH246" s="1">
        <f t="shared" si="137"/>
        <v>0</v>
      </c>
      <c r="AI246" s="1">
        <f t="shared" si="138"/>
        <v>0</v>
      </c>
    </row>
    <row r="247" spans="1:35" s="1" customFormat="1" ht="14.25" customHeight="1" x14ac:dyDescent="0.25">
      <c r="A247" s="49">
        <v>0</v>
      </c>
      <c r="B247" s="49">
        <v>1</v>
      </c>
      <c r="C247" s="49">
        <v>7</v>
      </c>
      <c r="D247" s="55" t="s">
        <v>1484</v>
      </c>
      <c r="E247" s="50" t="s">
        <v>29</v>
      </c>
      <c r="F247" s="55" t="s">
        <v>1004</v>
      </c>
      <c r="G247" s="55" t="s">
        <v>1102</v>
      </c>
      <c r="H247" s="55" t="s">
        <v>354</v>
      </c>
      <c r="I247" s="63" t="s">
        <v>1110</v>
      </c>
      <c r="J247" s="49">
        <v>10</v>
      </c>
      <c r="K247" s="51" t="s">
        <v>713</v>
      </c>
      <c r="L247" s="51" t="s">
        <v>694</v>
      </c>
      <c r="M247" s="52" t="s">
        <v>973</v>
      </c>
      <c r="N247" s="52" t="s">
        <v>1743</v>
      </c>
      <c r="O247" s="53">
        <v>1</v>
      </c>
      <c r="P247" s="53"/>
      <c r="Q247" s="55"/>
      <c r="S247" s="1">
        <f t="shared" si="139"/>
        <v>0</v>
      </c>
      <c r="T247" s="1">
        <f t="shared" si="140"/>
        <v>0</v>
      </c>
      <c r="U247" s="1">
        <f t="shared" si="141"/>
        <v>0</v>
      </c>
      <c r="V247" s="1">
        <f t="shared" si="142"/>
        <v>0</v>
      </c>
      <c r="W247" s="1">
        <f t="shared" si="143"/>
        <v>0</v>
      </c>
      <c r="X247" s="1">
        <f t="shared" si="144"/>
        <v>0</v>
      </c>
      <c r="Y247" s="1">
        <f t="shared" si="145"/>
        <v>0</v>
      </c>
      <c r="Z247" s="1">
        <f t="shared" si="146"/>
        <v>0</v>
      </c>
      <c r="AA247" s="1">
        <f t="shared" si="147"/>
        <v>0</v>
      </c>
      <c r="AB247" s="1">
        <f t="shared" si="148"/>
        <v>1</v>
      </c>
      <c r="AD247" s="1">
        <f t="shared" si="149"/>
        <v>0</v>
      </c>
      <c r="AE247" s="1">
        <f t="shared" si="150"/>
        <v>1</v>
      </c>
      <c r="AF247" s="1">
        <f t="shared" si="135"/>
        <v>0</v>
      </c>
      <c r="AG247" s="1">
        <f t="shared" si="136"/>
        <v>1</v>
      </c>
      <c r="AH247" s="1">
        <f t="shared" si="137"/>
        <v>0</v>
      </c>
      <c r="AI247" s="1">
        <f t="shared" si="138"/>
        <v>1</v>
      </c>
    </row>
    <row r="248" spans="1:35" s="1" customFormat="1" ht="14.25" customHeight="1" x14ac:dyDescent="0.25">
      <c r="A248" s="31">
        <v>0</v>
      </c>
      <c r="B248" s="31">
        <v>1</v>
      </c>
      <c r="C248" s="31">
        <v>7</v>
      </c>
      <c r="D248" s="36" t="s">
        <v>1485</v>
      </c>
      <c r="E248" s="32" t="s">
        <v>29</v>
      </c>
      <c r="F248" s="36" t="s">
        <v>1002</v>
      </c>
      <c r="G248" s="36" t="s">
        <v>240</v>
      </c>
      <c r="H248" s="36" t="s">
        <v>354</v>
      </c>
      <c r="I248" s="37" t="s">
        <v>1003</v>
      </c>
      <c r="J248" s="31">
        <v>1</v>
      </c>
      <c r="K248" s="33" t="s">
        <v>961</v>
      </c>
      <c r="L248" s="33" t="s">
        <v>694</v>
      </c>
      <c r="M248" s="34" t="s">
        <v>973</v>
      </c>
      <c r="N248" s="34" t="s">
        <v>1801</v>
      </c>
      <c r="O248" s="35">
        <v>1</v>
      </c>
      <c r="P248" s="35"/>
      <c r="Q248" s="36"/>
      <c r="S248" s="1">
        <f t="shared" si="139"/>
        <v>1</v>
      </c>
      <c r="T248" s="1">
        <f t="shared" si="140"/>
        <v>0</v>
      </c>
      <c r="U248" s="1">
        <f t="shared" si="141"/>
        <v>0</v>
      </c>
      <c r="V248" s="1">
        <f t="shared" si="142"/>
        <v>0</v>
      </c>
      <c r="W248" s="1">
        <f t="shared" si="143"/>
        <v>0</v>
      </c>
      <c r="X248" s="1">
        <f t="shared" si="144"/>
        <v>0</v>
      </c>
      <c r="Y248" s="1">
        <f t="shared" si="145"/>
        <v>0</v>
      </c>
      <c r="Z248" s="1">
        <f t="shared" si="146"/>
        <v>0</v>
      </c>
      <c r="AA248" s="1">
        <f t="shared" si="147"/>
        <v>0</v>
      </c>
      <c r="AB248" s="1">
        <f t="shared" si="148"/>
        <v>0</v>
      </c>
      <c r="AD248" s="1">
        <f t="shared" si="149"/>
        <v>0</v>
      </c>
      <c r="AE248" s="1">
        <f t="shared" si="150"/>
        <v>1</v>
      </c>
      <c r="AF248" s="1">
        <f t="shared" si="135"/>
        <v>0</v>
      </c>
      <c r="AG248" s="1">
        <f t="shared" si="136"/>
        <v>1</v>
      </c>
      <c r="AH248" s="1">
        <f t="shared" si="137"/>
        <v>0</v>
      </c>
      <c r="AI248" s="1">
        <f t="shared" si="138"/>
        <v>1</v>
      </c>
    </row>
    <row r="249" spans="1:35" s="1" customFormat="1" ht="14.25" customHeight="1" x14ac:dyDescent="0.25">
      <c r="A249" s="44">
        <v>0</v>
      </c>
      <c r="B249" s="44">
        <v>1</v>
      </c>
      <c r="C249" s="44">
        <v>7</v>
      </c>
      <c r="D249" s="45" t="s">
        <v>898</v>
      </c>
      <c r="E249" s="45" t="s">
        <v>29</v>
      </c>
      <c r="F249" s="45" t="s">
        <v>899</v>
      </c>
      <c r="G249" s="45" t="s">
        <v>39</v>
      </c>
      <c r="H249" s="45" t="s">
        <v>355</v>
      </c>
      <c r="I249" s="44" t="s">
        <v>900</v>
      </c>
      <c r="J249" s="44">
        <v>11</v>
      </c>
      <c r="K249" s="46" t="s">
        <v>703</v>
      </c>
      <c r="L249" s="46">
        <v>35</v>
      </c>
      <c r="M249" s="47" t="s">
        <v>1405</v>
      </c>
      <c r="N249" s="47" t="s">
        <v>1747</v>
      </c>
      <c r="O249" s="48"/>
      <c r="P249" s="48"/>
      <c r="Q249" s="65" t="s">
        <v>1903</v>
      </c>
      <c r="S249" s="1">
        <f t="shared" si="139"/>
        <v>0</v>
      </c>
      <c r="T249" s="1">
        <f t="shared" si="140"/>
        <v>0</v>
      </c>
      <c r="U249" s="1">
        <f t="shared" si="141"/>
        <v>0</v>
      </c>
      <c r="V249" s="1">
        <f t="shared" si="142"/>
        <v>0</v>
      </c>
      <c r="W249" s="1">
        <f t="shared" si="143"/>
        <v>0</v>
      </c>
      <c r="X249" s="1">
        <f t="shared" si="144"/>
        <v>0</v>
      </c>
      <c r="Y249" s="1">
        <f t="shared" si="145"/>
        <v>0</v>
      </c>
      <c r="Z249" s="1">
        <f t="shared" si="146"/>
        <v>0</v>
      </c>
      <c r="AA249" s="1">
        <f t="shared" si="147"/>
        <v>0</v>
      </c>
      <c r="AB249" s="1">
        <f t="shared" si="148"/>
        <v>0</v>
      </c>
      <c r="AD249" s="1">
        <f t="shared" si="149"/>
        <v>0</v>
      </c>
      <c r="AE249" s="1">
        <f t="shared" si="150"/>
        <v>0</v>
      </c>
      <c r="AF249" s="1">
        <f t="shared" si="135"/>
        <v>0</v>
      </c>
      <c r="AG249" s="1">
        <f t="shared" si="136"/>
        <v>0</v>
      </c>
      <c r="AH249" s="1">
        <f t="shared" si="137"/>
        <v>0</v>
      </c>
      <c r="AI249" s="1">
        <f t="shared" si="138"/>
        <v>1</v>
      </c>
    </row>
    <row r="250" spans="1:35" s="1" customFormat="1" ht="14.25" customHeight="1" x14ac:dyDescent="0.25">
      <c r="A250" s="31">
        <v>0</v>
      </c>
      <c r="B250" s="31">
        <v>1</v>
      </c>
      <c r="C250" s="31">
        <v>7</v>
      </c>
      <c r="D250" s="36" t="s">
        <v>1084</v>
      </c>
      <c r="E250" s="32" t="s">
        <v>29</v>
      </c>
      <c r="F250" s="36" t="s">
        <v>986</v>
      </c>
      <c r="G250" s="36" t="s">
        <v>203</v>
      </c>
      <c r="H250" s="36" t="s">
        <v>354</v>
      </c>
      <c r="I250" s="37" t="s">
        <v>987</v>
      </c>
      <c r="J250" s="31">
        <v>99</v>
      </c>
      <c r="K250" s="33" t="s">
        <v>713</v>
      </c>
      <c r="L250" s="33" t="s">
        <v>694</v>
      </c>
      <c r="M250" s="34" t="s">
        <v>1442</v>
      </c>
      <c r="N250" s="34" t="s">
        <v>1727</v>
      </c>
      <c r="O250" s="35">
        <v>1</v>
      </c>
      <c r="P250" s="35">
        <v>1</v>
      </c>
      <c r="Q250" s="36"/>
      <c r="S250" s="1">
        <f t="shared" si="139"/>
        <v>0</v>
      </c>
      <c r="T250" s="1">
        <f t="shared" si="140"/>
        <v>0</v>
      </c>
      <c r="U250" s="1">
        <f t="shared" si="141"/>
        <v>0</v>
      </c>
      <c r="V250" s="1">
        <f t="shared" si="142"/>
        <v>0</v>
      </c>
      <c r="W250" s="1">
        <f t="shared" si="143"/>
        <v>0</v>
      </c>
      <c r="X250" s="1">
        <f t="shared" si="144"/>
        <v>0</v>
      </c>
      <c r="Y250" s="1">
        <f t="shared" si="145"/>
        <v>0</v>
      </c>
      <c r="Z250" s="1">
        <f t="shared" si="146"/>
        <v>0</v>
      </c>
      <c r="AA250" s="1">
        <f t="shared" si="147"/>
        <v>0</v>
      </c>
      <c r="AB250" s="1">
        <f t="shared" si="148"/>
        <v>0</v>
      </c>
      <c r="AD250" s="1">
        <f t="shared" si="149"/>
        <v>1</v>
      </c>
      <c r="AE250" s="1">
        <f t="shared" si="150"/>
        <v>0</v>
      </c>
      <c r="AF250" s="1">
        <f t="shared" si="135"/>
        <v>1</v>
      </c>
      <c r="AG250" s="1">
        <f t="shared" si="136"/>
        <v>0</v>
      </c>
      <c r="AH250" s="1">
        <f t="shared" si="137"/>
        <v>1</v>
      </c>
      <c r="AI250" s="1">
        <f t="shared" si="138"/>
        <v>0</v>
      </c>
    </row>
    <row r="251" spans="1:35" s="1" customFormat="1" ht="14.25" customHeight="1" x14ac:dyDescent="0.25">
      <c r="A251" s="15">
        <v>0</v>
      </c>
      <c r="B251" s="15">
        <v>1</v>
      </c>
      <c r="C251" s="15">
        <v>7</v>
      </c>
      <c r="D251" s="16" t="s">
        <v>751</v>
      </c>
      <c r="E251" s="16" t="s">
        <v>29</v>
      </c>
      <c r="F251" s="16" t="s">
        <v>752</v>
      </c>
      <c r="G251" s="16" t="s">
        <v>753</v>
      </c>
      <c r="H251" s="16" t="s">
        <v>354</v>
      </c>
      <c r="I251" s="15" t="s">
        <v>754</v>
      </c>
      <c r="J251" s="15">
        <v>99</v>
      </c>
      <c r="K251" s="10" t="s">
        <v>703</v>
      </c>
      <c r="L251" s="10">
        <v>20</v>
      </c>
      <c r="M251" s="19" t="s">
        <v>1120</v>
      </c>
      <c r="N251" s="17"/>
      <c r="Q251" s="16"/>
      <c r="S251" s="1">
        <f t="shared" si="139"/>
        <v>0</v>
      </c>
      <c r="T251" s="1">
        <f t="shared" si="140"/>
        <v>0</v>
      </c>
      <c r="U251" s="1">
        <f t="shared" si="141"/>
        <v>0</v>
      </c>
      <c r="V251" s="1">
        <f t="shared" si="142"/>
        <v>0</v>
      </c>
      <c r="W251" s="1">
        <f t="shared" si="143"/>
        <v>0</v>
      </c>
      <c r="X251" s="1">
        <f t="shared" si="144"/>
        <v>0</v>
      </c>
      <c r="Y251" s="1">
        <f t="shared" si="145"/>
        <v>0</v>
      </c>
      <c r="Z251" s="1">
        <f t="shared" si="146"/>
        <v>0</v>
      </c>
      <c r="AA251" s="1">
        <f t="shared" si="147"/>
        <v>0</v>
      </c>
      <c r="AB251" s="1">
        <f t="shared" si="148"/>
        <v>0</v>
      </c>
      <c r="AD251" s="1">
        <f t="shared" si="149"/>
        <v>0</v>
      </c>
      <c r="AE251" s="1">
        <f t="shared" si="150"/>
        <v>0</v>
      </c>
      <c r="AF251" s="1">
        <f t="shared" si="135"/>
        <v>0</v>
      </c>
      <c r="AG251" s="1">
        <f t="shared" si="136"/>
        <v>0</v>
      </c>
      <c r="AH251" s="1">
        <f t="shared" si="137"/>
        <v>0</v>
      </c>
      <c r="AI251" s="1">
        <f t="shared" si="138"/>
        <v>1</v>
      </c>
    </row>
    <row r="252" spans="1:35" s="1" customFormat="1" ht="14.25" customHeight="1" x14ac:dyDescent="0.25">
      <c r="A252" s="31">
        <v>0</v>
      </c>
      <c r="B252" s="31">
        <v>1</v>
      </c>
      <c r="C252" s="31">
        <v>7</v>
      </c>
      <c r="D252" s="36" t="s">
        <v>828</v>
      </c>
      <c r="E252" s="32" t="s">
        <v>29</v>
      </c>
      <c r="F252" s="36" t="s">
        <v>829</v>
      </c>
      <c r="G252" s="36" t="s">
        <v>928</v>
      </c>
      <c r="H252" s="36" t="s">
        <v>354</v>
      </c>
      <c r="I252" s="37" t="s">
        <v>830</v>
      </c>
      <c r="J252" s="31">
        <v>99</v>
      </c>
      <c r="K252" s="33" t="s">
        <v>955</v>
      </c>
      <c r="L252" s="33" t="s">
        <v>694</v>
      </c>
      <c r="M252" s="34" t="s">
        <v>973</v>
      </c>
      <c r="N252" s="34" t="s">
        <v>1825</v>
      </c>
      <c r="O252" s="35">
        <v>1</v>
      </c>
      <c r="P252" s="35"/>
      <c r="Q252" s="36"/>
      <c r="S252" s="1">
        <f t="shared" si="139"/>
        <v>0</v>
      </c>
      <c r="T252" s="1">
        <f t="shared" si="140"/>
        <v>0</v>
      </c>
      <c r="U252" s="1">
        <f t="shared" si="141"/>
        <v>0</v>
      </c>
      <c r="V252" s="1">
        <f t="shared" si="142"/>
        <v>0</v>
      </c>
      <c r="W252" s="1">
        <f t="shared" si="143"/>
        <v>0</v>
      </c>
      <c r="X252" s="1">
        <f t="shared" si="144"/>
        <v>0</v>
      </c>
      <c r="Y252" s="1">
        <f t="shared" si="145"/>
        <v>0</v>
      </c>
      <c r="Z252" s="1">
        <f t="shared" si="146"/>
        <v>0</v>
      </c>
      <c r="AA252" s="1">
        <f t="shared" si="147"/>
        <v>0</v>
      </c>
      <c r="AB252" s="1">
        <f t="shared" si="148"/>
        <v>0</v>
      </c>
      <c r="AD252" s="1">
        <f t="shared" si="149"/>
        <v>0</v>
      </c>
      <c r="AE252" s="1">
        <f t="shared" si="150"/>
        <v>1</v>
      </c>
      <c r="AF252" s="1">
        <f t="shared" si="135"/>
        <v>0</v>
      </c>
      <c r="AG252" s="1">
        <f t="shared" si="136"/>
        <v>1</v>
      </c>
      <c r="AH252" s="1">
        <f t="shared" si="137"/>
        <v>0</v>
      </c>
      <c r="AI252" s="1">
        <f t="shared" si="138"/>
        <v>1</v>
      </c>
    </row>
    <row r="253" spans="1:35" s="1" customFormat="1" ht="14.25" customHeight="1" x14ac:dyDescent="0.25">
      <c r="A253" s="31">
        <v>0</v>
      </c>
      <c r="B253" s="31">
        <v>1</v>
      </c>
      <c r="C253" s="31">
        <v>7</v>
      </c>
      <c r="D253" s="36" t="s">
        <v>1720</v>
      </c>
      <c r="E253" s="32" t="s">
        <v>29</v>
      </c>
      <c r="F253" s="36" t="s">
        <v>1721</v>
      </c>
      <c r="G253" s="36" t="s">
        <v>249</v>
      </c>
      <c r="H253" s="36" t="s">
        <v>354</v>
      </c>
      <c r="I253" s="37" t="s">
        <v>1722</v>
      </c>
      <c r="J253" s="31"/>
      <c r="K253" s="33" t="s">
        <v>703</v>
      </c>
      <c r="L253" s="33"/>
      <c r="M253" s="34"/>
      <c r="N253" s="34" t="s">
        <v>1727</v>
      </c>
      <c r="O253" s="35">
        <v>1</v>
      </c>
      <c r="P253" s="35">
        <v>1</v>
      </c>
      <c r="Q253" s="36"/>
      <c r="S253" s="1">
        <f t="shared" si="139"/>
        <v>0</v>
      </c>
      <c r="T253" s="1">
        <f t="shared" si="140"/>
        <v>0</v>
      </c>
      <c r="U253" s="1">
        <f t="shared" si="141"/>
        <v>0</v>
      </c>
      <c r="V253" s="1">
        <f t="shared" si="142"/>
        <v>0</v>
      </c>
      <c r="W253" s="1">
        <f t="shared" si="143"/>
        <v>0</v>
      </c>
      <c r="X253" s="1">
        <f t="shared" si="144"/>
        <v>0</v>
      </c>
      <c r="Y253" s="1">
        <f t="shared" si="145"/>
        <v>0</v>
      </c>
      <c r="Z253" s="1">
        <f t="shared" si="146"/>
        <v>0</v>
      </c>
      <c r="AA253" s="1">
        <f t="shared" si="147"/>
        <v>0</v>
      </c>
      <c r="AB253" s="1">
        <f t="shared" si="148"/>
        <v>0</v>
      </c>
      <c r="AD253" s="1">
        <f t="shared" si="149"/>
        <v>1</v>
      </c>
      <c r="AE253" s="1">
        <f t="shared" si="150"/>
        <v>0</v>
      </c>
      <c r="AF253" s="1">
        <f t="shared" si="135"/>
        <v>1</v>
      </c>
      <c r="AG253" s="1">
        <f t="shared" si="136"/>
        <v>0</v>
      </c>
      <c r="AH253" s="1">
        <f t="shared" si="137"/>
        <v>1</v>
      </c>
      <c r="AI253" s="1">
        <f t="shared" si="138"/>
        <v>0</v>
      </c>
    </row>
    <row r="254" spans="1:35" s="1" customFormat="1" ht="14.25" customHeight="1" x14ac:dyDescent="0.25">
      <c r="A254" s="31">
        <v>0</v>
      </c>
      <c r="B254" s="31">
        <v>1</v>
      </c>
      <c r="C254" s="31">
        <v>7</v>
      </c>
      <c r="D254" s="32" t="s">
        <v>901</v>
      </c>
      <c r="E254" s="32" t="s">
        <v>29</v>
      </c>
      <c r="F254" s="32" t="s">
        <v>902</v>
      </c>
      <c r="G254" s="32" t="s">
        <v>228</v>
      </c>
      <c r="H254" s="32" t="s">
        <v>354</v>
      </c>
      <c r="I254" s="31" t="s">
        <v>903</v>
      </c>
      <c r="J254" s="31">
        <v>99</v>
      </c>
      <c r="K254" s="33" t="s">
        <v>713</v>
      </c>
      <c r="L254" s="33" t="s">
        <v>694</v>
      </c>
      <c r="M254" s="34" t="s">
        <v>1406</v>
      </c>
      <c r="N254" s="34" t="s">
        <v>1748</v>
      </c>
      <c r="O254" s="35">
        <v>1</v>
      </c>
      <c r="P254" s="35"/>
      <c r="Q254" s="32"/>
      <c r="S254" s="1">
        <f t="shared" si="139"/>
        <v>0</v>
      </c>
      <c r="T254" s="1">
        <f t="shared" si="140"/>
        <v>0</v>
      </c>
      <c r="U254" s="1">
        <f t="shared" si="141"/>
        <v>0</v>
      </c>
      <c r="V254" s="1">
        <f t="shared" si="142"/>
        <v>0</v>
      </c>
      <c r="W254" s="1">
        <f t="shared" si="143"/>
        <v>0</v>
      </c>
      <c r="X254" s="1">
        <f t="shared" si="144"/>
        <v>0</v>
      </c>
      <c r="Y254" s="1">
        <f t="shared" si="145"/>
        <v>0</v>
      </c>
      <c r="Z254" s="1">
        <f t="shared" si="146"/>
        <v>0</v>
      </c>
      <c r="AA254" s="1">
        <f t="shared" si="147"/>
        <v>0</v>
      </c>
      <c r="AB254" s="1">
        <f t="shared" si="148"/>
        <v>0</v>
      </c>
      <c r="AD254" s="1">
        <f t="shared" si="149"/>
        <v>0</v>
      </c>
      <c r="AE254" s="1">
        <f t="shared" si="150"/>
        <v>1</v>
      </c>
      <c r="AF254" s="1">
        <f t="shared" si="135"/>
        <v>0</v>
      </c>
      <c r="AG254" s="1">
        <f t="shared" si="136"/>
        <v>1</v>
      </c>
      <c r="AH254" s="1">
        <f t="shared" si="137"/>
        <v>0</v>
      </c>
      <c r="AI254" s="1">
        <f t="shared" si="138"/>
        <v>1</v>
      </c>
    </row>
    <row r="255" spans="1:35" s="1" customFormat="1" ht="14.25" customHeight="1" x14ac:dyDescent="0.25">
      <c r="A255" s="31">
        <v>0</v>
      </c>
      <c r="B255" s="31">
        <v>1</v>
      </c>
      <c r="C255" s="31">
        <v>7</v>
      </c>
      <c r="D255" s="32" t="s">
        <v>88</v>
      </c>
      <c r="E255" s="32" t="s">
        <v>29</v>
      </c>
      <c r="F255" s="32" t="s">
        <v>281</v>
      </c>
      <c r="G255" s="32" t="s">
        <v>238</v>
      </c>
      <c r="H255" s="32" t="s">
        <v>354</v>
      </c>
      <c r="I255" s="31" t="s">
        <v>437</v>
      </c>
      <c r="J255" s="31">
        <v>4</v>
      </c>
      <c r="K255" s="33" t="s">
        <v>954</v>
      </c>
      <c r="L255" s="33" t="s">
        <v>39</v>
      </c>
      <c r="M255" s="34" t="s">
        <v>39</v>
      </c>
      <c r="N255" s="34" t="s">
        <v>1727</v>
      </c>
      <c r="O255" s="35">
        <v>1</v>
      </c>
      <c r="P255" s="35">
        <v>1</v>
      </c>
      <c r="Q255" s="32"/>
      <c r="S255" s="1">
        <f t="shared" si="139"/>
        <v>0</v>
      </c>
      <c r="T255" s="1">
        <f t="shared" si="140"/>
        <v>0</v>
      </c>
      <c r="U255" s="1">
        <f t="shared" si="141"/>
        <v>0</v>
      </c>
      <c r="V255" s="1">
        <f t="shared" si="142"/>
        <v>1</v>
      </c>
      <c r="W255" s="1">
        <f t="shared" si="143"/>
        <v>0</v>
      </c>
      <c r="X255" s="1">
        <f t="shared" si="144"/>
        <v>0</v>
      </c>
      <c r="Y255" s="1">
        <f t="shared" si="145"/>
        <v>0</v>
      </c>
      <c r="Z255" s="1">
        <f t="shared" si="146"/>
        <v>0</v>
      </c>
      <c r="AA255" s="1">
        <f t="shared" si="147"/>
        <v>0</v>
      </c>
      <c r="AB255" s="1">
        <f t="shared" si="148"/>
        <v>0</v>
      </c>
      <c r="AD255" s="1">
        <f t="shared" si="149"/>
        <v>1</v>
      </c>
      <c r="AE255" s="1">
        <f t="shared" si="150"/>
        <v>0</v>
      </c>
      <c r="AF255" s="1">
        <f t="shared" si="135"/>
        <v>1</v>
      </c>
      <c r="AG255" s="1">
        <f t="shared" si="136"/>
        <v>0</v>
      </c>
      <c r="AH255" s="1">
        <f t="shared" si="137"/>
        <v>1</v>
      </c>
      <c r="AI255" s="1">
        <f t="shared" si="138"/>
        <v>0</v>
      </c>
    </row>
    <row r="256" spans="1:35" s="1" customFormat="1" ht="14.25" customHeight="1" x14ac:dyDescent="0.25">
      <c r="A256" s="44">
        <v>0</v>
      </c>
      <c r="B256" s="44">
        <v>1</v>
      </c>
      <c r="C256" s="44">
        <v>7</v>
      </c>
      <c r="D256" s="45" t="s">
        <v>89</v>
      </c>
      <c r="E256" s="45" t="s">
        <v>29</v>
      </c>
      <c r="F256" s="45" t="s">
        <v>282</v>
      </c>
      <c r="G256" s="45" t="s">
        <v>283</v>
      </c>
      <c r="H256" s="45" t="s">
        <v>354</v>
      </c>
      <c r="I256" s="44" t="s">
        <v>943</v>
      </c>
      <c r="J256" s="44">
        <v>99</v>
      </c>
      <c r="K256" s="46" t="s">
        <v>955</v>
      </c>
      <c r="L256" s="46" t="s">
        <v>694</v>
      </c>
      <c r="M256" s="47" t="s">
        <v>973</v>
      </c>
      <c r="N256" s="47" t="s">
        <v>1809</v>
      </c>
      <c r="O256" s="48"/>
      <c r="P256" s="48"/>
      <c r="Q256" s="45"/>
      <c r="S256" s="1">
        <f t="shared" si="139"/>
        <v>0</v>
      </c>
      <c r="T256" s="1">
        <f t="shared" si="140"/>
        <v>0</v>
      </c>
      <c r="U256" s="1">
        <f t="shared" si="141"/>
        <v>0</v>
      </c>
      <c r="V256" s="1">
        <f t="shared" si="142"/>
        <v>0</v>
      </c>
      <c r="W256" s="1">
        <f t="shared" si="143"/>
        <v>0</v>
      </c>
      <c r="X256" s="1">
        <f t="shared" si="144"/>
        <v>0</v>
      </c>
      <c r="Y256" s="1">
        <f t="shared" si="145"/>
        <v>0</v>
      </c>
      <c r="Z256" s="1">
        <f t="shared" si="146"/>
        <v>0</v>
      </c>
      <c r="AA256" s="1">
        <f t="shared" si="147"/>
        <v>0</v>
      </c>
      <c r="AB256" s="1">
        <f t="shared" si="148"/>
        <v>0</v>
      </c>
      <c r="AD256" s="1">
        <f t="shared" si="149"/>
        <v>0</v>
      </c>
      <c r="AE256" s="1">
        <f t="shared" si="150"/>
        <v>0</v>
      </c>
      <c r="AF256" s="1">
        <f t="shared" si="135"/>
        <v>0</v>
      </c>
      <c r="AG256" s="1">
        <f t="shared" si="136"/>
        <v>0</v>
      </c>
      <c r="AH256" s="1">
        <f t="shared" si="137"/>
        <v>0</v>
      </c>
      <c r="AI256" s="1">
        <f t="shared" si="138"/>
        <v>1</v>
      </c>
    </row>
    <row r="257" spans="1:35" s="1" customFormat="1" ht="14.25" customHeight="1" x14ac:dyDescent="0.25">
      <c r="A257" s="31">
        <v>0</v>
      </c>
      <c r="B257" s="31">
        <v>1</v>
      </c>
      <c r="C257" s="31">
        <v>7</v>
      </c>
      <c r="D257" s="36" t="s">
        <v>1636</v>
      </c>
      <c r="E257" s="32" t="s">
        <v>29</v>
      </c>
      <c r="F257" s="36" t="s">
        <v>1535</v>
      </c>
      <c r="G257" s="36" t="s">
        <v>39</v>
      </c>
      <c r="H257" s="36" t="s">
        <v>886</v>
      </c>
      <c r="I257" s="37" t="s">
        <v>1536</v>
      </c>
      <c r="J257" s="31">
        <v>17</v>
      </c>
      <c r="K257" s="33" t="s">
        <v>713</v>
      </c>
      <c r="L257" s="33" t="s">
        <v>697</v>
      </c>
      <c r="M257" s="34" t="s">
        <v>1457</v>
      </c>
      <c r="N257" s="34" t="s">
        <v>1727</v>
      </c>
      <c r="O257" s="35">
        <v>1</v>
      </c>
      <c r="P257" s="35">
        <v>1</v>
      </c>
      <c r="Q257" s="36"/>
      <c r="S257" s="1">
        <f t="shared" si="139"/>
        <v>0</v>
      </c>
      <c r="T257" s="1">
        <f t="shared" si="140"/>
        <v>0</v>
      </c>
      <c r="U257" s="1">
        <f t="shared" si="141"/>
        <v>0</v>
      </c>
      <c r="V257" s="1">
        <f t="shared" si="142"/>
        <v>0</v>
      </c>
      <c r="W257" s="1">
        <f t="shared" si="143"/>
        <v>0</v>
      </c>
      <c r="X257" s="1">
        <f t="shared" si="144"/>
        <v>0</v>
      </c>
      <c r="Y257" s="1">
        <f t="shared" si="145"/>
        <v>0</v>
      </c>
      <c r="Z257" s="1">
        <f t="shared" si="146"/>
        <v>0</v>
      </c>
      <c r="AA257" s="1">
        <f t="shared" si="147"/>
        <v>0</v>
      </c>
      <c r="AB257" s="1">
        <f t="shared" si="148"/>
        <v>0</v>
      </c>
      <c r="AD257" s="1">
        <f t="shared" si="149"/>
        <v>1</v>
      </c>
      <c r="AE257" s="1">
        <f t="shared" si="150"/>
        <v>0</v>
      </c>
      <c r="AF257" s="1">
        <f t="shared" si="135"/>
        <v>1</v>
      </c>
      <c r="AG257" s="1">
        <f t="shared" si="136"/>
        <v>0</v>
      </c>
      <c r="AH257" s="1">
        <f t="shared" si="137"/>
        <v>1</v>
      </c>
      <c r="AI257" s="1">
        <f t="shared" si="138"/>
        <v>0</v>
      </c>
    </row>
    <row r="258" spans="1:35" s="1" customFormat="1" ht="14.25" customHeight="1" x14ac:dyDescent="0.25">
      <c r="A258" s="44">
        <v>0</v>
      </c>
      <c r="B258" s="44">
        <v>1</v>
      </c>
      <c r="C258" s="44">
        <v>7</v>
      </c>
      <c r="D258" s="45" t="s">
        <v>1454</v>
      </c>
      <c r="E258" s="45" t="s">
        <v>29</v>
      </c>
      <c r="F258" s="45" t="s">
        <v>1455</v>
      </c>
      <c r="G258" s="45" t="s">
        <v>321</v>
      </c>
      <c r="H258" s="45" t="s">
        <v>354</v>
      </c>
      <c r="I258" s="44" t="s">
        <v>1456</v>
      </c>
      <c r="J258" s="44">
        <v>99</v>
      </c>
      <c r="K258" s="46" t="s">
        <v>703</v>
      </c>
      <c r="L258" s="46">
        <v>30</v>
      </c>
      <c r="M258" s="47" t="s">
        <v>1457</v>
      </c>
      <c r="N258" s="47" t="s">
        <v>1802</v>
      </c>
      <c r="O258" s="48"/>
      <c r="P258" s="48"/>
      <c r="Q258" s="45"/>
      <c r="S258" s="1">
        <f t="shared" si="139"/>
        <v>0</v>
      </c>
      <c r="T258" s="1">
        <f t="shared" si="140"/>
        <v>0</v>
      </c>
      <c r="U258" s="1">
        <f t="shared" si="141"/>
        <v>0</v>
      </c>
      <c r="V258" s="1">
        <f t="shared" si="142"/>
        <v>0</v>
      </c>
      <c r="W258" s="1">
        <f t="shared" si="143"/>
        <v>0</v>
      </c>
      <c r="X258" s="1">
        <f t="shared" si="144"/>
        <v>0</v>
      </c>
      <c r="Y258" s="1">
        <f t="shared" si="145"/>
        <v>0</v>
      </c>
      <c r="Z258" s="1">
        <f t="shared" si="146"/>
        <v>0</v>
      </c>
      <c r="AA258" s="1">
        <f t="shared" si="147"/>
        <v>0</v>
      </c>
      <c r="AB258" s="1">
        <f t="shared" si="148"/>
        <v>0</v>
      </c>
      <c r="AD258" s="1">
        <f t="shared" si="149"/>
        <v>0</v>
      </c>
      <c r="AE258" s="1">
        <f t="shared" si="150"/>
        <v>0</v>
      </c>
      <c r="AF258" s="1">
        <f t="shared" si="135"/>
        <v>0</v>
      </c>
      <c r="AG258" s="1">
        <f t="shared" si="136"/>
        <v>0</v>
      </c>
      <c r="AH258" s="1">
        <f t="shared" si="137"/>
        <v>0</v>
      </c>
      <c r="AI258" s="1">
        <f t="shared" si="138"/>
        <v>1</v>
      </c>
    </row>
    <row r="259" spans="1:35" s="1" customFormat="1" ht="14.25" customHeight="1" x14ac:dyDescent="0.25">
      <c r="A259" s="31">
        <v>0</v>
      </c>
      <c r="B259" s="31">
        <v>1</v>
      </c>
      <c r="C259" s="31">
        <v>7</v>
      </c>
      <c r="D259" s="36" t="s">
        <v>846</v>
      </c>
      <c r="E259" s="32" t="s">
        <v>29</v>
      </c>
      <c r="F259" s="36" t="s">
        <v>847</v>
      </c>
      <c r="G259" s="36" t="s">
        <v>222</v>
      </c>
      <c r="H259" s="36" t="s">
        <v>354</v>
      </c>
      <c r="I259" s="37" t="s">
        <v>848</v>
      </c>
      <c r="J259" s="31">
        <v>99</v>
      </c>
      <c r="K259" s="33" t="s">
        <v>955</v>
      </c>
      <c r="L259" s="33" t="s">
        <v>694</v>
      </c>
      <c r="M259" s="34" t="s">
        <v>973</v>
      </c>
      <c r="N259" s="34" t="s">
        <v>1849</v>
      </c>
      <c r="O259" s="35">
        <v>1</v>
      </c>
      <c r="P259" s="35"/>
      <c r="Q259" s="36"/>
      <c r="S259" s="1">
        <f t="shared" si="139"/>
        <v>0</v>
      </c>
      <c r="T259" s="1">
        <f t="shared" si="140"/>
        <v>0</v>
      </c>
      <c r="U259" s="1">
        <f t="shared" si="141"/>
        <v>0</v>
      </c>
      <c r="V259" s="1">
        <f t="shared" si="142"/>
        <v>0</v>
      </c>
      <c r="W259" s="1">
        <f t="shared" si="143"/>
        <v>0</v>
      </c>
      <c r="X259" s="1">
        <f t="shared" si="144"/>
        <v>0</v>
      </c>
      <c r="Y259" s="1">
        <f t="shared" si="145"/>
        <v>0</v>
      </c>
      <c r="Z259" s="1">
        <f t="shared" si="146"/>
        <v>0</v>
      </c>
      <c r="AA259" s="1">
        <f t="shared" si="147"/>
        <v>0</v>
      </c>
      <c r="AB259" s="1">
        <f t="shared" si="148"/>
        <v>0</v>
      </c>
      <c r="AD259" s="1">
        <f t="shared" si="149"/>
        <v>0</v>
      </c>
      <c r="AE259" s="1">
        <f t="shared" si="150"/>
        <v>1</v>
      </c>
      <c r="AF259" s="1">
        <f t="shared" si="135"/>
        <v>0</v>
      </c>
      <c r="AG259" s="1">
        <f t="shared" si="136"/>
        <v>1</v>
      </c>
      <c r="AH259" s="1">
        <f t="shared" si="137"/>
        <v>0</v>
      </c>
      <c r="AI259" s="1">
        <f t="shared" si="138"/>
        <v>1</v>
      </c>
    </row>
    <row r="260" spans="1:35" s="1" customFormat="1" ht="14.25" customHeight="1" x14ac:dyDescent="0.25">
      <c r="A260" s="31">
        <v>1</v>
      </c>
      <c r="B260" s="31">
        <v>1</v>
      </c>
      <c r="C260" s="31">
        <v>7</v>
      </c>
      <c r="D260" s="36" t="s">
        <v>846</v>
      </c>
      <c r="E260" s="32" t="s">
        <v>29</v>
      </c>
      <c r="F260" s="36" t="s">
        <v>930</v>
      </c>
      <c r="G260" s="36" t="s">
        <v>279</v>
      </c>
      <c r="H260" s="36" t="s">
        <v>354</v>
      </c>
      <c r="I260" s="37" t="s">
        <v>849</v>
      </c>
      <c r="J260" s="31">
        <v>99</v>
      </c>
      <c r="K260" s="33" t="s">
        <v>955</v>
      </c>
      <c r="L260" s="33" t="s">
        <v>694</v>
      </c>
      <c r="M260" s="34" t="s">
        <v>973</v>
      </c>
      <c r="N260" s="34" t="s">
        <v>1849</v>
      </c>
      <c r="O260" s="35">
        <v>1</v>
      </c>
      <c r="P260" s="35"/>
      <c r="Q260" s="36"/>
      <c r="S260" s="1">
        <f t="shared" si="139"/>
        <v>0</v>
      </c>
      <c r="T260" s="1">
        <f t="shared" si="140"/>
        <v>0</v>
      </c>
      <c r="U260" s="1">
        <f t="shared" si="141"/>
        <v>0</v>
      </c>
      <c r="V260" s="1">
        <f t="shared" si="142"/>
        <v>0</v>
      </c>
      <c r="W260" s="1">
        <f t="shared" si="143"/>
        <v>0</v>
      </c>
      <c r="X260" s="1">
        <f t="shared" si="144"/>
        <v>0</v>
      </c>
      <c r="Y260" s="1">
        <f t="shared" si="145"/>
        <v>0</v>
      </c>
      <c r="Z260" s="1">
        <f t="shared" si="146"/>
        <v>0</v>
      </c>
      <c r="AA260" s="1">
        <f t="shared" si="147"/>
        <v>0</v>
      </c>
      <c r="AB260" s="1">
        <f t="shared" si="148"/>
        <v>0</v>
      </c>
      <c r="AD260" s="1">
        <f t="shared" si="149"/>
        <v>0</v>
      </c>
      <c r="AE260" s="1">
        <f t="shared" si="150"/>
        <v>1</v>
      </c>
      <c r="AF260" s="1">
        <f t="shared" si="135"/>
        <v>0</v>
      </c>
      <c r="AG260" s="1">
        <f t="shared" si="136"/>
        <v>0</v>
      </c>
      <c r="AH260" s="1">
        <f t="shared" si="137"/>
        <v>0</v>
      </c>
      <c r="AI260" s="1">
        <f t="shared" si="138"/>
        <v>0</v>
      </c>
    </row>
    <row r="261" spans="1:35" s="1" customFormat="1" ht="14.25" customHeight="1" x14ac:dyDescent="0.25">
      <c r="A261" s="31">
        <v>0</v>
      </c>
      <c r="B261" s="31">
        <v>1</v>
      </c>
      <c r="C261" s="31">
        <v>7</v>
      </c>
      <c r="D261" s="32" t="s">
        <v>1216</v>
      </c>
      <c r="E261" s="32" t="s">
        <v>29</v>
      </c>
      <c r="F261" s="32" t="s">
        <v>1217</v>
      </c>
      <c r="G261" s="32" t="s">
        <v>238</v>
      </c>
      <c r="H261" s="32" t="s">
        <v>354</v>
      </c>
      <c r="I261" s="31" t="s">
        <v>1361</v>
      </c>
      <c r="J261" s="31">
        <v>99</v>
      </c>
      <c r="K261" s="33" t="s">
        <v>713</v>
      </c>
      <c r="L261" s="33" t="s">
        <v>694</v>
      </c>
      <c r="M261" s="34" t="s">
        <v>1407</v>
      </c>
      <c r="N261" s="34" t="s">
        <v>1755</v>
      </c>
      <c r="O261" s="35">
        <v>1</v>
      </c>
      <c r="P261" s="35"/>
      <c r="Q261" s="32"/>
      <c r="S261" s="1">
        <f t="shared" si="139"/>
        <v>0</v>
      </c>
      <c r="T261" s="1">
        <f t="shared" si="140"/>
        <v>0</v>
      </c>
      <c r="U261" s="1">
        <f t="shared" si="141"/>
        <v>0</v>
      </c>
      <c r="V261" s="1">
        <f t="shared" si="142"/>
        <v>0</v>
      </c>
      <c r="W261" s="1">
        <f t="shared" si="143"/>
        <v>0</v>
      </c>
      <c r="X261" s="1">
        <f t="shared" si="144"/>
        <v>0</v>
      </c>
      <c r="Y261" s="1">
        <f t="shared" si="145"/>
        <v>0</v>
      </c>
      <c r="Z261" s="1">
        <f t="shared" si="146"/>
        <v>0</v>
      </c>
      <c r="AA261" s="1">
        <f t="shared" si="147"/>
        <v>0</v>
      </c>
      <c r="AB261" s="1">
        <f t="shared" si="148"/>
        <v>0</v>
      </c>
      <c r="AD261" s="1">
        <f t="shared" ref="AD261:AD262" si="151">+O261*P261</f>
        <v>0</v>
      </c>
      <c r="AE261" s="1">
        <f t="shared" ref="AE261:AE262" si="152">O261*(1-P261)</f>
        <v>1</v>
      </c>
      <c r="AF261" s="1">
        <f t="shared" ref="AF261:AF262" si="153">+O261*P261*(1-A261)</f>
        <v>0</v>
      </c>
      <c r="AG261" s="1">
        <f t="shared" ref="AG261:AG262" si="154">O261*(1-P261)*(1-A261)</f>
        <v>1</v>
      </c>
      <c r="AH261" s="1">
        <f t="shared" ref="AH261:AH262" si="155">+P261*(1-A261)</f>
        <v>0</v>
      </c>
      <c r="AI261" s="1">
        <f t="shared" ref="AI261:AI262" si="156">+(1-A261)*(1-P261)</f>
        <v>1</v>
      </c>
    </row>
    <row r="262" spans="1:35" s="1" customFormat="1" ht="14.25" customHeight="1" x14ac:dyDescent="0.25">
      <c r="A262" s="31">
        <v>0</v>
      </c>
      <c r="B262" s="31">
        <v>1</v>
      </c>
      <c r="C262" s="31">
        <v>7</v>
      </c>
      <c r="D262" s="36" t="s">
        <v>1233</v>
      </c>
      <c r="E262" s="32" t="s">
        <v>29</v>
      </c>
      <c r="F262" s="36" t="s">
        <v>1234</v>
      </c>
      <c r="G262" s="36" t="s">
        <v>238</v>
      </c>
      <c r="H262" s="36" t="s">
        <v>354</v>
      </c>
      <c r="I262" s="37" t="s">
        <v>1235</v>
      </c>
      <c r="J262" s="31">
        <v>99</v>
      </c>
      <c r="K262" s="33" t="s">
        <v>713</v>
      </c>
      <c r="L262" s="33" t="s">
        <v>693</v>
      </c>
      <c r="M262" s="34" t="s">
        <v>1407</v>
      </c>
      <c r="N262" s="34" t="s">
        <v>1825</v>
      </c>
      <c r="O262" s="35">
        <v>1</v>
      </c>
      <c r="P262" s="35"/>
      <c r="Q262" s="36"/>
      <c r="S262" s="1">
        <f t="shared" si="139"/>
        <v>0</v>
      </c>
      <c r="T262" s="1">
        <f t="shared" si="140"/>
        <v>0</v>
      </c>
      <c r="U262" s="1">
        <f t="shared" si="141"/>
        <v>0</v>
      </c>
      <c r="V262" s="1">
        <f t="shared" si="142"/>
        <v>0</v>
      </c>
      <c r="W262" s="1">
        <f t="shared" si="143"/>
        <v>0</v>
      </c>
      <c r="X262" s="1">
        <f t="shared" si="144"/>
        <v>0</v>
      </c>
      <c r="Y262" s="1">
        <f t="shared" si="145"/>
        <v>0</v>
      </c>
      <c r="Z262" s="1">
        <f t="shared" si="146"/>
        <v>0</v>
      </c>
      <c r="AA262" s="1">
        <f t="shared" si="147"/>
        <v>0</v>
      </c>
      <c r="AB262" s="1">
        <f t="shared" si="148"/>
        <v>0</v>
      </c>
      <c r="AD262" s="1">
        <f t="shared" si="151"/>
        <v>0</v>
      </c>
      <c r="AE262" s="1">
        <f t="shared" si="152"/>
        <v>1</v>
      </c>
      <c r="AF262" s="1">
        <f t="shared" si="153"/>
        <v>0</v>
      </c>
      <c r="AG262" s="1">
        <f t="shared" si="154"/>
        <v>1</v>
      </c>
      <c r="AH262" s="1">
        <f t="shared" si="155"/>
        <v>0</v>
      </c>
      <c r="AI262" s="1">
        <f t="shared" si="156"/>
        <v>1</v>
      </c>
    </row>
    <row r="263" spans="1:35" s="1" customFormat="1" ht="14.25" customHeight="1" x14ac:dyDescent="0.25">
      <c r="A263" s="31">
        <v>0</v>
      </c>
      <c r="B263" s="31">
        <v>1</v>
      </c>
      <c r="C263" s="31">
        <v>7</v>
      </c>
      <c r="D263" s="36" t="s">
        <v>93</v>
      </c>
      <c r="E263" s="32" t="s">
        <v>29</v>
      </c>
      <c r="F263" s="36" t="s">
        <v>288</v>
      </c>
      <c r="G263" s="36" t="s">
        <v>190</v>
      </c>
      <c r="H263" s="36" t="s">
        <v>354</v>
      </c>
      <c r="I263" s="37" t="s">
        <v>441</v>
      </c>
      <c r="J263" s="31">
        <v>99</v>
      </c>
      <c r="K263" s="33" t="s">
        <v>713</v>
      </c>
      <c r="L263" s="33" t="s">
        <v>694</v>
      </c>
      <c r="M263" s="34" t="s">
        <v>1408</v>
      </c>
      <c r="N263" s="34" t="s">
        <v>1750</v>
      </c>
      <c r="O263" s="35">
        <v>1</v>
      </c>
      <c r="P263" s="35"/>
      <c r="Q263" s="36"/>
      <c r="S263" s="1">
        <f t="shared" si="139"/>
        <v>0</v>
      </c>
      <c r="T263" s="1">
        <f t="shared" si="140"/>
        <v>0</v>
      </c>
      <c r="U263" s="1">
        <f t="shared" si="141"/>
        <v>0</v>
      </c>
      <c r="V263" s="1">
        <f t="shared" si="142"/>
        <v>0</v>
      </c>
      <c r="W263" s="1">
        <f t="shared" si="143"/>
        <v>0</v>
      </c>
      <c r="X263" s="1">
        <f t="shared" si="144"/>
        <v>0</v>
      </c>
      <c r="Y263" s="1">
        <f t="shared" si="145"/>
        <v>0</v>
      </c>
      <c r="Z263" s="1">
        <f t="shared" si="146"/>
        <v>0</v>
      </c>
      <c r="AA263" s="1">
        <f t="shared" si="147"/>
        <v>0</v>
      </c>
      <c r="AB263" s="1">
        <f t="shared" si="148"/>
        <v>0</v>
      </c>
      <c r="AD263" s="1">
        <f t="shared" si="149"/>
        <v>0</v>
      </c>
      <c r="AE263" s="1">
        <f t="shared" si="150"/>
        <v>1</v>
      </c>
      <c r="AF263" s="1">
        <f t="shared" si="135"/>
        <v>0</v>
      </c>
      <c r="AG263" s="1">
        <f t="shared" si="136"/>
        <v>1</v>
      </c>
      <c r="AH263" s="1">
        <f t="shared" si="137"/>
        <v>0</v>
      </c>
      <c r="AI263" s="1">
        <f t="shared" si="138"/>
        <v>1</v>
      </c>
    </row>
    <row r="264" spans="1:35" s="1" customFormat="1" ht="14.25" customHeight="1" x14ac:dyDescent="0.25">
      <c r="A264" s="44">
        <v>0</v>
      </c>
      <c r="B264" s="44">
        <v>1</v>
      </c>
      <c r="C264" s="44">
        <v>7</v>
      </c>
      <c r="D264" s="45" t="s">
        <v>870</v>
      </c>
      <c r="E264" s="45" t="s">
        <v>29</v>
      </c>
      <c r="F264" s="45" t="s">
        <v>871</v>
      </c>
      <c r="G264" s="45" t="s">
        <v>194</v>
      </c>
      <c r="H264" s="45" t="s">
        <v>354</v>
      </c>
      <c r="I264" s="44" t="s">
        <v>872</v>
      </c>
      <c r="J264" s="44">
        <v>9</v>
      </c>
      <c r="K264" s="46" t="s">
        <v>713</v>
      </c>
      <c r="L264" s="46" t="s">
        <v>696</v>
      </c>
      <c r="M264" s="47" t="s">
        <v>708</v>
      </c>
      <c r="N264" s="47" t="s">
        <v>1735</v>
      </c>
      <c r="O264" s="48"/>
      <c r="P264" s="48"/>
      <c r="Q264" s="45"/>
      <c r="S264" s="1">
        <f t="shared" si="139"/>
        <v>0</v>
      </c>
      <c r="T264" s="1">
        <f t="shared" si="140"/>
        <v>0</v>
      </c>
      <c r="U264" s="1">
        <f t="shared" si="141"/>
        <v>0</v>
      </c>
      <c r="V264" s="1">
        <f t="shared" si="142"/>
        <v>0</v>
      </c>
      <c r="W264" s="1">
        <f t="shared" si="143"/>
        <v>0</v>
      </c>
      <c r="X264" s="1">
        <f t="shared" si="144"/>
        <v>0</v>
      </c>
      <c r="Y264" s="1">
        <f t="shared" si="145"/>
        <v>0</v>
      </c>
      <c r="Z264" s="1">
        <f t="shared" si="146"/>
        <v>0</v>
      </c>
      <c r="AA264" s="1">
        <f t="shared" si="147"/>
        <v>1</v>
      </c>
      <c r="AB264" s="1">
        <f t="shared" si="148"/>
        <v>0</v>
      </c>
      <c r="AD264" s="1">
        <f t="shared" si="149"/>
        <v>0</v>
      </c>
      <c r="AE264" s="1">
        <f t="shared" si="150"/>
        <v>0</v>
      </c>
      <c r="AF264" s="1">
        <f t="shared" si="135"/>
        <v>0</v>
      </c>
      <c r="AG264" s="1">
        <f t="shared" si="136"/>
        <v>0</v>
      </c>
      <c r="AH264" s="1">
        <f t="shared" si="137"/>
        <v>0</v>
      </c>
      <c r="AI264" s="1">
        <f t="shared" si="138"/>
        <v>1</v>
      </c>
    </row>
    <row r="265" spans="1:35" s="1" customFormat="1" ht="14.25" customHeight="1" x14ac:dyDescent="0.25">
      <c r="A265" s="44">
        <v>1</v>
      </c>
      <c r="B265" s="44">
        <v>1</v>
      </c>
      <c r="C265" s="44">
        <v>7</v>
      </c>
      <c r="D265" s="45" t="s">
        <v>870</v>
      </c>
      <c r="E265" s="45" t="s">
        <v>29</v>
      </c>
      <c r="F265" s="45" t="s">
        <v>1068</v>
      </c>
      <c r="G265" s="45" t="s">
        <v>321</v>
      </c>
      <c r="H265" s="45" t="s">
        <v>354</v>
      </c>
      <c r="I265" s="44" t="s">
        <v>1069</v>
      </c>
      <c r="J265" s="44">
        <v>99</v>
      </c>
      <c r="K265" s="46" t="s">
        <v>713</v>
      </c>
      <c r="L265" s="46" t="s">
        <v>696</v>
      </c>
      <c r="M265" s="47" t="s">
        <v>708</v>
      </c>
      <c r="N265" s="47" t="s">
        <v>1735</v>
      </c>
      <c r="O265" s="48"/>
      <c r="P265" s="48"/>
      <c r="Q265" s="45"/>
      <c r="S265" s="1">
        <f t="shared" si="139"/>
        <v>0</v>
      </c>
      <c r="T265" s="1">
        <f t="shared" si="140"/>
        <v>0</v>
      </c>
      <c r="U265" s="1">
        <f t="shared" si="141"/>
        <v>0</v>
      </c>
      <c r="V265" s="1">
        <f t="shared" si="142"/>
        <v>0</v>
      </c>
      <c r="W265" s="1">
        <f t="shared" si="143"/>
        <v>0</v>
      </c>
      <c r="X265" s="1">
        <f t="shared" si="144"/>
        <v>0</v>
      </c>
      <c r="Y265" s="1">
        <f t="shared" si="145"/>
        <v>0</v>
      </c>
      <c r="Z265" s="1">
        <f t="shared" si="146"/>
        <v>0</v>
      </c>
      <c r="AA265" s="1">
        <f t="shared" si="147"/>
        <v>0</v>
      </c>
      <c r="AB265" s="1">
        <f t="shared" si="148"/>
        <v>0</v>
      </c>
      <c r="AD265" s="1">
        <f t="shared" si="149"/>
        <v>0</v>
      </c>
      <c r="AE265" s="1">
        <f t="shared" si="150"/>
        <v>0</v>
      </c>
      <c r="AF265" s="1">
        <f t="shared" si="135"/>
        <v>0</v>
      </c>
      <c r="AG265" s="1">
        <f t="shared" si="136"/>
        <v>0</v>
      </c>
      <c r="AH265" s="1">
        <f t="shared" si="137"/>
        <v>0</v>
      </c>
      <c r="AI265" s="1">
        <f t="shared" si="138"/>
        <v>0</v>
      </c>
    </row>
    <row r="266" spans="1:35" s="1" customFormat="1" ht="14.25" customHeight="1" x14ac:dyDescent="0.25">
      <c r="A266" s="44">
        <v>1</v>
      </c>
      <c r="B266" s="44">
        <v>1</v>
      </c>
      <c r="C266" s="44">
        <v>7</v>
      </c>
      <c r="D266" s="45" t="s">
        <v>870</v>
      </c>
      <c r="E266" s="45" t="s">
        <v>29</v>
      </c>
      <c r="F266" s="65" t="s">
        <v>2026</v>
      </c>
      <c r="G266" s="65" t="s">
        <v>194</v>
      </c>
      <c r="H266" s="45" t="s">
        <v>354</v>
      </c>
      <c r="I266" s="64" t="s">
        <v>872</v>
      </c>
      <c r="J266" s="44">
        <v>9</v>
      </c>
      <c r="K266" s="46" t="s">
        <v>713</v>
      </c>
      <c r="L266" s="46" t="s">
        <v>696</v>
      </c>
      <c r="M266" s="47" t="s">
        <v>708</v>
      </c>
      <c r="N266" s="47" t="s">
        <v>1735</v>
      </c>
      <c r="O266" s="48"/>
      <c r="P266" s="48"/>
      <c r="Q266" s="45"/>
      <c r="S266" s="1">
        <f t="shared" ref="S266:S267" si="157">IF(J266=$S$7,1,0)</f>
        <v>0</v>
      </c>
      <c r="T266" s="1">
        <f t="shared" ref="T266:T267" si="158">IF(J266=$T$7,1,0)</f>
        <v>0</v>
      </c>
      <c r="U266" s="1">
        <f t="shared" ref="U266:U267" si="159">IF(J266=$U$7,1,0)</f>
        <v>0</v>
      </c>
      <c r="V266" s="1">
        <f t="shared" ref="V266:V267" si="160">IF(J266=$V$7,1,0)</f>
        <v>0</v>
      </c>
      <c r="W266" s="1">
        <f t="shared" ref="W266:W267" si="161">IF(J266=$W$7,1,0)</f>
        <v>0</v>
      </c>
      <c r="X266" s="1">
        <f t="shared" ref="X266:X267" si="162">IF(J266=$X$7,1,0)</f>
        <v>0</v>
      </c>
      <c r="Y266" s="1">
        <f t="shared" ref="Y266:Y267" si="163">IF(J266=$Y$7,1,0)</f>
        <v>0</v>
      </c>
      <c r="Z266" s="1">
        <f t="shared" ref="Z266:Z267" si="164">IF(J266=$Z$7,1,0)</f>
        <v>0</v>
      </c>
      <c r="AA266" s="1">
        <f t="shared" ref="AA266:AA267" si="165">IF(J266=$AA$7,1,0)</f>
        <v>1</v>
      </c>
      <c r="AB266" s="1">
        <f t="shared" ref="AB266:AB267" si="166">IF(J266=$AB$7,1,0)</f>
        <v>0</v>
      </c>
      <c r="AD266" s="1">
        <f t="shared" ref="AD266:AD267" si="167">+O266*P266</f>
        <v>0</v>
      </c>
      <c r="AE266" s="1">
        <f t="shared" ref="AE266:AE267" si="168">O266*(1-P266)</f>
        <v>0</v>
      </c>
      <c r="AF266" s="1">
        <f t="shared" ref="AF266:AF267" si="169">+O266*P266*(1-A266)</f>
        <v>0</v>
      </c>
      <c r="AG266" s="1">
        <f t="shared" ref="AG266:AG267" si="170">O266*(1-P266)*(1-A266)</f>
        <v>0</v>
      </c>
      <c r="AH266" s="1">
        <f t="shared" ref="AH266:AH267" si="171">+P266*(1-A266)</f>
        <v>0</v>
      </c>
      <c r="AI266" s="1">
        <f t="shared" ref="AI266:AI267" si="172">+(1-A266)*(1-P266)</f>
        <v>0</v>
      </c>
    </row>
    <row r="267" spans="1:35" s="1" customFormat="1" ht="14.25" customHeight="1" x14ac:dyDescent="0.25">
      <c r="A267" s="44">
        <v>1</v>
      </c>
      <c r="B267" s="44">
        <v>1</v>
      </c>
      <c r="C267" s="44">
        <v>7</v>
      </c>
      <c r="D267" s="45" t="s">
        <v>870</v>
      </c>
      <c r="E267" s="45" t="s">
        <v>29</v>
      </c>
      <c r="F267" s="65" t="s">
        <v>2028</v>
      </c>
      <c r="G267" s="65" t="s">
        <v>209</v>
      </c>
      <c r="H267" s="45" t="s">
        <v>354</v>
      </c>
      <c r="I267" s="64" t="s">
        <v>2027</v>
      </c>
      <c r="J267" s="44">
        <v>99</v>
      </c>
      <c r="K267" s="46" t="s">
        <v>713</v>
      </c>
      <c r="L267" s="46" t="s">
        <v>696</v>
      </c>
      <c r="M267" s="47" t="s">
        <v>708</v>
      </c>
      <c r="N267" s="47" t="s">
        <v>1735</v>
      </c>
      <c r="O267" s="48"/>
      <c r="P267" s="48"/>
      <c r="Q267" s="45"/>
      <c r="S267" s="1">
        <f t="shared" si="157"/>
        <v>0</v>
      </c>
      <c r="T267" s="1">
        <f t="shared" si="158"/>
        <v>0</v>
      </c>
      <c r="U267" s="1">
        <f t="shared" si="159"/>
        <v>0</v>
      </c>
      <c r="V267" s="1">
        <f t="shared" si="160"/>
        <v>0</v>
      </c>
      <c r="W267" s="1">
        <f t="shared" si="161"/>
        <v>0</v>
      </c>
      <c r="X267" s="1">
        <f t="shared" si="162"/>
        <v>0</v>
      </c>
      <c r="Y267" s="1">
        <f t="shared" si="163"/>
        <v>0</v>
      </c>
      <c r="Z267" s="1">
        <f t="shared" si="164"/>
        <v>0</v>
      </c>
      <c r="AA267" s="1">
        <f t="shared" si="165"/>
        <v>0</v>
      </c>
      <c r="AB267" s="1">
        <f t="shared" si="166"/>
        <v>0</v>
      </c>
      <c r="AD267" s="1">
        <f t="shared" si="167"/>
        <v>0</v>
      </c>
      <c r="AE267" s="1">
        <f t="shared" si="168"/>
        <v>0</v>
      </c>
      <c r="AF267" s="1">
        <f t="shared" si="169"/>
        <v>0</v>
      </c>
      <c r="AG267" s="1">
        <f t="shared" si="170"/>
        <v>0</v>
      </c>
      <c r="AH267" s="1">
        <f t="shared" si="171"/>
        <v>0</v>
      </c>
      <c r="AI267" s="1">
        <f t="shared" si="172"/>
        <v>0</v>
      </c>
    </row>
    <row r="268" spans="1:35" s="1" customFormat="1" ht="14.25" customHeight="1" x14ac:dyDescent="0.25">
      <c r="A268" s="31">
        <v>0</v>
      </c>
      <c r="B268" s="31">
        <v>1</v>
      </c>
      <c r="C268" s="31">
        <v>7</v>
      </c>
      <c r="D268" s="36" t="s">
        <v>96</v>
      </c>
      <c r="E268" s="32" t="s">
        <v>29</v>
      </c>
      <c r="F268" s="36" t="s">
        <v>292</v>
      </c>
      <c r="G268" s="36" t="s">
        <v>293</v>
      </c>
      <c r="H268" s="36" t="s">
        <v>354</v>
      </c>
      <c r="I268" s="37" t="s">
        <v>1117</v>
      </c>
      <c r="J268" s="31">
        <v>99</v>
      </c>
      <c r="K268" s="33" t="s">
        <v>713</v>
      </c>
      <c r="L268" s="33" t="s">
        <v>696</v>
      </c>
      <c r="M268" s="34" t="s">
        <v>708</v>
      </c>
      <c r="N268" s="34" t="s">
        <v>1748</v>
      </c>
      <c r="O268" s="35">
        <v>1</v>
      </c>
      <c r="P268" s="35"/>
      <c r="Q268" s="36"/>
      <c r="S268" s="1">
        <f t="shared" si="139"/>
        <v>0</v>
      </c>
      <c r="T268" s="1">
        <f t="shared" si="140"/>
        <v>0</v>
      </c>
      <c r="U268" s="1">
        <f t="shared" si="141"/>
        <v>0</v>
      </c>
      <c r="V268" s="1">
        <f t="shared" si="142"/>
        <v>0</v>
      </c>
      <c r="W268" s="1">
        <f t="shared" si="143"/>
        <v>0</v>
      </c>
      <c r="X268" s="1">
        <f t="shared" si="144"/>
        <v>0</v>
      </c>
      <c r="Y268" s="1">
        <f t="shared" si="145"/>
        <v>0</v>
      </c>
      <c r="Z268" s="1">
        <f t="shared" si="146"/>
        <v>0</v>
      </c>
      <c r="AA268" s="1">
        <f t="shared" si="147"/>
        <v>0</v>
      </c>
      <c r="AB268" s="1">
        <f t="shared" si="148"/>
        <v>0</v>
      </c>
      <c r="AD268" s="1">
        <f t="shared" si="149"/>
        <v>0</v>
      </c>
      <c r="AE268" s="1">
        <f t="shared" si="150"/>
        <v>1</v>
      </c>
      <c r="AF268" s="1">
        <f t="shared" si="135"/>
        <v>0</v>
      </c>
      <c r="AG268" s="1">
        <f t="shared" si="136"/>
        <v>1</v>
      </c>
      <c r="AH268" s="1">
        <f t="shared" si="137"/>
        <v>0</v>
      </c>
      <c r="AI268" s="1">
        <f t="shared" si="138"/>
        <v>1</v>
      </c>
    </row>
    <row r="269" spans="1:35" s="1" customFormat="1" ht="14.25" customHeight="1" x14ac:dyDescent="0.25">
      <c r="A269" s="44">
        <v>0</v>
      </c>
      <c r="B269" s="44">
        <v>1</v>
      </c>
      <c r="C269" s="44">
        <v>7</v>
      </c>
      <c r="D269" s="45" t="s">
        <v>532</v>
      </c>
      <c r="E269" s="45" t="s">
        <v>29</v>
      </c>
      <c r="F269" s="45" t="s">
        <v>665</v>
      </c>
      <c r="G269" s="45" t="s">
        <v>39</v>
      </c>
      <c r="H269" s="45" t="s">
        <v>533</v>
      </c>
      <c r="I269" s="44" t="s">
        <v>1690</v>
      </c>
      <c r="J269" s="44">
        <v>14</v>
      </c>
      <c r="K269" s="46" t="s">
        <v>954</v>
      </c>
      <c r="L269" s="46">
        <v>40</v>
      </c>
      <c r="M269" s="47" t="s">
        <v>708</v>
      </c>
      <c r="N269" s="47" t="s">
        <v>1735</v>
      </c>
      <c r="O269" s="48"/>
      <c r="P269" s="48"/>
      <c r="Q269" s="45"/>
      <c r="S269" s="1">
        <f t="shared" si="139"/>
        <v>0</v>
      </c>
      <c r="T269" s="1">
        <f t="shared" si="140"/>
        <v>0</v>
      </c>
      <c r="U269" s="1">
        <f t="shared" si="141"/>
        <v>0</v>
      </c>
      <c r="V269" s="1">
        <f t="shared" si="142"/>
        <v>0</v>
      </c>
      <c r="W269" s="1">
        <f t="shared" si="143"/>
        <v>0</v>
      </c>
      <c r="X269" s="1">
        <f t="shared" si="144"/>
        <v>0</v>
      </c>
      <c r="Y269" s="1">
        <f t="shared" si="145"/>
        <v>0</v>
      </c>
      <c r="Z269" s="1">
        <f t="shared" si="146"/>
        <v>0</v>
      </c>
      <c r="AA269" s="1">
        <f t="shared" si="147"/>
        <v>0</v>
      </c>
      <c r="AB269" s="1">
        <f t="shared" si="148"/>
        <v>0</v>
      </c>
      <c r="AD269" s="1">
        <f t="shared" si="149"/>
        <v>0</v>
      </c>
      <c r="AE269" s="1">
        <f t="shared" si="150"/>
        <v>0</v>
      </c>
      <c r="AF269" s="1">
        <f t="shared" si="135"/>
        <v>0</v>
      </c>
      <c r="AG269" s="1">
        <f t="shared" si="136"/>
        <v>0</v>
      </c>
      <c r="AH269" s="1">
        <f t="shared" si="137"/>
        <v>0</v>
      </c>
      <c r="AI269" s="1">
        <f t="shared" si="138"/>
        <v>1</v>
      </c>
    </row>
    <row r="270" spans="1:35" s="1" customFormat="1" ht="14.25" customHeight="1" x14ac:dyDescent="0.25">
      <c r="A270" s="31">
        <v>0</v>
      </c>
      <c r="B270" s="31">
        <v>1</v>
      </c>
      <c r="C270" s="31">
        <v>7</v>
      </c>
      <c r="D270" s="36" t="s">
        <v>1321</v>
      </c>
      <c r="E270" s="32" t="s">
        <v>29</v>
      </c>
      <c r="F270" s="36" t="s">
        <v>1345</v>
      </c>
      <c r="G270" s="36" t="s">
        <v>39</v>
      </c>
      <c r="H270" s="36" t="s">
        <v>354</v>
      </c>
      <c r="I270" s="37" t="s">
        <v>1150</v>
      </c>
      <c r="J270" s="31">
        <v>99</v>
      </c>
      <c r="K270" s="33" t="s">
        <v>713</v>
      </c>
      <c r="L270" s="33" t="s">
        <v>693</v>
      </c>
      <c r="M270" s="34" t="s">
        <v>1409</v>
      </c>
      <c r="N270" s="34" t="s">
        <v>1733</v>
      </c>
      <c r="O270" s="35">
        <v>1</v>
      </c>
      <c r="P270" s="35">
        <v>1</v>
      </c>
      <c r="Q270" s="36"/>
      <c r="S270" s="1">
        <f t="shared" si="139"/>
        <v>0</v>
      </c>
      <c r="T270" s="1">
        <f t="shared" si="140"/>
        <v>0</v>
      </c>
      <c r="U270" s="1">
        <f t="shared" si="141"/>
        <v>0</v>
      </c>
      <c r="V270" s="1">
        <f t="shared" si="142"/>
        <v>0</v>
      </c>
      <c r="W270" s="1">
        <f t="shared" si="143"/>
        <v>0</v>
      </c>
      <c r="X270" s="1">
        <f t="shared" si="144"/>
        <v>0</v>
      </c>
      <c r="Y270" s="1">
        <f t="shared" si="145"/>
        <v>0</v>
      </c>
      <c r="Z270" s="1">
        <f t="shared" si="146"/>
        <v>0</v>
      </c>
      <c r="AA270" s="1">
        <f t="shared" si="147"/>
        <v>0</v>
      </c>
      <c r="AB270" s="1">
        <f t="shared" si="148"/>
        <v>0</v>
      </c>
      <c r="AD270" s="1">
        <f t="shared" si="149"/>
        <v>1</v>
      </c>
      <c r="AE270" s="1">
        <f t="shared" si="150"/>
        <v>0</v>
      </c>
      <c r="AF270" s="1">
        <f t="shared" si="135"/>
        <v>1</v>
      </c>
      <c r="AG270" s="1">
        <f t="shared" si="136"/>
        <v>0</v>
      </c>
      <c r="AH270" s="1">
        <f t="shared" si="137"/>
        <v>1</v>
      </c>
      <c r="AI270" s="1">
        <f t="shared" si="138"/>
        <v>0</v>
      </c>
    </row>
    <row r="271" spans="1:35" s="1" customFormat="1" ht="14.25" customHeight="1" x14ac:dyDescent="0.25">
      <c r="A271" s="44">
        <v>0</v>
      </c>
      <c r="B271" s="44">
        <v>1</v>
      </c>
      <c r="C271" s="44">
        <v>7</v>
      </c>
      <c r="D271" s="45" t="s">
        <v>97</v>
      </c>
      <c r="E271" s="45" t="s">
        <v>29</v>
      </c>
      <c r="F271" s="45" t="s">
        <v>295</v>
      </c>
      <c r="G271" s="45" t="s">
        <v>263</v>
      </c>
      <c r="H271" s="45" t="s">
        <v>354</v>
      </c>
      <c r="I271" s="44" t="s">
        <v>445</v>
      </c>
      <c r="J271" s="44">
        <v>1</v>
      </c>
      <c r="K271" s="46" t="s">
        <v>713</v>
      </c>
      <c r="L271" s="46" t="s">
        <v>694</v>
      </c>
      <c r="M271" s="47" t="s">
        <v>708</v>
      </c>
      <c r="N271" s="47" t="s">
        <v>1735</v>
      </c>
      <c r="O271" s="48"/>
      <c r="P271" s="48"/>
      <c r="Q271" s="45"/>
      <c r="S271" s="1">
        <f t="shared" si="139"/>
        <v>1</v>
      </c>
      <c r="T271" s="1">
        <f t="shared" si="140"/>
        <v>0</v>
      </c>
      <c r="U271" s="1">
        <f t="shared" si="141"/>
        <v>0</v>
      </c>
      <c r="V271" s="1">
        <f t="shared" si="142"/>
        <v>0</v>
      </c>
      <c r="W271" s="1">
        <f t="shared" si="143"/>
        <v>0</v>
      </c>
      <c r="X271" s="1">
        <f t="shared" si="144"/>
        <v>0</v>
      </c>
      <c r="Y271" s="1">
        <f t="shared" si="145"/>
        <v>0</v>
      </c>
      <c r="Z271" s="1">
        <f t="shared" si="146"/>
        <v>0</v>
      </c>
      <c r="AA271" s="1">
        <f t="shared" si="147"/>
        <v>0</v>
      </c>
      <c r="AB271" s="1">
        <f t="shared" si="148"/>
        <v>0</v>
      </c>
      <c r="AD271" s="1">
        <f t="shared" si="149"/>
        <v>0</v>
      </c>
      <c r="AE271" s="1">
        <f t="shared" si="150"/>
        <v>0</v>
      </c>
      <c r="AF271" s="1">
        <f t="shared" ref="AF271:AF335" si="173">+O271*P271*(1-A271)</f>
        <v>0</v>
      </c>
      <c r="AG271" s="1">
        <f t="shared" ref="AG271:AG335" si="174">O271*(1-P271)*(1-A271)</f>
        <v>0</v>
      </c>
      <c r="AH271" s="1">
        <f t="shared" ref="AH271:AH335" si="175">+P271*(1-A271)</f>
        <v>0</v>
      </c>
      <c r="AI271" s="1">
        <f t="shared" ref="AI271:AI335" si="176">+(1-A271)*(1-P271)</f>
        <v>1</v>
      </c>
    </row>
    <row r="272" spans="1:35" s="1" customFormat="1" ht="14.25" customHeight="1" x14ac:dyDescent="0.25">
      <c r="A272" s="15">
        <v>0</v>
      </c>
      <c r="B272" s="15">
        <v>1</v>
      </c>
      <c r="C272" s="15">
        <v>7</v>
      </c>
      <c r="D272" s="16" t="s">
        <v>755</v>
      </c>
      <c r="E272" s="16" t="s">
        <v>29</v>
      </c>
      <c r="F272" s="16" t="s">
        <v>756</v>
      </c>
      <c r="G272" s="16" t="s">
        <v>39</v>
      </c>
      <c r="H272" s="16" t="s">
        <v>757</v>
      </c>
      <c r="I272" s="15" t="s">
        <v>758</v>
      </c>
      <c r="J272" s="15">
        <v>18</v>
      </c>
      <c r="K272" s="10" t="s">
        <v>703</v>
      </c>
      <c r="L272" s="10" t="s">
        <v>697</v>
      </c>
      <c r="M272" s="19" t="s">
        <v>708</v>
      </c>
      <c r="N272" s="17"/>
      <c r="Q272" s="16"/>
      <c r="S272" s="1">
        <f t="shared" si="139"/>
        <v>0</v>
      </c>
      <c r="T272" s="1">
        <f t="shared" si="140"/>
        <v>0</v>
      </c>
      <c r="U272" s="1">
        <f t="shared" si="141"/>
        <v>0</v>
      </c>
      <c r="V272" s="1">
        <f t="shared" si="142"/>
        <v>0</v>
      </c>
      <c r="W272" s="1">
        <f t="shared" si="143"/>
        <v>0</v>
      </c>
      <c r="X272" s="1">
        <f t="shared" si="144"/>
        <v>0</v>
      </c>
      <c r="Y272" s="1">
        <f t="shared" si="145"/>
        <v>0</v>
      </c>
      <c r="Z272" s="1">
        <f t="shared" si="146"/>
        <v>0</v>
      </c>
      <c r="AA272" s="1">
        <f t="shared" si="147"/>
        <v>0</v>
      </c>
      <c r="AB272" s="1">
        <f t="shared" si="148"/>
        <v>0</v>
      </c>
      <c r="AD272" s="1">
        <f t="shared" si="149"/>
        <v>0</v>
      </c>
      <c r="AE272" s="1">
        <f t="shared" si="150"/>
        <v>0</v>
      </c>
      <c r="AF272" s="1">
        <f t="shared" si="173"/>
        <v>0</v>
      </c>
      <c r="AG272" s="1">
        <f t="shared" si="174"/>
        <v>0</v>
      </c>
      <c r="AH272" s="1">
        <f t="shared" si="175"/>
        <v>0</v>
      </c>
      <c r="AI272" s="1">
        <f t="shared" si="176"/>
        <v>1</v>
      </c>
    </row>
    <row r="273" spans="1:35" s="1" customFormat="1" ht="14.25" customHeight="1" x14ac:dyDescent="0.25">
      <c r="A273" s="15">
        <v>1</v>
      </c>
      <c r="B273" s="15">
        <v>1</v>
      </c>
      <c r="C273" s="15">
        <v>7</v>
      </c>
      <c r="D273" s="16" t="s">
        <v>755</v>
      </c>
      <c r="E273" s="16" t="s">
        <v>29</v>
      </c>
      <c r="F273" s="16" t="s">
        <v>759</v>
      </c>
      <c r="G273" s="16" t="s">
        <v>39</v>
      </c>
      <c r="H273" s="16" t="s">
        <v>745</v>
      </c>
      <c r="I273" s="15" t="s">
        <v>760</v>
      </c>
      <c r="J273" s="15">
        <v>17</v>
      </c>
      <c r="K273" s="10" t="s">
        <v>703</v>
      </c>
      <c r="L273" s="10" t="s">
        <v>697</v>
      </c>
      <c r="M273" s="19" t="s">
        <v>708</v>
      </c>
      <c r="N273" s="17"/>
      <c r="Q273" s="16"/>
      <c r="S273" s="1">
        <f t="shared" si="139"/>
        <v>0</v>
      </c>
      <c r="T273" s="1">
        <f t="shared" si="140"/>
        <v>0</v>
      </c>
      <c r="U273" s="1">
        <f t="shared" si="141"/>
        <v>0</v>
      </c>
      <c r="V273" s="1">
        <f t="shared" si="142"/>
        <v>0</v>
      </c>
      <c r="W273" s="1">
        <f t="shared" si="143"/>
        <v>0</v>
      </c>
      <c r="X273" s="1">
        <f t="shared" si="144"/>
        <v>0</v>
      </c>
      <c r="Y273" s="1">
        <f t="shared" si="145"/>
        <v>0</v>
      </c>
      <c r="Z273" s="1">
        <f t="shared" si="146"/>
        <v>0</v>
      </c>
      <c r="AA273" s="1">
        <f t="shared" si="147"/>
        <v>0</v>
      </c>
      <c r="AB273" s="1">
        <f t="shared" si="148"/>
        <v>0</v>
      </c>
      <c r="AD273" s="1">
        <f t="shared" si="149"/>
        <v>0</v>
      </c>
      <c r="AE273" s="1">
        <f t="shared" si="150"/>
        <v>0</v>
      </c>
      <c r="AF273" s="1">
        <f t="shared" si="173"/>
        <v>0</v>
      </c>
      <c r="AG273" s="1">
        <f t="shared" si="174"/>
        <v>0</v>
      </c>
      <c r="AH273" s="1">
        <f t="shared" si="175"/>
        <v>0</v>
      </c>
      <c r="AI273" s="1">
        <f t="shared" si="176"/>
        <v>0</v>
      </c>
    </row>
    <row r="274" spans="1:35" s="1" customFormat="1" ht="14.25" customHeight="1" x14ac:dyDescent="0.25">
      <c r="A274" s="31">
        <v>0</v>
      </c>
      <c r="B274" s="31">
        <v>1</v>
      </c>
      <c r="C274" s="31">
        <v>7</v>
      </c>
      <c r="D274" s="36" t="s">
        <v>1518</v>
      </c>
      <c r="E274" s="32" t="s">
        <v>29</v>
      </c>
      <c r="F274" s="36" t="s">
        <v>1671</v>
      </c>
      <c r="G274" s="36" t="s">
        <v>1672</v>
      </c>
      <c r="H274" s="36" t="s">
        <v>354</v>
      </c>
      <c r="I274" s="37" t="s">
        <v>1519</v>
      </c>
      <c r="J274" s="31">
        <v>99</v>
      </c>
      <c r="K274" s="33" t="s">
        <v>713</v>
      </c>
      <c r="L274" s="33" t="s">
        <v>39</v>
      </c>
      <c r="M274" s="34" t="s">
        <v>39</v>
      </c>
      <c r="N274" s="34" t="s">
        <v>1727</v>
      </c>
      <c r="O274" s="35">
        <v>1</v>
      </c>
      <c r="P274" s="35">
        <v>1</v>
      </c>
      <c r="Q274" s="36"/>
      <c r="S274" s="1">
        <f t="shared" si="139"/>
        <v>0</v>
      </c>
      <c r="T274" s="1">
        <f t="shared" si="140"/>
        <v>0</v>
      </c>
      <c r="U274" s="1">
        <f t="shared" si="141"/>
        <v>0</v>
      </c>
      <c r="V274" s="1">
        <f t="shared" si="142"/>
        <v>0</v>
      </c>
      <c r="W274" s="1">
        <f t="shared" si="143"/>
        <v>0</v>
      </c>
      <c r="X274" s="1">
        <f t="shared" si="144"/>
        <v>0</v>
      </c>
      <c r="Y274" s="1">
        <f t="shared" si="145"/>
        <v>0</v>
      </c>
      <c r="Z274" s="1">
        <f t="shared" si="146"/>
        <v>0</v>
      </c>
      <c r="AA274" s="1">
        <f t="shared" si="147"/>
        <v>0</v>
      </c>
      <c r="AB274" s="1">
        <f t="shared" si="148"/>
        <v>0</v>
      </c>
      <c r="AD274" s="1">
        <f t="shared" si="149"/>
        <v>1</v>
      </c>
      <c r="AE274" s="1">
        <f t="shared" si="150"/>
        <v>0</v>
      </c>
      <c r="AF274" s="1">
        <f t="shared" si="173"/>
        <v>1</v>
      </c>
      <c r="AG274" s="1">
        <f t="shared" si="174"/>
        <v>0</v>
      </c>
      <c r="AH274" s="1">
        <f t="shared" si="175"/>
        <v>1</v>
      </c>
      <c r="AI274" s="1">
        <f t="shared" si="176"/>
        <v>0</v>
      </c>
    </row>
    <row r="275" spans="1:35" s="1" customFormat="1" ht="14.25" customHeight="1" x14ac:dyDescent="0.25">
      <c r="A275" s="15">
        <v>0</v>
      </c>
      <c r="B275" s="15">
        <v>1</v>
      </c>
      <c r="C275" s="15">
        <v>7</v>
      </c>
      <c r="D275" s="16" t="s">
        <v>1144</v>
      </c>
      <c r="E275" s="16" t="s">
        <v>29</v>
      </c>
      <c r="F275" s="16" t="s">
        <v>1145</v>
      </c>
      <c r="G275" s="16" t="s">
        <v>1147</v>
      </c>
      <c r="H275" s="16" t="s">
        <v>354</v>
      </c>
      <c r="I275" s="15" t="s">
        <v>1146</v>
      </c>
      <c r="J275" s="15">
        <v>99</v>
      </c>
      <c r="K275" s="10" t="s">
        <v>703</v>
      </c>
      <c r="L275" s="10">
        <v>30</v>
      </c>
      <c r="M275" s="19" t="s">
        <v>1410</v>
      </c>
      <c r="N275" s="19"/>
      <c r="Q275" s="16"/>
      <c r="S275" s="1">
        <f t="shared" ref="S275:S339" si="177">IF(J275=$S$7,1,0)</f>
        <v>0</v>
      </c>
      <c r="T275" s="1">
        <f t="shared" ref="T275:T339" si="178">IF(J275=$T$7,1,0)</f>
        <v>0</v>
      </c>
      <c r="U275" s="1">
        <f t="shared" ref="U275:U339" si="179">IF(J275=$U$7,1,0)</f>
        <v>0</v>
      </c>
      <c r="V275" s="1">
        <f t="shared" ref="V275:V339" si="180">IF(J275=$V$7,1,0)</f>
        <v>0</v>
      </c>
      <c r="W275" s="1">
        <f t="shared" ref="W275:W339" si="181">IF(J275=$W$7,1,0)</f>
        <v>0</v>
      </c>
      <c r="X275" s="1">
        <f t="shared" ref="X275:X339" si="182">IF(J275=$X$7,1,0)</f>
        <v>0</v>
      </c>
      <c r="Y275" s="1">
        <f t="shared" ref="Y275:Y339" si="183">IF(J275=$Y$7,1,0)</f>
        <v>0</v>
      </c>
      <c r="Z275" s="1">
        <f t="shared" ref="Z275:Z339" si="184">IF(J275=$Z$7,1,0)</f>
        <v>0</v>
      </c>
      <c r="AA275" s="1">
        <f t="shared" ref="AA275:AA339" si="185">IF(J275=$AA$7,1,0)</f>
        <v>0</v>
      </c>
      <c r="AB275" s="1">
        <f t="shared" ref="AB275:AB339" si="186">IF(J275=$AB$7,1,0)</f>
        <v>0</v>
      </c>
      <c r="AD275" s="1">
        <f t="shared" ref="AD275:AD339" si="187">+O275*P275</f>
        <v>0</v>
      </c>
      <c r="AE275" s="1">
        <f t="shared" ref="AE275:AE339" si="188">O275*(1-P275)</f>
        <v>0</v>
      </c>
      <c r="AF275" s="1">
        <f t="shared" si="173"/>
        <v>0</v>
      </c>
      <c r="AG275" s="1">
        <f t="shared" si="174"/>
        <v>0</v>
      </c>
      <c r="AH275" s="1">
        <f t="shared" si="175"/>
        <v>0</v>
      </c>
      <c r="AI275" s="1">
        <f t="shared" si="176"/>
        <v>1</v>
      </c>
    </row>
    <row r="276" spans="1:35" s="1" customFormat="1" ht="14.25" customHeight="1" x14ac:dyDescent="0.25">
      <c r="A276" s="44">
        <v>0</v>
      </c>
      <c r="B276" s="44">
        <v>1</v>
      </c>
      <c r="C276" s="44">
        <v>7</v>
      </c>
      <c r="D276" s="45" t="s">
        <v>99</v>
      </c>
      <c r="E276" s="45" t="s">
        <v>29</v>
      </c>
      <c r="F276" s="45" t="s">
        <v>297</v>
      </c>
      <c r="G276" s="45" t="s">
        <v>197</v>
      </c>
      <c r="H276" s="45" t="s">
        <v>354</v>
      </c>
      <c r="I276" s="44" t="s">
        <v>446</v>
      </c>
      <c r="J276" s="44">
        <v>9</v>
      </c>
      <c r="K276" s="46" t="s">
        <v>703</v>
      </c>
      <c r="L276" s="46">
        <v>30</v>
      </c>
      <c r="M276" s="47" t="s">
        <v>708</v>
      </c>
      <c r="N276" s="47" t="s">
        <v>1735</v>
      </c>
      <c r="O276" s="48"/>
      <c r="P276" s="48"/>
      <c r="Q276" s="45"/>
      <c r="S276" s="1">
        <f t="shared" si="177"/>
        <v>0</v>
      </c>
      <c r="T276" s="1">
        <f t="shared" si="178"/>
        <v>0</v>
      </c>
      <c r="U276" s="1">
        <f t="shared" si="179"/>
        <v>0</v>
      </c>
      <c r="V276" s="1">
        <f t="shared" si="180"/>
        <v>0</v>
      </c>
      <c r="W276" s="1">
        <f t="shared" si="181"/>
        <v>0</v>
      </c>
      <c r="X276" s="1">
        <f t="shared" si="182"/>
        <v>0</v>
      </c>
      <c r="Y276" s="1">
        <f t="shared" si="183"/>
        <v>0</v>
      </c>
      <c r="Z276" s="1">
        <f t="shared" si="184"/>
        <v>0</v>
      </c>
      <c r="AA276" s="1">
        <f t="shared" si="185"/>
        <v>1</v>
      </c>
      <c r="AB276" s="1">
        <f t="shared" si="186"/>
        <v>0</v>
      </c>
      <c r="AD276" s="1">
        <f t="shared" si="187"/>
        <v>0</v>
      </c>
      <c r="AE276" s="1">
        <f t="shared" si="188"/>
        <v>0</v>
      </c>
      <c r="AF276" s="1">
        <f t="shared" si="173"/>
        <v>0</v>
      </c>
      <c r="AG276" s="1">
        <f t="shared" si="174"/>
        <v>0</v>
      </c>
      <c r="AH276" s="1">
        <f t="shared" si="175"/>
        <v>0</v>
      </c>
      <c r="AI276" s="1">
        <f t="shared" si="176"/>
        <v>1</v>
      </c>
    </row>
    <row r="277" spans="1:35" s="1" customFormat="1" ht="14.25" customHeight="1" x14ac:dyDescent="0.25">
      <c r="A277" s="44">
        <v>0</v>
      </c>
      <c r="B277" s="44">
        <v>1</v>
      </c>
      <c r="C277" s="44">
        <v>7</v>
      </c>
      <c r="D277" s="45" t="s">
        <v>803</v>
      </c>
      <c r="E277" s="45" t="s">
        <v>29</v>
      </c>
      <c r="F277" s="45" t="s">
        <v>782</v>
      </c>
      <c r="G277" s="45" t="s">
        <v>804</v>
      </c>
      <c r="H277" s="45" t="s">
        <v>354</v>
      </c>
      <c r="I277" s="44" t="s">
        <v>952</v>
      </c>
      <c r="J277" s="44">
        <v>99</v>
      </c>
      <c r="K277" s="46" t="s">
        <v>713</v>
      </c>
      <c r="L277" s="46" t="s">
        <v>694</v>
      </c>
      <c r="M277" s="47" t="s">
        <v>708</v>
      </c>
      <c r="N277" s="47" t="s">
        <v>1802</v>
      </c>
      <c r="O277" s="48"/>
      <c r="P277" s="48"/>
      <c r="Q277" s="45"/>
      <c r="S277" s="1">
        <f t="shared" si="177"/>
        <v>0</v>
      </c>
      <c r="T277" s="1">
        <f t="shared" si="178"/>
        <v>0</v>
      </c>
      <c r="U277" s="1">
        <f t="shared" si="179"/>
        <v>0</v>
      </c>
      <c r="V277" s="1">
        <f t="shared" si="180"/>
        <v>0</v>
      </c>
      <c r="W277" s="1">
        <f t="shared" si="181"/>
        <v>0</v>
      </c>
      <c r="X277" s="1">
        <f t="shared" si="182"/>
        <v>0</v>
      </c>
      <c r="Y277" s="1">
        <f t="shared" si="183"/>
        <v>0</v>
      </c>
      <c r="Z277" s="1">
        <f t="shared" si="184"/>
        <v>0</v>
      </c>
      <c r="AA277" s="1">
        <f t="shared" si="185"/>
        <v>0</v>
      </c>
      <c r="AB277" s="1">
        <f t="shared" si="186"/>
        <v>0</v>
      </c>
      <c r="AD277" s="1">
        <f t="shared" si="187"/>
        <v>0</v>
      </c>
      <c r="AE277" s="1">
        <f t="shared" si="188"/>
        <v>0</v>
      </c>
      <c r="AF277" s="1">
        <f t="shared" si="173"/>
        <v>0</v>
      </c>
      <c r="AG277" s="1">
        <f t="shared" si="174"/>
        <v>0</v>
      </c>
      <c r="AH277" s="1">
        <f t="shared" si="175"/>
        <v>0</v>
      </c>
      <c r="AI277" s="1">
        <f t="shared" si="176"/>
        <v>1</v>
      </c>
    </row>
    <row r="278" spans="1:35" s="1" customFormat="1" ht="14.25" customHeight="1" x14ac:dyDescent="0.25">
      <c r="A278" s="44">
        <v>0</v>
      </c>
      <c r="B278" s="44">
        <v>1</v>
      </c>
      <c r="C278" s="44">
        <v>7</v>
      </c>
      <c r="D278" s="45" t="s">
        <v>1324</v>
      </c>
      <c r="E278" s="45" t="s">
        <v>29</v>
      </c>
      <c r="F278" s="45" t="s">
        <v>1347</v>
      </c>
      <c r="G278" s="45" t="s">
        <v>1181</v>
      </c>
      <c r="H278" s="45" t="s">
        <v>354</v>
      </c>
      <c r="I278" s="44" t="s">
        <v>1692</v>
      </c>
      <c r="J278" s="44">
        <v>99</v>
      </c>
      <c r="K278" s="46" t="s">
        <v>713</v>
      </c>
      <c r="L278" s="46" t="s">
        <v>694</v>
      </c>
      <c r="M278" s="47" t="s">
        <v>1411</v>
      </c>
      <c r="N278" s="47" t="s">
        <v>1738</v>
      </c>
      <c r="O278" s="48"/>
      <c r="P278" s="48"/>
      <c r="Q278" s="45"/>
      <c r="S278" s="1">
        <f t="shared" si="177"/>
        <v>0</v>
      </c>
      <c r="T278" s="1">
        <f t="shared" si="178"/>
        <v>0</v>
      </c>
      <c r="U278" s="1">
        <f t="shared" si="179"/>
        <v>0</v>
      </c>
      <c r="V278" s="1">
        <f t="shared" si="180"/>
        <v>0</v>
      </c>
      <c r="W278" s="1">
        <f t="shared" si="181"/>
        <v>0</v>
      </c>
      <c r="X278" s="1">
        <f t="shared" si="182"/>
        <v>0</v>
      </c>
      <c r="Y278" s="1">
        <f t="shared" si="183"/>
        <v>0</v>
      </c>
      <c r="Z278" s="1">
        <f t="shared" si="184"/>
        <v>0</v>
      </c>
      <c r="AA278" s="1">
        <f t="shared" si="185"/>
        <v>0</v>
      </c>
      <c r="AB278" s="1">
        <f t="shared" si="186"/>
        <v>0</v>
      </c>
      <c r="AD278" s="1">
        <f t="shared" si="187"/>
        <v>0</v>
      </c>
      <c r="AE278" s="1">
        <f t="shared" si="188"/>
        <v>0</v>
      </c>
      <c r="AF278" s="1">
        <f t="shared" si="173"/>
        <v>0</v>
      </c>
      <c r="AG278" s="1">
        <f t="shared" si="174"/>
        <v>0</v>
      </c>
      <c r="AH278" s="1">
        <f t="shared" si="175"/>
        <v>0</v>
      </c>
      <c r="AI278" s="1">
        <f t="shared" si="176"/>
        <v>1</v>
      </c>
    </row>
    <row r="279" spans="1:35" s="1" customFormat="1" ht="14.25" customHeight="1" x14ac:dyDescent="0.25">
      <c r="A279" s="15">
        <v>0</v>
      </c>
      <c r="B279" s="15">
        <v>1</v>
      </c>
      <c r="C279" s="15">
        <v>7</v>
      </c>
      <c r="D279" s="16" t="s">
        <v>1279</v>
      </c>
      <c r="E279" s="16" t="s">
        <v>29</v>
      </c>
      <c r="F279" s="16" t="s">
        <v>1280</v>
      </c>
      <c r="G279" s="16" t="s">
        <v>1281</v>
      </c>
      <c r="H279" s="16" t="s">
        <v>354</v>
      </c>
      <c r="I279" s="15" t="s">
        <v>1282</v>
      </c>
      <c r="J279" s="15">
        <v>99</v>
      </c>
      <c r="K279" s="10" t="s">
        <v>713</v>
      </c>
      <c r="L279" s="10" t="s">
        <v>694</v>
      </c>
      <c r="M279" s="19" t="s">
        <v>708</v>
      </c>
      <c r="N279" s="17"/>
      <c r="Q279" s="16"/>
      <c r="S279" s="1">
        <f t="shared" si="177"/>
        <v>0</v>
      </c>
      <c r="T279" s="1">
        <f t="shared" si="178"/>
        <v>0</v>
      </c>
      <c r="U279" s="1">
        <f t="shared" si="179"/>
        <v>0</v>
      </c>
      <c r="V279" s="1">
        <f t="shared" si="180"/>
        <v>0</v>
      </c>
      <c r="W279" s="1">
        <f t="shared" si="181"/>
        <v>0</v>
      </c>
      <c r="X279" s="1">
        <f t="shared" si="182"/>
        <v>0</v>
      </c>
      <c r="Y279" s="1">
        <f t="shared" si="183"/>
        <v>0</v>
      </c>
      <c r="Z279" s="1">
        <f t="shared" si="184"/>
        <v>0</v>
      </c>
      <c r="AA279" s="1">
        <f t="shared" si="185"/>
        <v>0</v>
      </c>
      <c r="AB279" s="1">
        <f t="shared" si="186"/>
        <v>0</v>
      </c>
      <c r="AD279" s="1">
        <f t="shared" si="187"/>
        <v>0</v>
      </c>
      <c r="AE279" s="1">
        <f t="shared" si="188"/>
        <v>0</v>
      </c>
      <c r="AF279" s="1">
        <f t="shared" si="173"/>
        <v>0</v>
      </c>
      <c r="AG279" s="1">
        <f t="shared" si="174"/>
        <v>0</v>
      </c>
      <c r="AH279" s="1">
        <f t="shared" si="175"/>
        <v>0</v>
      </c>
      <c r="AI279" s="1">
        <f t="shared" si="176"/>
        <v>1</v>
      </c>
    </row>
    <row r="280" spans="1:35" s="1" customFormat="1" ht="14.25" customHeight="1" x14ac:dyDescent="0.25">
      <c r="A280" s="31">
        <v>0</v>
      </c>
      <c r="B280" s="31">
        <v>1</v>
      </c>
      <c r="C280" s="31">
        <v>7</v>
      </c>
      <c r="D280" s="32" t="s">
        <v>709</v>
      </c>
      <c r="E280" s="32" t="s">
        <v>29</v>
      </c>
      <c r="F280" s="32" t="s">
        <v>710</v>
      </c>
      <c r="G280" s="32" t="s">
        <v>184</v>
      </c>
      <c r="H280" s="32" t="s">
        <v>354</v>
      </c>
      <c r="I280" s="31" t="s">
        <v>711</v>
      </c>
      <c r="J280" s="31">
        <v>99</v>
      </c>
      <c r="K280" s="33" t="s">
        <v>955</v>
      </c>
      <c r="L280" s="33" t="s">
        <v>39</v>
      </c>
      <c r="M280" s="34" t="s">
        <v>39</v>
      </c>
      <c r="N280" s="34" t="s">
        <v>1733</v>
      </c>
      <c r="O280" s="35">
        <v>1</v>
      </c>
      <c r="P280" s="35">
        <v>1</v>
      </c>
      <c r="Q280" s="32"/>
      <c r="S280" s="1">
        <f t="shared" si="177"/>
        <v>0</v>
      </c>
      <c r="T280" s="1">
        <f t="shared" si="178"/>
        <v>0</v>
      </c>
      <c r="U280" s="1">
        <f t="shared" si="179"/>
        <v>0</v>
      </c>
      <c r="V280" s="1">
        <f t="shared" si="180"/>
        <v>0</v>
      </c>
      <c r="W280" s="1">
        <f t="shared" si="181"/>
        <v>0</v>
      </c>
      <c r="X280" s="1">
        <f t="shared" si="182"/>
        <v>0</v>
      </c>
      <c r="Y280" s="1">
        <f t="shared" si="183"/>
        <v>0</v>
      </c>
      <c r="Z280" s="1">
        <f t="shared" si="184"/>
        <v>0</v>
      </c>
      <c r="AA280" s="1">
        <f t="shared" si="185"/>
        <v>0</v>
      </c>
      <c r="AB280" s="1">
        <f t="shared" si="186"/>
        <v>0</v>
      </c>
      <c r="AD280" s="1">
        <f t="shared" si="187"/>
        <v>1</v>
      </c>
      <c r="AE280" s="1">
        <f t="shared" si="188"/>
        <v>0</v>
      </c>
      <c r="AF280" s="1">
        <f t="shared" si="173"/>
        <v>1</v>
      </c>
      <c r="AG280" s="1">
        <f t="shared" si="174"/>
        <v>0</v>
      </c>
      <c r="AH280" s="1">
        <f t="shared" si="175"/>
        <v>1</v>
      </c>
      <c r="AI280" s="1">
        <f t="shared" si="176"/>
        <v>0</v>
      </c>
    </row>
    <row r="281" spans="1:35" s="1" customFormat="1" ht="14.25" customHeight="1" x14ac:dyDescent="0.25">
      <c r="A281" s="31">
        <v>0</v>
      </c>
      <c r="B281" s="31">
        <v>2</v>
      </c>
      <c r="C281" s="31">
        <v>1</v>
      </c>
      <c r="D281" s="32" t="s">
        <v>536</v>
      </c>
      <c r="E281" s="32" t="s">
        <v>34</v>
      </c>
      <c r="F281" s="32" t="s">
        <v>537</v>
      </c>
      <c r="G281" s="32" t="s">
        <v>220</v>
      </c>
      <c r="H281" s="32" t="s">
        <v>354</v>
      </c>
      <c r="I281" s="31" t="s">
        <v>538</v>
      </c>
      <c r="J281" s="31">
        <v>8</v>
      </c>
      <c r="K281" s="33" t="s">
        <v>713</v>
      </c>
      <c r="L281" s="33" t="s">
        <v>713</v>
      </c>
      <c r="M281" s="34" t="s">
        <v>714</v>
      </c>
      <c r="N281" s="34" t="s">
        <v>1748</v>
      </c>
      <c r="O281" s="35">
        <v>1</v>
      </c>
      <c r="P281" s="35"/>
      <c r="Q281" s="32"/>
      <c r="S281" s="1">
        <f t="shared" si="177"/>
        <v>0</v>
      </c>
      <c r="T281" s="1">
        <f t="shared" si="178"/>
        <v>0</v>
      </c>
      <c r="U281" s="1">
        <f t="shared" si="179"/>
        <v>0</v>
      </c>
      <c r="V281" s="1">
        <f t="shared" si="180"/>
        <v>0</v>
      </c>
      <c r="W281" s="1">
        <f t="shared" si="181"/>
        <v>0</v>
      </c>
      <c r="X281" s="1">
        <f t="shared" si="182"/>
        <v>0</v>
      </c>
      <c r="Y281" s="1">
        <f t="shared" si="183"/>
        <v>0</v>
      </c>
      <c r="Z281" s="1">
        <f t="shared" si="184"/>
        <v>1</v>
      </c>
      <c r="AA281" s="1">
        <f t="shared" si="185"/>
        <v>0</v>
      </c>
      <c r="AB281" s="1">
        <f t="shared" si="186"/>
        <v>0</v>
      </c>
      <c r="AD281" s="1">
        <f t="shared" si="187"/>
        <v>0</v>
      </c>
      <c r="AE281" s="1">
        <f t="shared" si="188"/>
        <v>1</v>
      </c>
      <c r="AF281" s="1">
        <f t="shared" si="173"/>
        <v>0</v>
      </c>
      <c r="AG281" s="1">
        <f t="shared" si="174"/>
        <v>1</v>
      </c>
      <c r="AH281" s="1">
        <f t="shared" si="175"/>
        <v>0</v>
      </c>
      <c r="AI281" s="1">
        <f t="shared" si="176"/>
        <v>1</v>
      </c>
    </row>
    <row r="282" spans="1:35" s="1" customFormat="1" ht="14.25" customHeight="1" x14ac:dyDescent="0.25">
      <c r="A282" s="31">
        <v>0</v>
      </c>
      <c r="B282" s="31">
        <v>2</v>
      </c>
      <c r="C282" s="31">
        <v>1</v>
      </c>
      <c r="D282" s="32" t="s">
        <v>1290</v>
      </c>
      <c r="E282" s="32" t="s">
        <v>561</v>
      </c>
      <c r="F282" s="32" t="s">
        <v>1291</v>
      </c>
      <c r="G282" s="32" t="s">
        <v>230</v>
      </c>
      <c r="H282" s="32" t="s">
        <v>354</v>
      </c>
      <c r="I282" s="31" t="s">
        <v>1292</v>
      </c>
      <c r="J282" s="31">
        <v>7</v>
      </c>
      <c r="K282" s="33" t="s">
        <v>713</v>
      </c>
      <c r="L282" s="33" t="s">
        <v>713</v>
      </c>
      <c r="M282" s="34" t="s">
        <v>714</v>
      </c>
      <c r="N282" s="34" t="s">
        <v>1756</v>
      </c>
      <c r="O282" s="35">
        <v>1</v>
      </c>
      <c r="P282" s="35"/>
      <c r="Q282" s="32"/>
      <c r="S282" s="1">
        <f t="shared" si="177"/>
        <v>0</v>
      </c>
      <c r="T282" s="1">
        <f t="shared" si="178"/>
        <v>0</v>
      </c>
      <c r="U282" s="1">
        <f t="shared" si="179"/>
        <v>0</v>
      </c>
      <c r="V282" s="1">
        <f t="shared" si="180"/>
        <v>0</v>
      </c>
      <c r="W282" s="1">
        <f t="shared" si="181"/>
        <v>0</v>
      </c>
      <c r="X282" s="1">
        <f t="shared" si="182"/>
        <v>0</v>
      </c>
      <c r="Y282" s="1">
        <f t="shared" si="183"/>
        <v>1</v>
      </c>
      <c r="Z282" s="1">
        <f t="shared" si="184"/>
        <v>0</v>
      </c>
      <c r="AA282" s="1">
        <f t="shared" si="185"/>
        <v>0</v>
      </c>
      <c r="AB282" s="1">
        <f t="shared" si="186"/>
        <v>0</v>
      </c>
      <c r="AD282" s="1">
        <f t="shared" si="187"/>
        <v>0</v>
      </c>
      <c r="AE282" s="1">
        <f t="shared" si="188"/>
        <v>1</v>
      </c>
      <c r="AF282" s="1">
        <f t="shared" si="173"/>
        <v>0</v>
      </c>
      <c r="AG282" s="1">
        <f t="shared" si="174"/>
        <v>1</v>
      </c>
      <c r="AH282" s="1">
        <f t="shared" si="175"/>
        <v>0</v>
      </c>
      <c r="AI282" s="1">
        <f t="shared" si="176"/>
        <v>1</v>
      </c>
    </row>
    <row r="283" spans="1:35" s="1" customFormat="1" ht="14.25" customHeight="1" x14ac:dyDescent="0.25">
      <c r="A283" s="31">
        <v>0</v>
      </c>
      <c r="B283" s="31">
        <v>2</v>
      </c>
      <c r="C283" s="31">
        <v>1</v>
      </c>
      <c r="D283" s="32" t="s">
        <v>1326</v>
      </c>
      <c r="E283" s="32" t="s">
        <v>561</v>
      </c>
      <c r="F283" s="32" t="s">
        <v>1988</v>
      </c>
      <c r="G283" s="32" t="s">
        <v>213</v>
      </c>
      <c r="H283" s="32" t="s">
        <v>354</v>
      </c>
      <c r="I283" s="31" t="s">
        <v>1156</v>
      </c>
      <c r="J283" s="31">
        <v>1</v>
      </c>
      <c r="K283" s="33" t="s">
        <v>954</v>
      </c>
      <c r="L283" s="33" t="s">
        <v>713</v>
      </c>
      <c r="M283" s="34" t="s">
        <v>714</v>
      </c>
      <c r="N283" s="34" t="s">
        <v>1761</v>
      </c>
      <c r="O283" s="35">
        <v>1</v>
      </c>
      <c r="P283" s="35"/>
      <c r="Q283" s="32"/>
      <c r="S283" s="1">
        <f t="shared" si="177"/>
        <v>1</v>
      </c>
      <c r="T283" s="1">
        <f t="shared" si="178"/>
        <v>0</v>
      </c>
      <c r="U283" s="1">
        <f t="shared" si="179"/>
        <v>0</v>
      </c>
      <c r="V283" s="1">
        <f t="shared" si="180"/>
        <v>0</v>
      </c>
      <c r="W283" s="1">
        <f t="shared" si="181"/>
        <v>0</v>
      </c>
      <c r="X283" s="1">
        <f t="shared" si="182"/>
        <v>0</v>
      </c>
      <c r="Y283" s="1">
        <f t="shared" si="183"/>
        <v>0</v>
      </c>
      <c r="Z283" s="1">
        <f t="shared" si="184"/>
        <v>0</v>
      </c>
      <c r="AA283" s="1">
        <f t="shared" si="185"/>
        <v>0</v>
      </c>
      <c r="AB283" s="1">
        <f t="shared" si="186"/>
        <v>0</v>
      </c>
      <c r="AD283" s="1">
        <f t="shared" si="187"/>
        <v>0</v>
      </c>
      <c r="AE283" s="1">
        <f t="shared" si="188"/>
        <v>1</v>
      </c>
      <c r="AF283" s="1">
        <f t="shared" si="173"/>
        <v>0</v>
      </c>
      <c r="AG283" s="1">
        <f t="shared" si="174"/>
        <v>1</v>
      </c>
      <c r="AH283" s="1">
        <f t="shared" si="175"/>
        <v>0</v>
      </c>
      <c r="AI283" s="1">
        <f t="shared" si="176"/>
        <v>1</v>
      </c>
    </row>
    <row r="284" spans="1:35" s="1" customFormat="1" ht="14.25" customHeight="1" x14ac:dyDescent="0.25">
      <c r="A284" s="31">
        <v>0</v>
      </c>
      <c r="B284" s="31">
        <v>2</v>
      </c>
      <c r="C284" s="31">
        <v>1</v>
      </c>
      <c r="D284" s="32" t="s">
        <v>1327</v>
      </c>
      <c r="E284" s="32" t="s">
        <v>561</v>
      </c>
      <c r="F284" s="32" t="s">
        <v>1151</v>
      </c>
      <c r="G284" s="32" t="s">
        <v>285</v>
      </c>
      <c r="H284" s="32" t="s">
        <v>354</v>
      </c>
      <c r="I284" s="31" t="s">
        <v>1152</v>
      </c>
      <c r="J284" s="31">
        <v>10</v>
      </c>
      <c r="K284" s="33" t="s">
        <v>954</v>
      </c>
      <c r="L284" s="33" t="s">
        <v>713</v>
      </c>
      <c r="M284" s="34" t="s">
        <v>714</v>
      </c>
      <c r="N284" s="34" t="s">
        <v>1761</v>
      </c>
      <c r="O284" s="35">
        <v>1</v>
      </c>
      <c r="P284" s="35"/>
      <c r="Q284" s="32"/>
      <c r="S284" s="1">
        <f t="shared" si="177"/>
        <v>0</v>
      </c>
      <c r="T284" s="1">
        <f t="shared" si="178"/>
        <v>0</v>
      </c>
      <c r="U284" s="1">
        <f t="shared" si="179"/>
        <v>0</v>
      </c>
      <c r="V284" s="1">
        <f t="shared" si="180"/>
        <v>0</v>
      </c>
      <c r="W284" s="1">
        <f t="shared" si="181"/>
        <v>0</v>
      </c>
      <c r="X284" s="1">
        <f t="shared" si="182"/>
        <v>0</v>
      </c>
      <c r="Y284" s="1">
        <f t="shared" si="183"/>
        <v>0</v>
      </c>
      <c r="Z284" s="1">
        <f t="shared" si="184"/>
        <v>0</v>
      </c>
      <c r="AA284" s="1">
        <f t="shared" si="185"/>
        <v>0</v>
      </c>
      <c r="AB284" s="1">
        <f t="shared" si="186"/>
        <v>1</v>
      </c>
      <c r="AD284" s="1">
        <f t="shared" si="187"/>
        <v>0</v>
      </c>
      <c r="AE284" s="1">
        <f t="shared" si="188"/>
        <v>1</v>
      </c>
      <c r="AF284" s="1">
        <f t="shared" si="173"/>
        <v>0</v>
      </c>
      <c r="AG284" s="1">
        <f t="shared" si="174"/>
        <v>1</v>
      </c>
      <c r="AH284" s="1">
        <f t="shared" si="175"/>
        <v>0</v>
      </c>
      <c r="AI284" s="1">
        <f t="shared" si="176"/>
        <v>1</v>
      </c>
    </row>
    <row r="285" spans="1:35" s="1" customFormat="1" ht="14.25" customHeight="1" x14ac:dyDescent="0.25">
      <c r="A285" s="15">
        <v>0</v>
      </c>
      <c r="B285" s="15">
        <v>2</v>
      </c>
      <c r="C285" s="15">
        <v>1</v>
      </c>
      <c r="D285" s="16" t="s">
        <v>512</v>
      </c>
      <c r="E285" s="16" t="s">
        <v>34</v>
      </c>
      <c r="F285" s="16" t="s">
        <v>511</v>
      </c>
      <c r="G285" s="16" t="s">
        <v>546</v>
      </c>
      <c r="H285" s="16" t="s">
        <v>354</v>
      </c>
      <c r="I285" s="15" t="s">
        <v>1364</v>
      </c>
      <c r="J285" s="15">
        <v>99</v>
      </c>
      <c r="K285" s="10" t="s">
        <v>955</v>
      </c>
      <c r="L285" s="10" t="s">
        <v>713</v>
      </c>
      <c r="M285" s="19" t="s">
        <v>714</v>
      </c>
      <c r="N285" s="19"/>
      <c r="Q285" s="20" t="s">
        <v>2013</v>
      </c>
      <c r="S285" s="1">
        <f t="shared" si="177"/>
        <v>0</v>
      </c>
      <c r="T285" s="1">
        <f t="shared" si="178"/>
        <v>0</v>
      </c>
      <c r="U285" s="1">
        <f t="shared" si="179"/>
        <v>0</v>
      </c>
      <c r="V285" s="1">
        <f t="shared" si="180"/>
        <v>0</v>
      </c>
      <c r="W285" s="1">
        <f t="shared" si="181"/>
        <v>0</v>
      </c>
      <c r="X285" s="1">
        <f t="shared" si="182"/>
        <v>0</v>
      </c>
      <c r="Y285" s="1">
        <f t="shared" si="183"/>
        <v>0</v>
      </c>
      <c r="Z285" s="1">
        <f t="shared" si="184"/>
        <v>0</v>
      </c>
      <c r="AA285" s="1">
        <f t="shared" si="185"/>
        <v>0</v>
      </c>
      <c r="AB285" s="1">
        <f t="shared" si="186"/>
        <v>0</v>
      </c>
      <c r="AD285" s="1">
        <f t="shared" si="187"/>
        <v>0</v>
      </c>
      <c r="AE285" s="1">
        <f t="shared" si="188"/>
        <v>0</v>
      </c>
      <c r="AF285" s="1">
        <f t="shared" si="173"/>
        <v>0</v>
      </c>
      <c r="AG285" s="1">
        <f t="shared" si="174"/>
        <v>0</v>
      </c>
      <c r="AH285" s="1">
        <f t="shared" si="175"/>
        <v>0</v>
      </c>
      <c r="AI285" s="1">
        <f t="shared" si="176"/>
        <v>1</v>
      </c>
    </row>
    <row r="286" spans="1:35" s="1" customFormat="1" ht="14.25" customHeight="1" x14ac:dyDescent="0.25">
      <c r="A286" s="38">
        <v>0</v>
      </c>
      <c r="B286" s="38">
        <v>2</v>
      </c>
      <c r="C286" s="38">
        <v>1</v>
      </c>
      <c r="D286" s="39" t="s">
        <v>1042</v>
      </c>
      <c r="E286" s="39" t="s">
        <v>36</v>
      </c>
      <c r="F286" s="39" t="s">
        <v>1659</v>
      </c>
      <c r="G286" s="39" t="s">
        <v>628</v>
      </c>
      <c r="H286" s="39" t="s">
        <v>354</v>
      </c>
      <c r="I286" s="38" t="s">
        <v>1043</v>
      </c>
      <c r="J286" s="38">
        <v>99</v>
      </c>
      <c r="K286" s="40" t="s">
        <v>959</v>
      </c>
      <c r="L286" s="40" t="s">
        <v>713</v>
      </c>
      <c r="M286" s="41" t="s">
        <v>714</v>
      </c>
      <c r="N286" s="42"/>
      <c r="O286" s="43"/>
      <c r="P286" s="43">
        <v>1</v>
      </c>
      <c r="Q286" s="54" t="s">
        <v>1899</v>
      </c>
      <c r="S286" s="1">
        <f t="shared" si="177"/>
        <v>0</v>
      </c>
      <c r="T286" s="1">
        <f t="shared" si="178"/>
        <v>0</v>
      </c>
      <c r="U286" s="1">
        <f t="shared" si="179"/>
        <v>0</v>
      </c>
      <c r="V286" s="1">
        <f t="shared" si="180"/>
        <v>0</v>
      </c>
      <c r="W286" s="1">
        <f t="shared" si="181"/>
        <v>0</v>
      </c>
      <c r="X286" s="1">
        <f t="shared" si="182"/>
        <v>0</v>
      </c>
      <c r="Y286" s="1">
        <f t="shared" si="183"/>
        <v>0</v>
      </c>
      <c r="Z286" s="1">
        <f t="shared" si="184"/>
        <v>0</v>
      </c>
      <c r="AA286" s="1">
        <f t="shared" si="185"/>
        <v>0</v>
      </c>
      <c r="AB286" s="1">
        <f t="shared" si="186"/>
        <v>0</v>
      </c>
      <c r="AD286" s="1">
        <f t="shared" si="187"/>
        <v>0</v>
      </c>
      <c r="AE286" s="1">
        <f t="shared" si="188"/>
        <v>0</v>
      </c>
      <c r="AF286" s="1">
        <f t="shared" si="173"/>
        <v>0</v>
      </c>
      <c r="AG286" s="1">
        <f t="shared" si="174"/>
        <v>0</v>
      </c>
      <c r="AH286" s="1">
        <f t="shared" si="175"/>
        <v>1</v>
      </c>
      <c r="AI286" s="1">
        <f t="shared" si="176"/>
        <v>0</v>
      </c>
    </row>
    <row r="287" spans="1:35" s="1" customFormat="1" ht="14.25" customHeight="1" x14ac:dyDescent="0.25">
      <c r="A287" s="31">
        <v>1</v>
      </c>
      <c r="B287" s="31">
        <v>2</v>
      </c>
      <c r="C287" s="31">
        <v>1</v>
      </c>
      <c r="D287" s="32" t="s">
        <v>49</v>
      </c>
      <c r="E287" s="32" t="s">
        <v>1314</v>
      </c>
      <c r="F287" s="32" t="s">
        <v>191</v>
      </c>
      <c r="G287" s="32" t="s">
        <v>192</v>
      </c>
      <c r="H287" s="32" t="s">
        <v>354</v>
      </c>
      <c r="I287" s="31" t="s">
        <v>386</v>
      </c>
      <c r="J287" s="31">
        <v>99</v>
      </c>
      <c r="K287" s="33" t="s">
        <v>712</v>
      </c>
      <c r="L287" s="33" t="s">
        <v>713</v>
      </c>
      <c r="M287" s="34" t="s">
        <v>714</v>
      </c>
      <c r="N287" s="34" t="s">
        <v>1756</v>
      </c>
      <c r="O287" s="35">
        <v>1</v>
      </c>
      <c r="P287" s="35"/>
      <c r="Q287" s="32"/>
      <c r="S287" s="1">
        <f t="shared" si="177"/>
        <v>0</v>
      </c>
      <c r="T287" s="1">
        <f t="shared" si="178"/>
        <v>0</v>
      </c>
      <c r="U287" s="1">
        <f t="shared" si="179"/>
        <v>0</v>
      </c>
      <c r="V287" s="1">
        <f t="shared" si="180"/>
        <v>0</v>
      </c>
      <c r="W287" s="1">
        <f t="shared" si="181"/>
        <v>0</v>
      </c>
      <c r="X287" s="1">
        <f t="shared" si="182"/>
        <v>0</v>
      </c>
      <c r="Y287" s="1">
        <f t="shared" si="183"/>
        <v>0</v>
      </c>
      <c r="Z287" s="1">
        <f t="shared" si="184"/>
        <v>0</v>
      </c>
      <c r="AA287" s="1">
        <f t="shared" si="185"/>
        <v>0</v>
      </c>
      <c r="AB287" s="1">
        <f t="shared" si="186"/>
        <v>0</v>
      </c>
      <c r="AD287" s="1">
        <f t="shared" si="187"/>
        <v>0</v>
      </c>
      <c r="AE287" s="1">
        <f t="shared" si="188"/>
        <v>1</v>
      </c>
      <c r="AF287" s="1">
        <f t="shared" si="173"/>
        <v>0</v>
      </c>
      <c r="AG287" s="1">
        <f t="shared" si="174"/>
        <v>0</v>
      </c>
      <c r="AH287" s="1">
        <f t="shared" si="175"/>
        <v>0</v>
      </c>
      <c r="AI287" s="1">
        <f t="shared" si="176"/>
        <v>0</v>
      </c>
    </row>
    <row r="288" spans="1:35" s="1" customFormat="1" ht="14.25" customHeight="1" x14ac:dyDescent="0.25">
      <c r="A288" s="31">
        <v>0</v>
      </c>
      <c r="B288" s="31">
        <v>2</v>
      </c>
      <c r="C288" s="31">
        <v>1</v>
      </c>
      <c r="D288" s="32" t="s">
        <v>1074</v>
      </c>
      <c r="E288" s="32" t="s">
        <v>1314</v>
      </c>
      <c r="F288" s="32" t="s">
        <v>1089</v>
      </c>
      <c r="G288" s="32" t="s">
        <v>202</v>
      </c>
      <c r="H288" s="32" t="s">
        <v>354</v>
      </c>
      <c r="I288" s="31" t="s">
        <v>386</v>
      </c>
      <c r="J288" s="31">
        <v>10</v>
      </c>
      <c r="K288" s="33" t="s">
        <v>712</v>
      </c>
      <c r="L288" s="33" t="s">
        <v>713</v>
      </c>
      <c r="M288" s="34" t="s">
        <v>714</v>
      </c>
      <c r="N288" s="34" t="s">
        <v>1756</v>
      </c>
      <c r="O288" s="35">
        <v>1</v>
      </c>
      <c r="P288" s="35"/>
      <c r="Q288" s="32"/>
      <c r="S288" s="1">
        <f t="shared" si="177"/>
        <v>0</v>
      </c>
      <c r="T288" s="1">
        <f t="shared" si="178"/>
        <v>0</v>
      </c>
      <c r="U288" s="1">
        <f t="shared" si="179"/>
        <v>0</v>
      </c>
      <c r="V288" s="1">
        <f t="shared" si="180"/>
        <v>0</v>
      </c>
      <c r="W288" s="1">
        <f t="shared" si="181"/>
        <v>0</v>
      </c>
      <c r="X288" s="1">
        <f t="shared" si="182"/>
        <v>0</v>
      </c>
      <c r="Y288" s="1">
        <f t="shared" si="183"/>
        <v>0</v>
      </c>
      <c r="Z288" s="1">
        <f t="shared" si="184"/>
        <v>0</v>
      </c>
      <c r="AA288" s="1">
        <f t="shared" si="185"/>
        <v>0</v>
      </c>
      <c r="AB288" s="1">
        <f t="shared" si="186"/>
        <v>1</v>
      </c>
      <c r="AD288" s="1">
        <f t="shared" si="187"/>
        <v>0</v>
      </c>
      <c r="AE288" s="1">
        <f t="shared" si="188"/>
        <v>1</v>
      </c>
      <c r="AF288" s="1">
        <f t="shared" si="173"/>
        <v>0</v>
      </c>
      <c r="AG288" s="1">
        <f t="shared" si="174"/>
        <v>1</v>
      </c>
      <c r="AH288" s="1">
        <f t="shared" si="175"/>
        <v>0</v>
      </c>
      <c r="AI288" s="1">
        <f t="shared" si="176"/>
        <v>1</v>
      </c>
    </row>
    <row r="289" spans="1:35" s="1" customFormat="1" ht="14.25" customHeight="1" x14ac:dyDescent="0.25">
      <c r="A289" s="31">
        <v>0</v>
      </c>
      <c r="B289" s="31">
        <v>2</v>
      </c>
      <c r="C289" s="31">
        <v>1</v>
      </c>
      <c r="D289" s="32" t="s">
        <v>1273</v>
      </c>
      <c r="E289" s="32" t="s">
        <v>561</v>
      </c>
      <c r="F289" s="32" t="s">
        <v>1274</v>
      </c>
      <c r="G289" s="32" t="s">
        <v>258</v>
      </c>
      <c r="H289" s="32" t="s">
        <v>354</v>
      </c>
      <c r="I289" s="31" t="s">
        <v>1275</v>
      </c>
      <c r="J289" s="31">
        <v>8</v>
      </c>
      <c r="K289" s="33" t="s">
        <v>954</v>
      </c>
      <c r="L289" s="33" t="s">
        <v>713</v>
      </c>
      <c r="M289" s="34" t="s">
        <v>714</v>
      </c>
      <c r="N289" s="34" t="s">
        <v>1748</v>
      </c>
      <c r="O289" s="35">
        <v>1</v>
      </c>
      <c r="P289" s="35"/>
      <c r="Q289" s="32"/>
      <c r="S289" s="1">
        <f t="shared" si="177"/>
        <v>0</v>
      </c>
      <c r="T289" s="1">
        <f t="shared" si="178"/>
        <v>0</v>
      </c>
      <c r="U289" s="1">
        <f t="shared" si="179"/>
        <v>0</v>
      </c>
      <c r="V289" s="1">
        <f t="shared" si="180"/>
        <v>0</v>
      </c>
      <c r="W289" s="1">
        <f t="shared" si="181"/>
        <v>0</v>
      </c>
      <c r="X289" s="1">
        <f t="shared" si="182"/>
        <v>0</v>
      </c>
      <c r="Y289" s="1">
        <f t="shared" si="183"/>
        <v>0</v>
      </c>
      <c r="Z289" s="1">
        <f t="shared" si="184"/>
        <v>1</v>
      </c>
      <c r="AA289" s="1">
        <f t="shared" si="185"/>
        <v>0</v>
      </c>
      <c r="AB289" s="1">
        <f t="shared" si="186"/>
        <v>0</v>
      </c>
      <c r="AD289" s="1">
        <f t="shared" si="187"/>
        <v>0</v>
      </c>
      <c r="AE289" s="1">
        <f t="shared" si="188"/>
        <v>1</v>
      </c>
      <c r="AF289" s="1">
        <f t="shared" si="173"/>
        <v>0</v>
      </c>
      <c r="AG289" s="1">
        <f t="shared" si="174"/>
        <v>1</v>
      </c>
      <c r="AH289" s="1">
        <f t="shared" si="175"/>
        <v>0</v>
      </c>
      <c r="AI289" s="1">
        <f t="shared" si="176"/>
        <v>1</v>
      </c>
    </row>
    <row r="290" spans="1:35" s="1" customFormat="1" ht="14.25" customHeight="1" x14ac:dyDescent="0.25">
      <c r="A290" s="44">
        <v>0</v>
      </c>
      <c r="B290" s="44">
        <v>2</v>
      </c>
      <c r="C290" s="44">
        <v>1</v>
      </c>
      <c r="D290" s="45" t="s">
        <v>48</v>
      </c>
      <c r="E290" s="45" t="s">
        <v>578</v>
      </c>
      <c r="F290" s="45" t="s">
        <v>189</v>
      </c>
      <c r="G290" s="45" t="s">
        <v>300</v>
      </c>
      <c r="H290" s="45" t="s">
        <v>354</v>
      </c>
      <c r="I290" s="44" t="s">
        <v>385</v>
      </c>
      <c r="J290" s="44">
        <v>99</v>
      </c>
      <c r="K290" s="46" t="s">
        <v>713</v>
      </c>
      <c r="L290" s="46" t="s">
        <v>713</v>
      </c>
      <c r="M290" s="47" t="s">
        <v>714</v>
      </c>
      <c r="N290" s="47" t="s">
        <v>1747</v>
      </c>
      <c r="O290" s="48"/>
      <c r="P290" s="48"/>
      <c r="Q290" s="45"/>
      <c r="S290" s="1">
        <f t="shared" si="177"/>
        <v>0</v>
      </c>
      <c r="T290" s="1">
        <f t="shared" si="178"/>
        <v>0</v>
      </c>
      <c r="U290" s="1">
        <f t="shared" si="179"/>
        <v>0</v>
      </c>
      <c r="V290" s="1">
        <f t="shared" si="180"/>
        <v>0</v>
      </c>
      <c r="W290" s="1">
        <f t="shared" si="181"/>
        <v>0</v>
      </c>
      <c r="X290" s="1">
        <f t="shared" si="182"/>
        <v>0</v>
      </c>
      <c r="Y290" s="1">
        <f t="shared" si="183"/>
        <v>0</v>
      </c>
      <c r="Z290" s="1">
        <f t="shared" si="184"/>
        <v>0</v>
      </c>
      <c r="AA290" s="1">
        <f t="shared" si="185"/>
        <v>0</v>
      </c>
      <c r="AB290" s="1">
        <f t="shared" si="186"/>
        <v>0</v>
      </c>
      <c r="AD290" s="1">
        <f t="shared" si="187"/>
        <v>0</v>
      </c>
      <c r="AE290" s="1">
        <f t="shared" si="188"/>
        <v>0</v>
      </c>
      <c r="AF290" s="1">
        <f t="shared" si="173"/>
        <v>0</v>
      </c>
      <c r="AG290" s="1">
        <f t="shared" si="174"/>
        <v>0</v>
      </c>
      <c r="AH290" s="1">
        <f t="shared" si="175"/>
        <v>0</v>
      </c>
      <c r="AI290" s="1">
        <f t="shared" si="176"/>
        <v>1</v>
      </c>
    </row>
    <row r="291" spans="1:35" s="1" customFormat="1" ht="14.25" customHeight="1" x14ac:dyDescent="0.25">
      <c r="A291" s="15">
        <v>0</v>
      </c>
      <c r="B291" s="15">
        <v>2</v>
      </c>
      <c r="C291" s="15">
        <v>1</v>
      </c>
      <c r="D291" s="16" t="s">
        <v>57</v>
      </c>
      <c r="E291" s="16" t="s">
        <v>162</v>
      </c>
      <c r="F291" s="16" t="s">
        <v>666</v>
      </c>
      <c r="G291" s="16" t="s">
        <v>221</v>
      </c>
      <c r="H291" s="16" t="s">
        <v>354</v>
      </c>
      <c r="I291" s="15" t="s">
        <v>396</v>
      </c>
      <c r="J291" s="15">
        <v>99</v>
      </c>
      <c r="K291" s="10" t="s">
        <v>961</v>
      </c>
      <c r="L291" s="10" t="s">
        <v>713</v>
      </c>
      <c r="M291" s="19" t="s">
        <v>714</v>
      </c>
      <c r="N291" s="19"/>
      <c r="Q291" s="16"/>
      <c r="S291" s="1">
        <f t="shared" si="177"/>
        <v>0</v>
      </c>
      <c r="T291" s="1">
        <f t="shared" si="178"/>
        <v>0</v>
      </c>
      <c r="U291" s="1">
        <f t="shared" si="179"/>
        <v>0</v>
      </c>
      <c r="V291" s="1">
        <f t="shared" si="180"/>
        <v>0</v>
      </c>
      <c r="W291" s="1">
        <f t="shared" si="181"/>
        <v>0</v>
      </c>
      <c r="X291" s="1">
        <f t="shared" si="182"/>
        <v>0</v>
      </c>
      <c r="Y291" s="1">
        <f t="shared" si="183"/>
        <v>0</v>
      </c>
      <c r="Z291" s="1">
        <f t="shared" si="184"/>
        <v>0</v>
      </c>
      <c r="AA291" s="1">
        <f t="shared" si="185"/>
        <v>0</v>
      </c>
      <c r="AB291" s="1">
        <f t="shared" si="186"/>
        <v>0</v>
      </c>
      <c r="AD291" s="1">
        <f t="shared" si="187"/>
        <v>0</v>
      </c>
      <c r="AE291" s="1">
        <f t="shared" si="188"/>
        <v>0</v>
      </c>
      <c r="AF291" s="1">
        <f t="shared" si="173"/>
        <v>0</v>
      </c>
      <c r="AG291" s="1">
        <f t="shared" si="174"/>
        <v>0</v>
      </c>
      <c r="AH291" s="1">
        <f t="shared" si="175"/>
        <v>0</v>
      </c>
      <c r="AI291" s="1">
        <f t="shared" si="176"/>
        <v>1</v>
      </c>
    </row>
    <row r="292" spans="1:35" s="1" customFormat="1" ht="14.25" customHeight="1" x14ac:dyDescent="0.25">
      <c r="A292" s="31">
        <v>0</v>
      </c>
      <c r="B292" s="31">
        <v>2</v>
      </c>
      <c r="C292" s="31">
        <v>1</v>
      </c>
      <c r="D292" s="32" t="s">
        <v>515</v>
      </c>
      <c r="E292" s="32" t="s">
        <v>561</v>
      </c>
      <c r="F292" s="32" t="s">
        <v>229</v>
      </c>
      <c r="G292" s="32" t="s">
        <v>230</v>
      </c>
      <c r="H292" s="32" t="s">
        <v>354</v>
      </c>
      <c r="I292" s="31" t="s">
        <v>400</v>
      </c>
      <c r="J292" s="31">
        <v>7</v>
      </c>
      <c r="K292" s="33" t="s">
        <v>954</v>
      </c>
      <c r="L292" s="33" t="s">
        <v>713</v>
      </c>
      <c r="M292" s="34" t="s">
        <v>714</v>
      </c>
      <c r="N292" s="34" t="s">
        <v>1749</v>
      </c>
      <c r="O292" s="35">
        <v>1</v>
      </c>
      <c r="P292" s="35"/>
      <c r="Q292" s="32"/>
      <c r="S292" s="1">
        <f t="shared" si="177"/>
        <v>0</v>
      </c>
      <c r="T292" s="1">
        <f t="shared" si="178"/>
        <v>0</v>
      </c>
      <c r="U292" s="1">
        <f t="shared" si="179"/>
        <v>0</v>
      </c>
      <c r="V292" s="1">
        <f t="shared" si="180"/>
        <v>0</v>
      </c>
      <c r="W292" s="1">
        <f t="shared" si="181"/>
        <v>0</v>
      </c>
      <c r="X292" s="1">
        <f t="shared" si="182"/>
        <v>0</v>
      </c>
      <c r="Y292" s="1">
        <f t="shared" si="183"/>
        <v>1</v>
      </c>
      <c r="Z292" s="1">
        <f t="shared" si="184"/>
        <v>0</v>
      </c>
      <c r="AA292" s="1">
        <f t="shared" si="185"/>
        <v>0</v>
      </c>
      <c r="AB292" s="1">
        <f t="shared" si="186"/>
        <v>0</v>
      </c>
      <c r="AD292" s="1">
        <f t="shared" si="187"/>
        <v>0</v>
      </c>
      <c r="AE292" s="1">
        <f t="shared" si="188"/>
        <v>1</v>
      </c>
      <c r="AF292" s="1">
        <f t="shared" si="173"/>
        <v>0</v>
      </c>
      <c r="AG292" s="1">
        <f t="shared" si="174"/>
        <v>1</v>
      </c>
      <c r="AH292" s="1">
        <f t="shared" si="175"/>
        <v>0</v>
      </c>
      <c r="AI292" s="1">
        <f t="shared" si="176"/>
        <v>1</v>
      </c>
    </row>
    <row r="293" spans="1:35" s="1" customFormat="1" ht="14.25" customHeight="1" x14ac:dyDescent="0.25">
      <c r="A293" s="44">
        <v>0</v>
      </c>
      <c r="B293" s="44">
        <v>2</v>
      </c>
      <c r="C293" s="44">
        <v>1</v>
      </c>
      <c r="D293" s="45" t="s">
        <v>560</v>
      </c>
      <c r="E293" s="45" t="s">
        <v>561</v>
      </c>
      <c r="F293" s="45" t="s">
        <v>562</v>
      </c>
      <c r="G293" s="45" t="s">
        <v>208</v>
      </c>
      <c r="H293" s="45" t="s">
        <v>354</v>
      </c>
      <c r="I293" s="44" t="s">
        <v>563</v>
      </c>
      <c r="J293" s="44">
        <v>3</v>
      </c>
      <c r="K293" s="46" t="s">
        <v>712</v>
      </c>
      <c r="L293" s="46" t="s">
        <v>713</v>
      </c>
      <c r="M293" s="47" t="s">
        <v>714</v>
      </c>
      <c r="N293" s="47" t="s">
        <v>1747</v>
      </c>
      <c r="O293" s="48"/>
      <c r="P293" s="48"/>
      <c r="Q293" s="45"/>
      <c r="S293" s="1">
        <f t="shared" si="177"/>
        <v>0</v>
      </c>
      <c r="T293" s="1">
        <f t="shared" si="178"/>
        <v>0</v>
      </c>
      <c r="U293" s="1">
        <f t="shared" si="179"/>
        <v>1</v>
      </c>
      <c r="V293" s="1">
        <f t="shared" si="180"/>
        <v>0</v>
      </c>
      <c r="W293" s="1">
        <f t="shared" si="181"/>
        <v>0</v>
      </c>
      <c r="X293" s="1">
        <f t="shared" si="182"/>
        <v>0</v>
      </c>
      <c r="Y293" s="1">
        <f t="shared" si="183"/>
        <v>0</v>
      </c>
      <c r="Z293" s="1">
        <f t="shared" si="184"/>
        <v>0</v>
      </c>
      <c r="AA293" s="1">
        <f t="shared" si="185"/>
        <v>0</v>
      </c>
      <c r="AB293" s="1">
        <f t="shared" si="186"/>
        <v>0</v>
      </c>
      <c r="AD293" s="1">
        <f t="shared" si="187"/>
        <v>0</v>
      </c>
      <c r="AE293" s="1">
        <f t="shared" si="188"/>
        <v>0</v>
      </c>
      <c r="AF293" s="1">
        <f t="shared" si="173"/>
        <v>0</v>
      </c>
      <c r="AG293" s="1">
        <f t="shared" si="174"/>
        <v>0</v>
      </c>
      <c r="AH293" s="1">
        <f t="shared" si="175"/>
        <v>0</v>
      </c>
      <c r="AI293" s="1">
        <f t="shared" si="176"/>
        <v>1</v>
      </c>
    </row>
    <row r="294" spans="1:35" s="1" customFormat="1" ht="14.25" customHeight="1" x14ac:dyDescent="0.25">
      <c r="A294" s="37">
        <v>0</v>
      </c>
      <c r="B294" s="37">
        <v>2</v>
      </c>
      <c r="C294" s="37">
        <v>1</v>
      </c>
      <c r="D294" s="36" t="s">
        <v>1053</v>
      </c>
      <c r="E294" s="36" t="s">
        <v>32</v>
      </c>
      <c r="F294" s="36" t="s">
        <v>1277</v>
      </c>
      <c r="G294" s="36" t="s">
        <v>535</v>
      </c>
      <c r="H294" s="36" t="s">
        <v>354</v>
      </c>
      <c r="I294" s="37" t="s">
        <v>1278</v>
      </c>
      <c r="J294" s="37">
        <v>6</v>
      </c>
      <c r="K294" s="56" t="s">
        <v>713</v>
      </c>
      <c r="L294" s="33" t="s">
        <v>713</v>
      </c>
      <c r="M294" s="34" t="s">
        <v>714</v>
      </c>
      <c r="N294" s="34" t="s">
        <v>1748</v>
      </c>
      <c r="O294" s="35">
        <v>1</v>
      </c>
      <c r="P294" s="35"/>
      <c r="Q294" s="36"/>
      <c r="S294" s="1">
        <f t="shared" si="177"/>
        <v>0</v>
      </c>
      <c r="T294" s="1">
        <f t="shared" si="178"/>
        <v>0</v>
      </c>
      <c r="U294" s="1">
        <f t="shared" si="179"/>
        <v>0</v>
      </c>
      <c r="V294" s="1">
        <f t="shared" si="180"/>
        <v>0</v>
      </c>
      <c r="W294" s="1">
        <f t="shared" si="181"/>
        <v>0</v>
      </c>
      <c r="X294" s="1">
        <f t="shared" si="182"/>
        <v>1</v>
      </c>
      <c r="Y294" s="1">
        <f t="shared" si="183"/>
        <v>0</v>
      </c>
      <c r="Z294" s="1">
        <f t="shared" si="184"/>
        <v>0</v>
      </c>
      <c r="AA294" s="1">
        <f t="shared" si="185"/>
        <v>0</v>
      </c>
      <c r="AB294" s="1">
        <f t="shared" si="186"/>
        <v>0</v>
      </c>
      <c r="AD294" s="1">
        <f t="shared" si="187"/>
        <v>0</v>
      </c>
      <c r="AE294" s="1">
        <f t="shared" si="188"/>
        <v>1</v>
      </c>
      <c r="AF294" s="1">
        <f t="shared" si="173"/>
        <v>0</v>
      </c>
      <c r="AG294" s="1">
        <f t="shared" si="174"/>
        <v>1</v>
      </c>
      <c r="AH294" s="1">
        <f t="shared" si="175"/>
        <v>0</v>
      </c>
      <c r="AI294" s="1">
        <f t="shared" si="176"/>
        <v>1</v>
      </c>
    </row>
    <row r="295" spans="1:35" s="1" customFormat="1" ht="14.25" customHeight="1" x14ac:dyDescent="0.25">
      <c r="A295" s="44">
        <v>0</v>
      </c>
      <c r="B295" s="44">
        <v>2</v>
      </c>
      <c r="C295" s="44">
        <v>1</v>
      </c>
      <c r="D295" s="45" t="s">
        <v>917</v>
      </c>
      <c r="E295" s="45" t="s">
        <v>1333</v>
      </c>
      <c r="F295" s="45" t="s">
        <v>789</v>
      </c>
      <c r="G295" s="45" t="s">
        <v>257</v>
      </c>
      <c r="H295" s="45" t="s">
        <v>354</v>
      </c>
      <c r="I295" s="44" t="s">
        <v>944</v>
      </c>
      <c r="J295" s="44">
        <v>99</v>
      </c>
      <c r="K295" s="46" t="s">
        <v>712</v>
      </c>
      <c r="L295" s="46" t="s">
        <v>713</v>
      </c>
      <c r="M295" s="47" t="s">
        <v>714</v>
      </c>
      <c r="N295" s="47" t="s">
        <v>1734</v>
      </c>
      <c r="O295" s="48"/>
      <c r="P295" s="48"/>
      <c r="Q295" s="45"/>
      <c r="S295" s="1">
        <f t="shared" si="177"/>
        <v>0</v>
      </c>
      <c r="T295" s="1">
        <f t="shared" si="178"/>
        <v>0</v>
      </c>
      <c r="U295" s="1">
        <f t="shared" si="179"/>
        <v>0</v>
      </c>
      <c r="V295" s="1">
        <f t="shared" si="180"/>
        <v>0</v>
      </c>
      <c r="W295" s="1">
        <f t="shared" si="181"/>
        <v>0</v>
      </c>
      <c r="X295" s="1">
        <f t="shared" si="182"/>
        <v>0</v>
      </c>
      <c r="Y295" s="1">
        <f t="shared" si="183"/>
        <v>0</v>
      </c>
      <c r="Z295" s="1">
        <f t="shared" si="184"/>
        <v>0</v>
      </c>
      <c r="AA295" s="1">
        <f t="shared" si="185"/>
        <v>0</v>
      </c>
      <c r="AB295" s="1">
        <f t="shared" si="186"/>
        <v>0</v>
      </c>
      <c r="AD295" s="1">
        <f t="shared" si="187"/>
        <v>0</v>
      </c>
      <c r="AE295" s="1">
        <f t="shared" si="188"/>
        <v>0</v>
      </c>
      <c r="AF295" s="1">
        <f t="shared" si="173"/>
        <v>0</v>
      </c>
      <c r="AG295" s="1">
        <f t="shared" si="174"/>
        <v>0</v>
      </c>
      <c r="AH295" s="1">
        <f t="shared" si="175"/>
        <v>0</v>
      </c>
      <c r="AI295" s="1">
        <f t="shared" si="176"/>
        <v>1</v>
      </c>
    </row>
    <row r="296" spans="1:35" s="1" customFormat="1" ht="14.25" customHeight="1" x14ac:dyDescent="0.25">
      <c r="A296" s="37">
        <v>0</v>
      </c>
      <c r="B296" s="37">
        <v>2</v>
      </c>
      <c r="C296" s="37">
        <v>1</v>
      </c>
      <c r="D296" s="36" t="s">
        <v>1771</v>
      </c>
      <c r="E296" s="36" t="s">
        <v>1772</v>
      </c>
      <c r="F296" s="36" t="s">
        <v>1773</v>
      </c>
      <c r="G296" s="36" t="s">
        <v>180</v>
      </c>
      <c r="H296" s="36" t="s">
        <v>354</v>
      </c>
      <c r="I296" s="37" t="s">
        <v>1774</v>
      </c>
      <c r="J296" s="37"/>
      <c r="K296" s="56" t="s">
        <v>703</v>
      </c>
      <c r="L296" s="33">
        <v>4</v>
      </c>
      <c r="M296" s="34" t="s">
        <v>714</v>
      </c>
      <c r="N296" s="34" t="s">
        <v>1743</v>
      </c>
      <c r="O296" s="35">
        <v>1</v>
      </c>
      <c r="P296" s="35"/>
      <c r="Q296" s="36"/>
      <c r="S296" s="1">
        <f t="shared" si="177"/>
        <v>0</v>
      </c>
      <c r="T296" s="1">
        <f t="shared" si="178"/>
        <v>0</v>
      </c>
      <c r="U296" s="1">
        <f t="shared" si="179"/>
        <v>0</v>
      </c>
      <c r="V296" s="1">
        <f t="shared" si="180"/>
        <v>0</v>
      </c>
      <c r="W296" s="1">
        <f t="shared" si="181"/>
        <v>0</v>
      </c>
      <c r="X296" s="1">
        <f t="shared" si="182"/>
        <v>0</v>
      </c>
      <c r="Y296" s="1">
        <f t="shared" si="183"/>
        <v>0</v>
      </c>
      <c r="Z296" s="1">
        <f t="shared" si="184"/>
        <v>0</v>
      </c>
      <c r="AA296" s="1">
        <f t="shared" si="185"/>
        <v>0</v>
      </c>
      <c r="AB296" s="1">
        <f t="shared" si="186"/>
        <v>0</v>
      </c>
      <c r="AD296" s="1">
        <f t="shared" si="187"/>
        <v>0</v>
      </c>
      <c r="AE296" s="1">
        <f t="shared" si="188"/>
        <v>1</v>
      </c>
      <c r="AF296" s="1">
        <f t="shared" si="173"/>
        <v>0</v>
      </c>
      <c r="AG296" s="1">
        <f t="shared" si="174"/>
        <v>1</v>
      </c>
      <c r="AH296" s="1">
        <f t="shared" si="175"/>
        <v>0</v>
      </c>
      <c r="AI296" s="1">
        <f t="shared" si="176"/>
        <v>1</v>
      </c>
    </row>
    <row r="297" spans="1:35" s="1" customFormat="1" ht="14.25" customHeight="1" x14ac:dyDescent="0.25">
      <c r="A297" s="31">
        <v>0</v>
      </c>
      <c r="B297" s="31">
        <v>2</v>
      </c>
      <c r="C297" s="31">
        <v>1</v>
      </c>
      <c r="D297" s="32" t="s">
        <v>619</v>
      </c>
      <c r="E297" s="32" t="s">
        <v>620</v>
      </c>
      <c r="F297" s="32" t="s">
        <v>621</v>
      </c>
      <c r="G297" s="32" t="s">
        <v>622</v>
      </c>
      <c r="H297" s="32" t="s">
        <v>354</v>
      </c>
      <c r="I297" s="31" t="s">
        <v>623</v>
      </c>
      <c r="J297" s="31">
        <v>99</v>
      </c>
      <c r="K297" s="33" t="s">
        <v>712</v>
      </c>
      <c r="L297" s="33" t="s">
        <v>713</v>
      </c>
      <c r="M297" s="34" t="s">
        <v>714</v>
      </c>
      <c r="N297" s="34" t="s">
        <v>1756</v>
      </c>
      <c r="O297" s="35">
        <v>1</v>
      </c>
      <c r="P297" s="35"/>
      <c r="Q297" s="32"/>
      <c r="S297" s="1">
        <f t="shared" si="177"/>
        <v>0</v>
      </c>
      <c r="T297" s="1">
        <f t="shared" si="178"/>
        <v>0</v>
      </c>
      <c r="U297" s="1">
        <f t="shared" si="179"/>
        <v>0</v>
      </c>
      <c r="V297" s="1">
        <f t="shared" si="180"/>
        <v>0</v>
      </c>
      <c r="W297" s="1">
        <f t="shared" si="181"/>
        <v>0</v>
      </c>
      <c r="X297" s="1">
        <f t="shared" si="182"/>
        <v>0</v>
      </c>
      <c r="Y297" s="1">
        <f t="shared" si="183"/>
        <v>0</v>
      </c>
      <c r="Z297" s="1">
        <f t="shared" si="184"/>
        <v>0</v>
      </c>
      <c r="AA297" s="1">
        <f t="shared" si="185"/>
        <v>0</v>
      </c>
      <c r="AB297" s="1">
        <f t="shared" si="186"/>
        <v>0</v>
      </c>
      <c r="AD297" s="1">
        <f t="shared" si="187"/>
        <v>0</v>
      </c>
      <c r="AE297" s="1">
        <f t="shared" si="188"/>
        <v>1</v>
      </c>
      <c r="AF297" s="1">
        <f t="shared" si="173"/>
        <v>0</v>
      </c>
      <c r="AG297" s="1">
        <f t="shared" si="174"/>
        <v>1</v>
      </c>
      <c r="AH297" s="1">
        <f t="shared" si="175"/>
        <v>0</v>
      </c>
      <c r="AI297" s="1">
        <f t="shared" si="176"/>
        <v>1</v>
      </c>
    </row>
    <row r="298" spans="1:35" s="1" customFormat="1" ht="14.25" customHeight="1" x14ac:dyDescent="0.25">
      <c r="A298" s="44">
        <v>0</v>
      </c>
      <c r="B298" s="44">
        <v>2</v>
      </c>
      <c r="C298" s="44">
        <v>1</v>
      </c>
      <c r="D298" s="45" t="s">
        <v>1080</v>
      </c>
      <c r="E298" s="45" t="s">
        <v>1334</v>
      </c>
      <c r="F298" s="45" t="s">
        <v>1663</v>
      </c>
      <c r="G298" s="45" t="s">
        <v>190</v>
      </c>
      <c r="H298" s="45" t="s">
        <v>354</v>
      </c>
      <c r="I298" s="64" t="s">
        <v>1861</v>
      </c>
      <c r="J298" s="44">
        <v>99</v>
      </c>
      <c r="K298" s="46" t="s">
        <v>712</v>
      </c>
      <c r="L298" s="46" t="s">
        <v>713</v>
      </c>
      <c r="M298" s="47" t="s">
        <v>714</v>
      </c>
      <c r="N298" s="47" t="s">
        <v>1735</v>
      </c>
      <c r="O298" s="48"/>
      <c r="P298" s="48"/>
      <c r="Q298" s="45"/>
      <c r="S298" s="1">
        <f t="shared" si="177"/>
        <v>0</v>
      </c>
      <c r="T298" s="1">
        <f t="shared" si="178"/>
        <v>0</v>
      </c>
      <c r="U298" s="1">
        <f t="shared" si="179"/>
        <v>0</v>
      </c>
      <c r="V298" s="1">
        <f t="shared" si="180"/>
        <v>0</v>
      </c>
      <c r="W298" s="1">
        <f t="shared" si="181"/>
        <v>0</v>
      </c>
      <c r="X298" s="1">
        <f t="shared" si="182"/>
        <v>0</v>
      </c>
      <c r="Y298" s="1">
        <f t="shared" si="183"/>
        <v>0</v>
      </c>
      <c r="Z298" s="1">
        <f t="shared" si="184"/>
        <v>0</v>
      </c>
      <c r="AA298" s="1">
        <f t="shared" si="185"/>
        <v>0</v>
      </c>
      <c r="AB298" s="1">
        <f t="shared" si="186"/>
        <v>0</v>
      </c>
      <c r="AD298" s="1">
        <f t="shared" si="187"/>
        <v>0</v>
      </c>
      <c r="AE298" s="1">
        <f t="shared" si="188"/>
        <v>0</v>
      </c>
      <c r="AF298" s="1">
        <f t="shared" si="173"/>
        <v>0</v>
      </c>
      <c r="AG298" s="1">
        <f t="shared" si="174"/>
        <v>0</v>
      </c>
      <c r="AH298" s="1">
        <f t="shared" si="175"/>
        <v>0</v>
      </c>
      <c r="AI298" s="1">
        <f t="shared" si="176"/>
        <v>1</v>
      </c>
    </row>
    <row r="299" spans="1:35" s="1" customFormat="1" ht="14.25" customHeight="1" x14ac:dyDescent="0.25">
      <c r="A299" s="15">
        <v>0</v>
      </c>
      <c r="B299" s="15">
        <v>2</v>
      </c>
      <c r="C299" s="15">
        <v>1</v>
      </c>
      <c r="D299" s="16" t="s">
        <v>651</v>
      </c>
      <c r="E299" s="16" t="s">
        <v>36</v>
      </c>
      <c r="F299" s="16" t="s">
        <v>667</v>
      </c>
      <c r="G299" s="16" t="s">
        <v>201</v>
      </c>
      <c r="H299" s="16" t="s">
        <v>354</v>
      </c>
      <c r="I299" s="15" t="s">
        <v>1005</v>
      </c>
      <c r="J299" s="15">
        <v>99</v>
      </c>
      <c r="K299" s="10" t="s">
        <v>703</v>
      </c>
      <c r="L299" s="10">
        <v>4</v>
      </c>
      <c r="M299" s="19" t="s">
        <v>714</v>
      </c>
      <c r="N299" s="17"/>
      <c r="Q299" s="16"/>
      <c r="S299" s="1">
        <f t="shared" si="177"/>
        <v>0</v>
      </c>
      <c r="T299" s="1">
        <f t="shared" si="178"/>
        <v>0</v>
      </c>
      <c r="U299" s="1">
        <f t="shared" si="179"/>
        <v>0</v>
      </c>
      <c r="V299" s="1">
        <f t="shared" si="180"/>
        <v>0</v>
      </c>
      <c r="W299" s="1">
        <f t="shared" si="181"/>
        <v>0</v>
      </c>
      <c r="X299" s="1">
        <f t="shared" si="182"/>
        <v>0</v>
      </c>
      <c r="Y299" s="1">
        <f t="shared" si="183"/>
        <v>0</v>
      </c>
      <c r="Z299" s="1">
        <f t="shared" si="184"/>
        <v>0</v>
      </c>
      <c r="AA299" s="1">
        <f t="shared" si="185"/>
        <v>0</v>
      </c>
      <c r="AB299" s="1">
        <f t="shared" si="186"/>
        <v>0</v>
      </c>
      <c r="AD299" s="1">
        <f t="shared" si="187"/>
        <v>0</v>
      </c>
      <c r="AE299" s="1">
        <f t="shared" si="188"/>
        <v>0</v>
      </c>
      <c r="AF299" s="1">
        <f t="shared" si="173"/>
        <v>0</v>
      </c>
      <c r="AG299" s="1">
        <f t="shared" si="174"/>
        <v>0</v>
      </c>
      <c r="AH299" s="1">
        <f t="shared" si="175"/>
        <v>0</v>
      </c>
      <c r="AI299" s="1">
        <f t="shared" si="176"/>
        <v>1</v>
      </c>
    </row>
    <row r="300" spans="1:35" s="1" customFormat="1" ht="14.25" customHeight="1" x14ac:dyDescent="0.25">
      <c r="A300" s="44">
        <v>0</v>
      </c>
      <c r="B300" s="44">
        <v>2</v>
      </c>
      <c r="C300" s="44">
        <v>1</v>
      </c>
      <c r="D300" s="45" t="s">
        <v>1264</v>
      </c>
      <c r="E300" s="45" t="s">
        <v>1265</v>
      </c>
      <c r="F300" s="45" t="s">
        <v>1266</v>
      </c>
      <c r="G300" s="45" t="s">
        <v>1165</v>
      </c>
      <c r="H300" s="45" t="s">
        <v>354</v>
      </c>
      <c r="I300" s="44" t="s">
        <v>1267</v>
      </c>
      <c r="J300" s="44">
        <v>11</v>
      </c>
      <c r="K300" s="46" t="s">
        <v>703</v>
      </c>
      <c r="L300" s="46">
        <v>6</v>
      </c>
      <c r="M300" s="47" t="s">
        <v>1728</v>
      </c>
      <c r="N300" s="47" t="s">
        <v>1809</v>
      </c>
      <c r="O300" s="48"/>
      <c r="P300" s="48"/>
      <c r="Q300" s="45"/>
      <c r="S300" s="1">
        <f t="shared" si="177"/>
        <v>0</v>
      </c>
      <c r="T300" s="1">
        <f t="shared" si="178"/>
        <v>0</v>
      </c>
      <c r="U300" s="1">
        <f t="shared" si="179"/>
        <v>0</v>
      </c>
      <c r="V300" s="1">
        <f t="shared" si="180"/>
        <v>0</v>
      </c>
      <c r="W300" s="1">
        <f t="shared" si="181"/>
        <v>0</v>
      </c>
      <c r="X300" s="1">
        <f t="shared" si="182"/>
        <v>0</v>
      </c>
      <c r="Y300" s="1">
        <f t="shared" si="183"/>
        <v>0</v>
      </c>
      <c r="Z300" s="1">
        <f t="shared" si="184"/>
        <v>0</v>
      </c>
      <c r="AA300" s="1">
        <f t="shared" si="185"/>
        <v>0</v>
      </c>
      <c r="AB300" s="1">
        <f t="shared" si="186"/>
        <v>0</v>
      </c>
      <c r="AD300" s="1">
        <f t="shared" si="187"/>
        <v>0</v>
      </c>
      <c r="AE300" s="1">
        <f t="shared" si="188"/>
        <v>0</v>
      </c>
      <c r="AF300" s="1">
        <f t="shared" si="173"/>
        <v>0</v>
      </c>
      <c r="AG300" s="1">
        <f t="shared" si="174"/>
        <v>0</v>
      </c>
      <c r="AH300" s="1">
        <f t="shared" si="175"/>
        <v>0</v>
      </c>
      <c r="AI300" s="1">
        <f t="shared" si="176"/>
        <v>1</v>
      </c>
    </row>
    <row r="301" spans="1:35" s="1" customFormat="1" ht="14.25" customHeight="1" x14ac:dyDescent="0.25">
      <c r="A301" s="31">
        <v>0</v>
      </c>
      <c r="B301" s="31">
        <v>2</v>
      </c>
      <c r="C301" s="31">
        <v>1</v>
      </c>
      <c r="D301" s="32" t="s">
        <v>1123</v>
      </c>
      <c r="E301" s="32" t="s">
        <v>1314</v>
      </c>
      <c r="F301" s="32" t="s">
        <v>1121</v>
      </c>
      <c r="G301" s="32" t="s">
        <v>230</v>
      </c>
      <c r="H301" s="32" t="s">
        <v>354</v>
      </c>
      <c r="I301" s="31" t="s">
        <v>1122</v>
      </c>
      <c r="J301" s="31">
        <v>7</v>
      </c>
      <c r="K301" s="33" t="s">
        <v>713</v>
      </c>
      <c r="L301" s="33" t="s">
        <v>1709</v>
      </c>
      <c r="M301" s="34" t="s">
        <v>714</v>
      </c>
      <c r="N301" s="34" t="s">
        <v>1756</v>
      </c>
      <c r="O301" s="35">
        <v>1</v>
      </c>
      <c r="P301" s="35"/>
      <c r="Q301" s="32"/>
      <c r="S301" s="1">
        <f t="shared" si="177"/>
        <v>0</v>
      </c>
      <c r="T301" s="1">
        <f t="shared" si="178"/>
        <v>0</v>
      </c>
      <c r="U301" s="1">
        <f t="shared" si="179"/>
        <v>0</v>
      </c>
      <c r="V301" s="1">
        <f t="shared" si="180"/>
        <v>0</v>
      </c>
      <c r="W301" s="1">
        <f t="shared" si="181"/>
        <v>0</v>
      </c>
      <c r="X301" s="1">
        <f t="shared" si="182"/>
        <v>0</v>
      </c>
      <c r="Y301" s="1">
        <f t="shared" si="183"/>
        <v>1</v>
      </c>
      <c r="Z301" s="1">
        <f t="shared" si="184"/>
        <v>0</v>
      </c>
      <c r="AA301" s="1">
        <f t="shared" si="185"/>
        <v>0</v>
      </c>
      <c r="AB301" s="1">
        <f t="shared" si="186"/>
        <v>0</v>
      </c>
      <c r="AD301" s="1">
        <f t="shared" si="187"/>
        <v>0</v>
      </c>
      <c r="AE301" s="1">
        <f t="shared" si="188"/>
        <v>1</v>
      </c>
      <c r="AF301" s="1">
        <f t="shared" si="173"/>
        <v>0</v>
      </c>
      <c r="AG301" s="1">
        <f t="shared" si="174"/>
        <v>1</v>
      </c>
      <c r="AH301" s="1">
        <f t="shared" si="175"/>
        <v>0</v>
      </c>
      <c r="AI301" s="1">
        <f t="shared" si="176"/>
        <v>1</v>
      </c>
    </row>
    <row r="302" spans="1:35" s="1" customFormat="1" ht="14.25" customHeight="1" x14ac:dyDescent="0.25">
      <c r="A302" s="31">
        <v>0</v>
      </c>
      <c r="B302" s="31">
        <v>2</v>
      </c>
      <c r="C302" s="31">
        <v>1</v>
      </c>
      <c r="D302" s="32" t="s">
        <v>1008</v>
      </c>
      <c r="E302" s="32" t="s">
        <v>1336</v>
      </c>
      <c r="F302" s="32" t="s">
        <v>1009</v>
      </c>
      <c r="G302" s="32" t="s">
        <v>1100</v>
      </c>
      <c r="H302" s="32" t="s">
        <v>354</v>
      </c>
      <c r="I302" s="31" t="s">
        <v>408</v>
      </c>
      <c r="J302" s="31">
        <v>99</v>
      </c>
      <c r="K302" s="33" t="s">
        <v>713</v>
      </c>
      <c r="L302" s="33" t="s">
        <v>713</v>
      </c>
      <c r="M302" s="34" t="s">
        <v>714</v>
      </c>
      <c r="N302" s="34" t="s">
        <v>1743</v>
      </c>
      <c r="O302" s="35">
        <v>1</v>
      </c>
      <c r="P302" s="35"/>
      <c r="Q302" s="32"/>
      <c r="S302" s="1">
        <f t="shared" si="177"/>
        <v>0</v>
      </c>
      <c r="T302" s="1">
        <f t="shared" si="178"/>
        <v>0</v>
      </c>
      <c r="U302" s="1">
        <f t="shared" si="179"/>
        <v>0</v>
      </c>
      <c r="V302" s="1">
        <f t="shared" si="180"/>
        <v>0</v>
      </c>
      <c r="W302" s="1">
        <f t="shared" si="181"/>
        <v>0</v>
      </c>
      <c r="X302" s="1">
        <f t="shared" si="182"/>
        <v>0</v>
      </c>
      <c r="Y302" s="1">
        <f t="shared" si="183"/>
        <v>0</v>
      </c>
      <c r="Z302" s="1">
        <f t="shared" si="184"/>
        <v>0</v>
      </c>
      <c r="AA302" s="1">
        <f t="shared" si="185"/>
        <v>0</v>
      </c>
      <c r="AB302" s="1">
        <f t="shared" si="186"/>
        <v>0</v>
      </c>
      <c r="AD302" s="1">
        <f t="shared" si="187"/>
        <v>0</v>
      </c>
      <c r="AE302" s="1">
        <f t="shared" si="188"/>
        <v>1</v>
      </c>
      <c r="AF302" s="1">
        <f t="shared" si="173"/>
        <v>0</v>
      </c>
      <c r="AG302" s="1">
        <f t="shared" si="174"/>
        <v>1</v>
      </c>
      <c r="AH302" s="1">
        <f t="shared" si="175"/>
        <v>0</v>
      </c>
      <c r="AI302" s="1">
        <f t="shared" si="176"/>
        <v>1</v>
      </c>
    </row>
    <row r="303" spans="1:35" s="1" customFormat="1" ht="14.25" customHeight="1" x14ac:dyDescent="0.25">
      <c r="A303" s="49">
        <v>0</v>
      </c>
      <c r="B303" s="49">
        <v>2</v>
      </c>
      <c r="C303" s="49">
        <v>1</v>
      </c>
      <c r="D303" s="50" t="s">
        <v>1130</v>
      </c>
      <c r="E303" s="50" t="s">
        <v>561</v>
      </c>
      <c r="F303" s="50" t="s">
        <v>1354</v>
      </c>
      <c r="G303" s="50" t="s">
        <v>265</v>
      </c>
      <c r="H303" s="50" t="s">
        <v>354</v>
      </c>
      <c r="I303" s="49" t="s">
        <v>1131</v>
      </c>
      <c r="J303" s="49">
        <v>8</v>
      </c>
      <c r="K303" s="51" t="s">
        <v>712</v>
      </c>
      <c r="L303" s="51" t="s">
        <v>1709</v>
      </c>
      <c r="M303" s="52" t="s">
        <v>714</v>
      </c>
      <c r="N303" s="52" t="s">
        <v>1748</v>
      </c>
      <c r="O303" s="53">
        <v>1</v>
      </c>
      <c r="P303" s="53"/>
      <c r="Q303" s="50"/>
      <c r="S303" s="1">
        <f t="shared" si="177"/>
        <v>0</v>
      </c>
      <c r="T303" s="1">
        <f t="shared" si="178"/>
        <v>0</v>
      </c>
      <c r="U303" s="1">
        <f t="shared" si="179"/>
        <v>0</v>
      </c>
      <c r="V303" s="1">
        <f t="shared" si="180"/>
        <v>0</v>
      </c>
      <c r="W303" s="1">
        <f t="shared" si="181"/>
        <v>0</v>
      </c>
      <c r="X303" s="1">
        <f t="shared" si="182"/>
        <v>0</v>
      </c>
      <c r="Y303" s="1">
        <f t="shared" si="183"/>
        <v>0</v>
      </c>
      <c r="Z303" s="1">
        <f t="shared" si="184"/>
        <v>1</v>
      </c>
      <c r="AA303" s="1">
        <f t="shared" si="185"/>
        <v>0</v>
      </c>
      <c r="AB303" s="1">
        <f t="shared" si="186"/>
        <v>0</v>
      </c>
      <c r="AD303" s="1">
        <f t="shared" si="187"/>
        <v>0</v>
      </c>
      <c r="AE303" s="1">
        <f t="shared" si="188"/>
        <v>1</v>
      </c>
      <c r="AF303" s="1">
        <f t="shared" si="173"/>
        <v>0</v>
      </c>
      <c r="AG303" s="1">
        <f t="shared" si="174"/>
        <v>1</v>
      </c>
      <c r="AH303" s="1">
        <f t="shared" si="175"/>
        <v>0</v>
      </c>
      <c r="AI303" s="1">
        <f t="shared" si="176"/>
        <v>1</v>
      </c>
    </row>
    <row r="304" spans="1:35" s="1" customFormat="1" ht="14.25" customHeight="1" x14ac:dyDescent="0.25">
      <c r="A304" s="31">
        <v>0</v>
      </c>
      <c r="B304" s="31">
        <v>2</v>
      </c>
      <c r="C304" s="31">
        <v>1</v>
      </c>
      <c r="D304" s="32" t="s">
        <v>1286</v>
      </c>
      <c r="E304" s="32" t="s">
        <v>1334</v>
      </c>
      <c r="F304" s="32" t="s">
        <v>1283</v>
      </c>
      <c r="G304" s="32" t="s">
        <v>1284</v>
      </c>
      <c r="H304" s="32" t="s">
        <v>354</v>
      </c>
      <c r="I304" s="31" t="s">
        <v>1285</v>
      </c>
      <c r="J304" s="31">
        <v>1</v>
      </c>
      <c r="K304" s="33" t="s">
        <v>712</v>
      </c>
      <c r="L304" s="33" t="s">
        <v>713</v>
      </c>
      <c r="M304" s="34" t="s">
        <v>714</v>
      </c>
      <c r="N304" s="34" t="s">
        <v>1761</v>
      </c>
      <c r="O304" s="35">
        <v>1</v>
      </c>
      <c r="P304" s="35"/>
      <c r="Q304" s="32" t="s">
        <v>1902</v>
      </c>
      <c r="S304" s="1">
        <f t="shared" si="177"/>
        <v>1</v>
      </c>
      <c r="T304" s="1">
        <f t="shared" si="178"/>
        <v>0</v>
      </c>
      <c r="U304" s="1">
        <f t="shared" si="179"/>
        <v>0</v>
      </c>
      <c r="V304" s="1">
        <f t="shared" si="180"/>
        <v>0</v>
      </c>
      <c r="W304" s="1">
        <f t="shared" si="181"/>
        <v>0</v>
      </c>
      <c r="X304" s="1">
        <f t="shared" si="182"/>
        <v>0</v>
      </c>
      <c r="Y304" s="1">
        <f t="shared" si="183"/>
        <v>0</v>
      </c>
      <c r="Z304" s="1">
        <f t="shared" si="184"/>
        <v>0</v>
      </c>
      <c r="AA304" s="1">
        <f t="shared" si="185"/>
        <v>0</v>
      </c>
      <c r="AB304" s="1">
        <f t="shared" si="186"/>
        <v>0</v>
      </c>
      <c r="AD304" s="1">
        <f t="shared" si="187"/>
        <v>0</v>
      </c>
      <c r="AE304" s="1">
        <f t="shared" si="188"/>
        <v>1</v>
      </c>
      <c r="AF304" s="1">
        <f t="shared" si="173"/>
        <v>0</v>
      </c>
      <c r="AG304" s="1">
        <f t="shared" si="174"/>
        <v>1</v>
      </c>
      <c r="AH304" s="1">
        <f t="shared" si="175"/>
        <v>0</v>
      </c>
      <c r="AI304" s="1">
        <f t="shared" si="176"/>
        <v>1</v>
      </c>
    </row>
    <row r="305" spans="1:35" s="1" customFormat="1" ht="14.25" customHeight="1" x14ac:dyDescent="0.25">
      <c r="A305" s="44">
        <v>0</v>
      </c>
      <c r="B305" s="44">
        <v>2</v>
      </c>
      <c r="C305" s="44">
        <v>1</v>
      </c>
      <c r="D305" s="45" t="s">
        <v>52</v>
      </c>
      <c r="E305" s="45" t="s">
        <v>32</v>
      </c>
      <c r="F305" s="45" t="s">
        <v>206</v>
      </c>
      <c r="G305" s="45" t="s">
        <v>207</v>
      </c>
      <c r="H305" s="45" t="s">
        <v>354</v>
      </c>
      <c r="I305" s="44" t="s">
        <v>391</v>
      </c>
      <c r="J305" s="44">
        <v>99</v>
      </c>
      <c r="K305" s="46" t="s">
        <v>712</v>
      </c>
      <c r="L305" s="46" t="s">
        <v>713</v>
      </c>
      <c r="M305" s="47" t="s">
        <v>714</v>
      </c>
      <c r="N305" s="47" t="s">
        <v>1747</v>
      </c>
      <c r="O305" s="48"/>
      <c r="P305" s="48"/>
      <c r="Q305" s="45"/>
      <c r="S305" s="1">
        <f t="shared" si="177"/>
        <v>0</v>
      </c>
      <c r="T305" s="1">
        <f t="shared" si="178"/>
        <v>0</v>
      </c>
      <c r="U305" s="1">
        <f t="shared" si="179"/>
        <v>0</v>
      </c>
      <c r="V305" s="1">
        <f t="shared" si="180"/>
        <v>0</v>
      </c>
      <c r="W305" s="1">
        <f t="shared" si="181"/>
        <v>0</v>
      </c>
      <c r="X305" s="1">
        <f t="shared" si="182"/>
        <v>0</v>
      </c>
      <c r="Y305" s="1">
        <f t="shared" si="183"/>
        <v>0</v>
      </c>
      <c r="Z305" s="1">
        <f t="shared" si="184"/>
        <v>0</v>
      </c>
      <c r="AA305" s="1">
        <f t="shared" si="185"/>
        <v>0</v>
      </c>
      <c r="AB305" s="1">
        <f t="shared" si="186"/>
        <v>0</v>
      </c>
      <c r="AD305" s="1">
        <f t="shared" si="187"/>
        <v>0</v>
      </c>
      <c r="AE305" s="1">
        <f t="shared" si="188"/>
        <v>0</v>
      </c>
      <c r="AF305" s="1">
        <f t="shared" si="173"/>
        <v>0</v>
      </c>
      <c r="AG305" s="1">
        <f t="shared" si="174"/>
        <v>0</v>
      </c>
      <c r="AH305" s="1">
        <f t="shared" si="175"/>
        <v>0</v>
      </c>
      <c r="AI305" s="1">
        <f t="shared" si="176"/>
        <v>1</v>
      </c>
    </row>
    <row r="306" spans="1:35" s="1" customFormat="1" ht="14.25" customHeight="1" x14ac:dyDescent="0.25">
      <c r="A306" s="44">
        <v>0</v>
      </c>
      <c r="B306" s="44">
        <v>2</v>
      </c>
      <c r="C306" s="44">
        <v>1</v>
      </c>
      <c r="D306" s="45" t="s">
        <v>73</v>
      </c>
      <c r="E306" s="45" t="s">
        <v>561</v>
      </c>
      <c r="F306" s="45" t="s">
        <v>1050</v>
      </c>
      <c r="G306" s="45" t="s">
        <v>190</v>
      </c>
      <c r="H306" s="45" t="s">
        <v>354</v>
      </c>
      <c r="I306" s="44" t="s">
        <v>421</v>
      </c>
      <c r="J306" s="44">
        <v>99</v>
      </c>
      <c r="K306" s="46" t="s">
        <v>954</v>
      </c>
      <c r="L306" s="46" t="s">
        <v>713</v>
      </c>
      <c r="M306" s="47" t="s">
        <v>714</v>
      </c>
      <c r="N306" s="47" t="s">
        <v>1735</v>
      </c>
      <c r="O306" s="48"/>
      <c r="P306" s="48"/>
      <c r="Q306" s="45"/>
      <c r="S306" s="1">
        <f t="shared" si="177"/>
        <v>0</v>
      </c>
      <c r="T306" s="1">
        <f t="shared" si="178"/>
        <v>0</v>
      </c>
      <c r="U306" s="1">
        <f t="shared" si="179"/>
        <v>0</v>
      </c>
      <c r="V306" s="1">
        <f t="shared" si="180"/>
        <v>0</v>
      </c>
      <c r="W306" s="1">
        <f t="shared" si="181"/>
        <v>0</v>
      </c>
      <c r="X306" s="1">
        <f t="shared" si="182"/>
        <v>0</v>
      </c>
      <c r="Y306" s="1">
        <f t="shared" si="183"/>
        <v>0</v>
      </c>
      <c r="Z306" s="1">
        <f t="shared" si="184"/>
        <v>0</v>
      </c>
      <c r="AA306" s="1">
        <f t="shared" si="185"/>
        <v>0</v>
      </c>
      <c r="AB306" s="1">
        <f t="shared" si="186"/>
        <v>0</v>
      </c>
      <c r="AD306" s="1">
        <f t="shared" si="187"/>
        <v>0</v>
      </c>
      <c r="AE306" s="1">
        <f t="shared" si="188"/>
        <v>0</v>
      </c>
      <c r="AF306" s="1">
        <f t="shared" si="173"/>
        <v>0</v>
      </c>
      <c r="AG306" s="1">
        <f t="shared" si="174"/>
        <v>0</v>
      </c>
      <c r="AH306" s="1">
        <f t="shared" si="175"/>
        <v>0</v>
      </c>
      <c r="AI306" s="1">
        <f t="shared" si="176"/>
        <v>1</v>
      </c>
    </row>
    <row r="307" spans="1:35" s="1" customFormat="1" ht="14.25" customHeight="1" x14ac:dyDescent="0.25">
      <c r="A307" s="31">
        <v>0</v>
      </c>
      <c r="B307" s="31">
        <v>2</v>
      </c>
      <c r="C307" s="31">
        <v>1</v>
      </c>
      <c r="D307" s="32" t="s">
        <v>47</v>
      </c>
      <c r="E307" s="32" t="s">
        <v>32</v>
      </c>
      <c r="F307" s="32" t="s">
        <v>187</v>
      </c>
      <c r="G307" s="32" t="s">
        <v>180</v>
      </c>
      <c r="H307" s="32" t="s">
        <v>354</v>
      </c>
      <c r="I307" s="31" t="s">
        <v>383</v>
      </c>
      <c r="J307" s="31">
        <v>10</v>
      </c>
      <c r="K307" s="33" t="s">
        <v>955</v>
      </c>
      <c r="L307" s="33" t="s">
        <v>713</v>
      </c>
      <c r="M307" s="34" t="s">
        <v>714</v>
      </c>
      <c r="N307" s="34" t="s">
        <v>1743</v>
      </c>
      <c r="O307" s="35">
        <v>1</v>
      </c>
      <c r="P307" s="35"/>
      <c r="Q307" s="32"/>
      <c r="S307" s="1">
        <f t="shared" si="177"/>
        <v>0</v>
      </c>
      <c r="T307" s="1">
        <f t="shared" si="178"/>
        <v>0</v>
      </c>
      <c r="U307" s="1">
        <f t="shared" si="179"/>
        <v>0</v>
      </c>
      <c r="V307" s="1">
        <f t="shared" si="180"/>
        <v>0</v>
      </c>
      <c r="W307" s="1">
        <f t="shared" si="181"/>
        <v>0</v>
      </c>
      <c r="X307" s="1">
        <f t="shared" si="182"/>
        <v>0</v>
      </c>
      <c r="Y307" s="1">
        <f t="shared" si="183"/>
        <v>0</v>
      </c>
      <c r="Z307" s="1">
        <f t="shared" si="184"/>
        <v>0</v>
      </c>
      <c r="AA307" s="1">
        <f t="shared" si="185"/>
        <v>0</v>
      </c>
      <c r="AB307" s="1">
        <f t="shared" si="186"/>
        <v>1</v>
      </c>
      <c r="AD307" s="1">
        <f t="shared" si="187"/>
        <v>0</v>
      </c>
      <c r="AE307" s="1">
        <f t="shared" si="188"/>
        <v>1</v>
      </c>
      <c r="AF307" s="1">
        <f t="shared" si="173"/>
        <v>0</v>
      </c>
      <c r="AG307" s="1">
        <f t="shared" si="174"/>
        <v>1</v>
      </c>
      <c r="AH307" s="1">
        <f t="shared" si="175"/>
        <v>0</v>
      </c>
      <c r="AI307" s="1">
        <f t="shared" si="176"/>
        <v>1</v>
      </c>
    </row>
    <row r="308" spans="1:35" s="1" customFormat="1" ht="14.25" customHeight="1" x14ac:dyDescent="0.25">
      <c r="A308" s="44">
        <v>0</v>
      </c>
      <c r="B308" s="44">
        <v>2</v>
      </c>
      <c r="C308" s="44">
        <v>1</v>
      </c>
      <c r="D308" s="45" t="s">
        <v>652</v>
      </c>
      <c r="E308" s="45" t="s">
        <v>160</v>
      </c>
      <c r="F308" s="45" t="s">
        <v>188</v>
      </c>
      <c r="G308" s="45" t="s">
        <v>668</v>
      </c>
      <c r="H308" s="45" t="s">
        <v>354</v>
      </c>
      <c r="I308" s="44" t="s">
        <v>384</v>
      </c>
      <c r="J308" s="44">
        <v>99</v>
      </c>
      <c r="K308" s="46" t="s">
        <v>712</v>
      </c>
      <c r="L308" s="46" t="s">
        <v>713</v>
      </c>
      <c r="M308" s="47" t="s">
        <v>714</v>
      </c>
      <c r="N308" s="47" t="s">
        <v>1737</v>
      </c>
      <c r="O308" s="48"/>
      <c r="P308" s="48"/>
      <c r="Q308" s="45"/>
      <c r="S308" s="1">
        <f t="shared" si="177"/>
        <v>0</v>
      </c>
      <c r="T308" s="1">
        <f t="shared" si="178"/>
        <v>0</v>
      </c>
      <c r="U308" s="1">
        <f t="shared" si="179"/>
        <v>0</v>
      </c>
      <c r="V308" s="1">
        <f t="shared" si="180"/>
        <v>0</v>
      </c>
      <c r="W308" s="1">
        <f t="shared" si="181"/>
        <v>0</v>
      </c>
      <c r="X308" s="1">
        <f t="shared" si="182"/>
        <v>0</v>
      </c>
      <c r="Y308" s="1">
        <f t="shared" si="183"/>
        <v>0</v>
      </c>
      <c r="Z308" s="1">
        <f t="shared" si="184"/>
        <v>0</v>
      </c>
      <c r="AA308" s="1">
        <f t="shared" si="185"/>
        <v>0</v>
      </c>
      <c r="AB308" s="1">
        <f t="shared" si="186"/>
        <v>0</v>
      </c>
      <c r="AD308" s="1">
        <f t="shared" si="187"/>
        <v>0</v>
      </c>
      <c r="AE308" s="1">
        <f t="shared" si="188"/>
        <v>0</v>
      </c>
      <c r="AF308" s="1">
        <f t="shared" si="173"/>
        <v>0</v>
      </c>
      <c r="AG308" s="1">
        <f t="shared" si="174"/>
        <v>0</v>
      </c>
      <c r="AH308" s="1">
        <f t="shared" si="175"/>
        <v>0</v>
      </c>
      <c r="AI308" s="1">
        <f t="shared" si="176"/>
        <v>1</v>
      </c>
    </row>
    <row r="309" spans="1:35" s="1" customFormat="1" ht="14.25" customHeight="1" x14ac:dyDescent="0.25">
      <c r="A309" s="38">
        <v>0</v>
      </c>
      <c r="B309" s="38">
        <v>2</v>
      </c>
      <c r="C309" s="38">
        <v>1</v>
      </c>
      <c r="D309" s="39" t="s">
        <v>1304</v>
      </c>
      <c r="E309" s="39" t="s">
        <v>36</v>
      </c>
      <c r="F309" s="39" t="s">
        <v>1305</v>
      </c>
      <c r="G309" s="39" t="s">
        <v>258</v>
      </c>
      <c r="H309" s="39" t="s">
        <v>354</v>
      </c>
      <c r="I309" s="38" t="s">
        <v>1306</v>
      </c>
      <c r="J309" s="38">
        <v>8</v>
      </c>
      <c r="K309" s="40" t="s">
        <v>959</v>
      </c>
      <c r="L309" s="40" t="s">
        <v>713</v>
      </c>
      <c r="M309" s="41" t="s">
        <v>714</v>
      </c>
      <c r="N309" s="42"/>
      <c r="O309" s="43"/>
      <c r="P309" s="43">
        <v>1</v>
      </c>
      <c r="Q309" s="39"/>
      <c r="S309" s="1">
        <f t="shared" si="177"/>
        <v>0</v>
      </c>
      <c r="T309" s="1">
        <f t="shared" si="178"/>
        <v>0</v>
      </c>
      <c r="U309" s="1">
        <f t="shared" si="179"/>
        <v>0</v>
      </c>
      <c r="V309" s="1">
        <f t="shared" si="180"/>
        <v>0</v>
      </c>
      <c r="W309" s="1">
        <f t="shared" si="181"/>
        <v>0</v>
      </c>
      <c r="X309" s="1">
        <f t="shared" si="182"/>
        <v>0</v>
      </c>
      <c r="Y309" s="1">
        <f t="shared" si="183"/>
        <v>0</v>
      </c>
      <c r="Z309" s="1">
        <f t="shared" si="184"/>
        <v>1</v>
      </c>
      <c r="AA309" s="1">
        <f t="shared" si="185"/>
        <v>0</v>
      </c>
      <c r="AB309" s="1">
        <f t="shared" si="186"/>
        <v>0</v>
      </c>
      <c r="AD309" s="1">
        <f t="shared" si="187"/>
        <v>0</v>
      </c>
      <c r="AE309" s="1">
        <f t="shared" si="188"/>
        <v>0</v>
      </c>
      <c r="AF309" s="1">
        <f t="shared" si="173"/>
        <v>0</v>
      </c>
      <c r="AG309" s="1">
        <f t="shared" si="174"/>
        <v>0</v>
      </c>
      <c r="AH309" s="1">
        <f t="shared" si="175"/>
        <v>1</v>
      </c>
      <c r="AI309" s="1">
        <f t="shared" si="176"/>
        <v>0</v>
      </c>
    </row>
    <row r="310" spans="1:35" s="1" customFormat="1" ht="14.25" customHeight="1" x14ac:dyDescent="0.25">
      <c r="A310" s="31">
        <v>0</v>
      </c>
      <c r="B310" s="31">
        <v>2</v>
      </c>
      <c r="C310" s="31">
        <v>1</v>
      </c>
      <c r="D310" s="32" t="s">
        <v>54</v>
      </c>
      <c r="E310" s="32" t="s">
        <v>561</v>
      </c>
      <c r="F310" s="32" t="s">
        <v>212</v>
      </c>
      <c r="G310" s="32" t="s">
        <v>213</v>
      </c>
      <c r="H310" s="32" t="s">
        <v>354</v>
      </c>
      <c r="I310" s="31" t="s">
        <v>393</v>
      </c>
      <c r="J310" s="31">
        <v>1</v>
      </c>
      <c r="K310" s="33" t="s">
        <v>955</v>
      </c>
      <c r="L310" s="33" t="s">
        <v>713</v>
      </c>
      <c r="M310" s="34" t="s">
        <v>39</v>
      </c>
      <c r="N310" s="34" t="s">
        <v>1743</v>
      </c>
      <c r="O310" s="35">
        <v>1</v>
      </c>
      <c r="P310" s="35"/>
      <c r="Q310" s="32"/>
      <c r="S310" s="1">
        <f t="shared" si="177"/>
        <v>1</v>
      </c>
      <c r="T310" s="1">
        <f t="shared" si="178"/>
        <v>0</v>
      </c>
      <c r="U310" s="1">
        <f t="shared" si="179"/>
        <v>0</v>
      </c>
      <c r="V310" s="1">
        <f t="shared" si="180"/>
        <v>0</v>
      </c>
      <c r="W310" s="1">
        <f t="shared" si="181"/>
        <v>0</v>
      </c>
      <c r="X310" s="1">
        <f t="shared" si="182"/>
        <v>0</v>
      </c>
      <c r="Y310" s="1">
        <f t="shared" si="183"/>
        <v>0</v>
      </c>
      <c r="Z310" s="1">
        <f t="shared" si="184"/>
        <v>0</v>
      </c>
      <c r="AA310" s="1">
        <f t="shared" si="185"/>
        <v>0</v>
      </c>
      <c r="AB310" s="1">
        <f t="shared" si="186"/>
        <v>0</v>
      </c>
      <c r="AD310" s="1">
        <f t="shared" si="187"/>
        <v>0</v>
      </c>
      <c r="AE310" s="1">
        <f t="shared" si="188"/>
        <v>1</v>
      </c>
      <c r="AF310" s="1">
        <f t="shared" si="173"/>
        <v>0</v>
      </c>
      <c r="AG310" s="1">
        <f t="shared" si="174"/>
        <v>1</v>
      </c>
      <c r="AH310" s="1">
        <f t="shared" si="175"/>
        <v>0</v>
      </c>
      <c r="AI310" s="1">
        <f t="shared" si="176"/>
        <v>1</v>
      </c>
    </row>
    <row r="311" spans="1:35" s="1" customFormat="1" ht="14.25" customHeight="1" x14ac:dyDescent="0.25">
      <c r="A311" s="44">
        <v>0</v>
      </c>
      <c r="B311" s="44">
        <v>2</v>
      </c>
      <c r="C311" s="44">
        <v>1</v>
      </c>
      <c r="D311" s="45" t="s">
        <v>61</v>
      </c>
      <c r="E311" s="45" t="s">
        <v>543</v>
      </c>
      <c r="F311" s="45" t="s">
        <v>233</v>
      </c>
      <c r="G311" s="45" t="s">
        <v>204</v>
      </c>
      <c r="H311" s="45" t="s">
        <v>354</v>
      </c>
      <c r="I311" s="44" t="s">
        <v>401</v>
      </c>
      <c r="J311" s="44">
        <v>7</v>
      </c>
      <c r="K311" s="46" t="s">
        <v>712</v>
      </c>
      <c r="L311" s="46" t="s">
        <v>713</v>
      </c>
      <c r="M311" s="47" t="s">
        <v>714</v>
      </c>
      <c r="N311" s="47" t="s">
        <v>1738</v>
      </c>
      <c r="O311" s="48"/>
      <c r="P311" s="48"/>
      <c r="Q311" s="45"/>
      <c r="S311" s="1">
        <f t="shared" si="177"/>
        <v>0</v>
      </c>
      <c r="T311" s="1">
        <f t="shared" si="178"/>
        <v>0</v>
      </c>
      <c r="U311" s="1">
        <f t="shared" si="179"/>
        <v>0</v>
      </c>
      <c r="V311" s="1">
        <f t="shared" si="180"/>
        <v>0</v>
      </c>
      <c r="W311" s="1">
        <f t="shared" si="181"/>
        <v>0</v>
      </c>
      <c r="X311" s="1">
        <f t="shared" si="182"/>
        <v>0</v>
      </c>
      <c r="Y311" s="1">
        <f t="shared" si="183"/>
        <v>1</v>
      </c>
      <c r="Z311" s="1">
        <f t="shared" si="184"/>
        <v>0</v>
      </c>
      <c r="AA311" s="1">
        <f t="shared" si="185"/>
        <v>0</v>
      </c>
      <c r="AB311" s="1">
        <f t="shared" si="186"/>
        <v>0</v>
      </c>
      <c r="AD311" s="1">
        <f t="shared" si="187"/>
        <v>0</v>
      </c>
      <c r="AE311" s="1">
        <f t="shared" si="188"/>
        <v>0</v>
      </c>
      <c r="AF311" s="1">
        <f t="shared" si="173"/>
        <v>0</v>
      </c>
      <c r="AG311" s="1">
        <f t="shared" si="174"/>
        <v>0</v>
      </c>
      <c r="AH311" s="1">
        <f t="shared" si="175"/>
        <v>0</v>
      </c>
      <c r="AI311" s="1">
        <f t="shared" si="176"/>
        <v>1</v>
      </c>
    </row>
    <row r="312" spans="1:35" s="1" customFormat="1" ht="14.25" customHeight="1" x14ac:dyDescent="0.25">
      <c r="A312" s="49">
        <v>0</v>
      </c>
      <c r="B312" s="49">
        <v>2</v>
      </c>
      <c r="C312" s="49">
        <v>1</v>
      </c>
      <c r="D312" s="50" t="s">
        <v>1647</v>
      </c>
      <c r="E312" s="50" t="s">
        <v>561</v>
      </c>
      <c r="F312" s="50" t="s">
        <v>1358</v>
      </c>
      <c r="G312" s="50" t="s">
        <v>1284</v>
      </c>
      <c r="H312" s="50" t="s">
        <v>354</v>
      </c>
      <c r="I312" s="49" t="s">
        <v>1167</v>
      </c>
      <c r="J312" s="49">
        <v>99</v>
      </c>
      <c r="K312" s="51" t="s">
        <v>712</v>
      </c>
      <c r="L312" s="51" t="s">
        <v>713</v>
      </c>
      <c r="M312" s="52" t="s">
        <v>714</v>
      </c>
      <c r="N312" s="52" t="s">
        <v>1748</v>
      </c>
      <c r="O312" s="53">
        <v>1</v>
      </c>
      <c r="P312" s="53"/>
      <c r="Q312" s="55" t="s">
        <v>1901</v>
      </c>
      <c r="S312" s="1">
        <f t="shared" si="177"/>
        <v>0</v>
      </c>
      <c r="T312" s="1">
        <f t="shared" si="178"/>
        <v>0</v>
      </c>
      <c r="U312" s="1">
        <f t="shared" si="179"/>
        <v>0</v>
      </c>
      <c r="V312" s="1">
        <f t="shared" si="180"/>
        <v>0</v>
      </c>
      <c r="W312" s="1">
        <f t="shared" si="181"/>
        <v>0</v>
      </c>
      <c r="X312" s="1">
        <f t="shared" si="182"/>
        <v>0</v>
      </c>
      <c r="Y312" s="1">
        <f t="shared" si="183"/>
        <v>0</v>
      </c>
      <c r="Z312" s="1">
        <f t="shared" si="184"/>
        <v>0</v>
      </c>
      <c r="AA312" s="1">
        <f t="shared" si="185"/>
        <v>0</v>
      </c>
      <c r="AB312" s="1">
        <f t="shared" si="186"/>
        <v>0</v>
      </c>
      <c r="AD312" s="1">
        <f t="shared" si="187"/>
        <v>0</v>
      </c>
      <c r="AE312" s="1">
        <f t="shared" si="188"/>
        <v>1</v>
      </c>
      <c r="AF312" s="1">
        <f t="shared" si="173"/>
        <v>0</v>
      </c>
      <c r="AG312" s="1">
        <f t="shared" si="174"/>
        <v>1</v>
      </c>
      <c r="AH312" s="1">
        <f t="shared" si="175"/>
        <v>0</v>
      </c>
      <c r="AI312" s="1">
        <f t="shared" si="176"/>
        <v>1</v>
      </c>
    </row>
    <row r="313" spans="1:35" s="1" customFormat="1" ht="14.25" customHeight="1" x14ac:dyDescent="0.25">
      <c r="A313" s="49">
        <v>0</v>
      </c>
      <c r="B313" s="49">
        <v>2</v>
      </c>
      <c r="C313" s="49">
        <v>1</v>
      </c>
      <c r="D313" s="50" t="s">
        <v>1782</v>
      </c>
      <c r="E313" s="50" t="s">
        <v>1783</v>
      </c>
      <c r="F313" s="50" t="s">
        <v>1784</v>
      </c>
      <c r="G313" s="50" t="s">
        <v>1785</v>
      </c>
      <c r="H313" s="50" t="s">
        <v>354</v>
      </c>
      <c r="I313" s="49"/>
      <c r="J313" s="49">
        <v>1</v>
      </c>
      <c r="K313" s="51" t="s">
        <v>703</v>
      </c>
      <c r="L313" s="51"/>
      <c r="M313" s="52"/>
      <c r="N313" s="52" t="s">
        <v>1743</v>
      </c>
      <c r="O313" s="53">
        <v>1</v>
      </c>
      <c r="P313" s="53"/>
      <c r="Q313" s="55" t="s">
        <v>1909</v>
      </c>
      <c r="S313" s="1">
        <f t="shared" si="177"/>
        <v>1</v>
      </c>
      <c r="T313" s="1">
        <f t="shared" si="178"/>
        <v>0</v>
      </c>
      <c r="U313" s="1">
        <f t="shared" si="179"/>
        <v>0</v>
      </c>
      <c r="V313" s="1">
        <f t="shared" si="180"/>
        <v>0</v>
      </c>
      <c r="W313" s="1">
        <f t="shared" si="181"/>
        <v>0</v>
      </c>
      <c r="X313" s="1">
        <f t="shared" si="182"/>
        <v>0</v>
      </c>
      <c r="Y313" s="1">
        <f t="shared" si="183"/>
        <v>0</v>
      </c>
      <c r="Z313" s="1">
        <f t="shared" si="184"/>
        <v>0</v>
      </c>
      <c r="AA313" s="1">
        <f t="shared" si="185"/>
        <v>0</v>
      </c>
      <c r="AB313" s="1">
        <f t="shared" si="186"/>
        <v>0</v>
      </c>
      <c r="AD313" s="1">
        <f t="shared" si="187"/>
        <v>0</v>
      </c>
      <c r="AE313" s="1">
        <f t="shared" si="188"/>
        <v>1</v>
      </c>
      <c r="AF313" s="1">
        <f t="shared" si="173"/>
        <v>0</v>
      </c>
      <c r="AG313" s="1">
        <f t="shared" si="174"/>
        <v>1</v>
      </c>
      <c r="AH313" s="1">
        <f t="shared" si="175"/>
        <v>0</v>
      </c>
      <c r="AI313" s="1">
        <f t="shared" si="176"/>
        <v>1</v>
      </c>
    </row>
    <row r="314" spans="1:35" s="1" customFormat="1" ht="14.25" customHeight="1" x14ac:dyDescent="0.25">
      <c r="A314" s="31">
        <v>0</v>
      </c>
      <c r="B314" s="31">
        <v>2</v>
      </c>
      <c r="C314" s="31">
        <v>1</v>
      </c>
      <c r="D314" s="32" t="s">
        <v>1318</v>
      </c>
      <c r="E314" s="32" t="s">
        <v>1338</v>
      </c>
      <c r="F314" s="32" t="s">
        <v>1301</v>
      </c>
      <c r="G314" s="32" t="s">
        <v>1302</v>
      </c>
      <c r="H314" s="32" t="s">
        <v>354</v>
      </c>
      <c r="I314" s="31" t="s">
        <v>1303</v>
      </c>
      <c r="J314" s="31">
        <v>99</v>
      </c>
      <c r="K314" s="33" t="s">
        <v>955</v>
      </c>
      <c r="L314" s="33" t="s">
        <v>713</v>
      </c>
      <c r="M314" s="34" t="s">
        <v>714</v>
      </c>
      <c r="N314" s="34" t="s">
        <v>1919</v>
      </c>
      <c r="O314" s="35">
        <v>1</v>
      </c>
      <c r="P314" s="35"/>
      <c r="Q314" s="32"/>
      <c r="S314" s="1">
        <f t="shared" si="177"/>
        <v>0</v>
      </c>
      <c r="T314" s="1">
        <f t="shared" si="178"/>
        <v>0</v>
      </c>
      <c r="U314" s="1">
        <f t="shared" si="179"/>
        <v>0</v>
      </c>
      <c r="V314" s="1">
        <f t="shared" si="180"/>
        <v>0</v>
      </c>
      <c r="W314" s="1">
        <f t="shared" si="181"/>
        <v>0</v>
      </c>
      <c r="X314" s="1">
        <f t="shared" si="182"/>
        <v>0</v>
      </c>
      <c r="Y314" s="1">
        <f t="shared" si="183"/>
        <v>0</v>
      </c>
      <c r="Z314" s="1">
        <f t="shared" si="184"/>
        <v>0</v>
      </c>
      <c r="AA314" s="1">
        <f t="shared" si="185"/>
        <v>0</v>
      </c>
      <c r="AB314" s="1">
        <f t="shared" si="186"/>
        <v>0</v>
      </c>
      <c r="AD314" s="1">
        <f t="shared" si="187"/>
        <v>0</v>
      </c>
      <c r="AE314" s="1">
        <f t="shared" si="188"/>
        <v>1</v>
      </c>
      <c r="AF314" s="1">
        <f t="shared" si="173"/>
        <v>0</v>
      </c>
      <c r="AG314" s="1">
        <f t="shared" si="174"/>
        <v>1</v>
      </c>
      <c r="AH314" s="1">
        <f t="shared" si="175"/>
        <v>0</v>
      </c>
      <c r="AI314" s="1">
        <f t="shared" si="176"/>
        <v>1</v>
      </c>
    </row>
    <row r="315" spans="1:35" s="1" customFormat="1" ht="14.25" customHeight="1" x14ac:dyDescent="0.25">
      <c r="A315" s="44">
        <v>0</v>
      </c>
      <c r="B315" s="44">
        <v>2</v>
      </c>
      <c r="C315" s="44">
        <v>1</v>
      </c>
      <c r="D315" s="45" t="s">
        <v>1313</v>
      </c>
      <c r="E315" s="45" t="s">
        <v>160</v>
      </c>
      <c r="F315" s="45" t="s">
        <v>1315</v>
      </c>
      <c r="G315" s="45" t="s">
        <v>1316</v>
      </c>
      <c r="H315" s="45" t="s">
        <v>354</v>
      </c>
      <c r="I315" s="44" t="s">
        <v>1317</v>
      </c>
      <c r="J315" s="44">
        <v>8</v>
      </c>
      <c r="K315" s="46" t="s">
        <v>713</v>
      </c>
      <c r="L315" s="46" t="s">
        <v>713</v>
      </c>
      <c r="M315" s="47" t="s">
        <v>714</v>
      </c>
      <c r="N315" s="47" t="s">
        <v>1747</v>
      </c>
      <c r="O315" s="48"/>
      <c r="P315" s="48"/>
      <c r="Q315" s="45"/>
      <c r="S315" s="1">
        <f t="shared" si="177"/>
        <v>0</v>
      </c>
      <c r="T315" s="1">
        <f t="shared" si="178"/>
        <v>0</v>
      </c>
      <c r="U315" s="1">
        <f t="shared" si="179"/>
        <v>0</v>
      </c>
      <c r="V315" s="1">
        <f t="shared" si="180"/>
        <v>0</v>
      </c>
      <c r="W315" s="1">
        <f t="shared" si="181"/>
        <v>0</v>
      </c>
      <c r="X315" s="1">
        <f t="shared" si="182"/>
        <v>0</v>
      </c>
      <c r="Y315" s="1">
        <f t="shared" si="183"/>
        <v>0</v>
      </c>
      <c r="Z315" s="1">
        <f t="shared" si="184"/>
        <v>1</v>
      </c>
      <c r="AA315" s="1">
        <f t="shared" si="185"/>
        <v>0</v>
      </c>
      <c r="AB315" s="1">
        <f t="shared" si="186"/>
        <v>0</v>
      </c>
      <c r="AD315" s="1">
        <f t="shared" si="187"/>
        <v>0</v>
      </c>
      <c r="AE315" s="1">
        <f t="shared" si="188"/>
        <v>0</v>
      </c>
      <c r="AF315" s="1">
        <f t="shared" si="173"/>
        <v>0</v>
      </c>
      <c r="AG315" s="1">
        <f t="shared" si="174"/>
        <v>0</v>
      </c>
      <c r="AH315" s="1">
        <f t="shared" si="175"/>
        <v>0</v>
      </c>
      <c r="AI315" s="1">
        <f t="shared" si="176"/>
        <v>1</v>
      </c>
    </row>
    <row r="316" spans="1:35" s="1" customFormat="1" ht="14.25" customHeight="1" x14ac:dyDescent="0.25">
      <c r="A316" s="44">
        <v>0</v>
      </c>
      <c r="B316" s="44">
        <v>2</v>
      </c>
      <c r="C316" s="44">
        <v>2</v>
      </c>
      <c r="D316" s="45" t="s">
        <v>1646</v>
      </c>
      <c r="E316" s="45" t="s">
        <v>1168</v>
      </c>
      <c r="F316" s="45" t="s">
        <v>1680</v>
      </c>
      <c r="G316" s="45" t="s">
        <v>190</v>
      </c>
      <c r="H316" s="45" t="s">
        <v>354</v>
      </c>
      <c r="I316" s="44" t="s">
        <v>1607</v>
      </c>
      <c r="J316" s="44">
        <v>99</v>
      </c>
      <c r="K316" s="46" t="s">
        <v>713</v>
      </c>
      <c r="L316" s="46" t="s">
        <v>696</v>
      </c>
      <c r="M316" s="47" t="s">
        <v>1608</v>
      </c>
      <c r="N316" s="47" t="s">
        <v>1738</v>
      </c>
      <c r="O316" s="48"/>
      <c r="P316" s="48"/>
      <c r="Q316" s="45"/>
      <c r="S316" s="1">
        <f t="shared" si="177"/>
        <v>0</v>
      </c>
      <c r="T316" s="1">
        <f t="shared" si="178"/>
        <v>0</v>
      </c>
      <c r="U316" s="1">
        <f t="shared" si="179"/>
        <v>0</v>
      </c>
      <c r="V316" s="1">
        <f t="shared" si="180"/>
        <v>0</v>
      </c>
      <c r="W316" s="1">
        <f t="shared" si="181"/>
        <v>0</v>
      </c>
      <c r="X316" s="1">
        <f t="shared" si="182"/>
        <v>0</v>
      </c>
      <c r="Y316" s="1">
        <f t="shared" si="183"/>
        <v>0</v>
      </c>
      <c r="Z316" s="1">
        <f t="shared" si="184"/>
        <v>0</v>
      </c>
      <c r="AA316" s="1">
        <f t="shared" si="185"/>
        <v>0</v>
      </c>
      <c r="AB316" s="1">
        <f t="shared" si="186"/>
        <v>0</v>
      </c>
      <c r="AD316" s="1">
        <f t="shared" si="187"/>
        <v>0</v>
      </c>
      <c r="AE316" s="1">
        <f t="shared" si="188"/>
        <v>0</v>
      </c>
      <c r="AF316" s="1">
        <f t="shared" si="173"/>
        <v>0</v>
      </c>
      <c r="AG316" s="1">
        <f t="shared" si="174"/>
        <v>0</v>
      </c>
      <c r="AH316" s="1">
        <f t="shared" si="175"/>
        <v>0</v>
      </c>
      <c r="AI316" s="1">
        <f t="shared" si="176"/>
        <v>1</v>
      </c>
    </row>
    <row r="317" spans="1:35" s="1" customFormat="1" ht="14.25" customHeight="1" x14ac:dyDescent="0.25">
      <c r="A317" s="49">
        <v>0</v>
      </c>
      <c r="B317" s="49">
        <v>2</v>
      </c>
      <c r="C317" s="49">
        <v>2</v>
      </c>
      <c r="D317" s="50" t="s">
        <v>65</v>
      </c>
      <c r="E317" s="50" t="s">
        <v>164</v>
      </c>
      <c r="F317" s="50" t="s">
        <v>243</v>
      </c>
      <c r="G317" s="50" t="s">
        <v>200</v>
      </c>
      <c r="H317" s="50" t="s">
        <v>354</v>
      </c>
      <c r="I317" s="49" t="s">
        <v>407</v>
      </c>
      <c r="J317" s="49">
        <v>2</v>
      </c>
      <c r="K317" s="51" t="s">
        <v>955</v>
      </c>
      <c r="L317" s="51" t="s">
        <v>696</v>
      </c>
      <c r="M317" s="52" t="s">
        <v>715</v>
      </c>
      <c r="N317" s="52" t="s">
        <v>1743</v>
      </c>
      <c r="O317" s="53">
        <v>1</v>
      </c>
      <c r="P317" s="53"/>
      <c r="Q317" s="50"/>
      <c r="S317" s="1">
        <f t="shared" si="177"/>
        <v>0</v>
      </c>
      <c r="T317" s="1">
        <f t="shared" si="178"/>
        <v>1</v>
      </c>
      <c r="U317" s="1">
        <f t="shared" si="179"/>
        <v>0</v>
      </c>
      <c r="V317" s="1">
        <f t="shared" si="180"/>
        <v>0</v>
      </c>
      <c r="W317" s="1">
        <f t="shared" si="181"/>
        <v>0</v>
      </c>
      <c r="X317" s="1">
        <f t="shared" si="182"/>
        <v>0</v>
      </c>
      <c r="Y317" s="1">
        <f t="shared" si="183"/>
        <v>0</v>
      </c>
      <c r="Z317" s="1">
        <f t="shared" si="184"/>
        <v>0</v>
      </c>
      <c r="AA317" s="1">
        <f t="shared" si="185"/>
        <v>0</v>
      </c>
      <c r="AB317" s="1">
        <f t="shared" si="186"/>
        <v>0</v>
      </c>
      <c r="AD317" s="1">
        <f t="shared" si="187"/>
        <v>0</v>
      </c>
      <c r="AE317" s="1">
        <f t="shared" si="188"/>
        <v>1</v>
      </c>
      <c r="AF317" s="1">
        <f t="shared" si="173"/>
        <v>0</v>
      </c>
      <c r="AG317" s="1">
        <f t="shared" si="174"/>
        <v>1</v>
      </c>
      <c r="AH317" s="1">
        <f t="shared" si="175"/>
        <v>0</v>
      </c>
      <c r="AI317" s="1">
        <f t="shared" si="176"/>
        <v>1</v>
      </c>
    </row>
    <row r="318" spans="1:35" s="1" customFormat="1" ht="14.25" customHeight="1" x14ac:dyDescent="0.25">
      <c r="A318" s="44">
        <v>0</v>
      </c>
      <c r="B318" s="44">
        <v>2</v>
      </c>
      <c r="C318" s="44">
        <v>2</v>
      </c>
      <c r="D318" s="45" t="s">
        <v>1182</v>
      </c>
      <c r="E318" s="45" t="s">
        <v>1183</v>
      </c>
      <c r="F318" s="45" t="s">
        <v>1348</v>
      </c>
      <c r="G318" s="45" t="s">
        <v>1056</v>
      </c>
      <c r="H318" s="45" t="s">
        <v>354</v>
      </c>
      <c r="I318" s="44" t="s">
        <v>1184</v>
      </c>
      <c r="J318" s="44">
        <v>1</v>
      </c>
      <c r="K318" s="46" t="s">
        <v>712</v>
      </c>
      <c r="L318" s="46" t="s">
        <v>704</v>
      </c>
      <c r="M318" s="47" t="s">
        <v>1412</v>
      </c>
      <c r="N318" s="47" t="s">
        <v>1735</v>
      </c>
      <c r="O318" s="48"/>
      <c r="P318" s="48"/>
      <c r="Q318" s="45"/>
      <c r="S318" s="1">
        <f t="shared" si="177"/>
        <v>1</v>
      </c>
      <c r="T318" s="1">
        <f t="shared" si="178"/>
        <v>0</v>
      </c>
      <c r="U318" s="1">
        <f t="shared" si="179"/>
        <v>0</v>
      </c>
      <c r="V318" s="1">
        <f t="shared" si="180"/>
        <v>0</v>
      </c>
      <c r="W318" s="1">
        <f t="shared" si="181"/>
        <v>0</v>
      </c>
      <c r="X318" s="1">
        <f t="shared" si="182"/>
        <v>0</v>
      </c>
      <c r="Y318" s="1">
        <f t="shared" si="183"/>
        <v>0</v>
      </c>
      <c r="Z318" s="1">
        <f t="shared" si="184"/>
        <v>0</v>
      </c>
      <c r="AA318" s="1">
        <f t="shared" si="185"/>
        <v>0</v>
      </c>
      <c r="AB318" s="1">
        <f t="shared" si="186"/>
        <v>0</v>
      </c>
      <c r="AD318" s="1">
        <f t="shared" si="187"/>
        <v>0</v>
      </c>
      <c r="AE318" s="1">
        <f t="shared" si="188"/>
        <v>0</v>
      </c>
      <c r="AF318" s="1">
        <f t="shared" si="173"/>
        <v>0</v>
      </c>
      <c r="AG318" s="1">
        <f t="shared" si="174"/>
        <v>0</v>
      </c>
      <c r="AH318" s="1">
        <f t="shared" si="175"/>
        <v>0</v>
      </c>
      <c r="AI318" s="1">
        <f t="shared" si="176"/>
        <v>1</v>
      </c>
    </row>
    <row r="319" spans="1:35" s="1" customFormat="1" ht="14.25" customHeight="1" x14ac:dyDescent="0.25">
      <c r="A319" s="31">
        <v>0</v>
      </c>
      <c r="B319" s="31">
        <v>2</v>
      </c>
      <c r="C319" s="31">
        <v>2</v>
      </c>
      <c r="D319" s="32" t="s">
        <v>1828</v>
      </c>
      <c r="E319" s="32" t="s">
        <v>1829</v>
      </c>
      <c r="F319" s="32" t="s">
        <v>1830</v>
      </c>
      <c r="G319" s="32" t="s">
        <v>196</v>
      </c>
      <c r="H319" s="32" t="s">
        <v>354</v>
      </c>
      <c r="I319" s="31" t="s">
        <v>1831</v>
      </c>
      <c r="J319" s="31"/>
      <c r="K319" s="33" t="s">
        <v>703</v>
      </c>
      <c r="L319" s="33">
        <v>20</v>
      </c>
      <c r="M319" s="34" t="s">
        <v>1832</v>
      </c>
      <c r="N319" s="34" t="s">
        <v>1748</v>
      </c>
      <c r="O319" s="35">
        <v>1</v>
      </c>
      <c r="P319" s="35"/>
      <c r="Q319" s="32"/>
      <c r="S319" s="1">
        <f t="shared" si="177"/>
        <v>0</v>
      </c>
      <c r="T319" s="1">
        <f t="shared" si="178"/>
        <v>0</v>
      </c>
      <c r="U319" s="1">
        <f t="shared" si="179"/>
        <v>0</v>
      </c>
      <c r="V319" s="1">
        <f t="shared" si="180"/>
        <v>0</v>
      </c>
      <c r="W319" s="1">
        <f t="shared" si="181"/>
        <v>0</v>
      </c>
      <c r="X319" s="1">
        <f t="shared" si="182"/>
        <v>0</v>
      </c>
      <c r="Y319" s="1">
        <f t="shared" si="183"/>
        <v>0</v>
      </c>
      <c r="Z319" s="1">
        <f t="shared" si="184"/>
        <v>0</v>
      </c>
      <c r="AA319" s="1">
        <f t="shared" si="185"/>
        <v>0</v>
      </c>
      <c r="AB319" s="1">
        <f t="shared" si="186"/>
        <v>0</v>
      </c>
      <c r="AD319" s="1">
        <f t="shared" si="187"/>
        <v>0</v>
      </c>
      <c r="AE319" s="1">
        <f t="shared" si="188"/>
        <v>1</v>
      </c>
      <c r="AF319" s="1">
        <f t="shared" si="173"/>
        <v>0</v>
      </c>
      <c r="AG319" s="1">
        <f t="shared" si="174"/>
        <v>1</v>
      </c>
      <c r="AH319" s="1">
        <f t="shared" si="175"/>
        <v>0</v>
      </c>
      <c r="AI319" s="1">
        <f t="shared" si="176"/>
        <v>1</v>
      </c>
    </row>
    <row r="320" spans="1:35" s="1" customFormat="1" ht="14.25" customHeight="1" x14ac:dyDescent="0.25">
      <c r="A320" s="15">
        <v>0</v>
      </c>
      <c r="B320" s="15">
        <v>2</v>
      </c>
      <c r="C320" s="15">
        <v>2</v>
      </c>
      <c r="D320" s="16" t="s">
        <v>1576</v>
      </c>
      <c r="E320" s="16" t="s">
        <v>1577</v>
      </c>
      <c r="F320" s="16" t="s">
        <v>1579</v>
      </c>
      <c r="G320" s="16" t="s">
        <v>1580</v>
      </c>
      <c r="H320" s="16" t="s">
        <v>354</v>
      </c>
      <c r="I320" s="15" t="s">
        <v>1578</v>
      </c>
      <c r="J320" s="15">
        <v>99</v>
      </c>
      <c r="K320" s="10" t="s">
        <v>703</v>
      </c>
      <c r="L320" s="10">
        <v>18</v>
      </c>
      <c r="M320" s="19" t="s">
        <v>1581</v>
      </c>
      <c r="N320" s="17"/>
      <c r="Q320" s="16"/>
      <c r="S320" s="1">
        <f t="shared" si="177"/>
        <v>0</v>
      </c>
      <c r="T320" s="1">
        <f t="shared" si="178"/>
        <v>0</v>
      </c>
      <c r="U320" s="1">
        <f t="shared" si="179"/>
        <v>0</v>
      </c>
      <c r="V320" s="1">
        <f t="shared" si="180"/>
        <v>0</v>
      </c>
      <c r="W320" s="1">
        <f t="shared" si="181"/>
        <v>0</v>
      </c>
      <c r="X320" s="1">
        <f t="shared" si="182"/>
        <v>0</v>
      </c>
      <c r="Y320" s="1">
        <f t="shared" si="183"/>
        <v>0</v>
      </c>
      <c r="Z320" s="1">
        <f t="shared" si="184"/>
        <v>0</v>
      </c>
      <c r="AA320" s="1">
        <f t="shared" si="185"/>
        <v>0</v>
      </c>
      <c r="AB320" s="1">
        <f t="shared" si="186"/>
        <v>0</v>
      </c>
      <c r="AD320" s="1">
        <f t="shared" si="187"/>
        <v>0</v>
      </c>
      <c r="AE320" s="1">
        <f t="shared" si="188"/>
        <v>0</v>
      </c>
      <c r="AF320" s="1">
        <f t="shared" si="173"/>
        <v>0</v>
      </c>
      <c r="AG320" s="1">
        <f t="shared" si="174"/>
        <v>0</v>
      </c>
      <c r="AH320" s="1">
        <f t="shared" si="175"/>
        <v>0</v>
      </c>
      <c r="AI320" s="1">
        <f t="shared" si="176"/>
        <v>1</v>
      </c>
    </row>
    <row r="321" spans="1:35" s="1" customFormat="1" ht="14.25" customHeight="1" x14ac:dyDescent="0.25">
      <c r="A321" s="49">
        <v>0</v>
      </c>
      <c r="B321" s="49">
        <v>2</v>
      </c>
      <c r="C321" s="49">
        <v>2</v>
      </c>
      <c r="D321" s="50" t="s">
        <v>64</v>
      </c>
      <c r="E321" s="50" t="s">
        <v>33</v>
      </c>
      <c r="F321" s="50" t="s">
        <v>241</v>
      </c>
      <c r="G321" s="50" t="s">
        <v>242</v>
      </c>
      <c r="H321" s="50" t="s">
        <v>354</v>
      </c>
      <c r="I321" s="49" t="s">
        <v>406</v>
      </c>
      <c r="J321" s="49">
        <v>1</v>
      </c>
      <c r="K321" s="51" t="s">
        <v>961</v>
      </c>
      <c r="L321" s="51" t="s">
        <v>716</v>
      </c>
      <c r="M321" s="52" t="s">
        <v>717</v>
      </c>
      <c r="N321" s="52" t="s">
        <v>1743</v>
      </c>
      <c r="O321" s="53">
        <v>1</v>
      </c>
      <c r="P321" s="53"/>
      <c r="Q321" s="50"/>
      <c r="S321" s="1">
        <f t="shared" si="177"/>
        <v>1</v>
      </c>
      <c r="T321" s="1">
        <f t="shared" si="178"/>
        <v>0</v>
      </c>
      <c r="U321" s="1">
        <f t="shared" si="179"/>
        <v>0</v>
      </c>
      <c r="V321" s="1">
        <f t="shared" si="180"/>
        <v>0</v>
      </c>
      <c r="W321" s="1">
        <f t="shared" si="181"/>
        <v>0</v>
      </c>
      <c r="X321" s="1">
        <f t="shared" si="182"/>
        <v>0</v>
      </c>
      <c r="Y321" s="1">
        <f t="shared" si="183"/>
        <v>0</v>
      </c>
      <c r="Z321" s="1">
        <f t="shared" si="184"/>
        <v>0</v>
      </c>
      <c r="AA321" s="1">
        <f t="shared" si="185"/>
        <v>0</v>
      </c>
      <c r="AB321" s="1">
        <f t="shared" si="186"/>
        <v>0</v>
      </c>
      <c r="AD321" s="1">
        <f t="shared" si="187"/>
        <v>0</v>
      </c>
      <c r="AE321" s="1">
        <f t="shared" si="188"/>
        <v>1</v>
      </c>
      <c r="AF321" s="1">
        <f t="shared" si="173"/>
        <v>0</v>
      </c>
      <c r="AG321" s="1">
        <f t="shared" si="174"/>
        <v>1</v>
      </c>
      <c r="AH321" s="1">
        <f t="shared" si="175"/>
        <v>0</v>
      </c>
      <c r="AI321" s="1">
        <f t="shared" si="176"/>
        <v>1</v>
      </c>
    </row>
    <row r="322" spans="1:35" s="1" customFormat="1" ht="14.25" customHeight="1" x14ac:dyDescent="0.25">
      <c r="A322" s="49">
        <v>0</v>
      </c>
      <c r="B322" s="49">
        <v>2</v>
      </c>
      <c r="C322" s="49">
        <v>2</v>
      </c>
      <c r="D322" s="50" t="s">
        <v>62</v>
      </c>
      <c r="E322" s="50" t="s">
        <v>1086</v>
      </c>
      <c r="F322" s="50" t="s">
        <v>234</v>
      </c>
      <c r="G322" s="50" t="s">
        <v>235</v>
      </c>
      <c r="H322" s="50" t="s">
        <v>354</v>
      </c>
      <c r="I322" s="49" t="s">
        <v>1365</v>
      </c>
      <c r="J322" s="49">
        <v>99</v>
      </c>
      <c r="K322" s="51" t="s">
        <v>955</v>
      </c>
      <c r="L322" s="51" t="s">
        <v>716</v>
      </c>
      <c r="M322" s="52" t="s">
        <v>718</v>
      </c>
      <c r="N322" s="52" t="s">
        <v>1743</v>
      </c>
      <c r="O322" s="53">
        <v>1</v>
      </c>
      <c r="P322" s="53"/>
      <c r="Q322" s="50"/>
      <c r="S322" s="1">
        <f t="shared" si="177"/>
        <v>0</v>
      </c>
      <c r="T322" s="1">
        <f t="shared" si="178"/>
        <v>0</v>
      </c>
      <c r="U322" s="1">
        <f t="shared" si="179"/>
        <v>0</v>
      </c>
      <c r="V322" s="1">
        <f t="shared" si="180"/>
        <v>0</v>
      </c>
      <c r="W322" s="1">
        <f t="shared" si="181"/>
        <v>0</v>
      </c>
      <c r="X322" s="1">
        <f t="shared" si="182"/>
        <v>0</v>
      </c>
      <c r="Y322" s="1">
        <f t="shared" si="183"/>
        <v>0</v>
      </c>
      <c r="Z322" s="1">
        <f t="shared" si="184"/>
        <v>0</v>
      </c>
      <c r="AA322" s="1">
        <f t="shared" si="185"/>
        <v>0</v>
      </c>
      <c r="AB322" s="1">
        <f t="shared" si="186"/>
        <v>0</v>
      </c>
      <c r="AD322" s="1">
        <f t="shared" si="187"/>
        <v>0</v>
      </c>
      <c r="AE322" s="1">
        <f t="shared" si="188"/>
        <v>1</v>
      </c>
      <c r="AF322" s="1">
        <f t="shared" si="173"/>
        <v>0</v>
      </c>
      <c r="AG322" s="1">
        <f t="shared" si="174"/>
        <v>1</v>
      </c>
      <c r="AH322" s="1">
        <f t="shared" si="175"/>
        <v>0</v>
      </c>
      <c r="AI322" s="1">
        <f t="shared" si="176"/>
        <v>1</v>
      </c>
    </row>
    <row r="323" spans="1:35" s="1" customFormat="1" ht="14.25" customHeight="1" x14ac:dyDescent="0.25">
      <c r="A323" s="31">
        <v>0</v>
      </c>
      <c r="B323" s="31">
        <v>2</v>
      </c>
      <c r="C323" s="31">
        <v>2</v>
      </c>
      <c r="D323" s="32" t="s">
        <v>1716</v>
      </c>
      <c r="E323" s="32" t="s">
        <v>1718</v>
      </c>
      <c r="F323" s="32" t="s">
        <v>1717</v>
      </c>
      <c r="G323" s="32"/>
      <c r="H323" s="32" t="s">
        <v>354</v>
      </c>
      <c r="I323" s="31" t="s">
        <v>1719</v>
      </c>
      <c r="J323" s="31"/>
      <c r="K323" s="33" t="s">
        <v>703</v>
      </c>
      <c r="L323" s="33"/>
      <c r="M323" s="34"/>
      <c r="N323" s="34" t="s">
        <v>1727</v>
      </c>
      <c r="O323" s="35">
        <v>1</v>
      </c>
      <c r="P323" s="35">
        <v>1</v>
      </c>
      <c r="Q323" s="32"/>
      <c r="S323" s="1">
        <f t="shared" si="177"/>
        <v>0</v>
      </c>
      <c r="T323" s="1">
        <f t="shared" si="178"/>
        <v>0</v>
      </c>
      <c r="U323" s="1">
        <f t="shared" si="179"/>
        <v>0</v>
      </c>
      <c r="V323" s="1">
        <f t="shared" si="180"/>
        <v>0</v>
      </c>
      <c r="W323" s="1">
        <f t="shared" si="181"/>
        <v>0</v>
      </c>
      <c r="X323" s="1">
        <f t="shared" si="182"/>
        <v>0</v>
      </c>
      <c r="Y323" s="1">
        <f t="shared" si="183"/>
        <v>0</v>
      </c>
      <c r="Z323" s="1">
        <f t="shared" si="184"/>
        <v>0</v>
      </c>
      <c r="AA323" s="1">
        <f t="shared" si="185"/>
        <v>0</v>
      </c>
      <c r="AB323" s="1">
        <f t="shared" si="186"/>
        <v>0</v>
      </c>
      <c r="AD323" s="1">
        <f t="shared" si="187"/>
        <v>1</v>
      </c>
      <c r="AE323" s="1">
        <f t="shared" si="188"/>
        <v>0</v>
      </c>
      <c r="AF323" s="1">
        <f t="shared" si="173"/>
        <v>1</v>
      </c>
      <c r="AG323" s="1">
        <f t="shared" si="174"/>
        <v>0</v>
      </c>
      <c r="AH323" s="1">
        <f t="shared" si="175"/>
        <v>1</v>
      </c>
      <c r="AI323" s="1">
        <f t="shared" si="176"/>
        <v>0</v>
      </c>
    </row>
    <row r="324" spans="1:35" s="1" customFormat="1" ht="14.25" customHeight="1" x14ac:dyDescent="0.25">
      <c r="A324" s="44">
        <v>0</v>
      </c>
      <c r="B324" s="44">
        <v>2</v>
      </c>
      <c r="C324" s="44">
        <v>2</v>
      </c>
      <c r="D324" s="45" t="s">
        <v>787</v>
      </c>
      <c r="E324" s="45" t="s">
        <v>909</v>
      </c>
      <c r="F324" s="45" t="s">
        <v>1571</v>
      </c>
      <c r="G324" s="45" t="s">
        <v>230</v>
      </c>
      <c r="H324" s="45" t="s">
        <v>354</v>
      </c>
      <c r="I324" s="44" t="s">
        <v>1694</v>
      </c>
      <c r="J324" s="44">
        <v>7</v>
      </c>
      <c r="K324" s="46" t="s">
        <v>713</v>
      </c>
      <c r="L324" s="46">
        <v>20</v>
      </c>
      <c r="M324" s="47" t="s">
        <v>39</v>
      </c>
      <c r="N324" s="47" t="s">
        <v>1734</v>
      </c>
      <c r="O324" s="48"/>
      <c r="P324" s="48"/>
      <c r="Q324" s="45"/>
      <c r="S324" s="1">
        <f t="shared" si="177"/>
        <v>0</v>
      </c>
      <c r="T324" s="1">
        <f t="shared" si="178"/>
        <v>0</v>
      </c>
      <c r="U324" s="1">
        <f t="shared" si="179"/>
        <v>0</v>
      </c>
      <c r="V324" s="1">
        <f t="shared" si="180"/>
        <v>0</v>
      </c>
      <c r="W324" s="1">
        <f t="shared" si="181"/>
        <v>0</v>
      </c>
      <c r="X324" s="1">
        <f t="shared" si="182"/>
        <v>0</v>
      </c>
      <c r="Y324" s="1">
        <f t="shared" si="183"/>
        <v>1</v>
      </c>
      <c r="Z324" s="1">
        <f t="shared" si="184"/>
        <v>0</v>
      </c>
      <c r="AA324" s="1">
        <f t="shared" si="185"/>
        <v>0</v>
      </c>
      <c r="AB324" s="1">
        <f t="shared" si="186"/>
        <v>0</v>
      </c>
      <c r="AD324" s="1">
        <f t="shared" si="187"/>
        <v>0</v>
      </c>
      <c r="AE324" s="1">
        <f t="shared" si="188"/>
        <v>0</v>
      </c>
      <c r="AF324" s="1">
        <f t="shared" si="173"/>
        <v>0</v>
      </c>
      <c r="AG324" s="1">
        <f t="shared" si="174"/>
        <v>0</v>
      </c>
      <c r="AH324" s="1">
        <f t="shared" si="175"/>
        <v>0</v>
      </c>
      <c r="AI324" s="1">
        <f t="shared" si="176"/>
        <v>1</v>
      </c>
    </row>
    <row r="325" spans="1:35" s="1" customFormat="1" ht="14.25" customHeight="1" x14ac:dyDescent="0.25">
      <c r="A325" s="31">
        <v>0</v>
      </c>
      <c r="B325" s="31">
        <v>2</v>
      </c>
      <c r="C325" s="31">
        <v>2</v>
      </c>
      <c r="D325" s="32" t="s">
        <v>852</v>
      </c>
      <c r="E325" s="32" t="s">
        <v>541</v>
      </c>
      <c r="F325" s="32" t="s">
        <v>854</v>
      </c>
      <c r="G325" s="32" t="s">
        <v>220</v>
      </c>
      <c r="H325" s="32" t="s">
        <v>354</v>
      </c>
      <c r="I325" s="31" t="s">
        <v>855</v>
      </c>
      <c r="J325" s="31">
        <v>8</v>
      </c>
      <c r="K325" s="33" t="s">
        <v>713</v>
      </c>
      <c r="L325" s="33" t="s">
        <v>716</v>
      </c>
      <c r="M325" s="34" t="s">
        <v>1413</v>
      </c>
      <c r="N325" s="34" t="s">
        <v>1743</v>
      </c>
      <c r="O325" s="35">
        <v>1</v>
      </c>
      <c r="P325" s="35"/>
      <c r="Q325" s="32"/>
      <c r="S325" s="1">
        <f t="shared" si="177"/>
        <v>0</v>
      </c>
      <c r="T325" s="1">
        <f t="shared" si="178"/>
        <v>0</v>
      </c>
      <c r="U325" s="1">
        <f t="shared" si="179"/>
        <v>0</v>
      </c>
      <c r="V325" s="1">
        <f t="shared" si="180"/>
        <v>0</v>
      </c>
      <c r="W325" s="1">
        <f t="shared" si="181"/>
        <v>0</v>
      </c>
      <c r="X325" s="1">
        <f t="shared" si="182"/>
        <v>0</v>
      </c>
      <c r="Y325" s="1">
        <f t="shared" si="183"/>
        <v>0</v>
      </c>
      <c r="Z325" s="1">
        <f t="shared" si="184"/>
        <v>1</v>
      </c>
      <c r="AA325" s="1">
        <f t="shared" si="185"/>
        <v>0</v>
      </c>
      <c r="AB325" s="1">
        <f t="shared" si="186"/>
        <v>0</v>
      </c>
      <c r="AD325" s="1">
        <f t="shared" si="187"/>
        <v>0</v>
      </c>
      <c r="AE325" s="1">
        <f t="shared" si="188"/>
        <v>1</v>
      </c>
      <c r="AF325" s="1">
        <f t="shared" si="173"/>
        <v>0</v>
      </c>
      <c r="AG325" s="1">
        <f t="shared" si="174"/>
        <v>1</v>
      </c>
      <c r="AH325" s="1">
        <f t="shared" si="175"/>
        <v>0</v>
      </c>
      <c r="AI325" s="1">
        <f t="shared" si="176"/>
        <v>1</v>
      </c>
    </row>
    <row r="326" spans="1:35" s="1" customFormat="1" ht="14.25" customHeight="1" x14ac:dyDescent="0.25">
      <c r="A326" s="31">
        <v>1</v>
      </c>
      <c r="B326" s="31">
        <v>2</v>
      </c>
      <c r="C326" s="31">
        <v>2</v>
      </c>
      <c r="D326" s="32" t="s">
        <v>852</v>
      </c>
      <c r="E326" s="32" t="s">
        <v>541</v>
      </c>
      <c r="F326" s="32" t="s">
        <v>1353</v>
      </c>
      <c r="G326" s="32" t="s">
        <v>194</v>
      </c>
      <c r="H326" s="32" t="s">
        <v>354</v>
      </c>
      <c r="I326" s="31" t="s">
        <v>853</v>
      </c>
      <c r="J326" s="31">
        <v>9</v>
      </c>
      <c r="K326" s="33" t="s">
        <v>713</v>
      </c>
      <c r="L326" s="33" t="s">
        <v>716</v>
      </c>
      <c r="M326" s="34" t="s">
        <v>1413</v>
      </c>
      <c r="N326" s="34" t="s">
        <v>1743</v>
      </c>
      <c r="O326" s="35">
        <v>1</v>
      </c>
      <c r="P326" s="35"/>
      <c r="Q326" s="32"/>
      <c r="S326" s="1">
        <f t="shared" si="177"/>
        <v>0</v>
      </c>
      <c r="T326" s="1">
        <f t="shared" si="178"/>
        <v>0</v>
      </c>
      <c r="U326" s="1">
        <f t="shared" si="179"/>
        <v>0</v>
      </c>
      <c r="V326" s="1">
        <f t="shared" si="180"/>
        <v>0</v>
      </c>
      <c r="W326" s="1">
        <f t="shared" si="181"/>
        <v>0</v>
      </c>
      <c r="X326" s="1">
        <f t="shared" si="182"/>
        <v>0</v>
      </c>
      <c r="Y326" s="1">
        <f t="shared" si="183"/>
        <v>0</v>
      </c>
      <c r="Z326" s="1">
        <f t="shared" si="184"/>
        <v>0</v>
      </c>
      <c r="AA326" s="1">
        <f t="shared" si="185"/>
        <v>1</v>
      </c>
      <c r="AB326" s="1">
        <f t="shared" si="186"/>
        <v>0</v>
      </c>
      <c r="AD326" s="1">
        <f t="shared" si="187"/>
        <v>0</v>
      </c>
      <c r="AE326" s="1">
        <f t="shared" si="188"/>
        <v>1</v>
      </c>
      <c r="AF326" s="1">
        <f t="shared" si="173"/>
        <v>0</v>
      </c>
      <c r="AG326" s="1">
        <f t="shared" si="174"/>
        <v>0</v>
      </c>
      <c r="AH326" s="1">
        <f t="shared" si="175"/>
        <v>0</v>
      </c>
      <c r="AI326" s="1">
        <f t="shared" si="176"/>
        <v>0</v>
      </c>
    </row>
    <row r="327" spans="1:35" s="1" customFormat="1" ht="14.25" customHeight="1" x14ac:dyDescent="0.25">
      <c r="A327" s="44">
        <v>0</v>
      </c>
      <c r="B327" s="44">
        <v>2</v>
      </c>
      <c r="C327" s="44">
        <v>2</v>
      </c>
      <c r="D327" s="45" t="s">
        <v>918</v>
      </c>
      <c r="E327" s="45" t="s">
        <v>785</v>
      </c>
      <c r="F327" s="45" t="s">
        <v>786</v>
      </c>
      <c r="G327" s="45" t="s">
        <v>230</v>
      </c>
      <c r="H327" s="45" t="s">
        <v>354</v>
      </c>
      <c r="I327" s="44" t="s">
        <v>788</v>
      </c>
      <c r="J327" s="44">
        <v>7</v>
      </c>
      <c r="K327" s="46" t="s">
        <v>712</v>
      </c>
      <c r="L327" s="46">
        <v>15</v>
      </c>
      <c r="M327" s="47" t="s">
        <v>39</v>
      </c>
      <c r="N327" s="47" t="s">
        <v>1735</v>
      </c>
      <c r="O327" s="48"/>
      <c r="P327" s="48"/>
      <c r="Q327" s="45"/>
      <c r="S327" s="1">
        <f t="shared" si="177"/>
        <v>0</v>
      </c>
      <c r="T327" s="1">
        <f t="shared" si="178"/>
        <v>0</v>
      </c>
      <c r="U327" s="1">
        <f t="shared" si="179"/>
        <v>0</v>
      </c>
      <c r="V327" s="1">
        <f t="shared" si="180"/>
        <v>0</v>
      </c>
      <c r="W327" s="1">
        <f t="shared" si="181"/>
        <v>0</v>
      </c>
      <c r="X327" s="1">
        <f t="shared" si="182"/>
        <v>0</v>
      </c>
      <c r="Y327" s="1">
        <f t="shared" si="183"/>
        <v>1</v>
      </c>
      <c r="Z327" s="1">
        <f t="shared" si="184"/>
        <v>0</v>
      </c>
      <c r="AA327" s="1">
        <f t="shared" si="185"/>
        <v>0</v>
      </c>
      <c r="AB327" s="1">
        <f t="shared" si="186"/>
        <v>0</v>
      </c>
      <c r="AD327" s="1">
        <f t="shared" si="187"/>
        <v>0</v>
      </c>
      <c r="AE327" s="1">
        <f t="shared" si="188"/>
        <v>0</v>
      </c>
      <c r="AF327" s="1">
        <f t="shared" si="173"/>
        <v>0</v>
      </c>
      <c r="AG327" s="1">
        <f t="shared" si="174"/>
        <v>0</v>
      </c>
      <c r="AH327" s="1">
        <f t="shared" si="175"/>
        <v>0</v>
      </c>
      <c r="AI327" s="1">
        <f t="shared" si="176"/>
        <v>1</v>
      </c>
    </row>
    <row r="328" spans="1:35" s="1" customFormat="1" ht="14.25" customHeight="1" x14ac:dyDescent="0.25">
      <c r="A328" s="44">
        <v>0</v>
      </c>
      <c r="B328" s="44">
        <v>2</v>
      </c>
      <c r="C328" s="44">
        <v>2</v>
      </c>
      <c r="D328" s="45" t="s">
        <v>83</v>
      </c>
      <c r="E328" s="45" t="s">
        <v>157</v>
      </c>
      <c r="F328" s="65" t="s">
        <v>1872</v>
      </c>
      <c r="G328" s="45" t="s">
        <v>209</v>
      </c>
      <c r="H328" s="45" t="s">
        <v>354</v>
      </c>
      <c r="I328" s="44" t="s">
        <v>432</v>
      </c>
      <c r="J328" s="44">
        <v>99</v>
      </c>
      <c r="K328" s="46" t="s">
        <v>954</v>
      </c>
      <c r="L328" s="46" t="s">
        <v>704</v>
      </c>
      <c r="M328" s="47" t="s">
        <v>719</v>
      </c>
      <c r="N328" s="47" t="s">
        <v>1735</v>
      </c>
      <c r="O328" s="48"/>
      <c r="P328" s="48"/>
      <c r="Q328" s="45"/>
      <c r="S328" s="1">
        <f t="shared" si="177"/>
        <v>0</v>
      </c>
      <c r="T328" s="1">
        <f t="shared" si="178"/>
        <v>0</v>
      </c>
      <c r="U328" s="1">
        <f t="shared" si="179"/>
        <v>0</v>
      </c>
      <c r="V328" s="1">
        <f t="shared" si="180"/>
        <v>0</v>
      </c>
      <c r="W328" s="1">
        <f t="shared" si="181"/>
        <v>0</v>
      </c>
      <c r="X328" s="1">
        <f t="shared" si="182"/>
        <v>0</v>
      </c>
      <c r="Y328" s="1">
        <f t="shared" si="183"/>
        <v>0</v>
      </c>
      <c r="Z328" s="1">
        <f t="shared" si="184"/>
        <v>0</v>
      </c>
      <c r="AA328" s="1">
        <f t="shared" si="185"/>
        <v>0</v>
      </c>
      <c r="AB328" s="1">
        <f t="shared" si="186"/>
        <v>0</v>
      </c>
      <c r="AD328" s="1">
        <f t="shared" si="187"/>
        <v>0</v>
      </c>
      <c r="AE328" s="1">
        <f t="shared" si="188"/>
        <v>0</v>
      </c>
      <c r="AF328" s="1">
        <f t="shared" si="173"/>
        <v>0</v>
      </c>
      <c r="AG328" s="1">
        <f t="shared" si="174"/>
        <v>0</v>
      </c>
      <c r="AH328" s="1">
        <f t="shared" si="175"/>
        <v>0</v>
      </c>
      <c r="AI328" s="1">
        <f t="shared" si="176"/>
        <v>1</v>
      </c>
    </row>
    <row r="329" spans="1:35" s="1" customFormat="1" ht="14.25" customHeight="1" x14ac:dyDescent="0.25">
      <c r="A329" s="31">
        <v>0</v>
      </c>
      <c r="B329" s="31">
        <v>2</v>
      </c>
      <c r="C329" s="31">
        <v>2</v>
      </c>
      <c r="D329" s="32" t="s">
        <v>1564</v>
      </c>
      <c r="E329" s="32" t="s">
        <v>1334</v>
      </c>
      <c r="F329" s="32" t="s">
        <v>1565</v>
      </c>
      <c r="G329" s="32" t="s">
        <v>1166</v>
      </c>
      <c r="H329" s="32" t="s">
        <v>354</v>
      </c>
      <c r="I329" s="31" t="s">
        <v>1566</v>
      </c>
      <c r="J329" s="31">
        <v>1</v>
      </c>
      <c r="K329" s="33" t="s">
        <v>713</v>
      </c>
      <c r="L329" s="33" t="s">
        <v>39</v>
      </c>
      <c r="M329" s="34" t="s">
        <v>39</v>
      </c>
      <c r="N329" s="34" t="s">
        <v>1727</v>
      </c>
      <c r="O329" s="35">
        <v>1</v>
      </c>
      <c r="P329" s="35">
        <v>1</v>
      </c>
      <c r="Q329" s="32"/>
      <c r="S329" s="1">
        <f t="shared" si="177"/>
        <v>1</v>
      </c>
      <c r="T329" s="1">
        <f t="shared" si="178"/>
        <v>0</v>
      </c>
      <c r="U329" s="1">
        <f t="shared" si="179"/>
        <v>0</v>
      </c>
      <c r="V329" s="1">
        <f t="shared" si="180"/>
        <v>0</v>
      </c>
      <c r="W329" s="1">
        <f t="shared" si="181"/>
        <v>0</v>
      </c>
      <c r="X329" s="1">
        <f t="shared" si="182"/>
        <v>0</v>
      </c>
      <c r="Y329" s="1">
        <f t="shared" si="183"/>
        <v>0</v>
      </c>
      <c r="Z329" s="1">
        <f t="shared" si="184"/>
        <v>0</v>
      </c>
      <c r="AA329" s="1">
        <f t="shared" si="185"/>
        <v>0</v>
      </c>
      <c r="AB329" s="1">
        <f t="shared" si="186"/>
        <v>0</v>
      </c>
      <c r="AD329" s="1">
        <f t="shared" si="187"/>
        <v>1</v>
      </c>
      <c r="AE329" s="1">
        <f t="shared" si="188"/>
        <v>0</v>
      </c>
      <c r="AF329" s="1">
        <f t="shared" si="173"/>
        <v>1</v>
      </c>
      <c r="AG329" s="1">
        <f t="shared" si="174"/>
        <v>0</v>
      </c>
      <c r="AH329" s="1">
        <f t="shared" si="175"/>
        <v>1</v>
      </c>
      <c r="AI329" s="1">
        <f t="shared" si="176"/>
        <v>0</v>
      </c>
    </row>
    <row r="330" spans="1:35" s="1" customFormat="1" ht="14.25" customHeight="1" x14ac:dyDescent="0.25">
      <c r="A330" s="31">
        <v>0</v>
      </c>
      <c r="B330" s="31">
        <v>2</v>
      </c>
      <c r="C330" s="31">
        <v>2</v>
      </c>
      <c r="D330" s="32" t="s">
        <v>1744</v>
      </c>
      <c r="E330" s="32" t="s">
        <v>27</v>
      </c>
      <c r="F330" s="32" t="s">
        <v>1044</v>
      </c>
      <c r="G330" s="32" t="s">
        <v>220</v>
      </c>
      <c r="H330" s="32" t="s">
        <v>354</v>
      </c>
      <c r="I330" s="31" t="s">
        <v>1045</v>
      </c>
      <c r="J330" s="31">
        <v>8</v>
      </c>
      <c r="K330" s="33" t="s">
        <v>713</v>
      </c>
      <c r="L330" s="33">
        <v>25</v>
      </c>
      <c r="M330" s="34" t="s">
        <v>1745</v>
      </c>
      <c r="N330" s="34" t="s">
        <v>1727</v>
      </c>
      <c r="O330" s="35">
        <v>1</v>
      </c>
      <c r="P330" s="35">
        <v>1</v>
      </c>
      <c r="Q330" s="32"/>
      <c r="S330" s="1">
        <f t="shared" si="177"/>
        <v>0</v>
      </c>
      <c r="T330" s="1">
        <f t="shared" si="178"/>
        <v>0</v>
      </c>
      <c r="U330" s="1">
        <f t="shared" si="179"/>
        <v>0</v>
      </c>
      <c r="V330" s="1">
        <f t="shared" si="180"/>
        <v>0</v>
      </c>
      <c r="W330" s="1">
        <f t="shared" si="181"/>
        <v>0</v>
      </c>
      <c r="X330" s="1">
        <f t="shared" si="182"/>
        <v>0</v>
      </c>
      <c r="Y330" s="1">
        <f t="shared" si="183"/>
        <v>0</v>
      </c>
      <c r="Z330" s="1">
        <f t="shared" si="184"/>
        <v>1</v>
      </c>
      <c r="AA330" s="1">
        <f t="shared" si="185"/>
        <v>0</v>
      </c>
      <c r="AB330" s="1">
        <f t="shared" si="186"/>
        <v>0</v>
      </c>
      <c r="AD330" s="1">
        <f t="shared" si="187"/>
        <v>1</v>
      </c>
      <c r="AE330" s="1">
        <f t="shared" si="188"/>
        <v>0</v>
      </c>
      <c r="AF330" s="1">
        <f t="shared" si="173"/>
        <v>1</v>
      </c>
      <c r="AG330" s="1">
        <f t="shared" si="174"/>
        <v>0</v>
      </c>
      <c r="AH330" s="1">
        <f t="shared" si="175"/>
        <v>1</v>
      </c>
      <c r="AI330" s="1">
        <f t="shared" si="176"/>
        <v>0</v>
      </c>
    </row>
    <row r="331" spans="1:35" s="1" customFormat="1" ht="14.25" customHeight="1" x14ac:dyDescent="0.25">
      <c r="A331" s="31">
        <v>0</v>
      </c>
      <c r="B331" s="31">
        <v>2</v>
      </c>
      <c r="C331" s="31">
        <v>2</v>
      </c>
      <c r="D331" s="32" t="s">
        <v>45</v>
      </c>
      <c r="E331" s="32" t="s">
        <v>44</v>
      </c>
      <c r="F331" s="32" t="s">
        <v>669</v>
      </c>
      <c r="G331" s="32" t="s">
        <v>180</v>
      </c>
      <c r="H331" s="32" t="s">
        <v>354</v>
      </c>
      <c r="I331" s="31" t="s">
        <v>949</v>
      </c>
      <c r="J331" s="31">
        <v>10</v>
      </c>
      <c r="K331" s="33" t="s">
        <v>713</v>
      </c>
      <c r="L331" s="33" t="s">
        <v>720</v>
      </c>
      <c r="M331" s="34" t="s">
        <v>721</v>
      </c>
      <c r="N331" s="34" t="s">
        <v>1727</v>
      </c>
      <c r="O331" s="35">
        <v>1</v>
      </c>
      <c r="P331" s="35">
        <v>1</v>
      </c>
      <c r="Q331" s="32"/>
      <c r="S331" s="1">
        <f t="shared" si="177"/>
        <v>0</v>
      </c>
      <c r="T331" s="1">
        <f t="shared" si="178"/>
        <v>0</v>
      </c>
      <c r="U331" s="1">
        <f t="shared" si="179"/>
        <v>0</v>
      </c>
      <c r="V331" s="1">
        <f t="shared" si="180"/>
        <v>0</v>
      </c>
      <c r="W331" s="1">
        <f t="shared" si="181"/>
        <v>0</v>
      </c>
      <c r="X331" s="1">
        <f t="shared" si="182"/>
        <v>0</v>
      </c>
      <c r="Y331" s="1">
        <f t="shared" si="183"/>
        <v>0</v>
      </c>
      <c r="Z331" s="1">
        <f t="shared" si="184"/>
        <v>0</v>
      </c>
      <c r="AA331" s="1">
        <f t="shared" si="185"/>
        <v>0</v>
      </c>
      <c r="AB331" s="1">
        <f t="shared" si="186"/>
        <v>1</v>
      </c>
      <c r="AD331" s="1">
        <f t="shared" si="187"/>
        <v>1</v>
      </c>
      <c r="AE331" s="1">
        <f t="shared" si="188"/>
        <v>0</v>
      </c>
      <c r="AF331" s="1">
        <f t="shared" si="173"/>
        <v>1</v>
      </c>
      <c r="AG331" s="1">
        <f t="shared" si="174"/>
        <v>0</v>
      </c>
      <c r="AH331" s="1">
        <f t="shared" si="175"/>
        <v>1</v>
      </c>
      <c r="AI331" s="1">
        <f t="shared" si="176"/>
        <v>0</v>
      </c>
    </row>
    <row r="332" spans="1:35" s="1" customFormat="1" ht="14.25" customHeight="1" x14ac:dyDescent="0.25">
      <c r="A332" s="31">
        <v>0</v>
      </c>
      <c r="B332" s="31">
        <v>2</v>
      </c>
      <c r="C332" s="31">
        <v>2</v>
      </c>
      <c r="D332" s="32" t="s">
        <v>1448</v>
      </c>
      <c r="E332" s="32" t="s">
        <v>1653</v>
      </c>
      <c r="F332" s="32" t="s">
        <v>1668</v>
      </c>
      <c r="G332" s="32" t="s">
        <v>230</v>
      </c>
      <c r="H332" s="32" t="s">
        <v>354</v>
      </c>
      <c r="I332" s="31" t="s">
        <v>1449</v>
      </c>
      <c r="J332" s="31">
        <v>99</v>
      </c>
      <c r="K332" s="33" t="s">
        <v>955</v>
      </c>
      <c r="L332" s="33">
        <v>20</v>
      </c>
      <c r="M332" s="34" t="s">
        <v>39</v>
      </c>
      <c r="N332" s="34" t="s">
        <v>1727</v>
      </c>
      <c r="O332" s="35">
        <v>1</v>
      </c>
      <c r="P332" s="35">
        <v>1</v>
      </c>
      <c r="Q332" s="32"/>
      <c r="S332" s="1">
        <f t="shared" si="177"/>
        <v>0</v>
      </c>
      <c r="T332" s="1">
        <f t="shared" si="178"/>
        <v>0</v>
      </c>
      <c r="U332" s="1">
        <f t="shared" si="179"/>
        <v>0</v>
      </c>
      <c r="V332" s="1">
        <f t="shared" si="180"/>
        <v>0</v>
      </c>
      <c r="W332" s="1">
        <f t="shared" si="181"/>
        <v>0</v>
      </c>
      <c r="X332" s="1">
        <f t="shared" si="182"/>
        <v>0</v>
      </c>
      <c r="Y332" s="1">
        <f t="shared" si="183"/>
        <v>0</v>
      </c>
      <c r="Z332" s="1">
        <f t="shared" si="184"/>
        <v>0</v>
      </c>
      <c r="AA332" s="1">
        <f t="shared" si="185"/>
        <v>0</v>
      </c>
      <c r="AB332" s="1">
        <f t="shared" si="186"/>
        <v>0</v>
      </c>
      <c r="AD332" s="1">
        <f t="shared" si="187"/>
        <v>1</v>
      </c>
      <c r="AE332" s="1">
        <f t="shared" si="188"/>
        <v>0</v>
      </c>
      <c r="AF332" s="1">
        <f t="shared" si="173"/>
        <v>1</v>
      </c>
      <c r="AG332" s="1">
        <f t="shared" si="174"/>
        <v>0</v>
      </c>
      <c r="AH332" s="1">
        <f t="shared" si="175"/>
        <v>1</v>
      </c>
      <c r="AI332" s="1">
        <f t="shared" si="176"/>
        <v>0</v>
      </c>
    </row>
    <row r="333" spans="1:35" s="1" customFormat="1" ht="14.25" customHeight="1" x14ac:dyDescent="0.25">
      <c r="A333" s="67">
        <v>0</v>
      </c>
      <c r="B333" s="67">
        <v>2</v>
      </c>
      <c r="C333" s="67">
        <v>2</v>
      </c>
      <c r="D333" s="54" t="s">
        <v>1993</v>
      </c>
      <c r="E333" s="54" t="s">
        <v>1994</v>
      </c>
      <c r="F333" s="54" t="s">
        <v>1995</v>
      </c>
      <c r="G333" s="54" t="s">
        <v>179</v>
      </c>
      <c r="H333" s="54" t="s">
        <v>354</v>
      </c>
      <c r="I333" s="67" t="s">
        <v>1996</v>
      </c>
      <c r="J333" s="67"/>
      <c r="K333" s="67" t="s">
        <v>703</v>
      </c>
      <c r="L333" s="67"/>
      <c r="M333" s="54"/>
      <c r="N333" s="54"/>
      <c r="O333" s="68"/>
      <c r="P333" s="68">
        <v>1</v>
      </c>
      <c r="Q333" s="54"/>
      <c r="S333" s="1">
        <f t="shared" si="177"/>
        <v>0</v>
      </c>
      <c r="T333" s="1">
        <f t="shared" si="178"/>
        <v>0</v>
      </c>
      <c r="U333" s="1">
        <f t="shared" si="179"/>
        <v>0</v>
      </c>
      <c r="V333" s="1">
        <f t="shared" si="180"/>
        <v>0</v>
      </c>
      <c r="W333" s="1">
        <f t="shared" si="181"/>
        <v>0</v>
      </c>
      <c r="X333" s="1">
        <f t="shared" si="182"/>
        <v>0</v>
      </c>
      <c r="Y333" s="1">
        <f t="shared" si="183"/>
        <v>0</v>
      </c>
      <c r="Z333" s="1">
        <f t="shared" si="184"/>
        <v>0</v>
      </c>
      <c r="AA333" s="1">
        <f t="shared" si="185"/>
        <v>0</v>
      </c>
      <c r="AB333" s="1">
        <f t="shared" si="186"/>
        <v>0</v>
      </c>
      <c r="AD333" s="1">
        <f t="shared" si="187"/>
        <v>0</v>
      </c>
      <c r="AE333" s="1">
        <f t="shared" si="188"/>
        <v>0</v>
      </c>
      <c r="AF333" s="1">
        <f t="shared" si="173"/>
        <v>0</v>
      </c>
      <c r="AG333" s="1">
        <f t="shared" si="174"/>
        <v>0</v>
      </c>
      <c r="AH333" s="1">
        <f t="shared" si="175"/>
        <v>1</v>
      </c>
      <c r="AI333" s="1">
        <f t="shared" si="176"/>
        <v>0</v>
      </c>
    </row>
    <row r="334" spans="1:35" s="1" customFormat="1" ht="14.25" customHeight="1" x14ac:dyDescent="0.25">
      <c r="A334" s="49">
        <v>0</v>
      </c>
      <c r="B334" s="49">
        <v>2</v>
      </c>
      <c r="C334" s="49">
        <v>2</v>
      </c>
      <c r="D334" s="50" t="s">
        <v>606</v>
      </c>
      <c r="E334" s="50" t="s">
        <v>607</v>
      </c>
      <c r="F334" s="50" t="s">
        <v>608</v>
      </c>
      <c r="G334" s="50" t="s">
        <v>257</v>
      </c>
      <c r="H334" s="50" t="s">
        <v>354</v>
      </c>
      <c r="I334" s="49" t="s">
        <v>609</v>
      </c>
      <c r="J334" s="49">
        <v>99</v>
      </c>
      <c r="K334" s="51" t="s">
        <v>955</v>
      </c>
      <c r="L334" s="51" t="s">
        <v>704</v>
      </c>
      <c r="M334" s="52" t="s">
        <v>1414</v>
      </c>
      <c r="N334" s="52" t="s">
        <v>1743</v>
      </c>
      <c r="O334" s="53">
        <v>1</v>
      </c>
      <c r="P334" s="53"/>
      <c r="Q334" s="50"/>
      <c r="S334" s="1">
        <f t="shared" si="177"/>
        <v>0</v>
      </c>
      <c r="T334" s="1">
        <f t="shared" si="178"/>
        <v>0</v>
      </c>
      <c r="U334" s="1">
        <f t="shared" si="179"/>
        <v>0</v>
      </c>
      <c r="V334" s="1">
        <f t="shared" si="180"/>
        <v>0</v>
      </c>
      <c r="W334" s="1">
        <f t="shared" si="181"/>
        <v>0</v>
      </c>
      <c r="X334" s="1">
        <f t="shared" si="182"/>
        <v>0</v>
      </c>
      <c r="Y334" s="1">
        <f t="shared" si="183"/>
        <v>0</v>
      </c>
      <c r="Z334" s="1">
        <f t="shared" si="184"/>
        <v>0</v>
      </c>
      <c r="AA334" s="1">
        <f t="shared" si="185"/>
        <v>0</v>
      </c>
      <c r="AB334" s="1">
        <f t="shared" si="186"/>
        <v>0</v>
      </c>
      <c r="AD334" s="1">
        <f t="shared" si="187"/>
        <v>0</v>
      </c>
      <c r="AE334" s="1">
        <f t="shared" si="188"/>
        <v>1</v>
      </c>
      <c r="AF334" s="1">
        <f t="shared" si="173"/>
        <v>0</v>
      </c>
      <c r="AG334" s="1">
        <f t="shared" si="174"/>
        <v>1</v>
      </c>
      <c r="AH334" s="1">
        <f t="shared" si="175"/>
        <v>0</v>
      </c>
      <c r="AI334" s="1">
        <f t="shared" si="176"/>
        <v>1</v>
      </c>
    </row>
    <row r="335" spans="1:35" s="1" customFormat="1" ht="14.25" customHeight="1" x14ac:dyDescent="0.25">
      <c r="A335" s="31">
        <v>0</v>
      </c>
      <c r="B335" s="31">
        <v>2</v>
      </c>
      <c r="C335" s="31">
        <v>2</v>
      </c>
      <c r="D335" s="32" t="s">
        <v>1925</v>
      </c>
      <c r="E335" s="32" t="s">
        <v>1926</v>
      </c>
      <c r="F335" s="32" t="s">
        <v>1927</v>
      </c>
      <c r="G335" s="32" t="s">
        <v>184</v>
      </c>
      <c r="H335" s="32" t="s">
        <v>354</v>
      </c>
      <c r="I335" s="31" t="s">
        <v>1929</v>
      </c>
      <c r="J335" s="31">
        <v>99</v>
      </c>
      <c r="K335" s="33" t="s">
        <v>703</v>
      </c>
      <c r="L335" s="33"/>
      <c r="M335" s="34"/>
      <c r="N335" s="34" t="s">
        <v>1727</v>
      </c>
      <c r="O335" s="35">
        <v>1</v>
      </c>
      <c r="P335" s="35">
        <v>1</v>
      </c>
      <c r="Q335" s="32" t="s">
        <v>1928</v>
      </c>
      <c r="S335" s="1">
        <f t="shared" si="177"/>
        <v>0</v>
      </c>
      <c r="T335" s="1">
        <f t="shared" si="178"/>
        <v>0</v>
      </c>
      <c r="U335" s="1">
        <f t="shared" si="179"/>
        <v>0</v>
      </c>
      <c r="V335" s="1">
        <f t="shared" si="180"/>
        <v>0</v>
      </c>
      <c r="W335" s="1">
        <f t="shared" si="181"/>
        <v>0</v>
      </c>
      <c r="X335" s="1">
        <f t="shared" si="182"/>
        <v>0</v>
      </c>
      <c r="Y335" s="1">
        <f t="shared" si="183"/>
        <v>0</v>
      </c>
      <c r="Z335" s="1">
        <f t="shared" si="184"/>
        <v>0</v>
      </c>
      <c r="AA335" s="1">
        <f t="shared" si="185"/>
        <v>0</v>
      </c>
      <c r="AB335" s="1">
        <f t="shared" si="186"/>
        <v>0</v>
      </c>
      <c r="AD335" s="1">
        <f t="shared" si="187"/>
        <v>1</v>
      </c>
      <c r="AE335" s="1">
        <f t="shared" si="188"/>
        <v>0</v>
      </c>
      <c r="AF335" s="1">
        <f t="shared" si="173"/>
        <v>1</v>
      </c>
      <c r="AG335" s="1">
        <f t="shared" si="174"/>
        <v>0</v>
      </c>
      <c r="AH335" s="1">
        <f t="shared" si="175"/>
        <v>1</v>
      </c>
      <c r="AI335" s="1">
        <f t="shared" si="176"/>
        <v>0</v>
      </c>
    </row>
    <row r="336" spans="1:35" s="1" customFormat="1" ht="14.25" customHeight="1" x14ac:dyDescent="0.25">
      <c r="A336" s="44">
        <v>0</v>
      </c>
      <c r="B336" s="44">
        <v>2</v>
      </c>
      <c r="C336" s="44">
        <v>2</v>
      </c>
      <c r="D336" s="45" t="s">
        <v>1643</v>
      </c>
      <c r="E336" s="45" t="s">
        <v>1168</v>
      </c>
      <c r="F336" s="45" t="s">
        <v>1674</v>
      </c>
      <c r="G336" s="45" t="s">
        <v>180</v>
      </c>
      <c r="H336" s="45" t="s">
        <v>354</v>
      </c>
      <c r="I336" s="44" t="s">
        <v>1494</v>
      </c>
      <c r="J336" s="44">
        <v>10</v>
      </c>
      <c r="K336" s="46" t="s">
        <v>712</v>
      </c>
      <c r="L336" s="46">
        <v>15</v>
      </c>
      <c r="M336" s="47" t="s">
        <v>39</v>
      </c>
      <c r="N336" s="47" t="s">
        <v>1740</v>
      </c>
      <c r="O336" s="48"/>
      <c r="P336" s="48"/>
      <c r="Q336" s="45"/>
      <c r="S336" s="1">
        <f t="shared" si="177"/>
        <v>0</v>
      </c>
      <c r="T336" s="1">
        <f t="shared" si="178"/>
        <v>0</v>
      </c>
      <c r="U336" s="1">
        <f t="shared" si="179"/>
        <v>0</v>
      </c>
      <c r="V336" s="1">
        <f t="shared" si="180"/>
        <v>0</v>
      </c>
      <c r="W336" s="1">
        <f t="shared" si="181"/>
        <v>0</v>
      </c>
      <c r="X336" s="1">
        <f t="shared" si="182"/>
        <v>0</v>
      </c>
      <c r="Y336" s="1">
        <f t="shared" si="183"/>
        <v>0</v>
      </c>
      <c r="Z336" s="1">
        <f t="shared" si="184"/>
        <v>0</v>
      </c>
      <c r="AA336" s="1">
        <f t="shared" si="185"/>
        <v>0</v>
      </c>
      <c r="AB336" s="1">
        <f t="shared" si="186"/>
        <v>1</v>
      </c>
      <c r="AD336" s="1">
        <f t="shared" si="187"/>
        <v>0</v>
      </c>
      <c r="AE336" s="1">
        <f t="shared" si="188"/>
        <v>0</v>
      </c>
      <c r="AF336" s="1">
        <f t="shared" ref="AF336:AF399" si="189">+O336*P336*(1-A336)</f>
        <v>0</v>
      </c>
      <c r="AG336" s="1">
        <f t="shared" ref="AG336:AG399" si="190">O336*(1-P336)*(1-A336)</f>
        <v>0</v>
      </c>
      <c r="AH336" s="1">
        <f t="shared" ref="AH336:AH399" si="191">+P336*(1-A336)</f>
        <v>0</v>
      </c>
      <c r="AI336" s="1">
        <f t="shared" ref="AI336:AI399" si="192">+(1-A336)*(1-P336)</f>
        <v>1</v>
      </c>
    </row>
    <row r="337" spans="1:35" s="1" customFormat="1" ht="14.25" customHeight="1" x14ac:dyDescent="0.25">
      <c r="A337" s="44">
        <v>0</v>
      </c>
      <c r="B337" s="44">
        <v>2</v>
      </c>
      <c r="C337" s="44">
        <v>2</v>
      </c>
      <c r="D337" s="45" t="s">
        <v>862</v>
      </c>
      <c r="E337" s="45" t="s">
        <v>544</v>
      </c>
      <c r="F337" s="45" t="s">
        <v>863</v>
      </c>
      <c r="G337" s="45" t="s">
        <v>314</v>
      </c>
      <c r="H337" s="45" t="s">
        <v>354</v>
      </c>
      <c r="I337" s="44" t="s">
        <v>864</v>
      </c>
      <c r="J337" s="44">
        <v>1</v>
      </c>
      <c r="K337" s="46" t="s">
        <v>712</v>
      </c>
      <c r="L337" s="46">
        <v>25</v>
      </c>
      <c r="M337" s="47" t="s">
        <v>39</v>
      </c>
      <c r="N337" s="47" t="s">
        <v>1735</v>
      </c>
      <c r="O337" s="48"/>
      <c r="P337" s="48"/>
      <c r="Q337" s="45"/>
      <c r="S337" s="1">
        <f t="shared" si="177"/>
        <v>1</v>
      </c>
      <c r="T337" s="1">
        <f t="shared" si="178"/>
        <v>0</v>
      </c>
      <c r="U337" s="1">
        <f t="shared" si="179"/>
        <v>0</v>
      </c>
      <c r="V337" s="1">
        <f t="shared" si="180"/>
        <v>0</v>
      </c>
      <c r="W337" s="1">
        <f t="shared" si="181"/>
        <v>0</v>
      </c>
      <c r="X337" s="1">
        <f t="shared" si="182"/>
        <v>0</v>
      </c>
      <c r="Y337" s="1">
        <f t="shared" si="183"/>
        <v>0</v>
      </c>
      <c r="Z337" s="1">
        <f t="shared" si="184"/>
        <v>0</v>
      </c>
      <c r="AA337" s="1">
        <f t="shared" si="185"/>
        <v>0</v>
      </c>
      <c r="AB337" s="1">
        <f t="shared" si="186"/>
        <v>0</v>
      </c>
      <c r="AD337" s="1">
        <f t="shared" si="187"/>
        <v>0</v>
      </c>
      <c r="AE337" s="1">
        <f t="shared" si="188"/>
        <v>0</v>
      </c>
      <c r="AF337" s="1">
        <f t="shared" si="189"/>
        <v>0</v>
      </c>
      <c r="AG337" s="1">
        <f t="shared" si="190"/>
        <v>0</v>
      </c>
      <c r="AH337" s="1">
        <f t="shared" si="191"/>
        <v>0</v>
      </c>
      <c r="AI337" s="1">
        <f t="shared" si="192"/>
        <v>1</v>
      </c>
    </row>
    <row r="338" spans="1:35" s="1" customFormat="1" ht="14.25" customHeight="1" x14ac:dyDescent="0.25">
      <c r="A338" s="31">
        <v>0</v>
      </c>
      <c r="B338" s="31">
        <v>2</v>
      </c>
      <c r="C338" s="31">
        <v>3</v>
      </c>
      <c r="D338" s="32" t="s">
        <v>568</v>
      </c>
      <c r="E338" s="32" t="s">
        <v>38</v>
      </c>
      <c r="F338" s="32" t="s">
        <v>237</v>
      </c>
      <c r="G338" s="32" t="s">
        <v>539</v>
      </c>
      <c r="H338" s="32" t="s">
        <v>354</v>
      </c>
      <c r="I338" s="31" t="s">
        <v>403</v>
      </c>
      <c r="J338" s="31">
        <v>1</v>
      </c>
      <c r="K338" s="33" t="s">
        <v>712</v>
      </c>
      <c r="L338" s="33" t="s">
        <v>724</v>
      </c>
      <c r="M338" s="34" t="s">
        <v>725</v>
      </c>
      <c r="N338" s="34" t="s">
        <v>1727</v>
      </c>
      <c r="O338" s="35">
        <v>1</v>
      </c>
      <c r="P338" s="35">
        <v>1</v>
      </c>
      <c r="Q338" s="32"/>
      <c r="S338" s="1">
        <f t="shared" si="177"/>
        <v>1</v>
      </c>
      <c r="T338" s="1">
        <f t="shared" si="178"/>
        <v>0</v>
      </c>
      <c r="U338" s="1">
        <f t="shared" si="179"/>
        <v>0</v>
      </c>
      <c r="V338" s="1">
        <f t="shared" si="180"/>
        <v>0</v>
      </c>
      <c r="W338" s="1">
        <f t="shared" si="181"/>
        <v>0</v>
      </c>
      <c r="X338" s="1">
        <f t="shared" si="182"/>
        <v>0</v>
      </c>
      <c r="Y338" s="1">
        <f t="shared" si="183"/>
        <v>0</v>
      </c>
      <c r="Z338" s="1">
        <f t="shared" si="184"/>
        <v>0</v>
      </c>
      <c r="AA338" s="1">
        <f t="shared" si="185"/>
        <v>0</v>
      </c>
      <c r="AB338" s="1">
        <f t="shared" si="186"/>
        <v>0</v>
      </c>
      <c r="AD338" s="1">
        <f t="shared" si="187"/>
        <v>1</v>
      </c>
      <c r="AE338" s="1">
        <f t="shared" si="188"/>
        <v>0</v>
      </c>
      <c r="AF338" s="1">
        <f t="shared" si="189"/>
        <v>1</v>
      </c>
      <c r="AG338" s="1">
        <f t="shared" si="190"/>
        <v>0</v>
      </c>
      <c r="AH338" s="1">
        <f t="shared" si="191"/>
        <v>1</v>
      </c>
      <c r="AI338" s="1">
        <f t="shared" si="192"/>
        <v>0</v>
      </c>
    </row>
    <row r="339" spans="1:35" s="1" customFormat="1" ht="14.25" customHeight="1" x14ac:dyDescent="0.25">
      <c r="A339" s="44">
        <v>0</v>
      </c>
      <c r="B339" s="44">
        <v>2</v>
      </c>
      <c r="C339" s="44">
        <v>3</v>
      </c>
      <c r="D339" s="45" t="s">
        <v>850</v>
      </c>
      <c r="E339" s="45" t="s">
        <v>34</v>
      </c>
      <c r="F339" s="45" t="s">
        <v>926</v>
      </c>
      <c r="G339" s="45" t="s">
        <v>638</v>
      </c>
      <c r="H339" s="45" t="s">
        <v>354</v>
      </c>
      <c r="I339" s="44" t="s">
        <v>851</v>
      </c>
      <c r="J339" s="44">
        <v>1</v>
      </c>
      <c r="K339" s="46" t="s">
        <v>954</v>
      </c>
      <c r="L339" s="46" t="s">
        <v>729</v>
      </c>
      <c r="M339" s="47" t="s">
        <v>723</v>
      </c>
      <c r="N339" s="47" t="s">
        <v>1735</v>
      </c>
      <c r="O339" s="48"/>
      <c r="P339" s="48"/>
      <c r="Q339" s="45"/>
      <c r="S339" s="1">
        <f t="shared" si="177"/>
        <v>1</v>
      </c>
      <c r="T339" s="1">
        <f t="shared" si="178"/>
        <v>0</v>
      </c>
      <c r="U339" s="1">
        <f t="shared" si="179"/>
        <v>0</v>
      </c>
      <c r="V339" s="1">
        <f t="shared" si="180"/>
        <v>0</v>
      </c>
      <c r="W339" s="1">
        <f t="shared" si="181"/>
        <v>0</v>
      </c>
      <c r="X339" s="1">
        <f t="shared" si="182"/>
        <v>0</v>
      </c>
      <c r="Y339" s="1">
        <f t="shared" si="183"/>
        <v>0</v>
      </c>
      <c r="Z339" s="1">
        <f t="shared" si="184"/>
        <v>0</v>
      </c>
      <c r="AA339" s="1">
        <f t="shared" si="185"/>
        <v>0</v>
      </c>
      <c r="AB339" s="1">
        <f t="shared" si="186"/>
        <v>0</v>
      </c>
      <c r="AD339" s="1">
        <f t="shared" si="187"/>
        <v>0</v>
      </c>
      <c r="AE339" s="1">
        <f t="shared" si="188"/>
        <v>0</v>
      </c>
      <c r="AF339" s="1">
        <f t="shared" si="189"/>
        <v>0</v>
      </c>
      <c r="AG339" s="1">
        <f t="shared" si="190"/>
        <v>0</v>
      </c>
      <c r="AH339" s="1">
        <f t="shared" si="191"/>
        <v>0</v>
      </c>
      <c r="AI339" s="1">
        <f t="shared" si="192"/>
        <v>1</v>
      </c>
    </row>
    <row r="340" spans="1:35" s="1" customFormat="1" ht="14.25" customHeight="1" x14ac:dyDescent="0.25">
      <c r="A340" s="44">
        <v>0</v>
      </c>
      <c r="B340" s="44">
        <v>2</v>
      </c>
      <c r="C340" s="44">
        <v>3</v>
      </c>
      <c r="D340" s="45" t="s">
        <v>793</v>
      </c>
      <c r="E340" s="45" t="s">
        <v>32</v>
      </c>
      <c r="F340" s="45" t="s">
        <v>794</v>
      </c>
      <c r="G340" s="45" t="s">
        <v>251</v>
      </c>
      <c r="H340" s="45" t="s">
        <v>354</v>
      </c>
      <c r="I340" s="44" t="s">
        <v>795</v>
      </c>
      <c r="J340" s="44">
        <v>99</v>
      </c>
      <c r="K340" s="46" t="s">
        <v>713</v>
      </c>
      <c r="L340" s="46" t="s">
        <v>722</v>
      </c>
      <c r="M340" s="47" t="s">
        <v>723</v>
      </c>
      <c r="N340" s="47" t="s">
        <v>1737</v>
      </c>
      <c r="O340" s="48"/>
      <c r="P340" s="48"/>
      <c r="Q340" s="45"/>
      <c r="S340" s="1">
        <f t="shared" ref="S340:S402" si="193">IF(J340=$S$7,1,0)</f>
        <v>0</v>
      </c>
      <c r="T340" s="1">
        <f t="shared" ref="T340:T402" si="194">IF(J340=$T$7,1,0)</f>
        <v>0</v>
      </c>
      <c r="U340" s="1">
        <f t="shared" ref="U340:U402" si="195">IF(J340=$U$7,1,0)</f>
        <v>0</v>
      </c>
      <c r="V340" s="1">
        <f t="shared" ref="V340:V402" si="196">IF(J340=$V$7,1,0)</f>
        <v>0</v>
      </c>
      <c r="W340" s="1">
        <f t="shared" ref="W340:W402" si="197">IF(J340=$W$7,1,0)</f>
        <v>0</v>
      </c>
      <c r="X340" s="1">
        <f t="shared" ref="X340:X402" si="198">IF(J340=$X$7,1,0)</f>
        <v>0</v>
      </c>
      <c r="Y340" s="1">
        <f t="shared" ref="Y340:Y402" si="199">IF(J340=$Y$7,1,0)</f>
        <v>0</v>
      </c>
      <c r="Z340" s="1">
        <f t="shared" ref="Z340:Z402" si="200">IF(J340=$Z$7,1,0)</f>
        <v>0</v>
      </c>
      <c r="AA340" s="1">
        <f t="shared" ref="AA340:AA402" si="201">IF(J340=$AA$7,1,0)</f>
        <v>0</v>
      </c>
      <c r="AB340" s="1">
        <f t="shared" ref="AB340:AB402" si="202">IF(J340=$AB$7,1,0)</f>
        <v>0</v>
      </c>
      <c r="AD340" s="1">
        <f t="shared" ref="AD340:AD402" si="203">+O340*P340</f>
        <v>0</v>
      </c>
      <c r="AE340" s="1">
        <f t="shared" ref="AE340:AE402" si="204">O340*(1-P340)</f>
        <v>0</v>
      </c>
      <c r="AF340" s="1">
        <f t="shared" si="189"/>
        <v>0</v>
      </c>
      <c r="AG340" s="1">
        <f t="shared" si="190"/>
        <v>0</v>
      </c>
      <c r="AH340" s="1">
        <f t="shared" si="191"/>
        <v>0</v>
      </c>
      <c r="AI340" s="1">
        <f t="shared" si="192"/>
        <v>1</v>
      </c>
    </row>
    <row r="341" spans="1:35" s="1" customFormat="1" ht="14.25" customHeight="1" x14ac:dyDescent="0.25">
      <c r="A341" s="44">
        <v>0</v>
      </c>
      <c r="B341" s="44">
        <v>2</v>
      </c>
      <c r="C341" s="44">
        <v>3</v>
      </c>
      <c r="D341" s="45" t="s">
        <v>56</v>
      </c>
      <c r="E341" s="45" t="s">
        <v>161</v>
      </c>
      <c r="F341" s="45" t="s">
        <v>219</v>
      </c>
      <c r="G341" s="45" t="s">
        <v>196</v>
      </c>
      <c r="H341" s="45" t="s">
        <v>354</v>
      </c>
      <c r="I341" s="44" t="s">
        <v>551</v>
      </c>
      <c r="J341" s="44">
        <v>99</v>
      </c>
      <c r="K341" s="46" t="s">
        <v>713</v>
      </c>
      <c r="L341" s="46" t="s">
        <v>722</v>
      </c>
      <c r="M341" s="47" t="s">
        <v>723</v>
      </c>
      <c r="N341" s="47" t="s">
        <v>1802</v>
      </c>
      <c r="O341" s="48"/>
      <c r="P341" s="48"/>
      <c r="Q341" s="45"/>
      <c r="S341" s="1">
        <f t="shared" si="193"/>
        <v>0</v>
      </c>
      <c r="T341" s="1">
        <f t="shared" si="194"/>
        <v>0</v>
      </c>
      <c r="U341" s="1">
        <f t="shared" si="195"/>
        <v>0</v>
      </c>
      <c r="V341" s="1">
        <f t="shared" si="196"/>
        <v>0</v>
      </c>
      <c r="W341" s="1">
        <f t="shared" si="197"/>
        <v>0</v>
      </c>
      <c r="X341" s="1">
        <f t="shared" si="198"/>
        <v>0</v>
      </c>
      <c r="Y341" s="1">
        <f t="shared" si="199"/>
        <v>0</v>
      </c>
      <c r="Z341" s="1">
        <f t="shared" si="200"/>
        <v>0</v>
      </c>
      <c r="AA341" s="1">
        <f t="shared" si="201"/>
        <v>0</v>
      </c>
      <c r="AB341" s="1">
        <f t="shared" si="202"/>
        <v>0</v>
      </c>
      <c r="AD341" s="1">
        <f t="shared" si="203"/>
        <v>0</v>
      </c>
      <c r="AE341" s="1">
        <f t="shared" si="204"/>
        <v>0</v>
      </c>
      <c r="AF341" s="1">
        <f t="shared" si="189"/>
        <v>0</v>
      </c>
      <c r="AG341" s="1">
        <f t="shared" si="190"/>
        <v>0</v>
      </c>
      <c r="AH341" s="1">
        <f t="shared" si="191"/>
        <v>0</v>
      </c>
      <c r="AI341" s="1">
        <f t="shared" si="192"/>
        <v>1</v>
      </c>
    </row>
    <row r="342" spans="1:35" s="1" customFormat="1" ht="14.25" customHeight="1" x14ac:dyDescent="0.25">
      <c r="A342" s="44">
        <v>0</v>
      </c>
      <c r="B342" s="44">
        <v>2</v>
      </c>
      <c r="C342" s="44">
        <v>3</v>
      </c>
      <c r="D342" s="45" t="s">
        <v>1175</v>
      </c>
      <c r="E342" s="45" t="s">
        <v>1335</v>
      </c>
      <c r="F342" s="45" t="s">
        <v>1176</v>
      </c>
      <c r="G342" s="45" t="s">
        <v>302</v>
      </c>
      <c r="H342" s="45" t="s">
        <v>354</v>
      </c>
      <c r="I342" s="44" t="s">
        <v>1177</v>
      </c>
      <c r="J342" s="44">
        <v>1</v>
      </c>
      <c r="K342" s="46" t="s">
        <v>955</v>
      </c>
      <c r="L342" s="46" t="s">
        <v>693</v>
      </c>
      <c r="M342" s="47" t="s">
        <v>1415</v>
      </c>
      <c r="N342" s="47" t="s">
        <v>1735</v>
      </c>
      <c r="O342" s="48"/>
      <c r="P342" s="48"/>
      <c r="Q342" s="45"/>
      <c r="S342" s="1">
        <f t="shared" si="193"/>
        <v>1</v>
      </c>
      <c r="T342" s="1">
        <f t="shared" si="194"/>
        <v>0</v>
      </c>
      <c r="U342" s="1">
        <f t="shared" si="195"/>
        <v>0</v>
      </c>
      <c r="V342" s="1">
        <f t="shared" si="196"/>
        <v>0</v>
      </c>
      <c r="W342" s="1">
        <f t="shared" si="197"/>
        <v>0</v>
      </c>
      <c r="X342" s="1">
        <f t="shared" si="198"/>
        <v>0</v>
      </c>
      <c r="Y342" s="1">
        <f t="shared" si="199"/>
        <v>0</v>
      </c>
      <c r="Z342" s="1">
        <f t="shared" si="200"/>
        <v>0</v>
      </c>
      <c r="AA342" s="1">
        <f t="shared" si="201"/>
        <v>0</v>
      </c>
      <c r="AB342" s="1">
        <f t="shared" si="202"/>
        <v>0</v>
      </c>
      <c r="AD342" s="1">
        <f t="shared" si="203"/>
        <v>0</v>
      </c>
      <c r="AE342" s="1">
        <f t="shared" si="204"/>
        <v>0</v>
      </c>
      <c r="AF342" s="1">
        <f t="shared" si="189"/>
        <v>0</v>
      </c>
      <c r="AG342" s="1">
        <f t="shared" si="190"/>
        <v>0</v>
      </c>
      <c r="AH342" s="1">
        <f t="shared" si="191"/>
        <v>0</v>
      </c>
      <c r="AI342" s="1">
        <f t="shared" si="192"/>
        <v>1</v>
      </c>
    </row>
    <row r="343" spans="1:35" s="1" customFormat="1" ht="14.25" customHeight="1" x14ac:dyDescent="0.25">
      <c r="A343" s="44">
        <v>0</v>
      </c>
      <c r="B343" s="44">
        <v>2</v>
      </c>
      <c r="C343" s="44">
        <v>3</v>
      </c>
      <c r="D343" s="45" t="s">
        <v>1172</v>
      </c>
      <c r="E343" s="45" t="s">
        <v>1335</v>
      </c>
      <c r="F343" s="45" t="s">
        <v>1173</v>
      </c>
      <c r="G343" s="45" t="s">
        <v>1056</v>
      </c>
      <c r="H343" s="45" t="s">
        <v>354</v>
      </c>
      <c r="I343" s="44" t="s">
        <v>1174</v>
      </c>
      <c r="J343" s="44">
        <v>1</v>
      </c>
      <c r="K343" s="46" t="s">
        <v>713</v>
      </c>
      <c r="L343" s="46" t="s">
        <v>693</v>
      </c>
      <c r="M343" s="47" t="s">
        <v>1415</v>
      </c>
      <c r="N343" s="47" t="s">
        <v>1735</v>
      </c>
      <c r="O343" s="48"/>
      <c r="P343" s="48"/>
      <c r="Q343" s="45"/>
      <c r="S343" s="1">
        <f t="shared" si="193"/>
        <v>1</v>
      </c>
      <c r="T343" s="1">
        <f t="shared" si="194"/>
        <v>0</v>
      </c>
      <c r="U343" s="1">
        <f t="shared" si="195"/>
        <v>0</v>
      </c>
      <c r="V343" s="1">
        <f t="shared" si="196"/>
        <v>0</v>
      </c>
      <c r="W343" s="1">
        <f t="shared" si="197"/>
        <v>0</v>
      </c>
      <c r="X343" s="1">
        <f t="shared" si="198"/>
        <v>0</v>
      </c>
      <c r="Y343" s="1">
        <f t="shared" si="199"/>
        <v>0</v>
      </c>
      <c r="Z343" s="1">
        <f t="shared" si="200"/>
        <v>0</v>
      </c>
      <c r="AA343" s="1">
        <f t="shared" si="201"/>
        <v>0</v>
      </c>
      <c r="AB343" s="1">
        <f t="shared" si="202"/>
        <v>0</v>
      </c>
      <c r="AD343" s="1">
        <f t="shared" si="203"/>
        <v>0</v>
      </c>
      <c r="AE343" s="1">
        <f t="shared" si="204"/>
        <v>0</v>
      </c>
      <c r="AF343" s="1">
        <f t="shared" si="189"/>
        <v>0</v>
      </c>
      <c r="AG343" s="1">
        <f t="shared" si="190"/>
        <v>0</v>
      </c>
      <c r="AH343" s="1">
        <f t="shared" si="191"/>
        <v>0</v>
      </c>
      <c r="AI343" s="1">
        <f t="shared" si="192"/>
        <v>1</v>
      </c>
    </row>
    <row r="344" spans="1:35" s="1" customFormat="1" ht="14.25" customHeight="1" x14ac:dyDescent="0.25">
      <c r="A344" s="31">
        <v>0</v>
      </c>
      <c r="B344" s="31">
        <v>2</v>
      </c>
      <c r="C344" s="31">
        <v>3</v>
      </c>
      <c r="D344" s="32" t="s">
        <v>1294</v>
      </c>
      <c r="E344" s="32" t="s">
        <v>32</v>
      </c>
      <c r="F344" s="32" t="s">
        <v>1295</v>
      </c>
      <c r="G344" s="32" t="s">
        <v>222</v>
      </c>
      <c r="H344" s="32" t="s">
        <v>354</v>
      </c>
      <c r="I344" s="31" t="s">
        <v>1689</v>
      </c>
      <c r="J344" s="31">
        <v>99</v>
      </c>
      <c r="K344" s="33" t="s">
        <v>713</v>
      </c>
      <c r="L344" s="33" t="s">
        <v>716</v>
      </c>
      <c r="M344" s="34" t="s">
        <v>1296</v>
      </c>
      <c r="N344" s="34" t="s">
        <v>1727</v>
      </c>
      <c r="O344" s="35">
        <v>1</v>
      </c>
      <c r="P344" s="35">
        <v>1</v>
      </c>
      <c r="Q344" s="32"/>
      <c r="S344" s="1">
        <f t="shared" si="193"/>
        <v>0</v>
      </c>
      <c r="T344" s="1">
        <f t="shared" si="194"/>
        <v>0</v>
      </c>
      <c r="U344" s="1">
        <f t="shared" si="195"/>
        <v>0</v>
      </c>
      <c r="V344" s="1">
        <f t="shared" si="196"/>
        <v>0</v>
      </c>
      <c r="W344" s="1">
        <f t="shared" si="197"/>
        <v>0</v>
      </c>
      <c r="X344" s="1">
        <f t="shared" si="198"/>
        <v>0</v>
      </c>
      <c r="Y344" s="1">
        <f t="shared" si="199"/>
        <v>0</v>
      </c>
      <c r="Z344" s="1">
        <f t="shared" si="200"/>
        <v>0</v>
      </c>
      <c r="AA344" s="1">
        <f t="shared" si="201"/>
        <v>0</v>
      </c>
      <c r="AB344" s="1">
        <f t="shared" si="202"/>
        <v>0</v>
      </c>
      <c r="AD344" s="1">
        <f t="shared" si="203"/>
        <v>1</v>
      </c>
      <c r="AE344" s="1">
        <f t="shared" si="204"/>
        <v>0</v>
      </c>
      <c r="AF344" s="1">
        <f t="shared" si="189"/>
        <v>1</v>
      </c>
      <c r="AG344" s="1">
        <f t="shared" si="190"/>
        <v>0</v>
      </c>
      <c r="AH344" s="1">
        <f t="shared" si="191"/>
        <v>1</v>
      </c>
      <c r="AI344" s="1">
        <f t="shared" si="192"/>
        <v>0</v>
      </c>
    </row>
    <row r="345" spans="1:35" s="1" customFormat="1" ht="14.25" customHeight="1" x14ac:dyDescent="0.25">
      <c r="A345" s="31">
        <v>0</v>
      </c>
      <c r="B345" s="31">
        <v>2</v>
      </c>
      <c r="C345" s="31">
        <v>3</v>
      </c>
      <c r="D345" s="32" t="s">
        <v>761</v>
      </c>
      <c r="E345" s="32" t="s">
        <v>913</v>
      </c>
      <c r="F345" s="32" t="s">
        <v>762</v>
      </c>
      <c r="G345" s="32" t="s">
        <v>220</v>
      </c>
      <c r="H345" s="32" t="s">
        <v>354</v>
      </c>
      <c r="I345" s="31" t="s">
        <v>763</v>
      </c>
      <c r="J345" s="31">
        <v>8</v>
      </c>
      <c r="K345" s="33" t="s">
        <v>955</v>
      </c>
      <c r="L345" s="33" t="s">
        <v>729</v>
      </c>
      <c r="M345" s="34" t="s">
        <v>723</v>
      </c>
      <c r="N345" s="34" t="s">
        <v>1748</v>
      </c>
      <c r="O345" s="35">
        <v>1</v>
      </c>
      <c r="P345" s="35"/>
      <c r="Q345" s="32"/>
      <c r="S345" s="1">
        <f t="shared" si="193"/>
        <v>0</v>
      </c>
      <c r="T345" s="1">
        <f t="shared" si="194"/>
        <v>0</v>
      </c>
      <c r="U345" s="1">
        <f t="shared" si="195"/>
        <v>0</v>
      </c>
      <c r="V345" s="1">
        <f t="shared" si="196"/>
        <v>0</v>
      </c>
      <c r="W345" s="1">
        <f t="shared" si="197"/>
        <v>0</v>
      </c>
      <c r="X345" s="1">
        <f t="shared" si="198"/>
        <v>0</v>
      </c>
      <c r="Y345" s="1">
        <f t="shared" si="199"/>
        <v>0</v>
      </c>
      <c r="Z345" s="1">
        <f t="shared" si="200"/>
        <v>1</v>
      </c>
      <c r="AA345" s="1">
        <f t="shared" si="201"/>
        <v>0</v>
      </c>
      <c r="AB345" s="1">
        <f t="shared" si="202"/>
        <v>0</v>
      </c>
      <c r="AD345" s="1">
        <f t="shared" si="203"/>
        <v>0</v>
      </c>
      <c r="AE345" s="1">
        <f t="shared" si="204"/>
        <v>1</v>
      </c>
      <c r="AF345" s="1">
        <f t="shared" si="189"/>
        <v>0</v>
      </c>
      <c r="AG345" s="1">
        <f t="shared" si="190"/>
        <v>1</v>
      </c>
      <c r="AH345" s="1">
        <f t="shared" si="191"/>
        <v>0</v>
      </c>
      <c r="AI345" s="1">
        <f t="shared" si="192"/>
        <v>1</v>
      </c>
    </row>
    <row r="346" spans="1:35" s="1" customFormat="1" ht="14.25" customHeight="1" x14ac:dyDescent="0.25">
      <c r="A346" s="44">
        <v>0</v>
      </c>
      <c r="B346" s="44">
        <v>2</v>
      </c>
      <c r="C346" s="44">
        <v>3</v>
      </c>
      <c r="D346" s="45" t="s">
        <v>1495</v>
      </c>
      <c r="E346" s="45" t="s">
        <v>1496</v>
      </c>
      <c r="F346" s="45" t="s">
        <v>1497</v>
      </c>
      <c r="G346" s="45" t="s">
        <v>238</v>
      </c>
      <c r="H346" s="45" t="s">
        <v>354</v>
      </c>
      <c r="I346" s="44" t="s">
        <v>1498</v>
      </c>
      <c r="J346" s="44">
        <v>4</v>
      </c>
      <c r="K346" s="46" t="s">
        <v>712</v>
      </c>
      <c r="L346" s="46">
        <v>15</v>
      </c>
      <c r="M346" s="47" t="s">
        <v>39</v>
      </c>
      <c r="N346" s="47" t="s">
        <v>1802</v>
      </c>
      <c r="O346" s="48"/>
      <c r="P346" s="48"/>
      <c r="Q346" s="45"/>
      <c r="S346" s="1">
        <f t="shared" si="193"/>
        <v>0</v>
      </c>
      <c r="T346" s="1">
        <f t="shared" si="194"/>
        <v>0</v>
      </c>
      <c r="U346" s="1">
        <f t="shared" si="195"/>
        <v>0</v>
      </c>
      <c r="V346" s="1">
        <f t="shared" si="196"/>
        <v>1</v>
      </c>
      <c r="W346" s="1">
        <f t="shared" si="197"/>
        <v>0</v>
      </c>
      <c r="X346" s="1">
        <f t="shared" si="198"/>
        <v>0</v>
      </c>
      <c r="Y346" s="1">
        <f t="shared" si="199"/>
        <v>0</v>
      </c>
      <c r="Z346" s="1">
        <f t="shared" si="200"/>
        <v>0</v>
      </c>
      <c r="AA346" s="1">
        <f t="shared" si="201"/>
        <v>0</v>
      </c>
      <c r="AB346" s="1">
        <f t="shared" si="202"/>
        <v>0</v>
      </c>
      <c r="AD346" s="1">
        <f t="shared" si="203"/>
        <v>0</v>
      </c>
      <c r="AE346" s="1">
        <f t="shared" si="204"/>
        <v>0</v>
      </c>
      <c r="AF346" s="1">
        <f t="shared" si="189"/>
        <v>0</v>
      </c>
      <c r="AG346" s="1">
        <f t="shared" si="190"/>
        <v>0</v>
      </c>
      <c r="AH346" s="1">
        <f t="shared" si="191"/>
        <v>0</v>
      </c>
      <c r="AI346" s="1">
        <f t="shared" si="192"/>
        <v>1</v>
      </c>
    </row>
    <row r="347" spans="1:35" s="1" customFormat="1" ht="14.25" customHeight="1" x14ac:dyDescent="0.25">
      <c r="A347" s="31">
        <v>0</v>
      </c>
      <c r="B347" s="31">
        <v>2</v>
      </c>
      <c r="C347" s="31">
        <v>3</v>
      </c>
      <c r="D347" s="32" t="s">
        <v>1553</v>
      </c>
      <c r="E347" s="32" t="s">
        <v>1554</v>
      </c>
      <c r="F347" s="32" t="s">
        <v>1555</v>
      </c>
      <c r="G347" s="32" t="s">
        <v>1556</v>
      </c>
      <c r="H347" s="32" t="s">
        <v>354</v>
      </c>
      <c r="I347" s="31" t="s">
        <v>1557</v>
      </c>
      <c r="J347" s="31">
        <v>7</v>
      </c>
      <c r="K347" s="33" t="s">
        <v>955</v>
      </c>
      <c r="L347" s="33">
        <v>10</v>
      </c>
      <c r="M347" s="34" t="s">
        <v>39</v>
      </c>
      <c r="N347" s="34" t="s">
        <v>1743</v>
      </c>
      <c r="O347" s="35">
        <v>1</v>
      </c>
      <c r="P347" s="35"/>
      <c r="Q347" s="32"/>
      <c r="S347" s="1">
        <f t="shared" si="193"/>
        <v>0</v>
      </c>
      <c r="T347" s="1">
        <f t="shared" si="194"/>
        <v>0</v>
      </c>
      <c r="U347" s="1">
        <f t="shared" si="195"/>
        <v>0</v>
      </c>
      <c r="V347" s="1">
        <f t="shared" si="196"/>
        <v>0</v>
      </c>
      <c r="W347" s="1">
        <f t="shared" si="197"/>
        <v>0</v>
      </c>
      <c r="X347" s="1">
        <f t="shared" si="198"/>
        <v>0</v>
      </c>
      <c r="Y347" s="1">
        <f t="shared" si="199"/>
        <v>1</v>
      </c>
      <c r="Z347" s="1">
        <f t="shared" si="200"/>
        <v>0</v>
      </c>
      <c r="AA347" s="1">
        <f t="shared" si="201"/>
        <v>0</v>
      </c>
      <c r="AB347" s="1">
        <f t="shared" si="202"/>
        <v>0</v>
      </c>
      <c r="AD347" s="1">
        <f t="shared" si="203"/>
        <v>0</v>
      </c>
      <c r="AE347" s="1">
        <f t="shared" si="204"/>
        <v>1</v>
      </c>
      <c r="AF347" s="1">
        <f t="shared" si="189"/>
        <v>0</v>
      </c>
      <c r="AG347" s="1">
        <f t="shared" si="190"/>
        <v>1</v>
      </c>
      <c r="AH347" s="1">
        <f t="shared" si="191"/>
        <v>0</v>
      </c>
      <c r="AI347" s="1">
        <f t="shared" si="192"/>
        <v>1</v>
      </c>
    </row>
    <row r="348" spans="1:35" s="1" customFormat="1" ht="14.25" customHeight="1" x14ac:dyDescent="0.25">
      <c r="A348" s="44">
        <v>0</v>
      </c>
      <c r="B348" s="44">
        <v>2</v>
      </c>
      <c r="C348" s="44">
        <v>3</v>
      </c>
      <c r="D348" s="45" t="s">
        <v>841</v>
      </c>
      <c r="E348" s="45" t="s">
        <v>32</v>
      </c>
      <c r="F348" s="45" t="s">
        <v>843</v>
      </c>
      <c r="G348" s="45" t="s">
        <v>39</v>
      </c>
      <c r="H348" s="45" t="s">
        <v>354</v>
      </c>
      <c r="I348" s="44" t="s">
        <v>842</v>
      </c>
      <c r="J348" s="44">
        <v>1</v>
      </c>
      <c r="K348" s="46" t="s">
        <v>713</v>
      </c>
      <c r="L348" s="46" t="s">
        <v>694</v>
      </c>
      <c r="M348" s="47" t="s">
        <v>1415</v>
      </c>
      <c r="N348" s="47" t="s">
        <v>1735</v>
      </c>
      <c r="O348" s="48"/>
      <c r="P348" s="48"/>
      <c r="Q348" s="45"/>
      <c r="S348" s="1">
        <f t="shared" si="193"/>
        <v>1</v>
      </c>
      <c r="T348" s="1">
        <f t="shared" si="194"/>
        <v>0</v>
      </c>
      <c r="U348" s="1">
        <f t="shared" si="195"/>
        <v>0</v>
      </c>
      <c r="V348" s="1">
        <f t="shared" si="196"/>
        <v>0</v>
      </c>
      <c r="W348" s="1">
        <f t="shared" si="197"/>
        <v>0</v>
      </c>
      <c r="X348" s="1">
        <f t="shared" si="198"/>
        <v>0</v>
      </c>
      <c r="Y348" s="1">
        <f t="shared" si="199"/>
        <v>0</v>
      </c>
      <c r="Z348" s="1">
        <f t="shared" si="200"/>
        <v>0</v>
      </c>
      <c r="AA348" s="1">
        <f t="shared" si="201"/>
        <v>0</v>
      </c>
      <c r="AB348" s="1">
        <f t="shared" si="202"/>
        <v>0</v>
      </c>
      <c r="AD348" s="1">
        <f t="shared" si="203"/>
        <v>0</v>
      </c>
      <c r="AE348" s="1">
        <f t="shared" si="204"/>
        <v>0</v>
      </c>
      <c r="AF348" s="1">
        <f t="shared" si="189"/>
        <v>0</v>
      </c>
      <c r="AG348" s="1">
        <f t="shared" si="190"/>
        <v>0</v>
      </c>
      <c r="AH348" s="1">
        <f t="shared" si="191"/>
        <v>0</v>
      </c>
      <c r="AI348" s="1">
        <f t="shared" si="192"/>
        <v>1</v>
      </c>
    </row>
    <row r="349" spans="1:35" s="1" customFormat="1" ht="14.25" customHeight="1" x14ac:dyDescent="0.25">
      <c r="A349" s="15">
        <v>0</v>
      </c>
      <c r="B349" s="15">
        <v>2</v>
      </c>
      <c r="C349" s="15">
        <v>4</v>
      </c>
      <c r="D349" s="16" t="s">
        <v>764</v>
      </c>
      <c r="E349" s="16" t="s">
        <v>765</v>
      </c>
      <c r="F349" s="16" t="s">
        <v>766</v>
      </c>
      <c r="G349" s="16" t="s">
        <v>767</v>
      </c>
      <c r="H349" s="16" t="s">
        <v>354</v>
      </c>
      <c r="I349" s="15" t="s">
        <v>768</v>
      </c>
      <c r="J349" s="15">
        <v>99</v>
      </c>
      <c r="K349" s="10" t="s">
        <v>703</v>
      </c>
      <c r="L349" s="10">
        <v>15</v>
      </c>
      <c r="M349" s="19" t="s">
        <v>769</v>
      </c>
      <c r="N349" s="19"/>
      <c r="Q349" s="16"/>
      <c r="S349" s="1">
        <f t="shared" si="193"/>
        <v>0</v>
      </c>
      <c r="T349" s="1">
        <f t="shared" si="194"/>
        <v>0</v>
      </c>
      <c r="U349" s="1">
        <f t="shared" si="195"/>
        <v>0</v>
      </c>
      <c r="V349" s="1">
        <f t="shared" si="196"/>
        <v>0</v>
      </c>
      <c r="W349" s="1">
        <f t="shared" si="197"/>
        <v>0</v>
      </c>
      <c r="X349" s="1">
        <f t="shared" si="198"/>
        <v>0</v>
      </c>
      <c r="Y349" s="1">
        <f t="shared" si="199"/>
        <v>0</v>
      </c>
      <c r="Z349" s="1">
        <f t="shared" si="200"/>
        <v>0</v>
      </c>
      <c r="AA349" s="1">
        <f t="shared" si="201"/>
        <v>0</v>
      </c>
      <c r="AB349" s="1">
        <f t="shared" si="202"/>
        <v>0</v>
      </c>
      <c r="AD349" s="1">
        <f t="shared" si="203"/>
        <v>0</v>
      </c>
      <c r="AE349" s="1">
        <f t="shared" si="204"/>
        <v>0</v>
      </c>
      <c r="AF349" s="1">
        <f t="shared" si="189"/>
        <v>0</v>
      </c>
      <c r="AG349" s="1">
        <f t="shared" si="190"/>
        <v>0</v>
      </c>
      <c r="AH349" s="1">
        <f t="shared" si="191"/>
        <v>0</v>
      </c>
      <c r="AI349" s="1">
        <f t="shared" si="192"/>
        <v>1</v>
      </c>
    </row>
    <row r="350" spans="1:35" s="1" customFormat="1" ht="14.25" customHeight="1" x14ac:dyDescent="0.25">
      <c r="A350" s="44">
        <v>0</v>
      </c>
      <c r="B350" s="44">
        <v>2</v>
      </c>
      <c r="C350" s="44">
        <v>4</v>
      </c>
      <c r="D350" s="45" t="s">
        <v>798</v>
      </c>
      <c r="E350" s="45" t="s">
        <v>908</v>
      </c>
      <c r="F350" s="45" t="s">
        <v>925</v>
      </c>
      <c r="G350" s="45" t="s">
        <v>208</v>
      </c>
      <c r="H350" s="45" t="s">
        <v>354</v>
      </c>
      <c r="I350" s="44" t="s">
        <v>1363</v>
      </c>
      <c r="J350" s="44">
        <v>3</v>
      </c>
      <c r="K350" s="46" t="s">
        <v>703</v>
      </c>
      <c r="L350" s="46">
        <v>20</v>
      </c>
      <c r="M350" s="47" t="s">
        <v>1417</v>
      </c>
      <c r="N350" s="47" t="s">
        <v>1802</v>
      </c>
      <c r="O350" s="48"/>
      <c r="P350" s="48"/>
      <c r="Q350" s="45"/>
      <c r="S350" s="1">
        <f t="shared" si="193"/>
        <v>0</v>
      </c>
      <c r="T350" s="1">
        <f t="shared" si="194"/>
        <v>0</v>
      </c>
      <c r="U350" s="1">
        <f t="shared" si="195"/>
        <v>1</v>
      </c>
      <c r="V350" s="1">
        <f t="shared" si="196"/>
        <v>0</v>
      </c>
      <c r="W350" s="1">
        <f t="shared" si="197"/>
        <v>0</v>
      </c>
      <c r="X350" s="1">
        <f t="shared" si="198"/>
        <v>0</v>
      </c>
      <c r="Y350" s="1">
        <f t="shared" si="199"/>
        <v>0</v>
      </c>
      <c r="Z350" s="1">
        <f t="shared" si="200"/>
        <v>0</v>
      </c>
      <c r="AA350" s="1">
        <f t="shared" si="201"/>
        <v>0</v>
      </c>
      <c r="AB350" s="1">
        <f t="shared" si="202"/>
        <v>0</v>
      </c>
      <c r="AD350" s="1">
        <f t="shared" si="203"/>
        <v>0</v>
      </c>
      <c r="AE350" s="1">
        <f t="shared" si="204"/>
        <v>0</v>
      </c>
      <c r="AF350" s="1">
        <f t="shared" si="189"/>
        <v>0</v>
      </c>
      <c r="AG350" s="1">
        <f t="shared" si="190"/>
        <v>0</v>
      </c>
      <c r="AH350" s="1">
        <f t="shared" si="191"/>
        <v>0</v>
      </c>
      <c r="AI350" s="1">
        <f t="shared" si="192"/>
        <v>1</v>
      </c>
    </row>
    <row r="351" spans="1:35" s="1" customFormat="1" ht="14.25" customHeight="1" x14ac:dyDescent="0.25">
      <c r="A351" s="57">
        <v>0</v>
      </c>
      <c r="B351" s="57">
        <v>2</v>
      </c>
      <c r="C351" s="57">
        <v>4</v>
      </c>
      <c r="D351" s="58" t="s">
        <v>567</v>
      </c>
      <c r="E351" s="58" t="s">
        <v>37</v>
      </c>
      <c r="F351" s="58" t="s">
        <v>205</v>
      </c>
      <c r="G351" s="58" t="s">
        <v>39</v>
      </c>
      <c r="H351" s="58" t="s">
        <v>354</v>
      </c>
      <c r="I351" s="57" t="s">
        <v>389</v>
      </c>
      <c r="J351" s="57">
        <v>6</v>
      </c>
      <c r="K351" s="59" t="s">
        <v>703</v>
      </c>
      <c r="L351" s="59" t="s">
        <v>39</v>
      </c>
      <c r="M351" s="60" t="s">
        <v>39</v>
      </c>
      <c r="N351" s="61"/>
      <c r="O351" s="62"/>
      <c r="P351" s="62"/>
      <c r="Q351" s="58"/>
      <c r="S351" s="1">
        <f t="shared" si="193"/>
        <v>0</v>
      </c>
      <c r="T351" s="1">
        <f t="shared" si="194"/>
        <v>0</v>
      </c>
      <c r="U351" s="1">
        <f t="shared" si="195"/>
        <v>0</v>
      </c>
      <c r="V351" s="1">
        <f t="shared" si="196"/>
        <v>0</v>
      </c>
      <c r="W351" s="1">
        <f t="shared" si="197"/>
        <v>0</v>
      </c>
      <c r="X351" s="1">
        <f t="shared" si="198"/>
        <v>1</v>
      </c>
      <c r="Y351" s="1">
        <f t="shared" si="199"/>
        <v>0</v>
      </c>
      <c r="Z351" s="1">
        <f t="shared" si="200"/>
        <v>0</v>
      </c>
      <c r="AA351" s="1">
        <f t="shared" si="201"/>
        <v>0</v>
      </c>
      <c r="AB351" s="1">
        <f t="shared" si="202"/>
        <v>0</v>
      </c>
      <c r="AD351" s="1">
        <f t="shared" si="203"/>
        <v>0</v>
      </c>
      <c r="AE351" s="1">
        <f t="shared" si="204"/>
        <v>0</v>
      </c>
      <c r="AF351" s="1">
        <f t="shared" si="189"/>
        <v>0</v>
      </c>
      <c r="AG351" s="1">
        <f t="shared" si="190"/>
        <v>0</v>
      </c>
      <c r="AH351" s="1">
        <f t="shared" si="191"/>
        <v>0</v>
      </c>
      <c r="AI351" s="1">
        <f t="shared" si="192"/>
        <v>1</v>
      </c>
    </row>
    <row r="352" spans="1:35" s="1" customFormat="1" ht="14.25" customHeight="1" x14ac:dyDescent="0.25">
      <c r="A352" s="44">
        <v>0</v>
      </c>
      <c r="B352" s="44">
        <v>2</v>
      </c>
      <c r="C352" s="44">
        <v>4</v>
      </c>
      <c r="D352" s="45" t="s">
        <v>653</v>
      </c>
      <c r="E352" s="45" t="s">
        <v>910</v>
      </c>
      <c r="F352" s="45" t="s">
        <v>624</v>
      </c>
      <c r="G352" s="45" t="s">
        <v>341</v>
      </c>
      <c r="H352" s="45" t="s">
        <v>354</v>
      </c>
      <c r="I352" s="44" t="s">
        <v>625</v>
      </c>
      <c r="J352" s="44">
        <v>10</v>
      </c>
      <c r="K352" s="46" t="s">
        <v>954</v>
      </c>
      <c r="L352" s="46" t="s">
        <v>704</v>
      </c>
      <c r="M352" s="47" t="s">
        <v>1418</v>
      </c>
      <c r="N352" s="47" t="s">
        <v>1734</v>
      </c>
      <c r="O352" s="48"/>
      <c r="P352" s="48"/>
      <c r="Q352" s="45"/>
      <c r="S352" s="1">
        <f t="shared" si="193"/>
        <v>0</v>
      </c>
      <c r="T352" s="1">
        <f t="shared" si="194"/>
        <v>0</v>
      </c>
      <c r="U352" s="1">
        <f t="shared" si="195"/>
        <v>0</v>
      </c>
      <c r="V352" s="1">
        <f t="shared" si="196"/>
        <v>0</v>
      </c>
      <c r="W352" s="1">
        <f t="shared" si="197"/>
        <v>0</v>
      </c>
      <c r="X352" s="1">
        <f t="shared" si="198"/>
        <v>0</v>
      </c>
      <c r="Y352" s="1">
        <f t="shared" si="199"/>
        <v>0</v>
      </c>
      <c r="Z352" s="1">
        <f t="shared" si="200"/>
        <v>0</v>
      </c>
      <c r="AA352" s="1">
        <f t="shared" si="201"/>
        <v>0</v>
      </c>
      <c r="AB352" s="1">
        <f t="shared" si="202"/>
        <v>1</v>
      </c>
      <c r="AD352" s="1">
        <f t="shared" si="203"/>
        <v>0</v>
      </c>
      <c r="AE352" s="1">
        <f t="shared" si="204"/>
        <v>0</v>
      </c>
      <c r="AF352" s="1">
        <f t="shared" si="189"/>
        <v>0</v>
      </c>
      <c r="AG352" s="1">
        <f t="shared" si="190"/>
        <v>0</v>
      </c>
      <c r="AH352" s="1">
        <f t="shared" si="191"/>
        <v>0</v>
      </c>
      <c r="AI352" s="1">
        <f t="shared" si="192"/>
        <v>1</v>
      </c>
    </row>
    <row r="353" spans="1:35" s="1" customFormat="1" ht="14.25" customHeight="1" x14ac:dyDescent="0.25">
      <c r="A353" s="31">
        <v>0</v>
      </c>
      <c r="B353" s="31">
        <v>2</v>
      </c>
      <c r="C353" s="31">
        <v>4</v>
      </c>
      <c r="D353" s="32" t="s">
        <v>75</v>
      </c>
      <c r="E353" s="32" t="s">
        <v>35</v>
      </c>
      <c r="F353" s="32" t="s">
        <v>266</v>
      </c>
      <c r="G353" s="32" t="s">
        <v>213</v>
      </c>
      <c r="H353" s="32" t="s">
        <v>354</v>
      </c>
      <c r="I353" s="31" t="s">
        <v>945</v>
      </c>
      <c r="J353" s="31">
        <v>1</v>
      </c>
      <c r="K353" s="33" t="s">
        <v>713</v>
      </c>
      <c r="L353" s="33" t="s">
        <v>704</v>
      </c>
      <c r="M353" s="34" t="s">
        <v>1419</v>
      </c>
      <c r="N353" s="34" t="s">
        <v>1743</v>
      </c>
      <c r="O353" s="35">
        <v>1</v>
      </c>
      <c r="P353" s="35"/>
      <c r="Q353" s="32"/>
      <c r="S353" s="1">
        <f t="shared" si="193"/>
        <v>1</v>
      </c>
      <c r="T353" s="1">
        <f t="shared" si="194"/>
        <v>0</v>
      </c>
      <c r="U353" s="1">
        <f t="shared" si="195"/>
        <v>0</v>
      </c>
      <c r="V353" s="1">
        <f t="shared" si="196"/>
        <v>0</v>
      </c>
      <c r="W353" s="1">
        <f t="shared" si="197"/>
        <v>0</v>
      </c>
      <c r="X353" s="1">
        <f t="shared" si="198"/>
        <v>0</v>
      </c>
      <c r="Y353" s="1">
        <f t="shared" si="199"/>
        <v>0</v>
      </c>
      <c r="Z353" s="1">
        <f t="shared" si="200"/>
        <v>0</v>
      </c>
      <c r="AA353" s="1">
        <f t="shared" si="201"/>
        <v>0</v>
      </c>
      <c r="AB353" s="1">
        <f t="shared" si="202"/>
        <v>0</v>
      </c>
      <c r="AD353" s="1">
        <f t="shared" si="203"/>
        <v>0</v>
      </c>
      <c r="AE353" s="1">
        <f t="shared" si="204"/>
        <v>1</v>
      </c>
      <c r="AF353" s="1">
        <f t="shared" si="189"/>
        <v>0</v>
      </c>
      <c r="AG353" s="1">
        <f t="shared" si="190"/>
        <v>1</v>
      </c>
      <c r="AH353" s="1">
        <f t="shared" si="191"/>
        <v>0</v>
      </c>
      <c r="AI353" s="1">
        <f t="shared" si="192"/>
        <v>1</v>
      </c>
    </row>
    <row r="354" spans="1:35" s="1" customFormat="1" ht="14.25" customHeight="1" x14ac:dyDescent="0.25">
      <c r="A354" s="31">
        <v>0</v>
      </c>
      <c r="B354" s="31">
        <v>2</v>
      </c>
      <c r="C354" s="31">
        <v>4</v>
      </c>
      <c r="D354" s="32" t="s">
        <v>919</v>
      </c>
      <c r="E354" s="32" t="s">
        <v>912</v>
      </c>
      <c r="F354" s="32" t="s">
        <v>782</v>
      </c>
      <c r="G354" s="32" t="s">
        <v>285</v>
      </c>
      <c r="H354" s="32" t="s">
        <v>354</v>
      </c>
      <c r="I354" s="31" t="s">
        <v>946</v>
      </c>
      <c r="J354" s="31">
        <v>4</v>
      </c>
      <c r="K354" s="33" t="s">
        <v>713</v>
      </c>
      <c r="L354" s="33" t="s">
        <v>696</v>
      </c>
      <c r="M354" s="34" t="s">
        <v>1420</v>
      </c>
      <c r="N354" s="34" t="s">
        <v>1749</v>
      </c>
      <c r="O354" s="35">
        <v>1</v>
      </c>
      <c r="P354" s="35"/>
      <c r="Q354" s="32"/>
      <c r="S354" s="1">
        <f t="shared" si="193"/>
        <v>0</v>
      </c>
      <c r="T354" s="1">
        <f t="shared" si="194"/>
        <v>0</v>
      </c>
      <c r="U354" s="1">
        <f t="shared" si="195"/>
        <v>0</v>
      </c>
      <c r="V354" s="1">
        <f t="shared" si="196"/>
        <v>1</v>
      </c>
      <c r="W354" s="1">
        <f t="shared" si="197"/>
        <v>0</v>
      </c>
      <c r="X354" s="1">
        <f t="shared" si="198"/>
        <v>0</v>
      </c>
      <c r="Y354" s="1">
        <f t="shared" si="199"/>
        <v>0</v>
      </c>
      <c r="Z354" s="1">
        <f t="shared" si="200"/>
        <v>0</v>
      </c>
      <c r="AA354" s="1">
        <f t="shared" si="201"/>
        <v>0</v>
      </c>
      <c r="AB354" s="1">
        <f t="shared" si="202"/>
        <v>0</v>
      </c>
      <c r="AD354" s="1">
        <f t="shared" si="203"/>
        <v>0</v>
      </c>
      <c r="AE354" s="1">
        <f t="shared" si="204"/>
        <v>1</v>
      </c>
      <c r="AF354" s="1">
        <f t="shared" si="189"/>
        <v>0</v>
      </c>
      <c r="AG354" s="1">
        <f t="shared" si="190"/>
        <v>1</v>
      </c>
      <c r="AH354" s="1">
        <f t="shared" si="191"/>
        <v>0</v>
      </c>
      <c r="AI354" s="1">
        <f t="shared" si="192"/>
        <v>1</v>
      </c>
    </row>
    <row r="355" spans="1:35" s="1" customFormat="1" ht="14.25" customHeight="1" x14ac:dyDescent="0.25">
      <c r="A355" s="15">
        <v>0</v>
      </c>
      <c r="B355" s="15">
        <v>2</v>
      </c>
      <c r="C355" s="15">
        <v>4</v>
      </c>
      <c r="D355" s="16" t="s">
        <v>629</v>
      </c>
      <c r="E355" s="16" t="s">
        <v>685</v>
      </c>
      <c r="F355" s="16" t="s">
        <v>670</v>
      </c>
      <c r="G355" s="16" t="s">
        <v>628</v>
      </c>
      <c r="H355" s="16" t="s">
        <v>354</v>
      </c>
      <c r="I355" s="15" t="s">
        <v>630</v>
      </c>
      <c r="J355" s="15">
        <v>99</v>
      </c>
      <c r="K355" s="10" t="s">
        <v>955</v>
      </c>
      <c r="L355" s="10" t="s">
        <v>39</v>
      </c>
      <c r="M355" s="19" t="s">
        <v>39</v>
      </c>
      <c r="N355" s="17"/>
      <c r="Q355" s="20" t="s">
        <v>1897</v>
      </c>
      <c r="S355" s="1">
        <f t="shared" si="193"/>
        <v>0</v>
      </c>
      <c r="T355" s="1">
        <f t="shared" si="194"/>
        <v>0</v>
      </c>
      <c r="U355" s="1">
        <f t="shared" si="195"/>
        <v>0</v>
      </c>
      <c r="V355" s="1">
        <f t="shared" si="196"/>
        <v>0</v>
      </c>
      <c r="W355" s="1">
        <f t="shared" si="197"/>
        <v>0</v>
      </c>
      <c r="X355" s="1">
        <f t="shared" si="198"/>
        <v>0</v>
      </c>
      <c r="Y355" s="1">
        <f t="shared" si="199"/>
        <v>0</v>
      </c>
      <c r="Z355" s="1">
        <f t="shared" si="200"/>
        <v>0</v>
      </c>
      <c r="AA355" s="1">
        <f t="shared" si="201"/>
        <v>0</v>
      </c>
      <c r="AB355" s="1">
        <f t="shared" si="202"/>
        <v>0</v>
      </c>
      <c r="AD355" s="1">
        <f t="shared" si="203"/>
        <v>0</v>
      </c>
      <c r="AE355" s="1">
        <f t="shared" si="204"/>
        <v>0</v>
      </c>
      <c r="AF355" s="1">
        <f t="shared" si="189"/>
        <v>0</v>
      </c>
      <c r="AG355" s="1">
        <f t="shared" si="190"/>
        <v>0</v>
      </c>
      <c r="AH355" s="1">
        <f t="shared" si="191"/>
        <v>0</v>
      </c>
      <c r="AI355" s="1">
        <f t="shared" si="192"/>
        <v>1</v>
      </c>
    </row>
    <row r="356" spans="1:35" s="1" customFormat="1" ht="14.25" customHeight="1" x14ac:dyDescent="0.25">
      <c r="A356" s="31">
        <v>0</v>
      </c>
      <c r="B356" s="31">
        <v>2</v>
      </c>
      <c r="C356" s="31">
        <v>4</v>
      </c>
      <c r="D356" s="32" t="s">
        <v>84</v>
      </c>
      <c r="E356" s="32" t="s">
        <v>35</v>
      </c>
      <c r="F356" s="32" t="s">
        <v>277</v>
      </c>
      <c r="G356" s="32" t="s">
        <v>224</v>
      </c>
      <c r="H356" s="32" t="s">
        <v>354</v>
      </c>
      <c r="I356" s="31" t="s">
        <v>433</v>
      </c>
      <c r="J356" s="31">
        <v>99</v>
      </c>
      <c r="K356" s="33" t="s">
        <v>954</v>
      </c>
      <c r="L356" s="33" t="s">
        <v>704</v>
      </c>
      <c r="M356" s="34" t="s">
        <v>726</v>
      </c>
      <c r="N356" s="34" t="s">
        <v>1761</v>
      </c>
      <c r="O356" s="35">
        <v>1</v>
      </c>
      <c r="P356" s="35"/>
      <c r="Q356" s="32"/>
      <c r="S356" s="1">
        <f t="shared" si="193"/>
        <v>0</v>
      </c>
      <c r="T356" s="1">
        <f t="shared" si="194"/>
        <v>0</v>
      </c>
      <c r="U356" s="1">
        <f t="shared" si="195"/>
        <v>0</v>
      </c>
      <c r="V356" s="1">
        <f t="shared" si="196"/>
        <v>0</v>
      </c>
      <c r="W356" s="1">
        <f t="shared" si="197"/>
        <v>0</v>
      </c>
      <c r="X356" s="1">
        <f t="shared" si="198"/>
        <v>0</v>
      </c>
      <c r="Y356" s="1">
        <f t="shared" si="199"/>
        <v>0</v>
      </c>
      <c r="Z356" s="1">
        <f t="shared" si="200"/>
        <v>0</v>
      </c>
      <c r="AA356" s="1">
        <f t="shared" si="201"/>
        <v>0</v>
      </c>
      <c r="AB356" s="1">
        <f t="shared" si="202"/>
        <v>0</v>
      </c>
      <c r="AD356" s="1">
        <f t="shared" si="203"/>
        <v>0</v>
      </c>
      <c r="AE356" s="1">
        <f t="shared" si="204"/>
        <v>1</v>
      </c>
      <c r="AF356" s="1">
        <f t="shared" si="189"/>
        <v>0</v>
      </c>
      <c r="AG356" s="1">
        <f t="shared" si="190"/>
        <v>1</v>
      </c>
      <c r="AH356" s="1">
        <f t="shared" si="191"/>
        <v>0</v>
      </c>
      <c r="AI356" s="1">
        <f t="shared" si="192"/>
        <v>1</v>
      </c>
    </row>
    <row r="357" spans="1:35" s="1" customFormat="1" ht="14.25" customHeight="1" x14ac:dyDescent="0.25">
      <c r="A357" s="15">
        <v>0</v>
      </c>
      <c r="B357" s="15">
        <v>2</v>
      </c>
      <c r="C357" s="15">
        <v>4</v>
      </c>
      <c r="D357" s="16" t="s">
        <v>879</v>
      </c>
      <c r="E357" s="16" t="s">
        <v>772</v>
      </c>
      <c r="F357" s="16" t="s">
        <v>877</v>
      </c>
      <c r="G357" s="16" t="s">
        <v>279</v>
      </c>
      <c r="H357" s="16" t="s">
        <v>354</v>
      </c>
      <c r="I357" s="15" t="s">
        <v>878</v>
      </c>
      <c r="J357" s="15">
        <v>99</v>
      </c>
      <c r="K357" s="10" t="s">
        <v>703</v>
      </c>
      <c r="L357" s="10">
        <v>25</v>
      </c>
      <c r="M357" s="19" t="s">
        <v>1421</v>
      </c>
      <c r="N357" s="19"/>
      <c r="Q357" s="16"/>
      <c r="S357" s="1">
        <f t="shared" si="193"/>
        <v>0</v>
      </c>
      <c r="T357" s="1">
        <f t="shared" si="194"/>
        <v>0</v>
      </c>
      <c r="U357" s="1">
        <f t="shared" si="195"/>
        <v>0</v>
      </c>
      <c r="V357" s="1">
        <f t="shared" si="196"/>
        <v>0</v>
      </c>
      <c r="W357" s="1">
        <f t="shared" si="197"/>
        <v>0</v>
      </c>
      <c r="X357" s="1">
        <f t="shared" si="198"/>
        <v>0</v>
      </c>
      <c r="Y357" s="1">
        <f t="shared" si="199"/>
        <v>0</v>
      </c>
      <c r="Z357" s="1">
        <f t="shared" si="200"/>
        <v>0</v>
      </c>
      <c r="AA357" s="1">
        <f t="shared" si="201"/>
        <v>0</v>
      </c>
      <c r="AB357" s="1">
        <f t="shared" si="202"/>
        <v>0</v>
      </c>
      <c r="AD357" s="1">
        <f t="shared" si="203"/>
        <v>0</v>
      </c>
      <c r="AE357" s="1">
        <f t="shared" si="204"/>
        <v>0</v>
      </c>
      <c r="AF357" s="1">
        <f t="shared" si="189"/>
        <v>0</v>
      </c>
      <c r="AG357" s="1">
        <f t="shared" si="190"/>
        <v>0</v>
      </c>
      <c r="AH357" s="1">
        <f t="shared" si="191"/>
        <v>0</v>
      </c>
      <c r="AI357" s="1">
        <f t="shared" si="192"/>
        <v>1</v>
      </c>
    </row>
    <row r="358" spans="1:35" s="1" customFormat="1" ht="14.25" customHeight="1" x14ac:dyDescent="0.25">
      <c r="A358" s="31">
        <v>0</v>
      </c>
      <c r="B358" s="31">
        <v>2</v>
      </c>
      <c r="C358" s="31">
        <v>4</v>
      </c>
      <c r="D358" s="32" t="s">
        <v>922</v>
      </c>
      <c r="E358" s="32" t="s">
        <v>772</v>
      </c>
      <c r="F358" s="32" t="s">
        <v>844</v>
      </c>
      <c r="G358" s="32" t="s">
        <v>209</v>
      </c>
      <c r="H358" s="32" t="s">
        <v>354</v>
      </c>
      <c r="I358" s="31" t="s">
        <v>845</v>
      </c>
      <c r="J358" s="31">
        <v>99</v>
      </c>
      <c r="K358" s="33" t="s">
        <v>712</v>
      </c>
      <c r="L358" s="33" t="s">
        <v>704</v>
      </c>
      <c r="M358" s="34" t="s">
        <v>726</v>
      </c>
      <c r="N358" s="34" t="s">
        <v>1756</v>
      </c>
      <c r="O358" s="35">
        <v>1</v>
      </c>
      <c r="P358" s="35"/>
      <c r="Q358" s="32"/>
      <c r="S358" s="1">
        <f t="shared" si="193"/>
        <v>0</v>
      </c>
      <c r="T358" s="1">
        <f t="shared" si="194"/>
        <v>0</v>
      </c>
      <c r="U358" s="1">
        <f t="shared" si="195"/>
        <v>0</v>
      </c>
      <c r="V358" s="1">
        <f t="shared" si="196"/>
        <v>0</v>
      </c>
      <c r="W358" s="1">
        <f t="shared" si="197"/>
        <v>0</v>
      </c>
      <c r="X358" s="1">
        <f t="shared" si="198"/>
        <v>0</v>
      </c>
      <c r="Y358" s="1">
        <f t="shared" si="199"/>
        <v>0</v>
      </c>
      <c r="Z358" s="1">
        <f t="shared" si="200"/>
        <v>0</v>
      </c>
      <c r="AA358" s="1">
        <f t="shared" si="201"/>
        <v>0</v>
      </c>
      <c r="AB358" s="1">
        <f t="shared" si="202"/>
        <v>0</v>
      </c>
      <c r="AD358" s="1">
        <f t="shared" ref="AD358:AD360" si="205">+O358*P358</f>
        <v>0</v>
      </c>
      <c r="AE358" s="1">
        <f t="shared" ref="AE358:AE360" si="206">O358*(1-P358)</f>
        <v>1</v>
      </c>
      <c r="AF358" s="1">
        <f t="shared" ref="AF358:AF360" si="207">+O358*P358*(1-A358)</f>
        <v>0</v>
      </c>
      <c r="AG358" s="1">
        <f t="shared" ref="AG358:AG360" si="208">O358*(1-P358)*(1-A358)</f>
        <v>1</v>
      </c>
      <c r="AH358" s="1">
        <f t="shared" ref="AH358:AH360" si="209">+P358*(1-A358)</f>
        <v>0</v>
      </c>
      <c r="AI358" s="1">
        <f t="shared" ref="AI358:AI360" si="210">+(1-A358)*(1-P358)</f>
        <v>1</v>
      </c>
    </row>
    <row r="359" spans="1:35" s="1" customFormat="1" ht="14.25" customHeight="1" x14ac:dyDescent="0.25">
      <c r="A359" s="15">
        <v>0</v>
      </c>
      <c r="B359" s="15">
        <v>2</v>
      </c>
      <c r="C359" s="15">
        <v>4</v>
      </c>
      <c r="D359" s="16" t="s">
        <v>2029</v>
      </c>
      <c r="E359" s="16" t="s">
        <v>35</v>
      </c>
      <c r="F359" s="16" t="s">
        <v>2030</v>
      </c>
      <c r="G359" s="20" t="s">
        <v>209</v>
      </c>
      <c r="H359" s="20" t="s">
        <v>354</v>
      </c>
      <c r="I359" s="21" t="s">
        <v>2031</v>
      </c>
      <c r="J359" s="15">
        <v>99</v>
      </c>
      <c r="K359" s="10" t="s">
        <v>703</v>
      </c>
      <c r="L359" s="10">
        <v>25</v>
      </c>
      <c r="M359" s="19" t="s">
        <v>2033</v>
      </c>
      <c r="N359" s="19"/>
      <c r="Q359" s="16" t="s">
        <v>2032</v>
      </c>
      <c r="S359" s="1">
        <f t="shared" si="193"/>
        <v>0</v>
      </c>
      <c r="T359" s="1">
        <f t="shared" si="194"/>
        <v>0</v>
      </c>
      <c r="U359" s="1">
        <f t="shared" si="195"/>
        <v>0</v>
      </c>
      <c r="V359" s="1">
        <f t="shared" si="196"/>
        <v>0</v>
      </c>
      <c r="W359" s="1">
        <f t="shared" si="197"/>
        <v>0</v>
      </c>
      <c r="X359" s="1">
        <f t="shared" si="198"/>
        <v>0</v>
      </c>
      <c r="Y359" s="1">
        <f t="shared" si="199"/>
        <v>0</v>
      </c>
      <c r="Z359" s="1">
        <f t="shared" si="200"/>
        <v>0</v>
      </c>
      <c r="AA359" s="1">
        <f t="shared" si="201"/>
        <v>0</v>
      </c>
      <c r="AB359" s="1">
        <f t="shared" si="202"/>
        <v>0</v>
      </c>
      <c r="AD359" s="1">
        <f t="shared" si="205"/>
        <v>0</v>
      </c>
      <c r="AE359" s="1">
        <f t="shared" si="206"/>
        <v>0</v>
      </c>
      <c r="AF359" s="1">
        <f t="shared" si="207"/>
        <v>0</v>
      </c>
      <c r="AG359" s="1">
        <f t="shared" si="208"/>
        <v>0</v>
      </c>
      <c r="AH359" s="1">
        <f t="shared" si="209"/>
        <v>0</v>
      </c>
      <c r="AI359" s="1">
        <f t="shared" si="210"/>
        <v>1</v>
      </c>
    </row>
    <row r="360" spans="1:35" s="1" customFormat="1" ht="14.25" customHeight="1" x14ac:dyDescent="0.25">
      <c r="A360" s="44">
        <v>0</v>
      </c>
      <c r="B360" s="44">
        <v>2</v>
      </c>
      <c r="C360" s="44">
        <v>4</v>
      </c>
      <c r="D360" s="45" t="s">
        <v>1223</v>
      </c>
      <c r="E360" s="45" t="s">
        <v>1222</v>
      </c>
      <c r="F360" s="45" t="s">
        <v>1224</v>
      </c>
      <c r="G360" s="45" t="s">
        <v>535</v>
      </c>
      <c r="H360" s="45" t="s">
        <v>354</v>
      </c>
      <c r="I360" s="44" t="s">
        <v>1225</v>
      </c>
      <c r="J360" s="44">
        <v>99</v>
      </c>
      <c r="K360" s="46" t="s">
        <v>713</v>
      </c>
      <c r="L360" s="46" t="s">
        <v>694</v>
      </c>
      <c r="M360" s="47" t="s">
        <v>1422</v>
      </c>
      <c r="N360" s="47" t="s">
        <v>1747</v>
      </c>
      <c r="O360" s="48"/>
      <c r="P360" s="48"/>
      <c r="Q360" s="45"/>
      <c r="S360" s="1">
        <f t="shared" si="193"/>
        <v>0</v>
      </c>
      <c r="T360" s="1">
        <f t="shared" si="194"/>
        <v>0</v>
      </c>
      <c r="U360" s="1">
        <f t="shared" si="195"/>
        <v>0</v>
      </c>
      <c r="V360" s="1">
        <f t="shared" si="196"/>
        <v>0</v>
      </c>
      <c r="W360" s="1">
        <f t="shared" si="197"/>
        <v>0</v>
      </c>
      <c r="X360" s="1">
        <f t="shared" si="198"/>
        <v>0</v>
      </c>
      <c r="Y360" s="1">
        <f t="shared" si="199"/>
        <v>0</v>
      </c>
      <c r="Z360" s="1">
        <f t="shared" si="200"/>
        <v>0</v>
      </c>
      <c r="AA360" s="1">
        <f t="shared" si="201"/>
        <v>0</v>
      </c>
      <c r="AB360" s="1">
        <f t="shared" si="202"/>
        <v>0</v>
      </c>
      <c r="AD360" s="1">
        <f t="shared" si="205"/>
        <v>0</v>
      </c>
      <c r="AE360" s="1">
        <f t="shared" si="206"/>
        <v>0</v>
      </c>
      <c r="AF360" s="1">
        <f t="shared" si="207"/>
        <v>0</v>
      </c>
      <c r="AG360" s="1">
        <f t="shared" si="208"/>
        <v>0</v>
      </c>
      <c r="AH360" s="1">
        <f t="shared" si="209"/>
        <v>0</v>
      </c>
      <c r="AI360" s="1">
        <f t="shared" si="210"/>
        <v>1</v>
      </c>
    </row>
    <row r="361" spans="1:35" s="1" customFormat="1" ht="14.25" customHeight="1" x14ac:dyDescent="0.25">
      <c r="A361" s="31">
        <v>0</v>
      </c>
      <c r="B361" s="31">
        <v>2</v>
      </c>
      <c r="C361" s="31">
        <v>4</v>
      </c>
      <c r="D361" s="32" t="s">
        <v>823</v>
      </c>
      <c r="E361" s="32" t="s">
        <v>590</v>
      </c>
      <c r="F361" s="32" t="s">
        <v>824</v>
      </c>
      <c r="G361" s="32" t="s">
        <v>937</v>
      </c>
      <c r="H361" s="32" t="s">
        <v>354</v>
      </c>
      <c r="I361" s="31" t="s">
        <v>951</v>
      </c>
      <c r="J361" s="31">
        <v>7</v>
      </c>
      <c r="K361" s="33" t="s">
        <v>712</v>
      </c>
      <c r="L361" s="33" t="s">
        <v>39</v>
      </c>
      <c r="M361" s="34" t="s">
        <v>39</v>
      </c>
      <c r="N361" s="34" t="s">
        <v>1727</v>
      </c>
      <c r="O361" s="35">
        <v>1</v>
      </c>
      <c r="P361" s="35">
        <v>1</v>
      </c>
      <c r="Q361" s="32"/>
      <c r="S361" s="1">
        <f t="shared" si="193"/>
        <v>0</v>
      </c>
      <c r="T361" s="1">
        <f t="shared" si="194"/>
        <v>0</v>
      </c>
      <c r="U361" s="1">
        <f t="shared" si="195"/>
        <v>0</v>
      </c>
      <c r="V361" s="1">
        <f t="shared" si="196"/>
        <v>0</v>
      </c>
      <c r="W361" s="1">
        <f t="shared" si="197"/>
        <v>0</v>
      </c>
      <c r="X361" s="1">
        <f t="shared" si="198"/>
        <v>0</v>
      </c>
      <c r="Y361" s="1">
        <f t="shared" si="199"/>
        <v>1</v>
      </c>
      <c r="Z361" s="1">
        <f t="shared" si="200"/>
        <v>0</v>
      </c>
      <c r="AA361" s="1">
        <f t="shared" si="201"/>
        <v>0</v>
      </c>
      <c r="AB361" s="1">
        <f t="shared" si="202"/>
        <v>0</v>
      </c>
      <c r="AD361" s="1">
        <f t="shared" si="203"/>
        <v>1</v>
      </c>
      <c r="AE361" s="1">
        <f t="shared" si="204"/>
        <v>0</v>
      </c>
      <c r="AF361" s="1">
        <f t="shared" si="189"/>
        <v>1</v>
      </c>
      <c r="AG361" s="1">
        <f t="shared" si="190"/>
        <v>0</v>
      </c>
      <c r="AH361" s="1">
        <f t="shared" si="191"/>
        <v>1</v>
      </c>
      <c r="AI361" s="1">
        <f t="shared" si="192"/>
        <v>0</v>
      </c>
    </row>
    <row r="362" spans="1:35" s="1" customFormat="1" ht="14.25" customHeight="1" x14ac:dyDescent="0.25">
      <c r="A362" s="44">
        <v>0</v>
      </c>
      <c r="B362" s="44">
        <v>2</v>
      </c>
      <c r="C362" s="44">
        <v>4</v>
      </c>
      <c r="D362" s="45" t="s">
        <v>1605</v>
      </c>
      <c r="E362" s="45" t="s">
        <v>1655</v>
      </c>
      <c r="F362" s="45" t="s">
        <v>1606</v>
      </c>
      <c r="G362" s="45" t="s">
        <v>333</v>
      </c>
      <c r="H362" s="45" t="s">
        <v>354</v>
      </c>
      <c r="I362" s="44" t="s">
        <v>30</v>
      </c>
      <c r="J362" s="44">
        <v>99</v>
      </c>
      <c r="K362" s="46" t="s">
        <v>713</v>
      </c>
      <c r="L362" s="46">
        <v>20</v>
      </c>
      <c r="M362" s="47" t="s">
        <v>39</v>
      </c>
      <c r="N362" s="47" t="s">
        <v>1741</v>
      </c>
      <c r="O362" s="48"/>
      <c r="P362" s="48"/>
      <c r="Q362" s="45"/>
      <c r="S362" s="1">
        <f t="shared" si="193"/>
        <v>0</v>
      </c>
      <c r="T362" s="1">
        <f t="shared" si="194"/>
        <v>0</v>
      </c>
      <c r="U362" s="1">
        <f t="shared" si="195"/>
        <v>0</v>
      </c>
      <c r="V362" s="1">
        <f t="shared" si="196"/>
        <v>0</v>
      </c>
      <c r="W362" s="1">
        <f t="shared" si="197"/>
        <v>0</v>
      </c>
      <c r="X362" s="1">
        <f t="shared" si="198"/>
        <v>0</v>
      </c>
      <c r="Y362" s="1">
        <f t="shared" si="199"/>
        <v>0</v>
      </c>
      <c r="Z362" s="1">
        <f t="shared" si="200"/>
        <v>0</v>
      </c>
      <c r="AA362" s="1">
        <f t="shared" si="201"/>
        <v>0</v>
      </c>
      <c r="AB362" s="1">
        <f t="shared" si="202"/>
        <v>0</v>
      </c>
      <c r="AD362" s="1">
        <f t="shared" ref="AD362:AD365" si="211">+O362*P362</f>
        <v>0</v>
      </c>
      <c r="AE362" s="1">
        <f t="shared" ref="AE362:AE365" si="212">O362*(1-P362)</f>
        <v>0</v>
      </c>
      <c r="AF362" s="1">
        <f t="shared" ref="AF362:AF365" si="213">+O362*P362*(1-A362)</f>
        <v>0</v>
      </c>
      <c r="AG362" s="1">
        <f t="shared" ref="AG362:AG365" si="214">O362*(1-P362)*(1-A362)</f>
        <v>0</v>
      </c>
      <c r="AH362" s="1">
        <f t="shared" ref="AH362:AH365" si="215">+P362*(1-A362)</f>
        <v>0</v>
      </c>
      <c r="AI362" s="1">
        <f t="shared" ref="AI362:AI365" si="216">+(1-A362)*(1-P362)</f>
        <v>1</v>
      </c>
    </row>
    <row r="363" spans="1:35" s="1" customFormat="1" ht="14.25" customHeight="1" x14ac:dyDescent="0.25">
      <c r="A363" s="31">
        <v>0</v>
      </c>
      <c r="B363" s="31">
        <v>2</v>
      </c>
      <c r="C363" s="31">
        <v>5</v>
      </c>
      <c r="D363" s="32" t="s">
        <v>58</v>
      </c>
      <c r="E363" s="32" t="s">
        <v>44</v>
      </c>
      <c r="F363" s="32" t="s">
        <v>671</v>
      </c>
      <c r="G363" s="32" t="s">
        <v>223</v>
      </c>
      <c r="H363" s="32" t="s">
        <v>354</v>
      </c>
      <c r="I363" s="31" t="s">
        <v>397</v>
      </c>
      <c r="J363" s="31">
        <v>8</v>
      </c>
      <c r="K363" s="33" t="s">
        <v>713</v>
      </c>
      <c r="L363" s="33" t="s">
        <v>716</v>
      </c>
      <c r="M363" s="34" t="s">
        <v>1423</v>
      </c>
      <c r="N363" s="34" t="s">
        <v>1748</v>
      </c>
      <c r="O363" s="35">
        <v>1</v>
      </c>
      <c r="P363" s="35"/>
      <c r="Q363" s="32"/>
      <c r="S363" s="1">
        <f t="shared" si="193"/>
        <v>0</v>
      </c>
      <c r="T363" s="1">
        <f t="shared" si="194"/>
        <v>0</v>
      </c>
      <c r="U363" s="1">
        <f t="shared" si="195"/>
        <v>0</v>
      </c>
      <c r="V363" s="1">
        <f t="shared" si="196"/>
        <v>0</v>
      </c>
      <c r="W363" s="1">
        <f t="shared" si="197"/>
        <v>0</v>
      </c>
      <c r="X363" s="1">
        <f t="shared" si="198"/>
        <v>0</v>
      </c>
      <c r="Y363" s="1">
        <f t="shared" si="199"/>
        <v>0</v>
      </c>
      <c r="Z363" s="1">
        <f t="shared" si="200"/>
        <v>1</v>
      </c>
      <c r="AA363" s="1">
        <f t="shared" si="201"/>
        <v>0</v>
      </c>
      <c r="AB363" s="1">
        <f t="shared" si="202"/>
        <v>0</v>
      </c>
      <c r="AD363" s="1">
        <f t="shared" si="211"/>
        <v>0</v>
      </c>
      <c r="AE363" s="1">
        <f t="shared" si="212"/>
        <v>1</v>
      </c>
      <c r="AF363" s="1">
        <f t="shared" si="213"/>
        <v>0</v>
      </c>
      <c r="AG363" s="1">
        <f t="shared" si="214"/>
        <v>1</v>
      </c>
      <c r="AH363" s="1">
        <f t="shared" si="215"/>
        <v>0</v>
      </c>
      <c r="AI363" s="1">
        <f t="shared" si="216"/>
        <v>1</v>
      </c>
    </row>
    <row r="364" spans="1:35" s="1" customFormat="1" ht="14.25" customHeight="1" x14ac:dyDescent="0.25">
      <c r="A364" s="44">
        <v>0</v>
      </c>
      <c r="B364" s="44">
        <v>2</v>
      </c>
      <c r="C364" s="44">
        <v>5</v>
      </c>
      <c r="D364" s="45" t="s">
        <v>832</v>
      </c>
      <c r="E364" s="45" t="s">
        <v>831</v>
      </c>
      <c r="F364" s="45" t="s">
        <v>924</v>
      </c>
      <c r="G364" s="45" t="s">
        <v>213</v>
      </c>
      <c r="H364" s="45" t="s">
        <v>354</v>
      </c>
      <c r="I364" s="44" t="s">
        <v>833</v>
      </c>
      <c r="J364" s="44">
        <v>1</v>
      </c>
      <c r="K364" s="46" t="s">
        <v>712</v>
      </c>
      <c r="L364" s="46" t="s">
        <v>693</v>
      </c>
      <c r="M364" s="47" t="s">
        <v>1424</v>
      </c>
      <c r="N364" s="47" t="s">
        <v>1735</v>
      </c>
      <c r="O364" s="48"/>
      <c r="P364" s="48"/>
      <c r="Q364" s="45"/>
      <c r="S364" s="1">
        <f t="shared" si="193"/>
        <v>1</v>
      </c>
      <c r="T364" s="1">
        <f t="shared" si="194"/>
        <v>0</v>
      </c>
      <c r="U364" s="1">
        <f t="shared" si="195"/>
        <v>0</v>
      </c>
      <c r="V364" s="1">
        <f t="shared" si="196"/>
        <v>0</v>
      </c>
      <c r="W364" s="1">
        <f t="shared" si="197"/>
        <v>0</v>
      </c>
      <c r="X364" s="1">
        <f t="shared" si="198"/>
        <v>0</v>
      </c>
      <c r="Y364" s="1">
        <f t="shared" si="199"/>
        <v>0</v>
      </c>
      <c r="Z364" s="1">
        <f t="shared" si="200"/>
        <v>0</v>
      </c>
      <c r="AA364" s="1">
        <f t="shared" si="201"/>
        <v>0</v>
      </c>
      <c r="AB364" s="1">
        <f t="shared" si="202"/>
        <v>0</v>
      </c>
      <c r="AD364" s="1">
        <f t="shared" si="211"/>
        <v>0</v>
      </c>
      <c r="AE364" s="1">
        <f t="shared" si="212"/>
        <v>0</v>
      </c>
      <c r="AF364" s="1">
        <f t="shared" si="213"/>
        <v>0</v>
      </c>
      <c r="AG364" s="1">
        <f t="shared" si="214"/>
        <v>0</v>
      </c>
      <c r="AH364" s="1">
        <f t="shared" si="215"/>
        <v>0</v>
      </c>
      <c r="AI364" s="1">
        <f t="shared" si="216"/>
        <v>1</v>
      </c>
    </row>
    <row r="365" spans="1:35" s="1" customFormat="1" ht="14.25" customHeight="1" x14ac:dyDescent="0.25">
      <c r="A365" s="31">
        <v>0</v>
      </c>
      <c r="B365" s="31">
        <v>2</v>
      </c>
      <c r="C365" s="31">
        <v>5</v>
      </c>
      <c r="D365" s="32" t="s">
        <v>65</v>
      </c>
      <c r="E365" s="32" t="s">
        <v>164</v>
      </c>
      <c r="F365" s="32" t="s">
        <v>547</v>
      </c>
      <c r="G365" s="32" t="s">
        <v>194</v>
      </c>
      <c r="H365" s="32" t="s">
        <v>354</v>
      </c>
      <c r="I365" s="31" t="s">
        <v>552</v>
      </c>
      <c r="J365" s="31">
        <v>9</v>
      </c>
      <c r="K365" s="33" t="s">
        <v>713</v>
      </c>
      <c r="L365" s="33" t="s">
        <v>687</v>
      </c>
      <c r="M365" s="34" t="s">
        <v>1443</v>
      </c>
      <c r="N365" s="34" t="s">
        <v>1761</v>
      </c>
      <c r="O365" s="35">
        <v>1</v>
      </c>
      <c r="P365" s="35"/>
      <c r="Q365" s="32"/>
      <c r="S365" s="1">
        <f t="shared" si="193"/>
        <v>0</v>
      </c>
      <c r="T365" s="1">
        <f t="shared" si="194"/>
        <v>0</v>
      </c>
      <c r="U365" s="1">
        <f t="shared" si="195"/>
        <v>0</v>
      </c>
      <c r="V365" s="1">
        <f t="shared" si="196"/>
        <v>0</v>
      </c>
      <c r="W365" s="1">
        <f t="shared" si="197"/>
        <v>0</v>
      </c>
      <c r="X365" s="1">
        <f t="shared" si="198"/>
        <v>0</v>
      </c>
      <c r="Y365" s="1">
        <f t="shared" si="199"/>
        <v>0</v>
      </c>
      <c r="Z365" s="1">
        <f t="shared" si="200"/>
        <v>0</v>
      </c>
      <c r="AA365" s="1">
        <f t="shared" si="201"/>
        <v>1</v>
      </c>
      <c r="AB365" s="1">
        <f t="shared" si="202"/>
        <v>0</v>
      </c>
      <c r="AD365" s="1">
        <f t="shared" si="211"/>
        <v>0</v>
      </c>
      <c r="AE365" s="1">
        <f t="shared" si="212"/>
        <v>1</v>
      </c>
      <c r="AF365" s="1">
        <f t="shared" si="213"/>
        <v>0</v>
      </c>
      <c r="AG365" s="1">
        <f t="shared" si="214"/>
        <v>1</v>
      </c>
      <c r="AH365" s="1">
        <f t="shared" si="215"/>
        <v>0</v>
      </c>
      <c r="AI365" s="1">
        <f t="shared" si="216"/>
        <v>1</v>
      </c>
    </row>
    <row r="366" spans="1:35" s="1" customFormat="1" ht="14.25" customHeight="1" x14ac:dyDescent="0.25">
      <c r="A366" s="44">
        <v>0</v>
      </c>
      <c r="B366" s="44">
        <v>2</v>
      </c>
      <c r="C366" s="44">
        <v>5</v>
      </c>
      <c r="D366" s="45" t="s">
        <v>1486</v>
      </c>
      <c r="E366" s="45" t="s">
        <v>35</v>
      </c>
      <c r="F366" s="65" t="s">
        <v>1873</v>
      </c>
      <c r="G366" s="45" t="s">
        <v>222</v>
      </c>
      <c r="H366" s="45" t="s">
        <v>354</v>
      </c>
      <c r="I366" s="44" t="s">
        <v>1686</v>
      </c>
      <c r="J366" s="44">
        <v>99</v>
      </c>
      <c r="K366" s="46" t="s">
        <v>713</v>
      </c>
      <c r="L366" s="46">
        <v>25</v>
      </c>
      <c r="M366" s="47" t="s">
        <v>39</v>
      </c>
      <c r="N366" s="47" t="s">
        <v>1737</v>
      </c>
      <c r="O366" s="48"/>
      <c r="P366" s="48"/>
      <c r="Q366" s="45"/>
      <c r="S366" s="1">
        <f t="shared" si="193"/>
        <v>0</v>
      </c>
      <c r="T366" s="1">
        <f t="shared" si="194"/>
        <v>0</v>
      </c>
      <c r="U366" s="1">
        <f t="shared" si="195"/>
        <v>0</v>
      </c>
      <c r="V366" s="1">
        <f t="shared" si="196"/>
        <v>0</v>
      </c>
      <c r="W366" s="1">
        <f t="shared" si="197"/>
        <v>0</v>
      </c>
      <c r="X366" s="1">
        <f t="shared" si="198"/>
        <v>0</v>
      </c>
      <c r="Y366" s="1">
        <f t="shared" si="199"/>
        <v>0</v>
      </c>
      <c r="Z366" s="1">
        <f t="shared" si="200"/>
        <v>0</v>
      </c>
      <c r="AA366" s="1">
        <f t="shared" si="201"/>
        <v>0</v>
      </c>
      <c r="AB366" s="1">
        <f t="shared" si="202"/>
        <v>0</v>
      </c>
      <c r="AD366" s="1">
        <f t="shared" si="203"/>
        <v>0</v>
      </c>
      <c r="AE366" s="1">
        <f t="shared" si="204"/>
        <v>0</v>
      </c>
      <c r="AF366" s="1">
        <f t="shared" si="189"/>
        <v>0</v>
      </c>
      <c r="AG366" s="1">
        <f t="shared" si="190"/>
        <v>0</v>
      </c>
      <c r="AH366" s="1">
        <f t="shared" si="191"/>
        <v>0</v>
      </c>
      <c r="AI366" s="1">
        <f t="shared" si="192"/>
        <v>1</v>
      </c>
    </row>
    <row r="367" spans="1:35" s="1" customFormat="1" ht="14.25" customHeight="1" x14ac:dyDescent="0.25">
      <c r="A367" s="44">
        <v>0</v>
      </c>
      <c r="B367" s="44">
        <v>2</v>
      </c>
      <c r="C367" s="44">
        <v>5</v>
      </c>
      <c r="D367" s="45" t="s">
        <v>1819</v>
      </c>
      <c r="E367" s="45" t="s">
        <v>772</v>
      </c>
      <c r="F367" s="45" t="s">
        <v>1820</v>
      </c>
      <c r="G367" s="45" t="s">
        <v>224</v>
      </c>
      <c r="H367" s="45" t="s">
        <v>354</v>
      </c>
      <c r="I367" s="44" t="s">
        <v>1821</v>
      </c>
      <c r="J367" s="44">
        <v>99</v>
      </c>
      <c r="K367" s="46" t="s">
        <v>1822</v>
      </c>
      <c r="L367" s="46">
        <v>40</v>
      </c>
      <c r="M367" s="47" t="s">
        <v>1823</v>
      </c>
      <c r="N367" s="47" t="s">
        <v>1809</v>
      </c>
      <c r="O367" s="48"/>
      <c r="P367" s="48"/>
      <c r="Q367" s="45"/>
      <c r="S367" s="1">
        <f t="shared" si="193"/>
        <v>0</v>
      </c>
      <c r="T367" s="1">
        <f t="shared" si="194"/>
        <v>0</v>
      </c>
      <c r="U367" s="1">
        <f t="shared" si="195"/>
        <v>0</v>
      </c>
      <c r="V367" s="1">
        <f t="shared" si="196"/>
        <v>0</v>
      </c>
      <c r="W367" s="1">
        <f t="shared" si="197"/>
        <v>0</v>
      </c>
      <c r="X367" s="1">
        <f t="shared" si="198"/>
        <v>0</v>
      </c>
      <c r="Y367" s="1">
        <f t="shared" si="199"/>
        <v>0</v>
      </c>
      <c r="Z367" s="1">
        <f t="shared" si="200"/>
        <v>0</v>
      </c>
      <c r="AA367" s="1">
        <f t="shared" si="201"/>
        <v>0</v>
      </c>
      <c r="AB367" s="1">
        <f t="shared" si="202"/>
        <v>0</v>
      </c>
      <c r="AD367" s="1">
        <f t="shared" si="203"/>
        <v>0</v>
      </c>
      <c r="AE367" s="1">
        <f t="shared" si="204"/>
        <v>0</v>
      </c>
      <c r="AF367" s="1">
        <f t="shared" si="189"/>
        <v>0</v>
      </c>
      <c r="AG367" s="1">
        <f t="shared" si="190"/>
        <v>0</v>
      </c>
      <c r="AH367" s="1">
        <f t="shared" si="191"/>
        <v>0</v>
      </c>
      <c r="AI367" s="1">
        <f t="shared" si="192"/>
        <v>1</v>
      </c>
    </row>
    <row r="368" spans="1:35" s="1" customFormat="1" ht="14.25" customHeight="1" x14ac:dyDescent="0.25">
      <c r="A368" s="31">
        <v>0</v>
      </c>
      <c r="B368" s="31">
        <v>2</v>
      </c>
      <c r="C368" s="31">
        <v>5</v>
      </c>
      <c r="D368" s="32" t="s">
        <v>616</v>
      </c>
      <c r="E368" s="32" t="s">
        <v>686</v>
      </c>
      <c r="F368" s="32" t="s">
        <v>617</v>
      </c>
      <c r="G368" s="32" t="s">
        <v>287</v>
      </c>
      <c r="H368" s="32" t="s">
        <v>354</v>
      </c>
      <c r="I368" s="31" t="s">
        <v>618</v>
      </c>
      <c r="J368" s="31">
        <v>99</v>
      </c>
      <c r="K368" s="33" t="s">
        <v>712</v>
      </c>
      <c r="L368" s="33" t="s">
        <v>704</v>
      </c>
      <c r="M368" s="34" t="s">
        <v>1425</v>
      </c>
      <c r="N368" s="34" t="s">
        <v>1743</v>
      </c>
      <c r="O368" s="35">
        <v>1</v>
      </c>
      <c r="P368" s="35"/>
      <c r="Q368" s="32"/>
      <c r="S368" s="1">
        <f t="shared" si="193"/>
        <v>0</v>
      </c>
      <c r="T368" s="1">
        <f t="shared" si="194"/>
        <v>0</v>
      </c>
      <c r="U368" s="1">
        <f t="shared" si="195"/>
        <v>0</v>
      </c>
      <c r="V368" s="1">
        <f t="shared" si="196"/>
        <v>0</v>
      </c>
      <c r="W368" s="1">
        <f t="shared" si="197"/>
        <v>0</v>
      </c>
      <c r="X368" s="1">
        <f t="shared" si="198"/>
        <v>0</v>
      </c>
      <c r="Y368" s="1">
        <f t="shared" si="199"/>
        <v>0</v>
      </c>
      <c r="Z368" s="1">
        <f t="shared" si="200"/>
        <v>0</v>
      </c>
      <c r="AA368" s="1">
        <f t="shared" si="201"/>
        <v>0</v>
      </c>
      <c r="AB368" s="1">
        <f t="shared" si="202"/>
        <v>0</v>
      </c>
      <c r="AD368" s="1">
        <f t="shared" si="203"/>
        <v>0</v>
      </c>
      <c r="AE368" s="1">
        <f t="shared" si="204"/>
        <v>1</v>
      </c>
      <c r="AF368" s="1">
        <f t="shared" si="189"/>
        <v>0</v>
      </c>
      <c r="AG368" s="1">
        <f t="shared" si="190"/>
        <v>1</v>
      </c>
      <c r="AH368" s="1">
        <f t="shared" si="191"/>
        <v>0</v>
      </c>
      <c r="AI368" s="1">
        <f t="shared" si="192"/>
        <v>1</v>
      </c>
    </row>
    <row r="369" spans="1:4094 4097:8191 8194:12288 12291:16384" s="1" customFormat="1" ht="14.25" customHeight="1" x14ac:dyDescent="0.25">
      <c r="A369" s="44">
        <v>0</v>
      </c>
      <c r="B369" s="44">
        <v>2</v>
      </c>
      <c r="C369" s="44">
        <v>5</v>
      </c>
      <c r="D369" s="45" t="s">
        <v>1488</v>
      </c>
      <c r="E369" s="45" t="s">
        <v>772</v>
      </c>
      <c r="F369" s="45" t="s">
        <v>1489</v>
      </c>
      <c r="G369" s="45" t="s">
        <v>196</v>
      </c>
      <c r="H369" s="45" t="s">
        <v>354</v>
      </c>
      <c r="I369" s="44" t="s">
        <v>1490</v>
      </c>
      <c r="J369" s="44">
        <v>99</v>
      </c>
      <c r="K369" s="46" t="s">
        <v>954</v>
      </c>
      <c r="L369" s="46" t="s">
        <v>693</v>
      </c>
      <c r="M369" s="47" t="s">
        <v>1416</v>
      </c>
      <c r="N369" s="47" t="s">
        <v>1735</v>
      </c>
      <c r="O369" s="48"/>
      <c r="P369" s="48"/>
      <c r="Q369" s="45"/>
      <c r="S369" s="1">
        <f t="shared" si="193"/>
        <v>0</v>
      </c>
      <c r="T369" s="1">
        <f t="shared" si="194"/>
        <v>0</v>
      </c>
      <c r="U369" s="1">
        <f t="shared" si="195"/>
        <v>0</v>
      </c>
      <c r="V369" s="1">
        <f t="shared" si="196"/>
        <v>0</v>
      </c>
      <c r="W369" s="1">
        <f t="shared" si="197"/>
        <v>0</v>
      </c>
      <c r="X369" s="1">
        <f t="shared" si="198"/>
        <v>0</v>
      </c>
      <c r="Y369" s="1">
        <f t="shared" si="199"/>
        <v>0</v>
      </c>
      <c r="Z369" s="1">
        <f t="shared" si="200"/>
        <v>0</v>
      </c>
      <c r="AA369" s="1">
        <f t="shared" si="201"/>
        <v>0</v>
      </c>
      <c r="AB369" s="1">
        <f t="shared" si="202"/>
        <v>0</v>
      </c>
      <c r="AD369" s="1">
        <f t="shared" si="203"/>
        <v>0</v>
      </c>
      <c r="AE369" s="1">
        <f t="shared" si="204"/>
        <v>0</v>
      </c>
      <c r="AF369" s="1">
        <f t="shared" si="189"/>
        <v>0</v>
      </c>
      <c r="AG369" s="1">
        <f t="shared" si="190"/>
        <v>0</v>
      </c>
      <c r="AH369" s="1">
        <f t="shared" si="191"/>
        <v>0</v>
      </c>
      <c r="AI369" s="1">
        <f t="shared" si="192"/>
        <v>1</v>
      </c>
    </row>
    <row r="370" spans="1:4094 4097:8191 8194:12288 12291:16384" s="1" customFormat="1" ht="14.25" customHeight="1" x14ac:dyDescent="0.25">
      <c r="A370" s="44">
        <v>0</v>
      </c>
      <c r="B370" s="44">
        <v>2</v>
      </c>
      <c r="C370" s="44">
        <v>5</v>
      </c>
      <c r="D370" s="45" t="s">
        <v>775</v>
      </c>
      <c r="E370" s="45" t="s">
        <v>772</v>
      </c>
      <c r="F370" s="45" t="s">
        <v>777</v>
      </c>
      <c r="G370" s="45" t="s">
        <v>207</v>
      </c>
      <c r="H370" s="45" t="s">
        <v>354</v>
      </c>
      <c r="I370" s="44" t="s">
        <v>776</v>
      </c>
      <c r="J370" s="44">
        <v>99</v>
      </c>
      <c r="K370" s="46" t="s">
        <v>712</v>
      </c>
      <c r="L370" s="46" t="s">
        <v>694</v>
      </c>
      <c r="M370" s="47" t="s">
        <v>1426</v>
      </c>
      <c r="N370" s="47" t="s">
        <v>1735</v>
      </c>
      <c r="O370" s="48"/>
      <c r="P370" s="48"/>
      <c r="Q370" s="45"/>
      <c r="R370" s="15"/>
      <c r="S370" s="15">
        <f t="shared" si="193"/>
        <v>0</v>
      </c>
      <c r="T370" s="15">
        <f t="shared" si="194"/>
        <v>0</v>
      </c>
      <c r="U370" s="15">
        <f t="shared" si="195"/>
        <v>0</v>
      </c>
      <c r="V370" s="15">
        <f t="shared" si="196"/>
        <v>0</v>
      </c>
      <c r="W370" s="15">
        <f t="shared" si="197"/>
        <v>0</v>
      </c>
      <c r="X370" s="15">
        <f t="shared" si="198"/>
        <v>0</v>
      </c>
      <c r="Y370" s="15">
        <f t="shared" si="199"/>
        <v>0</v>
      </c>
      <c r="Z370" s="15">
        <f t="shared" si="200"/>
        <v>0</v>
      </c>
      <c r="AA370" s="15">
        <f t="shared" si="201"/>
        <v>0</v>
      </c>
      <c r="AB370" s="10">
        <f t="shared" si="202"/>
        <v>0</v>
      </c>
      <c r="AC370" s="10"/>
      <c r="AD370" s="21">
        <f t="shared" si="203"/>
        <v>0</v>
      </c>
      <c r="AE370" s="21">
        <f t="shared" si="204"/>
        <v>0</v>
      </c>
      <c r="AF370" s="1">
        <f t="shared" si="189"/>
        <v>0</v>
      </c>
      <c r="AG370" s="1">
        <f t="shared" si="190"/>
        <v>0</v>
      </c>
      <c r="AH370" s="21">
        <f t="shared" si="191"/>
        <v>0</v>
      </c>
      <c r="AI370" s="15">
        <f t="shared" si="192"/>
        <v>1</v>
      </c>
      <c r="AJ370" s="15"/>
      <c r="AK370" s="15"/>
      <c r="AL370" s="15"/>
      <c r="AM370" s="15"/>
      <c r="AN370" s="15"/>
      <c r="AO370" s="15"/>
      <c r="AP370" s="15"/>
      <c r="AQ370" s="15"/>
      <c r="AR370" s="15"/>
      <c r="AS370" s="10"/>
      <c r="AT370" s="10"/>
      <c r="AU370" s="21"/>
      <c r="AV370" s="21"/>
      <c r="AY370" s="21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  <c r="BJ370" s="10"/>
      <c r="BK370" s="10"/>
      <c r="BL370" s="21"/>
      <c r="BM370" s="21"/>
      <c r="BP370" s="21"/>
      <c r="BQ370" s="15"/>
      <c r="BR370" s="15"/>
      <c r="BS370" s="15"/>
      <c r="BT370" s="15"/>
      <c r="BU370" s="15"/>
      <c r="BV370" s="15"/>
      <c r="BW370" s="15"/>
      <c r="BX370" s="15"/>
      <c r="BY370" s="15"/>
      <c r="BZ370" s="15"/>
      <c r="CA370" s="10"/>
      <c r="CB370" s="10"/>
      <c r="CC370" s="21"/>
      <c r="CD370" s="21"/>
      <c r="CG370" s="21"/>
      <c r="CH370" s="15"/>
      <c r="CI370" s="15"/>
      <c r="CJ370" s="15"/>
      <c r="CK370" s="15"/>
      <c r="CL370" s="15"/>
      <c r="CM370" s="15"/>
      <c r="CN370" s="15"/>
      <c r="CO370" s="15"/>
      <c r="CP370" s="15"/>
      <c r="CQ370" s="15"/>
      <c r="CR370" s="10"/>
      <c r="CS370" s="10"/>
      <c r="CT370" s="21"/>
      <c r="CU370" s="21"/>
      <c r="CX370" s="21"/>
      <c r="CY370" s="15"/>
      <c r="CZ370" s="15"/>
      <c r="DA370" s="15"/>
      <c r="DB370" s="15"/>
      <c r="DC370" s="15"/>
      <c r="DD370" s="15"/>
      <c r="DE370" s="15"/>
      <c r="DF370" s="15"/>
      <c r="DG370" s="15"/>
      <c r="DH370" s="15"/>
      <c r="DI370" s="10"/>
      <c r="DJ370" s="10"/>
      <c r="DK370" s="21"/>
      <c r="DL370" s="21"/>
      <c r="DO370" s="21"/>
      <c r="DP370" s="15"/>
      <c r="DQ370" s="15"/>
      <c r="DR370" s="15"/>
      <c r="DS370" s="15"/>
      <c r="DT370" s="15"/>
      <c r="DU370" s="15"/>
      <c r="DV370" s="15"/>
      <c r="DW370" s="15"/>
      <c r="DX370" s="15"/>
      <c r="DY370" s="15"/>
      <c r="DZ370" s="10"/>
      <c r="EA370" s="10"/>
      <c r="EB370" s="21"/>
      <c r="EC370" s="21"/>
      <c r="EF370" s="21"/>
      <c r="EG370" s="15"/>
      <c r="EH370" s="15"/>
      <c r="EI370" s="15"/>
      <c r="EJ370" s="15"/>
      <c r="EK370" s="15"/>
      <c r="EL370" s="15"/>
      <c r="EM370" s="15"/>
      <c r="EN370" s="15"/>
      <c r="EO370" s="15"/>
      <c r="EP370" s="15"/>
      <c r="EQ370" s="10"/>
      <c r="ER370" s="10"/>
      <c r="ES370" s="21"/>
      <c r="ET370" s="21"/>
      <c r="EW370" s="21"/>
      <c r="EX370" s="15"/>
      <c r="EY370" s="15"/>
      <c r="EZ370" s="15"/>
      <c r="FA370" s="15"/>
      <c r="FB370" s="15"/>
      <c r="FC370" s="15"/>
      <c r="FD370" s="15"/>
      <c r="FE370" s="15"/>
      <c r="FF370" s="15"/>
      <c r="FG370" s="15"/>
      <c r="FH370" s="10"/>
      <c r="FI370" s="10"/>
      <c r="FJ370" s="21"/>
      <c r="FK370" s="21"/>
      <c r="FN370" s="21"/>
      <c r="FO370" s="15"/>
      <c r="FP370" s="15"/>
      <c r="FQ370" s="15"/>
      <c r="FR370" s="15"/>
      <c r="FS370" s="15"/>
      <c r="FT370" s="15"/>
      <c r="FU370" s="15"/>
      <c r="FV370" s="15"/>
      <c r="FW370" s="15"/>
      <c r="FX370" s="15"/>
      <c r="FY370" s="10"/>
      <c r="FZ370" s="10"/>
      <c r="GA370" s="21"/>
      <c r="GB370" s="21"/>
      <c r="GE370" s="21"/>
      <c r="GF370" s="15"/>
      <c r="GG370" s="15"/>
      <c r="GH370" s="15"/>
      <c r="GI370" s="15"/>
      <c r="GJ370" s="15"/>
      <c r="GK370" s="15"/>
      <c r="GL370" s="15"/>
      <c r="GM370" s="15"/>
      <c r="GN370" s="15"/>
      <c r="GO370" s="15"/>
      <c r="GP370" s="10"/>
      <c r="GQ370" s="10"/>
      <c r="GR370" s="21"/>
      <c r="GS370" s="21"/>
      <c r="GV370" s="21"/>
      <c r="GW370" s="15"/>
      <c r="GX370" s="15"/>
      <c r="GY370" s="15"/>
      <c r="GZ370" s="15"/>
      <c r="HA370" s="15"/>
      <c r="HB370" s="15"/>
      <c r="HC370" s="15"/>
      <c r="HD370" s="15"/>
      <c r="HE370" s="15"/>
      <c r="HF370" s="15"/>
      <c r="HG370" s="10"/>
      <c r="HH370" s="10"/>
      <c r="HI370" s="21"/>
      <c r="HJ370" s="21"/>
      <c r="HM370" s="21"/>
      <c r="HN370" s="15"/>
      <c r="HO370" s="15"/>
      <c r="HP370" s="15"/>
      <c r="HQ370" s="15"/>
      <c r="HR370" s="15"/>
      <c r="HS370" s="15"/>
      <c r="HT370" s="15"/>
      <c r="HU370" s="15"/>
      <c r="HV370" s="15"/>
      <c r="HW370" s="15"/>
      <c r="HX370" s="10"/>
      <c r="HY370" s="10"/>
      <c r="HZ370" s="21"/>
      <c r="IA370" s="21"/>
      <c r="ID370" s="21"/>
      <c r="IE370" s="15"/>
      <c r="IF370" s="15"/>
      <c r="IG370" s="15"/>
      <c r="IH370" s="15"/>
      <c r="II370" s="15"/>
      <c r="IJ370" s="15"/>
      <c r="IK370" s="15"/>
      <c r="IL370" s="15"/>
      <c r="IM370" s="15"/>
      <c r="IN370" s="15"/>
      <c r="IO370" s="10"/>
      <c r="IP370" s="10"/>
      <c r="IQ370" s="21"/>
      <c r="IR370" s="21"/>
      <c r="IU370" s="21"/>
      <c r="IV370" s="15"/>
      <c r="IW370" s="15"/>
      <c r="IX370" s="15"/>
      <c r="IY370" s="15"/>
      <c r="IZ370" s="15"/>
      <c r="JA370" s="15"/>
      <c r="JB370" s="15"/>
      <c r="JC370" s="15"/>
      <c r="JD370" s="15"/>
      <c r="JE370" s="15"/>
      <c r="JF370" s="10"/>
      <c r="JG370" s="10"/>
      <c r="JH370" s="21"/>
      <c r="JI370" s="21"/>
      <c r="JL370" s="21"/>
      <c r="JM370" s="15"/>
      <c r="JN370" s="15"/>
      <c r="JO370" s="15"/>
      <c r="JP370" s="15"/>
      <c r="JQ370" s="15"/>
      <c r="JR370" s="15"/>
      <c r="JS370" s="15"/>
      <c r="JT370" s="15"/>
      <c r="JU370" s="15"/>
      <c r="JV370" s="15"/>
      <c r="JW370" s="10"/>
      <c r="JX370" s="10"/>
      <c r="JY370" s="21"/>
      <c r="JZ370" s="21"/>
      <c r="KC370" s="21"/>
      <c r="KD370" s="15"/>
      <c r="KE370" s="15"/>
      <c r="KF370" s="15"/>
      <c r="KG370" s="15"/>
      <c r="KH370" s="15"/>
      <c r="KI370" s="15"/>
      <c r="KJ370" s="15"/>
      <c r="KK370" s="15"/>
      <c r="KL370" s="15"/>
      <c r="KM370" s="15"/>
      <c r="KN370" s="10"/>
      <c r="KO370" s="10"/>
      <c r="KP370" s="21"/>
      <c r="KQ370" s="21"/>
      <c r="KT370" s="21"/>
      <c r="KU370" s="15"/>
      <c r="KV370" s="15"/>
      <c r="KW370" s="15"/>
      <c r="KX370" s="15"/>
      <c r="KY370" s="15"/>
      <c r="KZ370" s="15"/>
      <c r="LA370" s="15"/>
      <c r="LB370" s="15"/>
      <c r="LC370" s="15"/>
      <c r="LD370" s="15"/>
      <c r="LE370" s="10"/>
      <c r="LF370" s="10"/>
      <c r="LG370" s="21"/>
      <c r="LH370" s="21"/>
      <c r="LK370" s="21"/>
      <c r="LL370" s="15"/>
      <c r="LM370" s="15"/>
      <c r="LN370" s="15"/>
      <c r="LO370" s="15"/>
      <c r="LP370" s="15"/>
      <c r="LQ370" s="15"/>
      <c r="LR370" s="15"/>
      <c r="LS370" s="15"/>
      <c r="LT370" s="15"/>
      <c r="LU370" s="15"/>
      <c r="LV370" s="10"/>
      <c r="LW370" s="10"/>
      <c r="LX370" s="21"/>
      <c r="LY370" s="21"/>
      <c r="MB370" s="21"/>
      <c r="MC370" s="15"/>
      <c r="MD370" s="15"/>
      <c r="ME370" s="15"/>
      <c r="MF370" s="15"/>
      <c r="MG370" s="15"/>
      <c r="MH370" s="15"/>
      <c r="MI370" s="15"/>
      <c r="MJ370" s="15"/>
      <c r="MK370" s="15"/>
      <c r="ML370" s="15"/>
      <c r="MM370" s="10"/>
      <c r="MN370" s="10"/>
      <c r="MO370" s="21"/>
      <c r="MP370" s="21"/>
      <c r="MS370" s="21"/>
      <c r="MT370" s="15"/>
      <c r="MU370" s="15"/>
      <c r="MV370" s="15"/>
      <c r="MW370" s="15"/>
      <c r="MX370" s="15"/>
      <c r="MY370" s="15"/>
      <c r="MZ370" s="15"/>
      <c r="NA370" s="15"/>
      <c r="NB370" s="15"/>
      <c r="NC370" s="15"/>
      <c r="ND370" s="10"/>
      <c r="NE370" s="10"/>
      <c r="NF370" s="21"/>
      <c r="NG370" s="21"/>
      <c r="NJ370" s="21"/>
      <c r="NK370" s="15"/>
      <c r="NL370" s="15"/>
      <c r="NM370" s="15"/>
      <c r="NN370" s="15"/>
      <c r="NO370" s="15"/>
      <c r="NP370" s="15"/>
      <c r="NQ370" s="15"/>
      <c r="NR370" s="15"/>
      <c r="NS370" s="15"/>
      <c r="NT370" s="15"/>
      <c r="NU370" s="10"/>
      <c r="NV370" s="10"/>
      <c r="NW370" s="21"/>
      <c r="NX370" s="21"/>
      <c r="OA370" s="21"/>
      <c r="OB370" s="15"/>
      <c r="OC370" s="15"/>
      <c r="OD370" s="15"/>
      <c r="OE370" s="15"/>
      <c r="OF370" s="15"/>
      <c r="OG370" s="15"/>
      <c r="OH370" s="15"/>
      <c r="OI370" s="15"/>
      <c r="OJ370" s="15"/>
      <c r="OK370" s="15"/>
      <c r="OL370" s="10"/>
      <c r="OM370" s="10"/>
      <c r="ON370" s="21"/>
      <c r="OO370" s="21"/>
      <c r="OR370" s="21"/>
      <c r="OS370" s="15"/>
      <c r="OT370" s="15"/>
      <c r="OU370" s="15"/>
      <c r="OV370" s="15"/>
      <c r="OW370" s="15"/>
      <c r="OX370" s="15"/>
      <c r="OY370" s="15"/>
      <c r="OZ370" s="15"/>
      <c r="PA370" s="15"/>
      <c r="PB370" s="15"/>
      <c r="PC370" s="10"/>
      <c r="PD370" s="10"/>
      <c r="PE370" s="21"/>
      <c r="PF370" s="21"/>
      <c r="PI370" s="21"/>
      <c r="PJ370" s="15"/>
      <c r="PK370" s="15"/>
      <c r="PL370" s="15"/>
      <c r="PM370" s="15"/>
      <c r="PN370" s="15"/>
      <c r="PO370" s="15"/>
      <c r="PP370" s="15"/>
      <c r="PQ370" s="15"/>
      <c r="PR370" s="15"/>
      <c r="PS370" s="15"/>
      <c r="PT370" s="10"/>
      <c r="PU370" s="10"/>
      <c r="PV370" s="21"/>
      <c r="PW370" s="21"/>
      <c r="PZ370" s="21"/>
      <c r="QA370" s="15"/>
      <c r="QB370" s="15"/>
      <c r="QC370" s="15"/>
      <c r="QD370" s="15"/>
      <c r="QE370" s="15"/>
      <c r="QF370" s="15"/>
      <c r="QG370" s="15"/>
      <c r="QH370" s="15"/>
      <c r="QI370" s="15"/>
      <c r="QJ370" s="15"/>
      <c r="QK370" s="10"/>
      <c r="QL370" s="10"/>
      <c r="QM370" s="21"/>
      <c r="QN370" s="21"/>
      <c r="QQ370" s="21"/>
      <c r="QR370" s="15"/>
      <c r="QS370" s="15"/>
      <c r="QT370" s="15"/>
      <c r="QU370" s="15"/>
      <c r="QV370" s="15"/>
      <c r="QW370" s="15"/>
      <c r="QX370" s="15"/>
      <c r="QY370" s="15"/>
      <c r="QZ370" s="15"/>
      <c r="RA370" s="15"/>
      <c r="RB370" s="10"/>
      <c r="RC370" s="10"/>
      <c r="RD370" s="21"/>
      <c r="RE370" s="21"/>
      <c r="RH370" s="21"/>
      <c r="RI370" s="15"/>
      <c r="RJ370" s="15"/>
      <c r="RK370" s="15"/>
      <c r="RL370" s="15"/>
      <c r="RM370" s="15"/>
      <c r="RN370" s="15"/>
      <c r="RO370" s="15"/>
      <c r="RP370" s="15"/>
      <c r="RQ370" s="15"/>
      <c r="RR370" s="15"/>
      <c r="RS370" s="10"/>
      <c r="RT370" s="10"/>
      <c r="RU370" s="21"/>
      <c r="RV370" s="21"/>
      <c r="RY370" s="21"/>
      <c r="RZ370" s="15"/>
      <c r="SA370" s="15"/>
      <c r="SB370" s="15"/>
      <c r="SC370" s="15"/>
      <c r="SD370" s="15"/>
      <c r="SE370" s="15"/>
      <c r="SF370" s="15"/>
      <c r="SG370" s="15"/>
      <c r="SH370" s="15"/>
      <c r="SI370" s="15"/>
      <c r="SJ370" s="10"/>
      <c r="SK370" s="10"/>
      <c r="SL370" s="21"/>
      <c r="SM370" s="21"/>
      <c r="SP370" s="21"/>
      <c r="SQ370" s="15"/>
      <c r="SR370" s="15"/>
      <c r="SS370" s="15"/>
      <c r="ST370" s="15"/>
      <c r="SU370" s="15"/>
      <c r="SV370" s="15"/>
      <c r="SW370" s="15"/>
      <c r="SX370" s="15"/>
      <c r="SY370" s="15"/>
      <c r="SZ370" s="15"/>
      <c r="TA370" s="10"/>
      <c r="TB370" s="10"/>
      <c r="TC370" s="21"/>
      <c r="TD370" s="21"/>
      <c r="TG370" s="21"/>
      <c r="TH370" s="15"/>
      <c r="TI370" s="15"/>
      <c r="TJ370" s="15"/>
      <c r="TK370" s="15"/>
      <c r="TL370" s="15"/>
      <c r="TM370" s="15"/>
      <c r="TN370" s="15"/>
      <c r="TO370" s="15"/>
      <c r="TP370" s="15"/>
      <c r="TQ370" s="15"/>
      <c r="TR370" s="10"/>
      <c r="TS370" s="10"/>
      <c r="TT370" s="21"/>
      <c r="TU370" s="21"/>
      <c r="TX370" s="21"/>
      <c r="TY370" s="15"/>
      <c r="TZ370" s="15"/>
      <c r="UA370" s="15"/>
      <c r="UB370" s="15"/>
      <c r="UC370" s="15"/>
      <c r="UD370" s="15"/>
      <c r="UE370" s="15"/>
      <c r="UF370" s="15"/>
      <c r="UG370" s="15"/>
      <c r="UH370" s="15"/>
      <c r="UI370" s="10"/>
      <c r="UJ370" s="10"/>
      <c r="UK370" s="21"/>
      <c r="UL370" s="21"/>
      <c r="UO370" s="21"/>
      <c r="UP370" s="15"/>
      <c r="UQ370" s="15"/>
      <c r="UR370" s="15"/>
      <c r="US370" s="15"/>
      <c r="UT370" s="15"/>
      <c r="UU370" s="15"/>
      <c r="UV370" s="15"/>
      <c r="UW370" s="15"/>
      <c r="UX370" s="15"/>
      <c r="UY370" s="15"/>
      <c r="UZ370" s="10"/>
      <c r="VA370" s="10"/>
      <c r="VB370" s="21"/>
      <c r="VC370" s="21"/>
      <c r="VF370" s="21"/>
      <c r="VG370" s="15"/>
      <c r="VH370" s="15"/>
      <c r="VI370" s="15"/>
      <c r="VJ370" s="15"/>
      <c r="VK370" s="15"/>
      <c r="VL370" s="15"/>
      <c r="VM370" s="15"/>
      <c r="VN370" s="15"/>
      <c r="VO370" s="15"/>
      <c r="VP370" s="15"/>
      <c r="VQ370" s="10"/>
      <c r="VR370" s="10"/>
      <c r="VS370" s="21"/>
      <c r="VT370" s="21"/>
      <c r="VW370" s="21"/>
      <c r="VX370" s="15"/>
      <c r="VY370" s="15"/>
      <c r="VZ370" s="15"/>
      <c r="WA370" s="15"/>
      <c r="WB370" s="15"/>
      <c r="WC370" s="15"/>
      <c r="WD370" s="15"/>
      <c r="WE370" s="15"/>
      <c r="WF370" s="15"/>
      <c r="WG370" s="15"/>
      <c r="WH370" s="10"/>
      <c r="WI370" s="10"/>
      <c r="WJ370" s="21"/>
      <c r="WK370" s="21"/>
      <c r="WN370" s="21"/>
      <c r="WO370" s="15"/>
      <c r="WP370" s="15"/>
      <c r="WQ370" s="15"/>
      <c r="WR370" s="15"/>
      <c r="WS370" s="15"/>
      <c r="WT370" s="15"/>
      <c r="WU370" s="15"/>
      <c r="WV370" s="15"/>
      <c r="WW370" s="15"/>
      <c r="WX370" s="15"/>
      <c r="WY370" s="10"/>
      <c r="WZ370" s="10"/>
      <c r="XA370" s="21"/>
      <c r="XB370" s="21"/>
      <c r="XE370" s="21"/>
      <c r="XF370" s="15"/>
      <c r="XG370" s="15"/>
      <c r="XH370" s="15"/>
      <c r="XI370" s="15"/>
      <c r="XJ370" s="15"/>
      <c r="XK370" s="15"/>
      <c r="XL370" s="15"/>
      <c r="XM370" s="15"/>
      <c r="XN370" s="15"/>
      <c r="XO370" s="15"/>
      <c r="XP370" s="10"/>
      <c r="XQ370" s="10"/>
      <c r="XR370" s="21"/>
      <c r="XS370" s="21"/>
      <c r="XV370" s="21"/>
      <c r="XW370" s="15"/>
      <c r="XX370" s="15"/>
      <c r="XY370" s="15"/>
      <c r="XZ370" s="15"/>
      <c r="YA370" s="15"/>
      <c r="YB370" s="15"/>
      <c r="YC370" s="15"/>
      <c r="YD370" s="15"/>
      <c r="YE370" s="15"/>
      <c r="YF370" s="15"/>
      <c r="YG370" s="10"/>
      <c r="YH370" s="10"/>
      <c r="YI370" s="21"/>
      <c r="YJ370" s="21"/>
      <c r="YM370" s="21"/>
      <c r="YN370" s="15"/>
      <c r="YO370" s="15"/>
      <c r="YP370" s="15"/>
      <c r="YQ370" s="15"/>
      <c r="YR370" s="15"/>
      <c r="YS370" s="15"/>
      <c r="YT370" s="15"/>
      <c r="YU370" s="15"/>
      <c r="YV370" s="15"/>
      <c r="YW370" s="15"/>
      <c r="YX370" s="10"/>
      <c r="YY370" s="10"/>
      <c r="YZ370" s="21"/>
      <c r="ZA370" s="21"/>
      <c r="ZD370" s="21"/>
      <c r="ZE370" s="15"/>
      <c r="ZF370" s="15"/>
      <c r="ZG370" s="15"/>
      <c r="ZH370" s="15"/>
      <c r="ZI370" s="15"/>
      <c r="ZJ370" s="15"/>
      <c r="ZK370" s="15"/>
      <c r="ZL370" s="15"/>
      <c r="ZM370" s="15"/>
      <c r="ZN370" s="15"/>
      <c r="ZO370" s="10"/>
      <c r="ZP370" s="10"/>
      <c r="ZQ370" s="21"/>
      <c r="ZR370" s="21"/>
      <c r="ZU370" s="21"/>
      <c r="ZV370" s="15"/>
      <c r="ZW370" s="15"/>
      <c r="ZX370" s="15"/>
      <c r="ZY370" s="15"/>
      <c r="ZZ370" s="15"/>
      <c r="AAA370" s="15"/>
      <c r="AAB370" s="15"/>
      <c r="AAC370" s="15"/>
      <c r="AAD370" s="15"/>
      <c r="AAE370" s="15"/>
      <c r="AAF370" s="10"/>
      <c r="AAG370" s="10"/>
      <c r="AAH370" s="21"/>
      <c r="AAI370" s="21"/>
      <c r="AAL370" s="21"/>
      <c r="AAM370" s="15"/>
      <c r="AAN370" s="15"/>
      <c r="AAO370" s="15"/>
      <c r="AAP370" s="15"/>
      <c r="AAQ370" s="15"/>
      <c r="AAR370" s="15"/>
      <c r="AAS370" s="15"/>
      <c r="AAT370" s="15"/>
      <c r="AAU370" s="15"/>
      <c r="AAV370" s="15"/>
      <c r="AAW370" s="10"/>
      <c r="AAX370" s="10"/>
      <c r="AAY370" s="21"/>
      <c r="AAZ370" s="21"/>
      <c r="ABC370" s="21"/>
      <c r="ABD370" s="15"/>
      <c r="ABE370" s="15"/>
      <c r="ABF370" s="15"/>
      <c r="ABG370" s="15"/>
      <c r="ABH370" s="15"/>
      <c r="ABI370" s="15"/>
      <c r="ABJ370" s="15"/>
      <c r="ABK370" s="15"/>
      <c r="ABL370" s="15"/>
      <c r="ABM370" s="15"/>
      <c r="ABN370" s="10"/>
      <c r="ABO370" s="10"/>
      <c r="ABP370" s="21"/>
      <c r="ABQ370" s="21"/>
      <c r="ABT370" s="21"/>
      <c r="ABU370" s="15"/>
      <c r="ABV370" s="15"/>
      <c r="ABW370" s="15"/>
      <c r="ABX370" s="15"/>
      <c r="ABY370" s="15"/>
      <c r="ABZ370" s="15"/>
      <c r="ACA370" s="15"/>
      <c r="ACB370" s="15"/>
      <c r="ACC370" s="15"/>
      <c r="ACD370" s="15"/>
      <c r="ACE370" s="10"/>
      <c r="ACF370" s="10"/>
      <c r="ACG370" s="21"/>
      <c r="ACH370" s="21"/>
      <c r="ACK370" s="21"/>
      <c r="ACL370" s="15"/>
      <c r="ACM370" s="15"/>
      <c r="ACN370" s="15"/>
      <c r="ACO370" s="15"/>
      <c r="ACP370" s="15"/>
      <c r="ACQ370" s="15"/>
      <c r="ACR370" s="15"/>
      <c r="ACS370" s="15"/>
      <c r="ACT370" s="15"/>
      <c r="ACU370" s="15"/>
      <c r="ACV370" s="10"/>
      <c r="ACW370" s="10"/>
      <c r="ACX370" s="21"/>
      <c r="ACY370" s="21"/>
      <c r="ADB370" s="21"/>
      <c r="ADC370" s="15"/>
      <c r="ADD370" s="15"/>
      <c r="ADE370" s="15"/>
      <c r="ADF370" s="15"/>
      <c r="ADG370" s="15"/>
      <c r="ADH370" s="15"/>
      <c r="ADI370" s="15"/>
      <c r="ADJ370" s="15"/>
      <c r="ADK370" s="15"/>
      <c r="ADL370" s="15"/>
      <c r="ADM370" s="10"/>
      <c r="ADN370" s="10"/>
      <c r="ADO370" s="21"/>
      <c r="ADP370" s="21"/>
      <c r="ADS370" s="21"/>
      <c r="ADT370" s="15"/>
      <c r="ADU370" s="15"/>
      <c r="ADV370" s="15"/>
      <c r="ADW370" s="15"/>
      <c r="ADX370" s="15"/>
      <c r="ADY370" s="15"/>
      <c r="ADZ370" s="15"/>
      <c r="AEA370" s="15"/>
      <c r="AEB370" s="15"/>
      <c r="AEC370" s="15"/>
      <c r="AED370" s="10"/>
      <c r="AEE370" s="10"/>
      <c r="AEF370" s="21"/>
      <c r="AEG370" s="21"/>
      <c r="AEJ370" s="21"/>
      <c r="AEK370" s="15"/>
      <c r="AEL370" s="15"/>
      <c r="AEM370" s="15"/>
      <c r="AEN370" s="15"/>
      <c r="AEO370" s="15"/>
      <c r="AEP370" s="15"/>
      <c r="AEQ370" s="15"/>
      <c r="AER370" s="15"/>
      <c r="AES370" s="15"/>
      <c r="AET370" s="15"/>
      <c r="AEU370" s="10"/>
      <c r="AEV370" s="10"/>
      <c r="AEW370" s="21"/>
      <c r="AEX370" s="21"/>
      <c r="AFA370" s="21"/>
      <c r="AFB370" s="15"/>
      <c r="AFC370" s="15"/>
      <c r="AFD370" s="15"/>
      <c r="AFE370" s="15"/>
      <c r="AFF370" s="15"/>
      <c r="AFG370" s="15"/>
      <c r="AFH370" s="15"/>
      <c r="AFI370" s="15"/>
      <c r="AFJ370" s="15"/>
      <c r="AFK370" s="15"/>
      <c r="AFL370" s="10"/>
      <c r="AFM370" s="10"/>
      <c r="AFN370" s="21"/>
      <c r="AFO370" s="21"/>
      <c r="AFR370" s="21"/>
      <c r="AFS370" s="15"/>
      <c r="AFT370" s="15"/>
      <c r="AFU370" s="15"/>
      <c r="AFV370" s="15"/>
      <c r="AFW370" s="15"/>
      <c r="AFX370" s="15"/>
      <c r="AFY370" s="15"/>
      <c r="AFZ370" s="15"/>
      <c r="AGA370" s="15"/>
      <c r="AGB370" s="15"/>
      <c r="AGC370" s="10"/>
      <c r="AGD370" s="10"/>
      <c r="AGE370" s="21"/>
      <c r="AGF370" s="21"/>
      <c r="AGI370" s="21"/>
      <c r="AGJ370" s="15"/>
      <c r="AGK370" s="15"/>
      <c r="AGL370" s="15"/>
      <c r="AGM370" s="15"/>
      <c r="AGN370" s="15"/>
      <c r="AGO370" s="15"/>
      <c r="AGP370" s="15"/>
      <c r="AGQ370" s="15"/>
      <c r="AGR370" s="15"/>
      <c r="AGS370" s="15"/>
      <c r="AGT370" s="10"/>
      <c r="AGU370" s="10"/>
      <c r="AGV370" s="21"/>
      <c r="AGW370" s="21"/>
      <c r="AGZ370" s="21"/>
      <c r="AHA370" s="15"/>
      <c r="AHB370" s="15"/>
      <c r="AHC370" s="15"/>
      <c r="AHD370" s="15"/>
      <c r="AHE370" s="15"/>
      <c r="AHF370" s="15"/>
      <c r="AHG370" s="15"/>
      <c r="AHH370" s="15"/>
      <c r="AHI370" s="15"/>
      <c r="AHJ370" s="15"/>
      <c r="AHK370" s="10"/>
      <c r="AHL370" s="10"/>
      <c r="AHM370" s="21"/>
      <c r="AHN370" s="21"/>
      <c r="AHQ370" s="21"/>
      <c r="AHR370" s="15"/>
      <c r="AHS370" s="15"/>
      <c r="AHT370" s="15"/>
      <c r="AHU370" s="15"/>
      <c r="AHV370" s="15"/>
      <c r="AHW370" s="15"/>
      <c r="AHX370" s="15"/>
      <c r="AHY370" s="15"/>
      <c r="AHZ370" s="15"/>
      <c r="AIA370" s="15"/>
      <c r="AIB370" s="10"/>
      <c r="AIC370" s="10"/>
      <c r="AID370" s="21"/>
      <c r="AIE370" s="21"/>
      <c r="AIH370" s="21"/>
      <c r="AII370" s="15"/>
      <c r="AIJ370" s="15"/>
      <c r="AIK370" s="15"/>
      <c r="AIL370" s="15"/>
      <c r="AIM370" s="15"/>
      <c r="AIN370" s="15"/>
      <c r="AIO370" s="15"/>
      <c r="AIP370" s="15"/>
      <c r="AIQ370" s="15"/>
      <c r="AIR370" s="15"/>
      <c r="AIS370" s="10"/>
      <c r="AIT370" s="10"/>
      <c r="AIU370" s="21"/>
      <c r="AIV370" s="21"/>
      <c r="AIY370" s="21"/>
      <c r="AIZ370" s="15"/>
      <c r="AJA370" s="15"/>
      <c r="AJB370" s="15"/>
      <c r="AJC370" s="15"/>
      <c r="AJD370" s="15"/>
      <c r="AJE370" s="15"/>
      <c r="AJF370" s="15"/>
      <c r="AJG370" s="15"/>
      <c r="AJH370" s="15"/>
      <c r="AJI370" s="15"/>
      <c r="AJJ370" s="10"/>
      <c r="AJK370" s="10"/>
      <c r="AJL370" s="21"/>
      <c r="AJM370" s="21"/>
      <c r="AJP370" s="21"/>
      <c r="AJQ370" s="15"/>
      <c r="AJR370" s="15"/>
      <c r="AJS370" s="15"/>
      <c r="AJT370" s="15"/>
      <c r="AJU370" s="15"/>
      <c r="AJV370" s="15"/>
      <c r="AJW370" s="15"/>
      <c r="AJX370" s="15"/>
      <c r="AJY370" s="15"/>
      <c r="AJZ370" s="15"/>
      <c r="AKA370" s="10"/>
      <c r="AKB370" s="10"/>
      <c r="AKC370" s="21"/>
      <c r="AKD370" s="21"/>
      <c r="AKG370" s="21"/>
      <c r="AKH370" s="15"/>
      <c r="AKI370" s="15"/>
      <c r="AKJ370" s="15"/>
      <c r="AKK370" s="15"/>
      <c r="AKL370" s="15"/>
      <c r="AKM370" s="15"/>
      <c r="AKN370" s="15"/>
      <c r="AKO370" s="15"/>
      <c r="AKP370" s="15"/>
      <c r="AKQ370" s="15"/>
      <c r="AKR370" s="10"/>
      <c r="AKS370" s="10"/>
      <c r="AKT370" s="21"/>
      <c r="AKU370" s="21"/>
      <c r="AKX370" s="21"/>
      <c r="AKY370" s="15"/>
      <c r="AKZ370" s="15"/>
      <c r="ALA370" s="15"/>
      <c r="ALB370" s="15"/>
      <c r="ALC370" s="15"/>
      <c r="ALD370" s="15"/>
      <c r="ALE370" s="15"/>
      <c r="ALF370" s="15"/>
      <c r="ALG370" s="15"/>
      <c r="ALH370" s="15"/>
      <c r="ALI370" s="10"/>
      <c r="ALJ370" s="10"/>
      <c r="ALK370" s="21"/>
      <c r="ALL370" s="21"/>
      <c r="ALO370" s="21"/>
      <c r="ALP370" s="15"/>
      <c r="ALQ370" s="15"/>
      <c r="ALR370" s="15"/>
      <c r="ALS370" s="15"/>
      <c r="ALT370" s="15"/>
      <c r="ALU370" s="15"/>
      <c r="ALV370" s="15"/>
      <c r="ALW370" s="15"/>
      <c r="ALX370" s="15"/>
      <c r="ALY370" s="15"/>
      <c r="ALZ370" s="10"/>
      <c r="AMA370" s="10"/>
      <c r="AMB370" s="21"/>
      <c r="AMC370" s="21"/>
      <c r="AMF370" s="21"/>
      <c r="AMG370" s="15"/>
      <c r="AMH370" s="15"/>
      <c r="AMI370" s="15"/>
      <c r="AMJ370" s="15"/>
      <c r="AMK370" s="15"/>
      <c r="AML370" s="15"/>
      <c r="AMM370" s="15"/>
      <c r="AMN370" s="15"/>
      <c r="AMO370" s="15"/>
      <c r="AMP370" s="15"/>
      <c r="AMQ370" s="10"/>
      <c r="AMR370" s="10"/>
      <c r="AMS370" s="21"/>
      <c r="AMT370" s="21"/>
      <c r="AMW370" s="21"/>
      <c r="AMX370" s="15"/>
      <c r="AMY370" s="15"/>
      <c r="AMZ370" s="15"/>
      <c r="ANA370" s="15"/>
      <c r="ANB370" s="15"/>
      <c r="ANC370" s="15"/>
      <c r="AND370" s="15"/>
      <c r="ANE370" s="15"/>
      <c r="ANF370" s="15"/>
      <c r="ANG370" s="15"/>
      <c r="ANH370" s="10"/>
      <c r="ANI370" s="10"/>
      <c r="ANJ370" s="21"/>
      <c r="ANK370" s="21"/>
      <c r="ANN370" s="21"/>
      <c r="ANO370" s="15"/>
      <c r="ANP370" s="15"/>
      <c r="ANQ370" s="15"/>
      <c r="ANR370" s="15"/>
      <c r="ANS370" s="15"/>
      <c r="ANT370" s="15"/>
      <c r="ANU370" s="15"/>
      <c r="ANV370" s="15"/>
      <c r="ANW370" s="15"/>
      <c r="ANX370" s="15"/>
      <c r="ANY370" s="10"/>
      <c r="ANZ370" s="10"/>
      <c r="AOA370" s="21"/>
      <c r="AOB370" s="21"/>
      <c r="AOE370" s="21"/>
      <c r="AOF370" s="15"/>
      <c r="AOG370" s="15"/>
      <c r="AOH370" s="15"/>
      <c r="AOI370" s="15"/>
      <c r="AOJ370" s="15"/>
      <c r="AOK370" s="15"/>
      <c r="AOL370" s="15"/>
      <c r="AOM370" s="15"/>
      <c r="AON370" s="15"/>
      <c r="AOO370" s="15"/>
      <c r="AOP370" s="10"/>
      <c r="AOQ370" s="10"/>
      <c r="AOR370" s="21"/>
      <c r="AOS370" s="21"/>
      <c r="AOV370" s="21"/>
      <c r="AOW370" s="15"/>
      <c r="AOX370" s="15"/>
      <c r="AOY370" s="15"/>
      <c r="AOZ370" s="15"/>
      <c r="APA370" s="15"/>
      <c r="APB370" s="15"/>
      <c r="APC370" s="15"/>
      <c r="APD370" s="15"/>
      <c r="APE370" s="15"/>
      <c r="APF370" s="15"/>
      <c r="APG370" s="10"/>
      <c r="APH370" s="10"/>
      <c r="API370" s="21"/>
      <c r="APJ370" s="21"/>
      <c r="APM370" s="21"/>
      <c r="APN370" s="15"/>
      <c r="APO370" s="15"/>
      <c r="APP370" s="15"/>
      <c r="APQ370" s="15"/>
      <c r="APR370" s="15"/>
      <c r="APS370" s="15"/>
      <c r="APT370" s="15"/>
      <c r="APU370" s="15"/>
      <c r="APV370" s="15"/>
      <c r="APW370" s="15"/>
      <c r="APX370" s="10"/>
      <c r="APY370" s="10"/>
      <c r="APZ370" s="21"/>
      <c r="AQA370" s="21"/>
      <c r="AQD370" s="21"/>
      <c r="AQE370" s="15"/>
      <c r="AQF370" s="15"/>
      <c r="AQG370" s="15"/>
      <c r="AQH370" s="15"/>
      <c r="AQI370" s="15"/>
      <c r="AQJ370" s="15"/>
      <c r="AQK370" s="15"/>
      <c r="AQL370" s="15"/>
      <c r="AQM370" s="15"/>
      <c r="AQN370" s="15"/>
      <c r="AQO370" s="10"/>
      <c r="AQP370" s="10"/>
      <c r="AQQ370" s="21"/>
      <c r="AQR370" s="21"/>
      <c r="AQU370" s="21"/>
      <c r="AQV370" s="15"/>
      <c r="AQW370" s="15"/>
      <c r="AQX370" s="15"/>
      <c r="AQY370" s="15"/>
      <c r="AQZ370" s="15"/>
      <c r="ARA370" s="15"/>
      <c r="ARB370" s="15"/>
      <c r="ARC370" s="15"/>
      <c r="ARD370" s="15"/>
      <c r="ARE370" s="15"/>
      <c r="ARF370" s="10"/>
      <c r="ARG370" s="10"/>
      <c r="ARH370" s="21"/>
      <c r="ARI370" s="21"/>
      <c r="ARL370" s="21"/>
      <c r="ARM370" s="15"/>
      <c r="ARN370" s="15"/>
      <c r="ARO370" s="15"/>
      <c r="ARP370" s="15"/>
      <c r="ARQ370" s="15"/>
      <c r="ARR370" s="15"/>
      <c r="ARS370" s="15"/>
      <c r="ART370" s="15"/>
      <c r="ARU370" s="15"/>
      <c r="ARV370" s="15"/>
      <c r="ARW370" s="10"/>
      <c r="ARX370" s="10"/>
      <c r="ARY370" s="21"/>
      <c r="ARZ370" s="21"/>
      <c r="ASC370" s="21"/>
      <c r="ASD370" s="15"/>
      <c r="ASE370" s="15"/>
      <c r="ASF370" s="15"/>
      <c r="ASG370" s="15"/>
      <c r="ASH370" s="15"/>
      <c r="ASI370" s="15"/>
      <c r="ASJ370" s="15"/>
      <c r="ASK370" s="15"/>
      <c r="ASL370" s="15"/>
      <c r="ASM370" s="15"/>
      <c r="ASN370" s="10"/>
      <c r="ASO370" s="10"/>
      <c r="ASP370" s="21"/>
      <c r="ASQ370" s="21"/>
      <c r="AST370" s="21"/>
      <c r="ASU370" s="15"/>
      <c r="ASV370" s="15"/>
      <c r="ASW370" s="15"/>
      <c r="ASX370" s="15"/>
      <c r="ASY370" s="15"/>
      <c r="ASZ370" s="15"/>
      <c r="ATA370" s="15"/>
      <c r="ATB370" s="15"/>
      <c r="ATC370" s="15"/>
      <c r="ATD370" s="15"/>
      <c r="ATE370" s="10"/>
      <c r="ATF370" s="10"/>
      <c r="ATG370" s="21"/>
      <c r="ATH370" s="21"/>
      <c r="ATK370" s="21"/>
      <c r="ATL370" s="15"/>
      <c r="ATM370" s="15"/>
      <c r="ATN370" s="15"/>
      <c r="ATO370" s="15"/>
      <c r="ATP370" s="15"/>
      <c r="ATQ370" s="15"/>
      <c r="ATR370" s="15"/>
      <c r="ATS370" s="15"/>
      <c r="ATT370" s="15"/>
      <c r="ATU370" s="15"/>
      <c r="ATV370" s="10"/>
      <c r="ATW370" s="10"/>
      <c r="ATX370" s="21"/>
      <c r="ATY370" s="21"/>
      <c r="AUB370" s="21"/>
      <c r="AUC370" s="15"/>
      <c r="AUD370" s="15"/>
      <c r="AUE370" s="15"/>
      <c r="AUF370" s="15"/>
      <c r="AUG370" s="15"/>
      <c r="AUH370" s="15"/>
      <c r="AUI370" s="15"/>
      <c r="AUJ370" s="15"/>
      <c r="AUK370" s="15"/>
      <c r="AUL370" s="15"/>
      <c r="AUM370" s="10"/>
      <c r="AUN370" s="10"/>
      <c r="AUO370" s="21"/>
      <c r="AUP370" s="21"/>
      <c r="AUS370" s="21"/>
      <c r="AUT370" s="15"/>
      <c r="AUU370" s="15"/>
      <c r="AUV370" s="15"/>
      <c r="AUW370" s="15"/>
      <c r="AUX370" s="15"/>
      <c r="AUY370" s="15"/>
      <c r="AUZ370" s="15"/>
      <c r="AVA370" s="15"/>
      <c r="AVB370" s="15"/>
      <c r="AVC370" s="15"/>
      <c r="AVD370" s="10"/>
      <c r="AVE370" s="10"/>
      <c r="AVF370" s="21"/>
      <c r="AVG370" s="21"/>
      <c r="AVJ370" s="21"/>
      <c r="AVK370" s="15"/>
      <c r="AVL370" s="15"/>
      <c r="AVM370" s="15"/>
      <c r="AVN370" s="15"/>
      <c r="AVO370" s="15"/>
      <c r="AVP370" s="15"/>
      <c r="AVQ370" s="15"/>
      <c r="AVR370" s="15"/>
      <c r="AVS370" s="15"/>
      <c r="AVT370" s="15"/>
      <c r="AVU370" s="10"/>
      <c r="AVV370" s="10"/>
      <c r="AVW370" s="21"/>
      <c r="AVX370" s="21"/>
      <c r="AWA370" s="21"/>
      <c r="AWB370" s="15"/>
      <c r="AWC370" s="15"/>
      <c r="AWD370" s="15"/>
      <c r="AWE370" s="15"/>
      <c r="AWF370" s="15"/>
      <c r="AWG370" s="15"/>
      <c r="AWH370" s="15"/>
      <c r="AWI370" s="15"/>
      <c r="AWJ370" s="15"/>
      <c r="AWK370" s="15"/>
      <c r="AWL370" s="10"/>
      <c r="AWM370" s="10"/>
      <c r="AWN370" s="21"/>
      <c r="AWO370" s="21"/>
      <c r="AWR370" s="21"/>
      <c r="AWS370" s="15"/>
      <c r="AWT370" s="15"/>
      <c r="AWU370" s="15"/>
      <c r="AWV370" s="15"/>
      <c r="AWW370" s="15"/>
      <c r="AWX370" s="15"/>
      <c r="AWY370" s="15"/>
      <c r="AWZ370" s="15"/>
      <c r="AXA370" s="15"/>
      <c r="AXB370" s="15"/>
      <c r="AXC370" s="10"/>
      <c r="AXD370" s="10"/>
      <c r="AXE370" s="21"/>
      <c r="AXF370" s="21"/>
      <c r="AXI370" s="21"/>
      <c r="AXJ370" s="15"/>
      <c r="AXK370" s="15"/>
      <c r="AXL370" s="15"/>
      <c r="AXM370" s="15"/>
      <c r="AXN370" s="15"/>
      <c r="AXO370" s="15"/>
      <c r="AXP370" s="15"/>
      <c r="AXQ370" s="15"/>
      <c r="AXR370" s="15"/>
      <c r="AXS370" s="15"/>
      <c r="AXT370" s="10"/>
      <c r="AXU370" s="10"/>
      <c r="AXV370" s="21"/>
      <c r="AXW370" s="21"/>
      <c r="AXZ370" s="21"/>
      <c r="AYA370" s="15"/>
      <c r="AYB370" s="15"/>
      <c r="AYC370" s="15"/>
      <c r="AYD370" s="15"/>
      <c r="AYE370" s="15"/>
      <c r="AYF370" s="15"/>
      <c r="AYG370" s="15"/>
      <c r="AYH370" s="15"/>
      <c r="AYI370" s="15"/>
      <c r="AYJ370" s="15"/>
      <c r="AYK370" s="10"/>
      <c r="AYL370" s="10"/>
      <c r="AYM370" s="21"/>
      <c r="AYN370" s="21"/>
      <c r="AYQ370" s="21"/>
      <c r="AYR370" s="15"/>
      <c r="AYS370" s="15"/>
      <c r="AYT370" s="15"/>
      <c r="AYU370" s="15"/>
      <c r="AYV370" s="15"/>
      <c r="AYW370" s="15"/>
      <c r="AYX370" s="15"/>
      <c r="AYY370" s="15"/>
      <c r="AYZ370" s="15"/>
      <c r="AZA370" s="15"/>
      <c r="AZB370" s="10"/>
      <c r="AZC370" s="10"/>
      <c r="AZD370" s="21"/>
      <c r="AZE370" s="21"/>
      <c r="AZH370" s="21"/>
      <c r="AZI370" s="15"/>
      <c r="AZJ370" s="15"/>
      <c r="AZK370" s="15"/>
      <c r="AZL370" s="15"/>
      <c r="AZM370" s="15"/>
      <c r="AZN370" s="15"/>
      <c r="AZO370" s="15"/>
      <c r="AZP370" s="15"/>
      <c r="AZQ370" s="15"/>
      <c r="AZR370" s="15"/>
      <c r="AZS370" s="10"/>
      <c r="AZT370" s="10"/>
      <c r="AZU370" s="21"/>
      <c r="AZV370" s="21"/>
      <c r="AZY370" s="21"/>
      <c r="AZZ370" s="15"/>
      <c r="BAA370" s="15"/>
      <c r="BAB370" s="15"/>
      <c r="BAC370" s="15"/>
      <c r="BAD370" s="15"/>
      <c r="BAE370" s="15"/>
      <c r="BAF370" s="15"/>
      <c r="BAG370" s="15"/>
      <c r="BAH370" s="15"/>
      <c r="BAI370" s="15"/>
      <c r="BAJ370" s="10"/>
      <c r="BAK370" s="10"/>
      <c r="BAL370" s="21"/>
      <c r="BAM370" s="21"/>
      <c r="BAP370" s="21"/>
      <c r="BAQ370" s="15"/>
      <c r="BAR370" s="15"/>
      <c r="BAS370" s="15"/>
      <c r="BAT370" s="15"/>
      <c r="BAU370" s="15"/>
      <c r="BAV370" s="15"/>
      <c r="BAW370" s="15"/>
      <c r="BAX370" s="15"/>
      <c r="BAY370" s="15"/>
      <c r="BAZ370" s="15"/>
      <c r="BBA370" s="10"/>
      <c r="BBB370" s="10"/>
      <c r="BBC370" s="21"/>
      <c r="BBD370" s="21"/>
      <c r="BBG370" s="21"/>
      <c r="BBH370" s="15"/>
      <c r="BBI370" s="15"/>
      <c r="BBJ370" s="15"/>
      <c r="BBK370" s="15"/>
      <c r="BBL370" s="15"/>
      <c r="BBM370" s="15"/>
      <c r="BBN370" s="15"/>
      <c r="BBO370" s="15"/>
      <c r="BBP370" s="15"/>
      <c r="BBQ370" s="15"/>
      <c r="BBR370" s="10"/>
      <c r="BBS370" s="10"/>
      <c r="BBT370" s="21"/>
      <c r="BBU370" s="21"/>
      <c r="BBX370" s="21"/>
      <c r="BBY370" s="15"/>
      <c r="BBZ370" s="15"/>
      <c r="BCA370" s="15"/>
      <c r="BCB370" s="15"/>
      <c r="BCC370" s="15"/>
      <c r="BCD370" s="15"/>
      <c r="BCE370" s="15"/>
      <c r="BCF370" s="15"/>
      <c r="BCG370" s="15"/>
      <c r="BCH370" s="15"/>
      <c r="BCI370" s="10"/>
      <c r="BCJ370" s="10"/>
      <c r="BCK370" s="21"/>
      <c r="BCL370" s="21"/>
      <c r="BCO370" s="21"/>
      <c r="BCP370" s="15"/>
      <c r="BCQ370" s="15"/>
      <c r="BCR370" s="15"/>
      <c r="BCS370" s="15"/>
      <c r="BCT370" s="15"/>
      <c r="BCU370" s="15"/>
      <c r="BCV370" s="15"/>
      <c r="BCW370" s="15"/>
      <c r="BCX370" s="15"/>
      <c r="BCY370" s="15"/>
      <c r="BCZ370" s="10"/>
      <c r="BDA370" s="10"/>
      <c r="BDB370" s="21"/>
      <c r="BDC370" s="21"/>
      <c r="BDF370" s="21"/>
      <c r="BDG370" s="15"/>
      <c r="BDH370" s="15"/>
      <c r="BDI370" s="15"/>
      <c r="BDJ370" s="15"/>
      <c r="BDK370" s="15"/>
      <c r="BDL370" s="15"/>
      <c r="BDM370" s="15"/>
      <c r="BDN370" s="15"/>
      <c r="BDO370" s="15"/>
      <c r="BDP370" s="15"/>
      <c r="BDQ370" s="10"/>
      <c r="BDR370" s="10"/>
      <c r="BDS370" s="21"/>
      <c r="BDT370" s="21"/>
      <c r="BDW370" s="21"/>
      <c r="BDX370" s="15"/>
      <c r="BDY370" s="15"/>
      <c r="BDZ370" s="15"/>
      <c r="BEA370" s="15"/>
      <c r="BEB370" s="15"/>
      <c r="BEC370" s="15"/>
      <c r="BED370" s="15"/>
      <c r="BEE370" s="15"/>
      <c r="BEF370" s="15"/>
      <c r="BEG370" s="15"/>
      <c r="BEH370" s="10"/>
      <c r="BEI370" s="10"/>
      <c r="BEJ370" s="21"/>
      <c r="BEK370" s="21"/>
      <c r="BEN370" s="21"/>
      <c r="BEO370" s="15"/>
      <c r="BEP370" s="15"/>
      <c r="BEQ370" s="15"/>
      <c r="BER370" s="15"/>
      <c r="BES370" s="15"/>
      <c r="BET370" s="15"/>
      <c r="BEU370" s="15"/>
      <c r="BEV370" s="15"/>
      <c r="BEW370" s="15"/>
      <c r="BEX370" s="15"/>
      <c r="BEY370" s="10"/>
      <c r="BEZ370" s="10"/>
      <c r="BFA370" s="21"/>
      <c r="BFB370" s="21"/>
      <c r="BFE370" s="21"/>
      <c r="BFF370" s="15"/>
      <c r="BFG370" s="15"/>
      <c r="BFH370" s="15"/>
      <c r="BFI370" s="15"/>
      <c r="BFJ370" s="15"/>
      <c r="BFK370" s="15"/>
      <c r="BFL370" s="15"/>
      <c r="BFM370" s="15"/>
      <c r="BFN370" s="15"/>
      <c r="BFO370" s="15"/>
      <c r="BFP370" s="10"/>
      <c r="BFQ370" s="10"/>
      <c r="BFR370" s="21"/>
      <c r="BFS370" s="21"/>
      <c r="BFV370" s="21"/>
      <c r="BFW370" s="15"/>
      <c r="BFX370" s="15"/>
      <c r="BFY370" s="15"/>
      <c r="BFZ370" s="15"/>
      <c r="BGA370" s="15"/>
      <c r="BGB370" s="15"/>
      <c r="BGC370" s="15"/>
      <c r="BGD370" s="15"/>
      <c r="BGE370" s="15"/>
      <c r="BGF370" s="15"/>
      <c r="BGG370" s="10"/>
      <c r="BGH370" s="10"/>
      <c r="BGI370" s="21"/>
      <c r="BGJ370" s="21"/>
      <c r="BGM370" s="21"/>
      <c r="BGN370" s="15"/>
      <c r="BGO370" s="15"/>
      <c r="BGP370" s="15"/>
      <c r="BGQ370" s="15"/>
      <c r="BGR370" s="15"/>
      <c r="BGS370" s="15"/>
      <c r="BGT370" s="15"/>
      <c r="BGU370" s="15"/>
      <c r="BGV370" s="15"/>
      <c r="BGW370" s="15"/>
      <c r="BGX370" s="10"/>
      <c r="BGY370" s="10"/>
      <c r="BGZ370" s="21"/>
      <c r="BHA370" s="21"/>
      <c r="BHD370" s="21"/>
      <c r="BHE370" s="15"/>
      <c r="BHF370" s="15"/>
      <c r="BHG370" s="15"/>
      <c r="BHH370" s="15"/>
      <c r="BHI370" s="15"/>
      <c r="BHJ370" s="15"/>
      <c r="BHK370" s="15"/>
      <c r="BHL370" s="15"/>
      <c r="BHM370" s="15"/>
      <c r="BHN370" s="15"/>
      <c r="BHO370" s="10"/>
      <c r="BHP370" s="10"/>
      <c r="BHQ370" s="21"/>
      <c r="BHR370" s="21"/>
      <c r="BHU370" s="21"/>
      <c r="BHV370" s="15"/>
      <c r="BHW370" s="15"/>
      <c r="BHX370" s="15"/>
      <c r="BHY370" s="15"/>
      <c r="BHZ370" s="15"/>
      <c r="BIA370" s="15"/>
      <c r="BIB370" s="15"/>
      <c r="BIC370" s="15"/>
      <c r="BID370" s="15"/>
      <c r="BIE370" s="15"/>
      <c r="BIF370" s="10"/>
      <c r="BIG370" s="10"/>
      <c r="BIH370" s="21"/>
      <c r="BII370" s="21"/>
      <c r="BIL370" s="21"/>
      <c r="BIM370" s="15"/>
      <c r="BIN370" s="15"/>
      <c r="BIO370" s="15"/>
      <c r="BIP370" s="15"/>
      <c r="BIQ370" s="15"/>
      <c r="BIR370" s="15"/>
      <c r="BIS370" s="15"/>
      <c r="BIT370" s="15"/>
      <c r="BIU370" s="15"/>
      <c r="BIV370" s="15"/>
      <c r="BIW370" s="10"/>
      <c r="BIX370" s="10"/>
      <c r="BIY370" s="21"/>
      <c r="BIZ370" s="21"/>
      <c r="BJC370" s="21"/>
      <c r="BJD370" s="15"/>
      <c r="BJE370" s="15"/>
      <c r="BJF370" s="15"/>
      <c r="BJG370" s="15"/>
      <c r="BJH370" s="15"/>
      <c r="BJI370" s="15"/>
      <c r="BJJ370" s="15"/>
      <c r="BJK370" s="15"/>
      <c r="BJL370" s="15"/>
      <c r="BJM370" s="15"/>
      <c r="BJN370" s="10"/>
      <c r="BJO370" s="10"/>
      <c r="BJP370" s="21"/>
      <c r="BJQ370" s="21"/>
      <c r="BJT370" s="21"/>
      <c r="BJU370" s="15"/>
      <c r="BJV370" s="15"/>
      <c r="BJW370" s="15"/>
      <c r="BJX370" s="15"/>
      <c r="BJY370" s="15"/>
      <c r="BJZ370" s="15"/>
      <c r="BKA370" s="15"/>
      <c r="BKB370" s="15"/>
      <c r="BKC370" s="15"/>
      <c r="BKD370" s="15"/>
      <c r="BKE370" s="10"/>
      <c r="BKF370" s="10"/>
      <c r="BKG370" s="21"/>
      <c r="BKH370" s="21"/>
      <c r="BKK370" s="21"/>
      <c r="BKL370" s="15"/>
      <c r="BKM370" s="15"/>
      <c r="BKN370" s="15"/>
      <c r="BKO370" s="15"/>
      <c r="BKP370" s="15"/>
      <c r="BKQ370" s="15"/>
      <c r="BKR370" s="15"/>
      <c r="BKS370" s="15"/>
      <c r="BKT370" s="15"/>
      <c r="BKU370" s="15"/>
      <c r="BKV370" s="10"/>
      <c r="BKW370" s="10"/>
      <c r="BKX370" s="21"/>
      <c r="BKY370" s="21"/>
      <c r="BLB370" s="21"/>
      <c r="BLC370" s="15"/>
      <c r="BLD370" s="15"/>
      <c r="BLE370" s="15"/>
      <c r="BLF370" s="15"/>
      <c r="BLG370" s="15"/>
      <c r="BLH370" s="15"/>
      <c r="BLI370" s="15"/>
      <c r="BLJ370" s="15"/>
      <c r="BLK370" s="15"/>
      <c r="BLL370" s="15"/>
      <c r="BLM370" s="10"/>
      <c r="BLN370" s="10"/>
      <c r="BLO370" s="21"/>
      <c r="BLP370" s="21"/>
      <c r="BLS370" s="21"/>
      <c r="BLT370" s="15"/>
      <c r="BLU370" s="15"/>
      <c r="BLV370" s="15"/>
      <c r="BLW370" s="15"/>
      <c r="BLX370" s="15"/>
      <c r="BLY370" s="15"/>
      <c r="BLZ370" s="15"/>
      <c r="BMA370" s="15"/>
      <c r="BMB370" s="15"/>
      <c r="BMC370" s="15"/>
      <c r="BMD370" s="10"/>
      <c r="BME370" s="10"/>
      <c r="BMF370" s="21"/>
      <c r="BMG370" s="21"/>
      <c r="BMJ370" s="21"/>
      <c r="BMK370" s="15"/>
      <c r="BML370" s="15"/>
      <c r="BMM370" s="15"/>
      <c r="BMN370" s="15"/>
      <c r="BMO370" s="15"/>
      <c r="BMP370" s="15"/>
      <c r="BMQ370" s="15"/>
      <c r="BMR370" s="15"/>
      <c r="BMS370" s="15"/>
      <c r="BMT370" s="15"/>
      <c r="BMU370" s="10"/>
      <c r="BMV370" s="10"/>
      <c r="BMW370" s="21"/>
      <c r="BMX370" s="21"/>
      <c r="BNA370" s="21"/>
      <c r="BNB370" s="15"/>
      <c r="BNC370" s="15"/>
      <c r="BND370" s="15"/>
      <c r="BNE370" s="15"/>
      <c r="BNF370" s="15"/>
      <c r="BNG370" s="15"/>
      <c r="BNH370" s="15"/>
      <c r="BNI370" s="15"/>
      <c r="BNJ370" s="15"/>
      <c r="BNK370" s="15"/>
      <c r="BNL370" s="10"/>
      <c r="BNM370" s="10"/>
      <c r="BNN370" s="21"/>
      <c r="BNO370" s="21"/>
      <c r="BNR370" s="21"/>
      <c r="BNS370" s="15"/>
      <c r="BNT370" s="15"/>
      <c r="BNU370" s="15"/>
      <c r="BNV370" s="15"/>
      <c r="BNW370" s="15"/>
      <c r="BNX370" s="15"/>
      <c r="BNY370" s="15"/>
      <c r="BNZ370" s="15"/>
      <c r="BOA370" s="15"/>
      <c r="BOB370" s="15"/>
      <c r="BOC370" s="10"/>
      <c r="BOD370" s="10"/>
      <c r="BOE370" s="21"/>
      <c r="BOF370" s="21"/>
      <c r="BOI370" s="21"/>
      <c r="BOJ370" s="15"/>
      <c r="BOK370" s="15"/>
      <c r="BOL370" s="15"/>
      <c r="BOM370" s="15"/>
      <c r="BON370" s="15"/>
      <c r="BOO370" s="15"/>
      <c r="BOP370" s="15"/>
      <c r="BOQ370" s="15"/>
      <c r="BOR370" s="15"/>
      <c r="BOS370" s="15"/>
      <c r="BOT370" s="10"/>
      <c r="BOU370" s="10"/>
      <c r="BOV370" s="21"/>
      <c r="BOW370" s="21"/>
      <c r="BOZ370" s="21"/>
      <c r="BPA370" s="15"/>
      <c r="BPB370" s="15"/>
      <c r="BPC370" s="15"/>
      <c r="BPD370" s="15"/>
      <c r="BPE370" s="15"/>
      <c r="BPF370" s="15"/>
      <c r="BPG370" s="15"/>
      <c r="BPH370" s="15"/>
      <c r="BPI370" s="15"/>
      <c r="BPJ370" s="15"/>
      <c r="BPK370" s="10"/>
      <c r="BPL370" s="10"/>
      <c r="BPM370" s="21"/>
      <c r="BPN370" s="21"/>
      <c r="BPQ370" s="21"/>
      <c r="BPR370" s="15"/>
      <c r="BPS370" s="15"/>
      <c r="BPT370" s="15"/>
      <c r="BPU370" s="15"/>
      <c r="BPV370" s="15"/>
      <c r="BPW370" s="15"/>
      <c r="BPX370" s="15"/>
      <c r="BPY370" s="15"/>
      <c r="BPZ370" s="15"/>
      <c r="BQA370" s="15"/>
      <c r="BQB370" s="10"/>
      <c r="BQC370" s="10"/>
      <c r="BQD370" s="21"/>
      <c r="BQE370" s="21"/>
      <c r="BQH370" s="21"/>
      <c r="BQI370" s="15"/>
      <c r="BQJ370" s="15"/>
      <c r="BQK370" s="15"/>
      <c r="BQL370" s="15"/>
      <c r="BQM370" s="15"/>
      <c r="BQN370" s="15"/>
      <c r="BQO370" s="15"/>
      <c r="BQP370" s="15"/>
      <c r="BQQ370" s="15"/>
      <c r="BQR370" s="15"/>
      <c r="BQS370" s="10"/>
      <c r="BQT370" s="10"/>
      <c r="BQU370" s="21"/>
      <c r="BQV370" s="21"/>
      <c r="BQY370" s="21"/>
      <c r="BQZ370" s="15"/>
      <c r="BRA370" s="15"/>
      <c r="BRB370" s="15"/>
      <c r="BRC370" s="15"/>
      <c r="BRD370" s="15"/>
      <c r="BRE370" s="15"/>
      <c r="BRF370" s="15"/>
      <c r="BRG370" s="15"/>
      <c r="BRH370" s="15"/>
      <c r="BRI370" s="15"/>
      <c r="BRJ370" s="10"/>
      <c r="BRK370" s="10"/>
      <c r="BRL370" s="21"/>
      <c r="BRM370" s="21"/>
      <c r="BRP370" s="21"/>
      <c r="BRQ370" s="15"/>
      <c r="BRR370" s="15"/>
      <c r="BRS370" s="15"/>
      <c r="BRT370" s="15"/>
      <c r="BRU370" s="15"/>
      <c r="BRV370" s="15"/>
      <c r="BRW370" s="15"/>
      <c r="BRX370" s="15"/>
      <c r="BRY370" s="15"/>
      <c r="BRZ370" s="15"/>
      <c r="BSA370" s="10"/>
      <c r="BSB370" s="10"/>
      <c r="BSC370" s="21"/>
      <c r="BSD370" s="21"/>
      <c r="BSG370" s="21"/>
      <c r="BSH370" s="15"/>
      <c r="BSI370" s="15"/>
      <c r="BSJ370" s="15"/>
      <c r="BSK370" s="15"/>
      <c r="BSL370" s="15"/>
      <c r="BSM370" s="15"/>
      <c r="BSN370" s="15"/>
      <c r="BSO370" s="15"/>
      <c r="BSP370" s="15"/>
      <c r="BSQ370" s="15"/>
      <c r="BSR370" s="10"/>
      <c r="BSS370" s="10"/>
      <c r="BST370" s="21"/>
      <c r="BSU370" s="21"/>
      <c r="BSX370" s="21"/>
      <c r="BSY370" s="15"/>
      <c r="BSZ370" s="15"/>
      <c r="BTA370" s="15"/>
      <c r="BTB370" s="15"/>
      <c r="BTC370" s="15"/>
      <c r="BTD370" s="15"/>
      <c r="BTE370" s="15"/>
      <c r="BTF370" s="15"/>
      <c r="BTG370" s="15"/>
      <c r="BTH370" s="15"/>
      <c r="BTI370" s="10"/>
      <c r="BTJ370" s="10"/>
      <c r="BTK370" s="21"/>
      <c r="BTL370" s="21"/>
      <c r="BTO370" s="21"/>
      <c r="BTP370" s="15"/>
      <c r="BTQ370" s="15"/>
      <c r="BTR370" s="15"/>
      <c r="BTS370" s="15"/>
      <c r="BTT370" s="15"/>
      <c r="BTU370" s="15"/>
      <c r="BTV370" s="15"/>
      <c r="BTW370" s="15"/>
      <c r="BTX370" s="15"/>
      <c r="BTY370" s="15"/>
      <c r="BTZ370" s="10"/>
      <c r="BUA370" s="10"/>
      <c r="BUB370" s="21"/>
      <c r="BUC370" s="21"/>
      <c r="BUF370" s="21"/>
      <c r="BUG370" s="15"/>
      <c r="BUH370" s="15"/>
      <c r="BUI370" s="15"/>
      <c r="BUJ370" s="15"/>
      <c r="BUK370" s="15"/>
      <c r="BUL370" s="15"/>
      <c r="BUM370" s="15"/>
      <c r="BUN370" s="15"/>
      <c r="BUO370" s="15"/>
      <c r="BUP370" s="15"/>
      <c r="BUQ370" s="10"/>
      <c r="BUR370" s="10"/>
      <c r="BUS370" s="21"/>
      <c r="BUT370" s="21"/>
      <c r="BUW370" s="21"/>
      <c r="BUX370" s="15"/>
      <c r="BUY370" s="15"/>
      <c r="BUZ370" s="15"/>
      <c r="BVA370" s="15"/>
      <c r="BVB370" s="15"/>
      <c r="BVC370" s="15"/>
      <c r="BVD370" s="15"/>
      <c r="BVE370" s="15"/>
      <c r="BVF370" s="15"/>
      <c r="BVG370" s="15"/>
      <c r="BVH370" s="10"/>
      <c r="BVI370" s="10"/>
      <c r="BVJ370" s="21"/>
      <c r="BVK370" s="21"/>
      <c r="BVN370" s="21"/>
      <c r="BVO370" s="15"/>
      <c r="BVP370" s="15"/>
      <c r="BVQ370" s="15"/>
      <c r="BVR370" s="15"/>
      <c r="BVS370" s="15"/>
      <c r="BVT370" s="15"/>
      <c r="BVU370" s="15"/>
      <c r="BVV370" s="15"/>
      <c r="BVW370" s="15"/>
      <c r="BVX370" s="15"/>
      <c r="BVY370" s="10"/>
      <c r="BVZ370" s="10"/>
      <c r="BWA370" s="21"/>
      <c r="BWB370" s="21"/>
      <c r="BWE370" s="21"/>
      <c r="BWF370" s="15"/>
      <c r="BWG370" s="15"/>
      <c r="BWH370" s="15"/>
      <c r="BWI370" s="15"/>
      <c r="BWJ370" s="15"/>
      <c r="BWK370" s="15"/>
      <c r="BWL370" s="15"/>
      <c r="BWM370" s="15"/>
      <c r="BWN370" s="15"/>
      <c r="BWO370" s="15"/>
      <c r="BWP370" s="10"/>
      <c r="BWQ370" s="10"/>
      <c r="BWR370" s="21"/>
      <c r="BWS370" s="21"/>
      <c r="BWV370" s="21"/>
      <c r="BWW370" s="15"/>
      <c r="BWX370" s="15"/>
      <c r="BWY370" s="15"/>
      <c r="BWZ370" s="15"/>
      <c r="BXA370" s="15"/>
      <c r="BXB370" s="15"/>
      <c r="BXC370" s="15"/>
      <c r="BXD370" s="15"/>
      <c r="BXE370" s="15"/>
      <c r="BXF370" s="15"/>
      <c r="BXG370" s="10"/>
      <c r="BXH370" s="10"/>
      <c r="BXI370" s="21"/>
      <c r="BXJ370" s="21"/>
      <c r="BXM370" s="21"/>
      <c r="BXN370" s="15"/>
      <c r="BXO370" s="15"/>
      <c r="BXP370" s="15"/>
      <c r="BXQ370" s="15"/>
      <c r="BXR370" s="15"/>
      <c r="BXS370" s="15"/>
      <c r="BXT370" s="15"/>
      <c r="BXU370" s="15"/>
      <c r="BXV370" s="15"/>
      <c r="BXW370" s="15"/>
      <c r="BXX370" s="10"/>
      <c r="BXY370" s="10"/>
      <c r="BXZ370" s="21"/>
      <c r="BYA370" s="21"/>
      <c r="BYD370" s="21"/>
      <c r="BYE370" s="15"/>
      <c r="BYF370" s="15"/>
      <c r="BYG370" s="15"/>
      <c r="BYH370" s="15"/>
      <c r="BYI370" s="15"/>
      <c r="BYJ370" s="15"/>
      <c r="BYK370" s="15"/>
      <c r="BYL370" s="15"/>
      <c r="BYM370" s="15"/>
      <c r="BYN370" s="15"/>
      <c r="BYO370" s="10"/>
      <c r="BYP370" s="10"/>
      <c r="BYQ370" s="21"/>
      <c r="BYR370" s="21"/>
      <c r="BYU370" s="21"/>
      <c r="BYV370" s="15"/>
      <c r="BYW370" s="15"/>
      <c r="BYX370" s="15"/>
      <c r="BYY370" s="15"/>
      <c r="BYZ370" s="15"/>
      <c r="BZA370" s="15"/>
      <c r="BZB370" s="15"/>
      <c r="BZC370" s="15"/>
      <c r="BZD370" s="15"/>
      <c r="BZE370" s="15"/>
      <c r="BZF370" s="10"/>
      <c r="BZG370" s="10"/>
      <c r="BZH370" s="21"/>
      <c r="BZI370" s="21"/>
      <c r="BZL370" s="21"/>
      <c r="BZM370" s="15"/>
      <c r="BZN370" s="15"/>
      <c r="BZO370" s="15"/>
      <c r="BZP370" s="15"/>
      <c r="BZQ370" s="15"/>
      <c r="BZR370" s="15"/>
      <c r="BZS370" s="15"/>
      <c r="BZT370" s="15"/>
      <c r="BZU370" s="15"/>
      <c r="BZV370" s="15"/>
      <c r="BZW370" s="10"/>
      <c r="BZX370" s="10"/>
      <c r="BZY370" s="21"/>
      <c r="BZZ370" s="21"/>
      <c r="CAC370" s="21"/>
      <c r="CAD370" s="15"/>
      <c r="CAE370" s="15"/>
      <c r="CAF370" s="15"/>
      <c r="CAG370" s="15"/>
      <c r="CAH370" s="15"/>
      <c r="CAI370" s="15"/>
      <c r="CAJ370" s="15"/>
      <c r="CAK370" s="15"/>
      <c r="CAL370" s="15"/>
      <c r="CAM370" s="15"/>
      <c r="CAN370" s="10"/>
      <c r="CAO370" s="10"/>
      <c r="CAP370" s="21"/>
      <c r="CAQ370" s="21"/>
      <c r="CAT370" s="21"/>
      <c r="CAU370" s="15"/>
      <c r="CAV370" s="15"/>
      <c r="CAW370" s="15"/>
      <c r="CAX370" s="15"/>
      <c r="CAY370" s="15"/>
      <c r="CAZ370" s="15"/>
      <c r="CBA370" s="15"/>
      <c r="CBB370" s="15"/>
      <c r="CBC370" s="15"/>
      <c r="CBD370" s="15"/>
      <c r="CBE370" s="10"/>
      <c r="CBF370" s="10"/>
      <c r="CBG370" s="21"/>
      <c r="CBH370" s="21"/>
      <c r="CBK370" s="21"/>
      <c r="CBL370" s="15"/>
      <c r="CBM370" s="15"/>
      <c r="CBN370" s="15"/>
      <c r="CBO370" s="15"/>
      <c r="CBP370" s="15"/>
      <c r="CBQ370" s="15"/>
      <c r="CBR370" s="15"/>
      <c r="CBS370" s="15"/>
      <c r="CBT370" s="15"/>
      <c r="CBU370" s="15"/>
      <c r="CBV370" s="10"/>
      <c r="CBW370" s="10"/>
      <c r="CBX370" s="21"/>
      <c r="CBY370" s="21"/>
      <c r="CCB370" s="21"/>
      <c r="CCC370" s="15"/>
      <c r="CCD370" s="15"/>
      <c r="CCE370" s="15"/>
      <c r="CCF370" s="15"/>
      <c r="CCG370" s="15"/>
      <c r="CCH370" s="15"/>
      <c r="CCI370" s="15"/>
      <c r="CCJ370" s="15"/>
      <c r="CCK370" s="15"/>
      <c r="CCL370" s="15"/>
      <c r="CCM370" s="10"/>
      <c r="CCN370" s="10"/>
      <c r="CCO370" s="21"/>
      <c r="CCP370" s="21"/>
      <c r="CCS370" s="21"/>
      <c r="CCT370" s="15"/>
      <c r="CCU370" s="15"/>
      <c r="CCV370" s="15"/>
      <c r="CCW370" s="15"/>
      <c r="CCX370" s="15"/>
      <c r="CCY370" s="15"/>
      <c r="CCZ370" s="15"/>
      <c r="CDA370" s="15"/>
      <c r="CDB370" s="15"/>
      <c r="CDC370" s="15"/>
      <c r="CDD370" s="10"/>
      <c r="CDE370" s="10"/>
      <c r="CDF370" s="21"/>
      <c r="CDG370" s="21"/>
      <c r="CDJ370" s="21"/>
      <c r="CDK370" s="15"/>
      <c r="CDL370" s="15"/>
      <c r="CDM370" s="15"/>
      <c r="CDN370" s="15"/>
      <c r="CDO370" s="15"/>
      <c r="CDP370" s="15"/>
      <c r="CDQ370" s="15"/>
      <c r="CDR370" s="15"/>
      <c r="CDS370" s="15"/>
      <c r="CDT370" s="15"/>
      <c r="CDU370" s="10"/>
      <c r="CDV370" s="10"/>
      <c r="CDW370" s="21"/>
      <c r="CDX370" s="21"/>
      <c r="CEA370" s="21"/>
      <c r="CEB370" s="15"/>
      <c r="CEC370" s="15"/>
      <c r="CED370" s="15"/>
      <c r="CEE370" s="15"/>
      <c r="CEF370" s="15"/>
      <c r="CEG370" s="15"/>
      <c r="CEH370" s="15"/>
      <c r="CEI370" s="15"/>
      <c r="CEJ370" s="15"/>
      <c r="CEK370" s="15"/>
      <c r="CEL370" s="10"/>
      <c r="CEM370" s="10"/>
      <c r="CEN370" s="21"/>
      <c r="CEO370" s="21"/>
      <c r="CER370" s="21"/>
      <c r="CES370" s="15"/>
      <c r="CET370" s="15"/>
      <c r="CEU370" s="15"/>
      <c r="CEV370" s="15"/>
      <c r="CEW370" s="15"/>
      <c r="CEX370" s="15"/>
      <c r="CEY370" s="15"/>
      <c r="CEZ370" s="15"/>
      <c r="CFA370" s="15"/>
      <c r="CFB370" s="15"/>
      <c r="CFC370" s="10"/>
      <c r="CFD370" s="10"/>
      <c r="CFE370" s="21"/>
      <c r="CFF370" s="21"/>
      <c r="CFI370" s="21"/>
      <c r="CFJ370" s="15"/>
      <c r="CFK370" s="15"/>
      <c r="CFL370" s="15"/>
      <c r="CFM370" s="15"/>
      <c r="CFN370" s="15"/>
      <c r="CFO370" s="15"/>
      <c r="CFP370" s="15"/>
      <c r="CFQ370" s="15"/>
      <c r="CFR370" s="15"/>
      <c r="CFS370" s="15"/>
      <c r="CFT370" s="10"/>
      <c r="CFU370" s="10"/>
      <c r="CFV370" s="21"/>
      <c r="CFW370" s="21"/>
      <c r="CFZ370" s="21"/>
      <c r="CGA370" s="15"/>
      <c r="CGB370" s="15"/>
      <c r="CGC370" s="15"/>
      <c r="CGD370" s="15"/>
      <c r="CGE370" s="15"/>
      <c r="CGF370" s="15"/>
      <c r="CGG370" s="15"/>
      <c r="CGH370" s="15"/>
      <c r="CGI370" s="15"/>
      <c r="CGJ370" s="15"/>
      <c r="CGK370" s="10"/>
      <c r="CGL370" s="10"/>
      <c r="CGM370" s="21"/>
      <c r="CGN370" s="21"/>
      <c r="CGQ370" s="21"/>
      <c r="CGR370" s="15"/>
      <c r="CGS370" s="15"/>
      <c r="CGT370" s="15"/>
      <c r="CGU370" s="15"/>
      <c r="CGV370" s="15"/>
      <c r="CGW370" s="15"/>
      <c r="CGX370" s="15"/>
      <c r="CGY370" s="15"/>
      <c r="CGZ370" s="15"/>
      <c r="CHA370" s="15"/>
      <c r="CHB370" s="10"/>
      <c r="CHC370" s="10"/>
      <c r="CHD370" s="21"/>
      <c r="CHE370" s="21"/>
      <c r="CHH370" s="21"/>
      <c r="CHI370" s="15"/>
      <c r="CHJ370" s="15"/>
      <c r="CHK370" s="15"/>
      <c r="CHL370" s="15"/>
      <c r="CHM370" s="15"/>
      <c r="CHN370" s="15"/>
      <c r="CHO370" s="15"/>
      <c r="CHP370" s="15"/>
      <c r="CHQ370" s="15"/>
      <c r="CHR370" s="15"/>
      <c r="CHS370" s="10"/>
      <c r="CHT370" s="10"/>
      <c r="CHU370" s="21"/>
      <c r="CHV370" s="21"/>
      <c r="CHY370" s="21"/>
      <c r="CHZ370" s="15"/>
      <c r="CIA370" s="15"/>
      <c r="CIB370" s="15"/>
      <c r="CIC370" s="15"/>
      <c r="CID370" s="15"/>
      <c r="CIE370" s="15"/>
      <c r="CIF370" s="15"/>
      <c r="CIG370" s="15"/>
      <c r="CIH370" s="15"/>
      <c r="CII370" s="15"/>
      <c r="CIJ370" s="10"/>
      <c r="CIK370" s="10"/>
      <c r="CIL370" s="21"/>
      <c r="CIM370" s="21"/>
      <c r="CIP370" s="21"/>
      <c r="CIQ370" s="15"/>
      <c r="CIR370" s="15"/>
      <c r="CIS370" s="15"/>
      <c r="CIT370" s="15"/>
      <c r="CIU370" s="15"/>
      <c r="CIV370" s="15"/>
      <c r="CIW370" s="15"/>
      <c r="CIX370" s="15"/>
      <c r="CIY370" s="15"/>
      <c r="CIZ370" s="15"/>
      <c r="CJA370" s="10"/>
      <c r="CJB370" s="10"/>
      <c r="CJC370" s="21"/>
      <c r="CJD370" s="21"/>
      <c r="CJG370" s="21"/>
      <c r="CJH370" s="15"/>
      <c r="CJI370" s="15"/>
      <c r="CJJ370" s="15"/>
      <c r="CJK370" s="15"/>
      <c r="CJL370" s="15"/>
      <c r="CJM370" s="15"/>
      <c r="CJN370" s="15"/>
      <c r="CJO370" s="15"/>
      <c r="CJP370" s="15"/>
      <c r="CJQ370" s="15"/>
      <c r="CJR370" s="10"/>
      <c r="CJS370" s="10"/>
      <c r="CJT370" s="21"/>
      <c r="CJU370" s="21"/>
      <c r="CJX370" s="21"/>
      <c r="CJY370" s="15"/>
      <c r="CJZ370" s="15"/>
      <c r="CKA370" s="15"/>
      <c r="CKB370" s="15"/>
      <c r="CKC370" s="15"/>
      <c r="CKD370" s="15"/>
      <c r="CKE370" s="15"/>
      <c r="CKF370" s="15"/>
      <c r="CKG370" s="15"/>
      <c r="CKH370" s="15"/>
      <c r="CKI370" s="10"/>
      <c r="CKJ370" s="10"/>
      <c r="CKK370" s="21"/>
      <c r="CKL370" s="21"/>
      <c r="CKO370" s="21"/>
      <c r="CKP370" s="15"/>
      <c r="CKQ370" s="15"/>
      <c r="CKR370" s="15"/>
      <c r="CKS370" s="15"/>
      <c r="CKT370" s="15"/>
      <c r="CKU370" s="15"/>
      <c r="CKV370" s="15"/>
      <c r="CKW370" s="15"/>
      <c r="CKX370" s="15"/>
      <c r="CKY370" s="15"/>
      <c r="CKZ370" s="10"/>
      <c r="CLA370" s="10"/>
      <c r="CLB370" s="21"/>
      <c r="CLC370" s="21"/>
      <c r="CLF370" s="21"/>
      <c r="CLG370" s="15"/>
      <c r="CLH370" s="15"/>
      <c r="CLI370" s="15"/>
      <c r="CLJ370" s="15"/>
      <c r="CLK370" s="15"/>
      <c r="CLL370" s="15"/>
      <c r="CLM370" s="15"/>
      <c r="CLN370" s="15"/>
      <c r="CLO370" s="15"/>
      <c r="CLP370" s="15"/>
      <c r="CLQ370" s="10"/>
      <c r="CLR370" s="10"/>
      <c r="CLS370" s="21"/>
      <c r="CLT370" s="21"/>
      <c r="CLW370" s="21"/>
      <c r="CLX370" s="15"/>
      <c r="CLY370" s="15"/>
      <c r="CLZ370" s="15"/>
      <c r="CMA370" s="15"/>
      <c r="CMB370" s="15"/>
      <c r="CMC370" s="15"/>
      <c r="CMD370" s="15"/>
      <c r="CME370" s="15"/>
      <c r="CMF370" s="15"/>
      <c r="CMG370" s="15"/>
      <c r="CMH370" s="10"/>
      <c r="CMI370" s="10"/>
      <c r="CMJ370" s="21"/>
      <c r="CMK370" s="21"/>
      <c r="CMN370" s="21"/>
      <c r="CMO370" s="15"/>
      <c r="CMP370" s="15"/>
      <c r="CMQ370" s="15"/>
      <c r="CMR370" s="15"/>
      <c r="CMS370" s="15"/>
      <c r="CMT370" s="15"/>
      <c r="CMU370" s="15"/>
      <c r="CMV370" s="15"/>
      <c r="CMW370" s="15"/>
      <c r="CMX370" s="15"/>
      <c r="CMY370" s="10"/>
      <c r="CMZ370" s="10"/>
      <c r="CNA370" s="21"/>
      <c r="CNB370" s="21"/>
      <c r="CNE370" s="21"/>
      <c r="CNF370" s="15"/>
      <c r="CNG370" s="15"/>
      <c r="CNH370" s="15"/>
      <c r="CNI370" s="15"/>
      <c r="CNJ370" s="15"/>
      <c r="CNK370" s="15"/>
      <c r="CNL370" s="15"/>
      <c r="CNM370" s="15"/>
      <c r="CNN370" s="15"/>
      <c r="CNO370" s="15"/>
      <c r="CNP370" s="10"/>
      <c r="CNQ370" s="10"/>
      <c r="CNR370" s="21"/>
      <c r="CNS370" s="21"/>
      <c r="CNV370" s="21"/>
      <c r="CNW370" s="15"/>
      <c r="CNX370" s="15"/>
      <c r="CNY370" s="15"/>
      <c r="CNZ370" s="15"/>
      <c r="COA370" s="15"/>
      <c r="COB370" s="15"/>
      <c r="COC370" s="15"/>
      <c r="COD370" s="15"/>
      <c r="COE370" s="15"/>
      <c r="COF370" s="15"/>
      <c r="COG370" s="10"/>
      <c r="COH370" s="10"/>
      <c r="COI370" s="21"/>
      <c r="COJ370" s="21"/>
      <c r="COM370" s="21"/>
      <c r="CON370" s="15"/>
      <c r="COO370" s="15"/>
      <c r="COP370" s="15"/>
      <c r="COQ370" s="15"/>
      <c r="COR370" s="15"/>
      <c r="COS370" s="15"/>
      <c r="COT370" s="15"/>
      <c r="COU370" s="15"/>
      <c r="COV370" s="15"/>
      <c r="COW370" s="15"/>
      <c r="COX370" s="10"/>
      <c r="COY370" s="10"/>
      <c r="COZ370" s="21"/>
      <c r="CPA370" s="21"/>
      <c r="CPD370" s="21"/>
      <c r="CPE370" s="15"/>
      <c r="CPF370" s="15"/>
      <c r="CPG370" s="15"/>
      <c r="CPH370" s="15"/>
      <c r="CPI370" s="15"/>
      <c r="CPJ370" s="15"/>
      <c r="CPK370" s="15"/>
      <c r="CPL370" s="15"/>
      <c r="CPM370" s="15"/>
      <c r="CPN370" s="15"/>
      <c r="CPO370" s="10"/>
      <c r="CPP370" s="10"/>
      <c r="CPQ370" s="21"/>
      <c r="CPR370" s="21"/>
      <c r="CPU370" s="21"/>
      <c r="CPV370" s="15"/>
      <c r="CPW370" s="15"/>
      <c r="CPX370" s="15"/>
      <c r="CPY370" s="15"/>
      <c r="CPZ370" s="15"/>
      <c r="CQA370" s="15"/>
      <c r="CQB370" s="15"/>
      <c r="CQC370" s="15"/>
      <c r="CQD370" s="15"/>
      <c r="CQE370" s="15"/>
      <c r="CQF370" s="10"/>
      <c r="CQG370" s="10"/>
      <c r="CQH370" s="21"/>
      <c r="CQI370" s="21"/>
      <c r="CQL370" s="21"/>
      <c r="CQM370" s="15"/>
      <c r="CQN370" s="15"/>
      <c r="CQO370" s="15"/>
      <c r="CQP370" s="15"/>
      <c r="CQQ370" s="15"/>
      <c r="CQR370" s="15"/>
      <c r="CQS370" s="15"/>
      <c r="CQT370" s="15"/>
      <c r="CQU370" s="15"/>
      <c r="CQV370" s="15"/>
      <c r="CQW370" s="10"/>
      <c r="CQX370" s="10"/>
      <c r="CQY370" s="21"/>
      <c r="CQZ370" s="21"/>
      <c r="CRC370" s="21"/>
      <c r="CRD370" s="15"/>
      <c r="CRE370" s="15"/>
      <c r="CRF370" s="15"/>
      <c r="CRG370" s="15"/>
      <c r="CRH370" s="15"/>
      <c r="CRI370" s="15"/>
      <c r="CRJ370" s="15"/>
      <c r="CRK370" s="15"/>
      <c r="CRL370" s="15"/>
      <c r="CRM370" s="15"/>
      <c r="CRN370" s="10"/>
      <c r="CRO370" s="10"/>
      <c r="CRP370" s="21"/>
      <c r="CRQ370" s="21"/>
      <c r="CRT370" s="21"/>
      <c r="CRU370" s="15"/>
      <c r="CRV370" s="15"/>
      <c r="CRW370" s="15"/>
      <c r="CRX370" s="15"/>
      <c r="CRY370" s="15"/>
      <c r="CRZ370" s="15"/>
      <c r="CSA370" s="15"/>
      <c r="CSB370" s="15"/>
      <c r="CSC370" s="15"/>
      <c r="CSD370" s="15"/>
      <c r="CSE370" s="10"/>
      <c r="CSF370" s="10"/>
      <c r="CSG370" s="21"/>
      <c r="CSH370" s="21"/>
      <c r="CSK370" s="21"/>
      <c r="CSL370" s="15"/>
      <c r="CSM370" s="15"/>
      <c r="CSN370" s="15"/>
      <c r="CSO370" s="15"/>
      <c r="CSP370" s="15"/>
      <c r="CSQ370" s="15"/>
      <c r="CSR370" s="15"/>
      <c r="CSS370" s="15"/>
      <c r="CST370" s="15"/>
      <c r="CSU370" s="15"/>
      <c r="CSV370" s="10"/>
      <c r="CSW370" s="10"/>
      <c r="CSX370" s="21"/>
      <c r="CSY370" s="21"/>
      <c r="CTB370" s="21"/>
      <c r="CTC370" s="15"/>
      <c r="CTD370" s="15"/>
      <c r="CTE370" s="15"/>
      <c r="CTF370" s="15"/>
      <c r="CTG370" s="15"/>
      <c r="CTH370" s="15"/>
      <c r="CTI370" s="15"/>
      <c r="CTJ370" s="15"/>
      <c r="CTK370" s="15"/>
      <c r="CTL370" s="15"/>
      <c r="CTM370" s="10"/>
      <c r="CTN370" s="10"/>
      <c r="CTO370" s="21"/>
      <c r="CTP370" s="21"/>
      <c r="CTS370" s="21"/>
      <c r="CTT370" s="15"/>
      <c r="CTU370" s="15"/>
      <c r="CTV370" s="15"/>
      <c r="CTW370" s="15"/>
      <c r="CTX370" s="15"/>
      <c r="CTY370" s="15"/>
      <c r="CTZ370" s="15"/>
      <c r="CUA370" s="15"/>
      <c r="CUB370" s="15"/>
      <c r="CUC370" s="15"/>
      <c r="CUD370" s="10"/>
      <c r="CUE370" s="10"/>
      <c r="CUF370" s="21"/>
      <c r="CUG370" s="21"/>
      <c r="CUJ370" s="21"/>
      <c r="CUK370" s="15"/>
      <c r="CUL370" s="15"/>
      <c r="CUM370" s="15"/>
      <c r="CUN370" s="15"/>
      <c r="CUO370" s="15"/>
      <c r="CUP370" s="15"/>
      <c r="CUQ370" s="15"/>
      <c r="CUR370" s="15"/>
      <c r="CUS370" s="15"/>
      <c r="CUT370" s="15"/>
      <c r="CUU370" s="10"/>
      <c r="CUV370" s="10"/>
      <c r="CUW370" s="21"/>
      <c r="CUX370" s="21"/>
      <c r="CVA370" s="21"/>
      <c r="CVB370" s="15"/>
      <c r="CVC370" s="15"/>
      <c r="CVD370" s="15"/>
      <c r="CVE370" s="15"/>
      <c r="CVF370" s="15"/>
      <c r="CVG370" s="15"/>
      <c r="CVH370" s="15"/>
      <c r="CVI370" s="15"/>
      <c r="CVJ370" s="15"/>
      <c r="CVK370" s="15"/>
      <c r="CVL370" s="10"/>
      <c r="CVM370" s="10"/>
      <c r="CVN370" s="21"/>
      <c r="CVO370" s="21"/>
      <c r="CVR370" s="21"/>
      <c r="CVS370" s="15"/>
      <c r="CVT370" s="15"/>
      <c r="CVU370" s="15"/>
      <c r="CVV370" s="15"/>
      <c r="CVW370" s="15"/>
      <c r="CVX370" s="15"/>
      <c r="CVY370" s="15"/>
      <c r="CVZ370" s="15"/>
      <c r="CWA370" s="15"/>
      <c r="CWB370" s="15"/>
      <c r="CWC370" s="10"/>
      <c r="CWD370" s="10"/>
      <c r="CWE370" s="21"/>
      <c r="CWF370" s="21"/>
      <c r="CWI370" s="21"/>
      <c r="CWJ370" s="15"/>
      <c r="CWK370" s="15"/>
      <c r="CWL370" s="15"/>
      <c r="CWM370" s="15"/>
      <c r="CWN370" s="15"/>
      <c r="CWO370" s="15"/>
      <c r="CWP370" s="15"/>
      <c r="CWQ370" s="15"/>
      <c r="CWR370" s="15"/>
      <c r="CWS370" s="15"/>
      <c r="CWT370" s="10"/>
      <c r="CWU370" s="10"/>
      <c r="CWV370" s="21"/>
      <c r="CWW370" s="21"/>
      <c r="CWZ370" s="21"/>
      <c r="CXA370" s="15"/>
      <c r="CXB370" s="15"/>
      <c r="CXC370" s="15"/>
      <c r="CXD370" s="15"/>
      <c r="CXE370" s="15"/>
      <c r="CXF370" s="15"/>
      <c r="CXG370" s="15"/>
      <c r="CXH370" s="15"/>
      <c r="CXI370" s="15"/>
      <c r="CXJ370" s="15"/>
      <c r="CXK370" s="10"/>
      <c r="CXL370" s="10"/>
      <c r="CXM370" s="21"/>
      <c r="CXN370" s="21"/>
      <c r="CXQ370" s="21"/>
      <c r="CXR370" s="15"/>
      <c r="CXS370" s="15"/>
      <c r="CXT370" s="15"/>
      <c r="CXU370" s="15"/>
      <c r="CXV370" s="15"/>
      <c r="CXW370" s="15"/>
      <c r="CXX370" s="15"/>
      <c r="CXY370" s="15"/>
      <c r="CXZ370" s="15"/>
      <c r="CYA370" s="15"/>
      <c r="CYB370" s="10"/>
      <c r="CYC370" s="10"/>
      <c r="CYD370" s="21"/>
      <c r="CYE370" s="21"/>
      <c r="CYH370" s="21"/>
      <c r="CYI370" s="15"/>
      <c r="CYJ370" s="15"/>
      <c r="CYK370" s="15"/>
      <c r="CYL370" s="15"/>
      <c r="CYM370" s="15"/>
      <c r="CYN370" s="15"/>
      <c r="CYO370" s="15"/>
      <c r="CYP370" s="15"/>
      <c r="CYQ370" s="15"/>
      <c r="CYR370" s="15"/>
      <c r="CYS370" s="10"/>
      <c r="CYT370" s="10"/>
      <c r="CYU370" s="21"/>
      <c r="CYV370" s="21"/>
      <c r="CYY370" s="21"/>
      <c r="CYZ370" s="15"/>
      <c r="CZA370" s="15"/>
      <c r="CZB370" s="15"/>
      <c r="CZC370" s="15"/>
      <c r="CZD370" s="15"/>
      <c r="CZE370" s="15"/>
      <c r="CZF370" s="15"/>
      <c r="CZG370" s="15"/>
      <c r="CZH370" s="15"/>
      <c r="CZI370" s="15"/>
      <c r="CZJ370" s="10"/>
      <c r="CZK370" s="10"/>
      <c r="CZL370" s="21"/>
      <c r="CZM370" s="21"/>
      <c r="CZP370" s="21"/>
      <c r="CZQ370" s="15"/>
      <c r="CZR370" s="15"/>
      <c r="CZS370" s="15"/>
      <c r="CZT370" s="15"/>
      <c r="CZU370" s="15"/>
      <c r="CZV370" s="15"/>
      <c r="CZW370" s="15"/>
      <c r="CZX370" s="15"/>
      <c r="CZY370" s="15"/>
      <c r="CZZ370" s="15"/>
      <c r="DAA370" s="10"/>
      <c r="DAB370" s="10"/>
      <c r="DAC370" s="21"/>
      <c r="DAD370" s="21"/>
      <c r="DAG370" s="21"/>
      <c r="DAH370" s="15"/>
      <c r="DAI370" s="15"/>
      <c r="DAJ370" s="15"/>
      <c r="DAK370" s="15"/>
      <c r="DAL370" s="15"/>
      <c r="DAM370" s="15"/>
      <c r="DAN370" s="15"/>
      <c r="DAO370" s="15"/>
      <c r="DAP370" s="15"/>
      <c r="DAQ370" s="15"/>
      <c r="DAR370" s="10"/>
      <c r="DAS370" s="10"/>
      <c r="DAT370" s="21"/>
      <c r="DAU370" s="21"/>
      <c r="DAX370" s="21"/>
      <c r="DAY370" s="15"/>
      <c r="DAZ370" s="15"/>
      <c r="DBA370" s="15"/>
      <c r="DBB370" s="15"/>
      <c r="DBC370" s="15"/>
      <c r="DBD370" s="15"/>
      <c r="DBE370" s="15"/>
      <c r="DBF370" s="15"/>
      <c r="DBG370" s="15"/>
      <c r="DBH370" s="15"/>
      <c r="DBI370" s="10"/>
      <c r="DBJ370" s="10"/>
      <c r="DBK370" s="21"/>
      <c r="DBL370" s="21"/>
      <c r="DBO370" s="21"/>
      <c r="DBP370" s="15"/>
      <c r="DBQ370" s="15"/>
      <c r="DBR370" s="15"/>
      <c r="DBS370" s="15"/>
      <c r="DBT370" s="15"/>
      <c r="DBU370" s="15"/>
      <c r="DBV370" s="15"/>
      <c r="DBW370" s="15"/>
      <c r="DBX370" s="15"/>
      <c r="DBY370" s="15"/>
      <c r="DBZ370" s="10"/>
      <c r="DCA370" s="10"/>
      <c r="DCB370" s="21"/>
      <c r="DCC370" s="21"/>
      <c r="DCF370" s="21"/>
      <c r="DCG370" s="15"/>
      <c r="DCH370" s="15"/>
      <c r="DCI370" s="15"/>
      <c r="DCJ370" s="15"/>
      <c r="DCK370" s="15"/>
      <c r="DCL370" s="15"/>
      <c r="DCM370" s="15"/>
      <c r="DCN370" s="15"/>
      <c r="DCO370" s="15"/>
      <c r="DCP370" s="15"/>
      <c r="DCQ370" s="10"/>
      <c r="DCR370" s="10"/>
      <c r="DCS370" s="21"/>
      <c r="DCT370" s="21"/>
      <c r="DCW370" s="21"/>
      <c r="DCX370" s="15"/>
      <c r="DCY370" s="15"/>
      <c r="DCZ370" s="15"/>
      <c r="DDA370" s="15"/>
      <c r="DDB370" s="15"/>
      <c r="DDC370" s="15"/>
      <c r="DDD370" s="15"/>
      <c r="DDE370" s="15"/>
      <c r="DDF370" s="15"/>
      <c r="DDG370" s="15"/>
      <c r="DDH370" s="10"/>
      <c r="DDI370" s="10"/>
      <c r="DDJ370" s="21"/>
      <c r="DDK370" s="21"/>
      <c r="DDN370" s="21"/>
      <c r="DDO370" s="15"/>
      <c r="DDP370" s="15"/>
      <c r="DDQ370" s="15"/>
      <c r="DDR370" s="15"/>
      <c r="DDS370" s="15"/>
      <c r="DDT370" s="15"/>
      <c r="DDU370" s="15"/>
      <c r="DDV370" s="15"/>
      <c r="DDW370" s="15"/>
      <c r="DDX370" s="15"/>
      <c r="DDY370" s="10"/>
      <c r="DDZ370" s="10"/>
      <c r="DEA370" s="21"/>
      <c r="DEB370" s="21"/>
      <c r="DEE370" s="21"/>
      <c r="DEF370" s="15"/>
      <c r="DEG370" s="15"/>
      <c r="DEH370" s="15"/>
      <c r="DEI370" s="15"/>
      <c r="DEJ370" s="15"/>
      <c r="DEK370" s="15"/>
      <c r="DEL370" s="15"/>
      <c r="DEM370" s="15"/>
      <c r="DEN370" s="15"/>
      <c r="DEO370" s="15"/>
      <c r="DEP370" s="10"/>
      <c r="DEQ370" s="10"/>
      <c r="DER370" s="21"/>
      <c r="DES370" s="21"/>
      <c r="DEV370" s="21"/>
      <c r="DEW370" s="15"/>
      <c r="DEX370" s="15"/>
      <c r="DEY370" s="15"/>
      <c r="DEZ370" s="15"/>
      <c r="DFA370" s="15"/>
      <c r="DFB370" s="15"/>
      <c r="DFC370" s="15"/>
      <c r="DFD370" s="15"/>
      <c r="DFE370" s="15"/>
      <c r="DFF370" s="15"/>
      <c r="DFG370" s="10"/>
      <c r="DFH370" s="10"/>
      <c r="DFI370" s="21"/>
      <c r="DFJ370" s="21"/>
      <c r="DFM370" s="21"/>
      <c r="DFN370" s="15"/>
      <c r="DFO370" s="15"/>
      <c r="DFP370" s="15"/>
      <c r="DFQ370" s="15"/>
      <c r="DFR370" s="15"/>
      <c r="DFS370" s="15"/>
      <c r="DFT370" s="15"/>
      <c r="DFU370" s="15"/>
      <c r="DFV370" s="15"/>
      <c r="DFW370" s="15"/>
      <c r="DFX370" s="10"/>
      <c r="DFY370" s="10"/>
      <c r="DFZ370" s="21"/>
      <c r="DGA370" s="21"/>
      <c r="DGD370" s="21"/>
      <c r="DGE370" s="15"/>
      <c r="DGF370" s="15"/>
      <c r="DGG370" s="15"/>
      <c r="DGH370" s="15"/>
      <c r="DGI370" s="15"/>
      <c r="DGJ370" s="15"/>
      <c r="DGK370" s="15"/>
      <c r="DGL370" s="15"/>
      <c r="DGM370" s="15"/>
      <c r="DGN370" s="15"/>
      <c r="DGO370" s="10"/>
      <c r="DGP370" s="10"/>
      <c r="DGQ370" s="21"/>
      <c r="DGR370" s="21"/>
      <c r="DGU370" s="21"/>
      <c r="DGV370" s="15"/>
      <c r="DGW370" s="15"/>
      <c r="DGX370" s="15"/>
      <c r="DGY370" s="15"/>
      <c r="DGZ370" s="15"/>
      <c r="DHA370" s="15"/>
      <c r="DHB370" s="15"/>
      <c r="DHC370" s="15"/>
      <c r="DHD370" s="15"/>
      <c r="DHE370" s="15"/>
      <c r="DHF370" s="10"/>
      <c r="DHG370" s="10"/>
      <c r="DHH370" s="21"/>
      <c r="DHI370" s="21"/>
      <c r="DHL370" s="21"/>
      <c r="DHM370" s="15"/>
      <c r="DHN370" s="15"/>
      <c r="DHO370" s="15"/>
      <c r="DHP370" s="15"/>
      <c r="DHQ370" s="15"/>
      <c r="DHR370" s="15"/>
      <c r="DHS370" s="15"/>
      <c r="DHT370" s="15"/>
      <c r="DHU370" s="15"/>
      <c r="DHV370" s="15"/>
      <c r="DHW370" s="10"/>
      <c r="DHX370" s="10"/>
      <c r="DHY370" s="21"/>
      <c r="DHZ370" s="21"/>
      <c r="DIC370" s="21"/>
      <c r="DID370" s="15"/>
      <c r="DIE370" s="15"/>
      <c r="DIF370" s="15"/>
      <c r="DIG370" s="15"/>
      <c r="DIH370" s="15"/>
      <c r="DII370" s="15"/>
      <c r="DIJ370" s="15"/>
      <c r="DIK370" s="15"/>
      <c r="DIL370" s="15"/>
      <c r="DIM370" s="15"/>
      <c r="DIN370" s="10"/>
      <c r="DIO370" s="10"/>
      <c r="DIP370" s="21"/>
      <c r="DIQ370" s="21"/>
      <c r="DIT370" s="21"/>
      <c r="DIU370" s="15"/>
      <c r="DIV370" s="15"/>
      <c r="DIW370" s="15"/>
      <c r="DIX370" s="15"/>
      <c r="DIY370" s="15"/>
      <c r="DIZ370" s="15"/>
      <c r="DJA370" s="15"/>
      <c r="DJB370" s="15"/>
      <c r="DJC370" s="15"/>
      <c r="DJD370" s="15"/>
      <c r="DJE370" s="10"/>
      <c r="DJF370" s="10"/>
      <c r="DJG370" s="21"/>
      <c r="DJH370" s="21"/>
      <c r="DJK370" s="21"/>
      <c r="DJL370" s="15"/>
      <c r="DJM370" s="15"/>
      <c r="DJN370" s="15"/>
      <c r="DJO370" s="15"/>
      <c r="DJP370" s="15"/>
      <c r="DJQ370" s="15"/>
      <c r="DJR370" s="15"/>
      <c r="DJS370" s="15"/>
      <c r="DJT370" s="15"/>
      <c r="DJU370" s="15"/>
      <c r="DJV370" s="10"/>
      <c r="DJW370" s="10"/>
      <c r="DJX370" s="21"/>
      <c r="DJY370" s="21"/>
      <c r="DKB370" s="21"/>
      <c r="DKC370" s="15"/>
      <c r="DKD370" s="15"/>
      <c r="DKE370" s="15"/>
      <c r="DKF370" s="15"/>
      <c r="DKG370" s="15"/>
      <c r="DKH370" s="15"/>
      <c r="DKI370" s="15"/>
      <c r="DKJ370" s="15"/>
      <c r="DKK370" s="15"/>
      <c r="DKL370" s="15"/>
      <c r="DKM370" s="10"/>
      <c r="DKN370" s="10"/>
      <c r="DKO370" s="21"/>
      <c r="DKP370" s="21"/>
      <c r="DKS370" s="21"/>
      <c r="DKT370" s="15"/>
      <c r="DKU370" s="15"/>
      <c r="DKV370" s="15"/>
      <c r="DKW370" s="15"/>
      <c r="DKX370" s="15"/>
      <c r="DKY370" s="15"/>
      <c r="DKZ370" s="15"/>
      <c r="DLA370" s="15"/>
      <c r="DLB370" s="15"/>
      <c r="DLC370" s="15"/>
      <c r="DLD370" s="10"/>
      <c r="DLE370" s="10"/>
      <c r="DLF370" s="21"/>
      <c r="DLG370" s="21"/>
      <c r="DLJ370" s="21"/>
      <c r="DLK370" s="15"/>
      <c r="DLL370" s="15"/>
      <c r="DLM370" s="15"/>
      <c r="DLN370" s="15"/>
      <c r="DLO370" s="15"/>
      <c r="DLP370" s="15"/>
      <c r="DLQ370" s="15"/>
      <c r="DLR370" s="15"/>
      <c r="DLS370" s="15"/>
      <c r="DLT370" s="15"/>
      <c r="DLU370" s="10"/>
      <c r="DLV370" s="10"/>
      <c r="DLW370" s="21"/>
      <c r="DLX370" s="21"/>
      <c r="DMA370" s="21"/>
      <c r="DMB370" s="15"/>
      <c r="DMC370" s="15"/>
      <c r="DMD370" s="15"/>
      <c r="DME370" s="15"/>
      <c r="DMF370" s="15"/>
      <c r="DMG370" s="15"/>
      <c r="DMH370" s="15"/>
      <c r="DMI370" s="15"/>
      <c r="DMJ370" s="15"/>
      <c r="DMK370" s="15"/>
      <c r="DML370" s="10"/>
      <c r="DMM370" s="10"/>
      <c r="DMN370" s="21"/>
      <c r="DMO370" s="21"/>
      <c r="DMR370" s="21"/>
      <c r="DMS370" s="15"/>
      <c r="DMT370" s="15"/>
      <c r="DMU370" s="15"/>
      <c r="DMV370" s="15"/>
      <c r="DMW370" s="15"/>
      <c r="DMX370" s="15"/>
      <c r="DMY370" s="15"/>
      <c r="DMZ370" s="15"/>
      <c r="DNA370" s="15"/>
      <c r="DNB370" s="15"/>
      <c r="DNC370" s="10"/>
      <c r="DND370" s="10"/>
      <c r="DNE370" s="21"/>
      <c r="DNF370" s="21"/>
      <c r="DNI370" s="21"/>
      <c r="DNJ370" s="15"/>
      <c r="DNK370" s="15"/>
      <c r="DNL370" s="15"/>
      <c r="DNM370" s="15"/>
      <c r="DNN370" s="15"/>
      <c r="DNO370" s="15"/>
      <c r="DNP370" s="15"/>
      <c r="DNQ370" s="15"/>
      <c r="DNR370" s="15"/>
      <c r="DNS370" s="15"/>
      <c r="DNT370" s="10"/>
      <c r="DNU370" s="10"/>
      <c r="DNV370" s="21"/>
      <c r="DNW370" s="21"/>
      <c r="DNZ370" s="21"/>
      <c r="DOA370" s="15"/>
      <c r="DOB370" s="15"/>
      <c r="DOC370" s="15"/>
      <c r="DOD370" s="15"/>
      <c r="DOE370" s="15"/>
      <c r="DOF370" s="15"/>
      <c r="DOG370" s="15"/>
      <c r="DOH370" s="15"/>
      <c r="DOI370" s="15"/>
      <c r="DOJ370" s="15"/>
      <c r="DOK370" s="10"/>
      <c r="DOL370" s="10"/>
      <c r="DOM370" s="21"/>
      <c r="DON370" s="21"/>
      <c r="DOQ370" s="21"/>
      <c r="DOR370" s="15"/>
      <c r="DOS370" s="15"/>
      <c r="DOT370" s="15"/>
      <c r="DOU370" s="15"/>
      <c r="DOV370" s="15"/>
      <c r="DOW370" s="15"/>
      <c r="DOX370" s="15"/>
      <c r="DOY370" s="15"/>
      <c r="DOZ370" s="15"/>
      <c r="DPA370" s="15"/>
      <c r="DPB370" s="10"/>
      <c r="DPC370" s="10"/>
      <c r="DPD370" s="21"/>
      <c r="DPE370" s="21"/>
      <c r="DPH370" s="21"/>
      <c r="DPI370" s="15"/>
      <c r="DPJ370" s="15"/>
      <c r="DPK370" s="15"/>
      <c r="DPL370" s="15"/>
      <c r="DPM370" s="15"/>
      <c r="DPN370" s="15"/>
      <c r="DPO370" s="15"/>
      <c r="DPP370" s="15"/>
      <c r="DPQ370" s="15"/>
      <c r="DPR370" s="15"/>
      <c r="DPS370" s="10"/>
      <c r="DPT370" s="10"/>
      <c r="DPU370" s="21"/>
      <c r="DPV370" s="21"/>
      <c r="DPY370" s="21"/>
      <c r="DPZ370" s="15"/>
      <c r="DQA370" s="15"/>
      <c r="DQB370" s="15"/>
      <c r="DQC370" s="15"/>
      <c r="DQD370" s="15"/>
      <c r="DQE370" s="15"/>
      <c r="DQF370" s="15"/>
      <c r="DQG370" s="15"/>
      <c r="DQH370" s="15"/>
      <c r="DQI370" s="15"/>
      <c r="DQJ370" s="10"/>
      <c r="DQK370" s="10"/>
      <c r="DQL370" s="21"/>
      <c r="DQM370" s="21"/>
      <c r="DQP370" s="21"/>
      <c r="DQQ370" s="15"/>
      <c r="DQR370" s="15"/>
      <c r="DQS370" s="15"/>
      <c r="DQT370" s="15"/>
      <c r="DQU370" s="15"/>
      <c r="DQV370" s="15"/>
      <c r="DQW370" s="15"/>
      <c r="DQX370" s="15"/>
      <c r="DQY370" s="15"/>
      <c r="DQZ370" s="15"/>
      <c r="DRA370" s="10"/>
      <c r="DRB370" s="10"/>
      <c r="DRC370" s="21"/>
      <c r="DRD370" s="21"/>
      <c r="DRG370" s="21"/>
      <c r="DRH370" s="15"/>
      <c r="DRI370" s="15"/>
      <c r="DRJ370" s="15"/>
      <c r="DRK370" s="15"/>
      <c r="DRL370" s="15"/>
      <c r="DRM370" s="15"/>
      <c r="DRN370" s="15"/>
      <c r="DRO370" s="15"/>
      <c r="DRP370" s="15"/>
      <c r="DRQ370" s="15"/>
      <c r="DRR370" s="10"/>
      <c r="DRS370" s="10"/>
      <c r="DRT370" s="21"/>
      <c r="DRU370" s="21"/>
      <c r="DRX370" s="21"/>
      <c r="DRY370" s="15"/>
      <c r="DRZ370" s="15"/>
      <c r="DSA370" s="15"/>
      <c r="DSB370" s="15"/>
      <c r="DSC370" s="15"/>
      <c r="DSD370" s="15"/>
      <c r="DSE370" s="15"/>
      <c r="DSF370" s="15"/>
      <c r="DSG370" s="15"/>
      <c r="DSH370" s="15"/>
      <c r="DSI370" s="10"/>
      <c r="DSJ370" s="10"/>
      <c r="DSK370" s="21"/>
      <c r="DSL370" s="21"/>
      <c r="DSO370" s="21"/>
      <c r="DSP370" s="15"/>
      <c r="DSQ370" s="15"/>
      <c r="DSR370" s="15"/>
      <c r="DSS370" s="15"/>
      <c r="DST370" s="15"/>
      <c r="DSU370" s="15"/>
      <c r="DSV370" s="15"/>
      <c r="DSW370" s="15"/>
      <c r="DSX370" s="15"/>
      <c r="DSY370" s="15"/>
      <c r="DSZ370" s="10"/>
      <c r="DTA370" s="10"/>
      <c r="DTB370" s="21"/>
      <c r="DTC370" s="21"/>
      <c r="DTF370" s="21"/>
      <c r="DTG370" s="15"/>
      <c r="DTH370" s="15"/>
      <c r="DTI370" s="15"/>
      <c r="DTJ370" s="15"/>
      <c r="DTK370" s="15"/>
      <c r="DTL370" s="15"/>
      <c r="DTM370" s="15"/>
      <c r="DTN370" s="15"/>
      <c r="DTO370" s="15"/>
      <c r="DTP370" s="15"/>
      <c r="DTQ370" s="10"/>
      <c r="DTR370" s="10"/>
      <c r="DTS370" s="21"/>
      <c r="DTT370" s="21"/>
      <c r="DTW370" s="21"/>
      <c r="DTX370" s="15"/>
      <c r="DTY370" s="15"/>
      <c r="DTZ370" s="15"/>
      <c r="DUA370" s="15"/>
      <c r="DUB370" s="15"/>
      <c r="DUC370" s="15"/>
      <c r="DUD370" s="15"/>
      <c r="DUE370" s="15"/>
      <c r="DUF370" s="15"/>
      <c r="DUG370" s="15"/>
      <c r="DUH370" s="10"/>
      <c r="DUI370" s="10"/>
      <c r="DUJ370" s="21"/>
      <c r="DUK370" s="21"/>
      <c r="DUN370" s="21"/>
      <c r="DUO370" s="15"/>
      <c r="DUP370" s="15"/>
      <c r="DUQ370" s="15"/>
      <c r="DUR370" s="15"/>
      <c r="DUS370" s="15"/>
      <c r="DUT370" s="15"/>
      <c r="DUU370" s="15"/>
      <c r="DUV370" s="15"/>
      <c r="DUW370" s="15"/>
      <c r="DUX370" s="15"/>
      <c r="DUY370" s="10"/>
      <c r="DUZ370" s="10"/>
      <c r="DVA370" s="21"/>
      <c r="DVB370" s="21"/>
      <c r="DVE370" s="21"/>
      <c r="DVF370" s="15"/>
      <c r="DVG370" s="15"/>
      <c r="DVH370" s="15"/>
      <c r="DVI370" s="15"/>
      <c r="DVJ370" s="15"/>
      <c r="DVK370" s="15"/>
      <c r="DVL370" s="15"/>
      <c r="DVM370" s="15"/>
      <c r="DVN370" s="15"/>
      <c r="DVO370" s="15"/>
      <c r="DVP370" s="10"/>
      <c r="DVQ370" s="10"/>
      <c r="DVR370" s="21"/>
      <c r="DVS370" s="21"/>
      <c r="DVV370" s="21"/>
      <c r="DVW370" s="15"/>
      <c r="DVX370" s="15"/>
      <c r="DVY370" s="15"/>
      <c r="DVZ370" s="15"/>
      <c r="DWA370" s="15"/>
      <c r="DWB370" s="15"/>
      <c r="DWC370" s="15"/>
      <c r="DWD370" s="15"/>
      <c r="DWE370" s="15"/>
      <c r="DWF370" s="15"/>
      <c r="DWG370" s="10"/>
      <c r="DWH370" s="10"/>
      <c r="DWI370" s="21"/>
      <c r="DWJ370" s="21"/>
      <c r="DWM370" s="21"/>
      <c r="DWN370" s="15"/>
      <c r="DWO370" s="15"/>
      <c r="DWP370" s="15"/>
      <c r="DWQ370" s="15"/>
      <c r="DWR370" s="15"/>
      <c r="DWS370" s="15"/>
      <c r="DWT370" s="15"/>
      <c r="DWU370" s="15"/>
      <c r="DWV370" s="15"/>
      <c r="DWW370" s="15"/>
      <c r="DWX370" s="10"/>
      <c r="DWY370" s="10"/>
      <c r="DWZ370" s="21"/>
      <c r="DXA370" s="21"/>
      <c r="DXD370" s="21"/>
      <c r="DXE370" s="15"/>
      <c r="DXF370" s="15"/>
      <c r="DXG370" s="15"/>
      <c r="DXH370" s="15"/>
      <c r="DXI370" s="15"/>
      <c r="DXJ370" s="15"/>
      <c r="DXK370" s="15"/>
      <c r="DXL370" s="15"/>
      <c r="DXM370" s="15"/>
      <c r="DXN370" s="15"/>
      <c r="DXO370" s="10"/>
      <c r="DXP370" s="10"/>
      <c r="DXQ370" s="21"/>
      <c r="DXR370" s="21"/>
      <c r="DXU370" s="21"/>
      <c r="DXV370" s="15"/>
      <c r="DXW370" s="15"/>
      <c r="DXX370" s="15"/>
      <c r="DXY370" s="15"/>
      <c r="DXZ370" s="15"/>
      <c r="DYA370" s="15"/>
      <c r="DYB370" s="15"/>
      <c r="DYC370" s="15"/>
      <c r="DYD370" s="15"/>
      <c r="DYE370" s="15"/>
      <c r="DYF370" s="10"/>
      <c r="DYG370" s="10"/>
      <c r="DYH370" s="21"/>
      <c r="DYI370" s="21"/>
      <c r="DYL370" s="21"/>
      <c r="DYM370" s="15"/>
      <c r="DYN370" s="15"/>
      <c r="DYO370" s="15"/>
      <c r="DYP370" s="15"/>
      <c r="DYQ370" s="15"/>
      <c r="DYR370" s="15"/>
      <c r="DYS370" s="15"/>
      <c r="DYT370" s="15"/>
      <c r="DYU370" s="15"/>
      <c r="DYV370" s="15"/>
      <c r="DYW370" s="10"/>
      <c r="DYX370" s="10"/>
      <c r="DYY370" s="21"/>
      <c r="DYZ370" s="21"/>
      <c r="DZC370" s="21"/>
      <c r="DZD370" s="15"/>
      <c r="DZE370" s="15"/>
      <c r="DZF370" s="15"/>
      <c r="DZG370" s="15"/>
      <c r="DZH370" s="15"/>
      <c r="DZI370" s="15"/>
      <c r="DZJ370" s="15"/>
      <c r="DZK370" s="15"/>
      <c r="DZL370" s="15"/>
      <c r="DZM370" s="15"/>
      <c r="DZN370" s="10"/>
      <c r="DZO370" s="10"/>
      <c r="DZP370" s="21"/>
      <c r="DZQ370" s="21"/>
      <c r="DZT370" s="21"/>
      <c r="DZU370" s="15"/>
      <c r="DZV370" s="15"/>
      <c r="DZW370" s="15"/>
      <c r="DZX370" s="15"/>
      <c r="DZY370" s="15"/>
      <c r="DZZ370" s="15"/>
      <c r="EAA370" s="15"/>
      <c r="EAB370" s="15"/>
      <c r="EAC370" s="15"/>
      <c r="EAD370" s="15"/>
      <c r="EAE370" s="10"/>
      <c r="EAF370" s="10"/>
      <c r="EAG370" s="21"/>
      <c r="EAH370" s="21"/>
      <c r="EAK370" s="21"/>
      <c r="EAL370" s="15"/>
      <c r="EAM370" s="15"/>
      <c r="EAN370" s="15"/>
      <c r="EAO370" s="15"/>
      <c r="EAP370" s="15"/>
      <c r="EAQ370" s="15"/>
      <c r="EAR370" s="15"/>
      <c r="EAS370" s="15"/>
      <c r="EAT370" s="15"/>
      <c r="EAU370" s="15"/>
      <c r="EAV370" s="10"/>
      <c r="EAW370" s="10"/>
      <c r="EAX370" s="21"/>
      <c r="EAY370" s="21"/>
      <c r="EBB370" s="21"/>
      <c r="EBC370" s="15"/>
      <c r="EBD370" s="15"/>
      <c r="EBE370" s="15"/>
      <c r="EBF370" s="15"/>
      <c r="EBG370" s="15"/>
      <c r="EBH370" s="15"/>
      <c r="EBI370" s="15"/>
      <c r="EBJ370" s="15"/>
      <c r="EBK370" s="15"/>
      <c r="EBL370" s="15"/>
      <c r="EBM370" s="10"/>
      <c r="EBN370" s="10"/>
      <c r="EBO370" s="21"/>
      <c r="EBP370" s="21"/>
      <c r="EBS370" s="21"/>
      <c r="EBT370" s="15"/>
      <c r="EBU370" s="15"/>
      <c r="EBV370" s="15"/>
      <c r="EBW370" s="15"/>
      <c r="EBX370" s="15"/>
      <c r="EBY370" s="15"/>
      <c r="EBZ370" s="15"/>
      <c r="ECA370" s="15"/>
      <c r="ECB370" s="15"/>
      <c r="ECC370" s="15"/>
      <c r="ECD370" s="10"/>
      <c r="ECE370" s="10"/>
      <c r="ECF370" s="21"/>
      <c r="ECG370" s="21"/>
      <c r="ECJ370" s="21"/>
      <c r="ECK370" s="15"/>
      <c r="ECL370" s="15"/>
      <c r="ECM370" s="15"/>
      <c r="ECN370" s="15"/>
      <c r="ECO370" s="15"/>
      <c r="ECP370" s="15"/>
      <c r="ECQ370" s="15"/>
      <c r="ECR370" s="15"/>
      <c r="ECS370" s="15"/>
      <c r="ECT370" s="15"/>
      <c r="ECU370" s="10"/>
      <c r="ECV370" s="10"/>
      <c r="ECW370" s="21"/>
      <c r="ECX370" s="21"/>
      <c r="EDA370" s="21"/>
      <c r="EDB370" s="15"/>
      <c r="EDC370" s="15"/>
      <c r="EDD370" s="15"/>
      <c r="EDE370" s="15"/>
      <c r="EDF370" s="15"/>
      <c r="EDG370" s="15"/>
      <c r="EDH370" s="15"/>
      <c r="EDI370" s="15"/>
      <c r="EDJ370" s="15"/>
      <c r="EDK370" s="15"/>
      <c r="EDL370" s="10"/>
      <c r="EDM370" s="10"/>
      <c r="EDN370" s="21"/>
      <c r="EDO370" s="21"/>
      <c r="EDR370" s="21"/>
      <c r="EDS370" s="15"/>
      <c r="EDT370" s="15"/>
      <c r="EDU370" s="15"/>
      <c r="EDV370" s="15"/>
      <c r="EDW370" s="15"/>
      <c r="EDX370" s="15"/>
      <c r="EDY370" s="15"/>
      <c r="EDZ370" s="15"/>
      <c r="EEA370" s="15"/>
      <c r="EEB370" s="15"/>
      <c r="EEC370" s="10"/>
      <c r="EED370" s="10"/>
      <c r="EEE370" s="21"/>
      <c r="EEF370" s="21"/>
      <c r="EEI370" s="21"/>
      <c r="EEJ370" s="15"/>
      <c r="EEK370" s="15"/>
      <c r="EEL370" s="15"/>
      <c r="EEM370" s="15"/>
      <c r="EEN370" s="15"/>
      <c r="EEO370" s="15"/>
      <c r="EEP370" s="15"/>
      <c r="EEQ370" s="15"/>
      <c r="EER370" s="15"/>
      <c r="EES370" s="15"/>
      <c r="EET370" s="10"/>
      <c r="EEU370" s="10"/>
      <c r="EEV370" s="21"/>
      <c r="EEW370" s="21"/>
      <c r="EEZ370" s="21"/>
      <c r="EFA370" s="15"/>
      <c r="EFB370" s="15"/>
      <c r="EFC370" s="15"/>
      <c r="EFD370" s="15"/>
      <c r="EFE370" s="15"/>
      <c r="EFF370" s="15"/>
      <c r="EFG370" s="15"/>
      <c r="EFH370" s="15"/>
      <c r="EFI370" s="15"/>
      <c r="EFJ370" s="15"/>
      <c r="EFK370" s="10"/>
      <c r="EFL370" s="10"/>
      <c r="EFM370" s="21"/>
      <c r="EFN370" s="21"/>
      <c r="EFQ370" s="21"/>
      <c r="EFR370" s="15"/>
      <c r="EFS370" s="15"/>
      <c r="EFT370" s="15"/>
      <c r="EFU370" s="15"/>
      <c r="EFV370" s="15"/>
      <c r="EFW370" s="15"/>
      <c r="EFX370" s="15"/>
      <c r="EFY370" s="15"/>
      <c r="EFZ370" s="15"/>
      <c r="EGA370" s="15"/>
      <c r="EGB370" s="10"/>
      <c r="EGC370" s="10"/>
      <c r="EGD370" s="21"/>
      <c r="EGE370" s="21"/>
      <c r="EGH370" s="21"/>
      <c r="EGI370" s="15"/>
      <c r="EGJ370" s="15"/>
      <c r="EGK370" s="15"/>
      <c r="EGL370" s="15"/>
      <c r="EGM370" s="15"/>
      <c r="EGN370" s="15"/>
      <c r="EGO370" s="15"/>
      <c r="EGP370" s="15"/>
      <c r="EGQ370" s="15"/>
      <c r="EGR370" s="15"/>
      <c r="EGS370" s="10"/>
      <c r="EGT370" s="10"/>
      <c r="EGU370" s="21"/>
      <c r="EGV370" s="21"/>
      <c r="EGY370" s="21"/>
      <c r="EGZ370" s="15"/>
      <c r="EHA370" s="15"/>
      <c r="EHB370" s="15"/>
      <c r="EHC370" s="15"/>
      <c r="EHD370" s="15"/>
      <c r="EHE370" s="15"/>
      <c r="EHF370" s="15"/>
      <c r="EHG370" s="15"/>
      <c r="EHH370" s="15"/>
      <c r="EHI370" s="15"/>
      <c r="EHJ370" s="10"/>
      <c r="EHK370" s="10"/>
      <c r="EHL370" s="21"/>
      <c r="EHM370" s="21"/>
      <c r="EHP370" s="21"/>
      <c r="EHQ370" s="15"/>
      <c r="EHR370" s="15"/>
      <c r="EHS370" s="15"/>
      <c r="EHT370" s="15"/>
      <c r="EHU370" s="15"/>
      <c r="EHV370" s="15"/>
      <c r="EHW370" s="15"/>
      <c r="EHX370" s="15"/>
      <c r="EHY370" s="15"/>
      <c r="EHZ370" s="15"/>
      <c r="EIA370" s="10"/>
      <c r="EIB370" s="10"/>
      <c r="EIC370" s="21"/>
      <c r="EID370" s="21"/>
      <c r="EIG370" s="21"/>
      <c r="EIH370" s="15"/>
      <c r="EII370" s="15"/>
      <c r="EIJ370" s="15"/>
      <c r="EIK370" s="15"/>
      <c r="EIL370" s="15"/>
      <c r="EIM370" s="15"/>
      <c r="EIN370" s="15"/>
      <c r="EIO370" s="15"/>
      <c r="EIP370" s="15"/>
      <c r="EIQ370" s="15"/>
      <c r="EIR370" s="10"/>
      <c r="EIS370" s="10"/>
      <c r="EIT370" s="21"/>
      <c r="EIU370" s="21"/>
      <c r="EIX370" s="21"/>
      <c r="EIY370" s="15"/>
      <c r="EIZ370" s="15"/>
      <c r="EJA370" s="15"/>
      <c r="EJB370" s="15"/>
      <c r="EJC370" s="15"/>
      <c r="EJD370" s="15"/>
      <c r="EJE370" s="15"/>
      <c r="EJF370" s="15"/>
      <c r="EJG370" s="15"/>
      <c r="EJH370" s="15"/>
      <c r="EJI370" s="10"/>
      <c r="EJJ370" s="10"/>
      <c r="EJK370" s="21"/>
      <c r="EJL370" s="21"/>
      <c r="EJO370" s="21"/>
      <c r="EJP370" s="15"/>
      <c r="EJQ370" s="15"/>
      <c r="EJR370" s="15"/>
      <c r="EJS370" s="15"/>
      <c r="EJT370" s="15"/>
      <c r="EJU370" s="15"/>
      <c r="EJV370" s="15"/>
      <c r="EJW370" s="15"/>
      <c r="EJX370" s="15"/>
      <c r="EJY370" s="15"/>
      <c r="EJZ370" s="10"/>
      <c r="EKA370" s="10"/>
      <c r="EKB370" s="21"/>
      <c r="EKC370" s="21"/>
      <c r="EKF370" s="21"/>
      <c r="EKG370" s="15"/>
      <c r="EKH370" s="15"/>
      <c r="EKI370" s="15"/>
      <c r="EKJ370" s="15"/>
      <c r="EKK370" s="15"/>
      <c r="EKL370" s="15"/>
      <c r="EKM370" s="15"/>
      <c r="EKN370" s="15"/>
      <c r="EKO370" s="15"/>
      <c r="EKP370" s="15"/>
      <c r="EKQ370" s="10"/>
      <c r="EKR370" s="10"/>
      <c r="EKS370" s="21"/>
      <c r="EKT370" s="21"/>
      <c r="EKW370" s="21"/>
      <c r="EKX370" s="15"/>
      <c r="EKY370" s="15"/>
      <c r="EKZ370" s="15"/>
      <c r="ELA370" s="15"/>
      <c r="ELB370" s="15"/>
      <c r="ELC370" s="15"/>
      <c r="ELD370" s="15"/>
      <c r="ELE370" s="15"/>
      <c r="ELF370" s="15"/>
      <c r="ELG370" s="15"/>
      <c r="ELH370" s="10"/>
      <c r="ELI370" s="10"/>
      <c r="ELJ370" s="21"/>
      <c r="ELK370" s="21"/>
      <c r="ELN370" s="21"/>
      <c r="ELO370" s="15"/>
      <c r="ELP370" s="15"/>
      <c r="ELQ370" s="15"/>
      <c r="ELR370" s="15"/>
      <c r="ELS370" s="15"/>
      <c r="ELT370" s="15"/>
      <c r="ELU370" s="15"/>
      <c r="ELV370" s="15"/>
      <c r="ELW370" s="15"/>
      <c r="ELX370" s="15"/>
      <c r="ELY370" s="10"/>
      <c r="ELZ370" s="10"/>
      <c r="EMA370" s="21"/>
      <c r="EMB370" s="21"/>
      <c r="EME370" s="21"/>
      <c r="EMF370" s="15"/>
      <c r="EMG370" s="15"/>
      <c r="EMH370" s="15"/>
      <c r="EMI370" s="15"/>
      <c r="EMJ370" s="15"/>
      <c r="EMK370" s="15"/>
      <c r="EML370" s="15"/>
      <c r="EMM370" s="15"/>
      <c r="EMN370" s="15"/>
      <c r="EMO370" s="15"/>
      <c r="EMP370" s="10"/>
      <c r="EMQ370" s="10"/>
      <c r="EMR370" s="21"/>
      <c r="EMS370" s="21"/>
      <c r="EMV370" s="21"/>
      <c r="EMW370" s="15"/>
      <c r="EMX370" s="15"/>
      <c r="EMY370" s="15"/>
      <c r="EMZ370" s="15"/>
      <c r="ENA370" s="15"/>
      <c r="ENB370" s="15"/>
      <c r="ENC370" s="15"/>
      <c r="END370" s="15"/>
      <c r="ENE370" s="15"/>
      <c r="ENF370" s="15"/>
      <c r="ENG370" s="10"/>
      <c r="ENH370" s="10"/>
      <c r="ENI370" s="21"/>
      <c r="ENJ370" s="21"/>
      <c r="ENM370" s="21"/>
      <c r="ENN370" s="15"/>
      <c r="ENO370" s="15"/>
      <c r="ENP370" s="15"/>
      <c r="ENQ370" s="15"/>
      <c r="ENR370" s="15"/>
      <c r="ENS370" s="15"/>
      <c r="ENT370" s="15"/>
      <c r="ENU370" s="15"/>
      <c r="ENV370" s="15"/>
      <c r="ENW370" s="15"/>
      <c r="ENX370" s="10"/>
      <c r="ENY370" s="10"/>
      <c r="ENZ370" s="21"/>
      <c r="EOA370" s="21"/>
      <c r="EOD370" s="21"/>
      <c r="EOE370" s="15"/>
      <c r="EOF370" s="15"/>
      <c r="EOG370" s="15"/>
      <c r="EOH370" s="15"/>
      <c r="EOI370" s="15"/>
      <c r="EOJ370" s="15"/>
      <c r="EOK370" s="15"/>
      <c r="EOL370" s="15"/>
      <c r="EOM370" s="15"/>
      <c r="EON370" s="15"/>
      <c r="EOO370" s="10"/>
      <c r="EOP370" s="10"/>
      <c r="EOQ370" s="21"/>
      <c r="EOR370" s="21"/>
      <c r="EOU370" s="21"/>
      <c r="EOV370" s="15"/>
      <c r="EOW370" s="15"/>
      <c r="EOX370" s="15"/>
      <c r="EOY370" s="15"/>
      <c r="EOZ370" s="15"/>
      <c r="EPA370" s="15"/>
      <c r="EPB370" s="15"/>
      <c r="EPC370" s="15"/>
      <c r="EPD370" s="15"/>
      <c r="EPE370" s="15"/>
      <c r="EPF370" s="10"/>
      <c r="EPG370" s="10"/>
      <c r="EPH370" s="21"/>
      <c r="EPI370" s="21"/>
      <c r="EPL370" s="21"/>
      <c r="EPM370" s="15"/>
      <c r="EPN370" s="15"/>
      <c r="EPO370" s="15"/>
      <c r="EPP370" s="15"/>
      <c r="EPQ370" s="15"/>
      <c r="EPR370" s="15"/>
      <c r="EPS370" s="15"/>
      <c r="EPT370" s="15"/>
      <c r="EPU370" s="15"/>
      <c r="EPV370" s="15"/>
      <c r="EPW370" s="10"/>
      <c r="EPX370" s="10"/>
      <c r="EPY370" s="21"/>
      <c r="EPZ370" s="21"/>
      <c r="EQC370" s="21"/>
      <c r="EQD370" s="15"/>
      <c r="EQE370" s="15"/>
      <c r="EQF370" s="15"/>
      <c r="EQG370" s="15"/>
      <c r="EQH370" s="15"/>
      <c r="EQI370" s="15"/>
      <c r="EQJ370" s="15"/>
      <c r="EQK370" s="15"/>
      <c r="EQL370" s="15"/>
      <c r="EQM370" s="15"/>
      <c r="EQN370" s="10"/>
      <c r="EQO370" s="10"/>
      <c r="EQP370" s="21"/>
      <c r="EQQ370" s="21"/>
      <c r="EQT370" s="21"/>
      <c r="EQU370" s="15"/>
      <c r="EQV370" s="15"/>
      <c r="EQW370" s="15"/>
      <c r="EQX370" s="15"/>
      <c r="EQY370" s="15"/>
      <c r="EQZ370" s="15"/>
      <c r="ERA370" s="15"/>
      <c r="ERB370" s="15"/>
      <c r="ERC370" s="15"/>
      <c r="ERD370" s="15"/>
      <c r="ERE370" s="10"/>
      <c r="ERF370" s="10"/>
      <c r="ERG370" s="21"/>
      <c r="ERH370" s="21"/>
      <c r="ERK370" s="21"/>
      <c r="ERL370" s="15"/>
      <c r="ERM370" s="15"/>
      <c r="ERN370" s="15"/>
      <c r="ERO370" s="15"/>
      <c r="ERP370" s="15"/>
      <c r="ERQ370" s="15"/>
      <c r="ERR370" s="15"/>
      <c r="ERS370" s="15"/>
      <c r="ERT370" s="15"/>
      <c r="ERU370" s="15"/>
      <c r="ERV370" s="10"/>
      <c r="ERW370" s="10"/>
      <c r="ERX370" s="21"/>
      <c r="ERY370" s="21"/>
      <c r="ESB370" s="21"/>
      <c r="ESC370" s="15"/>
      <c r="ESD370" s="15"/>
      <c r="ESE370" s="15"/>
      <c r="ESF370" s="15"/>
      <c r="ESG370" s="15"/>
      <c r="ESH370" s="15"/>
      <c r="ESI370" s="15"/>
      <c r="ESJ370" s="15"/>
      <c r="ESK370" s="15"/>
      <c r="ESL370" s="15"/>
      <c r="ESM370" s="10"/>
      <c r="ESN370" s="10"/>
      <c r="ESO370" s="21"/>
      <c r="ESP370" s="21"/>
      <c r="ESS370" s="21"/>
      <c r="EST370" s="15"/>
      <c r="ESU370" s="15"/>
      <c r="ESV370" s="15"/>
      <c r="ESW370" s="15"/>
      <c r="ESX370" s="15"/>
      <c r="ESY370" s="15"/>
      <c r="ESZ370" s="15"/>
      <c r="ETA370" s="15"/>
      <c r="ETB370" s="15"/>
      <c r="ETC370" s="15"/>
      <c r="ETD370" s="10"/>
      <c r="ETE370" s="10"/>
      <c r="ETF370" s="21"/>
      <c r="ETG370" s="21"/>
      <c r="ETJ370" s="21"/>
      <c r="ETK370" s="15"/>
      <c r="ETL370" s="15"/>
      <c r="ETM370" s="15"/>
      <c r="ETN370" s="15"/>
      <c r="ETO370" s="15"/>
      <c r="ETP370" s="15"/>
      <c r="ETQ370" s="15"/>
      <c r="ETR370" s="15"/>
      <c r="ETS370" s="15"/>
      <c r="ETT370" s="15"/>
      <c r="ETU370" s="10"/>
      <c r="ETV370" s="10"/>
      <c r="ETW370" s="21"/>
      <c r="ETX370" s="21"/>
      <c r="EUA370" s="21"/>
      <c r="EUB370" s="15"/>
      <c r="EUC370" s="15"/>
      <c r="EUD370" s="15"/>
      <c r="EUE370" s="15"/>
      <c r="EUF370" s="15"/>
      <c r="EUG370" s="15"/>
      <c r="EUH370" s="15"/>
      <c r="EUI370" s="15"/>
      <c r="EUJ370" s="15"/>
      <c r="EUK370" s="15"/>
      <c r="EUL370" s="10"/>
      <c r="EUM370" s="10"/>
      <c r="EUN370" s="21"/>
      <c r="EUO370" s="21"/>
      <c r="EUR370" s="21"/>
      <c r="EUS370" s="15"/>
      <c r="EUT370" s="15"/>
      <c r="EUU370" s="15"/>
      <c r="EUV370" s="15"/>
      <c r="EUW370" s="15"/>
      <c r="EUX370" s="15"/>
      <c r="EUY370" s="15"/>
      <c r="EUZ370" s="15"/>
      <c r="EVA370" s="15"/>
      <c r="EVB370" s="15"/>
      <c r="EVC370" s="10"/>
      <c r="EVD370" s="10"/>
      <c r="EVE370" s="21"/>
      <c r="EVF370" s="21"/>
      <c r="EVI370" s="21"/>
      <c r="EVJ370" s="15"/>
      <c r="EVK370" s="15"/>
      <c r="EVL370" s="15"/>
      <c r="EVM370" s="15"/>
      <c r="EVN370" s="15"/>
      <c r="EVO370" s="15"/>
      <c r="EVP370" s="15"/>
      <c r="EVQ370" s="15"/>
      <c r="EVR370" s="15"/>
      <c r="EVS370" s="15"/>
      <c r="EVT370" s="10"/>
      <c r="EVU370" s="10"/>
      <c r="EVV370" s="21"/>
      <c r="EVW370" s="21"/>
      <c r="EVZ370" s="21"/>
      <c r="EWA370" s="15"/>
      <c r="EWB370" s="15"/>
      <c r="EWC370" s="15"/>
      <c r="EWD370" s="15"/>
      <c r="EWE370" s="15"/>
      <c r="EWF370" s="15"/>
      <c r="EWG370" s="15"/>
      <c r="EWH370" s="15"/>
      <c r="EWI370" s="15"/>
      <c r="EWJ370" s="15"/>
      <c r="EWK370" s="10"/>
      <c r="EWL370" s="10"/>
      <c r="EWM370" s="21"/>
      <c r="EWN370" s="21"/>
      <c r="EWQ370" s="21"/>
      <c r="EWR370" s="15"/>
      <c r="EWS370" s="15"/>
      <c r="EWT370" s="15"/>
      <c r="EWU370" s="15"/>
      <c r="EWV370" s="15"/>
      <c r="EWW370" s="15"/>
      <c r="EWX370" s="15"/>
      <c r="EWY370" s="15"/>
      <c r="EWZ370" s="15"/>
      <c r="EXA370" s="15"/>
      <c r="EXB370" s="10"/>
      <c r="EXC370" s="10"/>
      <c r="EXD370" s="21"/>
      <c r="EXE370" s="21"/>
      <c r="EXH370" s="21"/>
      <c r="EXI370" s="15"/>
      <c r="EXJ370" s="15"/>
      <c r="EXK370" s="15"/>
      <c r="EXL370" s="15"/>
      <c r="EXM370" s="15"/>
      <c r="EXN370" s="15"/>
      <c r="EXO370" s="15"/>
      <c r="EXP370" s="15"/>
      <c r="EXQ370" s="15"/>
      <c r="EXR370" s="15"/>
      <c r="EXS370" s="10"/>
      <c r="EXT370" s="10"/>
      <c r="EXU370" s="21"/>
      <c r="EXV370" s="21"/>
      <c r="EXY370" s="21"/>
      <c r="EXZ370" s="15"/>
      <c r="EYA370" s="15"/>
      <c r="EYB370" s="15"/>
      <c r="EYC370" s="15"/>
      <c r="EYD370" s="15"/>
      <c r="EYE370" s="15"/>
      <c r="EYF370" s="15"/>
      <c r="EYG370" s="15"/>
      <c r="EYH370" s="15"/>
      <c r="EYI370" s="15"/>
      <c r="EYJ370" s="10"/>
      <c r="EYK370" s="10"/>
      <c r="EYL370" s="21"/>
      <c r="EYM370" s="21"/>
      <c r="EYP370" s="21"/>
      <c r="EYQ370" s="15"/>
      <c r="EYR370" s="15"/>
      <c r="EYS370" s="15"/>
      <c r="EYT370" s="15"/>
      <c r="EYU370" s="15"/>
      <c r="EYV370" s="15"/>
      <c r="EYW370" s="15"/>
      <c r="EYX370" s="15"/>
      <c r="EYY370" s="15"/>
      <c r="EYZ370" s="15"/>
      <c r="EZA370" s="10"/>
      <c r="EZB370" s="10"/>
      <c r="EZC370" s="21"/>
      <c r="EZD370" s="21"/>
      <c r="EZG370" s="21"/>
      <c r="EZH370" s="15"/>
      <c r="EZI370" s="15"/>
      <c r="EZJ370" s="15"/>
      <c r="EZK370" s="15"/>
      <c r="EZL370" s="15"/>
      <c r="EZM370" s="15"/>
      <c r="EZN370" s="15"/>
      <c r="EZO370" s="15"/>
      <c r="EZP370" s="15"/>
      <c r="EZQ370" s="15"/>
      <c r="EZR370" s="10"/>
      <c r="EZS370" s="10"/>
      <c r="EZT370" s="21"/>
      <c r="EZU370" s="21"/>
      <c r="EZX370" s="21"/>
      <c r="EZY370" s="15"/>
      <c r="EZZ370" s="15"/>
      <c r="FAA370" s="15"/>
      <c r="FAB370" s="15"/>
      <c r="FAC370" s="15"/>
      <c r="FAD370" s="15"/>
      <c r="FAE370" s="15"/>
      <c r="FAF370" s="15"/>
      <c r="FAG370" s="15"/>
      <c r="FAH370" s="15"/>
      <c r="FAI370" s="10"/>
      <c r="FAJ370" s="10"/>
      <c r="FAK370" s="21"/>
      <c r="FAL370" s="21"/>
      <c r="FAO370" s="21"/>
      <c r="FAP370" s="15"/>
      <c r="FAQ370" s="15"/>
      <c r="FAR370" s="15"/>
      <c r="FAS370" s="15"/>
      <c r="FAT370" s="15"/>
      <c r="FAU370" s="15"/>
      <c r="FAV370" s="15"/>
      <c r="FAW370" s="15"/>
      <c r="FAX370" s="15"/>
      <c r="FAY370" s="15"/>
      <c r="FAZ370" s="10"/>
      <c r="FBA370" s="10"/>
      <c r="FBB370" s="21"/>
      <c r="FBC370" s="21"/>
      <c r="FBF370" s="21"/>
      <c r="FBG370" s="15"/>
      <c r="FBH370" s="15"/>
      <c r="FBI370" s="15"/>
      <c r="FBJ370" s="15"/>
      <c r="FBK370" s="15"/>
      <c r="FBL370" s="15"/>
      <c r="FBM370" s="15"/>
      <c r="FBN370" s="15"/>
      <c r="FBO370" s="15"/>
      <c r="FBP370" s="15"/>
      <c r="FBQ370" s="10"/>
      <c r="FBR370" s="10"/>
      <c r="FBS370" s="21"/>
      <c r="FBT370" s="21"/>
      <c r="FBW370" s="21"/>
      <c r="FBX370" s="15"/>
      <c r="FBY370" s="15"/>
      <c r="FBZ370" s="15"/>
      <c r="FCA370" s="15"/>
      <c r="FCB370" s="15"/>
      <c r="FCC370" s="15"/>
      <c r="FCD370" s="15"/>
      <c r="FCE370" s="15"/>
      <c r="FCF370" s="15"/>
      <c r="FCG370" s="15"/>
      <c r="FCH370" s="10"/>
      <c r="FCI370" s="10"/>
      <c r="FCJ370" s="21"/>
      <c r="FCK370" s="21"/>
      <c r="FCN370" s="21"/>
      <c r="FCO370" s="15"/>
      <c r="FCP370" s="15"/>
      <c r="FCQ370" s="15"/>
      <c r="FCR370" s="15"/>
      <c r="FCS370" s="15"/>
      <c r="FCT370" s="15"/>
      <c r="FCU370" s="15"/>
      <c r="FCV370" s="15"/>
      <c r="FCW370" s="15"/>
      <c r="FCX370" s="15"/>
      <c r="FCY370" s="10"/>
      <c r="FCZ370" s="10"/>
      <c r="FDA370" s="21"/>
      <c r="FDB370" s="21"/>
      <c r="FDE370" s="21"/>
      <c r="FDF370" s="15"/>
      <c r="FDG370" s="15"/>
      <c r="FDH370" s="15"/>
      <c r="FDI370" s="15"/>
      <c r="FDJ370" s="15"/>
      <c r="FDK370" s="15"/>
      <c r="FDL370" s="15"/>
      <c r="FDM370" s="15"/>
      <c r="FDN370" s="15"/>
      <c r="FDO370" s="15"/>
      <c r="FDP370" s="10"/>
      <c r="FDQ370" s="10"/>
      <c r="FDR370" s="21"/>
      <c r="FDS370" s="21"/>
      <c r="FDV370" s="21"/>
      <c r="FDW370" s="15"/>
      <c r="FDX370" s="15"/>
      <c r="FDY370" s="15"/>
      <c r="FDZ370" s="15"/>
      <c r="FEA370" s="15"/>
      <c r="FEB370" s="15"/>
      <c r="FEC370" s="15"/>
      <c r="FED370" s="15"/>
      <c r="FEE370" s="15"/>
      <c r="FEF370" s="15"/>
      <c r="FEG370" s="10"/>
      <c r="FEH370" s="10"/>
      <c r="FEI370" s="21"/>
      <c r="FEJ370" s="21"/>
      <c r="FEM370" s="21"/>
      <c r="FEN370" s="15"/>
      <c r="FEO370" s="15"/>
      <c r="FEP370" s="15"/>
      <c r="FEQ370" s="15"/>
      <c r="FER370" s="15"/>
      <c r="FES370" s="15"/>
      <c r="FET370" s="15"/>
      <c r="FEU370" s="15"/>
      <c r="FEV370" s="15"/>
      <c r="FEW370" s="15"/>
      <c r="FEX370" s="10"/>
      <c r="FEY370" s="10"/>
      <c r="FEZ370" s="21"/>
      <c r="FFA370" s="21"/>
      <c r="FFD370" s="21"/>
      <c r="FFE370" s="15"/>
      <c r="FFF370" s="15"/>
      <c r="FFG370" s="15"/>
      <c r="FFH370" s="15"/>
      <c r="FFI370" s="15"/>
      <c r="FFJ370" s="15"/>
      <c r="FFK370" s="15"/>
      <c r="FFL370" s="15"/>
      <c r="FFM370" s="15"/>
      <c r="FFN370" s="15"/>
      <c r="FFO370" s="10"/>
      <c r="FFP370" s="10"/>
      <c r="FFQ370" s="21"/>
      <c r="FFR370" s="21"/>
      <c r="FFU370" s="21"/>
      <c r="FFV370" s="15"/>
      <c r="FFW370" s="15"/>
      <c r="FFX370" s="15"/>
      <c r="FFY370" s="15"/>
      <c r="FFZ370" s="15"/>
      <c r="FGA370" s="15"/>
      <c r="FGB370" s="15"/>
      <c r="FGC370" s="15"/>
      <c r="FGD370" s="15"/>
      <c r="FGE370" s="15"/>
      <c r="FGF370" s="10"/>
      <c r="FGG370" s="10"/>
      <c r="FGH370" s="21"/>
      <c r="FGI370" s="21"/>
      <c r="FGL370" s="21"/>
      <c r="FGM370" s="15"/>
      <c r="FGN370" s="15"/>
      <c r="FGO370" s="15"/>
      <c r="FGP370" s="15"/>
      <c r="FGQ370" s="15"/>
      <c r="FGR370" s="15"/>
      <c r="FGS370" s="15"/>
      <c r="FGT370" s="15"/>
      <c r="FGU370" s="15"/>
      <c r="FGV370" s="15"/>
      <c r="FGW370" s="10"/>
      <c r="FGX370" s="10"/>
      <c r="FGY370" s="21"/>
      <c r="FGZ370" s="21"/>
      <c r="FHC370" s="21"/>
      <c r="FHD370" s="15"/>
      <c r="FHE370" s="15"/>
      <c r="FHF370" s="15"/>
      <c r="FHG370" s="15"/>
      <c r="FHH370" s="15"/>
      <c r="FHI370" s="15"/>
      <c r="FHJ370" s="15"/>
      <c r="FHK370" s="15"/>
      <c r="FHL370" s="15"/>
      <c r="FHM370" s="15"/>
      <c r="FHN370" s="10"/>
      <c r="FHO370" s="10"/>
      <c r="FHP370" s="21"/>
      <c r="FHQ370" s="21"/>
      <c r="FHT370" s="21"/>
      <c r="FHU370" s="15"/>
      <c r="FHV370" s="15"/>
      <c r="FHW370" s="15"/>
      <c r="FHX370" s="15"/>
      <c r="FHY370" s="15"/>
      <c r="FHZ370" s="15"/>
      <c r="FIA370" s="15"/>
      <c r="FIB370" s="15"/>
      <c r="FIC370" s="15"/>
      <c r="FID370" s="15"/>
      <c r="FIE370" s="10"/>
      <c r="FIF370" s="10"/>
      <c r="FIG370" s="21"/>
      <c r="FIH370" s="21"/>
      <c r="FIK370" s="21"/>
      <c r="FIL370" s="15"/>
      <c r="FIM370" s="15"/>
      <c r="FIN370" s="15"/>
      <c r="FIO370" s="15"/>
      <c r="FIP370" s="15"/>
      <c r="FIQ370" s="15"/>
      <c r="FIR370" s="15"/>
      <c r="FIS370" s="15"/>
      <c r="FIT370" s="15"/>
      <c r="FIU370" s="15"/>
      <c r="FIV370" s="10"/>
      <c r="FIW370" s="10"/>
      <c r="FIX370" s="21"/>
      <c r="FIY370" s="21"/>
      <c r="FJB370" s="21"/>
      <c r="FJC370" s="15"/>
      <c r="FJD370" s="15"/>
      <c r="FJE370" s="15"/>
      <c r="FJF370" s="15"/>
      <c r="FJG370" s="15"/>
      <c r="FJH370" s="15"/>
      <c r="FJI370" s="15"/>
      <c r="FJJ370" s="15"/>
      <c r="FJK370" s="15"/>
      <c r="FJL370" s="15"/>
      <c r="FJM370" s="10"/>
      <c r="FJN370" s="10"/>
      <c r="FJO370" s="21"/>
      <c r="FJP370" s="21"/>
      <c r="FJS370" s="21"/>
      <c r="FJT370" s="15"/>
      <c r="FJU370" s="15"/>
      <c r="FJV370" s="15"/>
      <c r="FJW370" s="15"/>
      <c r="FJX370" s="15"/>
      <c r="FJY370" s="15"/>
      <c r="FJZ370" s="15"/>
      <c r="FKA370" s="15"/>
      <c r="FKB370" s="15"/>
      <c r="FKC370" s="15"/>
      <c r="FKD370" s="10"/>
      <c r="FKE370" s="10"/>
      <c r="FKF370" s="21"/>
      <c r="FKG370" s="21"/>
      <c r="FKJ370" s="21"/>
      <c r="FKK370" s="15"/>
      <c r="FKL370" s="15"/>
      <c r="FKM370" s="15"/>
      <c r="FKN370" s="15"/>
      <c r="FKO370" s="15"/>
      <c r="FKP370" s="15"/>
      <c r="FKQ370" s="15"/>
      <c r="FKR370" s="15"/>
      <c r="FKS370" s="15"/>
      <c r="FKT370" s="15"/>
      <c r="FKU370" s="10"/>
      <c r="FKV370" s="10"/>
      <c r="FKW370" s="21"/>
      <c r="FKX370" s="21"/>
      <c r="FLA370" s="21"/>
      <c r="FLB370" s="15"/>
      <c r="FLC370" s="15"/>
      <c r="FLD370" s="15"/>
      <c r="FLE370" s="15"/>
      <c r="FLF370" s="15"/>
      <c r="FLG370" s="15"/>
      <c r="FLH370" s="15"/>
      <c r="FLI370" s="15"/>
      <c r="FLJ370" s="15"/>
      <c r="FLK370" s="15"/>
      <c r="FLL370" s="10"/>
      <c r="FLM370" s="10"/>
      <c r="FLN370" s="21"/>
      <c r="FLO370" s="21"/>
      <c r="FLR370" s="21"/>
      <c r="FLS370" s="15"/>
      <c r="FLT370" s="15"/>
      <c r="FLU370" s="15"/>
      <c r="FLV370" s="15"/>
      <c r="FLW370" s="15"/>
      <c r="FLX370" s="15"/>
      <c r="FLY370" s="15"/>
      <c r="FLZ370" s="15"/>
      <c r="FMA370" s="15"/>
      <c r="FMB370" s="15"/>
      <c r="FMC370" s="10"/>
      <c r="FMD370" s="10"/>
      <c r="FME370" s="21"/>
      <c r="FMF370" s="21"/>
      <c r="FMI370" s="21"/>
      <c r="FMJ370" s="15"/>
      <c r="FMK370" s="15"/>
      <c r="FML370" s="15"/>
      <c r="FMM370" s="15"/>
      <c r="FMN370" s="15"/>
      <c r="FMO370" s="15"/>
      <c r="FMP370" s="15"/>
      <c r="FMQ370" s="15"/>
      <c r="FMR370" s="15"/>
      <c r="FMS370" s="15"/>
      <c r="FMT370" s="10"/>
      <c r="FMU370" s="10"/>
      <c r="FMV370" s="21"/>
      <c r="FMW370" s="21"/>
      <c r="FMZ370" s="21"/>
      <c r="FNA370" s="15"/>
      <c r="FNB370" s="15"/>
      <c r="FNC370" s="15"/>
      <c r="FND370" s="15"/>
      <c r="FNE370" s="15"/>
      <c r="FNF370" s="15"/>
      <c r="FNG370" s="15"/>
      <c r="FNH370" s="15"/>
      <c r="FNI370" s="15"/>
      <c r="FNJ370" s="15"/>
      <c r="FNK370" s="10"/>
      <c r="FNL370" s="10"/>
      <c r="FNM370" s="21"/>
      <c r="FNN370" s="21"/>
      <c r="FNQ370" s="21"/>
      <c r="FNR370" s="15"/>
      <c r="FNS370" s="15"/>
      <c r="FNT370" s="15"/>
      <c r="FNU370" s="15"/>
      <c r="FNV370" s="15"/>
      <c r="FNW370" s="15"/>
      <c r="FNX370" s="15"/>
      <c r="FNY370" s="15"/>
      <c r="FNZ370" s="15"/>
      <c r="FOA370" s="15"/>
      <c r="FOB370" s="10"/>
      <c r="FOC370" s="10"/>
      <c r="FOD370" s="21"/>
      <c r="FOE370" s="21"/>
      <c r="FOH370" s="21"/>
      <c r="FOI370" s="15"/>
      <c r="FOJ370" s="15"/>
      <c r="FOK370" s="15"/>
      <c r="FOL370" s="15"/>
      <c r="FOM370" s="15"/>
      <c r="FON370" s="15"/>
      <c r="FOO370" s="15"/>
      <c r="FOP370" s="15"/>
      <c r="FOQ370" s="15"/>
      <c r="FOR370" s="15"/>
      <c r="FOS370" s="10"/>
      <c r="FOT370" s="10"/>
      <c r="FOU370" s="21"/>
      <c r="FOV370" s="21"/>
      <c r="FOY370" s="21"/>
      <c r="FOZ370" s="15"/>
      <c r="FPA370" s="15"/>
      <c r="FPB370" s="15"/>
      <c r="FPC370" s="15"/>
      <c r="FPD370" s="15"/>
      <c r="FPE370" s="15"/>
      <c r="FPF370" s="15"/>
      <c r="FPG370" s="15"/>
      <c r="FPH370" s="15"/>
      <c r="FPI370" s="15"/>
      <c r="FPJ370" s="10"/>
      <c r="FPK370" s="10"/>
      <c r="FPL370" s="21"/>
      <c r="FPM370" s="21"/>
      <c r="FPP370" s="21"/>
      <c r="FPQ370" s="15"/>
      <c r="FPR370" s="15"/>
      <c r="FPS370" s="15"/>
      <c r="FPT370" s="15"/>
      <c r="FPU370" s="15"/>
      <c r="FPV370" s="15"/>
      <c r="FPW370" s="15"/>
      <c r="FPX370" s="15"/>
      <c r="FPY370" s="15"/>
      <c r="FPZ370" s="15"/>
      <c r="FQA370" s="10"/>
      <c r="FQB370" s="10"/>
      <c r="FQC370" s="21"/>
      <c r="FQD370" s="21"/>
      <c r="FQG370" s="21"/>
      <c r="FQH370" s="15"/>
      <c r="FQI370" s="15"/>
      <c r="FQJ370" s="15"/>
      <c r="FQK370" s="15"/>
      <c r="FQL370" s="15"/>
      <c r="FQM370" s="15"/>
      <c r="FQN370" s="15"/>
      <c r="FQO370" s="15"/>
      <c r="FQP370" s="15"/>
      <c r="FQQ370" s="15"/>
      <c r="FQR370" s="10"/>
      <c r="FQS370" s="10"/>
      <c r="FQT370" s="21"/>
      <c r="FQU370" s="21"/>
      <c r="FQX370" s="21"/>
      <c r="FQY370" s="15"/>
      <c r="FQZ370" s="15"/>
      <c r="FRA370" s="15"/>
      <c r="FRB370" s="15"/>
      <c r="FRC370" s="15"/>
      <c r="FRD370" s="15"/>
      <c r="FRE370" s="15"/>
      <c r="FRF370" s="15"/>
      <c r="FRG370" s="15"/>
      <c r="FRH370" s="15"/>
      <c r="FRI370" s="10"/>
      <c r="FRJ370" s="10"/>
      <c r="FRK370" s="21"/>
      <c r="FRL370" s="21"/>
      <c r="FRO370" s="21"/>
      <c r="FRP370" s="15"/>
      <c r="FRQ370" s="15"/>
      <c r="FRR370" s="15"/>
      <c r="FRS370" s="15"/>
      <c r="FRT370" s="15"/>
      <c r="FRU370" s="15"/>
      <c r="FRV370" s="15"/>
      <c r="FRW370" s="15"/>
      <c r="FRX370" s="15"/>
      <c r="FRY370" s="15"/>
      <c r="FRZ370" s="10"/>
      <c r="FSA370" s="10"/>
      <c r="FSB370" s="21"/>
      <c r="FSC370" s="21"/>
      <c r="FSF370" s="21"/>
      <c r="FSG370" s="15"/>
      <c r="FSH370" s="15"/>
      <c r="FSI370" s="15"/>
      <c r="FSJ370" s="15"/>
      <c r="FSK370" s="15"/>
      <c r="FSL370" s="15"/>
      <c r="FSM370" s="15"/>
      <c r="FSN370" s="15"/>
      <c r="FSO370" s="15"/>
      <c r="FSP370" s="15"/>
      <c r="FSQ370" s="10"/>
      <c r="FSR370" s="10"/>
      <c r="FSS370" s="21"/>
      <c r="FST370" s="21"/>
      <c r="FSW370" s="21"/>
      <c r="FSX370" s="15"/>
      <c r="FSY370" s="15"/>
      <c r="FSZ370" s="15"/>
      <c r="FTA370" s="15"/>
      <c r="FTB370" s="15"/>
      <c r="FTC370" s="15"/>
      <c r="FTD370" s="15"/>
      <c r="FTE370" s="15"/>
      <c r="FTF370" s="15"/>
      <c r="FTG370" s="15"/>
      <c r="FTH370" s="10"/>
      <c r="FTI370" s="10"/>
      <c r="FTJ370" s="21"/>
      <c r="FTK370" s="21"/>
      <c r="FTN370" s="21"/>
      <c r="FTO370" s="15"/>
      <c r="FTP370" s="15"/>
      <c r="FTQ370" s="15"/>
      <c r="FTR370" s="15"/>
      <c r="FTS370" s="15"/>
      <c r="FTT370" s="15"/>
      <c r="FTU370" s="15"/>
      <c r="FTV370" s="15"/>
      <c r="FTW370" s="15"/>
      <c r="FTX370" s="15"/>
      <c r="FTY370" s="10"/>
      <c r="FTZ370" s="10"/>
      <c r="FUA370" s="21"/>
      <c r="FUB370" s="21"/>
      <c r="FUE370" s="21"/>
      <c r="FUF370" s="15"/>
      <c r="FUG370" s="15"/>
      <c r="FUH370" s="15"/>
      <c r="FUI370" s="15"/>
      <c r="FUJ370" s="15"/>
      <c r="FUK370" s="15"/>
      <c r="FUL370" s="15"/>
      <c r="FUM370" s="15"/>
      <c r="FUN370" s="15"/>
      <c r="FUO370" s="15"/>
      <c r="FUP370" s="10"/>
      <c r="FUQ370" s="10"/>
      <c r="FUR370" s="21"/>
      <c r="FUS370" s="21"/>
      <c r="FUV370" s="21"/>
      <c r="FUW370" s="15"/>
      <c r="FUX370" s="15"/>
      <c r="FUY370" s="15"/>
      <c r="FUZ370" s="15"/>
      <c r="FVA370" s="15"/>
      <c r="FVB370" s="15"/>
      <c r="FVC370" s="15"/>
      <c r="FVD370" s="15"/>
      <c r="FVE370" s="15"/>
      <c r="FVF370" s="15"/>
      <c r="FVG370" s="10"/>
      <c r="FVH370" s="10"/>
      <c r="FVI370" s="21"/>
      <c r="FVJ370" s="21"/>
      <c r="FVM370" s="21"/>
      <c r="FVN370" s="15"/>
      <c r="FVO370" s="15"/>
      <c r="FVP370" s="15"/>
      <c r="FVQ370" s="15"/>
      <c r="FVR370" s="15"/>
      <c r="FVS370" s="15"/>
      <c r="FVT370" s="15"/>
      <c r="FVU370" s="15"/>
      <c r="FVV370" s="15"/>
      <c r="FVW370" s="15"/>
      <c r="FVX370" s="10"/>
      <c r="FVY370" s="10"/>
      <c r="FVZ370" s="21"/>
      <c r="FWA370" s="21"/>
      <c r="FWD370" s="21"/>
      <c r="FWE370" s="15"/>
      <c r="FWF370" s="15"/>
      <c r="FWG370" s="15"/>
      <c r="FWH370" s="15"/>
      <c r="FWI370" s="15"/>
      <c r="FWJ370" s="15"/>
      <c r="FWK370" s="15"/>
      <c r="FWL370" s="15"/>
      <c r="FWM370" s="15"/>
      <c r="FWN370" s="15"/>
      <c r="FWO370" s="10"/>
      <c r="FWP370" s="10"/>
      <c r="FWQ370" s="21"/>
      <c r="FWR370" s="21"/>
      <c r="FWU370" s="21"/>
      <c r="FWV370" s="15"/>
      <c r="FWW370" s="15"/>
      <c r="FWX370" s="15"/>
      <c r="FWY370" s="15"/>
      <c r="FWZ370" s="15"/>
      <c r="FXA370" s="15"/>
      <c r="FXB370" s="15"/>
      <c r="FXC370" s="15"/>
      <c r="FXD370" s="15"/>
      <c r="FXE370" s="15"/>
      <c r="FXF370" s="10"/>
      <c r="FXG370" s="10"/>
      <c r="FXH370" s="21"/>
      <c r="FXI370" s="21"/>
      <c r="FXL370" s="21"/>
      <c r="FXM370" s="15"/>
      <c r="FXN370" s="15"/>
      <c r="FXO370" s="15"/>
      <c r="FXP370" s="15"/>
      <c r="FXQ370" s="15"/>
      <c r="FXR370" s="15"/>
      <c r="FXS370" s="15"/>
      <c r="FXT370" s="15"/>
      <c r="FXU370" s="15"/>
      <c r="FXV370" s="15"/>
      <c r="FXW370" s="10"/>
      <c r="FXX370" s="10"/>
      <c r="FXY370" s="21"/>
      <c r="FXZ370" s="21"/>
      <c r="FYC370" s="21"/>
      <c r="FYD370" s="15"/>
      <c r="FYE370" s="15"/>
      <c r="FYF370" s="15"/>
      <c r="FYG370" s="15"/>
      <c r="FYH370" s="15"/>
      <c r="FYI370" s="15"/>
      <c r="FYJ370" s="15"/>
      <c r="FYK370" s="15"/>
      <c r="FYL370" s="15"/>
      <c r="FYM370" s="15"/>
      <c r="FYN370" s="10"/>
      <c r="FYO370" s="10"/>
      <c r="FYP370" s="21"/>
      <c r="FYQ370" s="21"/>
      <c r="FYT370" s="21"/>
      <c r="FYU370" s="15"/>
      <c r="FYV370" s="15"/>
      <c r="FYW370" s="15"/>
      <c r="FYX370" s="15"/>
      <c r="FYY370" s="15"/>
      <c r="FYZ370" s="15"/>
      <c r="FZA370" s="15"/>
      <c r="FZB370" s="15"/>
      <c r="FZC370" s="15"/>
      <c r="FZD370" s="15"/>
      <c r="FZE370" s="10"/>
      <c r="FZF370" s="10"/>
      <c r="FZG370" s="21"/>
      <c r="FZH370" s="21"/>
      <c r="FZK370" s="21"/>
      <c r="FZL370" s="15"/>
      <c r="FZM370" s="15"/>
      <c r="FZN370" s="15"/>
      <c r="FZO370" s="15"/>
      <c r="FZP370" s="15"/>
      <c r="FZQ370" s="15"/>
      <c r="FZR370" s="15"/>
      <c r="FZS370" s="15"/>
      <c r="FZT370" s="15"/>
      <c r="FZU370" s="15"/>
      <c r="FZV370" s="10"/>
      <c r="FZW370" s="10"/>
      <c r="FZX370" s="21"/>
      <c r="FZY370" s="21"/>
      <c r="GAB370" s="21"/>
      <c r="GAC370" s="15"/>
      <c r="GAD370" s="15"/>
      <c r="GAE370" s="15"/>
      <c r="GAF370" s="15"/>
      <c r="GAG370" s="15"/>
      <c r="GAH370" s="15"/>
      <c r="GAI370" s="15"/>
      <c r="GAJ370" s="15"/>
      <c r="GAK370" s="15"/>
      <c r="GAL370" s="15"/>
      <c r="GAM370" s="10"/>
      <c r="GAN370" s="10"/>
      <c r="GAO370" s="21"/>
      <c r="GAP370" s="21"/>
      <c r="GAS370" s="21"/>
      <c r="GAT370" s="15"/>
      <c r="GAU370" s="15"/>
      <c r="GAV370" s="15"/>
      <c r="GAW370" s="15"/>
      <c r="GAX370" s="15"/>
      <c r="GAY370" s="15"/>
      <c r="GAZ370" s="15"/>
      <c r="GBA370" s="15"/>
      <c r="GBB370" s="15"/>
      <c r="GBC370" s="15"/>
      <c r="GBD370" s="10"/>
      <c r="GBE370" s="10"/>
      <c r="GBF370" s="21"/>
      <c r="GBG370" s="21"/>
      <c r="GBJ370" s="21"/>
      <c r="GBK370" s="15"/>
      <c r="GBL370" s="15"/>
      <c r="GBM370" s="15"/>
      <c r="GBN370" s="15"/>
      <c r="GBO370" s="15"/>
      <c r="GBP370" s="15"/>
      <c r="GBQ370" s="15"/>
      <c r="GBR370" s="15"/>
      <c r="GBS370" s="15"/>
      <c r="GBT370" s="15"/>
      <c r="GBU370" s="10"/>
      <c r="GBV370" s="10"/>
      <c r="GBW370" s="21"/>
      <c r="GBX370" s="21"/>
      <c r="GCA370" s="21"/>
      <c r="GCB370" s="15"/>
      <c r="GCC370" s="15"/>
      <c r="GCD370" s="15"/>
      <c r="GCE370" s="15"/>
      <c r="GCF370" s="15"/>
      <c r="GCG370" s="15"/>
      <c r="GCH370" s="15"/>
      <c r="GCI370" s="15"/>
      <c r="GCJ370" s="15"/>
      <c r="GCK370" s="15"/>
      <c r="GCL370" s="10"/>
      <c r="GCM370" s="10"/>
      <c r="GCN370" s="21"/>
      <c r="GCO370" s="21"/>
      <c r="GCR370" s="21"/>
      <c r="GCS370" s="15"/>
      <c r="GCT370" s="15"/>
      <c r="GCU370" s="15"/>
      <c r="GCV370" s="15"/>
      <c r="GCW370" s="15"/>
      <c r="GCX370" s="15"/>
      <c r="GCY370" s="15"/>
      <c r="GCZ370" s="15"/>
      <c r="GDA370" s="15"/>
      <c r="GDB370" s="15"/>
      <c r="GDC370" s="10"/>
      <c r="GDD370" s="10"/>
      <c r="GDE370" s="21"/>
      <c r="GDF370" s="21"/>
      <c r="GDI370" s="21"/>
      <c r="GDJ370" s="15"/>
      <c r="GDK370" s="15"/>
      <c r="GDL370" s="15"/>
      <c r="GDM370" s="15"/>
      <c r="GDN370" s="15"/>
      <c r="GDO370" s="15"/>
      <c r="GDP370" s="15"/>
      <c r="GDQ370" s="15"/>
      <c r="GDR370" s="15"/>
      <c r="GDS370" s="15"/>
      <c r="GDT370" s="10"/>
      <c r="GDU370" s="10"/>
      <c r="GDV370" s="21"/>
      <c r="GDW370" s="21"/>
      <c r="GDZ370" s="21"/>
      <c r="GEA370" s="15"/>
      <c r="GEB370" s="15"/>
      <c r="GEC370" s="15"/>
      <c r="GED370" s="15"/>
      <c r="GEE370" s="15"/>
      <c r="GEF370" s="15"/>
      <c r="GEG370" s="15"/>
      <c r="GEH370" s="15"/>
      <c r="GEI370" s="15"/>
      <c r="GEJ370" s="15"/>
      <c r="GEK370" s="10"/>
      <c r="GEL370" s="10"/>
      <c r="GEM370" s="21"/>
      <c r="GEN370" s="21"/>
      <c r="GEQ370" s="21"/>
      <c r="GER370" s="15"/>
      <c r="GES370" s="15"/>
      <c r="GET370" s="15"/>
      <c r="GEU370" s="15"/>
      <c r="GEV370" s="15"/>
      <c r="GEW370" s="15"/>
      <c r="GEX370" s="15"/>
      <c r="GEY370" s="15"/>
      <c r="GEZ370" s="15"/>
      <c r="GFA370" s="15"/>
      <c r="GFB370" s="10"/>
      <c r="GFC370" s="10"/>
      <c r="GFD370" s="21"/>
      <c r="GFE370" s="21"/>
      <c r="GFH370" s="21"/>
      <c r="GFI370" s="15"/>
      <c r="GFJ370" s="15"/>
      <c r="GFK370" s="15"/>
      <c r="GFL370" s="15"/>
      <c r="GFM370" s="15"/>
      <c r="GFN370" s="15"/>
      <c r="GFO370" s="15"/>
      <c r="GFP370" s="15"/>
      <c r="GFQ370" s="15"/>
      <c r="GFR370" s="15"/>
      <c r="GFS370" s="10"/>
      <c r="GFT370" s="10"/>
      <c r="GFU370" s="21"/>
      <c r="GFV370" s="21"/>
      <c r="GFY370" s="21"/>
      <c r="GFZ370" s="15"/>
      <c r="GGA370" s="15"/>
      <c r="GGB370" s="15"/>
      <c r="GGC370" s="15"/>
      <c r="GGD370" s="15"/>
      <c r="GGE370" s="15"/>
      <c r="GGF370" s="15"/>
      <c r="GGG370" s="15"/>
      <c r="GGH370" s="15"/>
      <c r="GGI370" s="15"/>
      <c r="GGJ370" s="10"/>
      <c r="GGK370" s="10"/>
      <c r="GGL370" s="21"/>
      <c r="GGM370" s="21"/>
      <c r="GGP370" s="21"/>
      <c r="GGQ370" s="15"/>
      <c r="GGR370" s="15"/>
      <c r="GGS370" s="15"/>
      <c r="GGT370" s="15"/>
      <c r="GGU370" s="15"/>
      <c r="GGV370" s="15"/>
      <c r="GGW370" s="15"/>
      <c r="GGX370" s="15"/>
      <c r="GGY370" s="15"/>
      <c r="GGZ370" s="15"/>
      <c r="GHA370" s="10"/>
      <c r="GHB370" s="10"/>
      <c r="GHC370" s="21"/>
      <c r="GHD370" s="21"/>
      <c r="GHG370" s="21"/>
      <c r="GHH370" s="15"/>
      <c r="GHI370" s="15"/>
      <c r="GHJ370" s="15"/>
      <c r="GHK370" s="15"/>
      <c r="GHL370" s="15"/>
      <c r="GHM370" s="15"/>
      <c r="GHN370" s="15"/>
      <c r="GHO370" s="15"/>
      <c r="GHP370" s="15"/>
      <c r="GHQ370" s="15"/>
      <c r="GHR370" s="10"/>
      <c r="GHS370" s="10"/>
      <c r="GHT370" s="21"/>
      <c r="GHU370" s="21"/>
      <c r="GHX370" s="21"/>
      <c r="GHY370" s="15"/>
      <c r="GHZ370" s="15"/>
      <c r="GIA370" s="15"/>
      <c r="GIB370" s="15"/>
      <c r="GIC370" s="15"/>
      <c r="GID370" s="15"/>
      <c r="GIE370" s="15"/>
      <c r="GIF370" s="15"/>
      <c r="GIG370" s="15"/>
      <c r="GIH370" s="15"/>
      <c r="GII370" s="10"/>
      <c r="GIJ370" s="10"/>
      <c r="GIK370" s="21"/>
      <c r="GIL370" s="21"/>
      <c r="GIO370" s="21"/>
      <c r="GIP370" s="15"/>
      <c r="GIQ370" s="15"/>
      <c r="GIR370" s="15"/>
      <c r="GIS370" s="15"/>
      <c r="GIT370" s="15"/>
      <c r="GIU370" s="15"/>
      <c r="GIV370" s="15"/>
      <c r="GIW370" s="15"/>
      <c r="GIX370" s="15"/>
      <c r="GIY370" s="15"/>
      <c r="GIZ370" s="10"/>
      <c r="GJA370" s="10"/>
      <c r="GJB370" s="21"/>
      <c r="GJC370" s="21"/>
      <c r="GJF370" s="21"/>
      <c r="GJG370" s="15"/>
      <c r="GJH370" s="15"/>
      <c r="GJI370" s="15"/>
      <c r="GJJ370" s="15"/>
      <c r="GJK370" s="15"/>
      <c r="GJL370" s="15"/>
      <c r="GJM370" s="15"/>
      <c r="GJN370" s="15"/>
      <c r="GJO370" s="15"/>
      <c r="GJP370" s="15"/>
      <c r="GJQ370" s="10"/>
      <c r="GJR370" s="10"/>
      <c r="GJS370" s="21"/>
      <c r="GJT370" s="21"/>
      <c r="GJW370" s="21"/>
      <c r="GJX370" s="15"/>
      <c r="GJY370" s="15"/>
      <c r="GJZ370" s="15"/>
      <c r="GKA370" s="15"/>
      <c r="GKB370" s="15"/>
      <c r="GKC370" s="15"/>
      <c r="GKD370" s="15"/>
      <c r="GKE370" s="15"/>
      <c r="GKF370" s="15"/>
      <c r="GKG370" s="15"/>
      <c r="GKH370" s="10"/>
      <c r="GKI370" s="10"/>
      <c r="GKJ370" s="21"/>
      <c r="GKK370" s="21"/>
      <c r="GKN370" s="21"/>
      <c r="GKO370" s="15"/>
      <c r="GKP370" s="15"/>
      <c r="GKQ370" s="15"/>
      <c r="GKR370" s="15"/>
      <c r="GKS370" s="15"/>
      <c r="GKT370" s="15"/>
      <c r="GKU370" s="15"/>
      <c r="GKV370" s="15"/>
      <c r="GKW370" s="15"/>
      <c r="GKX370" s="15"/>
      <c r="GKY370" s="10"/>
      <c r="GKZ370" s="10"/>
      <c r="GLA370" s="21"/>
      <c r="GLB370" s="21"/>
      <c r="GLE370" s="21"/>
      <c r="GLF370" s="15"/>
      <c r="GLG370" s="15"/>
      <c r="GLH370" s="15"/>
      <c r="GLI370" s="15"/>
      <c r="GLJ370" s="15"/>
      <c r="GLK370" s="15"/>
      <c r="GLL370" s="15"/>
      <c r="GLM370" s="15"/>
      <c r="GLN370" s="15"/>
      <c r="GLO370" s="15"/>
      <c r="GLP370" s="10"/>
      <c r="GLQ370" s="10"/>
      <c r="GLR370" s="21"/>
      <c r="GLS370" s="21"/>
      <c r="GLV370" s="21"/>
      <c r="GLW370" s="15"/>
      <c r="GLX370" s="15"/>
      <c r="GLY370" s="15"/>
      <c r="GLZ370" s="15"/>
      <c r="GMA370" s="15"/>
      <c r="GMB370" s="15"/>
      <c r="GMC370" s="15"/>
      <c r="GMD370" s="15"/>
      <c r="GME370" s="15"/>
      <c r="GMF370" s="15"/>
      <c r="GMG370" s="10"/>
      <c r="GMH370" s="10"/>
      <c r="GMI370" s="21"/>
      <c r="GMJ370" s="21"/>
      <c r="GMM370" s="21"/>
      <c r="GMN370" s="15"/>
      <c r="GMO370" s="15"/>
      <c r="GMP370" s="15"/>
      <c r="GMQ370" s="15"/>
      <c r="GMR370" s="15"/>
      <c r="GMS370" s="15"/>
      <c r="GMT370" s="15"/>
      <c r="GMU370" s="15"/>
      <c r="GMV370" s="15"/>
      <c r="GMW370" s="15"/>
      <c r="GMX370" s="10"/>
      <c r="GMY370" s="10"/>
      <c r="GMZ370" s="21"/>
      <c r="GNA370" s="21"/>
      <c r="GND370" s="21"/>
      <c r="GNE370" s="15"/>
      <c r="GNF370" s="15"/>
      <c r="GNG370" s="15"/>
      <c r="GNH370" s="15"/>
      <c r="GNI370" s="15"/>
      <c r="GNJ370" s="15"/>
      <c r="GNK370" s="15"/>
      <c r="GNL370" s="15"/>
      <c r="GNM370" s="15"/>
      <c r="GNN370" s="15"/>
      <c r="GNO370" s="10"/>
      <c r="GNP370" s="10"/>
      <c r="GNQ370" s="21"/>
      <c r="GNR370" s="21"/>
      <c r="GNU370" s="21"/>
      <c r="GNV370" s="15"/>
      <c r="GNW370" s="15"/>
      <c r="GNX370" s="15"/>
      <c r="GNY370" s="15"/>
      <c r="GNZ370" s="15"/>
      <c r="GOA370" s="15"/>
      <c r="GOB370" s="15"/>
      <c r="GOC370" s="15"/>
      <c r="GOD370" s="15"/>
      <c r="GOE370" s="15"/>
      <c r="GOF370" s="10"/>
      <c r="GOG370" s="10"/>
      <c r="GOH370" s="21"/>
      <c r="GOI370" s="21"/>
      <c r="GOL370" s="21"/>
      <c r="GOM370" s="15"/>
      <c r="GON370" s="15"/>
      <c r="GOO370" s="15"/>
      <c r="GOP370" s="15"/>
      <c r="GOQ370" s="15"/>
      <c r="GOR370" s="15"/>
      <c r="GOS370" s="15"/>
      <c r="GOT370" s="15"/>
      <c r="GOU370" s="15"/>
      <c r="GOV370" s="15"/>
      <c r="GOW370" s="10"/>
      <c r="GOX370" s="10"/>
      <c r="GOY370" s="21"/>
      <c r="GOZ370" s="21"/>
      <c r="GPC370" s="21"/>
      <c r="GPD370" s="15"/>
      <c r="GPE370" s="15"/>
      <c r="GPF370" s="15"/>
      <c r="GPG370" s="15"/>
      <c r="GPH370" s="15"/>
      <c r="GPI370" s="15"/>
      <c r="GPJ370" s="15"/>
      <c r="GPK370" s="15"/>
      <c r="GPL370" s="15"/>
      <c r="GPM370" s="15"/>
      <c r="GPN370" s="10"/>
      <c r="GPO370" s="10"/>
      <c r="GPP370" s="21"/>
      <c r="GPQ370" s="21"/>
      <c r="GPT370" s="21"/>
      <c r="GPU370" s="15"/>
      <c r="GPV370" s="15"/>
      <c r="GPW370" s="15"/>
      <c r="GPX370" s="15"/>
      <c r="GPY370" s="15"/>
      <c r="GPZ370" s="15"/>
      <c r="GQA370" s="15"/>
      <c r="GQB370" s="15"/>
      <c r="GQC370" s="15"/>
      <c r="GQD370" s="15"/>
      <c r="GQE370" s="10"/>
      <c r="GQF370" s="10"/>
      <c r="GQG370" s="21"/>
      <c r="GQH370" s="21"/>
      <c r="GQK370" s="21"/>
      <c r="GQL370" s="15"/>
      <c r="GQM370" s="15"/>
      <c r="GQN370" s="15"/>
      <c r="GQO370" s="15"/>
      <c r="GQP370" s="15"/>
      <c r="GQQ370" s="15"/>
      <c r="GQR370" s="15"/>
      <c r="GQS370" s="15"/>
      <c r="GQT370" s="15"/>
      <c r="GQU370" s="15"/>
      <c r="GQV370" s="10"/>
      <c r="GQW370" s="10"/>
      <c r="GQX370" s="21"/>
      <c r="GQY370" s="21"/>
      <c r="GRB370" s="21"/>
      <c r="GRC370" s="15"/>
      <c r="GRD370" s="15"/>
      <c r="GRE370" s="15"/>
      <c r="GRF370" s="15"/>
      <c r="GRG370" s="15"/>
      <c r="GRH370" s="15"/>
      <c r="GRI370" s="15"/>
      <c r="GRJ370" s="15"/>
      <c r="GRK370" s="15"/>
      <c r="GRL370" s="15"/>
      <c r="GRM370" s="10"/>
      <c r="GRN370" s="10"/>
      <c r="GRO370" s="21"/>
      <c r="GRP370" s="21"/>
      <c r="GRS370" s="21"/>
      <c r="GRT370" s="15"/>
      <c r="GRU370" s="15"/>
      <c r="GRV370" s="15"/>
      <c r="GRW370" s="15"/>
      <c r="GRX370" s="15"/>
      <c r="GRY370" s="15"/>
      <c r="GRZ370" s="15"/>
      <c r="GSA370" s="15"/>
      <c r="GSB370" s="15"/>
      <c r="GSC370" s="15"/>
      <c r="GSD370" s="10"/>
      <c r="GSE370" s="10"/>
      <c r="GSF370" s="21"/>
      <c r="GSG370" s="21"/>
      <c r="GSJ370" s="21"/>
      <c r="GSK370" s="15"/>
      <c r="GSL370" s="15"/>
      <c r="GSM370" s="15"/>
      <c r="GSN370" s="15"/>
      <c r="GSO370" s="15"/>
      <c r="GSP370" s="15"/>
      <c r="GSQ370" s="15"/>
      <c r="GSR370" s="15"/>
      <c r="GSS370" s="15"/>
      <c r="GST370" s="15"/>
      <c r="GSU370" s="10"/>
      <c r="GSV370" s="10"/>
      <c r="GSW370" s="21"/>
      <c r="GSX370" s="21"/>
      <c r="GTA370" s="21"/>
      <c r="GTB370" s="15"/>
      <c r="GTC370" s="15"/>
      <c r="GTD370" s="15"/>
      <c r="GTE370" s="15"/>
      <c r="GTF370" s="15"/>
      <c r="GTG370" s="15"/>
      <c r="GTH370" s="15"/>
      <c r="GTI370" s="15"/>
      <c r="GTJ370" s="15"/>
      <c r="GTK370" s="15"/>
      <c r="GTL370" s="10"/>
      <c r="GTM370" s="10"/>
      <c r="GTN370" s="21"/>
      <c r="GTO370" s="21"/>
      <c r="GTR370" s="21"/>
      <c r="GTS370" s="15"/>
      <c r="GTT370" s="15"/>
      <c r="GTU370" s="15"/>
      <c r="GTV370" s="15"/>
      <c r="GTW370" s="15"/>
      <c r="GTX370" s="15"/>
      <c r="GTY370" s="15"/>
      <c r="GTZ370" s="15"/>
      <c r="GUA370" s="15"/>
      <c r="GUB370" s="15"/>
      <c r="GUC370" s="10"/>
      <c r="GUD370" s="10"/>
      <c r="GUE370" s="21"/>
      <c r="GUF370" s="21"/>
      <c r="GUI370" s="21"/>
      <c r="GUJ370" s="15"/>
      <c r="GUK370" s="15"/>
      <c r="GUL370" s="15"/>
      <c r="GUM370" s="15"/>
      <c r="GUN370" s="15"/>
      <c r="GUO370" s="15"/>
      <c r="GUP370" s="15"/>
      <c r="GUQ370" s="15"/>
      <c r="GUR370" s="15"/>
      <c r="GUS370" s="15"/>
      <c r="GUT370" s="10"/>
      <c r="GUU370" s="10"/>
      <c r="GUV370" s="21"/>
      <c r="GUW370" s="21"/>
      <c r="GUZ370" s="21"/>
      <c r="GVA370" s="15"/>
      <c r="GVB370" s="15"/>
      <c r="GVC370" s="15"/>
      <c r="GVD370" s="15"/>
      <c r="GVE370" s="15"/>
      <c r="GVF370" s="15"/>
      <c r="GVG370" s="15"/>
      <c r="GVH370" s="15"/>
      <c r="GVI370" s="15"/>
      <c r="GVJ370" s="15"/>
      <c r="GVK370" s="10"/>
      <c r="GVL370" s="10"/>
      <c r="GVM370" s="21"/>
      <c r="GVN370" s="21"/>
      <c r="GVQ370" s="21"/>
      <c r="GVR370" s="15"/>
      <c r="GVS370" s="15"/>
      <c r="GVT370" s="15"/>
      <c r="GVU370" s="15"/>
      <c r="GVV370" s="15"/>
      <c r="GVW370" s="15"/>
      <c r="GVX370" s="15"/>
      <c r="GVY370" s="15"/>
      <c r="GVZ370" s="15"/>
      <c r="GWA370" s="15"/>
      <c r="GWB370" s="10"/>
      <c r="GWC370" s="10"/>
      <c r="GWD370" s="21"/>
      <c r="GWE370" s="21"/>
      <c r="GWH370" s="21"/>
      <c r="GWI370" s="15"/>
      <c r="GWJ370" s="15"/>
      <c r="GWK370" s="15"/>
      <c r="GWL370" s="15"/>
      <c r="GWM370" s="15"/>
      <c r="GWN370" s="15"/>
      <c r="GWO370" s="15"/>
      <c r="GWP370" s="15"/>
      <c r="GWQ370" s="15"/>
      <c r="GWR370" s="15"/>
      <c r="GWS370" s="10"/>
      <c r="GWT370" s="10"/>
      <c r="GWU370" s="21"/>
      <c r="GWV370" s="21"/>
      <c r="GWY370" s="21"/>
      <c r="GWZ370" s="15"/>
      <c r="GXA370" s="15"/>
      <c r="GXB370" s="15"/>
      <c r="GXC370" s="15"/>
      <c r="GXD370" s="15"/>
      <c r="GXE370" s="15"/>
      <c r="GXF370" s="15"/>
      <c r="GXG370" s="15"/>
      <c r="GXH370" s="15"/>
      <c r="GXI370" s="15"/>
      <c r="GXJ370" s="10"/>
      <c r="GXK370" s="10"/>
      <c r="GXL370" s="21"/>
      <c r="GXM370" s="21"/>
      <c r="GXP370" s="21"/>
      <c r="GXQ370" s="15"/>
      <c r="GXR370" s="15"/>
      <c r="GXS370" s="15"/>
      <c r="GXT370" s="15"/>
      <c r="GXU370" s="15"/>
      <c r="GXV370" s="15"/>
      <c r="GXW370" s="15"/>
      <c r="GXX370" s="15"/>
      <c r="GXY370" s="15"/>
      <c r="GXZ370" s="15"/>
      <c r="GYA370" s="10"/>
      <c r="GYB370" s="10"/>
      <c r="GYC370" s="21"/>
      <c r="GYD370" s="21"/>
      <c r="GYG370" s="21"/>
      <c r="GYH370" s="15"/>
      <c r="GYI370" s="15"/>
      <c r="GYJ370" s="15"/>
      <c r="GYK370" s="15"/>
      <c r="GYL370" s="15"/>
      <c r="GYM370" s="15"/>
      <c r="GYN370" s="15"/>
      <c r="GYO370" s="15"/>
      <c r="GYP370" s="15"/>
      <c r="GYQ370" s="15"/>
      <c r="GYR370" s="10"/>
      <c r="GYS370" s="10"/>
      <c r="GYT370" s="21"/>
      <c r="GYU370" s="21"/>
      <c r="GYX370" s="21"/>
      <c r="GYY370" s="15"/>
      <c r="GYZ370" s="15"/>
      <c r="GZA370" s="15"/>
      <c r="GZB370" s="15"/>
      <c r="GZC370" s="15"/>
      <c r="GZD370" s="15"/>
      <c r="GZE370" s="15"/>
      <c r="GZF370" s="15"/>
      <c r="GZG370" s="15"/>
      <c r="GZH370" s="15"/>
      <c r="GZI370" s="10"/>
      <c r="GZJ370" s="10"/>
      <c r="GZK370" s="21"/>
      <c r="GZL370" s="21"/>
      <c r="GZO370" s="21"/>
      <c r="GZP370" s="15"/>
      <c r="GZQ370" s="15"/>
      <c r="GZR370" s="15"/>
      <c r="GZS370" s="15"/>
      <c r="GZT370" s="15"/>
      <c r="GZU370" s="15"/>
      <c r="GZV370" s="15"/>
      <c r="GZW370" s="15"/>
      <c r="GZX370" s="15"/>
      <c r="GZY370" s="15"/>
      <c r="GZZ370" s="10"/>
      <c r="HAA370" s="10"/>
      <c r="HAB370" s="21"/>
      <c r="HAC370" s="21"/>
      <c r="HAF370" s="21"/>
      <c r="HAG370" s="15"/>
      <c r="HAH370" s="15"/>
      <c r="HAI370" s="15"/>
      <c r="HAJ370" s="15"/>
      <c r="HAK370" s="15"/>
      <c r="HAL370" s="15"/>
      <c r="HAM370" s="15"/>
      <c r="HAN370" s="15"/>
      <c r="HAO370" s="15"/>
      <c r="HAP370" s="15"/>
      <c r="HAQ370" s="10"/>
      <c r="HAR370" s="10"/>
      <c r="HAS370" s="21"/>
      <c r="HAT370" s="21"/>
      <c r="HAW370" s="21"/>
      <c r="HAX370" s="15"/>
      <c r="HAY370" s="15"/>
      <c r="HAZ370" s="15"/>
      <c r="HBA370" s="15"/>
      <c r="HBB370" s="15"/>
      <c r="HBC370" s="15"/>
      <c r="HBD370" s="15"/>
      <c r="HBE370" s="15"/>
      <c r="HBF370" s="15"/>
      <c r="HBG370" s="15"/>
      <c r="HBH370" s="10"/>
      <c r="HBI370" s="10"/>
      <c r="HBJ370" s="21"/>
      <c r="HBK370" s="21"/>
      <c r="HBN370" s="21"/>
      <c r="HBO370" s="15"/>
      <c r="HBP370" s="15"/>
      <c r="HBQ370" s="15"/>
      <c r="HBR370" s="15"/>
      <c r="HBS370" s="15"/>
      <c r="HBT370" s="15"/>
      <c r="HBU370" s="15"/>
      <c r="HBV370" s="15"/>
      <c r="HBW370" s="15"/>
      <c r="HBX370" s="15"/>
      <c r="HBY370" s="10"/>
      <c r="HBZ370" s="10"/>
      <c r="HCA370" s="21"/>
      <c r="HCB370" s="21"/>
      <c r="HCE370" s="21"/>
      <c r="HCF370" s="15"/>
      <c r="HCG370" s="15"/>
      <c r="HCH370" s="15"/>
      <c r="HCI370" s="15"/>
      <c r="HCJ370" s="15"/>
      <c r="HCK370" s="15"/>
      <c r="HCL370" s="15"/>
      <c r="HCM370" s="15"/>
      <c r="HCN370" s="15"/>
      <c r="HCO370" s="15"/>
      <c r="HCP370" s="10"/>
      <c r="HCQ370" s="10"/>
      <c r="HCR370" s="21"/>
      <c r="HCS370" s="21"/>
      <c r="HCV370" s="21"/>
      <c r="HCW370" s="15"/>
      <c r="HCX370" s="15"/>
      <c r="HCY370" s="15"/>
      <c r="HCZ370" s="15"/>
      <c r="HDA370" s="15"/>
      <c r="HDB370" s="15"/>
      <c r="HDC370" s="15"/>
      <c r="HDD370" s="15"/>
      <c r="HDE370" s="15"/>
      <c r="HDF370" s="15"/>
      <c r="HDG370" s="10"/>
      <c r="HDH370" s="10"/>
      <c r="HDI370" s="21"/>
      <c r="HDJ370" s="21"/>
      <c r="HDM370" s="21"/>
      <c r="HDN370" s="15"/>
      <c r="HDO370" s="15"/>
      <c r="HDP370" s="15"/>
      <c r="HDQ370" s="15"/>
      <c r="HDR370" s="15"/>
      <c r="HDS370" s="15"/>
      <c r="HDT370" s="15"/>
      <c r="HDU370" s="15"/>
      <c r="HDV370" s="15"/>
      <c r="HDW370" s="15"/>
      <c r="HDX370" s="10"/>
      <c r="HDY370" s="10"/>
      <c r="HDZ370" s="21"/>
      <c r="HEA370" s="21"/>
      <c r="HED370" s="21"/>
      <c r="HEE370" s="15"/>
      <c r="HEF370" s="15"/>
      <c r="HEG370" s="15"/>
      <c r="HEH370" s="15"/>
      <c r="HEI370" s="15"/>
      <c r="HEJ370" s="15"/>
      <c r="HEK370" s="15"/>
      <c r="HEL370" s="15"/>
      <c r="HEM370" s="15"/>
      <c r="HEN370" s="15"/>
      <c r="HEO370" s="10"/>
      <c r="HEP370" s="10"/>
      <c r="HEQ370" s="21"/>
      <c r="HER370" s="21"/>
      <c r="HEU370" s="21"/>
      <c r="HEV370" s="15"/>
      <c r="HEW370" s="15"/>
      <c r="HEX370" s="15"/>
      <c r="HEY370" s="15"/>
      <c r="HEZ370" s="15"/>
      <c r="HFA370" s="15"/>
      <c r="HFB370" s="15"/>
      <c r="HFC370" s="15"/>
      <c r="HFD370" s="15"/>
      <c r="HFE370" s="15"/>
      <c r="HFF370" s="10"/>
      <c r="HFG370" s="10"/>
      <c r="HFH370" s="21"/>
      <c r="HFI370" s="21"/>
      <c r="HFL370" s="21"/>
      <c r="HFM370" s="15"/>
      <c r="HFN370" s="15"/>
      <c r="HFO370" s="15"/>
      <c r="HFP370" s="15"/>
      <c r="HFQ370" s="15"/>
      <c r="HFR370" s="15"/>
      <c r="HFS370" s="15"/>
      <c r="HFT370" s="15"/>
      <c r="HFU370" s="15"/>
      <c r="HFV370" s="15"/>
      <c r="HFW370" s="10"/>
      <c r="HFX370" s="10"/>
      <c r="HFY370" s="21"/>
      <c r="HFZ370" s="21"/>
      <c r="HGC370" s="21"/>
      <c r="HGD370" s="15"/>
      <c r="HGE370" s="15"/>
      <c r="HGF370" s="15"/>
      <c r="HGG370" s="15"/>
      <c r="HGH370" s="15"/>
      <c r="HGI370" s="15"/>
      <c r="HGJ370" s="15"/>
      <c r="HGK370" s="15"/>
      <c r="HGL370" s="15"/>
      <c r="HGM370" s="15"/>
      <c r="HGN370" s="10"/>
      <c r="HGO370" s="10"/>
      <c r="HGP370" s="21"/>
      <c r="HGQ370" s="21"/>
      <c r="HGT370" s="21"/>
      <c r="HGU370" s="15"/>
      <c r="HGV370" s="15"/>
      <c r="HGW370" s="15"/>
      <c r="HGX370" s="15"/>
      <c r="HGY370" s="15"/>
      <c r="HGZ370" s="15"/>
      <c r="HHA370" s="15"/>
      <c r="HHB370" s="15"/>
      <c r="HHC370" s="15"/>
      <c r="HHD370" s="15"/>
      <c r="HHE370" s="10"/>
      <c r="HHF370" s="10"/>
      <c r="HHG370" s="21"/>
      <c r="HHH370" s="21"/>
      <c r="HHK370" s="21"/>
      <c r="HHL370" s="15"/>
      <c r="HHM370" s="15"/>
      <c r="HHN370" s="15"/>
      <c r="HHO370" s="15"/>
      <c r="HHP370" s="15"/>
      <c r="HHQ370" s="15"/>
      <c r="HHR370" s="15"/>
      <c r="HHS370" s="15"/>
      <c r="HHT370" s="15"/>
      <c r="HHU370" s="15"/>
      <c r="HHV370" s="10"/>
      <c r="HHW370" s="10"/>
      <c r="HHX370" s="21"/>
      <c r="HHY370" s="21"/>
      <c r="HIB370" s="21"/>
      <c r="HIC370" s="15"/>
      <c r="HID370" s="15"/>
      <c r="HIE370" s="15"/>
      <c r="HIF370" s="15"/>
      <c r="HIG370" s="15"/>
      <c r="HIH370" s="15"/>
      <c r="HII370" s="15"/>
      <c r="HIJ370" s="15"/>
      <c r="HIK370" s="15"/>
      <c r="HIL370" s="15"/>
      <c r="HIM370" s="10"/>
      <c r="HIN370" s="10"/>
      <c r="HIO370" s="21"/>
      <c r="HIP370" s="21"/>
      <c r="HIS370" s="21"/>
      <c r="HIT370" s="15"/>
      <c r="HIU370" s="15"/>
      <c r="HIV370" s="15"/>
      <c r="HIW370" s="15"/>
      <c r="HIX370" s="15"/>
      <c r="HIY370" s="15"/>
      <c r="HIZ370" s="15"/>
      <c r="HJA370" s="15"/>
      <c r="HJB370" s="15"/>
      <c r="HJC370" s="15"/>
      <c r="HJD370" s="10"/>
      <c r="HJE370" s="10"/>
      <c r="HJF370" s="21"/>
      <c r="HJG370" s="21"/>
      <c r="HJJ370" s="21"/>
      <c r="HJK370" s="15"/>
      <c r="HJL370" s="15"/>
      <c r="HJM370" s="15"/>
      <c r="HJN370" s="15"/>
      <c r="HJO370" s="15"/>
      <c r="HJP370" s="15"/>
      <c r="HJQ370" s="15"/>
      <c r="HJR370" s="15"/>
      <c r="HJS370" s="15"/>
      <c r="HJT370" s="15"/>
      <c r="HJU370" s="10"/>
      <c r="HJV370" s="10"/>
      <c r="HJW370" s="21"/>
      <c r="HJX370" s="21"/>
      <c r="HKA370" s="21"/>
      <c r="HKB370" s="15"/>
      <c r="HKC370" s="15"/>
      <c r="HKD370" s="15"/>
      <c r="HKE370" s="15"/>
      <c r="HKF370" s="15"/>
      <c r="HKG370" s="15"/>
      <c r="HKH370" s="15"/>
      <c r="HKI370" s="15"/>
      <c r="HKJ370" s="15"/>
      <c r="HKK370" s="15"/>
      <c r="HKL370" s="10"/>
      <c r="HKM370" s="10"/>
      <c r="HKN370" s="21"/>
      <c r="HKO370" s="21"/>
      <c r="HKR370" s="21"/>
      <c r="HKS370" s="15"/>
      <c r="HKT370" s="15"/>
      <c r="HKU370" s="15"/>
      <c r="HKV370" s="15"/>
      <c r="HKW370" s="15"/>
      <c r="HKX370" s="15"/>
      <c r="HKY370" s="15"/>
      <c r="HKZ370" s="15"/>
      <c r="HLA370" s="15"/>
      <c r="HLB370" s="15"/>
      <c r="HLC370" s="10"/>
      <c r="HLD370" s="10"/>
      <c r="HLE370" s="21"/>
      <c r="HLF370" s="21"/>
      <c r="HLI370" s="21"/>
      <c r="HLJ370" s="15"/>
      <c r="HLK370" s="15"/>
      <c r="HLL370" s="15"/>
      <c r="HLM370" s="15"/>
      <c r="HLN370" s="15"/>
      <c r="HLO370" s="15"/>
      <c r="HLP370" s="15"/>
      <c r="HLQ370" s="15"/>
      <c r="HLR370" s="15"/>
      <c r="HLS370" s="15"/>
      <c r="HLT370" s="10"/>
      <c r="HLU370" s="10"/>
      <c r="HLV370" s="21"/>
      <c r="HLW370" s="21"/>
      <c r="HLZ370" s="21"/>
      <c r="HMA370" s="15"/>
      <c r="HMB370" s="15"/>
      <c r="HMC370" s="15"/>
      <c r="HMD370" s="15"/>
      <c r="HME370" s="15"/>
      <c r="HMF370" s="15"/>
      <c r="HMG370" s="15"/>
      <c r="HMH370" s="15"/>
      <c r="HMI370" s="15"/>
      <c r="HMJ370" s="15"/>
      <c r="HMK370" s="10"/>
      <c r="HML370" s="10"/>
      <c r="HMM370" s="21"/>
      <c r="HMN370" s="21"/>
      <c r="HMQ370" s="21"/>
      <c r="HMR370" s="15"/>
      <c r="HMS370" s="15"/>
      <c r="HMT370" s="15"/>
      <c r="HMU370" s="15"/>
      <c r="HMV370" s="15"/>
      <c r="HMW370" s="15"/>
      <c r="HMX370" s="15"/>
      <c r="HMY370" s="15"/>
      <c r="HMZ370" s="15"/>
      <c r="HNA370" s="15"/>
      <c r="HNB370" s="10"/>
      <c r="HNC370" s="10"/>
      <c r="HND370" s="21"/>
      <c r="HNE370" s="21"/>
      <c r="HNH370" s="21"/>
      <c r="HNI370" s="15"/>
      <c r="HNJ370" s="15"/>
      <c r="HNK370" s="15"/>
      <c r="HNL370" s="15"/>
      <c r="HNM370" s="15"/>
      <c r="HNN370" s="15"/>
      <c r="HNO370" s="15"/>
      <c r="HNP370" s="15"/>
      <c r="HNQ370" s="15"/>
      <c r="HNR370" s="15"/>
      <c r="HNS370" s="10"/>
      <c r="HNT370" s="10"/>
      <c r="HNU370" s="21"/>
      <c r="HNV370" s="21"/>
      <c r="HNY370" s="21"/>
      <c r="HNZ370" s="15"/>
      <c r="HOA370" s="15"/>
      <c r="HOB370" s="15"/>
      <c r="HOC370" s="15"/>
      <c r="HOD370" s="15"/>
      <c r="HOE370" s="15"/>
      <c r="HOF370" s="15"/>
      <c r="HOG370" s="15"/>
      <c r="HOH370" s="15"/>
      <c r="HOI370" s="15"/>
      <c r="HOJ370" s="10"/>
      <c r="HOK370" s="10"/>
      <c r="HOL370" s="21"/>
      <c r="HOM370" s="21"/>
      <c r="HOP370" s="21"/>
      <c r="HOQ370" s="15"/>
      <c r="HOR370" s="15"/>
      <c r="HOS370" s="15"/>
      <c r="HOT370" s="15"/>
      <c r="HOU370" s="15"/>
      <c r="HOV370" s="15"/>
      <c r="HOW370" s="15"/>
      <c r="HOX370" s="15"/>
      <c r="HOY370" s="15"/>
      <c r="HOZ370" s="15"/>
      <c r="HPA370" s="10"/>
      <c r="HPB370" s="10"/>
      <c r="HPC370" s="21"/>
      <c r="HPD370" s="21"/>
      <c r="HPG370" s="21"/>
      <c r="HPH370" s="15"/>
      <c r="HPI370" s="15"/>
      <c r="HPJ370" s="15"/>
      <c r="HPK370" s="15"/>
      <c r="HPL370" s="15"/>
      <c r="HPM370" s="15"/>
      <c r="HPN370" s="15"/>
      <c r="HPO370" s="15"/>
      <c r="HPP370" s="15"/>
      <c r="HPQ370" s="15"/>
      <c r="HPR370" s="10"/>
      <c r="HPS370" s="10"/>
      <c r="HPT370" s="21"/>
      <c r="HPU370" s="21"/>
      <c r="HPX370" s="21"/>
      <c r="HPY370" s="15"/>
      <c r="HPZ370" s="15"/>
      <c r="HQA370" s="15"/>
      <c r="HQB370" s="15"/>
      <c r="HQC370" s="15"/>
      <c r="HQD370" s="15"/>
      <c r="HQE370" s="15"/>
      <c r="HQF370" s="15"/>
      <c r="HQG370" s="15"/>
      <c r="HQH370" s="15"/>
      <c r="HQI370" s="10"/>
      <c r="HQJ370" s="10"/>
      <c r="HQK370" s="21"/>
      <c r="HQL370" s="21"/>
      <c r="HQO370" s="21"/>
      <c r="HQP370" s="15"/>
      <c r="HQQ370" s="15"/>
      <c r="HQR370" s="15"/>
      <c r="HQS370" s="15"/>
      <c r="HQT370" s="15"/>
      <c r="HQU370" s="15"/>
      <c r="HQV370" s="15"/>
      <c r="HQW370" s="15"/>
      <c r="HQX370" s="15"/>
      <c r="HQY370" s="15"/>
      <c r="HQZ370" s="10"/>
      <c r="HRA370" s="10"/>
      <c r="HRB370" s="21"/>
      <c r="HRC370" s="21"/>
      <c r="HRF370" s="21"/>
      <c r="HRG370" s="15"/>
      <c r="HRH370" s="15"/>
      <c r="HRI370" s="15"/>
      <c r="HRJ370" s="15"/>
      <c r="HRK370" s="15"/>
      <c r="HRL370" s="15"/>
      <c r="HRM370" s="15"/>
      <c r="HRN370" s="15"/>
      <c r="HRO370" s="15"/>
      <c r="HRP370" s="15"/>
      <c r="HRQ370" s="10"/>
      <c r="HRR370" s="10"/>
      <c r="HRS370" s="21"/>
      <c r="HRT370" s="21"/>
      <c r="HRW370" s="21"/>
      <c r="HRX370" s="15"/>
      <c r="HRY370" s="15"/>
      <c r="HRZ370" s="15"/>
      <c r="HSA370" s="15"/>
      <c r="HSB370" s="15"/>
      <c r="HSC370" s="15"/>
      <c r="HSD370" s="15"/>
      <c r="HSE370" s="15"/>
      <c r="HSF370" s="15"/>
      <c r="HSG370" s="15"/>
      <c r="HSH370" s="10"/>
      <c r="HSI370" s="10"/>
      <c r="HSJ370" s="21"/>
      <c r="HSK370" s="21"/>
      <c r="HSN370" s="21"/>
      <c r="HSO370" s="15"/>
      <c r="HSP370" s="15"/>
      <c r="HSQ370" s="15"/>
      <c r="HSR370" s="15"/>
      <c r="HSS370" s="15"/>
      <c r="HST370" s="15"/>
      <c r="HSU370" s="15"/>
      <c r="HSV370" s="15"/>
      <c r="HSW370" s="15"/>
      <c r="HSX370" s="15"/>
      <c r="HSY370" s="10"/>
      <c r="HSZ370" s="10"/>
      <c r="HTA370" s="21"/>
      <c r="HTB370" s="21"/>
      <c r="HTE370" s="21"/>
      <c r="HTF370" s="15"/>
      <c r="HTG370" s="15"/>
      <c r="HTH370" s="15"/>
      <c r="HTI370" s="15"/>
      <c r="HTJ370" s="15"/>
      <c r="HTK370" s="15"/>
      <c r="HTL370" s="15"/>
      <c r="HTM370" s="15"/>
      <c r="HTN370" s="15"/>
      <c r="HTO370" s="15"/>
      <c r="HTP370" s="10"/>
      <c r="HTQ370" s="10"/>
      <c r="HTR370" s="21"/>
      <c r="HTS370" s="21"/>
      <c r="HTV370" s="21"/>
      <c r="HTW370" s="15"/>
      <c r="HTX370" s="15"/>
      <c r="HTY370" s="15"/>
      <c r="HTZ370" s="15"/>
      <c r="HUA370" s="15"/>
      <c r="HUB370" s="15"/>
      <c r="HUC370" s="15"/>
      <c r="HUD370" s="15"/>
      <c r="HUE370" s="15"/>
      <c r="HUF370" s="15"/>
      <c r="HUG370" s="10"/>
      <c r="HUH370" s="10"/>
      <c r="HUI370" s="21"/>
      <c r="HUJ370" s="21"/>
      <c r="HUM370" s="21"/>
      <c r="HUN370" s="15"/>
      <c r="HUO370" s="15"/>
      <c r="HUP370" s="15"/>
      <c r="HUQ370" s="15"/>
      <c r="HUR370" s="15"/>
      <c r="HUS370" s="15"/>
      <c r="HUT370" s="15"/>
      <c r="HUU370" s="15"/>
      <c r="HUV370" s="15"/>
      <c r="HUW370" s="15"/>
      <c r="HUX370" s="10"/>
      <c r="HUY370" s="10"/>
      <c r="HUZ370" s="21"/>
      <c r="HVA370" s="21"/>
      <c r="HVD370" s="21"/>
      <c r="HVE370" s="15"/>
      <c r="HVF370" s="15"/>
      <c r="HVG370" s="15"/>
      <c r="HVH370" s="15"/>
      <c r="HVI370" s="15"/>
      <c r="HVJ370" s="15"/>
      <c r="HVK370" s="15"/>
      <c r="HVL370" s="15"/>
      <c r="HVM370" s="15"/>
      <c r="HVN370" s="15"/>
      <c r="HVO370" s="10"/>
      <c r="HVP370" s="10"/>
      <c r="HVQ370" s="21"/>
      <c r="HVR370" s="21"/>
      <c r="HVU370" s="21"/>
      <c r="HVV370" s="15"/>
      <c r="HVW370" s="15"/>
      <c r="HVX370" s="15"/>
      <c r="HVY370" s="15"/>
      <c r="HVZ370" s="15"/>
      <c r="HWA370" s="15"/>
      <c r="HWB370" s="15"/>
      <c r="HWC370" s="15"/>
      <c r="HWD370" s="15"/>
      <c r="HWE370" s="15"/>
      <c r="HWF370" s="10"/>
      <c r="HWG370" s="10"/>
      <c r="HWH370" s="21"/>
      <c r="HWI370" s="21"/>
      <c r="HWL370" s="21"/>
      <c r="HWM370" s="15"/>
      <c r="HWN370" s="15"/>
      <c r="HWO370" s="15"/>
      <c r="HWP370" s="15"/>
      <c r="HWQ370" s="15"/>
      <c r="HWR370" s="15"/>
      <c r="HWS370" s="15"/>
      <c r="HWT370" s="15"/>
      <c r="HWU370" s="15"/>
      <c r="HWV370" s="15"/>
      <c r="HWW370" s="10"/>
      <c r="HWX370" s="10"/>
      <c r="HWY370" s="21"/>
      <c r="HWZ370" s="21"/>
      <c r="HXC370" s="21"/>
      <c r="HXD370" s="15"/>
      <c r="HXE370" s="15"/>
      <c r="HXF370" s="15"/>
      <c r="HXG370" s="15"/>
      <c r="HXH370" s="15"/>
      <c r="HXI370" s="15"/>
      <c r="HXJ370" s="15"/>
      <c r="HXK370" s="15"/>
      <c r="HXL370" s="15"/>
      <c r="HXM370" s="15"/>
      <c r="HXN370" s="10"/>
      <c r="HXO370" s="10"/>
      <c r="HXP370" s="21"/>
      <c r="HXQ370" s="21"/>
      <c r="HXT370" s="21"/>
      <c r="HXU370" s="15"/>
      <c r="HXV370" s="15"/>
      <c r="HXW370" s="15"/>
      <c r="HXX370" s="15"/>
      <c r="HXY370" s="15"/>
      <c r="HXZ370" s="15"/>
      <c r="HYA370" s="15"/>
      <c r="HYB370" s="15"/>
      <c r="HYC370" s="15"/>
      <c r="HYD370" s="15"/>
      <c r="HYE370" s="10"/>
      <c r="HYF370" s="10"/>
      <c r="HYG370" s="21"/>
      <c r="HYH370" s="21"/>
      <c r="HYK370" s="21"/>
      <c r="HYL370" s="15"/>
      <c r="HYM370" s="15"/>
      <c r="HYN370" s="15"/>
      <c r="HYO370" s="15"/>
      <c r="HYP370" s="15"/>
      <c r="HYQ370" s="15"/>
      <c r="HYR370" s="15"/>
      <c r="HYS370" s="15"/>
      <c r="HYT370" s="15"/>
      <c r="HYU370" s="15"/>
      <c r="HYV370" s="10"/>
      <c r="HYW370" s="10"/>
      <c r="HYX370" s="21"/>
      <c r="HYY370" s="21"/>
      <c r="HZB370" s="21"/>
      <c r="HZC370" s="15"/>
      <c r="HZD370" s="15"/>
      <c r="HZE370" s="15"/>
      <c r="HZF370" s="15"/>
      <c r="HZG370" s="15"/>
      <c r="HZH370" s="15"/>
      <c r="HZI370" s="15"/>
      <c r="HZJ370" s="15"/>
      <c r="HZK370" s="15"/>
      <c r="HZL370" s="15"/>
      <c r="HZM370" s="10"/>
      <c r="HZN370" s="10"/>
      <c r="HZO370" s="21"/>
      <c r="HZP370" s="21"/>
      <c r="HZS370" s="21"/>
      <c r="HZT370" s="15"/>
      <c r="HZU370" s="15"/>
      <c r="HZV370" s="15"/>
      <c r="HZW370" s="15"/>
      <c r="HZX370" s="15"/>
      <c r="HZY370" s="15"/>
      <c r="HZZ370" s="15"/>
      <c r="IAA370" s="15"/>
      <c r="IAB370" s="15"/>
      <c r="IAC370" s="15"/>
      <c r="IAD370" s="10"/>
      <c r="IAE370" s="10"/>
      <c r="IAF370" s="21"/>
      <c r="IAG370" s="21"/>
      <c r="IAJ370" s="21"/>
      <c r="IAK370" s="15"/>
      <c r="IAL370" s="15"/>
      <c r="IAM370" s="15"/>
      <c r="IAN370" s="15"/>
      <c r="IAO370" s="15"/>
      <c r="IAP370" s="15"/>
      <c r="IAQ370" s="15"/>
      <c r="IAR370" s="15"/>
      <c r="IAS370" s="15"/>
      <c r="IAT370" s="15"/>
      <c r="IAU370" s="10"/>
      <c r="IAV370" s="10"/>
      <c r="IAW370" s="21"/>
      <c r="IAX370" s="21"/>
      <c r="IBA370" s="21"/>
      <c r="IBB370" s="15"/>
      <c r="IBC370" s="15"/>
      <c r="IBD370" s="15"/>
      <c r="IBE370" s="15"/>
      <c r="IBF370" s="15"/>
      <c r="IBG370" s="15"/>
      <c r="IBH370" s="15"/>
      <c r="IBI370" s="15"/>
      <c r="IBJ370" s="15"/>
      <c r="IBK370" s="15"/>
      <c r="IBL370" s="10"/>
      <c r="IBM370" s="10"/>
      <c r="IBN370" s="21"/>
      <c r="IBO370" s="21"/>
      <c r="IBR370" s="21"/>
      <c r="IBS370" s="15"/>
      <c r="IBT370" s="15"/>
      <c r="IBU370" s="15"/>
      <c r="IBV370" s="15"/>
      <c r="IBW370" s="15"/>
      <c r="IBX370" s="15"/>
      <c r="IBY370" s="15"/>
      <c r="IBZ370" s="15"/>
      <c r="ICA370" s="15"/>
      <c r="ICB370" s="15"/>
      <c r="ICC370" s="10"/>
      <c r="ICD370" s="10"/>
      <c r="ICE370" s="21"/>
      <c r="ICF370" s="21"/>
      <c r="ICI370" s="21"/>
      <c r="ICJ370" s="15"/>
      <c r="ICK370" s="15"/>
      <c r="ICL370" s="15"/>
      <c r="ICM370" s="15"/>
      <c r="ICN370" s="15"/>
      <c r="ICO370" s="15"/>
      <c r="ICP370" s="15"/>
      <c r="ICQ370" s="15"/>
      <c r="ICR370" s="15"/>
      <c r="ICS370" s="15"/>
      <c r="ICT370" s="10"/>
      <c r="ICU370" s="10"/>
      <c r="ICV370" s="21"/>
      <c r="ICW370" s="21"/>
      <c r="ICZ370" s="21"/>
      <c r="IDA370" s="15"/>
      <c r="IDB370" s="15"/>
      <c r="IDC370" s="15"/>
      <c r="IDD370" s="15"/>
      <c r="IDE370" s="15"/>
      <c r="IDF370" s="15"/>
      <c r="IDG370" s="15"/>
      <c r="IDH370" s="15"/>
      <c r="IDI370" s="15"/>
      <c r="IDJ370" s="15"/>
      <c r="IDK370" s="10"/>
      <c r="IDL370" s="10"/>
      <c r="IDM370" s="21"/>
      <c r="IDN370" s="21"/>
      <c r="IDQ370" s="21"/>
      <c r="IDR370" s="15"/>
      <c r="IDS370" s="15"/>
      <c r="IDT370" s="15"/>
      <c r="IDU370" s="15"/>
      <c r="IDV370" s="15"/>
      <c r="IDW370" s="15"/>
      <c r="IDX370" s="15"/>
      <c r="IDY370" s="15"/>
      <c r="IDZ370" s="15"/>
      <c r="IEA370" s="15"/>
      <c r="IEB370" s="10"/>
      <c r="IEC370" s="10"/>
      <c r="IED370" s="21"/>
      <c r="IEE370" s="21"/>
      <c r="IEH370" s="21"/>
      <c r="IEI370" s="15"/>
      <c r="IEJ370" s="15"/>
      <c r="IEK370" s="15"/>
      <c r="IEL370" s="15"/>
      <c r="IEM370" s="15"/>
      <c r="IEN370" s="15"/>
      <c r="IEO370" s="15"/>
      <c r="IEP370" s="15"/>
      <c r="IEQ370" s="15"/>
      <c r="IER370" s="15"/>
      <c r="IES370" s="10"/>
      <c r="IET370" s="10"/>
      <c r="IEU370" s="21"/>
      <c r="IEV370" s="21"/>
      <c r="IEY370" s="21"/>
      <c r="IEZ370" s="15"/>
      <c r="IFA370" s="15"/>
      <c r="IFB370" s="15"/>
      <c r="IFC370" s="15"/>
      <c r="IFD370" s="15"/>
      <c r="IFE370" s="15"/>
      <c r="IFF370" s="15"/>
      <c r="IFG370" s="15"/>
      <c r="IFH370" s="15"/>
      <c r="IFI370" s="15"/>
      <c r="IFJ370" s="10"/>
      <c r="IFK370" s="10"/>
      <c r="IFL370" s="21"/>
      <c r="IFM370" s="21"/>
      <c r="IFP370" s="21"/>
      <c r="IFQ370" s="15"/>
      <c r="IFR370" s="15"/>
      <c r="IFS370" s="15"/>
      <c r="IFT370" s="15"/>
      <c r="IFU370" s="15"/>
      <c r="IFV370" s="15"/>
      <c r="IFW370" s="15"/>
      <c r="IFX370" s="15"/>
      <c r="IFY370" s="15"/>
      <c r="IFZ370" s="15"/>
      <c r="IGA370" s="10"/>
      <c r="IGB370" s="10"/>
      <c r="IGC370" s="21"/>
      <c r="IGD370" s="21"/>
      <c r="IGG370" s="21"/>
      <c r="IGH370" s="15"/>
      <c r="IGI370" s="15"/>
      <c r="IGJ370" s="15"/>
      <c r="IGK370" s="15"/>
      <c r="IGL370" s="15"/>
      <c r="IGM370" s="15"/>
      <c r="IGN370" s="15"/>
      <c r="IGO370" s="15"/>
      <c r="IGP370" s="15"/>
      <c r="IGQ370" s="15"/>
      <c r="IGR370" s="10"/>
      <c r="IGS370" s="10"/>
      <c r="IGT370" s="21"/>
      <c r="IGU370" s="21"/>
      <c r="IGX370" s="21"/>
      <c r="IGY370" s="15"/>
      <c r="IGZ370" s="15"/>
      <c r="IHA370" s="15"/>
      <c r="IHB370" s="15"/>
      <c r="IHC370" s="15"/>
      <c r="IHD370" s="15"/>
      <c r="IHE370" s="15"/>
      <c r="IHF370" s="15"/>
      <c r="IHG370" s="15"/>
      <c r="IHH370" s="15"/>
      <c r="IHI370" s="10"/>
      <c r="IHJ370" s="10"/>
      <c r="IHK370" s="21"/>
      <c r="IHL370" s="21"/>
      <c r="IHO370" s="21"/>
      <c r="IHP370" s="15"/>
      <c r="IHQ370" s="15"/>
      <c r="IHR370" s="15"/>
      <c r="IHS370" s="15"/>
      <c r="IHT370" s="15"/>
      <c r="IHU370" s="15"/>
      <c r="IHV370" s="15"/>
      <c r="IHW370" s="15"/>
      <c r="IHX370" s="15"/>
      <c r="IHY370" s="15"/>
      <c r="IHZ370" s="10"/>
      <c r="IIA370" s="10"/>
      <c r="IIB370" s="21"/>
      <c r="IIC370" s="21"/>
      <c r="IIF370" s="21"/>
      <c r="IIG370" s="15"/>
      <c r="IIH370" s="15"/>
      <c r="III370" s="15"/>
      <c r="IIJ370" s="15"/>
      <c r="IIK370" s="15"/>
      <c r="IIL370" s="15"/>
      <c r="IIM370" s="15"/>
      <c r="IIN370" s="15"/>
      <c r="IIO370" s="15"/>
      <c r="IIP370" s="15"/>
      <c r="IIQ370" s="10"/>
      <c r="IIR370" s="10"/>
      <c r="IIS370" s="21"/>
      <c r="IIT370" s="21"/>
      <c r="IIW370" s="21"/>
      <c r="IIX370" s="15"/>
      <c r="IIY370" s="15"/>
      <c r="IIZ370" s="15"/>
      <c r="IJA370" s="15"/>
      <c r="IJB370" s="15"/>
      <c r="IJC370" s="15"/>
      <c r="IJD370" s="15"/>
      <c r="IJE370" s="15"/>
      <c r="IJF370" s="15"/>
      <c r="IJG370" s="15"/>
      <c r="IJH370" s="10"/>
      <c r="IJI370" s="10"/>
      <c r="IJJ370" s="21"/>
      <c r="IJK370" s="21"/>
      <c r="IJN370" s="21"/>
      <c r="IJO370" s="15"/>
      <c r="IJP370" s="15"/>
      <c r="IJQ370" s="15"/>
      <c r="IJR370" s="15"/>
      <c r="IJS370" s="15"/>
      <c r="IJT370" s="15"/>
      <c r="IJU370" s="15"/>
      <c r="IJV370" s="15"/>
      <c r="IJW370" s="15"/>
      <c r="IJX370" s="15"/>
      <c r="IJY370" s="10"/>
      <c r="IJZ370" s="10"/>
      <c r="IKA370" s="21"/>
      <c r="IKB370" s="21"/>
      <c r="IKE370" s="21"/>
      <c r="IKF370" s="15"/>
      <c r="IKG370" s="15"/>
      <c r="IKH370" s="15"/>
      <c r="IKI370" s="15"/>
      <c r="IKJ370" s="15"/>
      <c r="IKK370" s="15"/>
      <c r="IKL370" s="15"/>
      <c r="IKM370" s="15"/>
      <c r="IKN370" s="15"/>
      <c r="IKO370" s="15"/>
      <c r="IKP370" s="10"/>
      <c r="IKQ370" s="10"/>
      <c r="IKR370" s="21"/>
      <c r="IKS370" s="21"/>
      <c r="IKV370" s="21"/>
      <c r="IKW370" s="15"/>
      <c r="IKX370" s="15"/>
      <c r="IKY370" s="15"/>
      <c r="IKZ370" s="15"/>
      <c r="ILA370" s="15"/>
      <c r="ILB370" s="15"/>
      <c r="ILC370" s="15"/>
      <c r="ILD370" s="15"/>
      <c r="ILE370" s="15"/>
      <c r="ILF370" s="15"/>
      <c r="ILG370" s="10"/>
      <c r="ILH370" s="10"/>
      <c r="ILI370" s="21"/>
      <c r="ILJ370" s="21"/>
      <c r="ILM370" s="21"/>
      <c r="ILN370" s="15"/>
      <c r="ILO370" s="15"/>
      <c r="ILP370" s="15"/>
      <c r="ILQ370" s="15"/>
      <c r="ILR370" s="15"/>
      <c r="ILS370" s="15"/>
      <c r="ILT370" s="15"/>
      <c r="ILU370" s="15"/>
      <c r="ILV370" s="15"/>
      <c r="ILW370" s="15"/>
      <c r="ILX370" s="10"/>
      <c r="ILY370" s="10"/>
      <c r="ILZ370" s="21"/>
      <c r="IMA370" s="21"/>
      <c r="IMD370" s="21"/>
      <c r="IME370" s="15"/>
      <c r="IMF370" s="15"/>
      <c r="IMG370" s="15"/>
      <c r="IMH370" s="15"/>
      <c r="IMI370" s="15"/>
      <c r="IMJ370" s="15"/>
      <c r="IMK370" s="15"/>
      <c r="IML370" s="15"/>
      <c r="IMM370" s="15"/>
      <c r="IMN370" s="15"/>
      <c r="IMO370" s="10"/>
      <c r="IMP370" s="10"/>
      <c r="IMQ370" s="21"/>
      <c r="IMR370" s="21"/>
      <c r="IMU370" s="21"/>
      <c r="IMV370" s="15"/>
      <c r="IMW370" s="15"/>
      <c r="IMX370" s="15"/>
      <c r="IMY370" s="15"/>
      <c r="IMZ370" s="15"/>
      <c r="INA370" s="15"/>
      <c r="INB370" s="15"/>
      <c r="INC370" s="15"/>
      <c r="IND370" s="15"/>
      <c r="INE370" s="15"/>
      <c r="INF370" s="10"/>
      <c r="ING370" s="10"/>
      <c r="INH370" s="21"/>
      <c r="INI370" s="21"/>
      <c r="INL370" s="21"/>
      <c r="INM370" s="15"/>
      <c r="INN370" s="15"/>
      <c r="INO370" s="15"/>
      <c r="INP370" s="15"/>
      <c r="INQ370" s="15"/>
      <c r="INR370" s="15"/>
      <c r="INS370" s="15"/>
      <c r="INT370" s="15"/>
      <c r="INU370" s="15"/>
      <c r="INV370" s="15"/>
      <c r="INW370" s="10"/>
      <c r="INX370" s="10"/>
      <c r="INY370" s="21"/>
      <c r="INZ370" s="21"/>
      <c r="IOC370" s="21"/>
      <c r="IOD370" s="15"/>
      <c r="IOE370" s="15"/>
      <c r="IOF370" s="15"/>
      <c r="IOG370" s="15"/>
      <c r="IOH370" s="15"/>
      <c r="IOI370" s="15"/>
      <c r="IOJ370" s="15"/>
      <c r="IOK370" s="15"/>
      <c r="IOL370" s="15"/>
      <c r="IOM370" s="15"/>
      <c r="ION370" s="10"/>
      <c r="IOO370" s="10"/>
      <c r="IOP370" s="21"/>
      <c r="IOQ370" s="21"/>
      <c r="IOT370" s="21"/>
      <c r="IOU370" s="15"/>
      <c r="IOV370" s="15"/>
      <c r="IOW370" s="15"/>
      <c r="IOX370" s="15"/>
      <c r="IOY370" s="15"/>
      <c r="IOZ370" s="15"/>
      <c r="IPA370" s="15"/>
      <c r="IPB370" s="15"/>
      <c r="IPC370" s="15"/>
      <c r="IPD370" s="15"/>
      <c r="IPE370" s="10"/>
      <c r="IPF370" s="10"/>
      <c r="IPG370" s="21"/>
      <c r="IPH370" s="21"/>
      <c r="IPK370" s="21"/>
      <c r="IPL370" s="15"/>
      <c r="IPM370" s="15"/>
      <c r="IPN370" s="15"/>
      <c r="IPO370" s="15"/>
      <c r="IPP370" s="15"/>
      <c r="IPQ370" s="15"/>
      <c r="IPR370" s="15"/>
      <c r="IPS370" s="15"/>
      <c r="IPT370" s="15"/>
      <c r="IPU370" s="15"/>
      <c r="IPV370" s="10"/>
      <c r="IPW370" s="10"/>
      <c r="IPX370" s="21"/>
      <c r="IPY370" s="21"/>
      <c r="IQB370" s="21"/>
      <c r="IQC370" s="15"/>
      <c r="IQD370" s="15"/>
      <c r="IQE370" s="15"/>
      <c r="IQF370" s="15"/>
      <c r="IQG370" s="15"/>
      <c r="IQH370" s="15"/>
      <c r="IQI370" s="15"/>
      <c r="IQJ370" s="15"/>
      <c r="IQK370" s="15"/>
      <c r="IQL370" s="15"/>
      <c r="IQM370" s="10"/>
      <c r="IQN370" s="10"/>
      <c r="IQO370" s="21"/>
      <c r="IQP370" s="21"/>
      <c r="IQS370" s="21"/>
      <c r="IQT370" s="15"/>
      <c r="IQU370" s="15"/>
      <c r="IQV370" s="15"/>
      <c r="IQW370" s="15"/>
      <c r="IQX370" s="15"/>
      <c r="IQY370" s="15"/>
      <c r="IQZ370" s="15"/>
      <c r="IRA370" s="15"/>
      <c r="IRB370" s="15"/>
      <c r="IRC370" s="15"/>
      <c r="IRD370" s="10"/>
      <c r="IRE370" s="10"/>
      <c r="IRF370" s="21"/>
      <c r="IRG370" s="21"/>
      <c r="IRJ370" s="21"/>
      <c r="IRK370" s="15"/>
      <c r="IRL370" s="15"/>
      <c r="IRM370" s="15"/>
      <c r="IRN370" s="15"/>
      <c r="IRO370" s="15"/>
      <c r="IRP370" s="15"/>
      <c r="IRQ370" s="15"/>
      <c r="IRR370" s="15"/>
      <c r="IRS370" s="15"/>
      <c r="IRT370" s="15"/>
      <c r="IRU370" s="10"/>
      <c r="IRV370" s="10"/>
      <c r="IRW370" s="21"/>
      <c r="IRX370" s="21"/>
      <c r="ISA370" s="21"/>
      <c r="ISB370" s="15"/>
      <c r="ISC370" s="15"/>
      <c r="ISD370" s="15"/>
      <c r="ISE370" s="15"/>
      <c r="ISF370" s="15"/>
      <c r="ISG370" s="15"/>
      <c r="ISH370" s="15"/>
      <c r="ISI370" s="15"/>
      <c r="ISJ370" s="15"/>
      <c r="ISK370" s="15"/>
      <c r="ISL370" s="10"/>
      <c r="ISM370" s="10"/>
      <c r="ISN370" s="21"/>
      <c r="ISO370" s="21"/>
      <c r="ISR370" s="21"/>
      <c r="ISS370" s="15"/>
      <c r="IST370" s="15"/>
      <c r="ISU370" s="15"/>
      <c r="ISV370" s="15"/>
      <c r="ISW370" s="15"/>
      <c r="ISX370" s="15"/>
      <c r="ISY370" s="15"/>
      <c r="ISZ370" s="15"/>
      <c r="ITA370" s="15"/>
      <c r="ITB370" s="15"/>
      <c r="ITC370" s="10"/>
      <c r="ITD370" s="10"/>
      <c r="ITE370" s="21"/>
      <c r="ITF370" s="21"/>
      <c r="ITI370" s="21"/>
      <c r="ITJ370" s="15"/>
      <c r="ITK370" s="15"/>
      <c r="ITL370" s="15"/>
      <c r="ITM370" s="15"/>
      <c r="ITN370" s="15"/>
      <c r="ITO370" s="15"/>
      <c r="ITP370" s="15"/>
      <c r="ITQ370" s="15"/>
      <c r="ITR370" s="15"/>
      <c r="ITS370" s="15"/>
      <c r="ITT370" s="10"/>
      <c r="ITU370" s="10"/>
      <c r="ITV370" s="21"/>
      <c r="ITW370" s="21"/>
      <c r="ITZ370" s="21"/>
      <c r="IUA370" s="15"/>
      <c r="IUB370" s="15"/>
      <c r="IUC370" s="15"/>
      <c r="IUD370" s="15"/>
      <c r="IUE370" s="15"/>
      <c r="IUF370" s="15"/>
      <c r="IUG370" s="15"/>
      <c r="IUH370" s="15"/>
      <c r="IUI370" s="15"/>
      <c r="IUJ370" s="15"/>
      <c r="IUK370" s="10"/>
      <c r="IUL370" s="10"/>
      <c r="IUM370" s="21"/>
      <c r="IUN370" s="21"/>
      <c r="IUQ370" s="21"/>
      <c r="IUR370" s="15"/>
      <c r="IUS370" s="15"/>
      <c r="IUT370" s="15"/>
      <c r="IUU370" s="15"/>
      <c r="IUV370" s="15"/>
      <c r="IUW370" s="15"/>
      <c r="IUX370" s="15"/>
      <c r="IUY370" s="15"/>
      <c r="IUZ370" s="15"/>
      <c r="IVA370" s="15"/>
      <c r="IVB370" s="10"/>
      <c r="IVC370" s="10"/>
      <c r="IVD370" s="21"/>
      <c r="IVE370" s="21"/>
      <c r="IVH370" s="21"/>
      <c r="IVI370" s="15"/>
      <c r="IVJ370" s="15"/>
      <c r="IVK370" s="15"/>
      <c r="IVL370" s="15"/>
      <c r="IVM370" s="15"/>
      <c r="IVN370" s="15"/>
      <c r="IVO370" s="15"/>
      <c r="IVP370" s="15"/>
      <c r="IVQ370" s="15"/>
      <c r="IVR370" s="15"/>
      <c r="IVS370" s="10"/>
      <c r="IVT370" s="10"/>
      <c r="IVU370" s="21"/>
      <c r="IVV370" s="21"/>
      <c r="IVY370" s="21"/>
      <c r="IVZ370" s="15"/>
      <c r="IWA370" s="15"/>
      <c r="IWB370" s="15"/>
      <c r="IWC370" s="15"/>
      <c r="IWD370" s="15"/>
      <c r="IWE370" s="15"/>
      <c r="IWF370" s="15"/>
      <c r="IWG370" s="15"/>
      <c r="IWH370" s="15"/>
      <c r="IWI370" s="15"/>
      <c r="IWJ370" s="10"/>
      <c r="IWK370" s="10"/>
      <c r="IWL370" s="21"/>
      <c r="IWM370" s="21"/>
      <c r="IWP370" s="21"/>
      <c r="IWQ370" s="15"/>
      <c r="IWR370" s="15"/>
      <c r="IWS370" s="15"/>
      <c r="IWT370" s="15"/>
      <c r="IWU370" s="15"/>
      <c r="IWV370" s="15"/>
      <c r="IWW370" s="15"/>
      <c r="IWX370" s="15"/>
      <c r="IWY370" s="15"/>
      <c r="IWZ370" s="15"/>
      <c r="IXA370" s="10"/>
      <c r="IXB370" s="10"/>
      <c r="IXC370" s="21"/>
      <c r="IXD370" s="21"/>
      <c r="IXG370" s="21"/>
      <c r="IXH370" s="15"/>
      <c r="IXI370" s="15"/>
      <c r="IXJ370" s="15"/>
      <c r="IXK370" s="15"/>
      <c r="IXL370" s="15"/>
      <c r="IXM370" s="15"/>
      <c r="IXN370" s="15"/>
      <c r="IXO370" s="15"/>
      <c r="IXP370" s="15"/>
      <c r="IXQ370" s="15"/>
      <c r="IXR370" s="10"/>
      <c r="IXS370" s="10"/>
      <c r="IXT370" s="21"/>
      <c r="IXU370" s="21"/>
      <c r="IXX370" s="21"/>
      <c r="IXY370" s="15"/>
      <c r="IXZ370" s="15"/>
      <c r="IYA370" s="15"/>
      <c r="IYB370" s="15"/>
      <c r="IYC370" s="15"/>
      <c r="IYD370" s="15"/>
      <c r="IYE370" s="15"/>
      <c r="IYF370" s="15"/>
      <c r="IYG370" s="15"/>
      <c r="IYH370" s="15"/>
      <c r="IYI370" s="10"/>
      <c r="IYJ370" s="10"/>
      <c r="IYK370" s="21"/>
      <c r="IYL370" s="21"/>
      <c r="IYO370" s="21"/>
      <c r="IYP370" s="15"/>
      <c r="IYQ370" s="15"/>
      <c r="IYR370" s="15"/>
      <c r="IYS370" s="15"/>
      <c r="IYT370" s="15"/>
      <c r="IYU370" s="15"/>
      <c r="IYV370" s="15"/>
      <c r="IYW370" s="15"/>
      <c r="IYX370" s="15"/>
      <c r="IYY370" s="15"/>
      <c r="IYZ370" s="10"/>
      <c r="IZA370" s="10"/>
      <c r="IZB370" s="21"/>
      <c r="IZC370" s="21"/>
      <c r="IZF370" s="21"/>
      <c r="IZG370" s="15"/>
      <c r="IZH370" s="15"/>
      <c r="IZI370" s="15"/>
      <c r="IZJ370" s="15"/>
      <c r="IZK370" s="15"/>
      <c r="IZL370" s="15"/>
      <c r="IZM370" s="15"/>
      <c r="IZN370" s="15"/>
      <c r="IZO370" s="15"/>
      <c r="IZP370" s="15"/>
      <c r="IZQ370" s="10"/>
      <c r="IZR370" s="10"/>
      <c r="IZS370" s="21"/>
      <c r="IZT370" s="21"/>
      <c r="IZW370" s="21"/>
      <c r="IZX370" s="15"/>
      <c r="IZY370" s="15"/>
      <c r="IZZ370" s="15"/>
      <c r="JAA370" s="15"/>
      <c r="JAB370" s="15"/>
      <c r="JAC370" s="15"/>
      <c r="JAD370" s="15"/>
      <c r="JAE370" s="15"/>
      <c r="JAF370" s="15"/>
      <c r="JAG370" s="15"/>
      <c r="JAH370" s="10"/>
      <c r="JAI370" s="10"/>
      <c r="JAJ370" s="21"/>
      <c r="JAK370" s="21"/>
      <c r="JAN370" s="21"/>
      <c r="JAO370" s="15"/>
      <c r="JAP370" s="15"/>
      <c r="JAQ370" s="15"/>
      <c r="JAR370" s="15"/>
      <c r="JAS370" s="15"/>
      <c r="JAT370" s="15"/>
      <c r="JAU370" s="15"/>
      <c r="JAV370" s="15"/>
      <c r="JAW370" s="15"/>
      <c r="JAX370" s="15"/>
      <c r="JAY370" s="10"/>
      <c r="JAZ370" s="10"/>
      <c r="JBA370" s="21"/>
      <c r="JBB370" s="21"/>
      <c r="JBE370" s="21"/>
      <c r="JBF370" s="15"/>
      <c r="JBG370" s="15"/>
      <c r="JBH370" s="15"/>
      <c r="JBI370" s="15"/>
      <c r="JBJ370" s="15"/>
      <c r="JBK370" s="15"/>
      <c r="JBL370" s="15"/>
      <c r="JBM370" s="15"/>
      <c r="JBN370" s="15"/>
      <c r="JBO370" s="15"/>
      <c r="JBP370" s="10"/>
      <c r="JBQ370" s="10"/>
      <c r="JBR370" s="21"/>
      <c r="JBS370" s="21"/>
      <c r="JBV370" s="21"/>
      <c r="JBW370" s="15"/>
      <c r="JBX370" s="15"/>
      <c r="JBY370" s="15"/>
      <c r="JBZ370" s="15"/>
      <c r="JCA370" s="15"/>
      <c r="JCB370" s="15"/>
      <c r="JCC370" s="15"/>
      <c r="JCD370" s="15"/>
      <c r="JCE370" s="15"/>
      <c r="JCF370" s="15"/>
      <c r="JCG370" s="10"/>
      <c r="JCH370" s="10"/>
      <c r="JCI370" s="21"/>
      <c r="JCJ370" s="21"/>
      <c r="JCM370" s="21"/>
      <c r="JCN370" s="15"/>
      <c r="JCO370" s="15"/>
      <c r="JCP370" s="15"/>
      <c r="JCQ370" s="15"/>
      <c r="JCR370" s="15"/>
      <c r="JCS370" s="15"/>
      <c r="JCT370" s="15"/>
      <c r="JCU370" s="15"/>
      <c r="JCV370" s="15"/>
      <c r="JCW370" s="15"/>
      <c r="JCX370" s="10"/>
      <c r="JCY370" s="10"/>
      <c r="JCZ370" s="21"/>
      <c r="JDA370" s="21"/>
      <c r="JDD370" s="21"/>
      <c r="JDE370" s="15"/>
      <c r="JDF370" s="15"/>
      <c r="JDG370" s="15"/>
      <c r="JDH370" s="15"/>
      <c r="JDI370" s="15"/>
      <c r="JDJ370" s="15"/>
      <c r="JDK370" s="15"/>
      <c r="JDL370" s="15"/>
      <c r="JDM370" s="15"/>
      <c r="JDN370" s="15"/>
      <c r="JDO370" s="10"/>
      <c r="JDP370" s="10"/>
      <c r="JDQ370" s="21"/>
      <c r="JDR370" s="21"/>
      <c r="JDU370" s="21"/>
      <c r="JDV370" s="15"/>
      <c r="JDW370" s="15"/>
      <c r="JDX370" s="15"/>
      <c r="JDY370" s="15"/>
      <c r="JDZ370" s="15"/>
      <c r="JEA370" s="15"/>
      <c r="JEB370" s="15"/>
      <c r="JEC370" s="15"/>
      <c r="JED370" s="15"/>
      <c r="JEE370" s="15"/>
      <c r="JEF370" s="10"/>
      <c r="JEG370" s="10"/>
      <c r="JEH370" s="21"/>
      <c r="JEI370" s="21"/>
      <c r="JEL370" s="21"/>
      <c r="JEM370" s="15"/>
      <c r="JEN370" s="15"/>
      <c r="JEO370" s="15"/>
      <c r="JEP370" s="15"/>
      <c r="JEQ370" s="15"/>
      <c r="JER370" s="15"/>
      <c r="JES370" s="15"/>
      <c r="JET370" s="15"/>
      <c r="JEU370" s="15"/>
      <c r="JEV370" s="15"/>
      <c r="JEW370" s="10"/>
      <c r="JEX370" s="10"/>
      <c r="JEY370" s="21"/>
      <c r="JEZ370" s="21"/>
      <c r="JFC370" s="21"/>
      <c r="JFD370" s="15"/>
      <c r="JFE370" s="15"/>
      <c r="JFF370" s="15"/>
      <c r="JFG370" s="15"/>
      <c r="JFH370" s="15"/>
      <c r="JFI370" s="15"/>
      <c r="JFJ370" s="15"/>
      <c r="JFK370" s="15"/>
      <c r="JFL370" s="15"/>
      <c r="JFM370" s="15"/>
      <c r="JFN370" s="10"/>
      <c r="JFO370" s="10"/>
      <c r="JFP370" s="21"/>
      <c r="JFQ370" s="21"/>
      <c r="JFT370" s="21"/>
      <c r="JFU370" s="15"/>
      <c r="JFV370" s="15"/>
      <c r="JFW370" s="15"/>
      <c r="JFX370" s="15"/>
      <c r="JFY370" s="15"/>
      <c r="JFZ370" s="15"/>
      <c r="JGA370" s="15"/>
      <c r="JGB370" s="15"/>
      <c r="JGC370" s="15"/>
      <c r="JGD370" s="15"/>
      <c r="JGE370" s="10"/>
      <c r="JGF370" s="10"/>
      <c r="JGG370" s="21"/>
      <c r="JGH370" s="21"/>
      <c r="JGK370" s="21"/>
      <c r="JGL370" s="15"/>
      <c r="JGM370" s="15"/>
      <c r="JGN370" s="15"/>
      <c r="JGO370" s="15"/>
      <c r="JGP370" s="15"/>
      <c r="JGQ370" s="15"/>
      <c r="JGR370" s="15"/>
      <c r="JGS370" s="15"/>
      <c r="JGT370" s="15"/>
      <c r="JGU370" s="15"/>
      <c r="JGV370" s="10"/>
      <c r="JGW370" s="10"/>
      <c r="JGX370" s="21"/>
      <c r="JGY370" s="21"/>
      <c r="JHB370" s="21"/>
      <c r="JHC370" s="15"/>
      <c r="JHD370" s="15"/>
      <c r="JHE370" s="15"/>
      <c r="JHF370" s="15"/>
      <c r="JHG370" s="15"/>
      <c r="JHH370" s="15"/>
      <c r="JHI370" s="15"/>
      <c r="JHJ370" s="15"/>
      <c r="JHK370" s="15"/>
      <c r="JHL370" s="15"/>
      <c r="JHM370" s="10"/>
      <c r="JHN370" s="10"/>
      <c r="JHO370" s="21"/>
      <c r="JHP370" s="21"/>
      <c r="JHS370" s="21"/>
      <c r="JHT370" s="15"/>
      <c r="JHU370" s="15"/>
      <c r="JHV370" s="15"/>
      <c r="JHW370" s="15"/>
      <c r="JHX370" s="15"/>
      <c r="JHY370" s="15"/>
      <c r="JHZ370" s="15"/>
      <c r="JIA370" s="15"/>
      <c r="JIB370" s="15"/>
      <c r="JIC370" s="15"/>
      <c r="JID370" s="10"/>
      <c r="JIE370" s="10"/>
      <c r="JIF370" s="21"/>
      <c r="JIG370" s="21"/>
      <c r="JIJ370" s="21"/>
      <c r="JIK370" s="15"/>
      <c r="JIL370" s="15"/>
      <c r="JIM370" s="15"/>
      <c r="JIN370" s="15"/>
      <c r="JIO370" s="15"/>
      <c r="JIP370" s="15"/>
      <c r="JIQ370" s="15"/>
      <c r="JIR370" s="15"/>
      <c r="JIS370" s="15"/>
      <c r="JIT370" s="15"/>
      <c r="JIU370" s="10"/>
      <c r="JIV370" s="10"/>
      <c r="JIW370" s="21"/>
      <c r="JIX370" s="21"/>
      <c r="JJA370" s="21"/>
      <c r="JJB370" s="15"/>
      <c r="JJC370" s="15"/>
      <c r="JJD370" s="15"/>
      <c r="JJE370" s="15"/>
      <c r="JJF370" s="15"/>
      <c r="JJG370" s="15"/>
      <c r="JJH370" s="15"/>
      <c r="JJI370" s="15"/>
      <c r="JJJ370" s="15"/>
      <c r="JJK370" s="15"/>
      <c r="JJL370" s="10"/>
      <c r="JJM370" s="10"/>
      <c r="JJN370" s="21"/>
      <c r="JJO370" s="21"/>
      <c r="JJR370" s="21"/>
      <c r="JJS370" s="15"/>
      <c r="JJT370" s="15"/>
      <c r="JJU370" s="15"/>
      <c r="JJV370" s="15"/>
      <c r="JJW370" s="15"/>
      <c r="JJX370" s="15"/>
      <c r="JJY370" s="15"/>
      <c r="JJZ370" s="15"/>
      <c r="JKA370" s="15"/>
      <c r="JKB370" s="15"/>
      <c r="JKC370" s="10"/>
      <c r="JKD370" s="10"/>
      <c r="JKE370" s="21"/>
      <c r="JKF370" s="21"/>
      <c r="JKI370" s="21"/>
      <c r="JKJ370" s="15"/>
      <c r="JKK370" s="15"/>
      <c r="JKL370" s="15"/>
      <c r="JKM370" s="15"/>
      <c r="JKN370" s="15"/>
      <c r="JKO370" s="15"/>
      <c r="JKP370" s="15"/>
      <c r="JKQ370" s="15"/>
      <c r="JKR370" s="15"/>
      <c r="JKS370" s="15"/>
      <c r="JKT370" s="10"/>
      <c r="JKU370" s="10"/>
      <c r="JKV370" s="21"/>
      <c r="JKW370" s="21"/>
      <c r="JKZ370" s="21"/>
      <c r="JLA370" s="15"/>
      <c r="JLB370" s="15"/>
      <c r="JLC370" s="15"/>
      <c r="JLD370" s="15"/>
      <c r="JLE370" s="15"/>
      <c r="JLF370" s="15"/>
      <c r="JLG370" s="15"/>
      <c r="JLH370" s="15"/>
      <c r="JLI370" s="15"/>
      <c r="JLJ370" s="15"/>
      <c r="JLK370" s="10"/>
      <c r="JLL370" s="10"/>
      <c r="JLM370" s="21"/>
      <c r="JLN370" s="21"/>
      <c r="JLQ370" s="21"/>
      <c r="JLR370" s="15"/>
      <c r="JLS370" s="15"/>
      <c r="JLT370" s="15"/>
      <c r="JLU370" s="15"/>
      <c r="JLV370" s="15"/>
      <c r="JLW370" s="15"/>
      <c r="JLX370" s="15"/>
      <c r="JLY370" s="15"/>
      <c r="JLZ370" s="15"/>
      <c r="JMA370" s="15"/>
      <c r="JMB370" s="10"/>
      <c r="JMC370" s="10"/>
      <c r="JMD370" s="21"/>
      <c r="JME370" s="21"/>
      <c r="JMH370" s="21"/>
      <c r="JMI370" s="15"/>
      <c r="JMJ370" s="15"/>
      <c r="JMK370" s="15"/>
      <c r="JML370" s="15"/>
      <c r="JMM370" s="15"/>
      <c r="JMN370" s="15"/>
      <c r="JMO370" s="15"/>
      <c r="JMP370" s="15"/>
      <c r="JMQ370" s="15"/>
      <c r="JMR370" s="15"/>
      <c r="JMS370" s="10"/>
      <c r="JMT370" s="10"/>
      <c r="JMU370" s="21"/>
      <c r="JMV370" s="21"/>
      <c r="JMY370" s="21"/>
      <c r="JMZ370" s="15"/>
      <c r="JNA370" s="15"/>
      <c r="JNB370" s="15"/>
      <c r="JNC370" s="15"/>
      <c r="JND370" s="15"/>
      <c r="JNE370" s="15"/>
      <c r="JNF370" s="15"/>
      <c r="JNG370" s="15"/>
      <c r="JNH370" s="15"/>
      <c r="JNI370" s="15"/>
      <c r="JNJ370" s="10"/>
      <c r="JNK370" s="10"/>
      <c r="JNL370" s="21"/>
      <c r="JNM370" s="21"/>
      <c r="JNP370" s="21"/>
      <c r="JNQ370" s="15"/>
      <c r="JNR370" s="15"/>
      <c r="JNS370" s="15"/>
      <c r="JNT370" s="15"/>
      <c r="JNU370" s="15"/>
      <c r="JNV370" s="15"/>
      <c r="JNW370" s="15"/>
      <c r="JNX370" s="15"/>
      <c r="JNY370" s="15"/>
      <c r="JNZ370" s="15"/>
      <c r="JOA370" s="10"/>
      <c r="JOB370" s="10"/>
      <c r="JOC370" s="21"/>
      <c r="JOD370" s="21"/>
      <c r="JOG370" s="21"/>
      <c r="JOH370" s="15"/>
      <c r="JOI370" s="15"/>
      <c r="JOJ370" s="15"/>
      <c r="JOK370" s="15"/>
      <c r="JOL370" s="15"/>
      <c r="JOM370" s="15"/>
      <c r="JON370" s="15"/>
      <c r="JOO370" s="15"/>
      <c r="JOP370" s="15"/>
      <c r="JOQ370" s="15"/>
      <c r="JOR370" s="10"/>
      <c r="JOS370" s="10"/>
      <c r="JOT370" s="21"/>
      <c r="JOU370" s="21"/>
      <c r="JOX370" s="21"/>
      <c r="JOY370" s="15"/>
      <c r="JOZ370" s="15"/>
      <c r="JPA370" s="15"/>
      <c r="JPB370" s="15"/>
      <c r="JPC370" s="15"/>
      <c r="JPD370" s="15"/>
      <c r="JPE370" s="15"/>
      <c r="JPF370" s="15"/>
      <c r="JPG370" s="15"/>
      <c r="JPH370" s="15"/>
      <c r="JPI370" s="10"/>
      <c r="JPJ370" s="10"/>
      <c r="JPK370" s="21"/>
      <c r="JPL370" s="21"/>
      <c r="JPO370" s="21"/>
      <c r="JPP370" s="15"/>
      <c r="JPQ370" s="15"/>
      <c r="JPR370" s="15"/>
      <c r="JPS370" s="15"/>
      <c r="JPT370" s="15"/>
      <c r="JPU370" s="15"/>
      <c r="JPV370" s="15"/>
      <c r="JPW370" s="15"/>
      <c r="JPX370" s="15"/>
      <c r="JPY370" s="15"/>
      <c r="JPZ370" s="10"/>
      <c r="JQA370" s="10"/>
      <c r="JQB370" s="21"/>
      <c r="JQC370" s="21"/>
      <c r="JQF370" s="21"/>
      <c r="JQG370" s="15"/>
      <c r="JQH370" s="15"/>
      <c r="JQI370" s="15"/>
      <c r="JQJ370" s="15"/>
      <c r="JQK370" s="15"/>
      <c r="JQL370" s="15"/>
      <c r="JQM370" s="15"/>
      <c r="JQN370" s="15"/>
      <c r="JQO370" s="15"/>
      <c r="JQP370" s="15"/>
      <c r="JQQ370" s="10"/>
      <c r="JQR370" s="10"/>
      <c r="JQS370" s="21"/>
      <c r="JQT370" s="21"/>
      <c r="JQW370" s="21"/>
      <c r="JQX370" s="15"/>
      <c r="JQY370" s="15"/>
      <c r="JQZ370" s="15"/>
      <c r="JRA370" s="15"/>
      <c r="JRB370" s="15"/>
      <c r="JRC370" s="15"/>
      <c r="JRD370" s="15"/>
      <c r="JRE370" s="15"/>
      <c r="JRF370" s="15"/>
      <c r="JRG370" s="15"/>
      <c r="JRH370" s="10"/>
      <c r="JRI370" s="10"/>
      <c r="JRJ370" s="21"/>
      <c r="JRK370" s="21"/>
      <c r="JRN370" s="21"/>
      <c r="JRO370" s="15"/>
      <c r="JRP370" s="15"/>
      <c r="JRQ370" s="15"/>
      <c r="JRR370" s="15"/>
      <c r="JRS370" s="15"/>
      <c r="JRT370" s="15"/>
      <c r="JRU370" s="15"/>
      <c r="JRV370" s="15"/>
      <c r="JRW370" s="15"/>
      <c r="JRX370" s="15"/>
      <c r="JRY370" s="10"/>
      <c r="JRZ370" s="10"/>
      <c r="JSA370" s="21"/>
      <c r="JSB370" s="21"/>
      <c r="JSE370" s="21"/>
      <c r="JSF370" s="15"/>
      <c r="JSG370" s="15"/>
      <c r="JSH370" s="15"/>
      <c r="JSI370" s="15"/>
      <c r="JSJ370" s="15"/>
      <c r="JSK370" s="15"/>
      <c r="JSL370" s="15"/>
      <c r="JSM370" s="15"/>
      <c r="JSN370" s="15"/>
      <c r="JSO370" s="15"/>
      <c r="JSP370" s="10"/>
      <c r="JSQ370" s="10"/>
      <c r="JSR370" s="21"/>
      <c r="JSS370" s="21"/>
      <c r="JSV370" s="21"/>
      <c r="JSW370" s="15"/>
      <c r="JSX370" s="15"/>
      <c r="JSY370" s="15"/>
      <c r="JSZ370" s="15"/>
      <c r="JTA370" s="15"/>
      <c r="JTB370" s="15"/>
      <c r="JTC370" s="15"/>
      <c r="JTD370" s="15"/>
      <c r="JTE370" s="15"/>
      <c r="JTF370" s="15"/>
      <c r="JTG370" s="10"/>
      <c r="JTH370" s="10"/>
      <c r="JTI370" s="21"/>
      <c r="JTJ370" s="21"/>
      <c r="JTM370" s="21"/>
      <c r="JTN370" s="15"/>
      <c r="JTO370" s="15"/>
      <c r="JTP370" s="15"/>
      <c r="JTQ370" s="15"/>
      <c r="JTR370" s="15"/>
      <c r="JTS370" s="15"/>
      <c r="JTT370" s="15"/>
      <c r="JTU370" s="15"/>
      <c r="JTV370" s="15"/>
      <c r="JTW370" s="15"/>
      <c r="JTX370" s="10"/>
      <c r="JTY370" s="10"/>
      <c r="JTZ370" s="21"/>
      <c r="JUA370" s="21"/>
      <c r="JUD370" s="21"/>
      <c r="JUE370" s="15"/>
      <c r="JUF370" s="15"/>
      <c r="JUG370" s="15"/>
      <c r="JUH370" s="15"/>
      <c r="JUI370" s="15"/>
      <c r="JUJ370" s="15"/>
      <c r="JUK370" s="15"/>
      <c r="JUL370" s="15"/>
      <c r="JUM370" s="15"/>
      <c r="JUN370" s="15"/>
      <c r="JUO370" s="10"/>
      <c r="JUP370" s="10"/>
      <c r="JUQ370" s="21"/>
      <c r="JUR370" s="21"/>
      <c r="JUU370" s="21"/>
      <c r="JUV370" s="15"/>
      <c r="JUW370" s="15"/>
      <c r="JUX370" s="15"/>
      <c r="JUY370" s="15"/>
      <c r="JUZ370" s="15"/>
      <c r="JVA370" s="15"/>
      <c r="JVB370" s="15"/>
      <c r="JVC370" s="15"/>
      <c r="JVD370" s="15"/>
      <c r="JVE370" s="15"/>
      <c r="JVF370" s="10"/>
      <c r="JVG370" s="10"/>
      <c r="JVH370" s="21"/>
      <c r="JVI370" s="21"/>
      <c r="JVL370" s="21"/>
      <c r="JVM370" s="15"/>
      <c r="JVN370" s="15"/>
      <c r="JVO370" s="15"/>
      <c r="JVP370" s="15"/>
      <c r="JVQ370" s="15"/>
      <c r="JVR370" s="15"/>
      <c r="JVS370" s="15"/>
      <c r="JVT370" s="15"/>
      <c r="JVU370" s="15"/>
      <c r="JVV370" s="15"/>
      <c r="JVW370" s="10"/>
      <c r="JVX370" s="10"/>
      <c r="JVY370" s="21"/>
      <c r="JVZ370" s="21"/>
      <c r="JWC370" s="21"/>
      <c r="JWD370" s="15"/>
      <c r="JWE370" s="15"/>
      <c r="JWF370" s="15"/>
      <c r="JWG370" s="15"/>
      <c r="JWH370" s="15"/>
      <c r="JWI370" s="15"/>
      <c r="JWJ370" s="15"/>
      <c r="JWK370" s="15"/>
      <c r="JWL370" s="15"/>
      <c r="JWM370" s="15"/>
      <c r="JWN370" s="10"/>
      <c r="JWO370" s="10"/>
      <c r="JWP370" s="21"/>
      <c r="JWQ370" s="21"/>
      <c r="JWT370" s="21"/>
      <c r="JWU370" s="15"/>
      <c r="JWV370" s="15"/>
      <c r="JWW370" s="15"/>
      <c r="JWX370" s="15"/>
      <c r="JWY370" s="15"/>
      <c r="JWZ370" s="15"/>
      <c r="JXA370" s="15"/>
      <c r="JXB370" s="15"/>
      <c r="JXC370" s="15"/>
      <c r="JXD370" s="15"/>
      <c r="JXE370" s="10"/>
      <c r="JXF370" s="10"/>
      <c r="JXG370" s="21"/>
      <c r="JXH370" s="21"/>
      <c r="JXK370" s="21"/>
      <c r="JXL370" s="15"/>
      <c r="JXM370" s="15"/>
      <c r="JXN370" s="15"/>
      <c r="JXO370" s="15"/>
      <c r="JXP370" s="15"/>
      <c r="JXQ370" s="15"/>
      <c r="JXR370" s="15"/>
      <c r="JXS370" s="15"/>
      <c r="JXT370" s="15"/>
      <c r="JXU370" s="15"/>
      <c r="JXV370" s="10"/>
      <c r="JXW370" s="10"/>
      <c r="JXX370" s="21"/>
      <c r="JXY370" s="21"/>
      <c r="JYB370" s="21"/>
      <c r="JYC370" s="15"/>
      <c r="JYD370" s="15"/>
      <c r="JYE370" s="15"/>
      <c r="JYF370" s="15"/>
      <c r="JYG370" s="15"/>
      <c r="JYH370" s="15"/>
      <c r="JYI370" s="15"/>
      <c r="JYJ370" s="15"/>
      <c r="JYK370" s="15"/>
      <c r="JYL370" s="15"/>
      <c r="JYM370" s="10"/>
      <c r="JYN370" s="10"/>
      <c r="JYO370" s="21"/>
      <c r="JYP370" s="21"/>
      <c r="JYS370" s="21"/>
      <c r="JYT370" s="15"/>
      <c r="JYU370" s="15"/>
      <c r="JYV370" s="15"/>
      <c r="JYW370" s="15"/>
      <c r="JYX370" s="15"/>
      <c r="JYY370" s="15"/>
      <c r="JYZ370" s="15"/>
      <c r="JZA370" s="15"/>
      <c r="JZB370" s="15"/>
      <c r="JZC370" s="15"/>
      <c r="JZD370" s="10"/>
      <c r="JZE370" s="10"/>
      <c r="JZF370" s="21"/>
      <c r="JZG370" s="21"/>
      <c r="JZJ370" s="21"/>
      <c r="JZK370" s="15"/>
      <c r="JZL370" s="15"/>
      <c r="JZM370" s="15"/>
      <c r="JZN370" s="15"/>
      <c r="JZO370" s="15"/>
      <c r="JZP370" s="15"/>
      <c r="JZQ370" s="15"/>
      <c r="JZR370" s="15"/>
      <c r="JZS370" s="15"/>
      <c r="JZT370" s="15"/>
      <c r="JZU370" s="10"/>
      <c r="JZV370" s="10"/>
      <c r="JZW370" s="21"/>
      <c r="JZX370" s="21"/>
      <c r="KAA370" s="21"/>
      <c r="KAB370" s="15"/>
      <c r="KAC370" s="15"/>
      <c r="KAD370" s="15"/>
      <c r="KAE370" s="15"/>
      <c r="KAF370" s="15"/>
      <c r="KAG370" s="15"/>
      <c r="KAH370" s="15"/>
      <c r="KAI370" s="15"/>
      <c r="KAJ370" s="15"/>
      <c r="KAK370" s="15"/>
      <c r="KAL370" s="10"/>
      <c r="KAM370" s="10"/>
      <c r="KAN370" s="21"/>
      <c r="KAO370" s="21"/>
      <c r="KAR370" s="21"/>
      <c r="KAS370" s="15"/>
      <c r="KAT370" s="15"/>
      <c r="KAU370" s="15"/>
      <c r="KAV370" s="15"/>
      <c r="KAW370" s="15"/>
      <c r="KAX370" s="15"/>
      <c r="KAY370" s="15"/>
      <c r="KAZ370" s="15"/>
      <c r="KBA370" s="15"/>
      <c r="KBB370" s="15"/>
      <c r="KBC370" s="10"/>
      <c r="KBD370" s="10"/>
      <c r="KBE370" s="21"/>
      <c r="KBF370" s="21"/>
      <c r="KBI370" s="21"/>
      <c r="KBJ370" s="15"/>
      <c r="KBK370" s="15"/>
      <c r="KBL370" s="15"/>
      <c r="KBM370" s="15"/>
      <c r="KBN370" s="15"/>
      <c r="KBO370" s="15"/>
      <c r="KBP370" s="15"/>
      <c r="KBQ370" s="15"/>
      <c r="KBR370" s="15"/>
      <c r="KBS370" s="15"/>
      <c r="KBT370" s="10"/>
      <c r="KBU370" s="10"/>
      <c r="KBV370" s="21"/>
      <c r="KBW370" s="21"/>
      <c r="KBZ370" s="21"/>
      <c r="KCA370" s="15"/>
      <c r="KCB370" s="15"/>
      <c r="KCC370" s="15"/>
      <c r="KCD370" s="15"/>
      <c r="KCE370" s="15"/>
      <c r="KCF370" s="15"/>
      <c r="KCG370" s="15"/>
      <c r="KCH370" s="15"/>
      <c r="KCI370" s="15"/>
      <c r="KCJ370" s="15"/>
      <c r="KCK370" s="10"/>
      <c r="KCL370" s="10"/>
      <c r="KCM370" s="21"/>
      <c r="KCN370" s="21"/>
      <c r="KCQ370" s="21"/>
      <c r="KCR370" s="15"/>
      <c r="KCS370" s="15"/>
      <c r="KCT370" s="15"/>
      <c r="KCU370" s="15"/>
      <c r="KCV370" s="15"/>
      <c r="KCW370" s="15"/>
      <c r="KCX370" s="15"/>
      <c r="KCY370" s="15"/>
      <c r="KCZ370" s="15"/>
      <c r="KDA370" s="15"/>
      <c r="KDB370" s="10"/>
      <c r="KDC370" s="10"/>
      <c r="KDD370" s="21"/>
      <c r="KDE370" s="21"/>
      <c r="KDH370" s="21"/>
      <c r="KDI370" s="15"/>
      <c r="KDJ370" s="15"/>
      <c r="KDK370" s="15"/>
      <c r="KDL370" s="15"/>
      <c r="KDM370" s="15"/>
      <c r="KDN370" s="15"/>
      <c r="KDO370" s="15"/>
      <c r="KDP370" s="15"/>
      <c r="KDQ370" s="15"/>
      <c r="KDR370" s="15"/>
      <c r="KDS370" s="10"/>
      <c r="KDT370" s="10"/>
      <c r="KDU370" s="21"/>
      <c r="KDV370" s="21"/>
      <c r="KDY370" s="21"/>
      <c r="KDZ370" s="15"/>
      <c r="KEA370" s="15"/>
      <c r="KEB370" s="15"/>
      <c r="KEC370" s="15"/>
      <c r="KED370" s="15"/>
      <c r="KEE370" s="15"/>
      <c r="KEF370" s="15"/>
      <c r="KEG370" s="15"/>
      <c r="KEH370" s="15"/>
      <c r="KEI370" s="15"/>
      <c r="KEJ370" s="10"/>
      <c r="KEK370" s="10"/>
      <c r="KEL370" s="21"/>
      <c r="KEM370" s="21"/>
      <c r="KEP370" s="21"/>
      <c r="KEQ370" s="15"/>
      <c r="KER370" s="15"/>
      <c r="KES370" s="15"/>
      <c r="KET370" s="15"/>
      <c r="KEU370" s="15"/>
      <c r="KEV370" s="15"/>
      <c r="KEW370" s="15"/>
      <c r="KEX370" s="15"/>
      <c r="KEY370" s="15"/>
      <c r="KEZ370" s="15"/>
      <c r="KFA370" s="10"/>
      <c r="KFB370" s="10"/>
      <c r="KFC370" s="21"/>
      <c r="KFD370" s="21"/>
      <c r="KFG370" s="21"/>
      <c r="KFH370" s="15"/>
      <c r="KFI370" s="15"/>
      <c r="KFJ370" s="15"/>
      <c r="KFK370" s="15"/>
      <c r="KFL370" s="15"/>
      <c r="KFM370" s="15"/>
      <c r="KFN370" s="15"/>
      <c r="KFO370" s="15"/>
      <c r="KFP370" s="15"/>
      <c r="KFQ370" s="15"/>
      <c r="KFR370" s="10"/>
      <c r="KFS370" s="10"/>
      <c r="KFT370" s="21"/>
      <c r="KFU370" s="21"/>
      <c r="KFX370" s="21"/>
      <c r="KFY370" s="15"/>
      <c r="KFZ370" s="15"/>
      <c r="KGA370" s="15"/>
      <c r="KGB370" s="15"/>
      <c r="KGC370" s="15"/>
      <c r="KGD370" s="15"/>
      <c r="KGE370" s="15"/>
      <c r="KGF370" s="15"/>
      <c r="KGG370" s="15"/>
      <c r="KGH370" s="15"/>
      <c r="KGI370" s="10"/>
      <c r="KGJ370" s="10"/>
      <c r="KGK370" s="21"/>
      <c r="KGL370" s="21"/>
      <c r="KGO370" s="21"/>
      <c r="KGP370" s="15"/>
      <c r="KGQ370" s="15"/>
      <c r="KGR370" s="15"/>
      <c r="KGS370" s="15"/>
      <c r="KGT370" s="15"/>
      <c r="KGU370" s="15"/>
      <c r="KGV370" s="15"/>
      <c r="KGW370" s="15"/>
      <c r="KGX370" s="15"/>
      <c r="KGY370" s="15"/>
      <c r="KGZ370" s="10"/>
      <c r="KHA370" s="10"/>
      <c r="KHB370" s="21"/>
      <c r="KHC370" s="21"/>
      <c r="KHF370" s="21"/>
      <c r="KHG370" s="15"/>
      <c r="KHH370" s="15"/>
      <c r="KHI370" s="15"/>
      <c r="KHJ370" s="15"/>
      <c r="KHK370" s="15"/>
      <c r="KHL370" s="15"/>
      <c r="KHM370" s="15"/>
      <c r="KHN370" s="15"/>
      <c r="KHO370" s="15"/>
      <c r="KHP370" s="15"/>
      <c r="KHQ370" s="10"/>
      <c r="KHR370" s="10"/>
      <c r="KHS370" s="21"/>
      <c r="KHT370" s="21"/>
      <c r="KHW370" s="21"/>
      <c r="KHX370" s="15"/>
      <c r="KHY370" s="15"/>
      <c r="KHZ370" s="15"/>
      <c r="KIA370" s="15"/>
      <c r="KIB370" s="15"/>
      <c r="KIC370" s="15"/>
      <c r="KID370" s="15"/>
      <c r="KIE370" s="15"/>
      <c r="KIF370" s="15"/>
      <c r="KIG370" s="15"/>
      <c r="KIH370" s="10"/>
      <c r="KII370" s="10"/>
      <c r="KIJ370" s="21"/>
      <c r="KIK370" s="21"/>
      <c r="KIN370" s="21"/>
      <c r="KIO370" s="15"/>
      <c r="KIP370" s="15"/>
      <c r="KIQ370" s="15"/>
      <c r="KIR370" s="15"/>
      <c r="KIS370" s="15"/>
      <c r="KIT370" s="15"/>
      <c r="KIU370" s="15"/>
      <c r="KIV370" s="15"/>
      <c r="KIW370" s="15"/>
      <c r="KIX370" s="15"/>
      <c r="KIY370" s="10"/>
      <c r="KIZ370" s="10"/>
      <c r="KJA370" s="21"/>
      <c r="KJB370" s="21"/>
      <c r="KJE370" s="21"/>
      <c r="KJF370" s="15"/>
      <c r="KJG370" s="15"/>
      <c r="KJH370" s="15"/>
      <c r="KJI370" s="15"/>
      <c r="KJJ370" s="15"/>
      <c r="KJK370" s="15"/>
      <c r="KJL370" s="15"/>
      <c r="KJM370" s="15"/>
      <c r="KJN370" s="15"/>
      <c r="KJO370" s="15"/>
      <c r="KJP370" s="10"/>
      <c r="KJQ370" s="10"/>
      <c r="KJR370" s="21"/>
      <c r="KJS370" s="21"/>
      <c r="KJV370" s="21"/>
      <c r="KJW370" s="15"/>
      <c r="KJX370" s="15"/>
      <c r="KJY370" s="15"/>
      <c r="KJZ370" s="15"/>
      <c r="KKA370" s="15"/>
      <c r="KKB370" s="15"/>
      <c r="KKC370" s="15"/>
      <c r="KKD370" s="15"/>
      <c r="KKE370" s="15"/>
      <c r="KKF370" s="15"/>
      <c r="KKG370" s="10"/>
      <c r="KKH370" s="10"/>
      <c r="KKI370" s="21"/>
      <c r="KKJ370" s="21"/>
      <c r="KKM370" s="21"/>
      <c r="KKN370" s="15"/>
      <c r="KKO370" s="15"/>
      <c r="KKP370" s="15"/>
      <c r="KKQ370" s="15"/>
      <c r="KKR370" s="15"/>
      <c r="KKS370" s="15"/>
      <c r="KKT370" s="15"/>
      <c r="KKU370" s="15"/>
      <c r="KKV370" s="15"/>
      <c r="KKW370" s="15"/>
      <c r="KKX370" s="10"/>
      <c r="KKY370" s="10"/>
      <c r="KKZ370" s="21"/>
      <c r="KLA370" s="21"/>
      <c r="KLD370" s="21"/>
      <c r="KLE370" s="15"/>
      <c r="KLF370" s="15"/>
      <c r="KLG370" s="15"/>
      <c r="KLH370" s="15"/>
      <c r="KLI370" s="15"/>
      <c r="KLJ370" s="15"/>
      <c r="KLK370" s="15"/>
      <c r="KLL370" s="15"/>
      <c r="KLM370" s="15"/>
      <c r="KLN370" s="15"/>
      <c r="KLO370" s="10"/>
      <c r="KLP370" s="10"/>
      <c r="KLQ370" s="21"/>
      <c r="KLR370" s="21"/>
      <c r="KLU370" s="21"/>
      <c r="KLV370" s="15"/>
      <c r="KLW370" s="15"/>
      <c r="KLX370" s="15"/>
      <c r="KLY370" s="15"/>
      <c r="KLZ370" s="15"/>
      <c r="KMA370" s="15"/>
      <c r="KMB370" s="15"/>
      <c r="KMC370" s="15"/>
      <c r="KMD370" s="15"/>
      <c r="KME370" s="15"/>
      <c r="KMF370" s="10"/>
      <c r="KMG370" s="10"/>
      <c r="KMH370" s="21"/>
      <c r="KMI370" s="21"/>
      <c r="KML370" s="21"/>
      <c r="KMM370" s="15"/>
      <c r="KMN370" s="15"/>
      <c r="KMO370" s="15"/>
      <c r="KMP370" s="15"/>
      <c r="KMQ370" s="15"/>
      <c r="KMR370" s="15"/>
      <c r="KMS370" s="15"/>
      <c r="KMT370" s="15"/>
      <c r="KMU370" s="15"/>
      <c r="KMV370" s="15"/>
      <c r="KMW370" s="10"/>
      <c r="KMX370" s="10"/>
      <c r="KMY370" s="21"/>
      <c r="KMZ370" s="21"/>
      <c r="KNC370" s="21"/>
      <c r="KND370" s="15"/>
      <c r="KNE370" s="15"/>
      <c r="KNF370" s="15"/>
      <c r="KNG370" s="15"/>
      <c r="KNH370" s="15"/>
      <c r="KNI370" s="15"/>
      <c r="KNJ370" s="15"/>
      <c r="KNK370" s="15"/>
      <c r="KNL370" s="15"/>
      <c r="KNM370" s="15"/>
      <c r="KNN370" s="10"/>
      <c r="KNO370" s="10"/>
      <c r="KNP370" s="21"/>
      <c r="KNQ370" s="21"/>
      <c r="KNT370" s="21"/>
      <c r="KNU370" s="15"/>
      <c r="KNV370" s="15"/>
      <c r="KNW370" s="15"/>
      <c r="KNX370" s="15"/>
      <c r="KNY370" s="15"/>
      <c r="KNZ370" s="15"/>
      <c r="KOA370" s="15"/>
      <c r="KOB370" s="15"/>
      <c r="KOC370" s="15"/>
      <c r="KOD370" s="15"/>
      <c r="KOE370" s="10"/>
      <c r="KOF370" s="10"/>
      <c r="KOG370" s="21"/>
      <c r="KOH370" s="21"/>
      <c r="KOK370" s="21"/>
      <c r="KOL370" s="15"/>
      <c r="KOM370" s="15"/>
      <c r="KON370" s="15"/>
      <c r="KOO370" s="15"/>
      <c r="KOP370" s="15"/>
      <c r="KOQ370" s="15"/>
      <c r="KOR370" s="15"/>
      <c r="KOS370" s="15"/>
      <c r="KOT370" s="15"/>
      <c r="KOU370" s="15"/>
      <c r="KOV370" s="10"/>
      <c r="KOW370" s="10"/>
      <c r="KOX370" s="21"/>
      <c r="KOY370" s="21"/>
      <c r="KPB370" s="21"/>
      <c r="KPC370" s="15"/>
      <c r="KPD370" s="15"/>
      <c r="KPE370" s="15"/>
      <c r="KPF370" s="15"/>
      <c r="KPG370" s="15"/>
      <c r="KPH370" s="15"/>
      <c r="KPI370" s="15"/>
      <c r="KPJ370" s="15"/>
      <c r="KPK370" s="15"/>
      <c r="KPL370" s="15"/>
      <c r="KPM370" s="10"/>
      <c r="KPN370" s="10"/>
      <c r="KPO370" s="21"/>
      <c r="KPP370" s="21"/>
      <c r="KPS370" s="21"/>
      <c r="KPT370" s="15"/>
      <c r="KPU370" s="15"/>
      <c r="KPV370" s="15"/>
      <c r="KPW370" s="15"/>
      <c r="KPX370" s="15"/>
      <c r="KPY370" s="15"/>
      <c r="KPZ370" s="15"/>
      <c r="KQA370" s="15"/>
      <c r="KQB370" s="15"/>
      <c r="KQC370" s="15"/>
      <c r="KQD370" s="10"/>
      <c r="KQE370" s="10"/>
      <c r="KQF370" s="21"/>
      <c r="KQG370" s="21"/>
      <c r="KQJ370" s="21"/>
      <c r="KQK370" s="15"/>
      <c r="KQL370" s="15"/>
      <c r="KQM370" s="15"/>
      <c r="KQN370" s="15"/>
      <c r="KQO370" s="15"/>
      <c r="KQP370" s="15"/>
      <c r="KQQ370" s="15"/>
      <c r="KQR370" s="15"/>
      <c r="KQS370" s="15"/>
      <c r="KQT370" s="15"/>
      <c r="KQU370" s="10"/>
      <c r="KQV370" s="10"/>
      <c r="KQW370" s="21"/>
      <c r="KQX370" s="21"/>
      <c r="KRA370" s="21"/>
      <c r="KRB370" s="15"/>
      <c r="KRC370" s="15"/>
      <c r="KRD370" s="15"/>
      <c r="KRE370" s="15"/>
      <c r="KRF370" s="15"/>
      <c r="KRG370" s="15"/>
      <c r="KRH370" s="15"/>
      <c r="KRI370" s="15"/>
      <c r="KRJ370" s="15"/>
      <c r="KRK370" s="15"/>
      <c r="KRL370" s="10"/>
      <c r="KRM370" s="10"/>
      <c r="KRN370" s="21"/>
      <c r="KRO370" s="21"/>
      <c r="KRR370" s="21"/>
      <c r="KRS370" s="15"/>
      <c r="KRT370" s="15"/>
      <c r="KRU370" s="15"/>
      <c r="KRV370" s="15"/>
      <c r="KRW370" s="15"/>
      <c r="KRX370" s="15"/>
      <c r="KRY370" s="15"/>
      <c r="KRZ370" s="15"/>
      <c r="KSA370" s="15"/>
      <c r="KSB370" s="15"/>
      <c r="KSC370" s="10"/>
      <c r="KSD370" s="10"/>
      <c r="KSE370" s="21"/>
      <c r="KSF370" s="21"/>
      <c r="KSI370" s="21"/>
      <c r="KSJ370" s="15"/>
      <c r="KSK370" s="15"/>
      <c r="KSL370" s="15"/>
      <c r="KSM370" s="15"/>
      <c r="KSN370" s="15"/>
      <c r="KSO370" s="15"/>
      <c r="KSP370" s="15"/>
      <c r="KSQ370" s="15"/>
      <c r="KSR370" s="15"/>
      <c r="KSS370" s="15"/>
      <c r="KST370" s="10"/>
      <c r="KSU370" s="10"/>
      <c r="KSV370" s="21"/>
      <c r="KSW370" s="21"/>
      <c r="KSZ370" s="21"/>
      <c r="KTA370" s="15"/>
      <c r="KTB370" s="15"/>
      <c r="KTC370" s="15"/>
      <c r="KTD370" s="15"/>
      <c r="KTE370" s="15"/>
      <c r="KTF370" s="15"/>
      <c r="KTG370" s="15"/>
      <c r="KTH370" s="15"/>
      <c r="KTI370" s="15"/>
      <c r="KTJ370" s="15"/>
      <c r="KTK370" s="10"/>
      <c r="KTL370" s="10"/>
      <c r="KTM370" s="21"/>
      <c r="KTN370" s="21"/>
      <c r="KTQ370" s="21"/>
      <c r="KTR370" s="15"/>
      <c r="KTS370" s="15"/>
      <c r="KTT370" s="15"/>
      <c r="KTU370" s="15"/>
      <c r="KTV370" s="15"/>
      <c r="KTW370" s="15"/>
      <c r="KTX370" s="15"/>
      <c r="KTY370" s="15"/>
      <c r="KTZ370" s="15"/>
      <c r="KUA370" s="15"/>
      <c r="KUB370" s="10"/>
      <c r="KUC370" s="10"/>
      <c r="KUD370" s="21"/>
      <c r="KUE370" s="21"/>
      <c r="KUH370" s="21"/>
      <c r="KUI370" s="15"/>
      <c r="KUJ370" s="15"/>
      <c r="KUK370" s="15"/>
      <c r="KUL370" s="15"/>
      <c r="KUM370" s="15"/>
      <c r="KUN370" s="15"/>
      <c r="KUO370" s="15"/>
      <c r="KUP370" s="15"/>
      <c r="KUQ370" s="15"/>
      <c r="KUR370" s="15"/>
      <c r="KUS370" s="10"/>
      <c r="KUT370" s="10"/>
      <c r="KUU370" s="21"/>
      <c r="KUV370" s="21"/>
      <c r="KUY370" s="21"/>
      <c r="KUZ370" s="15"/>
      <c r="KVA370" s="15"/>
      <c r="KVB370" s="15"/>
      <c r="KVC370" s="15"/>
      <c r="KVD370" s="15"/>
      <c r="KVE370" s="15"/>
      <c r="KVF370" s="15"/>
      <c r="KVG370" s="15"/>
      <c r="KVH370" s="15"/>
      <c r="KVI370" s="15"/>
      <c r="KVJ370" s="10"/>
      <c r="KVK370" s="10"/>
      <c r="KVL370" s="21"/>
      <c r="KVM370" s="21"/>
      <c r="KVP370" s="21"/>
      <c r="KVQ370" s="15"/>
      <c r="KVR370" s="15"/>
      <c r="KVS370" s="15"/>
      <c r="KVT370" s="15"/>
      <c r="KVU370" s="15"/>
      <c r="KVV370" s="15"/>
      <c r="KVW370" s="15"/>
      <c r="KVX370" s="15"/>
      <c r="KVY370" s="15"/>
      <c r="KVZ370" s="15"/>
      <c r="KWA370" s="10"/>
      <c r="KWB370" s="10"/>
      <c r="KWC370" s="21"/>
      <c r="KWD370" s="21"/>
      <c r="KWG370" s="21"/>
      <c r="KWH370" s="15"/>
      <c r="KWI370" s="15"/>
      <c r="KWJ370" s="15"/>
      <c r="KWK370" s="15"/>
      <c r="KWL370" s="15"/>
      <c r="KWM370" s="15"/>
      <c r="KWN370" s="15"/>
      <c r="KWO370" s="15"/>
      <c r="KWP370" s="15"/>
      <c r="KWQ370" s="15"/>
      <c r="KWR370" s="10"/>
      <c r="KWS370" s="10"/>
      <c r="KWT370" s="21"/>
      <c r="KWU370" s="21"/>
      <c r="KWX370" s="21"/>
      <c r="KWY370" s="15"/>
      <c r="KWZ370" s="15"/>
      <c r="KXA370" s="15"/>
      <c r="KXB370" s="15"/>
      <c r="KXC370" s="15"/>
      <c r="KXD370" s="15"/>
      <c r="KXE370" s="15"/>
      <c r="KXF370" s="15"/>
      <c r="KXG370" s="15"/>
      <c r="KXH370" s="15"/>
      <c r="KXI370" s="10"/>
      <c r="KXJ370" s="10"/>
      <c r="KXK370" s="21"/>
      <c r="KXL370" s="21"/>
      <c r="KXO370" s="21"/>
      <c r="KXP370" s="15"/>
      <c r="KXQ370" s="15"/>
      <c r="KXR370" s="15"/>
      <c r="KXS370" s="15"/>
      <c r="KXT370" s="15"/>
      <c r="KXU370" s="15"/>
      <c r="KXV370" s="15"/>
      <c r="KXW370" s="15"/>
      <c r="KXX370" s="15"/>
      <c r="KXY370" s="15"/>
      <c r="KXZ370" s="10"/>
      <c r="KYA370" s="10"/>
      <c r="KYB370" s="21"/>
      <c r="KYC370" s="21"/>
      <c r="KYF370" s="21"/>
      <c r="KYG370" s="15"/>
      <c r="KYH370" s="15"/>
      <c r="KYI370" s="15"/>
      <c r="KYJ370" s="15"/>
      <c r="KYK370" s="15"/>
      <c r="KYL370" s="15"/>
      <c r="KYM370" s="15"/>
      <c r="KYN370" s="15"/>
      <c r="KYO370" s="15"/>
      <c r="KYP370" s="15"/>
      <c r="KYQ370" s="10"/>
      <c r="KYR370" s="10"/>
      <c r="KYS370" s="21"/>
      <c r="KYT370" s="21"/>
      <c r="KYW370" s="21"/>
      <c r="KYX370" s="15"/>
      <c r="KYY370" s="15"/>
      <c r="KYZ370" s="15"/>
      <c r="KZA370" s="15"/>
      <c r="KZB370" s="15"/>
      <c r="KZC370" s="15"/>
      <c r="KZD370" s="15"/>
      <c r="KZE370" s="15"/>
      <c r="KZF370" s="15"/>
      <c r="KZG370" s="15"/>
      <c r="KZH370" s="10"/>
      <c r="KZI370" s="10"/>
      <c r="KZJ370" s="21"/>
      <c r="KZK370" s="21"/>
      <c r="KZN370" s="21"/>
      <c r="KZO370" s="15"/>
      <c r="KZP370" s="15"/>
      <c r="KZQ370" s="15"/>
      <c r="KZR370" s="15"/>
      <c r="KZS370" s="15"/>
      <c r="KZT370" s="15"/>
      <c r="KZU370" s="15"/>
      <c r="KZV370" s="15"/>
      <c r="KZW370" s="15"/>
      <c r="KZX370" s="15"/>
      <c r="KZY370" s="10"/>
      <c r="KZZ370" s="10"/>
      <c r="LAA370" s="21"/>
      <c r="LAB370" s="21"/>
      <c r="LAE370" s="21"/>
      <c r="LAF370" s="15"/>
      <c r="LAG370" s="15"/>
      <c r="LAH370" s="15"/>
      <c r="LAI370" s="15"/>
      <c r="LAJ370" s="15"/>
      <c r="LAK370" s="15"/>
      <c r="LAL370" s="15"/>
      <c r="LAM370" s="15"/>
      <c r="LAN370" s="15"/>
      <c r="LAO370" s="15"/>
      <c r="LAP370" s="10"/>
      <c r="LAQ370" s="10"/>
      <c r="LAR370" s="21"/>
      <c r="LAS370" s="21"/>
      <c r="LAV370" s="21"/>
      <c r="LAW370" s="15"/>
      <c r="LAX370" s="15"/>
      <c r="LAY370" s="15"/>
      <c r="LAZ370" s="15"/>
      <c r="LBA370" s="15"/>
      <c r="LBB370" s="15"/>
      <c r="LBC370" s="15"/>
      <c r="LBD370" s="15"/>
      <c r="LBE370" s="15"/>
      <c r="LBF370" s="15"/>
      <c r="LBG370" s="10"/>
      <c r="LBH370" s="10"/>
      <c r="LBI370" s="21"/>
      <c r="LBJ370" s="21"/>
      <c r="LBM370" s="21"/>
      <c r="LBN370" s="15"/>
      <c r="LBO370" s="15"/>
      <c r="LBP370" s="15"/>
      <c r="LBQ370" s="15"/>
      <c r="LBR370" s="15"/>
      <c r="LBS370" s="15"/>
      <c r="LBT370" s="15"/>
      <c r="LBU370" s="15"/>
      <c r="LBV370" s="15"/>
      <c r="LBW370" s="15"/>
      <c r="LBX370" s="10"/>
      <c r="LBY370" s="10"/>
      <c r="LBZ370" s="21"/>
      <c r="LCA370" s="21"/>
      <c r="LCD370" s="21"/>
      <c r="LCE370" s="15"/>
      <c r="LCF370" s="15"/>
      <c r="LCG370" s="15"/>
      <c r="LCH370" s="15"/>
      <c r="LCI370" s="15"/>
      <c r="LCJ370" s="15"/>
      <c r="LCK370" s="15"/>
      <c r="LCL370" s="15"/>
      <c r="LCM370" s="15"/>
      <c r="LCN370" s="15"/>
      <c r="LCO370" s="10"/>
      <c r="LCP370" s="10"/>
      <c r="LCQ370" s="21"/>
      <c r="LCR370" s="21"/>
      <c r="LCU370" s="21"/>
      <c r="LCV370" s="15"/>
      <c r="LCW370" s="15"/>
      <c r="LCX370" s="15"/>
      <c r="LCY370" s="15"/>
      <c r="LCZ370" s="15"/>
      <c r="LDA370" s="15"/>
      <c r="LDB370" s="15"/>
      <c r="LDC370" s="15"/>
      <c r="LDD370" s="15"/>
      <c r="LDE370" s="15"/>
      <c r="LDF370" s="10"/>
      <c r="LDG370" s="10"/>
      <c r="LDH370" s="21"/>
      <c r="LDI370" s="21"/>
      <c r="LDL370" s="21"/>
      <c r="LDM370" s="15"/>
      <c r="LDN370" s="15"/>
      <c r="LDO370" s="15"/>
      <c r="LDP370" s="15"/>
      <c r="LDQ370" s="15"/>
      <c r="LDR370" s="15"/>
      <c r="LDS370" s="15"/>
      <c r="LDT370" s="15"/>
      <c r="LDU370" s="15"/>
      <c r="LDV370" s="15"/>
      <c r="LDW370" s="10"/>
      <c r="LDX370" s="10"/>
      <c r="LDY370" s="21"/>
      <c r="LDZ370" s="21"/>
      <c r="LEC370" s="21"/>
      <c r="LED370" s="15"/>
      <c r="LEE370" s="15"/>
      <c r="LEF370" s="15"/>
      <c r="LEG370" s="15"/>
      <c r="LEH370" s="15"/>
      <c r="LEI370" s="15"/>
      <c r="LEJ370" s="15"/>
      <c r="LEK370" s="15"/>
      <c r="LEL370" s="15"/>
      <c r="LEM370" s="15"/>
      <c r="LEN370" s="10"/>
      <c r="LEO370" s="10"/>
      <c r="LEP370" s="21"/>
      <c r="LEQ370" s="21"/>
      <c r="LET370" s="21"/>
      <c r="LEU370" s="15"/>
      <c r="LEV370" s="15"/>
      <c r="LEW370" s="15"/>
      <c r="LEX370" s="15"/>
      <c r="LEY370" s="15"/>
      <c r="LEZ370" s="15"/>
      <c r="LFA370" s="15"/>
      <c r="LFB370" s="15"/>
      <c r="LFC370" s="15"/>
      <c r="LFD370" s="15"/>
      <c r="LFE370" s="10"/>
      <c r="LFF370" s="10"/>
      <c r="LFG370" s="21"/>
      <c r="LFH370" s="21"/>
      <c r="LFK370" s="21"/>
      <c r="LFL370" s="15"/>
      <c r="LFM370" s="15"/>
      <c r="LFN370" s="15"/>
      <c r="LFO370" s="15"/>
      <c r="LFP370" s="15"/>
      <c r="LFQ370" s="15"/>
      <c r="LFR370" s="15"/>
      <c r="LFS370" s="15"/>
      <c r="LFT370" s="15"/>
      <c r="LFU370" s="15"/>
      <c r="LFV370" s="10"/>
      <c r="LFW370" s="10"/>
      <c r="LFX370" s="21"/>
      <c r="LFY370" s="21"/>
      <c r="LGB370" s="21"/>
      <c r="LGC370" s="15"/>
      <c r="LGD370" s="15"/>
      <c r="LGE370" s="15"/>
      <c r="LGF370" s="15"/>
      <c r="LGG370" s="15"/>
      <c r="LGH370" s="15"/>
      <c r="LGI370" s="15"/>
      <c r="LGJ370" s="15"/>
      <c r="LGK370" s="15"/>
      <c r="LGL370" s="15"/>
      <c r="LGM370" s="10"/>
      <c r="LGN370" s="10"/>
      <c r="LGO370" s="21"/>
      <c r="LGP370" s="21"/>
      <c r="LGS370" s="21"/>
      <c r="LGT370" s="15"/>
      <c r="LGU370" s="15"/>
      <c r="LGV370" s="15"/>
      <c r="LGW370" s="15"/>
      <c r="LGX370" s="15"/>
      <c r="LGY370" s="15"/>
      <c r="LGZ370" s="15"/>
      <c r="LHA370" s="15"/>
      <c r="LHB370" s="15"/>
      <c r="LHC370" s="15"/>
      <c r="LHD370" s="10"/>
      <c r="LHE370" s="10"/>
      <c r="LHF370" s="21"/>
      <c r="LHG370" s="21"/>
      <c r="LHJ370" s="21"/>
      <c r="LHK370" s="15"/>
      <c r="LHL370" s="15"/>
      <c r="LHM370" s="15"/>
      <c r="LHN370" s="15"/>
      <c r="LHO370" s="15"/>
      <c r="LHP370" s="15"/>
      <c r="LHQ370" s="15"/>
      <c r="LHR370" s="15"/>
      <c r="LHS370" s="15"/>
      <c r="LHT370" s="15"/>
      <c r="LHU370" s="10"/>
      <c r="LHV370" s="10"/>
      <c r="LHW370" s="21"/>
      <c r="LHX370" s="21"/>
      <c r="LIA370" s="21"/>
      <c r="LIB370" s="15"/>
      <c r="LIC370" s="15"/>
      <c r="LID370" s="15"/>
      <c r="LIE370" s="15"/>
      <c r="LIF370" s="15"/>
      <c r="LIG370" s="15"/>
      <c r="LIH370" s="15"/>
      <c r="LII370" s="15"/>
      <c r="LIJ370" s="15"/>
      <c r="LIK370" s="15"/>
      <c r="LIL370" s="10"/>
      <c r="LIM370" s="10"/>
      <c r="LIN370" s="21"/>
      <c r="LIO370" s="21"/>
      <c r="LIR370" s="21"/>
      <c r="LIS370" s="15"/>
      <c r="LIT370" s="15"/>
      <c r="LIU370" s="15"/>
      <c r="LIV370" s="15"/>
      <c r="LIW370" s="15"/>
      <c r="LIX370" s="15"/>
      <c r="LIY370" s="15"/>
      <c r="LIZ370" s="15"/>
      <c r="LJA370" s="15"/>
      <c r="LJB370" s="15"/>
      <c r="LJC370" s="10"/>
      <c r="LJD370" s="10"/>
      <c r="LJE370" s="21"/>
      <c r="LJF370" s="21"/>
      <c r="LJI370" s="21"/>
      <c r="LJJ370" s="15"/>
      <c r="LJK370" s="15"/>
      <c r="LJL370" s="15"/>
      <c r="LJM370" s="15"/>
      <c r="LJN370" s="15"/>
      <c r="LJO370" s="15"/>
      <c r="LJP370" s="15"/>
      <c r="LJQ370" s="15"/>
      <c r="LJR370" s="15"/>
      <c r="LJS370" s="15"/>
      <c r="LJT370" s="10"/>
      <c r="LJU370" s="10"/>
      <c r="LJV370" s="21"/>
      <c r="LJW370" s="21"/>
      <c r="LJZ370" s="21"/>
      <c r="LKA370" s="15"/>
      <c r="LKB370" s="15"/>
      <c r="LKC370" s="15"/>
      <c r="LKD370" s="15"/>
      <c r="LKE370" s="15"/>
      <c r="LKF370" s="15"/>
      <c r="LKG370" s="15"/>
      <c r="LKH370" s="15"/>
      <c r="LKI370" s="15"/>
      <c r="LKJ370" s="15"/>
      <c r="LKK370" s="10"/>
      <c r="LKL370" s="10"/>
      <c r="LKM370" s="21"/>
      <c r="LKN370" s="21"/>
      <c r="LKQ370" s="21"/>
      <c r="LKR370" s="15"/>
      <c r="LKS370" s="15"/>
      <c r="LKT370" s="15"/>
      <c r="LKU370" s="15"/>
      <c r="LKV370" s="15"/>
      <c r="LKW370" s="15"/>
      <c r="LKX370" s="15"/>
      <c r="LKY370" s="15"/>
      <c r="LKZ370" s="15"/>
      <c r="LLA370" s="15"/>
      <c r="LLB370" s="10"/>
      <c r="LLC370" s="10"/>
      <c r="LLD370" s="21"/>
      <c r="LLE370" s="21"/>
      <c r="LLH370" s="21"/>
      <c r="LLI370" s="15"/>
      <c r="LLJ370" s="15"/>
      <c r="LLK370" s="15"/>
      <c r="LLL370" s="15"/>
      <c r="LLM370" s="15"/>
      <c r="LLN370" s="15"/>
      <c r="LLO370" s="15"/>
      <c r="LLP370" s="15"/>
      <c r="LLQ370" s="15"/>
      <c r="LLR370" s="15"/>
      <c r="LLS370" s="10"/>
      <c r="LLT370" s="10"/>
      <c r="LLU370" s="21"/>
      <c r="LLV370" s="21"/>
      <c r="LLY370" s="21"/>
      <c r="LLZ370" s="15"/>
      <c r="LMA370" s="15"/>
      <c r="LMB370" s="15"/>
      <c r="LMC370" s="15"/>
      <c r="LMD370" s="15"/>
      <c r="LME370" s="15"/>
      <c r="LMF370" s="15"/>
      <c r="LMG370" s="15"/>
      <c r="LMH370" s="15"/>
      <c r="LMI370" s="15"/>
      <c r="LMJ370" s="10"/>
      <c r="LMK370" s="10"/>
      <c r="LML370" s="21"/>
      <c r="LMM370" s="21"/>
      <c r="LMP370" s="21"/>
      <c r="LMQ370" s="15"/>
      <c r="LMR370" s="15"/>
      <c r="LMS370" s="15"/>
      <c r="LMT370" s="15"/>
      <c r="LMU370" s="15"/>
      <c r="LMV370" s="15"/>
      <c r="LMW370" s="15"/>
      <c r="LMX370" s="15"/>
      <c r="LMY370" s="15"/>
      <c r="LMZ370" s="15"/>
      <c r="LNA370" s="10"/>
      <c r="LNB370" s="10"/>
      <c r="LNC370" s="21"/>
      <c r="LND370" s="21"/>
      <c r="LNG370" s="21"/>
      <c r="LNH370" s="15"/>
      <c r="LNI370" s="15"/>
      <c r="LNJ370" s="15"/>
      <c r="LNK370" s="15"/>
      <c r="LNL370" s="15"/>
      <c r="LNM370" s="15"/>
      <c r="LNN370" s="15"/>
      <c r="LNO370" s="15"/>
      <c r="LNP370" s="15"/>
      <c r="LNQ370" s="15"/>
      <c r="LNR370" s="10"/>
      <c r="LNS370" s="10"/>
      <c r="LNT370" s="21"/>
      <c r="LNU370" s="21"/>
      <c r="LNX370" s="21"/>
      <c r="LNY370" s="15"/>
      <c r="LNZ370" s="15"/>
      <c r="LOA370" s="15"/>
      <c r="LOB370" s="15"/>
      <c r="LOC370" s="15"/>
      <c r="LOD370" s="15"/>
      <c r="LOE370" s="15"/>
      <c r="LOF370" s="15"/>
      <c r="LOG370" s="15"/>
      <c r="LOH370" s="15"/>
      <c r="LOI370" s="10"/>
      <c r="LOJ370" s="10"/>
      <c r="LOK370" s="21"/>
      <c r="LOL370" s="21"/>
      <c r="LOO370" s="21"/>
      <c r="LOP370" s="15"/>
      <c r="LOQ370" s="15"/>
      <c r="LOR370" s="15"/>
      <c r="LOS370" s="15"/>
      <c r="LOT370" s="15"/>
      <c r="LOU370" s="15"/>
      <c r="LOV370" s="15"/>
      <c r="LOW370" s="15"/>
      <c r="LOX370" s="15"/>
      <c r="LOY370" s="15"/>
      <c r="LOZ370" s="10"/>
      <c r="LPA370" s="10"/>
      <c r="LPB370" s="21"/>
      <c r="LPC370" s="21"/>
      <c r="LPF370" s="21"/>
      <c r="LPG370" s="15"/>
      <c r="LPH370" s="15"/>
      <c r="LPI370" s="15"/>
      <c r="LPJ370" s="15"/>
      <c r="LPK370" s="15"/>
      <c r="LPL370" s="15"/>
      <c r="LPM370" s="15"/>
      <c r="LPN370" s="15"/>
      <c r="LPO370" s="15"/>
      <c r="LPP370" s="15"/>
      <c r="LPQ370" s="10"/>
      <c r="LPR370" s="10"/>
      <c r="LPS370" s="21"/>
      <c r="LPT370" s="21"/>
      <c r="LPW370" s="21"/>
      <c r="LPX370" s="15"/>
      <c r="LPY370" s="15"/>
      <c r="LPZ370" s="15"/>
      <c r="LQA370" s="15"/>
      <c r="LQB370" s="15"/>
      <c r="LQC370" s="15"/>
      <c r="LQD370" s="15"/>
      <c r="LQE370" s="15"/>
      <c r="LQF370" s="15"/>
      <c r="LQG370" s="15"/>
      <c r="LQH370" s="10"/>
      <c r="LQI370" s="10"/>
      <c r="LQJ370" s="21"/>
      <c r="LQK370" s="21"/>
      <c r="LQN370" s="21"/>
      <c r="LQO370" s="15"/>
      <c r="LQP370" s="15"/>
      <c r="LQQ370" s="15"/>
      <c r="LQR370" s="15"/>
      <c r="LQS370" s="15"/>
      <c r="LQT370" s="15"/>
      <c r="LQU370" s="15"/>
      <c r="LQV370" s="15"/>
      <c r="LQW370" s="15"/>
      <c r="LQX370" s="15"/>
      <c r="LQY370" s="10"/>
      <c r="LQZ370" s="10"/>
      <c r="LRA370" s="21"/>
      <c r="LRB370" s="21"/>
      <c r="LRE370" s="21"/>
      <c r="LRF370" s="15"/>
      <c r="LRG370" s="15"/>
      <c r="LRH370" s="15"/>
      <c r="LRI370" s="15"/>
      <c r="LRJ370" s="15"/>
      <c r="LRK370" s="15"/>
      <c r="LRL370" s="15"/>
      <c r="LRM370" s="15"/>
      <c r="LRN370" s="15"/>
      <c r="LRO370" s="15"/>
      <c r="LRP370" s="10"/>
      <c r="LRQ370" s="10"/>
      <c r="LRR370" s="21"/>
      <c r="LRS370" s="21"/>
      <c r="LRV370" s="21"/>
      <c r="LRW370" s="15"/>
      <c r="LRX370" s="15"/>
      <c r="LRY370" s="15"/>
      <c r="LRZ370" s="15"/>
      <c r="LSA370" s="15"/>
      <c r="LSB370" s="15"/>
      <c r="LSC370" s="15"/>
      <c r="LSD370" s="15"/>
      <c r="LSE370" s="15"/>
      <c r="LSF370" s="15"/>
      <c r="LSG370" s="10"/>
      <c r="LSH370" s="10"/>
      <c r="LSI370" s="21"/>
      <c r="LSJ370" s="21"/>
      <c r="LSM370" s="21"/>
      <c r="LSN370" s="15"/>
      <c r="LSO370" s="15"/>
      <c r="LSP370" s="15"/>
      <c r="LSQ370" s="15"/>
      <c r="LSR370" s="15"/>
      <c r="LSS370" s="15"/>
      <c r="LST370" s="15"/>
      <c r="LSU370" s="15"/>
      <c r="LSV370" s="15"/>
      <c r="LSW370" s="15"/>
      <c r="LSX370" s="10"/>
      <c r="LSY370" s="10"/>
      <c r="LSZ370" s="21"/>
      <c r="LTA370" s="21"/>
      <c r="LTD370" s="21"/>
      <c r="LTE370" s="15"/>
      <c r="LTF370" s="15"/>
      <c r="LTG370" s="15"/>
      <c r="LTH370" s="15"/>
      <c r="LTI370" s="15"/>
      <c r="LTJ370" s="15"/>
      <c r="LTK370" s="15"/>
      <c r="LTL370" s="15"/>
      <c r="LTM370" s="15"/>
      <c r="LTN370" s="15"/>
      <c r="LTO370" s="10"/>
      <c r="LTP370" s="10"/>
      <c r="LTQ370" s="21"/>
      <c r="LTR370" s="21"/>
      <c r="LTU370" s="21"/>
      <c r="LTV370" s="15"/>
      <c r="LTW370" s="15"/>
      <c r="LTX370" s="15"/>
      <c r="LTY370" s="15"/>
      <c r="LTZ370" s="15"/>
      <c r="LUA370" s="15"/>
      <c r="LUB370" s="15"/>
      <c r="LUC370" s="15"/>
      <c r="LUD370" s="15"/>
      <c r="LUE370" s="15"/>
      <c r="LUF370" s="10"/>
      <c r="LUG370" s="10"/>
      <c r="LUH370" s="21"/>
      <c r="LUI370" s="21"/>
      <c r="LUL370" s="21"/>
      <c r="LUM370" s="15"/>
      <c r="LUN370" s="15"/>
      <c r="LUO370" s="15"/>
      <c r="LUP370" s="15"/>
      <c r="LUQ370" s="15"/>
      <c r="LUR370" s="15"/>
      <c r="LUS370" s="15"/>
      <c r="LUT370" s="15"/>
      <c r="LUU370" s="15"/>
      <c r="LUV370" s="15"/>
      <c r="LUW370" s="10"/>
      <c r="LUX370" s="10"/>
      <c r="LUY370" s="21"/>
      <c r="LUZ370" s="21"/>
      <c r="LVC370" s="21"/>
      <c r="LVD370" s="15"/>
      <c r="LVE370" s="15"/>
      <c r="LVF370" s="15"/>
      <c r="LVG370" s="15"/>
      <c r="LVH370" s="15"/>
      <c r="LVI370" s="15"/>
      <c r="LVJ370" s="15"/>
      <c r="LVK370" s="15"/>
      <c r="LVL370" s="15"/>
      <c r="LVM370" s="15"/>
      <c r="LVN370" s="10"/>
      <c r="LVO370" s="10"/>
      <c r="LVP370" s="21"/>
      <c r="LVQ370" s="21"/>
      <c r="LVT370" s="21"/>
      <c r="LVU370" s="15"/>
      <c r="LVV370" s="15"/>
      <c r="LVW370" s="15"/>
      <c r="LVX370" s="15"/>
      <c r="LVY370" s="15"/>
      <c r="LVZ370" s="15"/>
      <c r="LWA370" s="15"/>
      <c r="LWB370" s="15"/>
      <c r="LWC370" s="15"/>
      <c r="LWD370" s="15"/>
      <c r="LWE370" s="10"/>
      <c r="LWF370" s="10"/>
      <c r="LWG370" s="21"/>
      <c r="LWH370" s="21"/>
      <c r="LWK370" s="21"/>
      <c r="LWL370" s="15"/>
      <c r="LWM370" s="15"/>
      <c r="LWN370" s="15"/>
      <c r="LWO370" s="15"/>
      <c r="LWP370" s="15"/>
      <c r="LWQ370" s="15"/>
      <c r="LWR370" s="15"/>
      <c r="LWS370" s="15"/>
      <c r="LWT370" s="15"/>
      <c r="LWU370" s="15"/>
      <c r="LWV370" s="10"/>
      <c r="LWW370" s="10"/>
      <c r="LWX370" s="21"/>
      <c r="LWY370" s="21"/>
      <c r="LXB370" s="21"/>
      <c r="LXC370" s="15"/>
      <c r="LXD370" s="15"/>
      <c r="LXE370" s="15"/>
      <c r="LXF370" s="15"/>
      <c r="LXG370" s="15"/>
      <c r="LXH370" s="15"/>
      <c r="LXI370" s="15"/>
      <c r="LXJ370" s="15"/>
      <c r="LXK370" s="15"/>
      <c r="LXL370" s="15"/>
      <c r="LXM370" s="10"/>
      <c r="LXN370" s="10"/>
      <c r="LXO370" s="21"/>
      <c r="LXP370" s="21"/>
      <c r="LXS370" s="21"/>
      <c r="LXT370" s="15"/>
      <c r="LXU370" s="15"/>
      <c r="LXV370" s="15"/>
      <c r="LXW370" s="15"/>
      <c r="LXX370" s="15"/>
      <c r="LXY370" s="15"/>
      <c r="LXZ370" s="15"/>
      <c r="LYA370" s="15"/>
      <c r="LYB370" s="15"/>
      <c r="LYC370" s="15"/>
      <c r="LYD370" s="10"/>
      <c r="LYE370" s="10"/>
      <c r="LYF370" s="21"/>
      <c r="LYG370" s="21"/>
      <c r="LYJ370" s="21"/>
      <c r="LYK370" s="15"/>
      <c r="LYL370" s="15"/>
      <c r="LYM370" s="15"/>
      <c r="LYN370" s="15"/>
      <c r="LYO370" s="15"/>
      <c r="LYP370" s="15"/>
      <c r="LYQ370" s="15"/>
      <c r="LYR370" s="15"/>
      <c r="LYS370" s="15"/>
      <c r="LYT370" s="15"/>
      <c r="LYU370" s="10"/>
      <c r="LYV370" s="10"/>
      <c r="LYW370" s="21"/>
      <c r="LYX370" s="21"/>
      <c r="LZA370" s="21"/>
      <c r="LZB370" s="15"/>
      <c r="LZC370" s="15"/>
      <c r="LZD370" s="15"/>
      <c r="LZE370" s="15"/>
      <c r="LZF370" s="15"/>
      <c r="LZG370" s="15"/>
      <c r="LZH370" s="15"/>
      <c r="LZI370" s="15"/>
      <c r="LZJ370" s="15"/>
      <c r="LZK370" s="15"/>
      <c r="LZL370" s="10"/>
      <c r="LZM370" s="10"/>
      <c r="LZN370" s="21"/>
      <c r="LZO370" s="21"/>
      <c r="LZR370" s="21"/>
      <c r="LZS370" s="15"/>
      <c r="LZT370" s="15"/>
      <c r="LZU370" s="15"/>
      <c r="LZV370" s="15"/>
      <c r="LZW370" s="15"/>
      <c r="LZX370" s="15"/>
      <c r="LZY370" s="15"/>
      <c r="LZZ370" s="15"/>
      <c r="MAA370" s="15"/>
      <c r="MAB370" s="15"/>
      <c r="MAC370" s="10"/>
      <c r="MAD370" s="10"/>
      <c r="MAE370" s="21"/>
      <c r="MAF370" s="21"/>
      <c r="MAI370" s="21"/>
      <c r="MAJ370" s="15"/>
      <c r="MAK370" s="15"/>
      <c r="MAL370" s="15"/>
      <c r="MAM370" s="15"/>
      <c r="MAN370" s="15"/>
      <c r="MAO370" s="15"/>
      <c r="MAP370" s="15"/>
      <c r="MAQ370" s="15"/>
      <c r="MAR370" s="15"/>
      <c r="MAS370" s="15"/>
      <c r="MAT370" s="10"/>
      <c r="MAU370" s="10"/>
      <c r="MAV370" s="21"/>
      <c r="MAW370" s="21"/>
      <c r="MAZ370" s="21"/>
      <c r="MBA370" s="15"/>
      <c r="MBB370" s="15"/>
      <c r="MBC370" s="15"/>
      <c r="MBD370" s="15"/>
      <c r="MBE370" s="15"/>
      <c r="MBF370" s="15"/>
      <c r="MBG370" s="15"/>
      <c r="MBH370" s="15"/>
      <c r="MBI370" s="15"/>
      <c r="MBJ370" s="15"/>
      <c r="MBK370" s="10"/>
      <c r="MBL370" s="10"/>
      <c r="MBM370" s="21"/>
      <c r="MBN370" s="21"/>
      <c r="MBQ370" s="21"/>
      <c r="MBR370" s="15"/>
      <c r="MBS370" s="15"/>
      <c r="MBT370" s="15"/>
      <c r="MBU370" s="15"/>
      <c r="MBV370" s="15"/>
      <c r="MBW370" s="15"/>
      <c r="MBX370" s="15"/>
      <c r="MBY370" s="15"/>
      <c r="MBZ370" s="15"/>
      <c r="MCA370" s="15"/>
      <c r="MCB370" s="10"/>
      <c r="MCC370" s="10"/>
      <c r="MCD370" s="21"/>
      <c r="MCE370" s="21"/>
      <c r="MCH370" s="21"/>
      <c r="MCI370" s="15"/>
      <c r="MCJ370" s="15"/>
      <c r="MCK370" s="15"/>
      <c r="MCL370" s="15"/>
      <c r="MCM370" s="15"/>
      <c r="MCN370" s="15"/>
      <c r="MCO370" s="15"/>
      <c r="MCP370" s="15"/>
      <c r="MCQ370" s="15"/>
      <c r="MCR370" s="15"/>
      <c r="MCS370" s="10"/>
      <c r="MCT370" s="10"/>
      <c r="MCU370" s="21"/>
      <c r="MCV370" s="21"/>
      <c r="MCY370" s="21"/>
      <c r="MCZ370" s="15"/>
      <c r="MDA370" s="15"/>
      <c r="MDB370" s="15"/>
      <c r="MDC370" s="15"/>
      <c r="MDD370" s="15"/>
      <c r="MDE370" s="15"/>
      <c r="MDF370" s="15"/>
      <c r="MDG370" s="15"/>
      <c r="MDH370" s="15"/>
      <c r="MDI370" s="15"/>
      <c r="MDJ370" s="10"/>
      <c r="MDK370" s="10"/>
      <c r="MDL370" s="21"/>
      <c r="MDM370" s="21"/>
      <c r="MDP370" s="21"/>
      <c r="MDQ370" s="15"/>
      <c r="MDR370" s="15"/>
      <c r="MDS370" s="15"/>
      <c r="MDT370" s="15"/>
      <c r="MDU370" s="15"/>
      <c r="MDV370" s="15"/>
      <c r="MDW370" s="15"/>
      <c r="MDX370" s="15"/>
      <c r="MDY370" s="15"/>
      <c r="MDZ370" s="15"/>
      <c r="MEA370" s="10"/>
      <c r="MEB370" s="10"/>
      <c r="MEC370" s="21"/>
      <c r="MED370" s="21"/>
      <c r="MEG370" s="21"/>
      <c r="MEH370" s="15"/>
      <c r="MEI370" s="15"/>
      <c r="MEJ370" s="15"/>
      <c r="MEK370" s="15"/>
      <c r="MEL370" s="15"/>
      <c r="MEM370" s="15"/>
      <c r="MEN370" s="15"/>
      <c r="MEO370" s="15"/>
      <c r="MEP370" s="15"/>
      <c r="MEQ370" s="15"/>
      <c r="MER370" s="10"/>
      <c r="MES370" s="10"/>
      <c r="MET370" s="21"/>
      <c r="MEU370" s="21"/>
      <c r="MEX370" s="21"/>
      <c r="MEY370" s="15"/>
      <c r="MEZ370" s="15"/>
      <c r="MFA370" s="15"/>
      <c r="MFB370" s="15"/>
      <c r="MFC370" s="15"/>
      <c r="MFD370" s="15"/>
      <c r="MFE370" s="15"/>
      <c r="MFF370" s="15"/>
      <c r="MFG370" s="15"/>
      <c r="MFH370" s="15"/>
      <c r="MFI370" s="10"/>
      <c r="MFJ370" s="10"/>
      <c r="MFK370" s="21"/>
      <c r="MFL370" s="21"/>
      <c r="MFO370" s="21"/>
      <c r="MFP370" s="15"/>
      <c r="MFQ370" s="15"/>
      <c r="MFR370" s="15"/>
      <c r="MFS370" s="15"/>
      <c r="MFT370" s="15"/>
      <c r="MFU370" s="15"/>
      <c r="MFV370" s="15"/>
      <c r="MFW370" s="15"/>
      <c r="MFX370" s="15"/>
      <c r="MFY370" s="15"/>
      <c r="MFZ370" s="10"/>
      <c r="MGA370" s="10"/>
      <c r="MGB370" s="21"/>
      <c r="MGC370" s="21"/>
      <c r="MGF370" s="21"/>
      <c r="MGG370" s="15"/>
      <c r="MGH370" s="15"/>
      <c r="MGI370" s="15"/>
      <c r="MGJ370" s="15"/>
      <c r="MGK370" s="15"/>
      <c r="MGL370" s="15"/>
      <c r="MGM370" s="15"/>
      <c r="MGN370" s="15"/>
      <c r="MGO370" s="15"/>
      <c r="MGP370" s="15"/>
      <c r="MGQ370" s="10"/>
      <c r="MGR370" s="10"/>
      <c r="MGS370" s="21"/>
      <c r="MGT370" s="21"/>
      <c r="MGW370" s="21"/>
      <c r="MGX370" s="15"/>
      <c r="MGY370" s="15"/>
      <c r="MGZ370" s="15"/>
      <c r="MHA370" s="15"/>
      <c r="MHB370" s="15"/>
      <c r="MHC370" s="15"/>
      <c r="MHD370" s="15"/>
      <c r="MHE370" s="15"/>
      <c r="MHF370" s="15"/>
      <c r="MHG370" s="15"/>
      <c r="MHH370" s="10"/>
      <c r="MHI370" s="10"/>
      <c r="MHJ370" s="21"/>
      <c r="MHK370" s="21"/>
      <c r="MHN370" s="21"/>
      <c r="MHO370" s="15"/>
      <c r="MHP370" s="15"/>
      <c r="MHQ370" s="15"/>
      <c r="MHR370" s="15"/>
      <c r="MHS370" s="15"/>
      <c r="MHT370" s="15"/>
      <c r="MHU370" s="15"/>
      <c r="MHV370" s="15"/>
      <c r="MHW370" s="15"/>
      <c r="MHX370" s="15"/>
      <c r="MHY370" s="10"/>
      <c r="MHZ370" s="10"/>
      <c r="MIA370" s="21"/>
      <c r="MIB370" s="21"/>
      <c r="MIE370" s="21"/>
      <c r="MIF370" s="15"/>
      <c r="MIG370" s="15"/>
      <c r="MIH370" s="15"/>
      <c r="MII370" s="15"/>
      <c r="MIJ370" s="15"/>
      <c r="MIK370" s="15"/>
      <c r="MIL370" s="15"/>
      <c r="MIM370" s="15"/>
      <c r="MIN370" s="15"/>
      <c r="MIO370" s="15"/>
      <c r="MIP370" s="10"/>
      <c r="MIQ370" s="10"/>
      <c r="MIR370" s="21"/>
      <c r="MIS370" s="21"/>
      <c r="MIV370" s="21"/>
      <c r="MIW370" s="15"/>
      <c r="MIX370" s="15"/>
      <c r="MIY370" s="15"/>
      <c r="MIZ370" s="15"/>
      <c r="MJA370" s="15"/>
      <c r="MJB370" s="15"/>
      <c r="MJC370" s="15"/>
      <c r="MJD370" s="15"/>
      <c r="MJE370" s="15"/>
      <c r="MJF370" s="15"/>
      <c r="MJG370" s="10"/>
      <c r="MJH370" s="10"/>
      <c r="MJI370" s="21"/>
      <c r="MJJ370" s="21"/>
      <c r="MJM370" s="21"/>
      <c r="MJN370" s="15"/>
      <c r="MJO370" s="15"/>
      <c r="MJP370" s="15"/>
      <c r="MJQ370" s="15"/>
      <c r="MJR370" s="15"/>
      <c r="MJS370" s="15"/>
      <c r="MJT370" s="15"/>
      <c r="MJU370" s="15"/>
      <c r="MJV370" s="15"/>
      <c r="MJW370" s="15"/>
      <c r="MJX370" s="10"/>
      <c r="MJY370" s="10"/>
      <c r="MJZ370" s="21"/>
      <c r="MKA370" s="21"/>
      <c r="MKD370" s="21"/>
      <c r="MKE370" s="15"/>
      <c r="MKF370" s="15"/>
      <c r="MKG370" s="15"/>
      <c r="MKH370" s="15"/>
      <c r="MKI370" s="15"/>
      <c r="MKJ370" s="15"/>
      <c r="MKK370" s="15"/>
      <c r="MKL370" s="15"/>
      <c r="MKM370" s="15"/>
      <c r="MKN370" s="15"/>
      <c r="MKO370" s="10"/>
      <c r="MKP370" s="10"/>
      <c r="MKQ370" s="21"/>
      <c r="MKR370" s="21"/>
      <c r="MKU370" s="21"/>
      <c r="MKV370" s="15"/>
      <c r="MKW370" s="15"/>
      <c r="MKX370" s="15"/>
      <c r="MKY370" s="15"/>
      <c r="MKZ370" s="15"/>
      <c r="MLA370" s="15"/>
      <c r="MLB370" s="15"/>
      <c r="MLC370" s="15"/>
      <c r="MLD370" s="15"/>
      <c r="MLE370" s="15"/>
      <c r="MLF370" s="10"/>
      <c r="MLG370" s="10"/>
      <c r="MLH370" s="21"/>
      <c r="MLI370" s="21"/>
      <c r="MLL370" s="21"/>
      <c r="MLM370" s="15"/>
      <c r="MLN370" s="15"/>
      <c r="MLO370" s="15"/>
      <c r="MLP370" s="15"/>
      <c r="MLQ370" s="15"/>
      <c r="MLR370" s="15"/>
      <c r="MLS370" s="15"/>
      <c r="MLT370" s="15"/>
      <c r="MLU370" s="15"/>
      <c r="MLV370" s="15"/>
      <c r="MLW370" s="10"/>
      <c r="MLX370" s="10"/>
      <c r="MLY370" s="21"/>
      <c r="MLZ370" s="21"/>
      <c r="MMC370" s="21"/>
      <c r="MMD370" s="15"/>
      <c r="MME370" s="15"/>
      <c r="MMF370" s="15"/>
      <c r="MMG370" s="15"/>
      <c r="MMH370" s="15"/>
      <c r="MMI370" s="15"/>
      <c r="MMJ370" s="15"/>
      <c r="MMK370" s="15"/>
      <c r="MML370" s="15"/>
      <c r="MMM370" s="15"/>
      <c r="MMN370" s="10"/>
      <c r="MMO370" s="10"/>
      <c r="MMP370" s="21"/>
      <c r="MMQ370" s="21"/>
      <c r="MMT370" s="21"/>
      <c r="MMU370" s="15"/>
      <c r="MMV370" s="15"/>
      <c r="MMW370" s="15"/>
      <c r="MMX370" s="15"/>
      <c r="MMY370" s="15"/>
      <c r="MMZ370" s="15"/>
      <c r="MNA370" s="15"/>
      <c r="MNB370" s="15"/>
      <c r="MNC370" s="15"/>
      <c r="MND370" s="15"/>
      <c r="MNE370" s="10"/>
      <c r="MNF370" s="10"/>
      <c r="MNG370" s="21"/>
      <c r="MNH370" s="21"/>
      <c r="MNK370" s="21"/>
      <c r="MNL370" s="15"/>
      <c r="MNM370" s="15"/>
      <c r="MNN370" s="15"/>
      <c r="MNO370" s="15"/>
      <c r="MNP370" s="15"/>
      <c r="MNQ370" s="15"/>
      <c r="MNR370" s="15"/>
      <c r="MNS370" s="15"/>
      <c r="MNT370" s="15"/>
      <c r="MNU370" s="15"/>
      <c r="MNV370" s="10"/>
      <c r="MNW370" s="10"/>
      <c r="MNX370" s="21"/>
      <c r="MNY370" s="21"/>
      <c r="MOB370" s="21"/>
      <c r="MOC370" s="15"/>
      <c r="MOD370" s="15"/>
      <c r="MOE370" s="15"/>
      <c r="MOF370" s="15"/>
      <c r="MOG370" s="15"/>
      <c r="MOH370" s="15"/>
      <c r="MOI370" s="15"/>
      <c r="MOJ370" s="15"/>
      <c r="MOK370" s="15"/>
      <c r="MOL370" s="15"/>
      <c r="MOM370" s="10"/>
      <c r="MON370" s="10"/>
      <c r="MOO370" s="21"/>
      <c r="MOP370" s="21"/>
      <c r="MOS370" s="21"/>
      <c r="MOT370" s="15"/>
      <c r="MOU370" s="15"/>
      <c r="MOV370" s="15"/>
      <c r="MOW370" s="15"/>
      <c r="MOX370" s="15"/>
      <c r="MOY370" s="15"/>
      <c r="MOZ370" s="15"/>
      <c r="MPA370" s="15"/>
      <c r="MPB370" s="15"/>
      <c r="MPC370" s="15"/>
      <c r="MPD370" s="10"/>
      <c r="MPE370" s="10"/>
      <c r="MPF370" s="21"/>
      <c r="MPG370" s="21"/>
      <c r="MPJ370" s="21"/>
      <c r="MPK370" s="15"/>
      <c r="MPL370" s="15"/>
      <c r="MPM370" s="15"/>
      <c r="MPN370" s="15"/>
      <c r="MPO370" s="15"/>
      <c r="MPP370" s="15"/>
      <c r="MPQ370" s="15"/>
      <c r="MPR370" s="15"/>
      <c r="MPS370" s="15"/>
      <c r="MPT370" s="15"/>
      <c r="MPU370" s="10"/>
      <c r="MPV370" s="10"/>
      <c r="MPW370" s="21"/>
      <c r="MPX370" s="21"/>
      <c r="MQA370" s="21"/>
      <c r="MQB370" s="15"/>
      <c r="MQC370" s="15"/>
      <c r="MQD370" s="15"/>
      <c r="MQE370" s="15"/>
      <c r="MQF370" s="15"/>
      <c r="MQG370" s="15"/>
      <c r="MQH370" s="15"/>
      <c r="MQI370" s="15"/>
      <c r="MQJ370" s="15"/>
      <c r="MQK370" s="15"/>
      <c r="MQL370" s="10"/>
      <c r="MQM370" s="10"/>
      <c r="MQN370" s="21"/>
      <c r="MQO370" s="21"/>
      <c r="MQR370" s="21"/>
      <c r="MQS370" s="15"/>
      <c r="MQT370" s="15"/>
      <c r="MQU370" s="15"/>
      <c r="MQV370" s="15"/>
      <c r="MQW370" s="15"/>
      <c r="MQX370" s="15"/>
      <c r="MQY370" s="15"/>
      <c r="MQZ370" s="15"/>
      <c r="MRA370" s="15"/>
      <c r="MRB370" s="15"/>
      <c r="MRC370" s="10"/>
      <c r="MRD370" s="10"/>
      <c r="MRE370" s="21"/>
      <c r="MRF370" s="21"/>
      <c r="MRI370" s="21"/>
      <c r="MRJ370" s="15"/>
      <c r="MRK370" s="15"/>
      <c r="MRL370" s="15"/>
      <c r="MRM370" s="15"/>
      <c r="MRN370" s="15"/>
      <c r="MRO370" s="15"/>
      <c r="MRP370" s="15"/>
      <c r="MRQ370" s="15"/>
      <c r="MRR370" s="15"/>
      <c r="MRS370" s="15"/>
      <c r="MRT370" s="10"/>
      <c r="MRU370" s="10"/>
      <c r="MRV370" s="21"/>
      <c r="MRW370" s="21"/>
      <c r="MRZ370" s="21"/>
      <c r="MSA370" s="15"/>
      <c r="MSB370" s="15"/>
      <c r="MSC370" s="15"/>
      <c r="MSD370" s="15"/>
      <c r="MSE370" s="15"/>
      <c r="MSF370" s="15"/>
      <c r="MSG370" s="15"/>
      <c r="MSH370" s="15"/>
      <c r="MSI370" s="15"/>
      <c r="MSJ370" s="15"/>
      <c r="MSK370" s="10"/>
      <c r="MSL370" s="10"/>
      <c r="MSM370" s="21"/>
      <c r="MSN370" s="21"/>
      <c r="MSQ370" s="21"/>
      <c r="MSR370" s="15"/>
      <c r="MSS370" s="15"/>
      <c r="MST370" s="15"/>
      <c r="MSU370" s="15"/>
      <c r="MSV370" s="15"/>
      <c r="MSW370" s="15"/>
      <c r="MSX370" s="15"/>
      <c r="MSY370" s="15"/>
      <c r="MSZ370" s="15"/>
      <c r="MTA370" s="15"/>
      <c r="MTB370" s="10"/>
      <c r="MTC370" s="10"/>
      <c r="MTD370" s="21"/>
      <c r="MTE370" s="21"/>
      <c r="MTH370" s="21"/>
      <c r="MTI370" s="15"/>
      <c r="MTJ370" s="15"/>
      <c r="MTK370" s="15"/>
      <c r="MTL370" s="15"/>
      <c r="MTM370" s="15"/>
      <c r="MTN370" s="15"/>
      <c r="MTO370" s="15"/>
      <c r="MTP370" s="15"/>
      <c r="MTQ370" s="15"/>
      <c r="MTR370" s="15"/>
      <c r="MTS370" s="10"/>
      <c r="MTT370" s="10"/>
      <c r="MTU370" s="21"/>
      <c r="MTV370" s="21"/>
      <c r="MTY370" s="21"/>
      <c r="MTZ370" s="15"/>
      <c r="MUA370" s="15"/>
      <c r="MUB370" s="15"/>
      <c r="MUC370" s="15"/>
      <c r="MUD370" s="15"/>
      <c r="MUE370" s="15"/>
      <c r="MUF370" s="15"/>
      <c r="MUG370" s="15"/>
      <c r="MUH370" s="15"/>
      <c r="MUI370" s="15"/>
      <c r="MUJ370" s="10"/>
      <c r="MUK370" s="10"/>
      <c r="MUL370" s="21"/>
      <c r="MUM370" s="21"/>
      <c r="MUP370" s="21"/>
      <c r="MUQ370" s="15"/>
      <c r="MUR370" s="15"/>
      <c r="MUS370" s="15"/>
      <c r="MUT370" s="15"/>
      <c r="MUU370" s="15"/>
      <c r="MUV370" s="15"/>
      <c r="MUW370" s="15"/>
      <c r="MUX370" s="15"/>
      <c r="MUY370" s="15"/>
      <c r="MUZ370" s="15"/>
      <c r="MVA370" s="10"/>
      <c r="MVB370" s="10"/>
      <c r="MVC370" s="21"/>
      <c r="MVD370" s="21"/>
      <c r="MVG370" s="21"/>
      <c r="MVH370" s="15"/>
      <c r="MVI370" s="15"/>
      <c r="MVJ370" s="15"/>
      <c r="MVK370" s="15"/>
      <c r="MVL370" s="15"/>
      <c r="MVM370" s="15"/>
      <c r="MVN370" s="15"/>
      <c r="MVO370" s="15"/>
      <c r="MVP370" s="15"/>
      <c r="MVQ370" s="15"/>
      <c r="MVR370" s="10"/>
      <c r="MVS370" s="10"/>
      <c r="MVT370" s="21"/>
      <c r="MVU370" s="21"/>
      <c r="MVX370" s="21"/>
      <c r="MVY370" s="15"/>
      <c r="MVZ370" s="15"/>
      <c r="MWA370" s="15"/>
      <c r="MWB370" s="15"/>
      <c r="MWC370" s="15"/>
      <c r="MWD370" s="15"/>
      <c r="MWE370" s="15"/>
      <c r="MWF370" s="15"/>
      <c r="MWG370" s="15"/>
      <c r="MWH370" s="15"/>
      <c r="MWI370" s="10"/>
      <c r="MWJ370" s="10"/>
      <c r="MWK370" s="21"/>
      <c r="MWL370" s="21"/>
      <c r="MWO370" s="21"/>
      <c r="MWP370" s="15"/>
      <c r="MWQ370" s="15"/>
      <c r="MWR370" s="15"/>
      <c r="MWS370" s="15"/>
      <c r="MWT370" s="15"/>
      <c r="MWU370" s="15"/>
      <c r="MWV370" s="15"/>
      <c r="MWW370" s="15"/>
      <c r="MWX370" s="15"/>
      <c r="MWY370" s="15"/>
      <c r="MWZ370" s="10"/>
      <c r="MXA370" s="10"/>
      <c r="MXB370" s="21"/>
      <c r="MXC370" s="21"/>
      <c r="MXF370" s="21"/>
      <c r="MXG370" s="15"/>
      <c r="MXH370" s="15"/>
      <c r="MXI370" s="15"/>
      <c r="MXJ370" s="15"/>
      <c r="MXK370" s="15"/>
      <c r="MXL370" s="15"/>
      <c r="MXM370" s="15"/>
      <c r="MXN370" s="15"/>
      <c r="MXO370" s="15"/>
      <c r="MXP370" s="15"/>
      <c r="MXQ370" s="10"/>
      <c r="MXR370" s="10"/>
      <c r="MXS370" s="21"/>
      <c r="MXT370" s="21"/>
      <c r="MXW370" s="21"/>
      <c r="MXX370" s="15"/>
      <c r="MXY370" s="15"/>
      <c r="MXZ370" s="15"/>
      <c r="MYA370" s="15"/>
      <c r="MYB370" s="15"/>
      <c r="MYC370" s="15"/>
      <c r="MYD370" s="15"/>
      <c r="MYE370" s="15"/>
      <c r="MYF370" s="15"/>
      <c r="MYG370" s="15"/>
      <c r="MYH370" s="10"/>
      <c r="MYI370" s="10"/>
      <c r="MYJ370" s="21"/>
      <c r="MYK370" s="21"/>
      <c r="MYN370" s="21"/>
      <c r="MYO370" s="15"/>
      <c r="MYP370" s="15"/>
      <c r="MYQ370" s="15"/>
      <c r="MYR370" s="15"/>
      <c r="MYS370" s="15"/>
      <c r="MYT370" s="15"/>
      <c r="MYU370" s="15"/>
      <c r="MYV370" s="15"/>
      <c r="MYW370" s="15"/>
      <c r="MYX370" s="15"/>
      <c r="MYY370" s="10"/>
      <c r="MYZ370" s="10"/>
      <c r="MZA370" s="21"/>
      <c r="MZB370" s="21"/>
      <c r="MZE370" s="21"/>
      <c r="MZF370" s="15"/>
      <c r="MZG370" s="15"/>
      <c r="MZH370" s="15"/>
      <c r="MZI370" s="15"/>
      <c r="MZJ370" s="15"/>
      <c r="MZK370" s="15"/>
      <c r="MZL370" s="15"/>
      <c r="MZM370" s="15"/>
      <c r="MZN370" s="15"/>
      <c r="MZO370" s="15"/>
      <c r="MZP370" s="10"/>
      <c r="MZQ370" s="10"/>
      <c r="MZR370" s="21"/>
      <c r="MZS370" s="21"/>
      <c r="MZV370" s="21"/>
      <c r="MZW370" s="15"/>
      <c r="MZX370" s="15"/>
      <c r="MZY370" s="15"/>
      <c r="MZZ370" s="15"/>
      <c r="NAA370" s="15"/>
      <c r="NAB370" s="15"/>
      <c r="NAC370" s="15"/>
      <c r="NAD370" s="15"/>
      <c r="NAE370" s="15"/>
      <c r="NAF370" s="15"/>
      <c r="NAG370" s="10"/>
      <c r="NAH370" s="10"/>
      <c r="NAI370" s="21"/>
      <c r="NAJ370" s="21"/>
      <c r="NAM370" s="21"/>
      <c r="NAN370" s="15"/>
      <c r="NAO370" s="15"/>
      <c r="NAP370" s="15"/>
      <c r="NAQ370" s="15"/>
      <c r="NAR370" s="15"/>
      <c r="NAS370" s="15"/>
      <c r="NAT370" s="15"/>
      <c r="NAU370" s="15"/>
      <c r="NAV370" s="15"/>
      <c r="NAW370" s="15"/>
      <c r="NAX370" s="10"/>
      <c r="NAY370" s="10"/>
      <c r="NAZ370" s="21"/>
      <c r="NBA370" s="21"/>
      <c r="NBD370" s="21"/>
      <c r="NBE370" s="15"/>
      <c r="NBF370" s="15"/>
      <c r="NBG370" s="15"/>
      <c r="NBH370" s="15"/>
      <c r="NBI370" s="15"/>
      <c r="NBJ370" s="15"/>
      <c r="NBK370" s="15"/>
      <c r="NBL370" s="15"/>
      <c r="NBM370" s="15"/>
      <c r="NBN370" s="15"/>
      <c r="NBO370" s="10"/>
      <c r="NBP370" s="10"/>
      <c r="NBQ370" s="21"/>
      <c r="NBR370" s="21"/>
      <c r="NBU370" s="21"/>
      <c r="NBV370" s="15"/>
      <c r="NBW370" s="15"/>
      <c r="NBX370" s="15"/>
      <c r="NBY370" s="15"/>
      <c r="NBZ370" s="15"/>
      <c r="NCA370" s="15"/>
      <c r="NCB370" s="15"/>
      <c r="NCC370" s="15"/>
      <c r="NCD370" s="15"/>
      <c r="NCE370" s="15"/>
      <c r="NCF370" s="10"/>
      <c r="NCG370" s="10"/>
      <c r="NCH370" s="21"/>
      <c r="NCI370" s="21"/>
      <c r="NCL370" s="21"/>
      <c r="NCM370" s="15"/>
      <c r="NCN370" s="15"/>
      <c r="NCO370" s="15"/>
      <c r="NCP370" s="15"/>
      <c r="NCQ370" s="15"/>
      <c r="NCR370" s="15"/>
      <c r="NCS370" s="15"/>
      <c r="NCT370" s="15"/>
      <c r="NCU370" s="15"/>
      <c r="NCV370" s="15"/>
      <c r="NCW370" s="10"/>
      <c r="NCX370" s="10"/>
      <c r="NCY370" s="21"/>
      <c r="NCZ370" s="21"/>
      <c r="NDC370" s="21"/>
      <c r="NDD370" s="15"/>
      <c r="NDE370" s="15"/>
      <c r="NDF370" s="15"/>
      <c r="NDG370" s="15"/>
      <c r="NDH370" s="15"/>
      <c r="NDI370" s="15"/>
      <c r="NDJ370" s="15"/>
      <c r="NDK370" s="15"/>
      <c r="NDL370" s="15"/>
      <c r="NDM370" s="15"/>
      <c r="NDN370" s="10"/>
      <c r="NDO370" s="10"/>
      <c r="NDP370" s="21"/>
      <c r="NDQ370" s="21"/>
      <c r="NDT370" s="21"/>
      <c r="NDU370" s="15"/>
      <c r="NDV370" s="15"/>
      <c r="NDW370" s="15"/>
      <c r="NDX370" s="15"/>
      <c r="NDY370" s="15"/>
      <c r="NDZ370" s="15"/>
      <c r="NEA370" s="15"/>
      <c r="NEB370" s="15"/>
      <c r="NEC370" s="15"/>
      <c r="NED370" s="15"/>
      <c r="NEE370" s="10"/>
      <c r="NEF370" s="10"/>
      <c r="NEG370" s="21"/>
      <c r="NEH370" s="21"/>
      <c r="NEK370" s="21"/>
      <c r="NEL370" s="15"/>
      <c r="NEM370" s="15"/>
      <c r="NEN370" s="15"/>
      <c r="NEO370" s="15"/>
      <c r="NEP370" s="15"/>
      <c r="NEQ370" s="15"/>
      <c r="NER370" s="15"/>
      <c r="NES370" s="15"/>
      <c r="NET370" s="15"/>
      <c r="NEU370" s="15"/>
      <c r="NEV370" s="10"/>
      <c r="NEW370" s="10"/>
      <c r="NEX370" s="21"/>
      <c r="NEY370" s="21"/>
      <c r="NFB370" s="21"/>
      <c r="NFC370" s="15"/>
      <c r="NFD370" s="15"/>
      <c r="NFE370" s="15"/>
      <c r="NFF370" s="15"/>
      <c r="NFG370" s="15"/>
      <c r="NFH370" s="15"/>
      <c r="NFI370" s="15"/>
      <c r="NFJ370" s="15"/>
      <c r="NFK370" s="15"/>
      <c r="NFL370" s="15"/>
      <c r="NFM370" s="10"/>
      <c r="NFN370" s="10"/>
      <c r="NFO370" s="21"/>
      <c r="NFP370" s="21"/>
      <c r="NFS370" s="21"/>
      <c r="NFT370" s="15"/>
      <c r="NFU370" s="15"/>
      <c r="NFV370" s="15"/>
      <c r="NFW370" s="15"/>
      <c r="NFX370" s="15"/>
      <c r="NFY370" s="15"/>
      <c r="NFZ370" s="15"/>
      <c r="NGA370" s="15"/>
      <c r="NGB370" s="15"/>
      <c r="NGC370" s="15"/>
      <c r="NGD370" s="10"/>
      <c r="NGE370" s="10"/>
      <c r="NGF370" s="21"/>
      <c r="NGG370" s="21"/>
      <c r="NGJ370" s="21"/>
      <c r="NGK370" s="15"/>
      <c r="NGL370" s="15"/>
      <c r="NGM370" s="15"/>
      <c r="NGN370" s="15"/>
      <c r="NGO370" s="15"/>
      <c r="NGP370" s="15"/>
      <c r="NGQ370" s="15"/>
      <c r="NGR370" s="15"/>
      <c r="NGS370" s="15"/>
      <c r="NGT370" s="15"/>
      <c r="NGU370" s="10"/>
      <c r="NGV370" s="10"/>
      <c r="NGW370" s="21"/>
      <c r="NGX370" s="21"/>
      <c r="NHA370" s="21"/>
      <c r="NHB370" s="15"/>
      <c r="NHC370" s="15"/>
      <c r="NHD370" s="15"/>
      <c r="NHE370" s="15"/>
      <c r="NHF370" s="15"/>
      <c r="NHG370" s="15"/>
      <c r="NHH370" s="15"/>
      <c r="NHI370" s="15"/>
      <c r="NHJ370" s="15"/>
      <c r="NHK370" s="15"/>
      <c r="NHL370" s="10"/>
      <c r="NHM370" s="10"/>
      <c r="NHN370" s="21"/>
      <c r="NHO370" s="21"/>
      <c r="NHR370" s="21"/>
      <c r="NHS370" s="15"/>
      <c r="NHT370" s="15"/>
      <c r="NHU370" s="15"/>
      <c r="NHV370" s="15"/>
      <c r="NHW370" s="15"/>
      <c r="NHX370" s="15"/>
      <c r="NHY370" s="15"/>
      <c r="NHZ370" s="15"/>
      <c r="NIA370" s="15"/>
      <c r="NIB370" s="15"/>
      <c r="NIC370" s="10"/>
      <c r="NID370" s="10"/>
      <c r="NIE370" s="21"/>
      <c r="NIF370" s="21"/>
      <c r="NII370" s="21"/>
      <c r="NIJ370" s="15"/>
      <c r="NIK370" s="15"/>
      <c r="NIL370" s="15"/>
      <c r="NIM370" s="15"/>
      <c r="NIN370" s="15"/>
      <c r="NIO370" s="15"/>
      <c r="NIP370" s="15"/>
      <c r="NIQ370" s="15"/>
      <c r="NIR370" s="15"/>
      <c r="NIS370" s="15"/>
      <c r="NIT370" s="10"/>
      <c r="NIU370" s="10"/>
      <c r="NIV370" s="21"/>
      <c r="NIW370" s="21"/>
      <c r="NIZ370" s="21"/>
      <c r="NJA370" s="15"/>
      <c r="NJB370" s="15"/>
      <c r="NJC370" s="15"/>
      <c r="NJD370" s="15"/>
      <c r="NJE370" s="15"/>
      <c r="NJF370" s="15"/>
      <c r="NJG370" s="15"/>
      <c r="NJH370" s="15"/>
      <c r="NJI370" s="15"/>
      <c r="NJJ370" s="15"/>
      <c r="NJK370" s="10"/>
      <c r="NJL370" s="10"/>
      <c r="NJM370" s="21"/>
      <c r="NJN370" s="21"/>
      <c r="NJQ370" s="21"/>
      <c r="NJR370" s="15"/>
      <c r="NJS370" s="15"/>
      <c r="NJT370" s="15"/>
      <c r="NJU370" s="15"/>
      <c r="NJV370" s="15"/>
      <c r="NJW370" s="15"/>
      <c r="NJX370" s="15"/>
      <c r="NJY370" s="15"/>
      <c r="NJZ370" s="15"/>
      <c r="NKA370" s="15"/>
      <c r="NKB370" s="10"/>
      <c r="NKC370" s="10"/>
      <c r="NKD370" s="21"/>
      <c r="NKE370" s="21"/>
      <c r="NKH370" s="21"/>
      <c r="NKI370" s="15"/>
      <c r="NKJ370" s="15"/>
      <c r="NKK370" s="15"/>
      <c r="NKL370" s="15"/>
      <c r="NKM370" s="15"/>
      <c r="NKN370" s="15"/>
      <c r="NKO370" s="15"/>
      <c r="NKP370" s="15"/>
      <c r="NKQ370" s="15"/>
      <c r="NKR370" s="15"/>
      <c r="NKS370" s="10"/>
      <c r="NKT370" s="10"/>
      <c r="NKU370" s="21"/>
      <c r="NKV370" s="21"/>
      <c r="NKY370" s="21"/>
      <c r="NKZ370" s="15"/>
      <c r="NLA370" s="15"/>
      <c r="NLB370" s="15"/>
      <c r="NLC370" s="15"/>
      <c r="NLD370" s="15"/>
      <c r="NLE370" s="15"/>
      <c r="NLF370" s="15"/>
      <c r="NLG370" s="15"/>
      <c r="NLH370" s="15"/>
      <c r="NLI370" s="15"/>
      <c r="NLJ370" s="10"/>
      <c r="NLK370" s="10"/>
      <c r="NLL370" s="21"/>
      <c r="NLM370" s="21"/>
      <c r="NLP370" s="21"/>
      <c r="NLQ370" s="15"/>
      <c r="NLR370" s="15"/>
      <c r="NLS370" s="15"/>
      <c r="NLT370" s="15"/>
      <c r="NLU370" s="15"/>
      <c r="NLV370" s="15"/>
      <c r="NLW370" s="15"/>
      <c r="NLX370" s="15"/>
      <c r="NLY370" s="15"/>
      <c r="NLZ370" s="15"/>
      <c r="NMA370" s="10"/>
      <c r="NMB370" s="10"/>
      <c r="NMC370" s="21"/>
      <c r="NMD370" s="21"/>
      <c r="NMG370" s="21"/>
      <c r="NMH370" s="15"/>
      <c r="NMI370" s="15"/>
      <c r="NMJ370" s="15"/>
      <c r="NMK370" s="15"/>
      <c r="NML370" s="15"/>
      <c r="NMM370" s="15"/>
      <c r="NMN370" s="15"/>
      <c r="NMO370" s="15"/>
      <c r="NMP370" s="15"/>
      <c r="NMQ370" s="15"/>
      <c r="NMR370" s="10"/>
      <c r="NMS370" s="10"/>
      <c r="NMT370" s="21"/>
      <c r="NMU370" s="21"/>
      <c r="NMX370" s="21"/>
      <c r="NMY370" s="15"/>
      <c r="NMZ370" s="15"/>
      <c r="NNA370" s="15"/>
      <c r="NNB370" s="15"/>
      <c r="NNC370" s="15"/>
      <c r="NND370" s="15"/>
      <c r="NNE370" s="15"/>
      <c r="NNF370" s="15"/>
      <c r="NNG370" s="15"/>
      <c r="NNH370" s="15"/>
      <c r="NNI370" s="10"/>
      <c r="NNJ370" s="10"/>
      <c r="NNK370" s="21"/>
      <c r="NNL370" s="21"/>
      <c r="NNO370" s="21"/>
      <c r="NNP370" s="15"/>
      <c r="NNQ370" s="15"/>
      <c r="NNR370" s="15"/>
      <c r="NNS370" s="15"/>
      <c r="NNT370" s="15"/>
      <c r="NNU370" s="15"/>
      <c r="NNV370" s="15"/>
      <c r="NNW370" s="15"/>
      <c r="NNX370" s="15"/>
      <c r="NNY370" s="15"/>
      <c r="NNZ370" s="10"/>
      <c r="NOA370" s="10"/>
      <c r="NOB370" s="21"/>
      <c r="NOC370" s="21"/>
      <c r="NOF370" s="21"/>
      <c r="NOG370" s="15"/>
      <c r="NOH370" s="15"/>
      <c r="NOI370" s="15"/>
      <c r="NOJ370" s="15"/>
      <c r="NOK370" s="15"/>
      <c r="NOL370" s="15"/>
      <c r="NOM370" s="15"/>
      <c r="NON370" s="15"/>
      <c r="NOO370" s="15"/>
      <c r="NOP370" s="15"/>
      <c r="NOQ370" s="10"/>
      <c r="NOR370" s="10"/>
      <c r="NOS370" s="21"/>
      <c r="NOT370" s="21"/>
      <c r="NOW370" s="21"/>
      <c r="NOX370" s="15"/>
      <c r="NOY370" s="15"/>
      <c r="NOZ370" s="15"/>
      <c r="NPA370" s="15"/>
      <c r="NPB370" s="15"/>
      <c r="NPC370" s="15"/>
      <c r="NPD370" s="15"/>
      <c r="NPE370" s="15"/>
      <c r="NPF370" s="15"/>
      <c r="NPG370" s="15"/>
      <c r="NPH370" s="10"/>
      <c r="NPI370" s="10"/>
      <c r="NPJ370" s="21"/>
      <c r="NPK370" s="21"/>
      <c r="NPN370" s="21"/>
      <c r="NPO370" s="15"/>
      <c r="NPP370" s="15"/>
      <c r="NPQ370" s="15"/>
      <c r="NPR370" s="15"/>
      <c r="NPS370" s="15"/>
      <c r="NPT370" s="15"/>
      <c r="NPU370" s="15"/>
      <c r="NPV370" s="15"/>
      <c r="NPW370" s="15"/>
      <c r="NPX370" s="15"/>
      <c r="NPY370" s="10"/>
      <c r="NPZ370" s="10"/>
      <c r="NQA370" s="21"/>
      <c r="NQB370" s="21"/>
      <c r="NQE370" s="21"/>
      <c r="NQF370" s="15"/>
      <c r="NQG370" s="15"/>
      <c r="NQH370" s="15"/>
      <c r="NQI370" s="15"/>
      <c r="NQJ370" s="15"/>
      <c r="NQK370" s="15"/>
      <c r="NQL370" s="15"/>
      <c r="NQM370" s="15"/>
      <c r="NQN370" s="15"/>
      <c r="NQO370" s="15"/>
      <c r="NQP370" s="10"/>
      <c r="NQQ370" s="10"/>
      <c r="NQR370" s="21"/>
      <c r="NQS370" s="21"/>
      <c r="NQV370" s="21"/>
      <c r="NQW370" s="15"/>
      <c r="NQX370" s="15"/>
      <c r="NQY370" s="15"/>
      <c r="NQZ370" s="15"/>
      <c r="NRA370" s="15"/>
      <c r="NRB370" s="15"/>
      <c r="NRC370" s="15"/>
      <c r="NRD370" s="15"/>
      <c r="NRE370" s="15"/>
      <c r="NRF370" s="15"/>
      <c r="NRG370" s="10"/>
      <c r="NRH370" s="10"/>
      <c r="NRI370" s="21"/>
      <c r="NRJ370" s="21"/>
      <c r="NRM370" s="21"/>
      <c r="NRN370" s="15"/>
      <c r="NRO370" s="15"/>
      <c r="NRP370" s="15"/>
      <c r="NRQ370" s="15"/>
      <c r="NRR370" s="15"/>
      <c r="NRS370" s="15"/>
      <c r="NRT370" s="15"/>
      <c r="NRU370" s="15"/>
      <c r="NRV370" s="15"/>
      <c r="NRW370" s="15"/>
      <c r="NRX370" s="10"/>
      <c r="NRY370" s="10"/>
      <c r="NRZ370" s="21"/>
      <c r="NSA370" s="21"/>
      <c r="NSD370" s="21"/>
      <c r="NSE370" s="15"/>
      <c r="NSF370" s="15"/>
      <c r="NSG370" s="15"/>
      <c r="NSH370" s="15"/>
      <c r="NSI370" s="15"/>
      <c r="NSJ370" s="15"/>
      <c r="NSK370" s="15"/>
      <c r="NSL370" s="15"/>
      <c r="NSM370" s="15"/>
      <c r="NSN370" s="15"/>
      <c r="NSO370" s="10"/>
      <c r="NSP370" s="10"/>
      <c r="NSQ370" s="21"/>
      <c r="NSR370" s="21"/>
      <c r="NSU370" s="21"/>
      <c r="NSV370" s="15"/>
      <c r="NSW370" s="15"/>
      <c r="NSX370" s="15"/>
      <c r="NSY370" s="15"/>
      <c r="NSZ370" s="15"/>
      <c r="NTA370" s="15"/>
      <c r="NTB370" s="15"/>
      <c r="NTC370" s="15"/>
      <c r="NTD370" s="15"/>
      <c r="NTE370" s="15"/>
      <c r="NTF370" s="10"/>
      <c r="NTG370" s="10"/>
      <c r="NTH370" s="21"/>
      <c r="NTI370" s="21"/>
      <c r="NTL370" s="21"/>
      <c r="NTM370" s="15"/>
      <c r="NTN370" s="15"/>
      <c r="NTO370" s="15"/>
      <c r="NTP370" s="15"/>
      <c r="NTQ370" s="15"/>
      <c r="NTR370" s="15"/>
      <c r="NTS370" s="15"/>
      <c r="NTT370" s="15"/>
      <c r="NTU370" s="15"/>
      <c r="NTV370" s="15"/>
      <c r="NTW370" s="10"/>
      <c r="NTX370" s="10"/>
      <c r="NTY370" s="21"/>
      <c r="NTZ370" s="21"/>
      <c r="NUC370" s="21"/>
      <c r="NUD370" s="15"/>
      <c r="NUE370" s="15"/>
      <c r="NUF370" s="15"/>
      <c r="NUG370" s="15"/>
      <c r="NUH370" s="15"/>
      <c r="NUI370" s="15"/>
      <c r="NUJ370" s="15"/>
      <c r="NUK370" s="15"/>
      <c r="NUL370" s="15"/>
      <c r="NUM370" s="15"/>
      <c r="NUN370" s="10"/>
      <c r="NUO370" s="10"/>
      <c r="NUP370" s="21"/>
      <c r="NUQ370" s="21"/>
      <c r="NUT370" s="21"/>
      <c r="NUU370" s="15"/>
      <c r="NUV370" s="15"/>
      <c r="NUW370" s="15"/>
      <c r="NUX370" s="15"/>
      <c r="NUY370" s="15"/>
      <c r="NUZ370" s="15"/>
      <c r="NVA370" s="15"/>
      <c r="NVB370" s="15"/>
      <c r="NVC370" s="15"/>
      <c r="NVD370" s="15"/>
      <c r="NVE370" s="10"/>
      <c r="NVF370" s="10"/>
      <c r="NVG370" s="21"/>
      <c r="NVH370" s="21"/>
      <c r="NVK370" s="21"/>
      <c r="NVL370" s="15"/>
      <c r="NVM370" s="15"/>
      <c r="NVN370" s="15"/>
      <c r="NVO370" s="15"/>
      <c r="NVP370" s="15"/>
      <c r="NVQ370" s="15"/>
      <c r="NVR370" s="15"/>
      <c r="NVS370" s="15"/>
      <c r="NVT370" s="15"/>
      <c r="NVU370" s="15"/>
      <c r="NVV370" s="10"/>
      <c r="NVW370" s="10"/>
      <c r="NVX370" s="21"/>
      <c r="NVY370" s="21"/>
      <c r="NWB370" s="21"/>
      <c r="NWC370" s="15"/>
      <c r="NWD370" s="15"/>
      <c r="NWE370" s="15"/>
      <c r="NWF370" s="15"/>
      <c r="NWG370" s="15"/>
      <c r="NWH370" s="15"/>
      <c r="NWI370" s="15"/>
      <c r="NWJ370" s="15"/>
      <c r="NWK370" s="15"/>
      <c r="NWL370" s="15"/>
      <c r="NWM370" s="10"/>
      <c r="NWN370" s="10"/>
      <c r="NWO370" s="21"/>
      <c r="NWP370" s="21"/>
      <c r="NWS370" s="21"/>
      <c r="NWT370" s="15"/>
      <c r="NWU370" s="15"/>
      <c r="NWV370" s="15"/>
      <c r="NWW370" s="15"/>
      <c r="NWX370" s="15"/>
      <c r="NWY370" s="15"/>
      <c r="NWZ370" s="15"/>
      <c r="NXA370" s="15"/>
      <c r="NXB370" s="15"/>
      <c r="NXC370" s="15"/>
      <c r="NXD370" s="10"/>
      <c r="NXE370" s="10"/>
      <c r="NXF370" s="21"/>
      <c r="NXG370" s="21"/>
      <c r="NXJ370" s="21"/>
      <c r="NXK370" s="15"/>
      <c r="NXL370" s="15"/>
      <c r="NXM370" s="15"/>
      <c r="NXN370" s="15"/>
      <c r="NXO370" s="15"/>
      <c r="NXP370" s="15"/>
      <c r="NXQ370" s="15"/>
      <c r="NXR370" s="15"/>
      <c r="NXS370" s="15"/>
      <c r="NXT370" s="15"/>
      <c r="NXU370" s="10"/>
      <c r="NXV370" s="10"/>
      <c r="NXW370" s="21"/>
      <c r="NXX370" s="21"/>
      <c r="NYA370" s="21"/>
      <c r="NYB370" s="15"/>
      <c r="NYC370" s="15"/>
      <c r="NYD370" s="15"/>
      <c r="NYE370" s="15"/>
      <c r="NYF370" s="15"/>
      <c r="NYG370" s="15"/>
      <c r="NYH370" s="15"/>
      <c r="NYI370" s="15"/>
      <c r="NYJ370" s="15"/>
      <c r="NYK370" s="15"/>
      <c r="NYL370" s="10"/>
      <c r="NYM370" s="10"/>
      <c r="NYN370" s="21"/>
      <c r="NYO370" s="21"/>
      <c r="NYR370" s="21"/>
      <c r="NYS370" s="15"/>
      <c r="NYT370" s="15"/>
      <c r="NYU370" s="15"/>
      <c r="NYV370" s="15"/>
      <c r="NYW370" s="15"/>
      <c r="NYX370" s="15"/>
      <c r="NYY370" s="15"/>
      <c r="NYZ370" s="15"/>
      <c r="NZA370" s="15"/>
      <c r="NZB370" s="15"/>
      <c r="NZC370" s="10"/>
      <c r="NZD370" s="10"/>
      <c r="NZE370" s="21"/>
      <c r="NZF370" s="21"/>
      <c r="NZI370" s="21"/>
      <c r="NZJ370" s="15"/>
      <c r="NZK370" s="15"/>
      <c r="NZL370" s="15"/>
      <c r="NZM370" s="15"/>
      <c r="NZN370" s="15"/>
      <c r="NZO370" s="15"/>
      <c r="NZP370" s="15"/>
      <c r="NZQ370" s="15"/>
      <c r="NZR370" s="15"/>
      <c r="NZS370" s="15"/>
      <c r="NZT370" s="10"/>
      <c r="NZU370" s="10"/>
      <c r="NZV370" s="21"/>
      <c r="NZW370" s="21"/>
      <c r="NZZ370" s="21"/>
      <c r="OAA370" s="15"/>
      <c r="OAB370" s="15"/>
      <c r="OAC370" s="15"/>
      <c r="OAD370" s="15"/>
      <c r="OAE370" s="15"/>
      <c r="OAF370" s="15"/>
      <c r="OAG370" s="15"/>
      <c r="OAH370" s="15"/>
      <c r="OAI370" s="15"/>
      <c r="OAJ370" s="15"/>
      <c r="OAK370" s="10"/>
      <c r="OAL370" s="10"/>
      <c r="OAM370" s="21"/>
      <c r="OAN370" s="21"/>
      <c r="OAQ370" s="21"/>
      <c r="OAR370" s="15"/>
      <c r="OAS370" s="15"/>
      <c r="OAT370" s="15"/>
      <c r="OAU370" s="15"/>
      <c r="OAV370" s="15"/>
      <c r="OAW370" s="15"/>
      <c r="OAX370" s="15"/>
      <c r="OAY370" s="15"/>
      <c r="OAZ370" s="15"/>
      <c r="OBA370" s="15"/>
      <c r="OBB370" s="10"/>
      <c r="OBC370" s="10"/>
      <c r="OBD370" s="21"/>
      <c r="OBE370" s="21"/>
      <c r="OBH370" s="21"/>
      <c r="OBI370" s="15"/>
      <c r="OBJ370" s="15"/>
      <c r="OBK370" s="15"/>
      <c r="OBL370" s="15"/>
      <c r="OBM370" s="15"/>
      <c r="OBN370" s="15"/>
      <c r="OBO370" s="15"/>
      <c r="OBP370" s="15"/>
      <c r="OBQ370" s="15"/>
      <c r="OBR370" s="15"/>
      <c r="OBS370" s="10"/>
      <c r="OBT370" s="10"/>
      <c r="OBU370" s="21"/>
      <c r="OBV370" s="21"/>
      <c r="OBY370" s="21"/>
      <c r="OBZ370" s="15"/>
      <c r="OCA370" s="15"/>
      <c r="OCB370" s="15"/>
      <c r="OCC370" s="15"/>
      <c r="OCD370" s="15"/>
      <c r="OCE370" s="15"/>
      <c r="OCF370" s="15"/>
      <c r="OCG370" s="15"/>
      <c r="OCH370" s="15"/>
      <c r="OCI370" s="15"/>
      <c r="OCJ370" s="10"/>
      <c r="OCK370" s="10"/>
      <c r="OCL370" s="21"/>
      <c r="OCM370" s="21"/>
      <c r="OCP370" s="21"/>
      <c r="OCQ370" s="15"/>
      <c r="OCR370" s="15"/>
      <c r="OCS370" s="15"/>
      <c r="OCT370" s="15"/>
      <c r="OCU370" s="15"/>
      <c r="OCV370" s="15"/>
      <c r="OCW370" s="15"/>
      <c r="OCX370" s="15"/>
      <c r="OCY370" s="15"/>
      <c r="OCZ370" s="15"/>
      <c r="ODA370" s="10"/>
      <c r="ODB370" s="10"/>
      <c r="ODC370" s="21"/>
      <c r="ODD370" s="21"/>
      <c r="ODG370" s="21"/>
      <c r="ODH370" s="15"/>
      <c r="ODI370" s="15"/>
      <c r="ODJ370" s="15"/>
      <c r="ODK370" s="15"/>
      <c r="ODL370" s="15"/>
      <c r="ODM370" s="15"/>
      <c r="ODN370" s="15"/>
      <c r="ODO370" s="15"/>
      <c r="ODP370" s="15"/>
      <c r="ODQ370" s="15"/>
      <c r="ODR370" s="10"/>
      <c r="ODS370" s="10"/>
      <c r="ODT370" s="21"/>
      <c r="ODU370" s="21"/>
      <c r="ODX370" s="21"/>
      <c r="ODY370" s="15"/>
      <c r="ODZ370" s="15"/>
      <c r="OEA370" s="15"/>
      <c r="OEB370" s="15"/>
      <c r="OEC370" s="15"/>
      <c r="OED370" s="15"/>
      <c r="OEE370" s="15"/>
      <c r="OEF370" s="15"/>
      <c r="OEG370" s="15"/>
      <c r="OEH370" s="15"/>
      <c r="OEI370" s="10"/>
      <c r="OEJ370" s="10"/>
      <c r="OEK370" s="21"/>
      <c r="OEL370" s="21"/>
      <c r="OEO370" s="21"/>
      <c r="OEP370" s="15"/>
      <c r="OEQ370" s="15"/>
      <c r="OER370" s="15"/>
      <c r="OES370" s="15"/>
      <c r="OET370" s="15"/>
      <c r="OEU370" s="15"/>
      <c r="OEV370" s="15"/>
      <c r="OEW370" s="15"/>
      <c r="OEX370" s="15"/>
      <c r="OEY370" s="15"/>
      <c r="OEZ370" s="10"/>
      <c r="OFA370" s="10"/>
      <c r="OFB370" s="21"/>
      <c r="OFC370" s="21"/>
      <c r="OFF370" s="21"/>
      <c r="OFG370" s="15"/>
      <c r="OFH370" s="15"/>
      <c r="OFI370" s="15"/>
      <c r="OFJ370" s="15"/>
      <c r="OFK370" s="15"/>
      <c r="OFL370" s="15"/>
      <c r="OFM370" s="15"/>
      <c r="OFN370" s="15"/>
      <c r="OFO370" s="15"/>
      <c r="OFP370" s="15"/>
      <c r="OFQ370" s="10"/>
      <c r="OFR370" s="10"/>
      <c r="OFS370" s="21"/>
      <c r="OFT370" s="21"/>
      <c r="OFW370" s="21"/>
      <c r="OFX370" s="15"/>
      <c r="OFY370" s="15"/>
      <c r="OFZ370" s="15"/>
      <c r="OGA370" s="15"/>
      <c r="OGB370" s="15"/>
      <c r="OGC370" s="15"/>
      <c r="OGD370" s="15"/>
      <c r="OGE370" s="15"/>
      <c r="OGF370" s="15"/>
      <c r="OGG370" s="15"/>
      <c r="OGH370" s="10"/>
      <c r="OGI370" s="10"/>
      <c r="OGJ370" s="21"/>
      <c r="OGK370" s="21"/>
      <c r="OGN370" s="21"/>
      <c r="OGO370" s="15"/>
      <c r="OGP370" s="15"/>
      <c r="OGQ370" s="15"/>
      <c r="OGR370" s="15"/>
      <c r="OGS370" s="15"/>
      <c r="OGT370" s="15"/>
      <c r="OGU370" s="15"/>
      <c r="OGV370" s="15"/>
      <c r="OGW370" s="15"/>
      <c r="OGX370" s="15"/>
      <c r="OGY370" s="10"/>
      <c r="OGZ370" s="10"/>
      <c r="OHA370" s="21"/>
      <c r="OHB370" s="21"/>
      <c r="OHE370" s="21"/>
      <c r="OHF370" s="15"/>
      <c r="OHG370" s="15"/>
      <c r="OHH370" s="15"/>
      <c r="OHI370" s="15"/>
      <c r="OHJ370" s="15"/>
      <c r="OHK370" s="15"/>
      <c r="OHL370" s="15"/>
      <c r="OHM370" s="15"/>
      <c r="OHN370" s="15"/>
      <c r="OHO370" s="15"/>
      <c r="OHP370" s="10"/>
      <c r="OHQ370" s="10"/>
      <c r="OHR370" s="21"/>
      <c r="OHS370" s="21"/>
      <c r="OHV370" s="21"/>
      <c r="OHW370" s="15"/>
      <c r="OHX370" s="15"/>
      <c r="OHY370" s="15"/>
      <c r="OHZ370" s="15"/>
      <c r="OIA370" s="15"/>
      <c r="OIB370" s="15"/>
      <c r="OIC370" s="15"/>
      <c r="OID370" s="15"/>
      <c r="OIE370" s="15"/>
      <c r="OIF370" s="15"/>
      <c r="OIG370" s="10"/>
      <c r="OIH370" s="10"/>
      <c r="OII370" s="21"/>
      <c r="OIJ370" s="21"/>
      <c r="OIM370" s="21"/>
      <c r="OIN370" s="15"/>
      <c r="OIO370" s="15"/>
      <c r="OIP370" s="15"/>
      <c r="OIQ370" s="15"/>
      <c r="OIR370" s="15"/>
      <c r="OIS370" s="15"/>
      <c r="OIT370" s="15"/>
      <c r="OIU370" s="15"/>
      <c r="OIV370" s="15"/>
      <c r="OIW370" s="15"/>
      <c r="OIX370" s="10"/>
      <c r="OIY370" s="10"/>
      <c r="OIZ370" s="21"/>
      <c r="OJA370" s="21"/>
      <c r="OJD370" s="21"/>
      <c r="OJE370" s="15"/>
      <c r="OJF370" s="15"/>
      <c r="OJG370" s="15"/>
      <c r="OJH370" s="15"/>
      <c r="OJI370" s="15"/>
      <c r="OJJ370" s="15"/>
      <c r="OJK370" s="15"/>
      <c r="OJL370" s="15"/>
      <c r="OJM370" s="15"/>
      <c r="OJN370" s="15"/>
      <c r="OJO370" s="10"/>
      <c r="OJP370" s="10"/>
      <c r="OJQ370" s="21"/>
      <c r="OJR370" s="21"/>
      <c r="OJU370" s="21"/>
      <c r="OJV370" s="15"/>
      <c r="OJW370" s="15"/>
      <c r="OJX370" s="15"/>
      <c r="OJY370" s="15"/>
      <c r="OJZ370" s="15"/>
      <c r="OKA370" s="15"/>
      <c r="OKB370" s="15"/>
      <c r="OKC370" s="15"/>
      <c r="OKD370" s="15"/>
      <c r="OKE370" s="15"/>
      <c r="OKF370" s="10"/>
      <c r="OKG370" s="10"/>
      <c r="OKH370" s="21"/>
      <c r="OKI370" s="21"/>
      <c r="OKL370" s="21"/>
      <c r="OKM370" s="15"/>
      <c r="OKN370" s="15"/>
      <c r="OKO370" s="15"/>
      <c r="OKP370" s="15"/>
      <c r="OKQ370" s="15"/>
      <c r="OKR370" s="15"/>
      <c r="OKS370" s="15"/>
      <c r="OKT370" s="15"/>
      <c r="OKU370" s="15"/>
      <c r="OKV370" s="15"/>
      <c r="OKW370" s="10"/>
      <c r="OKX370" s="10"/>
      <c r="OKY370" s="21"/>
      <c r="OKZ370" s="21"/>
      <c r="OLC370" s="21"/>
      <c r="OLD370" s="15"/>
      <c r="OLE370" s="15"/>
      <c r="OLF370" s="15"/>
      <c r="OLG370" s="15"/>
      <c r="OLH370" s="15"/>
      <c r="OLI370" s="15"/>
      <c r="OLJ370" s="15"/>
      <c r="OLK370" s="15"/>
      <c r="OLL370" s="15"/>
      <c r="OLM370" s="15"/>
      <c r="OLN370" s="10"/>
      <c r="OLO370" s="10"/>
      <c r="OLP370" s="21"/>
      <c r="OLQ370" s="21"/>
      <c r="OLT370" s="21"/>
      <c r="OLU370" s="15"/>
      <c r="OLV370" s="15"/>
      <c r="OLW370" s="15"/>
      <c r="OLX370" s="15"/>
      <c r="OLY370" s="15"/>
      <c r="OLZ370" s="15"/>
      <c r="OMA370" s="15"/>
      <c r="OMB370" s="15"/>
      <c r="OMC370" s="15"/>
      <c r="OMD370" s="15"/>
      <c r="OME370" s="10"/>
      <c r="OMF370" s="10"/>
      <c r="OMG370" s="21"/>
      <c r="OMH370" s="21"/>
      <c r="OMK370" s="21"/>
      <c r="OML370" s="15"/>
      <c r="OMM370" s="15"/>
      <c r="OMN370" s="15"/>
      <c r="OMO370" s="15"/>
      <c r="OMP370" s="15"/>
      <c r="OMQ370" s="15"/>
      <c r="OMR370" s="15"/>
      <c r="OMS370" s="15"/>
      <c r="OMT370" s="15"/>
      <c r="OMU370" s="15"/>
      <c r="OMV370" s="10"/>
      <c r="OMW370" s="10"/>
      <c r="OMX370" s="21"/>
      <c r="OMY370" s="21"/>
      <c r="ONB370" s="21"/>
      <c r="ONC370" s="15"/>
      <c r="OND370" s="15"/>
      <c r="ONE370" s="15"/>
      <c r="ONF370" s="15"/>
      <c r="ONG370" s="15"/>
      <c r="ONH370" s="15"/>
      <c r="ONI370" s="15"/>
      <c r="ONJ370" s="15"/>
      <c r="ONK370" s="15"/>
      <c r="ONL370" s="15"/>
      <c r="ONM370" s="10"/>
      <c r="ONN370" s="10"/>
      <c r="ONO370" s="21"/>
      <c r="ONP370" s="21"/>
      <c r="ONS370" s="21"/>
      <c r="ONT370" s="15"/>
      <c r="ONU370" s="15"/>
      <c r="ONV370" s="15"/>
      <c r="ONW370" s="15"/>
      <c r="ONX370" s="15"/>
      <c r="ONY370" s="15"/>
      <c r="ONZ370" s="15"/>
      <c r="OOA370" s="15"/>
      <c r="OOB370" s="15"/>
      <c r="OOC370" s="15"/>
      <c r="OOD370" s="10"/>
      <c r="OOE370" s="10"/>
      <c r="OOF370" s="21"/>
      <c r="OOG370" s="21"/>
      <c r="OOJ370" s="21"/>
      <c r="OOK370" s="15"/>
      <c r="OOL370" s="15"/>
      <c r="OOM370" s="15"/>
      <c r="OON370" s="15"/>
      <c r="OOO370" s="15"/>
      <c r="OOP370" s="15"/>
      <c r="OOQ370" s="15"/>
      <c r="OOR370" s="15"/>
      <c r="OOS370" s="15"/>
      <c r="OOT370" s="15"/>
      <c r="OOU370" s="10"/>
      <c r="OOV370" s="10"/>
      <c r="OOW370" s="21"/>
      <c r="OOX370" s="21"/>
      <c r="OPA370" s="21"/>
      <c r="OPB370" s="15"/>
      <c r="OPC370" s="15"/>
      <c r="OPD370" s="15"/>
      <c r="OPE370" s="15"/>
      <c r="OPF370" s="15"/>
      <c r="OPG370" s="15"/>
      <c r="OPH370" s="15"/>
      <c r="OPI370" s="15"/>
      <c r="OPJ370" s="15"/>
      <c r="OPK370" s="15"/>
      <c r="OPL370" s="10"/>
      <c r="OPM370" s="10"/>
      <c r="OPN370" s="21"/>
      <c r="OPO370" s="21"/>
      <c r="OPR370" s="21"/>
      <c r="OPS370" s="15"/>
      <c r="OPT370" s="15"/>
      <c r="OPU370" s="15"/>
      <c r="OPV370" s="15"/>
      <c r="OPW370" s="15"/>
      <c r="OPX370" s="15"/>
      <c r="OPY370" s="15"/>
      <c r="OPZ370" s="15"/>
      <c r="OQA370" s="15"/>
      <c r="OQB370" s="15"/>
      <c r="OQC370" s="10"/>
      <c r="OQD370" s="10"/>
      <c r="OQE370" s="21"/>
      <c r="OQF370" s="21"/>
      <c r="OQI370" s="21"/>
      <c r="OQJ370" s="15"/>
      <c r="OQK370" s="15"/>
      <c r="OQL370" s="15"/>
      <c r="OQM370" s="15"/>
      <c r="OQN370" s="15"/>
      <c r="OQO370" s="15"/>
      <c r="OQP370" s="15"/>
      <c r="OQQ370" s="15"/>
      <c r="OQR370" s="15"/>
      <c r="OQS370" s="15"/>
      <c r="OQT370" s="10"/>
      <c r="OQU370" s="10"/>
      <c r="OQV370" s="21"/>
      <c r="OQW370" s="21"/>
      <c r="OQZ370" s="21"/>
      <c r="ORA370" s="15"/>
      <c r="ORB370" s="15"/>
      <c r="ORC370" s="15"/>
      <c r="ORD370" s="15"/>
      <c r="ORE370" s="15"/>
      <c r="ORF370" s="15"/>
      <c r="ORG370" s="15"/>
      <c r="ORH370" s="15"/>
      <c r="ORI370" s="15"/>
      <c r="ORJ370" s="15"/>
      <c r="ORK370" s="10"/>
      <c r="ORL370" s="10"/>
      <c r="ORM370" s="21"/>
      <c r="ORN370" s="21"/>
      <c r="ORQ370" s="21"/>
      <c r="ORR370" s="15"/>
      <c r="ORS370" s="15"/>
      <c r="ORT370" s="15"/>
      <c r="ORU370" s="15"/>
      <c r="ORV370" s="15"/>
      <c r="ORW370" s="15"/>
      <c r="ORX370" s="15"/>
      <c r="ORY370" s="15"/>
      <c r="ORZ370" s="15"/>
      <c r="OSA370" s="15"/>
      <c r="OSB370" s="10"/>
      <c r="OSC370" s="10"/>
      <c r="OSD370" s="21"/>
      <c r="OSE370" s="21"/>
      <c r="OSH370" s="21"/>
      <c r="OSI370" s="15"/>
      <c r="OSJ370" s="15"/>
      <c r="OSK370" s="15"/>
      <c r="OSL370" s="15"/>
      <c r="OSM370" s="15"/>
      <c r="OSN370" s="15"/>
      <c r="OSO370" s="15"/>
      <c r="OSP370" s="15"/>
      <c r="OSQ370" s="15"/>
      <c r="OSR370" s="15"/>
      <c r="OSS370" s="10"/>
      <c r="OST370" s="10"/>
      <c r="OSU370" s="21"/>
      <c r="OSV370" s="21"/>
      <c r="OSY370" s="21"/>
      <c r="OSZ370" s="15"/>
      <c r="OTA370" s="15"/>
      <c r="OTB370" s="15"/>
      <c r="OTC370" s="15"/>
      <c r="OTD370" s="15"/>
      <c r="OTE370" s="15"/>
      <c r="OTF370" s="15"/>
      <c r="OTG370" s="15"/>
      <c r="OTH370" s="15"/>
      <c r="OTI370" s="15"/>
      <c r="OTJ370" s="10"/>
      <c r="OTK370" s="10"/>
      <c r="OTL370" s="21"/>
      <c r="OTM370" s="21"/>
      <c r="OTP370" s="21"/>
      <c r="OTQ370" s="15"/>
      <c r="OTR370" s="15"/>
      <c r="OTS370" s="15"/>
      <c r="OTT370" s="15"/>
      <c r="OTU370" s="15"/>
      <c r="OTV370" s="15"/>
      <c r="OTW370" s="15"/>
      <c r="OTX370" s="15"/>
      <c r="OTY370" s="15"/>
      <c r="OTZ370" s="15"/>
      <c r="OUA370" s="10"/>
      <c r="OUB370" s="10"/>
      <c r="OUC370" s="21"/>
      <c r="OUD370" s="21"/>
      <c r="OUG370" s="21"/>
      <c r="OUH370" s="15"/>
      <c r="OUI370" s="15"/>
      <c r="OUJ370" s="15"/>
      <c r="OUK370" s="15"/>
      <c r="OUL370" s="15"/>
      <c r="OUM370" s="15"/>
      <c r="OUN370" s="15"/>
      <c r="OUO370" s="15"/>
      <c r="OUP370" s="15"/>
      <c r="OUQ370" s="15"/>
      <c r="OUR370" s="10"/>
      <c r="OUS370" s="10"/>
      <c r="OUT370" s="21"/>
      <c r="OUU370" s="21"/>
      <c r="OUX370" s="21"/>
      <c r="OUY370" s="15"/>
      <c r="OUZ370" s="15"/>
      <c r="OVA370" s="15"/>
      <c r="OVB370" s="15"/>
      <c r="OVC370" s="15"/>
      <c r="OVD370" s="15"/>
      <c r="OVE370" s="15"/>
      <c r="OVF370" s="15"/>
      <c r="OVG370" s="15"/>
      <c r="OVH370" s="15"/>
      <c r="OVI370" s="10"/>
      <c r="OVJ370" s="10"/>
      <c r="OVK370" s="21"/>
      <c r="OVL370" s="21"/>
      <c r="OVO370" s="21"/>
      <c r="OVP370" s="15"/>
      <c r="OVQ370" s="15"/>
      <c r="OVR370" s="15"/>
      <c r="OVS370" s="15"/>
      <c r="OVT370" s="15"/>
      <c r="OVU370" s="15"/>
      <c r="OVV370" s="15"/>
      <c r="OVW370" s="15"/>
      <c r="OVX370" s="15"/>
      <c r="OVY370" s="15"/>
      <c r="OVZ370" s="10"/>
      <c r="OWA370" s="10"/>
      <c r="OWB370" s="21"/>
      <c r="OWC370" s="21"/>
      <c r="OWF370" s="21"/>
      <c r="OWG370" s="15"/>
      <c r="OWH370" s="15"/>
      <c r="OWI370" s="15"/>
      <c r="OWJ370" s="15"/>
      <c r="OWK370" s="15"/>
      <c r="OWL370" s="15"/>
      <c r="OWM370" s="15"/>
      <c r="OWN370" s="15"/>
      <c r="OWO370" s="15"/>
      <c r="OWP370" s="15"/>
      <c r="OWQ370" s="10"/>
      <c r="OWR370" s="10"/>
      <c r="OWS370" s="21"/>
      <c r="OWT370" s="21"/>
      <c r="OWW370" s="21"/>
      <c r="OWX370" s="15"/>
      <c r="OWY370" s="15"/>
      <c r="OWZ370" s="15"/>
      <c r="OXA370" s="15"/>
      <c r="OXB370" s="15"/>
      <c r="OXC370" s="15"/>
      <c r="OXD370" s="15"/>
      <c r="OXE370" s="15"/>
      <c r="OXF370" s="15"/>
      <c r="OXG370" s="15"/>
      <c r="OXH370" s="10"/>
      <c r="OXI370" s="10"/>
      <c r="OXJ370" s="21"/>
      <c r="OXK370" s="21"/>
      <c r="OXN370" s="21"/>
      <c r="OXO370" s="15"/>
      <c r="OXP370" s="15"/>
      <c r="OXQ370" s="15"/>
      <c r="OXR370" s="15"/>
      <c r="OXS370" s="15"/>
      <c r="OXT370" s="15"/>
      <c r="OXU370" s="15"/>
      <c r="OXV370" s="15"/>
      <c r="OXW370" s="15"/>
      <c r="OXX370" s="15"/>
      <c r="OXY370" s="10"/>
      <c r="OXZ370" s="10"/>
      <c r="OYA370" s="21"/>
      <c r="OYB370" s="21"/>
      <c r="OYE370" s="21"/>
      <c r="OYF370" s="15"/>
      <c r="OYG370" s="15"/>
      <c r="OYH370" s="15"/>
      <c r="OYI370" s="15"/>
      <c r="OYJ370" s="15"/>
      <c r="OYK370" s="15"/>
      <c r="OYL370" s="15"/>
      <c r="OYM370" s="15"/>
      <c r="OYN370" s="15"/>
      <c r="OYO370" s="15"/>
      <c r="OYP370" s="10"/>
      <c r="OYQ370" s="10"/>
      <c r="OYR370" s="21"/>
      <c r="OYS370" s="21"/>
      <c r="OYV370" s="21"/>
      <c r="OYW370" s="15"/>
      <c r="OYX370" s="15"/>
      <c r="OYY370" s="15"/>
      <c r="OYZ370" s="15"/>
      <c r="OZA370" s="15"/>
      <c r="OZB370" s="15"/>
      <c r="OZC370" s="15"/>
      <c r="OZD370" s="15"/>
      <c r="OZE370" s="15"/>
      <c r="OZF370" s="15"/>
      <c r="OZG370" s="10"/>
      <c r="OZH370" s="10"/>
      <c r="OZI370" s="21"/>
      <c r="OZJ370" s="21"/>
      <c r="OZM370" s="21"/>
      <c r="OZN370" s="15"/>
      <c r="OZO370" s="15"/>
      <c r="OZP370" s="15"/>
      <c r="OZQ370" s="15"/>
      <c r="OZR370" s="15"/>
      <c r="OZS370" s="15"/>
      <c r="OZT370" s="15"/>
      <c r="OZU370" s="15"/>
      <c r="OZV370" s="15"/>
      <c r="OZW370" s="15"/>
      <c r="OZX370" s="10"/>
      <c r="OZY370" s="10"/>
      <c r="OZZ370" s="21"/>
      <c r="PAA370" s="21"/>
      <c r="PAD370" s="21"/>
      <c r="PAE370" s="15"/>
      <c r="PAF370" s="15"/>
      <c r="PAG370" s="15"/>
      <c r="PAH370" s="15"/>
      <c r="PAI370" s="15"/>
      <c r="PAJ370" s="15"/>
      <c r="PAK370" s="15"/>
      <c r="PAL370" s="15"/>
      <c r="PAM370" s="15"/>
      <c r="PAN370" s="15"/>
      <c r="PAO370" s="10"/>
      <c r="PAP370" s="10"/>
      <c r="PAQ370" s="21"/>
      <c r="PAR370" s="21"/>
      <c r="PAU370" s="21"/>
      <c r="PAV370" s="15"/>
      <c r="PAW370" s="15"/>
      <c r="PAX370" s="15"/>
      <c r="PAY370" s="15"/>
      <c r="PAZ370" s="15"/>
      <c r="PBA370" s="15"/>
      <c r="PBB370" s="15"/>
      <c r="PBC370" s="15"/>
      <c r="PBD370" s="15"/>
      <c r="PBE370" s="15"/>
      <c r="PBF370" s="10"/>
      <c r="PBG370" s="10"/>
      <c r="PBH370" s="21"/>
      <c r="PBI370" s="21"/>
      <c r="PBL370" s="21"/>
      <c r="PBM370" s="15"/>
      <c r="PBN370" s="15"/>
      <c r="PBO370" s="15"/>
      <c r="PBP370" s="15"/>
      <c r="PBQ370" s="15"/>
      <c r="PBR370" s="15"/>
      <c r="PBS370" s="15"/>
      <c r="PBT370" s="15"/>
      <c r="PBU370" s="15"/>
      <c r="PBV370" s="15"/>
      <c r="PBW370" s="10"/>
      <c r="PBX370" s="10"/>
      <c r="PBY370" s="21"/>
      <c r="PBZ370" s="21"/>
      <c r="PCC370" s="21"/>
      <c r="PCD370" s="15"/>
      <c r="PCE370" s="15"/>
      <c r="PCF370" s="15"/>
      <c r="PCG370" s="15"/>
      <c r="PCH370" s="15"/>
      <c r="PCI370" s="15"/>
      <c r="PCJ370" s="15"/>
      <c r="PCK370" s="15"/>
      <c r="PCL370" s="15"/>
      <c r="PCM370" s="15"/>
      <c r="PCN370" s="10"/>
      <c r="PCO370" s="10"/>
      <c r="PCP370" s="21"/>
      <c r="PCQ370" s="21"/>
      <c r="PCT370" s="21"/>
      <c r="PCU370" s="15"/>
      <c r="PCV370" s="15"/>
      <c r="PCW370" s="15"/>
      <c r="PCX370" s="15"/>
      <c r="PCY370" s="15"/>
      <c r="PCZ370" s="15"/>
      <c r="PDA370" s="15"/>
      <c r="PDB370" s="15"/>
      <c r="PDC370" s="15"/>
      <c r="PDD370" s="15"/>
      <c r="PDE370" s="10"/>
      <c r="PDF370" s="10"/>
      <c r="PDG370" s="21"/>
      <c r="PDH370" s="21"/>
      <c r="PDK370" s="21"/>
      <c r="PDL370" s="15"/>
      <c r="PDM370" s="15"/>
      <c r="PDN370" s="15"/>
      <c r="PDO370" s="15"/>
      <c r="PDP370" s="15"/>
      <c r="PDQ370" s="15"/>
      <c r="PDR370" s="15"/>
      <c r="PDS370" s="15"/>
      <c r="PDT370" s="15"/>
      <c r="PDU370" s="15"/>
      <c r="PDV370" s="10"/>
      <c r="PDW370" s="10"/>
      <c r="PDX370" s="21"/>
      <c r="PDY370" s="21"/>
      <c r="PEB370" s="21"/>
      <c r="PEC370" s="15"/>
      <c r="PED370" s="15"/>
      <c r="PEE370" s="15"/>
      <c r="PEF370" s="15"/>
      <c r="PEG370" s="15"/>
      <c r="PEH370" s="15"/>
      <c r="PEI370" s="15"/>
      <c r="PEJ370" s="15"/>
      <c r="PEK370" s="15"/>
      <c r="PEL370" s="15"/>
      <c r="PEM370" s="10"/>
      <c r="PEN370" s="10"/>
      <c r="PEO370" s="21"/>
      <c r="PEP370" s="21"/>
      <c r="PES370" s="21"/>
      <c r="PET370" s="15"/>
      <c r="PEU370" s="15"/>
      <c r="PEV370" s="15"/>
      <c r="PEW370" s="15"/>
      <c r="PEX370" s="15"/>
      <c r="PEY370" s="15"/>
      <c r="PEZ370" s="15"/>
      <c r="PFA370" s="15"/>
      <c r="PFB370" s="15"/>
      <c r="PFC370" s="15"/>
      <c r="PFD370" s="10"/>
      <c r="PFE370" s="10"/>
      <c r="PFF370" s="21"/>
      <c r="PFG370" s="21"/>
      <c r="PFJ370" s="21"/>
      <c r="PFK370" s="15"/>
      <c r="PFL370" s="15"/>
      <c r="PFM370" s="15"/>
      <c r="PFN370" s="15"/>
      <c r="PFO370" s="15"/>
      <c r="PFP370" s="15"/>
      <c r="PFQ370" s="15"/>
      <c r="PFR370" s="15"/>
      <c r="PFS370" s="15"/>
      <c r="PFT370" s="15"/>
      <c r="PFU370" s="10"/>
      <c r="PFV370" s="10"/>
      <c r="PFW370" s="21"/>
      <c r="PFX370" s="21"/>
      <c r="PGA370" s="21"/>
      <c r="PGB370" s="15"/>
      <c r="PGC370" s="15"/>
      <c r="PGD370" s="15"/>
      <c r="PGE370" s="15"/>
      <c r="PGF370" s="15"/>
      <c r="PGG370" s="15"/>
      <c r="PGH370" s="15"/>
      <c r="PGI370" s="15"/>
      <c r="PGJ370" s="15"/>
      <c r="PGK370" s="15"/>
      <c r="PGL370" s="10"/>
      <c r="PGM370" s="10"/>
      <c r="PGN370" s="21"/>
      <c r="PGO370" s="21"/>
      <c r="PGR370" s="21"/>
      <c r="PGS370" s="15"/>
      <c r="PGT370" s="15"/>
      <c r="PGU370" s="15"/>
      <c r="PGV370" s="15"/>
      <c r="PGW370" s="15"/>
      <c r="PGX370" s="15"/>
      <c r="PGY370" s="15"/>
      <c r="PGZ370" s="15"/>
      <c r="PHA370" s="15"/>
      <c r="PHB370" s="15"/>
      <c r="PHC370" s="10"/>
      <c r="PHD370" s="10"/>
      <c r="PHE370" s="21"/>
      <c r="PHF370" s="21"/>
      <c r="PHI370" s="21"/>
      <c r="PHJ370" s="15"/>
      <c r="PHK370" s="15"/>
      <c r="PHL370" s="15"/>
      <c r="PHM370" s="15"/>
      <c r="PHN370" s="15"/>
      <c r="PHO370" s="15"/>
      <c r="PHP370" s="15"/>
      <c r="PHQ370" s="15"/>
      <c r="PHR370" s="15"/>
      <c r="PHS370" s="15"/>
      <c r="PHT370" s="10"/>
      <c r="PHU370" s="10"/>
      <c r="PHV370" s="21"/>
      <c r="PHW370" s="21"/>
      <c r="PHZ370" s="21"/>
      <c r="PIA370" s="15"/>
      <c r="PIB370" s="15"/>
      <c r="PIC370" s="15"/>
      <c r="PID370" s="15"/>
      <c r="PIE370" s="15"/>
      <c r="PIF370" s="15"/>
      <c r="PIG370" s="15"/>
      <c r="PIH370" s="15"/>
      <c r="PII370" s="15"/>
      <c r="PIJ370" s="15"/>
      <c r="PIK370" s="10"/>
      <c r="PIL370" s="10"/>
      <c r="PIM370" s="21"/>
      <c r="PIN370" s="21"/>
      <c r="PIQ370" s="21"/>
      <c r="PIR370" s="15"/>
      <c r="PIS370" s="15"/>
      <c r="PIT370" s="15"/>
      <c r="PIU370" s="15"/>
      <c r="PIV370" s="15"/>
      <c r="PIW370" s="15"/>
      <c r="PIX370" s="15"/>
      <c r="PIY370" s="15"/>
      <c r="PIZ370" s="15"/>
      <c r="PJA370" s="15"/>
      <c r="PJB370" s="10"/>
      <c r="PJC370" s="10"/>
      <c r="PJD370" s="21"/>
      <c r="PJE370" s="21"/>
      <c r="PJH370" s="21"/>
      <c r="PJI370" s="15"/>
      <c r="PJJ370" s="15"/>
      <c r="PJK370" s="15"/>
      <c r="PJL370" s="15"/>
      <c r="PJM370" s="15"/>
      <c r="PJN370" s="15"/>
      <c r="PJO370" s="15"/>
      <c r="PJP370" s="15"/>
      <c r="PJQ370" s="15"/>
      <c r="PJR370" s="15"/>
      <c r="PJS370" s="10"/>
      <c r="PJT370" s="10"/>
      <c r="PJU370" s="21"/>
      <c r="PJV370" s="21"/>
      <c r="PJY370" s="21"/>
      <c r="PJZ370" s="15"/>
      <c r="PKA370" s="15"/>
      <c r="PKB370" s="15"/>
      <c r="PKC370" s="15"/>
      <c r="PKD370" s="15"/>
      <c r="PKE370" s="15"/>
      <c r="PKF370" s="15"/>
      <c r="PKG370" s="15"/>
      <c r="PKH370" s="15"/>
      <c r="PKI370" s="15"/>
      <c r="PKJ370" s="10"/>
      <c r="PKK370" s="10"/>
      <c r="PKL370" s="21"/>
      <c r="PKM370" s="21"/>
      <c r="PKP370" s="21"/>
      <c r="PKQ370" s="15"/>
      <c r="PKR370" s="15"/>
      <c r="PKS370" s="15"/>
      <c r="PKT370" s="15"/>
      <c r="PKU370" s="15"/>
      <c r="PKV370" s="15"/>
      <c r="PKW370" s="15"/>
      <c r="PKX370" s="15"/>
      <c r="PKY370" s="15"/>
      <c r="PKZ370" s="15"/>
      <c r="PLA370" s="10"/>
      <c r="PLB370" s="10"/>
      <c r="PLC370" s="21"/>
      <c r="PLD370" s="21"/>
      <c r="PLG370" s="21"/>
      <c r="PLH370" s="15"/>
      <c r="PLI370" s="15"/>
      <c r="PLJ370" s="15"/>
      <c r="PLK370" s="15"/>
      <c r="PLL370" s="15"/>
      <c r="PLM370" s="15"/>
      <c r="PLN370" s="15"/>
      <c r="PLO370" s="15"/>
      <c r="PLP370" s="15"/>
      <c r="PLQ370" s="15"/>
      <c r="PLR370" s="10"/>
      <c r="PLS370" s="10"/>
      <c r="PLT370" s="21"/>
      <c r="PLU370" s="21"/>
      <c r="PLX370" s="21"/>
      <c r="PLY370" s="15"/>
      <c r="PLZ370" s="15"/>
      <c r="PMA370" s="15"/>
      <c r="PMB370" s="15"/>
      <c r="PMC370" s="15"/>
      <c r="PMD370" s="15"/>
      <c r="PME370" s="15"/>
      <c r="PMF370" s="15"/>
      <c r="PMG370" s="15"/>
      <c r="PMH370" s="15"/>
      <c r="PMI370" s="10"/>
      <c r="PMJ370" s="10"/>
      <c r="PMK370" s="21"/>
      <c r="PML370" s="21"/>
      <c r="PMO370" s="21"/>
      <c r="PMP370" s="15"/>
      <c r="PMQ370" s="15"/>
      <c r="PMR370" s="15"/>
      <c r="PMS370" s="15"/>
      <c r="PMT370" s="15"/>
      <c r="PMU370" s="15"/>
      <c r="PMV370" s="15"/>
      <c r="PMW370" s="15"/>
      <c r="PMX370" s="15"/>
      <c r="PMY370" s="15"/>
      <c r="PMZ370" s="10"/>
      <c r="PNA370" s="10"/>
      <c r="PNB370" s="21"/>
      <c r="PNC370" s="21"/>
      <c r="PNF370" s="21"/>
      <c r="PNG370" s="15"/>
      <c r="PNH370" s="15"/>
      <c r="PNI370" s="15"/>
      <c r="PNJ370" s="15"/>
      <c r="PNK370" s="15"/>
      <c r="PNL370" s="15"/>
      <c r="PNM370" s="15"/>
      <c r="PNN370" s="15"/>
      <c r="PNO370" s="15"/>
      <c r="PNP370" s="15"/>
      <c r="PNQ370" s="10"/>
      <c r="PNR370" s="10"/>
      <c r="PNS370" s="21"/>
      <c r="PNT370" s="21"/>
      <c r="PNW370" s="21"/>
      <c r="PNX370" s="15"/>
      <c r="PNY370" s="15"/>
      <c r="PNZ370" s="15"/>
      <c r="POA370" s="15"/>
      <c r="POB370" s="15"/>
      <c r="POC370" s="15"/>
      <c r="POD370" s="15"/>
      <c r="POE370" s="15"/>
      <c r="POF370" s="15"/>
      <c r="POG370" s="15"/>
      <c r="POH370" s="10"/>
      <c r="POI370" s="10"/>
      <c r="POJ370" s="21"/>
      <c r="POK370" s="21"/>
      <c r="PON370" s="21"/>
      <c r="POO370" s="15"/>
      <c r="POP370" s="15"/>
      <c r="POQ370" s="15"/>
      <c r="POR370" s="15"/>
      <c r="POS370" s="15"/>
      <c r="POT370" s="15"/>
      <c r="POU370" s="15"/>
      <c r="POV370" s="15"/>
      <c r="POW370" s="15"/>
      <c r="POX370" s="15"/>
      <c r="POY370" s="10"/>
      <c r="POZ370" s="10"/>
      <c r="PPA370" s="21"/>
      <c r="PPB370" s="21"/>
      <c r="PPE370" s="21"/>
      <c r="PPF370" s="15"/>
      <c r="PPG370" s="15"/>
      <c r="PPH370" s="15"/>
      <c r="PPI370" s="15"/>
      <c r="PPJ370" s="15"/>
      <c r="PPK370" s="15"/>
      <c r="PPL370" s="15"/>
      <c r="PPM370" s="15"/>
      <c r="PPN370" s="15"/>
      <c r="PPO370" s="15"/>
      <c r="PPP370" s="10"/>
      <c r="PPQ370" s="10"/>
      <c r="PPR370" s="21"/>
      <c r="PPS370" s="21"/>
      <c r="PPV370" s="21"/>
      <c r="PPW370" s="15"/>
      <c r="PPX370" s="15"/>
      <c r="PPY370" s="15"/>
      <c r="PPZ370" s="15"/>
      <c r="PQA370" s="15"/>
      <c r="PQB370" s="15"/>
      <c r="PQC370" s="15"/>
      <c r="PQD370" s="15"/>
      <c r="PQE370" s="15"/>
      <c r="PQF370" s="15"/>
      <c r="PQG370" s="10"/>
      <c r="PQH370" s="10"/>
      <c r="PQI370" s="21"/>
      <c r="PQJ370" s="21"/>
      <c r="PQM370" s="21"/>
      <c r="PQN370" s="15"/>
      <c r="PQO370" s="15"/>
      <c r="PQP370" s="15"/>
      <c r="PQQ370" s="15"/>
      <c r="PQR370" s="15"/>
      <c r="PQS370" s="15"/>
      <c r="PQT370" s="15"/>
      <c r="PQU370" s="15"/>
      <c r="PQV370" s="15"/>
      <c r="PQW370" s="15"/>
      <c r="PQX370" s="10"/>
      <c r="PQY370" s="10"/>
      <c r="PQZ370" s="21"/>
      <c r="PRA370" s="21"/>
      <c r="PRD370" s="21"/>
      <c r="PRE370" s="15"/>
      <c r="PRF370" s="15"/>
      <c r="PRG370" s="15"/>
      <c r="PRH370" s="15"/>
      <c r="PRI370" s="15"/>
      <c r="PRJ370" s="15"/>
      <c r="PRK370" s="15"/>
      <c r="PRL370" s="15"/>
      <c r="PRM370" s="15"/>
      <c r="PRN370" s="15"/>
      <c r="PRO370" s="10"/>
      <c r="PRP370" s="10"/>
      <c r="PRQ370" s="21"/>
      <c r="PRR370" s="21"/>
      <c r="PRU370" s="21"/>
      <c r="PRV370" s="15"/>
      <c r="PRW370" s="15"/>
      <c r="PRX370" s="15"/>
      <c r="PRY370" s="15"/>
      <c r="PRZ370" s="15"/>
      <c r="PSA370" s="15"/>
      <c r="PSB370" s="15"/>
      <c r="PSC370" s="15"/>
      <c r="PSD370" s="15"/>
      <c r="PSE370" s="15"/>
      <c r="PSF370" s="10"/>
      <c r="PSG370" s="10"/>
      <c r="PSH370" s="21"/>
      <c r="PSI370" s="21"/>
      <c r="PSL370" s="21"/>
      <c r="PSM370" s="15"/>
      <c r="PSN370" s="15"/>
      <c r="PSO370" s="15"/>
      <c r="PSP370" s="15"/>
      <c r="PSQ370" s="15"/>
      <c r="PSR370" s="15"/>
      <c r="PSS370" s="15"/>
      <c r="PST370" s="15"/>
      <c r="PSU370" s="15"/>
      <c r="PSV370" s="15"/>
      <c r="PSW370" s="10"/>
      <c r="PSX370" s="10"/>
      <c r="PSY370" s="21"/>
      <c r="PSZ370" s="21"/>
      <c r="PTC370" s="21"/>
      <c r="PTD370" s="15"/>
      <c r="PTE370" s="15"/>
      <c r="PTF370" s="15"/>
      <c r="PTG370" s="15"/>
      <c r="PTH370" s="15"/>
      <c r="PTI370" s="15"/>
      <c r="PTJ370" s="15"/>
      <c r="PTK370" s="15"/>
      <c r="PTL370" s="15"/>
      <c r="PTM370" s="15"/>
      <c r="PTN370" s="10"/>
      <c r="PTO370" s="10"/>
      <c r="PTP370" s="21"/>
      <c r="PTQ370" s="21"/>
      <c r="PTT370" s="21"/>
      <c r="PTU370" s="15"/>
      <c r="PTV370" s="15"/>
      <c r="PTW370" s="15"/>
      <c r="PTX370" s="15"/>
      <c r="PTY370" s="15"/>
      <c r="PTZ370" s="15"/>
      <c r="PUA370" s="15"/>
      <c r="PUB370" s="15"/>
      <c r="PUC370" s="15"/>
      <c r="PUD370" s="15"/>
      <c r="PUE370" s="10"/>
      <c r="PUF370" s="10"/>
      <c r="PUG370" s="21"/>
      <c r="PUH370" s="21"/>
      <c r="PUK370" s="21"/>
      <c r="PUL370" s="15"/>
      <c r="PUM370" s="15"/>
      <c r="PUN370" s="15"/>
      <c r="PUO370" s="15"/>
      <c r="PUP370" s="15"/>
      <c r="PUQ370" s="15"/>
      <c r="PUR370" s="15"/>
      <c r="PUS370" s="15"/>
      <c r="PUT370" s="15"/>
      <c r="PUU370" s="15"/>
      <c r="PUV370" s="10"/>
      <c r="PUW370" s="10"/>
      <c r="PUX370" s="21"/>
      <c r="PUY370" s="21"/>
      <c r="PVB370" s="21"/>
      <c r="PVC370" s="15"/>
      <c r="PVD370" s="15"/>
      <c r="PVE370" s="15"/>
      <c r="PVF370" s="15"/>
      <c r="PVG370" s="15"/>
      <c r="PVH370" s="15"/>
      <c r="PVI370" s="15"/>
      <c r="PVJ370" s="15"/>
      <c r="PVK370" s="15"/>
      <c r="PVL370" s="15"/>
      <c r="PVM370" s="10"/>
      <c r="PVN370" s="10"/>
      <c r="PVO370" s="21"/>
      <c r="PVP370" s="21"/>
      <c r="PVS370" s="21"/>
      <c r="PVT370" s="15"/>
      <c r="PVU370" s="15"/>
      <c r="PVV370" s="15"/>
      <c r="PVW370" s="15"/>
      <c r="PVX370" s="15"/>
      <c r="PVY370" s="15"/>
      <c r="PVZ370" s="15"/>
      <c r="PWA370" s="15"/>
      <c r="PWB370" s="15"/>
      <c r="PWC370" s="15"/>
      <c r="PWD370" s="10"/>
      <c r="PWE370" s="10"/>
      <c r="PWF370" s="21"/>
      <c r="PWG370" s="21"/>
      <c r="PWJ370" s="21"/>
      <c r="PWK370" s="15"/>
      <c r="PWL370" s="15"/>
      <c r="PWM370" s="15"/>
      <c r="PWN370" s="15"/>
      <c r="PWO370" s="15"/>
      <c r="PWP370" s="15"/>
      <c r="PWQ370" s="15"/>
      <c r="PWR370" s="15"/>
      <c r="PWS370" s="15"/>
      <c r="PWT370" s="15"/>
      <c r="PWU370" s="10"/>
      <c r="PWV370" s="10"/>
      <c r="PWW370" s="21"/>
      <c r="PWX370" s="21"/>
      <c r="PXA370" s="21"/>
      <c r="PXB370" s="15"/>
      <c r="PXC370" s="15"/>
      <c r="PXD370" s="15"/>
      <c r="PXE370" s="15"/>
      <c r="PXF370" s="15"/>
      <c r="PXG370" s="15"/>
      <c r="PXH370" s="15"/>
      <c r="PXI370" s="15"/>
      <c r="PXJ370" s="15"/>
      <c r="PXK370" s="15"/>
      <c r="PXL370" s="10"/>
      <c r="PXM370" s="10"/>
      <c r="PXN370" s="21"/>
      <c r="PXO370" s="21"/>
      <c r="PXR370" s="21"/>
      <c r="PXS370" s="15"/>
      <c r="PXT370" s="15"/>
      <c r="PXU370" s="15"/>
      <c r="PXV370" s="15"/>
      <c r="PXW370" s="15"/>
      <c r="PXX370" s="15"/>
      <c r="PXY370" s="15"/>
      <c r="PXZ370" s="15"/>
      <c r="PYA370" s="15"/>
      <c r="PYB370" s="15"/>
      <c r="PYC370" s="10"/>
      <c r="PYD370" s="10"/>
      <c r="PYE370" s="21"/>
      <c r="PYF370" s="21"/>
      <c r="PYI370" s="21"/>
      <c r="PYJ370" s="15"/>
      <c r="PYK370" s="15"/>
      <c r="PYL370" s="15"/>
      <c r="PYM370" s="15"/>
      <c r="PYN370" s="15"/>
      <c r="PYO370" s="15"/>
      <c r="PYP370" s="15"/>
      <c r="PYQ370" s="15"/>
      <c r="PYR370" s="15"/>
      <c r="PYS370" s="15"/>
      <c r="PYT370" s="10"/>
      <c r="PYU370" s="10"/>
      <c r="PYV370" s="21"/>
      <c r="PYW370" s="21"/>
      <c r="PYZ370" s="21"/>
      <c r="PZA370" s="15"/>
      <c r="PZB370" s="15"/>
      <c r="PZC370" s="15"/>
      <c r="PZD370" s="15"/>
      <c r="PZE370" s="15"/>
      <c r="PZF370" s="15"/>
      <c r="PZG370" s="15"/>
      <c r="PZH370" s="15"/>
      <c r="PZI370" s="15"/>
      <c r="PZJ370" s="15"/>
      <c r="PZK370" s="10"/>
      <c r="PZL370" s="10"/>
      <c r="PZM370" s="21"/>
      <c r="PZN370" s="21"/>
      <c r="PZQ370" s="21"/>
      <c r="PZR370" s="15"/>
      <c r="PZS370" s="15"/>
      <c r="PZT370" s="15"/>
      <c r="PZU370" s="15"/>
      <c r="PZV370" s="15"/>
      <c r="PZW370" s="15"/>
      <c r="PZX370" s="15"/>
      <c r="PZY370" s="15"/>
      <c r="PZZ370" s="15"/>
      <c r="QAA370" s="15"/>
      <c r="QAB370" s="10"/>
      <c r="QAC370" s="10"/>
      <c r="QAD370" s="21"/>
      <c r="QAE370" s="21"/>
      <c r="QAH370" s="21"/>
      <c r="QAI370" s="15"/>
      <c r="QAJ370" s="15"/>
      <c r="QAK370" s="15"/>
      <c r="QAL370" s="15"/>
      <c r="QAM370" s="15"/>
      <c r="QAN370" s="15"/>
      <c r="QAO370" s="15"/>
      <c r="QAP370" s="15"/>
      <c r="QAQ370" s="15"/>
      <c r="QAR370" s="15"/>
      <c r="QAS370" s="10"/>
      <c r="QAT370" s="10"/>
      <c r="QAU370" s="21"/>
      <c r="QAV370" s="21"/>
      <c r="QAY370" s="21"/>
      <c r="QAZ370" s="15"/>
      <c r="QBA370" s="15"/>
      <c r="QBB370" s="15"/>
      <c r="QBC370" s="15"/>
      <c r="QBD370" s="15"/>
      <c r="QBE370" s="15"/>
      <c r="QBF370" s="15"/>
      <c r="QBG370" s="15"/>
      <c r="QBH370" s="15"/>
      <c r="QBI370" s="15"/>
      <c r="QBJ370" s="10"/>
      <c r="QBK370" s="10"/>
      <c r="QBL370" s="21"/>
      <c r="QBM370" s="21"/>
      <c r="QBP370" s="21"/>
      <c r="QBQ370" s="15"/>
      <c r="QBR370" s="15"/>
      <c r="QBS370" s="15"/>
      <c r="QBT370" s="15"/>
      <c r="QBU370" s="15"/>
      <c r="QBV370" s="15"/>
      <c r="QBW370" s="15"/>
      <c r="QBX370" s="15"/>
      <c r="QBY370" s="15"/>
      <c r="QBZ370" s="15"/>
      <c r="QCA370" s="10"/>
      <c r="QCB370" s="10"/>
      <c r="QCC370" s="21"/>
      <c r="QCD370" s="21"/>
      <c r="QCG370" s="21"/>
      <c r="QCH370" s="15"/>
      <c r="QCI370" s="15"/>
      <c r="QCJ370" s="15"/>
      <c r="QCK370" s="15"/>
      <c r="QCL370" s="15"/>
      <c r="QCM370" s="15"/>
      <c r="QCN370" s="15"/>
      <c r="QCO370" s="15"/>
      <c r="QCP370" s="15"/>
      <c r="QCQ370" s="15"/>
      <c r="QCR370" s="10"/>
      <c r="QCS370" s="10"/>
      <c r="QCT370" s="21"/>
      <c r="QCU370" s="21"/>
      <c r="QCX370" s="21"/>
      <c r="QCY370" s="15"/>
      <c r="QCZ370" s="15"/>
      <c r="QDA370" s="15"/>
      <c r="QDB370" s="15"/>
      <c r="QDC370" s="15"/>
      <c r="QDD370" s="15"/>
      <c r="QDE370" s="15"/>
      <c r="QDF370" s="15"/>
      <c r="QDG370" s="15"/>
      <c r="QDH370" s="15"/>
      <c r="QDI370" s="10"/>
      <c r="QDJ370" s="10"/>
      <c r="QDK370" s="21"/>
      <c r="QDL370" s="21"/>
      <c r="QDO370" s="21"/>
      <c r="QDP370" s="15"/>
      <c r="QDQ370" s="15"/>
      <c r="QDR370" s="15"/>
      <c r="QDS370" s="15"/>
      <c r="QDT370" s="15"/>
      <c r="QDU370" s="15"/>
      <c r="QDV370" s="15"/>
      <c r="QDW370" s="15"/>
      <c r="QDX370" s="15"/>
      <c r="QDY370" s="15"/>
      <c r="QDZ370" s="10"/>
      <c r="QEA370" s="10"/>
      <c r="QEB370" s="21"/>
      <c r="QEC370" s="21"/>
      <c r="QEF370" s="21"/>
      <c r="QEG370" s="15"/>
      <c r="QEH370" s="15"/>
      <c r="QEI370" s="15"/>
      <c r="QEJ370" s="15"/>
      <c r="QEK370" s="15"/>
      <c r="QEL370" s="15"/>
      <c r="QEM370" s="15"/>
      <c r="QEN370" s="15"/>
      <c r="QEO370" s="15"/>
      <c r="QEP370" s="15"/>
      <c r="QEQ370" s="10"/>
      <c r="QER370" s="10"/>
      <c r="QES370" s="21"/>
      <c r="QET370" s="21"/>
      <c r="QEW370" s="21"/>
      <c r="QEX370" s="15"/>
      <c r="QEY370" s="15"/>
      <c r="QEZ370" s="15"/>
      <c r="QFA370" s="15"/>
      <c r="QFB370" s="15"/>
      <c r="QFC370" s="15"/>
      <c r="QFD370" s="15"/>
      <c r="QFE370" s="15"/>
      <c r="QFF370" s="15"/>
      <c r="QFG370" s="15"/>
      <c r="QFH370" s="10"/>
      <c r="QFI370" s="10"/>
      <c r="QFJ370" s="21"/>
      <c r="QFK370" s="21"/>
      <c r="QFN370" s="21"/>
      <c r="QFO370" s="15"/>
      <c r="QFP370" s="15"/>
      <c r="QFQ370" s="15"/>
      <c r="QFR370" s="15"/>
      <c r="QFS370" s="15"/>
      <c r="QFT370" s="15"/>
      <c r="QFU370" s="15"/>
      <c r="QFV370" s="15"/>
      <c r="QFW370" s="15"/>
      <c r="QFX370" s="15"/>
      <c r="QFY370" s="10"/>
      <c r="QFZ370" s="10"/>
      <c r="QGA370" s="21"/>
      <c r="QGB370" s="21"/>
      <c r="QGE370" s="21"/>
      <c r="QGF370" s="15"/>
      <c r="QGG370" s="15"/>
      <c r="QGH370" s="15"/>
      <c r="QGI370" s="15"/>
      <c r="QGJ370" s="15"/>
      <c r="QGK370" s="15"/>
      <c r="QGL370" s="15"/>
      <c r="QGM370" s="15"/>
      <c r="QGN370" s="15"/>
      <c r="QGO370" s="15"/>
      <c r="QGP370" s="10"/>
      <c r="QGQ370" s="10"/>
      <c r="QGR370" s="21"/>
      <c r="QGS370" s="21"/>
      <c r="QGV370" s="21"/>
      <c r="QGW370" s="15"/>
      <c r="QGX370" s="15"/>
      <c r="QGY370" s="15"/>
      <c r="QGZ370" s="15"/>
      <c r="QHA370" s="15"/>
      <c r="QHB370" s="15"/>
      <c r="QHC370" s="15"/>
      <c r="QHD370" s="15"/>
      <c r="QHE370" s="15"/>
      <c r="QHF370" s="15"/>
      <c r="QHG370" s="10"/>
      <c r="QHH370" s="10"/>
      <c r="QHI370" s="21"/>
      <c r="QHJ370" s="21"/>
      <c r="QHM370" s="21"/>
      <c r="QHN370" s="15"/>
      <c r="QHO370" s="15"/>
      <c r="QHP370" s="15"/>
      <c r="QHQ370" s="15"/>
      <c r="QHR370" s="15"/>
      <c r="QHS370" s="15"/>
      <c r="QHT370" s="15"/>
      <c r="QHU370" s="15"/>
      <c r="QHV370" s="15"/>
      <c r="QHW370" s="15"/>
      <c r="QHX370" s="10"/>
      <c r="QHY370" s="10"/>
      <c r="QHZ370" s="21"/>
      <c r="QIA370" s="21"/>
      <c r="QID370" s="21"/>
      <c r="QIE370" s="15"/>
      <c r="QIF370" s="15"/>
      <c r="QIG370" s="15"/>
      <c r="QIH370" s="15"/>
      <c r="QII370" s="15"/>
      <c r="QIJ370" s="15"/>
      <c r="QIK370" s="15"/>
      <c r="QIL370" s="15"/>
      <c r="QIM370" s="15"/>
      <c r="QIN370" s="15"/>
      <c r="QIO370" s="10"/>
      <c r="QIP370" s="10"/>
      <c r="QIQ370" s="21"/>
      <c r="QIR370" s="21"/>
      <c r="QIU370" s="21"/>
      <c r="QIV370" s="15"/>
      <c r="QIW370" s="15"/>
      <c r="QIX370" s="15"/>
      <c r="QIY370" s="15"/>
      <c r="QIZ370" s="15"/>
      <c r="QJA370" s="15"/>
      <c r="QJB370" s="15"/>
      <c r="QJC370" s="15"/>
      <c r="QJD370" s="15"/>
      <c r="QJE370" s="15"/>
      <c r="QJF370" s="10"/>
      <c r="QJG370" s="10"/>
      <c r="QJH370" s="21"/>
      <c r="QJI370" s="21"/>
      <c r="QJL370" s="21"/>
      <c r="QJM370" s="15"/>
      <c r="QJN370" s="15"/>
      <c r="QJO370" s="15"/>
      <c r="QJP370" s="15"/>
      <c r="QJQ370" s="15"/>
      <c r="QJR370" s="15"/>
      <c r="QJS370" s="15"/>
      <c r="QJT370" s="15"/>
      <c r="QJU370" s="15"/>
      <c r="QJV370" s="15"/>
      <c r="QJW370" s="10"/>
      <c r="QJX370" s="10"/>
      <c r="QJY370" s="21"/>
      <c r="QJZ370" s="21"/>
      <c r="QKC370" s="21"/>
      <c r="QKD370" s="15"/>
      <c r="QKE370" s="15"/>
      <c r="QKF370" s="15"/>
      <c r="QKG370" s="15"/>
      <c r="QKH370" s="15"/>
      <c r="QKI370" s="15"/>
      <c r="QKJ370" s="15"/>
      <c r="QKK370" s="15"/>
      <c r="QKL370" s="15"/>
      <c r="QKM370" s="15"/>
      <c r="QKN370" s="10"/>
      <c r="QKO370" s="10"/>
      <c r="QKP370" s="21"/>
      <c r="QKQ370" s="21"/>
      <c r="QKT370" s="21"/>
      <c r="QKU370" s="15"/>
      <c r="QKV370" s="15"/>
      <c r="QKW370" s="15"/>
      <c r="QKX370" s="15"/>
      <c r="QKY370" s="15"/>
      <c r="QKZ370" s="15"/>
      <c r="QLA370" s="15"/>
      <c r="QLB370" s="15"/>
      <c r="QLC370" s="15"/>
      <c r="QLD370" s="15"/>
      <c r="QLE370" s="10"/>
      <c r="QLF370" s="10"/>
      <c r="QLG370" s="21"/>
      <c r="QLH370" s="21"/>
      <c r="QLK370" s="21"/>
      <c r="QLL370" s="15"/>
      <c r="QLM370" s="15"/>
      <c r="QLN370" s="15"/>
      <c r="QLO370" s="15"/>
      <c r="QLP370" s="15"/>
      <c r="QLQ370" s="15"/>
      <c r="QLR370" s="15"/>
      <c r="QLS370" s="15"/>
      <c r="QLT370" s="15"/>
      <c r="QLU370" s="15"/>
      <c r="QLV370" s="10"/>
      <c r="QLW370" s="10"/>
      <c r="QLX370" s="21"/>
      <c r="QLY370" s="21"/>
      <c r="QMB370" s="21"/>
      <c r="QMC370" s="15"/>
      <c r="QMD370" s="15"/>
      <c r="QME370" s="15"/>
      <c r="QMF370" s="15"/>
      <c r="QMG370" s="15"/>
      <c r="QMH370" s="15"/>
      <c r="QMI370" s="15"/>
      <c r="QMJ370" s="15"/>
      <c r="QMK370" s="15"/>
      <c r="QML370" s="15"/>
      <c r="QMM370" s="10"/>
      <c r="QMN370" s="10"/>
      <c r="QMO370" s="21"/>
      <c r="QMP370" s="21"/>
      <c r="QMS370" s="21"/>
      <c r="QMT370" s="15"/>
      <c r="QMU370" s="15"/>
      <c r="QMV370" s="15"/>
      <c r="QMW370" s="15"/>
      <c r="QMX370" s="15"/>
      <c r="QMY370" s="15"/>
      <c r="QMZ370" s="15"/>
      <c r="QNA370" s="15"/>
      <c r="QNB370" s="15"/>
      <c r="QNC370" s="15"/>
      <c r="QND370" s="10"/>
      <c r="QNE370" s="10"/>
      <c r="QNF370" s="21"/>
      <c r="QNG370" s="21"/>
      <c r="QNJ370" s="21"/>
      <c r="QNK370" s="15"/>
      <c r="QNL370" s="15"/>
      <c r="QNM370" s="15"/>
      <c r="QNN370" s="15"/>
      <c r="QNO370" s="15"/>
      <c r="QNP370" s="15"/>
      <c r="QNQ370" s="15"/>
      <c r="QNR370" s="15"/>
      <c r="QNS370" s="15"/>
      <c r="QNT370" s="15"/>
      <c r="QNU370" s="10"/>
      <c r="QNV370" s="10"/>
      <c r="QNW370" s="21"/>
      <c r="QNX370" s="21"/>
      <c r="QOA370" s="21"/>
      <c r="QOB370" s="15"/>
      <c r="QOC370" s="15"/>
      <c r="QOD370" s="15"/>
      <c r="QOE370" s="15"/>
      <c r="QOF370" s="15"/>
      <c r="QOG370" s="15"/>
      <c r="QOH370" s="15"/>
      <c r="QOI370" s="15"/>
      <c r="QOJ370" s="15"/>
      <c r="QOK370" s="15"/>
      <c r="QOL370" s="10"/>
      <c r="QOM370" s="10"/>
      <c r="QON370" s="21"/>
      <c r="QOO370" s="21"/>
      <c r="QOR370" s="21"/>
      <c r="QOS370" s="15"/>
      <c r="QOT370" s="15"/>
      <c r="QOU370" s="15"/>
      <c r="QOV370" s="15"/>
      <c r="QOW370" s="15"/>
      <c r="QOX370" s="15"/>
      <c r="QOY370" s="15"/>
      <c r="QOZ370" s="15"/>
      <c r="QPA370" s="15"/>
      <c r="QPB370" s="15"/>
      <c r="QPC370" s="10"/>
      <c r="QPD370" s="10"/>
      <c r="QPE370" s="21"/>
      <c r="QPF370" s="21"/>
      <c r="QPI370" s="21"/>
      <c r="QPJ370" s="15"/>
      <c r="QPK370" s="15"/>
      <c r="QPL370" s="15"/>
      <c r="QPM370" s="15"/>
      <c r="QPN370" s="15"/>
      <c r="QPO370" s="15"/>
      <c r="QPP370" s="15"/>
      <c r="QPQ370" s="15"/>
      <c r="QPR370" s="15"/>
      <c r="QPS370" s="15"/>
      <c r="QPT370" s="10"/>
      <c r="QPU370" s="10"/>
      <c r="QPV370" s="21"/>
      <c r="QPW370" s="21"/>
      <c r="QPZ370" s="21"/>
      <c r="QQA370" s="15"/>
      <c r="QQB370" s="15"/>
      <c r="QQC370" s="15"/>
      <c r="QQD370" s="15"/>
      <c r="QQE370" s="15"/>
      <c r="QQF370" s="15"/>
      <c r="QQG370" s="15"/>
      <c r="QQH370" s="15"/>
      <c r="QQI370" s="15"/>
      <c r="QQJ370" s="15"/>
      <c r="QQK370" s="10"/>
      <c r="QQL370" s="10"/>
      <c r="QQM370" s="21"/>
      <c r="QQN370" s="21"/>
      <c r="QQQ370" s="21"/>
      <c r="QQR370" s="15"/>
      <c r="QQS370" s="15"/>
      <c r="QQT370" s="15"/>
      <c r="QQU370" s="15"/>
      <c r="QQV370" s="15"/>
      <c r="QQW370" s="15"/>
      <c r="QQX370" s="15"/>
      <c r="QQY370" s="15"/>
      <c r="QQZ370" s="15"/>
      <c r="QRA370" s="15"/>
      <c r="QRB370" s="10"/>
      <c r="QRC370" s="10"/>
      <c r="QRD370" s="21"/>
      <c r="QRE370" s="21"/>
      <c r="QRH370" s="21"/>
      <c r="QRI370" s="15"/>
      <c r="QRJ370" s="15"/>
      <c r="QRK370" s="15"/>
      <c r="QRL370" s="15"/>
      <c r="QRM370" s="15"/>
      <c r="QRN370" s="15"/>
      <c r="QRO370" s="15"/>
      <c r="QRP370" s="15"/>
      <c r="QRQ370" s="15"/>
      <c r="QRR370" s="15"/>
      <c r="QRS370" s="10"/>
      <c r="QRT370" s="10"/>
      <c r="QRU370" s="21"/>
      <c r="QRV370" s="21"/>
      <c r="QRY370" s="21"/>
      <c r="QRZ370" s="15"/>
      <c r="QSA370" s="15"/>
      <c r="QSB370" s="15"/>
      <c r="QSC370" s="15"/>
      <c r="QSD370" s="15"/>
      <c r="QSE370" s="15"/>
      <c r="QSF370" s="15"/>
      <c r="QSG370" s="15"/>
      <c r="QSH370" s="15"/>
      <c r="QSI370" s="15"/>
      <c r="QSJ370" s="10"/>
      <c r="QSK370" s="10"/>
      <c r="QSL370" s="21"/>
      <c r="QSM370" s="21"/>
      <c r="QSP370" s="21"/>
      <c r="QSQ370" s="15"/>
      <c r="QSR370" s="15"/>
      <c r="QSS370" s="15"/>
      <c r="QST370" s="15"/>
      <c r="QSU370" s="15"/>
      <c r="QSV370" s="15"/>
      <c r="QSW370" s="15"/>
      <c r="QSX370" s="15"/>
      <c r="QSY370" s="15"/>
      <c r="QSZ370" s="15"/>
      <c r="QTA370" s="10"/>
      <c r="QTB370" s="10"/>
      <c r="QTC370" s="21"/>
      <c r="QTD370" s="21"/>
      <c r="QTG370" s="21"/>
      <c r="QTH370" s="15"/>
      <c r="QTI370" s="15"/>
      <c r="QTJ370" s="15"/>
      <c r="QTK370" s="15"/>
      <c r="QTL370" s="15"/>
      <c r="QTM370" s="15"/>
      <c r="QTN370" s="15"/>
      <c r="QTO370" s="15"/>
      <c r="QTP370" s="15"/>
      <c r="QTQ370" s="15"/>
      <c r="QTR370" s="10"/>
      <c r="QTS370" s="10"/>
      <c r="QTT370" s="21"/>
      <c r="QTU370" s="21"/>
      <c r="QTX370" s="21"/>
      <c r="QTY370" s="15"/>
      <c r="QTZ370" s="15"/>
      <c r="QUA370" s="15"/>
      <c r="QUB370" s="15"/>
      <c r="QUC370" s="15"/>
      <c r="QUD370" s="15"/>
      <c r="QUE370" s="15"/>
      <c r="QUF370" s="15"/>
      <c r="QUG370" s="15"/>
      <c r="QUH370" s="15"/>
      <c r="QUI370" s="10"/>
      <c r="QUJ370" s="10"/>
      <c r="QUK370" s="21"/>
      <c r="QUL370" s="21"/>
      <c r="QUO370" s="21"/>
      <c r="QUP370" s="15"/>
      <c r="QUQ370" s="15"/>
      <c r="QUR370" s="15"/>
      <c r="QUS370" s="15"/>
      <c r="QUT370" s="15"/>
      <c r="QUU370" s="15"/>
      <c r="QUV370" s="15"/>
      <c r="QUW370" s="15"/>
      <c r="QUX370" s="15"/>
      <c r="QUY370" s="15"/>
      <c r="QUZ370" s="10"/>
      <c r="QVA370" s="10"/>
      <c r="QVB370" s="21"/>
      <c r="QVC370" s="21"/>
      <c r="QVF370" s="21"/>
      <c r="QVG370" s="15"/>
      <c r="QVH370" s="15"/>
      <c r="QVI370" s="15"/>
      <c r="QVJ370" s="15"/>
      <c r="QVK370" s="15"/>
      <c r="QVL370" s="15"/>
      <c r="QVM370" s="15"/>
      <c r="QVN370" s="15"/>
      <c r="QVO370" s="15"/>
      <c r="QVP370" s="15"/>
      <c r="QVQ370" s="10"/>
      <c r="QVR370" s="10"/>
      <c r="QVS370" s="21"/>
      <c r="QVT370" s="21"/>
      <c r="QVW370" s="21"/>
      <c r="QVX370" s="15"/>
      <c r="QVY370" s="15"/>
      <c r="QVZ370" s="15"/>
      <c r="QWA370" s="15"/>
      <c r="QWB370" s="15"/>
      <c r="QWC370" s="15"/>
      <c r="QWD370" s="15"/>
      <c r="QWE370" s="15"/>
      <c r="QWF370" s="15"/>
      <c r="QWG370" s="15"/>
      <c r="QWH370" s="10"/>
      <c r="QWI370" s="10"/>
      <c r="QWJ370" s="21"/>
      <c r="QWK370" s="21"/>
      <c r="QWN370" s="21"/>
      <c r="QWO370" s="15"/>
      <c r="QWP370" s="15"/>
      <c r="QWQ370" s="15"/>
      <c r="QWR370" s="15"/>
      <c r="QWS370" s="15"/>
      <c r="QWT370" s="15"/>
      <c r="QWU370" s="15"/>
      <c r="QWV370" s="15"/>
      <c r="QWW370" s="15"/>
      <c r="QWX370" s="15"/>
      <c r="QWY370" s="10"/>
      <c r="QWZ370" s="10"/>
      <c r="QXA370" s="21"/>
      <c r="QXB370" s="21"/>
      <c r="QXE370" s="21"/>
      <c r="QXF370" s="15"/>
      <c r="QXG370" s="15"/>
      <c r="QXH370" s="15"/>
      <c r="QXI370" s="15"/>
      <c r="QXJ370" s="15"/>
      <c r="QXK370" s="15"/>
      <c r="QXL370" s="15"/>
      <c r="QXM370" s="15"/>
      <c r="QXN370" s="15"/>
      <c r="QXO370" s="15"/>
      <c r="QXP370" s="10"/>
      <c r="QXQ370" s="10"/>
      <c r="QXR370" s="21"/>
      <c r="QXS370" s="21"/>
      <c r="QXV370" s="21"/>
      <c r="QXW370" s="15"/>
      <c r="QXX370" s="15"/>
      <c r="QXY370" s="15"/>
      <c r="QXZ370" s="15"/>
      <c r="QYA370" s="15"/>
      <c r="QYB370" s="15"/>
      <c r="QYC370" s="15"/>
      <c r="QYD370" s="15"/>
      <c r="QYE370" s="15"/>
      <c r="QYF370" s="15"/>
      <c r="QYG370" s="10"/>
      <c r="QYH370" s="10"/>
      <c r="QYI370" s="21"/>
      <c r="QYJ370" s="21"/>
      <c r="QYM370" s="21"/>
      <c r="QYN370" s="15"/>
      <c r="QYO370" s="15"/>
      <c r="QYP370" s="15"/>
      <c r="QYQ370" s="15"/>
      <c r="QYR370" s="15"/>
      <c r="QYS370" s="15"/>
      <c r="QYT370" s="15"/>
      <c r="QYU370" s="15"/>
      <c r="QYV370" s="15"/>
      <c r="QYW370" s="15"/>
      <c r="QYX370" s="10"/>
      <c r="QYY370" s="10"/>
      <c r="QYZ370" s="21"/>
      <c r="QZA370" s="21"/>
      <c r="QZD370" s="21"/>
      <c r="QZE370" s="15"/>
      <c r="QZF370" s="15"/>
      <c r="QZG370" s="15"/>
      <c r="QZH370" s="15"/>
      <c r="QZI370" s="15"/>
      <c r="QZJ370" s="15"/>
      <c r="QZK370" s="15"/>
      <c r="QZL370" s="15"/>
      <c r="QZM370" s="15"/>
      <c r="QZN370" s="15"/>
      <c r="QZO370" s="10"/>
      <c r="QZP370" s="10"/>
      <c r="QZQ370" s="21"/>
      <c r="QZR370" s="21"/>
      <c r="QZU370" s="21"/>
      <c r="QZV370" s="15"/>
      <c r="QZW370" s="15"/>
      <c r="QZX370" s="15"/>
      <c r="QZY370" s="15"/>
      <c r="QZZ370" s="15"/>
      <c r="RAA370" s="15"/>
      <c r="RAB370" s="15"/>
      <c r="RAC370" s="15"/>
      <c r="RAD370" s="15"/>
      <c r="RAE370" s="15"/>
      <c r="RAF370" s="10"/>
      <c r="RAG370" s="10"/>
      <c r="RAH370" s="21"/>
      <c r="RAI370" s="21"/>
      <c r="RAL370" s="21"/>
      <c r="RAM370" s="15"/>
      <c r="RAN370" s="15"/>
      <c r="RAO370" s="15"/>
      <c r="RAP370" s="15"/>
      <c r="RAQ370" s="15"/>
      <c r="RAR370" s="15"/>
      <c r="RAS370" s="15"/>
      <c r="RAT370" s="15"/>
      <c r="RAU370" s="15"/>
      <c r="RAV370" s="15"/>
      <c r="RAW370" s="10"/>
      <c r="RAX370" s="10"/>
      <c r="RAY370" s="21"/>
      <c r="RAZ370" s="21"/>
      <c r="RBC370" s="21"/>
      <c r="RBD370" s="15"/>
      <c r="RBE370" s="15"/>
      <c r="RBF370" s="15"/>
      <c r="RBG370" s="15"/>
      <c r="RBH370" s="15"/>
      <c r="RBI370" s="15"/>
      <c r="RBJ370" s="15"/>
      <c r="RBK370" s="15"/>
      <c r="RBL370" s="15"/>
      <c r="RBM370" s="15"/>
      <c r="RBN370" s="10"/>
      <c r="RBO370" s="10"/>
      <c r="RBP370" s="21"/>
      <c r="RBQ370" s="21"/>
      <c r="RBT370" s="21"/>
      <c r="RBU370" s="15"/>
      <c r="RBV370" s="15"/>
      <c r="RBW370" s="15"/>
      <c r="RBX370" s="15"/>
      <c r="RBY370" s="15"/>
      <c r="RBZ370" s="15"/>
      <c r="RCA370" s="15"/>
      <c r="RCB370" s="15"/>
      <c r="RCC370" s="15"/>
      <c r="RCD370" s="15"/>
      <c r="RCE370" s="10"/>
      <c r="RCF370" s="10"/>
      <c r="RCG370" s="21"/>
      <c r="RCH370" s="21"/>
      <c r="RCK370" s="21"/>
      <c r="RCL370" s="15"/>
      <c r="RCM370" s="15"/>
      <c r="RCN370" s="15"/>
      <c r="RCO370" s="15"/>
      <c r="RCP370" s="15"/>
      <c r="RCQ370" s="15"/>
      <c r="RCR370" s="15"/>
      <c r="RCS370" s="15"/>
      <c r="RCT370" s="15"/>
      <c r="RCU370" s="15"/>
      <c r="RCV370" s="10"/>
      <c r="RCW370" s="10"/>
      <c r="RCX370" s="21"/>
      <c r="RCY370" s="21"/>
      <c r="RDB370" s="21"/>
      <c r="RDC370" s="15"/>
      <c r="RDD370" s="15"/>
      <c r="RDE370" s="15"/>
      <c r="RDF370" s="15"/>
      <c r="RDG370" s="15"/>
      <c r="RDH370" s="15"/>
      <c r="RDI370" s="15"/>
      <c r="RDJ370" s="15"/>
      <c r="RDK370" s="15"/>
      <c r="RDL370" s="15"/>
      <c r="RDM370" s="10"/>
      <c r="RDN370" s="10"/>
      <c r="RDO370" s="21"/>
      <c r="RDP370" s="21"/>
      <c r="RDS370" s="21"/>
      <c r="RDT370" s="15"/>
      <c r="RDU370" s="15"/>
      <c r="RDV370" s="15"/>
      <c r="RDW370" s="15"/>
      <c r="RDX370" s="15"/>
      <c r="RDY370" s="15"/>
      <c r="RDZ370" s="15"/>
      <c r="REA370" s="15"/>
      <c r="REB370" s="15"/>
      <c r="REC370" s="15"/>
      <c r="RED370" s="10"/>
      <c r="REE370" s="10"/>
      <c r="REF370" s="21"/>
      <c r="REG370" s="21"/>
      <c r="REJ370" s="21"/>
      <c r="REK370" s="15"/>
      <c r="REL370" s="15"/>
      <c r="REM370" s="15"/>
      <c r="REN370" s="15"/>
      <c r="REO370" s="15"/>
      <c r="REP370" s="15"/>
      <c r="REQ370" s="15"/>
      <c r="RER370" s="15"/>
      <c r="RES370" s="15"/>
      <c r="RET370" s="15"/>
      <c r="REU370" s="10"/>
      <c r="REV370" s="10"/>
      <c r="REW370" s="21"/>
      <c r="REX370" s="21"/>
      <c r="RFA370" s="21"/>
      <c r="RFB370" s="15"/>
      <c r="RFC370" s="15"/>
      <c r="RFD370" s="15"/>
      <c r="RFE370" s="15"/>
      <c r="RFF370" s="15"/>
      <c r="RFG370" s="15"/>
      <c r="RFH370" s="15"/>
      <c r="RFI370" s="15"/>
      <c r="RFJ370" s="15"/>
      <c r="RFK370" s="15"/>
      <c r="RFL370" s="10"/>
      <c r="RFM370" s="10"/>
      <c r="RFN370" s="21"/>
      <c r="RFO370" s="21"/>
      <c r="RFR370" s="21"/>
      <c r="RFS370" s="15"/>
      <c r="RFT370" s="15"/>
      <c r="RFU370" s="15"/>
      <c r="RFV370" s="15"/>
      <c r="RFW370" s="15"/>
      <c r="RFX370" s="15"/>
      <c r="RFY370" s="15"/>
      <c r="RFZ370" s="15"/>
      <c r="RGA370" s="15"/>
      <c r="RGB370" s="15"/>
      <c r="RGC370" s="10"/>
      <c r="RGD370" s="10"/>
      <c r="RGE370" s="21"/>
      <c r="RGF370" s="21"/>
      <c r="RGI370" s="21"/>
      <c r="RGJ370" s="15"/>
      <c r="RGK370" s="15"/>
      <c r="RGL370" s="15"/>
      <c r="RGM370" s="15"/>
      <c r="RGN370" s="15"/>
      <c r="RGO370" s="15"/>
      <c r="RGP370" s="15"/>
      <c r="RGQ370" s="15"/>
      <c r="RGR370" s="15"/>
      <c r="RGS370" s="15"/>
      <c r="RGT370" s="10"/>
      <c r="RGU370" s="10"/>
      <c r="RGV370" s="21"/>
      <c r="RGW370" s="21"/>
      <c r="RGZ370" s="21"/>
      <c r="RHA370" s="15"/>
      <c r="RHB370" s="15"/>
      <c r="RHC370" s="15"/>
      <c r="RHD370" s="15"/>
      <c r="RHE370" s="15"/>
      <c r="RHF370" s="15"/>
      <c r="RHG370" s="15"/>
      <c r="RHH370" s="15"/>
      <c r="RHI370" s="15"/>
      <c r="RHJ370" s="15"/>
      <c r="RHK370" s="10"/>
      <c r="RHL370" s="10"/>
      <c r="RHM370" s="21"/>
      <c r="RHN370" s="21"/>
      <c r="RHQ370" s="21"/>
      <c r="RHR370" s="15"/>
      <c r="RHS370" s="15"/>
      <c r="RHT370" s="15"/>
      <c r="RHU370" s="15"/>
      <c r="RHV370" s="15"/>
      <c r="RHW370" s="15"/>
      <c r="RHX370" s="15"/>
      <c r="RHY370" s="15"/>
      <c r="RHZ370" s="15"/>
      <c r="RIA370" s="15"/>
      <c r="RIB370" s="10"/>
      <c r="RIC370" s="10"/>
      <c r="RID370" s="21"/>
      <c r="RIE370" s="21"/>
      <c r="RIH370" s="21"/>
      <c r="RII370" s="15"/>
      <c r="RIJ370" s="15"/>
      <c r="RIK370" s="15"/>
      <c r="RIL370" s="15"/>
      <c r="RIM370" s="15"/>
      <c r="RIN370" s="15"/>
      <c r="RIO370" s="15"/>
      <c r="RIP370" s="15"/>
      <c r="RIQ370" s="15"/>
      <c r="RIR370" s="15"/>
      <c r="RIS370" s="10"/>
      <c r="RIT370" s="10"/>
      <c r="RIU370" s="21"/>
      <c r="RIV370" s="21"/>
      <c r="RIY370" s="21"/>
      <c r="RIZ370" s="15"/>
      <c r="RJA370" s="15"/>
      <c r="RJB370" s="15"/>
      <c r="RJC370" s="15"/>
      <c r="RJD370" s="15"/>
      <c r="RJE370" s="15"/>
      <c r="RJF370" s="15"/>
      <c r="RJG370" s="15"/>
      <c r="RJH370" s="15"/>
      <c r="RJI370" s="15"/>
      <c r="RJJ370" s="10"/>
      <c r="RJK370" s="10"/>
      <c r="RJL370" s="21"/>
      <c r="RJM370" s="21"/>
      <c r="RJP370" s="21"/>
      <c r="RJQ370" s="15"/>
      <c r="RJR370" s="15"/>
      <c r="RJS370" s="15"/>
      <c r="RJT370" s="15"/>
      <c r="RJU370" s="15"/>
      <c r="RJV370" s="15"/>
      <c r="RJW370" s="15"/>
      <c r="RJX370" s="15"/>
      <c r="RJY370" s="15"/>
      <c r="RJZ370" s="15"/>
      <c r="RKA370" s="10"/>
      <c r="RKB370" s="10"/>
      <c r="RKC370" s="21"/>
      <c r="RKD370" s="21"/>
      <c r="RKG370" s="21"/>
      <c r="RKH370" s="15"/>
      <c r="RKI370" s="15"/>
      <c r="RKJ370" s="15"/>
      <c r="RKK370" s="15"/>
      <c r="RKL370" s="15"/>
      <c r="RKM370" s="15"/>
      <c r="RKN370" s="15"/>
      <c r="RKO370" s="15"/>
      <c r="RKP370" s="15"/>
      <c r="RKQ370" s="15"/>
      <c r="RKR370" s="10"/>
      <c r="RKS370" s="10"/>
      <c r="RKT370" s="21"/>
      <c r="RKU370" s="21"/>
      <c r="RKX370" s="21"/>
      <c r="RKY370" s="15"/>
      <c r="RKZ370" s="15"/>
      <c r="RLA370" s="15"/>
      <c r="RLB370" s="15"/>
      <c r="RLC370" s="15"/>
      <c r="RLD370" s="15"/>
      <c r="RLE370" s="15"/>
      <c r="RLF370" s="15"/>
      <c r="RLG370" s="15"/>
      <c r="RLH370" s="15"/>
      <c r="RLI370" s="10"/>
      <c r="RLJ370" s="10"/>
      <c r="RLK370" s="21"/>
      <c r="RLL370" s="21"/>
      <c r="RLO370" s="21"/>
      <c r="RLP370" s="15"/>
      <c r="RLQ370" s="15"/>
      <c r="RLR370" s="15"/>
      <c r="RLS370" s="15"/>
      <c r="RLT370" s="15"/>
      <c r="RLU370" s="15"/>
      <c r="RLV370" s="15"/>
      <c r="RLW370" s="15"/>
      <c r="RLX370" s="15"/>
      <c r="RLY370" s="15"/>
      <c r="RLZ370" s="10"/>
      <c r="RMA370" s="10"/>
      <c r="RMB370" s="21"/>
      <c r="RMC370" s="21"/>
      <c r="RMF370" s="21"/>
      <c r="RMG370" s="15"/>
      <c r="RMH370" s="15"/>
      <c r="RMI370" s="15"/>
      <c r="RMJ370" s="15"/>
      <c r="RMK370" s="15"/>
      <c r="RML370" s="15"/>
      <c r="RMM370" s="15"/>
      <c r="RMN370" s="15"/>
      <c r="RMO370" s="15"/>
      <c r="RMP370" s="15"/>
      <c r="RMQ370" s="10"/>
      <c r="RMR370" s="10"/>
      <c r="RMS370" s="21"/>
      <c r="RMT370" s="21"/>
      <c r="RMW370" s="21"/>
      <c r="RMX370" s="15"/>
      <c r="RMY370" s="15"/>
      <c r="RMZ370" s="15"/>
      <c r="RNA370" s="15"/>
      <c r="RNB370" s="15"/>
      <c r="RNC370" s="15"/>
      <c r="RND370" s="15"/>
      <c r="RNE370" s="15"/>
      <c r="RNF370" s="15"/>
      <c r="RNG370" s="15"/>
      <c r="RNH370" s="10"/>
      <c r="RNI370" s="10"/>
      <c r="RNJ370" s="21"/>
      <c r="RNK370" s="21"/>
      <c r="RNN370" s="21"/>
      <c r="RNO370" s="15"/>
      <c r="RNP370" s="15"/>
      <c r="RNQ370" s="15"/>
      <c r="RNR370" s="15"/>
      <c r="RNS370" s="15"/>
      <c r="RNT370" s="15"/>
      <c r="RNU370" s="15"/>
      <c r="RNV370" s="15"/>
      <c r="RNW370" s="15"/>
      <c r="RNX370" s="15"/>
      <c r="RNY370" s="10"/>
      <c r="RNZ370" s="10"/>
      <c r="ROA370" s="21"/>
      <c r="ROB370" s="21"/>
      <c r="ROE370" s="21"/>
      <c r="ROF370" s="15"/>
      <c r="ROG370" s="15"/>
      <c r="ROH370" s="15"/>
      <c r="ROI370" s="15"/>
      <c r="ROJ370" s="15"/>
      <c r="ROK370" s="15"/>
      <c r="ROL370" s="15"/>
      <c r="ROM370" s="15"/>
      <c r="RON370" s="15"/>
      <c r="ROO370" s="15"/>
      <c r="ROP370" s="10"/>
      <c r="ROQ370" s="10"/>
      <c r="ROR370" s="21"/>
      <c r="ROS370" s="21"/>
      <c r="ROV370" s="21"/>
      <c r="ROW370" s="15"/>
      <c r="ROX370" s="15"/>
      <c r="ROY370" s="15"/>
      <c r="ROZ370" s="15"/>
      <c r="RPA370" s="15"/>
      <c r="RPB370" s="15"/>
      <c r="RPC370" s="15"/>
      <c r="RPD370" s="15"/>
      <c r="RPE370" s="15"/>
      <c r="RPF370" s="15"/>
      <c r="RPG370" s="10"/>
      <c r="RPH370" s="10"/>
      <c r="RPI370" s="21"/>
      <c r="RPJ370" s="21"/>
      <c r="RPM370" s="21"/>
      <c r="RPN370" s="15"/>
      <c r="RPO370" s="15"/>
      <c r="RPP370" s="15"/>
      <c r="RPQ370" s="15"/>
      <c r="RPR370" s="15"/>
      <c r="RPS370" s="15"/>
      <c r="RPT370" s="15"/>
      <c r="RPU370" s="15"/>
      <c r="RPV370" s="15"/>
      <c r="RPW370" s="15"/>
      <c r="RPX370" s="10"/>
      <c r="RPY370" s="10"/>
      <c r="RPZ370" s="21"/>
      <c r="RQA370" s="21"/>
      <c r="RQD370" s="21"/>
      <c r="RQE370" s="15"/>
      <c r="RQF370" s="15"/>
      <c r="RQG370" s="15"/>
      <c r="RQH370" s="15"/>
      <c r="RQI370" s="15"/>
      <c r="RQJ370" s="15"/>
      <c r="RQK370" s="15"/>
      <c r="RQL370" s="15"/>
      <c r="RQM370" s="15"/>
      <c r="RQN370" s="15"/>
      <c r="RQO370" s="10"/>
      <c r="RQP370" s="10"/>
      <c r="RQQ370" s="21"/>
      <c r="RQR370" s="21"/>
      <c r="RQU370" s="21"/>
      <c r="RQV370" s="15"/>
      <c r="RQW370" s="15"/>
      <c r="RQX370" s="15"/>
      <c r="RQY370" s="15"/>
      <c r="RQZ370" s="15"/>
      <c r="RRA370" s="15"/>
      <c r="RRB370" s="15"/>
      <c r="RRC370" s="15"/>
      <c r="RRD370" s="15"/>
      <c r="RRE370" s="15"/>
      <c r="RRF370" s="10"/>
      <c r="RRG370" s="10"/>
      <c r="RRH370" s="21"/>
      <c r="RRI370" s="21"/>
      <c r="RRL370" s="21"/>
      <c r="RRM370" s="15"/>
      <c r="RRN370" s="15"/>
      <c r="RRO370" s="15"/>
      <c r="RRP370" s="15"/>
      <c r="RRQ370" s="15"/>
      <c r="RRR370" s="15"/>
      <c r="RRS370" s="15"/>
      <c r="RRT370" s="15"/>
      <c r="RRU370" s="15"/>
      <c r="RRV370" s="15"/>
      <c r="RRW370" s="10"/>
      <c r="RRX370" s="10"/>
      <c r="RRY370" s="21"/>
      <c r="RRZ370" s="21"/>
      <c r="RSC370" s="21"/>
      <c r="RSD370" s="15"/>
      <c r="RSE370" s="15"/>
      <c r="RSF370" s="15"/>
      <c r="RSG370" s="15"/>
      <c r="RSH370" s="15"/>
      <c r="RSI370" s="15"/>
      <c r="RSJ370" s="15"/>
      <c r="RSK370" s="15"/>
      <c r="RSL370" s="15"/>
      <c r="RSM370" s="15"/>
      <c r="RSN370" s="10"/>
      <c r="RSO370" s="10"/>
      <c r="RSP370" s="21"/>
      <c r="RSQ370" s="21"/>
      <c r="RST370" s="21"/>
      <c r="RSU370" s="15"/>
      <c r="RSV370" s="15"/>
      <c r="RSW370" s="15"/>
      <c r="RSX370" s="15"/>
      <c r="RSY370" s="15"/>
      <c r="RSZ370" s="15"/>
      <c r="RTA370" s="15"/>
      <c r="RTB370" s="15"/>
      <c r="RTC370" s="15"/>
      <c r="RTD370" s="15"/>
      <c r="RTE370" s="10"/>
      <c r="RTF370" s="10"/>
      <c r="RTG370" s="21"/>
      <c r="RTH370" s="21"/>
      <c r="RTK370" s="21"/>
      <c r="RTL370" s="15"/>
      <c r="RTM370" s="15"/>
      <c r="RTN370" s="15"/>
      <c r="RTO370" s="15"/>
      <c r="RTP370" s="15"/>
      <c r="RTQ370" s="15"/>
      <c r="RTR370" s="15"/>
      <c r="RTS370" s="15"/>
      <c r="RTT370" s="15"/>
      <c r="RTU370" s="15"/>
      <c r="RTV370" s="10"/>
      <c r="RTW370" s="10"/>
      <c r="RTX370" s="21"/>
      <c r="RTY370" s="21"/>
      <c r="RUB370" s="21"/>
      <c r="RUC370" s="15"/>
      <c r="RUD370" s="15"/>
      <c r="RUE370" s="15"/>
      <c r="RUF370" s="15"/>
      <c r="RUG370" s="15"/>
      <c r="RUH370" s="15"/>
      <c r="RUI370" s="15"/>
      <c r="RUJ370" s="15"/>
      <c r="RUK370" s="15"/>
      <c r="RUL370" s="15"/>
      <c r="RUM370" s="10"/>
      <c r="RUN370" s="10"/>
      <c r="RUO370" s="21"/>
      <c r="RUP370" s="21"/>
      <c r="RUS370" s="21"/>
      <c r="RUT370" s="15"/>
      <c r="RUU370" s="15"/>
      <c r="RUV370" s="15"/>
      <c r="RUW370" s="15"/>
      <c r="RUX370" s="15"/>
      <c r="RUY370" s="15"/>
      <c r="RUZ370" s="15"/>
      <c r="RVA370" s="15"/>
      <c r="RVB370" s="15"/>
      <c r="RVC370" s="15"/>
      <c r="RVD370" s="10"/>
      <c r="RVE370" s="10"/>
      <c r="RVF370" s="21"/>
      <c r="RVG370" s="21"/>
      <c r="RVJ370" s="21"/>
      <c r="RVK370" s="15"/>
      <c r="RVL370" s="15"/>
      <c r="RVM370" s="15"/>
      <c r="RVN370" s="15"/>
      <c r="RVO370" s="15"/>
      <c r="RVP370" s="15"/>
      <c r="RVQ370" s="15"/>
      <c r="RVR370" s="15"/>
      <c r="RVS370" s="15"/>
      <c r="RVT370" s="15"/>
      <c r="RVU370" s="10"/>
      <c r="RVV370" s="10"/>
      <c r="RVW370" s="21"/>
      <c r="RVX370" s="21"/>
      <c r="RWA370" s="21"/>
      <c r="RWB370" s="15"/>
      <c r="RWC370" s="15"/>
      <c r="RWD370" s="15"/>
      <c r="RWE370" s="15"/>
      <c r="RWF370" s="15"/>
      <c r="RWG370" s="15"/>
      <c r="RWH370" s="15"/>
      <c r="RWI370" s="15"/>
      <c r="RWJ370" s="15"/>
      <c r="RWK370" s="15"/>
      <c r="RWL370" s="10"/>
      <c r="RWM370" s="10"/>
      <c r="RWN370" s="21"/>
      <c r="RWO370" s="21"/>
      <c r="RWR370" s="21"/>
      <c r="RWS370" s="15"/>
      <c r="RWT370" s="15"/>
      <c r="RWU370" s="15"/>
      <c r="RWV370" s="15"/>
      <c r="RWW370" s="15"/>
      <c r="RWX370" s="15"/>
      <c r="RWY370" s="15"/>
      <c r="RWZ370" s="15"/>
      <c r="RXA370" s="15"/>
      <c r="RXB370" s="15"/>
      <c r="RXC370" s="10"/>
      <c r="RXD370" s="10"/>
      <c r="RXE370" s="21"/>
      <c r="RXF370" s="21"/>
      <c r="RXI370" s="21"/>
      <c r="RXJ370" s="15"/>
      <c r="RXK370" s="15"/>
      <c r="RXL370" s="15"/>
      <c r="RXM370" s="15"/>
      <c r="RXN370" s="15"/>
      <c r="RXO370" s="15"/>
      <c r="RXP370" s="15"/>
      <c r="RXQ370" s="15"/>
      <c r="RXR370" s="15"/>
      <c r="RXS370" s="15"/>
      <c r="RXT370" s="10"/>
      <c r="RXU370" s="10"/>
      <c r="RXV370" s="21"/>
      <c r="RXW370" s="21"/>
      <c r="RXZ370" s="21"/>
      <c r="RYA370" s="15"/>
      <c r="RYB370" s="15"/>
      <c r="RYC370" s="15"/>
      <c r="RYD370" s="15"/>
      <c r="RYE370" s="15"/>
      <c r="RYF370" s="15"/>
      <c r="RYG370" s="15"/>
      <c r="RYH370" s="15"/>
      <c r="RYI370" s="15"/>
      <c r="RYJ370" s="15"/>
      <c r="RYK370" s="10"/>
      <c r="RYL370" s="10"/>
      <c r="RYM370" s="21"/>
      <c r="RYN370" s="21"/>
      <c r="RYQ370" s="21"/>
      <c r="RYR370" s="15"/>
      <c r="RYS370" s="15"/>
      <c r="RYT370" s="15"/>
      <c r="RYU370" s="15"/>
      <c r="RYV370" s="15"/>
      <c r="RYW370" s="15"/>
      <c r="RYX370" s="15"/>
      <c r="RYY370" s="15"/>
      <c r="RYZ370" s="15"/>
      <c r="RZA370" s="15"/>
      <c r="RZB370" s="10"/>
      <c r="RZC370" s="10"/>
      <c r="RZD370" s="21"/>
      <c r="RZE370" s="21"/>
      <c r="RZH370" s="21"/>
      <c r="RZI370" s="15"/>
      <c r="RZJ370" s="15"/>
      <c r="RZK370" s="15"/>
      <c r="RZL370" s="15"/>
      <c r="RZM370" s="15"/>
      <c r="RZN370" s="15"/>
      <c r="RZO370" s="15"/>
      <c r="RZP370" s="15"/>
      <c r="RZQ370" s="15"/>
      <c r="RZR370" s="15"/>
      <c r="RZS370" s="10"/>
      <c r="RZT370" s="10"/>
      <c r="RZU370" s="21"/>
      <c r="RZV370" s="21"/>
      <c r="RZY370" s="21"/>
      <c r="RZZ370" s="15"/>
      <c r="SAA370" s="15"/>
      <c r="SAB370" s="15"/>
      <c r="SAC370" s="15"/>
      <c r="SAD370" s="15"/>
      <c r="SAE370" s="15"/>
      <c r="SAF370" s="15"/>
      <c r="SAG370" s="15"/>
      <c r="SAH370" s="15"/>
      <c r="SAI370" s="15"/>
      <c r="SAJ370" s="10"/>
      <c r="SAK370" s="10"/>
      <c r="SAL370" s="21"/>
      <c r="SAM370" s="21"/>
      <c r="SAP370" s="21"/>
      <c r="SAQ370" s="15"/>
      <c r="SAR370" s="15"/>
      <c r="SAS370" s="15"/>
      <c r="SAT370" s="15"/>
      <c r="SAU370" s="15"/>
      <c r="SAV370" s="15"/>
      <c r="SAW370" s="15"/>
      <c r="SAX370" s="15"/>
      <c r="SAY370" s="15"/>
      <c r="SAZ370" s="15"/>
      <c r="SBA370" s="10"/>
      <c r="SBB370" s="10"/>
      <c r="SBC370" s="21"/>
      <c r="SBD370" s="21"/>
      <c r="SBG370" s="21"/>
      <c r="SBH370" s="15"/>
      <c r="SBI370" s="15"/>
      <c r="SBJ370" s="15"/>
      <c r="SBK370" s="15"/>
      <c r="SBL370" s="15"/>
      <c r="SBM370" s="15"/>
      <c r="SBN370" s="15"/>
      <c r="SBO370" s="15"/>
      <c r="SBP370" s="15"/>
      <c r="SBQ370" s="15"/>
      <c r="SBR370" s="10"/>
      <c r="SBS370" s="10"/>
      <c r="SBT370" s="21"/>
      <c r="SBU370" s="21"/>
      <c r="SBX370" s="21"/>
      <c r="SBY370" s="15"/>
      <c r="SBZ370" s="15"/>
      <c r="SCA370" s="15"/>
      <c r="SCB370" s="15"/>
      <c r="SCC370" s="15"/>
      <c r="SCD370" s="15"/>
      <c r="SCE370" s="15"/>
      <c r="SCF370" s="15"/>
      <c r="SCG370" s="15"/>
      <c r="SCH370" s="15"/>
      <c r="SCI370" s="10"/>
      <c r="SCJ370" s="10"/>
      <c r="SCK370" s="21"/>
      <c r="SCL370" s="21"/>
      <c r="SCO370" s="21"/>
      <c r="SCP370" s="15"/>
      <c r="SCQ370" s="15"/>
      <c r="SCR370" s="15"/>
      <c r="SCS370" s="15"/>
      <c r="SCT370" s="15"/>
      <c r="SCU370" s="15"/>
      <c r="SCV370" s="15"/>
      <c r="SCW370" s="15"/>
      <c r="SCX370" s="15"/>
      <c r="SCY370" s="15"/>
      <c r="SCZ370" s="10"/>
      <c r="SDA370" s="10"/>
      <c r="SDB370" s="21"/>
      <c r="SDC370" s="21"/>
      <c r="SDF370" s="21"/>
      <c r="SDG370" s="15"/>
      <c r="SDH370" s="15"/>
      <c r="SDI370" s="15"/>
      <c r="SDJ370" s="15"/>
      <c r="SDK370" s="15"/>
      <c r="SDL370" s="15"/>
      <c r="SDM370" s="15"/>
      <c r="SDN370" s="15"/>
      <c r="SDO370" s="15"/>
      <c r="SDP370" s="15"/>
      <c r="SDQ370" s="10"/>
      <c r="SDR370" s="10"/>
      <c r="SDS370" s="21"/>
      <c r="SDT370" s="21"/>
      <c r="SDW370" s="21"/>
      <c r="SDX370" s="15"/>
      <c r="SDY370" s="15"/>
      <c r="SDZ370" s="15"/>
      <c r="SEA370" s="15"/>
      <c r="SEB370" s="15"/>
      <c r="SEC370" s="15"/>
      <c r="SED370" s="15"/>
      <c r="SEE370" s="15"/>
      <c r="SEF370" s="15"/>
      <c r="SEG370" s="15"/>
      <c r="SEH370" s="10"/>
      <c r="SEI370" s="10"/>
      <c r="SEJ370" s="21"/>
      <c r="SEK370" s="21"/>
      <c r="SEN370" s="21"/>
      <c r="SEO370" s="15"/>
      <c r="SEP370" s="15"/>
      <c r="SEQ370" s="15"/>
      <c r="SER370" s="15"/>
      <c r="SES370" s="15"/>
      <c r="SET370" s="15"/>
      <c r="SEU370" s="15"/>
      <c r="SEV370" s="15"/>
      <c r="SEW370" s="15"/>
      <c r="SEX370" s="15"/>
      <c r="SEY370" s="10"/>
      <c r="SEZ370" s="10"/>
      <c r="SFA370" s="21"/>
      <c r="SFB370" s="21"/>
      <c r="SFE370" s="21"/>
      <c r="SFF370" s="15"/>
      <c r="SFG370" s="15"/>
      <c r="SFH370" s="15"/>
      <c r="SFI370" s="15"/>
      <c r="SFJ370" s="15"/>
      <c r="SFK370" s="15"/>
      <c r="SFL370" s="15"/>
      <c r="SFM370" s="15"/>
      <c r="SFN370" s="15"/>
      <c r="SFO370" s="15"/>
      <c r="SFP370" s="10"/>
      <c r="SFQ370" s="10"/>
      <c r="SFR370" s="21"/>
      <c r="SFS370" s="21"/>
      <c r="SFV370" s="21"/>
      <c r="SFW370" s="15"/>
      <c r="SFX370" s="15"/>
      <c r="SFY370" s="15"/>
      <c r="SFZ370" s="15"/>
      <c r="SGA370" s="15"/>
      <c r="SGB370" s="15"/>
      <c r="SGC370" s="15"/>
      <c r="SGD370" s="15"/>
      <c r="SGE370" s="15"/>
      <c r="SGF370" s="15"/>
      <c r="SGG370" s="10"/>
      <c r="SGH370" s="10"/>
      <c r="SGI370" s="21"/>
      <c r="SGJ370" s="21"/>
      <c r="SGM370" s="21"/>
      <c r="SGN370" s="15"/>
      <c r="SGO370" s="15"/>
      <c r="SGP370" s="15"/>
      <c r="SGQ370" s="15"/>
      <c r="SGR370" s="15"/>
      <c r="SGS370" s="15"/>
      <c r="SGT370" s="15"/>
      <c r="SGU370" s="15"/>
      <c r="SGV370" s="15"/>
      <c r="SGW370" s="15"/>
      <c r="SGX370" s="10"/>
      <c r="SGY370" s="10"/>
      <c r="SGZ370" s="21"/>
      <c r="SHA370" s="21"/>
      <c r="SHD370" s="21"/>
      <c r="SHE370" s="15"/>
      <c r="SHF370" s="15"/>
      <c r="SHG370" s="15"/>
      <c r="SHH370" s="15"/>
      <c r="SHI370" s="15"/>
      <c r="SHJ370" s="15"/>
      <c r="SHK370" s="15"/>
      <c r="SHL370" s="15"/>
      <c r="SHM370" s="15"/>
      <c r="SHN370" s="15"/>
      <c r="SHO370" s="10"/>
      <c r="SHP370" s="10"/>
      <c r="SHQ370" s="21"/>
      <c r="SHR370" s="21"/>
      <c r="SHU370" s="21"/>
      <c r="SHV370" s="15"/>
      <c r="SHW370" s="15"/>
      <c r="SHX370" s="15"/>
      <c r="SHY370" s="15"/>
      <c r="SHZ370" s="15"/>
      <c r="SIA370" s="15"/>
      <c r="SIB370" s="15"/>
      <c r="SIC370" s="15"/>
      <c r="SID370" s="15"/>
      <c r="SIE370" s="15"/>
      <c r="SIF370" s="10"/>
      <c r="SIG370" s="10"/>
      <c r="SIH370" s="21"/>
      <c r="SII370" s="21"/>
      <c r="SIL370" s="21"/>
      <c r="SIM370" s="15"/>
      <c r="SIN370" s="15"/>
      <c r="SIO370" s="15"/>
      <c r="SIP370" s="15"/>
      <c r="SIQ370" s="15"/>
      <c r="SIR370" s="15"/>
      <c r="SIS370" s="15"/>
      <c r="SIT370" s="15"/>
      <c r="SIU370" s="15"/>
      <c r="SIV370" s="15"/>
      <c r="SIW370" s="10"/>
      <c r="SIX370" s="10"/>
      <c r="SIY370" s="21"/>
      <c r="SIZ370" s="21"/>
      <c r="SJC370" s="21"/>
      <c r="SJD370" s="15"/>
      <c r="SJE370" s="15"/>
      <c r="SJF370" s="15"/>
      <c r="SJG370" s="15"/>
      <c r="SJH370" s="15"/>
      <c r="SJI370" s="15"/>
      <c r="SJJ370" s="15"/>
      <c r="SJK370" s="15"/>
      <c r="SJL370" s="15"/>
      <c r="SJM370" s="15"/>
      <c r="SJN370" s="10"/>
      <c r="SJO370" s="10"/>
      <c r="SJP370" s="21"/>
      <c r="SJQ370" s="21"/>
      <c r="SJT370" s="21"/>
      <c r="SJU370" s="15"/>
      <c r="SJV370" s="15"/>
      <c r="SJW370" s="15"/>
      <c r="SJX370" s="15"/>
      <c r="SJY370" s="15"/>
      <c r="SJZ370" s="15"/>
      <c r="SKA370" s="15"/>
      <c r="SKB370" s="15"/>
      <c r="SKC370" s="15"/>
      <c r="SKD370" s="15"/>
      <c r="SKE370" s="10"/>
      <c r="SKF370" s="10"/>
      <c r="SKG370" s="21"/>
      <c r="SKH370" s="21"/>
      <c r="SKK370" s="21"/>
      <c r="SKL370" s="15"/>
      <c r="SKM370" s="15"/>
      <c r="SKN370" s="15"/>
      <c r="SKO370" s="15"/>
      <c r="SKP370" s="15"/>
      <c r="SKQ370" s="15"/>
      <c r="SKR370" s="15"/>
      <c r="SKS370" s="15"/>
      <c r="SKT370" s="15"/>
      <c r="SKU370" s="15"/>
      <c r="SKV370" s="10"/>
      <c r="SKW370" s="10"/>
      <c r="SKX370" s="21"/>
      <c r="SKY370" s="21"/>
      <c r="SLB370" s="21"/>
      <c r="SLC370" s="15"/>
      <c r="SLD370" s="15"/>
      <c r="SLE370" s="15"/>
      <c r="SLF370" s="15"/>
      <c r="SLG370" s="15"/>
      <c r="SLH370" s="15"/>
      <c r="SLI370" s="15"/>
      <c r="SLJ370" s="15"/>
      <c r="SLK370" s="15"/>
      <c r="SLL370" s="15"/>
      <c r="SLM370" s="10"/>
      <c r="SLN370" s="10"/>
      <c r="SLO370" s="21"/>
      <c r="SLP370" s="21"/>
      <c r="SLS370" s="21"/>
      <c r="SLT370" s="15"/>
      <c r="SLU370" s="15"/>
      <c r="SLV370" s="15"/>
      <c r="SLW370" s="15"/>
      <c r="SLX370" s="15"/>
      <c r="SLY370" s="15"/>
      <c r="SLZ370" s="15"/>
      <c r="SMA370" s="15"/>
      <c r="SMB370" s="15"/>
      <c r="SMC370" s="15"/>
      <c r="SMD370" s="10"/>
      <c r="SME370" s="10"/>
      <c r="SMF370" s="21"/>
      <c r="SMG370" s="21"/>
      <c r="SMJ370" s="21"/>
      <c r="SMK370" s="15"/>
      <c r="SML370" s="15"/>
      <c r="SMM370" s="15"/>
      <c r="SMN370" s="15"/>
      <c r="SMO370" s="15"/>
      <c r="SMP370" s="15"/>
      <c r="SMQ370" s="15"/>
      <c r="SMR370" s="15"/>
      <c r="SMS370" s="15"/>
      <c r="SMT370" s="15"/>
      <c r="SMU370" s="10"/>
      <c r="SMV370" s="10"/>
      <c r="SMW370" s="21"/>
      <c r="SMX370" s="21"/>
      <c r="SNA370" s="21"/>
      <c r="SNB370" s="15"/>
      <c r="SNC370" s="15"/>
      <c r="SND370" s="15"/>
      <c r="SNE370" s="15"/>
      <c r="SNF370" s="15"/>
      <c r="SNG370" s="15"/>
      <c r="SNH370" s="15"/>
      <c r="SNI370" s="15"/>
      <c r="SNJ370" s="15"/>
      <c r="SNK370" s="15"/>
      <c r="SNL370" s="10"/>
      <c r="SNM370" s="10"/>
      <c r="SNN370" s="21"/>
      <c r="SNO370" s="21"/>
      <c r="SNR370" s="21"/>
      <c r="SNS370" s="15"/>
      <c r="SNT370" s="15"/>
      <c r="SNU370" s="15"/>
      <c r="SNV370" s="15"/>
      <c r="SNW370" s="15"/>
      <c r="SNX370" s="15"/>
      <c r="SNY370" s="15"/>
      <c r="SNZ370" s="15"/>
      <c r="SOA370" s="15"/>
      <c r="SOB370" s="15"/>
      <c r="SOC370" s="10"/>
      <c r="SOD370" s="10"/>
      <c r="SOE370" s="21"/>
      <c r="SOF370" s="21"/>
      <c r="SOI370" s="21"/>
      <c r="SOJ370" s="15"/>
      <c r="SOK370" s="15"/>
      <c r="SOL370" s="15"/>
      <c r="SOM370" s="15"/>
      <c r="SON370" s="15"/>
      <c r="SOO370" s="15"/>
      <c r="SOP370" s="15"/>
      <c r="SOQ370" s="15"/>
      <c r="SOR370" s="15"/>
      <c r="SOS370" s="15"/>
      <c r="SOT370" s="10"/>
      <c r="SOU370" s="10"/>
      <c r="SOV370" s="21"/>
      <c r="SOW370" s="21"/>
      <c r="SOZ370" s="21"/>
      <c r="SPA370" s="15"/>
      <c r="SPB370" s="15"/>
      <c r="SPC370" s="15"/>
      <c r="SPD370" s="15"/>
      <c r="SPE370" s="15"/>
      <c r="SPF370" s="15"/>
      <c r="SPG370" s="15"/>
      <c r="SPH370" s="15"/>
      <c r="SPI370" s="15"/>
      <c r="SPJ370" s="15"/>
      <c r="SPK370" s="10"/>
      <c r="SPL370" s="10"/>
      <c r="SPM370" s="21"/>
      <c r="SPN370" s="21"/>
      <c r="SPQ370" s="21"/>
      <c r="SPR370" s="15"/>
      <c r="SPS370" s="15"/>
      <c r="SPT370" s="15"/>
      <c r="SPU370" s="15"/>
      <c r="SPV370" s="15"/>
      <c r="SPW370" s="15"/>
      <c r="SPX370" s="15"/>
      <c r="SPY370" s="15"/>
      <c r="SPZ370" s="15"/>
      <c r="SQA370" s="15"/>
      <c r="SQB370" s="10"/>
      <c r="SQC370" s="10"/>
      <c r="SQD370" s="21"/>
      <c r="SQE370" s="21"/>
      <c r="SQH370" s="21"/>
      <c r="SQI370" s="15"/>
      <c r="SQJ370" s="15"/>
      <c r="SQK370" s="15"/>
      <c r="SQL370" s="15"/>
      <c r="SQM370" s="15"/>
      <c r="SQN370" s="15"/>
      <c r="SQO370" s="15"/>
      <c r="SQP370" s="15"/>
      <c r="SQQ370" s="15"/>
      <c r="SQR370" s="15"/>
      <c r="SQS370" s="10"/>
      <c r="SQT370" s="10"/>
      <c r="SQU370" s="21"/>
      <c r="SQV370" s="21"/>
      <c r="SQY370" s="21"/>
      <c r="SQZ370" s="15"/>
      <c r="SRA370" s="15"/>
      <c r="SRB370" s="15"/>
      <c r="SRC370" s="15"/>
      <c r="SRD370" s="15"/>
      <c r="SRE370" s="15"/>
      <c r="SRF370" s="15"/>
      <c r="SRG370" s="15"/>
      <c r="SRH370" s="15"/>
      <c r="SRI370" s="15"/>
      <c r="SRJ370" s="10"/>
      <c r="SRK370" s="10"/>
      <c r="SRL370" s="21"/>
      <c r="SRM370" s="21"/>
      <c r="SRP370" s="21"/>
      <c r="SRQ370" s="15"/>
      <c r="SRR370" s="15"/>
      <c r="SRS370" s="15"/>
      <c r="SRT370" s="15"/>
      <c r="SRU370" s="15"/>
      <c r="SRV370" s="15"/>
      <c r="SRW370" s="15"/>
      <c r="SRX370" s="15"/>
      <c r="SRY370" s="15"/>
      <c r="SRZ370" s="15"/>
      <c r="SSA370" s="10"/>
      <c r="SSB370" s="10"/>
      <c r="SSC370" s="21"/>
      <c r="SSD370" s="21"/>
      <c r="SSG370" s="21"/>
      <c r="SSH370" s="15"/>
      <c r="SSI370" s="15"/>
      <c r="SSJ370" s="15"/>
      <c r="SSK370" s="15"/>
      <c r="SSL370" s="15"/>
      <c r="SSM370" s="15"/>
      <c r="SSN370" s="15"/>
      <c r="SSO370" s="15"/>
      <c r="SSP370" s="15"/>
      <c r="SSQ370" s="15"/>
      <c r="SSR370" s="10"/>
      <c r="SSS370" s="10"/>
      <c r="SST370" s="21"/>
      <c r="SSU370" s="21"/>
      <c r="SSX370" s="21"/>
      <c r="SSY370" s="15"/>
      <c r="SSZ370" s="15"/>
      <c r="STA370" s="15"/>
      <c r="STB370" s="15"/>
      <c r="STC370" s="15"/>
      <c r="STD370" s="15"/>
      <c r="STE370" s="15"/>
      <c r="STF370" s="15"/>
      <c r="STG370" s="15"/>
      <c r="STH370" s="15"/>
      <c r="STI370" s="10"/>
      <c r="STJ370" s="10"/>
      <c r="STK370" s="21"/>
      <c r="STL370" s="21"/>
      <c r="STO370" s="21"/>
      <c r="STP370" s="15"/>
      <c r="STQ370" s="15"/>
      <c r="STR370" s="15"/>
      <c r="STS370" s="15"/>
      <c r="STT370" s="15"/>
      <c r="STU370" s="15"/>
      <c r="STV370" s="15"/>
      <c r="STW370" s="15"/>
      <c r="STX370" s="15"/>
      <c r="STY370" s="15"/>
      <c r="STZ370" s="10"/>
      <c r="SUA370" s="10"/>
      <c r="SUB370" s="21"/>
      <c r="SUC370" s="21"/>
      <c r="SUF370" s="21"/>
      <c r="SUG370" s="15"/>
      <c r="SUH370" s="15"/>
      <c r="SUI370" s="15"/>
      <c r="SUJ370" s="15"/>
      <c r="SUK370" s="15"/>
      <c r="SUL370" s="15"/>
      <c r="SUM370" s="15"/>
      <c r="SUN370" s="15"/>
      <c r="SUO370" s="15"/>
      <c r="SUP370" s="15"/>
      <c r="SUQ370" s="10"/>
      <c r="SUR370" s="10"/>
      <c r="SUS370" s="21"/>
      <c r="SUT370" s="21"/>
      <c r="SUW370" s="21"/>
      <c r="SUX370" s="15"/>
      <c r="SUY370" s="15"/>
      <c r="SUZ370" s="15"/>
      <c r="SVA370" s="15"/>
      <c r="SVB370" s="15"/>
      <c r="SVC370" s="15"/>
      <c r="SVD370" s="15"/>
      <c r="SVE370" s="15"/>
      <c r="SVF370" s="15"/>
      <c r="SVG370" s="15"/>
      <c r="SVH370" s="10"/>
      <c r="SVI370" s="10"/>
      <c r="SVJ370" s="21"/>
      <c r="SVK370" s="21"/>
      <c r="SVN370" s="21"/>
      <c r="SVO370" s="15"/>
      <c r="SVP370" s="15"/>
      <c r="SVQ370" s="15"/>
      <c r="SVR370" s="15"/>
      <c r="SVS370" s="15"/>
      <c r="SVT370" s="15"/>
      <c r="SVU370" s="15"/>
      <c r="SVV370" s="15"/>
      <c r="SVW370" s="15"/>
      <c r="SVX370" s="15"/>
      <c r="SVY370" s="10"/>
      <c r="SVZ370" s="10"/>
      <c r="SWA370" s="21"/>
      <c r="SWB370" s="21"/>
      <c r="SWE370" s="21"/>
      <c r="SWF370" s="15"/>
      <c r="SWG370" s="15"/>
      <c r="SWH370" s="15"/>
      <c r="SWI370" s="15"/>
      <c r="SWJ370" s="15"/>
      <c r="SWK370" s="15"/>
      <c r="SWL370" s="15"/>
      <c r="SWM370" s="15"/>
      <c r="SWN370" s="15"/>
      <c r="SWO370" s="15"/>
      <c r="SWP370" s="10"/>
      <c r="SWQ370" s="10"/>
      <c r="SWR370" s="21"/>
      <c r="SWS370" s="21"/>
      <c r="SWV370" s="21"/>
      <c r="SWW370" s="15"/>
      <c r="SWX370" s="15"/>
      <c r="SWY370" s="15"/>
      <c r="SWZ370" s="15"/>
      <c r="SXA370" s="15"/>
      <c r="SXB370" s="15"/>
      <c r="SXC370" s="15"/>
      <c r="SXD370" s="15"/>
      <c r="SXE370" s="15"/>
      <c r="SXF370" s="15"/>
      <c r="SXG370" s="10"/>
      <c r="SXH370" s="10"/>
      <c r="SXI370" s="21"/>
      <c r="SXJ370" s="21"/>
      <c r="SXM370" s="21"/>
      <c r="SXN370" s="15"/>
      <c r="SXO370" s="15"/>
      <c r="SXP370" s="15"/>
      <c r="SXQ370" s="15"/>
      <c r="SXR370" s="15"/>
      <c r="SXS370" s="15"/>
      <c r="SXT370" s="15"/>
      <c r="SXU370" s="15"/>
      <c r="SXV370" s="15"/>
      <c r="SXW370" s="15"/>
      <c r="SXX370" s="10"/>
      <c r="SXY370" s="10"/>
      <c r="SXZ370" s="21"/>
      <c r="SYA370" s="21"/>
      <c r="SYD370" s="21"/>
      <c r="SYE370" s="15"/>
      <c r="SYF370" s="15"/>
      <c r="SYG370" s="15"/>
      <c r="SYH370" s="15"/>
      <c r="SYI370" s="15"/>
      <c r="SYJ370" s="15"/>
      <c r="SYK370" s="15"/>
      <c r="SYL370" s="15"/>
      <c r="SYM370" s="15"/>
      <c r="SYN370" s="15"/>
      <c r="SYO370" s="10"/>
      <c r="SYP370" s="10"/>
      <c r="SYQ370" s="21"/>
      <c r="SYR370" s="21"/>
      <c r="SYU370" s="21"/>
      <c r="SYV370" s="15"/>
      <c r="SYW370" s="15"/>
      <c r="SYX370" s="15"/>
      <c r="SYY370" s="15"/>
      <c r="SYZ370" s="15"/>
      <c r="SZA370" s="15"/>
      <c r="SZB370" s="15"/>
      <c r="SZC370" s="15"/>
      <c r="SZD370" s="15"/>
      <c r="SZE370" s="15"/>
      <c r="SZF370" s="10"/>
      <c r="SZG370" s="10"/>
      <c r="SZH370" s="21"/>
      <c r="SZI370" s="21"/>
      <c r="SZL370" s="21"/>
      <c r="SZM370" s="15"/>
      <c r="SZN370" s="15"/>
      <c r="SZO370" s="15"/>
      <c r="SZP370" s="15"/>
      <c r="SZQ370" s="15"/>
      <c r="SZR370" s="15"/>
      <c r="SZS370" s="15"/>
      <c r="SZT370" s="15"/>
      <c r="SZU370" s="15"/>
      <c r="SZV370" s="15"/>
      <c r="SZW370" s="10"/>
      <c r="SZX370" s="10"/>
      <c r="SZY370" s="21"/>
      <c r="SZZ370" s="21"/>
      <c r="TAC370" s="21"/>
      <c r="TAD370" s="15"/>
      <c r="TAE370" s="15"/>
      <c r="TAF370" s="15"/>
      <c r="TAG370" s="15"/>
      <c r="TAH370" s="15"/>
      <c r="TAI370" s="15"/>
      <c r="TAJ370" s="15"/>
      <c r="TAK370" s="15"/>
      <c r="TAL370" s="15"/>
      <c r="TAM370" s="15"/>
      <c r="TAN370" s="10"/>
      <c r="TAO370" s="10"/>
      <c r="TAP370" s="21"/>
      <c r="TAQ370" s="21"/>
      <c r="TAT370" s="21"/>
      <c r="TAU370" s="15"/>
      <c r="TAV370" s="15"/>
      <c r="TAW370" s="15"/>
      <c r="TAX370" s="15"/>
      <c r="TAY370" s="15"/>
      <c r="TAZ370" s="15"/>
      <c r="TBA370" s="15"/>
      <c r="TBB370" s="15"/>
      <c r="TBC370" s="15"/>
      <c r="TBD370" s="15"/>
      <c r="TBE370" s="10"/>
      <c r="TBF370" s="10"/>
      <c r="TBG370" s="21"/>
      <c r="TBH370" s="21"/>
      <c r="TBK370" s="21"/>
      <c r="TBL370" s="15"/>
      <c r="TBM370" s="15"/>
      <c r="TBN370" s="15"/>
      <c r="TBO370" s="15"/>
      <c r="TBP370" s="15"/>
      <c r="TBQ370" s="15"/>
      <c r="TBR370" s="15"/>
      <c r="TBS370" s="15"/>
      <c r="TBT370" s="15"/>
      <c r="TBU370" s="15"/>
      <c r="TBV370" s="10"/>
      <c r="TBW370" s="10"/>
      <c r="TBX370" s="21"/>
      <c r="TBY370" s="21"/>
      <c r="TCB370" s="21"/>
      <c r="TCC370" s="15"/>
      <c r="TCD370" s="15"/>
      <c r="TCE370" s="15"/>
      <c r="TCF370" s="15"/>
      <c r="TCG370" s="15"/>
      <c r="TCH370" s="15"/>
      <c r="TCI370" s="15"/>
      <c r="TCJ370" s="15"/>
      <c r="TCK370" s="15"/>
      <c r="TCL370" s="15"/>
      <c r="TCM370" s="10"/>
      <c r="TCN370" s="10"/>
      <c r="TCO370" s="21"/>
      <c r="TCP370" s="21"/>
      <c r="TCS370" s="21"/>
      <c r="TCT370" s="15"/>
      <c r="TCU370" s="15"/>
      <c r="TCV370" s="15"/>
      <c r="TCW370" s="15"/>
      <c r="TCX370" s="15"/>
      <c r="TCY370" s="15"/>
      <c r="TCZ370" s="15"/>
      <c r="TDA370" s="15"/>
      <c r="TDB370" s="15"/>
      <c r="TDC370" s="15"/>
      <c r="TDD370" s="10"/>
      <c r="TDE370" s="10"/>
      <c r="TDF370" s="21"/>
      <c r="TDG370" s="21"/>
      <c r="TDJ370" s="21"/>
      <c r="TDK370" s="15"/>
      <c r="TDL370" s="15"/>
      <c r="TDM370" s="15"/>
      <c r="TDN370" s="15"/>
      <c r="TDO370" s="15"/>
      <c r="TDP370" s="15"/>
      <c r="TDQ370" s="15"/>
      <c r="TDR370" s="15"/>
      <c r="TDS370" s="15"/>
      <c r="TDT370" s="15"/>
      <c r="TDU370" s="10"/>
      <c r="TDV370" s="10"/>
      <c r="TDW370" s="21"/>
      <c r="TDX370" s="21"/>
      <c r="TEA370" s="21"/>
      <c r="TEB370" s="15"/>
      <c r="TEC370" s="15"/>
      <c r="TED370" s="15"/>
      <c r="TEE370" s="15"/>
      <c r="TEF370" s="15"/>
      <c r="TEG370" s="15"/>
      <c r="TEH370" s="15"/>
      <c r="TEI370" s="15"/>
      <c r="TEJ370" s="15"/>
      <c r="TEK370" s="15"/>
      <c r="TEL370" s="10"/>
      <c r="TEM370" s="10"/>
      <c r="TEN370" s="21"/>
      <c r="TEO370" s="21"/>
      <c r="TER370" s="21"/>
      <c r="TES370" s="15"/>
      <c r="TET370" s="15"/>
      <c r="TEU370" s="15"/>
      <c r="TEV370" s="15"/>
      <c r="TEW370" s="15"/>
      <c r="TEX370" s="15"/>
      <c r="TEY370" s="15"/>
      <c r="TEZ370" s="15"/>
      <c r="TFA370" s="15"/>
      <c r="TFB370" s="15"/>
      <c r="TFC370" s="10"/>
      <c r="TFD370" s="10"/>
      <c r="TFE370" s="21"/>
      <c r="TFF370" s="21"/>
      <c r="TFI370" s="21"/>
      <c r="TFJ370" s="15"/>
      <c r="TFK370" s="15"/>
      <c r="TFL370" s="15"/>
      <c r="TFM370" s="15"/>
      <c r="TFN370" s="15"/>
      <c r="TFO370" s="15"/>
      <c r="TFP370" s="15"/>
      <c r="TFQ370" s="15"/>
      <c r="TFR370" s="15"/>
      <c r="TFS370" s="15"/>
      <c r="TFT370" s="10"/>
      <c r="TFU370" s="10"/>
      <c r="TFV370" s="21"/>
      <c r="TFW370" s="21"/>
      <c r="TFZ370" s="21"/>
      <c r="TGA370" s="15"/>
      <c r="TGB370" s="15"/>
      <c r="TGC370" s="15"/>
      <c r="TGD370" s="15"/>
      <c r="TGE370" s="15"/>
      <c r="TGF370" s="15"/>
      <c r="TGG370" s="15"/>
      <c r="TGH370" s="15"/>
      <c r="TGI370" s="15"/>
      <c r="TGJ370" s="15"/>
      <c r="TGK370" s="10"/>
      <c r="TGL370" s="10"/>
      <c r="TGM370" s="21"/>
      <c r="TGN370" s="21"/>
      <c r="TGQ370" s="21"/>
      <c r="TGR370" s="15"/>
      <c r="TGS370" s="15"/>
      <c r="TGT370" s="15"/>
      <c r="TGU370" s="15"/>
      <c r="TGV370" s="15"/>
      <c r="TGW370" s="15"/>
      <c r="TGX370" s="15"/>
      <c r="TGY370" s="15"/>
      <c r="TGZ370" s="15"/>
      <c r="THA370" s="15"/>
      <c r="THB370" s="10"/>
      <c r="THC370" s="10"/>
      <c r="THD370" s="21"/>
      <c r="THE370" s="21"/>
      <c r="THH370" s="21"/>
      <c r="THI370" s="15"/>
      <c r="THJ370" s="15"/>
      <c r="THK370" s="15"/>
      <c r="THL370" s="15"/>
      <c r="THM370" s="15"/>
      <c r="THN370" s="15"/>
      <c r="THO370" s="15"/>
      <c r="THP370" s="15"/>
      <c r="THQ370" s="15"/>
      <c r="THR370" s="15"/>
      <c r="THS370" s="10"/>
      <c r="THT370" s="10"/>
      <c r="THU370" s="21"/>
      <c r="THV370" s="21"/>
      <c r="THY370" s="21"/>
      <c r="THZ370" s="15"/>
      <c r="TIA370" s="15"/>
      <c r="TIB370" s="15"/>
      <c r="TIC370" s="15"/>
      <c r="TID370" s="15"/>
      <c r="TIE370" s="15"/>
      <c r="TIF370" s="15"/>
      <c r="TIG370" s="15"/>
      <c r="TIH370" s="15"/>
      <c r="TII370" s="15"/>
      <c r="TIJ370" s="10"/>
      <c r="TIK370" s="10"/>
      <c r="TIL370" s="21"/>
      <c r="TIM370" s="21"/>
      <c r="TIP370" s="21"/>
      <c r="TIQ370" s="15"/>
      <c r="TIR370" s="15"/>
      <c r="TIS370" s="15"/>
      <c r="TIT370" s="15"/>
      <c r="TIU370" s="15"/>
      <c r="TIV370" s="15"/>
      <c r="TIW370" s="15"/>
      <c r="TIX370" s="15"/>
      <c r="TIY370" s="15"/>
      <c r="TIZ370" s="15"/>
      <c r="TJA370" s="10"/>
      <c r="TJB370" s="10"/>
      <c r="TJC370" s="21"/>
      <c r="TJD370" s="21"/>
      <c r="TJG370" s="21"/>
      <c r="TJH370" s="15"/>
      <c r="TJI370" s="15"/>
      <c r="TJJ370" s="15"/>
      <c r="TJK370" s="15"/>
      <c r="TJL370" s="15"/>
      <c r="TJM370" s="15"/>
      <c r="TJN370" s="15"/>
      <c r="TJO370" s="15"/>
      <c r="TJP370" s="15"/>
      <c r="TJQ370" s="15"/>
      <c r="TJR370" s="10"/>
      <c r="TJS370" s="10"/>
      <c r="TJT370" s="21"/>
      <c r="TJU370" s="21"/>
      <c r="TJX370" s="21"/>
      <c r="TJY370" s="15"/>
      <c r="TJZ370" s="15"/>
      <c r="TKA370" s="15"/>
      <c r="TKB370" s="15"/>
      <c r="TKC370" s="15"/>
      <c r="TKD370" s="15"/>
      <c r="TKE370" s="15"/>
      <c r="TKF370" s="15"/>
      <c r="TKG370" s="15"/>
      <c r="TKH370" s="15"/>
      <c r="TKI370" s="10"/>
      <c r="TKJ370" s="10"/>
      <c r="TKK370" s="21"/>
      <c r="TKL370" s="21"/>
      <c r="TKO370" s="21"/>
      <c r="TKP370" s="15"/>
      <c r="TKQ370" s="15"/>
      <c r="TKR370" s="15"/>
      <c r="TKS370" s="15"/>
      <c r="TKT370" s="15"/>
      <c r="TKU370" s="15"/>
      <c r="TKV370" s="15"/>
      <c r="TKW370" s="15"/>
      <c r="TKX370" s="15"/>
      <c r="TKY370" s="15"/>
      <c r="TKZ370" s="10"/>
      <c r="TLA370" s="10"/>
      <c r="TLB370" s="21"/>
      <c r="TLC370" s="21"/>
      <c r="TLF370" s="21"/>
      <c r="TLG370" s="15"/>
      <c r="TLH370" s="15"/>
      <c r="TLI370" s="15"/>
      <c r="TLJ370" s="15"/>
      <c r="TLK370" s="15"/>
      <c r="TLL370" s="15"/>
      <c r="TLM370" s="15"/>
      <c r="TLN370" s="15"/>
      <c r="TLO370" s="15"/>
      <c r="TLP370" s="15"/>
      <c r="TLQ370" s="10"/>
      <c r="TLR370" s="10"/>
      <c r="TLS370" s="21"/>
      <c r="TLT370" s="21"/>
      <c r="TLW370" s="21"/>
      <c r="TLX370" s="15"/>
      <c r="TLY370" s="15"/>
      <c r="TLZ370" s="15"/>
      <c r="TMA370" s="15"/>
      <c r="TMB370" s="15"/>
      <c r="TMC370" s="15"/>
      <c r="TMD370" s="15"/>
      <c r="TME370" s="15"/>
      <c r="TMF370" s="15"/>
      <c r="TMG370" s="15"/>
      <c r="TMH370" s="10"/>
      <c r="TMI370" s="10"/>
      <c r="TMJ370" s="21"/>
      <c r="TMK370" s="21"/>
      <c r="TMN370" s="21"/>
      <c r="TMO370" s="15"/>
      <c r="TMP370" s="15"/>
      <c r="TMQ370" s="15"/>
      <c r="TMR370" s="15"/>
      <c r="TMS370" s="15"/>
      <c r="TMT370" s="15"/>
      <c r="TMU370" s="15"/>
      <c r="TMV370" s="15"/>
      <c r="TMW370" s="15"/>
      <c r="TMX370" s="15"/>
      <c r="TMY370" s="10"/>
      <c r="TMZ370" s="10"/>
      <c r="TNA370" s="21"/>
      <c r="TNB370" s="21"/>
      <c r="TNE370" s="21"/>
      <c r="TNF370" s="15"/>
      <c r="TNG370" s="15"/>
      <c r="TNH370" s="15"/>
      <c r="TNI370" s="15"/>
      <c r="TNJ370" s="15"/>
      <c r="TNK370" s="15"/>
      <c r="TNL370" s="15"/>
      <c r="TNM370" s="15"/>
      <c r="TNN370" s="15"/>
      <c r="TNO370" s="15"/>
      <c r="TNP370" s="10"/>
      <c r="TNQ370" s="10"/>
      <c r="TNR370" s="21"/>
      <c r="TNS370" s="21"/>
      <c r="TNV370" s="21"/>
      <c r="TNW370" s="15"/>
      <c r="TNX370" s="15"/>
      <c r="TNY370" s="15"/>
      <c r="TNZ370" s="15"/>
      <c r="TOA370" s="15"/>
      <c r="TOB370" s="15"/>
      <c r="TOC370" s="15"/>
      <c r="TOD370" s="15"/>
      <c r="TOE370" s="15"/>
      <c r="TOF370" s="15"/>
      <c r="TOG370" s="10"/>
      <c r="TOH370" s="10"/>
      <c r="TOI370" s="21"/>
      <c r="TOJ370" s="21"/>
      <c r="TOM370" s="21"/>
      <c r="TON370" s="15"/>
      <c r="TOO370" s="15"/>
      <c r="TOP370" s="15"/>
      <c r="TOQ370" s="15"/>
      <c r="TOR370" s="15"/>
      <c r="TOS370" s="15"/>
      <c r="TOT370" s="15"/>
      <c r="TOU370" s="15"/>
      <c r="TOV370" s="15"/>
      <c r="TOW370" s="15"/>
      <c r="TOX370" s="10"/>
      <c r="TOY370" s="10"/>
      <c r="TOZ370" s="21"/>
      <c r="TPA370" s="21"/>
      <c r="TPD370" s="21"/>
      <c r="TPE370" s="15"/>
      <c r="TPF370" s="15"/>
      <c r="TPG370" s="15"/>
      <c r="TPH370" s="15"/>
      <c r="TPI370" s="15"/>
      <c r="TPJ370" s="15"/>
      <c r="TPK370" s="15"/>
      <c r="TPL370" s="15"/>
      <c r="TPM370" s="15"/>
      <c r="TPN370" s="15"/>
      <c r="TPO370" s="10"/>
      <c r="TPP370" s="10"/>
      <c r="TPQ370" s="21"/>
      <c r="TPR370" s="21"/>
      <c r="TPU370" s="21"/>
      <c r="TPV370" s="15"/>
      <c r="TPW370" s="15"/>
      <c r="TPX370" s="15"/>
      <c r="TPY370" s="15"/>
      <c r="TPZ370" s="15"/>
      <c r="TQA370" s="15"/>
      <c r="TQB370" s="15"/>
      <c r="TQC370" s="15"/>
      <c r="TQD370" s="15"/>
      <c r="TQE370" s="15"/>
      <c r="TQF370" s="10"/>
      <c r="TQG370" s="10"/>
      <c r="TQH370" s="21"/>
      <c r="TQI370" s="21"/>
      <c r="TQL370" s="21"/>
      <c r="TQM370" s="15"/>
      <c r="TQN370" s="15"/>
      <c r="TQO370" s="15"/>
      <c r="TQP370" s="15"/>
      <c r="TQQ370" s="15"/>
      <c r="TQR370" s="15"/>
      <c r="TQS370" s="15"/>
      <c r="TQT370" s="15"/>
      <c r="TQU370" s="15"/>
      <c r="TQV370" s="15"/>
      <c r="TQW370" s="10"/>
      <c r="TQX370" s="10"/>
      <c r="TQY370" s="21"/>
      <c r="TQZ370" s="21"/>
      <c r="TRC370" s="21"/>
      <c r="TRD370" s="15"/>
      <c r="TRE370" s="15"/>
      <c r="TRF370" s="15"/>
      <c r="TRG370" s="15"/>
      <c r="TRH370" s="15"/>
      <c r="TRI370" s="15"/>
      <c r="TRJ370" s="15"/>
      <c r="TRK370" s="15"/>
      <c r="TRL370" s="15"/>
      <c r="TRM370" s="15"/>
      <c r="TRN370" s="10"/>
      <c r="TRO370" s="10"/>
      <c r="TRP370" s="21"/>
      <c r="TRQ370" s="21"/>
      <c r="TRT370" s="21"/>
      <c r="TRU370" s="15"/>
      <c r="TRV370" s="15"/>
      <c r="TRW370" s="15"/>
      <c r="TRX370" s="15"/>
      <c r="TRY370" s="15"/>
      <c r="TRZ370" s="15"/>
      <c r="TSA370" s="15"/>
      <c r="TSB370" s="15"/>
      <c r="TSC370" s="15"/>
      <c r="TSD370" s="15"/>
      <c r="TSE370" s="10"/>
      <c r="TSF370" s="10"/>
      <c r="TSG370" s="21"/>
      <c r="TSH370" s="21"/>
      <c r="TSK370" s="21"/>
      <c r="TSL370" s="15"/>
      <c r="TSM370" s="15"/>
      <c r="TSN370" s="15"/>
      <c r="TSO370" s="15"/>
      <c r="TSP370" s="15"/>
      <c r="TSQ370" s="15"/>
      <c r="TSR370" s="15"/>
      <c r="TSS370" s="15"/>
      <c r="TST370" s="15"/>
      <c r="TSU370" s="15"/>
      <c r="TSV370" s="10"/>
      <c r="TSW370" s="10"/>
      <c r="TSX370" s="21"/>
      <c r="TSY370" s="21"/>
      <c r="TTB370" s="21"/>
      <c r="TTC370" s="15"/>
      <c r="TTD370" s="15"/>
      <c r="TTE370" s="15"/>
      <c r="TTF370" s="15"/>
      <c r="TTG370" s="15"/>
      <c r="TTH370" s="15"/>
      <c r="TTI370" s="15"/>
      <c r="TTJ370" s="15"/>
      <c r="TTK370" s="15"/>
      <c r="TTL370" s="15"/>
      <c r="TTM370" s="10"/>
      <c r="TTN370" s="10"/>
      <c r="TTO370" s="21"/>
      <c r="TTP370" s="21"/>
      <c r="TTS370" s="21"/>
      <c r="TTT370" s="15"/>
      <c r="TTU370" s="15"/>
      <c r="TTV370" s="15"/>
      <c r="TTW370" s="15"/>
      <c r="TTX370" s="15"/>
      <c r="TTY370" s="15"/>
      <c r="TTZ370" s="15"/>
      <c r="TUA370" s="15"/>
      <c r="TUB370" s="15"/>
      <c r="TUC370" s="15"/>
      <c r="TUD370" s="10"/>
      <c r="TUE370" s="10"/>
      <c r="TUF370" s="21"/>
      <c r="TUG370" s="21"/>
      <c r="TUJ370" s="21"/>
      <c r="TUK370" s="15"/>
      <c r="TUL370" s="15"/>
      <c r="TUM370" s="15"/>
      <c r="TUN370" s="15"/>
      <c r="TUO370" s="15"/>
      <c r="TUP370" s="15"/>
      <c r="TUQ370" s="15"/>
      <c r="TUR370" s="15"/>
      <c r="TUS370" s="15"/>
      <c r="TUT370" s="15"/>
      <c r="TUU370" s="10"/>
      <c r="TUV370" s="10"/>
      <c r="TUW370" s="21"/>
      <c r="TUX370" s="21"/>
      <c r="TVA370" s="21"/>
      <c r="TVB370" s="15"/>
      <c r="TVC370" s="15"/>
      <c r="TVD370" s="15"/>
      <c r="TVE370" s="15"/>
      <c r="TVF370" s="15"/>
      <c r="TVG370" s="15"/>
      <c r="TVH370" s="15"/>
      <c r="TVI370" s="15"/>
      <c r="TVJ370" s="15"/>
      <c r="TVK370" s="15"/>
      <c r="TVL370" s="10"/>
      <c r="TVM370" s="10"/>
      <c r="TVN370" s="21"/>
      <c r="TVO370" s="21"/>
      <c r="TVR370" s="21"/>
      <c r="TVS370" s="15"/>
      <c r="TVT370" s="15"/>
      <c r="TVU370" s="15"/>
      <c r="TVV370" s="15"/>
      <c r="TVW370" s="15"/>
      <c r="TVX370" s="15"/>
      <c r="TVY370" s="15"/>
      <c r="TVZ370" s="15"/>
      <c r="TWA370" s="15"/>
      <c r="TWB370" s="15"/>
      <c r="TWC370" s="10"/>
      <c r="TWD370" s="10"/>
      <c r="TWE370" s="21"/>
      <c r="TWF370" s="21"/>
      <c r="TWI370" s="21"/>
      <c r="TWJ370" s="15"/>
      <c r="TWK370" s="15"/>
      <c r="TWL370" s="15"/>
      <c r="TWM370" s="15"/>
      <c r="TWN370" s="15"/>
      <c r="TWO370" s="15"/>
      <c r="TWP370" s="15"/>
      <c r="TWQ370" s="15"/>
      <c r="TWR370" s="15"/>
      <c r="TWS370" s="15"/>
      <c r="TWT370" s="10"/>
      <c r="TWU370" s="10"/>
      <c r="TWV370" s="21"/>
      <c r="TWW370" s="21"/>
      <c r="TWZ370" s="21"/>
      <c r="TXA370" s="15"/>
      <c r="TXB370" s="15"/>
      <c r="TXC370" s="15"/>
      <c r="TXD370" s="15"/>
      <c r="TXE370" s="15"/>
      <c r="TXF370" s="15"/>
      <c r="TXG370" s="15"/>
      <c r="TXH370" s="15"/>
      <c r="TXI370" s="15"/>
      <c r="TXJ370" s="15"/>
      <c r="TXK370" s="10"/>
      <c r="TXL370" s="10"/>
      <c r="TXM370" s="21"/>
      <c r="TXN370" s="21"/>
      <c r="TXQ370" s="21"/>
      <c r="TXR370" s="15"/>
      <c r="TXS370" s="15"/>
      <c r="TXT370" s="15"/>
      <c r="TXU370" s="15"/>
      <c r="TXV370" s="15"/>
      <c r="TXW370" s="15"/>
      <c r="TXX370" s="15"/>
      <c r="TXY370" s="15"/>
      <c r="TXZ370" s="15"/>
      <c r="TYA370" s="15"/>
      <c r="TYB370" s="10"/>
      <c r="TYC370" s="10"/>
      <c r="TYD370" s="21"/>
      <c r="TYE370" s="21"/>
      <c r="TYH370" s="21"/>
      <c r="TYI370" s="15"/>
      <c r="TYJ370" s="15"/>
      <c r="TYK370" s="15"/>
      <c r="TYL370" s="15"/>
      <c r="TYM370" s="15"/>
      <c r="TYN370" s="15"/>
      <c r="TYO370" s="15"/>
      <c r="TYP370" s="15"/>
      <c r="TYQ370" s="15"/>
      <c r="TYR370" s="15"/>
      <c r="TYS370" s="10"/>
      <c r="TYT370" s="10"/>
      <c r="TYU370" s="21"/>
      <c r="TYV370" s="21"/>
      <c r="TYY370" s="21"/>
      <c r="TYZ370" s="15"/>
      <c r="TZA370" s="15"/>
      <c r="TZB370" s="15"/>
      <c r="TZC370" s="15"/>
      <c r="TZD370" s="15"/>
      <c r="TZE370" s="15"/>
      <c r="TZF370" s="15"/>
      <c r="TZG370" s="15"/>
      <c r="TZH370" s="15"/>
      <c r="TZI370" s="15"/>
      <c r="TZJ370" s="10"/>
      <c r="TZK370" s="10"/>
      <c r="TZL370" s="21"/>
      <c r="TZM370" s="21"/>
      <c r="TZP370" s="21"/>
      <c r="TZQ370" s="15"/>
      <c r="TZR370" s="15"/>
      <c r="TZS370" s="15"/>
      <c r="TZT370" s="15"/>
      <c r="TZU370" s="15"/>
      <c r="TZV370" s="15"/>
      <c r="TZW370" s="15"/>
      <c r="TZX370" s="15"/>
      <c r="TZY370" s="15"/>
      <c r="TZZ370" s="15"/>
      <c r="UAA370" s="10"/>
      <c r="UAB370" s="10"/>
      <c r="UAC370" s="21"/>
      <c r="UAD370" s="21"/>
      <c r="UAG370" s="21"/>
      <c r="UAH370" s="15"/>
      <c r="UAI370" s="15"/>
      <c r="UAJ370" s="15"/>
      <c r="UAK370" s="15"/>
      <c r="UAL370" s="15"/>
      <c r="UAM370" s="15"/>
      <c r="UAN370" s="15"/>
      <c r="UAO370" s="15"/>
      <c r="UAP370" s="15"/>
      <c r="UAQ370" s="15"/>
      <c r="UAR370" s="10"/>
      <c r="UAS370" s="10"/>
      <c r="UAT370" s="21"/>
      <c r="UAU370" s="21"/>
      <c r="UAX370" s="21"/>
      <c r="UAY370" s="15"/>
      <c r="UAZ370" s="15"/>
      <c r="UBA370" s="15"/>
      <c r="UBB370" s="15"/>
      <c r="UBC370" s="15"/>
      <c r="UBD370" s="15"/>
      <c r="UBE370" s="15"/>
      <c r="UBF370" s="15"/>
      <c r="UBG370" s="15"/>
      <c r="UBH370" s="15"/>
      <c r="UBI370" s="10"/>
      <c r="UBJ370" s="10"/>
      <c r="UBK370" s="21"/>
      <c r="UBL370" s="21"/>
      <c r="UBO370" s="21"/>
      <c r="UBP370" s="15"/>
      <c r="UBQ370" s="15"/>
      <c r="UBR370" s="15"/>
      <c r="UBS370" s="15"/>
      <c r="UBT370" s="15"/>
      <c r="UBU370" s="15"/>
      <c r="UBV370" s="15"/>
      <c r="UBW370" s="15"/>
      <c r="UBX370" s="15"/>
      <c r="UBY370" s="15"/>
      <c r="UBZ370" s="10"/>
      <c r="UCA370" s="10"/>
      <c r="UCB370" s="21"/>
      <c r="UCC370" s="21"/>
      <c r="UCF370" s="21"/>
      <c r="UCG370" s="15"/>
      <c r="UCH370" s="15"/>
      <c r="UCI370" s="15"/>
      <c r="UCJ370" s="15"/>
      <c r="UCK370" s="15"/>
      <c r="UCL370" s="15"/>
      <c r="UCM370" s="15"/>
      <c r="UCN370" s="15"/>
      <c r="UCO370" s="15"/>
      <c r="UCP370" s="15"/>
      <c r="UCQ370" s="10"/>
      <c r="UCR370" s="10"/>
      <c r="UCS370" s="21"/>
      <c r="UCT370" s="21"/>
      <c r="UCW370" s="21"/>
      <c r="UCX370" s="15"/>
      <c r="UCY370" s="15"/>
      <c r="UCZ370" s="15"/>
      <c r="UDA370" s="15"/>
      <c r="UDB370" s="15"/>
      <c r="UDC370" s="15"/>
      <c r="UDD370" s="15"/>
      <c r="UDE370" s="15"/>
      <c r="UDF370" s="15"/>
      <c r="UDG370" s="15"/>
      <c r="UDH370" s="10"/>
      <c r="UDI370" s="10"/>
      <c r="UDJ370" s="21"/>
      <c r="UDK370" s="21"/>
      <c r="UDN370" s="21"/>
      <c r="UDO370" s="15"/>
      <c r="UDP370" s="15"/>
      <c r="UDQ370" s="15"/>
      <c r="UDR370" s="15"/>
      <c r="UDS370" s="15"/>
      <c r="UDT370" s="15"/>
      <c r="UDU370" s="15"/>
      <c r="UDV370" s="15"/>
      <c r="UDW370" s="15"/>
      <c r="UDX370" s="15"/>
      <c r="UDY370" s="10"/>
      <c r="UDZ370" s="10"/>
      <c r="UEA370" s="21"/>
      <c r="UEB370" s="21"/>
      <c r="UEE370" s="21"/>
      <c r="UEF370" s="15"/>
      <c r="UEG370" s="15"/>
      <c r="UEH370" s="15"/>
      <c r="UEI370" s="15"/>
      <c r="UEJ370" s="15"/>
      <c r="UEK370" s="15"/>
      <c r="UEL370" s="15"/>
      <c r="UEM370" s="15"/>
      <c r="UEN370" s="15"/>
      <c r="UEO370" s="15"/>
      <c r="UEP370" s="10"/>
      <c r="UEQ370" s="10"/>
      <c r="UER370" s="21"/>
      <c r="UES370" s="21"/>
      <c r="UEV370" s="21"/>
      <c r="UEW370" s="15"/>
      <c r="UEX370" s="15"/>
      <c r="UEY370" s="15"/>
      <c r="UEZ370" s="15"/>
      <c r="UFA370" s="15"/>
      <c r="UFB370" s="15"/>
      <c r="UFC370" s="15"/>
      <c r="UFD370" s="15"/>
      <c r="UFE370" s="15"/>
      <c r="UFF370" s="15"/>
      <c r="UFG370" s="10"/>
      <c r="UFH370" s="10"/>
      <c r="UFI370" s="21"/>
      <c r="UFJ370" s="21"/>
      <c r="UFM370" s="21"/>
      <c r="UFN370" s="15"/>
      <c r="UFO370" s="15"/>
      <c r="UFP370" s="15"/>
      <c r="UFQ370" s="15"/>
      <c r="UFR370" s="15"/>
      <c r="UFS370" s="15"/>
      <c r="UFT370" s="15"/>
      <c r="UFU370" s="15"/>
      <c r="UFV370" s="15"/>
      <c r="UFW370" s="15"/>
      <c r="UFX370" s="10"/>
      <c r="UFY370" s="10"/>
      <c r="UFZ370" s="21"/>
      <c r="UGA370" s="21"/>
      <c r="UGD370" s="21"/>
      <c r="UGE370" s="15"/>
      <c r="UGF370" s="15"/>
      <c r="UGG370" s="15"/>
      <c r="UGH370" s="15"/>
      <c r="UGI370" s="15"/>
      <c r="UGJ370" s="15"/>
      <c r="UGK370" s="15"/>
      <c r="UGL370" s="15"/>
      <c r="UGM370" s="15"/>
      <c r="UGN370" s="15"/>
      <c r="UGO370" s="10"/>
      <c r="UGP370" s="10"/>
      <c r="UGQ370" s="21"/>
      <c r="UGR370" s="21"/>
      <c r="UGU370" s="21"/>
      <c r="UGV370" s="15"/>
      <c r="UGW370" s="15"/>
      <c r="UGX370" s="15"/>
      <c r="UGY370" s="15"/>
      <c r="UGZ370" s="15"/>
      <c r="UHA370" s="15"/>
      <c r="UHB370" s="15"/>
      <c r="UHC370" s="15"/>
      <c r="UHD370" s="15"/>
      <c r="UHE370" s="15"/>
      <c r="UHF370" s="10"/>
      <c r="UHG370" s="10"/>
      <c r="UHH370" s="21"/>
      <c r="UHI370" s="21"/>
      <c r="UHL370" s="21"/>
      <c r="UHM370" s="15"/>
      <c r="UHN370" s="15"/>
      <c r="UHO370" s="15"/>
      <c r="UHP370" s="15"/>
      <c r="UHQ370" s="15"/>
      <c r="UHR370" s="15"/>
      <c r="UHS370" s="15"/>
      <c r="UHT370" s="15"/>
      <c r="UHU370" s="15"/>
      <c r="UHV370" s="15"/>
      <c r="UHW370" s="10"/>
      <c r="UHX370" s="10"/>
      <c r="UHY370" s="21"/>
      <c r="UHZ370" s="21"/>
      <c r="UIC370" s="21"/>
      <c r="UID370" s="15"/>
      <c r="UIE370" s="15"/>
      <c r="UIF370" s="15"/>
      <c r="UIG370" s="15"/>
      <c r="UIH370" s="15"/>
      <c r="UII370" s="15"/>
      <c r="UIJ370" s="15"/>
      <c r="UIK370" s="15"/>
      <c r="UIL370" s="15"/>
      <c r="UIM370" s="15"/>
      <c r="UIN370" s="10"/>
      <c r="UIO370" s="10"/>
      <c r="UIP370" s="21"/>
      <c r="UIQ370" s="21"/>
      <c r="UIT370" s="21"/>
      <c r="UIU370" s="15"/>
      <c r="UIV370" s="15"/>
      <c r="UIW370" s="15"/>
      <c r="UIX370" s="15"/>
      <c r="UIY370" s="15"/>
      <c r="UIZ370" s="15"/>
      <c r="UJA370" s="15"/>
      <c r="UJB370" s="15"/>
      <c r="UJC370" s="15"/>
      <c r="UJD370" s="15"/>
      <c r="UJE370" s="10"/>
      <c r="UJF370" s="10"/>
      <c r="UJG370" s="21"/>
      <c r="UJH370" s="21"/>
      <c r="UJK370" s="21"/>
      <c r="UJL370" s="15"/>
      <c r="UJM370" s="15"/>
      <c r="UJN370" s="15"/>
      <c r="UJO370" s="15"/>
      <c r="UJP370" s="15"/>
      <c r="UJQ370" s="15"/>
      <c r="UJR370" s="15"/>
      <c r="UJS370" s="15"/>
      <c r="UJT370" s="15"/>
      <c r="UJU370" s="15"/>
      <c r="UJV370" s="10"/>
      <c r="UJW370" s="10"/>
      <c r="UJX370" s="21"/>
      <c r="UJY370" s="21"/>
      <c r="UKB370" s="21"/>
      <c r="UKC370" s="15"/>
      <c r="UKD370" s="15"/>
      <c r="UKE370" s="15"/>
      <c r="UKF370" s="15"/>
      <c r="UKG370" s="15"/>
      <c r="UKH370" s="15"/>
      <c r="UKI370" s="15"/>
      <c r="UKJ370" s="15"/>
      <c r="UKK370" s="15"/>
      <c r="UKL370" s="15"/>
      <c r="UKM370" s="10"/>
      <c r="UKN370" s="10"/>
      <c r="UKO370" s="21"/>
      <c r="UKP370" s="21"/>
      <c r="UKS370" s="21"/>
      <c r="UKT370" s="15"/>
      <c r="UKU370" s="15"/>
      <c r="UKV370" s="15"/>
      <c r="UKW370" s="15"/>
      <c r="UKX370" s="15"/>
      <c r="UKY370" s="15"/>
      <c r="UKZ370" s="15"/>
      <c r="ULA370" s="15"/>
      <c r="ULB370" s="15"/>
      <c r="ULC370" s="15"/>
      <c r="ULD370" s="10"/>
      <c r="ULE370" s="10"/>
      <c r="ULF370" s="21"/>
      <c r="ULG370" s="21"/>
      <c r="ULJ370" s="21"/>
      <c r="ULK370" s="15"/>
      <c r="ULL370" s="15"/>
      <c r="ULM370" s="15"/>
      <c r="ULN370" s="15"/>
      <c r="ULO370" s="15"/>
      <c r="ULP370" s="15"/>
      <c r="ULQ370" s="15"/>
      <c r="ULR370" s="15"/>
      <c r="ULS370" s="15"/>
      <c r="ULT370" s="15"/>
      <c r="ULU370" s="10"/>
      <c r="ULV370" s="10"/>
      <c r="ULW370" s="21"/>
      <c r="ULX370" s="21"/>
      <c r="UMA370" s="21"/>
      <c r="UMB370" s="15"/>
      <c r="UMC370" s="15"/>
      <c r="UMD370" s="15"/>
      <c r="UME370" s="15"/>
      <c r="UMF370" s="15"/>
      <c r="UMG370" s="15"/>
      <c r="UMH370" s="15"/>
      <c r="UMI370" s="15"/>
      <c r="UMJ370" s="15"/>
      <c r="UMK370" s="15"/>
      <c r="UML370" s="10"/>
      <c r="UMM370" s="10"/>
      <c r="UMN370" s="21"/>
      <c r="UMO370" s="21"/>
      <c r="UMR370" s="21"/>
      <c r="UMS370" s="15"/>
      <c r="UMT370" s="15"/>
      <c r="UMU370" s="15"/>
      <c r="UMV370" s="15"/>
      <c r="UMW370" s="15"/>
      <c r="UMX370" s="15"/>
      <c r="UMY370" s="15"/>
      <c r="UMZ370" s="15"/>
      <c r="UNA370" s="15"/>
      <c r="UNB370" s="15"/>
      <c r="UNC370" s="10"/>
      <c r="UND370" s="10"/>
      <c r="UNE370" s="21"/>
      <c r="UNF370" s="21"/>
      <c r="UNI370" s="21"/>
      <c r="UNJ370" s="15"/>
      <c r="UNK370" s="15"/>
      <c r="UNL370" s="15"/>
      <c r="UNM370" s="15"/>
      <c r="UNN370" s="15"/>
      <c r="UNO370" s="15"/>
      <c r="UNP370" s="15"/>
      <c r="UNQ370" s="15"/>
      <c r="UNR370" s="15"/>
      <c r="UNS370" s="15"/>
      <c r="UNT370" s="10"/>
      <c r="UNU370" s="10"/>
      <c r="UNV370" s="21"/>
      <c r="UNW370" s="21"/>
      <c r="UNZ370" s="21"/>
      <c r="UOA370" s="15"/>
      <c r="UOB370" s="15"/>
      <c r="UOC370" s="15"/>
      <c r="UOD370" s="15"/>
      <c r="UOE370" s="15"/>
      <c r="UOF370" s="15"/>
      <c r="UOG370" s="15"/>
      <c r="UOH370" s="15"/>
      <c r="UOI370" s="15"/>
      <c r="UOJ370" s="15"/>
      <c r="UOK370" s="10"/>
      <c r="UOL370" s="10"/>
      <c r="UOM370" s="21"/>
      <c r="UON370" s="21"/>
      <c r="UOQ370" s="21"/>
      <c r="UOR370" s="15"/>
      <c r="UOS370" s="15"/>
      <c r="UOT370" s="15"/>
      <c r="UOU370" s="15"/>
      <c r="UOV370" s="15"/>
      <c r="UOW370" s="15"/>
      <c r="UOX370" s="15"/>
      <c r="UOY370" s="15"/>
      <c r="UOZ370" s="15"/>
      <c r="UPA370" s="15"/>
      <c r="UPB370" s="10"/>
      <c r="UPC370" s="10"/>
      <c r="UPD370" s="21"/>
      <c r="UPE370" s="21"/>
      <c r="UPH370" s="21"/>
      <c r="UPI370" s="15"/>
      <c r="UPJ370" s="15"/>
      <c r="UPK370" s="15"/>
      <c r="UPL370" s="15"/>
      <c r="UPM370" s="15"/>
      <c r="UPN370" s="15"/>
      <c r="UPO370" s="15"/>
      <c r="UPP370" s="15"/>
      <c r="UPQ370" s="15"/>
      <c r="UPR370" s="15"/>
      <c r="UPS370" s="10"/>
      <c r="UPT370" s="10"/>
      <c r="UPU370" s="21"/>
      <c r="UPV370" s="21"/>
      <c r="UPY370" s="21"/>
      <c r="UPZ370" s="15"/>
      <c r="UQA370" s="15"/>
      <c r="UQB370" s="15"/>
      <c r="UQC370" s="15"/>
      <c r="UQD370" s="15"/>
      <c r="UQE370" s="15"/>
      <c r="UQF370" s="15"/>
      <c r="UQG370" s="15"/>
      <c r="UQH370" s="15"/>
      <c r="UQI370" s="15"/>
      <c r="UQJ370" s="10"/>
      <c r="UQK370" s="10"/>
      <c r="UQL370" s="21"/>
      <c r="UQM370" s="21"/>
      <c r="UQP370" s="21"/>
      <c r="UQQ370" s="15"/>
      <c r="UQR370" s="15"/>
      <c r="UQS370" s="15"/>
      <c r="UQT370" s="15"/>
      <c r="UQU370" s="15"/>
      <c r="UQV370" s="15"/>
      <c r="UQW370" s="15"/>
      <c r="UQX370" s="15"/>
      <c r="UQY370" s="15"/>
      <c r="UQZ370" s="15"/>
      <c r="URA370" s="10"/>
      <c r="URB370" s="10"/>
      <c r="URC370" s="21"/>
      <c r="URD370" s="21"/>
      <c r="URG370" s="21"/>
      <c r="URH370" s="15"/>
      <c r="URI370" s="15"/>
      <c r="URJ370" s="15"/>
      <c r="URK370" s="15"/>
      <c r="URL370" s="15"/>
      <c r="URM370" s="15"/>
      <c r="URN370" s="15"/>
      <c r="URO370" s="15"/>
      <c r="URP370" s="15"/>
      <c r="URQ370" s="15"/>
      <c r="URR370" s="10"/>
      <c r="URS370" s="10"/>
      <c r="URT370" s="21"/>
      <c r="URU370" s="21"/>
      <c r="URX370" s="21"/>
      <c r="URY370" s="15"/>
      <c r="URZ370" s="15"/>
      <c r="USA370" s="15"/>
      <c r="USB370" s="15"/>
      <c r="USC370" s="15"/>
      <c r="USD370" s="15"/>
      <c r="USE370" s="15"/>
      <c r="USF370" s="15"/>
      <c r="USG370" s="15"/>
      <c r="USH370" s="15"/>
      <c r="USI370" s="10"/>
      <c r="USJ370" s="10"/>
      <c r="USK370" s="21"/>
      <c r="USL370" s="21"/>
      <c r="USO370" s="21"/>
      <c r="USP370" s="15"/>
      <c r="USQ370" s="15"/>
      <c r="USR370" s="15"/>
      <c r="USS370" s="15"/>
      <c r="UST370" s="15"/>
      <c r="USU370" s="15"/>
      <c r="USV370" s="15"/>
      <c r="USW370" s="15"/>
      <c r="USX370" s="15"/>
      <c r="USY370" s="15"/>
      <c r="USZ370" s="10"/>
      <c r="UTA370" s="10"/>
      <c r="UTB370" s="21"/>
      <c r="UTC370" s="21"/>
      <c r="UTF370" s="21"/>
      <c r="UTG370" s="15"/>
      <c r="UTH370" s="15"/>
      <c r="UTI370" s="15"/>
      <c r="UTJ370" s="15"/>
      <c r="UTK370" s="15"/>
      <c r="UTL370" s="15"/>
      <c r="UTM370" s="15"/>
      <c r="UTN370" s="15"/>
      <c r="UTO370" s="15"/>
      <c r="UTP370" s="15"/>
      <c r="UTQ370" s="10"/>
      <c r="UTR370" s="10"/>
      <c r="UTS370" s="21"/>
      <c r="UTT370" s="21"/>
      <c r="UTW370" s="21"/>
      <c r="UTX370" s="15"/>
      <c r="UTY370" s="15"/>
      <c r="UTZ370" s="15"/>
      <c r="UUA370" s="15"/>
      <c r="UUB370" s="15"/>
      <c r="UUC370" s="15"/>
      <c r="UUD370" s="15"/>
      <c r="UUE370" s="15"/>
      <c r="UUF370" s="15"/>
      <c r="UUG370" s="15"/>
      <c r="UUH370" s="10"/>
      <c r="UUI370" s="10"/>
      <c r="UUJ370" s="21"/>
      <c r="UUK370" s="21"/>
      <c r="UUN370" s="21"/>
      <c r="UUO370" s="15"/>
      <c r="UUP370" s="15"/>
      <c r="UUQ370" s="15"/>
      <c r="UUR370" s="15"/>
      <c r="UUS370" s="15"/>
      <c r="UUT370" s="15"/>
      <c r="UUU370" s="15"/>
      <c r="UUV370" s="15"/>
      <c r="UUW370" s="15"/>
      <c r="UUX370" s="15"/>
      <c r="UUY370" s="10"/>
      <c r="UUZ370" s="10"/>
      <c r="UVA370" s="21"/>
      <c r="UVB370" s="21"/>
      <c r="UVE370" s="21"/>
      <c r="UVF370" s="15"/>
      <c r="UVG370" s="15"/>
      <c r="UVH370" s="15"/>
      <c r="UVI370" s="15"/>
      <c r="UVJ370" s="15"/>
      <c r="UVK370" s="15"/>
      <c r="UVL370" s="15"/>
      <c r="UVM370" s="15"/>
      <c r="UVN370" s="15"/>
      <c r="UVO370" s="15"/>
      <c r="UVP370" s="10"/>
      <c r="UVQ370" s="10"/>
      <c r="UVR370" s="21"/>
      <c r="UVS370" s="21"/>
      <c r="UVV370" s="21"/>
      <c r="UVW370" s="15"/>
      <c r="UVX370" s="15"/>
      <c r="UVY370" s="15"/>
      <c r="UVZ370" s="15"/>
      <c r="UWA370" s="15"/>
      <c r="UWB370" s="15"/>
      <c r="UWC370" s="15"/>
      <c r="UWD370" s="15"/>
      <c r="UWE370" s="15"/>
      <c r="UWF370" s="15"/>
      <c r="UWG370" s="10"/>
      <c r="UWH370" s="10"/>
      <c r="UWI370" s="21"/>
      <c r="UWJ370" s="21"/>
      <c r="UWM370" s="21"/>
      <c r="UWN370" s="15"/>
      <c r="UWO370" s="15"/>
      <c r="UWP370" s="15"/>
      <c r="UWQ370" s="15"/>
      <c r="UWR370" s="15"/>
      <c r="UWS370" s="15"/>
      <c r="UWT370" s="15"/>
      <c r="UWU370" s="15"/>
      <c r="UWV370" s="15"/>
      <c r="UWW370" s="15"/>
      <c r="UWX370" s="10"/>
      <c r="UWY370" s="10"/>
      <c r="UWZ370" s="21"/>
      <c r="UXA370" s="21"/>
      <c r="UXD370" s="21"/>
      <c r="UXE370" s="15"/>
      <c r="UXF370" s="15"/>
      <c r="UXG370" s="15"/>
      <c r="UXH370" s="15"/>
      <c r="UXI370" s="15"/>
      <c r="UXJ370" s="15"/>
      <c r="UXK370" s="15"/>
      <c r="UXL370" s="15"/>
      <c r="UXM370" s="15"/>
      <c r="UXN370" s="15"/>
      <c r="UXO370" s="10"/>
      <c r="UXP370" s="10"/>
      <c r="UXQ370" s="21"/>
      <c r="UXR370" s="21"/>
      <c r="UXU370" s="21"/>
      <c r="UXV370" s="15"/>
      <c r="UXW370" s="15"/>
      <c r="UXX370" s="15"/>
      <c r="UXY370" s="15"/>
      <c r="UXZ370" s="15"/>
      <c r="UYA370" s="15"/>
      <c r="UYB370" s="15"/>
      <c r="UYC370" s="15"/>
      <c r="UYD370" s="15"/>
      <c r="UYE370" s="15"/>
      <c r="UYF370" s="10"/>
      <c r="UYG370" s="10"/>
      <c r="UYH370" s="21"/>
      <c r="UYI370" s="21"/>
      <c r="UYL370" s="21"/>
      <c r="UYM370" s="15"/>
      <c r="UYN370" s="15"/>
      <c r="UYO370" s="15"/>
      <c r="UYP370" s="15"/>
      <c r="UYQ370" s="15"/>
      <c r="UYR370" s="15"/>
      <c r="UYS370" s="15"/>
      <c r="UYT370" s="15"/>
      <c r="UYU370" s="15"/>
      <c r="UYV370" s="15"/>
      <c r="UYW370" s="10"/>
      <c r="UYX370" s="10"/>
      <c r="UYY370" s="21"/>
      <c r="UYZ370" s="21"/>
      <c r="UZC370" s="21"/>
      <c r="UZD370" s="15"/>
      <c r="UZE370" s="15"/>
      <c r="UZF370" s="15"/>
      <c r="UZG370" s="15"/>
      <c r="UZH370" s="15"/>
      <c r="UZI370" s="15"/>
      <c r="UZJ370" s="15"/>
      <c r="UZK370" s="15"/>
      <c r="UZL370" s="15"/>
      <c r="UZM370" s="15"/>
      <c r="UZN370" s="10"/>
      <c r="UZO370" s="10"/>
      <c r="UZP370" s="21"/>
      <c r="UZQ370" s="21"/>
      <c r="UZT370" s="21"/>
      <c r="UZU370" s="15"/>
      <c r="UZV370" s="15"/>
      <c r="UZW370" s="15"/>
      <c r="UZX370" s="15"/>
      <c r="UZY370" s="15"/>
      <c r="UZZ370" s="15"/>
      <c r="VAA370" s="15"/>
      <c r="VAB370" s="15"/>
      <c r="VAC370" s="15"/>
      <c r="VAD370" s="15"/>
      <c r="VAE370" s="10"/>
      <c r="VAF370" s="10"/>
      <c r="VAG370" s="21"/>
      <c r="VAH370" s="21"/>
      <c r="VAK370" s="21"/>
      <c r="VAL370" s="15"/>
      <c r="VAM370" s="15"/>
      <c r="VAN370" s="15"/>
      <c r="VAO370" s="15"/>
      <c r="VAP370" s="15"/>
      <c r="VAQ370" s="15"/>
      <c r="VAR370" s="15"/>
      <c r="VAS370" s="15"/>
      <c r="VAT370" s="15"/>
      <c r="VAU370" s="15"/>
      <c r="VAV370" s="10"/>
      <c r="VAW370" s="10"/>
      <c r="VAX370" s="21"/>
      <c r="VAY370" s="21"/>
      <c r="VBB370" s="21"/>
      <c r="VBC370" s="15"/>
      <c r="VBD370" s="15"/>
      <c r="VBE370" s="15"/>
      <c r="VBF370" s="15"/>
      <c r="VBG370" s="15"/>
      <c r="VBH370" s="15"/>
      <c r="VBI370" s="15"/>
      <c r="VBJ370" s="15"/>
      <c r="VBK370" s="15"/>
      <c r="VBL370" s="15"/>
      <c r="VBM370" s="10"/>
      <c r="VBN370" s="10"/>
      <c r="VBO370" s="21"/>
      <c r="VBP370" s="21"/>
      <c r="VBS370" s="21"/>
      <c r="VBT370" s="15"/>
      <c r="VBU370" s="15"/>
      <c r="VBV370" s="15"/>
      <c r="VBW370" s="15"/>
      <c r="VBX370" s="15"/>
      <c r="VBY370" s="15"/>
      <c r="VBZ370" s="15"/>
      <c r="VCA370" s="15"/>
      <c r="VCB370" s="15"/>
      <c r="VCC370" s="15"/>
      <c r="VCD370" s="10"/>
      <c r="VCE370" s="10"/>
      <c r="VCF370" s="21"/>
      <c r="VCG370" s="21"/>
      <c r="VCJ370" s="21"/>
      <c r="VCK370" s="15"/>
      <c r="VCL370" s="15"/>
      <c r="VCM370" s="15"/>
      <c r="VCN370" s="15"/>
      <c r="VCO370" s="15"/>
      <c r="VCP370" s="15"/>
      <c r="VCQ370" s="15"/>
      <c r="VCR370" s="15"/>
      <c r="VCS370" s="15"/>
      <c r="VCT370" s="15"/>
      <c r="VCU370" s="10"/>
      <c r="VCV370" s="10"/>
      <c r="VCW370" s="21"/>
      <c r="VCX370" s="21"/>
      <c r="VDA370" s="21"/>
      <c r="VDB370" s="15"/>
      <c r="VDC370" s="15"/>
      <c r="VDD370" s="15"/>
      <c r="VDE370" s="15"/>
      <c r="VDF370" s="15"/>
      <c r="VDG370" s="15"/>
      <c r="VDH370" s="15"/>
      <c r="VDI370" s="15"/>
      <c r="VDJ370" s="15"/>
      <c r="VDK370" s="15"/>
      <c r="VDL370" s="10"/>
      <c r="VDM370" s="10"/>
      <c r="VDN370" s="21"/>
      <c r="VDO370" s="21"/>
      <c r="VDR370" s="21"/>
      <c r="VDS370" s="15"/>
      <c r="VDT370" s="15"/>
      <c r="VDU370" s="15"/>
      <c r="VDV370" s="15"/>
      <c r="VDW370" s="15"/>
      <c r="VDX370" s="15"/>
      <c r="VDY370" s="15"/>
      <c r="VDZ370" s="15"/>
      <c r="VEA370" s="15"/>
      <c r="VEB370" s="15"/>
      <c r="VEC370" s="10"/>
      <c r="VED370" s="10"/>
      <c r="VEE370" s="21"/>
      <c r="VEF370" s="21"/>
      <c r="VEI370" s="21"/>
      <c r="VEJ370" s="15"/>
      <c r="VEK370" s="15"/>
      <c r="VEL370" s="15"/>
      <c r="VEM370" s="15"/>
      <c r="VEN370" s="15"/>
      <c r="VEO370" s="15"/>
      <c r="VEP370" s="15"/>
      <c r="VEQ370" s="15"/>
      <c r="VER370" s="15"/>
      <c r="VES370" s="15"/>
      <c r="VET370" s="10"/>
      <c r="VEU370" s="10"/>
      <c r="VEV370" s="21"/>
      <c r="VEW370" s="21"/>
      <c r="VEZ370" s="21"/>
      <c r="VFA370" s="15"/>
      <c r="VFB370" s="15"/>
      <c r="VFC370" s="15"/>
      <c r="VFD370" s="15"/>
      <c r="VFE370" s="15"/>
      <c r="VFF370" s="15"/>
      <c r="VFG370" s="15"/>
      <c r="VFH370" s="15"/>
      <c r="VFI370" s="15"/>
      <c r="VFJ370" s="15"/>
      <c r="VFK370" s="10"/>
      <c r="VFL370" s="10"/>
      <c r="VFM370" s="21"/>
      <c r="VFN370" s="21"/>
      <c r="VFQ370" s="21"/>
      <c r="VFR370" s="15"/>
      <c r="VFS370" s="15"/>
      <c r="VFT370" s="15"/>
      <c r="VFU370" s="15"/>
      <c r="VFV370" s="15"/>
      <c r="VFW370" s="15"/>
      <c r="VFX370" s="15"/>
      <c r="VFY370" s="15"/>
      <c r="VFZ370" s="15"/>
      <c r="VGA370" s="15"/>
      <c r="VGB370" s="10"/>
      <c r="VGC370" s="10"/>
      <c r="VGD370" s="21"/>
      <c r="VGE370" s="21"/>
      <c r="VGH370" s="21"/>
      <c r="VGI370" s="15"/>
      <c r="VGJ370" s="15"/>
      <c r="VGK370" s="15"/>
      <c r="VGL370" s="15"/>
      <c r="VGM370" s="15"/>
      <c r="VGN370" s="15"/>
      <c r="VGO370" s="15"/>
      <c r="VGP370" s="15"/>
      <c r="VGQ370" s="15"/>
      <c r="VGR370" s="15"/>
      <c r="VGS370" s="10"/>
      <c r="VGT370" s="10"/>
      <c r="VGU370" s="21"/>
      <c r="VGV370" s="21"/>
      <c r="VGY370" s="21"/>
      <c r="VGZ370" s="15"/>
      <c r="VHA370" s="15"/>
      <c r="VHB370" s="15"/>
      <c r="VHC370" s="15"/>
      <c r="VHD370" s="15"/>
      <c r="VHE370" s="15"/>
      <c r="VHF370" s="15"/>
      <c r="VHG370" s="15"/>
      <c r="VHH370" s="15"/>
      <c r="VHI370" s="15"/>
      <c r="VHJ370" s="10"/>
      <c r="VHK370" s="10"/>
      <c r="VHL370" s="21"/>
      <c r="VHM370" s="21"/>
      <c r="VHP370" s="21"/>
      <c r="VHQ370" s="15"/>
      <c r="VHR370" s="15"/>
      <c r="VHS370" s="15"/>
      <c r="VHT370" s="15"/>
      <c r="VHU370" s="15"/>
      <c r="VHV370" s="15"/>
      <c r="VHW370" s="15"/>
      <c r="VHX370" s="15"/>
      <c r="VHY370" s="15"/>
      <c r="VHZ370" s="15"/>
      <c r="VIA370" s="10"/>
      <c r="VIB370" s="10"/>
      <c r="VIC370" s="21"/>
      <c r="VID370" s="21"/>
      <c r="VIG370" s="21"/>
      <c r="VIH370" s="15"/>
      <c r="VII370" s="15"/>
      <c r="VIJ370" s="15"/>
      <c r="VIK370" s="15"/>
      <c r="VIL370" s="15"/>
      <c r="VIM370" s="15"/>
      <c r="VIN370" s="15"/>
      <c r="VIO370" s="15"/>
      <c r="VIP370" s="15"/>
      <c r="VIQ370" s="15"/>
      <c r="VIR370" s="10"/>
      <c r="VIS370" s="10"/>
      <c r="VIT370" s="21"/>
      <c r="VIU370" s="21"/>
      <c r="VIX370" s="21"/>
      <c r="VIY370" s="15"/>
      <c r="VIZ370" s="15"/>
      <c r="VJA370" s="15"/>
      <c r="VJB370" s="15"/>
      <c r="VJC370" s="15"/>
      <c r="VJD370" s="15"/>
      <c r="VJE370" s="15"/>
      <c r="VJF370" s="15"/>
      <c r="VJG370" s="15"/>
      <c r="VJH370" s="15"/>
      <c r="VJI370" s="10"/>
      <c r="VJJ370" s="10"/>
      <c r="VJK370" s="21"/>
      <c r="VJL370" s="21"/>
      <c r="VJO370" s="21"/>
      <c r="VJP370" s="15"/>
      <c r="VJQ370" s="15"/>
      <c r="VJR370" s="15"/>
      <c r="VJS370" s="15"/>
      <c r="VJT370" s="15"/>
      <c r="VJU370" s="15"/>
      <c r="VJV370" s="15"/>
      <c r="VJW370" s="15"/>
      <c r="VJX370" s="15"/>
      <c r="VJY370" s="15"/>
      <c r="VJZ370" s="10"/>
      <c r="VKA370" s="10"/>
      <c r="VKB370" s="21"/>
      <c r="VKC370" s="21"/>
      <c r="VKF370" s="21"/>
      <c r="VKG370" s="15"/>
      <c r="VKH370" s="15"/>
      <c r="VKI370" s="15"/>
      <c r="VKJ370" s="15"/>
      <c r="VKK370" s="15"/>
      <c r="VKL370" s="15"/>
      <c r="VKM370" s="15"/>
      <c r="VKN370" s="15"/>
      <c r="VKO370" s="15"/>
      <c r="VKP370" s="15"/>
      <c r="VKQ370" s="10"/>
      <c r="VKR370" s="10"/>
      <c r="VKS370" s="21"/>
      <c r="VKT370" s="21"/>
      <c r="VKW370" s="21"/>
      <c r="VKX370" s="15"/>
      <c r="VKY370" s="15"/>
      <c r="VKZ370" s="15"/>
      <c r="VLA370" s="15"/>
      <c r="VLB370" s="15"/>
      <c r="VLC370" s="15"/>
      <c r="VLD370" s="15"/>
      <c r="VLE370" s="15"/>
      <c r="VLF370" s="15"/>
      <c r="VLG370" s="15"/>
      <c r="VLH370" s="10"/>
      <c r="VLI370" s="10"/>
      <c r="VLJ370" s="21"/>
      <c r="VLK370" s="21"/>
      <c r="VLN370" s="21"/>
      <c r="VLO370" s="15"/>
      <c r="VLP370" s="15"/>
      <c r="VLQ370" s="15"/>
      <c r="VLR370" s="15"/>
      <c r="VLS370" s="15"/>
      <c r="VLT370" s="15"/>
      <c r="VLU370" s="15"/>
      <c r="VLV370" s="15"/>
      <c r="VLW370" s="15"/>
      <c r="VLX370" s="15"/>
      <c r="VLY370" s="10"/>
      <c r="VLZ370" s="10"/>
      <c r="VMA370" s="21"/>
      <c r="VMB370" s="21"/>
      <c r="VME370" s="21"/>
      <c r="VMF370" s="15"/>
      <c r="VMG370" s="15"/>
      <c r="VMH370" s="15"/>
      <c r="VMI370" s="15"/>
      <c r="VMJ370" s="15"/>
      <c r="VMK370" s="15"/>
      <c r="VML370" s="15"/>
      <c r="VMM370" s="15"/>
      <c r="VMN370" s="15"/>
      <c r="VMO370" s="15"/>
      <c r="VMP370" s="10"/>
      <c r="VMQ370" s="10"/>
      <c r="VMR370" s="21"/>
      <c r="VMS370" s="21"/>
      <c r="VMV370" s="21"/>
      <c r="VMW370" s="15"/>
      <c r="VMX370" s="15"/>
      <c r="VMY370" s="15"/>
      <c r="VMZ370" s="15"/>
      <c r="VNA370" s="15"/>
      <c r="VNB370" s="15"/>
      <c r="VNC370" s="15"/>
      <c r="VND370" s="15"/>
      <c r="VNE370" s="15"/>
      <c r="VNF370" s="15"/>
      <c r="VNG370" s="10"/>
      <c r="VNH370" s="10"/>
      <c r="VNI370" s="21"/>
      <c r="VNJ370" s="21"/>
      <c r="VNM370" s="21"/>
      <c r="VNN370" s="15"/>
      <c r="VNO370" s="15"/>
      <c r="VNP370" s="15"/>
      <c r="VNQ370" s="15"/>
      <c r="VNR370" s="15"/>
      <c r="VNS370" s="15"/>
      <c r="VNT370" s="15"/>
      <c r="VNU370" s="15"/>
      <c r="VNV370" s="15"/>
      <c r="VNW370" s="15"/>
      <c r="VNX370" s="10"/>
      <c r="VNY370" s="10"/>
      <c r="VNZ370" s="21"/>
      <c r="VOA370" s="21"/>
      <c r="VOD370" s="21"/>
      <c r="VOE370" s="15"/>
      <c r="VOF370" s="15"/>
      <c r="VOG370" s="15"/>
      <c r="VOH370" s="15"/>
      <c r="VOI370" s="15"/>
      <c r="VOJ370" s="15"/>
      <c r="VOK370" s="15"/>
      <c r="VOL370" s="15"/>
      <c r="VOM370" s="15"/>
      <c r="VON370" s="15"/>
      <c r="VOO370" s="10"/>
      <c r="VOP370" s="10"/>
      <c r="VOQ370" s="21"/>
      <c r="VOR370" s="21"/>
      <c r="VOU370" s="21"/>
      <c r="VOV370" s="15"/>
      <c r="VOW370" s="15"/>
      <c r="VOX370" s="15"/>
      <c r="VOY370" s="15"/>
      <c r="VOZ370" s="15"/>
      <c r="VPA370" s="15"/>
      <c r="VPB370" s="15"/>
      <c r="VPC370" s="15"/>
      <c r="VPD370" s="15"/>
      <c r="VPE370" s="15"/>
      <c r="VPF370" s="10"/>
      <c r="VPG370" s="10"/>
      <c r="VPH370" s="21"/>
      <c r="VPI370" s="21"/>
      <c r="VPL370" s="21"/>
      <c r="VPM370" s="15"/>
      <c r="VPN370" s="15"/>
      <c r="VPO370" s="15"/>
      <c r="VPP370" s="15"/>
      <c r="VPQ370" s="15"/>
      <c r="VPR370" s="15"/>
      <c r="VPS370" s="15"/>
      <c r="VPT370" s="15"/>
      <c r="VPU370" s="15"/>
      <c r="VPV370" s="15"/>
      <c r="VPW370" s="10"/>
      <c r="VPX370" s="10"/>
      <c r="VPY370" s="21"/>
      <c r="VPZ370" s="21"/>
      <c r="VQC370" s="21"/>
      <c r="VQD370" s="15"/>
      <c r="VQE370" s="15"/>
      <c r="VQF370" s="15"/>
      <c r="VQG370" s="15"/>
      <c r="VQH370" s="15"/>
      <c r="VQI370" s="15"/>
      <c r="VQJ370" s="15"/>
      <c r="VQK370" s="15"/>
      <c r="VQL370" s="15"/>
      <c r="VQM370" s="15"/>
      <c r="VQN370" s="10"/>
      <c r="VQO370" s="10"/>
      <c r="VQP370" s="21"/>
      <c r="VQQ370" s="21"/>
      <c r="VQT370" s="21"/>
      <c r="VQU370" s="15"/>
      <c r="VQV370" s="15"/>
      <c r="VQW370" s="15"/>
      <c r="VQX370" s="15"/>
      <c r="VQY370" s="15"/>
      <c r="VQZ370" s="15"/>
      <c r="VRA370" s="15"/>
      <c r="VRB370" s="15"/>
      <c r="VRC370" s="15"/>
      <c r="VRD370" s="15"/>
      <c r="VRE370" s="10"/>
      <c r="VRF370" s="10"/>
      <c r="VRG370" s="21"/>
      <c r="VRH370" s="21"/>
      <c r="VRK370" s="21"/>
      <c r="VRL370" s="15"/>
      <c r="VRM370" s="15"/>
      <c r="VRN370" s="15"/>
      <c r="VRO370" s="15"/>
      <c r="VRP370" s="15"/>
      <c r="VRQ370" s="15"/>
      <c r="VRR370" s="15"/>
      <c r="VRS370" s="15"/>
      <c r="VRT370" s="15"/>
      <c r="VRU370" s="15"/>
      <c r="VRV370" s="10"/>
      <c r="VRW370" s="10"/>
      <c r="VRX370" s="21"/>
      <c r="VRY370" s="21"/>
      <c r="VSB370" s="21"/>
      <c r="VSC370" s="15"/>
      <c r="VSD370" s="15"/>
      <c r="VSE370" s="15"/>
      <c r="VSF370" s="15"/>
      <c r="VSG370" s="15"/>
      <c r="VSH370" s="15"/>
      <c r="VSI370" s="15"/>
      <c r="VSJ370" s="15"/>
      <c r="VSK370" s="15"/>
      <c r="VSL370" s="15"/>
      <c r="VSM370" s="10"/>
      <c r="VSN370" s="10"/>
      <c r="VSO370" s="21"/>
      <c r="VSP370" s="21"/>
      <c r="VSS370" s="21"/>
      <c r="VST370" s="15"/>
      <c r="VSU370" s="15"/>
      <c r="VSV370" s="15"/>
      <c r="VSW370" s="15"/>
      <c r="VSX370" s="15"/>
      <c r="VSY370" s="15"/>
      <c r="VSZ370" s="15"/>
      <c r="VTA370" s="15"/>
      <c r="VTB370" s="15"/>
      <c r="VTC370" s="15"/>
      <c r="VTD370" s="10"/>
      <c r="VTE370" s="10"/>
      <c r="VTF370" s="21"/>
      <c r="VTG370" s="21"/>
      <c r="VTJ370" s="21"/>
      <c r="VTK370" s="15"/>
      <c r="VTL370" s="15"/>
      <c r="VTM370" s="15"/>
      <c r="VTN370" s="15"/>
      <c r="VTO370" s="15"/>
      <c r="VTP370" s="15"/>
      <c r="VTQ370" s="15"/>
      <c r="VTR370" s="15"/>
      <c r="VTS370" s="15"/>
      <c r="VTT370" s="15"/>
      <c r="VTU370" s="10"/>
      <c r="VTV370" s="10"/>
      <c r="VTW370" s="21"/>
      <c r="VTX370" s="21"/>
      <c r="VUA370" s="21"/>
      <c r="VUB370" s="15"/>
      <c r="VUC370" s="15"/>
      <c r="VUD370" s="15"/>
      <c r="VUE370" s="15"/>
      <c r="VUF370" s="15"/>
      <c r="VUG370" s="15"/>
      <c r="VUH370" s="15"/>
      <c r="VUI370" s="15"/>
      <c r="VUJ370" s="15"/>
      <c r="VUK370" s="15"/>
      <c r="VUL370" s="10"/>
      <c r="VUM370" s="10"/>
      <c r="VUN370" s="21"/>
      <c r="VUO370" s="21"/>
      <c r="VUR370" s="21"/>
      <c r="VUS370" s="15"/>
      <c r="VUT370" s="15"/>
      <c r="VUU370" s="15"/>
      <c r="VUV370" s="15"/>
      <c r="VUW370" s="15"/>
      <c r="VUX370" s="15"/>
      <c r="VUY370" s="15"/>
      <c r="VUZ370" s="15"/>
      <c r="VVA370" s="15"/>
      <c r="VVB370" s="15"/>
      <c r="VVC370" s="10"/>
      <c r="VVD370" s="10"/>
      <c r="VVE370" s="21"/>
      <c r="VVF370" s="21"/>
      <c r="VVI370" s="21"/>
      <c r="VVJ370" s="15"/>
      <c r="VVK370" s="15"/>
      <c r="VVL370" s="15"/>
      <c r="VVM370" s="15"/>
      <c r="VVN370" s="15"/>
      <c r="VVO370" s="15"/>
      <c r="VVP370" s="15"/>
      <c r="VVQ370" s="15"/>
      <c r="VVR370" s="15"/>
      <c r="VVS370" s="15"/>
      <c r="VVT370" s="10"/>
      <c r="VVU370" s="10"/>
      <c r="VVV370" s="21"/>
      <c r="VVW370" s="21"/>
      <c r="VVZ370" s="21"/>
      <c r="VWA370" s="15"/>
      <c r="VWB370" s="15"/>
      <c r="VWC370" s="15"/>
      <c r="VWD370" s="15"/>
      <c r="VWE370" s="15"/>
      <c r="VWF370" s="15"/>
      <c r="VWG370" s="15"/>
      <c r="VWH370" s="15"/>
      <c r="VWI370" s="15"/>
      <c r="VWJ370" s="15"/>
      <c r="VWK370" s="10"/>
      <c r="VWL370" s="10"/>
      <c r="VWM370" s="21"/>
      <c r="VWN370" s="21"/>
      <c r="VWQ370" s="21"/>
      <c r="VWR370" s="15"/>
      <c r="VWS370" s="15"/>
      <c r="VWT370" s="15"/>
      <c r="VWU370" s="15"/>
      <c r="VWV370" s="15"/>
      <c r="VWW370" s="15"/>
      <c r="VWX370" s="15"/>
      <c r="VWY370" s="15"/>
      <c r="VWZ370" s="15"/>
      <c r="VXA370" s="15"/>
      <c r="VXB370" s="10"/>
      <c r="VXC370" s="10"/>
      <c r="VXD370" s="21"/>
      <c r="VXE370" s="21"/>
      <c r="VXH370" s="21"/>
      <c r="VXI370" s="15"/>
      <c r="VXJ370" s="15"/>
      <c r="VXK370" s="15"/>
      <c r="VXL370" s="15"/>
      <c r="VXM370" s="15"/>
      <c r="VXN370" s="15"/>
      <c r="VXO370" s="15"/>
      <c r="VXP370" s="15"/>
      <c r="VXQ370" s="15"/>
      <c r="VXR370" s="15"/>
      <c r="VXS370" s="10"/>
      <c r="VXT370" s="10"/>
      <c r="VXU370" s="21"/>
      <c r="VXV370" s="21"/>
      <c r="VXY370" s="21"/>
      <c r="VXZ370" s="15"/>
      <c r="VYA370" s="15"/>
      <c r="VYB370" s="15"/>
      <c r="VYC370" s="15"/>
      <c r="VYD370" s="15"/>
      <c r="VYE370" s="15"/>
      <c r="VYF370" s="15"/>
      <c r="VYG370" s="15"/>
      <c r="VYH370" s="15"/>
      <c r="VYI370" s="15"/>
      <c r="VYJ370" s="10"/>
      <c r="VYK370" s="10"/>
      <c r="VYL370" s="21"/>
      <c r="VYM370" s="21"/>
      <c r="VYP370" s="21"/>
      <c r="VYQ370" s="15"/>
      <c r="VYR370" s="15"/>
      <c r="VYS370" s="15"/>
      <c r="VYT370" s="15"/>
      <c r="VYU370" s="15"/>
      <c r="VYV370" s="15"/>
      <c r="VYW370" s="15"/>
      <c r="VYX370" s="15"/>
      <c r="VYY370" s="15"/>
      <c r="VYZ370" s="15"/>
      <c r="VZA370" s="10"/>
      <c r="VZB370" s="10"/>
      <c r="VZC370" s="21"/>
      <c r="VZD370" s="21"/>
      <c r="VZG370" s="21"/>
      <c r="VZH370" s="15"/>
      <c r="VZI370" s="15"/>
      <c r="VZJ370" s="15"/>
      <c r="VZK370" s="15"/>
      <c r="VZL370" s="15"/>
      <c r="VZM370" s="15"/>
      <c r="VZN370" s="15"/>
      <c r="VZO370" s="15"/>
      <c r="VZP370" s="15"/>
      <c r="VZQ370" s="15"/>
      <c r="VZR370" s="10"/>
      <c r="VZS370" s="10"/>
      <c r="VZT370" s="21"/>
      <c r="VZU370" s="21"/>
      <c r="VZX370" s="21"/>
      <c r="VZY370" s="15"/>
      <c r="VZZ370" s="15"/>
      <c r="WAA370" s="15"/>
      <c r="WAB370" s="15"/>
      <c r="WAC370" s="15"/>
      <c r="WAD370" s="15"/>
      <c r="WAE370" s="15"/>
      <c r="WAF370" s="15"/>
      <c r="WAG370" s="15"/>
      <c r="WAH370" s="15"/>
      <c r="WAI370" s="10"/>
      <c r="WAJ370" s="10"/>
      <c r="WAK370" s="21"/>
      <c r="WAL370" s="21"/>
      <c r="WAO370" s="21"/>
      <c r="WAP370" s="15"/>
      <c r="WAQ370" s="15"/>
      <c r="WAR370" s="15"/>
      <c r="WAS370" s="15"/>
      <c r="WAT370" s="15"/>
      <c r="WAU370" s="15"/>
      <c r="WAV370" s="15"/>
      <c r="WAW370" s="15"/>
      <c r="WAX370" s="15"/>
      <c r="WAY370" s="15"/>
      <c r="WAZ370" s="10"/>
      <c r="WBA370" s="10"/>
      <c r="WBB370" s="21"/>
      <c r="WBC370" s="21"/>
      <c r="WBF370" s="21"/>
      <c r="WBG370" s="15"/>
      <c r="WBH370" s="15"/>
      <c r="WBI370" s="15"/>
      <c r="WBJ370" s="15"/>
      <c r="WBK370" s="15"/>
      <c r="WBL370" s="15"/>
      <c r="WBM370" s="15"/>
      <c r="WBN370" s="15"/>
      <c r="WBO370" s="15"/>
      <c r="WBP370" s="15"/>
      <c r="WBQ370" s="10"/>
      <c r="WBR370" s="10"/>
      <c r="WBS370" s="21"/>
      <c r="WBT370" s="21"/>
      <c r="WBW370" s="21"/>
      <c r="WBX370" s="15"/>
      <c r="WBY370" s="15"/>
      <c r="WBZ370" s="15"/>
      <c r="WCA370" s="15"/>
      <c r="WCB370" s="15"/>
      <c r="WCC370" s="15"/>
      <c r="WCD370" s="15"/>
      <c r="WCE370" s="15"/>
      <c r="WCF370" s="15"/>
      <c r="WCG370" s="15"/>
      <c r="WCH370" s="10"/>
      <c r="WCI370" s="10"/>
      <c r="WCJ370" s="21"/>
      <c r="WCK370" s="21"/>
      <c r="WCN370" s="21"/>
      <c r="WCO370" s="15"/>
      <c r="WCP370" s="15"/>
      <c r="WCQ370" s="15"/>
      <c r="WCR370" s="15"/>
      <c r="WCS370" s="15"/>
      <c r="WCT370" s="15"/>
      <c r="WCU370" s="15"/>
      <c r="WCV370" s="15"/>
      <c r="WCW370" s="15"/>
      <c r="WCX370" s="15"/>
      <c r="WCY370" s="10"/>
      <c r="WCZ370" s="10"/>
      <c r="WDA370" s="21"/>
      <c r="WDB370" s="21"/>
      <c r="WDE370" s="21"/>
      <c r="WDF370" s="15"/>
      <c r="WDG370" s="15"/>
      <c r="WDH370" s="15"/>
      <c r="WDI370" s="15"/>
      <c r="WDJ370" s="15"/>
      <c r="WDK370" s="15"/>
      <c r="WDL370" s="15"/>
      <c r="WDM370" s="15"/>
      <c r="WDN370" s="15"/>
      <c r="WDO370" s="15"/>
      <c r="WDP370" s="10"/>
      <c r="WDQ370" s="10"/>
      <c r="WDR370" s="21"/>
      <c r="WDS370" s="21"/>
      <c r="WDV370" s="21"/>
      <c r="WDW370" s="15"/>
      <c r="WDX370" s="15"/>
      <c r="WDY370" s="15"/>
      <c r="WDZ370" s="15"/>
      <c r="WEA370" s="15"/>
      <c r="WEB370" s="15"/>
      <c r="WEC370" s="15"/>
      <c r="WED370" s="15"/>
      <c r="WEE370" s="15"/>
      <c r="WEF370" s="15"/>
      <c r="WEG370" s="10"/>
      <c r="WEH370" s="10"/>
      <c r="WEI370" s="21"/>
      <c r="WEJ370" s="21"/>
      <c r="WEM370" s="21"/>
      <c r="WEN370" s="15"/>
      <c r="WEO370" s="15"/>
      <c r="WEP370" s="15"/>
      <c r="WEQ370" s="15"/>
      <c r="WER370" s="15"/>
      <c r="WES370" s="15"/>
      <c r="WET370" s="15"/>
      <c r="WEU370" s="15"/>
      <c r="WEV370" s="15"/>
      <c r="WEW370" s="15"/>
      <c r="WEX370" s="10"/>
      <c r="WEY370" s="10"/>
      <c r="WEZ370" s="21"/>
      <c r="WFA370" s="21"/>
      <c r="WFD370" s="21"/>
      <c r="WFE370" s="15"/>
      <c r="WFF370" s="15"/>
      <c r="WFG370" s="15"/>
      <c r="WFH370" s="15"/>
      <c r="WFI370" s="15"/>
      <c r="WFJ370" s="15"/>
      <c r="WFK370" s="15"/>
      <c r="WFL370" s="15"/>
      <c r="WFM370" s="15"/>
      <c r="WFN370" s="15"/>
      <c r="WFO370" s="10"/>
      <c r="WFP370" s="10"/>
      <c r="WFQ370" s="21"/>
      <c r="WFR370" s="21"/>
      <c r="WFU370" s="21"/>
      <c r="WFV370" s="15"/>
      <c r="WFW370" s="15"/>
      <c r="WFX370" s="15"/>
      <c r="WFY370" s="15"/>
      <c r="WFZ370" s="15"/>
      <c r="WGA370" s="15"/>
      <c r="WGB370" s="15"/>
      <c r="WGC370" s="15"/>
      <c r="WGD370" s="15"/>
      <c r="WGE370" s="15"/>
      <c r="WGF370" s="10"/>
      <c r="WGG370" s="10"/>
      <c r="WGH370" s="21"/>
      <c r="WGI370" s="21"/>
      <c r="WGL370" s="21"/>
      <c r="WGM370" s="15"/>
      <c r="WGN370" s="15"/>
      <c r="WGO370" s="15"/>
      <c r="WGP370" s="15"/>
      <c r="WGQ370" s="15"/>
      <c r="WGR370" s="15"/>
      <c r="WGS370" s="15"/>
      <c r="WGT370" s="15"/>
      <c r="WGU370" s="15"/>
      <c r="WGV370" s="15"/>
      <c r="WGW370" s="10"/>
      <c r="WGX370" s="10"/>
      <c r="WGY370" s="21"/>
      <c r="WGZ370" s="21"/>
      <c r="WHC370" s="21"/>
      <c r="WHD370" s="15"/>
      <c r="WHE370" s="15"/>
      <c r="WHF370" s="15"/>
      <c r="WHG370" s="15"/>
      <c r="WHH370" s="15"/>
      <c r="WHI370" s="15"/>
      <c r="WHJ370" s="15"/>
      <c r="WHK370" s="15"/>
      <c r="WHL370" s="15"/>
      <c r="WHM370" s="15"/>
      <c r="WHN370" s="10"/>
      <c r="WHO370" s="10"/>
      <c r="WHP370" s="21"/>
      <c r="WHQ370" s="21"/>
      <c r="WHT370" s="21"/>
      <c r="WHU370" s="15"/>
      <c r="WHV370" s="15"/>
      <c r="WHW370" s="15"/>
      <c r="WHX370" s="15"/>
      <c r="WHY370" s="15"/>
      <c r="WHZ370" s="15"/>
      <c r="WIA370" s="15"/>
      <c r="WIB370" s="15"/>
      <c r="WIC370" s="15"/>
      <c r="WID370" s="15"/>
      <c r="WIE370" s="10"/>
      <c r="WIF370" s="10"/>
      <c r="WIG370" s="21"/>
      <c r="WIH370" s="21"/>
      <c r="WIK370" s="21"/>
      <c r="WIL370" s="15"/>
      <c r="WIM370" s="15"/>
      <c r="WIN370" s="15"/>
      <c r="WIO370" s="15"/>
      <c r="WIP370" s="15"/>
      <c r="WIQ370" s="15"/>
      <c r="WIR370" s="15"/>
      <c r="WIS370" s="15"/>
      <c r="WIT370" s="15"/>
      <c r="WIU370" s="15"/>
      <c r="WIV370" s="10"/>
      <c r="WIW370" s="10"/>
      <c r="WIX370" s="21"/>
      <c r="WIY370" s="21"/>
      <c r="WJB370" s="21"/>
      <c r="WJC370" s="15"/>
      <c r="WJD370" s="15"/>
      <c r="WJE370" s="15"/>
      <c r="WJF370" s="15"/>
      <c r="WJG370" s="15"/>
      <c r="WJH370" s="15"/>
      <c r="WJI370" s="15"/>
      <c r="WJJ370" s="15"/>
      <c r="WJK370" s="15"/>
      <c r="WJL370" s="15"/>
      <c r="WJM370" s="10"/>
      <c r="WJN370" s="10"/>
      <c r="WJO370" s="21"/>
      <c r="WJP370" s="21"/>
      <c r="WJS370" s="21"/>
      <c r="WJT370" s="15"/>
      <c r="WJU370" s="15"/>
      <c r="WJV370" s="15"/>
      <c r="WJW370" s="15"/>
      <c r="WJX370" s="15"/>
      <c r="WJY370" s="15"/>
      <c r="WJZ370" s="15"/>
      <c r="WKA370" s="15"/>
      <c r="WKB370" s="15"/>
      <c r="WKC370" s="15"/>
      <c r="WKD370" s="10"/>
      <c r="WKE370" s="10"/>
      <c r="WKF370" s="21"/>
      <c r="WKG370" s="21"/>
      <c r="WKJ370" s="21"/>
      <c r="WKK370" s="15"/>
      <c r="WKL370" s="15"/>
      <c r="WKM370" s="15"/>
      <c r="WKN370" s="15"/>
      <c r="WKO370" s="15"/>
      <c r="WKP370" s="15"/>
      <c r="WKQ370" s="15"/>
      <c r="WKR370" s="15"/>
      <c r="WKS370" s="15"/>
      <c r="WKT370" s="15"/>
      <c r="WKU370" s="10"/>
      <c r="WKV370" s="10"/>
      <c r="WKW370" s="21"/>
      <c r="WKX370" s="21"/>
      <c r="WLA370" s="21"/>
      <c r="WLB370" s="15"/>
      <c r="WLC370" s="15"/>
      <c r="WLD370" s="15"/>
      <c r="WLE370" s="15"/>
      <c r="WLF370" s="15"/>
      <c r="WLG370" s="15"/>
      <c r="WLH370" s="15"/>
      <c r="WLI370" s="15"/>
      <c r="WLJ370" s="15"/>
      <c r="WLK370" s="15"/>
      <c r="WLL370" s="10"/>
      <c r="WLM370" s="10"/>
      <c r="WLN370" s="21"/>
      <c r="WLO370" s="21"/>
      <c r="WLR370" s="21"/>
      <c r="WLS370" s="15"/>
      <c r="WLT370" s="15"/>
      <c r="WLU370" s="15"/>
      <c r="WLV370" s="15"/>
      <c r="WLW370" s="15"/>
      <c r="WLX370" s="15"/>
      <c r="WLY370" s="15"/>
      <c r="WLZ370" s="15"/>
      <c r="WMA370" s="15"/>
      <c r="WMB370" s="15"/>
      <c r="WMC370" s="10"/>
      <c r="WMD370" s="10"/>
      <c r="WME370" s="21"/>
      <c r="WMF370" s="21"/>
      <c r="WMI370" s="21"/>
      <c r="WMJ370" s="15"/>
      <c r="WMK370" s="15"/>
      <c r="WML370" s="15"/>
      <c r="WMM370" s="15"/>
      <c r="WMN370" s="15"/>
      <c r="WMO370" s="15"/>
      <c r="WMP370" s="15"/>
      <c r="WMQ370" s="15"/>
      <c r="WMR370" s="15"/>
      <c r="WMS370" s="15"/>
      <c r="WMT370" s="10"/>
      <c r="WMU370" s="10"/>
      <c r="WMV370" s="21"/>
      <c r="WMW370" s="21"/>
      <c r="WMZ370" s="21"/>
      <c r="WNA370" s="15"/>
      <c r="WNB370" s="15"/>
      <c r="WNC370" s="15"/>
      <c r="WND370" s="15"/>
      <c r="WNE370" s="15"/>
      <c r="WNF370" s="15"/>
      <c r="WNG370" s="15"/>
      <c r="WNH370" s="15"/>
      <c r="WNI370" s="15"/>
      <c r="WNJ370" s="15"/>
      <c r="WNK370" s="10"/>
      <c r="WNL370" s="10"/>
      <c r="WNM370" s="21"/>
      <c r="WNN370" s="21"/>
      <c r="WNQ370" s="21"/>
      <c r="WNR370" s="15"/>
      <c r="WNS370" s="15"/>
      <c r="WNT370" s="15"/>
      <c r="WNU370" s="15"/>
      <c r="WNV370" s="15"/>
      <c r="WNW370" s="15"/>
      <c r="WNX370" s="15"/>
      <c r="WNY370" s="15"/>
      <c r="WNZ370" s="15"/>
      <c r="WOA370" s="15"/>
      <c r="WOB370" s="10"/>
      <c r="WOC370" s="10"/>
      <c r="WOD370" s="21"/>
      <c r="WOE370" s="21"/>
      <c r="WOH370" s="21"/>
      <c r="WOI370" s="15"/>
      <c r="WOJ370" s="15"/>
      <c r="WOK370" s="15"/>
      <c r="WOL370" s="15"/>
      <c r="WOM370" s="15"/>
      <c r="WON370" s="15"/>
      <c r="WOO370" s="15"/>
      <c r="WOP370" s="15"/>
      <c r="WOQ370" s="15"/>
      <c r="WOR370" s="15"/>
      <c r="WOS370" s="10"/>
      <c r="WOT370" s="10"/>
      <c r="WOU370" s="21"/>
      <c r="WOV370" s="21"/>
      <c r="WOY370" s="21"/>
      <c r="WOZ370" s="15"/>
      <c r="WPA370" s="15"/>
      <c r="WPB370" s="15"/>
      <c r="WPC370" s="15"/>
      <c r="WPD370" s="15"/>
      <c r="WPE370" s="15"/>
      <c r="WPF370" s="15"/>
      <c r="WPG370" s="15"/>
      <c r="WPH370" s="15"/>
      <c r="WPI370" s="15"/>
      <c r="WPJ370" s="10"/>
      <c r="WPK370" s="10"/>
      <c r="WPL370" s="21"/>
      <c r="WPM370" s="21"/>
      <c r="WPP370" s="21"/>
      <c r="WPQ370" s="15"/>
      <c r="WPR370" s="15"/>
      <c r="WPS370" s="15"/>
      <c r="WPT370" s="15"/>
      <c r="WPU370" s="15"/>
      <c r="WPV370" s="15"/>
      <c r="WPW370" s="15"/>
      <c r="WPX370" s="15"/>
      <c r="WPY370" s="15"/>
      <c r="WPZ370" s="15"/>
      <c r="WQA370" s="10"/>
      <c r="WQB370" s="10"/>
      <c r="WQC370" s="21"/>
      <c r="WQD370" s="21"/>
      <c r="WQG370" s="21"/>
      <c r="WQH370" s="15"/>
      <c r="WQI370" s="15"/>
      <c r="WQJ370" s="15"/>
      <c r="WQK370" s="15"/>
      <c r="WQL370" s="15"/>
      <c r="WQM370" s="15"/>
      <c r="WQN370" s="15"/>
      <c r="WQO370" s="15"/>
      <c r="WQP370" s="15"/>
      <c r="WQQ370" s="15"/>
      <c r="WQR370" s="10"/>
      <c r="WQS370" s="10"/>
      <c r="WQT370" s="21"/>
      <c r="WQU370" s="21"/>
      <c r="WQX370" s="21"/>
      <c r="WQY370" s="15"/>
      <c r="WQZ370" s="15"/>
      <c r="WRA370" s="15"/>
      <c r="WRB370" s="15"/>
      <c r="WRC370" s="15"/>
      <c r="WRD370" s="15"/>
      <c r="WRE370" s="15"/>
      <c r="WRF370" s="15"/>
      <c r="WRG370" s="15"/>
      <c r="WRH370" s="15"/>
      <c r="WRI370" s="10"/>
      <c r="WRJ370" s="10"/>
      <c r="WRK370" s="21"/>
      <c r="WRL370" s="21"/>
      <c r="WRO370" s="21"/>
      <c r="WRP370" s="15"/>
      <c r="WRQ370" s="15"/>
      <c r="WRR370" s="15"/>
      <c r="WRS370" s="15"/>
      <c r="WRT370" s="15"/>
      <c r="WRU370" s="15"/>
      <c r="WRV370" s="15"/>
      <c r="WRW370" s="15"/>
      <c r="WRX370" s="15"/>
      <c r="WRY370" s="15"/>
      <c r="WRZ370" s="10"/>
      <c r="WSA370" s="10"/>
      <c r="WSB370" s="21"/>
      <c r="WSC370" s="21"/>
      <c r="WSF370" s="21"/>
      <c r="WSG370" s="15"/>
      <c r="WSH370" s="15"/>
      <c r="WSI370" s="15"/>
      <c r="WSJ370" s="15"/>
      <c r="WSK370" s="15"/>
      <c r="WSL370" s="15"/>
      <c r="WSM370" s="15"/>
      <c r="WSN370" s="15"/>
      <c r="WSO370" s="15"/>
      <c r="WSP370" s="15"/>
      <c r="WSQ370" s="10"/>
      <c r="WSR370" s="10"/>
      <c r="WSS370" s="21"/>
      <c r="WST370" s="21"/>
      <c r="WSW370" s="21"/>
      <c r="WSX370" s="15"/>
      <c r="WSY370" s="15"/>
      <c r="WSZ370" s="15"/>
      <c r="WTA370" s="15"/>
      <c r="WTB370" s="15"/>
      <c r="WTC370" s="15"/>
      <c r="WTD370" s="15"/>
      <c r="WTE370" s="15"/>
      <c r="WTF370" s="15"/>
      <c r="WTG370" s="15"/>
      <c r="WTH370" s="10"/>
      <c r="WTI370" s="10"/>
      <c r="WTJ370" s="21"/>
      <c r="WTK370" s="21"/>
      <c r="WTN370" s="21"/>
      <c r="WTO370" s="15"/>
      <c r="WTP370" s="15"/>
      <c r="WTQ370" s="15"/>
      <c r="WTR370" s="15"/>
      <c r="WTS370" s="15"/>
      <c r="WTT370" s="15"/>
      <c r="WTU370" s="15"/>
      <c r="WTV370" s="15"/>
      <c r="WTW370" s="15"/>
      <c r="WTX370" s="15"/>
      <c r="WTY370" s="10"/>
      <c r="WTZ370" s="10"/>
      <c r="WUA370" s="21"/>
      <c r="WUB370" s="21"/>
      <c r="WUE370" s="21"/>
      <c r="WUF370" s="15"/>
      <c r="WUG370" s="15"/>
      <c r="WUH370" s="15"/>
      <c r="WUI370" s="15"/>
      <c r="WUJ370" s="15"/>
      <c r="WUK370" s="15"/>
      <c r="WUL370" s="15"/>
      <c r="WUM370" s="15"/>
      <c r="WUN370" s="15"/>
      <c r="WUO370" s="15"/>
      <c r="WUP370" s="10"/>
      <c r="WUQ370" s="10"/>
      <c r="WUR370" s="21"/>
      <c r="WUS370" s="21"/>
      <c r="WUV370" s="21"/>
      <c r="WUW370" s="15"/>
      <c r="WUX370" s="15"/>
      <c r="WUY370" s="15"/>
      <c r="WUZ370" s="15"/>
      <c r="WVA370" s="15"/>
      <c r="WVB370" s="15"/>
      <c r="WVC370" s="15"/>
      <c r="WVD370" s="15"/>
      <c r="WVE370" s="15"/>
      <c r="WVF370" s="15"/>
      <c r="WVG370" s="10"/>
      <c r="WVH370" s="10"/>
      <c r="WVI370" s="21"/>
      <c r="WVJ370" s="21"/>
      <c r="WVM370" s="21"/>
      <c r="WVN370" s="15"/>
      <c r="WVO370" s="15"/>
      <c r="WVP370" s="15"/>
      <c r="WVQ370" s="15"/>
      <c r="WVR370" s="15"/>
      <c r="WVS370" s="15"/>
      <c r="WVT370" s="15"/>
      <c r="WVU370" s="15"/>
      <c r="WVV370" s="15"/>
      <c r="WVW370" s="15"/>
      <c r="WVX370" s="10"/>
      <c r="WVY370" s="10"/>
      <c r="WVZ370" s="21"/>
      <c r="WWA370" s="21"/>
      <c r="WWD370" s="21"/>
      <c r="WWE370" s="15"/>
      <c r="WWF370" s="15"/>
      <c r="WWG370" s="15"/>
      <c r="WWH370" s="15"/>
      <c r="WWI370" s="15"/>
      <c r="WWJ370" s="15"/>
      <c r="WWK370" s="15"/>
      <c r="WWL370" s="15"/>
      <c r="WWM370" s="15"/>
      <c r="WWN370" s="15"/>
      <c r="WWO370" s="10"/>
      <c r="WWP370" s="10"/>
      <c r="WWQ370" s="21"/>
      <c r="WWR370" s="21"/>
      <c r="WWU370" s="21"/>
      <c r="WWV370" s="15"/>
      <c r="WWW370" s="15"/>
      <c r="WWX370" s="15"/>
      <c r="WWY370" s="15"/>
      <c r="WWZ370" s="15"/>
      <c r="WXA370" s="15"/>
      <c r="WXB370" s="15"/>
      <c r="WXC370" s="15"/>
      <c r="WXD370" s="15"/>
      <c r="WXE370" s="15"/>
      <c r="WXF370" s="10"/>
      <c r="WXG370" s="10"/>
      <c r="WXH370" s="21"/>
      <c r="WXI370" s="21"/>
      <c r="WXL370" s="21"/>
      <c r="WXM370" s="15"/>
      <c r="WXN370" s="15"/>
      <c r="WXO370" s="15"/>
      <c r="WXP370" s="15"/>
      <c r="WXQ370" s="15"/>
      <c r="WXR370" s="15"/>
      <c r="WXS370" s="15"/>
      <c r="WXT370" s="15"/>
      <c r="WXU370" s="15"/>
      <c r="WXV370" s="15"/>
      <c r="WXW370" s="10"/>
      <c r="WXX370" s="10"/>
      <c r="WXY370" s="21"/>
      <c r="WXZ370" s="21"/>
      <c r="WYC370" s="21"/>
      <c r="WYD370" s="15"/>
      <c r="WYE370" s="15"/>
      <c r="WYF370" s="15"/>
      <c r="WYG370" s="15"/>
      <c r="WYH370" s="15"/>
      <c r="WYI370" s="15"/>
      <c r="WYJ370" s="15"/>
      <c r="WYK370" s="15"/>
      <c r="WYL370" s="15"/>
      <c r="WYM370" s="15"/>
      <c r="WYN370" s="10"/>
      <c r="WYO370" s="10"/>
      <c r="WYP370" s="21"/>
      <c r="WYQ370" s="21"/>
      <c r="WYT370" s="21"/>
      <c r="WYU370" s="15"/>
      <c r="WYV370" s="15"/>
      <c r="WYW370" s="15"/>
      <c r="WYX370" s="15"/>
      <c r="WYY370" s="15"/>
      <c r="WYZ370" s="15"/>
      <c r="WZA370" s="15"/>
      <c r="WZB370" s="15"/>
      <c r="WZC370" s="15"/>
      <c r="WZD370" s="15"/>
      <c r="WZE370" s="10"/>
      <c r="WZF370" s="10"/>
      <c r="WZG370" s="21"/>
      <c r="WZH370" s="21"/>
      <c r="WZK370" s="21"/>
      <c r="WZL370" s="15"/>
      <c r="WZM370" s="15"/>
      <c r="WZN370" s="15"/>
      <c r="WZO370" s="15"/>
      <c r="WZP370" s="15"/>
      <c r="WZQ370" s="15"/>
      <c r="WZR370" s="15"/>
      <c r="WZS370" s="15"/>
      <c r="WZT370" s="15"/>
      <c r="WZU370" s="15"/>
      <c r="WZV370" s="10"/>
      <c r="WZW370" s="10"/>
      <c r="WZX370" s="21"/>
      <c r="WZY370" s="21"/>
      <c r="XAB370" s="21"/>
      <c r="XAC370" s="15"/>
      <c r="XAD370" s="15"/>
      <c r="XAE370" s="15"/>
      <c r="XAF370" s="15"/>
      <c r="XAG370" s="15"/>
      <c r="XAH370" s="15"/>
      <c r="XAI370" s="15"/>
      <c r="XAJ370" s="15"/>
      <c r="XAK370" s="15"/>
      <c r="XAL370" s="15"/>
      <c r="XAM370" s="10"/>
      <c r="XAN370" s="10"/>
      <c r="XAO370" s="21"/>
      <c r="XAP370" s="21"/>
      <c r="XAS370" s="21"/>
      <c r="XAT370" s="15"/>
      <c r="XAU370" s="15"/>
      <c r="XAV370" s="15"/>
      <c r="XAW370" s="15"/>
      <c r="XAX370" s="15"/>
      <c r="XAY370" s="15"/>
      <c r="XAZ370" s="15"/>
      <c r="XBA370" s="15"/>
      <c r="XBB370" s="15"/>
      <c r="XBC370" s="15"/>
      <c r="XBD370" s="10"/>
      <c r="XBE370" s="10"/>
      <c r="XBF370" s="21"/>
      <c r="XBG370" s="21"/>
      <c r="XBJ370" s="21"/>
      <c r="XBK370" s="15"/>
      <c r="XBL370" s="15"/>
      <c r="XBM370" s="15"/>
      <c r="XBN370" s="15"/>
      <c r="XBO370" s="15"/>
      <c r="XBP370" s="15"/>
      <c r="XBQ370" s="15"/>
      <c r="XBR370" s="15"/>
      <c r="XBS370" s="15"/>
      <c r="XBT370" s="15"/>
      <c r="XBU370" s="10"/>
      <c r="XBV370" s="10"/>
      <c r="XBW370" s="21"/>
      <c r="XBX370" s="21"/>
      <c r="XCA370" s="21"/>
      <c r="XCB370" s="15"/>
      <c r="XCC370" s="15"/>
      <c r="XCD370" s="15"/>
      <c r="XCE370" s="15"/>
      <c r="XCF370" s="15"/>
      <c r="XCG370" s="15"/>
      <c r="XCH370" s="15"/>
      <c r="XCI370" s="15"/>
      <c r="XCJ370" s="15"/>
      <c r="XCK370" s="15"/>
      <c r="XCL370" s="10"/>
      <c r="XCM370" s="10"/>
      <c r="XCN370" s="21"/>
      <c r="XCO370" s="21"/>
      <c r="XCR370" s="21"/>
      <c r="XCS370" s="15"/>
      <c r="XCT370" s="15"/>
      <c r="XCU370" s="15"/>
      <c r="XCV370" s="15"/>
      <c r="XCW370" s="15"/>
      <c r="XCX370" s="15"/>
      <c r="XCY370" s="15"/>
      <c r="XCZ370" s="15"/>
      <c r="XDA370" s="15"/>
      <c r="XDB370" s="15"/>
      <c r="XDC370" s="10"/>
      <c r="XDD370" s="10"/>
      <c r="XDE370" s="21"/>
      <c r="XDF370" s="21"/>
      <c r="XDI370" s="21"/>
      <c r="XDJ370" s="15"/>
      <c r="XDK370" s="15"/>
      <c r="XDL370" s="15"/>
      <c r="XDM370" s="15"/>
      <c r="XDN370" s="15"/>
      <c r="XDO370" s="15"/>
      <c r="XDP370" s="15"/>
      <c r="XDQ370" s="15"/>
      <c r="XDR370" s="15"/>
      <c r="XDS370" s="15"/>
      <c r="XDT370" s="10"/>
      <c r="XDU370" s="10"/>
      <c r="XDV370" s="21"/>
      <c r="XDW370" s="21"/>
      <c r="XDZ370" s="21"/>
      <c r="XEA370" s="15"/>
      <c r="XEB370" s="15"/>
      <c r="XEC370" s="15"/>
      <c r="XED370" s="15"/>
      <c r="XEE370" s="15"/>
      <c r="XEF370" s="15"/>
      <c r="XEG370" s="15"/>
      <c r="XEH370" s="15"/>
      <c r="XEI370" s="15"/>
      <c r="XEJ370" s="15"/>
      <c r="XEK370" s="10"/>
      <c r="XEL370" s="10"/>
      <c r="XEM370" s="21"/>
      <c r="XEN370" s="21"/>
      <c r="XEQ370" s="21"/>
      <c r="XER370" s="15"/>
      <c r="XES370" s="15"/>
      <c r="XET370" s="15"/>
      <c r="XEU370" s="15"/>
      <c r="XEV370" s="15"/>
      <c r="XEW370" s="15"/>
      <c r="XEX370" s="15"/>
      <c r="XEY370" s="15"/>
      <c r="XEZ370" s="15"/>
      <c r="XFA370" s="15"/>
      <c r="XFB370" s="10"/>
      <c r="XFC370" s="10"/>
      <c r="XFD370" s="21"/>
    </row>
    <row r="371" spans="1:4094 4097:8191 8194:12288 12291:16384" s="1" customFormat="1" ht="14.25" customHeight="1" x14ac:dyDescent="0.25">
      <c r="A371" s="44">
        <v>1</v>
      </c>
      <c r="B371" s="44">
        <v>2</v>
      </c>
      <c r="C371" s="44">
        <v>5</v>
      </c>
      <c r="D371" s="45" t="s">
        <v>775</v>
      </c>
      <c r="E371" s="45" t="s">
        <v>772</v>
      </c>
      <c r="F371" s="45" t="s">
        <v>1006</v>
      </c>
      <c r="G371" s="45" t="s">
        <v>190</v>
      </c>
      <c r="H371" s="45" t="s">
        <v>354</v>
      </c>
      <c r="I371" s="44" t="s">
        <v>1007</v>
      </c>
      <c r="J371" s="44">
        <v>99</v>
      </c>
      <c r="K371" s="46" t="s">
        <v>712</v>
      </c>
      <c r="L371" s="46" t="s">
        <v>694</v>
      </c>
      <c r="M371" s="47" t="s">
        <v>1426</v>
      </c>
      <c r="N371" s="47" t="s">
        <v>1735</v>
      </c>
      <c r="O371" s="48"/>
      <c r="P371" s="48"/>
      <c r="Q371" s="45"/>
      <c r="S371" s="1">
        <f t="shared" si="193"/>
        <v>0</v>
      </c>
      <c r="T371" s="1">
        <f t="shared" si="194"/>
        <v>0</v>
      </c>
      <c r="U371" s="1">
        <f t="shared" si="195"/>
        <v>0</v>
      </c>
      <c r="V371" s="1">
        <f t="shared" si="196"/>
        <v>0</v>
      </c>
      <c r="W371" s="1">
        <f t="shared" si="197"/>
        <v>0</v>
      </c>
      <c r="X371" s="1">
        <f t="shared" si="198"/>
        <v>0</v>
      </c>
      <c r="Y371" s="1">
        <f t="shared" si="199"/>
        <v>0</v>
      </c>
      <c r="Z371" s="1">
        <f t="shared" si="200"/>
        <v>0</v>
      </c>
      <c r="AA371" s="1">
        <f t="shared" si="201"/>
        <v>0</v>
      </c>
      <c r="AB371" s="1">
        <f t="shared" si="202"/>
        <v>0</v>
      </c>
      <c r="AD371" s="1">
        <f t="shared" si="203"/>
        <v>0</v>
      </c>
      <c r="AE371" s="1">
        <f t="shared" si="204"/>
        <v>0</v>
      </c>
      <c r="AF371" s="1">
        <f t="shared" si="189"/>
        <v>0</v>
      </c>
      <c r="AG371" s="1">
        <f t="shared" si="190"/>
        <v>0</v>
      </c>
      <c r="AH371" s="1">
        <f t="shared" si="191"/>
        <v>0</v>
      </c>
      <c r="AI371" s="1">
        <f t="shared" si="192"/>
        <v>0</v>
      </c>
    </row>
    <row r="372" spans="1:4094 4097:8191 8194:12288 12291:16384" s="1" customFormat="1" ht="14.25" customHeight="1" x14ac:dyDescent="0.25">
      <c r="A372" s="15">
        <v>0</v>
      </c>
      <c r="B372" s="15">
        <v>2</v>
      </c>
      <c r="C372" s="15">
        <v>5</v>
      </c>
      <c r="D372" s="16" t="s">
        <v>916</v>
      </c>
      <c r="E372" s="16" t="s">
        <v>911</v>
      </c>
      <c r="F372" s="16" t="s">
        <v>929</v>
      </c>
      <c r="G372" s="16" t="s">
        <v>1350</v>
      </c>
      <c r="H372" s="16" t="s">
        <v>354</v>
      </c>
      <c r="I372" s="15" t="s">
        <v>770</v>
      </c>
      <c r="J372" s="15">
        <v>99</v>
      </c>
      <c r="K372" s="10" t="s">
        <v>703</v>
      </c>
      <c r="L372" s="10">
        <v>20</v>
      </c>
      <c r="M372" s="19" t="s">
        <v>1427</v>
      </c>
      <c r="N372" s="19"/>
      <c r="Q372" s="16"/>
      <c r="S372" s="1">
        <f t="shared" si="193"/>
        <v>0</v>
      </c>
      <c r="T372" s="1">
        <f t="shared" si="194"/>
        <v>0</v>
      </c>
      <c r="U372" s="1">
        <f t="shared" si="195"/>
        <v>0</v>
      </c>
      <c r="V372" s="1">
        <f t="shared" si="196"/>
        <v>0</v>
      </c>
      <c r="W372" s="1">
        <f t="shared" si="197"/>
        <v>0</v>
      </c>
      <c r="X372" s="1">
        <f t="shared" si="198"/>
        <v>0</v>
      </c>
      <c r="Y372" s="1">
        <f t="shared" si="199"/>
        <v>0</v>
      </c>
      <c r="Z372" s="1">
        <f t="shared" si="200"/>
        <v>0</v>
      </c>
      <c r="AA372" s="1">
        <f t="shared" si="201"/>
        <v>0</v>
      </c>
      <c r="AB372" s="1">
        <f t="shared" si="202"/>
        <v>0</v>
      </c>
      <c r="AD372" s="1">
        <f t="shared" si="203"/>
        <v>0</v>
      </c>
      <c r="AE372" s="1">
        <f t="shared" si="204"/>
        <v>0</v>
      </c>
      <c r="AF372" s="1">
        <f t="shared" si="189"/>
        <v>0</v>
      </c>
      <c r="AG372" s="1">
        <f t="shared" si="190"/>
        <v>0</v>
      </c>
      <c r="AH372" s="1">
        <f t="shared" si="191"/>
        <v>0</v>
      </c>
      <c r="AI372" s="1">
        <f t="shared" si="192"/>
        <v>1</v>
      </c>
    </row>
    <row r="373" spans="1:4094 4097:8191 8194:12288 12291:16384" s="1" customFormat="1" ht="14.25" customHeight="1" x14ac:dyDescent="0.25">
      <c r="A373" s="49">
        <v>0</v>
      </c>
      <c r="B373" s="49">
        <v>2</v>
      </c>
      <c r="C373" s="49">
        <v>5</v>
      </c>
      <c r="D373" s="55" t="s">
        <v>1790</v>
      </c>
      <c r="E373" s="50" t="s">
        <v>167</v>
      </c>
      <c r="F373" s="50" t="s">
        <v>1768</v>
      </c>
      <c r="G373" s="50"/>
      <c r="H373" s="50" t="s">
        <v>354</v>
      </c>
      <c r="I373" s="49" t="s">
        <v>1769</v>
      </c>
      <c r="J373" s="49"/>
      <c r="K373" s="51" t="s">
        <v>703</v>
      </c>
      <c r="L373" s="51">
        <v>30</v>
      </c>
      <c r="M373" s="52" t="s">
        <v>1770</v>
      </c>
      <c r="N373" s="52" t="s">
        <v>1748</v>
      </c>
      <c r="O373" s="53">
        <v>1</v>
      </c>
      <c r="P373" s="53"/>
      <c r="Q373" s="50"/>
      <c r="S373" s="1">
        <f t="shared" si="193"/>
        <v>0</v>
      </c>
      <c r="T373" s="1">
        <f t="shared" si="194"/>
        <v>0</v>
      </c>
      <c r="U373" s="1">
        <f t="shared" si="195"/>
        <v>0</v>
      </c>
      <c r="V373" s="1">
        <f t="shared" si="196"/>
        <v>0</v>
      </c>
      <c r="W373" s="1">
        <f t="shared" si="197"/>
        <v>0</v>
      </c>
      <c r="X373" s="1">
        <f t="shared" si="198"/>
        <v>0</v>
      </c>
      <c r="Y373" s="1">
        <f t="shared" si="199"/>
        <v>0</v>
      </c>
      <c r="Z373" s="1">
        <f t="shared" si="200"/>
        <v>0</v>
      </c>
      <c r="AA373" s="1">
        <f t="shared" si="201"/>
        <v>0</v>
      </c>
      <c r="AB373" s="1">
        <f t="shared" si="202"/>
        <v>0</v>
      </c>
      <c r="AD373" s="1">
        <f t="shared" si="203"/>
        <v>0</v>
      </c>
      <c r="AE373" s="1">
        <f t="shared" si="204"/>
        <v>1</v>
      </c>
      <c r="AF373" s="1">
        <f t="shared" si="189"/>
        <v>0</v>
      </c>
      <c r="AG373" s="1">
        <f t="shared" si="190"/>
        <v>1</v>
      </c>
      <c r="AH373" s="1">
        <f t="shared" si="191"/>
        <v>0</v>
      </c>
      <c r="AI373" s="1">
        <f t="shared" si="192"/>
        <v>1</v>
      </c>
    </row>
    <row r="374" spans="1:4094 4097:8191 8194:12288 12291:16384" s="1" customFormat="1" ht="14.25" customHeight="1" x14ac:dyDescent="0.25">
      <c r="A374" s="31"/>
      <c r="B374" s="31">
        <v>2</v>
      </c>
      <c r="C374" s="31">
        <v>5</v>
      </c>
      <c r="D374" s="32" t="s">
        <v>1921</v>
      </c>
      <c r="E374" s="32"/>
      <c r="F374" s="32" t="s">
        <v>1922</v>
      </c>
      <c r="G374" s="32" t="s">
        <v>208</v>
      </c>
      <c r="H374" s="32" t="s">
        <v>354</v>
      </c>
      <c r="I374" s="31" t="s">
        <v>1923</v>
      </c>
      <c r="J374" s="31">
        <v>3</v>
      </c>
      <c r="K374" s="33" t="s">
        <v>703</v>
      </c>
      <c r="L374" s="33"/>
      <c r="M374" s="34"/>
      <c r="N374" s="34" t="s">
        <v>1727</v>
      </c>
      <c r="O374" s="35">
        <v>1</v>
      </c>
      <c r="P374" s="35">
        <v>1</v>
      </c>
      <c r="Q374" s="32" t="s">
        <v>1924</v>
      </c>
      <c r="S374" s="1">
        <f t="shared" si="193"/>
        <v>0</v>
      </c>
      <c r="T374" s="1">
        <f t="shared" si="194"/>
        <v>0</v>
      </c>
      <c r="U374" s="1">
        <f t="shared" si="195"/>
        <v>1</v>
      </c>
      <c r="V374" s="1">
        <f t="shared" si="196"/>
        <v>0</v>
      </c>
      <c r="W374" s="1">
        <f t="shared" si="197"/>
        <v>0</v>
      </c>
      <c r="X374" s="1">
        <f t="shared" si="198"/>
        <v>0</v>
      </c>
      <c r="Y374" s="1">
        <f t="shared" si="199"/>
        <v>0</v>
      </c>
      <c r="Z374" s="1">
        <f t="shared" si="200"/>
        <v>0</v>
      </c>
      <c r="AA374" s="1">
        <f t="shared" si="201"/>
        <v>0</v>
      </c>
      <c r="AB374" s="1">
        <f t="shared" si="202"/>
        <v>0</v>
      </c>
      <c r="AD374" s="1">
        <f t="shared" si="203"/>
        <v>1</v>
      </c>
      <c r="AE374" s="1">
        <f t="shared" si="204"/>
        <v>0</v>
      </c>
      <c r="AF374" s="1">
        <f t="shared" si="189"/>
        <v>1</v>
      </c>
      <c r="AG374" s="1">
        <f t="shared" si="190"/>
        <v>0</v>
      </c>
      <c r="AH374" s="1">
        <f t="shared" si="191"/>
        <v>1</v>
      </c>
      <c r="AI374" s="1">
        <f t="shared" si="192"/>
        <v>0</v>
      </c>
    </row>
    <row r="375" spans="1:4094 4097:8191 8194:12288 12291:16384" s="1" customFormat="1" ht="14.25" customHeight="1" x14ac:dyDescent="0.25">
      <c r="A375" s="31">
        <v>0</v>
      </c>
      <c r="B375" s="31">
        <v>2</v>
      </c>
      <c r="C375" s="31">
        <v>5</v>
      </c>
      <c r="D375" s="32" t="s">
        <v>1270</v>
      </c>
      <c r="E375" s="32" t="s">
        <v>1271</v>
      </c>
      <c r="F375" s="32" t="s">
        <v>1272</v>
      </c>
      <c r="G375" s="32" t="s">
        <v>220</v>
      </c>
      <c r="H375" s="32" t="s">
        <v>354</v>
      </c>
      <c r="I375" s="31" t="s">
        <v>1723</v>
      </c>
      <c r="J375" s="31">
        <v>8</v>
      </c>
      <c r="K375" s="33" t="s">
        <v>713</v>
      </c>
      <c r="L375" s="33" t="s">
        <v>39</v>
      </c>
      <c r="M375" s="34" t="s">
        <v>39</v>
      </c>
      <c r="N375" s="34" t="s">
        <v>1727</v>
      </c>
      <c r="O375" s="35">
        <v>1</v>
      </c>
      <c r="P375" s="35">
        <v>1</v>
      </c>
      <c r="Q375" s="32"/>
      <c r="S375" s="1">
        <f t="shared" si="193"/>
        <v>0</v>
      </c>
      <c r="T375" s="1">
        <f t="shared" si="194"/>
        <v>0</v>
      </c>
      <c r="U375" s="1">
        <f t="shared" si="195"/>
        <v>0</v>
      </c>
      <c r="V375" s="1">
        <f t="shared" si="196"/>
        <v>0</v>
      </c>
      <c r="W375" s="1">
        <f t="shared" si="197"/>
        <v>0</v>
      </c>
      <c r="X375" s="1">
        <f t="shared" si="198"/>
        <v>0</v>
      </c>
      <c r="Y375" s="1">
        <f t="shared" si="199"/>
        <v>0</v>
      </c>
      <c r="Z375" s="1">
        <f t="shared" si="200"/>
        <v>1</v>
      </c>
      <c r="AA375" s="1">
        <f t="shared" si="201"/>
        <v>0</v>
      </c>
      <c r="AB375" s="1">
        <f t="shared" si="202"/>
        <v>0</v>
      </c>
      <c r="AD375" s="1">
        <f t="shared" si="203"/>
        <v>1</v>
      </c>
      <c r="AE375" s="1">
        <f t="shared" si="204"/>
        <v>0</v>
      </c>
      <c r="AF375" s="1">
        <f t="shared" si="189"/>
        <v>1</v>
      </c>
      <c r="AG375" s="1">
        <f t="shared" si="190"/>
        <v>0</v>
      </c>
      <c r="AH375" s="1">
        <f t="shared" si="191"/>
        <v>1</v>
      </c>
      <c r="AI375" s="1">
        <f t="shared" si="192"/>
        <v>0</v>
      </c>
    </row>
    <row r="376" spans="1:4094 4097:8191 8194:12288 12291:16384" s="1" customFormat="1" ht="14.25" customHeight="1" x14ac:dyDescent="0.25">
      <c r="A376" s="31">
        <v>0</v>
      </c>
      <c r="B376" s="31">
        <v>2</v>
      </c>
      <c r="C376" s="31">
        <v>5</v>
      </c>
      <c r="D376" s="32" t="s">
        <v>1082</v>
      </c>
      <c r="E376" s="32" t="s">
        <v>155</v>
      </c>
      <c r="F376" s="32" t="s">
        <v>1066</v>
      </c>
      <c r="G376" s="32" t="s">
        <v>321</v>
      </c>
      <c r="H376" s="32" t="s">
        <v>354</v>
      </c>
      <c r="I376" s="31" t="s">
        <v>1067</v>
      </c>
      <c r="J376" s="31">
        <v>99</v>
      </c>
      <c r="K376" s="33" t="s">
        <v>713</v>
      </c>
      <c r="L376" s="33" t="s">
        <v>694</v>
      </c>
      <c r="M376" s="34" t="s">
        <v>1428</v>
      </c>
      <c r="N376" s="34" t="s">
        <v>1756</v>
      </c>
      <c r="O376" s="35">
        <v>1</v>
      </c>
      <c r="P376" s="35"/>
      <c r="Q376" s="32"/>
      <c r="S376" s="1">
        <f t="shared" si="193"/>
        <v>0</v>
      </c>
      <c r="T376" s="1">
        <f t="shared" si="194"/>
        <v>0</v>
      </c>
      <c r="U376" s="1">
        <f t="shared" si="195"/>
        <v>0</v>
      </c>
      <c r="V376" s="1">
        <f t="shared" si="196"/>
        <v>0</v>
      </c>
      <c r="W376" s="1">
        <f t="shared" si="197"/>
        <v>0</v>
      </c>
      <c r="X376" s="1">
        <f t="shared" si="198"/>
        <v>0</v>
      </c>
      <c r="Y376" s="1">
        <f t="shared" si="199"/>
        <v>0</v>
      </c>
      <c r="Z376" s="1">
        <f t="shared" si="200"/>
        <v>0</v>
      </c>
      <c r="AA376" s="1">
        <f t="shared" si="201"/>
        <v>0</v>
      </c>
      <c r="AB376" s="1">
        <f t="shared" si="202"/>
        <v>0</v>
      </c>
      <c r="AD376" s="1">
        <f t="shared" si="203"/>
        <v>0</v>
      </c>
      <c r="AE376" s="1">
        <f t="shared" si="204"/>
        <v>1</v>
      </c>
      <c r="AF376" s="1">
        <f t="shared" si="189"/>
        <v>0</v>
      </c>
      <c r="AG376" s="1">
        <f t="shared" si="190"/>
        <v>1</v>
      </c>
      <c r="AH376" s="1">
        <f t="shared" si="191"/>
        <v>0</v>
      </c>
      <c r="AI376" s="1">
        <f t="shared" si="192"/>
        <v>1</v>
      </c>
    </row>
    <row r="377" spans="1:4094 4097:8191 8194:12288 12291:16384" s="1" customFormat="1" ht="14.25" customHeight="1" x14ac:dyDescent="0.25">
      <c r="A377" s="31">
        <v>0</v>
      </c>
      <c r="B377" s="31">
        <v>2</v>
      </c>
      <c r="C377" s="31">
        <v>5</v>
      </c>
      <c r="D377" s="32" t="s">
        <v>796</v>
      </c>
      <c r="E377" s="32" t="s">
        <v>772</v>
      </c>
      <c r="F377" s="32" t="s">
        <v>932</v>
      </c>
      <c r="G377" s="32" t="s">
        <v>220</v>
      </c>
      <c r="H377" s="32" t="s">
        <v>354</v>
      </c>
      <c r="I377" s="31" t="s">
        <v>797</v>
      </c>
      <c r="J377" s="31">
        <v>8</v>
      </c>
      <c r="K377" s="33" t="s">
        <v>703</v>
      </c>
      <c r="L377" s="33">
        <v>20</v>
      </c>
      <c r="M377" s="34" t="s">
        <v>1419</v>
      </c>
      <c r="N377" s="34" t="s">
        <v>1825</v>
      </c>
      <c r="O377" s="35">
        <v>1</v>
      </c>
      <c r="P377" s="35"/>
      <c r="Q377" s="32"/>
      <c r="S377" s="1">
        <f t="shared" ref="S377:S379" si="217">IF(J377=$S$7,1,0)</f>
        <v>0</v>
      </c>
      <c r="T377" s="1">
        <f t="shared" ref="T377:T379" si="218">IF(J377=$T$7,1,0)</f>
        <v>0</v>
      </c>
      <c r="U377" s="1">
        <f t="shared" ref="U377:U379" si="219">IF(J377=$U$7,1,0)</f>
        <v>0</v>
      </c>
      <c r="V377" s="1">
        <f t="shared" ref="V377:V379" si="220">IF(J377=$V$7,1,0)</f>
        <v>0</v>
      </c>
      <c r="W377" s="1">
        <f t="shared" ref="W377:W379" si="221">IF(J377=$W$7,1,0)</f>
        <v>0</v>
      </c>
      <c r="X377" s="1">
        <f t="shared" ref="X377:X379" si="222">IF(J377=$X$7,1,0)</f>
        <v>0</v>
      </c>
      <c r="Y377" s="1">
        <f t="shared" ref="Y377:Y379" si="223">IF(J377=$Y$7,1,0)</f>
        <v>0</v>
      </c>
      <c r="Z377" s="1">
        <f t="shared" ref="Z377:Z379" si="224">IF(J377=$Z$7,1,0)</f>
        <v>1</v>
      </c>
      <c r="AA377" s="1">
        <f t="shared" ref="AA377:AA379" si="225">IF(J377=$AA$7,1,0)</f>
        <v>0</v>
      </c>
      <c r="AB377" s="1">
        <f t="shared" ref="AB377:AB379" si="226">IF(J377=$AB$7,1,0)</f>
        <v>0</v>
      </c>
      <c r="AD377" s="1">
        <f t="shared" ref="AD377:AD379" si="227">+O377*P377</f>
        <v>0</v>
      </c>
      <c r="AE377" s="1">
        <f t="shared" ref="AE377:AE379" si="228">O377*(1-P377)</f>
        <v>1</v>
      </c>
      <c r="AF377" s="1">
        <f t="shared" si="189"/>
        <v>0</v>
      </c>
      <c r="AG377" s="1">
        <f t="shared" si="190"/>
        <v>1</v>
      </c>
      <c r="AH377" s="1">
        <f t="shared" si="191"/>
        <v>0</v>
      </c>
      <c r="AI377" s="1">
        <f t="shared" si="192"/>
        <v>1</v>
      </c>
    </row>
    <row r="378" spans="1:4094 4097:8191 8194:12288 12291:16384" s="1" customFormat="1" ht="14.25" customHeight="1" x14ac:dyDescent="0.25">
      <c r="A378" s="49">
        <v>0</v>
      </c>
      <c r="B378" s="49">
        <v>2</v>
      </c>
      <c r="C378" s="49">
        <v>5</v>
      </c>
      <c r="D378" s="50" t="s">
        <v>79</v>
      </c>
      <c r="E378" s="50" t="s">
        <v>159</v>
      </c>
      <c r="F378" s="50" t="s">
        <v>268</v>
      </c>
      <c r="G378" s="50" t="s">
        <v>213</v>
      </c>
      <c r="H378" s="50" t="s">
        <v>354</v>
      </c>
      <c r="I378" s="49" t="s">
        <v>425</v>
      </c>
      <c r="J378" s="49">
        <v>1</v>
      </c>
      <c r="K378" s="51" t="s">
        <v>955</v>
      </c>
      <c r="L378" s="51" t="s">
        <v>704</v>
      </c>
      <c r="M378" s="52" t="s">
        <v>727</v>
      </c>
      <c r="N378" s="52" t="s">
        <v>1743</v>
      </c>
      <c r="O378" s="53">
        <v>1</v>
      </c>
      <c r="P378" s="53"/>
      <c r="Q378" s="50"/>
      <c r="S378" s="1">
        <f t="shared" si="217"/>
        <v>1</v>
      </c>
      <c r="T378" s="1">
        <f t="shared" si="218"/>
        <v>0</v>
      </c>
      <c r="U378" s="1">
        <f t="shared" si="219"/>
        <v>0</v>
      </c>
      <c r="V378" s="1">
        <f t="shared" si="220"/>
        <v>0</v>
      </c>
      <c r="W378" s="1">
        <f t="shared" si="221"/>
        <v>0</v>
      </c>
      <c r="X378" s="1">
        <f t="shared" si="222"/>
        <v>0</v>
      </c>
      <c r="Y378" s="1">
        <f t="shared" si="223"/>
        <v>0</v>
      </c>
      <c r="Z378" s="1">
        <f t="shared" si="224"/>
        <v>0</v>
      </c>
      <c r="AA378" s="1">
        <f t="shared" si="225"/>
        <v>0</v>
      </c>
      <c r="AB378" s="1">
        <f t="shared" si="226"/>
        <v>0</v>
      </c>
      <c r="AD378" s="1">
        <f t="shared" si="227"/>
        <v>0</v>
      </c>
      <c r="AE378" s="1">
        <f t="shared" si="228"/>
        <v>1</v>
      </c>
      <c r="AF378" s="1">
        <f t="shared" si="189"/>
        <v>0</v>
      </c>
      <c r="AG378" s="1">
        <f t="shared" si="190"/>
        <v>1</v>
      </c>
      <c r="AH378" s="1">
        <f t="shared" si="191"/>
        <v>0</v>
      </c>
      <c r="AI378" s="1">
        <f t="shared" si="192"/>
        <v>1</v>
      </c>
    </row>
    <row r="379" spans="1:4094 4097:8191 8194:12288 12291:16384" s="1" customFormat="1" ht="14.25" customHeight="1" x14ac:dyDescent="0.25">
      <c r="A379" s="31">
        <v>0</v>
      </c>
      <c r="B379" s="31">
        <v>2</v>
      </c>
      <c r="C379" s="31">
        <v>5</v>
      </c>
      <c r="D379" s="32" t="s">
        <v>1642</v>
      </c>
      <c r="E379" s="32" t="s">
        <v>1654</v>
      </c>
      <c r="F379" s="32" t="s">
        <v>1551</v>
      </c>
      <c r="G379" s="32" t="s">
        <v>262</v>
      </c>
      <c r="H379" s="32" t="s">
        <v>354</v>
      </c>
      <c r="I379" s="31" t="s">
        <v>1552</v>
      </c>
      <c r="J379" s="31">
        <v>99</v>
      </c>
      <c r="K379" s="33" t="s">
        <v>955</v>
      </c>
      <c r="L379" s="33">
        <v>40</v>
      </c>
      <c r="M379" s="34" t="s">
        <v>39</v>
      </c>
      <c r="N379" s="34" t="s">
        <v>1825</v>
      </c>
      <c r="O379" s="35">
        <v>1</v>
      </c>
      <c r="P379" s="35"/>
      <c r="Q379" s="32"/>
      <c r="S379" s="1">
        <f t="shared" si="217"/>
        <v>0</v>
      </c>
      <c r="T379" s="1">
        <f t="shared" si="218"/>
        <v>0</v>
      </c>
      <c r="U379" s="1">
        <f t="shared" si="219"/>
        <v>0</v>
      </c>
      <c r="V379" s="1">
        <f t="shared" si="220"/>
        <v>0</v>
      </c>
      <c r="W379" s="1">
        <f t="shared" si="221"/>
        <v>0</v>
      </c>
      <c r="X379" s="1">
        <f t="shared" si="222"/>
        <v>0</v>
      </c>
      <c r="Y379" s="1">
        <f t="shared" si="223"/>
        <v>0</v>
      </c>
      <c r="Z379" s="1">
        <f t="shared" si="224"/>
        <v>0</v>
      </c>
      <c r="AA379" s="1">
        <f t="shared" si="225"/>
        <v>0</v>
      </c>
      <c r="AB379" s="1">
        <f t="shared" si="226"/>
        <v>0</v>
      </c>
      <c r="AD379" s="1">
        <f t="shared" si="227"/>
        <v>0</v>
      </c>
      <c r="AE379" s="1">
        <f t="shared" si="228"/>
        <v>1</v>
      </c>
      <c r="AF379" s="1">
        <f t="shared" si="189"/>
        <v>0</v>
      </c>
      <c r="AG379" s="1">
        <f t="shared" si="190"/>
        <v>1</v>
      </c>
      <c r="AH379" s="1">
        <f t="shared" si="191"/>
        <v>0</v>
      </c>
      <c r="AI379" s="1">
        <f t="shared" si="192"/>
        <v>1</v>
      </c>
    </row>
    <row r="380" spans="1:4094 4097:8191 8194:12288 12291:16384" s="1" customFormat="1" ht="14.25" customHeight="1" x14ac:dyDescent="0.25">
      <c r="A380" s="31">
        <v>0</v>
      </c>
      <c r="B380" s="31">
        <v>2</v>
      </c>
      <c r="C380" s="31">
        <v>5</v>
      </c>
      <c r="D380" s="32" t="s">
        <v>1297</v>
      </c>
      <c r="E380" s="32" t="s">
        <v>27</v>
      </c>
      <c r="F380" s="32" t="s">
        <v>1298</v>
      </c>
      <c r="G380" s="32" t="s">
        <v>1299</v>
      </c>
      <c r="H380" s="32" t="s">
        <v>354</v>
      </c>
      <c r="I380" s="31" t="s">
        <v>1300</v>
      </c>
      <c r="J380" s="31">
        <v>99</v>
      </c>
      <c r="K380" s="33" t="s">
        <v>955</v>
      </c>
      <c r="L380" s="33" t="s">
        <v>39</v>
      </c>
      <c r="M380" s="34" t="s">
        <v>39</v>
      </c>
      <c r="N380" s="34" t="s">
        <v>1727</v>
      </c>
      <c r="O380" s="35">
        <v>1</v>
      </c>
      <c r="P380" s="35">
        <v>1</v>
      </c>
      <c r="Q380" s="36"/>
      <c r="S380" s="1">
        <f t="shared" si="193"/>
        <v>0</v>
      </c>
      <c r="T380" s="1">
        <f t="shared" si="194"/>
        <v>0</v>
      </c>
      <c r="U380" s="1">
        <f t="shared" si="195"/>
        <v>0</v>
      </c>
      <c r="V380" s="1">
        <f t="shared" si="196"/>
        <v>0</v>
      </c>
      <c r="W380" s="1">
        <f t="shared" si="197"/>
        <v>0</v>
      </c>
      <c r="X380" s="1">
        <f t="shared" si="198"/>
        <v>0</v>
      </c>
      <c r="Y380" s="1">
        <f t="shared" si="199"/>
        <v>0</v>
      </c>
      <c r="Z380" s="1">
        <f t="shared" si="200"/>
        <v>0</v>
      </c>
      <c r="AA380" s="1">
        <f t="shared" si="201"/>
        <v>0</v>
      </c>
      <c r="AB380" s="1">
        <f t="shared" si="202"/>
        <v>0</v>
      </c>
      <c r="AD380" s="1">
        <f t="shared" si="203"/>
        <v>1</v>
      </c>
      <c r="AE380" s="1">
        <f t="shared" si="204"/>
        <v>0</v>
      </c>
      <c r="AF380" s="1">
        <f t="shared" si="189"/>
        <v>1</v>
      </c>
      <c r="AG380" s="1">
        <f t="shared" si="190"/>
        <v>0</v>
      </c>
      <c r="AH380" s="1">
        <f t="shared" si="191"/>
        <v>1</v>
      </c>
      <c r="AI380" s="1">
        <f t="shared" si="192"/>
        <v>0</v>
      </c>
    </row>
    <row r="381" spans="1:4094 4097:8191 8194:12288 12291:16384" s="1" customFormat="1" ht="14.25" customHeight="1" x14ac:dyDescent="0.25">
      <c r="A381" s="44">
        <v>0</v>
      </c>
      <c r="B381" s="44">
        <v>2</v>
      </c>
      <c r="C381" s="44">
        <v>5</v>
      </c>
      <c r="D381" s="45" t="s">
        <v>1603</v>
      </c>
      <c r="E381" s="45" t="s">
        <v>159</v>
      </c>
      <c r="F381" s="45" t="s">
        <v>1675</v>
      </c>
      <c r="G381" s="45" t="s">
        <v>1468</v>
      </c>
      <c r="H381" s="45" t="s">
        <v>354</v>
      </c>
      <c r="I381" s="44" t="s">
        <v>1469</v>
      </c>
      <c r="J381" s="44">
        <v>99</v>
      </c>
      <c r="K381" s="46" t="s">
        <v>713</v>
      </c>
      <c r="L381" s="46" t="s">
        <v>696</v>
      </c>
      <c r="M381" s="47" t="s">
        <v>1470</v>
      </c>
      <c r="N381" s="47" t="s">
        <v>1747</v>
      </c>
      <c r="O381" s="48"/>
      <c r="P381" s="48"/>
      <c r="Q381" s="45"/>
      <c r="S381" s="1">
        <f t="shared" si="193"/>
        <v>0</v>
      </c>
      <c r="T381" s="1">
        <f t="shared" si="194"/>
        <v>0</v>
      </c>
      <c r="U381" s="1">
        <f t="shared" si="195"/>
        <v>0</v>
      </c>
      <c r="V381" s="1">
        <f t="shared" si="196"/>
        <v>0</v>
      </c>
      <c r="W381" s="1">
        <f t="shared" si="197"/>
        <v>0</v>
      </c>
      <c r="X381" s="1">
        <f t="shared" si="198"/>
        <v>0</v>
      </c>
      <c r="Y381" s="1">
        <f t="shared" si="199"/>
        <v>0</v>
      </c>
      <c r="Z381" s="1">
        <f t="shared" si="200"/>
        <v>0</v>
      </c>
      <c r="AA381" s="1">
        <f t="shared" si="201"/>
        <v>0</v>
      </c>
      <c r="AB381" s="1">
        <f t="shared" si="202"/>
        <v>0</v>
      </c>
      <c r="AD381" s="1">
        <f t="shared" si="203"/>
        <v>0</v>
      </c>
      <c r="AE381" s="1">
        <f t="shared" si="204"/>
        <v>0</v>
      </c>
      <c r="AF381" s="1">
        <f t="shared" si="189"/>
        <v>0</v>
      </c>
      <c r="AG381" s="1">
        <f t="shared" si="190"/>
        <v>0</v>
      </c>
      <c r="AH381" s="1">
        <f t="shared" si="191"/>
        <v>0</v>
      </c>
      <c r="AI381" s="1">
        <f t="shared" si="192"/>
        <v>1</v>
      </c>
    </row>
    <row r="382" spans="1:4094 4097:8191 8194:12288 12291:16384" s="1" customFormat="1" ht="14.25" customHeight="1" x14ac:dyDescent="0.25">
      <c r="A382" s="31">
        <v>0</v>
      </c>
      <c r="B382" s="31">
        <v>2</v>
      </c>
      <c r="C382" s="31">
        <v>5</v>
      </c>
      <c r="D382" s="32" t="s">
        <v>1778</v>
      </c>
      <c r="E382" s="32" t="s">
        <v>155</v>
      </c>
      <c r="F382" s="32" t="s">
        <v>1779</v>
      </c>
      <c r="G382" s="32" t="s">
        <v>656</v>
      </c>
      <c r="H382" s="32" t="s">
        <v>354</v>
      </c>
      <c r="I382" s="31" t="s">
        <v>1780</v>
      </c>
      <c r="J382" s="31"/>
      <c r="K382" s="33" t="s">
        <v>703</v>
      </c>
      <c r="L382" s="33">
        <v>40</v>
      </c>
      <c r="M382" s="34" t="s">
        <v>1781</v>
      </c>
      <c r="N382" s="34" t="s">
        <v>1743</v>
      </c>
      <c r="O382" s="35">
        <v>1</v>
      </c>
      <c r="P382" s="35"/>
      <c r="Q382" s="32"/>
      <c r="S382" s="1">
        <f t="shared" si="193"/>
        <v>0</v>
      </c>
      <c r="T382" s="1">
        <f t="shared" si="194"/>
        <v>0</v>
      </c>
      <c r="U382" s="1">
        <f t="shared" si="195"/>
        <v>0</v>
      </c>
      <c r="V382" s="1">
        <f t="shared" si="196"/>
        <v>0</v>
      </c>
      <c r="W382" s="1">
        <f t="shared" si="197"/>
        <v>0</v>
      </c>
      <c r="X382" s="1">
        <f t="shared" si="198"/>
        <v>0</v>
      </c>
      <c r="Y382" s="1">
        <f t="shared" si="199"/>
        <v>0</v>
      </c>
      <c r="Z382" s="1">
        <f t="shared" si="200"/>
        <v>0</v>
      </c>
      <c r="AA382" s="1">
        <f t="shared" si="201"/>
        <v>0</v>
      </c>
      <c r="AB382" s="1">
        <f t="shared" si="202"/>
        <v>0</v>
      </c>
      <c r="AD382" s="1">
        <f t="shared" si="203"/>
        <v>0</v>
      </c>
      <c r="AE382" s="1">
        <f t="shared" si="204"/>
        <v>1</v>
      </c>
      <c r="AF382" s="1">
        <f t="shared" si="189"/>
        <v>0</v>
      </c>
      <c r="AG382" s="1">
        <f t="shared" si="190"/>
        <v>1</v>
      </c>
      <c r="AH382" s="1">
        <f t="shared" si="191"/>
        <v>0</v>
      </c>
      <c r="AI382" s="1">
        <f t="shared" si="192"/>
        <v>1</v>
      </c>
    </row>
    <row r="383" spans="1:4094 4097:8191 8194:12288 12291:16384" s="1" customFormat="1" ht="14.25" customHeight="1" x14ac:dyDescent="0.25">
      <c r="A383" s="44">
        <v>0</v>
      </c>
      <c r="B383" s="44">
        <v>2</v>
      </c>
      <c r="C383" s="44">
        <v>5</v>
      </c>
      <c r="D383" s="45" t="s">
        <v>837</v>
      </c>
      <c r="E383" s="45" t="s">
        <v>831</v>
      </c>
      <c r="F383" s="45" t="s">
        <v>941</v>
      </c>
      <c r="G383" s="45" t="s">
        <v>180</v>
      </c>
      <c r="H383" s="45" t="s">
        <v>354</v>
      </c>
      <c r="I383" s="44" t="s">
        <v>1109</v>
      </c>
      <c r="J383" s="44">
        <v>10</v>
      </c>
      <c r="K383" s="46" t="s">
        <v>712</v>
      </c>
      <c r="L383" s="46" t="s">
        <v>693</v>
      </c>
      <c r="M383" s="47" t="s">
        <v>1429</v>
      </c>
      <c r="N383" s="47" t="s">
        <v>1741</v>
      </c>
      <c r="O383" s="48"/>
      <c r="P383" s="48"/>
      <c r="Q383" s="45"/>
      <c r="S383" s="1">
        <f t="shared" si="193"/>
        <v>0</v>
      </c>
      <c r="T383" s="1">
        <f t="shared" si="194"/>
        <v>0</v>
      </c>
      <c r="U383" s="1">
        <f t="shared" si="195"/>
        <v>0</v>
      </c>
      <c r="V383" s="1">
        <f t="shared" si="196"/>
        <v>0</v>
      </c>
      <c r="W383" s="1">
        <f t="shared" si="197"/>
        <v>0</v>
      </c>
      <c r="X383" s="1">
        <f t="shared" si="198"/>
        <v>0</v>
      </c>
      <c r="Y383" s="1">
        <f t="shared" si="199"/>
        <v>0</v>
      </c>
      <c r="Z383" s="1">
        <f t="shared" si="200"/>
        <v>0</v>
      </c>
      <c r="AA383" s="1">
        <f t="shared" si="201"/>
        <v>0</v>
      </c>
      <c r="AB383" s="1">
        <f t="shared" si="202"/>
        <v>1</v>
      </c>
      <c r="AD383" s="1">
        <f t="shared" si="203"/>
        <v>0</v>
      </c>
      <c r="AE383" s="1">
        <f t="shared" si="204"/>
        <v>0</v>
      </c>
      <c r="AF383" s="1">
        <f t="shared" si="189"/>
        <v>0</v>
      </c>
      <c r="AG383" s="1">
        <f t="shared" si="190"/>
        <v>0</v>
      </c>
      <c r="AH383" s="1">
        <f t="shared" si="191"/>
        <v>0</v>
      </c>
      <c r="AI383" s="1">
        <f t="shared" si="192"/>
        <v>1</v>
      </c>
    </row>
    <row r="384" spans="1:4094 4097:8191 8194:12288 12291:16384" s="1" customFormat="1" ht="14.25" customHeight="1" x14ac:dyDescent="0.25">
      <c r="A384" s="57">
        <v>0</v>
      </c>
      <c r="B384" s="57">
        <v>2</v>
      </c>
      <c r="C384" s="57">
        <v>6</v>
      </c>
      <c r="D384" s="58" t="s">
        <v>1543</v>
      </c>
      <c r="E384" s="58" t="s">
        <v>27</v>
      </c>
      <c r="F384" s="58" t="s">
        <v>1545</v>
      </c>
      <c r="G384" s="58" t="s">
        <v>1534</v>
      </c>
      <c r="H384" s="58" t="s">
        <v>354</v>
      </c>
      <c r="I384" s="57" t="s">
        <v>1544</v>
      </c>
      <c r="J384" s="57">
        <v>5</v>
      </c>
      <c r="K384" s="59" t="s">
        <v>955</v>
      </c>
      <c r="L384" s="59" t="s">
        <v>39</v>
      </c>
      <c r="M384" s="60" t="s">
        <v>39</v>
      </c>
      <c r="N384" s="61"/>
      <c r="O384" s="62"/>
      <c r="P384" s="62"/>
      <c r="Q384" s="66" t="s">
        <v>1900</v>
      </c>
      <c r="S384" s="1">
        <f t="shared" si="193"/>
        <v>0</v>
      </c>
      <c r="T384" s="1">
        <f t="shared" si="194"/>
        <v>0</v>
      </c>
      <c r="U384" s="1">
        <f t="shared" si="195"/>
        <v>0</v>
      </c>
      <c r="V384" s="1">
        <f t="shared" si="196"/>
        <v>0</v>
      </c>
      <c r="W384" s="1">
        <f t="shared" si="197"/>
        <v>1</v>
      </c>
      <c r="X384" s="1">
        <f t="shared" si="198"/>
        <v>0</v>
      </c>
      <c r="Y384" s="1">
        <f t="shared" si="199"/>
        <v>0</v>
      </c>
      <c r="Z384" s="1">
        <f t="shared" si="200"/>
        <v>0</v>
      </c>
      <c r="AA384" s="1">
        <f t="shared" si="201"/>
        <v>0</v>
      </c>
      <c r="AB384" s="1">
        <f t="shared" si="202"/>
        <v>0</v>
      </c>
      <c r="AD384" s="1">
        <f t="shared" si="203"/>
        <v>0</v>
      </c>
      <c r="AE384" s="1">
        <f t="shared" si="204"/>
        <v>0</v>
      </c>
      <c r="AF384" s="1">
        <f t="shared" si="189"/>
        <v>0</v>
      </c>
      <c r="AG384" s="1">
        <f t="shared" si="190"/>
        <v>0</v>
      </c>
      <c r="AH384" s="1">
        <f t="shared" si="191"/>
        <v>0</v>
      </c>
      <c r="AI384" s="1">
        <f t="shared" si="192"/>
        <v>1</v>
      </c>
    </row>
    <row r="385" spans="1:35" s="1" customFormat="1" ht="14.25" customHeight="1" x14ac:dyDescent="0.25">
      <c r="A385" s="44">
        <v>0</v>
      </c>
      <c r="B385" s="44">
        <v>2</v>
      </c>
      <c r="C385" s="44">
        <v>6</v>
      </c>
      <c r="D385" s="45" t="s">
        <v>519</v>
      </c>
      <c r="E385" s="45" t="s">
        <v>31</v>
      </c>
      <c r="F385" s="45" t="s">
        <v>672</v>
      </c>
      <c r="G385" s="45" t="s">
        <v>200</v>
      </c>
      <c r="H385" s="45" t="s">
        <v>354</v>
      </c>
      <c r="I385" s="44" t="s">
        <v>520</v>
      </c>
      <c r="J385" s="44">
        <v>2</v>
      </c>
      <c r="K385" s="46" t="s">
        <v>954</v>
      </c>
      <c r="L385" s="46" t="s">
        <v>694</v>
      </c>
      <c r="M385" s="47" t="s">
        <v>1430</v>
      </c>
      <c r="N385" s="47" t="s">
        <v>1735</v>
      </c>
      <c r="O385" s="48"/>
      <c r="P385" s="48"/>
      <c r="Q385" s="45"/>
      <c r="S385" s="1">
        <f t="shared" si="193"/>
        <v>0</v>
      </c>
      <c r="T385" s="1">
        <f t="shared" si="194"/>
        <v>1</v>
      </c>
      <c r="U385" s="1">
        <f t="shared" si="195"/>
        <v>0</v>
      </c>
      <c r="V385" s="1">
        <f t="shared" si="196"/>
        <v>0</v>
      </c>
      <c r="W385" s="1">
        <f t="shared" si="197"/>
        <v>0</v>
      </c>
      <c r="X385" s="1">
        <f t="shared" si="198"/>
        <v>0</v>
      </c>
      <c r="Y385" s="1">
        <f t="shared" si="199"/>
        <v>0</v>
      </c>
      <c r="Z385" s="1">
        <f t="shared" si="200"/>
        <v>0</v>
      </c>
      <c r="AA385" s="1">
        <f t="shared" si="201"/>
        <v>0</v>
      </c>
      <c r="AB385" s="1">
        <f t="shared" si="202"/>
        <v>0</v>
      </c>
      <c r="AD385" s="1">
        <f t="shared" si="203"/>
        <v>0</v>
      </c>
      <c r="AE385" s="1">
        <f t="shared" si="204"/>
        <v>0</v>
      </c>
      <c r="AF385" s="1">
        <f t="shared" si="189"/>
        <v>0</v>
      </c>
      <c r="AG385" s="1">
        <f t="shared" si="190"/>
        <v>0</v>
      </c>
      <c r="AH385" s="1">
        <f t="shared" si="191"/>
        <v>0</v>
      </c>
      <c r="AI385" s="1">
        <f t="shared" si="192"/>
        <v>1</v>
      </c>
    </row>
    <row r="386" spans="1:35" s="1" customFormat="1" ht="14.25" customHeight="1" x14ac:dyDescent="0.25">
      <c r="A386" s="31">
        <v>0</v>
      </c>
      <c r="B386" s="31">
        <v>2</v>
      </c>
      <c r="C386" s="31">
        <v>6</v>
      </c>
      <c r="D386" s="32" t="s">
        <v>53</v>
      </c>
      <c r="E386" s="32" t="s">
        <v>31</v>
      </c>
      <c r="F386" s="32" t="s">
        <v>210</v>
      </c>
      <c r="G386" s="32" t="s">
        <v>211</v>
      </c>
      <c r="H386" s="32" t="s">
        <v>354</v>
      </c>
      <c r="I386" s="31" t="s">
        <v>392</v>
      </c>
      <c r="J386" s="31">
        <v>1</v>
      </c>
      <c r="K386" s="33" t="s">
        <v>712</v>
      </c>
      <c r="L386" s="33" t="s">
        <v>704</v>
      </c>
      <c r="M386" s="34" t="s">
        <v>728</v>
      </c>
      <c r="N386" s="34" t="s">
        <v>1743</v>
      </c>
      <c r="O386" s="35">
        <v>1</v>
      </c>
      <c r="P386" s="35"/>
      <c r="Q386" s="32"/>
      <c r="S386" s="1">
        <f t="shared" si="193"/>
        <v>1</v>
      </c>
      <c r="T386" s="1">
        <f t="shared" si="194"/>
        <v>0</v>
      </c>
      <c r="U386" s="1">
        <f t="shared" si="195"/>
        <v>0</v>
      </c>
      <c r="V386" s="1">
        <f t="shared" si="196"/>
        <v>0</v>
      </c>
      <c r="W386" s="1">
        <f t="shared" si="197"/>
        <v>0</v>
      </c>
      <c r="X386" s="1">
        <f t="shared" si="198"/>
        <v>0</v>
      </c>
      <c r="Y386" s="1">
        <f t="shared" si="199"/>
        <v>0</v>
      </c>
      <c r="Z386" s="1">
        <f t="shared" si="200"/>
        <v>0</v>
      </c>
      <c r="AA386" s="1">
        <f t="shared" si="201"/>
        <v>0</v>
      </c>
      <c r="AB386" s="1">
        <f t="shared" si="202"/>
        <v>0</v>
      </c>
      <c r="AD386" s="1">
        <f t="shared" si="203"/>
        <v>0</v>
      </c>
      <c r="AE386" s="1">
        <f t="shared" si="204"/>
        <v>1</v>
      </c>
      <c r="AF386" s="1">
        <f t="shared" si="189"/>
        <v>0</v>
      </c>
      <c r="AG386" s="1">
        <f t="shared" si="190"/>
        <v>1</v>
      </c>
      <c r="AH386" s="1">
        <f t="shared" si="191"/>
        <v>0</v>
      </c>
      <c r="AI386" s="1">
        <f t="shared" si="192"/>
        <v>1</v>
      </c>
    </row>
    <row r="387" spans="1:35" s="1" customFormat="1" ht="14.25" customHeight="1" x14ac:dyDescent="0.25">
      <c r="A387" s="15">
        <v>0</v>
      </c>
      <c r="B387" s="15">
        <v>2</v>
      </c>
      <c r="C387" s="15">
        <v>6</v>
      </c>
      <c r="D387" s="16" t="s">
        <v>1862</v>
      </c>
      <c r="E387" s="16" t="s">
        <v>1863</v>
      </c>
      <c r="F387" s="20" t="s">
        <v>1864</v>
      </c>
      <c r="G387" s="16"/>
      <c r="H387" s="20" t="s">
        <v>354</v>
      </c>
      <c r="I387" s="21" t="s">
        <v>1865</v>
      </c>
      <c r="J387" s="15">
        <v>99</v>
      </c>
      <c r="K387" s="10" t="s">
        <v>703</v>
      </c>
      <c r="L387" s="10">
        <v>25</v>
      </c>
      <c r="M387" s="19" t="s">
        <v>1866</v>
      </c>
      <c r="N387" s="19"/>
      <c r="Q387" s="20"/>
      <c r="S387" s="1">
        <f t="shared" si="193"/>
        <v>0</v>
      </c>
      <c r="T387" s="1">
        <f t="shared" si="194"/>
        <v>0</v>
      </c>
      <c r="U387" s="1">
        <f t="shared" si="195"/>
        <v>0</v>
      </c>
      <c r="V387" s="1">
        <f t="shared" si="196"/>
        <v>0</v>
      </c>
      <c r="W387" s="1">
        <f t="shared" si="197"/>
        <v>0</v>
      </c>
      <c r="X387" s="1">
        <f t="shared" si="198"/>
        <v>0</v>
      </c>
      <c r="Y387" s="1">
        <f t="shared" si="199"/>
        <v>0</v>
      </c>
      <c r="Z387" s="1">
        <f t="shared" si="200"/>
        <v>0</v>
      </c>
      <c r="AA387" s="1">
        <f t="shared" si="201"/>
        <v>0</v>
      </c>
      <c r="AB387" s="1">
        <f t="shared" si="202"/>
        <v>0</v>
      </c>
      <c r="AD387" s="1">
        <f t="shared" si="203"/>
        <v>0</v>
      </c>
      <c r="AE387" s="1">
        <f t="shared" si="204"/>
        <v>0</v>
      </c>
      <c r="AF387" s="1">
        <f t="shared" si="189"/>
        <v>0</v>
      </c>
      <c r="AG387" s="1">
        <f t="shared" si="190"/>
        <v>0</v>
      </c>
      <c r="AH387" s="1">
        <f t="shared" si="191"/>
        <v>0</v>
      </c>
      <c r="AI387" s="1">
        <f t="shared" si="192"/>
        <v>1</v>
      </c>
    </row>
    <row r="388" spans="1:35" s="1" customFormat="1" ht="14.25" customHeight="1" x14ac:dyDescent="0.25">
      <c r="A388" s="15">
        <v>0</v>
      </c>
      <c r="B388" s="15">
        <v>2</v>
      </c>
      <c r="C388" s="15">
        <v>6</v>
      </c>
      <c r="D388" s="16" t="s">
        <v>80</v>
      </c>
      <c r="E388" s="16" t="s">
        <v>31</v>
      </c>
      <c r="F388" s="16" t="s">
        <v>270</v>
      </c>
      <c r="G388" s="16" t="s">
        <v>224</v>
      </c>
      <c r="H388" s="16" t="s">
        <v>354</v>
      </c>
      <c r="I388" s="15" t="s">
        <v>678</v>
      </c>
      <c r="J388" s="15">
        <v>99</v>
      </c>
      <c r="K388" s="10" t="s">
        <v>955</v>
      </c>
      <c r="L388" s="10" t="s">
        <v>694</v>
      </c>
      <c r="M388" s="19" t="s">
        <v>1431</v>
      </c>
      <c r="N388" s="19"/>
      <c r="Q388" s="16"/>
      <c r="S388" s="1">
        <f t="shared" si="193"/>
        <v>0</v>
      </c>
      <c r="T388" s="1">
        <f t="shared" si="194"/>
        <v>0</v>
      </c>
      <c r="U388" s="1">
        <f t="shared" si="195"/>
        <v>0</v>
      </c>
      <c r="V388" s="1">
        <f t="shared" si="196"/>
        <v>0</v>
      </c>
      <c r="W388" s="1">
        <f t="shared" si="197"/>
        <v>0</v>
      </c>
      <c r="X388" s="1">
        <f t="shared" si="198"/>
        <v>0</v>
      </c>
      <c r="Y388" s="1">
        <f t="shared" si="199"/>
        <v>0</v>
      </c>
      <c r="Z388" s="1">
        <f t="shared" si="200"/>
        <v>0</v>
      </c>
      <c r="AA388" s="1">
        <f t="shared" si="201"/>
        <v>0</v>
      </c>
      <c r="AB388" s="1">
        <f t="shared" si="202"/>
        <v>0</v>
      </c>
      <c r="AD388" s="1">
        <f t="shared" si="203"/>
        <v>0</v>
      </c>
      <c r="AE388" s="1">
        <f t="shared" si="204"/>
        <v>0</v>
      </c>
      <c r="AF388" s="1">
        <f t="shared" si="189"/>
        <v>0</v>
      </c>
      <c r="AG388" s="1">
        <f t="shared" si="190"/>
        <v>0</v>
      </c>
      <c r="AH388" s="1">
        <f t="shared" si="191"/>
        <v>0</v>
      </c>
      <c r="AI388" s="1">
        <f t="shared" si="192"/>
        <v>1</v>
      </c>
    </row>
    <row r="389" spans="1:35" s="1" customFormat="1" ht="14.25" customHeight="1" x14ac:dyDescent="0.25">
      <c r="A389" s="44">
        <v>0</v>
      </c>
      <c r="B389" s="44">
        <v>2</v>
      </c>
      <c r="C389" s="44">
        <v>6</v>
      </c>
      <c r="D389" s="45" t="s">
        <v>639</v>
      </c>
      <c r="E389" s="45" t="s">
        <v>31</v>
      </c>
      <c r="F389" s="45" t="s">
        <v>640</v>
      </c>
      <c r="G389" s="45" t="s">
        <v>240</v>
      </c>
      <c r="H389" s="45" t="s">
        <v>354</v>
      </c>
      <c r="I389" s="44" t="s">
        <v>641</v>
      </c>
      <c r="J389" s="44">
        <v>1</v>
      </c>
      <c r="K389" s="46" t="s">
        <v>713</v>
      </c>
      <c r="L389" s="46" t="s">
        <v>694</v>
      </c>
      <c r="M389" s="47" t="s">
        <v>1432</v>
      </c>
      <c r="N389" s="47" t="s">
        <v>1735</v>
      </c>
      <c r="O389" s="48"/>
      <c r="P389" s="48"/>
      <c r="Q389" s="45"/>
      <c r="S389" s="1">
        <f t="shared" si="193"/>
        <v>1</v>
      </c>
      <c r="T389" s="1">
        <f t="shared" si="194"/>
        <v>0</v>
      </c>
      <c r="U389" s="1">
        <f t="shared" si="195"/>
        <v>0</v>
      </c>
      <c r="V389" s="1">
        <f t="shared" si="196"/>
        <v>0</v>
      </c>
      <c r="W389" s="1">
        <f t="shared" si="197"/>
        <v>0</v>
      </c>
      <c r="X389" s="1">
        <f t="shared" si="198"/>
        <v>0</v>
      </c>
      <c r="Y389" s="1">
        <f t="shared" si="199"/>
        <v>0</v>
      </c>
      <c r="Z389" s="1">
        <f t="shared" si="200"/>
        <v>0</v>
      </c>
      <c r="AA389" s="1">
        <f t="shared" si="201"/>
        <v>0</v>
      </c>
      <c r="AB389" s="1">
        <f t="shared" si="202"/>
        <v>0</v>
      </c>
      <c r="AD389" s="1">
        <f t="shared" si="203"/>
        <v>0</v>
      </c>
      <c r="AE389" s="1">
        <f t="shared" si="204"/>
        <v>0</v>
      </c>
      <c r="AF389" s="1">
        <f t="shared" si="189"/>
        <v>0</v>
      </c>
      <c r="AG389" s="1">
        <f t="shared" si="190"/>
        <v>0</v>
      </c>
      <c r="AH389" s="1">
        <f t="shared" si="191"/>
        <v>0</v>
      </c>
      <c r="AI389" s="1">
        <f t="shared" si="192"/>
        <v>1</v>
      </c>
    </row>
    <row r="390" spans="1:35" s="1" customFormat="1" ht="14.25" customHeight="1" x14ac:dyDescent="0.25">
      <c r="A390" s="44">
        <v>0</v>
      </c>
      <c r="B390" s="44">
        <v>2</v>
      </c>
      <c r="C390" s="44">
        <v>6</v>
      </c>
      <c r="D390" s="45" t="s">
        <v>1135</v>
      </c>
      <c r="E390" s="45" t="s">
        <v>31</v>
      </c>
      <c r="F390" s="45" t="s">
        <v>672</v>
      </c>
      <c r="G390" s="45" t="s">
        <v>200</v>
      </c>
      <c r="H390" s="45" t="s">
        <v>354</v>
      </c>
      <c r="I390" s="44" t="s">
        <v>520</v>
      </c>
      <c r="J390" s="44">
        <v>2</v>
      </c>
      <c r="K390" s="46" t="s">
        <v>712</v>
      </c>
      <c r="L390" s="46" t="s">
        <v>694</v>
      </c>
      <c r="M390" s="47" t="s">
        <v>728</v>
      </c>
      <c r="N390" s="47" t="s">
        <v>1735</v>
      </c>
      <c r="O390" s="48"/>
      <c r="P390" s="48"/>
      <c r="Q390" s="45"/>
      <c r="S390" s="1">
        <f t="shared" si="193"/>
        <v>0</v>
      </c>
      <c r="T390" s="1">
        <f t="shared" si="194"/>
        <v>1</v>
      </c>
      <c r="U390" s="1">
        <f t="shared" si="195"/>
        <v>0</v>
      </c>
      <c r="V390" s="1">
        <f t="shared" si="196"/>
        <v>0</v>
      </c>
      <c r="W390" s="1">
        <f t="shared" si="197"/>
        <v>0</v>
      </c>
      <c r="X390" s="1">
        <f t="shared" si="198"/>
        <v>0</v>
      </c>
      <c r="Y390" s="1">
        <f t="shared" si="199"/>
        <v>0</v>
      </c>
      <c r="Z390" s="1">
        <f t="shared" si="200"/>
        <v>0</v>
      </c>
      <c r="AA390" s="1">
        <f t="shared" si="201"/>
        <v>0</v>
      </c>
      <c r="AB390" s="1">
        <f t="shared" si="202"/>
        <v>0</v>
      </c>
      <c r="AD390" s="1">
        <f t="shared" si="203"/>
        <v>0</v>
      </c>
      <c r="AE390" s="1">
        <f t="shared" si="204"/>
        <v>0</v>
      </c>
      <c r="AF390" s="1">
        <f t="shared" si="189"/>
        <v>0</v>
      </c>
      <c r="AG390" s="1">
        <f t="shared" si="190"/>
        <v>0</v>
      </c>
      <c r="AH390" s="1">
        <f t="shared" si="191"/>
        <v>0</v>
      </c>
      <c r="AI390" s="1">
        <f t="shared" si="192"/>
        <v>1</v>
      </c>
    </row>
    <row r="391" spans="1:35" s="1" customFormat="1" ht="14.25" customHeight="1" x14ac:dyDescent="0.25">
      <c r="A391" s="44">
        <v>0</v>
      </c>
      <c r="B391" s="44">
        <v>2</v>
      </c>
      <c r="C391" s="44">
        <v>6</v>
      </c>
      <c r="D391" s="45" t="s">
        <v>1083</v>
      </c>
      <c r="E391" s="45" t="s">
        <v>159</v>
      </c>
      <c r="F391" s="45" t="s">
        <v>198</v>
      </c>
      <c r="G391" s="45" t="s">
        <v>199</v>
      </c>
      <c r="H391" s="45" t="s">
        <v>354</v>
      </c>
      <c r="I391" s="44" t="s">
        <v>388</v>
      </c>
      <c r="J391" s="44">
        <v>99</v>
      </c>
      <c r="K391" s="46" t="s">
        <v>712</v>
      </c>
      <c r="L391" s="46" t="s">
        <v>716</v>
      </c>
      <c r="M391" s="47" t="s">
        <v>730</v>
      </c>
      <c r="N391" s="47" t="s">
        <v>1734</v>
      </c>
      <c r="O391" s="48"/>
      <c r="P391" s="48"/>
      <c r="Q391" s="45"/>
      <c r="S391" s="1">
        <f t="shared" si="193"/>
        <v>0</v>
      </c>
      <c r="T391" s="1">
        <f t="shared" si="194"/>
        <v>0</v>
      </c>
      <c r="U391" s="1">
        <f t="shared" si="195"/>
        <v>0</v>
      </c>
      <c r="V391" s="1">
        <f t="shared" si="196"/>
        <v>0</v>
      </c>
      <c r="W391" s="1">
        <f t="shared" si="197"/>
        <v>0</v>
      </c>
      <c r="X391" s="1">
        <f t="shared" si="198"/>
        <v>0</v>
      </c>
      <c r="Y391" s="1">
        <f t="shared" si="199"/>
        <v>0</v>
      </c>
      <c r="Z391" s="1">
        <f t="shared" si="200"/>
        <v>0</v>
      </c>
      <c r="AA391" s="1">
        <f t="shared" si="201"/>
        <v>0</v>
      </c>
      <c r="AB391" s="1">
        <f t="shared" si="202"/>
        <v>0</v>
      </c>
      <c r="AD391" s="1">
        <f t="shared" si="203"/>
        <v>0</v>
      </c>
      <c r="AE391" s="1">
        <f t="shared" si="204"/>
        <v>0</v>
      </c>
      <c r="AF391" s="1">
        <f t="shared" si="189"/>
        <v>0</v>
      </c>
      <c r="AG391" s="1">
        <f t="shared" si="190"/>
        <v>0</v>
      </c>
      <c r="AH391" s="1">
        <f t="shared" si="191"/>
        <v>0</v>
      </c>
      <c r="AI391" s="1">
        <f t="shared" si="192"/>
        <v>1</v>
      </c>
    </row>
    <row r="392" spans="1:35" s="1" customFormat="1" ht="14.25" customHeight="1" x14ac:dyDescent="0.25">
      <c r="A392" s="31">
        <v>0</v>
      </c>
      <c r="B392" s="31">
        <v>2</v>
      </c>
      <c r="C392" s="31">
        <v>7</v>
      </c>
      <c r="D392" s="32" t="s">
        <v>509</v>
      </c>
      <c r="E392" s="32" t="s">
        <v>156</v>
      </c>
      <c r="F392" s="32" t="s">
        <v>510</v>
      </c>
      <c r="G392" s="32" t="s">
        <v>39</v>
      </c>
      <c r="H392" s="32" t="s">
        <v>354</v>
      </c>
      <c r="I392" s="31" t="s">
        <v>942</v>
      </c>
      <c r="J392" s="31">
        <v>7</v>
      </c>
      <c r="K392" s="33" t="s">
        <v>955</v>
      </c>
      <c r="L392" s="33" t="s">
        <v>39</v>
      </c>
      <c r="M392" s="34" t="s">
        <v>39</v>
      </c>
      <c r="N392" s="34" t="s">
        <v>1727</v>
      </c>
      <c r="O392" s="35">
        <v>1</v>
      </c>
      <c r="P392" s="35">
        <v>1</v>
      </c>
      <c r="Q392" s="32"/>
      <c r="S392" s="1">
        <f t="shared" si="193"/>
        <v>0</v>
      </c>
      <c r="T392" s="1">
        <f t="shared" si="194"/>
        <v>0</v>
      </c>
      <c r="U392" s="1">
        <f t="shared" si="195"/>
        <v>0</v>
      </c>
      <c r="V392" s="1">
        <f t="shared" si="196"/>
        <v>0</v>
      </c>
      <c r="W392" s="1">
        <f t="shared" si="197"/>
        <v>0</v>
      </c>
      <c r="X392" s="1">
        <f t="shared" si="198"/>
        <v>0</v>
      </c>
      <c r="Y392" s="1">
        <f t="shared" si="199"/>
        <v>1</v>
      </c>
      <c r="Z392" s="1">
        <f t="shared" si="200"/>
        <v>0</v>
      </c>
      <c r="AA392" s="1">
        <f t="shared" si="201"/>
        <v>0</v>
      </c>
      <c r="AB392" s="1">
        <f t="shared" si="202"/>
        <v>0</v>
      </c>
      <c r="AD392" s="1">
        <f t="shared" si="203"/>
        <v>1</v>
      </c>
      <c r="AE392" s="1">
        <f t="shared" si="204"/>
        <v>0</v>
      </c>
      <c r="AF392" s="1">
        <f t="shared" si="189"/>
        <v>1</v>
      </c>
      <c r="AG392" s="1">
        <f t="shared" si="190"/>
        <v>0</v>
      </c>
      <c r="AH392" s="1">
        <f t="shared" si="191"/>
        <v>1</v>
      </c>
      <c r="AI392" s="1">
        <f t="shared" si="192"/>
        <v>0</v>
      </c>
    </row>
    <row r="393" spans="1:35" s="1" customFormat="1" ht="14.25" customHeight="1" x14ac:dyDescent="0.25">
      <c r="A393" s="31">
        <v>0</v>
      </c>
      <c r="B393" s="31">
        <v>2</v>
      </c>
      <c r="C393" s="31">
        <v>7</v>
      </c>
      <c r="D393" s="32" t="s">
        <v>70</v>
      </c>
      <c r="E393" s="32" t="s">
        <v>28</v>
      </c>
      <c r="F393" s="32" t="s">
        <v>673</v>
      </c>
      <c r="G393" s="32" t="s">
        <v>258</v>
      </c>
      <c r="H393" s="32" t="s">
        <v>354</v>
      </c>
      <c r="I393" s="31" t="s">
        <v>417</v>
      </c>
      <c r="J393" s="31">
        <v>8</v>
      </c>
      <c r="K393" s="33" t="s">
        <v>713</v>
      </c>
      <c r="L393" s="33" t="s">
        <v>713</v>
      </c>
      <c r="M393" s="34" t="s">
        <v>731</v>
      </c>
      <c r="N393" s="34" t="s">
        <v>1743</v>
      </c>
      <c r="O393" s="35">
        <v>1</v>
      </c>
      <c r="P393" s="35"/>
      <c r="Q393" s="32"/>
      <c r="S393" s="1">
        <f t="shared" si="193"/>
        <v>0</v>
      </c>
      <c r="T393" s="1">
        <f t="shared" si="194"/>
        <v>0</v>
      </c>
      <c r="U393" s="1">
        <f t="shared" si="195"/>
        <v>0</v>
      </c>
      <c r="V393" s="1">
        <f t="shared" si="196"/>
        <v>0</v>
      </c>
      <c r="W393" s="1">
        <f t="shared" si="197"/>
        <v>0</v>
      </c>
      <c r="X393" s="1">
        <f t="shared" si="198"/>
        <v>0</v>
      </c>
      <c r="Y393" s="1">
        <f t="shared" si="199"/>
        <v>0</v>
      </c>
      <c r="Z393" s="1">
        <f t="shared" si="200"/>
        <v>1</v>
      </c>
      <c r="AA393" s="1">
        <f t="shared" si="201"/>
        <v>0</v>
      </c>
      <c r="AB393" s="1">
        <f t="shared" si="202"/>
        <v>0</v>
      </c>
      <c r="AD393" s="1">
        <f t="shared" si="203"/>
        <v>0</v>
      </c>
      <c r="AE393" s="1">
        <f t="shared" si="204"/>
        <v>1</v>
      </c>
      <c r="AF393" s="1">
        <f t="shared" si="189"/>
        <v>0</v>
      </c>
      <c r="AG393" s="1">
        <f t="shared" si="190"/>
        <v>1</v>
      </c>
      <c r="AH393" s="1">
        <f t="shared" si="191"/>
        <v>0</v>
      </c>
      <c r="AI393" s="1">
        <f t="shared" si="192"/>
        <v>1</v>
      </c>
    </row>
    <row r="394" spans="1:35" s="1" customFormat="1" ht="14.25" customHeight="1" x14ac:dyDescent="0.25">
      <c r="A394" s="31">
        <v>0</v>
      </c>
      <c r="B394" s="31">
        <v>2</v>
      </c>
      <c r="C394" s="31">
        <v>7</v>
      </c>
      <c r="D394" s="32" t="s">
        <v>654</v>
      </c>
      <c r="E394" s="32" t="s">
        <v>156</v>
      </c>
      <c r="F394" s="32" t="s">
        <v>585</v>
      </c>
      <c r="G394" s="32" t="s">
        <v>249</v>
      </c>
      <c r="H394" s="32" t="s">
        <v>354</v>
      </c>
      <c r="I394" s="31" t="s">
        <v>679</v>
      </c>
      <c r="J394" s="31">
        <v>7</v>
      </c>
      <c r="K394" s="33" t="s">
        <v>955</v>
      </c>
      <c r="L394" s="33" t="s">
        <v>39</v>
      </c>
      <c r="M394" s="34" t="s">
        <v>39</v>
      </c>
      <c r="N394" s="34" t="s">
        <v>1727</v>
      </c>
      <c r="O394" s="35">
        <v>1</v>
      </c>
      <c r="P394" s="35">
        <v>1</v>
      </c>
      <c r="Q394" s="32"/>
      <c r="S394" s="1">
        <f t="shared" si="193"/>
        <v>0</v>
      </c>
      <c r="T394" s="1">
        <f t="shared" si="194"/>
        <v>0</v>
      </c>
      <c r="U394" s="1">
        <f t="shared" si="195"/>
        <v>0</v>
      </c>
      <c r="V394" s="1">
        <f t="shared" si="196"/>
        <v>0</v>
      </c>
      <c r="W394" s="1">
        <f t="shared" si="197"/>
        <v>0</v>
      </c>
      <c r="X394" s="1">
        <f t="shared" si="198"/>
        <v>0</v>
      </c>
      <c r="Y394" s="1">
        <f t="shared" si="199"/>
        <v>1</v>
      </c>
      <c r="Z394" s="1">
        <f t="shared" si="200"/>
        <v>0</v>
      </c>
      <c r="AA394" s="1">
        <f t="shared" si="201"/>
        <v>0</v>
      </c>
      <c r="AB394" s="1">
        <f t="shared" si="202"/>
        <v>0</v>
      </c>
      <c r="AD394" s="1">
        <f t="shared" si="203"/>
        <v>1</v>
      </c>
      <c r="AE394" s="1">
        <f t="shared" si="204"/>
        <v>0</v>
      </c>
      <c r="AF394" s="1">
        <f t="shared" si="189"/>
        <v>1</v>
      </c>
      <c r="AG394" s="1">
        <f t="shared" si="190"/>
        <v>0</v>
      </c>
      <c r="AH394" s="1">
        <f t="shared" si="191"/>
        <v>1</v>
      </c>
      <c r="AI394" s="1">
        <f t="shared" si="192"/>
        <v>0</v>
      </c>
    </row>
    <row r="395" spans="1:35" s="1" customFormat="1" ht="14.25" customHeight="1" x14ac:dyDescent="0.25">
      <c r="A395" s="44">
        <v>0</v>
      </c>
      <c r="B395" s="44">
        <v>2</v>
      </c>
      <c r="C395" s="44">
        <v>7</v>
      </c>
      <c r="D395" s="45" t="s">
        <v>1634</v>
      </c>
      <c r="E395" s="45" t="s">
        <v>156</v>
      </c>
      <c r="F395" s="45" t="s">
        <v>1657</v>
      </c>
      <c r="G395" s="45" t="s">
        <v>213</v>
      </c>
      <c r="H395" s="45" t="s">
        <v>354</v>
      </c>
      <c r="I395" s="44" t="s">
        <v>594</v>
      </c>
      <c r="J395" s="44">
        <v>1</v>
      </c>
      <c r="K395" s="46" t="s">
        <v>712</v>
      </c>
      <c r="L395" s="46" t="s">
        <v>722</v>
      </c>
      <c r="M395" s="47" t="s">
        <v>1433</v>
      </c>
      <c r="N395" s="47" t="s">
        <v>1735</v>
      </c>
      <c r="O395" s="48"/>
      <c r="P395" s="48"/>
      <c r="Q395" s="45"/>
      <c r="S395" s="1">
        <f t="shared" si="193"/>
        <v>1</v>
      </c>
      <c r="T395" s="1">
        <f t="shared" si="194"/>
        <v>0</v>
      </c>
      <c r="U395" s="1">
        <f t="shared" si="195"/>
        <v>0</v>
      </c>
      <c r="V395" s="1">
        <f t="shared" si="196"/>
        <v>0</v>
      </c>
      <c r="W395" s="1">
        <f t="shared" si="197"/>
        <v>0</v>
      </c>
      <c r="X395" s="1">
        <f t="shared" si="198"/>
        <v>0</v>
      </c>
      <c r="Y395" s="1">
        <f t="shared" si="199"/>
        <v>0</v>
      </c>
      <c r="Z395" s="1">
        <f t="shared" si="200"/>
        <v>0</v>
      </c>
      <c r="AA395" s="1">
        <f t="shared" si="201"/>
        <v>0</v>
      </c>
      <c r="AB395" s="1">
        <f t="shared" si="202"/>
        <v>0</v>
      </c>
      <c r="AD395" s="1">
        <f t="shared" si="203"/>
        <v>0</v>
      </c>
      <c r="AE395" s="1">
        <f t="shared" si="204"/>
        <v>0</v>
      </c>
      <c r="AF395" s="1">
        <f t="shared" si="189"/>
        <v>0</v>
      </c>
      <c r="AG395" s="1">
        <f t="shared" si="190"/>
        <v>0</v>
      </c>
      <c r="AH395" s="1">
        <f t="shared" si="191"/>
        <v>0</v>
      </c>
      <c r="AI395" s="1">
        <f t="shared" si="192"/>
        <v>1</v>
      </c>
    </row>
    <row r="396" spans="1:35" s="1" customFormat="1" ht="14.25" customHeight="1" x14ac:dyDescent="0.25">
      <c r="A396" s="44">
        <v>0</v>
      </c>
      <c r="B396" s="44">
        <v>2</v>
      </c>
      <c r="C396" s="44">
        <v>7</v>
      </c>
      <c r="D396" s="45" t="s">
        <v>1070</v>
      </c>
      <c r="E396" s="45" t="s">
        <v>1046</v>
      </c>
      <c r="F396" s="45" t="s">
        <v>1071</v>
      </c>
      <c r="G396" s="45" t="s">
        <v>213</v>
      </c>
      <c r="H396" s="45" t="s">
        <v>354</v>
      </c>
      <c r="I396" s="44" t="s">
        <v>1072</v>
      </c>
      <c r="J396" s="44">
        <v>1</v>
      </c>
      <c r="K396" s="46" t="s">
        <v>955</v>
      </c>
      <c r="L396" s="46" t="s">
        <v>722</v>
      </c>
      <c r="M396" s="47" t="s">
        <v>1434</v>
      </c>
      <c r="N396" s="47" t="s">
        <v>1735</v>
      </c>
      <c r="O396" s="48"/>
      <c r="P396" s="48"/>
      <c r="Q396" s="45" t="s">
        <v>1918</v>
      </c>
      <c r="S396" s="1">
        <f t="shared" si="193"/>
        <v>1</v>
      </c>
      <c r="T396" s="1">
        <f t="shared" si="194"/>
        <v>0</v>
      </c>
      <c r="U396" s="1">
        <f t="shared" si="195"/>
        <v>0</v>
      </c>
      <c r="V396" s="1">
        <f t="shared" si="196"/>
        <v>0</v>
      </c>
      <c r="W396" s="1">
        <f t="shared" si="197"/>
        <v>0</v>
      </c>
      <c r="X396" s="1">
        <f t="shared" si="198"/>
        <v>0</v>
      </c>
      <c r="Y396" s="1">
        <f t="shared" si="199"/>
        <v>0</v>
      </c>
      <c r="Z396" s="1">
        <f t="shared" si="200"/>
        <v>0</v>
      </c>
      <c r="AA396" s="1">
        <f t="shared" si="201"/>
        <v>0</v>
      </c>
      <c r="AB396" s="1">
        <f t="shared" si="202"/>
        <v>0</v>
      </c>
      <c r="AD396" s="1">
        <f t="shared" si="203"/>
        <v>0</v>
      </c>
      <c r="AE396" s="1">
        <f t="shared" si="204"/>
        <v>0</v>
      </c>
      <c r="AF396" s="1">
        <f t="shared" si="189"/>
        <v>0</v>
      </c>
      <c r="AG396" s="1">
        <f t="shared" si="190"/>
        <v>0</v>
      </c>
      <c r="AH396" s="1">
        <f t="shared" si="191"/>
        <v>0</v>
      </c>
      <c r="AI396" s="1">
        <f t="shared" si="192"/>
        <v>1</v>
      </c>
    </row>
    <row r="397" spans="1:35" s="1" customFormat="1" ht="14.25" customHeight="1" x14ac:dyDescent="0.25">
      <c r="A397" s="31">
        <v>0</v>
      </c>
      <c r="B397" s="31">
        <v>2</v>
      </c>
      <c r="C397" s="31">
        <v>7</v>
      </c>
      <c r="D397" s="32" t="s">
        <v>1017</v>
      </c>
      <c r="E397" s="32" t="s">
        <v>156</v>
      </c>
      <c r="F397" s="32" t="s">
        <v>1088</v>
      </c>
      <c r="G397" s="32" t="s">
        <v>1098</v>
      </c>
      <c r="H397" s="32" t="s">
        <v>354</v>
      </c>
      <c r="I397" s="31" t="s">
        <v>1018</v>
      </c>
      <c r="J397" s="31">
        <v>99</v>
      </c>
      <c r="K397" s="33" t="s">
        <v>713</v>
      </c>
      <c r="L397" s="33" t="s">
        <v>722</v>
      </c>
      <c r="M397" s="34" t="s">
        <v>1434</v>
      </c>
      <c r="N397" s="34" t="s">
        <v>1748</v>
      </c>
      <c r="O397" s="35">
        <v>1</v>
      </c>
      <c r="P397" s="35"/>
      <c r="Q397" s="32"/>
      <c r="S397" s="1">
        <f t="shared" si="193"/>
        <v>0</v>
      </c>
      <c r="T397" s="1">
        <f t="shared" si="194"/>
        <v>0</v>
      </c>
      <c r="U397" s="1">
        <f t="shared" si="195"/>
        <v>0</v>
      </c>
      <c r="V397" s="1">
        <f t="shared" si="196"/>
        <v>0</v>
      </c>
      <c r="W397" s="1">
        <f t="shared" si="197"/>
        <v>0</v>
      </c>
      <c r="X397" s="1">
        <f t="shared" si="198"/>
        <v>0</v>
      </c>
      <c r="Y397" s="1">
        <f t="shared" si="199"/>
        <v>0</v>
      </c>
      <c r="Z397" s="1">
        <f t="shared" si="200"/>
        <v>0</v>
      </c>
      <c r="AA397" s="1">
        <f t="shared" si="201"/>
        <v>0</v>
      </c>
      <c r="AB397" s="1">
        <f t="shared" si="202"/>
        <v>0</v>
      </c>
      <c r="AD397" s="1">
        <f t="shared" si="203"/>
        <v>0</v>
      </c>
      <c r="AE397" s="1">
        <f t="shared" si="204"/>
        <v>1</v>
      </c>
      <c r="AF397" s="1">
        <f t="shared" si="189"/>
        <v>0</v>
      </c>
      <c r="AG397" s="1">
        <f t="shared" si="190"/>
        <v>1</v>
      </c>
      <c r="AH397" s="1">
        <f t="shared" si="191"/>
        <v>0</v>
      </c>
      <c r="AI397" s="1">
        <f t="shared" si="192"/>
        <v>1</v>
      </c>
    </row>
    <row r="398" spans="1:35" s="1" customFormat="1" ht="14.25" customHeight="1" x14ac:dyDescent="0.25">
      <c r="A398" s="31">
        <v>0</v>
      </c>
      <c r="B398" s="31">
        <v>2</v>
      </c>
      <c r="C398" s="31">
        <v>7</v>
      </c>
      <c r="D398" s="32" t="s">
        <v>1205</v>
      </c>
      <c r="E398" s="32" t="s">
        <v>1332</v>
      </c>
      <c r="F398" s="32" t="s">
        <v>1206</v>
      </c>
      <c r="G398" s="32" t="s">
        <v>39</v>
      </c>
      <c r="H398" s="32" t="s">
        <v>354</v>
      </c>
      <c r="I398" s="31" t="s">
        <v>1685</v>
      </c>
      <c r="J398" s="31">
        <v>99</v>
      </c>
      <c r="K398" s="33" t="s">
        <v>955</v>
      </c>
      <c r="L398" s="33" t="s">
        <v>729</v>
      </c>
      <c r="M398" s="34" t="s">
        <v>1435</v>
      </c>
      <c r="N398" s="34" t="s">
        <v>1748</v>
      </c>
      <c r="O398" s="35">
        <v>1</v>
      </c>
      <c r="P398" s="35"/>
      <c r="Q398" s="32"/>
      <c r="S398" s="1">
        <f t="shared" si="193"/>
        <v>0</v>
      </c>
      <c r="T398" s="1">
        <f t="shared" si="194"/>
        <v>0</v>
      </c>
      <c r="U398" s="1">
        <f t="shared" si="195"/>
        <v>0</v>
      </c>
      <c r="V398" s="1">
        <f t="shared" si="196"/>
        <v>0</v>
      </c>
      <c r="W398" s="1">
        <f t="shared" si="197"/>
        <v>0</v>
      </c>
      <c r="X398" s="1">
        <f t="shared" si="198"/>
        <v>0</v>
      </c>
      <c r="Y398" s="1">
        <f t="shared" si="199"/>
        <v>0</v>
      </c>
      <c r="Z398" s="1">
        <f t="shared" si="200"/>
        <v>0</v>
      </c>
      <c r="AA398" s="1">
        <f t="shared" si="201"/>
        <v>0</v>
      </c>
      <c r="AB398" s="1">
        <f t="shared" si="202"/>
        <v>0</v>
      </c>
      <c r="AD398" s="1">
        <f t="shared" si="203"/>
        <v>0</v>
      </c>
      <c r="AE398" s="1">
        <f t="shared" si="204"/>
        <v>1</v>
      </c>
      <c r="AF398" s="1">
        <f t="shared" si="189"/>
        <v>0</v>
      </c>
      <c r="AG398" s="1">
        <f t="shared" si="190"/>
        <v>1</v>
      </c>
      <c r="AH398" s="1">
        <f t="shared" si="191"/>
        <v>0</v>
      </c>
      <c r="AI398" s="1">
        <f t="shared" si="192"/>
        <v>1</v>
      </c>
    </row>
    <row r="399" spans="1:35" s="1" customFormat="1" ht="14.25" customHeight="1" x14ac:dyDescent="0.25">
      <c r="A399" s="31">
        <v>0</v>
      </c>
      <c r="B399" s="31">
        <v>2</v>
      </c>
      <c r="C399" s="31">
        <v>7</v>
      </c>
      <c r="D399" s="32" t="s">
        <v>55</v>
      </c>
      <c r="E399" s="32" t="s">
        <v>28</v>
      </c>
      <c r="F399" s="32" t="s">
        <v>644</v>
      </c>
      <c r="G399" s="32" t="s">
        <v>535</v>
      </c>
      <c r="H399" s="32" t="s">
        <v>354</v>
      </c>
      <c r="I399" s="31" t="s">
        <v>394</v>
      </c>
      <c r="J399" s="31">
        <v>6</v>
      </c>
      <c r="K399" s="33" t="s">
        <v>712</v>
      </c>
      <c r="L399" s="33" t="s">
        <v>713</v>
      </c>
      <c r="M399" s="34" t="s">
        <v>731</v>
      </c>
      <c r="N399" s="34" t="s">
        <v>1761</v>
      </c>
      <c r="O399" s="35">
        <v>1</v>
      </c>
      <c r="P399" s="35"/>
      <c r="Q399" s="32"/>
      <c r="S399" s="1">
        <f t="shared" si="193"/>
        <v>0</v>
      </c>
      <c r="T399" s="1">
        <f t="shared" si="194"/>
        <v>0</v>
      </c>
      <c r="U399" s="1">
        <f t="shared" si="195"/>
        <v>0</v>
      </c>
      <c r="V399" s="1">
        <f t="shared" si="196"/>
        <v>0</v>
      </c>
      <c r="W399" s="1">
        <f t="shared" si="197"/>
        <v>0</v>
      </c>
      <c r="X399" s="1">
        <f t="shared" si="198"/>
        <v>1</v>
      </c>
      <c r="Y399" s="1">
        <f t="shared" si="199"/>
        <v>0</v>
      </c>
      <c r="Z399" s="1">
        <f t="shared" si="200"/>
        <v>0</v>
      </c>
      <c r="AA399" s="1">
        <f t="shared" si="201"/>
        <v>0</v>
      </c>
      <c r="AB399" s="1">
        <f t="shared" si="202"/>
        <v>0</v>
      </c>
      <c r="AD399" s="1">
        <f t="shared" si="203"/>
        <v>0</v>
      </c>
      <c r="AE399" s="1">
        <f t="shared" si="204"/>
        <v>1</v>
      </c>
      <c r="AF399" s="1">
        <f t="shared" si="189"/>
        <v>0</v>
      </c>
      <c r="AG399" s="1">
        <f t="shared" si="190"/>
        <v>1</v>
      </c>
      <c r="AH399" s="1">
        <f t="shared" si="191"/>
        <v>0</v>
      </c>
      <c r="AI399" s="1">
        <f t="shared" si="192"/>
        <v>1</v>
      </c>
    </row>
    <row r="400" spans="1:35" s="1" customFormat="1" ht="14.25" customHeight="1" x14ac:dyDescent="0.25">
      <c r="A400" s="31">
        <v>1</v>
      </c>
      <c r="B400" s="31">
        <v>2</v>
      </c>
      <c r="C400" s="31">
        <v>7</v>
      </c>
      <c r="D400" s="32" t="s">
        <v>55</v>
      </c>
      <c r="E400" s="32" t="s">
        <v>28</v>
      </c>
      <c r="F400" s="32" t="s">
        <v>216</v>
      </c>
      <c r="G400" s="32" t="s">
        <v>39</v>
      </c>
      <c r="H400" s="32" t="s">
        <v>354</v>
      </c>
      <c r="I400" s="31" t="s">
        <v>30</v>
      </c>
      <c r="J400" s="31">
        <v>99</v>
      </c>
      <c r="K400" s="33" t="s">
        <v>712</v>
      </c>
      <c r="L400" s="33" t="s">
        <v>713</v>
      </c>
      <c r="M400" s="34" t="s">
        <v>731</v>
      </c>
      <c r="N400" s="34" t="s">
        <v>1761</v>
      </c>
      <c r="O400" s="35">
        <v>1</v>
      </c>
      <c r="P400" s="35"/>
      <c r="Q400" s="32"/>
      <c r="S400" s="1">
        <f t="shared" si="193"/>
        <v>0</v>
      </c>
      <c r="T400" s="1">
        <f t="shared" si="194"/>
        <v>0</v>
      </c>
      <c r="U400" s="1">
        <f t="shared" si="195"/>
        <v>0</v>
      </c>
      <c r="V400" s="1">
        <f t="shared" si="196"/>
        <v>0</v>
      </c>
      <c r="W400" s="1">
        <f t="shared" si="197"/>
        <v>0</v>
      </c>
      <c r="X400" s="1">
        <f t="shared" si="198"/>
        <v>0</v>
      </c>
      <c r="Y400" s="1">
        <f t="shared" si="199"/>
        <v>0</v>
      </c>
      <c r="Z400" s="1">
        <f t="shared" si="200"/>
        <v>0</v>
      </c>
      <c r="AA400" s="1">
        <f t="shared" si="201"/>
        <v>0</v>
      </c>
      <c r="AB400" s="1">
        <f t="shared" si="202"/>
        <v>0</v>
      </c>
      <c r="AD400" s="1">
        <f t="shared" si="203"/>
        <v>0</v>
      </c>
      <c r="AE400" s="1">
        <f t="shared" si="204"/>
        <v>1</v>
      </c>
      <c r="AF400" s="1">
        <f t="shared" ref="AF400:AF464" si="229">+O400*P400*(1-A400)</f>
        <v>0</v>
      </c>
      <c r="AG400" s="1">
        <f t="shared" ref="AG400:AG464" si="230">O400*(1-P400)*(1-A400)</f>
        <v>0</v>
      </c>
      <c r="AH400" s="1">
        <f t="shared" ref="AH400:AH464" si="231">+P400*(1-A400)</f>
        <v>0</v>
      </c>
      <c r="AI400" s="1">
        <f t="shared" ref="AI400:AI464" si="232">+(1-A400)*(1-P400)</f>
        <v>0</v>
      </c>
    </row>
    <row r="401" spans="1:35" s="1" customFormat="1" ht="14.25" customHeight="1" x14ac:dyDescent="0.25">
      <c r="A401" s="31">
        <v>1</v>
      </c>
      <c r="B401" s="31">
        <v>2</v>
      </c>
      <c r="C401" s="31">
        <v>7</v>
      </c>
      <c r="D401" s="32" t="s">
        <v>55</v>
      </c>
      <c r="E401" s="32" t="s">
        <v>28</v>
      </c>
      <c r="F401" s="32" t="s">
        <v>215</v>
      </c>
      <c r="G401" s="32" t="s">
        <v>39</v>
      </c>
      <c r="H401" s="32" t="s">
        <v>354</v>
      </c>
      <c r="I401" s="31" t="s">
        <v>394</v>
      </c>
      <c r="J401" s="31">
        <v>99</v>
      </c>
      <c r="K401" s="33" t="s">
        <v>712</v>
      </c>
      <c r="L401" s="33" t="s">
        <v>713</v>
      </c>
      <c r="M401" s="34" t="s">
        <v>731</v>
      </c>
      <c r="N401" s="34" t="s">
        <v>1761</v>
      </c>
      <c r="O401" s="35">
        <v>1</v>
      </c>
      <c r="P401" s="35"/>
      <c r="Q401" s="32"/>
      <c r="S401" s="1">
        <f t="shared" si="193"/>
        <v>0</v>
      </c>
      <c r="T401" s="1">
        <f t="shared" si="194"/>
        <v>0</v>
      </c>
      <c r="U401" s="1">
        <f t="shared" si="195"/>
        <v>0</v>
      </c>
      <c r="V401" s="1">
        <f t="shared" si="196"/>
        <v>0</v>
      </c>
      <c r="W401" s="1">
        <f t="shared" si="197"/>
        <v>0</v>
      </c>
      <c r="X401" s="1">
        <f t="shared" si="198"/>
        <v>0</v>
      </c>
      <c r="Y401" s="1">
        <f t="shared" si="199"/>
        <v>0</v>
      </c>
      <c r="Z401" s="1">
        <f t="shared" si="200"/>
        <v>0</v>
      </c>
      <c r="AA401" s="1">
        <f t="shared" si="201"/>
        <v>0</v>
      </c>
      <c r="AB401" s="1">
        <f t="shared" si="202"/>
        <v>0</v>
      </c>
      <c r="AD401" s="1">
        <f t="shared" si="203"/>
        <v>0</v>
      </c>
      <c r="AE401" s="1">
        <f t="shared" si="204"/>
        <v>1</v>
      </c>
      <c r="AF401" s="1">
        <f t="shared" si="229"/>
        <v>0</v>
      </c>
      <c r="AG401" s="1">
        <f t="shared" si="230"/>
        <v>0</v>
      </c>
      <c r="AH401" s="1">
        <f t="shared" si="231"/>
        <v>0</v>
      </c>
      <c r="AI401" s="1">
        <f t="shared" si="232"/>
        <v>0</v>
      </c>
    </row>
    <row r="402" spans="1:35" s="1" customFormat="1" ht="14.25" customHeight="1" x14ac:dyDescent="0.25">
      <c r="A402" s="31">
        <v>1</v>
      </c>
      <c r="B402" s="31">
        <v>2</v>
      </c>
      <c r="C402" s="31">
        <v>7</v>
      </c>
      <c r="D402" s="32" t="s">
        <v>55</v>
      </c>
      <c r="E402" s="32" t="s">
        <v>28</v>
      </c>
      <c r="F402" s="32" t="s">
        <v>217</v>
      </c>
      <c r="G402" s="32" t="s">
        <v>218</v>
      </c>
      <c r="H402" s="32" t="s">
        <v>354</v>
      </c>
      <c r="I402" s="31" t="s">
        <v>395</v>
      </c>
      <c r="J402" s="31">
        <v>99</v>
      </c>
      <c r="K402" s="33" t="s">
        <v>712</v>
      </c>
      <c r="L402" s="33" t="s">
        <v>713</v>
      </c>
      <c r="M402" s="34" t="s">
        <v>731</v>
      </c>
      <c r="N402" s="34" t="s">
        <v>1761</v>
      </c>
      <c r="O402" s="35">
        <v>1</v>
      </c>
      <c r="P402" s="35"/>
      <c r="Q402" s="32"/>
      <c r="S402" s="1">
        <f t="shared" si="193"/>
        <v>0</v>
      </c>
      <c r="T402" s="1">
        <f t="shared" si="194"/>
        <v>0</v>
      </c>
      <c r="U402" s="1">
        <f t="shared" si="195"/>
        <v>0</v>
      </c>
      <c r="V402" s="1">
        <f t="shared" si="196"/>
        <v>0</v>
      </c>
      <c r="W402" s="1">
        <f t="shared" si="197"/>
        <v>0</v>
      </c>
      <c r="X402" s="1">
        <f t="shared" si="198"/>
        <v>0</v>
      </c>
      <c r="Y402" s="1">
        <f t="shared" si="199"/>
        <v>0</v>
      </c>
      <c r="Z402" s="1">
        <f t="shared" si="200"/>
        <v>0</v>
      </c>
      <c r="AA402" s="1">
        <f t="shared" si="201"/>
        <v>0</v>
      </c>
      <c r="AB402" s="1">
        <f t="shared" si="202"/>
        <v>0</v>
      </c>
      <c r="AD402" s="1">
        <f t="shared" si="203"/>
        <v>0</v>
      </c>
      <c r="AE402" s="1">
        <f t="shared" si="204"/>
        <v>1</v>
      </c>
      <c r="AF402" s="1">
        <f t="shared" si="229"/>
        <v>0</v>
      </c>
      <c r="AG402" s="1">
        <f t="shared" si="230"/>
        <v>0</v>
      </c>
      <c r="AH402" s="1">
        <f t="shared" si="231"/>
        <v>0</v>
      </c>
      <c r="AI402" s="1">
        <f t="shared" si="232"/>
        <v>0</v>
      </c>
    </row>
    <row r="403" spans="1:35" s="1" customFormat="1" ht="14.25" customHeight="1" x14ac:dyDescent="0.25">
      <c r="A403" s="44">
        <v>0</v>
      </c>
      <c r="B403" s="44">
        <v>2</v>
      </c>
      <c r="C403" s="44">
        <v>7</v>
      </c>
      <c r="D403" s="45" t="s">
        <v>68</v>
      </c>
      <c r="E403" s="45" t="s">
        <v>28</v>
      </c>
      <c r="F403" s="45" t="s">
        <v>253</v>
      </c>
      <c r="G403" s="45" t="s">
        <v>254</v>
      </c>
      <c r="H403" s="45" t="s">
        <v>354</v>
      </c>
      <c r="I403" s="44" t="s">
        <v>414</v>
      </c>
      <c r="J403" s="44">
        <v>99</v>
      </c>
      <c r="K403" s="46" t="s">
        <v>713</v>
      </c>
      <c r="L403" s="46" t="s">
        <v>713</v>
      </c>
      <c r="M403" s="47" t="s">
        <v>731</v>
      </c>
      <c r="N403" s="47" t="s">
        <v>1802</v>
      </c>
      <c r="O403" s="48"/>
      <c r="P403" s="48"/>
      <c r="Q403" s="45"/>
      <c r="S403" s="1">
        <f t="shared" ref="S403:S409" si="233">IF(J403=$S$7,1,0)</f>
        <v>0</v>
      </c>
      <c r="T403" s="1">
        <f t="shared" ref="T403:T409" si="234">IF(J403=$T$7,1,0)</f>
        <v>0</v>
      </c>
      <c r="U403" s="1">
        <f t="shared" ref="U403:U409" si="235">IF(J403=$U$7,1,0)</f>
        <v>0</v>
      </c>
      <c r="V403" s="1">
        <f t="shared" ref="V403:V409" si="236">IF(J403=$V$7,1,0)</f>
        <v>0</v>
      </c>
      <c r="W403" s="1">
        <f t="shared" ref="W403:W409" si="237">IF(J403=$W$7,1,0)</f>
        <v>0</v>
      </c>
      <c r="X403" s="1">
        <f t="shared" ref="X403:X409" si="238">IF(J403=$X$7,1,0)</f>
        <v>0</v>
      </c>
      <c r="Y403" s="1">
        <f t="shared" ref="Y403:Y409" si="239">IF(J403=$Y$7,1,0)</f>
        <v>0</v>
      </c>
      <c r="Z403" s="1">
        <f t="shared" ref="Z403:Z409" si="240">IF(J403=$Z$7,1,0)</f>
        <v>0</v>
      </c>
      <c r="AA403" s="1">
        <f t="shared" ref="AA403:AA409" si="241">IF(J403=$AA$7,1,0)</f>
        <v>0</v>
      </c>
      <c r="AB403" s="1">
        <f t="shared" ref="AB403:AB409" si="242">IF(J403=$AB$7,1,0)</f>
        <v>0</v>
      </c>
      <c r="AD403" s="1">
        <f t="shared" ref="AD403:AD409" si="243">+O403*P403</f>
        <v>0</v>
      </c>
      <c r="AE403" s="1">
        <f t="shared" ref="AE403:AE409" si="244">O403*(1-P403)</f>
        <v>0</v>
      </c>
      <c r="AF403" s="1">
        <f t="shared" ref="AF403:AF409" si="245">+O403*P403*(1-A403)</f>
        <v>0</v>
      </c>
      <c r="AG403" s="1">
        <f t="shared" ref="AG403:AG409" si="246">O403*(1-P403)*(1-A403)</f>
        <v>0</v>
      </c>
      <c r="AH403" s="1">
        <f t="shared" ref="AH403:AH409" si="247">+P403*(1-A403)</f>
        <v>0</v>
      </c>
      <c r="AI403" s="1">
        <f t="shared" ref="AI403:AI409" si="248">+(1-A403)*(1-P403)</f>
        <v>1</v>
      </c>
    </row>
    <row r="404" spans="1:35" s="1" customFormat="1" ht="14.25" customHeight="1" x14ac:dyDescent="0.25">
      <c r="A404" s="31">
        <v>0</v>
      </c>
      <c r="B404" s="31">
        <v>2</v>
      </c>
      <c r="C404" s="31">
        <v>7</v>
      </c>
      <c r="D404" s="32" t="s">
        <v>2018</v>
      </c>
      <c r="E404" s="32" t="s">
        <v>28</v>
      </c>
      <c r="F404" s="32" t="s">
        <v>2020</v>
      </c>
      <c r="G404" s="32" t="s">
        <v>1104</v>
      </c>
      <c r="H404" s="32" t="s">
        <v>354</v>
      </c>
      <c r="I404" s="31" t="s">
        <v>2021</v>
      </c>
      <c r="J404" s="31">
        <v>1</v>
      </c>
      <c r="K404" s="33" t="s">
        <v>703</v>
      </c>
      <c r="L404" s="33"/>
      <c r="M404" s="34"/>
      <c r="N404" s="34" t="s">
        <v>1727</v>
      </c>
      <c r="O404" s="35">
        <v>1</v>
      </c>
      <c r="P404" s="35">
        <v>1</v>
      </c>
      <c r="Q404" s="32" t="s">
        <v>2023</v>
      </c>
      <c r="S404" s="1">
        <f t="shared" si="233"/>
        <v>1</v>
      </c>
      <c r="T404" s="1">
        <f t="shared" si="234"/>
        <v>0</v>
      </c>
      <c r="U404" s="1">
        <f t="shared" si="235"/>
        <v>0</v>
      </c>
      <c r="V404" s="1">
        <f t="shared" si="236"/>
        <v>0</v>
      </c>
      <c r="W404" s="1">
        <f t="shared" si="237"/>
        <v>0</v>
      </c>
      <c r="X404" s="1">
        <f t="shared" si="238"/>
        <v>0</v>
      </c>
      <c r="Y404" s="1">
        <f t="shared" si="239"/>
        <v>0</v>
      </c>
      <c r="Z404" s="1">
        <f t="shared" si="240"/>
        <v>0</v>
      </c>
      <c r="AA404" s="1">
        <f t="shared" si="241"/>
        <v>0</v>
      </c>
      <c r="AB404" s="1">
        <f t="shared" si="242"/>
        <v>0</v>
      </c>
      <c r="AD404" s="1">
        <f t="shared" si="243"/>
        <v>1</v>
      </c>
      <c r="AE404" s="1">
        <f t="shared" si="244"/>
        <v>0</v>
      </c>
      <c r="AF404" s="1">
        <f t="shared" si="245"/>
        <v>1</v>
      </c>
      <c r="AG404" s="1">
        <f t="shared" si="246"/>
        <v>0</v>
      </c>
      <c r="AH404" s="1">
        <f t="shared" si="247"/>
        <v>1</v>
      </c>
      <c r="AI404" s="1">
        <f t="shared" si="248"/>
        <v>0</v>
      </c>
    </row>
    <row r="405" spans="1:35" s="1" customFormat="1" ht="14.25" customHeight="1" x14ac:dyDescent="0.25">
      <c r="A405" s="31">
        <v>1</v>
      </c>
      <c r="B405" s="31">
        <v>2</v>
      </c>
      <c r="C405" s="31">
        <v>7</v>
      </c>
      <c r="D405" s="32" t="s">
        <v>2018</v>
      </c>
      <c r="E405" s="32" t="s">
        <v>28</v>
      </c>
      <c r="F405" s="32" t="s">
        <v>2019</v>
      </c>
      <c r="G405" s="36" t="s">
        <v>2025</v>
      </c>
      <c r="H405" s="32" t="s">
        <v>354</v>
      </c>
      <c r="I405" s="31" t="s">
        <v>2022</v>
      </c>
      <c r="J405" s="31">
        <v>8</v>
      </c>
      <c r="K405" s="33" t="s">
        <v>703</v>
      </c>
      <c r="L405" s="33"/>
      <c r="M405" s="34"/>
      <c r="N405" s="34" t="s">
        <v>1727</v>
      </c>
      <c r="O405" s="35">
        <v>1</v>
      </c>
      <c r="P405" s="35">
        <v>1</v>
      </c>
      <c r="Q405" s="32" t="s">
        <v>2024</v>
      </c>
      <c r="S405" s="1">
        <f t="shared" si="233"/>
        <v>0</v>
      </c>
      <c r="T405" s="1">
        <f t="shared" si="234"/>
        <v>0</v>
      </c>
      <c r="U405" s="1">
        <f t="shared" si="235"/>
        <v>0</v>
      </c>
      <c r="V405" s="1">
        <f t="shared" si="236"/>
        <v>0</v>
      </c>
      <c r="W405" s="1">
        <f t="shared" si="237"/>
        <v>0</v>
      </c>
      <c r="X405" s="1">
        <f t="shared" si="238"/>
        <v>0</v>
      </c>
      <c r="Y405" s="1">
        <f t="shared" si="239"/>
        <v>0</v>
      </c>
      <c r="Z405" s="1">
        <f t="shared" si="240"/>
        <v>1</v>
      </c>
      <c r="AA405" s="1">
        <f t="shared" si="241"/>
        <v>0</v>
      </c>
      <c r="AB405" s="1">
        <f t="shared" si="242"/>
        <v>0</v>
      </c>
      <c r="AD405" s="1">
        <f t="shared" si="243"/>
        <v>1</v>
      </c>
      <c r="AE405" s="1">
        <f t="shared" si="244"/>
        <v>0</v>
      </c>
      <c r="AF405" s="1">
        <f t="shared" si="245"/>
        <v>0</v>
      </c>
      <c r="AG405" s="1">
        <f t="shared" si="246"/>
        <v>0</v>
      </c>
      <c r="AH405" s="1">
        <f t="shared" si="247"/>
        <v>0</v>
      </c>
      <c r="AI405" s="1">
        <f t="shared" si="248"/>
        <v>0</v>
      </c>
    </row>
    <row r="406" spans="1:35" s="1" customFormat="1" ht="14.25" customHeight="1" x14ac:dyDescent="0.25">
      <c r="A406" s="15">
        <v>0</v>
      </c>
      <c r="B406" s="15">
        <v>2</v>
      </c>
      <c r="C406" s="15">
        <v>7</v>
      </c>
      <c r="D406" s="16" t="s">
        <v>69</v>
      </c>
      <c r="E406" s="16" t="s">
        <v>28</v>
      </c>
      <c r="F406" s="16" t="s">
        <v>255</v>
      </c>
      <c r="G406" s="16" t="s">
        <v>207</v>
      </c>
      <c r="H406" s="16" t="s">
        <v>354</v>
      </c>
      <c r="I406" s="15" t="s">
        <v>415</v>
      </c>
      <c r="J406" s="15">
        <v>99</v>
      </c>
      <c r="K406" s="10" t="s">
        <v>955</v>
      </c>
      <c r="L406" s="10" t="s">
        <v>713</v>
      </c>
      <c r="M406" s="19" t="s">
        <v>731</v>
      </c>
      <c r="N406" s="17"/>
      <c r="Q406" s="16"/>
      <c r="S406" s="1">
        <f t="shared" si="233"/>
        <v>0</v>
      </c>
      <c r="T406" s="1">
        <f t="shared" si="234"/>
        <v>0</v>
      </c>
      <c r="U406" s="1">
        <f t="shared" si="235"/>
        <v>0</v>
      </c>
      <c r="V406" s="1">
        <f t="shared" si="236"/>
        <v>0</v>
      </c>
      <c r="W406" s="1">
        <f t="shared" si="237"/>
        <v>0</v>
      </c>
      <c r="X406" s="1">
        <f t="shared" si="238"/>
        <v>0</v>
      </c>
      <c r="Y406" s="1">
        <f t="shared" si="239"/>
        <v>0</v>
      </c>
      <c r="Z406" s="1">
        <f t="shared" si="240"/>
        <v>0</v>
      </c>
      <c r="AA406" s="1">
        <f t="shared" si="241"/>
        <v>0</v>
      </c>
      <c r="AB406" s="1">
        <f t="shared" si="242"/>
        <v>0</v>
      </c>
      <c r="AD406" s="1">
        <f t="shared" si="243"/>
        <v>0</v>
      </c>
      <c r="AE406" s="1">
        <f t="shared" si="244"/>
        <v>0</v>
      </c>
      <c r="AF406" s="1">
        <f t="shared" si="245"/>
        <v>0</v>
      </c>
      <c r="AG406" s="1">
        <f t="shared" si="246"/>
        <v>0</v>
      </c>
      <c r="AH406" s="1">
        <f t="shared" si="247"/>
        <v>0</v>
      </c>
      <c r="AI406" s="1">
        <f t="shared" si="248"/>
        <v>1</v>
      </c>
    </row>
    <row r="407" spans="1:35" s="1" customFormat="1" ht="14.25" customHeight="1" x14ac:dyDescent="0.25">
      <c r="A407" s="15">
        <v>1</v>
      </c>
      <c r="B407" s="15">
        <v>2</v>
      </c>
      <c r="C407" s="15">
        <v>7</v>
      </c>
      <c r="D407" s="16" t="s">
        <v>69</v>
      </c>
      <c r="E407" s="16" t="s">
        <v>28</v>
      </c>
      <c r="F407" s="20" t="s">
        <v>1874</v>
      </c>
      <c r="G407" s="16" t="s">
        <v>256</v>
      </c>
      <c r="H407" s="16" t="s">
        <v>354</v>
      </c>
      <c r="I407" s="15" t="s">
        <v>416</v>
      </c>
      <c r="J407" s="15">
        <v>99</v>
      </c>
      <c r="K407" s="10" t="s">
        <v>955</v>
      </c>
      <c r="L407" s="10" t="s">
        <v>713</v>
      </c>
      <c r="M407" s="19" t="s">
        <v>731</v>
      </c>
      <c r="N407" s="17"/>
      <c r="Q407" s="16"/>
      <c r="S407" s="1">
        <f t="shared" si="233"/>
        <v>0</v>
      </c>
      <c r="T407" s="1">
        <f t="shared" si="234"/>
        <v>0</v>
      </c>
      <c r="U407" s="1">
        <f t="shared" si="235"/>
        <v>0</v>
      </c>
      <c r="V407" s="1">
        <f t="shared" si="236"/>
        <v>0</v>
      </c>
      <c r="W407" s="1">
        <f t="shared" si="237"/>
        <v>0</v>
      </c>
      <c r="X407" s="1">
        <f t="shared" si="238"/>
        <v>0</v>
      </c>
      <c r="Y407" s="1">
        <f t="shared" si="239"/>
        <v>0</v>
      </c>
      <c r="Z407" s="1">
        <f t="shared" si="240"/>
        <v>0</v>
      </c>
      <c r="AA407" s="1">
        <f t="shared" si="241"/>
        <v>0</v>
      </c>
      <c r="AB407" s="1">
        <f t="shared" si="242"/>
        <v>0</v>
      </c>
      <c r="AD407" s="1">
        <f t="shared" si="243"/>
        <v>0</v>
      </c>
      <c r="AE407" s="1">
        <f t="shared" si="244"/>
        <v>0</v>
      </c>
      <c r="AF407" s="1">
        <f t="shared" si="245"/>
        <v>0</v>
      </c>
      <c r="AG407" s="1">
        <f t="shared" si="246"/>
        <v>0</v>
      </c>
      <c r="AH407" s="1">
        <f t="shared" si="247"/>
        <v>0</v>
      </c>
      <c r="AI407" s="1">
        <f t="shared" si="248"/>
        <v>0</v>
      </c>
    </row>
    <row r="408" spans="1:35" s="1" customFormat="1" ht="14.25" customHeight="1" x14ac:dyDescent="0.25">
      <c r="A408" s="15">
        <v>1</v>
      </c>
      <c r="B408" s="15">
        <v>2</v>
      </c>
      <c r="C408" s="15">
        <v>7</v>
      </c>
      <c r="D408" s="16" t="s">
        <v>69</v>
      </c>
      <c r="E408" s="16" t="s">
        <v>28</v>
      </c>
      <c r="F408" s="16" t="s">
        <v>570</v>
      </c>
      <c r="G408" s="16" t="s">
        <v>571</v>
      </c>
      <c r="H408" s="16" t="s">
        <v>354</v>
      </c>
      <c r="I408" s="15" t="s">
        <v>580</v>
      </c>
      <c r="J408" s="15">
        <v>99</v>
      </c>
      <c r="K408" s="10" t="s">
        <v>955</v>
      </c>
      <c r="L408" s="10" t="s">
        <v>713</v>
      </c>
      <c r="M408" s="19" t="s">
        <v>731</v>
      </c>
      <c r="N408" s="17"/>
      <c r="Q408" s="16"/>
      <c r="S408" s="1">
        <f t="shared" si="233"/>
        <v>0</v>
      </c>
      <c r="T408" s="1">
        <f t="shared" si="234"/>
        <v>0</v>
      </c>
      <c r="U408" s="1">
        <f t="shared" si="235"/>
        <v>0</v>
      </c>
      <c r="V408" s="1">
        <f t="shared" si="236"/>
        <v>0</v>
      </c>
      <c r="W408" s="1">
        <f t="shared" si="237"/>
        <v>0</v>
      </c>
      <c r="X408" s="1">
        <f t="shared" si="238"/>
        <v>0</v>
      </c>
      <c r="Y408" s="1">
        <f t="shared" si="239"/>
        <v>0</v>
      </c>
      <c r="Z408" s="1">
        <f t="shared" si="240"/>
        <v>0</v>
      </c>
      <c r="AA408" s="1">
        <f t="shared" si="241"/>
        <v>0</v>
      </c>
      <c r="AB408" s="1">
        <f t="shared" si="242"/>
        <v>0</v>
      </c>
      <c r="AD408" s="1">
        <f t="shared" si="243"/>
        <v>0</v>
      </c>
      <c r="AE408" s="1">
        <f t="shared" si="244"/>
        <v>0</v>
      </c>
      <c r="AF408" s="1">
        <f t="shared" si="245"/>
        <v>0</v>
      </c>
      <c r="AG408" s="1">
        <f t="shared" si="246"/>
        <v>0</v>
      </c>
      <c r="AH408" s="1">
        <f t="shared" si="247"/>
        <v>0</v>
      </c>
      <c r="AI408" s="1">
        <f t="shared" si="248"/>
        <v>0</v>
      </c>
    </row>
    <row r="409" spans="1:35" s="1" customFormat="1" ht="14.25" customHeight="1" x14ac:dyDescent="0.25">
      <c r="A409" s="44">
        <v>0</v>
      </c>
      <c r="B409" s="44">
        <v>2</v>
      </c>
      <c r="C409" s="44">
        <v>7</v>
      </c>
      <c r="D409" s="45" t="s">
        <v>71</v>
      </c>
      <c r="E409" s="45" t="s">
        <v>28</v>
      </c>
      <c r="F409" s="45" t="s">
        <v>1349</v>
      </c>
      <c r="G409" s="45" t="s">
        <v>259</v>
      </c>
      <c r="H409" s="45" t="s">
        <v>354</v>
      </c>
      <c r="I409" s="44" t="s">
        <v>418</v>
      </c>
      <c r="J409" s="44">
        <v>99</v>
      </c>
      <c r="K409" s="46" t="s">
        <v>713</v>
      </c>
      <c r="L409" s="46" t="s">
        <v>713</v>
      </c>
      <c r="M409" s="47" t="s">
        <v>731</v>
      </c>
      <c r="N409" s="47" t="s">
        <v>1802</v>
      </c>
      <c r="O409" s="48"/>
      <c r="P409" s="48"/>
      <c r="Q409" s="45"/>
      <c r="S409" s="1">
        <f t="shared" si="233"/>
        <v>0</v>
      </c>
      <c r="T409" s="1">
        <f t="shared" si="234"/>
        <v>0</v>
      </c>
      <c r="U409" s="1">
        <f t="shared" si="235"/>
        <v>0</v>
      </c>
      <c r="V409" s="1">
        <f t="shared" si="236"/>
        <v>0</v>
      </c>
      <c r="W409" s="1">
        <f t="shared" si="237"/>
        <v>0</v>
      </c>
      <c r="X409" s="1">
        <f t="shared" si="238"/>
        <v>0</v>
      </c>
      <c r="Y409" s="1">
        <f t="shared" si="239"/>
        <v>0</v>
      </c>
      <c r="Z409" s="1">
        <f t="shared" si="240"/>
        <v>0</v>
      </c>
      <c r="AA409" s="1">
        <f t="shared" si="241"/>
        <v>0</v>
      </c>
      <c r="AB409" s="1">
        <f t="shared" si="242"/>
        <v>0</v>
      </c>
      <c r="AD409" s="1">
        <f t="shared" si="243"/>
        <v>0</v>
      </c>
      <c r="AE409" s="1">
        <f t="shared" si="244"/>
        <v>0</v>
      </c>
      <c r="AF409" s="1">
        <f t="shared" si="245"/>
        <v>0</v>
      </c>
      <c r="AG409" s="1">
        <f t="shared" si="246"/>
        <v>0</v>
      </c>
      <c r="AH409" s="1">
        <f t="shared" si="247"/>
        <v>0</v>
      </c>
      <c r="AI409" s="1">
        <f t="shared" si="248"/>
        <v>1</v>
      </c>
    </row>
    <row r="410" spans="1:35" s="1" customFormat="1" ht="14.25" customHeight="1" x14ac:dyDescent="0.25">
      <c r="A410" s="44">
        <v>0</v>
      </c>
      <c r="B410" s="44">
        <v>2</v>
      </c>
      <c r="C410" s="44">
        <v>7</v>
      </c>
      <c r="D410" s="45" t="s">
        <v>1062</v>
      </c>
      <c r="E410" s="45" t="s">
        <v>28</v>
      </c>
      <c r="F410" s="45" t="s">
        <v>1063</v>
      </c>
      <c r="G410" s="45" t="s">
        <v>1064</v>
      </c>
      <c r="H410" s="45" t="s">
        <v>354</v>
      </c>
      <c r="I410" s="44" t="s">
        <v>1065</v>
      </c>
      <c r="J410" s="44">
        <v>99</v>
      </c>
      <c r="K410" s="46" t="s">
        <v>713</v>
      </c>
      <c r="L410" s="46" t="s">
        <v>713</v>
      </c>
      <c r="M410" s="47" t="s">
        <v>731</v>
      </c>
      <c r="N410" s="47" t="s">
        <v>1802</v>
      </c>
      <c r="O410" s="48"/>
      <c r="P410" s="48"/>
      <c r="Q410" s="45"/>
      <c r="S410" s="1">
        <f t="shared" ref="S410:S475" si="249">IF(J410=$S$7,1,0)</f>
        <v>0</v>
      </c>
      <c r="T410" s="1">
        <f t="shared" ref="T410:T475" si="250">IF(J410=$T$7,1,0)</f>
        <v>0</v>
      </c>
      <c r="U410" s="1">
        <f t="shared" ref="U410:U475" si="251">IF(J410=$U$7,1,0)</f>
        <v>0</v>
      </c>
      <c r="V410" s="1">
        <f t="shared" ref="V410:V475" si="252">IF(J410=$V$7,1,0)</f>
        <v>0</v>
      </c>
      <c r="W410" s="1">
        <f t="shared" ref="W410:W475" si="253">IF(J410=$W$7,1,0)</f>
        <v>0</v>
      </c>
      <c r="X410" s="1">
        <f t="shared" ref="X410:X475" si="254">IF(J410=$X$7,1,0)</f>
        <v>0</v>
      </c>
      <c r="Y410" s="1">
        <f t="shared" ref="Y410:Y475" si="255">IF(J410=$Y$7,1,0)</f>
        <v>0</v>
      </c>
      <c r="Z410" s="1">
        <f t="shared" ref="Z410:Z475" si="256">IF(J410=$Z$7,1,0)</f>
        <v>0</v>
      </c>
      <c r="AA410" s="1">
        <f t="shared" ref="AA410:AA475" si="257">IF(J410=$AA$7,1,0)</f>
        <v>0</v>
      </c>
      <c r="AB410" s="1">
        <f t="shared" ref="AB410:AB475" si="258">IF(J410=$AB$7,1,0)</f>
        <v>0</v>
      </c>
      <c r="AD410" s="1">
        <f t="shared" ref="AD410:AD475" si="259">+O410*P410</f>
        <v>0</v>
      </c>
      <c r="AE410" s="1">
        <f t="shared" ref="AE410:AE475" si="260">O410*(1-P410)</f>
        <v>0</v>
      </c>
      <c r="AF410" s="1">
        <f t="shared" si="229"/>
        <v>0</v>
      </c>
      <c r="AG410" s="1">
        <f t="shared" si="230"/>
        <v>0</v>
      </c>
      <c r="AH410" s="1">
        <f t="shared" si="231"/>
        <v>0</v>
      </c>
      <c r="AI410" s="1">
        <f t="shared" si="232"/>
        <v>1</v>
      </c>
    </row>
    <row r="411" spans="1:35" s="1" customFormat="1" ht="14.25" customHeight="1" x14ac:dyDescent="0.25">
      <c r="A411" s="31">
        <v>0</v>
      </c>
      <c r="B411" s="31">
        <v>2</v>
      </c>
      <c r="C411" s="31">
        <v>7</v>
      </c>
      <c r="D411" s="32" t="s">
        <v>1806</v>
      </c>
      <c r="E411" s="32" t="s">
        <v>156</v>
      </c>
      <c r="F411" s="32" t="s">
        <v>1807</v>
      </c>
      <c r="G411" s="32"/>
      <c r="H411" s="32" t="s">
        <v>354</v>
      </c>
      <c r="I411" s="31" t="s">
        <v>1808</v>
      </c>
      <c r="J411" s="31">
        <v>99</v>
      </c>
      <c r="K411" s="33" t="s">
        <v>703</v>
      </c>
      <c r="L411" s="33"/>
      <c r="M411" s="34"/>
      <c r="N411" s="34" t="s">
        <v>1727</v>
      </c>
      <c r="O411" s="35">
        <v>1</v>
      </c>
      <c r="P411" s="35">
        <v>1</v>
      </c>
      <c r="Q411" s="32"/>
      <c r="S411" s="1">
        <f t="shared" si="249"/>
        <v>0</v>
      </c>
      <c r="T411" s="1">
        <f t="shared" si="250"/>
        <v>0</v>
      </c>
      <c r="U411" s="1">
        <f t="shared" si="251"/>
        <v>0</v>
      </c>
      <c r="V411" s="1">
        <f t="shared" si="252"/>
        <v>0</v>
      </c>
      <c r="W411" s="1">
        <f t="shared" si="253"/>
        <v>0</v>
      </c>
      <c r="X411" s="1">
        <f t="shared" si="254"/>
        <v>0</v>
      </c>
      <c r="Y411" s="1">
        <f t="shared" si="255"/>
        <v>0</v>
      </c>
      <c r="Z411" s="1">
        <f t="shared" si="256"/>
        <v>0</v>
      </c>
      <c r="AA411" s="1">
        <f t="shared" si="257"/>
        <v>0</v>
      </c>
      <c r="AB411" s="1">
        <f t="shared" si="258"/>
        <v>0</v>
      </c>
      <c r="AD411" s="1">
        <f t="shared" si="259"/>
        <v>1</v>
      </c>
      <c r="AE411" s="1">
        <f t="shared" si="260"/>
        <v>0</v>
      </c>
      <c r="AF411" s="1">
        <f t="shared" si="229"/>
        <v>1</v>
      </c>
      <c r="AG411" s="1">
        <f t="shared" si="230"/>
        <v>0</v>
      </c>
      <c r="AH411" s="1">
        <f t="shared" si="231"/>
        <v>1</v>
      </c>
      <c r="AI411" s="1">
        <f t="shared" si="232"/>
        <v>0</v>
      </c>
    </row>
    <row r="412" spans="1:35" s="1" customFormat="1" ht="14.25" customHeight="1" x14ac:dyDescent="0.25">
      <c r="A412" s="31">
        <v>0</v>
      </c>
      <c r="B412" s="31">
        <v>2</v>
      </c>
      <c r="C412" s="31">
        <v>7</v>
      </c>
      <c r="D412" s="32" t="s">
        <v>1178</v>
      </c>
      <c r="E412" s="32" t="s">
        <v>156</v>
      </c>
      <c r="F412" s="32" t="s">
        <v>1179</v>
      </c>
      <c r="G412" s="32" t="s">
        <v>293</v>
      </c>
      <c r="H412" s="32" t="s">
        <v>354</v>
      </c>
      <c r="I412" s="31" t="s">
        <v>1180</v>
      </c>
      <c r="J412" s="31">
        <v>99</v>
      </c>
      <c r="K412" s="33" t="s">
        <v>713</v>
      </c>
      <c r="L412" s="33" t="s">
        <v>722</v>
      </c>
      <c r="M412" s="34" t="s">
        <v>1434</v>
      </c>
      <c r="N412" s="34" t="s">
        <v>1748</v>
      </c>
      <c r="O412" s="35">
        <v>1</v>
      </c>
      <c r="P412" s="35"/>
      <c r="Q412" s="32"/>
      <c r="S412" s="1">
        <f t="shared" si="249"/>
        <v>0</v>
      </c>
      <c r="T412" s="1">
        <f t="shared" si="250"/>
        <v>0</v>
      </c>
      <c r="U412" s="1">
        <f t="shared" si="251"/>
        <v>0</v>
      </c>
      <c r="V412" s="1">
        <f t="shared" si="252"/>
        <v>0</v>
      </c>
      <c r="W412" s="1">
        <f t="shared" si="253"/>
        <v>0</v>
      </c>
      <c r="X412" s="1">
        <f t="shared" si="254"/>
        <v>0</v>
      </c>
      <c r="Y412" s="1">
        <f t="shared" si="255"/>
        <v>0</v>
      </c>
      <c r="Z412" s="1">
        <f t="shared" si="256"/>
        <v>0</v>
      </c>
      <c r="AA412" s="1">
        <f t="shared" si="257"/>
        <v>0</v>
      </c>
      <c r="AB412" s="1">
        <f t="shared" si="258"/>
        <v>0</v>
      </c>
      <c r="AD412" s="1">
        <f t="shared" si="259"/>
        <v>0</v>
      </c>
      <c r="AE412" s="1">
        <f t="shared" si="260"/>
        <v>1</v>
      </c>
      <c r="AF412" s="1">
        <f t="shared" si="229"/>
        <v>0</v>
      </c>
      <c r="AG412" s="1">
        <f t="shared" si="230"/>
        <v>1</v>
      </c>
      <c r="AH412" s="1">
        <f t="shared" si="231"/>
        <v>0</v>
      </c>
      <c r="AI412" s="1">
        <f t="shared" si="232"/>
        <v>1</v>
      </c>
    </row>
    <row r="413" spans="1:35" s="1" customFormat="1" ht="14.25" customHeight="1" x14ac:dyDescent="0.25">
      <c r="A413" s="31">
        <v>0</v>
      </c>
      <c r="B413" s="31">
        <v>2</v>
      </c>
      <c r="C413" s="31">
        <v>7</v>
      </c>
      <c r="D413" s="32" t="s">
        <v>1153</v>
      </c>
      <c r="E413" s="32" t="s">
        <v>1154</v>
      </c>
      <c r="F413" s="36" t="s">
        <v>1878</v>
      </c>
      <c r="G413" s="32" t="s">
        <v>628</v>
      </c>
      <c r="H413" s="32" t="s">
        <v>354</v>
      </c>
      <c r="I413" s="31" t="s">
        <v>1155</v>
      </c>
      <c r="J413" s="31">
        <v>99</v>
      </c>
      <c r="K413" s="33" t="s">
        <v>713</v>
      </c>
      <c r="L413" s="33" t="s">
        <v>713</v>
      </c>
      <c r="M413" s="34" t="s">
        <v>731</v>
      </c>
      <c r="N413" s="34" t="s">
        <v>1743</v>
      </c>
      <c r="O413" s="35">
        <v>1</v>
      </c>
      <c r="P413" s="35"/>
      <c r="Q413" s="36" t="s">
        <v>1898</v>
      </c>
      <c r="S413" s="1">
        <f t="shared" si="249"/>
        <v>0</v>
      </c>
      <c r="T413" s="1">
        <f t="shared" si="250"/>
        <v>0</v>
      </c>
      <c r="U413" s="1">
        <f t="shared" si="251"/>
        <v>0</v>
      </c>
      <c r="V413" s="1">
        <f t="shared" si="252"/>
        <v>0</v>
      </c>
      <c r="W413" s="1">
        <f t="shared" si="253"/>
        <v>0</v>
      </c>
      <c r="X413" s="1">
        <f t="shared" si="254"/>
        <v>0</v>
      </c>
      <c r="Y413" s="1">
        <f t="shared" si="255"/>
        <v>0</v>
      </c>
      <c r="Z413" s="1">
        <f t="shared" si="256"/>
        <v>0</v>
      </c>
      <c r="AA413" s="1">
        <f t="shared" si="257"/>
        <v>0</v>
      </c>
      <c r="AB413" s="1">
        <f t="shared" si="258"/>
        <v>0</v>
      </c>
      <c r="AD413" s="1">
        <f t="shared" si="259"/>
        <v>0</v>
      </c>
      <c r="AE413" s="1">
        <f t="shared" si="260"/>
        <v>1</v>
      </c>
      <c r="AF413" s="1">
        <f t="shared" si="229"/>
        <v>0</v>
      </c>
      <c r="AG413" s="1">
        <f t="shared" si="230"/>
        <v>1</v>
      </c>
      <c r="AH413" s="1">
        <f t="shared" si="231"/>
        <v>0</v>
      </c>
      <c r="AI413" s="1">
        <f t="shared" si="232"/>
        <v>1</v>
      </c>
    </row>
    <row r="414" spans="1:35" s="1" customFormat="1" ht="14.25" customHeight="1" x14ac:dyDescent="0.25">
      <c r="A414" s="31">
        <v>0</v>
      </c>
      <c r="B414" s="31">
        <v>2</v>
      </c>
      <c r="C414" s="31">
        <v>7</v>
      </c>
      <c r="D414" s="32" t="s">
        <v>542</v>
      </c>
      <c r="E414" s="32" t="s">
        <v>158</v>
      </c>
      <c r="F414" s="32" t="s">
        <v>195</v>
      </c>
      <c r="G414" s="32" t="s">
        <v>196</v>
      </c>
      <c r="H414" s="32" t="s">
        <v>354</v>
      </c>
      <c r="I414" s="31" t="s">
        <v>550</v>
      </c>
      <c r="J414" s="31">
        <v>99</v>
      </c>
      <c r="K414" s="33" t="s">
        <v>955</v>
      </c>
      <c r="L414" s="33" t="s">
        <v>696</v>
      </c>
      <c r="M414" s="34" t="s">
        <v>1436</v>
      </c>
      <c r="N414" s="34" t="s">
        <v>1748</v>
      </c>
      <c r="O414" s="35">
        <v>1</v>
      </c>
      <c r="P414" s="35"/>
      <c r="Q414" s="32"/>
      <c r="S414" s="1">
        <f t="shared" si="249"/>
        <v>0</v>
      </c>
      <c r="T414" s="1">
        <f t="shared" si="250"/>
        <v>0</v>
      </c>
      <c r="U414" s="1">
        <f t="shared" si="251"/>
        <v>0</v>
      </c>
      <c r="V414" s="1">
        <f t="shared" si="252"/>
        <v>0</v>
      </c>
      <c r="W414" s="1">
        <f t="shared" si="253"/>
        <v>0</v>
      </c>
      <c r="X414" s="1">
        <f t="shared" si="254"/>
        <v>0</v>
      </c>
      <c r="Y414" s="1">
        <f t="shared" si="255"/>
        <v>0</v>
      </c>
      <c r="Z414" s="1">
        <f t="shared" si="256"/>
        <v>0</v>
      </c>
      <c r="AA414" s="1">
        <f t="shared" si="257"/>
        <v>0</v>
      </c>
      <c r="AB414" s="1">
        <f t="shared" si="258"/>
        <v>0</v>
      </c>
      <c r="AD414" s="1">
        <f t="shared" si="259"/>
        <v>0</v>
      </c>
      <c r="AE414" s="1">
        <f t="shared" si="260"/>
        <v>1</v>
      </c>
      <c r="AF414" s="1">
        <f t="shared" si="229"/>
        <v>0</v>
      </c>
      <c r="AG414" s="1">
        <f t="shared" si="230"/>
        <v>1</v>
      </c>
      <c r="AH414" s="1">
        <f t="shared" si="231"/>
        <v>0</v>
      </c>
      <c r="AI414" s="1">
        <f t="shared" si="232"/>
        <v>1</v>
      </c>
    </row>
    <row r="415" spans="1:35" s="1" customFormat="1" ht="14.25" customHeight="1" x14ac:dyDescent="0.25">
      <c r="A415" s="15">
        <v>0</v>
      </c>
      <c r="B415" s="15">
        <v>2</v>
      </c>
      <c r="C415" s="15">
        <v>7</v>
      </c>
      <c r="D415" s="16" t="s">
        <v>46</v>
      </c>
      <c r="E415" s="16" t="s">
        <v>156</v>
      </c>
      <c r="F415" s="16" t="s">
        <v>183</v>
      </c>
      <c r="G415" s="16" t="s">
        <v>179</v>
      </c>
      <c r="H415" s="16" t="s">
        <v>354</v>
      </c>
      <c r="I415" s="15" t="s">
        <v>382</v>
      </c>
      <c r="J415" s="15">
        <v>10</v>
      </c>
      <c r="K415" s="10" t="s">
        <v>955</v>
      </c>
      <c r="L415" s="10" t="s">
        <v>722</v>
      </c>
      <c r="M415" s="19" t="s">
        <v>1434</v>
      </c>
      <c r="N415" s="19"/>
      <c r="Q415" s="16"/>
      <c r="S415" s="1">
        <f t="shared" si="249"/>
        <v>0</v>
      </c>
      <c r="T415" s="1">
        <f t="shared" si="250"/>
        <v>0</v>
      </c>
      <c r="U415" s="1">
        <f t="shared" si="251"/>
        <v>0</v>
      </c>
      <c r="V415" s="1">
        <f t="shared" si="252"/>
        <v>0</v>
      </c>
      <c r="W415" s="1">
        <f t="shared" si="253"/>
        <v>0</v>
      </c>
      <c r="X415" s="1">
        <f t="shared" si="254"/>
        <v>0</v>
      </c>
      <c r="Y415" s="1">
        <f t="shared" si="255"/>
        <v>0</v>
      </c>
      <c r="Z415" s="1">
        <f t="shared" si="256"/>
        <v>0</v>
      </c>
      <c r="AA415" s="1">
        <f t="shared" si="257"/>
        <v>0</v>
      </c>
      <c r="AB415" s="1">
        <f t="shared" si="258"/>
        <v>1</v>
      </c>
      <c r="AD415" s="1">
        <f t="shared" si="259"/>
        <v>0</v>
      </c>
      <c r="AE415" s="1">
        <f t="shared" si="260"/>
        <v>0</v>
      </c>
      <c r="AF415" s="1">
        <f t="shared" si="229"/>
        <v>0</v>
      </c>
      <c r="AG415" s="1">
        <f t="shared" si="230"/>
        <v>0</v>
      </c>
      <c r="AH415" s="1">
        <f t="shared" si="231"/>
        <v>0</v>
      </c>
      <c r="AI415" s="1">
        <f t="shared" si="232"/>
        <v>1</v>
      </c>
    </row>
    <row r="416" spans="1:35" s="1" customFormat="1" ht="14.25" customHeight="1" x14ac:dyDescent="0.25">
      <c r="A416" s="44">
        <v>0</v>
      </c>
      <c r="B416" s="44">
        <v>2</v>
      </c>
      <c r="C416" s="44">
        <v>7</v>
      </c>
      <c r="D416" s="45" t="s">
        <v>67</v>
      </c>
      <c r="E416" s="45" t="s">
        <v>28</v>
      </c>
      <c r="F416" s="45" t="s">
        <v>248</v>
      </c>
      <c r="G416" s="45" t="s">
        <v>249</v>
      </c>
      <c r="H416" s="45" t="s">
        <v>354</v>
      </c>
      <c r="I416" s="44" t="s">
        <v>411</v>
      </c>
      <c r="J416" s="44">
        <v>7</v>
      </c>
      <c r="K416" s="46" t="s">
        <v>713</v>
      </c>
      <c r="L416" s="46" t="s">
        <v>713</v>
      </c>
      <c r="M416" s="47" t="s">
        <v>731</v>
      </c>
      <c r="N416" s="47" t="s">
        <v>1734</v>
      </c>
      <c r="O416" s="48"/>
      <c r="P416" s="48"/>
      <c r="Q416" s="45"/>
      <c r="S416" s="1">
        <f t="shared" si="249"/>
        <v>0</v>
      </c>
      <c r="T416" s="1">
        <f t="shared" si="250"/>
        <v>0</v>
      </c>
      <c r="U416" s="1">
        <f t="shared" si="251"/>
        <v>0</v>
      </c>
      <c r="V416" s="1">
        <f t="shared" si="252"/>
        <v>0</v>
      </c>
      <c r="W416" s="1">
        <f t="shared" si="253"/>
        <v>0</v>
      </c>
      <c r="X416" s="1">
        <f t="shared" si="254"/>
        <v>0</v>
      </c>
      <c r="Y416" s="1">
        <f t="shared" si="255"/>
        <v>1</v>
      </c>
      <c r="Z416" s="1">
        <f t="shared" si="256"/>
        <v>0</v>
      </c>
      <c r="AA416" s="1">
        <f t="shared" si="257"/>
        <v>0</v>
      </c>
      <c r="AB416" s="1">
        <f t="shared" si="258"/>
        <v>0</v>
      </c>
      <c r="AD416" s="1">
        <f t="shared" si="259"/>
        <v>0</v>
      </c>
      <c r="AE416" s="1">
        <f t="shared" si="260"/>
        <v>0</v>
      </c>
      <c r="AF416" s="1">
        <f t="shared" si="229"/>
        <v>0</v>
      </c>
      <c r="AG416" s="1">
        <f t="shared" si="230"/>
        <v>0</v>
      </c>
      <c r="AH416" s="1">
        <f t="shared" si="231"/>
        <v>0</v>
      </c>
      <c r="AI416" s="1">
        <f t="shared" si="232"/>
        <v>1</v>
      </c>
    </row>
    <row r="417" spans="1:35" s="1" customFormat="1" ht="14.25" customHeight="1" x14ac:dyDescent="0.25">
      <c r="A417" s="44">
        <v>1</v>
      </c>
      <c r="B417" s="44">
        <v>2</v>
      </c>
      <c r="C417" s="44">
        <v>7</v>
      </c>
      <c r="D417" s="45" t="s">
        <v>67</v>
      </c>
      <c r="E417" s="45" t="s">
        <v>28</v>
      </c>
      <c r="F417" s="45" t="s">
        <v>1039</v>
      </c>
      <c r="G417" s="45" t="s">
        <v>539</v>
      </c>
      <c r="H417" s="45" t="s">
        <v>354</v>
      </c>
      <c r="I417" s="44" t="s">
        <v>30</v>
      </c>
      <c r="J417" s="44">
        <v>1</v>
      </c>
      <c r="K417" s="46" t="s">
        <v>713</v>
      </c>
      <c r="L417" s="46" t="s">
        <v>713</v>
      </c>
      <c r="M417" s="47" t="s">
        <v>731</v>
      </c>
      <c r="N417" s="47" t="s">
        <v>1734</v>
      </c>
      <c r="O417" s="48"/>
      <c r="P417" s="48"/>
      <c r="Q417" s="45"/>
      <c r="S417" s="1">
        <f t="shared" si="249"/>
        <v>1</v>
      </c>
      <c r="T417" s="1">
        <f t="shared" si="250"/>
        <v>0</v>
      </c>
      <c r="U417" s="1">
        <f t="shared" si="251"/>
        <v>0</v>
      </c>
      <c r="V417" s="1">
        <f t="shared" si="252"/>
        <v>0</v>
      </c>
      <c r="W417" s="1">
        <f t="shared" si="253"/>
        <v>0</v>
      </c>
      <c r="X417" s="1">
        <f t="shared" si="254"/>
        <v>0</v>
      </c>
      <c r="Y417" s="1">
        <f t="shared" si="255"/>
        <v>0</v>
      </c>
      <c r="Z417" s="1">
        <f t="shared" si="256"/>
        <v>0</v>
      </c>
      <c r="AA417" s="1">
        <f t="shared" si="257"/>
        <v>0</v>
      </c>
      <c r="AB417" s="1">
        <f t="shared" si="258"/>
        <v>0</v>
      </c>
      <c r="AD417" s="1">
        <f t="shared" si="259"/>
        <v>0</v>
      </c>
      <c r="AE417" s="1">
        <f t="shared" si="260"/>
        <v>0</v>
      </c>
      <c r="AF417" s="1">
        <f t="shared" si="229"/>
        <v>0</v>
      </c>
      <c r="AG417" s="1">
        <f t="shared" si="230"/>
        <v>0</v>
      </c>
      <c r="AH417" s="1">
        <f t="shared" si="231"/>
        <v>0</v>
      </c>
      <c r="AI417" s="1">
        <f t="shared" si="232"/>
        <v>0</v>
      </c>
    </row>
    <row r="418" spans="1:35" s="1" customFormat="1" ht="14.25" customHeight="1" x14ac:dyDescent="0.25">
      <c r="A418" s="44">
        <v>1</v>
      </c>
      <c r="B418" s="44">
        <v>2</v>
      </c>
      <c r="C418" s="44">
        <v>7</v>
      </c>
      <c r="D418" s="45" t="s">
        <v>67</v>
      </c>
      <c r="E418" s="45" t="s">
        <v>28</v>
      </c>
      <c r="F418" s="45" t="s">
        <v>250</v>
      </c>
      <c r="G418" s="45" t="s">
        <v>200</v>
      </c>
      <c r="H418" s="45" t="s">
        <v>354</v>
      </c>
      <c r="I418" s="44" t="s">
        <v>412</v>
      </c>
      <c r="J418" s="44">
        <v>2</v>
      </c>
      <c r="K418" s="46" t="s">
        <v>713</v>
      </c>
      <c r="L418" s="46" t="s">
        <v>713</v>
      </c>
      <c r="M418" s="47" t="s">
        <v>731</v>
      </c>
      <c r="N418" s="47" t="s">
        <v>1734</v>
      </c>
      <c r="O418" s="48"/>
      <c r="P418" s="48"/>
      <c r="Q418" s="45"/>
      <c r="S418" s="1">
        <f t="shared" si="249"/>
        <v>0</v>
      </c>
      <c r="T418" s="1">
        <f t="shared" si="250"/>
        <v>1</v>
      </c>
      <c r="U418" s="1">
        <f t="shared" si="251"/>
        <v>0</v>
      </c>
      <c r="V418" s="1">
        <f t="shared" si="252"/>
        <v>0</v>
      </c>
      <c r="W418" s="1">
        <f t="shared" si="253"/>
        <v>0</v>
      </c>
      <c r="X418" s="1">
        <f t="shared" si="254"/>
        <v>0</v>
      </c>
      <c r="Y418" s="1">
        <f t="shared" si="255"/>
        <v>0</v>
      </c>
      <c r="Z418" s="1">
        <f t="shared" si="256"/>
        <v>0</v>
      </c>
      <c r="AA418" s="1">
        <f t="shared" si="257"/>
        <v>0</v>
      </c>
      <c r="AB418" s="1">
        <f t="shared" si="258"/>
        <v>0</v>
      </c>
      <c r="AD418" s="1">
        <f t="shared" si="259"/>
        <v>0</v>
      </c>
      <c r="AE418" s="1">
        <f t="shared" si="260"/>
        <v>0</v>
      </c>
      <c r="AF418" s="1">
        <f t="shared" si="229"/>
        <v>0</v>
      </c>
      <c r="AG418" s="1">
        <f t="shared" si="230"/>
        <v>0</v>
      </c>
      <c r="AH418" s="1">
        <f t="shared" si="231"/>
        <v>0</v>
      </c>
      <c r="AI418" s="1">
        <f t="shared" si="232"/>
        <v>0</v>
      </c>
    </row>
    <row r="419" spans="1:35" s="1" customFormat="1" ht="14.25" customHeight="1" x14ac:dyDescent="0.25">
      <c r="A419" s="44">
        <v>1</v>
      </c>
      <c r="B419" s="44">
        <v>2</v>
      </c>
      <c r="C419" s="44">
        <v>7</v>
      </c>
      <c r="D419" s="45" t="s">
        <v>67</v>
      </c>
      <c r="E419" s="45" t="s">
        <v>28</v>
      </c>
      <c r="F419" s="45" t="s">
        <v>247</v>
      </c>
      <c r="G419" s="45" t="s">
        <v>1351</v>
      </c>
      <c r="H419" s="45" t="s">
        <v>354</v>
      </c>
      <c r="I419" s="44" t="s">
        <v>30</v>
      </c>
      <c r="J419" s="44">
        <v>1</v>
      </c>
      <c r="K419" s="46" t="s">
        <v>713</v>
      </c>
      <c r="L419" s="46" t="s">
        <v>713</v>
      </c>
      <c r="M419" s="47" t="s">
        <v>731</v>
      </c>
      <c r="N419" s="47" t="s">
        <v>1734</v>
      </c>
      <c r="O419" s="48"/>
      <c r="P419" s="48"/>
      <c r="Q419" s="45" t="s">
        <v>1917</v>
      </c>
      <c r="S419" s="1">
        <f t="shared" si="249"/>
        <v>1</v>
      </c>
      <c r="T419" s="1">
        <f t="shared" si="250"/>
        <v>0</v>
      </c>
      <c r="U419" s="1">
        <f t="shared" si="251"/>
        <v>0</v>
      </c>
      <c r="V419" s="1">
        <f t="shared" si="252"/>
        <v>0</v>
      </c>
      <c r="W419" s="1">
        <f t="shared" si="253"/>
        <v>0</v>
      </c>
      <c r="X419" s="1">
        <f t="shared" si="254"/>
        <v>0</v>
      </c>
      <c r="Y419" s="1">
        <f t="shared" si="255"/>
        <v>0</v>
      </c>
      <c r="Z419" s="1">
        <f t="shared" si="256"/>
        <v>0</v>
      </c>
      <c r="AA419" s="1">
        <f t="shared" si="257"/>
        <v>0</v>
      </c>
      <c r="AB419" s="1">
        <f t="shared" si="258"/>
        <v>0</v>
      </c>
      <c r="AD419" s="1">
        <f t="shared" si="259"/>
        <v>0</v>
      </c>
      <c r="AE419" s="1">
        <f t="shared" si="260"/>
        <v>0</v>
      </c>
      <c r="AF419" s="1">
        <f t="shared" si="229"/>
        <v>0</v>
      </c>
      <c r="AG419" s="1">
        <f t="shared" si="230"/>
        <v>0</v>
      </c>
      <c r="AH419" s="1">
        <f t="shared" si="231"/>
        <v>0</v>
      </c>
      <c r="AI419" s="1">
        <f t="shared" si="232"/>
        <v>0</v>
      </c>
    </row>
    <row r="420" spans="1:35" s="1" customFormat="1" ht="14.25" customHeight="1" x14ac:dyDescent="0.25">
      <c r="A420" s="44">
        <v>1</v>
      </c>
      <c r="B420" s="44">
        <v>2</v>
      </c>
      <c r="C420" s="44">
        <v>7</v>
      </c>
      <c r="D420" s="45" t="s">
        <v>67</v>
      </c>
      <c r="E420" s="45" t="s">
        <v>28</v>
      </c>
      <c r="F420" s="45" t="s">
        <v>252</v>
      </c>
      <c r="G420" s="45" t="s">
        <v>194</v>
      </c>
      <c r="H420" s="45" t="s">
        <v>354</v>
      </c>
      <c r="I420" s="44" t="s">
        <v>413</v>
      </c>
      <c r="J420" s="44">
        <v>9</v>
      </c>
      <c r="K420" s="46" t="s">
        <v>713</v>
      </c>
      <c r="L420" s="46" t="s">
        <v>713</v>
      </c>
      <c r="M420" s="47" t="s">
        <v>731</v>
      </c>
      <c r="N420" s="47" t="s">
        <v>1734</v>
      </c>
      <c r="O420" s="48"/>
      <c r="P420" s="48"/>
      <c r="Q420" s="45"/>
      <c r="S420" s="1">
        <f t="shared" si="249"/>
        <v>0</v>
      </c>
      <c r="T420" s="1">
        <f t="shared" si="250"/>
        <v>0</v>
      </c>
      <c r="U420" s="1">
        <f t="shared" si="251"/>
        <v>0</v>
      </c>
      <c r="V420" s="1">
        <f t="shared" si="252"/>
        <v>0</v>
      </c>
      <c r="W420" s="1">
        <f t="shared" si="253"/>
        <v>0</v>
      </c>
      <c r="X420" s="1">
        <f t="shared" si="254"/>
        <v>0</v>
      </c>
      <c r="Y420" s="1">
        <f t="shared" si="255"/>
        <v>0</v>
      </c>
      <c r="Z420" s="1">
        <f t="shared" si="256"/>
        <v>0</v>
      </c>
      <c r="AA420" s="1">
        <f t="shared" si="257"/>
        <v>1</v>
      </c>
      <c r="AB420" s="1">
        <f t="shared" si="258"/>
        <v>0</v>
      </c>
      <c r="AD420" s="1">
        <f t="shared" si="259"/>
        <v>0</v>
      </c>
      <c r="AE420" s="1">
        <f t="shared" si="260"/>
        <v>0</v>
      </c>
      <c r="AF420" s="1">
        <f t="shared" si="229"/>
        <v>0</v>
      </c>
      <c r="AG420" s="1">
        <f t="shared" si="230"/>
        <v>0</v>
      </c>
      <c r="AH420" s="1">
        <f t="shared" si="231"/>
        <v>0</v>
      </c>
      <c r="AI420" s="1">
        <f t="shared" si="232"/>
        <v>0</v>
      </c>
    </row>
    <row r="421" spans="1:35" s="1" customFormat="1" ht="14.25" customHeight="1" x14ac:dyDescent="0.25">
      <c r="A421" s="44">
        <v>0</v>
      </c>
      <c r="B421" s="44">
        <v>2</v>
      </c>
      <c r="C421" s="44">
        <v>7</v>
      </c>
      <c r="D421" s="45" t="s">
        <v>1023</v>
      </c>
      <c r="E421" s="45" t="s">
        <v>28</v>
      </c>
      <c r="F421" s="45" t="s">
        <v>1024</v>
      </c>
      <c r="G421" s="45" t="s">
        <v>194</v>
      </c>
      <c r="H421" s="45" t="s">
        <v>354</v>
      </c>
      <c r="I421" s="44" t="s">
        <v>1025</v>
      </c>
      <c r="J421" s="44">
        <v>9</v>
      </c>
      <c r="K421" s="46" t="s">
        <v>712</v>
      </c>
      <c r="L421" s="46" t="s">
        <v>713</v>
      </c>
      <c r="M421" s="47" t="s">
        <v>731</v>
      </c>
      <c r="N421" s="47" t="s">
        <v>1735</v>
      </c>
      <c r="O421" s="48"/>
      <c r="P421" s="48"/>
      <c r="Q421" s="45"/>
      <c r="S421" s="1">
        <f t="shared" si="249"/>
        <v>0</v>
      </c>
      <c r="T421" s="1">
        <f t="shared" si="250"/>
        <v>0</v>
      </c>
      <c r="U421" s="1">
        <f t="shared" si="251"/>
        <v>0</v>
      </c>
      <c r="V421" s="1">
        <f t="shared" si="252"/>
        <v>0</v>
      </c>
      <c r="W421" s="1">
        <f t="shared" si="253"/>
        <v>0</v>
      </c>
      <c r="X421" s="1">
        <f t="shared" si="254"/>
        <v>0</v>
      </c>
      <c r="Y421" s="1">
        <f t="shared" si="255"/>
        <v>0</v>
      </c>
      <c r="Z421" s="1">
        <f t="shared" si="256"/>
        <v>0</v>
      </c>
      <c r="AA421" s="1">
        <f t="shared" si="257"/>
        <v>1</v>
      </c>
      <c r="AB421" s="1">
        <f t="shared" si="258"/>
        <v>0</v>
      </c>
      <c r="AD421" s="1">
        <f t="shared" si="259"/>
        <v>0</v>
      </c>
      <c r="AE421" s="1">
        <f t="shared" si="260"/>
        <v>0</v>
      </c>
      <c r="AF421" s="1">
        <f t="shared" si="229"/>
        <v>0</v>
      </c>
      <c r="AG421" s="1">
        <f t="shared" si="230"/>
        <v>0</v>
      </c>
      <c r="AH421" s="1">
        <f t="shared" si="231"/>
        <v>0</v>
      </c>
      <c r="AI421" s="1">
        <f t="shared" si="232"/>
        <v>1</v>
      </c>
    </row>
    <row r="422" spans="1:35" s="1" customFormat="1" ht="14.25" customHeight="1" x14ac:dyDescent="0.25">
      <c r="A422" s="31">
        <v>0</v>
      </c>
      <c r="B422" s="31">
        <v>2</v>
      </c>
      <c r="C422" s="31">
        <v>7</v>
      </c>
      <c r="D422" s="32" t="s">
        <v>1833</v>
      </c>
      <c r="E422" s="32" t="s">
        <v>1834</v>
      </c>
      <c r="F422" s="32" t="s">
        <v>1835</v>
      </c>
      <c r="G422" s="32" t="s">
        <v>207</v>
      </c>
      <c r="H422" s="32" t="s">
        <v>354</v>
      </c>
      <c r="I422" s="31" t="s">
        <v>30</v>
      </c>
      <c r="J422" s="31"/>
      <c r="K422" s="33" t="s">
        <v>703</v>
      </c>
      <c r="L422" s="33">
        <v>20</v>
      </c>
      <c r="M422" s="34" t="s">
        <v>1836</v>
      </c>
      <c r="N422" s="34" t="s">
        <v>1743</v>
      </c>
      <c r="O422" s="35">
        <v>1</v>
      </c>
      <c r="P422" s="35"/>
      <c r="Q422" s="32"/>
      <c r="S422" s="1">
        <f t="shared" si="249"/>
        <v>0</v>
      </c>
      <c r="T422" s="1">
        <f t="shared" si="250"/>
        <v>0</v>
      </c>
      <c r="U422" s="1">
        <f t="shared" si="251"/>
        <v>0</v>
      </c>
      <c r="V422" s="1">
        <f t="shared" si="252"/>
        <v>0</v>
      </c>
      <c r="W422" s="1">
        <f t="shared" si="253"/>
        <v>0</v>
      </c>
      <c r="X422" s="1">
        <f t="shared" si="254"/>
        <v>0</v>
      </c>
      <c r="Y422" s="1">
        <f t="shared" si="255"/>
        <v>0</v>
      </c>
      <c r="Z422" s="1">
        <f t="shared" si="256"/>
        <v>0</v>
      </c>
      <c r="AA422" s="1">
        <f t="shared" si="257"/>
        <v>0</v>
      </c>
      <c r="AB422" s="1">
        <f t="shared" si="258"/>
        <v>0</v>
      </c>
      <c r="AD422" s="1">
        <f t="shared" si="259"/>
        <v>0</v>
      </c>
      <c r="AE422" s="1">
        <f t="shared" si="260"/>
        <v>1</v>
      </c>
      <c r="AF422" s="1">
        <f t="shared" si="229"/>
        <v>0</v>
      </c>
      <c r="AG422" s="1">
        <f t="shared" si="230"/>
        <v>1</v>
      </c>
      <c r="AH422" s="1">
        <f t="shared" si="231"/>
        <v>0</v>
      </c>
      <c r="AI422" s="1">
        <f t="shared" si="232"/>
        <v>1</v>
      </c>
    </row>
    <row r="423" spans="1:35" s="1" customFormat="1" ht="14.25" customHeight="1" x14ac:dyDescent="0.25">
      <c r="A423" s="49">
        <v>0</v>
      </c>
      <c r="B423" s="49">
        <v>2</v>
      </c>
      <c r="C423" s="49">
        <v>7</v>
      </c>
      <c r="D423" s="50" t="s">
        <v>1079</v>
      </c>
      <c r="E423" s="50" t="s">
        <v>544</v>
      </c>
      <c r="F423" s="50" t="s">
        <v>1060</v>
      </c>
      <c r="G423" s="50" t="s">
        <v>238</v>
      </c>
      <c r="H423" s="50" t="s">
        <v>354</v>
      </c>
      <c r="I423" s="49" t="s">
        <v>1061</v>
      </c>
      <c r="J423" s="49">
        <v>99</v>
      </c>
      <c r="K423" s="51" t="s">
        <v>955</v>
      </c>
      <c r="L423" s="51" t="s">
        <v>722</v>
      </c>
      <c r="M423" s="52" t="s">
        <v>1437</v>
      </c>
      <c r="N423" s="52" t="s">
        <v>1743</v>
      </c>
      <c r="O423" s="53">
        <v>1</v>
      </c>
      <c r="P423" s="53"/>
      <c r="Q423" s="50"/>
      <c r="S423" s="1">
        <f t="shared" ref="S423:S427" si="261">IF(J423=$S$7,1,0)</f>
        <v>0</v>
      </c>
      <c r="T423" s="1">
        <f t="shared" ref="T423:T427" si="262">IF(J423=$T$7,1,0)</f>
        <v>0</v>
      </c>
      <c r="U423" s="1">
        <f t="shared" ref="U423:U427" si="263">IF(J423=$U$7,1,0)</f>
        <v>0</v>
      </c>
      <c r="V423" s="1">
        <f t="shared" ref="V423:V427" si="264">IF(J423=$V$7,1,0)</f>
        <v>0</v>
      </c>
      <c r="W423" s="1">
        <f t="shared" ref="W423:W427" si="265">IF(J423=$W$7,1,0)</f>
        <v>0</v>
      </c>
      <c r="X423" s="1">
        <f t="shared" ref="X423:X427" si="266">IF(J423=$X$7,1,0)</f>
        <v>0</v>
      </c>
      <c r="Y423" s="1">
        <f t="shared" ref="Y423:Y427" si="267">IF(J423=$Y$7,1,0)</f>
        <v>0</v>
      </c>
      <c r="Z423" s="1">
        <f t="shared" ref="Z423:Z427" si="268">IF(J423=$Z$7,1,0)</f>
        <v>0</v>
      </c>
      <c r="AA423" s="1">
        <f t="shared" ref="AA423:AA427" si="269">IF(J423=$AA$7,1,0)</f>
        <v>0</v>
      </c>
      <c r="AB423" s="1">
        <f t="shared" ref="AB423:AB427" si="270">IF(J423=$AB$7,1,0)</f>
        <v>0</v>
      </c>
      <c r="AD423" s="1">
        <f t="shared" ref="AD423:AD427" si="271">+O423*P423</f>
        <v>0</v>
      </c>
      <c r="AE423" s="1">
        <f t="shared" ref="AE423:AE427" si="272">O423*(1-P423)</f>
        <v>1</v>
      </c>
      <c r="AF423" s="1">
        <f t="shared" ref="AF423:AF427" si="273">+O423*P423*(1-A423)</f>
        <v>0</v>
      </c>
      <c r="AG423" s="1">
        <f t="shared" ref="AG423:AG427" si="274">O423*(1-P423)*(1-A423)</f>
        <v>1</v>
      </c>
      <c r="AH423" s="1">
        <f t="shared" ref="AH423:AH427" si="275">+P423*(1-A423)</f>
        <v>0</v>
      </c>
      <c r="AI423" s="1">
        <f t="shared" ref="AI423:AI427" si="276">+(1-A423)*(1-P423)</f>
        <v>1</v>
      </c>
    </row>
    <row r="424" spans="1:35" s="1" customFormat="1" ht="14.25" customHeight="1" x14ac:dyDescent="0.25">
      <c r="A424" s="31">
        <v>0</v>
      </c>
      <c r="B424" s="31">
        <v>2</v>
      </c>
      <c r="C424" s="31">
        <v>7</v>
      </c>
      <c r="D424" s="32" t="s">
        <v>1226</v>
      </c>
      <c r="E424" s="32" t="s">
        <v>156</v>
      </c>
      <c r="F424" s="32" t="s">
        <v>1227</v>
      </c>
      <c r="G424" s="32" t="s">
        <v>251</v>
      </c>
      <c r="H424" s="32" t="s">
        <v>354</v>
      </c>
      <c r="I424" s="31" t="s">
        <v>1228</v>
      </c>
      <c r="J424" s="31">
        <v>99</v>
      </c>
      <c r="K424" s="33" t="s">
        <v>713</v>
      </c>
      <c r="L424" s="33">
        <v>10</v>
      </c>
      <c r="M424" s="34" t="s">
        <v>1746</v>
      </c>
      <c r="N424" s="34" t="s">
        <v>1727</v>
      </c>
      <c r="O424" s="35">
        <v>1</v>
      </c>
      <c r="P424" s="35">
        <v>1</v>
      </c>
      <c r="Q424" s="32"/>
      <c r="S424" s="1">
        <f t="shared" si="261"/>
        <v>0</v>
      </c>
      <c r="T424" s="1">
        <f t="shared" si="262"/>
        <v>0</v>
      </c>
      <c r="U424" s="1">
        <f t="shared" si="263"/>
        <v>0</v>
      </c>
      <c r="V424" s="1">
        <f t="shared" si="264"/>
        <v>0</v>
      </c>
      <c r="W424" s="1">
        <f t="shared" si="265"/>
        <v>0</v>
      </c>
      <c r="X424" s="1">
        <f t="shared" si="266"/>
        <v>0</v>
      </c>
      <c r="Y424" s="1">
        <f t="shared" si="267"/>
        <v>0</v>
      </c>
      <c r="Z424" s="1">
        <f t="shared" si="268"/>
        <v>0</v>
      </c>
      <c r="AA424" s="1">
        <f t="shared" si="269"/>
        <v>0</v>
      </c>
      <c r="AB424" s="1">
        <f t="shared" si="270"/>
        <v>0</v>
      </c>
      <c r="AD424" s="1">
        <f t="shared" si="271"/>
        <v>1</v>
      </c>
      <c r="AE424" s="1">
        <f t="shared" si="272"/>
        <v>0</v>
      </c>
      <c r="AF424" s="1">
        <f t="shared" si="273"/>
        <v>1</v>
      </c>
      <c r="AG424" s="1">
        <f t="shared" si="274"/>
        <v>0</v>
      </c>
      <c r="AH424" s="1">
        <f t="shared" si="275"/>
        <v>1</v>
      </c>
      <c r="AI424" s="1">
        <f t="shared" si="276"/>
        <v>0</v>
      </c>
    </row>
    <row r="425" spans="1:35" s="1" customFormat="1" ht="14.25" customHeight="1" x14ac:dyDescent="0.25">
      <c r="A425" s="31">
        <v>0</v>
      </c>
      <c r="B425" s="31">
        <v>2</v>
      </c>
      <c r="C425" s="31">
        <v>7</v>
      </c>
      <c r="D425" s="36" t="s">
        <v>1803</v>
      </c>
      <c r="E425" s="36" t="s">
        <v>28</v>
      </c>
      <c r="F425" s="36" t="s">
        <v>1804</v>
      </c>
      <c r="G425" s="36" t="s">
        <v>180</v>
      </c>
      <c r="H425" s="36" t="s">
        <v>354</v>
      </c>
      <c r="I425" s="37" t="s">
        <v>1805</v>
      </c>
      <c r="J425" s="31">
        <v>10</v>
      </c>
      <c r="K425" s="33" t="s">
        <v>703</v>
      </c>
      <c r="L425" s="33">
        <v>10</v>
      </c>
      <c r="M425" s="34"/>
      <c r="N425" s="34" t="s">
        <v>1727</v>
      </c>
      <c r="O425" s="35">
        <v>1</v>
      </c>
      <c r="P425" s="35">
        <v>1</v>
      </c>
      <c r="Q425" s="36"/>
      <c r="S425" s="1">
        <f t="shared" si="261"/>
        <v>0</v>
      </c>
      <c r="T425" s="1">
        <f t="shared" si="262"/>
        <v>0</v>
      </c>
      <c r="U425" s="1">
        <f t="shared" si="263"/>
        <v>0</v>
      </c>
      <c r="V425" s="1">
        <f t="shared" si="264"/>
        <v>0</v>
      </c>
      <c r="W425" s="1">
        <f t="shared" si="265"/>
        <v>0</v>
      </c>
      <c r="X425" s="1">
        <f t="shared" si="266"/>
        <v>0</v>
      </c>
      <c r="Y425" s="1">
        <f t="shared" si="267"/>
        <v>0</v>
      </c>
      <c r="Z425" s="1">
        <f t="shared" si="268"/>
        <v>0</v>
      </c>
      <c r="AA425" s="1">
        <f t="shared" si="269"/>
        <v>0</v>
      </c>
      <c r="AB425" s="1">
        <f t="shared" si="270"/>
        <v>1</v>
      </c>
      <c r="AD425" s="1">
        <f t="shared" si="271"/>
        <v>1</v>
      </c>
      <c r="AE425" s="1">
        <f t="shared" si="272"/>
        <v>0</v>
      </c>
      <c r="AF425" s="1">
        <f t="shared" si="273"/>
        <v>1</v>
      </c>
      <c r="AG425" s="1">
        <f t="shared" si="274"/>
        <v>0</v>
      </c>
      <c r="AH425" s="1">
        <f t="shared" si="275"/>
        <v>1</v>
      </c>
      <c r="AI425" s="1">
        <f t="shared" si="276"/>
        <v>0</v>
      </c>
    </row>
    <row r="426" spans="1:35" s="1" customFormat="1" ht="14.25" customHeight="1" x14ac:dyDescent="0.25">
      <c r="A426" s="37">
        <v>0</v>
      </c>
      <c r="B426" s="37">
        <v>2</v>
      </c>
      <c r="C426" s="37">
        <v>7</v>
      </c>
      <c r="D426" s="36" t="s">
        <v>1585</v>
      </c>
      <c r="E426" s="36" t="s">
        <v>1651</v>
      </c>
      <c r="F426" s="36" t="s">
        <v>1586</v>
      </c>
      <c r="G426" s="36" t="s">
        <v>656</v>
      </c>
      <c r="H426" s="36" t="s">
        <v>354</v>
      </c>
      <c r="I426" s="37" t="s">
        <v>1587</v>
      </c>
      <c r="J426" s="37">
        <v>99</v>
      </c>
      <c r="K426" s="33" t="s">
        <v>713</v>
      </c>
      <c r="L426" s="33" t="s">
        <v>39</v>
      </c>
      <c r="M426" s="34" t="s">
        <v>39</v>
      </c>
      <c r="N426" s="34" t="s">
        <v>1727</v>
      </c>
      <c r="O426" s="35">
        <v>1</v>
      </c>
      <c r="P426" s="35">
        <v>1</v>
      </c>
      <c r="Q426" s="36"/>
      <c r="S426" s="1">
        <f t="shared" si="261"/>
        <v>0</v>
      </c>
      <c r="T426" s="1">
        <f t="shared" si="262"/>
        <v>0</v>
      </c>
      <c r="U426" s="1">
        <f t="shared" si="263"/>
        <v>0</v>
      </c>
      <c r="V426" s="1">
        <f t="shared" si="264"/>
        <v>0</v>
      </c>
      <c r="W426" s="1">
        <f t="shared" si="265"/>
        <v>0</v>
      </c>
      <c r="X426" s="1">
        <f t="shared" si="266"/>
        <v>0</v>
      </c>
      <c r="Y426" s="1">
        <f t="shared" si="267"/>
        <v>0</v>
      </c>
      <c r="Z426" s="1">
        <f t="shared" si="268"/>
        <v>0</v>
      </c>
      <c r="AA426" s="1">
        <f t="shared" si="269"/>
        <v>0</v>
      </c>
      <c r="AB426" s="1">
        <f t="shared" si="270"/>
        <v>0</v>
      </c>
      <c r="AD426" s="1">
        <f t="shared" si="271"/>
        <v>1</v>
      </c>
      <c r="AE426" s="1">
        <f t="shared" si="272"/>
        <v>0</v>
      </c>
      <c r="AF426" s="1">
        <f t="shared" si="273"/>
        <v>1</v>
      </c>
      <c r="AG426" s="1">
        <f t="shared" si="274"/>
        <v>0</v>
      </c>
      <c r="AH426" s="1">
        <f t="shared" si="275"/>
        <v>1</v>
      </c>
      <c r="AI426" s="1">
        <f t="shared" si="276"/>
        <v>0</v>
      </c>
    </row>
    <row r="427" spans="1:35" s="1" customFormat="1" ht="14.25" customHeight="1" x14ac:dyDescent="0.25">
      <c r="A427" s="44">
        <v>0</v>
      </c>
      <c r="B427" s="44">
        <v>2</v>
      </c>
      <c r="C427" s="44">
        <v>7</v>
      </c>
      <c r="D427" s="45" t="s">
        <v>1537</v>
      </c>
      <c r="E427" s="45" t="s">
        <v>28</v>
      </c>
      <c r="F427" s="45" t="s">
        <v>1662</v>
      </c>
      <c r="G427" s="45" t="s">
        <v>287</v>
      </c>
      <c r="H427" s="45" t="s">
        <v>354</v>
      </c>
      <c r="I427" s="44" t="s">
        <v>1688</v>
      </c>
      <c r="J427" s="44">
        <v>99</v>
      </c>
      <c r="K427" s="46" t="s">
        <v>713</v>
      </c>
      <c r="L427" s="46" t="s">
        <v>713</v>
      </c>
      <c r="M427" s="47" t="s">
        <v>731</v>
      </c>
      <c r="N427" s="47" t="s">
        <v>1735</v>
      </c>
      <c r="O427" s="48"/>
      <c r="P427" s="48"/>
      <c r="Q427" s="45"/>
      <c r="S427" s="1">
        <f t="shared" si="261"/>
        <v>0</v>
      </c>
      <c r="T427" s="1">
        <f t="shared" si="262"/>
        <v>0</v>
      </c>
      <c r="U427" s="1">
        <f t="shared" si="263"/>
        <v>0</v>
      </c>
      <c r="V427" s="1">
        <f t="shared" si="264"/>
        <v>0</v>
      </c>
      <c r="W427" s="1">
        <f t="shared" si="265"/>
        <v>0</v>
      </c>
      <c r="X427" s="1">
        <f t="shared" si="266"/>
        <v>0</v>
      </c>
      <c r="Y427" s="1">
        <f t="shared" si="267"/>
        <v>0</v>
      </c>
      <c r="Z427" s="1">
        <f t="shared" si="268"/>
        <v>0</v>
      </c>
      <c r="AA427" s="1">
        <f t="shared" si="269"/>
        <v>0</v>
      </c>
      <c r="AB427" s="1">
        <f t="shared" si="270"/>
        <v>0</v>
      </c>
      <c r="AD427" s="1">
        <f t="shared" si="271"/>
        <v>0</v>
      </c>
      <c r="AE427" s="1">
        <f t="shared" si="272"/>
        <v>0</v>
      </c>
      <c r="AF427" s="1">
        <f t="shared" si="273"/>
        <v>0</v>
      </c>
      <c r="AG427" s="1">
        <f t="shared" si="274"/>
        <v>0</v>
      </c>
      <c r="AH427" s="1">
        <f t="shared" si="275"/>
        <v>0</v>
      </c>
      <c r="AI427" s="1">
        <f t="shared" si="276"/>
        <v>1</v>
      </c>
    </row>
    <row r="428" spans="1:35" s="1" customFormat="1" ht="14.25" customHeight="1" x14ac:dyDescent="0.25">
      <c r="A428" s="44">
        <v>0</v>
      </c>
      <c r="B428" s="44">
        <v>2</v>
      </c>
      <c r="C428" s="44">
        <v>7</v>
      </c>
      <c r="D428" s="45" t="s">
        <v>1328</v>
      </c>
      <c r="E428" s="45" t="s">
        <v>28</v>
      </c>
      <c r="F428" s="45" t="s">
        <v>572</v>
      </c>
      <c r="G428" s="45" t="s">
        <v>181</v>
      </c>
      <c r="H428" s="45" t="s">
        <v>354</v>
      </c>
      <c r="I428" s="44" t="s">
        <v>430</v>
      </c>
      <c r="J428" s="44">
        <v>7</v>
      </c>
      <c r="K428" s="46" t="s">
        <v>712</v>
      </c>
      <c r="L428" s="46" t="s">
        <v>713</v>
      </c>
      <c r="M428" s="47" t="s">
        <v>731</v>
      </c>
      <c r="N428" s="47" t="s">
        <v>1735</v>
      </c>
      <c r="O428" s="48"/>
      <c r="P428" s="48"/>
      <c r="Q428" s="45"/>
      <c r="S428" s="1">
        <f t="shared" si="249"/>
        <v>0</v>
      </c>
      <c r="T428" s="1">
        <f t="shared" si="250"/>
        <v>0</v>
      </c>
      <c r="U428" s="1">
        <f t="shared" si="251"/>
        <v>0</v>
      </c>
      <c r="V428" s="1">
        <f t="shared" si="252"/>
        <v>0</v>
      </c>
      <c r="W428" s="1">
        <f t="shared" si="253"/>
        <v>0</v>
      </c>
      <c r="X428" s="1">
        <f t="shared" si="254"/>
        <v>0</v>
      </c>
      <c r="Y428" s="1">
        <f t="shared" si="255"/>
        <v>1</v>
      </c>
      <c r="Z428" s="1">
        <f t="shared" si="256"/>
        <v>0</v>
      </c>
      <c r="AA428" s="1">
        <f t="shared" si="257"/>
        <v>0</v>
      </c>
      <c r="AB428" s="1">
        <f t="shared" si="258"/>
        <v>0</v>
      </c>
      <c r="AD428" s="1">
        <f t="shared" si="259"/>
        <v>0</v>
      </c>
      <c r="AE428" s="1">
        <f t="shared" si="260"/>
        <v>0</v>
      </c>
      <c r="AF428" s="1">
        <f t="shared" si="229"/>
        <v>0</v>
      </c>
      <c r="AG428" s="1">
        <f t="shared" si="230"/>
        <v>0</v>
      </c>
      <c r="AH428" s="1">
        <f t="shared" si="231"/>
        <v>0</v>
      </c>
      <c r="AI428" s="1">
        <f t="shared" si="232"/>
        <v>1</v>
      </c>
    </row>
    <row r="429" spans="1:35" s="1" customFormat="1" ht="14.25" customHeight="1" x14ac:dyDescent="0.25">
      <c r="A429" s="44">
        <v>0</v>
      </c>
      <c r="B429" s="44">
        <v>2</v>
      </c>
      <c r="C429" s="44">
        <v>7</v>
      </c>
      <c r="D429" s="45" t="s">
        <v>72</v>
      </c>
      <c r="E429" s="45" t="s">
        <v>28</v>
      </c>
      <c r="F429" s="65" t="s">
        <v>1875</v>
      </c>
      <c r="G429" s="45" t="s">
        <v>235</v>
      </c>
      <c r="H429" s="45" t="s">
        <v>354</v>
      </c>
      <c r="I429" s="44" t="s">
        <v>680</v>
      </c>
      <c r="J429" s="44">
        <v>99</v>
      </c>
      <c r="K429" s="46" t="s">
        <v>713</v>
      </c>
      <c r="L429" s="46" t="s">
        <v>713</v>
      </c>
      <c r="M429" s="47" t="s">
        <v>731</v>
      </c>
      <c r="N429" s="47" t="s">
        <v>1735</v>
      </c>
      <c r="O429" s="48"/>
      <c r="P429" s="48"/>
      <c r="Q429" s="45"/>
      <c r="S429" s="1">
        <f t="shared" si="249"/>
        <v>0</v>
      </c>
      <c r="T429" s="1">
        <f t="shared" si="250"/>
        <v>0</v>
      </c>
      <c r="U429" s="1">
        <f t="shared" si="251"/>
        <v>0</v>
      </c>
      <c r="V429" s="1">
        <f t="shared" si="252"/>
        <v>0</v>
      </c>
      <c r="W429" s="1">
        <f t="shared" si="253"/>
        <v>0</v>
      </c>
      <c r="X429" s="1">
        <f t="shared" si="254"/>
        <v>0</v>
      </c>
      <c r="Y429" s="1">
        <f t="shared" si="255"/>
        <v>0</v>
      </c>
      <c r="Z429" s="1">
        <f t="shared" si="256"/>
        <v>0</v>
      </c>
      <c r="AA429" s="1">
        <f t="shared" si="257"/>
        <v>0</v>
      </c>
      <c r="AB429" s="1">
        <f t="shared" si="258"/>
        <v>0</v>
      </c>
      <c r="AD429" s="1">
        <f t="shared" si="259"/>
        <v>0</v>
      </c>
      <c r="AE429" s="1">
        <f t="shared" si="260"/>
        <v>0</v>
      </c>
      <c r="AF429" s="1">
        <f t="shared" si="229"/>
        <v>0</v>
      </c>
      <c r="AG429" s="1">
        <f t="shared" si="230"/>
        <v>0</v>
      </c>
      <c r="AH429" s="1">
        <f t="shared" si="231"/>
        <v>0</v>
      </c>
      <c r="AI429" s="1">
        <f t="shared" si="232"/>
        <v>1</v>
      </c>
    </row>
    <row r="430" spans="1:35" s="1" customFormat="1" ht="14.25" customHeight="1" x14ac:dyDescent="0.25">
      <c r="A430" s="44">
        <v>1</v>
      </c>
      <c r="B430" s="44">
        <v>2</v>
      </c>
      <c r="C430" s="44">
        <v>7</v>
      </c>
      <c r="D430" s="45" t="s">
        <v>72</v>
      </c>
      <c r="E430" s="45" t="s">
        <v>28</v>
      </c>
      <c r="F430" s="45" t="s">
        <v>261</v>
      </c>
      <c r="G430" s="45" t="s">
        <v>220</v>
      </c>
      <c r="H430" s="45" t="s">
        <v>354</v>
      </c>
      <c r="I430" s="44" t="s">
        <v>420</v>
      </c>
      <c r="J430" s="44">
        <v>8</v>
      </c>
      <c r="K430" s="46" t="s">
        <v>713</v>
      </c>
      <c r="L430" s="46" t="s">
        <v>713</v>
      </c>
      <c r="M430" s="47" t="s">
        <v>731</v>
      </c>
      <c r="N430" s="47" t="s">
        <v>1735</v>
      </c>
      <c r="O430" s="48"/>
      <c r="P430" s="48"/>
      <c r="Q430" s="45"/>
      <c r="S430" s="1">
        <f t="shared" si="249"/>
        <v>0</v>
      </c>
      <c r="T430" s="1">
        <f t="shared" si="250"/>
        <v>0</v>
      </c>
      <c r="U430" s="1">
        <f t="shared" si="251"/>
        <v>0</v>
      </c>
      <c r="V430" s="1">
        <f t="shared" si="252"/>
        <v>0</v>
      </c>
      <c r="W430" s="1">
        <f t="shared" si="253"/>
        <v>0</v>
      </c>
      <c r="X430" s="1">
        <f t="shared" si="254"/>
        <v>0</v>
      </c>
      <c r="Y430" s="1">
        <f t="shared" si="255"/>
        <v>0</v>
      </c>
      <c r="Z430" s="1">
        <f t="shared" si="256"/>
        <v>1</v>
      </c>
      <c r="AA430" s="1">
        <f t="shared" si="257"/>
        <v>0</v>
      </c>
      <c r="AB430" s="1">
        <f t="shared" si="258"/>
        <v>0</v>
      </c>
      <c r="AD430" s="1">
        <f t="shared" si="259"/>
        <v>0</v>
      </c>
      <c r="AE430" s="1">
        <f t="shared" si="260"/>
        <v>0</v>
      </c>
      <c r="AF430" s="1">
        <f t="shared" si="229"/>
        <v>0</v>
      </c>
      <c r="AG430" s="1">
        <f t="shared" si="230"/>
        <v>0</v>
      </c>
      <c r="AH430" s="1">
        <f t="shared" si="231"/>
        <v>0</v>
      </c>
      <c r="AI430" s="1">
        <f t="shared" si="232"/>
        <v>0</v>
      </c>
    </row>
    <row r="431" spans="1:35" s="1" customFormat="1" ht="14.25" customHeight="1" x14ac:dyDescent="0.25">
      <c r="A431" s="44">
        <v>1</v>
      </c>
      <c r="B431" s="44">
        <v>2</v>
      </c>
      <c r="C431" s="44">
        <v>7</v>
      </c>
      <c r="D431" s="45" t="s">
        <v>72</v>
      </c>
      <c r="E431" s="45" t="s">
        <v>28</v>
      </c>
      <c r="F431" s="45" t="s">
        <v>260</v>
      </c>
      <c r="G431" s="45" t="s">
        <v>178</v>
      </c>
      <c r="H431" s="45" t="s">
        <v>354</v>
      </c>
      <c r="I431" s="44" t="s">
        <v>419</v>
      </c>
      <c r="J431" s="44">
        <v>1</v>
      </c>
      <c r="K431" s="46" t="s">
        <v>713</v>
      </c>
      <c r="L431" s="46" t="s">
        <v>713</v>
      </c>
      <c r="M431" s="47" t="s">
        <v>731</v>
      </c>
      <c r="N431" s="47" t="s">
        <v>1735</v>
      </c>
      <c r="O431" s="48"/>
      <c r="P431" s="48"/>
      <c r="Q431" s="45"/>
      <c r="S431" s="1">
        <f t="shared" si="249"/>
        <v>1</v>
      </c>
      <c r="T431" s="1">
        <f t="shared" si="250"/>
        <v>0</v>
      </c>
      <c r="U431" s="1">
        <f t="shared" si="251"/>
        <v>0</v>
      </c>
      <c r="V431" s="1">
        <f t="shared" si="252"/>
        <v>0</v>
      </c>
      <c r="W431" s="1">
        <f t="shared" si="253"/>
        <v>0</v>
      </c>
      <c r="X431" s="1">
        <f t="shared" si="254"/>
        <v>0</v>
      </c>
      <c r="Y431" s="1">
        <f t="shared" si="255"/>
        <v>0</v>
      </c>
      <c r="Z431" s="1">
        <f t="shared" si="256"/>
        <v>0</v>
      </c>
      <c r="AA431" s="1">
        <f t="shared" si="257"/>
        <v>0</v>
      </c>
      <c r="AB431" s="1">
        <f t="shared" si="258"/>
        <v>0</v>
      </c>
      <c r="AD431" s="1">
        <f t="shared" si="259"/>
        <v>0</v>
      </c>
      <c r="AE431" s="1">
        <f t="shared" si="260"/>
        <v>0</v>
      </c>
      <c r="AF431" s="1">
        <f t="shared" si="229"/>
        <v>0</v>
      </c>
      <c r="AG431" s="1">
        <f t="shared" si="230"/>
        <v>0</v>
      </c>
      <c r="AH431" s="1">
        <f t="shared" si="231"/>
        <v>0</v>
      </c>
      <c r="AI431" s="1">
        <f t="shared" si="232"/>
        <v>0</v>
      </c>
    </row>
    <row r="432" spans="1:35" s="1" customFormat="1" ht="14.25" customHeight="1" x14ac:dyDescent="0.25">
      <c r="A432" s="15">
        <v>0</v>
      </c>
      <c r="B432" s="15">
        <v>2</v>
      </c>
      <c r="C432" s="15">
        <v>7</v>
      </c>
      <c r="D432" s="16" t="s">
        <v>778</v>
      </c>
      <c r="E432" s="16" t="s">
        <v>28</v>
      </c>
      <c r="F432" s="16" t="s">
        <v>779</v>
      </c>
      <c r="G432" s="16" t="s">
        <v>279</v>
      </c>
      <c r="H432" s="16" t="s">
        <v>354</v>
      </c>
      <c r="I432" s="15" t="s">
        <v>780</v>
      </c>
      <c r="J432" s="15">
        <v>99</v>
      </c>
      <c r="K432" s="10" t="s">
        <v>713</v>
      </c>
      <c r="L432" s="10" t="s">
        <v>713</v>
      </c>
      <c r="M432" s="19" t="s">
        <v>731</v>
      </c>
      <c r="N432" s="17"/>
      <c r="Q432" s="16"/>
      <c r="S432" s="1">
        <f t="shared" si="249"/>
        <v>0</v>
      </c>
      <c r="T432" s="1">
        <f t="shared" si="250"/>
        <v>0</v>
      </c>
      <c r="U432" s="1">
        <f t="shared" si="251"/>
        <v>0</v>
      </c>
      <c r="V432" s="1">
        <f t="shared" si="252"/>
        <v>0</v>
      </c>
      <c r="W432" s="1">
        <f t="shared" si="253"/>
        <v>0</v>
      </c>
      <c r="X432" s="1">
        <f t="shared" si="254"/>
        <v>0</v>
      </c>
      <c r="Y432" s="1">
        <f t="shared" si="255"/>
        <v>0</v>
      </c>
      <c r="Z432" s="1">
        <f t="shared" si="256"/>
        <v>0</v>
      </c>
      <c r="AA432" s="1">
        <f t="shared" si="257"/>
        <v>0</v>
      </c>
      <c r="AB432" s="1">
        <f t="shared" si="258"/>
        <v>0</v>
      </c>
      <c r="AD432" s="1">
        <f t="shared" si="259"/>
        <v>0</v>
      </c>
      <c r="AE432" s="1">
        <f t="shared" si="260"/>
        <v>0</v>
      </c>
      <c r="AF432" s="1">
        <f t="shared" si="229"/>
        <v>0</v>
      </c>
      <c r="AG432" s="1">
        <f t="shared" si="230"/>
        <v>0</v>
      </c>
      <c r="AH432" s="1">
        <f t="shared" si="231"/>
        <v>0</v>
      </c>
      <c r="AI432" s="1">
        <f t="shared" si="232"/>
        <v>1</v>
      </c>
    </row>
    <row r="433" spans="1:35" s="1" customFormat="1" ht="14.25" customHeight="1" x14ac:dyDescent="0.25">
      <c r="A433" s="15">
        <v>0</v>
      </c>
      <c r="B433" s="15">
        <v>2</v>
      </c>
      <c r="C433" s="15">
        <v>7</v>
      </c>
      <c r="D433" s="16" t="s">
        <v>85</v>
      </c>
      <c r="E433" s="16" t="s">
        <v>28</v>
      </c>
      <c r="F433" s="16" t="s">
        <v>278</v>
      </c>
      <c r="G433" s="16" t="s">
        <v>279</v>
      </c>
      <c r="H433" s="16" t="s">
        <v>354</v>
      </c>
      <c r="I433" s="15" t="s">
        <v>434</v>
      </c>
      <c r="J433" s="15">
        <v>99</v>
      </c>
      <c r="K433" s="10" t="s">
        <v>713</v>
      </c>
      <c r="L433" s="10" t="s">
        <v>713</v>
      </c>
      <c r="M433" s="19" t="s">
        <v>731</v>
      </c>
      <c r="N433" s="17"/>
      <c r="Q433" s="16"/>
      <c r="S433" s="1">
        <f t="shared" si="249"/>
        <v>0</v>
      </c>
      <c r="T433" s="1">
        <f t="shared" si="250"/>
        <v>0</v>
      </c>
      <c r="U433" s="1">
        <f t="shared" si="251"/>
        <v>0</v>
      </c>
      <c r="V433" s="1">
        <f t="shared" si="252"/>
        <v>0</v>
      </c>
      <c r="W433" s="1">
        <f t="shared" si="253"/>
        <v>0</v>
      </c>
      <c r="X433" s="1">
        <f t="shared" si="254"/>
        <v>0</v>
      </c>
      <c r="Y433" s="1">
        <f t="shared" si="255"/>
        <v>0</v>
      </c>
      <c r="Z433" s="1">
        <f t="shared" si="256"/>
        <v>0</v>
      </c>
      <c r="AA433" s="1">
        <f t="shared" si="257"/>
        <v>0</v>
      </c>
      <c r="AB433" s="1">
        <f t="shared" si="258"/>
        <v>0</v>
      </c>
      <c r="AD433" s="1">
        <f t="shared" si="259"/>
        <v>0</v>
      </c>
      <c r="AE433" s="1">
        <f t="shared" si="260"/>
        <v>0</v>
      </c>
      <c r="AF433" s="1">
        <f t="shared" si="229"/>
        <v>0</v>
      </c>
      <c r="AG433" s="1">
        <f t="shared" si="230"/>
        <v>0</v>
      </c>
      <c r="AH433" s="1">
        <f t="shared" si="231"/>
        <v>0</v>
      </c>
      <c r="AI433" s="1">
        <f t="shared" si="232"/>
        <v>1</v>
      </c>
    </row>
    <row r="434" spans="1:35" s="1" customFormat="1" ht="14.25" customHeight="1" x14ac:dyDescent="0.25">
      <c r="A434" s="37">
        <v>0</v>
      </c>
      <c r="B434" s="37">
        <v>2</v>
      </c>
      <c r="C434" s="37">
        <v>7</v>
      </c>
      <c r="D434" s="36" t="s">
        <v>1937</v>
      </c>
      <c r="E434" s="36" t="s">
        <v>28</v>
      </c>
      <c r="F434" s="36" t="s">
        <v>1938</v>
      </c>
      <c r="G434" s="36" t="s">
        <v>185</v>
      </c>
      <c r="H434" s="36" t="s">
        <v>354</v>
      </c>
      <c r="I434" s="37" t="s">
        <v>1939</v>
      </c>
      <c r="J434" s="37">
        <v>99</v>
      </c>
      <c r="K434" s="33" t="s">
        <v>703</v>
      </c>
      <c r="L434" s="33">
        <v>4</v>
      </c>
      <c r="M434" s="34" t="s">
        <v>731</v>
      </c>
      <c r="N434" s="34" t="s">
        <v>1743</v>
      </c>
      <c r="O434" s="35">
        <v>1</v>
      </c>
      <c r="P434" s="35"/>
      <c r="Q434" s="36" t="s">
        <v>1940</v>
      </c>
      <c r="S434" s="1">
        <f t="shared" si="249"/>
        <v>0</v>
      </c>
      <c r="T434" s="1">
        <f t="shared" si="250"/>
        <v>0</v>
      </c>
      <c r="U434" s="1">
        <f t="shared" si="251"/>
        <v>0</v>
      </c>
      <c r="V434" s="1">
        <f t="shared" si="252"/>
        <v>0</v>
      </c>
      <c r="W434" s="1">
        <f t="shared" si="253"/>
        <v>0</v>
      </c>
      <c r="X434" s="1">
        <f t="shared" si="254"/>
        <v>0</v>
      </c>
      <c r="Y434" s="1">
        <f t="shared" si="255"/>
        <v>0</v>
      </c>
      <c r="Z434" s="1">
        <f t="shared" si="256"/>
        <v>0</v>
      </c>
      <c r="AA434" s="1">
        <f t="shared" si="257"/>
        <v>0</v>
      </c>
      <c r="AB434" s="1">
        <f t="shared" si="258"/>
        <v>0</v>
      </c>
      <c r="AD434" s="1">
        <f t="shared" si="259"/>
        <v>0</v>
      </c>
      <c r="AE434" s="1">
        <f t="shared" si="260"/>
        <v>1</v>
      </c>
      <c r="AF434" s="1">
        <f t="shared" si="229"/>
        <v>0</v>
      </c>
      <c r="AG434" s="1">
        <f t="shared" si="230"/>
        <v>1</v>
      </c>
      <c r="AH434" s="1">
        <f t="shared" si="231"/>
        <v>0</v>
      </c>
      <c r="AI434" s="1">
        <f t="shared" si="232"/>
        <v>1</v>
      </c>
    </row>
    <row r="435" spans="1:35" s="1" customFormat="1" ht="14.25" customHeight="1" x14ac:dyDescent="0.25">
      <c r="A435" s="44">
        <v>0</v>
      </c>
      <c r="B435" s="44">
        <v>2</v>
      </c>
      <c r="C435" s="44">
        <v>7</v>
      </c>
      <c r="D435" s="45" t="s">
        <v>553</v>
      </c>
      <c r="E435" s="45" t="s">
        <v>28</v>
      </c>
      <c r="F435" s="65" t="s">
        <v>1876</v>
      </c>
      <c r="G435" s="45" t="s">
        <v>556</v>
      </c>
      <c r="H435" s="45" t="s">
        <v>354</v>
      </c>
      <c r="I435" s="44" t="s">
        <v>557</v>
      </c>
      <c r="J435" s="44">
        <v>99</v>
      </c>
      <c r="K435" s="46" t="s">
        <v>713</v>
      </c>
      <c r="L435" s="46" t="s">
        <v>713</v>
      </c>
      <c r="M435" s="47" t="s">
        <v>731</v>
      </c>
      <c r="N435" s="47" t="s">
        <v>1802</v>
      </c>
      <c r="O435" s="48"/>
      <c r="P435" s="48"/>
      <c r="Q435" s="45"/>
      <c r="S435" s="1">
        <f t="shared" si="249"/>
        <v>0</v>
      </c>
      <c r="T435" s="1">
        <f t="shared" si="250"/>
        <v>0</v>
      </c>
      <c r="U435" s="1">
        <f t="shared" si="251"/>
        <v>0</v>
      </c>
      <c r="V435" s="1">
        <f t="shared" si="252"/>
        <v>0</v>
      </c>
      <c r="W435" s="1">
        <f t="shared" si="253"/>
        <v>0</v>
      </c>
      <c r="X435" s="1">
        <f t="shared" si="254"/>
        <v>0</v>
      </c>
      <c r="Y435" s="1">
        <f t="shared" si="255"/>
        <v>0</v>
      </c>
      <c r="Z435" s="1">
        <f t="shared" si="256"/>
        <v>0</v>
      </c>
      <c r="AA435" s="1">
        <f t="shared" si="257"/>
        <v>0</v>
      </c>
      <c r="AB435" s="1">
        <f t="shared" si="258"/>
        <v>0</v>
      </c>
      <c r="AD435" s="1">
        <f t="shared" si="259"/>
        <v>0</v>
      </c>
      <c r="AE435" s="1">
        <f t="shared" si="260"/>
        <v>0</v>
      </c>
      <c r="AF435" s="1">
        <f t="shared" si="229"/>
        <v>0</v>
      </c>
      <c r="AG435" s="1">
        <f t="shared" si="230"/>
        <v>0</v>
      </c>
      <c r="AH435" s="1">
        <f t="shared" si="231"/>
        <v>0</v>
      </c>
      <c r="AI435" s="1">
        <f t="shared" si="232"/>
        <v>1</v>
      </c>
    </row>
    <row r="436" spans="1:35" s="1" customFormat="1" ht="14.25" customHeight="1" x14ac:dyDescent="0.25">
      <c r="A436" s="44">
        <v>1</v>
      </c>
      <c r="B436" s="44">
        <v>2</v>
      </c>
      <c r="C436" s="44">
        <v>7</v>
      </c>
      <c r="D436" s="45" t="s">
        <v>553</v>
      </c>
      <c r="E436" s="45" t="s">
        <v>28</v>
      </c>
      <c r="F436" s="65" t="s">
        <v>1877</v>
      </c>
      <c r="G436" s="45" t="s">
        <v>554</v>
      </c>
      <c r="H436" s="45" t="s">
        <v>354</v>
      </c>
      <c r="I436" s="44" t="s">
        <v>555</v>
      </c>
      <c r="J436" s="44">
        <v>99</v>
      </c>
      <c r="K436" s="46" t="s">
        <v>713</v>
      </c>
      <c r="L436" s="46" t="s">
        <v>713</v>
      </c>
      <c r="M436" s="47" t="s">
        <v>731</v>
      </c>
      <c r="N436" s="47" t="s">
        <v>1802</v>
      </c>
      <c r="O436" s="48"/>
      <c r="P436" s="48"/>
      <c r="Q436" s="45"/>
      <c r="S436" s="1">
        <f t="shared" si="249"/>
        <v>0</v>
      </c>
      <c r="T436" s="1">
        <f t="shared" si="250"/>
        <v>0</v>
      </c>
      <c r="U436" s="1">
        <f t="shared" si="251"/>
        <v>0</v>
      </c>
      <c r="V436" s="1">
        <f t="shared" si="252"/>
        <v>0</v>
      </c>
      <c r="W436" s="1">
        <f t="shared" si="253"/>
        <v>0</v>
      </c>
      <c r="X436" s="1">
        <f t="shared" si="254"/>
        <v>0</v>
      </c>
      <c r="Y436" s="1">
        <f t="shared" si="255"/>
        <v>0</v>
      </c>
      <c r="Z436" s="1">
        <f t="shared" si="256"/>
        <v>0</v>
      </c>
      <c r="AA436" s="1">
        <f t="shared" si="257"/>
        <v>0</v>
      </c>
      <c r="AB436" s="1">
        <f t="shared" si="258"/>
        <v>0</v>
      </c>
      <c r="AD436" s="1">
        <f t="shared" si="259"/>
        <v>0</v>
      </c>
      <c r="AE436" s="1">
        <f t="shared" si="260"/>
        <v>0</v>
      </c>
      <c r="AF436" s="1">
        <f t="shared" si="229"/>
        <v>0</v>
      </c>
      <c r="AG436" s="1">
        <f t="shared" si="230"/>
        <v>0</v>
      </c>
      <c r="AH436" s="1">
        <f t="shared" si="231"/>
        <v>0</v>
      </c>
      <c r="AI436" s="1">
        <f t="shared" si="232"/>
        <v>0</v>
      </c>
    </row>
    <row r="437" spans="1:35" s="1" customFormat="1" ht="14.25" customHeight="1" x14ac:dyDescent="0.25">
      <c r="A437" s="44">
        <v>0</v>
      </c>
      <c r="B437" s="44">
        <v>2</v>
      </c>
      <c r="C437" s="44">
        <v>7</v>
      </c>
      <c r="D437" s="45" t="s">
        <v>1185</v>
      </c>
      <c r="E437" s="45" t="s">
        <v>28</v>
      </c>
      <c r="F437" s="45" t="s">
        <v>1678</v>
      </c>
      <c r="G437" s="45" t="s">
        <v>235</v>
      </c>
      <c r="H437" s="45" t="s">
        <v>354</v>
      </c>
      <c r="I437" s="44" t="s">
        <v>1366</v>
      </c>
      <c r="J437" s="44">
        <v>99</v>
      </c>
      <c r="K437" s="46" t="s">
        <v>712</v>
      </c>
      <c r="L437" s="46" t="s">
        <v>713</v>
      </c>
      <c r="M437" s="47" t="s">
        <v>731</v>
      </c>
      <c r="N437" s="47" t="s">
        <v>1735</v>
      </c>
      <c r="O437" s="48"/>
      <c r="P437" s="48"/>
      <c r="Q437" s="45"/>
      <c r="S437" s="1">
        <f t="shared" si="249"/>
        <v>0</v>
      </c>
      <c r="T437" s="1">
        <f t="shared" si="250"/>
        <v>0</v>
      </c>
      <c r="U437" s="1">
        <f t="shared" si="251"/>
        <v>0</v>
      </c>
      <c r="V437" s="1">
        <f t="shared" si="252"/>
        <v>0</v>
      </c>
      <c r="W437" s="1">
        <f t="shared" si="253"/>
        <v>0</v>
      </c>
      <c r="X437" s="1">
        <f t="shared" si="254"/>
        <v>0</v>
      </c>
      <c r="Y437" s="1">
        <f t="shared" si="255"/>
        <v>0</v>
      </c>
      <c r="Z437" s="1">
        <f t="shared" si="256"/>
        <v>0</v>
      </c>
      <c r="AA437" s="1">
        <f t="shared" si="257"/>
        <v>0</v>
      </c>
      <c r="AB437" s="1">
        <f t="shared" si="258"/>
        <v>0</v>
      </c>
      <c r="AD437" s="1">
        <f t="shared" si="259"/>
        <v>0</v>
      </c>
      <c r="AE437" s="1">
        <f t="shared" si="260"/>
        <v>0</v>
      </c>
      <c r="AF437" s="1">
        <f t="shared" si="229"/>
        <v>0</v>
      </c>
      <c r="AG437" s="1">
        <f t="shared" si="230"/>
        <v>0</v>
      </c>
      <c r="AH437" s="1">
        <f t="shared" si="231"/>
        <v>0</v>
      </c>
      <c r="AI437" s="1">
        <f t="shared" si="232"/>
        <v>1</v>
      </c>
    </row>
    <row r="438" spans="1:35" s="1" customFormat="1" ht="14.25" customHeight="1" x14ac:dyDescent="0.25">
      <c r="A438" s="44">
        <v>1</v>
      </c>
      <c r="B438" s="44">
        <v>2</v>
      </c>
      <c r="C438" s="44">
        <v>7</v>
      </c>
      <c r="D438" s="45" t="s">
        <v>1185</v>
      </c>
      <c r="E438" s="45" t="s">
        <v>28</v>
      </c>
      <c r="F438" s="45" t="s">
        <v>1679</v>
      </c>
      <c r="G438" s="45" t="s">
        <v>1352</v>
      </c>
      <c r="H438" s="45" t="s">
        <v>354</v>
      </c>
      <c r="I438" s="44" t="s">
        <v>1367</v>
      </c>
      <c r="J438" s="44">
        <v>99</v>
      </c>
      <c r="K438" s="46" t="s">
        <v>712</v>
      </c>
      <c r="L438" s="46" t="s">
        <v>713</v>
      </c>
      <c r="M438" s="47" t="s">
        <v>731</v>
      </c>
      <c r="N438" s="47" t="s">
        <v>1735</v>
      </c>
      <c r="O438" s="48"/>
      <c r="P438" s="48"/>
      <c r="Q438" s="45"/>
      <c r="S438" s="1">
        <f t="shared" si="249"/>
        <v>0</v>
      </c>
      <c r="T438" s="1">
        <f t="shared" si="250"/>
        <v>0</v>
      </c>
      <c r="U438" s="1">
        <f t="shared" si="251"/>
        <v>0</v>
      </c>
      <c r="V438" s="1">
        <f t="shared" si="252"/>
        <v>0</v>
      </c>
      <c r="W438" s="1">
        <f t="shared" si="253"/>
        <v>0</v>
      </c>
      <c r="X438" s="1">
        <f t="shared" si="254"/>
        <v>0</v>
      </c>
      <c r="Y438" s="1">
        <f t="shared" si="255"/>
        <v>0</v>
      </c>
      <c r="Z438" s="1">
        <f t="shared" si="256"/>
        <v>0</v>
      </c>
      <c r="AA438" s="1">
        <f t="shared" si="257"/>
        <v>0</v>
      </c>
      <c r="AB438" s="1">
        <f t="shared" si="258"/>
        <v>0</v>
      </c>
      <c r="AD438" s="1">
        <f t="shared" si="259"/>
        <v>0</v>
      </c>
      <c r="AE438" s="1">
        <f t="shared" si="260"/>
        <v>0</v>
      </c>
      <c r="AF438" s="1">
        <f t="shared" si="229"/>
        <v>0</v>
      </c>
      <c r="AG438" s="1">
        <f t="shared" si="230"/>
        <v>0</v>
      </c>
      <c r="AH438" s="1">
        <f t="shared" si="231"/>
        <v>0</v>
      </c>
      <c r="AI438" s="1">
        <f t="shared" si="232"/>
        <v>0</v>
      </c>
    </row>
    <row r="439" spans="1:35" s="1" customFormat="1" ht="14.25" customHeight="1" x14ac:dyDescent="0.25">
      <c r="A439" s="31">
        <v>0</v>
      </c>
      <c r="B439" s="31">
        <v>2</v>
      </c>
      <c r="C439" s="31">
        <v>7</v>
      </c>
      <c r="D439" s="32" t="s">
        <v>1253</v>
      </c>
      <c r="E439" s="32" t="s">
        <v>28</v>
      </c>
      <c r="F439" s="32" t="s">
        <v>1252</v>
      </c>
      <c r="G439" s="32" t="s">
        <v>1237</v>
      </c>
      <c r="H439" s="32" t="s">
        <v>354</v>
      </c>
      <c r="I439" s="31" t="s">
        <v>1254</v>
      </c>
      <c r="J439" s="31">
        <v>99</v>
      </c>
      <c r="K439" s="33" t="s">
        <v>703</v>
      </c>
      <c r="L439" s="33" t="s">
        <v>713</v>
      </c>
      <c r="M439" s="34" t="s">
        <v>731</v>
      </c>
      <c r="N439" s="34" t="s">
        <v>1743</v>
      </c>
      <c r="O439" s="35">
        <v>1</v>
      </c>
      <c r="P439" s="35"/>
      <c r="Q439" s="32"/>
      <c r="S439" s="1">
        <f t="shared" si="249"/>
        <v>0</v>
      </c>
      <c r="T439" s="1">
        <f t="shared" si="250"/>
        <v>0</v>
      </c>
      <c r="U439" s="1">
        <f t="shared" si="251"/>
        <v>0</v>
      </c>
      <c r="V439" s="1">
        <f t="shared" si="252"/>
        <v>0</v>
      </c>
      <c r="W439" s="1">
        <f t="shared" si="253"/>
        <v>0</v>
      </c>
      <c r="X439" s="1">
        <f t="shared" si="254"/>
        <v>0</v>
      </c>
      <c r="Y439" s="1">
        <f t="shared" si="255"/>
        <v>0</v>
      </c>
      <c r="Z439" s="1">
        <f t="shared" si="256"/>
        <v>0</v>
      </c>
      <c r="AA439" s="1">
        <f t="shared" si="257"/>
        <v>0</v>
      </c>
      <c r="AB439" s="1">
        <f t="shared" si="258"/>
        <v>0</v>
      </c>
      <c r="AD439" s="1">
        <f t="shared" si="259"/>
        <v>0</v>
      </c>
      <c r="AE439" s="1">
        <f t="shared" si="260"/>
        <v>1</v>
      </c>
      <c r="AF439" s="1">
        <f t="shared" si="229"/>
        <v>0</v>
      </c>
      <c r="AG439" s="1">
        <f t="shared" si="230"/>
        <v>1</v>
      </c>
      <c r="AH439" s="1">
        <f t="shared" si="231"/>
        <v>0</v>
      </c>
      <c r="AI439" s="1">
        <f t="shared" si="232"/>
        <v>1</v>
      </c>
    </row>
    <row r="440" spans="1:35" s="1" customFormat="1" ht="14.25" customHeight="1" x14ac:dyDescent="0.25">
      <c r="A440" s="31">
        <v>1</v>
      </c>
      <c r="B440" s="31">
        <v>2</v>
      </c>
      <c r="C440" s="31">
        <v>7</v>
      </c>
      <c r="D440" s="32" t="s">
        <v>1253</v>
      </c>
      <c r="E440" s="32" t="s">
        <v>28</v>
      </c>
      <c r="F440" s="32" t="s">
        <v>1251</v>
      </c>
      <c r="G440" s="32" t="s">
        <v>39</v>
      </c>
      <c r="H440" s="32" t="s">
        <v>354</v>
      </c>
      <c r="I440" s="31" t="s">
        <v>1255</v>
      </c>
      <c r="J440" s="31">
        <v>9</v>
      </c>
      <c r="K440" s="33" t="s">
        <v>703</v>
      </c>
      <c r="L440" s="33" t="s">
        <v>713</v>
      </c>
      <c r="M440" s="34" t="s">
        <v>731</v>
      </c>
      <c r="N440" s="34" t="s">
        <v>1743</v>
      </c>
      <c r="O440" s="35">
        <v>1</v>
      </c>
      <c r="P440" s="35"/>
      <c r="Q440" s="32"/>
      <c r="S440" s="1">
        <f t="shared" si="249"/>
        <v>0</v>
      </c>
      <c r="T440" s="1">
        <f t="shared" si="250"/>
        <v>0</v>
      </c>
      <c r="U440" s="1">
        <f t="shared" si="251"/>
        <v>0</v>
      </c>
      <c r="V440" s="1">
        <f t="shared" si="252"/>
        <v>0</v>
      </c>
      <c r="W440" s="1">
        <f t="shared" si="253"/>
        <v>0</v>
      </c>
      <c r="X440" s="1">
        <f t="shared" si="254"/>
        <v>0</v>
      </c>
      <c r="Y440" s="1">
        <f t="shared" si="255"/>
        <v>0</v>
      </c>
      <c r="Z440" s="1">
        <f t="shared" si="256"/>
        <v>0</v>
      </c>
      <c r="AA440" s="1">
        <f t="shared" si="257"/>
        <v>1</v>
      </c>
      <c r="AB440" s="1">
        <f t="shared" si="258"/>
        <v>0</v>
      </c>
      <c r="AD440" s="1">
        <f t="shared" si="259"/>
        <v>0</v>
      </c>
      <c r="AE440" s="1">
        <f t="shared" si="260"/>
        <v>1</v>
      </c>
      <c r="AF440" s="1">
        <f t="shared" si="229"/>
        <v>0</v>
      </c>
      <c r="AG440" s="1">
        <f t="shared" si="230"/>
        <v>0</v>
      </c>
      <c r="AH440" s="1">
        <f t="shared" si="231"/>
        <v>0</v>
      </c>
      <c r="AI440" s="1">
        <f t="shared" si="232"/>
        <v>0</v>
      </c>
    </row>
    <row r="441" spans="1:35" s="1" customFormat="1" ht="14.25" customHeight="1" x14ac:dyDescent="0.25">
      <c r="A441" s="31">
        <v>1</v>
      </c>
      <c r="B441" s="31">
        <v>2</v>
      </c>
      <c r="C441" s="31">
        <v>7</v>
      </c>
      <c r="D441" s="32" t="s">
        <v>1253</v>
      </c>
      <c r="E441" s="32" t="s">
        <v>28</v>
      </c>
      <c r="F441" s="36" t="s">
        <v>1824</v>
      </c>
      <c r="G441" s="36" t="s">
        <v>258</v>
      </c>
      <c r="H441" s="32" t="s">
        <v>354</v>
      </c>
      <c r="I441" s="37" t="s">
        <v>30</v>
      </c>
      <c r="J441" s="31">
        <v>8</v>
      </c>
      <c r="K441" s="33" t="s">
        <v>703</v>
      </c>
      <c r="L441" s="33" t="s">
        <v>713</v>
      </c>
      <c r="M441" s="34" t="s">
        <v>731</v>
      </c>
      <c r="N441" s="34" t="s">
        <v>1743</v>
      </c>
      <c r="O441" s="35">
        <v>1</v>
      </c>
      <c r="P441" s="35"/>
      <c r="Q441" s="32"/>
      <c r="S441" s="1">
        <f t="shared" si="249"/>
        <v>0</v>
      </c>
      <c r="T441" s="1">
        <f t="shared" si="250"/>
        <v>0</v>
      </c>
      <c r="U441" s="1">
        <f t="shared" si="251"/>
        <v>0</v>
      </c>
      <c r="V441" s="1">
        <f t="shared" si="252"/>
        <v>0</v>
      </c>
      <c r="W441" s="1">
        <f t="shared" si="253"/>
        <v>0</v>
      </c>
      <c r="X441" s="1">
        <f t="shared" si="254"/>
        <v>0</v>
      </c>
      <c r="Y441" s="1">
        <f t="shared" si="255"/>
        <v>0</v>
      </c>
      <c r="Z441" s="1">
        <f t="shared" si="256"/>
        <v>1</v>
      </c>
      <c r="AA441" s="1">
        <f t="shared" si="257"/>
        <v>0</v>
      </c>
      <c r="AB441" s="1">
        <f t="shared" si="258"/>
        <v>0</v>
      </c>
      <c r="AD441" s="1">
        <f t="shared" si="259"/>
        <v>0</v>
      </c>
      <c r="AE441" s="1">
        <f t="shared" si="260"/>
        <v>1</v>
      </c>
      <c r="AF441" s="1">
        <f t="shared" si="229"/>
        <v>0</v>
      </c>
      <c r="AG441" s="1">
        <f t="shared" si="230"/>
        <v>0</v>
      </c>
      <c r="AH441" s="1">
        <f t="shared" si="231"/>
        <v>0</v>
      </c>
      <c r="AI441" s="1">
        <f t="shared" si="232"/>
        <v>0</v>
      </c>
    </row>
    <row r="442" spans="1:35" s="1" customFormat="1" ht="14.25" customHeight="1" x14ac:dyDescent="0.25">
      <c r="A442" s="31">
        <v>0</v>
      </c>
      <c r="B442" s="31">
        <v>2</v>
      </c>
      <c r="C442" s="31">
        <v>7</v>
      </c>
      <c r="D442" s="32" t="s">
        <v>51</v>
      </c>
      <c r="E442" s="32" t="s">
        <v>28</v>
      </c>
      <c r="F442" s="32" t="s">
        <v>674</v>
      </c>
      <c r="G442" s="32" t="s">
        <v>185</v>
      </c>
      <c r="H442" s="32" t="s">
        <v>354</v>
      </c>
      <c r="I442" s="31" t="s">
        <v>390</v>
      </c>
      <c r="J442" s="31">
        <v>99</v>
      </c>
      <c r="K442" s="33" t="s">
        <v>712</v>
      </c>
      <c r="L442" s="33" t="s">
        <v>713</v>
      </c>
      <c r="M442" s="34" t="s">
        <v>731</v>
      </c>
      <c r="N442" s="34" t="s">
        <v>1749</v>
      </c>
      <c r="O442" s="35">
        <v>1</v>
      </c>
      <c r="P442" s="35"/>
      <c r="Q442" s="32"/>
      <c r="S442" s="1">
        <f t="shared" si="249"/>
        <v>0</v>
      </c>
      <c r="T442" s="1">
        <f t="shared" si="250"/>
        <v>0</v>
      </c>
      <c r="U442" s="1">
        <f t="shared" si="251"/>
        <v>0</v>
      </c>
      <c r="V442" s="1">
        <f t="shared" si="252"/>
        <v>0</v>
      </c>
      <c r="W442" s="1">
        <f t="shared" si="253"/>
        <v>0</v>
      </c>
      <c r="X442" s="1">
        <f t="shared" si="254"/>
        <v>0</v>
      </c>
      <c r="Y442" s="1">
        <f t="shared" si="255"/>
        <v>0</v>
      </c>
      <c r="Z442" s="1">
        <f t="shared" si="256"/>
        <v>0</v>
      </c>
      <c r="AA442" s="1">
        <f t="shared" si="257"/>
        <v>0</v>
      </c>
      <c r="AB442" s="1">
        <f t="shared" si="258"/>
        <v>0</v>
      </c>
      <c r="AD442" s="1">
        <f t="shared" si="259"/>
        <v>0</v>
      </c>
      <c r="AE442" s="1">
        <f t="shared" si="260"/>
        <v>1</v>
      </c>
      <c r="AF442" s="1">
        <f t="shared" si="229"/>
        <v>0</v>
      </c>
      <c r="AG442" s="1">
        <f t="shared" si="230"/>
        <v>1</v>
      </c>
      <c r="AH442" s="1">
        <f t="shared" si="231"/>
        <v>0</v>
      </c>
      <c r="AI442" s="1">
        <f t="shared" si="232"/>
        <v>1</v>
      </c>
    </row>
    <row r="443" spans="1:35" s="1" customFormat="1" ht="14.25" customHeight="1" x14ac:dyDescent="0.25">
      <c r="A443" s="44">
        <v>0</v>
      </c>
      <c r="B443" s="44">
        <v>2</v>
      </c>
      <c r="C443" s="44">
        <v>7</v>
      </c>
      <c r="D443" s="45" t="s">
        <v>1081</v>
      </c>
      <c r="E443" s="45" t="s">
        <v>28</v>
      </c>
      <c r="F443" s="45" t="s">
        <v>998</v>
      </c>
      <c r="G443" s="45" t="s">
        <v>240</v>
      </c>
      <c r="H443" s="45" t="s">
        <v>354</v>
      </c>
      <c r="I443" s="44" t="s">
        <v>1106</v>
      </c>
      <c r="J443" s="44">
        <v>1</v>
      </c>
      <c r="K443" s="46" t="s">
        <v>712</v>
      </c>
      <c r="L443" s="46" t="s">
        <v>713</v>
      </c>
      <c r="M443" s="47" t="s">
        <v>731</v>
      </c>
      <c r="N443" s="47" t="s">
        <v>1735</v>
      </c>
      <c r="O443" s="48"/>
      <c r="P443" s="48"/>
      <c r="Q443" s="45"/>
      <c r="S443" s="1">
        <f t="shared" si="249"/>
        <v>1</v>
      </c>
      <c r="T443" s="1">
        <f t="shared" si="250"/>
        <v>0</v>
      </c>
      <c r="U443" s="1">
        <f t="shared" si="251"/>
        <v>0</v>
      </c>
      <c r="V443" s="1">
        <f t="shared" si="252"/>
        <v>0</v>
      </c>
      <c r="W443" s="1">
        <f t="shared" si="253"/>
        <v>0</v>
      </c>
      <c r="X443" s="1">
        <f t="shared" si="254"/>
        <v>0</v>
      </c>
      <c r="Y443" s="1">
        <f t="shared" si="255"/>
        <v>0</v>
      </c>
      <c r="Z443" s="1">
        <f t="shared" si="256"/>
        <v>0</v>
      </c>
      <c r="AA443" s="1">
        <f t="shared" si="257"/>
        <v>0</v>
      </c>
      <c r="AB443" s="1">
        <f t="shared" si="258"/>
        <v>0</v>
      </c>
      <c r="AD443" s="1">
        <f t="shared" si="259"/>
        <v>0</v>
      </c>
      <c r="AE443" s="1">
        <f t="shared" si="260"/>
        <v>0</v>
      </c>
      <c r="AF443" s="1">
        <f t="shared" si="229"/>
        <v>0</v>
      </c>
      <c r="AG443" s="1">
        <f t="shared" si="230"/>
        <v>0</v>
      </c>
      <c r="AH443" s="1">
        <f t="shared" si="231"/>
        <v>0</v>
      </c>
      <c r="AI443" s="1">
        <f t="shared" si="232"/>
        <v>1</v>
      </c>
    </row>
    <row r="444" spans="1:35" s="1" customFormat="1" ht="14.25" customHeight="1" x14ac:dyDescent="0.25">
      <c r="A444" s="44">
        <v>1</v>
      </c>
      <c r="B444" s="44">
        <v>2</v>
      </c>
      <c r="C444" s="44">
        <v>7</v>
      </c>
      <c r="D444" s="45" t="s">
        <v>1081</v>
      </c>
      <c r="E444" s="45" t="s">
        <v>28</v>
      </c>
      <c r="F444" s="45" t="s">
        <v>999</v>
      </c>
      <c r="G444" s="45" t="s">
        <v>1099</v>
      </c>
      <c r="H444" s="45" t="s">
        <v>354</v>
      </c>
      <c r="I444" s="44" t="s">
        <v>1107</v>
      </c>
      <c r="J444" s="44">
        <v>1</v>
      </c>
      <c r="K444" s="46" t="s">
        <v>712</v>
      </c>
      <c r="L444" s="46" t="s">
        <v>713</v>
      </c>
      <c r="M444" s="47" t="s">
        <v>731</v>
      </c>
      <c r="N444" s="47" t="s">
        <v>1735</v>
      </c>
      <c r="O444" s="48"/>
      <c r="P444" s="48"/>
      <c r="Q444" s="45"/>
      <c r="S444" s="1">
        <f t="shared" si="249"/>
        <v>1</v>
      </c>
      <c r="T444" s="1">
        <f t="shared" si="250"/>
        <v>0</v>
      </c>
      <c r="U444" s="1">
        <f t="shared" si="251"/>
        <v>0</v>
      </c>
      <c r="V444" s="1">
        <f t="shared" si="252"/>
        <v>0</v>
      </c>
      <c r="W444" s="1">
        <f t="shared" si="253"/>
        <v>0</v>
      </c>
      <c r="X444" s="1">
        <f t="shared" si="254"/>
        <v>0</v>
      </c>
      <c r="Y444" s="1">
        <f t="shared" si="255"/>
        <v>0</v>
      </c>
      <c r="Z444" s="1">
        <f t="shared" si="256"/>
        <v>0</v>
      </c>
      <c r="AA444" s="1">
        <f t="shared" si="257"/>
        <v>0</v>
      </c>
      <c r="AB444" s="1">
        <f t="shared" si="258"/>
        <v>0</v>
      </c>
      <c r="AD444" s="1">
        <f t="shared" si="259"/>
        <v>0</v>
      </c>
      <c r="AE444" s="1">
        <f t="shared" si="260"/>
        <v>0</v>
      </c>
      <c r="AF444" s="1">
        <f t="shared" si="229"/>
        <v>0</v>
      </c>
      <c r="AG444" s="1">
        <f t="shared" si="230"/>
        <v>0</v>
      </c>
      <c r="AH444" s="1">
        <f t="shared" si="231"/>
        <v>0</v>
      </c>
      <c r="AI444" s="1">
        <f t="shared" si="232"/>
        <v>0</v>
      </c>
    </row>
    <row r="445" spans="1:35" s="1" customFormat="1" ht="14.25" customHeight="1" x14ac:dyDescent="0.25">
      <c r="A445" s="31">
        <v>0</v>
      </c>
      <c r="B445" s="31">
        <v>2</v>
      </c>
      <c r="C445" s="31">
        <v>7</v>
      </c>
      <c r="D445" s="32" t="s">
        <v>1638</v>
      </c>
      <c r="E445" s="32" t="s">
        <v>156</v>
      </c>
      <c r="F445" s="32" t="s">
        <v>1491</v>
      </c>
      <c r="G445" s="32" t="s">
        <v>1492</v>
      </c>
      <c r="H445" s="32" t="s">
        <v>354</v>
      </c>
      <c r="I445" s="31" t="s">
        <v>1493</v>
      </c>
      <c r="J445" s="31">
        <v>99</v>
      </c>
      <c r="K445" s="33" t="s">
        <v>955</v>
      </c>
      <c r="L445" s="33" t="s">
        <v>722</v>
      </c>
      <c r="M445" s="34" t="s">
        <v>732</v>
      </c>
      <c r="N445" s="34" t="s">
        <v>1748</v>
      </c>
      <c r="O445" s="35">
        <v>1</v>
      </c>
      <c r="P445" s="35"/>
      <c r="Q445" s="32"/>
      <c r="S445" s="1">
        <f t="shared" si="249"/>
        <v>0</v>
      </c>
      <c r="T445" s="1">
        <f t="shared" si="250"/>
        <v>0</v>
      </c>
      <c r="U445" s="1">
        <f t="shared" si="251"/>
        <v>0</v>
      </c>
      <c r="V445" s="1">
        <f t="shared" si="252"/>
        <v>0</v>
      </c>
      <c r="W445" s="1">
        <f t="shared" si="253"/>
        <v>0</v>
      </c>
      <c r="X445" s="1">
        <f t="shared" si="254"/>
        <v>0</v>
      </c>
      <c r="Y445" s="1">
        <f t="shared" si="255"/>
        <v>0</v>
      </c>
      <c r="Z445" s="1">
        <f t="shared" si="256"/>
        <v>0</v>
      </c>
      <c r="AA445" s="1">
        <f t="shared" si="257"/>
        <v>0</v>
      </c>
      <c r="AB445" s="1">
        <f t="shared" si="258"/>
        <v>0</v>
      </c>
      <c r="AD445" s="1">
        <f t="shared" si="259"/>
        <v>0</v>
      </c>
      <c r="AE445" s="1">
        <f t="shared" si="260"/>
        <v>1</v>
      </c>
      <c r="AF445" s="1">
        <f t="shared" si="229"/>
        <v>0</v>
      </c>
      <c r="AG445" s="1">
        <f t="shared" si="230"/>
        <v>1</v>
      </c>
      <c r="AH445" s="1">
        <f t="shared" si="231"/>
        <v>0</v>
      </c>
      <c r="AI445" s="1">
        <f t="shared" si="232"/>
        <v>1</v>
      </c>
    </row>
    <row r="446" spans="1:35" s="1" customFormat="1" ht="14.25" customHeight="1" x14ac:dyDescent="0.25">
      <c r="A446" s="44">
        <v>0</v>
      </c>
      <c r="B446" s="44">
        <v>2</v>
      </c>
      <c r="C446" s="44">
        <v>7</v>
      </c>
      <c r="D446" s="45" t="s">
        <v>82</v>
      </c>
      <c r="E446" s="45" t="s">
        <v>28</v>
      </c>
      <c r="F446" s="45" t="s">
        <v>274</v>
      </c>
      <c r="G446" s="45" t="s">
        <v>275</v>
      </c>
      <c r="H446" s="45" t="s">
        <v>354</v>
      </c>
      <c r="I446" s="44" t="s">
        <v>429</v>
      </c>
      <c r="J446" s="44">
        <v>7</v>
      </c>
      <c r="K446" s="46" t="s">
        <v>955</v>
      </c>
      <c r="L446" s="46" t="s">
        <v>954</v>
      </c>
      <c r="M446" s="47" t="s">
        <v>968</v>
      </c>
      <c r="N446" s="47" t="s">
        <v>1809</v>
      </c>
      <c r="O446" s="48"/>
      <c r="P446" s="48"/>
      <c r="Q446" s="45"/>
      <c r="S446" s="1">
        <f t="shared" si="249"/>
        <v>0</v>
      </c>
      <c r="T446" s="1">
        <f t="shared" si="250"/>
        <v>0</v>
      </c>
      <c r="U446" s="1">
        <f t="shared" si="251"/>
        <v>0</v>
      </c>
      <c r="V446" s="1">
        <f t="shared" si="252"/>
        <v>0</v>
      </c>
      <c r="W446" s="1">
        <f t="shared" si="253"/>
        <v>0</v>
      </c>
      <c r="X446" s="1">
        <f t="shared" si="254"/>
        <v>0</v>
      </c>
      <c r="Y446" s="1">
        <f t="shared" si="255"/>
        <v>1</v>
      </c>
      <c r="Z446" s="1">
        <f t="shared" si="256"/>
        <v>0</v>
      </c>
      <c r="AA446" s="1">
        <f t="shared" si="257"/>
        <v>0</v>
      </c>
      <c r="AB446" s="1">
        <f t="shared" si="258"/>
        <v>0</v>
      </c>
      <c r="AD446" s="1">
        <f t="shared" si="259"/>
        <v>0</v>
      </c>
      <c r="AE446" s="1">
        <f t="shared" si="260"/>
        <v>0</v>
      </c>
      <c r="AF446" s="1">
        <f t="shared" si="229"/>
        <v>0</v>
      </c>
      <c r="AG446" s="1">
        <f t="shared" si="230"/>
        <v>0</v>
      </c>
      <c r="AH446" s="1">
        <f t="shared" si="231"/>
        <v>0</v>
      </c>
      <c r="AI446" s="1">
        <f t="shared" si="232"/>
        <v>1</v>
      </c>
    </row>
    <row r="447" spans="1:35" s="1" customFormat="1" ht="14.25" customHeight="1" x14ac:dyDescent="0.25">
      <c r="A447" s="44">
        <v>0</v>
      </c>
      <c r="B447" s="44">
        <v>2</v>
      </c>
      <c r="C447" s="44">
        <v>7</v>
      </c>
      <c r="D447" s="45" t="s">
        <v>76</v>
      </c>
      <c r="E447" s="45" t="s">
        <v>28</v>
      </c>
      <c r="F447" s="45" t="s">
        <v>1681</v>
      </c>
      <c r="G447" s="45" t="s">
        <v>190</v>
      </c>
      <c r="H447" s="45" t="s">
        <v>354</v>
      </c>
      <c r="I447" s="44" t="s">
        <v>423</v>
      </c>
      <c r="J447" s="44">
        <v>99</v>
      </c>
      <c r="K447" s="46" t="s">
        <v>954</v>
      </c>
      <c r="L447" s="46" t="s">
        <v>713</v>
      </c>
      <c r="M447" s="47" t="s">
        <v>731</v>
      </c>
      <c r="N447" s="47" t="s">
        <v>1735</v>
      </c>
      <c r="O447" s="48"/>
      <c r="P447" s="48"/>
      <c r="Q447" s="45"/>
      <c r="S447" s="1">
        <f t="shared" si="249"/>
        <v>0</v>
      </c>
      <c r="T447" s="1">
        <f t="shared" si="250"/>
        <v>0</v>
      </c>
      <c r="U447" s="1">
        <f t="shared" si="251"/>
        <v>0</v>
      </c>
      <c r="V447" s="1">
        <f t="shared" si="252"/>
        <v>0</v>
      </c>
      <c r="W447" s="1">
        <f t="shared" si="253"/>
        <v>0</v>
      </c>
      <c r="X447" s="1">
        <f t="shared" si="254"/>
        <v>0</v>
      </c>
      <c r="Y447" s="1">
        <f t="shared" si="255"/>
        <v>0</v>
      </c>
      <c r="Z447" s="1">
        <f t="shared" si="256"/>
        <v>0</v>
      </c>
      <c r="AA447" s="1">
        <f t="shared" si="257"/>
        <v>0</v>
      </c>
      <c r="AB447" s="1">
        <f t="shared" si="258"/>
        <v>0</v>
      </c>
      <c r="AD447" s="1">
        <f t="shared" si="259"/>
        <v>0</v>
      </c>
      <c r="AE447" s="1">
        <f t="shared" si="260"/>
        <v>0</v>
      </c>
      <c r="AF447" s="1">
        <f t="shared" si="229"/>
        <v>0</v>
      </c>
      <c r="AG447" s="1">
        <f t="shared" si="230"/>
        <v>0</v>
      </c>
      <c r="AH447" s="1">
        <f t="shared" si="231"/>
        <v>0</v>
      </c>
      <c r="AI447" s="1">
        <f t="shared" si="232"/>
        <v>1</v>
      </c>
    </row>
    <row r="448" spans="1:35" s="1" customFormat="1" ht="14.25" customHeight="1" x14ac:dyDescent="0.25">
      <c r="A448" s="15">
        <v>0</v>
      </c>
      <c r="B448" s="15">
        <v>2</v>
      </c>
      <c r="C448" s="15">
        <v>7</v>
      </c>
      <c r="D448" s="20" t="s">
        <v>2034</v>
      </c>
      <c r="E448" s="16" t="s">
        <v>2038</v>
      </c>
      <c r="F448" s="20" t="s">
        <v>2035</v>
      </c>
      <c r="G448" s="20" t="s">
        <v>2036</v>
      </c>
      <c r="H448" s="20" t="s">
        <v>354</v>
      </c>
      <c r="I448" s="21" t="s">
        <v>2037</v>
      </c>
      <c r="J448" s="15">
        <v>99</v>
      </c>
      <c r="K448" s="10" t="s">
        <v>703</v>
      </c>
      <c r="L448" s="10">
        <v>20</v>
      </c>
      <c r="M448" s="19" t="s">
        <v>2040</v>
      </c>
      <c r="N448" s="19"/>
      <c r="Q448" s="20" t="s">
        <v>2039</v>
      </c>
      <c r="S448" s="1">
        <f t="shared" si="249"/>
        <v>0</v>
      </c>
      <c r="T448" s="1">
        <f t="shared" si="250"/>
        <v>0</v>
      </c>
      <c r="U448" s="1">
        <f t="shared" si="251"/>
        <v>0</v>
      </c>
      <c r="V448" s="1">
        <f t="shared" si="252"/>
        <v>0</v>
      </c>
      <c r="W448" s="1">
        <f t="shared" si="253"/>
        <v>0</v>
      </c>
      <c r="X448" s="1">
        <f t="shared" si="254"/>
        <v>0</v>
      </c>
      <c r="Y448" s="1">
        <f t="shared" si="255"/>
        <v>0</v>
      </c>
      <c r="Z448" s="1">
        <f t="shared" si="256"/>
        <v>0</v>
      </c>
      <c r="AA448" s="1">
        <f t="shared" si="257"/>
        <v>0</v>
      </c>
      <c r="AB448" s="1">
        <f t="shared" si="258"/>
        <v>0</v>
      </c>
      <c r="AD448" s="1">
        <f t="shared" ref="AD448:AD451" si="277">+O448*P448</f>
        <v>0</v>
      </c>
      <c r="AE448" s="1">
        <f t="shared" ref="AE448:AE451" si="278">O448*(1-P448)</f>
        <v>0</v>
      </c>
      <c r="AF448" s="1">
        <f t="shared" ref="AF448:AF451" si="279">+O448*P448*(1-A448)</f>
        <v>0</v>
      </c>
      <c r="AG448" s="1">
        <f t="shared" ref="AG448:AG451" si="280">O448*(1-P448)*(1-A448)</f>
        <v>0</v>
      </c>
      <c r="AH448" s="1">
        <f t="shared" ref="AH448:AH451" si="281">+P448*(1-A448)</f>
        <v>0</v>
      </c>
      <c r="AI448" s="1">
        <f t="shared" ref="AI448:AI451" si="282">+(1-A448)*(1-P448)</f>
        <v>1</v>
      </c>
    </row>
    <row r="449" spans="1:35" s="1" customFormat="1" ht="14.25" customHeight="1" x14ac:dyDescent="0.25">
      <c r="A449" s="31">
        <v>0</v>
      </c>
      <c r="B449" s="31">
        <v>2</v>
      </c>
      <c r="C449" s="31">
        <v>7</v>
      </c>
      <c r="D449" s="32" t="s">
        <v>1640</v>
      </c>
      <c r="E449" s="32" t="s">
        <v>163</v>
      </c>
      <c r="F449" s="32" t="s">
        <v>244</v>
      </c>
      <c r="G449" s="32" t="s">
        <v>218</v>
      </c>
      <c r="H449" s="32" t="s">
        <v>354</v>
      </c>
      <c r="I449" s="31" t="s">
        <v>408</v>
      </c>
      <c r="J449" s="31">
        <v>99</v>
      </c>
      <c r="K449" s="33" t="s">
        <v>713</v>
      </c>
      <c r="L449" s="33" t="s">
        <v>722</v>
      </c>
      <c r="M449" s="34" t="s">
        <v>732</v>
      </c>
      <c r="N449" s="34" t="s">
        <v>1727</v>
      </c>
      <c r="O449" s="35">
        <v>1</v>
      </c>
      <c r="P449" s="35">
        <v>1</v>
      </c>
      <c r="Q449" s="32"/>
      <c r="S449" s="1">
        <f t="shared" si="249"/>
        <v>0</v>
      </c>
      <c r="T449" s="1">
        <f t="shared" si="250"/>
        <v>0</v>
      </c>
      <c r="U449" s="1">
        <f t="shared" si="251"/>
        <v>0</v>
      </c>
      <c r="V449" s="1">
        <f t="shared" si="252"/>
        <v>0</v>
      </c>
      <c r="W449" s="1">
        <f t="shared" si="253"/>
        <v>0</v>
      </c>
      <c r="X449" s="1">
        <f t="shared" si="254"/>
        <v>0</v>
      </c>
      <c r="Y449" s="1">
        <f t="shared" si="255"/>
        <v>0</v>
      </c>
      <c r="Z449" s="1">
        <f t="shared" si="256"/>
        <v>0</v>
      </c>
      <c r="AA449" s="1">
        <f t="shared" si="257"/>
        <v>0</v>
      </c>
      <c r="AB449" s="1">
        <f t="shared" si="258"/>
        <v>0</v>
      </c>
      <c r="AD449" s="1">
        <f t="shared" si="277"/>
        <v>1</v>
      </c>
      <c r="AE449" s="1">
        <f t="shared" si="278"/>
        <v>0</v>
      </c>
      <c r="AF449" s="1">
        <f t="shared" si="279"/>
        <v>1</v>
      </c>
      <c r="AG449" s="1">
        <f t="shared" si="280"/>
        <v>0</v>
      </c>
      <c r="AH449" s="1">
        <f t="shared" si="281"/>
        <v>1</v>
      </c>
      <c r="AI449" s="1">
        <f t="shared" si="282"/>
        <v>0</v>
      </c>
    </row>
    <row r="450" spans="1:35" s="1" customFormat="1" ht="14.25" customHeight="1" x14ac:dyDescent="0.25">
      <c r="A450" s="31">
        <v>0</v>
      </c>
      <c r="B450" s="31">
        <v>2</v>
      </c>
      <c r="C450" s="31">
        <v>7</v>
      </c>
      <c r="D450" s="32" t="s">
        <v>1538</v>
      </c>
      <c r="E450" s="32" t="s">
        <v>156</v>
      </c>
      <c r="F450" s="32" t="s">
        <v>1539</v>
      </c>
      <c r="G450" s="32" t="s">
        <v>39</v>
      </c>
      <c r="H450" s="32" t="s">
        <v>354</v>
      </c>
      <c r="I450" s="31" t="s">
        <v>1540</v>
      </c>
      <c r="J450" s="31">
        <v>99</v>
      </c>
      <c r="K450" s="33" t="s">
        <v>713</v>
      </c>
      <c r="L450" s="33" t="s">
        <v>722</v>
      </c>
      <c r="M450" s="34" t="s">
        <v>732</v>
      </c>
      <c r="N450" s="34" t="s">
        <v>1748</v>
      </c>
      <c r="O450" s="35">
        <v>1</v>
      </c>
      <c r="P450" s="35"/>
      <c r="Q450" s="32"/>
      <c r="S450" s="1">
        <f t="shared" si="249"/>
        <v>0</v>
      </c>
      <c r="T450" s="1">
        <f t="shared" si="250"/>
        <v>0</v>
      </c>
      <c r="U450" s="1">
        <f t="shared" si="251"/>
        <v>0</v>
      </c>
      <c r="V450" s="1">
        <f t="shared" si="252"/>
        <v>0</v>
      </c>
      <c r="W450" s="1">
        <f t="shared" si="253"/>
        <v>0</v>
      </c>
      <c r="X450" s="1">
        <f t="shared" si="254"/>
        <v>0</v>
      </c>
      <c r="Y450" s="1">
        <f t="shared" si="255"/>
        <v>0</v>
      </c>
      <c r="Z450" s="1">
        <f t="shared" si="256"/>
        <v>0</v>
      </c>
      <c r="AA450" s="1">
        <f t="shared" si="257"/>
        <v>0</v>
      </c>
      <c r="AB450" s="1">
        <f t="shared" si="258"/>
        <v>0</v>
      </c>
      <c r="AD450" s="1">
        <f t="shared" si="277"/>
        <v>0</v>
      </c>
      <c r="AE450" s="1">
        <f t="shared" si="278"/>
        <v>1</v>
      </c>
      <c r="AF450" s="1">
        <f t="shared" si="279"/>
        <v>0</v>
      </c>
      <c r="AG450" s="1">
        <f t="shared" si="280"/>
        <v>1</v>
      </c>
      <c r="AH450" s="1">
        <f t="shared" si="281"/>
        <v>0</v>
      </c>
      <c r="AI450" s="1">
        <f t="shared" si="282"/>
        <v>1</v>
      </c>
    </row>
    <row r="451" spans="1:35" s="1" customFormat="1" ht="14.25" customHeight="1" x14ac:dyDescent="0.25">
      <c r="A451" s="44">
        <v>0</v>
      </c>
      <c r="B451" s="44">
        <v>2</v>
      </c>
      <c r="C451" s="44">
        <v>7</v>
      </c>
      <c r="D451" s="45" t="s">
        <v>1262</v>
      </c>
      <c r="E451" s="45" t="s">
        <v>1524</v>
      </c>
      <c r="F451" s="45" t="s">
        <v>1355</v>
      </c>
      <c r="G451" s="45" t="s">
        <v>186</v>
      </c>
      <c r="H451" s="45" t="s">
        <v>354</v>
      </c>
      <c r="I451" s="44" t="s">
        <v>1368</v>
      </c>
      <c r="J451" s="44">
        <v>1</v>
      </c>
      <c r="K451" s="46" t="s">
        <v>713</v>
      </c>
      <c r="L451" s="46" t="s">
        <v>716</v>
      </c>
      <c r="M451" s="47" t="s">
        <v>1438</v>
      </c>
      <c r="N451" s="47" t="s">
        <v>1735</v>
      </c>
      <c r="O451" s="48"/>
      <c r="P451" s="48"/>
      <c r="Q451" s="45"/>
      <c r="S451" s="1">
        <f t="shared" si="249"/>
        <v>1</v>
      </c>
      <c r="T451" s="1">
        <f t="shared" si="250"/>
        <v>0</v>
      </c>
      <c r="U451" s="1">
        <f t="shared" si="251"/>
        <v>0</v>
      </c>
      <c r="V451" s="1">
        <f t="shared" si="252"/>
        <v>0</v>
      </c>
      <c r="W451" s="1">
        <f t="shared" si="253"/>
        <v>0</v>
      </c>
      <c r="X451" s="1">
        <f t="shared" si="254"/>
        <v>0</v>
      </c>
      <c r="Y451" s="1">
        <f t="shared" si="255"/>
        <v>0</v>
      </c>
      <c r="Z451" s="1">
        <f t="shared" si="256"/>
        <v>0</v>
      </c>
      <c r="AA451" s="1">
        <f t="shared" si="257"/>
        <v>0</v>
      </c>
      <c r="AB451" s="1">
        <f t="shared" si="258"/>
        <v>0</v>
      </c>
      <c r="AD451" s="1">
        <f t="shared" si="277"/>
        <v>0</v>
      </c>
      <c r="AE451" s="1">
        <f t="shared" si="278"/>
        <v>0</v>
      </c>
      <c r="AF451" s="1">
        <f t="shared" si="279"/>
        <v>0</v>
      </c>
      <c r="AG451" s="1">
        <f t="shared" si="280"/>
        <v>0</v>
      </c>
      <c r="AH451" s="1">
        <f t="shared" si="281"/>
        <v>0</v>
      </c>
      <c r="AI451" s="1">
        <f t="shared" si="282"/>
        <v>1</v>
      </c>
    </row>
    <row r="452" spans="1:35" s="1" customFormat="1" ht="14.25" customHeight="1" x14ac:dyDescent="0.25">
      <c r="A452" s="31">
        <v>0</v>
      </c>
      <c r="B452" s="31">
        <v>2</v>
      </c>
      <c r="C452" s="31">
        <v>7</v>
      </c>
      <c r="D452" s="32" t="s">
        <v>66</v>
      </c>
      <c r="E452" s="32" t="s">
        <v>28</v>
      </c>
      <c r="F452" s="32" t="s">
        <v>974</v>
      </c>
      <c r="G452" s="32" t="s">
        <v>1101</v>
      </c>
      <c r="H452" s="32" t="s">
        <v>354</v>
      </c>
      <c r="I452" s="31" t="s">
        <v>1108</v>
      </c>
      <c r="J452" s="31">
        <v>99</v>
      </c>
      <c r="K452" s="33" t="s">
        <v>713</v>
      </c>
      <c r="L452" s="33" t="s">
        <v>713</v>
      </c>
      <c r="M452" s="34" t="s">
        <v>731</v>
      </c>
      <c r="N452" s="34" t="s">
        <v>1743</v>
      </c>
      <c r="O452" s="35">
        <v>1</v>
      </c>
      <c r="P452" s="35"/>
      <c r="Q452" s="32"/>
      <c r="S452" s="1">
        <f t="shared" si="249"/>
        <v>0</v>
      </c>
      <c r="T452" s="1">
        <f t="shared" si="250"/>
        <v>0</v>
      </c>
      <c r="U452" s="1">
        <f t="shared" si="251"/>
        <v>0</v>
      </c>
      <c r="V452" s="1">
        <f t="shared" si="252"/>
        <v>0</v>
      </c>
      <c r="W452" s="1">
        <f t="shared" si="253"/>
        <v>0</v>
      </c>
      <c r="X452" s="1">
        <f t="shared" si="254"/>
        <v>0</v>
      </c>
      <c r="Y452" s="1">
        <f t="shared" si="255"/>
        <v>0</v>
      </c>
      <c r="Z452" s="1">
        <f t="shared" si="256"/>
        <v>0</v>
      </c>
      <c r="AA452" s="1">
        <f t="shared" si="257"/>
        <v>0</v>
      </c>
      <c r="AB452" s="1">
        <f t="shared" si="258"/>
        <v>0</v>
      </c>
      <c r="AD452" s="1">
        <f t="shared" si="259"/>
        <v>0</v>
      </c>
      <c r="AE452" s="1">
        <f t="shared" si="260"/>
        <v>1</v>
      </c>
      <c r="AF452" s="1">
        <f t="shared" si="229"/>
        <v>0</v>
      </c>
      <c r="AG452" s="1">
        <f t="shared" si="230"/>
        <v>1</v>
      </c>
      <c r="AH452" s="1">
        <f t="shared" si="231"/>
        <v>0</v>
      </c>
      <c r="AI452" s="1">
        <f t="shared" si="232"/>
        <v>1</v>
      </c>
    </row>
    <row r="453" spans="1:35" s="1" customFormat="1" ht="14.25" customHeight="1" x14ac:dyDescent="0.25">
      <c r="A453" s="31">
        <v>1</v>
      </c>
      <c r="B453" s="31">
        <v>2</v>
      </c>
      <c r="C453" s="31">
        <v>7</v>
      </c>
      <c r="D453" s="32" t="s">
        <v>66</v>
      </c>
      <c r="E453" s="32" t="s">
        <v>28</v>
      </c>
      <c r="F453" s="32" t="s">
        <v>245</v>
      </c>
      <c r="G453" s="32" t="s">
        <v>224</v>
      </c>
      <c r="H453" s="32" t="s">
        <v>354</v>
      </c>
      <c r="I453" s="31" t="s">
        <v>409</v>
      </c>
      <c r="J453" s="31">
        <v>99</v>
      </c>
      <c r="K453" s="33" t="s">
        <v>713</v>
      </c>
      <c r="L453" s="33" t="s">
        <v>713</v>
      </c>
      <c r="M453" s="34" t="s">
        <v>731</v>
      </c>
      <c r="N453" s="34" t="s">
        <v>1743</v>
      </c>
      <c r="O453" s="35">
        <v>1</v>
      </c>
      <c r="P453" s="35"/>
      <c r="Q453" s="32"/>
      <c r="S453" s="1">
        <f t="shared" si="249"/>
        <v>0</v>
      </c>
      <c r="T453" s="1">
        <f t="shared" si="250"/>
        <v>0</v>
      </c>
      <c r="U453" s="1">
        <f t="shared" si="251"/>
        <v>0</v>
      </c>
      <c r="V453" s="1">
        <f t="shared" si="252"/>
        <v>0</v>
      </c>
      <c r="W453" s="1">
        <f t="shared" si="253"/>
        <v>0</v>
      </c>
      <c r="X453" s="1">
        <f t="shared" si="254"/>
        <v>0</v>
      </c>
      <c r="Y453" s="1">
        <f t="shared" si="255"/>
        <v>0</v>
      </c>
      <c r="Z453" s="1">
        <f t="shared" si="256"/>
        <v>0</v>
      </c>
      <c r="AA453" s="1">
        <f t="shared" si="257"/>
        <v>0</v>
      </c>
      <c r="AB453" s="1">
        <f t="shared" si="258"/>
        <v>0</v>
      </c>
      <c r="AD453" s="1">
        <f t="shared" si="259"/>
        <v>0</v>
      </c>
      <c r="AE453" s="1">
        <f t="shared" si="260"/>
        <v>1</v>
      </c>
      <c r="AF453" s="1">
        <f t="shared" si="229"/>
        <v>0</v>
      </c>
      <c r="AG453" s="1">
        <f t="shared" si="230"/>
        <v>0</v>
      </c>
      <c r="AH453" s="1">
        <f t="shared" si="231"/>
        <v>0</v>
      </c>
      <c r="AI453" s="1">
        <f t="shared" si="232"/>
        <v>0</v>
      </c>
    </row>
    <row r="454" spans="1:35" s="1" customFormat="1" ht="14.25" customHeight="1" x14ac:dyDescent="0.25">
      <c r="A454" s="31">
        <v>1</v>
      </c>
      <c r="B454" s="31">
        <v>2</v>
      </c>
      <c r="C454" s="31">
        <v>7</v>
      </c>
      <c r="D454" s="32" t="s">
        <v>66</v>
      </c>
      <c r="E454" s="32" t="s">
        <v>28</v>
      </c>
      <c r="F454" s="32" t="s">
        <v>246</v>
      </c>
      <c r="G454" s="32" t="s">
        <v>220</v>
      </c>
      <c r="H454" s="32" t="s">
        <v>354</v>
      </c>
      <c r="I454" s="31" t="s">
        <v>410</v>
      </c>
      <c r="J454" s="31">
        <v>8</v>
      </c>
      <c r="K454" s="33" t="s">
        <v>713</v>
      </c>
      <c r="L454" s="33" t="s">
        <v>713</v>
      </c>
      <c r="M454" s="34" t="s">
        <v>731</v>
      </c>
      <c r="N454" s="34" t="s">
        <v>1743</v>
      </c>
      <c r="O454" s="35">
        <v>1</v>
      </c>
      <c r="P454" s="35"/>
      <c r="Q454" s="32" t="s">
        <v>2017</v>
      </c>
      <c r="S454" s="1">
        <f t="shared" si="249"/>
        <v>0</v>
      </c>
      <c r="T454" s="1">
        <f t="shared" si="250"/>
        <v>0</v>
      </c>
      <c r="U454" s="1">
        <f t="shared" si="251"/>
        <v>0</v>
      </c>
      <c r="V454" s="1">
        <f t="shared" si="252"/>
        <v>0</v>
      </c>
      <c r="W454" s="1">
        <f t="shared" si="253"/>
        <v>0</v>
      </c>
      <c r="X454" s="1">
        <f t="shared" si="254"/>
        <v>0</v>
      </c>
      <c r="Y454" s="1">
        <f t="shared" si="255"/>
        <v>0</v>
      </c>
      <c r="Z454" s="1">
        <f t="shared" si="256"/>
        <v>1</v>
      </c>
      <c r="AA454" s="1">
        <f t="shared" si="257"/>
        <v>0</v>
      </c>
      <c r="AB454" s="1">
        <f t="shared" si="258"/>
        <v>0</v>
      </c>
      <c r="AD454" s="1">
        <f t="shared" si="259"/>
        <v>0</v>
      </c>
      <c r="AE454" s="1">
        <f t="shared" si="260"/>
        <v>1</v>
      </c>
      <c r="AF454" s="1">
        <f t="shared" si="229"/>
        <v>0</v>
      </c>
      <c r="AG454" s="1">
        <f t="shared" si="230"/>
        <v>0</v>
      </c>
      <c r="AH454" s="1">
        <f t="shared" si="231"/>
        <v>0</v>
      </c>
      <c r="AI454" s="1">
        <f t="shared" si="232"/>
        <v>0</v>
      </c>
    </row>
    <row r="455" spans="1:35" s="1" customFormat="1" ht="14.25" customHeight="1" x14ac:dyDescent="0.25">
      <c r="A455" s="31">
        <v>1</v>
      </c>
      <c r="B455" s="31">
        <v>2</v>
      </c>
      <c r="C455" s="31">
        <v>7</v>
      </c>
      <c r="D455" s="32" t="s">
        <v>66</v>
      </c>
      <c r="E455" s="32" t="s">
        <v>28</v>
      </c>
      <c r="F455" s="32" t="s">
        <v>1034</v>
      </c>
      <c r="G455" s="32" t="s">
        <v>39</v>
      </c>
      <c r="H455" s="32" t="s">
        <v>354</v>
      </c>
      <c r="I455" s="31" t="s">
        <v>1035</v>
      </c>
      <c r="J455" s="31">
        <v>1</v>
      </c>
      <c r="K455" s="33" t="s">
        <v>713</v>
      </c>
      <c r="L455" s="33" t="s">
        <v>713</v>
      </c>
      <c r="M455" s="34" t="s">
        <v>731</v>
      </c>
      <c r="N455" s="34" t="s">
        <v>1743</v>
      </c>
      <c r="O455" s="35">
        <v>1</v>
      </c>
      <c r="P455" s="35"/>
      <c r="Q455" s="32"/>
      <c r="S455" s="1">
        <f t="shared" si="249"/>
        <v>1</v>
      </c>
      <c r="T455" s="1">
        <f t="shared" si="250"/>
        <v>0</v>
      </c>
      <c r="U455" s="1">
        <f t="shared" si="251"/>
        <v>0</v>
      </c>
      <c r="V455" s="1">
        <f t="shared" si="252"/>
        <v>0</v>
      </c>
      <c r="W455" s="1">
        <f t="shared" si="253"/>
        <v>0</v>
      </c>
      <c r="X455" s="1">
        <f t="shared" si="254"/>
        <v>0</v>
      </c>
      <c r="Y455" s="1">
        <f t="shared" si="255"/>
        <v>0</v>
      </c>
      <c r="Z455" s="1">
        <f t="shared" si="256"/>
        <v>0</v>
      </c>
      <c r="AA455" s="1">
        <f t="shared" si="257"/>
        <v>0</v>
      </c>
      <c r="AB455" s="1">
        <f t="shared" si="258"/>
        <v>0</v>
      </c>
      <c r="AD455" s="1">
        <f t="shared" si="259"/>
        <v>0</v>
      </c>
      <c r="AE455" s="1">
        <f t="shared" si="260"/>
        <v>1</v>
      </c>
      <c r="AF455" s="1">
        <f t="shared" si="229"/>
        <v>0</v>
      </c>
      <c r="AG455" s="1">
        <f t="shared" si="230"/>
        <v>0</v>
      </c>
      <c r="AH455" s="1">
        <f t="shared" si="231"/>
        <v>0</v>
      </c>
      <c r="AI455" s="1">
        <f t="shared" si="232"/>
        <v>0</v>
      </c>
    </row>
    <row r="456" spans="1:35" s="1" customFormat="1" ht="14.25" customHeight="1" x14ac:dyDescent="0.25">
      <c r="A456" s="31">
        <v>1</v>
      </c>
      <c r="B456" s="31">
        <v>2</v>
      </c>
      <c r="C456" s="31">
        <v>7</v>
      </c>
      <c r="D456" s="32" t="s">
        <v>66</v>
      </c>
      <c r="E456" s="32" t="s">
        <v>28</v>
      </c>
      <c r="F456" s="32" t="s">
        <v>1036</v>
      </c>
      <c r="G456" s="32" t="s">
        <v>302</v>
      </c>
      <c r="H456" s="32" t="s">
        <v>354</v>
      </c>
      <c r="I456" s="31" t="s">
        <v>1037</v>
      </c>
      <c r="J456" s="31">
        <v>1</v>
      </c>
      <c r="K456" s="33" t="s">
        <v>713</v>
      </c>
      <c r="L456" s="33" t="s">
        <v>713</v>
      </c>
      <c r="M456" s="34" t="s">
        <v>731</v>
      </c>
      <c r="N456" s="34" t="s">
        <v>1743</v>
      </c>
      <c r="O456" s="35">
        <v>1</v>
      </c>
      <c r="P456" s="35"/>
      <c r="Q456" s="32"/>
      <c r="S456" s="1">
        <f t="shared" si="249"/>
        <v>1</v>
      </c>
      <c r="T456" s="1">
        <f t="shared" si="250"/>
        <v>0</v>
      </c>
      <c r="U456" s="1">
        <f t="shared" si="251"/>
        <v>0</v>
      </c>
      <c r="V456" s="1">
        <f t="shared" si="252"/>
        <v>0</v>
      </c>
      <c r="W456" s="1">
        <f t="shared" si="253"/>
        <v>0</v>
      </c>
      <c r="X456" s="1">
        <f t="shared" si="254"/>
        <v>0</v>
      </c>
      <c r="Y456" s="1">
        <f t="shared" si="255"/>
        <v>0</v>
      </c>
      <c r="Z456" s="1">
        <f t="shared" si="256"/>
        <v>0</v>
      </c>
      <c r="AA456" s="1">
        <f t="shared" si="257"/>
        <v>0</v>
      </c>
      <c r="AB456" s="1">
        <f t="shared" si="258"/>
        <v>0</v>
      </c>
      <c r="AD456" s="1">
        <f t="shared" ref="AD456:AD457" si="283">+O456*P456</f>
        <v>0</v>
      </c>
      <c r="AE456" s="1">
        <f t="shared" ref="AE456:AE457" si="284">O456*(1-P456)</f>
        <v>1</v>
      </c>
      <c r="AF456" s="1">
        <f t="shared" si="229"/>
        <v>0</v>
      </c>
      <c r="AG456" s="1">
        <f t="shared" si="230"/>
        <v>0</v>
      </c>
      <c r="AH456" s="1">
        <f t="shared" si="231"/>
        <v>0</v>
      </c>
      <c r="AI456" s="1">
        <f t="shared" si="232"/>
        <v>0</v>
      </c>
    </row>
    <row r="457" spans="1:35" s="1" customFormat="1" ht="14.25" customHeight="1" x14ac:dyDescent="0.25">
      <c r="A457" s="31">
        <v>0</v>
      </c>
      <c r="B457" s="31">
        <v>2</v>
      </c>
      <c r="C457" s="31">
        <v>7</v>
      </c>
      <c r="D457" s="32" t="s">
        <v>1573</v>
      </c>
      <c r="E457" s="32" t="s">
        <v>156</v>
      </c>
      <c r="F457" s="32" t="s">
        <v>1574</v>
      </c>
      <c r="G457" s="32" t="s">
        <v>207</v>
      </c>
      <c r="H457" s="32" t="s">
        <v>354</v>
      </c>
      <c r="I457" s="31" t="s">
        <v>1575</v>
      </c>
      <c r="J457" s="31">
        <v>99</v>
      </c>
      <c r="K457" s="33" t="s">
        <v>712</v>
      </c>
      <c r="L457" s="33" t="s">
        <v>722</v>
      </c>
      <c r="M457" s="34" t="s">
        <v>732</v>
      </c>
      <c r="N457" s="34" t="s">
        <v>1946</v>
      </c>
      <c r="O457" s="35">
        <v>1</v>
      </c>
      <c r="P457" s="35"/>
      <c r="Q457" s="32"/>
      <c r="S457" s="1">
        <f t="shared" si="249"/>
        <v>0</v>
      </c>
      <c r="T457" s="1">
        <f t="shared" si="250"/>
        <v>0</v>
      </c>
      <c r="U457" s="1">
        <f t="shared" si="251"/>
        <v>0</v>
      </c>
      <c r="V457" s="1">
        <f t="shared" si="252"/>
        <v>0</v>
      </c>
      <c r="W457" s="1">
        <f t="shared" si="253"/>
        <v>0</v>
      </c>
      <c r="X457" s="1">
        <f t="shared" si="254"/>
        <v>0</v>
      </c>
      <c r="Y457" s="1">
        <f t="shared" si="255"/>
        <v>0</v>
      </c>
      <c r="Z457" s="1">
        <f t="shared" si="256"/>
        <v>0</v>
      </c>
      <c r="AA457" s="1">
        <f t="shared" si="257"/>
        <v>0</v>
      </c>
      <c r="AB457" s="1">
        <f t="shared" si="258"/>
        <v>0</v>
      </c>
      <c r="AD457" s="1">
        <f t="shared" si="283"/>
        <v>0</v>
      </c>
      <c r="AE457" s="1">
        <f t="shared" si="284"/>
        <v>1</v>
      </c>
      <c r="AF457" s="1">
        <f t="shared" si="229"/>
        <v>0</v>
      </c>
      <c r="AG457" s="1">
        <f t="shared" si="230"/>
        <v>1</v>
      </c>
      <c r="AH457" s="1">
        <f t="shared" si="231"/>
        <v>0</v>
      </c>
      <c r="AI457" s="1">
        <f t="shared" si="232"/>
        <v>1</v>
      </c>
    </row>
    <row r="458" spans="1:35" s="1" customFormat="1" ht="14.25" customHeight="1" x14ac:dyDescent="0.25">
      <c r="A458" s="44">
        <v>0</v>
      </c>
      <c r="B458" s="44">
        <v>2</v>
      </c>
      <c r="C458" s="44">
        <v>7</v>
      </c>
      <c r="D458" s="45" t="s">
        <v>1132</v>
      </c>
      <c r="E458" s="45" t="s">
        <v>28</v>
      </c>
      <c r="F458" s="45" t="s">
        <v>1133</v>
      </c>
      <c r="G458" s="45" t="s">
        <v>220</v>
      </c>
      <c r="H458" s="45" t="s">
        <v>354</v>
      </c>
      <c r="I458" s="44" t="s">
        <v>1134</v>
      </c>
      <c r="J458" s="44">
        <v>8</v>
      </c>
      <c r="K458" s="46" t="s">
        <v>955</v>
      </c>
      <c r="L458" s="46" t="s">
        <v>713</v>
      </c>
      <c r="M458" s="47" t="s">
        <v>731</v>
      </c>
      <c r="N458" s="47" t="s">
        <v>1802</v>
      </c>
      <c r="O458" s="48"/>
      <c r="P458" s="48"/>
      <c r="Q458" s="45"/>
      <c r="S458" s="1">
        <f t="shared" si="249"/>
        <v>0</v>
      </c>
      <c r="T458" s="1">
        <f t="shared" si="250"/>
        <v>0</v>
      </c>
      <c r="U458" s="1">
        <f t="shared" si="251"/>
        <v>0</v>
      </c>
      <c r="V458" s="1">
        <f t="shared" si="252"/>
        <v>0</v>
      </c>
      <c r="W458" s="1">
        <f t="shared" si="253"/>
        <v>0</v>
      </c>
      <c r="X458" s="1">
        <f t="shared" si="254"/>
        <v>0</v>
      </c>
      <c r="Y458" s="1">
        <f t="shared" si="255"/>
        <v>0</v>
      </c>
      <c r="Z458" s="1">
        <f t="shared" si="256"/>
        <v>1</v>
      </c>
      <c r="AA458" s="1">
        <f t="shared" si="257"/>
        <v>0</v>
      </c>
      <c r="AB458" s="1">
        <f t="shared" si="258"/>
        <v>0</v>
      </c>
      <c r="AD458" s="1">
        <f t="shared" si="259"/>
        <v>0</v>
      </c>
      <c r="AE458" s="1">
        <f t="shared" si="260"/>
        <v>0</v>
      </c>
      <c r="AF458" s="1">
        <f t="shared" si="229"/>
        <v>0</v>
      </c>
      <c r="AG458" s="1">
        <f t="shared" si="230"/>
        <v>0</v>
      </c>
      <c r="AH458" s="1">
        <f t="shared" si="231"/>
        <v>0</v>
      </c>
      <c r="AI458" s="1">
        <f t="shared" si="232"/>
        <v>1</v>
      </c>
    </row>
    <row r="459" spans="1:35" s="1" customFormat="1" ht="14.25" customHeight="1" x14ac:dyDescent="0.25">
      <c r="A459" s="44">
        <v>0</v>
      </c>
      <c r="B459" s="44">
        <v>2</v>
      </c>
      <c r="C459" s="44">
        <v>7</v>
      </c>
      <c r="D459" s="45" t="s">
        <v>73</v>
      </c>
      <c r="E459" s="45" t="s">
        <v>28</v>
      </c>
      <c r="F459" s="45" t="s">
        <v>264</v>
      </c>
      <c r="G459" s="45" t="s">
        <v>194</v>
      </c>
      <c r="H459" s="45" t="s">
        <v>354</v>
      </c>
      <c r="I459" s="44" t="s">
        <v>421</v>
      </c>
      <c r="J459" s="44">
        <v>9</v>
      </c>
      <c r="K459" s="46" t="s">
        <v>712</v>
      </c>
      <c r="L459" s="46" t="s">
        <v>713</v>
      </c>
      <c r="M459" s="47" t="s">
        <v>731</v>
      </c>
      <c r="N459" s="47" t="s">
        <v>1735</v>
      </c>
      <c r="O459" s="48"/>
      <c r="P459" s="48"/>
      <c r="Q459" s="45"/>
      <c r="S459" s="1">
        <f t="shared" si="249"/>
        <v>0</v>
      </c>
      <c r="T459" s="1">
        <f t="shared" si="250"/>
        <v>0</v>
      </c>
      <c r="U459" s="1">
        <f t="shared" si="251"/>
        <v>0</v>
      </c>
      <c r="V459" s="1">
        <f t="shared" si="252"/>
        <v>0</v>
      </c>
      <c r="W459" s="1">
        <f t="shared" si="253"/>
        <v>0</v>
      </c>
      <c r="X459" s="1">
        <f t="shared" si="254"/>
        <v>0</v>
      </c>
      <c r="Y459" s="1">
        <f t="shared" si="255"/>
        <v>0</v>
      </c>
      <c r="Z459" s="1">
        <f t="shared" si="256"/>
        <v>0</v>
      </c>
      <c r="AA459" s="1">
        <f t="shared" si="257"/>
        <v>1</v>
      </c>
      <c r="AB459" s="1">
        <f t="shared" si="258"/>
        <v>0</v>
      </c>
      <c r="AD459" s="1">
        <f t="shared" si="259"/>
        <v>0</v>
      </c>
      <c r="AE459" s="1">
        <f t="shared" si="260"/>
        <v>0</v>
      </c>
      <c r="AF459" s="1">
        <f t="shared" si="229"/>
        <v>0</v>
      </c>
      <c r="AG459" s="1">
        <f t="shared" si="230"/>
        <v>0</v>
      </c>
      <c r="AH459" s="1">
        <f t="shared" si="231"/>
        <v>0</v>
      </c>
      <c r="AI459" s="1">
        <f t="shared" si="232"/>
        <v>1</v>
      </c>
    </row>
    <row r="460" spans="1:35" s="1" customFormat="1" ht="14.25" customHeight="1" x14ac:dyDescent="0.25">
      <c r="A460" s="31">
        <v>0</v>
      </c>
      <c r="B460" s="31">
        <v>2</v>
      </c>
      <c r="C460" s="31">
        <v>7</v>
      </c>
      <c r="D460" s="32" t="s">
        <v>59</v>
      </c>
      <c r="E460" s="32" t="s">
        <v>163</v>
      </c>
      <c r="F460" s="32" t="s">
        <v>225</v>
      </c>
      <c r="G460" s="32" t="s">
        <v>226</v>
      </c>
      <c r="H460" s="32" t="s">
        <v>354</v>
      </c>
      <c r="I460" s="31" t="s">
        <v>398</v>
      </c>
      <c r="J460" s="31">
        <v>99</v>
      </c>
      <c r="K460" s="33" t="s">
        <v>713</v>
      </c>
      <c r="L460" s="33" t="s">
        <v>722</v>
      </c>
      <c r="M460" s="34" t="s">
        <v>732</v>
      </c>
      <c r="N460" s="34" t="s">
        <v>1750</v>
      </c>
      <c r="O460" s="35">
        <v>1</v>
      </c>
      <c r="P460" s="35"/>
      <c r="Q460" s="32"/>
      <c r="S460" s="1">
        <f t="shared" si="249"/>
        <v>0</v>
      </c>
      <c r="T460" s="1">
        <f t="shared" si="250"/>
        <v>0</v>
      </c>
      <c r="U460" s="1">
        <f t="shared" si="251"/>
        <v>0</v>
      </c>
      <c r="V460" s="1">
        <f t="shared" si="252"/>
        <v>0</v>
      </c>
      <c r="W460" s="1">
        <f t="shared" si="253"/>
        <v>0</v>
      </c>
      <c r="X460" s="1">
        <f t="shared" si="254"/>
        <v>0</v>
      </c>
      <c r="Y460" s="1">
        <f t="shared" si="255"/>
        <v>0</v>
      </c>
      <c r="Z460" s="1">
        <f t="shared" si="256"/>
        <v>0</v>
      </c>
      <c r="AA460" s="1">
        <f t="shared" si="257"/>
        <v>0</v>
      </c>
      <c r="AB460" s="1">
        <f t="shared" si="258"/>
        <v>0</v>
      </c>
      <c r="AD460" s="1">
        <f t="shared" si="259"/>
        <v>0</v>
      </c>
      <c r="AE460" s="1">
        <f t="shared" si="260"/>
        <v>1</v>
      </c>
      <c r="AF460" s="1">
        <f t="shared" si="229"/>
        <v>0</v>
      </c>
      <c r="AG460" s="1">
        <f t="shared" si="230"/>
        <v>1</v>
      </c>
      <c r="AH460" s="1">
        <f t="shared" si="231"/>
        <v>0</v>
      </c>
      <c r="AI460" s="1">
        <f t="shared" si="232"/>
        <v>1</v>
      </c>
    </row>
    <row r="461" spans="1:35" s="1" customFormat="1" ht="14.25" customHeight="1" x14ac:dyDescent="0.25">
      <c r="A461" s="31">
        <v>0</v>
      </c>
      <c r="B461" s="31">
        <v>2</v>
      </c>
      <c r="C461" s="31">
        <v>7</v>
      </c>
      <c r="D461" s="32" t="s">
        <v>1075</v>
      </c>
      <c r="E461" s="32" t="s">
        <v>156</v>
      </c>
      <c r="F461" s="32" t="s">
        <v>1076</v>
      </c>
      <c r="G461" s="32" t="s">
        <v>220</v>
      </c>
      <c r="H461" s="32" t="s">
        <v>354</v>
      </c>
      <c r="I461" s="31" t="s">
        <v>1077</v>
      </c>
      <c r="J461" s="31">
        <v>8</v>
      </c>
      <c r="K461" s="33" t="s">
        <v>712</v>
      </c>
      <c r="L461" s="33" t="s">
        <v>722</v>
      </c>
      <c r="M461" s="34" t="s">
        <v>732</v>
      </c>
      <c r="N461" s="34" t="s">
        <v>1748</v>
      </c>
      <c r="O461" s="35">
        <v>1</v>
      </c>
      <c r="P461" s="35"/>
      <c r="Q461" s="32"/>
      <c r="S461" s="1">
        <f t="shared" si="249"/>
        <v>0</v>
      </c>
      <c r="T461" s="1">
        <f t="shared" si="250"/>
        <v>0</v>
      </c>
      <c r="U461" s="1">
        <f t="shared" si="251"/>
        <v>0</v>
      </c>
      <c r="V461" s="1">
        <f t="shared" si="252"/>
        <v>0</v>
      </c>
      <c r="W461" s="1">
        <f t="shared" si="253"/>
        <v>0</v>
      </c>
      <c r="X461" s="1">
        <f t="shared" si="254"/>
        <v>0</v>
      </c>
      <c r="Y461" s="1">
        <f t="shared" si="255"/>
        <v>0</v>
      </c>
      <c r="Z461" s="1">
        <f t="shared" si="256"/>
        <v>1</v>
      </c>
      <c r="AA461" s="1">
        <f t="shared" si="257"/>
        <v>0</v>
      </c>
      <c r="AB461" s="1">
        <f t="shared" si="258"/>
        <v>0</v>
      </c>
      <c r="AD461" s="1">
        <f t="shared" si="259"/>
        <v>0</v>
      </c>
      <c r="AE461" s="1">
        <f t="shared" si="260"/>
        <v>1</v>
      </c>
      <c r="AF461" s="1">
        <f t="shared" si="229"/>
        <v>0</v>
      </c>
      <c r="AG461" s="1">
        <f t="shared" si="230"/>
        <v>1</v>
      </c>
      <c r="AH461" s="1">
        <f t="shared" si="231"/>
        <v>0</v>
      </c>
      <c r="AI461" s="1">
        <f t="shared" si="232"/>
        <v>1</v>
      </c>
    </row>
    <row r="462" spans="1:35" s="1" customFormat="1" ht="14.25" customHeight="1" x14ac:dyDescent="0.25">
      <c r="A462" s="31">
        <v>0</v>
      </c>
      <c r="B462" s="31">
        <v>2</v>
      </c>
      <c r="C462" s="31">
        <v>7</v>
      </c>
      <c r="D462" s="32" t="s">
        <v>81</v>
      </c>
      <c r="E462" s="32" t="s">
        <v>156</v>
      </c>
      <c r="F462" s="32" t="s">
        <v>273</v>
      </c>
      <c r="G462" s="32" t="s">
        <v>254</v>
      </c>
      <c r="H462" s="32" t="s">
        <v>354</v>
      </c>
      <c r="I462" s="31" t="s">
        <v>428</v>
      </c>
      <c r="J462" s="31">
        <v>99</v>
      </c>
      <c r="K462" s="33" t="s">
        <v>713</v>
      </c>
      <c r="L462" s="33" t="s">
        <v>733</v>
      </c>
      <c r="M462" s="34" t="s">
        <v>734</v>
      </c>
      <c r="N462" s="34" t="s">
        <v>1756</v>
      </c>
      <c r="O462" s="35">
        <v>1</v>
      </c>
      <c r="P462" s="35"/>
      <c r="Q462" s="32"/>
      <c r="S462" s="1">
        <f t="shared" si="249"/>
        <v>0</v>
      </c>
      <c r="T462" s="1">
        <f t="shared" si="250"/>
        <v>0</v>
      </c>
      <c r="U462" s="1">
        <f t="shared" si="251"/>
        <v>0</v>
      </c>
      <c r="V462" s="1">
        <f t="shared" si="252"/>
        <v>0</v>
      </c>
      <c r="W462" s="1">
        <f t="shared" si="253"/>
        <v>0</v>
      </c>
      <c r="X462" s="1">
        <f t="shared" si="254"/>
        <v>0</v>
      </c>
      <c r="Y462" s="1">
        <f t="shared" si="255"/>
        <v>0</v>
      </c>
      <c r="Z462" s="1">
        <f t="shared" si="256"/>
        <v>0</v>
      </c>
      <c r="AA462" s="1">
        <f t="shared" si="257"/>
        <v>0</v>
      </c>
      <c r="AB462" s="1">
        <f t="shared" si="258"/>
        <v>0</v>
      </c>
      <c r="AD462" s="1">
        <f t="shared" si="259"/>
        <v>0</v>
      </c>
      <c r="AE462" s="1">
        <f t="shared" si="260"/>
        <v>1</v>
      </c>
      <c r="AF462" s="1">
        <f t="shared" si="229"/>
        <v>0</v>
      </c>
      <c r="AG462" s="1">
        <f t="shared" si="230"/>
        <v>1</v>
      </c>
      <c r="AH462" s="1">
        <f t="shared" si="231"/>
        <v>0</v>
      </c>
      <c r="AI462" s="1">
        <f t="shared" si="232"/>
        <v>1</v>
      </c>
    </row>
    <row r="463" spans="1:35" s="1" customFormat="1" ht="14.25" customHeight="1" x14ac:dyDescent="0.25">
      <c r="A463" s="37">
        <v>0</v>
      </c>
      <c r="B463" s="37">
        <v>2</v>
      </c>
      <c r="C463" s="37">
        <v>7</v>
      </c>
      <c r="D463" s="36" t="s">
        <v>1775</v>
      </c>
      <c r="E463" s="36" t="s">
        <v>1776</v>
      </c>
      <c r="F463" s="36" t="s">
        <v>1777</v>
      </c>
      <c r="G463" s="36" t="s">
        <v>190</v>
      </c>
      <c r="H463" s="36" t="s">
        <v>354</v>
      </c>
      <c r="I463" s="37"/>
      <c r="J463" s="37"/>
      <c r="K463" s="33" t="s">
        <v>703</v>
      </c>
      <c r="L463" s="33"/>
      <c r="M463" s="34"/>
      <c r="N463" s="34" t="s">
        <v>1727</v>
      </c>
      <c r="O463" s="35">
        <v>1</v>
      </c>
      <c r="P463" s="35">
        <v>1</v>
      </c>
      <c r="Q463" s="36"/>
      <c r="S463" s="1">
        <f t="shared" si="249"/>
        <v>0</v>
      </c>
      <c r="T463" s="1">
        <f t="shared" si="250"/>
        <v>0</v>
      </c>
      <c r="U463" s="1">
        <f t="shared" si="251"/>
        <v>0</v>
      </c>
      <c r="V463" s="1">
        <f t="shared" si="252"/>
        <v>0</v>
      </c>
      <c r="W463" s="1">
        <f t="shared" si="253"/>
        <v>0</v>
      </c>
      <c r="X463" s="1">
        <f t="shared" si="254"/>
        <v>0</v>
      </c>
      <c r="Y463" s="1">
        <f t="shared" si="255"/>
        <v>0</v>
      </c>
      <c r="Z463" s="1">
        <f t="shared" si="256"/>
        <v>0</v>
      </c>
      <c r="AA463" s="1">
        <f t="shared" si="257"/>
        <v>0</v>
      </c>
      <c r="AB463" s="1">
        <f t="shared" si="258"/>
        <v>0</v>
      </c>
      <c r="AD463" s="1">
        <f t="shared" si="259"/>
        <v>1</v>
      </c>
      <c r="AE463" s="1">
        <f t="shared" si="260"/>
        <v>0</v>
      </c>
      <c r="AF463" s="1">
        <f t="shared" si="229"/>
        <v>1</v>
      </c>
      <c r="AG463" s="1">
        <f t="shared" si="230"/>
        <v>0</v>
      </c>
      <c r="AH463" s="1">
        <f t="shared" si="231"/>
        <v>1</v>
      </c>
      <c r="AI463" s="1">
        <f t="shared" si="232"/>
        <v>0</v>
      </c>
    </row>
    <row r="464" spans="1:35" s="1" customFormat="1" ht="14.25" customHeight="1" x14ac:dyDescent="0.25">
      <c r="A464" s="44">
        <v>0</v>
      </c>
      <c r="B464" s="44">
        <v>2</v>
      </c>
      <c r="C464" s="44">
        <v>7</v>
      </c>
      <c r="D464" s="45" t="s">
        <v>514</v>
      </c>
      <c r="E464" s="45" t="s">
        <v>156</v>
      </c>
      <c r="F464" s="45" t="s">
        <v>574</v>
      </c>
      <c r="G464" s="45" t="s">
        <v>321</v>
      </c>
      <c r="H464" s="45" t="s">
        <v>354</v>
      </c>
      <c r="I464" s="44" t="s">
        <v>581</v>
      </c>
      <c r="J464" s="44">
        <v>99</v>
      </c>
      <c r="K464" s="46" t="s">
        <v>954</v>
      </c>
      <c r="L464" s="46" t="s">
        <v>722</v>
      </c>
      <c r="M464" s="47" t="s">
        <v>732</v>
      </c>
      <c r="N464" s="47" t="s">
        <v>1738</v>
      </c>
      <c r="O464" s="48"/>
      <c r="P464" s="48"/>
      <c r="Q464" s="45"/>
      <c r="S464" s="1">
        <f t="shared" si="249"/>
        <v>0</v>
      </c>
      <c r="T464" s="1">
        <f t="shared" si="250"/>
        <v>0</v>
      </c>
      <c r="U464" s="1">
        <f t="shared" si="251"/>
        <v>0</v>
      </c>
      <c r="V464" s="1">
        <f t="shared" si="252"/>
        <v>0</v>
      </c>
      <c r="W464" s="1">
        <f t="shared" si="253"/>
        <v>0</v>
      </c>
      <c r="X464" s="1">
        <f t="shared" si="254"/>
        <v>0</v>
      </c>
      <c r="Y464" s="1">
        <f t="shared" si="255"/>
        <v>0</v>
      </c>
      <c r="Z464" s="1">
        <f t="shared" si="256"/>
        <v>0</v>
      </c>
      <c r="AA464" s="1">
        <f t="shared" si="257"/>
        <v>0</v>
      </c>
      <c r="AB464" s="1">
        <f t="shared" si="258"/>
        <v>0</v>
      </c>
      <c r="AD464" s="1">
        <f t="shared" si="259"/>
        <v>0</v>
      </c>
      <c r="AE464" s="1">
        <f t="shared" si="260"/>
        <v>0</v>
      </c>
      <c r="AF464" s="1">
        <f t="shared" si="229"/>
        <v>0</v>
      </c>
      <c r="AG464" s="1">
        <f t="shared" si="230"/>
        <v>0</v>
      </c>
      <c r="AH464" s="1">
        <f t="shared" si="231"/>
        <v>0</v>
      </c>
      <c r="AI464" s="1">
        <f t="shared" si="232"/>
        <v>1</v>
      </c>
    </row>
    <row r="465" spans="1:35" s="1" customFormat="1" ht="14.25" customHeight="1" x14ac:dyDescent="0.25">
      <c r="A465" s="44">
        <v>0</v>
      </c>
      <c r="B465" s="44">
        <v>2</v>
      </c>
      <c r="C465" s="44">
        <v>7</v>
      </c>
      <c r="D465" s="45" t="s">
        <v>74</v>
      </c>
      <c r="E465" s="45" t="s">
        <v>156</v>
      </c>
      <c r="F465" s="45" t="s">
        <v>675</v>
      </c>
      <c r="G465" s="45" t="s">
        <v>265</v>
      </c>
      <c r="H465" s="45" t="s">
        <v>354</v>
      </c>
      <c r="I465" s="44" t="s">
        <v>422</v>
      </c>
      <c r="J465" s="44">
        <v>99</v>
      </c>
      <c r="K465" s="46" t="s">
        <v>712</v>
      </c>
      <c r="L465" s="46" t="s">
        <v>729</v>
      </c>
      <c r="M465" s="47" t="s">
        <v>732</v>
      </c>
      <c r="N465" s="47" t="s">
        <v>1735</v>
      </c>
      <c r="O465" s="48"/>
      <c r="P465" s="48"/>
      <c r="Q465" s="45"/>
      <c r="S465" s="1">
        <f t="shared" ref="S465:S470" si="285">IF(J465=$S$7,1,0)</f>
        <v>0</v>
      </c>
      <c r="T465" s="1">
        <f t="shared" ref="T465:T470" si="286">IF(J465=$T$7,1,0)</f>
        <v>0</v>
      </c>
      <c r="U465" s="1">
        <f t="shared" ref="U465:U470" si="287">IF(J465=$U$7,1,0)</f>
        <v>0</v>
      </c>
      <c r="V465" s="1">
        <f t="shared" ref="V465:V470" si="288">IF(J465=$V$7,1,0)</f>
        <v>0</v>
      </c>
      <c r="W465" s="1">
        <f t="shared" ref="W465:W470" si="289">IF(J465=$W$7,1,0)</f>
        <v>0</v>
      </c>
      <c r="X465" s="1">
        <f t="shared" ref="X465:X470" si="290">IF(J465=$X$7,1,0)</f>
        <v>0</v>
      </c>
      <c r="Y465" s="1">
        <f t="shared" ref="Y465:Y470" si="291">IF(J465=$Y$7,1,0)</f>
        <v>0</v>
      </c>
      <c r="Z465" s="1">
        <f t="shared" ref="Z465:Z470" si="292">IF(J465=$Z$7,1,0)</f>
        <v>0</v>
      </c>
      <c r="AA465" s="1">
        <f t="shared" ref="AA465:AA470" si="293">IF(J465=$AA$7,1,0)</f>
        <v>0</v>
      </c>
      <c r="AB465" s="1">
        <f t="shared" ref="AB465:AB470" si="294">IF(J465=$AB$7,1,0)</f>
        <v>0</v>
      </c>
      <c r="AD465" s="1">
        <f t="shared" ref="AD465:AD470" si="295">+O465*P465</f>
        <v>0</v>
      </c>
      <c r="AE465" s="1">
        <f t="shared" ref="AE465:AE470" si="296">O465*(1-P465)</f>
        <v>0</v>
      </c>
      <c r="AF465" s="1">
        <f t="shared" ref="AF465:AF470" si="297">+O465*P465*(1-A465)</f>
        <v>0</v>
      </c>
      <c r="AG465" s="1">
        <f t="shared" ref="AG465:AG470" si="298">O465*(1-P465)*(1-A465)</f>
        <v>0</v>
      </c>
      <c r="AH465" s="1">
        <f t="shared" ref="AH465:AH470" si="299">+P465*(1-A465)</f>
        <v>0</v>
      </c>
      <c r="AI465" s="1">
        <f t="shared" ref="AI465:AI470" si="300">+(1-A465)*(1-P465)</f>
        <v>1</v>
      </c>
    </row>
    <row r="466" spans="1:35" s="1" customFormat="1" ht="14.25" customHeight="1" x14ac:dyDescent="0.25">
      <c r="A466" s="31">
        <v>0</v>
      </c>
      <c r="B466" s="31">
        <v>2</v>
      </c>
      <c r="C466" s="31">
        <v>7</v>
      </c>
      <c r="D466" s="32" t="s">
        <v>2007</v>
      </c>
      <c r="E466" s="32" t="s">
        <v>156</v>
      </c>
      <c r="F466" s="32" t="s">
        <v>2008</v>
      </c>
      <c r="G466" s="32" t="s">
        <v>283</v>
      </c>
      <c r="H466" s="32" t="s">
        <v>354</v>
      </c>
      <c r="I466" s="31" t="s">
        <v>2009</v>
      </c>
      <c r="J466" s="31">
        <v>99</v>
      </c>
      <c r="K466" s="33" t="s">
        <v>703</v>
      </c>
      <c r="L466" s="33" t="s">
        <v>722</v>
      </c>
      <c r="M466" s="34" t="s">
        <v>732</v>
      </c>
      <c r="N466" s="34" t="s">
        <v>1727</v>
      </c>
      <c r="O466" s="35">
        <v>1</v>
      </c>
      <c r="P466" s="35">
        <v>1</v>
      </c>
      <c r="Q466" s="32"/>
      <c r="S466" s="1">
        <f t="shared" si="285"/>
        <v>0</v>
      </c>
      <c r="T466" s="1">
        <f t="shared" si="286"/>
        <v>0</v>
      </c>
      <c r="U466" s="1">
        <f t="shared" si="287"/>
        <v>0</v>
      </c>
      <c r="V466" s="1">
        <f t="shared" si="288"/>
        <v>0</v>
      </c>
      <c r="W466" s="1">
        <f t="shared" si="289"/>
        <v>0</v>
      </c>
      <c r="X466" s="1">
        <f t="shared" si="290"/>
        <v>0</v>
      </c>
      <c r="Y466" s="1">
        <f t="shared" si="291"/>
        <v>0</v>
      </c>
      <c r="Z466" s="1">
        <f t="shared" si="292"/>
        <v>0</v>
      </c>
      <c r="AA466" s="1">
        <f t="shared" si="293"/>
        <v>0</v>
      </c>
      <c r="AB466" s="1">
        <f t="shared" si="294"/>
        <v>0</v>
      </c>
      <c r="AD466" s="1">
        <f t="shared" si="295"/>
        <v>1</v>
      </c>
      <c r="AE466" s="1">
        <f t="shared" si="296"/>
        <v>0</v>
      </c>
      <c r="AF466" s="1">
        <f t="shared" si="297"/>
        <v>1</v>
      </c>
      <c r="AG466" s="1">
        <f t="shared" si="298"/>
        <v>0</v>
      </c>
      <c r="AH466" s="1">
        <f t="shared" si="299"/>
        <v>1</v>
      </c>
      <c r="AI466" s="1">
        <f t="shared" si="300"/>
        <v>0</v>
      </c>
    </row>
    <row r="467" spans="1:35" s="1" customFormat="1" ht="14.25" customHeight="1" x14ac:dyDescent="0.25">
      <c r="A467" s="31">
        <v>1</v>
      </c>
      <c r="B467" s="31">
        <v>2</v>
      </c>
      <c r="C467" s="31">
        <v>7</v>
      </c>
      <c r="D467" s="32" t="s">
        <v>2007</v>
      </c>
      <c r="E467" s="32" t="s">
        <v>156</v>
      </c>
      <c r="F467" s="32" t="s">
        <v>2010</v>
      </c>
      <c r="G467" s="32" t="s">
        <v>2011</v>
      </c>
      <c r="H467" s="32" t="s">
        <v>354</v>
      </c>
      <c r="I467" s="31" t="s">
        <v>2012</v>
      </c>
      <c r="J467" s="31">
        <v>99</v>
      </c>
      <c r="K467" s="33" t="s">
        <v>703</v>
      </c>
      <c r="L467" s="33" t="s">
        <v>722</v>
      </c>
      <c r="M467" s="34" t="s">
        <v>732</v>
      </c>
      <c r="N467" s="34" t="s">
        <v>1727</v>
      </c>
      <c r="O467" s="35">
        <v>1</v>
      </c>
      <c r="P467" s="35">
        <v>1</v>
      </c>
      <c r="Q467" s="32"/>
      <c r="S467" s="1">
        <f t="shared" si="285"/>
        <v>0</v>
      </c>
      <c r="T467" s="1">
        <f t="shared" si="286"/>
        <v>0</v>
      </c>
      <c r="U467" s="1">
        <f t="shared" si="287"/>
        <v>0</v>
      </c>
      <c r="V467" s="1">
        <f t="shared" si="288"/>
        <v>0</v>
      </c>
      <c r="W467" s="1">
        <f t="shared" si="289"/>
        <v>0</v>
      </c>
      <c r="X467" s="1">
        <f t="shared" si="290"/>
        <v>0</v>
      </c>
      <c r="Y467" s="1">
        <f t="shared" si="291"/>
        <v>0</v>
      </c>
      <c r="Z467" s="1">
        <f t="shared" si="292"/>
        <v>0</v>
      </c>
      <c r="AA467" s="1">
        <f t="shared" si="293"/>
        <v>0</v>
      </c>
      <c r="AB467" s="1">
        <f t="shared" si="294"/>
        <v>0</v>
      </c>
      <c r="AD467" s="1">
        <f t="shared" si="295"/>
        <v>1</v>
      </c>
      <c r="AE467" s="1">
        <f t="shared" si="296"/>
        <v>0</v>
      </c>
      <c r="AF467" s="1">
        <f t="shared" si="297"/>
        <v>0</v>
      </c>
      <c r="AG467" s="1">
        <f t="shared" si="298"/>
        <v>0</v>
      </c>
      <c r="AH467" s="1">
        <f t="shared" si="299"/>
        <v>0</v>
      </c>
      <c r="AI467" s="1">
        <f t="shared" si="300"/>
        <v>0</v>
      </c>
    </row>
    <row r="468" spans="1:35" s="1" customFormat="1" ht="14.25" customHeight="1" x14ac:dyDescent="0.25">
      <c r="A468" s="15">
        <v>0</v>
      </c>
      <c r="B468" s="15">
        <v>2</v>
      </c>
      <c r="C468" s="15">
        <v>7</v>
      </c>
      <c r="D468" s="20" t="s">
        <v>1858</v>
      </c>
      <c r="E468" s="16" t="s">
        <v>156</v>
      </c>
      <c r="F468" s="20" t="s">
        <v>1859</v>
      </c>
      <c r="G468" s="20" t="s">
        <v>283</v>
      </c>
      <c r="H468" s="20" t="s">
        <v>354</v>
      </c>
      <c r="I468" s="21" t="s">
        <v>1860</v>
      </c>
      <c r="J468" s="15">
        <v>99</v>
      </c>
      <c r="K468" s="10" t="s">
        <v>703</v>
      </c>
      <c r="L468" s="10" t="s">
        <v>722</v>
      </c>
      <c r="M468" s="19" t="s">
        <v>732</v>
      </c>
      <c r="N468" s="19"/>
      <c r="Q468" s="20"/>
      <c r="S468" s="1">
        <f t="shared" si="285"/>
        <v>0</v>
      </c>
      <c r="T468" s="1">
        <f t="shared" si="286"/>
        <v>0</v>
      </c>
      <c r="U468" s="1">
        <f t="shared" si="287"/>
        <v>0</v>
      </c>
      <c r="V468" s="1">
        <f t="shared" si="288"/>
        <v>0</v>
      </c>
      <c r="W468" s="1">
        <f t="shared" si="289"/>
        <v>0</v>
      </c>
      <c r="X468" s="1">
        <f t="shared" si="290"/>
        <v>0</v>
      </c>
      <c r="Y468" s="1">
        <f t="shared" si="291"/>
        <v>0</v>
      </c>
      <c r="Z468" s="1">
        <f t="shared" si="292"/>
        <v>0</v>
      </c>
      <c r="AA468" s="1">
        <f t="shared" si="293"/>
        <v>0</v>
      </c>
      <c r="AB468" s="1">
        <f t="shared" si="294"/>
        <v>0</v>
      </c>
      <c r="AD468" s="1">
        <f t="shared" si="295"/>
        <v>0</v>
      </c>
      <c r="AE468" s="1">
        <f t="shared" si="296"/>
        <v>0</v>
      </c>
      <c r="AF468" s="1">
        <f t="shared" si="297"/>
        <v>0</v>
      </c>
      <c r="AG468" s="1">
        <f t="shared" si="298"/>
        <v>0</v>
      </c>
      <c r="AH468" s="1">
        <f t="shared" si="299"/>
        <v>0</v>
      </c>
      <c r="AI468" s="1">
        <f t="shared" si="300"/>
        <v>1</v>
      </c>
    </row>
    <row r="469" spans="1:35" s="1" customFormat="1" ht="14.25" customHeight="1" x14ac:dyDescent="0.25">
      <c r="A469" s="31">
        <v>0</v>
      </c>
      <c r="B469" s="31">
        <v>2</v>
      </c>
      <c r="C469" s="31">
        <v>7</v>
      </c>
      <c r="D469" s="32" t="s">
        <v>60</v>
      </c>
      <c r="E469" s="32" t="s">
        <v>163</v>
      </c>
      <c r="F469" s="32" t="s">
        <v>227</v>
      </c>
      <c r="G469" s="32" t="s">
        <v>190</v>
      </c>
      <c r="H469" s="32" t="s">
        <v>354</v>
      </c>
      <c r="I469" s="31" t="s">
        <v>399</v>
      </c>
      <c r="J469" s="31">
        <v>99</v>
      </c>
      <c r="K469" s="33" t="s">
        <v>713</v>
      </c>
      <c r="L469" s="33" t="s">
        <v>722</v>
      </c>
      <c r="M469" s="34" t="s">
        <v>732</v>
      </c>
      <c r="N469" s="34" t="s">
        <v>1748</v>
      </c>
      <c r="O469" s="35">
        <v>1</v>
      </c>
      <c r="P469" s="35"/>
      <c r="Q469" s="32"/>
      <c r="S469" s="1">
        <f t="shared" si="285"/>
        <v>0</v>
      </c>
      <c r="T469" s="1">
        <f t="shared" si="286"/>
        <v>0</v>
      </c>
      <c r="U469" s="1">
        <f t="shared" si="287"/>
        <v>0</v>
      </c>
      <c r="V469" s="1">
        <f t="shared" si="288"/>
        <v>0</v>
      </c>
      <c r="W469" s="1">
        <f t="shared" si="289"/>
        <v>0</v>
      </c>
      <c r="X469" s="1">
        <f t="shared" si="290"/>
        <v>0</v>
      </c>
      <c r="Y469" s="1">
        <f t="shared" si="291"/>
        <v>0</v>
      </c>
      <c r="Z469" s="1">
        <f t="shared" si="292"/>
        <v>0</v>
      </c>
      <c r="AA469" s="1">
        <f t="shared" si="293"/>
        <v>0</v>
      </c>
      <c r="AB469" s="1">
        <f t="shared" si="294"/>
        <v>0</v>
      </c>
      <c r="AD469" s="1">
        <f t="shared" si="295"/>
        <v>0</v>
      </c>
      <c r="AE469" s="1">
        <f t="shared" si="296"/>
        <v>1</v>
      </c>
      <c r="AF469" s="1">
        <f t="shared" si="297"/>
        <v>0</v>
      </c>
      <c r="AG469" s="1">
        <f t="shared" si="298"/>
        <v>1</v>
      </c>
      <c r="AH469" s="1">
        <f t="shared" si="299"/>
        <v>0</v>
      </c>
      <c r="AI469" s="1">
        <f t="shared" si="300"/>
        <v>1</v>
      </c>
    </row>
    <row r="470" spans="1:35" s="1" customFormat="1" ht="14.25" customHeight="1" x14ac:dyDescent="0.25">
      <c r="A470" s="31">
        <v>0</v>
      </c>
      <c r="B470" s="31">
        <v>2</v>
      </c>
      <c r="C470" s="31">
        <v>7</v>
      </c>
      <c r="D470" s="32" t="s">
        <v>1329</v>
      </c>
      <c r="E470" s="32" t="s">
        <v>156</v>
      </c>
      <c r="F470" s="32" t="s">
        <v>1143</v>
      </c>
      <c r="G470" s="32" t="s">
        <v>192</v>
      </c>
      <c r="H470" s="32" t="s">
        <v>354</v>
      </c>
      <c r="I470" s="31" t="s">
        <v>1369</v>
      </c>
      <c r="J470" s="31">
        <v>99</v>
      </c>
      <c r="K470" s="33" t="s">
        <v>712</v>
      </c>
      <c r="L470" s="33" t="s">
        <v>39</v>
      </c>
      <c r="M470" s="34" t="s">
        <v>39</v>
      </c>
      <c r="N470" s="34" t="s">
        <v>1727</v>
      </c>
      <c r="O470" s="35">
        <v>1</v>
      </c>
      <c r="P470" s="35">
        <v>1</v>
      </c>
      <c r="Q470" s="32"/>
      <c r="S470" s="1">
        <f t="shared" si="285"/>
        <v>0</v>
      </c>
      <c r="T470" s="1">
        <f t="shared" si="286"/>
        <v>0</v>
      </c>
      <c r="U470" s="1">
        <f t="shared" si="287"/>
        <v>0</v>
      </c>
      <c r="V470" s="1">
        <f t="shared" si="288"/>
        <v>0</v>
      </c>
      <c r="W470" s="1">
        <f t="shared" si="289"/>
        <v>0</v>
      </c>
      <c r="X470" s="1">
        <f t="shared" si="290"/>
        <v>0</v>
      </c>
      <c r="Y470" s="1">
        <f t="shared" si="291"/>
        <v>0</v>
      </c>
      <c r="Z470" s="1">
        <f t="shared" si="292"/>
        <v>0</v>
      </c>
      <c r="AA470" s="1">
        <f t="shared" si="293"/>
        <v>0</v>
      </c>
      <c r="AB470" s="1">
        <f t="shared" si="294"/>
        <v>0</v>
      </c>
      <c r="AD470" s="1">
        <f t="shared" si="295"/>
        <v>1</v>
      </c>
      <c r="AE470" s="1">
        <f t="shared" si="296"/>
        <v>0</v>
      </c>
      <c r="AF470" s="1">
        <f t="shared" si="297"/>
        <v>1</v>
      </c>
      <c r="AG470" s="1">
        <f t="shared" si="298"/>
        <v>0</v>
      </c>
      <c r="AH470" s="1">
        <f t="shared" si="299"/>
        <v>1</v>
      </c>
      <c r="AI470" s="1">
        <f t="shared" si="300"/>
        <v>0</v>
      </c>
    </row>
    <row r="471" spans="1:35" s="1" customFormat="1" ht="14.25" customHeight="1" x14ac:dyDescent="0.25">
      <c r="A471" s="31">
        <v>0</v>
      </c>
      <c r="B471" s="31">
        <v>2</v>
      </c>
      <c r="C471" s="31">
        <v>7</v>
      </c>
      <c r="D471" s="32" t="s">
        <v>589</v>
      </c>
      <c r="E471" s="32" t="s">
        <v>1337</v>
      </c>
      <c r="F471" s="32" t="s">
        <v>676</v>
      </c>
      <c r="G471" s="32" t="s">
        <v>240</v>
      </c>
      <c r="H471" s="32" t="s">
        <v>354</v>
      </c>
      <c r="I471" s="31" t="s">
        <v>405</v>
      </c>
      <c r="J471" s="31">
        <v>1</v>
      </c>
      <c r="K471" s="33" t="s">
        <v>713</v>
      </c>
      <c r="L471" s="33" t="s">
        <v>1711</v>
      </c>
      <c r="M471" s="34" t="s">
        <v>1439</v>
      </c>
      <c r="N471" s="34" t="s">
        <v>1748</v>
      </c>
      <c r="O471" s="35">
        <v>1</v>
      </c>
      <c r="P471" s="35"/>
      <c r="Q471" s="32"/>
      <c r="S471" s="1">
        <f t="shared" si="249"/>
        <v>1</v>
      </c>
      <c r="T471" s="1">
        <f t="shared" si="250"/>
        <v>0</v>
      </c>
      <c r="U471" s="1">
        <f t="shared" si="251"/>
        <v>0</v>
      </c>
      <c r="V471" s="1">
        <f t="shared" si="252"/>
        <v>0</v>
      </c>
      <c r="W471" s="1">
        <f t="shared" si="253"/>
        <v>0</v>
      </c>
      <c r="X471" s="1">
        <f t="shared" si="254"/>
        <v>0</v>
      </c>
      <c r="Y471" s="1">
        <f t="shared" si="255"/>
        <v>0</v>
      </c>
      <c r="Z471" s="1">
        <f t="shared" si="256"/>
        <v>0</v>
      </c>
      <c r="AA471" s="1">
        <f t="shared" si="257"/>
        <v>0</v>
      </c>
      <c r="AB471" s="1">
        <f t="shared" si="258"/>
        <v>0</v>
      </c>
      <c r="AD471" s="1">
        <f t="shared" ref="AD471" si="301">+O471*P471</f>
        <v>0</v>
      </c>
      <c r="AE471" s="1">
        <f t="shared" ref="AE471" si="302">O471*(1-P471)</f>
        <v>1</v>
      </c>
      <c r="AF471" s="1">
        <f t="shared" ref="AF471:AF486" si="303">+O471*P471*(1-A471)</f>
        <v>0</v>
      </c>
      <c r="AG471" s="1">
        <f t="shared" ref="AG471:AG486" si="304">O471*(1-P471)*(1-A471)</f>
        <v>1</v>
      </c>
      <c r="AH471" s="1">
        <f t="shared" ref="AH471:AH486" si="305">+P471*(1-A471)</f>
        <v>0</v>
      </c>
      <c r="AI471" s="1">
        <f t="shared" ref="AI471:AI486" si="306">+(1-A471)*(1-P471)</f>
        <v>1</v>
      </c>
    </row>
    <row r="472" spans="1:35" s="1" customFormat="1" ht="14.25" customHeight="1" x14ac:dyDescent="0.25">
      <c r="A472" s="31">
        <v>1</v>
      </c>
      <c r="B472" s="31">
        <v>2</v>
      </c>
      <c r="C472" s="31">
        <v>7</v>
      </c>
      <c r="D472" s="32" t="s">
        <v>589</v>
      </c>
      <c r="E472" s="32" t="s">
        <v>1337</v>
      </c>
      <c r="F472" s="32" t="s">
        <v>239</v>
      </c>
      <c r="G472" s="32" t="s">
        <v>178</v>
      </c>
      <c r="H472" s="32" t="s">
        <v>354</v>
      </c>
      <c r="I472" s="31" t="s">
        <v>404</v>
      </c>
      <c r="J472" s="31">
        <v>1</v>
      </c>
      <c r="K472" s="33" t="s">
        <v>713</v>
      </c>
      <c r="L472" s="33" t="s">
        <v>1711</v>
      </c>
      <c r="M472" s="34" t="s">
        <v>1439</v>
      </c>
      <c r="N472" s="34" t="s">
        <v>1748</v>
      </c>
      <c r="O472" s="35">
        <v>1</v>
      </c>
      <c r="P472" s="35"/>
      <c r="Q472" s="36" t="s">
        <v>1911</v>
      </c>
      <c r="S472" s="1">
        <f t="shared" si="249"/>
        <v>1</v>
      </c>
      <c r="T472" s="1">
        <f t="shared" si="250"/>
        <v>0</v>
      </c>
      <c r="U472" s="1">
        <f t="shared" si="251"/>
        <v>0</v>
      </c>
      <c r="V472" s="1">
        <f t="shared" si="252"/>
        <v>0</v>
      </c>
      <c r="W472" s="1">
        <f t="shared" si="253"/>
        <v>0</v>
      </c>
      <c r="X472" s="1">
        <f t="shared" si="254"/>
        <v>0</v>
      </c>
      <c r="Y472" s="1">
        <f t="shared" si="255"/>
        <v>0</v>
      </c>
      <c r="Z472" s="1">
        <f t="shared" si="256"/>
        <v>0</v>
      </c>
      <c r="AA472" s="1">
        <f t="shared" si="257"/>
        <v>0</v>
      </c>
      <c r="AB472" s="1">
        <f t="shared" si="258"/>
        <v>0</v>
      </c>
      <c r="AD472" s="1">
        <f t="shared" si="259"/>
        <v>0</v>
      </c>
      <c r="AE472" s="1">
        <f t="shared" si="260"/>
        <v>1</v>
      </c>
      <c r="AF472" s="1">
        <f t="shared" si="303"/>
        <v>0</v>
      </c>
      <c r="AG472" s="1">
        <f t="shared" si="304"/>
        <v>0</v>
      </c>
      <c r="AH472" s="1">
        <f t="shared" si="305"/>
        <v>0</v>
      </c>
      <c r="AI472" s="1">
        <f t="shared" si="306"/>
        <v>0</v>
      </c>
    </row>
    <row r="473" spans="1:35" s="1" customFormat="1" ht="14.25" customHeight="1" x14ac:dyDescent="0.25">
      <c r="A473" s="31">
        <v>0</v>
      </c>
      <c r="B473" s="31">
        <v>2</v>
      </c>
      <c r="C473" s="31">
        <v>7</v>
      </c>
      <c r="D473" s="32" t="s">
        <v>1330</v>
      </c>
      <c r="E473" s="32" t="s">
        <v>156</v>
      </c>
      <c r="F473" s="32" t="s">
        <v>1356</v>
      </c>
      <c r="G473" s="32" t="s">
        <v>258</v>
      </c>
      <c r="H473" s="32" t="s">
        <v>354</v>
      </c>
      <c r="I473" s="31" t="s">
        <v>1239</v>
      </c>
      <c r="J473" s="31">
        <v>8</v>
      </c>
      <c r="K473" s="33" t="s">
        <v>955</v>
      </c>
      <c r="L473" s="33" t="s">
        <v>722</v>
      </c>
      <c r="M473" s="34" t="s">
        <v>732</v>
      </c>
      <c r="N473" s="34" t="s">
        <v>1748</v>
      </c>
      <c r="O473" s="35">
        <v>1</v>
      </c>
      <c r="P473" s="35"/>
      <c r="Q473" s="32"/>
      <c r="S473" s="1">
        <f t="shared" si="249"/>
        <v>0</v>
      </c>
      <c r="T473" s="1">
        <f t="shared" si="250"/>
        <v>0</v>
      </c>
      <c r="U473" s="1">
        <f t="shared" si="251"/>
        <v>0</v>
      </c>
      <c r="V473" s="1">
        <f t="shared" si="252"/>
        <v>0</v>
      </c>
      <c r="W473" s="1">
        <f t="shared" si="253"/>
        <v>0</v>
      </c>
      <c r="X473" s="1">
        <f t="shared" si="254"/>
        <v>0</v>
      </c>
      <c r="Y473" s="1">
        <f t="shared" si="255"/>
        <v>0</v>
      </c>
      <c r="Z473" s="1">
        <f t="shared" si="256"/>
        <v>1</v>
      </c>
      <c r="AA473" s="1">
        <f t="shared" si="257"/>
        <v>0</v>
      </c>
      <c r="AB473" s="1">
        <f t="shared" si="258"/>
        <v>0</v>
      </c>
      <c r="AD473" s="1">
        <f t="shared" si="259"/>
        <v>0</v>
      </c>
      <c r="AE473" s="1">
        <f t="shared" si="260"/>
        <v>1</v>
      </c>
      <c r="AF473" s="1">
        <f t="shared" si="303"/>
        <v>0</v>
      </c>
      <c r="AG473" s="1">
        <f t="shared" si="304"/>
        <v>1</v>
      </c>
      <c r="AH473" s="1">
        <f t="shared" si="305"/>
        <v>0</v>
      </c>
      <c r="AI473" s="1">
        <f t="shared" si="306"/>
        <v>1</v>
      </c>
    </row>
    <row r="474" spans="1:35" s="1" customFormat="1" ht="14.25" customHeight="1" x14ac:dyDescent="0.25">
      <c r="A474" s="31">
        <v>1</v>
      </c>
      <c r="B474" s="31">
        <v>2</v>
      </c>
      <c r="C474" s="31">
        <v>7</v>
      </c>
      <c r="D474" s="32" t="s">
        <v>1330</v>
      </c>
      <c r="E474" s="32" t="s">
        <v>156</v>
      </c>
      <c r="F474" s="32" t="s">
        <v>1218</v>
      </c>
      <c r="G474" s="32" t="s">
        <v>218</v>
      </c>
      <c r="H474" s="32" t="s">
        <v>354</v>
      </c>
      <c r="I474" s="31" t="s">
        <v>1239</v>
      </c>
      <c r="J474" s="31">
        <v>99</v>
      </c>
      <c r="K474" s="33" t="s">
        <v>955</v>
      </c>
      <c r="L474" s="33" t="s">
        <v>722</v>
      </c>
      <c r="M474" s="34" t="s">
        <v>732</v>
      </c>
      <c r="N474" s="34" t="s">
        <v>1748</v>
      </c>
      <c r="O474" s="35">
        <v>1</v>
      </c>
      <c r="P474" s="35"/>
      <c r="Q474" s="32"/>
      <c r="S474" s="1">
        <f t="shared" si="249"/>
        <v>0</v>
      </c>
      <c r="T474" s="1">
        <f t="shared" si="250"/>
        <v>0</v>
      </c>
      <c r="U474" s="1">
        <f t="shared" si="251"/>
        <v>0</v>
      </c>
      <c r="V474" s="1">
        <f t="shared" si="252"/>
        <v>0</v>
      </c>
      <c r="W474" s="1">
        <f t="shared" si="253"/>
        <v>0</v>
      </c>
      <c r="X474" s="1">
        <f t="shared" si="254"/>
        <v>0</v>
      </c>
      <c r="Y474" s="1">
        <f t="shared" si="255"/>
        <v>0</v>
      </c>
      <c r="Z474" s="1">
        <f t="shared" si="256"/>
        <v>0</v>
      </c>
      <c r="AA474" s="1">
        <f t="shared" si="257"/>
        <v>0</v>
      </c>
      <c r="AB474" s="1">
        <f t="shared" si="258"/>
        <v>0</v>
      </c>
      <c r="AD474" s="1">
        <f t="shared" si="259"/>
        <v>0</v>
      </c>
      <c r="AE474" s="1">
        <f t="shared" si="260"/>
        <v>1</v>
      </c>
      <c r="AF474" s="1">
        <f t="shared" si="303"/>
        <v>0</v>
      </c>
      <c r="AG474" s="1">
        <f t="shared" si="304"/>
        <v>0</v>
      </c>
      <c r="AH474" s="1">
        <f t="shared" si="305"/>
        <v>0</v>
      </c>
      <c r="AI474" s="1">
        <f t="shared" si="306"/>
        <v>0</v>
      </c>
    </row>
    <row r="475" spans="1:35" s="1" customFormat="1" ht="14.25" customHeight="1" x14ac:dyDescent="0.25">
      <c r="A475" s="44">
        <v>0</v>
      </c>
      <c r="B475" s="44">
        <v>2</v>
      </c>
      <c r="C475" s="44">
        <v>7</v>
      </c>
      <c r="D475" s="45" t="s">
        <v>1248</v>
      </c>
      <c r="E475" s="45" t="s">
        <v>156</v>
      </c>
      <c r="F475" s="45" t="s">
        <v>1250</v>
      </c>
      <c r="G475" s="45" t="s">
        <v>220</v>
      </c>
      <c r="H475" s="45" t="s">
        <v>354</v>
      </c>
      <c r="I475" s="44" t="s">
        <v>1370</v>
      </c>
      <c r="J475" s="44">
        <v>8</v>
      </c>
      <c r="K475" s="46" t="s">
        <v>954</v>
      </c>
      <c r="L475" s="46" t="s">
        <v>722</v>
      </c>
      <c r="M475" s="47" t="s">
        <v>732</v>
      </c>
      <c r="N475" s="47" t="s">
        <v>1735</v>
      </c>
      <c r="O475" s="48"/>
      <c r="P475" s="48"/>
      <c r="Q475" s="45"/>
      <c r="S475" s="1">
        <f t="shared" si="249"/>
        <v>0</v>
      </c>
      <c r="T475" s="1">
        <f t="shared" si="250"/>
        <v>0</v>
      </c>
      <c r="U475" s="1">
        <f t="shared" si="251"/>
        <v>0</v>
      </c>
      <c r="V475" s="1">
        <f t="shared" si="252"/>
        <v>0</v>
      </c>
      <c r="W475" s="1">
        <f t="shared" si="253"/>
        <v>0</v>
      </c>
      <c r="X475" s="1">
        <f t="shared" si="254"/>
        <v>0</v>
      </c>
      <c r="Y475" s="1">
        <f t="shared" si="255"/>
        <v>0</v>
      </c>
      <c r="Z475" s="1">
        <f t="shared" si="256"/>
        <v>1</v>
      </c>
      <c r="AA475" s="1">
        <f t="shared" si="257"/>
        <v>0</v>
      </c>
      <c r="AB475" s="1">
        <f t="shared" si="258"/>
        <v>0</v>
      </c>
      <c r="AD475" s="1">
        <f t="shared" si="259"/>
        <v>0</v>
      </c>
      <c r="AE475" s="1">
        <f t="shared" si="260"/>
        <v>0</v>
      </c>
      <c r="AF475" s="1">
        <f t="shared" si="303"/>
        <v>0</v>
      </c>
      <c r="AG475" s="1">
        <f t="shared" si="304"/>
        <v>0</v>
      </c>
      <c r="AH475" s="1">
        <f t="shared" si="305"/>
        <v>0</v>
      </c>
      <c r="AI475" s="1">
        <f t="shared" si="306"/>
        <v>1</v>
      </c>
    </row>
    <row r="476" spans="1:35" s="1" customFormat="1" ht="14.25" customHeight="1" x14ac:dyDescent="0.25">
      <c r="A476" s="44">
        <v>1</v>
      </c>
      <c r="B476" s="44">
        <v>2</v>
      </c>
      <c r="C476" s="44">
        <v>7</v>
      </c>
      <c r="D476" s="45" t="s">
        <v>1248</v>
      </c>
      <c r="E476" s="45" t="s">
        <v>156</v>
      </c>
      <c r="F476" s="45" t="s">
        <v>1357</v>
      </c>
      <c r="G476" s="45" t="s">
        <v>39</v>
      </c>
      <c r="H476" s="45" t="s">
        <v>355</v>
      </c>
      <c r="I476" s="44" t="s">
        <v>1249</v>
      </c>
      <c r="J476" s="44">
        <v>99</v>
      </c>
      <c r="K476" s="46" t="s">
        <v>954</v>
      </c>
      <c r="L476" s="46" t="s">
        <v>722</v>
      </c>
      <c r="M476" s="47" t="s">
        <v>732</v>
      </c>
      <c r="N476" s="47" t="s">
        <v>1735</v>
      </c>
      <c r="O476" s="48"/>
      <c r="P476" s="48"/>
      <c r="Q476" s="65" t="s">
        <v>1904</v>
      </c>
      <c r="S476" s="1">
        <f t="shared" ref="S476:S486" si="307">IF(J476=$S$7,1,0)</f>
        <v>0</v>
      </c>
      <c r="T476" s="1">
        <f t="shared" ref="T476:T486" si="308">IF(J476=$T$7,1,0)</f>
        <v>0</v>
      </c>
      <c r="U476" s="1">
        <f t="shared" ref="U476:U486" si="309">IF(J476=$U$7,1,0)</f>
        <v>0</v>
      </c>
      <c r="V476" s="1">
        <f t="shared" ref="V476:V486" si="310">IF(J476=$V$7,1,0)</f>
        <v>0</v>
      </c>
      <c r="W476" s="1">
        <f t="shared" ref="W476:W486" si="311">IF(J476=$W$7,1,0)</f>
        <v>0</v>
      </c>
      <c r="X476" s="1">
        <f t="shared" ref="X476:X486" si="312">IF(J476=$X$7,1,0)</f>
        <v>0</v>
      </c>
      <c r="Y476" s="1">
        <f t="shared" ref="Y476:Y486" si="313">IF(J476=$Y$7,1,0)</f>
        <v>0</v>
      </c>
      <c r="Z476" s="1">
        <f t="shared" ref="Z476:Z486" si="314">IF(J476=$Z$7,1,0)</f>
        <v>0</v>
      </c>
      <c r="AA476" s="1">
        <f t="shared" ref="AA476:AA486" si="315">IF(J476=$AA$7,1,0)</f>
        <v>0</v>
      </c>
      <c r="AB476" s="1">
        <f t="shared" ref="AB476:AB486" si="316">IF(J476=$AB$7,1,0)</f>
        <v>0</v>
      </c>
      <c r="AD476" s="1">
        <f>+O476*P476</f>
        <v>0</v>
      </c>
      <c r="AE476" s="1">
        <f>O476*(1-P476)</f>
        <v>0</v>
      </c>
      <c r="AF476" s="1">
        <f t="shared" si="303"/>
        <v>0</v>
      </c>
      <c r="AG476" s="1">
        <f t="shared" si="304"/>
        <v>0</v>
      </c>
      <c r="AH476" s="1">
        <f t="shared" si="305"/>
        <v>0</v>
      </c>
      <c r="AI476" s="1">
        <f t="shared" si="306"/>
        <v>0</v>
      </c>
    </row>
    <row r="477" spans="1:35" s="1" customFormat="1" ht="14.25" customHeight="1" x14ac:dyDescent="0.25">
      <c r="A477" s="44">
        <v>1</v>
      </c>
      <c r="B477" s="44">
        <v>2</v>
      </c>
      <c r="C477" s="44">
        <v>7</v>
      </c>
      <c r="D477" s="45" t="s">
        <v>1248</v>
      </c>
      <c r="E477" s="45" t="s">
        <v>156</v>
      </c>
      <c r="F477" s="45" t="s">
        <v>1523</v>
      </c>
      <c r="G477" s="45" t="s">
        <v>235</v>
      </c>
      <c r="H477" s="45" t="s">
        <v>354</v>
      </c>
      <c r="I477" s="44" t="s">
        <v>1691</v>
      </c>
      <c r="J477" s="44">
        <v>99</v>
      </c>
      <c r="K477" s="46" t="s">
        <v>954</v>
      </c>
      <c r="L477" s="46" t="s">
        <v>722</v>
      </c>
      <c r="M477" s="47" t="s">
        <v>732</v>
      </c>
      <c r="N477" s="47" t="s">
        <v>1735</v>
      </c>
      <c r="O477" s="48"/>
      <c r="P477" s="48"/>
      <c r="Q477" s="45"/>
      <c r="S477" s="1">
        <f t="shared" si="307"/>
        <v>0</v>
      </c>
      <c r="T477" s="1">
        <f t="shared" si="308"/>
        <v>0</v>
      </c>
      <c r="U477" s="1">
        <f t="shared" si="309"/>
        <v>0</v>
      </c>
      <c r="V477" s="1">
        <f t="shared" si="310"/>
        <v>0</v>
      </c>
      <c r="W477" s="1">
        <f t="shared" si="311"/>
        <v>0</v>
      </c>
      <c r="X477" s="1">
        <f t="shared" si="312"/>
        <v>0</v>
      </c>
      <c r="Y477" s="1">
        <f t="shared" si="313"/>
        <v>0</v>
      </c>
      <c r="Z477" s="1">
        <f t="shared" si="314"/>
        <v>0</v>
      </c>
      <c r="AA477" s="1">
        <f t="shared" si="315"/>
        <v>0</v>
      </c>
      <c r="AB477" s="1">
        <f t="shared" si="316"/>
        <v>0</v>
      </c>
      <c r="AD477" s="1">
        <f>+O477*P477</f>
        <v>0</v>
      </c>
      <c r="AE477" s="1">
        <f>O477*(1-P477)</f>
        <v>0</v>
      </c>
      <c r="AF477" s="1">
        <f t="shared" si="303"/>
        <v>0</v>
      </c>
      <c r="AG477" s="1">
        <f t="shared" si="304"/>
        <v>0</v>
      </c>
      <c r="AH477" s="1">
        <f t="shared" si="305"/>
        <v>0</v>
      </c>
      <c r="AI477" s="1">
        <f t="shared" si="306"/>
        <v>0</v>
      </c>
    </row>
    <row r="478" spans="1:35" s="1" customFormat="1" ht="14.25" customHeight="1" x14ac:dyDescent="0.25">
      <c r="A478" s="31">
        <v>0</v>
      </c>
      <c r="B478" s="31">
        <v>2</v>
      </c>
      <c r="C478" s="31">
        <v>7</v>
      </c>
      <c r="D478" s="32" t="s">
        <v>1850</v>
      </c>
      <c r="E478" s="32" t="s">
        <v>1851</v>
      </c>
      <c r="F478" s="32" t="s">
        <v>1852</v>
      </c>
      <c r="G478" s="32" t="s">
        <v>265</v>
      </c>
      <c r="H478" s="32" t="s">
        <v>354</v>
      </c>
      <c r="I478" s="31" t="s">
        <v>1853</v>
      </c>
      <c r="J478" s="31">
        <v>99</v>
      </c>
      <c r="K478" s="33" t="s">
        <v>703</v>
      </c>
      <c r="L478" s="33"/>
      <c r="M478" s="34"/>
      <c r="N478" s="34" t="s">
        <v>1727</v>
      </c>
      <c r="O478" s="35">
        <v>1</v>
      </c>
      <c r="P478" s="35">
        <v>1</v>
      </c>
      <c r="Q478" s="32"/>
      <c r="S478" s="1">
        <f t="shared" si="307"/>
        <v>0</v>
      </c>
      <c r="T478" s="1">
        <f t="shared" si="308"/>
        <v>0</v>
      </c>
      <c r="U478" s="1">
        <f t="shared" si="309"/>
        <v>0</v>
      </c>
      <c r="V478" s="1">
        <f t="shared" si="310"/>
        <v>0</v>
      </c>
      <c r="W478" s="1">
        <f t="shared" si="311"/>
        <v>0</v>
      </c>
      <c r="X478" s="1">
        <f t="shared" si="312"/>
        <v>0</v>
      </c>
      <c r="Y478" s="1">
        <f t="shared" si="313"/>
        <v>0</v>
      </c>
      <c r="Z478" s="1">
        <f t="shared" si="314"/>
        <v>0</v>
      </c>
      <c r="AA478" s="1">
        <f t="shared" si="315"/>
        <v>0</v>
      </c>
      <c r="AB478" s="1">
        <f t="shared" si="316"/>
        <v>0</v>
      </c>
      <c r="AD478" s="1">
        <f>+O478*P478</f>
        <v>1</v>
      </c>
      <c r="AE478" s="1">
        <f>O478*(1-P478)</f>
        <v>0</v>
      </c>
      <c r="AF478" s="1">
        <f t="shared" si="303"/>
        <v>1</v>
      </c>
      <c r="AG478" s="1">
        <f t="shared" si="304"/>
        <v>0</v>
      </c>
      <c r="AH478" s="1">
        <f t="shared" si="305"/>
        <v>1</v>
      </c>
      <c r="AI478" s="1">
        <f t="shared" si="306"/>
        <v>0</v>
      </c>
    </row>
    <row r="479" spans="1:35" s="1" customFormat="1" ht="14.25" customHeight="1" x14ac:dyDescent="0.25">
      <c r="A479" s="44">
        <v>0</v>
      </c>
      <c r="B479" s="44">
        <v>2</v>
      </c>
      <c r="C479" s="44">
        <v>7</v>
      </c>
      <c r="D479" s="45" t="s">
        <v>1243</v>
      </c>
      <c r="E479" s="45" t="s">
        <v>28</v>
      </c>
      <c r="F479" s="45" t="s">
        <v>1236</v>
      </c>
      <c r="G479" s="45" t="s">
        <v>1237</v>
      </c>
      <c r="H479" s="45" t="s">
        <v>354</v>
      </c>
      <c r="I479" s="44" t="s">
        <v>1238</v>
      </c>
      <c r="J479" s="44">
        <v>99</v>
      </c>
      <c r="K479" s="46" t="s">
        <v>712</v>
      </c>
      <c r="L479" s="46" t="s">
        <v>713</v>
      </c>
      <c r="M479" s="47" t="s">
        <v>731</v>
      </c>
      <c r="N479" s="47" t="s">
        <v>1735</v>
      </c>
      <c r="O479" s="48"/>
      <c r="P479" s="48"/>
      <c r="Q479" s="45"/>
      <c r="S479" s="1">
        <f t="shared" si="307"/>
        <v>0</v>
      </c>
      <c r="T479" s="1">
        <f t="shared" si="308"/>
        <v>0</v>
      </c>
      <c r="U479" s="1">
        <f t="shared" si="309"/>
        <v>0</v>
      </c>
      <c r="V479" s="1">
        <f t="shared" si="310"/>
        <v>0</v>
      </c>
      <c r="W479" s="1">
        <f t="shared" si="311"/>
        <v>0</v>
      </c>
      <c r="X479" s="1">
        <f t="shared" si="312"/>
        <v>0</v>
      </c>
      <c r="Y479" s="1">
        <f t="shared" si="313"/>
        <v>0</v>
      </c>
      <c r="Z479" s="1">
        <f t="shared" si="314"/>
        <v>0</v>
      </c>
      <c r="AA479" s="1">
        <f t="shared" si="315"/>
        <v>0</v>
      </c>
      <c r="AB479" s="1">
        <f t="shared" si="316"/>
        <v>0</v>
      </c>
      <c r="AD479" s="1">
        <f t="shared" ref="AD479:AD486" si="317">+O479*P479</f>
        <v>0</v>
      </c>
      <c r="AE479" s="1">
        <f t="shared" ref="AE479:AE486" si="318">O479*(1-P479)</f>
        <v>0</v>
      </c>
      <c r="AF479" s="1">
        <f t="shared" si="303"/>
        <v>0</v>
      </c>
      <c r="AG479" s="1">
        <f t="shared" si="304"/>
        <v>0</v>
      </c>
      <c r="AH479" s="1">
        <f t="shared" si="305"/>
        <v>0</v>
      </c>
      <c r="AI479" s="1">
        <f t="shared" si="306"/>
        <v>1</v>
      </c>
    </row>
    <row r="480" spans="1:35" s="1" customFormat="1" ht="14.25" customHeight="1" x14ac:dyDescent="0.25">
      <c r="A480" s="44">
        <v>1</v>
      </c>
      <c r="B480" s="44">
        <v>2</v>
      </c>
      <c r="C480" s="44">
        <v>7</v>
      </c>
      <c r="D480" s="45" t="s">
        <v>1240</v>
      </c>
      <c r="E480" s="45" t="s">
        <v>28</v>
      </c>
      <c r="F480" s="45" t="s">
        <v>1241</v>
      </c>
      <c r="G480" s="45" t="s">
        <v>523</v>
      </c>
      <c r="H480" s="45" t="s">
        <v>354</v>
      </c>
      <c r="I480" s="44" t="s">
        <v>1242</v>
      </c>
      <c r="J480" s="44">
        <v>99</v>
      </c>
      <c r="K480" s="46" t="s">
        <v>712</v>
      </c>
      <c r="L480" s="46" t="s">
        <v>713</v>
      </c>
      <c r="M480" s="47" t="s">
        <v>731</v>
      </c>
      <c r="N480" s="47" t="s">
        <v>1735</v>
      </c>
      <c r="O480" s="48"/>
      <c r="P480" s="48"/>
      <c r="Q480" s="45"/>
      <c r="S480" s="1">
        <f t="shared" si="307"/>
        <v>0</v>
      </c>
      <c r="T480" s="1">
        <f t="shared" si="308"/>
        <v>0</v>
      </c>
      <c r="U480" s="1">
        <f t="shared" si="309"/>
        <v>0</v>
      </c>
      <c r="V480" s="1">
        <f t="shared" si="310"/>
        <v>0</v>
      </c>
      <c r="W480" s="1">
        <f t="shared" si="311"/>
        <v>0</v>
      </c>
      <c r="X480" s="1">
        <f t="shared" si="312"/>
        <v>0</v>
      </c>
      <c r="Y480" s="1">
        <f t="shared" si="313"/>
        <v>0</v>
      </c>
      <c r="Z480" s="1">
        <f t="shared" si="314"/>
        <v>0</v>
      </c>
      <c r="AA480" s="1">
        <f t="shared" si="315"/>
        <v>0</v>
      </c>
      <c r="AB480" s="1">
        <f t="shared" si="316"/>
        <v>0</v>
      </c>
      <c r="AD480" s="1">
        <f t="shared" si="317"/>
        <v>0</v>
      </c>
      <c r="AE480" s="1">
        <f t="shared" si="318"/>
        <v>0</v>
      </c>
      <c r="AF480" s="1">
        <f t="shared" si="303"/>
        <v>0</v>
      </c>
      <c r="AG480" s="1">
        <f t="shared" si="304"/>
        <v>0</v>
      </c>
      <c r="AH480" s="1">
        <f t="shared" si="305"/>
        <v>0</v>
      </c>
      <c r="AI480" s="1">
        <f t="shared" si="306"/>
        <v>0</v>
      </c>
    </row>
    <row r="481" spans="1:35" s="1" customFormat="1" ht="14.25" customHeight="1" x14ac:dyDescent="0.25">
      <c r="A481" s="31">
        <v>0</v>
      </c>
      <c r="B481" s="31">
        <v>2</v>
      </c>
      <c r="C481" s="31">
        <v>7</v>
      </c>
      <c r="D481" s="32" t="s">
        <v>1846</v>
      </c>
      <c r="E481" s="32" t="s">
        <v>1168</v>
      </c>
      <c r="F481" s="32" t="s">
        <v>1847</v>
      </c>
      <c r="G481" s="32"/>
      <c r="H481" s="32" t="s">
        <v>354</v>
      </c>
      <c r="I481" s="31" t="s">
        <v>1848</v>
      </c>
      <c r="J481" s="31">
        <v>6</v>
      </c>
      <c r="K481" s="33" t="s">
        <v>703</v>
      </c>
      <c r="L481" s="33"/>
      <c r="M481" s="34"/>
      <c r="N481" s="34" t="s">
        <v>1748</v>
      </c>
      <c r="O481" s="35">
        <v>1</v>
      </c>
      <c r="P481" s="35"/>
      <c r="Q481" s="32"/>
      <c r="S481" s="1">
        <f t="shared" si="307"/>
        <v>0</v>
      </c>
      <c r="T481" s="1">
        <f t="shared" si="308"/>
        <v>0</v>
      </c>
      <c r="U481" s="1">
        <f t="shared" si="309"/>
        <v>0</v>
      </c>
      <c r="V481" s="1">
        <f t="shared" si="310"/>
        <v>0</v>
      </c>
      <c r="W481" s="1">
        <f t="shared" si="311"/>
        <v>0</v>
      </c>
      <c r="X481" s="1">
        <f t="shared" si="312"/>
        <v>1</v>
      </c>
      <c r="Y481" s="1">
        <f t="shared" si="313"/>
        <v>0</v>
      </c>
      <c r="Z481" s="1">
        <f t="shared" si="314"/>
        <v>0</v>
      </c>
      <c r="AA481" s="1">
        <f t="shared" si="315"/>
        <v>0</v>
      </c>
      <c r="AB481" s="1">
        <f t="shared" si="316"/>
        <v>0</v>
      </c>
      <c r="AD481" s="1">
        <f t="shared" si="317"/>
        <v>0</v>
      </c>
      <c r="AE481" s="1">
        <f t="shared" si="318"/>
        <v>1</v>
      </c>
      <c r="AF481" s="1">
        <f t="shared" si="303"/>
        <v>0</v>
      </c>
      <c r="AG481" s="1">
        <f t="shared" si="304"/>
        <v>1</v>
      </c>
      <c r="AH481" s="1">
        <f t="shared" si="305"/>
        <v>0</v>
      </c>
      <c r="AI481" s="1">
        <f t="shared" si="306"/>
        <v>1</v>
      </c>
    </row>
    <row r="482" spans="1:35" s="1" customFormat="1" ht="14.25" customHeight="1" x14ac:dyDescent="0.25">
      <c r="A482" s="44">
        <v>0</v>
      </c>
      <c r="B482" s="44">
        <v>2</v>
      </c>
      <c r="C482" s="44">
        <v>7</v>
      </c>
      <c r="D482" s="45" t="s">
        <v>1458</v>
      </c>
      <c r="E482" s="45" t="s">
        <v>28</v>
      </c>
      <c r="F482" s="45" t="s">
        <v>1459</v>
      </c>
      <c r="G482" s="45" t="s">
        <v>1460</v>
      </c>
      <c r="H482" s="45" t="s">
        <v>354</v>
      </c>
      <c r="I482" s="44" t="s">
        <v>1461</v>
      </c>
      <c r="J482" s="44">
        <v>99</v>
      </c>
      <c r="K482" s="46" t="s">
        <v>712</v>
      </c>
      <c r="L482" s="46" t="s">
        <v>713</v>
      </c>
      <c r="M482" s="47" t="s">
        <v>731</v>
      </c>
      <c r="N482" s="47" t="s">
        <v>1735</v>
      </c>
      <c r="O482" s="48"/>
      <c r="P482" s="48"/>
      <c r="Q482" s="45" t="s">
        <v>1931</v>
      </c>
      <c r="S482" s="1">
        <f t="shared" si="307"/>
        <v>0</v>
      </c>
      <c r="T482" s="1">
        <f t="shared" si="308"/>
        <v>0</v>
      </c>
      <c r="U482" s="1">
        <f t="shared" si="309"/>
        <v>0</v>
      </c>
      <c r="V482" s="1">
        <f t="shared" si="310"/>
        <v>0</v>
      </c>
      <c r="W482" s="1">
        <f t="shared" si="311"/>
        <v>0</v>
      </c>
      <c r="X482" s="1">
        <f t="shared" si="312"/>
        <v>0</v>
      </c>
      <c r="Y482" s="1">
        <f t="shared" si="313"/>
        <v>0</v>
      </c>
      <c r="Z482" s="1">
        <f t="shared" si="314"/>
        <v>0</v>
      </c>
      <c r="AA482" s="1">
        <f t="shared" si="315"/>
        <v>0</v>
      </c>
      <c r="AB482" s="1">
        <f t="shared" si="316"/>
        <v>0</v>
      </c>
      <c r="AD482" s="1">
        <f t="shared" si="317"/>
        <v>0</v>
      </c>
      <c r="AE482" s="1">
        <f t="shared" si="318"/>
        <v>0</v>
      </c>
      <c r="AF482" s="1">
        <f t="shared" si="303"/>
        <v>0</v>
      </c>
      <c r="AG482" s="1">
        <f t="shared" si="304"/>
        <v>0</v>
      </c>
      <c r="AH482" s="1">
        <f t="shared" si="305"/>
        <v>0</v>
      </c>
      <c r="AI482" s="1">
        <f t="shared" si="306"/>
        <v>1</v>
      </c>
    </row>
    <row r="483" spans="1:35" s="1" customFormat="1" ht="14.25" customHeight="1" x14ac:dyDescent="0.25">
      <c r="A483" s="31">
        <v>0</v>
      </c>
      <c r="B483" s="31">
        <v>2</v>
      </c>
      <c r="C483" s="31">
        <v>7</v>
      </c>
      <c r="D483" s="32" t="s">
        <v>43</v>
      </c>
      <c r="E483" s="32" t="s">
        <v>541</v>
      </c>
      <c r="F483" s="32" t="s">
        <v>575</v>
      </c>
      <c r="G483" s="32" t="s">
        <v>235</v>
      </c>
      <c r="H483" s="32" t="s">
        <v>354</v>
      </c>
      <c r="I483" s="31" t="s">
        <v>582</v>
      </c>
      <c r="J483" s="31">
        <v>99</v>
      </c>
      <c r="K483" s="33" t="s">
        <v>712</v>
      </c>
      <c r="L483" s="33" t="s">
        <v>729</v>
      </c>
      <c r="M483" s="34" t="s">
        <v>1440</v>
      </c>
      <c r="N483" s="34" t="s">
        <v>1748</v>
      </c>
      <c r="O483" s="35">
        <v>1</v>
      </c>
      <c r="P483" s="35"/>
      <c r="Q483" s="32"/>
      <c r="S483" s="1">
        <f t="shared" si="307"/>
        <v>0</v>
      </c>
      <c r="T483" s="1">
        <f t="shared" si="308"/>
        <v>0</v>
      </c>
      <c r="U483" s="1">
        <f t="shared" si="309"/>
        <v>0</v>
      </c>
      <c r="V483" s="1">
        <f t="shared" si="310"/>
        <v>0</v>
      </c>
      <c r="W483" s="1">
        <f t="shared" si="311"/>
        <v>0</v>
      </c>
      <c r="X483" s="1">
        <f t="shared" si="312"/>
        <v>0</v>
      </c>
      <c r="Y483" s="1">
        <f t="shared" si="313"/>
        <v>0</v>
      </c>
      <c r="Z483" s="1">
        <f t="shared" si="314"/>
        <v>0</v>
      </c>
      <c r="AA483" s="1">
        <f t="shared" si="315"/>
        <v>0</v>
      </c>
      <c r="AB483" s="1">
        <f t="shared" si="316"/>
        <v>0</v>
      </c>
      <c r="AD483" s="1">
        <f t="shared" si="317"/>
        <v>0</v>
      </c>
      <c r="AE483" s="1">
        <f t="shared" si="318"/>
        <v>1</v>
      </c>
      <c r="AF483" s="1">
        <f t="shared" si="303"/>
        <v>0</v>
      </c>
      <c r="AG483" s="1">
        <f t="shared" si="304"/>
        <v>1</v>
      </c>
      <c r="AH483" s="1">
        <f t="shared" si="305"/>
        <v>0</v>
      </c>
      <c r="AI483" s="1">
        <f t="shared" si="306"/>
        <v>1</v>
      </c>
    </row>
    <row r="484" spans="1:35" s="1" customFormat="1" ht="14.25" customHeight="1" x14ac:dyDescent="0.25">
      <c r="A484" s="31">
        <v>1</v>
      </c>
      <c r="B484" s="31">
        <v>2</v>
      </c>
      <c r="C484" s="31">
        <v>7</v>
      </c>
      <c r="D484" s="32" t="s">
        <v>43</v>
      </c>
      <c r="E484" s="32" t="s">
        <v>541</v>
      </c>
      <c r="F484" s="32" t="s">
        <v>271</v>
      </c>
      <c r="G484" s="32" t="s">
        <v>180</v>
      </c>
      <c r="H484" s="32" t="s">
        <v>354</v>
      </c>
      <c r="I484" s="31" t="s">
        <v>426</v>
      </c>
      <c r="J484" s="31">
        <v>10</v>
      </c>
      <c r="K484" s="33" t="s">
        <v>712</v>
      </c>
      <c r="L484" s="33" t="s">
        <v>729</v>
      </c>
      <c r="M484" s="34" t="s">
        <v>1440</v>
      </c>
      <c r="N484" s="34" t="s">
        <v>1748</v>
      </c>
      <c r="O484" s="35">
        <v>1</v>
      </c>
      <c r="P484" s="35"/>
      <c r="Q484" s="32"/>
      <c r="S484" s="1">
        <f t="shared" si="307"/>
        <v>0</v>
      </c>
      <c r="T484" s="1">
        <f t="shared" si="308"/>
        <v>0</v>
      </c>
      <c r="U484" s="1">
        <f t="shared" si="309"/>
        <v>0</v>
      </c>
      <c r="V484" s="1">
        <f t="shared" si="310"/>
        <v>0</v>
      </c>
      <c r="W484" s="1">
        <f t="shared" si="311"/>
        <v>0</v>
      </c>
      <c r="X484" s="1">
        <f t="shared" si="312"/>
        <v>0</v>
      </c>
      <c r="Y484" s="1">
        <f t="shared" si="313"/>
        <v>0</v>
      </c>
      <c r="Z484" s="1">
        <f t="shared" si="314"/>
        <v>0</v>
      </c>
      <c r="AA484" s="1">
        <f t="shared" si="315"/>
        <v>0</v>
      </c>
      <c r="AB484" s="1">
        <f t="shared" si="316"/>
        <v>1</v>
      </c>
      <c r="AD484" s="1">
        <f t="shared" si="317"/>
        <v>0</v>
      </c>
      <c r="AE484" s="1">
        <f t="shared" si="318"/>
        <v>1</v>
      </c>
      <c r="AF484" s="1">
        <f t="shared" si="303"/>
        <v>0</v>
      </c>
      <c r="AG484" s="1">
        <f t="shared" si="304"/>
        <v>0</v>
      </c>
      <c r="AH484" s="1">
        <f t="shared" si="305"/>
        <v>0</v>
      </c>
      <c r="AI484" s="1">
        <f t="shared" si="306"/>
        <v>0</v>
      </c>
    </row>
    <row r="485" spans="1:35" s="1" customFormat="1" ht="14.25" customHeight="1" x14ac:dyDescent="0.25">
      <c r="A485" s="31">
        <v>1</v>
      </c>
      <c r="B485" s="31">
        <v>2</v>
      </c>
      <c r="C485" s="31">
        <v>7</v>
      </c>
      <c r="D485" s="32" t="s">
        <v>43</v>
      </c>
      <c r="E485" s="32" t="s">
        <v>541</v>
      </c>
      <c r="F485" s="32" t="s">
        <v>272</v>
      </c>
      <c r="G485" s="32" t="s">
        <v>39</v>
      </c>
      <c r="H485" s="32" t="s">
        <v>354</v>
      </c>
      <c r="I485" s="31" t="s">
        <v>427</v>
      </c>
      <c r="J485" s="31">
        <v>5</v>
      </c>
      <c r="K485" s="33" t="s">
        <v>712</v>
      </c>
      <c r="L485" s="33" t="s">
        <v>729</v>
      </c>
      <c r="M485" s="34" t="s">
        <v>1440</v>
      </c>
      <c r="N485" s="34" t="s">
        <v>1748</v>
      </c>
      <c r="O485" s="35">
        <v>1</v>
      </c>
      <c r="P485" s="35"/>
      <c r="Q485" s="32"/>
      <c r="S485" s="1">
        <f t="shared" si="307"/>
        <v>0</v>
      </c>
      <c r="T485" s="1">
        <f t="shared" si="308"/>
        <v>0</v>
      </c>
      <c r="U485" s="1">
        <f t="shared" si="309"/>
        <v>0</v>
      </c>
      <c r="V485" s="1">
        <f t="shared" si="310"/>
        <v>0</v>
      </c>
      <c r="W485" s="1">
        <f t="shared" si="311"/>
        <v>1</v>
      </c>
      <c r="X485" s="1">
        <f t="shared" si="312"/>
        <v>0</v>
      </c>
      <c r="Y485" s="1">
        <f t="shared" si="313"/>
        <v>0</v>
      </c>
      <c r="Z485" s="1">
        <f t="shared" si="314"/>
        <v>0</v>
      </c>
      <c r="AA485" s="1">
        <f t="shared" si="315"/>
        <v>0</v>
      </c>
      <c r="AB485" s="1">
        <f t="shared" si="316"/>
        <v>0</v>
      </c>
      <c r="AD485" s="1">
        <f t="shared" si="317"/>
        <v>0</v>
      </c>
      <c r="AE485" s="1">
        <f t="shared" si="318"/>
        <v>1</v>
      </c>
      <c r="AF485" s="1">
        <f t="shared" si="303"/>
        <v>0</v>
      </c>
      <c r="AG485" s="1">
        <f t="shared" si="304"/>
        <v>0</v>
      </c>
      <c r="AH485" s="1">
        <f t="shared" si="305"/>
        <v>0</v>
      </c>
      <c r="AI485" s="1">
        <f t="shared" si="306"/>
        <v>0</v>
      </c>
    </row>
    <row r="486" spans="1:35" s="1" customFormat="1" ht="14.25" customHeight="1" x14ac:dyDescent="0.25">
      <c r="A486" s="31">
        <v>1</v>
      </c>
      <c r="B486" s="31">
        <v>2</v>
      </c>
      <c r="C486" s="31">
        <v>7</v>
      </c>
      <c r="D486" s="32" t="s">
        <v>43</v>
      </c>
      <c r="E486" s="32" t="s">
        <v>541</v>
      </c>
      <c r="F486" s="32" t="s">
        <v>276</v>
      </c>
      <c r="G486" s="32" t="s">
        <v>194</v>
      </c>
      <c r="H486" s="32" t="s">
        <v>354</v>
      </c>
      <c r="I486" s="31" t="s">
        <v>431</v>
      </c>
      <c r="J486" s="31">
        <v>9</v>
      </c>
      <c r="K486" s="33" t="s">
        <v>712</v>
      </c>
      <c r="L486" s="33" t="s">
        <v>729</v>
      </c>
      <c r="M486" s="34" t="s">
        <v>1440</v>
      </c>
      <c r="N486" s="34" t="s">
        <v>1748</v>
      </c>
      <c r="O486" s="35">
        <v>1</v>
      </c>
      <c r="P486" s="35"/>
      <c r="Q486" s="32"/>
      <c r="S486" s="1">
        <f t="shared" si="307"/>
        <v>0</v>
      </c>
      <c r="T486" s="1">
        <f t="shared" si="308"/>
        <v>0</v>
      </c>
      <c r="U486" s="1">
        <f t="shared" si="309"/>
        <v>0</v>
      </c>
      <c r="V486" s="1">
        <f t="shared" si="310"/>
        <v>0</v>
      </c>
      <c r="W486" s="1">
        <f t="shared" si="311"/>
        <v>0</v>
      </c>
      <c r="X486" s="1">
        <f t="shared" si="312"/>
        <v>0</v>
      </c>
      <c r="Y486" s="1">
        <f t="shared" si="313"/>
        <v>0</v>
      </c>
      <c r="Z486" s="1">
        <f t="shared" si="314"/>
        <v>0</v>
      </c>
      <c r="AA486" s="1">
        <f t="shared" si="315"/>
        <v>1</v>
      </c>
      <c r="AB486" s="1">
        <f t="shared" si="316"/>
        <v>0</v>
      </c>
      <c r="AD486" s="1">
        <f t="shared" si="317"/>
        <v>0</v>
      </c>
      <c r="AE486" s="1">
        <f t="shared" si="318"/>
        <v>1</v>
      </c>
      <c r="AF486" s="1">
        <f t="shared" si="303"/>
        <v>0</v>
      </c>
      <c r="AG486" s="1">
        <f t="shared" si="304"/>
        <v>0</v>
      </c>
      <c r="AH486" s="1">
        <f t="shared" si="305"/>
        <v>0</v>
      </c>
      <c r="AI486" s="1">
        <f t="shared" si="306"/>
        <v>0</v>
      </c>
    </row>
    <row r="487" spans="1:35" s="1" customFormat="1" ht="14.25" customHeight="1" x14ac:dyDescent="0.25">
      <c r="A487" s="44">
        <v>0</v>
      </c>
      <c r="B487" s="44">
        <v>2</v>
      </c>
      <c r="C487" s="44">
        <v>7</v>
      </c>
      <c r="D487" s="45" t="s">
        <v>1561</v>
      </c>
      <c r="E487" s="45" t="s">
        <v>28</v>
      </c>
      <c r="F487" s="45" t="s">
        <v>1562</v>
      </c>
      <c r="G487" s="45" t="s">
        <v>238</v>
      </c>
      <c r="H487" s="45" t="s">
        <v>354</v>
      </c>
      <c r="I487" s="44" t="s">
        <v>1695</v>
      </c>
      <c r="J487" s="44">
        <v>4</v>
      </c>
      <c r="K487" s="46" t="s">
        <v>713</v>
      </c>
      <c r="L487" s="46" t="s">
        <v>713</v>
      </c>
      <c r="M487" s="47" t="s">
        <v>731</v>
      </c>
      <c r="N487" s="47" t="s">
        <v>1735</v>
      </c>
      <c r="O487" s="48"/>
      <c r="P487" s="48"/>
      <c r="Q487" s="45"/>
      <c r="S487" s="1">
        <f t="shared" ref="S487:S488" si="319">IF(J487=$S$7,1,0)</f>
        <v>0</v>
      </c>
      <c r="T487" s="1">
        <f t="shared" ref="T487:T488" si="320">IF(J487=$T$7,1,0)</f>
        <v>0</v>
      </c>
      <c r="U487" s="1">
        <f t="shared" ref="U487:U488" si="321">IF(J487=$U$7,1,0)</f>
        <v>0</v>
      </c>
      <c r="V487" s="1">
        <f t="shared" ref="V487:V488" si="322">IF(J487=$V$7,1,0)</f>
        <v>1</v>
      </c>
      <c r="W487" s="1">
        <f t="shared" ref="W487:W488" si="323">IF(J487=$W$7,1,0)</f>
        <v>0</v>
      </c>
      <c r="X487" s="1">
        <f t="shared" ref="X487:X488" si="324">IF(J487=$X$7,1,0)</f>
        <v>0</v>
      </c>
      <c r="Y487" s="1">
        <f t="shared" ref="Y487:Y488" si="325">IF(J487=$Y$7,1,0)</f>
        <v>0</v>
      </c>
      <c r="Z487" s="1">
        <f t="shared" ref="Z487:Z488" si="326">IF(J487=$Z$7,1,0)</f>
        <v>0</v>
      </c>
      <c r="AA487" s="1">
        <f t="shared" ref="AA487:AA488" si="327">IF(J487=$AA$7,1,0)</f>
        <v>0</v>
      </c>
      <c r="AB487" s="1">
        <f t="shared" ref="AB487:AB488" si="328">IF(J487=$AB$7,1,0)</f>
        <v>0</v>
      </c>
      <c r="AD487" s="1">
        <f t="shared" ref="AD487:AD488" si="329">+O487*P487</f>
        <v>0</v>
      </c>
      <c r="AE487" s="1">
        <f t="shared" ref="AE487:AE488" si="330">O487*(1-P487)</f>
        <v>0</v>
      </c>
      <c r="AF487" s="1">
        <f t="shared" ref="AF487:AF488" si="331">+O487*P487*(1-A487)</f>
        <v>0</v>
      </c>
      <c r="AG487" s="1">
        <f t="shared" ref="AG487:AG488" si="332">O487*(1-P487)*(1-A487)</f>
        <v>0</v>
      </c>
      <c r="AH487" s="1">
        <f t="shared" ref="AH487:AH488" si="333">+P487*(1-A487)</f>
        <v>0</v>
      </c>
      <c r="AI487" s="1">
        <f t="shared" ref="AI487:AI488" si="334">+(1-A487)*(1-P487)</f>
        <v>1</v>
      </c>
    </row>
    <row r="488" spans="1:35" s="1" customFormat="1" ht="14.25" customHeight="1" x14ac:dyDescent="0.25">
      <c r="A488" s="44">
        <v>0</v>
      </c>
      <c r="B488" s="44">
        <v>2</v>
      </c>
      <c r="C488" s="44">
        <v>7</v>
      </c>
      <c r="D488" s="45" t="s">
        <v>63</v>
      </c>
      <c r="E488" s="45" t="s">
        <v>44</v>
      </c>
      <c r="F488" s="45" t="s">
        <v>236</v>
      </c>
      <c r="G488" s="45" t="s">
        <v>200</v>
      </c>
      <c r="H488" s="45" t="s">
        <v>354</v>
      </c>
      <c r="I488" s="44" t="s">
        <v>402</v>
      </c>
      <c r="J488" s="44">
        <v>2</v>
      </c>
      <c r="K488" s="46" t="s">
        <v>713</v>
      </c>
      <c r="L488" s="46" t="s">
        <v>722</v>
      </c>
      <c r="M488" s="47" t="s">
        <v>735</v>
      </c>
      <c r="N488" s="47" t="s">
        <v>1735</v>
      </c>
      <c r="O488" s="48"/>
      <c r="P488" s="48"/>
      <c r="Q488" s="45"/>
      <c r="S488" s="1">
        <f t="shared" si="319"/>
        <v>0</v>
      </c>
      <c r="T488" s="1">
        <f t="shared" si="320"/>
        <v>1</v>
      </c>
      <c r="U488" s="1">
        <f t="shared" si="321"/>
        <v>0</v>
      </c>
      <c r="V488" s="1">
        <f t="shared" si="322"/>
        <v>0</v>
      </c>
      <c r="W488" s="1">
        <f t="shared" si="323"/>
        <v>0</v>
      </c>
      <c r="X488" s="1">
        <f t="shared" si="324"/>
        <v>0</v>
      </c>
      <c r="Y488" s="1">
        <f t="shared" si="325"/>
        <v>0</v>
      </c>
      <c r="Z488" s="1">
        <f t="shared" si="326"/>
        <v>0</v>
      </c>
      <c r="AA488" s="1">
        <f t="shared" si="327"/>
        <v>0</v>
      </c>
      <c r="AB488" s="1">
        <f t="shared" si="328"/>
        <v>0</v>
      </c>
      <c r="AD488" s="1">
        <f t="shared" si="329"/>
        <v>0</v>
      </c>
      <c r="AE488" s="1">
        <f t="shared" si="330"/>
        <v>0</v>
      </c>
      <c r="AF488" s="1">
        <f t="shared" si="331"/>
        <v>0</v>
      </c>
      <c r="AG488" s="1">
        <f t="shared" si="332"/>
        <v>0</v>
      </c>
      <c r="AH488" s="1">
        <f t="shared" si="333"/>
        <v>0</v>
      </c>
      <c r="AI488" s="1">
        <f t="shared" si="334"/>
        <v>1</v>
      </c>
    </row>
    <row r="489" spans="1:35" s="1" customFormat="1" ht="14.25" customHeight="1" x14ac:dyDescent="0.25">
      <c r="A489" s="15"/>
      <c r="B489" s="15"/>
      <c r="C489" s="15"/>
      <c r="D489" s="20"/>
      <c r="E489" s="20"/>
      <c r="F489" s="20"/>
      <c r="G489" s="20"/>
      <c r="H489" s="20"/>
      <c r="I489" s="21"/>
      <c r="J489" s="15"/>
      <c r="K489" s="21"/>
      <c r="L489" s="10"/>
      <c r="M489" s="19"/>
      <c r="N489" s="17"/>
      <c r="Q489" s="20"/>
    </row>
    <row r="490" spans="1:35" s="1" customFormat="1" ht="14.25" customHeight="1" x14ac:dyDescent="0.25">
      <c r="A490" s="15"/>
      <c r="B490" s="15"/>
      <c r="C490" s="15"/>
      <c r="D490" s="20"/>
      <c r="E490" s="20"/>
      <c r="F490" s="20"/>
      <c r="G490" s="20"/>
      <c r="H490" s="20"/>
      <c r="I490" s="21"/>
      <c r="J490" s="15"/>
      <c r="K490" s="21"/>
      <c r="L490" s="10"/>
      <c r="M490" s="19"/>
      <c r="N490" s="17"/>
      <c r="Q490" s="20"/>
    </row>
    <row r="491" spans="1:35" s="1" customFormat="1" ht="14.25" customHeight="1" x14ac:dyDescent="0.25">
      <c r="A491" s="15"/>
      <c r="B491" s="15"/>
      <c r="C491" s="15"/>
      <c r="D491" s="20"/>
      <c r="E491" s="20"/>
      <c r="F491" s="20"/>
      <c r="G491" s="20"/>
      <c r="H491" s="20"/>
      <c r="I491" s="21"/>
      <c r="J491" s="15"/>
      <c r="K491" s="21"/>
      <c r="L491" s="10"/>
      <c r="M491" s="19"/>
      <c r="N491" s="17"/>
      <c r="Q491" s="20"/>
    </row>
    <row r="492" spans="1:35" s="1" customFormat="1" ht="14.25" customHeight="1" x14ac:dyDescent="0.25">
      <c r="A492" s="15"/>
      <c r="B492" s="15"/>
      <c r="C492" s="15"/>
      <c r="D492" s="20"/>
      <c r="E492" s="20"/>
      <c r="F492" s="20"/>
      <c r="G492" s="20"/>
      <c r="H492" s="20"/>
      <c r="I492" s="21"/>
      <c r="J492" s="15"/>
      <c r="K492" s="21"/>
      <c r="L492" s="10"/>
      <c r="M492" s="19"/>
      <c r="N492" s="17"/>
      <c r="Q492" s="20"/>
    </row>
    <row r="493" spans="1:35" s="1" customFormat="1" ht="14.25" customHeight="1" x14ac:dyDescent="0.25">
      <c r="A493" s="15"/>
      <c r="B493" s="15"/>
      <c r="C493" s="15"/>
      <c r="D493" s="20"/>
      <c r="E493" s="20"/>
      <c r="F493" s="20"/>
      <c r="G493" s="20"/>
      <c r="H493" s="20"/>
      <c r="I493" s="21"/>
      <c r="J493" s="15"/>
      <c r="K493" s="21"/>
      <c r="L493" s="10"/>
      <c r="M493" s="19"/>
      <c r="N493" s="17"/>
      <c r="Q493" s="20"/>
    </row>
    <row r="494" spans="1:35" s="1" customFormat="1" ht="14.25" customHeight="1" x14ac:dyDescent="0.25">
      <c r="A494" s="15"/>
      <c r="B494" s="15"/>
      <c r="C494" s="15"/>
      <c r="D494" s="20"/>
      <c r="E494" s="20"/>
      <c r="F494" s="20"/>
      <c r="G494" s="20"/>
      <c r="H494" s="20"/>
      <c r="I494" s="21"/>
      <c r="J494" s="15"/>
      <c r="K494" s="21"/>
      <c r="L494" s="10"/>
      <c r="M494" s="19"/>
      <c r="N494" s="17"/>
      <c r="Q494" s="20"/>
    </row>
    <row r="495" spans="1:35" s="1" customFormat="1" ht="14.25" customHeight="1" x14ac:dyDescent="0.25">
      <c r="A495" s="15"/>
      <c r="B495" s="15"/>
      <c r="C495" s="15"/>
      <c r="D495" s="20"/>
      <c r="E495" s="20"/>
      <c r="F495" s="20"/>
      <c r="G495" s="20"/>
      <c r="H495" s="20"/>
      <c r="I495" s="21"/>
      <c r="J495" s="15"/>
      <c r="K495" s="21"/>
      <c r="L495" s="10"/>
      <c r="M495" s="19"/>
      <c r="N495" s="17"/>
      <c r="Q495" s="20"/>
    </row>
    <row r="496" spans="1:35" s="1" customFormat="1" ht="14.25" customHeight="1" x14ac:dyDescent="0.25">
      <c r="A496" s="15"/>
      <c r="B496" s="15"/>
      <c r="C496" s="15"/>
      <c r="D496" s="20"/>
      <c r="E496" s="20"/>
      <c r="F496" s="20"/>
      <c r="G496" s="20"/>
      <c r="H496" s="20"/>
      <c r="I496" s="21"/>
      <c r="J496" s="15"/>
      <c r="K496" s="21"/>
      <c r="L496" s="10"/>
      <c r="M496" s="19"/>
      <c r="N496" s="17"/>
      <c r="Q496" s="20"/>
    </row>
    <row r="497" spans="1:17" s="1" customFormat="1" ht="14.25" customHeight="1" x14ac:dyDescent="0.25">
      <c r="A497" s="15"/>
      <c r="B497" s="15"/>
      <c r="C497" s="15"/>
      <c r="D497" s="20"/>
      <c r="E497" s="20"/>
      <c r="F497" s="20"/>
      <c r="G497" s="20"/>
      <c r="H497" s="20"/>
      <c r="I497" s="21"/>
      <c r="J497" s="15"/>
      <c r="K497" s="21"/>
      <c r="L497" s="10"/>
      <c r="M497" s="19"/>
      <c r="N497" s="17"/>
      <c r="Q497" s="20"/>
    </row>
    <row r="498" spans="1:17" s="1" customFormat="1" ht="14.25" customHeight="1" x14ac:dyDescent="0.25">
      <c r="A498" s="15"/>
      <c r="B498" s="15"/>
      <c r="C498" s="15"/>
      <c r="D498" s="20"/>
      <c r="E498" s="20"/>
      <c r="F498" s="20"/>
      <c r="G498" s="20"/>
      <c r="H498" s="20"/>
      <c r="I498" s="21"/>
      <c r="J498" s="15"/>
      <c r="K498" s="21"/>
      <c r="L498" s="10"/>
      <c r="M498" s="19"/>
      <c r="N498" s="17"/>
      <c r="Q498" s="20"/>
    </row>
    <row r="499" spans="1:17" s="1" customFormat="1" ht="14.25" customHeight="1" x14ac:dyDescent="0.25">
      <c r="A499" s="15"/>
      <c r="B499" s="15"/>
      <c r="C499" s="15"/>
      <c r="D499" s="20"/>
      <c r="E499" s="20"/>
      <c r="F499" s="20"/>
      <c r="G499" s="20"/>
      <c r="H499" s="20"/>
      <c r="I499" s="21"/>
      <c r="J499" s="15"/>
      <c r="K499" s="21"/>
      <c r="L499" s="10"/>
      <c r="M499" s="19"/>
      <c r="N499" s="17"/>
      <c r="Q499" s="20"/>
    </row>
    <row r="500" spans="1:17" s="1" customFormat="1" ht="14.25" customHeight="1" x14ac:dyDescent="0.25">
      <c r="A500" s="15"/>
      <c r="B500" s="15"/>
      <c r="C500" s="15"/>
      <c r="D500" s="20"/>
      <c r="E500" s="20"/>
      <c r="F500" s="20"/>
      <c r="G500" s="20"/>
      <c r="H500" s="20"/>
      <c r="I500" s="21"/>
      <c r="J500" s="15"/>
      <c r="K500" s="21"/>
      <c r="L500" s="10"/>
      <c r="M500" s="19"/>
      <c r="N500" s="17"/>
      <c r="Q500" s="20"/>
    </row>
    <row r="501" spans="1:17" s="1" customFormat="1" ht="14.25" customHeight="1" x14ac:dyDescent="0.25">
      <c r="A501" s="15"/>
      <c r="B501" s="15"/>
      <c r="C501" s="15"/>
      <c r="D501" s="20"/>
      <c r="E501" s="20"/>
      <c r="F501" s="20"/>
      <c r="G501" s="20"/>
      <c r="H501" s="20"/>
      <c r="I501" s="21"/>
      <c r="J501" s="15"/>
      <c r="K501" s="21"/>
      <c r="L501" s="10"/>
      <c r="M501" s="19"/>
      <c r="N501" s="17"/>
      <c r="Q501" s="20"/>
    </row>
    <row r="502" spans="1:17" s="1" customFormat="1" ht="14.25" customHeight="1" x14ac:dyDescent="0.25">
      <c r="A502" s="15"/>
      <c r="B502" s="15"/>
      <c r="C502" s="15"/>
      <c r="D502" s="20"/>
      <c r="E502" s="20"/>
      <c r="F502" s="20"/>
      <c r="G502" s="20"/>
      <c r="H502" s="20"/>
      <c r="I502" s="21"/>
      <c r="J502" s="15"/>
      <c r="K502" s="21"/>
      <c r="L502" s="10"/>
      <c r="M502" s="19"/>
      <c r="N502" s="17"/>
      <c r="Q502" s="20"/>
    </row>
    <row r="503" spans="1:17" s="1" customFormat="1" ht="14.25" customHeight="1" x14ac:dyDescent="0.25">
      <c r="A503" s="15"/>
      <c r="B503" s="15"/>
      <c r="C503" s="15"/>
      <c r="D503" s="20"/>
      <c r="E503" s="20"/>
      <c r="F503" s="20"/>
      <c r="G503" s="20"/>
      <c r="H503" s="20"/>
      <c r="I503" s="21"/>
      <c r="J503" s="15"/>
      <c r="K503" s="21"/>
      <c r="L503" s="10"/>
      <c r="M503" s="19"/>
      <c r="N503" s="17"/>
      <c r="Q503" s="20"/>
    </row>
    <row r="504" spans="1:17" s="1" customFormat="1" ht="14.25" customHeight="1" x14ac:dyDescent="0.25">
      <c r="A504" s="15"/>
      <c r="B504" s="15"/>
      <c r="C504" s="15"/>
      <c r="D504" s="20"/>
      <c r="E504" s="20"/>
      <c r="F504" s="20"/>
      <c r="G504" s="20"/>
      <c r="H504" s="20"/>
      <c r="I504" s="21"/>
      <c r="J504" s="15"/>
      <c r="K504" s="21"/>
      <c r="L504" s="10"/>
      <c r="M504" s="19"/>
      <c r="N504" s="17"/>
      <c r="Q504" s="20"/>
    </row>
    <row r="505" spans="1:17" s="1" customFormat="1" ht="14.25" customHeight="1" x14ac:dyDescent="0.25">
      <c r="A505" s="15"/>
      <c r="B505" s="15"/>
      <c r="C505" s="15"/>
      <c r="D505" s="20"/>
      <c r="E505" s="20"/>
      <c r="F505" s="20"/>
      <c r="G505" s="20"/>
      <c r="H505" s="20"/>
      <c r="I505" s="21"/>
      <c r="J505" s="15"/>
      <c r="K505" s="21"/>
      <c r="L505" s="10"/>
      <c r="M505" s="19"/>
      <c r="N505" s="17"/>
      <c r="Q505" s="20"/>
    </row>
    <row r="506" spans="1:17" s="1" customFormat="1" ht="14.25" customHeight="1" x14ac:dyDescent="0.25">
      <c r="A506" s="15"/>
      <c r="B506" s="15"/>
      <c r="C506" s="15"/>
      <c r="D506" s="20"/>
      <c r="E506" s="20"/>
      <c r="F506" s="20"/>
      <c r="G506" s="20"/>
      <c r="H506" s="20"/>
      <c r="I506" s="21"/>
      <c r="J506" s="15"/>
      <c r="K506" s="21"/>
      <c r="L506" s="10"/>
      <c r="M506" s="19"/>
      <c r="N506" s="17"/>
      <c r="Q506" s="20"/>
    </row>
    <row r="507" spans="1:17" s="1" customFormat="1" ht="14.25" customHeight="1" x14ac:dyDescent="0.25">
      <c r="A507" s="15"/>
      <c r="B507" s="15"/>
      <c r="C507" s="15"/>
      <c r="D507" s="20"/>
      <c r="E507" s="20"/>
      <c r="F507" s="20"/>
      <c r="G507" s="20"/>
      <c r="H507" s="20"/>
      <c r="I507" s="21"/>
      <c r="J507" s="15"/>
      <c r="K507" s="21"/>
      <c r="L507" s="10"/>
      <c r="M507" s="19"/>
      <c r="N507" s="17"/>
      <c r="Q507" s="20"/>
    </row>
    <row r="508" spans="1:17" s="1" customFormat="1" ht="14.25" customHeight="1" x14ac:dyDescent="0.25">
      <c r="A508" s="15"/>
      <c r="B508" s="15"/>
      <c r="C508" s="15"/>
      <c r="D508" s="20"/>
      <c r="E508" s="20"/>
      <c r="F508" s="20"/>
      <c r="G508" s="20"/>
      <c r="H508" s="20"/>
      <c r="I508" s="21"/>
      <c r="J508" s="15"/>
      <c r="K508" s="21"/>
      <c r="L508" s="10"/>
      <c r="M508" s="19"/>
      <c r="N508" s="17"/>
      <c r="Q508" s="20"/>
    </row>
    <row r="509" spans="1:17" s="1" customFormat="1" ht="14.25" customHeight="1" x14ac:dyDescent="0.25">
      <c r="A509" s="15"/>
      <c r="B509" s="15"/>
      <c r="C509" s="15"/>
      <c r="D509" s="20"/>
      <c r="E509" s="20"/>
      <c r="F509" s="20"/>
      <c r="G509" s="20"/>
      <c r="H509" s="20"/>
      <c r="I509" s="21"/>
      <c r="J509" s="15"/>
      <c r="K509" s="21"/>
      <c r="L509" s="10"/>
      <c r="M509" s="19"/>
      <c r="N509" s="17"/>
      <c r="Q509" s="20"/>
    </row>
    <row r="510" spans="1:17" s="1" customFormat="1" ht="14.25" customHeight="1" x14ac:dyDescent="0.25">
      <c r="A510" s="15"/>
      <c r="B510" s="15"/>
      <c r="C510" s="15"/>
      <c r="D510" s="20"/>
      <c r="E510" s="20"/>
      <c r="F510" s="20"/>
      <c r="G510" s="20"/>
      <c r="H510" s="20"/>
      <c r="I510" s="21"/>
      <c r="J510" s="15"/>
      <c r="K510" s="21"/>
      <c r="L510" s="10"/>
      <c r="M510" s="19"/>
      <c r="N510" s="17"/>
      <c r="Q510" s="20"/>
    </row>
    <row r="511" spans="1:17" s="1" customFormat="1" ht="14.25" customHeight="1" x14ac:dyDescent="0.25">
      <c r="A511" s="15"/>
      <c r="B511" s="15"/>
      <c r="C511" s="15"/>
      <c r="D511" s="20"/>
      <c r="E511" s="20"/>
      <c r="F511" s="20"/>
      <c r="G511" s="20"/>
      <c r="H511" s="20"/>
      <c r="I511" s="21"/>
      <c r="J511" s="15"/>
      <c r="K511" s="21"/>
      <c r="L511" s="10"/>
      <c r="M511" s="19"/>
      <c r="N511" s="17"/>
      <c r="Q511" s="20"/>
    </row>
    <row r="512" spans="1:17" s="1" customFormat="1" ht="14.25" customHeight="1" x14ac:dyDescent="0.25">
      <c r="A512" s="15"/>
      <c r="B512" s="15"/>
      <c r="C512" s="15"/>
      <c r="D512" s="20"/>
      <c r="E512" s="20"/>
      <c r="F512" s="20"/>
      <c r="G512" s="20"/>
      <c r="H512" s="20"/>
      <c r="I512" s="21"/>
      <c r="J512" s="15"/>
      <c r="K512" s="21"/>
      <c r="L512" s="10"/>
      <c r="M512" s="19"/>
      <c r="N512" s="17"/>
      <c r="Q512" s="20"/>
    </row>
    <row r="513" spans="1:17" s="1" customFormat="1" ht="14.25" customHeight="1" x14ac:dyDescent="0.25">
      <c r="A513" s="15"/>
      <c r="B513" s="15"/>
      <c r="C513" s="15"/>
      <c r="D513" s="20"/>
      <c r="E513" s="20"/>
      <c r="F513" s="20"/>
      <c r="G513" s="20"/>
      <c r="H513" s="20"/>
      <c r="I513" s="21"/>
      <c r="J513" s="15"/>
      <c r="K513" s="21"/>
      <c r="L513" s="10"/>
      <c r="M513" s="19"/>
      <c r="N513" s="17"/>
      <c r="Q513" s="20"/>
    </row>
    <row r="514" spans="1:17" s="1" customFormat="1" ht="14.25" customHeight="1" x14ac:dyDescent="0.25">
      <c r="A514" s="15"/>
      <c r="B514" s="15"/>
      <c r="C514" s="15"/>
      <c r="D514" s="20"/>
      <c r="E514" s="20"/>
      <c r="F514" s="20"/>
      <c r="G514" s="20"/>
      <c r="H514" s="20"/>
      <c r="I514" s="21"/>
      <c r="J514" s="15"/>
      <c r="K514" s="21"/>
      <c r="L514" s="10"/>
      <c r="M514" s="19"/>
      <c r="N514" s="17"/>
      <c r="Q514" s="20"/>
    </row>
    <row r="515" spans="1:17" s="1" customFormat="1" ht="14.25" customHeight="1" x14ac:dyDescent="0.25">
      <c r="A515" s="15"/>
      <c r="B515" s="15"/>
      <c r="C515" s="15"/>
      <c r="D515" s="20"/>
      <c r="E515" s="20"/>
      <c r="F515" s="20"/>
      <c r="G515" s="20"/>
      <c r="H515" s="20"/>
      <c r="I515" s="21"/>
      <c r="J515" s="15"/>
      <c r="K515" s="21"/>
      <c r="L515" s="10"/>
      <c r="M515" s="19"/>
      <c r="N515" s="17"/>
      <c r="Q515" s="20"/>
    </row>
    <row r="516" spans="1:17" s="1" customFormat="1" ht="14.25" customHeight="1" x14ac:dyDescent="0.25">
      <c r="A516" s="15"/>
      <c r="B516" s="15"/>
      <c r="C516" s="15"/>
      <c r="D516" s="20"/>
      <c r="E516" s="20"/>
      <c r="F516" s="20"/>
      <c r="G516" s="20"/>
      <c r="H516" s="20"/>
      <c r="I516" s="21"/>
      <c r="J516" s="15"/>
      <c r="K516" s="21"/>
      <c r="L516" s="10"/>
      <c r="M516" s="19"/>
      <c r="N516" s="17"/>
      <c r="Q516" s="20"/>
    </row>
    <row r="517" spans="1:17" s="1" customFormat="1" ht="14.25" customHeight="1" x14ac:dyDescent="0.25">
      <c r="A517" s="15"/>
      <c r="B517" s="15"/>
      <c r="C517" s="15"/>
      <c r="D517" s="20"/>
      <c r="E517" s="20"/>
      <c r="F517" s="20"/>
      <c r="G517" s="20"/>
      <c r="H517" s="20"/>
      <c r="I517" s="21"/>
      <c r="J517" s="15"/>
      <c r="K517" s="21"/>
      <c r="L517" s="10"/>
      <c r="M517" s="19"/>
      <c r="N517" s="17"/>
      <c r="Q517" s="20"/>
    </row>
    <row r="518" spans="1:17" s="1" customFormat="1" ht="14.25" customHeight="1" x14ac:dyDescent="0.25">
      <c r="A518" s="15"/>
      <c r="B518" s="15"/>
      <c r="C518" s="15"/>
      <c r="D518" s="20"/>
      <c r="E518" s="20"/>
      <c r="F518" s="20"/>
      <c r="G518" s="20"/>
      <c r="H518" s="20"/>
      <c r="I518" s="21"/>
      <c r="J518" s="15"/>
      <c r="K518" s="21"/>
      <c r="L518" s="10"/>
      <c r="M518" s="19"/>
      <c r="N518" s="17"/>
      <c r="Q518" s="20"/>
    </row>
    <row r="519" spans="1:17" s="1" customFormat="1" ht="14.25" customHeight="1" x14ac:dyDescent="0.25">
      <c r="A519" s="15"/>
      <c r="B519" s="15"/>
      <c r="C519" s="15"/>
      <c r="D519" s="20"/>
      <c r="E519" s="20"/>
      <c r="F519" s="20"/>
      <c r="G519" s="20"/>
      <c r="H519" s="20"/>
      <c r="I519" s="21"/>
      <c r="J519" s="15"/>
      <c r="K519" s="21"/>
      <c r="L519" s="10"/>
      <c r="M519" s="19"/>
      <c r="N519" s="17"/>
      <c r="Q519" s="20"/>
    </row>
    <row r="520" spans="1:17" s="1" customFormat="1" ht="14.25" customHeight="1" x14ac:dyDescent="0.25">
      <c r="A520" s="15"/>
      <c r="B520" s="15"/>
      <c r="C520" s="15"/>
      <c r="D520" s="20"/>
      <c r="E520" s="20"/>
      <c r="F520" s="20"/>
      <c r="G520" s="20"/>
      <c r="H520" s="20"/>
      <c r="I520" s="21"/>
      <c r="J520" s="15"/>
      <c r="K520" s="21"/>
      <c r="L520" s="10"/>
      <c r="M520" s="19"/>
      <c r="N520" s="17"/>
      <c r="Q520" s="20"/>
    </row>
    <row r="521" spans="1:17" s="1" customFormat="1" ht="14.25" customHeight="1" x14ac:dyDescent="0.25">
      <c r="A521" s="15"/>
      <c r="B521" s="15"/>
      <c r="C521" s="15"/>
      <c r="D521" s="20"/>
      <c r="E521" s="20"/>
      <c r="F521" s="20"/>
      <c r="G521" s="20"/>
      <c r="H521" s="20"/>
      <c r="I521" s="21"/>
      <c r="J521" s="15"/>
      <c r="K521" s="21"/>
      <c r="L521" s="10"/>
      <c r="M521" s="19"/>
      <c r="N521" s="17"/>
      <c r="Q521" s="20"/>
    </row>
    <row r="522" spans="1:17" s="1" customFormat="1" ht="14.25" customHeight="1" x14ac:dyDescent="0.25">
      <c r="A522" s="15"/>
      <c r="B522" s="15"/>
      <c r="C522" s="15"/>
      <c r="D522" s="20"/>
      <c r="E522" s="20"/>
      <c r="F522" s="20"/>
      <c r="G522" s="20"/>
      <c r="H522" s="20"/>
      <c r="I522" s="21"/>
      <c r="J522" s="15"/>
      <c r="K522" s="21"/>
      <c r="L522" s="10"/>
      <c r="M522" s="19"/>
      <c r="N522" s="17"/>
      <c r="Q522" s="20"/>
    </row>
    <row r="523" spans="1:17" s="1" customFormat="1" ht="14.25" customHeight="1" x14ac:dyDescent="0.25">
      <c r="A523" s="15"/>
      <c r="B523" s="15"/>
      <c r="C523" s="15"/>
      <c r="D523" s="20"/>
      <c r="E523" s="20"/>
      <c r="F523" s="20"/>
      <c r="G523" s="20"/>
      <c r="H523" s="20"/>
      <c r="I523" s="21"/>
      <c r="J523" s="15"/>
      <c r="K523" s="21"/>
      <c r="L523" s="10"/>
      <c r="M523" s="19"/>
      <c r="N523" s="17"/>
      <c r="Q523" s="20"/>
    </row>
    <row r="524" spans="1:17" s="1" customFormat="1" ht="14.25" customHeight="1" x14ac:dyDescent="0.25">
      <c r="A524" s="15"/>
      <c r="B524" s="15"/>
      <c r="C524" s="15"/>
      <c r="D524" s="20"/>
      <c r="E524" s="20"/>
      <c r="F524" s="20"/>
      <c r="G524" s="20"/>
      <c r="H524" s="20"/>
      <c r="I524" s="21"/>
      <c r="J524" s="15"/>
      <c r="K524" s="21"/>
      <c r="L524" s="10"/>
      <c r="M524" s="19"/>
      <c r="N524" s="17"/>
      <c r="Q524" s="20"/>
    </row>
    <row r="525" spans="1:17" s="1" customFormat="1" ht="14.25" customHeight="1" x14ac:dyDescent="0.25">
      <c r="A525" s="15"/>
      <c r="B525" s="15"/>
      <c r="C525" s="15"/>
      <c r="D525" s="20"/>
      <c r="E525" s="20"/>
      <c r="F525" s="20"/>
      <c r="G525" s="20"/>
      <c r="H525" s="20"/>
      <c r="I525" s="21"/>
      <c r="J525" s="15"/>
      <c r="K525" s="21"/>
      <c r="L525" s="10"/>
      <c r="M525" s="19"/>
      <c r="N525" s="17"/>
      <c r="Q525" s="20"/>
    </row>
    <row r="526" spans="1:17" s="1" customFormat="1" ht="14.25" customHeight="1" x14ac:dyDescent="0.25">
      <c r="A526" s="15"/>
      <c r="B526" s="15"/>
      <c r="C526" s="15"/>
      <c r="D526" s="20"/>
      <c r="E526" s="20"/>
      <c r="F526" s="20"/>
      <c r="G526" s="20"/>
      <c r="H526" s="20"/>
      <c r="I526" s="21"/>
      <c r="J526" s="15"/>
      <c r="K526" s="21"/>
      <c r="L526" s="10"/>
      <c r="M526" s="19"/>
      <c r="N526" s="17"/>
      <c r="Q526" s="20"/>
    </row>
    <row r="527" spans="1:17" s="1" customFormat="1" ht="14.25" customHeight="1" x14ac:dyDescent="0.25">
      <c r="A527" s="15"/>
      <c r="B527" s="15"/>
      <c r="C527" s="15"/>
      <c r="D527" s="20"/>
      <c r="E527" s="20"/>
      <c r="F527" s="20"/>
      <c r="G527" s="20"/>
      <c r="H527" s="20"/>
      <c r="I527" s="21"/>
      <c r="J527" s="15"/>
      <c r="K527" s="21"/>
      <c r="L527" s="10"/>
      <c r="M527" s="19"/>
      <c r="N527" s="17"/>
      <c r="Q527" s="20"/>
    </row>
    <row r="528" spans="1:17" s="1" customFormat="1" ht="14.25" customHeight="1" x14ac:dyDescent="0.25">
      <c r="A528" s="15"/>
      <c r="B528" s="15"/>
      <c r="C528" s="15"/>
      <c r="D528" s="20"/>
      <c r="E528" s="20"/>
      <c r="F528" s="20"/>
      <c r="G528" s="20"/>
      <c r="H528" s="20"/>
      <c r="I528" s="21"/>
      <c r="J528" s="15"/>
      <c r="K528" s="21"/>
      <c r="L528" s="10"/>
      <c r="M528" s="19"/>
      <c r="N528" s="17"/>
      <c r="Q528" s="20"/>
    </row>
    <row r="529" spans="1:17" s="1" customFormat="1" ht="14.25" customHeight="1" x14ac:dyDescent="0.25">
      <c r="A529" s="15"/>
      <c r="B529" s="15"/>
      <c r="C529" s="15"/>
      <c r="D529" s="20"/>
      <c r="E529" s="20"/>
      <c r="F529" s="20"/>
      <c r="G529" s="20"/>
      <c r="H529" s="20"/>
      <c r="I529" s="21"/>
      <c r="J529" s="15"/>
      <c r="K529" s="21"/>
      <c r="L529" s="10"/>
      <c r="M529" s="19"/>
      <c r="N529" s="17"/>
      <c r="Q529" s="20"/>
    </row>
    <row r="530" spans="1:17" s="1" customFormat="1" ht="14.25" customHeight="1" x14ac:dyDescent="0.25">
      <c r="A530" s="15"/>
      <c r="B530" s="15"/>
      <c r="C530" s="15"/>
      <c r="D530" s="20"/>
      <c r="E530" s="20"/>
      <c r="F530" s="20"/>
      <c r="G530" s="20"/>
      <c r="H530" s="20"/>
      <c r="I530" s="21"/>
      <c r="J530" s="15"/>
      <c r="K530" s="21"/>
      <c r="L530" s="10"/>
      <c r="M530" s="19"/>
      <c r="N530" s="17"/>
      <c r="Q530" s="20"/>
    </row>
    <row r="531" spans="1:17" s="1" customFormat="1" ht="14.25" customHeight="1" x14ac:dyDescent="0.25">
      <c r="A531" s="15"/>
      <c r="B531" s="15"/>
      <c r="C531" s="15"/>
      <c r="D531" s="20"/>
      <c r="E531" s="20"/>
      <c r="F531" s="20"/>
      <c r="G531" s="20"/>
      <c r="H531" s="20"/>
      <c r="I531" s="21"/>
      <c r="J531" s="15"/>
      <c r="K531" s="21"/>
      <c r="L531" s="10"/>
      <c r="M531" s="19"/>
      <c r="N531" s="17"/>
      <c r="Q531" s="20"/>
    </row>
    <row r="532" spans="1:17" s="1" customFormat="1" ht="14.25" customHeight="1" x14ac:dyDescent="0.25">
      <c r="A532" s="15"/>
      <c r="B532" s="15"/>
      <c r="C532" s="15"/>
      <c r="D532" s="20"/>
      <c r="E532" s="20"/>
      <c r="F532" s="20"/>
      <c r="G532" s="20"/>
      <c r="H532" s="20"/>
      <c r="I532" s="21"/>
      <c r="J532" s="15"/>
      <c r="K532" s="21"/>
      <c r="L532" s="10"/>
      <c r="M532" s="19"/>
      <c r="N532" s="17"/>
      <c r="Q532" s="20"/>
    </row>
    <row r="533" spans="1:17" s="1" customFormat="1" ht="14.25" customHeight="1" x14ac:dyDescent="0.25">
      <c r="A533" s="15"/>
      <c r="B533" s="15"/>
      <c r="C533" s="15"/>
      <c r="D533" s="20"/>
      <c r="E533" s="20"/>
      <c r="F533" s="20"/>
      <c r="G533" s="20"/>
      <c r="H533" s="20"/>
      <c r="I533" s="21"/>
      <c r="J533" s="15"/>
      <c r="K533" s="21"/>
      <c r="L533" s="10"/>
      <c r="M533" s="19"/>
      <c r="N533" s="17"/>
      <c r="Q533" s="20"/>
    </row>
    <row r="534" spans="1:17" s="1" customFormat="1" ht="14.25" customHeight="1" x14ac:dyDescent="0.25">
      <c r="A534" s="15"/>
      <c r="B534" s="15"/>
      <c r="C534" s="15"/>
      <c r="D534" s="20"/>
      <c r="E534" s="20"/>
      <c r="F534" s="20"/>
      <c r="G534" s="20"/>
      <c r="H534" s="20"/>
      <c r="I534" s="21"/>
      <c r="J534" s="15"/>
      <c r="K534" s="21"/>
      <c r="L534" s="10"/>
      <c r="M534" s="19"/>
      <c r="N534" s="17"/>
      <c r="Q534" s="20"/>
    </row>
    <row r="535" spans="1:17" s="1" customFormat="1" ht="14.25" customHeight="1" x14ac:dyDescent="0.25">
      <c r="A535" s="15"/>
      <c r="B535" s="15"/>
      <c r="C535" s="15"/>
      <c r="D535" s="20"/>
      <c r="E535" s="20"/>
      <c r="F535" s="20"/>
      <c r="G535" s="20"/>
      <c r="H535" s="20"/>
      <c r="I535" s="21"/>
      <c r="J535" s="15"/>
      <c r="K535" s="21"/>
      <c r="L535" s="10"/>
      <c r="M535" s="19"/>
      <c r="N535" s="17"/>
      <c r="Q535" s="20"/>
    </row>
    <row r="536" spans="1:17" s="1" customFormat="1" ht="14.25" customHeight="1" x14ac:dyDescent="0.25">
      <c r="A536" s="15"/>
      <c r="B536" s="15"/>
      <c r="C536" s="15"/>
      <c r="D536" s="20"/>
      <c r="E536" s="20"/>
      <c r="F536" s="20"/>
      <c r="G536" s="20"/>
      <c r="H536" s="20"/>
      <c r="I536" s="21"/>
      <c r="J536" s="15"/>
      <c r="K536" s="21"/>
      <c r="L536" s="10"/>
      <c r="M536" s="19"/>
      <c r="N536" s="17"/>
      <c r="Q536" s="20"/>
    </row>
    <row r="537" spans="1:17" s="1" customFormat="1" ht="14.25" customHeight="1" x14ac:dyDescent="0.25">
      <c r="A537" s="15"/>
      <c r="B537" s="15"/>
      <c r="C537" s="15"/>
      <c r="D537" s="20"/>
      <c r="E537" s="20"/>
      <c r="F537" s="20"/>
      <c r="G537" s="20"/>
      <c r="H537" s="20"/>
      <c r="I537" s="21"/>
      <c r="J537" s="15"/>
      <c r="K537" s="21"/>
      <c r="L537" s="10"/>
      <c r="M537" s="19"/>
      <c r="N537" s="17"/>
      <c r="Q537" s="20"/>
    </row>
    <row r="538" spans="1:17" s="1" customFormat="1" ht="14.25" customHeight="1" x14ac:dyDescent="0.25">
      <c r="A538" s="15"/>
      <c r="B538" s="15"/>
      <c r="C538" s="15"/>
      <c r="D538" s="20"/>
      <c r="E538" s="20"/>
      <c r="F538" s="20"/>
      <c r="G538" s="20"/>
      <c r="H538" s="20"/>
      <c r="I538" s="21"/>
      <c r="J538" s="15"/>
      <c r="K538" s="21"/>
      <c r="L538" s="10"/>
      <c r="M538" s="19"/>
      <c r="N538" s="17"/>
      <c r="Q538" s="20"/>
    </row>
    <row r="539" spans="1:17" s="1" customFormat="1" ht="14.25" customHeight="1" x14ac:dyDescent="0.25">
      <c r="A539" s="15"/>
      <c r="B539" s="15"/>
      <c r="C539" s="15"/>
      <c r="D539" s="20"/>
      <c r="E539" s="20"/>
      <c r="F539" s="20"/>
      <c r="G539" s="20"/>
      <c r="H539" s="20"/>
      <c r="I539" s="21"/>
      <c r="J539" s="15"/>
      <c r="K539" s="21"/>
      <c r="L539" s="10"/>
      <c r="M539" s="19"/>
      <c r="N539" s="17"/>
      <c r="Q539" s="20"/>
    </row>
    <row r="540" spans="1:17" s="1" customFormat="1" ht="14.25" customHeight="1" x14ac:dyDescent="0.25">
      <c r="A540" s="15"/>
      <c r="B540" s="15"/>
      <c r="C540" s="15"/>
      <c r="D540" s="20"/>
      <c r="E540" s="20"/>
      <c r="F540" s="20"/>
      <c r="G540" s="20"/>
      <c r="H540" s="20"/>
      <c r="I540" s="21"/>
      <c r="J540" s="15"/>
      <c r="K540" s="21"/>
      <c r="L540" s="10"/>
      <c r="M540" s="19"/>
      <c r="N540" s="17"/>
      <c r="Q540" s="20"/>
    </row>
    <row r="541" spans="1:17" s="1" customFormat="1" ht="14.25" customHeight="1" x14ac:dyDescent="0.25">
      <c r="A541" s="15"/>
      <c r="B541" s="15"/>
      <c r="C541" s="15"/>
      <c r="D541" s="20"/>
      <c r="E541" s="20"/>
      <c r="F541" s="20"/>
      <c r="G541" s="20"/>
      <c r="H541" s="20"/>
      <c r="I541" s="21"/>
      <c r="J541" s="15"/>
      <c r="K541" s="21"/>
      <c r="L541" s="10"/>
      <c r="M541" s="19"/>
      <c r="N541" s="17"/>
      <c r="Q541" s="20"/>
    </row>
    <row r="542" spans="1:17" s="1" customFormat="1" ht="14.25" customHeight="1" x14ac:dyDescent="0.25">
      <c r="A542" s="15"/>
      <c r="B542" s="15"/>
      <c r="C542" s="15"/>
      <c r="D542" s="20"/>
      <c r="E542" s="20"/>
      <c r="F542" s="20"/>
      <c r="G542" s="20"/>
      <c r="H542" s="20"/>
      <c r="I542" s="21"/>
      <c r="J542" s="15"/>
      <c r="K542" s="21"/>
      <c r="L542" s="10"/>
      <c r="M542" s="19"/>
      <c r="N542" s="17"/>
      <c r="Q542" s="20"/>
    </row>
    <row r="543" spans="1:17" s="1" customFormat="1" ht="14.25" customHeight="1" x14ac:dyDescent="0.25">
      <c r="A543" s="15"/>
      <c r="B543" s="15"/>
      <c r="C543" s="15"/>
      <c r="D543" s="20"/>
      <c r="E543" s="20"/>
      <c r="F543" s="20"/>
      <c r="G543" s="20"/>
      <c r="H543" s="20"/>
      <c r="I543" s="21"/>
      <c r="J543" s="15"/>
      <c r="K543" s="21"/>
      <c r="L543" s="10"/>
      <c r="M543" s="19"/>
      <c r="N543" s="17"/>
      <c r="Q543" s="20"/>
    </row>
    <row r="544" spans="1:17" s="1" customFormat="1" ht="14.25" customHeight="1" x14ac:dyDescent="0.25">
      <c r="A544" s="15"/>
      <c r="B544" s="15"/>
      <c r="C544" s="15"/>
      <c r="D544" s="20"/>
      <c r="E544" s="20"/>
      <c r="F544" s="20"/>
      <c r="G544" s="20"/>
      <c r="H544" s="20"/>
      <c r="I544" s="21"/>
      <c r="J544" s="15"/>
      <c r="K544" s="21"/>
      <c r="L544" s="10"/>
      <c r="M544" s="19"/>
      <c r="N544" s="17"/>
      <c r="Q544" s="20"/>
    </row>
    <row r="545" spans="1:17" s="1" customFormat="1" ht="14.25" customHeight="1" x14ac:dyDescent="0.25">
      <c r="A545" s="15"/>
      <c r="B545" s="15"/>
      <c r="C545" s="15"/>
      <c r="D545" s="20"/>
      <c r="E545" s="20"/>
      <c r="F545" s="20"/>
      <c r="G545" s="20"/>
      <c r="H545" s="20"/>
      <c r="I545" s="21"/>
      <c r="J545" s="15"/>
      <c r="K545" s="21"/>
      <c r="L545" s="10"/>
      <c r="M545" s="19"/>
      <c r="N545" s="17"/>
      <c r="Q545" s="20"/>
    </row>
    <row r="546" spans="1:17" s="1" customFormat="1" ht="14.25" customHeight="1" x14ac:dyDescent="0.25">
      <c r="A546" s="15"/>
      <c r="B546" s="15"/>
      <c r="C546" s="15"/>
      <c r="D546" s="20"/>
      <c r="E546" s="20"/>
      <c r="F546" s="20"/>
      <c r="G546" s="20"/>
      <c r="H546" s="20"/>
      <c r="I546" s="21"/>
      <c r="J546" s="15"/>
      <c r="K546" s="21"/>
      <c r="L546" s="10"/>
      <c r="M546" s="19"/>
      <c r="N546" s="17"/>
      <c r="Q546" s="20"/>
    </row>
    <row r="547" spans="1:17" s="1" customFormat="1" ht="14.25" customHeight="1" x14ac:dyDescent="0.25">
      <c r="A547" s="15"/>
      <c r="B547" s="15"/>
      <c r="C547" s="15"/>
      <c r="D547" s="20"/>
      <c r="E547" s="20"/>
      <c r="F547" s="20"/>
      <c r="G547" s="20"/>
      <c r="H547" s="20"/>
      <c r="I547" s="21"/>
      <c r="J547" s="15"/>
      <c r="K547" s="21"/>
      <c r="L547" s="10"/>
      <c r="M547" s="19"/>
      <c r="N547" s="17"/>
      <c r="Q547" s="20"/>
    </row>
    <row r="548" spans="1:17" s="1" customFormat="1" ht="14.25" customHeight="1" x14ac:dyDescent="0.25">
      <c r="A548" s="15"/>
      <c r="B548" s="15"/>
      <c r="C548" s="15"/>
      <c r="D548" s="20"/>
      <c r="E548" s="20"/>
      <c r="F548" s="20"/>
      <c r="G548" s="20"/>
      <c r="H548" s="20"/>
      <c r="I548" s="21"/>
      <c r="J548" s="15"/>
      <c r="K548" s="21"/>
      <c r="L548" s="10"/>
      <c r="M548" s="19"/>
      <c r="N548" s="17"/>
      <c r="Q548" s="20"/>
    </row>
    <row r="549" spans="1:17" s="1" customFormat="1" ht="14.25" customHeight="1" x14ac:dyDescent="0.25">
      <c r="A549" s="15"/>
      <c r="B549" s="15"/>
      <c r="C549" s="15"/>
      <c r="D549" s="20"/>
      <c r="E549" s="20"/>
      <c r="F549" s="20"/>
      <c r="G549" s="20"/>
      <c r="H549" s="20"/>
      <c r="I549" s="21"/>
      <c r="J549" s="15"/>
      <c r="K549" s="21"/>
      <c r="L549" s="10"/>
      <c r="M549" s="19"/>
      <c r="N549" s="17"/>
      <c r="Q549" s="20"/>
    </row>
    <row r="550" spans="1:17" s="1" customFormat="1" ht="14.25" customHeight="1" x14ac:dyDescent="0.25">
      <c r="A550" s="15"/>
      <c r="B550" s="15"/>
      <c r="C550" s="15"/>
      <c r="D550" s="20"/>
      <c r="E550" s="20"/>
      <c r="F550" s="20"/>
      <c r="G550" s="20"/>
      <c r="H550" s="20"/>
      <c r="I550" s="21"/>
      <c r="J550" s="15"/>
      <c r="K550" s="21"/>
      <c r="L550" s="10"/>
      <c r="M550" s="19"/>
      <c r="N550" s="17"/>
      <c r="Q550" s="20"/>
    </row>
    <row r="551" spans="1:17" s="1" customFormat="1" ht="14.25" customHeight="1" x14ac:dyDescent="0.25">
      <c r="A551" s="15"/>
      <c r="B551" s="15"/>
      <c r="C551" s="15"/>
      <c r="D551" s="20"/>
      <c r="E551" s="20"/>
      <c r="F551" s="20"/>
      <c r="G551" s="20"/>
      <c r="H551" s="20"/>
      <c r="I551" s="21"/>
      <c r="J551" s="15"/>
      <c r="K551" s="21"/>
      <c r="L551" s="10"/>
      <c r="M551" s="19"/>
      <c r="N551" s="17"/>
      <c r="Q551" s="20"/>
    </row>
    <row r="552" spans="1:17" s="1" customFormat="1" ht="14.25" customHeight="1" x14ac:dyDescent="0.25">
      <c r="A552" s="15"/>
      <c r="B552" s="15"/>
      <c r="C552" s="15"/>
      <c r="D552" s="20"/>
      <c r="E552" s="20"/>
      <c r="F552" s="20"/>
      <c r="G552" s="20"/>
      <c r="H552" s="20"/>
      <c r="I552" s="21"/>
      <c r="J552" s="15"/>
      <c r="K552" s="21"/>
      <c r="L552" s="10"/>
      <c r="M552" s="19"/>
      <c r="N552" s="17"/>
      <c r="Q552" s="20"/>
    </row>
    <row r="553" spans="1:17" s="1" customFormat="1" ht="14.25" customHeight="1" x14ac:dyDescent="0.25">
      <c r="A553" s="15"/>
      <c r="B553" s="15"/>
      <c r="C553" s="15"/>
      <c r="D553" s="20"/>
      <c r="E553" s="20"/>
      <c r="F553" s="20"/>
      <c r="G553" s="20"/>
      <c r="H553" s="20"/>
      <c r="I553" s="21"/>
      <c r="J553" s="15"/>
      <c r="K553" s="21"/>
      <c r="L553" s="10"/>
      <c r="M553" s="19"/>
      <c r="N553" s="17"/>
      <c r="Q553" s="20"/>
    </row>
    <row r="554" spans="1:17" s="1" customFormat="1" ht="14.25" customHeight="1" x14ac:dyDescent="0.25">
      <c r="A554" s="15"/>
      <c r="B554" s="15"/>
      <c r="C554" s="15"/>
      <c r="D554" s="20"/>
      <c r="E554" s="20"/>
      <c r="F554" s="20"/>
      <c r="G554" s="20"/>
      <c r="H554" s="20"/>
      <c r="I554" s="21"/>
      <c r="J554" s="15"/>
      <c r="K554" s="21"/>
      <c r="L554" s="10"/>
      <c r="M554" s="19"/>
      <c r="N554" s="17"/>
      <c r="Q554" s="20"/>
    </row>
    <row r="555" spans="1:17" s="1" customFormat="1" ht="14.25" customHeight="1" x14ac:dyDescent="0.25">
      <c r="A555" s="15"/>
      <c r="B555" s="15"/>
      <c r="C555" s="15"/>
      <c r="D555" s="20"/>
      <c r="E555" s="20"/>
      <c r="F555" s="20"/>
      <c r="G555" s="20"/>
      <c r="H555" s="20"/>
      <c r="I555" s="21"/>
      <c r="J555" s="15"/>
      <c r="K555" s="21"/>
      <c r="L555" s="10"/>
      <c r="M555" s="19"/>
      <c r="N555" s="17"/>
      <c r="Q555" s="20"/>
    </row>
    <row r="556" spans="1:17" s="1" customFormat="1" ht="14.25" customHeight="1" x14ac:dyDescent="0.25">
      <c r="A556" s="15"/>
      <c r="B556" s="15"/>
      <c r="C556" s="15"/>
      <c r="D556" s="20"/>
      <c r="E556" s="20"/>
      <c r="F556" s="20"/>
      <c r="G556" s="20"/>
      <c r="H556" s="20"/>
      <c r="I556" s="21"/>
      <c r="J556" s="15"/>
      <c r="K556" s="21"/>
      <c r="L556" s="10"/>
      <c r="M556" s="19"/>
      <c r="N556" s="17"/>
      <c r="Q556" s="20"/>
    </row>
    <row r="557" spans="1:17" s="1" customFormat="1" ht="14.25" customHeight="1" x14ac:dyDescent="0.25">
      <c r="A557" s="15"/>
      <c r="B557" s="15"/>
      <c r="C557" s="15"/>
      <c r="D557" s="20"/>
      <c r="E557" s="20"/>
      <c r="F557" s="20"/>
      <c r="G557" s="20"/>
      <c r="H557" s="20"/>
      <c r="I557" s="21"/>
      <c r="J557" s="15"/>
      <c r="K557" s="21"/>
      <c r="L557" s="10"/>
      <c r="M557" s="19"/>
      <c r="N557" s="17"/>
      <c r="Q557" s="20"/>
    </row>
    <row r="558" spans="1:17" s="1" customFormat="1" ht="14.25" customHeight="1" x14ac:dyDescent="0.25">
      <c r="A558" s="15"/>
      <c r="B558" s="15"/>
      <c r="C558" s="15"/>
      <c r="D558" s="20"/>
      <c r="E558" s="20"/>
      <c r="F558" s="20"/>
      <c r="G558" s="20"/>
      <c r="H558" s="20"/>
      <c r="I558" s="21"/>
      <c r="J558" s="15"/>
      <c r="K558" s="21"/>
      <c r="L558" s="10"/>
      <c r="M558" s="19"/>
      <c r="N558" s="17"/>
      <c r="Q558" s="20"/>
    </row>
    <row r="559" spans="1:17" s="1" customFormat="1" ht="14.25" customHeight="1" x14ac:dyDescent="0.25">
      <c r="A559" s="15"/>
      <c r="B559" s="15"/>
      <c r="C559" s="15"/>
      <c r="D559" s="20"/>
      <c r="E559" s="20"/>
      <c r="F559" s="20"/>
      <c r="G559" s="20"/>
      <c r="H559" s="20"/>
      <c r="I559" s="21"/>
      <c r="J559" s="15"/>
      <c r="K559" s="21"/>
      <c r="L559" s="10"/>
      <c r="M559" s="19"/>
      <c r="N559" s="17"/>
      <c r="Q559" s="20"/>
    </row>
    <row r="560" spans="1:17" s="1" customFormat="1" ht="14.25" customHeight="1" x14ac:dyDescent="0.25">
      <c r="A560" s="15"/>
      <c r="B560" s="15"/>
      <c r="C560" s="15"/>
      <c r="D560" s="20"/>
      <c r="E560" s="20"/>
      <c r="F560" s="20"/>
      <c r="G560" s="20"/>
      <c r="H560" s="20"/>
      <c r="I560" s="21"/>
      <c r="J560" s="15"/>
      <c r="K560" s="21"/>
      <c r="L560" s="10"/>
      <c r="M560" s="19"/>
      <c r="N560" s="17"/>
      <c r="Q560" s="20"/>
    </row>
    <row r="561" spans="1:17" s="1" customFormat="1" ht="14.25" customHeight="1" x14ac:dyDescent="0.25">
      <c r="A561" s="15"/>
      <c r="B561" s="15"/>
      <c r="C561" s="15"/>
      <c r="D561" s="20"/>
      <c r="E561" s="20"/>
      <c r="F561" s="20"/>
      <c r="G561" s="20"/>
      <c r="H561" s="20"/>
      <c r="I561" s="21"/>
      <c r="J561" s="15"/>
      <c r="K561" s="21"/>
      <c r="L561" s="10"/>
      <c r="M561" s="19"/>
      <c r="N561" s="17"/>
      <c r="Q561" s="20"/>
    </row>
    <row r="562" spans="1:17" s="1" customFormat="1" ht="14.25" customHeight="1" x14ac:dyDescent="0.25">
      <c r="A562" s="15"/>
      <c r="B562" s="15"/>
      <c r="C562" s="15"/>
      <c r="D562" s="20"/>
      <c r="E562" s="20"/>
      <c r="F562" s="20"/>
      <c r="G562" s="20"/>
      <c r="H562" s="20"/>
      <c r="I562" s="21"/>
      <c r="J562" s="15"/>
      <c r="K562" s="21"/>
      <c r="L562" s="10"/>
      <c r="M562" s="19"/>
      <c r="N562" s="17"/>
      <c r="Q562" s="20"/>
    </row>
    <row r="563" spans="1:17" s="1" customFormat="1" ht="14.25" customHeight="1" x14ac:dyDescent="0.25">
      <c r="A563" s="15"/>
      <c r="B563" s="15"/>
      <c r="C563" s="15"/>
      <c r="D563" s="20"/>
      <c r="E563" s="20"/>
      <c r="F563" s="20"/>
      <c r="G563" s="20"/>
      <c r="H563" s="20"/>
      <c r="I563" s="21"/>
      <c r="J563" s="15"/>
      <c r="K563" s="21"/>
      <c r="L563" s="10"/>
      <c r="M563" s="19"/>
      <c r="N563" s="17"/>
      <c r="Q563" s="20"/>
    </row>
    <row r="564" spans="1:17" s="1" customFormat="1" ht="14.25" customHeight="1" x14ac:dyDescent="0.25">
      <c r="A564" s="15"/>
      <c r="B564" s="15"/>
      <c r="C564" s="15"/>
      <c r="D564" s="20"/>
      <c r="E564" s="20"/>
      <c r="F564" s="20"/>
      <c r="G564" s="20"/>
      <c r="H564" s="20"/>
      <c r="I564" s="21"/>
      <c r="J564" s="15"/>
      <c r="K564" s="21"/>
      <c r="L564" s="10"/>
      <c r="M564" s="19"/>
      <c r="N564" s="17"/>
      <c r="Q564" s="20"/>
    </row>
    <row r="565" spans="1:17" s="1" customFormat="1" ht="14.25" customHeight="1" x14ac:dyDescent="0.25">
      <c r="A565" s="15"/>
      <c r="B565" s="15"/>
      <c r="C565" s="15"/>
      <c r="D565" s="20"/>
      <c r="E565" s="20"/>
      <c r="F565" s="20"/>
      <c r="G565" s="20"/>
      <c r="H565" s="20"/>
      <c r="I565" s="21"/>
      <c r="J565" s="15"/>
      <c r="K565" s="21"/>
      <c r="L565" s="10"/>
      <c r="M565" s="19"/>
      <c r="N565" s="17"/>
      <c r="Q565" s="20"/>
    </row>
    <row r="566" spans="1:17" s="1" customFormat="1" ht="14.25" customHeight="1" x14ac:dyDescent="0.25">
      <c r="A566" s="15"/>
      <c r="B566" s="15"/>
      <c r="C566" s="15"/>
      <c r="D566" s="20"/>
      <c r="E566" s="20"/>
      <c r="F566" s="20"/>
      <c r="G566" s="20"/>
      <c r="H566" s="20"/>
      <c r="I566" s="21"/>
      <c r="J566" s="15"/>
      <c r="K566" s="21"/>
      <c r="L566" s="10"/>
      <c r="M566" s="19"/>
      <c r="N566" s="17"/>
      <c r="Q566" s="20"/>
    </row>
    <row r="567" spans="1:17" s="1" customFormat="1" ht="14.25" customHeight="1" x14ac:dyDescent="0.25">
      <c r="A567" s="15"/>
      <c r="B567" s="15"/>
      <c r="C567" s="15"/>
      <c r="D567" s="20"/>
      <c r="E567" s="20"/>
      <c r="F567" s="20"/>
      <c r="G567" s="20"/>
      <c r="H567" s="20"/>
      <c r="I567" s="21"/>
      <c r="J567" s="15"/>
      <c r="K567" s="21"/>
      <c r="L567" s="10"/>
      <c r="M567" s="19"/>
      <c r="N567" s="17"/>
      <c r="Q567" s="20"/>
    </row>
    <row r="568" spans="1:17" s="1" customFormat="1" ht="14.25" customHeight="1" x14ac:dyDescent="0.25">
      <c r="A568" s="15"/>
      <c r="B568" s="15"/>
      <c r="C568" s="15"/>
      <c r="D568" s="20"/>
      <c r="E568" s="20"/>
      <c r="F568" s="20"/>
      <c r="G568" s="20"/>
      <c r="H568" s="20"/>
      <c r="I568" s="21"/>
      <c r="J568" s="15"/>
      <c r="K568" s="21"/>
      <c r="L568" s="10"/>
      <c r="M568" s="19"/>
      <c r="N568" s="17"/>
      <c r="Q568" s="20"/>
    </row>
    <row r="569" spans="1:17" s="1" customFormat="1" ht="14.25" customHeight="1" x14ac:dyDescent="0.25">
      <c r="A569" s="15"/>
      <c r="B569" s="15"/>
      <c r="C569" s="15"/>
      <c r="D569" s="20"/>
      <c r="E569" s="20"/>
      <c r="F569" s="20"/>
      <c r="G569" s="20"/>
      <c r="H569" s="20"/>
      <c r="I569" s="21"/>
      <c r="J569" s="15"/>
      <c r="K569" s="21"/>
      <c r="L569" s="10"/>
      <c r="M569" s="19"/>
      <c r="N569" s="17"/>
      <c r="Q569" s="20"/>
    </row>
    <row r="570" spans="1:17" s="1" customFormat="1" ht="14.25" customHeight="1" x14ac:dyDescent="0.25">
      <c r="A570" s="15"/>
      <c r="B570" s="15"/>
      <c r="C570" s="15"/>
      <c r="D570" s="20"/>
      <c r="E570" s="20"/>
      <c r="F570" s="20"/>
      <c r="G570" s="20"/>
      <c r="H570" s="20"/>
      <c r="I570" s="21"/>
      <c r="J570" s="15"/>
      <c r="K570" s="21"/>
      <c r="L570" s="10"/>
      <c r="M570" s="19"/>
      <c r="N570" s="17"/>
      <c r="Q570" s="20"/>
    </row>
    <row r="571" spans="1:17" s="1" customFormat="1" ht="14.25" customHeight="1" x14ac:dyDescent="0.25">
      <c r="A571" s="15"/>
      <c r="B571" s="15"/>
      <c r="C571" s="15"/>
      <c r="D571" s="20"/>
      <c r="E571" s="20"/>
      <c r="F571" s="20"/>
      <c r="G571" s="20"/>
      <c r="H571" s="20"/>
      <c r="I571" s="21"/>
      <c r="J571" s="15"/>
      <c r="K571" s="21"/>
      <c r="L571" s="10"/>
      <c r="M571" s="19"/>
      <c r="N571" s="17"/>
      <c r="Q571" s="20"/>
    </row>
    <row r="572" spans="1:17" s="1" customFormat="1" ht="14.25" customHeight="1" x14ac:dyDescent="0.25">
      <c r="A572" s="15"/>
      <c r="B572" s="15"/>
      <c r="C572" s="15"/>
      <c r="D572" s="20"/>
      <c r="E572" s="20"/>
      <c r="F572" s="20"/>
      <c r="G572" s="20"/>
      <c r="H572" s="20"/>
      <c r="I572" s="21"/>
      <c r="J572" s="15"/>
      <c r="K572" s="21"/>
      <c r="L572" s="10"/>
      <c r="M572" s="19"/>
      <c r="N572" s="17"/>
      <c r="Q572" s="20"/>
    </row>
    <row r="573" spans="1:17" s="1" customFormat="1" ht="14.25" customHeight="1" x14ac:dyDescent="0.25">
      <c r="A573" s="15"/>
      <c r="B573" s="15"/>
      <c r="C573" s="15"/>
      <c r="D573" s="20"/>
      <c r="E573" s="20"/>
      <c r="F573" s="20"/>
      <c r="G573" s="20"/>
      <c r="H573" s="20"/>
      <c r="I573" s="21"/>
      <c r="J573" s="15"/>
      <c r="K573" s="21"/>
      <c r="L573" s="10"/>
      <c r="M573" s="19"/>
      <c r="N573" s="17"/>
      <c r="Q573" s="20"/>
    </row>
    <row r="574" spans="1:17" s="1" customFormat="1" ht="14.25" customHeight="1" x14ac:dyDescent="0.25">
      <c r="A574" s="15"/>
      <c r="B574" s="15"/>
      <c r="C574" s="15"/>
      <c r="D574" s="20"/>
      <c r="E574" s="20"/>
      <c r="F574" s="20"/>
      <c r="G574" s="20"/>
      <c r="H574" s="20"/>
      <c r="I574" s="21"/>
      <c r="J574" s="15"/>
      <c r="K574" s="21"/>
      <c r="L574" s="10"/>
      <c r="M574" s="19"/>
      <c r="N574" s="17"/>
      <c r="Q574" s="20"/>
    </row>
    <row r="575" spans="1:17" s="1" customFormat="1" ht="14.25" customHeight="1" x14ac:dyDescent="0.25">
      <c r="A575" s="15"/>
      <c r="B575" s="15"/>
      <c r="C575" s="15"/>
      <c r="D575" s="20"/>
      <c r="E575" s="20"/>
      <c r="F575" s="20"/>
      <c r="G575" s="20"/>
      <c r="H575" s="20"/>
      <c r="I575" s="21"/>
      <c r="J575" s="15"/>
      <c r="K575" s="21"/>
      <c r="L575" s="10"/>
      <c r="M575" s="19"/>
      <c r="N575" s="17"/>
      <c r="Q575" s="20"/>
    </row>
    <row r="576" spans="1:17" s="1" customFormat="1" ht="14.25" customHeight="1" x14ac:dyDescent="0.25">
      <c r="A576" s="15"/>
      <c r="B576" s="15"/>
      <c r="C576" s="15"/>
      <c r="D576" s="20"/>
      <c r="E576" s="20"/>
      <c r="F576" s="20"/>
      <c r="G576" s="20"/>
      <c r="H576" s="20"/>
      <c r="I576" s="21"/>
      <c r="J576" s="15"/>
      <c r="K576" s="21"/>
      <c r="L576" s="10"/>
      <c r="M576" s="19"/>
      <c r="N576" s="17"/>
      <c r="Q576" s="20"/>
    </row>
    <row r="577" spans="1:17" s="1" customFormat="1" ht="14.25" customHeight="1" x14ac:dyDescent="0.25">
      <c r="A577" s="15"/>
      <c r="B577" s="15"/>
      <c r="C577" s="15"/>
      <c r="D577" s="20"/>
      <c r="E577" s="20"/>
      <c r="F577" s="20"/>
      <c r="G577" s="20"/>
      <c r="H577" s="20"/>
      <c r="I577" s="21"/>
      <c r="J577" s="15"/>
      <c r="K577" s="21"/>
      <c r="L577" s="10"/>
      <c r="M577" s="19"/>
      <c r="N577" s="17"/>
      <c r="Q577" s="20"/>
    </row>
    <row r="578" spans="1:17" s="1" customFormat="1" ht="14.25" customHeight="1" x14ac:dyDescent="0.25">
      <c r="A578" s="15"/>
      <c r="B578" s="15"/>
      <c r="C578" s="15"/>
      <c r="D578" s="20"/>
      <c r="E578" s="20"/>
      <c r="F578" s="20"/>
      <c r="G578" s="20"/>
      <c r="H578" s="20"/>
      <c r="I578" s="21"/>
      <c r="J578" s="15"/>
      <c r="K578" s="21"/>
      <c r="L578" s="10"/>
      <c r="M578" s="19"/>
      <c r="N578" s="17"/>
      <c r="Q578" s="20"/>
    </row>
    <row r="579" spans="1:17" s="1" customFormat="1" ht="14.25" customHeight="1" x14ac:dyDescent="0.25">
      <c r="A579" s="15"/>
      <c r="B579" s="15"/>
      <c r="C579" s="15"/>
      <c r="D579" s="20"/>
      <c r="E579" s="20"/>
      <c r="F579" s="20"/>
      <c r="G579" s="20"/>
      <c r="H579" s="20"/>
      <c r="I579" s="21"/>
      <c r="J579" s="15"/>
      <c r="K579" s="21"/>
      <c r="L579" s="10"/>
      <c r="M579" s="19"/>
      <c r="N579" s="17"/>
      <c r="Q579" s="20"/>
    </row>
    <row r="580" spans="1:17" s="1" customFormat="1" ht="14.25" customHeight="1" x14ac:dyDescent="0.25">
      <c r="A580" s="15"/>
      <c r="B580" s="15"/>
      <c r="C580" s="15"/>
      <c r="D580" s="20"/>
      <c r="E580" s="20"/>
      <c r="F580" s="20"/>
      <c r="G580" s="20"/>
      <c r="H580" s="20"/>
      <c r="I580" s="21"/>
      <c r="J580" s="15"/>
      <c r="K580" s="21"/>
      <c r="L580" s="10"/>
      <c r="M580" s="19"/>
      <c r="N580" s="17"/>
      <c r="Q580" s="20"/>
    </row>
    <row r="581" spans="1:17" s="1" customFormat="1" ht="14.25" customHeight="1" x14ac:dyDescent="0.25">
      <c r="A581" s="15"/>
      <c r="B581" s="15"/>
      <c r="C581" s="15"/>
      <c r="D581" s="20"/>
      <c r="E581" s="20"/>
      <c r="F581" s="20"/>
      <c r="G581" s="20"/>
      <c r="H581" s="20"/>
      <c r="I581" s="21"/>
      <c r="J581" s="15"/>
      <c r="K581" s="21"/>
      <c r="L581" s="10"/>
      <c r="M581" s="19"/>
      <c r="N581" s="17"/>
      <c r="Q581" s="20"/>
    </row>
    <row r="582" spans="1:17" s="1" customFormat="1" ht="14.25" customHeight="1" x14ac:dyDescent="0.25">
      <c r="A582" s="15"/>
      <c r="B582" s="15"/>
      <c r="C582" s="15"/>
      <c r="D582" s="20"/>
      <c r="E582" s="20"/>
      <c r="F582" s="20"/>
      <c r="G582" s="20"/>
      <c r="H582" s="20"/>
      <c r="I582" s="21"/>
      <c r="J582" s="15"/>
      <c r="K582" s="21"/>
      <c r="L582" s="10"/>
      <c r="M582" s="19"/>
      <c r="N582" s="17"/>
      <c r="Q582" s="20"/>
    </row>
    <row r="583" spans="1:17" s="1" customFormat="1" ht="14.25" customHeight="1" x14ac:dyDescent="0.25">
      <c r="A583" s="15"/>
      <c r="B583" s="15"/>
      <c r="C583" s="15"/>
      <c r="D583" s="20"/>
      <c r="E583" s="20"/>
      <c r="F583" s="20"/>
      <c r="G583" s="20"/>
      <c r="H583" s="20"/>
      <c r="I583" s="21"/>
      <c r="J583" s="15"/>
      <c r="K583" s="21"/>
      <c r="L583" s="10"/>
      <c r="M583" s="19"/>
      <c r="N583" s="17"/>
      <c r="Q583" s="20"/>
    </row>
    <row r="584" spans="1:17" s="1" customFormat="1" ht="14.25" customHeight="1" x14ac:dyDescent="0.25">
      <c r="A584" s="15"/>
      <c r="B584" s="15"/>
      <c r="C584" s="15"/>
      <c r="D584" s="20"/>
      <c r="E584" s="20"/>
      <c r="F584" s="20"/>
      <c r="G584" s="20"/>
      <c r="H584" s="20"/>
      <c r="I584" s="21"/>
      <c r="J584" s="15"/>
      <c r="K584" s="21"/>
      <c r="L584" s="10"/>
      <c r="M584" s="19"/>
      <c r="N584" s="17"/>
      <c r="Q584" s="20"/>
    </row>
    <row r="585" spans="1:17" s="1" customFormat="1" ht="14.25" customHeight="1" x14ac:dyDescent="0.25">
      <c r="A585" s="15"/>
      <c r="B585" s="15"/>
      <c r="C585" s="15"/>
      <c r="D585" s="20"/>
      <c r="E585" s="20"/>
      <c r="F585" s="20"/>
      <c r="G585" s="20"/>
      <c r="H585" s="20"/>
      <c r="I585" s="21"/>
      <c r="J585" s="15"/>
      <c r="K585" s="21"/>
      <c r="L585" s="10"/>
      <c r="M585" s="19"/>
      <c r="N585" s="17"/>
      <c r="Q585" s="20"/>
    </row>
    <row r="586" spans="1:17" s="1" customFormat="1" ht="14.25" customHeight="1" x14ac:dyDescent="0.25">
      <c r="A586" s="15"/>
      <c r="B586" s="15"/>
      <c r="C586" s="15"/>
      <c r="D586" s="20"/>
      <c r="E586" s="20"/>
      <c r="F586" s="20"/>
      <c r="G586" s="20"/>
      <c r="H586" s="20"/>
      <c r="I586" s="21"/>
      <c r="J586" s="15"/>
      <c r="K586" s="21"/>
      <c r="L586" s="10"/>
      <c r="M586" s="19"/>
      <c r="N586" s="17"/>
      <c r="Q586" s="20"/>
    </row>
    <row r="587" spans="1:17" s="1" customFormat="1" ht="14.25" customHeight="1" x14ac:dyDescent="0.25">
      <c r="A587" s="15"/>
      <c r="B587" s="15"/>
      <c r="C587" s="15"/>
      <c r="D587" s="20"/>
      <c r="E587" s="20"/>
      <c r="F587" s="20"/>
      <c r="G587" s="20"/>
      <c r="H587" s="20"/>
      <c r="I587" s="21"/>
      <c r="J587" s="15"/>
      <c r="K587" s="21"/>
      <c r="L587" s="10"/>
      <c r="M587" s="19"/>
      <c r="N587" s="17"/>
      <c r="Q587" s="20"/>
    </row>
    <row r="588" spans="1:17" s="1" customFormat="1" ht="14.25" customHeight="1" x14ac:dyDescent="0.25">
      <c r="A588" s="15"/>
      <c r="B588" s="15"/>
      <c r="C588" s="15"/>
      <c r="D588" s="20"/>
      <c r="E588" s="20"/>
      <c r="F588" s="20"/>
      <c r="G588" s="20"/>
      <c r="H588" s="20"/>
      <c r="I588" s="21"/>
      <c r="J588" s="15"/>
      <c r="K588" s="21"/>
      <c r="L588" s="10"/>
      <c r="M588" s="19"/>
      <c r="N588" s="17"/>
      <c r="Q588" s="20"/>
    </row>
    <row r="589" spans="1:17" s="1" customFormat="1" ht="14.25" customHeight="1" x14ac:dyDescent="0.25">
      <c r="A589" s="15"/>
      <c r="B589" s="15"/>
      <c r="C589" s="15"/>
      <c r="D589" s="20"/>
      <c r="E589" s="20"/>
      <c r="F589" s="20"/>
      <c r="G589" s="20"/>
      <c r="H589" s="20"/>
      <c r="I589" s="21"/>
      <c r="J589" s="15"/>
      <c r="K589" s="21"/>
      <c r="L589" s="10"/>
      <c r="M589" s="19"/>
      <c r="N589" s="17"/>
      <c r="Q589" s="20"/>
    </row>
    <row r="590" spans="1:17" s="1" customFormat="1" ht="14.25" customHeight="1" x14ac:dyDescent="0.25">
      <c r="A590" s="15"/>
      <c r="B590" s="15"/>
      <c r="C590" s="15"/>
      <c r="D590" s="20"/>
      <c r="E590" s="20"/>
      <c r="F590" s="20"/>
      <c r="G590" s="20"/>
      <c r="H590" s="20"/>
      <c r="I590" s="21"/>
      <c r="J590" s="15"/>
      <c r="K590" s="21"/>
      <c r="L590" s="10"/>
      <c r="M590" s="19"/>
      <c r="N590" s="17"/>
      <c r="Q590" s="20"/>
    </row>
    <row r="591" spans="1:17" s="1" customFormat="1" ht="14.25" customHeight="1" x14ac:dyDescent="0.25">
      <c r="A591" s="15"/>
      <c r="B591" s="15"/>
      <c r="C591" s="15"/>
      <c r="D591" s="20"/>
      <c r="E591" s="20"/>
      <c r="F591" s="20"/>
      <c r="G591" s="20"/>
      <c r="H591" s="20"/>
      <c r="I591" s="21"/>
      <c r="J591" s="15"/>
      <c r="K591" s="21"/>
      <c r="L591" s="10"/>
      <c r="M591" s="19"/>
      <c r="N591" s="17"/>
      <c r="Q591" s="20"/>
    </row>
    <row r="592" spans="1:17" s="1" customFormat="1" ht="14.25" customHeight="1" x14ac:dyDescent="0.25">
      <c r="A592" s="15"/>
      <c r="B592" s="15"/>
      <c r="C592" s="15"/>
      <c r="D592" s="20"/>
      <c r="E592" s="20"/>
      <c r="F592" s="20"/>
      <c r="G592" s="20"/>
      <c r="H592" s="20"/>
      <c r="I592" s="21"/>
      <c r="J592" s="15"/>
      <c r="K592" s="21"/>
      <c r="L592" s="10"/>
      <c r="M592" s="19"/>
      <c r="N592" s="17"/>
      <c r="Q592" s="20"/>
    </row>
    <row r="593" spans="1:17" s="1" customFormat="1" ht="14.25" customHeight="1" x14ac:dyDescent="0.25">
      <c r="A593" s="15"/>
      <c r="B593" s="15"/>
      <c r="C593" s="15"/>
      <c r="D593" s="20"/>
      <c r="E593" s="20"/>
      <c r="F593" s="20"/>
      <c r="G593" s="20"/>
      <c r="H593" s="20"/>
      <c r="I593" s="21"/>
      <c r="J593" s="15"/>
      <c r="K593" s="21"/>
      <c r="L593" s="10"/>
      <c r="M593" s="19"/>
      <c r="N593" s="17"/>
      <c r="Q593" s="20"/>
    </row>
    <row r="594" spans="1:17" s="1" customFormat="1" ht="14.25" customHeight="1" x14ac:dyDescent="0.25">
      <c r="A594" s="15"/>
      <c r="B594" s="15"/>
      <c r="C594" s="15"/>
      <c r="D594" s="20"/>
      <c r="E594" s="20"/>
      <c r="F594" s="20"/>
      <c r="G594" s="20"/>
      <c r="H594" s="20"/>
      <c r="I594" s="21"/>
      <c r="J594" s="15"/>
      <c r="K594" s="21"/>
      <c r="L594" s="10"/>
      <c r="M594" s="19"/>
      <c r="N594" s="17"/>
      <c r="Q594" s="20"/>
    </row>
    <row r="595" spans="1:17" s="1" customFormat="1" ht="14.25" customHeight="1" x14ac:dyDescent="0.25">
      <c r="A595" s="15"/>
      <c r="B595" s="15"/>
      <c r="C595" s="15"/>
      <c r="D595" s="20"/>
      <c r="E595" s="20"/>
      <c r="F595" s="20"/>
      <c r="G595" s="20"/>
      <c r="H595" s="20"/>
      <c r="I595" s="21"/>
      <c r="J595" s="15"/>
      <c r="K595" s="21"/>
      <c r="L595" s="10"/>
      <c r="M595" s="19"/>
      <c r="N595" s="17"/>
      <c r="Q595" s="20"/>
    </row>
    <row r="596" spans="1:17" s="1" customFormat="1" ht="14.25" customHeight="1" x14ac:dyDescent="0.25">
      <c r="A596" s="15"/>
      <c r="B596" s="15"/>
      <c r="C596" s="15"/>
      <c r="D596" s="20"/>
      <c r="E596" s="20"/>
      <c r="F596" s="20"/>
      <c r="G596" s="20"/>
      <c r="H596" s="20"/>
      <c r="I596" s="21"/>
      <c r="J596" s="15"/>
      <c r="K596" s="21"/>
      <c r="L596" s="10"/>
      <c r="M596" s="19"/>
      <c r="N596" s="17"/>
      <c r="Q596" s="20"/>
    </row>
    <row r="597" spans="1:17" s="1" customFormat="1" ht="14.25" customHeight="1" x14ac:dyDescent="0.25">
      <c r="A597" s="15"/>
      <c r="B597" s="15"/>
      <c r="C597" s="15"/>
      <c r="D597" s="20"/>
      <c r="E597" s="20"/>
      <c r="F597" s="20"/>
      <c r="G597" s="20"/>
      <c r="H597" s="20"/>
      <c r="I597" s="21"/>
      <c r="J597" s="15"/>
      <c r="K597" s="21"/>
      <c r="L597" s="10"/>
      <c r="M597" s="19"/>
      <c r="N597" s="17"/>
      <c r="Q597" s="20"/>
    </row>
    <row r="598" spans="1:17" s="1" customFormat="1" ht="14.25" customHeight="1" x14ac:dyDescent="0.25">
      <c r="A598" s="15"/>
      <c r="B598" s="15"/>
      <c r="C598" s="15"/>
      <c r="D598" s="20"/>
      <c r="E598" s="20"/>
      <c r="F598" s="20"/>
      <c r="G598" s="20"/>
      <c r="H598" s="20"/>
      <c r="I598" s="21"/>
      <c r="J598" s="15"/>
      <c r="K598" s="21"/>
      <c r="L598" s="10"/>
      <c r="M598" s="19"/>
      <c r="N598" s="17"/>
      <c r="Q598" s="20"/>
    </row>
    <row r="599" spans="1:17" s="1" customFormat="1" ht="14.25" customHeight="1" x14ac:dyDescent="0.25">
      <c r="A599" s="15"/>
      <c r="B599" s="15"/>
      <c r="C599" s="15"/>
      <c r="D599" s="20"/>
      <c r="E599" s="20"/>
      <c r="F599" s="20"/>
      <c r="G599" s="20"/>
      <c r="H599" s="20"/>
      <c r="I599" s="21"/>
      <c r="J599" s="15"/>
      <c r="K599" s="21"/>
      <c r="L599" s="10"/>
      <c r="M599" s="19"/>
      <c r="N599" s="17"/>
      <c r="Q599" s="20"/>
    </row>
    <row r="600" spans="1:17" s="1" customFormat="1" ht="14.25" customHeight="1" x14ac:dyDescent="0.25">
      <c r="A600" s="15"/>
      <c r="B600" s="15"/>
      <c r="C600" s="15"/>
      <c r="D600" s="20"/>
      <c r="E600" s="20"/>
      <c r="F600" s="20"/>
      <c r="G600" s="20"/>
      <c r="H600" s="20"/>
      <c r="I600" s="21"/>
      <c r="J600" s="15"/>
      <c r="K600" s="21"/>
      <c r="L600" s="10"/>
      <c r="M600" s="19"/>
      <c r="N600" s="17"/>
      <c r="Q600" s="20"/>
    </row>
    <row r="601" spans="1:17" s="1" customFormat="1" ht="14.25" customHeight="1" x14ac:dyDescent="0.25">
      <c r="A601" s="15"/>
      <c r="B601" s="15"/>
      <c r="C601" s="15"/>
      <c r="D601" s="20"/>
      <c r="E601" s="20"/>
      <c r="F601" s="20"/>
      <c r="G601" s="20"/>
      <c r="H601" s="20"/>
      <c r="I601" s="21"/>
      <c r="J601" s="15"/>
      <c r="K601" s="21"/>
      <c r="L601" s="10"/>
      <c r="M601" s="19"/>
      <c r="N601" s="17"/>
      <c r="Q601" s="20"/>
    </row>
    <row r="602" spans="1:17" s="1" customFormat="1" ht="14.25" customHeight="1" x14ac:dyDescent="0.25">
      <c r="A602" s="15"/>
      <c r="B602" s="15"/>
      <c r="C602" s="15"/>
      <c r="D602" s="20"/>
      <c r="E602" s="20"/>
      <c r="F602" s="20"/>
      <c r="G602" s="20"/>
      <c r="H602" s="20"/>
      <c r="I602" s="21"/>
      <c r="J602" s="15"/>
      <c r="K602" s="21"/>
      <c r="L602" s="10"/>
      <c r="M602" s="19"/>
      <c r="N602" s="17"/>
      <c r="Q602" s="20"/>
    </row>
    <row r="603" spans="1:17" s="1" customFormat="1" ht="14.25" customHeight="1" x14ac:dyDescent="0.25">
      <c r="A603" s="15"/>
      <c r="B603" s="15"/>
      <c r="C603" s="15"/>
      <c r="D603" s="20"/>
      <c r="E603" s="20"/>
      <c r="F603" s="20"/>
      <c r="G603" s="20"/>
      <c r="H603" s="20"/>
      <c r="I603" s="21"/>
      <c r="J603" s="15"/>
      <c r="K603" s="21"/>
      <c r="L603" s="10"/>
      <c r="M603" s="19"/>
      <c r="N603" s="17"/>
      <c r="Q603" s="20"/>
    </row>
    <row r="604" spans="1:17" s="1" customFormat="1" ht="14.25" customHeight="1" x14ac:dyDescent="0.25">
      <c r="A604" s="15"/>
      <c r="B604" s="15"/>
      <c r="C604" s="15"/>
      <c r="D604" s="20"/>
      <c r="E604" s="20"/>
      <c r="F604" s="20"/>
      <c r="G604" s="20"/>
      <c r="H604" s="20"/>
      <c r="I604" s="21"/>
      <c r="J604" s="15"/>
      <c r="K604" s="21"/>
      <c r="L604" s="10"/>
      <c r="M604" s="19"/>
      <c r="N604" s="17"/>
      <c r="Q604" s="20"/>
    </row>
    <row r="605" spans="1:17" s="1" customFormat="1" ht="14.25" customHeight="1" x14ac:dyDescent="0.25">
      <c r="A605" s="15"/>
      <c r="B605" s="15"/>
      <c r="C605" s="15"/>
      <c r="D605" s="20"/>
      <c r="E605" s="20"/>
      <c r="F605" s="20"/>
      <c r="G605" s="20"/>
      <c r="H605" s="20"/>
      <c r="I605" s="21"/>
      <c r="J605" s="15"/>
      <c r="K605" s="21"/>
      <c r="L605" s="10"/>
      <c r="M605" s="19"/>
      <c r="N605" s="17"/>
      <c r="Q605" s="20"/>
    </row>
    <row r="606" spans="1:17" s="1" customFormat="1" ht="14.25" customHeight="1" x14ac:dyDescent="0.25">
      <c r="A606" s="15"/>
      <c r="B606" s="15"/>
      <c r="C606" s="15"/>
      <c r="D606" s="20"/>
      <c r="E606" s="20"/>
      <c r="F606" s="20"/>
      <c r="G606" s="20"/>
      <c r="H606" s="20"/>
      <c r="I606" s="21"/>
      <c r="J606" s="15"/>
      <c r="K606" s="21"/>
      <c r="L606" s="10"/>
      <c r="M606" s="19"/>
      <c r="N606" s="17"/>
      <c r="Q606" s="20"/>
    </row>
    <row r="607" spans="1:17" s="1" customFormat="1" ht="14.25" customHeight="1" x14ac:dyDescent="0.25">
      <c r="A607" s="15"/>
      <c r="B607" s="15"/>
      <c r="C607" s="15"/>
      <c r="D607" s="20"/>
      <c r="E607" s="20"/>
      <c r="F607" s="20"/>
      <c r="G607" s="20"/>
      <c r="H607" s="20"/>
      <c r="I607" s="21"/>
      <c r="J607" s="15"/>
      <c r="K607" s="21"/>
      <c r="L607" s="10"/>
      <c r="M607" s="19"/>
      <c r="N607" s="17"/>
      <c r="Q607" s="20"/>
    </row>
    <row r="608" spans="1:17" s="1" customFormat="1" ht="14.25" customHeight="1" x14ac:dyDescent="0.25">
      <c r="A608" s="15"/>
      <c r="B608" s="15"/>
      <c r="C608" s="15"/>
      <c r="D608" s="20"/>
      <c r="E608" s="20"/>
      <c r="F608" s="20"/>
      <c r="G608" s="20"/>
      <c r="H608" s="20"/>
      <c r="I608" s="21"/>
      <c r="J608" s="15"/>
      <c r="K608" s="21"/>
      <c r="L608" s="10"/>
      <c r="M608" s="19"/>
      <c r="N608" s="17"/>
      <c r="Q608" s="20"/>
    </row>
    <row r="609" spans="1:17" s="1" customFormat="1" ht="14.25" customHeight="1" x14ac:dyDescent="0.25">
      <c r="A609" s="15"/>
      <c r="B609" s="15"/>
      <c r="C609" s="15"/>
      <c r="D609" s="20"/>
      <c r="E609" s="20"/>
      <c r="F609" s="20"/>
      <c r="G609" s="20"/>
      <c r="H609" s="20"/>
      <c r="I609" s="21"/>
      <c r="J609" s="15"/>
      <c r="K609" s="21"/>
      <c r="L609" s="10"/>
      <c r="M609" s="19"/>
      <c r="N609" s="17"/>
      <c r="Q609" s="20"/>
    </row>
    <row r="610" spans="1:17" s="1" customFormat="1" ht="14.25" customHeight="1" x14ac:dyDescent="0.25">
      <c r="A610" s="15"/>
      <c r="B610" s="15"/>
      <c r="C610" s="15"/>
      <c r="D610" s="20"/>
      <c r="E610" s="20"/>
      <c r="F610" s="20"/>
      <c r="G610" s="20"/>
      <c r="H610" s="20"/>
      <c r="I610" s="21"/>
      <c r="J610" s="15"/>
      <c r="K610" s="21"/>
      <c r="L610" s="10"/>
      <c r="M610" s="19"/>
      <c r="N610" s="17"/>
      <c r="Q610" s="20"/>
    </row>
    <row r="611" spans="1:17" s="1" customFormat="1" ht="14.25" customHeight="1" x14ac:dyDescent="0.25">
      <c r="A611" s="15"/>
      <c r="B611" s="15"/>
      <c r="C611" s="15"/>
      <c r="D611" s="20"/>
      <c r="E611" s="20"/>
      <c r="F611" s="20"/>
      <c r="G611" s="20"/>
      <c r="H611" s="20"/>
      <c r="I611" s="21"/>
      <c r="J611" s="15"/>
      <c r="K611" s="21"/>
      <c r="L611" s="10"/>
      <c r="M611" s="19"/>
      <c r="N611" s="17"/>
      <c r="Q611" s="20"/>
    </row>
    <row r="612" spans="1:17" s="1" customFormat="1" ht="14.25" customHeight="1" x14ac:dyDescent="0.25">
      <c r="A612" s="15"/>
      <c r="B612" s="15"/>
      <c r="C612" s="15"/>
      <c r="D612" s="20"/>
      <c r="E612" s="20"/>
      <c r="F612" s="20"/>
      <c r="G612" s="20"/>
      <c r="H612" s="20"/>
      <c r="I612" s="21"/>
      <c r="J612" s="15"/>
      <c r="K612" s="21"/>
      <c r="L612" s="10"/>
      <c r="M612" s="19"/>
      <c r="N612" s="17"/>
      <c r="Q612" s="20"/>
    </row>
    <row r="613" spans="1:17" s="1" customFormat="1" ht="14.25" customHeight="1" x14ac:dyDescent="0.25">
      <c r="A613" s="15"/>
      <c r="B613" s="15"/>
      <c r="C613" s="15"/>
      <c r="D613" s="20"/>
      <c r="E613" s="20"/>
      <c r="F613" s="20"/>
      <c r="G613" s="20"/>
      <c r="H613" s="20"/>
      <c r="I613" s="21"/>
      <c r="J613" s="15"/>
      <c r="K613" s="21"/>
      <c r="L613" s="10"/>
      <c r="M613" s="19"/>
      <c r="N613" s="17"/>
      <c r="Q613" s="20"/>
    </row>
    <row r="614" spans="1:17" s="1" customFormat="1" ht="14.25" customHeight="1" x14ac:dyDescent="0.25">
      <c r="A614" s="15"/>
      <c r="B614" s="15"/>
      <c r="C614" s="15"/>
      <c r="D614" s="20"/>
      <c r="E614" s="20"/>
      <c r="F614" s="20"/>
      <c r="G614" s="20"/>
      <c r="H614" s="20"/>
      <c r="I614" s="21"/>
      <c r="J614" s="15"/>
      <c r="K614" s="21"/>
      <c r="L614" s="10"/>
      <c r="M614" s="19"/>
      <c r="N614" s="17"/>
      <c r="Q614" s="20"/>
    </row>
    <row r="615" spans="1:17" s="1" customFormat="1" ht="14.25" customHeight="1" x14ac:dyDescent="0.25">
      <c r="A615" s="15"/>
      <c r="B615" s="15"/>
      <c r="C615" s="15"/>
      <c r="D615" s="20"/>
      <c r="E615" s="20"/>
      <c r="F615" s="20"/>
      <c r="G615" s="20"/>
      <c r="H615" s="20"/>
      <c r="I615" s="21"/>
      <c r="J615" s="15"/>
      <c r="K615" s="21"/>
      <c r="L615" s="10"/>
      <c r="M615" s="19"/>
      <c r="N615" s="17"/>
      <c r="Q615" s="20"/>
    </row>
    <row r="616" spans="1:17" s="1" customFormat="1" ht="14.25" customHeight="1" x14ac:dyDescent="0.25">
      <c r="A616" s="15"/>
      <c r="B616" s="15"/>
      <c r="C616" s="15"/>
      <c r="D616" s="20"/>
      <c r="E616" s="20"/>
      <c r="F616" s="20"/>
      <c r="G616" s="20"/>
      <c r="H616" s="20"/>
      <c r="I616" s="21"/>
      <c r="J616" s="15"/>
      <c r="K616" s="21"/>
      <c r="L616" s="10"/>
      <c r="M616" s="19"/>
      <c r="N616" s="17"/>
      <c r="Q616" s="20"/>
    </row>
    <row r="617" spans="1:17" s="1" customFormat="1" ht="14.25" customHeight="1" x14ac:dyDescent="0.25">
      <c r="A617" s="15"/>
      <c r="B617" s="15"/>
      <c r="C617" s="15"/>
      <c r="D617" s="20"/>
      <c r="E617" s="20"/>
      <c r="F617" s="20"/>
      <c r="G617" s="20"/>
      <c r="H617" s="20"/>
      <c r="I617" s="21"/>
      <c r="J617" s="15"/>
      <c r="K617" s="21"/>
      <c r="L617" s="10"/>
      <c r="M617" s="19"/>
      <c r="N617" s="17"/>
      <c r="Q617" s="20"/>
    </row>
    <row r="618" spans="1:17" s="1" customFormat="1" ht="14.25" customHeight="1" x14ac:dyDescent="0.25">
      <c r="A618" s="15"/>
      <c r="B618" s="15"/>
      <c r="C618" s="15"/>
      <c r="D618" s="20"/>
      <c r="E618" s="20"/>
      <c r="F618" s="20"/>
      <c r="G618" s="20"/>
      <c r="H618" s="20"/>
      <c r="I618" s="21"/>
      <c r="J618" s="15"/>
      <c r="K618" s="21"/>
      <c r="L618" s="10"/>
      <c r="M618" s="19"/>
      <c r="N618" s="17"/>
      <c r="Q618" s="20"/>
    </row>
    <row r="619" spans="1:17" s="1" customFormat="1" ht="14.25" customHeight="1" x14ac:dyDescent="0.25">
      <c r="A619" s="15"/>
      <c r="B619" s="15"/>
      <c r="C619" s="15"/>
      <c r="D619" s="20"/>
      <c r="E619" s="20"/>
      <c r="F619" s="20"/>
      <c r="G619" s="20"/>
      <c r="H619" s="20"/>
      <c r="I619" s="21"/>
      <c r="J619" s="15"/>
      <c r="K619" s="21"/>
      <c r="L619" s="10"/>
      <c r="M619" s="19"/>
      <c r="N619" s="17"/>
      <c r="Q619" s="20"/>
    </row>
    <row r="620" spans="1:17" s="1" customFormat="1" ht="14.25" customHeight="1" x14ac:dyDescent="0.25">
      <c r="A620" s="15"/>
      <c r="B620" s="15"/>
      <c r="C620" s="15"/>
      <c r="D620" s="20"/>
      <c r="E620" s="20"/>
      <c r="F620" s="20"/>
      <c r="G620" s="20"/>
      <c r="H620" s="20"/>
      <c r="I620" s="21"/>
      <c r="J620" s="15"/>
      <c r="K620" s="21"/>
      <c r="L620" s="10"/>
      <c r="M620" s="19"/>
      <c r="N620" s="17"/>
      <c r="Q620" s="20"/>
    </row>
    <row r="621" spans="1:17" s="1" customFormat="1" ht="14.25" customHeight="1" x14ac:dyDescent="0.25">
      <c r="A621" s="15"/>
      <c r="B621" s="15"/>
      <c r="C621" s="15"/>
      <c r="D621" s="20"/>
      <c r="E621" s="20"/>
      <c r="F621" s="20"/>
      <c r="G621" s="20"/>
      <c r="H621" s="20"/>
      <c r="I621" s="21"/>
      <c r="J621" s="15"/>
      <c r="K621" s="21"/>
      <c r="L621" s="10"/>
      <c r="M621" s="19"/>
      <c r="N621" s="17"/>
      <c r="Q621" s="20"/>
    </row>
    <row r="622" spans="1:17" s="1" customFormat="1" ht="14.25" customHeight="1" x14ac:dyDescent="0.25">
      <c r="A622" s="15"/>
      <c r="B622" s="15"/>
      <c r="C622" s="15"/>
      <c r="D622" s="20"/>
      <c r="E622" s="20"/>
      <c r="F622" s="20"/>
      <c r="G622" s="20"/>
      <c r="H622" s="20"/>
      <c r="I622" s="21"/>
      <c r="J622" s="15"/>
      <c r="K622" s="21"/>
      <c r="L622" s="10"/>
      <c r="M622" s="19"/>
      <c r="N622" s="17"/>
      <c r="Q622" s="20"/>
    </row>
    <row r="623" spans="1:17" s="1" customFormat="1" ht="14.25" customHeight="1" x14ac:dyDescent="0.25">
      <c r="A623" s="15"/>
      <c r="B623" s="15"/>
      <c r="C623" s="15"/>
      <c r="D623" s="20"/>
      <c r="E623" s="20"/>
      <c r="F623" s="20"/>
      <c r="G623" s="20"/>
      <c r="H623" s="20"/>
      <c r="I623" s="21"/>
      <c r="J623" s="15"/>
      <c r="K623" s="21"/>
      <c r="L623" s="10"/>
      <c r="M623" s="19"/>
      <c r="N623" s="17"/>
      <c r="Q623" s="20"/>
    </row>
    <row r="624" spans="1:17" s="1" customFormat="1" ht="14.25" customHeight="1" x14ac:dyDescent="0.25">
      <c r="A624" s="15"/>
      <c r="B624" s="15"/>
      <c r="C624" s="15"/>
      <c r="D624" s="20"/>
      <c r="E624" s="20"/>
      <c r="F624" s="20"/>
      <c r="G624" s="20"/>
      <c r="H624" s="20"/>
      <c r="I624" s="21"/>
      <c r="J624" s="15"/>
      <c r="K624" s="21"/>
      <c r="L624" s="10"/>
      <c r="M624" s="19"/>
      <c r="N624" s="17"/>
      <c r="Q624" s="20"/>
    </row>
    <row r="625" spans="1:17" s="1" customFormat="1" ht="14.25" customHeight="1" x14ac:dyDescent="0.25">
      <c r="A625" s="15"/>
      <c r="B625" s="15"/>
      <c r="C625" s="15"/>
      <c r="D625" s="20"/>
      <c r="E625" s="20"/>
      <c r="F625" s="20"/>
      <c r="G625" s="20"/>
      <c r="H625" s="20"/>
      <c r="I625" s="21"/>
      <c r="J625" s="15"/>
      <c r="K625" s="21"/>
      <c r="L625" s="10"/>
      <c r="M625" s="19"/>
      <c r="N625" s="17"/>
      <c r="Q625" s="20"/>
    </row>
    <row r="626" spans="1:17" s="1" customFormat="1" ht="14.25" customHeight="1" x14ac:dyDescent="0.25">
      <c r="A626" s="15"/>
      <c r="B626" s="15"/>
      <c r="C626" s="15"/>
      <c r="D626" s="20"/>
      <c r="E626" s="20"/>
      <c r="F626" s="20"/>
      <c r="G626" s="20"/>
      <c r="H626" s="20"/>
      <c r="I626" s="21"/>
      <c r="J626" s="15"/>
      <c r="K626" s="21"/>
      <c r="L626" s="10"/>
      <c r="M626" s="19"/>
      <c r="N626" s="17"/>
      <c r="Q626" s="20"/>
    </row>
    <row r="627" spans="1:17" s="1" customFormat="1" ht="14.25" customHeight="1" x14ac:dyDescent="0.25">
      <c r="A627" s="15"/>
      <c r="B627" s="15"/>
      <c r="C627" s="15"/>
      <c r="D627" s="20"/>
      <c r="E627" s="20"/>
      <c r="F627" s="20"/>
      <c r="G627" s="20"/>
      <c r="H627" s="20"/>
      <c r="I627" s="21"/>
      <c r="J627" s="15"/>
      <c r="K627" s="21"/>
      <c r="L627" s="10"/>
      <c r="M627" s="19"/>
      <c r="N627" s="17"/>
      <c r="Q627" s="20"/>
    </row>
    <row r="628" spans="1:17" s="1" customFormat="1" ht="14.25" customHeight="1" x14ac:dyDescent="0.25">
      <c r="A628" s="15"/>
      <c r="B628" s="15"/>
      <c r="C628" s="15"/>
      <c r="D628" s="20"/>
      <c r="E628" s="20"/>
      <c r="F628" s="20"/>
      <c r="G628" s="20"/>
      <c r="H628" s="20"/>
      <c r="I628" s="21"/>
      <c r="J628" s="15"/>
      <c r="K628" s="21"/>
      <c r="L628" s="10"/>
      <c r="M628" s="19"/>
      <c r="N628" s="17"/>
      <c r="Q628" s="20"/>
    </row>
    <row r="629" spans="1:17" s="1" customFormat="1" ht="14.25" customHeight="1" x14ac:dyDescent="0.25">
      <c r="A629" s="15"/>
      <c r="B629" s="15"/>
      <c r="C629" s="15"/>
      <c r="D629" s="20"/>
      <c r="E629" s="20"/>
      <c r="F629" s="20"/>
      <c r="G629" s="20"/>
      <c r="H629" s="20"/>
      <c r="I629" s="21"/>
      <c r="J629" s="15"/>
      <c r="K629" s="21"/>
      <c r="L629" s="10"/>
      <c r="M629" s="19"/>
      <c r="N629" s="17"/>
      <c r="Q629" s="20"/>
    </row>
    <row r="630" spans="1:17" s="1" customFormat="1" ht="14.25" customHeight="1" x14ac:dyDescent="0.25">
      <c r="A630" s="15"/>
      <c r="B630" s="15"/>
      <c r="C630" s="15"/>
      <c r="D630" s="20"/>
      <c r="E630" s="20"/>
      <c r="F630" s="20"/>
      <c r="G630" s="20"/>
      <c r="H630" s="20"/>
      <c r="I630" s="21"/>
      <c r="J630" s="15"/>
      <c r="K630" s="21"/>
      <c r="L630" s="10"/>
      <c r="M630" s="19"/>
      <c r="N630" s="17"/>
      <c r="Q630" s="20"/>
    </row>
    <row r="631" spans="1:17" s="1" customFormat="1" ht="14.25" customHeight="1" x14ac:dyDescent="0.25">
      <c r="A631" s="15"/>
      <c r="B631" s="15"/>
      <c r="C631" s="15"/>
      <c r="D631" s="20"/>
      <c r="E631" s="20"/>
      <c r="F631" s="20"/>
      <c r="G631" s="20"/>
      <c r="H631" s="20"/>
      <c r="I631" s="21"/>
      <c r="J631" s="15"/>
      <c r="K631" s="21"/>
      <c r="L631" s="10"/>
      <c r="M631" s="19"/>
      <c r="N631" s="17"/>
      <c r="Q631" s="20"/>
    </row>
    <row r="632" spans="1:17" s="1" customFormat="1" ht="14.25" customHeight="1" x14ac:dyDescent="0.25">
      <c r="A632" s="15"/>
      <c r="B632" s="15"/>
      <c r="C632" s="15"/>
      <c r="D632" s="20"/>
      <c r="E632" s="20"/>
      <c r="F632" s="20"/>
      <c r="G632" s="20"/>
      <c r="H632" s="20"/>
      <c r="I632" s="21"/>
      <c r="J632" s="15"/>
      <c r="K632" s="21"/>
      <c r="L632" s="10"/>
      <c r="M632" s="19"/>
      <c r="N632" s="17"/>
      <c r="Q632" s="20"/>
    </row>
    <row r="633" spans="1:17" s="1" customFormat="1" ht="14.25" customHeight="1" x14ac:dyDescent="0.25">
      <c r="A633" s="15"/>
      <c r="B633" s="15"/>
      <c r="C633" s="15"/>
      <c r="D633" s="20"/>
      <c r="E633" s="20"/>
      <c r="F633" s="20"/>
      <c r="G633" s="20"/>
      <c r="H633" s="20"/>
      <c r="I633" s="21"/>
      <c r="J633" s="15"/>
      <c r="K633" s="21"/>
      <c r="L633" s="10"/>
      <c r="M633" s="19"/>
      <c r="N633" s="17"/>
      <c r="Q633" s="20"/>
    </row>
    <row r="634" spans="1:17" s="1" customFormat="1" ht="14.25" customHeight="1" x14ac:dyDescent="0.25">
      <c r="A634" s="15"/>
      <c r="B634" s="15"/>
      <c r="C634" s="15"/>
      <c r="D634" s="20"/>
      <c r="E634" s="20"/>
      <c r="F634" s="20"/>
      <c r="G634" s="20"/>
      <c r="H634" s="20"/>
      <c r="I634" s="21"/>
      <c r="J634" s="15"/>
      <c r="K634" s="21"/>
      <c r="L634" s="10"/>
      <c r="M634" s="19"/>
      <c r="N634" s="17"/>
      <c r="Q634" s="20"/>
    </row>
    <row r="635" spans="1:17" s="1" customFormat="1" ht="14.25" customHeight="1" x14ac:dyDescent="0.25">
      <c r="A635" s="15"/>
      <c r="B635" s="15"/>
      <c r="C635" s="15"/>
      <c r="D635" s="20"/>
      <c r="E635" s="20"/>
      <c r="F635" s="20"/>
      <c r="G635" s="20"/>
      <c r="H635" s="20"/>
      <c r="I635" s="21"/>
      <c r="J635" s="15"/>
      <c r="K635" s="21"/>
      <c r="L635" s="10"/>
      <c r="M635" s="19"/>
      <c r="N635" s="17"/>
      <c r="Q635" s="20"/>
    </row>
    <row r="636" spans="1:17" s="1" customFormat="1" ht="14.25" customHeight="1" x14ac:dyDescent="0.25">
      <c r="A636" s="15"/>
      <c r="B636" s="15"/>
      <c r="C636" s="15"/>
      <c r="D636" s="20"/>
      <c r="E636" s="20"/>
      <c r="F636" s="20"/>
      <c r="G636" s="20"/>
      <c r="H636" s="20"/>
      <c r="I636" s="21"/>
      <c r="J636" s="15"/>
      <c r="K636" s="21"/>
      <c r="L636" s="10"/>
      <c r="M636" s="19"/>
      <c r="N636" s="17"/>
      <c r="Q636" s="20"/>
    </row>
    <row r="637" spans="1:17" s="1" customFormat="1" ht="14.25" customHeight="1" x14ac:dyDescent="0.25">
      <c r="A637" s="15"/>
      <c r="B637" s="15"/>
      <c r="C637" s="15"/>
      <c r="D637" s="20"/>
      <c r="E637" s="20"/>
      <c r="F637" s="20"/>
      <c r="G637" s="20"/>
      <c r="H637" s="20"/>
      <c r="I637" s="21"/>
      <c r="J637" s="15"/>
      <c r="K637" s="21"/>
      <c r="L637" s="10"/>
      <c r="M637" s="19"/>
      <c r="N637" s="17"/>
      <c r="Q637" s="20"/>
    </row>
    <row r="638" spans="1:17" s="1" customFormat="1" ht="14.25" customHeight="1" x14ac:dyDescent="0.25">
      <c r="A638" s="15"/>
      <c r="B638" s="15"/>
      <c r="C638" s="15"/>
      <c r="D638" s="20"/>
      <c r="E638" s="20"/>
      <c r="F638" s="20"/>
      <c r="G638" s="20"/>
      <c r="H638" s="20"/>
      <c r="I638" s="21"/>
      <c r="J638" s="15"/>
      <c r="K638" s="21"/>
      <c r="L638" s="10"/>
      <c r="M638" s="19"/>
      <c r="N638" s="17"/>
      <c r="Q638" s="20"/>
    </row>
    <row r="639" spans="1:17" s="1" customFormat="1" ht="14.25" customHeight="1" x14ac:dyDescent="0.25">
      <c r="A639" s="15"/>
      <c r="B639" s="15"/>
      <c r="C639" s="15"/>
      <c r="D639" s="20"/>
      <c r="E639" s="20"/>
      <c r="F639" s="20"/>
      <c r="G639" s="20"/>
      <c r="H639" s="20"/>
      <c r="I639" s="21"/>
      <c r="J639" s="15"/>
      <c r="K639" s="21"/>
      <c r="L639" s="10"/>
      <c r="M639" s="19"/>
      <c r="N639" s="17"/>
      <c r="Q639" s="20"/>
    </row>
    <row r="640" spans="1:17" s="1" customFormat="1" ht="14.25" customHeight="1" x14ac:dyDescent="0.25">
      <c r="A640" s="15"/>
      <c r="B640" s="15"/>
      <c r="C640" s="15"/>
      <c r="D640" s="20"/>
      <c r="E640" s="20"/>
      <c r="F640" s="20"/>
      <c r="G640" s="20"/>
      <c r="H640" s="20"/>
      <c r="I640" s="21"/>
      <c r="J640" s="15"/>
      <c r="K640" s="21"/>
      <c r="L640" s="10"/>
      <c r="M640" s="19"/>
      <c r="N640" s="17"/>
      <c r="Q640" s="20"/>
    </row>
    <row r="641" spans="1:17" s="1" customFormat="1" ht="14.25" customHeight="1" x14ac:dyDescent="0.25">
      <c r="A641" s="15"/>
      <c r="B641" s="15"/>
      <c r="C641" s="15"/>
      <c r="D641" s="20"/>
      <c r="E641" s="20"/>
      <c r="F641" s="20"/>
      <c r="G641" s="20"/>
      <c r="H641" s="20"/>
      <c r="I641" s="21"/>
      <c r="J641" s="15"/>
      <c r="K641" s="21"/>
      <c r="L641" s="10"/>
      <c r="M641" s="19"/>
      <c r="N641" s="17"/>
      <c r="Q641" s="20"/>
    </row>
    <row r="642" spans="1:17" s="1" customFormat="1" ht="14.25" customHeight="1" x14ac:dyDescent="0.25">
      <c r="A642" s="15"/>
      <c r="B642" s="15"/>
      <c r="C642" s="15"/>
      <c r="D642" s="20"/>
      <c r="E642" s="20"/>
      <c r="F642" s="20"/>
      <c r="G642" s="20"/>
      <c r="H642" s="20"/>
      <c r="I642" s="21"/>
      <c r="J642" s="15"/>
      <c r="K642" s="21"/>
      <c r="L642" s="10"/>
      <c r="M642" s="19"/>
      <c r="N642" s="17"/>
      <c r="Q642" s="20"/>
    </row>
    <row r="643" spans="1:17" s="1" customFormat="1" ht="14.25" customHeight="1" x14ac:dyDescent="0.25">
      <c r="A643" s="15"/>
      <c r="B643" s="15"/>
      <c r="C643" s="15"/>
      <c r="D643" s="20"/>
      <c r="E643" s="20"/>
      <c r="F643" s="20"/>
      <c r="G643" s="20"/>
      <c r="H643" s="20"/>
      <c r="I643" s="21"/>
      <c r="J643" s="15"/>
      <c r="K643" s="21"/>
      <c r="L643" s="10"/>
      <c r="M643" s="19"/>
      <c r="N643" s="17"/>
      <c r="Q643" s="20"/>
    </row>
    <row r="644" spans="1:17" s="1" customFormat="1" ht="14.25" customHeight="1" x14ac:dyDescent="0.25">
      <c r="A644" s="15"/>
      <c r="B644" s="15"/>
      <c r="C644" s="15"/>
      <c r="D644" s="20"/>
      <c r="E644" s="20"/>
      <c r="F644" s="20"/>
      <c r="G644" s="20"/>
      <c r="H644" s="20"/>
      <c r="I644" s="21"/>
      <c r="J644" s="15"/>
      <c r="K644" s="21"/>
      <c r="L644" s="10"/>
      <c r="M644" s="19"/>
      <c r="N644" s="17"/>
      <c r="Q644" s="20"/>
    </row>
    <row r="645" spans="1:17" s="1" customFormat="1" ht="14.25" customHeight="1" x14ac:dyDescent="0.25">
      <c r="A645" s="15"/>
      <c r="B645" s="15"/>
      <c r="C645" s="15"/>
      <c r="D645" s="20"/>
      <c r="E645" s="20"/>
      <c r="F645" s="20"/>
      <c r="G645" s="20"/>
      <c r="H645" s="20"/>
      <c r="I645" s="21"/>
      <c r="J645" s="15"/>
      <c r="K645" s="21"/>
      <c r="L645" s="10"/>
      <c r="M645" s="19"/>
      <c r="N645" s="17"/>
      <c r="Q645" s="20"/>
    </row>
    <row r="646" spans="1:17" s="1" customFormat="1" ht="14.25" customHeight="1" x14ac:dyDescent="0.25">
      <c r="A646" s="15"/>
      <c r="B646" s="15"/>
      <c r="C646" s="15"/>
      <c r="D646" s="20"/>
      <c r="E646" s="20"/>
      <c r="F646" s="20"/>
      <c r="G646" s="20"/>
      <c r="H646" s="20"/>
      <c r="I646" s="21"/>
      <c r="J646" s="15"/>
      <c r="K646" s="21"/>
      <c r="L646" s="10"/>
      <c r="M646" s="19"/>
      <c r="N646" s="17"/>
      <c r="Q646" s="20"/>
    </row>
    <row r="647" spans="1:17" s="1" customFormat="1" ht="14.25" customHeight="1" x14ac:dyDescent="0.25">
      <c r="A647" s="15"/>
      <c r="B647" s="15"/>
      <c r="C647" s="15"/>
      <c r="D647" s="20"/>
      <c r="E647" s="20"/>
      <c r="F647" s="20"/>
      <c r="G647" s="20"/>
      <c r="H647" s="20"/>
      <c r="I647" s="21"/>
      <c r="J647" s="15"/>
      <c r="K647" s="21"/>
      <c r="L647" s="10"/>
      <c r="M647" s="19"/>
      <c r="N647" s="17"/>
      <c r="Q647" s="20"/>
    </row>
    <row r="648" spans="1:17" s="1" customFormat="1" ht="14.25" customHeight="1" x14ac:dyDescent="0.25">
      <c r="A648" s="15"/>
      <c r="B648" s="15"/>
      <c r="C648" s="15"/>
      <c r="D648" s="20"/>
      <c r="E648" s="20"/>
      <c r="F648" s="20"/>
      <c r="G648" s="20"/>
      <c r="H648" s="20"/>
      <c r="I648" s="21"/>
      <c r="J648" s="15"/>
      <c r="K648" s="21"/>
      <c r="L648" s="10"/>
      <c r="M648" s="19"/>
      <c r="N648" s="17"/>
      <c r="Q648" s="20"/>
    </row>
    <row r="649" spans="1:17" s="1" customFormat="1" ht="14.25" customHeight="1" x14ac:dyDescent="0.25">
      <c r="A649" s="15"/>
      <c r="B649" s="15"/>
      <c r="C649" s="15"/>
      <c r="D649" s="20"/>
      <c r="E649" s="20"/>
      <c r="F649" s="20"/>
      <c r="G649" s="20"/>
      <c r="H649" s="20"/>
      <c r="I649" s="21"/>
      <c r="J649" s="15"/>
      <c r="K649" s="21"/>
      <c r="L649" s="10"/>
      <c r="M649" s="19"/>
      <c r="N649" s="17"/>
      <c r="Q649" s="20"/>
    </row>
    <row r="650" spans="1:17" s="1" customFormat="1" ht="14.25" customHeight="1" x14ac:dyDescent="0.25">
      <c r="A650" s="15"/>
      <c r="B650" s="15"/>
      <c r="C650" s="15"/>
      <c r="D650" s="20"/>
      <c r="E650" s="20"/>
      <c r="F650" s="20"/>
      <c r="G650" s="20"/>
      <c r="H650" s="20"/>
      <c r="I650" s="21"/>
      <c r="J650" s="15"/>
      <c r="K650" s="21"/>
      <c r="L650" s="10"/>
      <c r="M650" s="19"/>
      <c r="N650" s="17"/>
      <c r="Q650" s="20"/>
    </row>
    <row r="651" spans="1:17" s="1" customFormat="1" ht="14.25" customHeight="1" x14ac:dyDescent="0.25">
      <c r="A651" s="15"/>
      <c r="B651" s="15"/>
      <c r="C651" s="15"/>
      <c r="D651" s="20"/>
      <c r="E651" s="20"/>
      <c r="F651" s="20"/>
      <c r="G651" s="20"/>
      <c r="H651" s="20"/>
      <c r="I651" s="21"/>
      <c r="J651" s="15"/>
      <c r="K651" s="21"/>
      <c r="L651" s="10"/>
      <c r="M651" s="19"/>
      <c r="N651" s="17"/>
      <c r="Q651" s="20"/>
    </row>
    <row r="652" spans="1:17" s="1" customFormat="1" ht="14.25" customHeight="1" x14ac:dyDescent="0.25">
      <c r="A652" s="15"/>
      <c r="B652" s="15"/>
      <c r="C652" s="15"/>
      <c r="D652" s="20"/>
      <c r="E652" s="20"/>
      <c r="F652" s="20"/>
      <c r="G652" s="20"/>
      <c r="H652" s="20"/>
      <c r="I652" s="21"/>
      <c r="J652" s="15"/>
      <c r="K652" s="21"/>
      <c r="L652" s="10"/>
      <c r="M652" s="19"/>
      <c r="N652" s="17"/>
      <c r="Q652" s="20"/>
    </row>
    <row r="653" spans="1:17" s="1" customFormat="1" ht="14.25" customHeight="1" x14ac:dyDescent="0.25">
      <c r="A653" s="15"/>
      <c r="B653" s="15"/>
      <c r="C653" s="15"/>
      <c r="D653" s="20"/>
      <c r="E653" s="20"/>
      <c r="F653" s="20"/>
      <c r="G653" s="20"/>
      <c r="H653" s="20"/>
      <c r="I653" s="21"/>
      <c r="J653" s="15"/>
      <c r="K653" s="21"/>
      <c r="L653" s="10"/>
      <c r="M653" s="19"/>
      <c r="N653" s="17"/>
      <c r="Q653" s="20"/>
    </row>
    <row r="654" spans="1:17" s="1" customFormat="1" ht="14.25" customHeight="1" x14ac:dyDescent="0.25">
      <c r="A654" s="15"/>
      <c r="B654" s="15"/>
      <c r="C654" s="15"/>
      <c r="D654" s="20"/>
      <c r="E654" s="20"/>
      <c r="F654" s="20"/>
      <c r="G654" s="20"/>
      <c r="H654" s="20"/>
      <c r="I654" s="21"/>
      <c r="J654" s="15"/>
      <c r="K654" s="21"/>
      <c r="L654" s="10"/>
      <c r="M654" s="19"/>
      <c r="N654" s="17"/>
      <c r="Q654" s="20"/>
    </row>
    <row r="655" spans="1:17" s="1" customFormat="1" ht="14.25" customHeight="1" x14ac:dyDescent="0.25">
      <c r="A655" s="15"/>
      <c r="B655" s="15"/>
      <c r="C655" s="15"/>
      <c r="D655" s="20"/>
      <c r="E655" s="20"/>
      <c r="F655" s="20"/>
      <c r="G655" s="20"/>
      <c r="H655" s="20"/>
      <c r="I655" s="21"/>
      <c r="J655" s="15"/>
      <c r="K655" s="21"/>
      <c r="L655" s="10"/>
      <c r="M655" s="19"/>
      <c r="N655" s="17"/>
      <c r="Q655" s="20"/>
    </row>
    <row r="656" spans="1:17" s="1" customFormat="1" ht="14.25" customHeight="1" x14ac:dyDescent="0.25">
      <c r="A656" s="15"/>
      <c r="B656" s="15"/>
      <c r="C656" s="15"/>
      <c r="D656" s="20"/>
      <c r="E656" s="20"/>
      <c r="F656" s="20"/>
      <c r="G656" s="20"/>
      <c r="H656" s="20"/>
      <c r="I656" s="21"/>
      <c r="J656" s="15"/>
      <c r="K656" s="21"/>
      <c r="L656" s="10"/>
      <c r="M656" s="19"/>
      <c r="N656" s="17"/>
      <c r="Q656" s="20"/>
    </row>
    <row r="657" spans="1:17" s="1" customFormat="1" ht="14.25" customHeight="1" x14ac:dyDescent="0.25">
      <c r="A657" s="15"/>
      <c r="B657" s="15"/>
      <c r="C657" s="15"/>
      <c r="D657" s="20"/>
      <c r="E657" s="20"/>
      <c r="F657" s="20"/>
      <c r="G657" s="20"/>
      <c r="H657" s="20"/>
      <c r="I657" s="21"/>
      <c r="J657" s="15"/>
      <c r="K657" s="21"/>
      <c r="L657" s="10"/>
      <c r="M657" s="19"/>
      <c r="N657" s="17"/>
      <c r="Q657" s="20"/>
    </row>
    <row r="658" spans="1:17" s="1" customFormat="1" ht="14.25" customHeight="1" x14ac:dyDescent="0.25">
      <c r="A658" s="15"/>
      <c r="B658" s="15"/>
      <c r="C658" s="15"/>
      <c r="D658" s="20"/>
      <c r="E658" s="20"/>
      <c r="F658" s="20"/>
      <c r="G658" s="20"/>
      <c r="H658" s="20"/>
      <c r="I658" s="21"/>
      <c r="J658" s="15"/>
      <c r="K658" s="21"/>
      <c r="L658" s="10"/>
      <c r="M658" s="19"/>
      <c r="N658" s="17"/>
      <c r="Q658" s="20"/>
    </row>
    <row r="659" spans="1:17" s="1" customFormat="1" ht="14.25" customHeight="1" x14ac:dyDescent="0.25">
      <c r="A659" s="15"/>
      <c r="B659" s="15"/>
      <c r="C659" s="15"/>
      <c r="D659" s="20"/>
      <c r="E659" s="20"/>
      <c r="F659" s="20"/>
      <c r="G659" s="20"/>
      <c r="H659" s="20"/>
      <c r="I659" s="21"/>
      <c r="J659" s="15"/>
      <c r="K659" s="21"/>
      <c r="L659" s="10"/>
      <c r="M659" s="19"/>
      <c r="N659" s="17"/>
      <c r="Q659" s="20"/>
    </row>
    <row r="660" spans="1:17" s="1" customFormat="1" ht="14.25" customHeight="1" x14ac:dyDescent="0.25">
      <c r="A660" s="15"/>
      <c r="B660" s="15"/>
      <c r="C660" s="15"/>
      <c r="D660" s="20"/>
      <c r="E660" s="20"/>
      <c r="F660" s="20"/>
      <c r="G660" s="20"/>
      <c r="H660" s="20"/>
      <c r="I660" s="21"/>
      <c r="J660" s="15"/>
      <c r="K660" s="21"/>
      <c r="L660" s="10"/>
      <c r="M660" s="19"/>
      <c r="N660" s="17"/>
      <c r="Q660" s="20"/>
    </row>
    <row r="661" spans="1:17" s="1" customFormat="1" ht="14.25" customHeight="1" x14ac:dyDescent="0.25">
      <c r="A661" s="15"/>
      <c r="B661" s="15"/>
      <c r="C661" s="15"/>
      <c r="D661" s="20"/>
      <c r="E661" s="20"/>
      <c r="F661" s="20"/>
      <c r="G661" s="20"/>
      <c r="H661" s="20"/>
      <c r="I661" s="21"/>
      <c r="J661" s="15"/>
      <c r="K661" s="21"/>
      <c r="L661" s="10"/>
      <c r="M661" s="19"/>
      <c r="N661" s="17"/>
      <c r="Q661" s="20"/>
    </row>
    <row r="662" spans="1:17" s="1" customFormat="1" ht="14.25" customHeight="1" x14ac:dyDescent="0.25">
      <c r="A662" s="15"/>
      <c r="B662" s="15"/>
      <c r="C662" s="15"/>
      <c r="D662" s="20"/>
      <c r="E662" s="20"/>
      <c r="F662" s="20"/>
      <c r="G662" s="20"/>
      <c r="H662" s="20"/>
      <c r="I662" s="21"/>
      <c r="J662" s="15"/>
      <c r="K662" s="21"/>
      <c r="L662" s="10"/>
      <c r="M662" s="19"/>
      <c r="N662" s="17"/>
      <c r="Q662" s="20"/>
    </row>
    <row r="663" spans="1:17" s="1" customFormat="1" ht="14.25" customHeight="1" x14ac:dyDescent="0.25">
      <c r="A663" s="15"/>
      <c r="B663" s="15"/>
      <c r="C663" s="15"/>
      <c r="D663" s="20"/>
      <c r="E663" s="20"/>
      <c r="F663" s="20"/>
      <c r="G663" s="20"/>
      <c r="H663" s="20"/>
      <c r="I663" s="21"/>
      <c r="J663" s="15"/>
      <c r="K663" s="21"/>
      <c r="L663" s="10"/>
      <c r="M663" s="19"/>
      <c r="N663" s="17"/>
      <c r="Q663" s="20"/>
    </row>
    <row r="664" spans="1:17" s="1" customFormat="1" ht="14.25" customHeight="1" x14ac:dyDescent="0.25">
      <c r="A664" s="15"/>
      <c r="B664" s="15"/>
      <c r="C664" s="15"/>
      <c r="D664" s="20"/>
      <c r="E664" s="20"/>
      <c r="F664" s="20"/>
      <c r="G664" s="20"/>
      <c r="H664" s="20"/>
      <c r="I664" s="21"/>
      <c r="J664" s="15"/>
      <c r="K664" s="21"/>
      <c r="L664" s="10"/>
      <c r="M664" s="19"/>
      <c r="N664" s="17"/>
      <c r="Q664" s="20"/>
    </row>
    <row r="665" spans="1:17" s="1" customFormat="1" ht="14.25" customHeight="1" x14ac:dyDescent="0.25">
      <c r="A665" s="15"/>
      <c r="B665" s="15"/>
      <c r="C665" s="15"/>
      <c r="D665" s="20"/>
      <c r="E665" s="20"/>
      <c r="F665" s="20"/>
      <c r="G665" s="20"/>
      <c r="H665" s="20"/>
      <c r="I665" s="21"/>
      <c r="J665" s="15"/>
      <c r="K665" s="21"/>
      <c r="L665" s="10"/>
      <c r="M665" s="19"/>
      <c r="N665" s="17"/>
      <c r="Q665" s="20"/>
    </row>
    <row r="666" spans="1:17" s="1" customFormat="1" ht="14.25" customHeight="1" x14ac:dyDescent="0.25">
      <c r="A666" s="15"/>
      <c r="B666" s="15"/>
      <c r="C666" s="15"/>
      <c r="D666" s="20"/>
      <c r="E666" s="20"/>
      <c r="F666" s="20"/>
      <c r="G666" s="20"/>
      <c r="H666" s="20"/>
      <c r="I666" s="21"/>
      <c r="J666" s="15"/>
      <c r="K666" s="21"/>
      <c r="L666" s="10"/>
      <c r="M666" s="19"/>
      <c r="N666" s="17"/>
      <c r="Q666" s="20"/>
    </row>
    <row r="667" spans="1:17" s="1" customFormat="1" ht="14.25" customHeight="1" x14ac:dyDescent="0.25">
      <c r="A667" s="15"/>
      <c r="B667" s="15"/>
      <c r="C667" s="15"/>
      <c r="D667" s="20"/>
      <c r="E667" s="20"/>
      <c r="F667" s="20"/>
      <c r="G667" s="20"/>
      <c r="H667" s="20"/>
      <c r="I667" s="21"/>
      <c r="J667" s="15"/>
      <c r="K667" s="21"/>
      <c r="L667" s="10"/>
      <c r="M667" s="19"/>
      <c r="N667" s="17"/>
      <c r="Q667" s="20"/>
    </row>
    <row r="668" spans="1:17" s="1" customFormat="1" ht="14.25" customHeight="1" x14ac:dyDescent="0.25">
      <c r="A668" s="15"/>
      <c r="B668" s="15"/>
      <c r="C668" s="15"/>
      <c r="D668" s="20"/>
      <c r="E668" s="20"/>
      <c r="F668" s="20"/>
      <c r="G668" s="20"/>
      <c r="H668" s="20"/>
      <c r="I668" s="21"/>
      <c r="J668" s="15"/>
      <c r="K668" s="21"/>
      <c r="L668" s="10"/>
      <c r="M668" s="19"/>
      <c r="N668" s="17"/>
      <c r="Q668" s="20"/>
    </row>
    <row r="669" spans="1:17" s="1" customFormat="1" ht="14.25" customHeight="1" x14ac:dyDescent="0.25">
      <c r="A669" s="15"/>
      <c r="B669" s="15"/>
      <c r="C669" s="15"/>
      <c r="D669" s="20"/>
      <c r="E669" s="20"/>
      <c r="F669" s="20"/>
      <c r="G669" s="20"/>
      <c r="H669" s="20"/>
      <c r="I669" s="21"/>
      <c r="J669" s="15"/>
      <c r="K669" s="21"/>
      <c r="L669" s="10"/>
      <c r="M669" s="19"/>
      <c r="N669" s="17"/>
      <c r="Q669" s="20"/>
    </row>
    <row r="670" spans="1:17" s="1" customFormat="1" ht="14.25" customHeight="1" x14ac:dyDescent="0.25">
      <c r="A670" s="15"/>
      <c r="B670" s="15"/>
      <c r="C670" s="15"/>
      <c r="D670" s="20"/>
      <c r="E670" s="20"/>
      <c r="F670" s="20"/>
      <c r="G670" s="20"/>
      <c r="H670" s="20"/>
      <c r="I670" s="21"/>
      <c r="J670" s="15"/>
      <c r="K670" s="21"/>
      <c r="L670" s="10"/>
      <c r="M670" s="19"/>
      <c r="N670" s="17"/>
      <c r="Q670" s="20"/>
    </row>
    <row r="671" spans="1:17" s="1" customFormat="1" ht="14.25" customHeight="1" x14ac:dyDescent="0.25">
      <c r="A671" s="15"/>
      <c r="B671" s="15"/>
      <c r="C671" s="15"/>
      <c r="D671" s="20"/>
      <c r="E671" s="20"/>
      <c r="F671" s="20"/>
      <c r="G671" s="20"/>
      <c r="H671" s="20"/>
      <c r="I671" s="21"/>
      <c r="J671" s="15"/>
      <c r="K671" s="21"/>
      <c r="L671" s="10"/>
      <c r="M671" s="19"/>
      <c r="N671" s="17"/>
      <c r="Q671" s="20"/>
    </row>
    <row r="672" spans="1:17" s="1" customFormat="1" ht="14.25" customHeight="1" x14ac:dyDescent="0.25">
      <c r="A672" s="15"/>
      <c r="B672" s="15"/>
      <c r="C672" s="15"/>
      <c r="D672" s="20"/>
      <c r="E672" s="20"/>
      <c r="F672" s="20"/>
      <c r="G672" s="20"/>
      <c r="H672" s="20"/>
      <c r="I672" s="21"/>
      <c r="J672" s="15"/>
      <c r="K672" s="21"/>
      <c r="L672" s="10"/>
      <c r="M672" s="19"/>
      <c r="N672" s="17"/>
      <c r="Q672" s="20"/>
    </row>
    <row r="673" spans="1:17" s="1" customFormat="1" ht="14.25" customHeight="1" x14ac:dyDescent="0.25">
      <c r="A673" s="15"/>
      <c r="B673" s="15"/>
      <c r="C673" s="15"/>
      <c r="D673" s="20"/>
      <c r="E673" s="20"/>
      <c r="F673" s="20"/>
      <c r="G673" s="20"/>
      <c r="H673" s="20"/>
      <c r="I673" s="21"/>
      <c r="J673" s="15"/>
      <c r="K673" s="21"/>
      <c r="L673" s="10"/>
      <c r="M673" s="19"/>
      <c r="N673" s="17"/>
      <c r="Q673" s="20"/>
    </row>
    <row r="674" spans="1:17" s="1" customFormat="1" ht="14.25" customHeight="1" x14ac:dyDescent="0.25">
      <c r="A674" s="15"/>
      <c r="B674" s="15"/>
      <c r="C674" s="15"/>
      <c r="D674" s="20"/>
      <c r="E674" s="20"/>
      <c r="F674" s="20"/>
      <c r="G674" s="20"/>
      <c r="H674" s="20"/>
      <c r="I674" s="21"/>
      <c r="J674" s="15"/>
      <c r="K674" s="21"/>
      <c r="L674" s="10"/>
      <c r="M674" s="19"/>
      <c r="N674" s="17"/>
      <c r="Q674" s="20"/>
    </row>
    <row r="675" spans="1:17" s="1" customFormat="1" ht="14.25" customHeight="1" x14ac:dyDescent="0.25">
      <c r="A675" s="15"/>
      <c r="B675" s="15"/>
      <c r="C675" s="15"/>
      <c r="D675" s="20"/>
      <c r="E675" s="20"/>
      <c r="F675" s="20"/>
      <c r="G675" s="20"/>
      <c r="H675" s="20"/>
      <c r="I675" s="21"/>
      <c r="J675" s="15"/>
      <c r="K675" s="21"/>
      <c r="L675" s="10"/>
      <c r="M675" s="19"/>
      <c r="N675" s="17"/>
      <c r="Q675" s="20"/>
    </row>
    <row r="676" spans="1:17" s="1" customFormat="1" ht="14.25" customHeight="1" x14ac:dyDescent="0.25">
      <c r="A676" s="15"/>
      <c r="B676" s="15"/>
      <c r="C676" s="15"/>
      <c r="D676" s="20"/>
      <c r="E676" s="20"/>
      <c r="F676" s="20"/>
      <c r="G676" s="20"/>
      <c r="H676" s="20"/>
      <c r="I676" s="21"/>
      <c r="J676" s="15"/>
      <c r="K676" s="21"/>
      <c r="L676" s="10"/>
      <c r="M676" s="19"/>
      <c r="N676" s="17"/>
      <c r="Q676" s="20"/>
    </row>
    <row r="677" spans="1:17" s="1" customFormat="1" ht="14.25" customHeight="1" x14ac:dyDescent="0.25">
      <c r="A677" s="15"/>
      <c r="B677" s="15"/>
      <c r="C677" s="15"/>
      <c r="D677" s="20"/>
      <c r="E677" s="20"/>
      <c r="F677" s="20"/>
      <c r="G677" s="20"/>
      <c r="H677" s="20"/>
      <c r="I677" s="21"/>
      <c r="J677" s="15"/>
      <c r="K677" s="21"/>
      <c r="L677" s="10"/>
      <c r="M677" s="19"/>
      <c r="N677" s="17"/>
      <c r="Q677" s="20"/>
    </row>
    <row r="678" spans="1:17" s="1" customFormat="1" ht="14.25" customHeight="1" x14ac:dyDescent="0.25">
      <c r="A678" s="15"/>
      <c r="B678" s="15"/>
      <c r="C678" s="15"/>
      <c r="D678" s="20"/>
      <c r="E678" s="20"/>
      <c r="F678" s="20"/>
      <c r="G678" s="20"/>
      <c r="H678" s="20"/>
      <c r="I678" s="21"/>
      <c r="J678" s="15"/>
      <c r="K678" s="21"/>
      <c r="L678" s="10"/>
      <c r="M678" s="19"/>
      <c r="N678" s="17"/>
      <c r="Q678" s="20"/>
    </row>
    <row r="679" spans="1:17" s="1" customFormat="1" ht="14.25" customHeight="1" x14ac:dyDescent="0.25">
      <c r="A679" s="15"/>
      <c r="B679" s="15"/>
      <c r="C679" s="15"/>
      <c r="D679" s="20"/>
      <c r="E679" s="20"/>
      <c r="F679" s="20"/>
      <c r="G679" s="20"/>
      <c r="H679" s="20"/>
      <c r="I679" s="21"/>
      <c r="J679" s="15"/>
      <c r="K679" s="21"/>
      <c r="L679" s="10"/>
      <c r="M679" s="19"/>
      <c r="N679" s="17"/>
      <c r="Q679" s="20"/>
    </row>
    <row r="680" spans="1:17" s="1" customFormat="1" ht="14.25" customHeight="1" x14ac:dyDescent="0.25">
      <c r="A680" s="15"/>
      <c r="B680" s="15"/>
      <c r="C680" s="15"/>
      <c r="D680" s="20"/>
      <c r="E680" s="20"/>
      <c r="F680" s="20"/>
      <c r="G680" s="20"/>
      <c r="H680" s="20"/>
      <c r="I680" s="21"/>
      <c r="J680" s="15"/>
      <c r="K680" s="21"/>
      <c r="L680" s="10"/>
      <c r="M680" s="19"/>
      <c r="N680" s="17"/>
      <c r="Q680" s="20"/>
    </row>
    <row r="681" spans="1:17" s="1" customFormat="1" ht="14.25" customHeight="1" x14ac:dyDescent="0.25">
      <c r="A681" s="15"/>
      <c r="B681" s="15"/>
      <c r="C681" s="15"/>
      <c r="D681" s="20"/>
      <c r="E681" s="20"/>
      <c r="F681" s="20"/>
      <c r="G681" s="20"/>
      <c r="H681" s="20"/>
      <c r="I681" s="21"/>
      <c r="J681" s="15"/>
      <c r="K681" s="21"/>
      <c r="L681" s="10"/>
      <c r="M681" s="19"/>
      <c r="N681" s="17"/>
      <c r="Q681" s="20"/>
    </row>
    <row r="682" spans="1:17" s="1" customFormat="1" ht="14.25" customHeight="1" x14ac:dyDescent="0.25">
      <c r="A682" s="15"/>
      <c r="B682" s="15"/>
      <c r="C682" s="15"/>
      <c r="D682" s="20"/>
      <c r="E682" s="20"/>
      <c r="F682" s="20"/>
      <c r="G682" s="20"/>
      <c r="H682" s="20"/>
      <c r="I682" s="21"/>
      <c r="J682" s="15"/>
      <c r="K682" s="21"/>
      <c r="L682" s="10"/>
      <c r="M682" s="19"/>
      <c r="N682" s="17"/>
      <c r="Q682" s="20"/>
    </row>
    <row r="683" spans="1:17" s="1" customFormat="1" ht="14.25" customHeight="1" x14ac:dyDescent="0.25">
      <c r="A683" s="15"/>
      <c r="B683" s="15"/>
      <c r="C683" s="15"/>
      <c r="D683" s="20"/>
      <c r="E683" s="20"/>
      <c r="F683" s="20"/>
      <c r="G683" s="20"/>
      <c r="H683" s="20"/>
      <c r="I683" s="21"/>
      <c r="J683" s="15"/>
      <c r="K683" s="21"/>
      <c r="L683" s="10"/>
      <c r="M683" s="19"/>
      <c r="N683" s="17"/>
      <c r="Q683" s="20"/>
    </row>
    <row r="684" spans="1:17" s="1" customFormat="1" ht="14.25" customHeight="1" x14ac:dyDescent="0.25">
      <c r="A684" s="15"/>
      <c r="B684" s="15"/>
      <c r="C684" s="15"/>
      <c r="D684" s="20"/>
      <c r="E684" s="20"/>
      <c r="F684" s="20"/>
      <c r="G684" s="20"/>
      <c r="H684" s="20"/>
      <c r="I684" s="21"/>
      <c r="J684" s="15"/>
      <c r="K684" s="21"/>
      <c r="L684" s="10"/>
      <c r="M684" s="19"/>
      <c r="N684" s="17"/>
      <c r="Q684" s="20"/>
    </row>
    <row r="685" spans="1:17" s="1" customFormat="1" ht="14.25" customHeight="1" x14ac:dyDescent="0.25">
      <c r="A685" s="15"/>
      <c r="B685" s="15"/>
      <c r="C685" s="15"/>
      <c r="D685" s="20"/>
      <c r="E685" s="20"/>
      <c r="F685" s="20"/>
      <c r="G685" s="20"/>
      <c r="H685" s="20"/>
      <c r="I685" s="21"/>
      <c r="J685" s="15"/>
      <c r="K685" s="21"/>
      <c r="L685" s="10"/>
      <c r="M685" s="19"/>
      <c r="N685" s="17"/>
      <c r="Q685" s="20"/>
    </row>
    <row r="686" spans="1:17" s="1" customFormat="1" ht="14.25" customHeight="1" x14ac:dyDescent="0.25">
      <c r="A686" s="15"/>
      <c r="B686" s="15"/>
      <c r="C686" s="15"/>
      <c r="D686" s="20"/>
      <c r="E686" s="20"/>
      <c r="F686" s="20"/>
      <c r="G686" s="20"/>
      <c r="H686" s="20"/>
      <c r="I686" s="21"/>
      <c r="J686" s="15"/>
      <c r="K686" s="21"/>
      <c r="L686" s="10"/>
      <c r="M686" s="19"/>
      <c r="N686" s="17"/>
      <c r="Q686" s="20"/>
    </row>
    <row r="687" spans="1:17" s="1" customFormat="1" ht="14.25" customHeight="1" x14ac:dyDescent="0.25">
      <c r="A687" s="15"/>
      <c r="B687" s="15"/>
      <c r="C687" s="15"/>
      <c r="D687" s="20"/>
      <c r="E687" s="20"/>
      <c r="F687" s="20"/>
      <c r="G687" s="20"/>
      <c r="H687" s="20"/>
      <c r="I687" s="21"/>
      <c r="J687" s="15"/>
      <c r="K687" s="21"/>
      <c r="L687" s="10"/>
      <c r="M687" s="19"/>
      <c r="N687" s="17"/>
      <c r="Q687" s="20"/>
    </row>
    <row r="688" spans="1:17" s="1" customFormat="1" ht="14.25" customHeight="1" x14ac:dyDescent="0.25">
      <c r="A688" s="15"/>
      <c r="B688" s="15"/>
      <c r="C688" s="15"/>
      <c r="D688" s="20"/>
      <c r="E688" s="20"/>
      <c r="F688" s="20"/>
      <c r="G688" s="20"/>
      <c r="H688" s="20"/>
      <c r="I688" s="21"/>
      <c r="J688" s="15"/>
      <c r="K688" s="21"/>
      <c r="L688" s="10"/>
      <c r="M688" s="19"/>
      <c r="N688" s="17"/>
      <c r="Q688" s="20"/>
    </row>
    <row r="689" spans="1:17" s="1" customFormat="1" ht="14.25" customHeight="1" x14ac:dyDescent="0.25">
      <c r="A689" s="15"/>
      <c r="B689" s="15"/>
      <c r="C689" s="15"/>
      <c r="D689" s="20"/>
      <c r="E689" s="20"/>
      <c r="F689" s="20"/>
      <c r="G689" s="20"/>
      <c r="H689" s="20"/>
      <c r="I689" s="21"/>
      <c r="J689" s="15"/>
      <c r="K689" s="21"/>
      <c r="L689" s="10"/>
      <c r="M689" s="19"/>
      <c r="N689" s="17"/>
      <c r="Q689" s="20"/>
    </row>
    <row r="690" spans="1:17" s="1" customFormat="1" ht="14.25" customHeight="1" x14ac:dyDescent="0.25">
      <c r="A690" s="15"/>
      <c r="B690" s="15"/>
      <c r="C690" s="15"/>
      <c r="D690" s="20"/>
      <c r="E690" s="20"/>
      <c r="F690" s="20"/>
      <c r="G690" s="20"/>
      <c r="H690" s="20"/>
      <c r="I690" s="21"/>
      <c r="J690" s="15"/>
      <c r="K690" s="21"/>
      <c r="L690" s="10"/>
      <c r="M690" s="19"/>
      <c r="N690" s="17"/>
      <c r="Q690" s="20"/>
    </row>
    <row r="691" spans="1:17" s="1" customFormat="1" ht="14.25" customHeight="1" x14ac:dyDescent="0.25">
      <c r="A691" s="15"/>
      <c r="B691" s="15"/>
      <c r="C691" s="15"/>
      <c r="D691" s="20"/>
      <c r="E691" s="20"/>
      <c r="F691" s="20"/>
      <c r="G691" s="20"/>
      <c r="H691" s="20"/>
      <c r="I691" s="21"/>
      <c r="J691" s="15"/>
      <c r="K691" s="21"/>
      <c r="L691" s="10"/>
      <c r="M691" s="19"/>
      <c r="N691" s="17"/>
      <c r="Q691" s="20"/>
    </row>
    <row r="692" spans="1:17" s="1" customFormat="1" ht="14.25" customHeight="1" x14ac:dyDescent="0.25">
      <c r="A692" s="15"/>
      <c r="B692" s="15"/>
      <c r="C692" s="15"/>
      <c r="D692" s="20"/>
      <c r="E692" s="20"/>
      <c r="F692" s="20"/>
      <c r="G692" s="20"/>
      <c r="H692" s="20"/>
      <c r="I692" s="21"/>
      <c r="J692" s="15"/>
      <c r="K692" s="21"/>
      <c r="L692" s="10"/>
      <c r="M692" s="19"/>
      <c r="N692" s="17"/>
      <c r="Q692" s="20"/>
    </row>
    <row r="693" spans="1:17" s="1" customFormat="1" ht="14.25" customHeight="1" x14ac:dyDescent="0.25">
      <c r="A693" s="15"/>
      <c r="B693" s="15"/>
      <c r="C693" s="15"/>
      <c r="D693" s="20"/>
      <c r="E693" s="20"/>
      <c r="F693" s="20"/>
      <c r="G693" s="20"/>
      <c r="H693" s="20"/>
      <c r="I693" s="21"/>
      <c r="J693" s="15"/>
      <c r="K693" s="21"/>
      <c r="L693" s="10"/>
      <c r="M693" s="19"/>
      <c r="N693" s="17"/>
      <c r="Q693" s="20"/>
    </row>
    <row r="694" spans="1:17" s="1" customFormat="1" ht="14.25" customHeight="1" x14ac:dyDescent="0.25">
      <c r="A694" s="15"/>
      <c r="B694" s="15"/>
      <c r="C694" s="15"/>
      <c r="D694" s="20"/>
      <c r="E694" s="20"/>
      <c r="F694" s="20"/>
      <c r="G694" s="20"/>
      <c r="H694" s="20"/>
      <c r="I694" s="21"/>
      <c r="J694" s="15"/>
      <c r="K694" s="21"/>
      <c r="L694" s="10"/>
      <c r="M694" s="19"/>
      <c r="N694" s="17"/>
      <c r="Q694" s="20"/>
    </row>
    <row r="695" spans="1:17" s="1" customFormat="1" ht="14.25" customHeight="1" x14ac:dyDescent="0.25">
      <c r="A695" s="15"/>
      <c r="B695" s="15"/>
      <c r="C695" s="15"/>
      <c r="D695" s="20"/>
      <c r="E695" s="20"/>
      <c r="F695" s="20"/>
      <c r="G695" s="20"/>
      <c r="H695" s="20"/>
      <c r="I695" s="21"/>
      <c r="J695" s="15"/>
      <c r="K695" s="21"/>
      <c r="L695" s="10"/>
      <c r="M695" s="19"/>
      <c r="N695" s="17"/>
      <c r="Q695" s="20"/>
    </row>
    <row r="696" spans="1:17" s="1" customFormat="1" ht="14.25" customHeight="1" x14ac:dyDescent="0.25">
      <c r="A696" s="15"/>
      <c r="B696" s="15"/>
      <c r="C696" s="15"/>
      <c r="D696" s="20"/>
      <c r="E696" s="20"/>
      <c r="F696" s="20"/>
      <c r="G696" s="20"/>
      <c r="H696" s="20"/>
      <c r="I696" s="21"/>
      <c r="J696" s="15"/>
      <c r="K696" s="21"/>
      <c r="L696" s="10"/>
      <c r="M696" s="19"/>
      <c r="N696" s="17"/>
      <c r="Q696" s="20"/>
    </row>
    <row r="697" spans="1:17" s="1" customFormat="1" ht="14.25" customHeight="1" x14ac:dyDescent="0.25">
      <c r="A697" s="15"/>
      <c r="B697" s="15"/>
      <c r="C697" s="15"/>
      <c r="D697" s="20"/>
      <c r="E697" s="20"/>
      <c r="F697" s="20"/>
      <c r="G697" s="20"/>
      <c r="H697" s="20"/>
      <c r="I697" s="21"/>
      <c r="J697" s="15"/>
      <c r="K697" s="21"/>
      <c r="L697" s="10"/>
      <c r="M697" s="19"/>
      <c r="N697" s="17"/>
      <c r="Q697" s="20"/>
    </row>
    <row r="698" spans="1:17" s="1" customFormat="1" ht="14.25" customHeight="1" x14ac:dyDescent="0.25">
      <c r="A698" s="15"/>
      <c r="B698" s="15"/>
      <c r="C698" s="15"/>
      <c r="D698" s="20"/>
      <c r="E698" s="20"/>
      <c r="F698" s="20"/>
      <c r="G698" s="20"/>
      <c r="H698" s="20"/>
      <c r="I698" s="21"/>
      <c r="J698" s="15"/>
      <c r="K698" s="21"/>
      <c r="L698" s="10"/>
      <c r="M698" s="19"/>
      <c r="N698" s="17"/>
      <c r="Q698" s="20"/>
    </row>
    <row r="699" spans="1:17" s="1" customFormat="1" ht="14.25" customHeight="1" x14ac:dyDescent="0.25">
      <c r="A699" s="15"/>
      <c r="B699" s="15"/>
      <c r="C699" s="15"/>
      <c r="D699" s="20"/>
      <c r="E699" s="20"/>
      <c r="F699" s="20"/>
      <c r="G699" s="20"/>
      <c r="H699" s="20"/>
      <c r="I699" s="21"/>
      <c r="J699" s="15"/>
      <c r="K699" s="21"/>
      <c r="L699" s="10"/>
      <c r="M699" s="19"/>
      <c r="N699" s="17"/>
      <c r="Q699" s="20"/>
    </row>
    <row r="700" spans="1:17" s="1" customFormat="1" ht="14.25" customHeight="1" x14ac:dyDescent="0.25">
      <c r="A700" s="15"/>
      <c r="B700" s="15"/>
      <c r="C700" s="15"/>
      <c r="D700" s="20"/>
      <c r="E700" s="20"/>
      <c r="F700" s="20"/>
      <c r="G700" s="20"/>
      <c r="H700" s="20"/>
      <c r="I700" s="21"/>
      <c r="J700" s="15"/>
      <c r="K700" s="21"/>
      <c r="L700" s="10"/>
      <c r="M700" s="19"/>
      <c r="N700" s="17"/>
      <c r="Q700" s="20"/>
    </row>
    <row r="701" spans="1:17" s="1" customFormat="1" ht="14.25" customHeight="1" x14ac:dyDescent="0.25">
      <c r="A701" s="15"/>
      <c r="B701" s="15"/>
      <c r="C701" s="15"/>
      <c r="D701" s="20"/>
      <c r="E701" s="20"/>
      <c r="F701" s="20"/>
      <c r="G701" s="20"/>
      <c r="H701" s="20"/>
      <c r="I701" s="21"/>
      <c r="J701" s="15"/>
      <c r="K701" s="21"/>
      <c r="L701" s="10"/>
      <c r="M701" s="19"/>
      <c r="N701" s="17"/>
      <c r="Q701" s="20"/>
    </row>
    <row r="702" spans="1:17" s="1" customFormat="1" ht="14.25" customHeight="1" x14ac:dyDescent="0.25">
      <c r="A702" s="15"/>
      <c r="B702" s="15"/>
      <c r="C702" s="15"/>
      <c r="D702" s="20"/>
      <c r="E702" s="20"/>
      <c r="F702" s="20"/>
      <c r="G702" s="20"/>
      <c r="H702" s="20"/>
      <c r="I702" s="21"/>
      <c r="J702" s="15"/>
      <c r="K702" s="21"/>
      <c r="L702" s="10"/>
      <c r="M702" s="19"/>
      <c r="N702" s="17"/>
      <c r="Q702" s="20"/>
    </row>
    <row r="703" spans="1:17" s="1" customFormat="1" ht="14.25" customHeight="1" x14ac:dyDescent="0.25">
      <c r="A703" s="15"/>
      <c r="B703" s="15"/>
      <c r="C703" s="15"/>
      <c r="D703" s="20"/>
      <c r="E703" s="20"/>
      <c r="F703" s="20"/>
      <c r="G703" s="20"/>
      <c r="H703" s="20"/>
      <c r="I703" s="21"/>
      <c r="J703" s="15"/>
      <c r="K703" s="21"/>
      <c r="L703" s="10"/>
      <c r="M703" s="19"/>
      <c r="N703" s="17"/>
      <c r="Q703" s="20"/>
    </row>
    <row r="704" spans="1:17" s="1" customFormat="1" ht="14.25" customHeight="1" x14ac:dyDescent="0.25">
      <c r="A704" s="15"/>
      <c r="B704" s="15"/>
      <c r="C704" s="15"/>
      <c r="D704" s="20"/>
      <c r="E704" s="20"/>
      <c r="F704" s="20"/>
      <c r="G704" s="20"/>
      <c r="H704" s="20"/>
      <c r="I704" s="21"/>
      <c r="J704" s="15"/>
      <c r="K704" s="21"/>
      <c r="L704" s="10"/>
      <c r="M704" s="19"/>
      <c r="N704" s="17"/>
      <c r="Q704" s="20"/>
    </row>
    <row r="705" spans="1:17" s="1" customFormat="1" ht="14.25" customHeight="1" x14ac:dyDescent="0.25">
      <c r="A705" s="15"/>
      <c r="B705" s="15"/>
      <c r="C705" s="15"/>
      <c r="D705" s="20"/>
      <c r="E705" s="20"/>
      <c r="F705" s="20"/>
      <c r="G705" s="20"/>
      <c r="H705" s="20"/>
      <c r="I705" s="21"/>
      <c r="J705" s="15"/>
      <c r="K705" s="21"/>
      <c r="L705" s="10"/>
      <c r="M705" s="19"/>
      <c r="N705" s="17"/>
      <c r="Q705" s="20"/>
    </row>
    <row r="706" spans="1:17" s="1" customFormat="1" ht="14.25" customHeight="1" x14ac:dyDescent="0.25">
      <c r="A706" s="15"/>
      <c r="B706" s="15"/>
      <c r="C706" s="15"/>
      <c r="D706" s="20"/>
      <c r="E706" s="20"/>
      <c r="F706" s="20"/>
      <c r="G706" s="20"/>
      <c r="H706" s="20"/>
      <c r="I706" s="21"/>
      <c r="J706" s="15"/>
      <c r="K706" s="21"/>
      <c r="L706" s="10"/>
      <c r="M706" s="19"/>
      <c r="N706" s="17"/>
      <c r="Q706" s="20"/>
    </row>
    <row r="707" spans="1:17" s="1" customFormat="1" ht="14.25" customHeight="1" x14ac:dyDescent="0.25">
      <c r="A707" s="15"/>
      <c r="B707" s="15"/>
      <c r="C707" s="15"/>
      <c r="D707" s="20"/>
      <c r="E707" s="20"/>
      <c r="F707" s="20"/>
      <c r="G707" s="20"/>
      <c r="H707" s="20"/>
      <c r="I707" s="21"/>
      <c r="J707" s="15"/>
      <c r="K707" s="21"/>
      <c r="L707" s="10"/>
      <c r="M707" s="19"/>
      <c r="N707" s="17"/>
      <c r="Q707" s="20"/>
    </row>
    <row r="708" spans="1:17" s="1" customFormat="1" ht="14.25" customHeight="1" x14ac:dyDescent="0.25">
      <c r="A708" s="15"/>
      <c r="B708" s="15"/>
      <c r="C708" s="15"/>
      <c r="D708" s="20"/>
      <c r="E708" s="20"/>
      <c r="F708" s="20"/>
      <c r="G708" s="20"/>
      <c r="H708" s="20"/>
      <c r="I708" s="21"/>
      <c r="J708" s="15"/>
      <c r="K708" s="21"/>
      <c r="L708" s="10"/>
      <c r="M708" s="19"/>
      <c r="N708" s="17"/>
      <c r="Q708" s="20"/>
    </row>
    <row r="709" spans="1:17" s="1" customFormat="1" ht="14.25" customHeight="1" x14ac:dyDescent="0.25">
      <c r="A709" s="15"/>
      <c r="B709" s="15"/>
      <c r="C709" s="15"/>
      <c r="D709" s="20"/>
      <c r="E709" s="20"/>
      <c r="F709" s="20"/>
      <c r="G709" s="20"/>
      <c r="H709" s="20"/>
      <c r="I709" s="21"/>
      <c r="J709" s="15"/>
      <c r="K709" s="21"/>
      <c r="L709" s="10"/>
      <c r="M709" s="19"/>
      <c r="N709" s="17"/>
      <c r="Q709" s="20"/>
    </row>
    <row r="710" spans="1:17" s="1" customFormat="1" ht="14.25" customHeight="1" x14ac:dyDescent="0.25">
      <c r="A710" s="15"/>
      <c r="B710" s="15"/>
      <c r="C710" s="15"/>
      <c r="D710" s="20"/>
      <c r="E710" s="20"/>
      <c r="F710" s="20"/>
      <c r="G710" s="20"/>
      <c r="H710" s="20"/>
      <c r="I710" s="21"/>
      <c r="J710" s="15"/>
      <c r="K710" s="21"/>
      <c r="L710" s="10"/>
      <c r="M710" s="19"/>
      <c r="N710" s="17"/>
      <c r="Q710" s="20"/>
    </row>
    <row r="711" spans="1:17" s="1" customFormat="1" ht="14.25" customHeight="1" x14ac:dyDescent="0.25">
      <c r="A711" s="15"/>
      <c r="B711" s="15"/>
      <c r="C711" s="15"/>
      <c r="D711" s="20"/>
      <c r="E711" s="20"/>
      <c r="F711" s="20"/>
      <c r="G711" s="20"/>
      <c r="H711" s="20"/>
      <c r="I711" s="21"/>
      <c r="J711" s="15"/>
      <c r="K711" s="21"/>
      <c r="L711" s="10"/>
      <c r="M711" s="19"/>
      <c r="N711" s="17"/>
      <c r="Q711" s="20"/>
    </row>
    <row r="712" spans="1:17" s="1" customFormat="1" ht="14.25" customHeight="1" x14ac:dyDescent="0.25">
      <c r="A712" s="15"/>
      <c r="B712" s="15"/>
      <c r="C712" s="15"/>
      <c r="D712" s="20"/>
      <c r="E712" s="20"/>
      <c r="F712" s="20"/>
      <c r="G712" s="20"/>
      <c r="H712" s="20"/>
      <c r="I712" s="21"/>
      <c r="J712" s="15"/>
      <c r="K712" s="21"/>
      <c r="L712" s="10"/>
      <c r="M712" s="19"/>
      <c r="N712" s="17"/>
      <c r="Q712" s="20"/>
    </row>
    <row r="713" spans="1:17" s="1" customFormat="1" ht="14.25" customHeight="1" x14ac:dyDescent="0.25">
      <c r="A713" s="15"/>
      <c r="B713" s="15"/>
      <c r="C713" s="15"/>
      <c r="D713" s="20"/>
      <c r="E713" s="20"/>
      <c r="F713" s="20"/>
      <c r="G713" s="20"/>
      <c r="H713" s="20"/>
      <c r="I713" s="21"/>
      <c r="J713" s="15"/>
      <c r="K713" s="21"/>
      <c r="L713" s="10"/>
      <c r="M713" s="19"/>
      <c r="N713" s="17"/>
      <c r="Q713" s="20"/>
    </row>
    <row r="714" spans="1:17" s="1" customFormat="1" ht="14.25" customHeight="1" x14ac:dyDescent="0.25">
      <c r="A714" s="15"/>
      <c r="B714" s="15"/>
      <c r="C714" s="15"/>
      <c r="D714" s="20"/>
      <c r="E714" s="20"/>
      <c r="F714" s="20"/>
      <c r="G714" s="20"/>
      <c r="H714" s="20"/>
      <c r="I714" s="21"/>
      <c r="J714" s="15"/>
      <c r="K714" s="21"/>
      <c r="L714" s="10"/>
      <c r="M714" s="19"/>
      <c r="N714" s="17"/>
      <c r="Q714" s="20"/>
    </row>
    <row r="715" spans="1:17" s="1" customFormat="1" ht="14.25" customHeight="1" x14ac:dyDescent="0.25">
      <c r="A715" s="15"/>
      <c r="B715" s="15"/>
      <c r="C715" s="15"/>
      <c r="D715" s="20"/>
      <c r="E715" s="20"/>
      <c r="F715" s="20"/>
      <c r="G715" s="20"/>
      <c r="H715" s="20"/>
      <c r="I715" s="21"/>
      <c r="J715" s="15"/>
      <c r="K715" s="21"/>
      <c r="L715" s="10"/>
      <c r="M715" s="19"/>
      <c r="N715" s="17"/>
      <c r="Q715" s="20"/>
    </row>
    <row r="716" spans="1:17" s="1" customFormat="1" ht="14.25" customHeight="1" x14ac:dyDescent="0.25">
      <c r="A716" s="15"/>
      <c r="B716" s="15"/>
      <c r="C716" s="15"/>
      <c r="D716" s="20"/>
      <c r="E716" s="20"/>
      <c r="F716" s="20"/>
      <c r="G716" s="20"/>
      <c r="H716" s="20"/>
      <c r="I716" s="21"/>
      <c r="J716" s="15"/>
      <c r="K716" s="21"/>
      <c r="L716" s="10"/>
      <c r="M716" s="19"/>
      <c r="N716" s="17"/>
      <c r="Q716" s="20"/>
    </row>
    <row r="717" spans="1:17" s="1" customFormat="1" ht="14.25" customHeight="1" x14ac:dyDescent="0.25">
      <c r="A717" s="15"/>
      <c r="B717" s="15"/>
      <c r="C717" s="15"/>
      <c r="D717" s="20"/>
      <c r="E717" s="20"/>
      <c r="F717" s="20"/>
      <c r="G717" s="20"/>
      <c r="H717" s="20"/>
      <c r="I717" s="21"/>
      <c r="J717" s="15"/>
      <c r="K717" s="21"/>
      <c r="L717" s="10"/>
      <c r="M717" s="19"/>
      <c r="N717" s="17"/>
      <c r="Q717" s="20"/>
    </row>
    <row r="718" spans="1:17" s="1" customFormat="1" ht="14.25" customHeight="1" x14ac:dyDescent="0.25">
      <c r="A718" s="15"/>
      <c r="B718" s="15"/>
      <c r="C718" s="15"/>
      <c r="D718" s="20"/>
      <c r="E718" s="20"/>
      <c r="F718" s="20"/>
      <c r="G718" s="20"/>
      <c r="H718" s="20"/>
      <c r="I718" s="21"/>
      <c r="J718" s="15"/>
      <c r="K718" s="21"/>
      <c r="L718" s="10"/>
      <c r="M718" s="19"/>
      <c r="N718" s="17"/>
      <c r="Q718" s="20"/>
    </row>
    <row r="719" spans="1:17" s="1" customFormat="1" ht="14.25" customHeight="1" x14ac:dyDescent="0.25">
      <c r="A719" s="15"/>
      <c r="B719" s="15"/>
      <c r="C719" s="15"/>
      <c r="D719" s="20"/>
      <c r="E719" s="20"/>
      <c r="F719" s="20"/>
      <c r="G719" s="20"/>
      <c r="H719" s="20"/>
      <c r="I719" s="21"/>
      <c r="J719" s="15"/>
      <c r="K719" s="21"/>
      <c r="L719" s="10"/>
      <c r="M719" s="19"/>
      <c r="N719" s="17"/>
      <c r="Q719" s="20"/>
    </row>
    <row r="720" spans="1:17" s="1" customFormat="1" ht="14.25" customHeight="1" x14ac:dyDescent="0.25">
      <c r="A720" s="15"/>
      <c r="B720" s="15"/>
      <c r="C720" s="15"/>
      <c r="D720" s="20"/>
      <c r="E720" s="20"/>
      <c r="F720" s="20"/>
      <c r="G720" s="20"/>
      <c r="H720" s="20"/>
      <c r="I720" s="21"/>
      <c r="J720" s="15"/>
      <c r="K720" s="21"/>
      <c r="L720" s="10"/>
      <c r="M720" s="19"/>
      <c r="N720" s="17"/>
      <c r="Q720" s="20"/>
    </row>
    <row r="721" spans="1:17" s="1" customFormat="1" ht="14.25" customHeight="1" x14ac:dyDescent="0.25">
      <c r="A721" s="15"/>
      <c r="B721" s="15"/>
      <c r="C721" s="15"/>
      <c r="D721" s="20"/>
      <c r="E721" s="20"/>
      <c r="F721" s="20"/>
      <c r="G721" s="20"/>
      <c r="H721" s="20"/>
      <c r="I721" s="21"/>
      <c r="J721" s="15"/>
      <c r="K721" s="21"/>
      <c r="L721" s="10"/>
      <c r="M721" s="19"/>
      <c r="N721" s="17"/>
      <c r="Q721" s="20"/>
    </row>
    <row r="722" spans="1:17" s="1" customFormat="1" ht="14.25" customHeight="1" x14ac:dyDescent="0.25">
      <c r="A722" s="15"/>
      <c r="B722" s="15"/>
      <c r="C722" s="15"/>
      <c r="D722" s="20"/>
      <c r="E722" s="20"/>
      <c r="F722" s="20"/>
      <c r="G722" s="20"/>
      <c r="H722" s="20"/>
      <c r="I722" s="21"/>
      <c r="J722" s="15"/>
      <c r="K722" s="21"/>
      <c r="L722" s="10"/>
      <c r="M722" s="19"/>
      <c r="N722" s="17"/>
      <c r="Q722" s="20"/>
    </row>
    <row r="723" spans="1:17" s="1" customFormat="1" ht="14.25" customHeight="1" x14ac:dyDescent="0.25">
      <c r="A723" s="15"/>
      <c r="B723" s="15"/>
      <c r="C723" s="15"/>
      <c r="D723" s="20"/>
      <c r="E723" s="20"/>
      <c r="F723" s="20"/>
      <c r="G723" s="20"/>
      <c r="H723" s="20"/>
      <c r="I723" s="21"/>
      <c r="J723" s="15"/>
      <c r="K723" s="21"/>
      <c r="L723" s="10"/>
      <c r="M723" s="19"/>
      <c r="N723" s="17"/>
      <c r="Q723" s="20"/>
    </row>
    <row r="724" spans="1:17" s="1" customFormat="1" ht="14.25" customHeight="1" x14ac:dyDescent="0.25">
      <c r="A724" s="15"/>
      <c r="B724" s="15"/>
      <c r="C724" s="15"/>
      <c r="D724" s="20"/>
      <c r="E724" s="20"/>
      <c r="F724" s="20"/>
      <c r="G724" s="20"/>
      <c r="H724" s="20"/>
      <c r="I724" s="21"/>
      <c r="J724" s="15"/>
      <c r="K724" s="21"/>
      <c r="L724" s="10"/>
      <c r="M724" s="19"/>
      <c r="N724" s="17"/>
      <c r="Q724" s="20"/>
    </row>
    <row r="725" spans="1:17" s="1" customFormat="1" ht="14.25" customHeight="1" x14ac:dyDescent="0.25">
      <c r="A725" s="15"/>
      <c r="B725" s="15"/>
      <c r="C725" s="15"/>
      <c r="D725" s="20"/>
      <c r="E725" s="20"/>
      <c r="F725" s="20"/>
      <c r="G725" s="20"/>
      <c r="H725" s="20"/>
      <c r="I725" s="21"/>
      <c r="J725" s="15"/>
      <c r="K725" s="21"/>
      <c r="L725" s="10"/>
      <c r="M725" s="19"/>
      <c r="N725" s="17"/>
      <c r="Q725" s="20"/>
    </row>
    <row r="726" spans="1:17" s="1" customFormat="1" ht="14.25" customHeight="1" x14ac:dyDescent="0.25">
      <c r="A726" s="15"/>
      <c r="B726" s="15"/>
      <c r="C726" s="15"/>
      <c r="D726" s="20"/>
      <c r="E726" s="20"/>
      <c r="F726" s="20"/>
      <c r="G726" s="20"/>
      <c r="H726" s="20"/>
      <c r="I726" s="21"/>
      <c r="J726" s="15"/>
      <c r="K726" s="21"/>
      <c r="L726" s="10"/>
      <c r="M726" s="19"/>
      <c r="N726" s="17"/>
      <c r="Q726" s="20"/>
    </row>
    <row r="727" spans="1:17" s="1" customFormat="1" ht="14.25" customHeight="1" x14ac:dyDescent="0.25">
      <c r="A727" s="15"/>
      <c r="B727" s="15"/>
      <c r="C727" s="15"/>
      <c r="D727" s="20"/>
      <c r="E727" s="20"/>
      <c r="F727" s="20"/>
      <c r="G727" s="20"/>
      <c r="H727" s="20"/>
      <c r="I727" s="21"/>
      <c r="J727" s="15"/>
      <c r="K727" s="21"/>
      <c r="L727" s="10"/>
      <c r="M727" s="19"/>
      <c r="N727" s="17"/>
      <c r="Q727" s="20"/>
    </row>
    <row r="728" spans="1:17" s="1" customFormat="1" ht="14.25" customHeight="1" x14ac:dyDescent="0.25">
      <c r="A728" s="15"/>
      <c r="B728" s="15"/>
      <c r="C728" s="15"/>
      <c r="D728" s="20"/>
      <c r="E728" s="20"/>
      <c r="F728" s="20"/>
      <c r="G728" s="20"/>
      <c r="H728" s="20"/>
      <c r="I728" s="21"/>
      <c r="J728" s="15"/>
      <c r="K728" s="21"/>
      <c r="L728" s="10"/>
      <c r="M728" s="19"/>
      <c r="N728" s="17"/>
      <c r="Q728" s="20"/>
    </row>
    <row r="729" spans="1:17" s="1" customFormat="1" ht="14.25" customHeight="1" x14ac:dyDescent="0.25">
      <c r="A729" s="15"/>
      <c r="B729" s="15"/>
      <c r="C729" s="15"/>
      <c r="D729" s="20"/>
      <c r="E729" s="20"/>
      <c r="F729" s="20"/>
      <c r="G729" s="20"/>
      <c r="H729" s="20"/>
      <c r="I729" s="21"/>
      <c r="J729" s="15"/>
      <c r="K729" s="21"/>
      <c r="L729" s="10"/>
      <c r="M729" s="19"/>
      <c r="N729" s="17"/>
      <c r="Q729" s="20"/>
    </row>
    <row r="730" spans="1:17" s="1" customFormat="1" ht="14.25" customHeight="1" x14ac:dyDescent="0.25">
      <c r="A730" s="15"/>
      <c r="B730" s="15"/>
      <c r="C730" s="15"/>
      <c r="D730" s="20"/>
      <c r="E730" s="20"/>
      <c r="F730" s="20"/>
      <c r="G730" s="20"/>
      <c r="H730" s="20"/>
      <c r="I730" s="21"/>
      <c r="J730" s="15"/>
      <c r="K730" s="21"/>
      <c r="L730" s="10"/>
      <c r="M730" s="19"/>
      <c r="N730" s="17"/>
      <c r="Q730" s="20"/>
    </row>
    <row r="731" spans="1:17" s="1" customFormat="1" ht="14.25" customHeight="1" x14ac:dyDescent="0.25">
      <c r="A731" s="15"/>
      <c r="B731" s="15"/>
      <c r="C731" s="15"/>
      <c r="D731" s="20"/>
      <c r="E731" s="20"/>
      <c r="F731" s="20"/>
      <c r="G731" s="20"/>
      <c r="H731" s="20"/>
      <c r="I731" s="21"/>
      <c r="J731" s="15"/>
      <c r="K731" s="21"/>
      <c r="L731" s="10"/>
      <c r="M731" s="19"/>
      <c r="N731" s="17"/>
      <c r="Q731" s="20"/>
    </row>
    <row r="732" spans="1:17" s="1" customFormat="1" ht="14.25" customHeight="1" x14ac:dyDescent="0.25">
      <c r="A732" s="15"/>
      <c r="B732" s="15"/>
      <c r="C732" s="15"/>
      <c r="D732" s="20"/>
      <c r="E732" s="20"/>
      <c r="F732" s="20"/>
      <c r="G732" s="20"/>
      <c r="H732" s="20"/>
      <c r="I732" s="21"/>
      <c r="J732" s="15"/>
      <c r="K732" s="21"/>
      <c r="L732" s="10"/>
      <c r="M732" s="19"/>
      <c r="N732" s="17"/>
      <c r="Q732" s="20"/>
    </row>
    <row r="733" spans="1:17" s="1" customFormat="1" ht="14.25" customHeight="1" x14ac:dyDescent="0.25">
      <c r="A733" s="15"/>
      <c r="B733" s="15"/>
      <c r="C733" s="15"/>
      <c r="D733" s="20"/>
      <c r="E733" s="20"/>
      <c r="F733" s="20"/>
      <c r="G733" s="20"/>
      <c r="H733" s="20"/>
      <c r="I733" s="21"/>
      <c r="J733" s="15"/>
      <c r="K733" s="21"/>
      <c r="L733" s="10"/>
      <c r="M733" s="19"/>
      <c r="N733" s="17"/>
      <c r="Q733" s="20"/>
    </row>
    <row r="734" spans="1:17" s="1" customFormat="1" ht="14.25" customHeight="1" x14ac:dyDescent="0.25">
      <c r="A734" s="15"/>
      <c r="B734" s="15"/>
      <c r="C734" s="15"/>
      <c r="D734" s="20"/>
      <c r="E734" s="20"/>
      <c r="F734" s="20"/>
      <c r="G734" s="20"/>
      <c r="H734" s="20"/>
      <c r="I734" s="21"/>
      <c r="J734" s="15"/>
      <c r="K734" s="21"/>
      <c r="L734" s="10"/>
      <c r="M734" s="19"/>
      <c r="N734" s="17"/>
      <c r="Q734" s="20"/>
    </row>
    <row r="735" spans="1:17" s="1" customFormat="1" ht="14.25" customHeight="1" x14ac:dyDescent="0.25">
      <c r="A735" s="15"/>
      <c r="B735" s="15"/>
      <c r="C735" s="15"/>
      <c r="D735" s="20"/>
      <c r="E735" s="20"/>
      <c r="F735" s="20"/>
      <c r="G735" s="20"/>
      <c r="H735" s="20"/>
      <c r="I735" s="21"/>
      <c r="J735" s="15"/>
      <c r="K735" s="21"/>
      <c r="L735" s="10"/>
      <c r="M735" s="19"/>
      <c r="N735" s="17"/>
      <c r="Q735" s="20"/>
    </row>
    <row r="736" spans="1:17" s="1" customFormat="1" ht="14.25" customHeight="1" x14ac:dyDescent="0.25">
      <c r="A736" s="15"/>
      <c r="B736" s="15"/>
      <c r="C736" s="15"/>
      <c r="D736" s="20"/>
      <c r="E736" s="20"/>
      <c r="F736" s="20"/>
      <c r="G736" s="20"/>
      <c r="H736" s="20"/>
      <c r="I736" s="21"/>
      <c r="J736" s="15"/>
      <c r="K736" s="21"/>
      <c r="L736" s="10"/>
      <c r="M736" s="19"/>
      <c r="N736" s="17"/>
      <c r="Q736" s="20"/>
    </row>
    <row r="737" spans="1:17" s="1" customFormat="1" ht="14.25" customHeight="1" x14ac:dyDescent="0.25">
      <c r="A737" s="15"/>
      <c r="B737" s="15"/>
      <c r="C737" s="15"/>
      <c r="D737" s="20"/>
      <c r="E737" s="20"/>
      <c r="F737" s="20"/>
      <c r="G737" s="20"/>
      <c r="H737" s="20"/>
      <c r="I737" s="21"/>
      <c r="J737" s="15"/>
      <c r="K737" s="21"/>
      <c r="L737" s="10"/>
      <c r="M737" s="19"/>
      <c r="N737" s="17"/>
      <c r="Q737" s="20"/>
    </row>
    <row r="738" spans="1:17" s="1" customFormat="1" ht="14.25" customHeight="1" x14ac:dyDescent="0.25">
      <c r="A738" s="15"/>
      <c r="B738" s="15"/>
      <c r="C738" s="15"/>
      <c r="D738" s="20"/>
      <c r="E738" s="20"/>
      <c r="F738" s="20"/>
      <c r="G738" s="20"/>
      <c r="H738" s="20"/>
      <c r="I738" s="21"/>
      <c r="J738" s="15"/>
      <c r="K738" s="21"/>
      <c r="L738" s="10"/>
      <c r="M738" s="19"/>
      <c r="N738" s="17"/>
      <c r="Q738" s="20"/>
    </row>
    <row r="739" spans="1:17" s="1" customFormat="1" ht="14.25" customHeight="1" x14ac:dyDescent="0.25">
      <c r="A739" s="15"/>
      <c r="B739" s="15"/>
      <c r="C739" s="15"/>
      <c r="D739" s="20"/>
      <c r="E739" s="20"/>
      <c r="F739" s="20"/>
      <c r="G739" s="20"/>
      <c r="H739" s="20"/>
      <c r="I739" s="21"/>
      <c r="J739" s="15"/>
      <c r="K739" s="21"/>
      <c r="L739" s="10"/>
      <c r="M739" s="19"/>
      <c r="N739" s="17"/>
      <c r="Q739" s="20"/>
    </row>
    <row r="740" spans="1:17" s="1" customFormat="1" ht="14.25" customHeight="1" x14ac:dyDescent="0.25">
      <c r="A740" s="15"/>
      <c r="B740" s="15"/>
      <c r="C740" s="15"/>
      <c r="D740" s="20"/>
      <c r="E740" s="20"/>
      <c r="F740" s="20"/>
      <c r="G740" s="20"/>
      <c r="H740" s="20"/>
      <c r="I740" s="21"/>
      <c r="J740" s="15"/>
      <c r="K740" s="21"/>
      <c r="L740" s="10"/>
      <c r="M740" s="19"/>
      <c r="N740" s="17"/>
      <c r="Q740" s="20"/>
    </row>
    <row r="741" spans="1:17" s="1" customFormat="1" ht="14.25" customHeight="1" x14ac:dyDescent="0.25">
      <c r="A741" s="15"/>
      <c r="B741" s="15"/>
      <c r="C741" s="15"/>
      <c r="D741" s="20"/>
      <c r="E741" s="20"/>
      <c r="F741" s="20"/>
      <c r="G741" s="20"/>
      <c r="H741" s="20"/>
      <c r="I741" s="21"/>
      <c r="J741" s="15"/>
      <c r="K741" s="21"/>
      <c r="L741" s="10"/>
      <c r="M741" s="19"/>
      <c r="N741" s="17"/>
      <c r="Q741" s="20"/>
    </row>
    <row r="742" spans="1:17" s="1" customFormat="1" ht="14.25" customHeight="1" x14ac:dyDescent="0.25">
      <c r="A742" s="15"/>
      <c r="B742" s="15"/>
      <c r="C742" s="15"/>
      <c r="D742" s="20"/>
      <c r="E742" s="20"/>
      <c r="F742" s="20"/>
      <c r="G742" s="20"/>
      <c r="H742" s="20"/>
      <c r="I742" s="21"/>
      <c r="J742" s="15"/>
      <c r="K742" s="21"/>
      <c r="L742" s="10"/>
      <c r="M742" s="19"/>
      <c r="N742" s="17"/>
      <c r="Q742" s="20"/>
    </row>
    <row r="743" spans="1:17" s="1" customFormat="1" ht="14.25" customHeight="1" x14ac:dyDescent="0.25">
      <c r="A743" s="15"/>
      <c r="B743" s="15"/>
      <c r="C743" s="15"/>
      <c r="D743" s="20"/>
      <c r="E743" s="20"/>
      <c r="F743" s="20"/>
      <c r="G743" s="20"/>
      <c r="H743" s="20"/>
      <c r="I743" s="21"/>
      <c r="J743" s="15"/>
      <c r="K743" s="21"/>
      <c r="L743" s="10"/>
      <c r="M743" s="19"/>
      <c r="N743" s="17"/>
      <c r="Q743" s="20"/>
    </row>
    <row r="744" spans="1:17" s="1" customFormat="1" ht="14.25" customHeight="1" x14ac:dyDescent="0.25">
      <c r="A744" s="15"/>
      <c r="B744" s="15"/>
      <c r="C744" s="15"/>
      <c r="D744" s="20"/>
      <c r="E744" s="20"/>
      <c r="F744" s="20"/>
      <c r="G744" s="20"/>
      <c r="H744" s="20"/>
      <c r="I744" s="21"/>
      <c r="J744" s="15"/>
      <c r="K744" s="21"/>
      <c r="L744" s="10"/>
      <c r="M744" s="19"/>
      <c r="N744" s="17"/>
      <c r="Q744" s="20"/>
    </row>
    <row r="745" spans="1:17" s="1" customFormat="1" ht="14.25" customHeight="1" x14ac:dyDescent="0.25">
      <c r="A745" s="15"/>
      <c r="B745" s="15"/>
      <c r="C745" s="15"/>
      <c r="D745" s="20"/>
      <c r="E745" s="20"/>
      <c r="F745" s="20"/>
      <c r="G745" s="20"/>
      <c r="H745" s="20"/>
      <c r="I745" s="21"/>
      <c r="J745" s="15"/>
      <c r="K745" s="21"/>
      <c r="L745" s="10"/>
      <c r="M745" s="19"/>
      <c r="N745" s="17"/>
      <c r="Q745" s="20"/>
    </row>
    <row r="746" spans="1:17" s="1" customFormat="1" ht="14.25" customHeight="1" x14ac:dyDescent="0.25">
      <c r="A746" s="15"/>
      <c r="B746" s="15"/>
      <c r="C746" s="15"/>
      <c r="D746" s="20"/>
      <c r="E746" s="20"/>
      <c r="F746" s="20"/>
      <c r="G746" s="20"/>
      <c r="H746" s="20"/>
      <c r="I746" s="21"/>
      <c r="J746" s="15"/>
      <c r="K746" s="21"/>
      <c r="L746" s="10"/>
      <c r="M746" s="19"/>
      <c r="N746" s="17"/>
      <c r="Q746" s="20"/>
    </row>
    <row r="747" spans="1:17" s="1" customFormat="1" ht="14.25" customHeight="1" x14ac:dyDescent="0.25">
      <c r="A747" s="15"/>
      <c r="B747" s="15"/>
      <c r="C747" s="15"/>
      <c r="D747" s="20"/>
      <c r="E747" s="20"/>
      <c r="F747" s="20"/>
      <c r="G747" s="20"/>
      <c r="H747" s="20"/>
      <c r="I747" s="21"/>
      <c r="J747" s="15"/>
      <c r="K747" s="21"/>
      <c r="L747" s="10"/>
      <c r="M747" s="19"/>
      <c r="N747" s="17"/>
      <c r="Q747" s="20"/>
    </row>
    <row r="748" spans="1:17" s="1" customFormat="1" ht="14.25" customHeight="1" x14ac:dyDescent="0.25">
      <c r="A748" s="15"/>
      <c r="B748" s="15"/>
      <c r="C748" s="15"/>
      <c r="D748" s="20"/>
      <c r="E748" s="20"/>
      <c r="F748" s="20"/>
      <c r="G748" s="20"/>
      <c r="H748" s="20"/>
      <c r="I748" s="21"/>
      <c r="J748" s="15"/>
      <c r="K748" s="21"/>
      <c r="L748" s="10"/>
      <c r="M748" s="19"/>
      <c r="N748" s="17"/>
      <c r="Q748" s="20"/>
    </row>
    <row r="749" spans="1:17" s="1" customFormat="1" ht="14.25" customHeight="1" x14ac:dyDescent="0.25">
      <c r="A749" s="15"/>
      <c r="B749" s="15"/>
      <c r="C749" s="15"/>
      <c r="D749" s="20"/>
      <c r="E749" s="20"/>
      <c r="F749" s="20"/>
      <c r="G749" s="20"/>
      <c r="H749" s="20"/>
      <c r="I749" s="21"/>
      <c r="J749" s="15"/>
      <c r="K749" s="21"/>
      <c r="L749" s="10"/>
      <c r="M749" s="19"/>
      <c r="N749" s="17"/>
      <c r="Q749" s="20"/>
    </row>
    <row r="750" spans="1:17" s="1" customFormat="1" ht="14.25" customHeight="1" x14ac:dyDescent="0.25">
      <c r="A750" s="15"/>
      <c r="B750" s="15"/>
      <c r="C750" s="15"/>
      <c r="D750" s="20"/>
      <c r="E750" s="20"/>
      <c r="F750" s="20"/>
      <c r="G750" s="20"/>
      <c r="H750" s="20"/>
      <c r="I750" s="21"/>
      <c r="J750" s="15"/>
      <c r="K750" s="21"/>
      <c r="L750" s="10"/>
      <c r="M750" s="19"/>
      <c r="N750" s="17"/>
      <c r="Q750" s="20"/>
    </row>
    <row r="751" spans="1:17" s="1" customFormat="1" ht="14.25" customHeight="1" x14ac:dyDescent="0.25">
      <c r="A751" s="15"/>
      <c r="B751" s="15"/>
      <c r="C751" s="15"/>
      <c r="D751" s="20"/>
      <c r="E751" s="20"/>
      <c r="F751" s="20"/>
      <c r="G751" s="20"/>
      <c r="H751" s="20"/>
      <c r="I751" s="21"/>
      <c r="J751" s="15"/>
      <c r="K751" s="21"/>
      <c r="L751" s="10"/>
      <c r="M751" s="19"/>
      <c r="N751" s="17"/>
      <c r="Q751" s="20"/>
    </row>
    <row r="752" spans="1:17" s="1" customFormat="1" ht="14.25" customHeight="1" x14ac:dyDescent="0.25">
      <c r="A752" s="15"/>
      <c r="B752" s="15"/>
      <c r="C752" s="15"/>
      <c r="D752" s="20"/>
      <c r="E752" s="20"/>
      <c r="F752" s="20"/>
      <c r="G752" s="20"/>
      <c r="H752" s="20"/>
      <c r="I752" s="21"/>
      <c r="J752" s="15"/>
      <c r="K752" s="21"/>
      <c r="L752" s="10"/>
      <c r="M752" s="19"/>
      <c r="N752" s="17"/>
      <c r="Q752" s="20"/>
    </row>
    <row r="753" spans="1:17" s="1" customFormat="1" ht="14.25" customHeight="1" x14ac:dyDescent="0.25">
      <c r="A753" s="15"/>
      <c r="B753" s="15"/>
      <c r="C753" s="15"/>
      <c r="D753" s="20"/>
      <c r="E753" s="20"/>
      <c r="F753" s="20"/>
      <c r="G753" s="20"/>
      <c r="H753" s="20"/>
      <c r="I753" s="21"/>
      <c r="J753" s="15"/>
      <c r="K753" s="21"/>
      <c r="L753" s="10"/>
      <c r="M753" s="19"/>
      <c r="N753" s="17"/>
      <c r="Q753" s="20"/>
    </row>
    <row r="754" spans="1:17" s="1" customFormat="1" ht="14.25" customHeight="1" x14ac:dyDescent="0.25">
      <c r="A754" s="15"/>
      <c r="B754" s="15"/>
      <c r="C754" s="15"/>
      <c r="D754" s="20"/>
      <c r="E754" s="20"/>
      <c r="F754" s="20"/>
      <c r="G754" s="20"/>
      <c r="H754" s="20"/>
      <c r="I754" s="21"/>
      <c r="J754" s="15"/>
      <c r="K754" s="21"/>
      <c r="L754" s="10"/>
      <c r="M754" s="19"/>
      <c r="N754" s="17"/>
      <c r="Q754" s="20"/>
    </row>
    <row r="755" spans="1:17" s="1" customFormat="1" ht="14.25" customHeight="1" x14ac:dyDescent="0.25">
      <c r="A755" s="15"/>
      <c r="B755" s="15"/>
      <c r="C755" s="15"/>
      <c r="D755" s="20"/>
      <c r="E755" s="20"/>
      <c r="F755" s="20"/>
      <c r="G755" s="20"/>
      <c r="H755" s="20"/>
      <c r="I755" s="21"/>
      <c r="J755" s="15"/>
      <c r="K755" s="21"/>
      <c r="L755" s="10"/>
      <c r="M755" s="19"/>
      <c r="N755" s="17"/>
      <c r="Q755" s="20"/>
    </row>
    <row r="756" spans="1:17" s="1" customFormat="1" ht="14.25" customHeight="1" x14ac:dyDescent="0.25">
      <c r="A756" s="15"/>
      <c r="B756" s="15"/>
      <c r="C756" s="15"/>
      <c r="D756" s="20"/>
      <c r="E756" s="20"/>
      <c r="F756" s="20"/>
      <c r="G756" s="20"/>
      <c r="H756" s="20"/>
      <c r="I756" s="21"/>
      <c r="J756" s="15"/>
      <c r="K756" s="21"/>
      <c r="L756" s="10"/>
      <c r="M756" s="19"/>
      <c r="N756" s="17"/>
      <c r="Q756" s="20"/>
    </row>
    <row r="757" spans="1:17" s="1" customFormat="1" ht="14.25" customHeight="1" x14ac:dyDescent="0.25">
      <c r="A757" s="15"/>
      <c r="B757" s="15"/>
      <c r="C757" s="15"/>
      <c r="D757" s="20"/>
      <c r="E757" s="20"/>
      <c r="F757" s="20"/>
      <c r="G757" s="20"/>
      <c r="H757" s="20"/>
      <c r="I757" s="21"/>
      <c r="J757" s="15"/>
      <c r="K757" s="21"/>
      <c r="L757" s="10"/>
      <c r="M757" s="19"/>
      <c r="N757" s="17"/>
      <c r="Q757" s="20"/>
    </row>
    <row r="758" spans="1:17" s="1" customFormat="1" ht="14.25" customHeight="1" x14ac:dyDescent="0.25">
      <c r="A758" s="15"/>
      <c r="B758" s="15"/>
      <c r="C758" s="15"/>
      <c r="D758" s="20"/>
      <c r="E758" s="20"/>
      <c r="F758" s="20"/>
      <c r="G758" s="20"/>
      <c r="H758" s="20"/>
      <c r="I758" s="21"/>
      <c r="J758" s="15"/>
      <c r="K758" s="21"/>
      <c r="L758" s="10"/>
      <c r="M758" s="19"/>
      <c r="N758" s="17"/>
      <c r="Q758" s="20"/>
    </row>
    <row r="759" spans="1:17" s="1" customFormat="1" ht="14.25" customHeight="1" x14ac:dyDescent="0.25">
      <c r="A759" s="15"/>
      <c r="B759" s="15"/>
      <c r="C759" s="15"/>
      <c r="D759" s="20"/>
      <c r="E759" s="20"/>
      <c r="F759" s="20"/>
      <c r="G759" s="20"/>
      <c r="H759" s="20"/>
      <c r="I759" s="21"/>
      <c r="J759" s="15"/>
      <c r="K759" s="21"/>
      <c r="L759" s="10"/>
      <c r="M759" s="19"/>
      <c r="N759" s="17"/>
      <c r="Q759" s="20"/>
    </row>
    <row r="760" spans="1:17" s="1" customFormat="1" ht="14.25" customHeight="1" x14ac:dyDescent="0.25">
      <c r="A760" s="15"/>
      <c r="B760" s="15"/>
      <c r="C760" s="15"/>
      <c r="D760" s="20"/>
      <c r="E760" s="20"/>
      <c r="F760" s="20"/>
      <c r="G760" s="20"/>
      <c r="H760" s="20"/>
      <c r="I760" s="21"/>
      <c r="J760" s="15"/>
      <c r="K760" s="21"/>
      <c r="L760" s="10"/>
      <c r="M760" s="19"/>
      <c r="N760" s="17"/>
      <c r="Q760" s="20"/>
    </row>
    <row r="761" spans="1:17" s="1" customFormat="1" ht="14.25" customHeight="1" x14ac:dyDescent="0.25">
      <c r="A761" s="15"/>
      <c r="B761" s="15"/>
      <c r="C761" s="15"/>
      <c r="D761" s="20"/>
      <c r="E761" s="20"/>
      <c r="F761" s="20"/>
      <c r="G761" s="20"/>
      <c r="H761" s="20"/>
      <c r="I761" s="21"/>
      <c r="J761" s="15"/>
      <c r="K761" s="21"/>
      <c r="L761" s="10"/>
      <c r="M761" s="19"/>
      <c r="N761" s="17"/>
      <c r="Q761" s="20"/>
    </row>
    <row r="762" spans="1:17" s="1" customFormat="1" ht="14.25" customHeight="1" x14ac:dyDescent="0.25">
      <c r="A762" s="15"/>
      <c r="B762" s="15"/>
      <c r="C762" s="15"/>
      <c r="D762" s="20"/>
      <c r="E762" s="20"/>
      <c r="F762" s="20"/>
      <c r="G762" s="20"/>
      <c r="H762" s="20"/>
      <c r="I762" s="21"/>
      <c r="J762" s="15"/>
      <c r="K762" s="21"/>
      <c r="L762" s="10"/>
      <c r="M762" s="19"/>
      <c r="N762" s="17"/>
      <c r="Q762" s="20"/>
    </row>
    <row r="763" spans="1:17" s="1" customFormat="1" ht="14.25" customHeight="1" x14ac:dyDescent="0.25">
      <c r="A763" s="15"/>
      <c r="B763" s="15"/>
      <c r="C763" s="15"/>
      <c r="D763" s="20"/>
      <c r="E763" s="20"/>
      <c r="F763" s="20"/>
      <c r="G763" s="20"/>
      <c r="H763" s="20"/>
      <c r="I763" s="21"/>
      <c r="J763" s="15"/>
      <c r="K763" s="21"/>
      <c r="L763" s="10"/>
      <c r="M763" s="19"/>
      <c r="N763" s="17"/>
      <c r="Q763" s="20"/>
    </row>
    <row r="764" spans="1:17" s="1" customFormat="1" ht="14.25" customHeight="1" x14ac:dyDescent="0.25">
      <c r="A764" s="15"/>
      <c r="B764" s="15"/>
      <c r="C764" s="15"/>
      <c r="D764" s="20"/>
      <c r="E764" s="20"/>
      <c r="F764" s="20"/>
      <c r="G764" s="20"/>
      <c r="H764" s="20"/>
      <c r="I764" s="21"/>
      <c r="J764" s="15"/>
      <c r="K764" s="21"/>
      <c r="L764" s="10"/>
      <c r="M764" s="19"/>
      <c r="N764" s="17"/>
      <c r="Q764" s="20"/>
    </row>
    <row r="765" spans="1:17" s="1" customFormat="1" ht="14.25" customHeight="1" x14ac:dyDescent="0.25">
      <c r="A765" s="15"/>
      <c r="B765" s="15"/>
      <c r="C765" s="15"/>
      <c r="D765" s="20"/>
      <c r="E765" s="20"/>
      <c r="F765" s="20"/>
      <c r="G765" s="20"/>
      <c r="H765" s="20"/>
      <c r="I765" s="21"/>
      <c r="J765" s="15"/>
      <c r="K765" s="21"/>
      <c r="L765" s="10"/>
      <c r="M765" s="19"/>
      <c r="N765" s="17"/>
      <c r="Q765" s="20"/>
    </row>
    <row r="766" spans="1:17" s="1" customFormat="1" ht="14.25" customHeight="1" x14ac:dyDescent="0.25">
      <c r="A766" s="15"/>
      <c r="B766" s="15"/>
      <c r="C766" s="15"/>
      <c r="D766" s="20"/>
      <c r="E766" s="20"/>
      <c r="F766" s="20"/>
      <c r="G766" s="20"/>
      <c r="H766" s="20"/>
      <c r="I766" s="21"/>
      <c r="J766" s="15"/>
      <c r="K766" s="21"/>
      <c r="L766" s="10"/>
      <c r="M766" s="19"/>
      <c r="N766" s="17"/>
      <c r="Q766" s="20"/>
    </row>
    <row r="767" spans="1:17" s="1" customFormat="1" ht="14.25" customHeight="1" x14ac:dyDescent="0.25">
      <c r="A767" s="15"/>
      <c r="B767" s="15"/>
      <c r="C767" s="15"/>
      <c r="D767" s="20"/>
      <c r="E767" s="20"/>
      <c r="F767" s="20"/>
      <c r="G767" s="20"/>
      <c r="H767" s="20"/>
      <c r="I767" s="21"/>
      <c r="J767" s="15"/>
      <c r="K767" s="21"/>
      <c r="L767" s="10"/>
      <c r="M767" s="19"/>
      <c r="N767" s="17"/>
      <c r="Q767" s="20"/>
    </row>
    <row r="768" spans="1:17" s="1" customFormat="1" ht="14.25" customHeight="1" x14ac:dyDescent="0.25">
      <c r="A768" s="15"/>
      <c r="B768" s="15"/>
      <c r="C768" s="15"/>
      <c r="D768" s="20"/>
      <c r="E768" s="20"/>
      <c r="F768" s="20"/>
      <c r="G768" s="20"/>
      <c r="H768" s="20"/>
      <c r="I768" s="21"/>
      <c r="J768" s="15"/>
      <c r="K768" s="21"/>
      <c r="L768" s="10"/>
      <c r="M768" s="19"/>
      <c r="N768" s="17"/>
      <c r="Q768" s="20"/>
    </row>
    <row r="769" spans="1:17" s="1" customFormat="1" ht="14.25" customHeight="1" x14ac:dyDescent="0.25">
      <c r="A769" s="15"/>
      <c r="B769" s="15"/>
      <c r="C769" s="15"/>
      <c r="D769" s="20"/>
      <c r="E769" s="20"/>
      <c r="F769" s="20"/>
      <c r="G769" s="20"/>
      <c r="H769" s="20"/>
      <c r="I769" s="21"/>
      <c r="J769" s="15"/>
      <c r="K769" s="21"/>
      <c r="L769" s="10"/>
      <c r="M769" s="19"/>
      <c r="N769" s="17"/>
      <c r="Q769" s="20"/>
    </row>
    <row r="770" spans="1:17" s="1" customFormat="1" ht="14.25" customHeight="1" x14ac:dyDescent="0.25">
      <c r="A770" s="15"/>
      <c r="B770" s="15"/>
      <c r="C770" s="15"/>
      <c r="D770" s="20"/>
      <c r="E770" s="20"/>
      <c r="F770" s="20"/>
      <c r="G770" s="20"/>
      <c r="H770" s="20"/>
      <c r="I770" s="21"/>
      <c r="J770" s="15"/>
      <c r="K770" s="21"/>
      <c r="L770" s="10"/>
      <c r="M770" s="19"/>
      <c r="N770" s="17"/>
      <c r="Q770" s="20"/>
    </row>
    <row r="771" spans="1:17" s="1" customFormat="1" ht="14.25" customHeight="1" x14ac:dyDescent="0.25">
      <c r="A771" s="15"/>
      <c r="B771" s="15"/>
      <c r="C771" s="15"/>
      <c r="D771" s="20"/>
      <c r="E771" s="20"/>
      <c r="F771" s="20"/>
      <c r="G771" s="20"/>
      <c r="H771" s="20"/>
      <c r="I771" s="21"/>
      <c r="J771" s="15"/>
      <c r="K771" s="21"/>
      <c r="L771" s="10"/>
      <c r="M771" s="19"/>
      <c r="N771" s="17"/>
      <c r="Q771" s="20"/>
    </row>
    <row r="772" spans="1:17" s="1" customFormat="1" ht="14.25" customHeight="1" x14ac:dyDescent="0.25">
      <c r="A772" s="15"/>
      <c r="B772" s="15"/>
      <c r="C772" s="15"/>
      <c r="D772" s="20"/>
      <c r="E772" s="20"/>
      <c r="F772" s="20"/>
      <c r="G772" s="20"/>
      <c r="H772" s="20"/>
      <c r="I772" s="21"/>
      <c r="J772" s="15"/>
      <c r="K772" s="21"/>
      <c r="L772" s="10"/>
      <c r="M772" s="19"/>
      <c r="N772" s="17"/>
      <c r="Q772" s="20"/>
    </row>
    <row r="773" spans="1:17" s="1" customFormat="1" ht="14.25" customHeight="1" x14ac:dyDescent="0.25">
      <c r="A773" s="15"/>
      <c r="B773" s="15"/>
      <c r="C773" s="15"/>
      <c r="D773" s="20"/>
      <c r="E773" s="20"/>
      <c r="F773" s="20"/>
      <c r="G773" s="20"/>
      <c r="H773" s="20"/>
      <c r="I773" s="21"/>
      <c r="J773" s="15"/>
      <c r="K773" s="21"/>
      <c r="L773" s="10"/>
      <c r="M773" s="19"/>
      <c r="N773" s="17"/>
      <c r="Q773" s="20"/>
    </row>
    <row r="774" spans="1:17" s="1" customFormat="1" ht="14.25" customHeight="1" x14ac:dyDescent="0.25">
      <c r="A774" s="15"/>
      <c r="B774" s="15"/>
      <c r="C774" s="15"/>
      <c r="D774" s="20"/>
      <c r="E774" s="20"/>
      <c r="F774" s="20"/>
      <c r="G774" s="20"/>
      <c r="H774" s="20"/>
      <c r="I774" s="21"/>
      <c r="J774" s="15"/>
      <c r="K774" s="21"/>
      <c r="L774" s="10"/>
      <c r="M774" s="19"/>
      <c r="N774" s="17"/>
      <c r="Q774" s="20"/>
    </row>
    <row r="775" spans="1:17" s="1" customFormat="1" ht="14.25" customHeight="1" x14ac:dyDescent="0.25">
      <c r="A775" s="15"/>
      <c r="B775" s="15"/>
      <c r="C775" s="15"/>
      <c r="D775" s="20"/>
      <c r="E775" s="20"/>
      <c r="F775" s="20"/>
      <c r="G775" s="20"/>
      <c r="H775" s="20"/>
      <c r="I775" s="21"/>
      <c r="J775" s="15"/>
      <c r="K775" s="21"/>
      <c r="L775" s="10"/>
      <c r="M775" s="19"/>
      <c r="N775" s="17"/>
      <c r="Q775" s="20"/>
    </row>
    <row r="776" spans="1:17" s="1" customFormat="1" ht="14.25" customHeight="1" x14ac:dyDescent="0.25">
      <c r="A776" s="15"/>
      <c r="B776" s="15"/>
      <c r="C776" s="15"/>
      <c r="D776" s="20"/>
      <c r="E776" s="20"/>
      <c r="F776" s="20"/>
      <c r="G776" s="20"/>
      <c r="H776" s="20"/>
      <c r="I776" s="21"/>
      <c r="J776" s="15"/>
      <c r="K776" s="21"/>
      <c r="L776" s="10"/>
      <c r="M776" s="19"/>
      <c r="N776" s="17"/>
      <c r="Q776" s="20"/>
    </row>
    <row r="777" spans="1:17" s="1" customFormat="1" ht="14.25" customHeight="1" x14ac:dyDescent="0.25">
      <c r="A777" s="15"/>
      <c r="B777" s="15"/>
      <c r="C777" s="15"/>
      <c r="D777" s="20"/>
      <c r="E777" s="20"/>
      <c r="F777" s="20"/>
      <c r="G777" s="20"/>
      <c r="H777" s="20"/>
      <c r="I777" s="21"/>
      <c r="J777" s="15"/>
      <c r="K777" s="21"/>
      <c r="L777" s="10"/>
      <c r="M777" s="19"/>
      <c r="N777" s="17"/>
      <c r="Q777" s="20"/>
    </row>
    <row r="778" spans="1:17" s="1" customFormat="1" ht="14.25" customHeight="1" x14ac:dyDescent="0.25">
      <c r="A778" s="15"/>
      <c r="B778" s="15"/>
      <c r="C778" s="15"/>
      <c r="D778" s="20"/>
      <c r="E778" s="20"/>
      <c r="F778" s="20"/>
      <c r="G778" s="20"/>
      <c r="H778" s="20"/>
      <c r="I778" s="21"/>
      <c r="J778" s="15"/>
      <c r="K778" s="21"/>
      <c r="L778" s="10"/>
      <c r="M778" s="19"/>
      <c r="N778" s="17"/>
      <c r="Q778" s="20"/>
    </row>
    <row r="779" spans="1:17" s="1" customFormat="1" ht="14.25" customHeight="1" x14ac:dyDescent="0.25">
      <c r="A779" s="15"/>
      <c r="B779" s="15"/>
      <c r="C779" s="15"/>
      <c r="D779" s="20"/>
      <c r="E779" s="20"/>
      <c r="F779" s="20"/>
      <c r="G779" s="20"/>
      <c r="H779" s="20"/>
      <c r="I779" s="21"/>
      <c r="J779" s="15"/>
      <c r="K779" s="21"/>
      <c r="L779" s="10"/>
      <c r="M779" s="19"/>
      <c r="N779" s="17"/>
      <c r="Q779" s="20"/>
    </row>
    <row r="780" spans="1:17" s="1" customFormat="1" ht="14.25" customHeight="1" x14ac:dyDescent="0.25">
      <c r="A780" s="15"/>
      <c r="B780" s="15"/>
      <c r="C780" s="15"/>
      <c r="D780" s="16"/>
      <c r="E780" s="16"/>
      <c r="F780" s="16"/>
      <c r="G780" s="16"/>
      <c r="H780" s="16"/>
      <c r="I780" s="15"/>
      <c r="J780" s="15"/>
      <c r="K780" s="10"/>
      <c r="L780" s="10"/>
      <c r="M780" s="19"/>
      <c r="N780" s="17"/>
      <c r="Q780" s="16"/>
    </row>
    <row r="781" spans="1:17" s="1" customFormat="1" ht="14.25" customHeight="1" x14ac:dyDescent="0.25">
      <c r="A781" s="15"/>
      <c r="B781" s="15"/>
      <c r="C781" s="15"/>
      <c r="D781" s="16"/>
      <c r="E781" s="16"/>
      <c r="F781" s="16"/>
      <c r="G781" s="16"/>
      <c r="H781" s="16"/>
      <c r="I781" s="15"/>
      <c r="J781" s="15"/>
      <c r="K781" s="10"/>
      <c r="L781" s="10"/>
      <c r="M781" s="19"/>
      <c r="N781" s="17"/>
      <c r="Q781" s="16"/>
    </row>
    <row r="782" spans="1:17" s="1" customFormat="1" ht="14.25" customHeight="1" x14ac:dyDescent="0.25">
      <c r="A782" s="15"/>
      <c r="B782" s="15"/>
      <c r="C782" s="15"/>
      <c r="D782" s="16"/>
      <c r="E782" s="16"/>
      <c r="F782" s="16"/>
      <c r="G782" s="16"/>
      <c r="H782" s="16"/>
      <c r="I782" s="15"/>
      <c r="J782" s="15"/>
      <c r="K782" s="10"/>
      <c r="L782" s="10"/>
      <c r="M782" s="19"/>
      <c r="N782" s="17"/>
      <c r="Q782" s="16"/>
    </row>
    <row r="783" spans="1:17" s="1" customFormat="1" ht="14.25" customHeight="1" x14ac:dyDescent="0.25">
      <c r="A783" s="15"/>
      <c r="B783" s="15"/>
      <c r="C783" s="15"/>
      <c r="D783" s="16"/>
      <c r="E783" s="16"/>
      <c r="F783" s="16"/>
      <c r="G783" s="16"/>
      <c r="H783" s="16"/>
      <c r="I783" s="15"/>
      <c r="J783" s="15"/>
      <c r="K783" s="10"/>
      <c r="L783" s="10"/>
      <c r="M783" s="19"/>
      <c r="N783" s="17"/>
      <c r="Q783" s="16"/>
    </row>
    <row r="784" spans="1:17" s="1" customFormat="1" ht="14.25" customHeight="1" x14ac:dyDescent="0.25">
      <c r="A784" s="15"/>
      <c r="B784" s="15"/>
      <c r="C784" s="15"/>
      <c r="D784" s="16"/>
      <c r="E784" s="16"/>
      <c r="F784" s="16"/>
      <c r="G784" s="16"/>
      <c r="H784" s="16"/>
      <c r="I784" s="15"/>
      <c r="J784" s="15"/>
      <c r="K784" s="10"/>
      <c r="L784" s="10"/>
      <c r="M784" s="17"/>
      <c r="N784" s="17"/>
      <c r="Q784" s="16"/>
    </row>
    <row r="785" spans="1:17" s="1" customFormat="1" ht="14.25" customHeight="1" x14ac:dyDescent="0.25">
      <c r="A785" s="15"/>
      <c r="B785" s="15"/>
      <c r="C785" s="15"/>
      <c r="D785" s="16"/>
      <c r="E785" s="16"/>
      <c r="F785" s="16"/>
      <c r="G785" s="16"/>
      <c r="H785" s="16"/>
      <c r="I785" s="15"/>
      <c r="J785" s="15"/>
      <c r="K785" s="10"/>
      <c r="L785" s="10"/>
      <c r="M785" s="17"/>
      <c r="N785" s="17"/>
      <c r="Q785" s="16"/>
    </row>
    <row r="786" spans="1:17" s="1" customFormat="1" ht="14.25" customHeight="1" x14ac:dyDescent="0.25">
      <c r="A786" s="15"/>
      <c r="B786" s="15"/>
      <c r="C786" s="15"/>
      <c r="D786" s="16"/>
      <c r="E786" s="16"/>
      <c r="F786" s="16"/>
      <c r="G786" s="16"/>
      <c r="H786" s="16"/>
      <c r="I786" s="15"/>
      <c r="J786" s="15"/>
      <c r="K786" s="10"/>
      <c r="L786" s="10"/>
      <c r="M786" s="17"/>
      <c r="N786" s="17"/>
      <c r="Q786" s="16"/>
    </row>
    <row r="787" spans="1:17" s="1" customFormat="1" ht="14.25" customHeight="1" x14ac:dyDescent="0.25">
      <c r="A787" s="15"/>
      <c r="B787" s="15"/>
      <c r="C787" s="15"/>
      <c r="D787" s="16"/>
      <c r="E787" s="16"/>
      <c r="F787" s="16"/>
      <c r="G787" s="16"/>
      <c r="H787" s="16"/>
      <c r="I787" s="15"/>
      <c r="J787" s="15"/>
      <c r="K787" s="10"/>
      <c r="L787" s="10"/>
      <c r="M787" s="17"/>
      <c r="N787" s="17"/>
      <c r="Q787" s="16"/>
    </row>
  </sheetData>
  <autoFilter ref="A7:Q488" xr:uid="{AEE30112-88BB-441D-AEFC-A7A733AB1798}">
    <sortState xmlns:xlrd2="http://schemas.microsoft.com/office/spreadsheetml/2017/richdata2" ref="A8:Q462">
      <sortCondition ref="B8:B462"/>
      <sortCondition ref="C8:C462"/>
      <sortCondition ref="D8:D462"/>
      <sortCondition ref="A8:A462"/>
    </sortState>
  </autoFilter>
  <sortState xmlns:xlrd2="http://schemas.microsoft.com/office/spreadsheetml/2017/richdata2" ref="A8:Q488">
    <sortCondition ref="B8:B488"/>
    <sortCondition ref="C8:C488"/>
    <sortCondition ref="D8:D488"/>
    <sortCondition ref="A8:A488"/>
  </sortState>
  <phoneticPr fontId="0" type="noConversion"/>
  <pageMargins left="0.35433070866141736" right="0.35433070866141736" top="0.15748031496062992" bottom="0.19685039370078741" header="0.51181102362204722" footer="0.19685039370078741"/>
  <pageSetup paperSize="9" scale="20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2023-07-30T07:09:54Z</cp:lastPrinted>
  <dcterms:created xsi:type="dcterms:W3CDTF">2003-01-08T15:13:21Z</dcterms:created>
  <dcterms:modified xsi:type="dcterms:W3CDTF">2026-06-23T17:28:20Z</dcterms:modified>
</cp:coreProperties>
</file>