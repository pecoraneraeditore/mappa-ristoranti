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E9B68F6-C151-41B6-B62B-BCF83D137BD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golose'!$A$7:$Q$479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3" i="6" l="1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T185" i="6"/>
  <c r="U185" i="6"/>
  <c r="V185" i="6"/>
  <c r="W185" i="6"/>
  <c r="X185" i="6"/>
  <c r="Y185" i="6"/>
  <c r="Z185" i="6"/>
  <c r="AA185" i="6"/>
  <c r="AB185" i="6"/>
  <c r="AG185" i="6"/>
  <c r="AH185" i="6"/>
  <c r="AI185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7" i="6"/>
  <c r="S476" i="6"/>
  <c r="S475" i="6"/>
  <c r="S474" i="6"/>
  <c r="S473" i="6"/>
  <c r="S472" i="6"/>
  <c r="S471" i="6"/>
  <c r="S470" i="6"/>
  <c r="AD189" i="6"/>
  <c r="AE189" i="6"/>
  <c r="AF189" i="6"/>
  <c r="AD190" i="6"/>
  <c r="AE190" i="6"/>
  <c r="AF190" i="6"/>
  <c r="S190" i="6"/>
  <c r="AG190" i="6"/>
  <c r="AH190" i="6"/>
  <c r="AI190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49" i="6"/>
  <c r="AE449" i="6"/>
  <c r="AD450" i="6"/>
  <c r="AE450" i="6"/>
  <c r="S449" i="6"/>
  <c r="AF449" i="6"/>
  <c r="AG449" i="6"/>
  <c r="AH449" i="6"/>
  <c r="AI449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8" i="6"/>
  <c r="AE458" i="6"/>
  <c r="AD459" i="6"/>
  <c r="AE459" i="6"/>
  <c r="AD460" i="6"/>
  <c r="AE460" i="6"/>
  <c r="AD461" i="6"/>
  <c r="AE461" i="6"/>
  <c r="S459" i="6"/>
  <c r="AF459" i="6"/>
  <c r="AG459" i="6"/>
  <c r="AH459" i="6"/>
  <c r="AI459" i="6"/>
  <c r="AD462" i="6"/>
  <c r="AE462" i="6"/>
  <c r="S462" i="6"/>
  <c r="AF462" i="6"/>
  <c r="AG462" i="6"/>
  <c r="AH462" i="6"/>
  <c r="AI462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F458" i="6"/>
  <c r="AG458" i="6"/>
  <c r="AH458" i="6"/>
  <c r="AI458" i="6"/>
  <c r="S460" i="6"/>
  <c r="AF460" i="6"/>
  <c r="AG460" i="6"/>
  <c r="AH460" i="6"/>
  <c r="AI460" i="6"/>
  <c r="S461" i="6"/>
  <c r="AF461" i="6"/>
  <c r="AG461" i="6"/>
  <c r="AH461" i="6"/>
  <c r="AI461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7" i="6" s="1"/>
  <c r="T472" i="6" l="1"/>
  <c r="T477" i="6"/>
  <c r="T474" i="6"/>
  <c r="T476" i="6"/>
  <c r="T473" i="6"/>
  <c r="T475" i="6"/>
  <c r="T479" i="6"/>
  <c r="T478" i="6"/>
  <c r="T471" i="6"/>
  <c r="T470" i="6"/>
  <c r="T190" i="6"/>
  <c r="T421" i="6"/>
  <c r="T420" i="6"/>
  <c r="T419" i="6"/>
  <c r="T418" i="6"/>
  <c r="T417" i="6"/>
  <c r="T98" i="6"/>
  <c r="T97" i="6"/>
  <c r="T96" i="6"/>
  <c r="T321" i="6"/>
  <c r="T359" i="6"/>
  <c r="T32" i="6"/>
  <c r="T86" i="6"/>
  <c r="T333" i="6"/>
  <c r="T364" i="6"/>
  <c r="T295" i="6"/>
  <c r="T186" i="6"/>
  <c r="T184" i="6"/>
  <c r="T64" i="6"/>
  <c r="T375" i="6"/>
  <c r="T374" i="6"/>
  <c r="T373" i="6"/>
  <c r="T449" i="6"/>
  <c r="T267" i="6"/>
  <c r="T238" i="6"/>
  <c r="T268" i="6"/>
  <c r="T216" i="6"/>
  <c r="T215" i="6"/>
  <c r="T352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8" i="6"/>
  <c r="T353" i="6"/>
  <c r="T316" i="6"/>
  <c r="T288" i="6"/>
  <c r="T265" i="6"/>
  <c r="T237" i="6"/>
  <c r="T214" i="6"/>
  <c r="T182" i="6"/>
  <c r="T70" i="6"/>
  <c r="T139" i="6"/>
  <c r="T99" i="6"/>
  <c r="T372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9" i="6"/>
  <c r="T68" i="6"/>
  <c r="T204" i="6"/>
  <c r="T361" i="6"/>
  <c r="T397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5" i="6"/>
  <c r="T405" i="6"/>
  <c r="T251" i="6"/>
  <c r="T303" i="6"/>
  <c r="T280" i="6"/>
  <c r="T245" i="6"/>
  <c r="T227" i="6"/>
  <c r="T202" i="6"/>
  <c r="T168" i="6"/>
  <c r="T154" i="6"/>
  <c r="T122" i="6"/>
  <c r="T49" i="6"/>
  <c r="T325" i="6"/>
  <c r="T127" i="6"/>
  <c r="T260" i="6"/>
  <c r="T326" i="6"/>
  <c r="T256" i="6"/>
  <c r="T173" i="6"/>
  <c r="T393" i="6"/>
  <c r="T302" i="6"/>
  <c r="T246" i="6"/>
  <c r="T223" i="6"/>
  <c r="T200" i="6"/>
  <c r="T161" i="6"/>
  <c r="T152" i="6"/>
  <c r="T120" i="6"/>
  <c r="T48" i="6"/>
  <c r="T377" i="6"/>
  <c r="T263" i="6"/>
  <c r="T60" i="6"/>
  <c r="T234" i="6"/>
  <c r="T284" i="6"/>
  <c r="T171" i="6"/>
  <c r="T369" i="6"/>
  <c r="T328" i="6"/>
  <c r="T279" i="6"/>
  <c r="T351" i="6"/>
  <c r="T249" i="6"/>
  <c r="T301" i="6"/>
  <c r="T276" i="6"/>
  <c r="T247" i="6"/>
  <c r="T222" i="6"/>
  <c r="T199" i="6"/>
  <c r="T169" i="6"/>
  <c r="T151" i="6"/>
  <c r="T119" i="6"/>
  <c r="T46" i="6"/>
  <c r="T313" i="6"/>
  <c r="T83" i="6"/>
  <c r="T381" i="6"/>
  <c r="T285" i="6"/>
  <c r="T67" i="6"/>
  <c r="T311" i="6"/>
  <c r="T125" i="6"/>
  <c r="T124" i="6"/>
  <c r="T334" i="6"/>
  <c r="T378" i="6"/>
  <c r="T335" i="6"/>
  <c r="T345" i="6"/>
  <c r="T300" i="6"/>
  <c r="T272" i="6"/>
  <c r="T170" i="6"/>
  <c r="T221" i="6"/>
  <c r="T191" i="6"/>
  <c r="T69" i="6"/>
  <c r="T150" i="6"/>
  <c r="T115" i="6"/>
  <c r="T45" i="6"/>
  <c r="T235" i="6"/>
  <c r="T342" i="6"/>
  <c r="T177" i="6"/>
  <c r="T205" i="6"/>
  <c r="T357" i="6"/>
  <c r="T308" i="6"/>
  <c r="T231" i="6"/>
  <c r="T165" i="6"/>
  <c r="T58" i="6"/>
  <c r="T322" i="6"/>
  <c r="T299" i="6"/>
  <c r="T162" i="6"/>
  <c r="T189" i="6"/>
  <c r="T147" i="6"/>
  <c r="T390" i="6"/>
  <c r="T254" i="6"/>
  <c r="T297" i="6"/>
  <c r="T270" i="6"/>
  <c r="T172" i="6"/>
  <c r="T219" i="6"/>
  <c r="T188" i="6"/>
  <c r="T90" i="6"/>
  <c r="T143" i="6"/>
  <c r="T106" i="6"/>
  <c r="T41" i="6"/>
  <c r="T207" i="6"/>
  <c r="T312" i="6"/>
  <c r="T84" i="6"/>
  <c r="T403" i="6"/>
  <c r="T157" i="6"/>
  <c r="T283" i="6"/>
  <c r="T156" i="6"/>
  <c r="T386" i="6"/>
  <c r="T253" i="6"/>
  <c r="T271" i="6"/>
  <c r="T220" i="6"/>
  <c r="T59" i="6"/>
  <c r="T111" i="6"/>
  <c r="T43" i="6"/>
  <c r="T394" i="6"/>
  <c r="T336" i="6"/>
  <c r="T255" i="6"/>
  <c r="T296" i="6"/>
  <c r="T269" i="6"/>
  <c r="T243" i="6"/>
  <c r="T218" i="6"/>
  <c r="T187" i="6"/>
  <c r="T73" i="6"/>
  <c r="T142" i="6"/>
  <c r="T104" i="6"/>
  <c r="T38" i="6"/>
  <c r="T33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50" i="6"/>
  <c r="T27" i="6"/>
  <c r="T26" i="6"/>
  <c r="T459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9" i="6"/>
  <c r="T370" i="6"/>
  <c r="T462" i="6"/>
  <c r="T382" i="6"/>
  <c r="T385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4" i="6"/>
  <c r="T28" i="6"/>
  <c r="T12" i="6"/>
  <c r="T468" i="6"/>
  <c r="T398" i="6"/>
  <c r="T401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40" i="6"/>
  <c r="T24" i="6"/>
  <c r="T10" i="6"/>
  <c r="T463" i="6"/>
  <c r="T402" i="6"/>
  <c r="T406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9" i="6"/>
  <c r="T23" i="6"/>
  <c r="T349" i="6"/>
  <c r="T388" i="6"/>
  <c r="T434" i="6"/>
  <c r="AD6" i="6"/>
  <c r="F3" i="6" s="1"/>
  <c r="T409" i="6"/>
  <c r="T407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53" i="6"/>
  <c r="T37" i="6"/>
  <c r="T21" i="6"/>
  <c r="T445" i="6"/>
  <c r="T355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52" i="6"/>
  <c r="T36" i="6"/>
  <c r="T20" i="6"/>
  <c r="T346" i="6"/>
  <c r="T356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7" i="6"/>
  <c r="T441" i="6"/>
  <c r="T425" i="6"/>
  <c r="T466" i="6"/>
  <c r="T448" i="6"/>
  <c r="T432" i="6"/>
  <c r="T415" i="6"/>
  <c r="T392" i="6"/>
  <c r="T360" i="6"/>
  <c r="T455" i="6"/>
  <c r="T439" i="6"/>
  <c r="T423" i="6"/>
  <c r="T347" i="6"/>
  <c r="T464" i="6"/>
  <c r="T446" i="6"/>
  <c r="T430" i="6"/>
  <c r="T413" i="6"/>
  <c r="T396" i="6"/>
  <c r="T379" i="6"/>
  <c r="T363" i="6"/>
  <c r="T453" i="6"/>
  <c r="T437" i="6"/>
  <c r="T411" i="6"/>
  <c r="T461" i="6"/>
  <c r="T444" i="6"/>
  <c r="T428" i="6"/>
  <c r="T400" i="6"/>
  <c r="T383" i="6"/>
  <c r="T367" i="6"/>
  <c r="T469" i="6"/>
  <c r="T451" i="6"/>
  <c r="T435" i="6"/>
  <c r="T458" i="6"/>
  <c r="T442" i="6"/>
  <c r="T426" i="6"/>
  <c r="T387" i="6"/>
  <c r="T371" i="6"/>
  <c r="T354" i="6"/>
  <c r="T467" i="6"/>
  <c r="T450" i="6"/>
  <c r="T433" i="6"/>
  <c r="T416" i="6"/>
  <c r="T404" i="6"/>
  <c r="T456" i="6"/>
  <c r="T440" i="6"/>
  <c r="T424" i="6"/>
  <c r="T391" i="6"/>
  <c r="T376" i="6"/>
  <c r="T358" i="6"/>
  <c r="T465" i="6"/>
  <c r="T447" i="6"/>
  <c r="T431" i="6"/>
  <c r="T414" i="6"/>
  <c r="T454" i="6"/>
  <c r="T438" i="6"/>
  <c r="T422" i="6"/>
  <c r="T412" i="6"/>
  <c r="T408" i="6"/>
  <c r="T395" i="6"/>
  <c r="T380" i="6"/>
  <c r="T362" i="6"/>
  <c r="T410" i="6"/>
  <c r="T330" i="6"/>
  <c r="T452" i="6"/>
  <c r="T436" i="6"/>
  <c r="T399" i="6"/>
  <c r="T384" i="6"/>
  <c r="T366" i="6"/>
  <c r="T460" i="6"/>
  <c r="T443" i="6"/>
  <c r="U472" i="6" l="1"/>
  <c r="U478" i="6"/>
  <c r="U479" i="6"/>
  <c r="U475" i="6"/>
  <c r="U473" i="6"/>
  <c r="U476" i="6"/>
  <c r="U474" i="6"/>
  <c r="U477" i="6"/>
  <c r="U190" i="6"/>
  <c r="U470" i="6"/>
  <c r="U471" i="6"/>
  <c r="U417" i="6"/>
  <c r="U418" i="6"/>
  <c r="U419" i="6"/>
  <c r="U420" i="6"/>
  <c r="U421" i="6"/>
  <c r="U321" i="6"/>
  <c r="U96" i="6"/>
  <c r="U97" i="6"/>
  <c r="U98" i="6"/>
  <c r="U13" i="6"/>
  <c r="U359" i="6"/>
  <c r="U332" i="6"/>
  <c r="U449" i="6"/>
  <c r="U373" i="6"/>
  <c r="U374" i="6"/>
  <c r="U375" i="6"/>
  <c r="U459" i="6"/>
  <c r="U91" i="6"/>
  <c r="U92" i="6"/>
  <c r="U93" i="6"/>
  <c r="U142" i="6"/>
  <c r="U107" i="6"/>
  <c r="U289" i="6"/>
  <c r="U180" i="6"/>
  <c r="U447" i="6"/>
  <c r="U411" i="6"/>
  <c r="U451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2" i="6"/>
  <c r="U108" i="6"/>
  <c r="U105" i="6"/>
  <c r="U329" i="6"/>
  <c r="U173" i="6"/>
  <c r="U205" i="6"/>
  <c r="U118" i="6"/>
  <c r="U323" i="6"/>
  <c r="U199" i="6"/>
  <c r="U292" i="6"/>
  <c r="U176" i="6"/>
  <c r="U156" i="6"/>
  <c r="U45" i="6"/>
  <c r="U22" i="6"/>
  <c r="U187" i="6"/>
  <c r="U36" i="6"/>
  <c r="U24" i="6"/>
  <c r="U52" i="6"/>
  <c r="U296" i="6"/>
  <c r="U121" i="6"/>
  <c r="U226" i="6"/>
  <c r="U202" i="6"/>
  <c r="U464" i="6"/>
  <c r="U469" i="6"/>
  <c r="U454" i="6"/>
  <c r="U20" i="6"/>
  <c r="U439" i="6"/>
  <c r="U320" i="6"/>
  <c r="U70" i="6"/>
  <c r="U453" i="6"/>
  <c r="U445" i="6"/>
  <c r="U234" i="6"/>
  <c r="U151" i="6"/>
  <c r="U312" i="6"/>
  <c r="U154" i="6"/>
  <c r="U238" i="6"/>
  <c r="U228" i="6"/>
  <c r="U110" i="6"/>
  <c r="U198" i="6"/>
  <c r="U230" i="6"/>
  <c r="V7" i="6"/>
  <c r="V139" i="6" s="1"/>
  <c r="U27" i="6"/>
  <c r="U456" i="6"/>
  <c r="U245" i="6"/>
  <c r="U437" i="6"/>
  <c r="U458" i="6"/>
  <c r="U21" i="6"/>
  <c r="U109" i="6"/>
  <c r="U19" i="6"/>
  <c r="U68" i="6"/>
  <c r="U408" i="6"/>
  <c r="U137" i="6"/>
  <c r="U340" i="6"/>
  <c r="U214" i="6"/>
  <c r="U348" i="6"/>
  <c r="U77" i="6"/>
  <c r="U264" i="6"/>
  <c r="U204" i="6"/>
  <c r="U280" i="6"/>
  <c r="U444" i="6"/>
  <c r="U455" i="6"/>
  <c r="U56" i="6"/>
  <c r="U35" i="6"/>
  <c r="U104" i="6"/>
  <c r="U72" i="6"/>
  <c r="U139" i="6"/>
  <c r="U130" i="6"/>
  <c r="U132" i="6"/>
  <c r="U331" i="6"/>
  <c r="U157" i="6"/>
  <c r="U174" i="6"/>
  <c r="U268" i="6"/>
  <c r="U434" i="6"/>
  <c r="U9" i="6"/>
  <c r="U67" i="6"/>
  <c r="U170" i="6"/>
  <c r="U150" i="6"/>
  <c r="U106" i="6"/>
  <c r="U11" i="6"/>
  <c r="U286" i="6"/>
  <c r="U349" i="6"/>
  <c r="U189" i="6"/>
  <c r="U432" i="6"/>
  <c r="U192" i="6"/>
  <c r="U75" i="6"/>
  <c r="U288" i="6"/>
  <c r="U425" i="6"/>
  <c r="U271" i="6"/>
  <c r="U178" i="6"/>
  <c r="U30" i="6"/>
  <c r="U438" i="6"/>
  <c r="U426" i="6"/>
  <c r="U465" i="6"/>
  <c r="U412" i="6"/>
  <c r="U141" i="6"/>
  <c r="U428" i="6"/>
  <c r="U10" i="6"/>
  <c r="U111" i="6"/>
  <c r="U23" i="6"/>
  <c r="U409" i="6"/>
  <c r="U155" i="6"/>
  <c r="U463" i="6"/>
  <c r="U102" i="6"/>
  <c r="U270" i="6"/>
  <c r="U74" i="6"/>
  <c r="U236" i="6"/>
  <c r="U158" i="6"/>
  <c r="U406" i="6"/>
  <c r="U83" i="6"/>
  <c r="U134" i="6"/>
  <c r="U416" i="6"/>
  <c r="U117" i="6"/>
  <c r="U148" i="6"/>
  <c r="U25" i="6"/>
  <c r="U302" i="6"/>
  <c r="U413" i="6"/>
  <c r="U206" i="6"/>
  <c r="U208" i="6"/>
  <c r="U307" i="6"/>
  <c r="U175" i="6"/>
  <c r="U310" i="6"/>
  <c r="U207" i="6"/>
  <c r="U58" i="6"/>
  <c r="U467" i="6"/>
  <c r="U123" i="6"/>
  <c r="U61" i="6"/>
  <c r="U8" i="6"/>
  <c r="U429" i="6"/>
  <c r="U350" i="6"/>
  <c r="U40" i="6"/>
  <c r="U220" i="6"/>
  <c r="U443" i="6"/>
  <c r="U86" i="6"/>
  <c r="U84" i="6"/>
  <c r="U461" i="6"/>
  <c r="U415" i="6"/>
  <c r="U460" i="6"/>
  <c r="U51" i="6"/>
  <c r="U88" i="6"/>
  <c r="U407" i="6"/>
  <c r="U101" i="6"/>
  <c r="U414" i="6"/>
  <c r="U252" i="6"/>
  <c r="U183" i="6"/>
  <c r="U167" i="6"/>
  <c r="U41" i="6"/>
  <c r="U163" i="6"/>
  <c r="U222" i="6"/>
  <c r="U448" i="6"/>
  <c r="U224" i="6"/>
  <c r="U254" i="6"/>
  <c r="U200" i="6"/>
  <c r="U365" i="6"/>
  <c r="U172" i="6"/>
  <c r="U404" i="6"/>
  <c r="U244" i="6"/>
  <c r="U80" i="6"/>
  <c r="U423" i="6"/>
  <c r="U442" i="6"/>
  <c r="U43" i="6"/>
  <c r="U38" i="6"/>
  <c r="U59" i="6"/>
  <c r="U54" i="6"/>
  <c r="U162" i="6"/>
  <c r="U468" i="6"/>
  <c r="U452" i="6"/>
  <c r="U126" i="6"/>
  <c r="U431" i="6"/>
  <c r="U217" i="6"/>
  <c r="U435" i="6"/>
  <c r="U186" i="6"/>
  <c r="U73" i="6"/>
  <c r="U466" i="6"/>
  <c r="U258" i="6"/>
  <c r="U395" i="6"/>
  <c r="U232" i="6"/>
  <c r="U273" i="6"/>
  <c r="U16" i="6"/>
  <c r="U209" i="6"/>
  <c r="U440" i="6"/>
  <c r="U29" i="6"/>
  <c r="U164" i="6"/>
  <c r="U427" i="6"/>
  <c r="U94" i="6"/>
  <c r="U436" i="6"/>
  <c r="U18" i="6"/>
  <c r="U433" i="6"/>
  <c r="U201" i="6"/>
  <c r="U133" i="6"/>
  <c r="U57" i="6"/>
  <c r="U430" i="6"/>
  <c r="U347" i="6"/>
  <c r="U248" i="6"/>
  <c r="U341" i="6"/>
  <c r="U227" i="6"/>
  <c r="U15" i="6"/>
  <c r="U422" i="6"/>
  <c r="U152" i="6"/>
  <c r="U424" i="6"/>
  <c r="U450" i="6"/>
  <c r="U127" i="6"/>
  <c r="U203" i="6"/>
  <c r="U89" i="6"/>
  <c r="U446" i="6"/>
  <c r="U274" i="6"/>
  <c r="U78" i="6"/>
  <c r="U269" i="6"/>
  <c r="U398" i="6"/>
  <c r="U179" i="6"/>
  <c r="U49" i="6"/>
  <c r="U87" i="6"/>
  <c r="U116" i="6"/>
  <c r="U293" i="6"/>
  <c r="U367" i="6"/>
  <c r="U119" i="6"/>
  <c r="U128" i="6"/>
  <c r="U291" i="6"/>
  <c r="U311" i="6"/>
  <c r="U384" i="6"/>
  <c r="U313" i="6"/>
  <c r="U188" i="6"/>
  <c r="U363" i="6"/>
  <c r="U309" i="6"/>
  <c r="U346" i="6"/>
  <c r="U410" i="6"/>
  <c r="U400" i="6"/>
  <c r="U279" i="6"/>
  <c r="U362" i="6"/>
  <c r="U242" i="6"/>
  <c r="U380" i="6"/>
  <c r="U253" i="6"/>
  <c r="U339" i="6"/>
  <c r="U441" i="6"/>
  <c r="U457" i="6"/>
  <c r="U299" i="6"/>
  <c r="U379" i="6"/>
  <c r="U396" i="6"/>
  <c r="U324" i="6"/>
  <c r="U366" i="6"/>
  <c r="U317" i="6"/>
  <c r="U44" i="6"/>
  <c r="U335" i="6"/>
  <c r="U381" i="6"/>
  <c r="U383" i="6"/>
  <c r="U344" i="6"/>
  <c r="U42" i="6"/>
  <c r="U322" i="6"/>
  <c r="U71" i="6"/>
  <c r="U364" i="6"/>
  <c r="U47" i="6"/>
  <c r="U14" i="6"/>
  <c r="U399" i="6"/>
  <c r="U355" i="6"/>
  <c r="U69" i="6"/>
  <c r="U12" i="6"/>
  <c r="U103" i="6"/>
  <c r="U397" i="6"/>
  <c r="U177" i="6"/>
  <c r="U48" i="6"/>
  <c r="U333" i="6"/>
  <c r="U371" i="6"/>
  <c r="U168" i="6"/>
  <c r="U351" i="6"/>
  <c r="U46" i="6"/>
  <c r="U240" i="6"/>
  <c r="U79" i="6"/>
  <c r="U112" i="6"/>
  <c r="U388" i="6"/>
  <c r="U334" i="6"/>
  <c r="U34" i="6"/>
  <c r="U120" i="6"/>
  <c r="U210" i="6"/>
  <c r="U247" i="6"/>
  <c r="U283" i="6"/>
  <c r="U231" i="6"/>
  <c r="U353" i="6"/>
  <c r="U378" i="6"/>
  <c r="U250" i="6"/>
  <c r="U211" i="6"/>
  <c r="U239" i="6"/>
  <c r="U50" i="6"/>
  <c r="U160" i="6"/>
  <c r="U215" i="6"/>
  <c r="U257" i="6"/>
  <c r="U287" i="6"/>
  <c r="U243" i="6"/>
  <c r="U357" i="6"/>
  <c r="U387" i="6"/>
  <c r="U113" i="6"/>
  <c r="U390" i="6"/>
  <c r="U194" i="6"/>
  <c r="U95" i="6"/>
  <c r="U144" i="6"/>
  <c r="U462" i="6"/>
  <c r="U53" i="6"/>
  <c r="U99" i="6"/>
  <c r="U165" i="6"/>
  <c r="U216" i="6"/>
  <c r="U259" i="6"/>
  <c r="U295" i="6"/>
  <c r="U255" i="6"/>
  <c r="U358" i="6"/>
  <c r="U389" i="6"/>
  <c r="U125" i="6"/>
  <c r="U261" i="6"/>
  <c r="U122" i="6"/>
  <c r="U81" i="6"/>
  <c r="U306" i="6"/>
  <c r="U90" i="6"/>
  <c r="U316" i="6"/>
  <c r="U246" i="6"/>
  <c r="U336" i="6"/>
  <c r="U39" i="6"/>
  <c r="U285" i="6"/>
  <c r="U55" i="6"/>
  <c r="U218" i="6"/>
  <c r="U297" i="6"/>
  <c r="U360" i="6"/>
  <c r="U277" i="6"/>
  <c r="U282" i="6"/>
  <c r="U212" i="6"/>
  <c r="U60" i="6"/>
  <c r="U114" i="6"/>
  <c r="U149" i="6"/>
  <c r="U221" i="6"/>
  <c r="U262" i="6"/>
  <c r="U298" i="6"/>
  <c r="U345" i="6"/>
  <c r="U391" i="6"/>
  <c r="U145" i="6"/>
  <c r="U33" i="6"/>
  <c r="U352" i="6"/>
  <c r="U386" i="6"/>
  <c r="U62" i="6"/>
  <c r="U115" i="6"/>
  <c r="U181" i="6"/>
  <c r="U223" i="6"/>
  <c r="U263" i="6"/>
  <c r="U300" i="6"/>
  <c r="U319" i="6"/>
  <c r="U361" i="6"/>
  <c r="U392" i="6"/>
  <c r="U225" i="6"/>
  <c r="U328" i="6"/>
  <c r="U368" i="6"/>
  <c r="U135" i="6"/>
  <c r="U251" i="6"/>
  <c r="U37" i="6"/>
  <c r="U63" i="6"/>
  <c r="U124" i="6"/>
  <c r="U182" i="6"/>
  <c r="U265" i="6"/>
  <c r="U301" i="6"/>
  <c r="U393" i="6"/>
  <c r="U266" i="6"/>
  <c r="U369" i="6"/>
  <c r="U136" i="6"/>
  <c r="U64" i="6"/>
  <c r="U140" i="6"/>
  <c r="U184" i="6"/>
  <c r="U303" i="6"/>
  <c r="U394" i="6"/>
  <c r="U138" i="6"/>
  <c r="U403" i="6"/>
  <c r="U241" i="6"/>
  <c r="U356" i="6"/>
  <c r="U17" i="6"/>
  <c r="U65" i="6"/>
  <c r="U169" i="6"/>
  <c r="U191" i="6"/>
  <c r="U143" i="6"/>
  <c r="U267" i="6"/>
  <c r="U304" i="6"/>
  <c r="U327" i="6"/>
  <c r="U370" i="6"/>
  <c r="U401" i="6"/>
  <c r="U276" i="6"/>
  <c r="U305" i="6"/>
  <c r="U372" i="6"/>
  <c r="U402" i="6"/>
  <c r="U197" i="6"/>
  <c r="U385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5" i="6"/>
  <c r="U235" i="6"/>
  <c r="U256" i="6"/>
  <c r="U32" i="6"/>
  <c r="U85" i="6"/>
  <c r="U147" i="6"/>
  <c r="U196" i="6"/>
  <c r="U237" i="6"/>
  <c r="U281" i="6"/>
  <c r="U315" i="6"/>
  <c r="U325" i="6"/>
  <c r="U376" i="6"/>
  <c r="U337" i="6"/>
  <c r="U377" i="6"/>
  <c r="U354" i="6"/>
  <c r="U213" i="6"/>
  <c r="U249" i="6"/>
  <c r="U260" i="6"/>
  <c r="F5" i="6"/>
  <c r="G5" i="6"/>
  <c r="E5" i="6"/>
  <c r="H4" i="6"/>
  <c r="H3" i="6"/>
  <c r="T5" i="6"/>
  <c r="V309" i="6"/>
  <c r="V462" i="6" l="1"/>
  <c r="V472" i="6"/>
  <c r="V478" i="6"/>
  <c r="V479" i="6"/>
  <c r="V475" i="6"/>
  <c r="V473" i="6"/>
  <c r="V476" i="6"/>
  <c r="V474" i="6"/>
  <c r="V477" i="6"/>
  <c r="V376" i="6"/>
  <c r="V187" i="6"/>
  <c r="V458" i="6"/>
  <c r="V352" i="6"/>
  <c r="V236" i="6"/>
  <c r="V190" i="6"/>
  <c r="V470" i="6"/>
  <c r="V471" i="6"/>
  <c r="V417" i="6"/>
  <c r="V418" i="6"/>
  <c r="V419" i="6"/>
  <c r="V420" i="6"/>
  <c r="V421" i="6"/>
  <c r="V96" i="6"/>
  <c r="V97" i="6"/>
  <c r="V98" i="6"/>
  <c r="V359" i="6"/>
  <c r="V321" i="6"/>
  <c r="V94" i="6"/>
  <c r="V306" i="6"/>
  <c r="V380" i="6"/>
  <c r="V38" i="6"/>
  <c r="V260" i="6"/>
  <c r="V127" i="6"/>
  <c r="V314" i="6"/>
  <c r="V388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3" i="6"/>
  <c r="V180" i="6"/>
  <c r="V449" i="6"/>
  <c r="V373" i="6"/>
  <c r="V374" i="6"/>
  <c r="V375" i="6"/>
  <c r="V459" i="6"/>
  <c r="V91" i="6"/>
  <c r="V92" i="6"/>
  <c r="V93" i="6"/>
  <c r="V152" i="6"/>
  <c r="V413" i="6"/>
  <c r="V202" i="6"/>
  <c r="V464" i="6"/>
  <c r="V351" i="6"/>
  <c r="V249" i="6"/>
  <c r="V72" i="6"/>
  <c r="V355" i="6"/>
  <c r="V103" i="6"/>
  <c r="V386" i="6"/>
  <c r="V133" i="6"/>
  <c r="V250" i="6"/>
  <c r="V199" i="6"/>
  <c r="V252" i="6"/>
  <c r="V55" i="6"/>
  <c r="V277" i="6"/>
  <c r="V12" i="6"/>
  <c r="V228" i="6"/>
  <c r="V341" i="6"/>
  <c r="V51" i="6"/>
  <c r="V274" i="6"/>
  <c r="V444" i="6"/>
  <c r="V193" i="6"/>
  <c r="V288" i="6"/>
  <c r="V34" i="6"/>
  <c r="V154" i="6"/>
  <c r="V247" i="6"/>
  <c r="V32" i="6"/>
  <c r="V389" i="6"/>
  <c r="V123" i="6"/>
  <c r="V435" i="6"/>
  <c r="V354" i="6"/>
  <c r="V64" i="6"/>
  <c r="V451" i="6"/>
  <c r="V344" i="6"/>
  <c r="V35" i="6"/>
  <c r="V369" i="6"/>
  <c r="V117" i="6"/>
  <c r="V232" i="6"/>
  <c r="V434" i="6"/>
  <c r="V181" i="6"/>
  <c r="V399" i="6"/>
  <c r="V146" i="6"/>
  <c r="V261" i="6"/>
  <c r="V465" i="6"/>
  <c r="V212" i="6"/>
  <c r="V322" i="6"/>
  <c r="V19" i="6"/>
  <c r="V258" i="6"/>
  <c r="V428" i="6"/>
  <c r="V175" i="6"/>
  <c r="V272" i="6"/>
  <c r="V391" i="6"/>
  <c r="V138" i="6"/>
  <c r="V237" i="6"/>
  <c r="V264" i="6"/>
  <c r="V446" i="6"/>
  <c r="V298" i="6"/>
  <c r="V469" i="6"/>
  <c r="V9" i="6"/>
  <c r="V245" i="6"/>
  <c r="V87" i="6"/>
  <c r="V423" i="6"/>
  <c r="V315" i="6"/>
  <c r="V65" i="6"/>
  <c r="V353" i="6"/>
  <c r="V101" i="6"/>
  <c r="V216" i="6"/>
  <c r="V169" i="6"/>
  <c r="V383" i="6"/>
  <c r="V130" i="6"/>
  <c r="V79" i="6"/>
  <c r="V447" i="6"/>
  <c r="V196" i="6"/>
  <c r="V307" i="6"/>
  <c r="V78" i="6"/>
  <c r="V242" i="6"/>
  <c r="W7" i="6"/>
  <c r="V90" i="6"/>
  <c r="V256" i="6"/>
  <c r="V122" i="6"/>
  <c r="V221" i="6"/>
  <c r="V468" i="6"/>
  <c r="V207" i="6"/>
  <c r="V439" i="6"/>
  <c r="V360" i="6"/>
  <c r="V166" i="6"/>
  <c r="V455" i="6"/>
  <c r="V407" i="6"/>
  <c r="V299" i="6"/>
  <c r="V66" i="6"/>
  <c r="V345" i="6"/>
  <c r="V31" i="6"/>
  <c r="V200" i="6"/>
  <c r="V334" i="6"/>
  <c r="V80" i="6"/>
  <c r="V366" i="6"/>
  <c r="V114" i="6"/>
  <c r="V229" i="6"/>
  <c r="V431" i="6"/>
  <c r="V178" i="6"/>
  <c r="V291" i="6"/>
  <c r="V40" i="6"/>
  <c r="V226" i="6"/>
  <c r="V410" i="6"/>
  <c r="V157" i="6"/>
  <c r="V240" i="6"/>
  <c r="V358" i="6"/>
  <c r="V106" i="6"/>
  <c r="V205" i="6"/>
  <c r="V442" i="6"/>
  <c r="V251" i="6"/>
  <c r="V402" i="6"/>
  <c r="V170" i="6"/>
  <c r="V363" i="6"/>
  <c r="V304" i="6"/>
  <c r="V403" i="6"/>
  <c r="V136" i="6"/>
  <c r="V10" i="6"/>
  <c r="V268" i="6"/>
  <c r="V43" i="6"/>
  <c r="V425" i="6"/>
  <c r="V316" i="6"/>
  <c r="V283" i="6"/>
  <c r="V24" i="6"/>
  <c r="V313" i="6"/>
  <c r="V84" i="6"/>
  <c r="V182" i="6"/>
  <c r="V400" i="6"/>
  <c r="V147" i="6"/>
  <c r="V339" i="6"/>
  <c r="V77" i="6"/>
  <c r="V213" i="6"/>
  <c r="V414" i="6"/>
  <c r="V89" i="6"/>
  <c r="V275" i="6"/>
  <c r="V463" i="6"/>
  <c r="V210" i="6"/>
  <c r="V394" i="6"/>
  <c r="V141" i="6"/>
  <c r="V224" i="6"/>
  <c r="V343" i="6"/>
  <c r="V41" i="6"/>
  <c r="V188" i="6"/>
  <c r="V75" i="6"/>
  <c r="V303" i="6"/>
  <c r="V441" i="6"/>
  <c r="V372" i="6"/>
  <c r="V184" i="6"/>
  <c r="V457" i="6"/>
  <c r="V409" i="6"/>
  <c r="V234" i="6"/>
  <c r="V267" i="6"/>
  <c r="V102" i="6"/>
  <c r="V297" i="6"/>
  <c r="V52" i="6"/>
  <c r="V168" i="6"/>
  <c r="V384" i="6"/>
  <c r="V131" i="6"/>
  <c r="V330" i="6"/>
  <c r="V25" i="6"/>
  <c r="V197" i="6"/>
  <c r="V336" i="6"/>
  <c r="V160" i="6"/>
  <c r="V259" i="6"/>
  <c r="V445" i="6"/>
  <c r="V194" i="6"/>
  <c r="V378" i="6"/>
  <c r="V125" i="6"/>
  <c r="V208" i="6"/>
  <c r="V255" i="6"/>
  <c r="V95" i="6"/>
  <c r="V59" i="6"/>
  <c r="V74" i="6"/>
  <c r="V220" i="6"/>
  <c r="V350" i="6"/>
  <c r="V282" i="6"/>
  <c r="V107" i="6"/>
  <c r="V427" i="6"/>
  <c r="V328" i="6"/>
  <c r="V155" i="6"/>
  <c r="V164" i="6"/>
  <c r="V33" i="6"/>
  <c r="V281" i="6"/>
  <c r="V20" i="6"/>
  <c r="V367" i="6"/>
  <c r="V115" i="6"/>
  <c r="V310" i="6"/>
  <c r="V58" i="6"/>
  <c r="V179" i="6"/>
  <c r="V397" i="6"/>
  <c r="V144" i="6"/>
  <c r="V243" i="6"/>
  <c r="V429" i="6"/>
  <c r="V176" i="6"/>
  <c r="V361" i="6"/>
  <c r="V109" i="6"/>
  <c r="V192" i="6"/>
  <c r="V302" i="6"/>
  <c r="V30" i="6"/>
  <c r="V70" i="6"/>
  <c r="V150" i="6"/>
  <c r="V387" i="6"/>
  <c r="V191" i="6"/>
  <c r="V460" i="6"/>
  <c r="V239" i="6"/>
  <c r="V69" i="6"/>
  <c r="V235" i="6"/>
  <c r="V60" i="6"/>
  <c r="V265" i="6"/>
  <c r="V401" i="6"/>
  <c r="V148" i="6"/>
  <c r="V323" i="6"/>
  <c r="V99" i="6"/>
  <c r="V294" i="6"/>
  <c r="V46" i="6"/>
  <c r="V162" i="6"/>
  <c r="V381" i="6"/>
  <c r="V128" i="6"/>
  <c r="V227" i="6"/>
  <c r="V332" i="6"/>
  <c r="V61" i="6"/>
  <c r="V253" i="6"/>
  <c r="V47" i="6"/>
  <c r="V174" i="6"/>
  <c r="V286" i="6"/>
  <c r="V406" i="6"/>
  <c r="V153" i="6"/>
  <c r="V26" i="6"/>
  <c r="V287" i="6"/>
  <c r="V120" i="6"/>
  <c r="V432" i="6"/>
  <c r="V326" i="6"/>
  <c r="V57" i="6"/>
  <c r="V412" i="6"/>
  <c r="V219" i="6"/>
  <c r="V54" i="6"/>
  <c r="V172" i="6"/>
  <c r="V385" i="6"/>
  <c r="V132" i="6"/>
  <c r="V346" i="6"/>
  <c r="V27" i="6"/>
  <c r="V278" i="6"/>
  <c r="V14" i="6"/>
  <c r="V161" i="6"/>
  <c r="V364" i="6"/>
  <c r="V112" i="6"/>
  <c r="V211" i="6"/>
  <c r="V337" i="6"/>
  <c r="V158" i="6"/>
  <c r="V319" i="6"/>
  <c r="V15" i="6"/>
  <c r="V73" i="6"/>
  <c r="V270" i="6"/>
  <c r="V390" i="6"/>
  <c r="V137" i="6"/>
  <c r="V443" i="6"/>
  <c r="V204" i="6"/>
  <c r="V466" i="6"/>
  <c r="V11" i="6"/>
  <c r="V248" i="6"/>
  <c r="V71" i="6"/>
  <c r="V454" i="6"/>
  <c r="V203" i="6"/>
  <c r="V22" i="6"/>
  <c r="V233" i="6"/>
  <c r="V368" i="6"/>
  <c r="V116" i="6"/>
  <c r="V311" i="6"/>
  <c r="V81" i="6"/>
  <c r="V262" i="6"/>
  <c r="V398" i="6"/>
  <c r="V145" i="6"/>
  <c r="V324" i="6"/>
  <c r="V53" i="6"/>
  <c r="V195" i="6"/>
  <c r="V395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5" i="6"/>
  <c r="V134" i="6"/>
  <c r="V437" i="6"/>
  <c r="V356" i="6"/>
  <c r="V453" i="6"/>
  <c r="V438" i="6"/>
  <c r="V186" i="6"/>
  <c r="V411" i="6"/>
  <c r="V217" i="6"/>
  <c r="V338" i="6"/>
  <c r="V100" i="6"/>
  <c r="V295" i="6"/>
  <c r="V48" i="6"/>
  <c r="V163" i="6"/>
  <c r="V382" i="6"/>
  <c r="V129" i="6"/>
  <c r="V331" i="6"/>
  <c r="V21" i="6"/>
  <c r="V177" i="6"/>
  <c r="V379" i="6"/>
  <c r="V126" i="6"/>
  <c r="V289" i="6"/>
  <c r="V36" i="6"/>
  <c r="V140" i="6"/>
  <c r="V238" i="6"/>
  <c r="V357" i="6"/>
  <c r="V105" i="6"/>
  <c r="V223" i="6"/>
  <c r="V430" i="6"/>
  <c r="V119" i="6"/>
  <c r="V416" i="6"/>
  <c r="V244" i="6"/>
  <c r="V461" i="6"/>
  <c r="V86" i="6"/>
  <c r="V448" i="6"/>
  <c r="V392" i="6"/>
  <c r="V349" i="6"/>
  <c r="V8" i="6"/>
  <c r="V266" i="6"/>
  <c r="V37" i="6"/>
  <c r="V424" i="6"/>
  <c r="V422" i="6"/>
  <c r="V167" i="6"/>
  <c r="V452" i="6"/>
  <c r="V201" i="6"/>
  <c r="V329" i="6"/>
  <c r="V29" i="6"/>
  <c r="V279" i="6"/>
  <c r="V16" i="6"/>
  <c r="V230" i="6"/>
  <c r="V365" i="6"/>
  <c r="V113" i="6"/>
  <c r="V308" i="6"/>
  <c r="V88" i="6"/>
  <c r="V82" i="6"/>
  <c r="V362" i="6"/>
  <c r="V110" i="6"/>
  <c r="V273" i="6"/>
  <c r="V393" i="6"/>
  <c r="V124" i="6"/>
  <c r="V222" i="6"/>
  <c r="V327" i="6"/>
  <c r="V39" i="6"/>
  <c r="V300" i="6"/>
  <c r="V440" i="6"/>
  <c r="V370" i="6"/>
  <c r="V173" i="6"/>
  <c r="V456" i="6"/>
  <c r="V408" i="6"/>
  <c r="V333" i="6"/>
  <c r="V436" i="6"/>
  <c r="V183" i="6"/>
  <c r="V312" i="6"/>
  <c r="V68" i="6"/>
  <c r="V263" i="6"/>
  <c r="V467" i="6"/>
  <c r="V214" i="6"/>
  <c r="V340" i="6"/>
  <c r="V62" i="6"/>
  <c r="V292" i="6"/>
  <c r="V42" i="6"/>
  <c r="V159" i="6"/>
  <c r="V325" i="6"/>
  <c r="V49" i="6"/>
  <c r="V257" i="6"/>
  <c r="V377" i="6"/>
  <c r="V108" i="6"/>
  <c r="V206" i="6"/>
  <c r="V317" i="6"/>
  <c r="V118" i="6"/>
  <c r="V371" i="6"/>
  <c r="V215" i="6"/>
  <c r="V44" i="6"/>
  <c r="V290" i="6"/>
  <c r="V209" i="6"/>
  <c r="V269" i="6"/>
  <c r="V405" i="6"/>
  <c r="V218" i="6"/>
  <c r="V335" i="6"/>
  <c r="V271" i="6"/>
  <c r="V104" i="6"/>
  <c r="V426" i="6"/>
  <c r="V254" i="6"/>
  <c r="V404" i="6"/>
  <c r="V151" i="6"/>
  <c r="V76" i="6"/>
  <c r="V296" i="6"/>
  <c r="V50" i="6"/>
  <c r="V171" i="6"/>
  <c r="V450" i="6"/>
  <c r="V198" i="6"/>
  <c r="V347" i="6"/>
  <c r="V23" i="6"/>
  <c r="V276" i="6"/>
  <c r="V396" i="6"/>
  <c r="V143" i="6"/>
  <c r="V320" i="6"/>
  <c r="V17" i="6"/>
  <c r="V241" i="6"/>
  <c r="V342" i="6"/>
  <c r="V45" i="6"/>
  <c r="V189" i="6"/>
  <c r="V301" i="6"/>
  <c r="V85" i="6"/>
  <c r="U5" i="6"/>
  <c r="H5" i="6"/>
  <c r="W35" i="6" l="1"/>
  <c r="W477" i="6"/>
  <c r="W472" i="6"/>
  <c r="W478" i="6"/>
  <c r="W479" i="6"/>
  <c r="W475" i="6"/>
  <c r="W473" i="6"/>
  <c r="W476" i="6"/>
  <c r="W474" i="6"/>
  <c r="W190" i="6"/>
  <c r="W470" i="6"/>
  <c r="W471" i="6"/>
  <c r="W417" i="6"/>
  <c r="W418" i="6"/>
  <c r="W419" i="6"/>
  <c r="W420" i="6"/>
  <c r="W421" i="6"/>
  <c r="W124" i="6"/>
  <c r="W96" i="6"/>
  <c r="W97" i="6"/>
  <c r="W98" i="6"/>
  <c r="W355" i="6"/>
  <c r="W321" i="6"/>
  <c r="W60" i="6"/>
  <c r="W117" i="6"/>
  <c r="W85" i="6"/>
  <c r="W248" i="6"/>
  <c r="W183" i="6"/>
  <c r="W275" i="6"/>
  <c r="W17" i="6"/>
  <c r="W406" i="6"/>
  <c r="W12" i="6"/>
  <c r="W37" i="6"/>
  <c r="W146" i="6"/>
  <c r="W315" i="6"/>
  <c r="W359" i="6"/>
  <c r="W352" i="6"/>
  <c r="W59" i="6"/>
  <c r="W427" i="6"/>
  <c r="W197" i="6"/>
  <c r="W8" i="6"/>
  <c r="W468" i="6"/>
  <c r="W415" i="6"/>
  <c r="W399" i="6"/>
  <c r="W52" i="6"/>
  <c r="W61" i="6"/>
  <c r="W66" i="6"/>
  <c r="W32" i="6"/>
  <c r="W449" i="6"/>
  <c r="W373" i="6"/>
  <c r="W374" i="6"/>
  <c r="W375" i="6"/>
  <c r="W299" i="6"/>
  <c r="W33" i="6"/>
  <c r="W91" i="6"/>
  <c r="W92" i="6"/>
  <c r="W93" i="6"/>
  <c r="V5" i="6"/>
  <c r="W376" i="6"/>
  <c r="W401" i="6"/>
  <c r="W398" i="6"/>
  <c r="W407" i="6"/>
  <c r="W464" i="6"/>
  <c r="W446" i="6"/>
  <c r="W430" i="6"/>
  <c r="W31" i="6"/>
  <c r="W30" i="6"/>
  <c r="W58" i="6"/>
  <c r="W83" i="6"/>
  <c r="W116" i="6"/>
  <c r="W144" i="6"/>
  <c r="W161" i="6"/>
  <c r="W241" i="6"/>
  <c r="W177" i="6"/>
  <c r="W43" i="6"/>
  <c r="W259" i="6"/>
  <c r="W166" i="6"/>
  <c r="W383" i="6"/>
  <c r="W108" i="6"/>
  <c r="W206" i="6"/>
  <c r="W36" i="6"/>
  <c r="W50" i="6"/>
  <c r="W283" i="6"/>
  <c r="W339" i="6"/>
  <c r="W396" i="6"/>
  <c r="W333" i="6"/>
  <c r="W414" i="6"/>
  <c r="W461" i="6"/>
  <c r="W428" i="6"/>
  <c r="W252" i="6"/>
  <c r="W463" i="6"/>
  <c r="W445" i="6"/>
  <c r="W29" i="6"/>
  <c r="W56" i="6"/>
  <c r="W80" i="6"/>
  <c r="W115" i="6"/>
  <c r="W142" i="6"/>
  <c r="W162" i="6"/>
  <c r="W331" i="6"/>
  <c r="W27" i="6"/>
  <c r="W220" i="6"/>
  <c r="W438" i="6"/>
  <c r="W157" i="6"/>
  <c r="W366" i="6"/>
  <c r="W86" i="6"/>
  <c r="W302" i="6"/>
  <c r="W20" i="6"/>
  <c r="W34" i="6"/>
  <c r="W267" i="6"/>
  <c r="W75" i="6"/>
  <c r="W186" i="6"/>
  <c r="W227" i="6"/>
  <c r="W340" i="6"/>
  <c r="W372" i="6"/>
  <c r="W395" i="6"/>
  <c r="W316" i="6"/>
  <c r="W408" i="6"/>
  <c r="W351" i="6"/>
  <c r="W465" i="6"/>
  <c r="W443" i="6"/>
  <c r="W456" i="6"/>
  <c r="W429" i="6"/>
  <c r="W28" i="6"/>
  <c r="W53" i="6"/>
  <c r="W79" i="6"/>
  <c r="W114" i="6"/>
  <c r="W139" i="6"/>
  <c r="W309" i="6"/>
  <c r="W452" i="6"/>
  <c r="W245" i="6"/>
  <c r="W409" i="6"/>
  <c r="W141" i="6"/>
  <c r="W317" i="6"/>
  <c r="W70" i="6"/>
  <c r="W286" i="6"/>
  <c r="W300" i="6"/>
  <c r="W18" i="6"/>
  <c r="W225" i="6"/>
  <c r="W74" i="6"/>
  <c r="W347" i="6"/>
  <c r="W348" i="6"/>
  <c r="W203" i="6"/>
  <c r="W370" i="6"/>
  <c r="W393" i="6"/>
  <c r="W392" i="6"/>
  <c r="W391" i="6"/>
  <c r="W322" i="6"/>
  <c r="W447" i="6"/>
  <c r="W457" i="6"/>
  <c r="W424" i="6"/>
  <c r="W469" i="6"/>
  <c r="W26" i="6"/>
  <c r="W51" i="6"/>
  <c r="W78" i="6"/>
  <c r="W112" i="6"/>
  <c r="W293" i="6"/>
  <c r="W460" i="6"/>
  <c r="W213" i="6"/>
  <c r="W400" i="6"/>
  <c r="W125" i="6"/>
  <c r="W344" i="6"/>
  <c r="W54" i="6"/>
  <c r="W270" i="6"/>
  <c r="W284" i="6"/>
  <c r="X7" i="6"/>
  <c r="W236" i="6"/>
  <c r="W459" i="6"/>
  <c r="W297" i="6"/>
  <c r="W296" i="6"/>
  <c r="W254" i="6"/>
  <c r="W341" i="6"/>
  <c r="W368" i="6"/>
  <c r="W365" i="6"/>
  <c r="W363" i="6"/>
  <c r="W390" i="6"/>
  <c r="W410" i="6"/>
  <c r="W403" i="6"/>
  <c r="W441" i="6"/>
  <c r="W466" i="6"/>
  <c r="W448" i="6"/>
  <c r="W24" i="6"/>
  <c r="W48" i="6"/>
  <c r="W77" i="6"/>
  <c r="W277" i="6"/>
  <c r="W426" i="6"/>
  <c r="W251" i="6"/>
  <c r="W384" i="6"/>
  <c r="W109" i="6"/>
  <c r="W222" i="6"/>
  <c r="W38" i="6"/>
  <c r="W239" i="6"/>
  <c r="W268" i="6"/>
  <c r="W416" i="6"/>
  <c r="W176" i="6"/>
  <c r="W462" i="6"/>
  <c r="W269" i="6"/>
  <c r="W266" i="6"/>
  <c r="W295" i="6"/>
  <c r="W214" i="6"/>
  <c r="W325" i="6"/>
  <c r="W318" i="6"/>
  <c r="W253" i="6"/>
  <c r="W362" i="6"/>
  <c r="W389" i="6"/>
  <c r="W387" i="6"/>
  <c r="W411" i="6"/>
  <c r="W432" i="6"/>
  <c r="W458" i="6"/>
  <c r="W439" i="6"/>
  <c r="W21" i="6"/>
  <c r="W47" i="6"/>
  <c r="W261" i="6"/>
  <c r="W455" i="6"/>
  <c r="W159" i="6"/>
  <c r="W367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60" i="6"/>
  <c r="W385" i="6"/>
  <c r="W349" i="6"/>
  <c r="W454" i="6"/>
  <c r="W442" i="6"/>
  <c r="W436" i="6"/>
  <c r="W19" i="6"/>
  <c r="W173" i="6"/>
  <c r="W402" i="6"/>
  <c r="W143" i="6"/>
  <c r="W323" i="6"/>
  <c r="W71" i="6"/>
  <c r="W288" i="6"/>
  <c r="W467" i="6"/>
  <c r="W202" i="6"/>
  <c r="W240" i="6"/>
  <c r="W444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8" i="6"/>
  <c r="W382" i="6"/>
  <c r="W334" i="6"/>
  <c r="W9" i="6"/>
  <c r="W453" i="6"/>
  <c r="W191" i="6"/>
  <c r="W337" i="6"/>
  <c r="W127" i="6"/>
  <c r="W327" i="6"/>
  <c r="W55" i="6"/>
  <c r="W272" i="6"/>
  <c r="W440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7" i="6"/>
  <c r="W380" i="6"/>
  <c r="W335" i="6"/>
  <c r="W405" i="6"/>
  <c r="W413" i="6"/>
  <c r="W229" i="6"/>
  <c r="W386" i="6"/>
  <c r="W111" i="6"/>
  <c r="W230" i="6"/>
  <c r="W39" i="6"/>
  <c r="W256" i="6"/>
  <c r="W431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6" i="6"/>
  <c r="W379" i="6"/>
  <c r="W242" i="6"/>
  <c r="W435" i="6"/>
  <c r="W192" i="6"/>
  <c r="W369" i="6"/>
  <c r="W89" i="6"/>
  <c r="W305" i="6"/>
  <c r="W23" i="6"/>
  <c r="W196" i="6"/>
  <c r="W234" i="6"/>
  <c r="W154" i="6"/>
  <c r="W169" i="6"/>
  <c r="W394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4" i="6"/>
  <c r="W377" i="6"/>
  <c r="W425" i="6"/>
  <c r="W353" i="6"/>
  <c r="W73" i="6"/>
  <c r="W289" i="6"/>
  <c r="W423" i="6"/>
  <c r="W218" i="6"/>
  <c r="W11" i="6"/>
  <c r="W138" i="6"/>
  <c r="W152" i="6"/>
  <c r="W378" i="6"/>
  <c r="W103" i="6"/>
  <c r="W46" i="6"/>
  <c r="W45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7" i="6"/>
  <c r="W122" i="6"/>
  <c r="W136" i="6"/>
  <c r="W361" i="6"/>
  <c r="W81" i="6"/>
  <c r="W16" i="6"/>
  <c r="W15" i="6"/>
  <c r="W44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1" i="6"/>
  <c r="W257" i="6"/>
  <c r="W434" i="6"/>
  <c r="W167" i="6"/>
  <c r="W381" i="6"/>
  <c r="W106" i="6"/>
  <c r="W120" i="6"/>
  <c r="W324" i="6"/>
  <c r="W65" i="6"/>
  <c r="W437" i="6"/>
  <c r="W433" i="6"/>
  <c r="W14" i="6"/>
  <c r="W42" i="6"/>
  <c r="W67" i="6"/>
  <c r="W100" i="6"/>
  <c r="W99" i="6"/>
  <c r="W123" i="6"/>
  <c r="W121" i="6"/>
  <c r="W148" i="6"/>
  <c r="W182" i="6"/>
  <c r="W194" i="6"/>
  <c r="W201" i="6"/>
  <c r="W276" i="6"/>
  <c r="W301" i="6"/>
  <c r="W388" i="6"/>
  <c r="W113" i="6"/>
  <c r="W307" i="6"/>
  <c r="W25" i="6"/>
  <c r="W204" i="6"/>
  <c r="W422" i="6"/>
  <c r="W156" i="6"/>
  <c r="W364" i="6"/>
  <c r="W84" i="6"/>
  <c r="W104" i="6"/>
  <c r="W319" i="6"/>
  <c r="W49" i="6"/>
  <c r="W404" i="6"/>
  <c r="W450" i="6"/>
  <c r="W350" i="6"/>
  <c r="W412" i="6"/>
  <c r="W451" i="6"/>
  <c r="W13" i="6"/>
  <c r="W40" i="6"/>
  <c r="W64" i="6"/>
  <c r="W63" i="6"/>
  <c r="W62" i="6"/>
  <c r="W95" i="6"/>
  <c r="W88" i="6"/>
  <c r="W118" i="6"/>
  <c r="W147" i="6"/>
  <c r="W165" i="6"/>
  <c r="W247" i="6"/>
  <c r="W193" i="6"/>
  <c r="W274" i="6"/>
  <c r="W371" i="6"/>
  <c r="W94" i="6"/>
  <c r="W291" i="6"/>
  <c r="W226" i="6"/>
  <c r="W336" i="6"/>
  <c r="W140" i="6"/>
  <c r="W314" i="6"/>
  <c r="W68" i="6"/>
  <c r="W82" i="6"/>
  <c r="W180" i="6"/>
  <c r="X477" i="6" l="1"/>
  <c r="X472" i="6"/>
  <c r="X478" i="6"/>
  <c r="X479" i="6"/>
  <c r="X475" i="6"/>
  <c r="X473" i="6"/>
  <c r="X476" i="6"/>
  <c r="X474" i="6"/>
  <c r="X190" i="6"/>
  <c r="X470" i="6"/>
  <c r="X471" i="6"/>
  <c r="X417" i="6"/>
  <c r="X418" i="6"/>
  <c r="X419" i="6"/>
  <c r="X420" i="6"/>
  <c r="X421" i="6"/>
  <c r="X321" i="6"/>
  <c r="X96" i="6"/>
  <c r="X97" i="6"/>
  <c r="X98" i="6"/>
  <c r="X268" i="6"/>
  <c r="X359" i="6"/>
  <c r="X382" i="6"/>
  <c r="X293" i="6"/>
  <c r="X164" i="6"/>
  <c r="X465" i="6"/>
  <c r="X318" i="6"/>
  <c r="X71" i="6"/>
  <c r="X351" i="6"/>
  <c r="X373" i="6"/>
  <c r="X374" i="6"/>
  <c r="X375" i="6"/>
  <c r="X267" i="6"/>
  <c r="X283" i="6"/>
  <c r="X439" i="6"/>
  <c r="X410" i="6"/>
  <c r="X77" i="6"/>
  <c r="X66" i="6"/>
  <c r="X13" i="6"/>
  <c r="X28" i="6"/>
  <c r="X449" i="6"/>
  <c r="X425" i="6"/>
  <c r="X79" i="6"/>
  <c r="X163" i="6"/>
  <c r="X26" i="6"/>
  <c r="X316" i="6"/>
  <c r="X247" i="6"/>
  <c r="X216" i="6"/>
  <c r="X442" i="6"/>
  <c r="X307" i="6"/>
  <c r="X80" i="6"/>
  <c r="X427" i="6"/>
  <c r="X413" i="6"/>
  <c r="X365" i="6"/>
  <c r="X223" i="6"/>
  <c r="X440" i="6"/>
  <c r="X248" i="6"/>
  <c r="X309" i="6"/>
  <c r="X323" i="6"/>
  <c r="X177" i="6"/>
  <c r="X85" i="6"/>
  <c r="X131" i="6"/>
  <c r="X391" i="6"/>
  <c r="X356" i="6"/>
  <c r="X148" i="6"/>
  <c r="X342" i="6"/>
  <c r="X287" i="6"/>
  <c r="X271" i="6"/>
  <c r="X191" i="6"/>
  <c r="X328" i="6"/>
  <c r="X350" i="6"/>
  <c r="X29" i="6"/>
  <c r="X91" i="6"/>
  <c r="X92" i="6"/>
  <c r="X93" i="6"/>
  <c r="X355" i="6"/>
  <c r="X167" i="6"/>
  <c r="X285" i="6"/>
  <c r="X90" i="6"/>
  <c r="X64" i="6"/>
  <c r="X69" i="6"/>
  <c r="X335" i="6"/>
  <c r="X151" i="6"/>
  <c r="X27" i="6"/>
  <c r="X402" i="6"/>
  <c r="X269" i="6"/>
  <c r="X82" i="6"/>
  <c r="X464" i="6"/>
  <c r="X284" i="6"/>
  <c r="X166" i="6"/>
  <c r="X87" i="6"/>
  <c r="W5" i="6"/>
  <c r="X466" i="6"/>
  <c r="X422" i="6"/>
  <c r="X100" i="6"/>
  <c r="X346" i="6"/>
  <c r="X379" i="6"/>
  <c r="X10" i="6"/>
  <c r="X430" i="6"/>
  <c r="X262" i="6"/>
  <c r="X326" i="6"/>
  <c r="X243" i="6"/>
  <c r="X175" i="6"/>
  <c r="X43" i="6"/>
  <c r="X235" i="6"/>
  <c r="X231" i="6"/>
  <c r="X225" i="6"/>
  <c r="X431" i="6"/>
  <c r="X186" i="6"/>
  <c r="X208" i="6"/>
  <c r="X394" i="6"/>
  <c r="X135" i="6"/>
  <c r="X150" i="6"/>
  <c r="X406" i="6"/>
  <c r="X147" i="6"/>
  <c r="X332" i="6"/>
  <c r="X51" i="6"/>
  <c r="X49" i="6"/>
  <c r="X48" i="6"/>
  <c r="X46" i="6"/>
  <c r="X75" i="6"/>
  <c r="X304" i="6"/>
  <c r="X414" i="6"/>
  <c r="X187" i="6"/>
  <c r="X22" i="6"/>
  <c r="X240" i="6"/>
  <c r="X134" i="6"/>
  <c r="X25" i="6"/>
  <c r="X24" i="6"/>
  <c r="X74" i="6"/>
  <c r="X455" i="6"/>
  <c r="X387" i="6"/>
  <c r="X182" i="6"/>
  <c r="X347" i="6"/>
  <c r="X376" i="6"/>
  <c r="Y7" i="6"/>
  <c r="X460" i="6"/>
  <c r="X183" i="6"/>
  <c r="X210" i="6"/>
  <c r="X286" i="6"/>
  <c r="X194" i="6"/>
  <c r="X184" i="6"/>
  <c r="X176" i="6"/>
  <c r="X412" i="6"/>
  <c r="X153" i="6"/>
  <c r="X168" i="6"/>
  <c r="X361" i="6"/>
  <c r="X103" i="6"/>
  <c r="X118" i="6"/>
  <c r="X115" i="6"/>
  <c r="X291" i="6"/>
  <c r="X290" i="6"/>
  <c r="X289" i="6"/>
  <c r="X288" i="6"/>
  <c r="X52" i="6"/>
  <c r="X459" i="6"/>
  <c r="X9" i="6"/>
  <c r="X362" i="6"/>
  <c r="X451" i="6"/>
  <c r="X300" i="6"/>
  <c r="X255" i="6"/>
  <c r="X397" i="6"/>
  <c r="X441" i="6"/>
  <c r="X117" i="6"/>
  <c r="X179" i="6"/>
  <c r="X270" i="6"/>
  <c r="X463" i="6"/>
  <c r="X249" i="6"/>
  <c r="X250" i="6"/>
  <c r="X224" i="6"/>
  <c r="X396" i="6"/>
  <c r="X137" i="6"/>
  <c r="X152" i="6"/>
  <c r="X341" i="6"/>
  <c r="X78" i="6"/>
  <c r="X102" i="6"/>
  <c r="X357" i="6"/>
  <c r="X99" i="6"/>
  <c r="X275" i="6"/>
  <c r="X274" i="6"/>
  <c r="X273" i="6"/>
  <c r="X272" i="6"/>
  <c r="X36" i="6"/>
  <c r="X462" i="6"/>
  <c r="X408" i="6"/>
  <c r="X327" i="6"/>
  <c r="X407" i="6"/>
  <c r="X468" i="6"/>
  <c r="X73" i="6"/>
  <c r="X254" i="6"/>
  <c r="X371" i="6"/>
  <c r="X11" i="6"/>
  <c r="X458" i="6"/>
  <c r="X227" i="6"/>
  <c r="X239" i="6"/>
  <c r="X211" i="6"/>
  <c r="X203" i="6"/>
  <c r="X195" i="6"/>
  <c r="X380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5" i="6"/>
  <c r="X310" i="6"/>
  <c r="X384" i="6"/>
  <c r="X337" i="6"/>
  <c r="X416" i="6"/>
  <c r="X294" i="6"/>
  <c r="X214" i="6"/>
  <c r="X392" i="6"/>
  <c r="X423" i="6"/>
  <c r="X83" i="6"/>
  <c r="X178" i="6"/>
  <c r="X469" i="6"/>
  <c r="X172" i="6"/>
  <c r="X171" i="6"/>
  <c r="X170" i="6"/>
  <c r="X363" i="6"/>
  <c r="X105" i="6"/>
  <c r="X120" i="6"/>
  <c r="X312" i="6"/>
  <c r="X37" i="6"/>
  <c r="X35" i="6"/>
  <c r="X348" i="6"/>
  <c r="X53" i="6"/>
  <c r="X220" i="6"/>
  <c r="X212" i="6"/>
  <c r="X204" i="6"/>
  <c r="X196" i="6"/>
  <c r="X50" i="6"/>
  <c r="X428" i="6"/>
  <c r="X400" i="6"/>
  <c r="X133" i="6"/>
  <c r="X302" i="6"/>
  <c r="X236" i="6"/>
  <c r="X385" i="6"/>
  <c r="X199" i="6"/>
  <c r="X358" i="6"/>
  <c r="X403" i="6"/>
  <c r="X434" i="6"/>
  <c r="X165" i="6"/>
  <c r="X333" i="6"/>
  <c r="X368" i="6"/>
  <c r="X438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4" i="6"/>
  <c r="X353" i="6"/>
  <c r="X119" i="6"/>
  <c r="X370" i="6"/>
  <c r="X101" i="6"/>
  <c r="X319" i="6"/>
  <c r="X381" i="6"/>
  <c r="X352" i="6"/>
  <c r="X446" i="6"/>
  <c r="X278" i="6"/>
  <c r="X253" i="6"/>
  <c r="X180" i="6"/>
  <c r="X142" i="6"/>
  <c r="X174" i="6"/>
  <c r="X399" i="6"/>
  <c r="X140" i="6"/>
  <c r="X139" i="6"/>
  <c r="X138" i="6"/>
  <c r="X222" i="6"/>
  <c r="X59" i="6"/>
  <c r="X88" i="6"/>
  <c r="X280" i="6"/>
  <c r="X295" i="6"/>
  <c r="X55" i="6"/>
  <c r="X292" i="6"/>
  <c r="X433" i="6"/>
  <c r="X213" i="6"/>
  <c r="X205" i="6"/>
  <c r="X197" i="6"/>
  <c r="X188" i="6"/>
  <c r="X18" i="6"/>
  <c r="X411" i="6"/>
  <c r="X378" i="6"/>
  <c r="X360" i="6"/>
  <c r="X426" i="6"/>
  <c r="X305" i="6"/>
  <c r="X354" i="6"/>
  <c r="X401" i="6"/>
  <c r="X447" i="6"/>
  <c r="X149" i="6"/>
  <c r="X315" i="6"/>
  <c r="X388" i="6"/>
  <c r="X126" i="6"/>
  <c r="X219" i="6"/>
  <c r="X383" i="6"/>
  <c r="X124" i="6"/>
  <c r="X123" i="6"/>
  <c r="X122" i="6"/>
  <c r="X314" i="6"/>
  <c r="X39" i="6"/>
  <c r="X58" i="6"/>
  <c r="X264" i="6"/>
  <c r="X279" i="6"/>
  <c r="X33" i="6"/>
  <c r="X276" i="6"/>
  <c r="X437" i="6"/>
  <c r="X242" i="6"/>
  <c r="X238" i="6"/>
  <c r="X234" i="6"/>
  <c r="X230" i="6"/>
  <c r="X63" i="6"/>
  <c r="X390" i="6"/>
  <c r="X325" i="6"/>
  <c r="X424" i="6"/>
  <c r="X229" i="6"/>
  <c r="X198" i="6"/>
  <c r="X377" i="6"/>
  <c r="X8" i="6"/>
  <c r="X432" i="6"/>
  <c r="X261" i="6"/>
  <c r="X364" i="6"/>
  <c r="X110" i="6"/>
  <c r="X67" i="6"/>
  <c r="X366" i="6"/>
  <c r="X108" i="6"/>
  <c r="X107" i="6"/>
  <c r="X106" i="6"/>
  <c r="X298" i="6"/>
  <c r="X16" i="6"/>
  <c r="X38" i="6"/>
  <c r="X201" i="6"/>
  <c r="X263" i="6"/>
  <c r="X72" i="6"/>
  <c r="X260" i="6"/>
  <c r="X461" i="6"/>
  <c r="X86" i="6"/>
  <c r="X70" i="6"/>
  <c r="X47" i="6"/>
  <c r="X329" i="6"/>
  <c r="X445" i="6"/>
  <c r="X452" i="6"/>
  <c r="X303" i="6"/>
  <c r="X338" i="6"/>
  <c r="X398" i="6"/>
  <c r="X457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9" i="6"/>
  <c r="X448" i="6"/>
  <c r="X251" i="6"/>
  <c r="X331" i="6"/>
  <c r="X334" i="6"/>
  <c r="X443" i="6"/>
  <c r="X311" i="6"/>
  <c r="X44" i="6"/>
  <c r="X141" i="6"/>
  <c r="X345" i="6"/>
  <c r="X62" i="6"/>
  <c r="X61" i="6"/>
  <c r="X60" i="6"/>
  <c r="X266" i="6"/>
  <c r="X281" i="6"/>
  <c r="X436" i="6"/>
  <c r="X241" i="6"/>
  <c r="X207" i="6"/>
  <c r="X32" i="6"/>
  <c r="X181" i="6"/>
  <c r="X405" i="6"/>
  <c r="X146" i="6"/>
  <c r="X145" i="6"/>
  <c r="X144" i="6"/>
  <c r="X143" i="6"/>
  <c r="X15" i="6"/>
  <c r="X429" i="6"/>
  <c r="X313" i="6"/>
  <c r="X415" i="6"/>
  <c r="X306" i="6"/>
  <c r="X386" i="6"/>
  <c r="X435" i="6"/>
  <c r="X450" i="6"/>
  <c r="X299" i="6"/>
  <c r="X340" i="6"/>
  <c r="X393" i="6"/>
  <c r="X454" i="6"/>
  <c r="X173" i="6"/>
  <c r="X23" i="6"/>
  <c r="X125" i="6"/>
  <c r="X317" i="6"/>
  <c r="X42" i="6"/>
  <c r="X41" i="6"/>
  <c r="X40" i="6"/>
  <c r="X217" i="6"/>
  <c r="X265" i="6"/>
  <c r="X456" i="6"/>
  <c r="X200" i="6"/>
  <c r="X237" i="6"/>
  <c r="X467" i="6"/>
  <c r="X221" i="6"/>
  <c r="X389" i="6"/>
  <c r="X130" i="6"/>
  <c r="X129" i="6"/>
  <c r="X128" i="6"/>
  <c r="X127" i="6"/>
  <c r="X45" i="6"/>
  <c r="X169" i="6"/>
  <c r="X233" i="6"/>
  <c r="X277" i="6"/>
  <c r="X344" i="6"/>
  <c r="X404" i="6"/>
  <c r="X349" i="6"/>
  <c r="X369" i="6"/>
  <c r="X322" i="6"/>
  <c r="X116" i="6"/>
  <c r="X367" i="6"/>
  <c r="X109" i="6"/>
  <c r="X301" i="6"/>
  <c r="X21" i="6"/>
  <c r="X19" i="6"/>
  <c r="X17" i="6"/>
  <c r="X232" i="6"/>
  <c r="X209" i="6"/>
  <c r="X444" i="6"/>
  <c r="X76" i="6"/>
  <c r="X192" i="6"/>
  <c r="X453" i="6"/>
  <c r="X252" i="6"/>
  <c r="X372" i="6"/>
  <c r="X114" i="6"/>
  <c r="X113" i="6"/>
  <c r="X112" i="6"/>
  <c r="X111" i="6"/>
  <c r="Y474" i="6" l="1"/>
  <c r="Y477" i="6"/>
  <c r="Y472" i="6"/>
  <c r="Y478" i="6"/>
  <c r="Y479" i="6"/>
  <c r="Y475" i="6"/>
  <c r="Y473" i="6"/>
  <c r="Y476" i="6"/>
  <c r="Y470" i="6"/>
  <c r="Y471" i="6"/>
  <c r="Y100" i="6"/>
  <c r="Y363" i="6"/>
  <c r="Y134" i="6"/>
  <c r="Y190" i="6"/>
  <c r="Y463" i="6"/>
  <c r="Y397" i="6"/>
  <c r="Y394" i="6"/>
  <c r="Y143" i="6"/>
  <c r="Y42" i="6"/>
  <c r="Y73" i="6"/>
  <c r="Y460" i="6"/>
  <c r="Y120" i="6"/>
  <c r="Y196" i="6"/>
  <c r="Y417" i="6"/>
  <c r="Y418" i="6"/>
  <c r="Y419" i="6"/>
  <c r="Y420" i="6"/>
  <c r="Y421" i="6"/>
  <c r="Y265" i="6"/>
  <c r="Y213" i="6"/>
  <c r="Y34" i="6"/>
  <c r="Y173" i="6"/>
  <c r="Y126" i="6"/>
  <c r="Y76" i="6"/>
  <c r="Y56" i="6"/>
  <c r="Y361" i="6"/>
  <c r="Y202" i="6"/>
  <c r="Y14" i="6"/>
  <c r="Y278" i="6"/>
  <c r="Y426" i="6"/>
  <c r="Y272" i="6"/>
  <c r="Y351" i="6"/>
  <c r="Y415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2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4" i="6"/>
  <c r="Y80" i="6"/>
  <c r="Y310" i="6"/>
  <c r="Y183" i="6"/>
  <c r="Y451" i="6"/>
  <c r="Y145" i="6"/>
  <c r="Y101" i="6"/>
  <c r="Y352" i="6"/>
  <c r="Y342" i="6"/>
  <c r="Y250" i="6"/>
  <c r="Y12" i="6"/>
  <c r="Y116" i="6"/>
  <c r="Y227" i="6"/>
  <c r="Y359" i="6"/>
  <c r="Y441" i="6"/>
  <c r="Y129" i="6"/>
  <c r="Y324" i="6"/>
  <c r="Y199" i="6"/>
  <c r="Y131" i="6"/>
  <c r="Y427" i="6"/>
  <c r="Y411" i="6"/>
  <c r="Y389" i="6"/>
  <c r="Y49" i="6"/>
  <c r="Y124" i="6"/>
  <c r="Y191" i="6"/>
  <c r="Y189" i="6"/>
  <c r="Y210" i="6"/>
  <c r="Y308" i="6"/>
  <c r="Y16" i="6"/>
  <c r="Y38" i="6"/>
  <c r="Y59" i="6"/>
  <c r="Y9" i="6"/>
  <c r="Y110" i="6"/>
  <c r="Y184" i="6"/>
  <c r="Y200" i="6"/>
  <c r="Y178" i="6"/>
  <c r="Y46" i="6"/>
  <c r="Y256" i="6"/>
  <c r="Y323" i="6"/>
  <c r="Y234" i="6"/>
  <c r="Y17" i="6"/>
  <c r="Y109" i="6"/>
  <c r="Y366" i="6"/>
  <c r="Y390" i="6"/>
  <c r="Y26" i="6"/>
  <c r="Y99" i="6"/>
  <c r="Y162" i="6"/>
  <c r="Y86" i="6"/>
  <c r="Y187" i="6"/>
  <c r="Y357" i="6"/>
  <c r="Y273" i="6"/>
  <c r="Y13" i="6"/>
  <c r="Y36" i="6"/>
  <c r="Y393" i="6"/>
  <c r="Y72" i="6"/>
  <c r="Y168" i="6"/>
  <c r="Y153" i="6"/>
  <c r="Y163" i="6"/>
  <c r="Y30" i="6"/>
  <c r="Y384" i="6"/>
  <c r="Y270" i="6"/>
  <c r="Y403" i="6"/>
  <c r="Y8" i="6"/>
  <c r="Y57" i="6"/>
  <c r="Y243" i="6"/>
  <c r="Y362" i="6"/>
  <c r="Y448" i="6"/>
  <c r="Y385" i="6"/>
  <c r="Y48" i="6"/>
  <c r="Y122" i="6"/>
  <c r="Y68" i="6"/>
  <c r="Y119" i="6"/>
  <c r="Y437" i="6"/>
  <c r="Y336" i="6"/>
  <c r="Y338" i="6"/>
  <c r="Y360" i="6"/>
  <c r="Y353" i="6"/>
  <c r="Y40" i="6"/>
  <c r="Y69" i="6"/>
  <c r="Y105" i="6"/>
  <c r="Y79" i="6"/>
  <c r="Y75" i="6"/>
  <c r="Y254" i="6"/>
  <c r="Y94" i="6"/>
  <c r="Y257" i="6"/>
  <c r="Y371" i="6"/>
  <c r="Y467" i="6"/>
  <c r="Y24" i="6"/>
  <c r="Y37" i="6"/>
  <c r="Y83" i="6"/>
  <c r="Y47" i="6"/>
  <c r="Y74" i="6"/>
  <c r="Y223" i="6"/>
  <c r="Y376" i="6"/>
  <c r="Y33" i="6"/>
  <c r="Y410" i="6"/>
  <c r="Y22" i="6"/>
  <c r="Y381" i="6"/>
  <c r="Y54" i="6"/>
  <c r="Y298" i="6"/>
  <c r="Y43" i="6"/>
  <c r="Y434" i="6"/>
  <c r="Y433" i="6"/>
  <c r="Y430" i="6"/>
  <c r="Y372" i="6"/>
  <c r="Y51" i="6"/>
  <c r="Y462" i="6"/>
  <c r="Y341" i="6"/>
  <c r="Y306" i="6"/>
  <c r="Y44" i="6"/>
  <c r="Y347" i="6"/>
  <c r="Y248" i="6"/>
  <c r="Y377" i="6"/>
  <c r="Y303" i="6"/>
  <c r="Y455" i="6"/>
  <c r="Y459" i="6"/>
  <c r="Y232" i="6"/>
  <c r="Y333" i="6"/>
  <c r="Y368" i="6"/>
  <c r="Y309" i="6"/>
  <c r="Y15" i="6"/>
  <c r="Y292" i="6"/>
  <c r="Y431" i="6"/>
  <c r="Y106" i="6"/>
  <c r="Y305" i="6"/>
  <c r="Y432" i="6"/>
  <c r="Y130" i="6"/>
  <c r="Y197" i="6"/>
  <c r="Y241" i="6"/>
  <c r="Y350" i="6"/>
  <c r="Y469" i="6"/>
  <c r="Y468" i="6"/>
  <c r="Y364" i="6"/>
  <c r="Y20" i="6"/>
  <c r="Y331" i="6"/>
  <c r="Y295" i="6"/>
  <c r="Y287" i="6"/>
  <c r="Y391" i="6"/>
  <c r="Y263" i="6"/>
  <c r="Y413" i="6"/>
  <c r="Y398" i="6"/>
  <c r="Y35" i="6"/>
  <c r="Y439" i="6"/>
  <c r="Y425" i="6"/>
  <c r="Y358" i="6"/>
  <c r="Y450" i="6"/>
  <c r="Y220" i="6"/>
  <c r="Y406" i="6"/>
  <c r="Y453" i="6"/>
  <c r="Y108" i="6"/>
  <c r="Y290" i="6"/>
  <c r="Y443" i="6"/>
  <c r="Y369" i="6"/>
  <c r="Y301" i="6"/>
  <c r="Y285" i="6"/>
  <c r="Y279" i="6"/>
  <c r="Y304" i="6"/>
  <c r="Y337" i="6"/>
  <c r="Y355" i="6"/>
  <c r="Y284" i="6"/>
  <c r="Y423" i="6"/>
  <c r="Y386" i="6"/>
  <c r="Y414" i="6"/>
  <c r="Y402" i="6"/>
  <c r="Y346" i="6"/>
  <c r="Y260" i="6"/>
  <c r="Y436" i="6"/>
  <c r="Y67" i="6"/>
  <c r="Y454" i="6"/>
  <c r="Y378" i="6"/>
  <c r="Y435" i="6"/>
  <c r="Y297" i="6"/>
  <c r="Y387" i="6"/>
  <c r="Y194" i="6"/>
  <c r="Y445" i="6"/>
  <c r="Y209" i="6"/>
  <c r="Y152" i="6"/>
  <c r="Y222" i="6"/>
  <c r="Y77" i="6"/>
  <c r="Y128" i="6"/>
  <c r="Y166" i="6"/>
  <c r="Y217" i="6"/>
  <c r="Y312" i="6"/>
  <c r="Y466" i="6"/>
  <c r="Y186" i="6"/>
  <c r="Y230" i="6"/>
  <c r="Y307" i="6"/>
  <c r="Y299" i="6"/>
  <c r="Y291" i="6"/>
  <c r="Y267" i="6"/>
  <c r="Y318" i="6"/>
  <c r="Y461" i="6"/>
  <c r="Y456" i="6"/>
  <c r="Y274" i="6"/>
  <c r="Y115" i="6"/>
  <c r="Y25" i="6"/>
  <c r="Y458" i="6"/>
  <c r="Y174" i="6"/>
  <c r="Y10" i="6"/>
  <c r="Y66" i="6"/>
  <c r="Y457" i="6"/>
  <c r="Y31" i="6"/>
  <c r="Y11" i="6"/>
  <c r="Y154" i="6"/>
  <c r="Y422" i="6"/>
  <c r="Y412" i="6"/>
  <c r="Y275" i="6"/>
  <c r="Y325" i="6"/>
  <c r="Y172" i="6"/>
  <c r="Y237" i="6"/>
  <c r="Y262" i="6"/>
  <c r="Y345" i="6"/>
  <c r="Y370" i="6"/>
  <c r="Y271" i="6"/>
  <c r="Y198" i="6"/>
  <c r="Y407" i="6"/>
  <c r="Y245" i="6"/>
  <c r="Y41" i="6"/>
  <c r="Y261" i="6"/>
  <c r="Y32" i="6"/>
  <c r="Y104" i="6"/>
  <c r="Y150" i="6"/>
  <c r="Y193" i="6"/>
  <c r="Y334" i="6"/>
  <c r="Y313" i="6"/>
  <c r="Y339" i="6"/>
  <c r="Y442" i="6"/>
  <c r="Y90" i="6"/>
  <c r="Y207" i="6"/>
  <c r="Y253" i="6"/>
  <c r="Y231" i="6"/>
  <c r="Y225" i="6"/>
  <c r="Y205" i="6"/>
  <c r="Y293" i="6"/>
  <c r="Y444" i="6"/>
  <c r="Y440" i="6"/>
  <c r="Y319" i="6"/>
  <c r="Y89" i="6"/>
  <c r="Y141" i="6"/>
  <c r="Y247" i="6"/>
  <c r="Y438" i="6"/>
  <c r="Y236" i="6"/>
  <c r="Y167" i="6"/>
  <c r="Y258" i="6"/>
  <c r="Y204" i="6"/>
  <c r="Y452" i="6"/>
  <c r="Y28" i="6"/>
  <c r="Y118" i="6"/>
  <c r="Y165" i="6"/>
  <c r="Y408" i="6"/>
  <c r="Y23" i="6"/>
  <c r="Y322" i="6"/>
  <c r="Y429" i="6"/>
  <c r="Y465" i="6"/>
  <c r="Y388" i="6"/>
  <c r="Y52" i="6"/>
  <c r="Y127" i="6"/>
  <c r="Y233" i="6"/>
  <c r="Y266" i="6"/>
  <c r="Y181" i="6"/>
  <c r="Y206" i="6"/>
  <c r="Y203" i="6"/>
  <c r="Y188" i="6"/>
  <c r="Y349" i="6"/>
  <c r="Y428" i="6"/>
  <c r="Y383" i="6"/>
  <c r="Y259" i="6"/>
  <c r="Y365" i="6"/>
  <c r="Y208" i="6"/>
  <c r="Y224" i="6"/>
  <c r="Y401" i="6"/>
  <c r="Y103" i="6"/>
  <c r="Y147" i="6"/>
  <c r="Y215" i="6"/>
  <c r="Y296" i="6"/>
  <c r="Y288" i="6"/>
  <c r="Y255" i="6"/>
  <c r="Y138" i="6"/>
  <c r="Y180" i="6"/>
  <c r="Y159" i="6"/>
  <c r="Y176" i="6"/>
  <c r="Y164" i="6"/>
  <c r="Y399" i="6"/>
  <c r="Y314" i="6"/>
  <c r="Y315" i="6"/>
  <c r="Y140" i="6"/>
  <c r="Y242" i="6"/>
  <c r="Y29" i="6"/>
  <c r="Y201" i="6"/>
  <c r="Y409" i="6"/>
  <c r="Y367" i="6"/>
  <c r="Y50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4" i="6"/>
  <c r="Y405" i="6"/>
  <c r="Y85" i="6"/>
  <c r="Y170" i="6"/>
  <c r="Y348" i="6"/>
  <c r="Y302" i="6"/>
  <c r="Y340" i="6"/>
  <c r="Y327" i="6"/>
  <c r="Y283" i="6"/>
  <c r="Y55" i="6"/>
  <c r="Y151" i="6"/>
  <c r="Y219" i="6"/>
  <c r="Y330" i="6"/>
  <c r="Y447" i="6"/>
  <c r="Y281" i="6"/>
  <c r="Y45" i="6"/>
  <c r="Y87" i="6"/>
  <c r="Y171" i="6"/>
  <c r="Y289" i="6"/>
  <c r="Y39" i="6"/>
  <c r="Y113" i="6"/>
  <c r="Y179" i="6"/>
  <c r="Y244" i="6"/>
  <c r="Y328" i="6"/>
  <c r="Y446" i="6"/>
  <c r="Y53" i="6"/>
  <c r="Y137" i="6"/>
  <c r="Y246" i="6"/>
  <c r="Y449" i="6"/>
  <c r="Y373" i="6"/>
  <c r="Y374" i="6"/>
  <c r="Y375" i="6"/>
  <c r="Y111" i="6"/>
  <c r="Y239" i="6"/>
  <c r="Y276" i="6"/>
  <c r="Y155" i="6"/>
  <c r="Y317" i="6"/>
  <c r="Y380" i="6"/>
  <c r="Y149" i="6"/>
  <c r="Y211" i="6"/>
  <c r="Y81" i="6"/>
  <c r="Y249" i="6"/>
  <c r="Y396" i="6"/>
  <c r="Y139" i="6"/>
  <c r="Y326" i="6"/>
  <c r="Y356" i="6"/>
  <c r="Y133" i="6"/>
  <c r="Y195" i="6"/>
  <c r="Y70" i="6"/>
  <c r="Y144" i="6"/>
  <c r="Y251" i="6"/>
  <c r="Y65" i="6"/>
  <c r="Y161" i="6"/>
  <c r="Y235" i="6"/>
  <c r="Y395" i="6"/>
  <c r="Z7" i="6"/>
  <c r="Y58" i="6"/>
  <c r="Y221" i="6"/>
  <c r="Y464" i="6"/>
  <c r="Y123" i="6"/>
  <c r="Y277" i="6"/>
  <c r="Y382" i="6"/>
  <c r="Y117" i="6"/>
  <c r="Y177" i="6"/>
  <c r="X5" i="6"/>
  <c r="Y62" i="6"/>
  <c r="Y91" i="6"/>
  <c r="Y92" i="6"/>
  <c r="Y93" i="6"/>
  <c r="Y416" i="6"/>
  <c r="Y95" i="6"/>
  <c r="Y280" i="6"/>
  <c r="Y21" i="6"/>
  <c r="Y182" i="6"/>
  <c r="Y424" i="6"/>
  <c r="Y63" i="6"/>
  <c r="Y148" i="6"/>
  <c r="Y264" i="6"/>
  <c r="Y19" i="6"/>
  <c r="Y228" i="6"/>
  <c r="Y379" i="6"/>
  <c r="Y78" i="6"/>
  <c r="Y320" i="6"/>
  <c r="Y400" i="6"/>
  <c r="Y212" i="6"/>
  <c r="Y311" i="6"/>
  <c r="Z474" i="6" l="1"/>
  <c r="Z477" i="6"/>
  <c r="Z472" i="6"/>
  <c r="Z478" i="6"/>
  <c r="Z479" i="6"/>
  <c r="Z475" i="6"/>
  <c r="Z473" i="6"/>
  <c r="Z476" i="6"/>
  <c r="Z157" i="6"/>
  <c r="Z190" i="6"/>
  <c r="Z470" i="6"/>
  <c r="Z471" i="6"/>
  <c r="Z197" i="6"/>
  <c r="Z179" i="6"/>
  <c r="Z362" i="6"/>
  <c r="Z417" i="6"/>
  <c r="Z418" i="6"/>
  <c r="Z419" i="6"/>
  <c r="Z420" i="6"/>
  <c r="Z421" i="6"/>
  <c r="Z132" i="6"/>
  <c r="Z321" i="6"/>
  <c r="Z96" i="6"/>
  <c r="Z97" i="6"/>
  <c r="Z98" i="6"/>
  <c r="Z164" i="6"/>
  <c r="Z32" i="6"/>
  <c r="Z12" i="6"/>
  <c r="Z359" i="6"/>
  <c r="Z74" i="6"/>
  <c r="Z340" i="6"/>
  <c r="Z305" i="6"/>
  <c r="Z379" i="6"/>
  <c r="Z441" i="6"/>
  <c r="Z298" i="6"/>
  <c r="Z13" i="6"/>
  <c r="Z459" i="6"/>
  <c r="Z341" i="6"/>
  <c r="Z443" i="6"/>
  <c r="Z423" i="6"/>
  <c r="Z268" i="6"/>
  <c r="Z435" i="6"/>
  <c r="Z141" i="6"/>
  <c r="Z462" i="6"/>
  <c r="Z134" i="6"/>
  <c r="Z42" i="6"/>
  <c r="Z151" i="6"/>
  <c r="Z125" i="6"/>
  <c r="Z60" i="6"/>
  <c r="Z380" i="6"/>
  <c r="Z23" i="6"/>
  <c r="Z81" i="6"/>
  <c r="Z8" i="6"/>
  <c r="Z453" i="6"/>
  <c r="Z352" i="6"/>
  <c r="Z313" i="6"/>
  <c r="Y5" i="6"/>
  <c r="Z387" i="6"/>
  <c r="Z244" i="6"/>
  <c r="Z50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461" i="6"/>
  <c r="Z239" i="6"/>
  <c r="Z230" i="6"/>
  <c r="Z277" i="6"/>
  <c r="Z254" i="6"/>
  <c r="Z303" i="6"/>
  <c r="Z405" i="6"/>
  <c r="Z258" i="6"/>
  <c r="Z402" i="6"/>
  <c r="Z207" i="6"/>
  <c r="Z389" i="6"/>
  <c r="Z347" i="6"/>
  <c r="Z253" i="6"/>
  <c r="Z269" i="6"/>
  <c r="Z339" i="6"/>
  <c r="Z234" i="6"/>
  <c r="Z407" i="6"/>
  <c r="Z131" i="6"/>
  <c r="Z371" i="6"/>
  <c r="Z115" i="6"/>
  <c r="Z271" i="6"/>
  <c r="Z83" i="6"/>
  <c r="Z323" i="6"/>
  <c r="Z326" i="6"/>
  <c r="Z332" i="6"/>
  <c r="Z246" i="6"/>
  <c r="Z250" i="6"/>
  <c r="Z466" i="6"/>
  <c r="Z425" i="6"/>
  <c r="Z118" i="6"/>
  <c r="Z37" i="6"/>
  <c r="Z140" i="6"/>
  <c r="Z446" i="6"/>
  <c r="Z233" i="6"/>
  <c r="Z363" i="6"/>
  <c r="Z330" i="6"/>
  <c r="Z240" i="6"/>
  <c r="Z351" i="6"/>
  <c r="Z355" i="6"/>
  <c r="Z308" i="6"/>
  <c r="Z111" i="6"/>
  <c r="Z61" i="6"/>
  <c r="Z290" i="6"/>
  <c r="Z393" i="6"/>
  <c r="Z469" i="6"/>
  <c r="Z43" i="6"/>
  <c r="Z337" i="6"/>
  <c r="Z372" i="6"/>
  <c r="Z199" i="6"/>
  <c r="Z336" i="6"/>
  <c r="Z451" i="6"/>
  <c r="Z25" i="6"/>
  <c r="Z257" i="6"/>
  <c r="Z51" i="6"/>
  <c r="Z356" i="6"/>
  <c r="Z438" i="6"/>
  <c r="Z281" i="6"/>
  <c r="Z209" i="6"/>
  <c r="Z428" i="6"/>
  <c r="Z55" i="6"/>
  <c r="Z345" i="6"/>
  <c r="Z361" i="6"/>
  <c r="Z174" i="6"/>
  <c r="Z395" i="6"/>
  <c r="Z306" i="6"/>
  <c r="Z31" i="6"/>
  <c r="Z223" i="6"/>
  <c r="Z109" i="6"/>
  <c r="Z108" i="6"/>
  <c r="Z283" i="6"/>
  <c r="Z275" i="6"/>
  <c r="Z317" i="6"/>
  <c r="Z218" i="6"/>
  <c r="Z217" i="6"/>
  <c r="Z214" i="6"/>
  <c r="Z458" i="6"/>
  <c r="Z148" i="6"/>
  <c r="Z284" i="6"/>
  <c r="Z72" i="6"/>
  <c r="Z310" i="6"/>
  <c r="Z106" i="6"/>
  <c r="Z52" i="6"/>
  <c r="Z378" i="6"/>
  <c r="Z432" i="6"/>
  <c r="Z69" i="6"/>
  <c r="Z309" i="6"/>
  <c r="Z394" i="6"/>
  <c r="Z192" i="6"/>
  <c r="Z413" i="6"/>
  <c r="Z29" i="6"/>
  <c r="Z272" i="6"/>
  <c r="Z331" i="6"/>
  <c r="Z364" i="6"/>
  <c r="Z191" i="6"/>
  <c r="Z314" i="6"/>
  <c r="Z90" i="6"/>
  <c r="Z79" i="6"/>
  <c r="Z319" i="6"/>
  <c r="Z318" i="6"/>
  <c r="Z406" i="6"/>
  <c r="Z184" i="6"/>
  <c r="Z183" i="6"/>
  <c r="Z180" i="6"/>
  <c r="Z426" i="6"/>
  <c r="Z116" i="6"/>
  <c r="Z285" i="6"/>
  <c r="Z34" i="6"/>
  <c r="Z243" i="6"/>
  <c r="Z82" i="6"/>
  <c r="Z92" i="6"/>
  <c r="Z94" i="6"/>
  <c r="Z202" i="6"/>
  <c r="Z198" i="6"/>
  <c r="Z279" i="6"/>
  <c r="Z386" i="6"/>
  <c r="Z173" i="6"/>
  <c r="Z45" i="6"/>
  <c r="Z44" i="6"/>
  <c r="Z236" i="6"/>
  <c r="Z235" i="6"/>
  <c r="Z365" i="6"/>
  <c r="Z169" i="6"/>
  <c r="Z168" i="6"/>
  <c r="Z165" i="6"/>
  <c r="Z391" i="6"/>
  <c r="Z99" i="6"/>
  <c r="Z256" i="6"/>
  <c r="Z15" i="6"/>
  <c r="Z227" i="6"/>
  <c r="Z49" i="6"/>
  <c r="Z91" i="6"/>
  <c r="Z71" i="6"/>
  <c r="Z245" i="6"/>
  <c r="Z231" i="6"/>
  <c r="Z274" i="6"/>
  <c r="Z411" i="6"/>
  <c r="Z160" i="6"/>
  <c r="Z343" i="6"/>
  <c r="Z408" i="6"/>
  <c r="Z200" i="6"/>
  <c r="Z422" i="6"/>
  <c r="Z47" i="6"/>
  <c r="Z296" i="6"/>
  <c r="Z353" i="6"/>
  <c r="Z166" i="6"/>
  <c r="Z251" i="6"/>
  <c r="Z265" i="6"/>
  <c r="Z158" i="6"/>
  <c r="Z315" i="6"/>
  <c r="Z27" i="6"/>
  <c r="Z26" i="6"/>
  <c r="Z220" i="6"/>
  <c r="Z219" i="6"/>
  <c r="Z465" i="6"/>
  <c r="Z153" i="6"/>
  <c r="Z152" i="6"/>
  <c r="Z149" i="6"/>
  <c r="Z292" i="6"/>
  <c r="Z89" i="6"/>
  <c r="Z316" i="6"/>
  <c r="Z388" i="6"/>
  <c r="Z211" i="6"/>
  <c r="Z33" i="6"/>
  <c r="AA7" i="6"/>
  <c r="Z87" i="6"/>
  <c r="Z333" i="6"/>
  <c r="Z463" i="6"/>
  <c r="Z135" i="6"/>
  <c r="Z260" i="6"/>
  <c r="Z182" i="6"/>
  <c r="Z241" i="6"/>
  <c r="Z444" i="6"/>
  <c r="Z101" i="6"/>
  <c r="Z242" i="6"/>
  <c r="Z452" i="6"/>
  <c r="Z142" i="6"/>
  <c r="Z299" i="6"/>
  <c r="Z291" i="6"/>
  <c r="Z273" i="6"/>
  <c r="Z204" i="6"/>
  <c r="Z203" i="6"/>
  <c r="Z447" i="6"/>
  <c r="Z137" i="6"/>
  <c r="Z136" i="6"/>
  <c r="Z133" i="6"/>
  <c r="Z325" i="6"/>
  <c r="Z53" i="6"/>
  <c r="Z249" i="6"/>
  <c r="Z381" i="6"/>
  <c r="Z195" i="6"/>
  <c r="Z17" i="6"/>
  <c r="Z127" i="6"/>
  <c r="Z368" i="6"/>
  <c r="Z224" i="6"/>
  <c r="Z429" i="6"/>
  <c r="Z261" i="6"/>
  <c r="Z175" i="6"/>
  <c r="Z399" i="6"/>
  <c r="Z19" i="6"/>
  <c r="Z226" i="6"/>
  <c r="Z436" i="6"/>
  <c r="Z126" i="6"/>
  <c r="Z270" i="6"/>
  <c r="Z262" i="6"/>
  <c r="Z360" i="6"/>
  <c r="Z187" i="6"/>
  <c r="Z186" i="6"/>
  <c r="Z431" i="6"/>
  <c r="Z121" i="6"/>
  <c r="Z120" i="6"/>
  <c r="Z117" i="6"/>
  <c r="Z293" i="6"/>
  <c r="Z35" i="6"/>
  <c r="Z73" i="6"/>
  <c r="Z409" i="6"/>
  <c r="Z177" i="6"/>
  <c r="Z14" i="6"/>
  <c r="Z397" i="6"/>
  <c r="Z468" i="6"/>
  <c r="Z215" i="6"/>
  <c r="Z57" i="6"/>
  <c r="Z119" i="6"/>
  <c r="Z159" i="6"/>
  <c r="Z150" i="6"/>
  <c r="Z338" i="6"/>
  <c r="Z400" i="6"/>
  <c r="Z252" i="6"/>
  <c r="Z38" i="6"/>
  <c r="Z112" i="6"/>
  <c r="Z263" i="6"/>
  <c r="Z384" i="6"/>
  <c r="Z210" i="6"/>
  <c r="Z110" i="6"/>
  <c r="Z322" i="6"/>
  <c r="Z320" i="6"/>
  <c r="Z289" i="6"/>
  <c r="Z171" i="6"/>
  <c r="Z170" i="6"/>
  <c r="Z414" i="6"/>
  <c r="Z104" i="6"/>
  <c r="Z103" i="6"/>
  <c r="Z100" i="6"/>
  <c r="Z264" i="6"/>
  <c r="Z16" i="6"/>
  <c r="Z228" i="6"/>
  <c r="Z410" i="6"/>
  <c r="Z162" i="6"/>
  <c r="Z449" i="6"/>
  <c r="Z373" i="6"/>
  <c r="Z374" i="6"/>
  <c r="Z375" i="6"/>
  <c r="Z225" i="6"/>
  <c r="Z448" i="6"/>
  <c r="Z193" i="6"/>
  <c r="Z280" i="6"/>
  <c r="Z66" i="6"/>
  <c r="Z238" i="6"/>
  <c r="Z237" i="6"/>
  <c r="Z467" i="6"/>
  <c r="Z155" i="6"/>
  <c r="Z154" i="6"/>
  <c r="Z404" i="6"/>
  <c r="Z65" i="6"/>
  <c r="Z334" i="6"/>
  <c r="Z212" i="6"/>
  <c r="Z456" i="6"/>
  <c r="Z146" i="6"/>
  <c r="Z67" i="6"/>
  <c r="Z77" i="6"/>
  <c r="Z415" i="6"/>
  <c r="Z377" i="6"/>
  <c r="Z88" i="6"/>
  <c r="Z434" i="6"/>
  <c r="Z10" i="6"/>
  <c r="Z460" i="6"/>
  <c r="Z295" i="6"/>
  <c r="Z401" i="6"/>
  <c r="Z232" i="6"/>
  <c r="Z398" i="6"/>
  <c r="Z176" i="6"/>
  <c r="Z324" i="6"/>
  <c r="Z46" i="6"/>
  <c r="Z222" i="6"/>
  <c r="Z221" i="6"/>
  <c r="Z450" i="6"/>
  <c r="Z139" i="6"/>
  <c r="Z138" i="6"/>
  <c r="Z287" i="6"/>
  <c r="Z59" i="6"/>
  <c r="Z58" i="6"/>
  <c r="Z54" i="6"/>
  <c r="Z248" i="6"/>
  <c r="Z385" i="6"/>
  <c r="Z196" i="6"/>
  <c r="Z440" i="6"/>
  <c r="Z130" i="6"/>
  <c r="Z56" i="6"/>
  <c r="Z93" i="6"/>
  <c r="Z369" i="6"/>
  <c r="Z454" i="6"/>
  <c r="Z78" i="6"/>
  <c r="Z30" i="6"/>
  <c r="Z194" i="6"/>
  <c r="Z95" i="6"/>
  <c r="Z48" i="6"/>
  <c r="Z161" i="6"/>
  <c r="Z28" i="6"/>
  <c r="Z205" i="6"/>
  <c r="Z433" i="6"/>
  <c r="Z123" i="6"/>
  <c r="Z122" i="6"/>
  <c r="Z327" i="6"/>
  <c r="Z41" i="6"/>
  <c r="Z39" i="6"/>
  <c r="Z36" i="6"/>
  <c r="Z9" i="6"/>
  <c r="Z178" i="6"/>
  <c r="Z424" i="6"/>
  <c r="Z114" i="6"/>
  <c r="Z40" i="6"/>
  <c r="Z335" i="6"/>
  <c r="Z201" i="6"/>
  <c r="Z442" i="6"/>
  <c r="Z302" i="6"/>
  <c r="Z328" i="6"/>
  <c r="Z370" i="6"/>
  <c r="Z349" i="6"/>
  <c r="Z464" i="6"/>
  <c r="Z143" i="6"/>
  <c r="Z300" i="6"/>
  <c r="Z376" i="6"/>
  <c r="Z70" i="6"/>
  <c r="Z445" i="6"/>
  <c r="Z102" i="6"/>
  <c r="Z455" i="6"/>
  <c r="Z145" i="6"/>
  <c r="Z329" i="6"/>
  <c r="Z367" i="6"/>
  <c r="Z189" i="6"/>
  <c r="Z188" i="6"/>
  <c r="Z416" i="6"/>
  <c r="Z107" i="6"/>
  <c r="Z105" i="6"/>
  <c r="Z304" i="6"/>
  <c r="Z22" i="6"/>
  <c r="Z21" i="6"/>
  <c r="Z18" i="6"/>
  <c r="Z229" i="6"/>
  <c r="Z255" i="6"/>
  <c r="Z163" i="6"/>
  <c r="Z383" i="6"/>
  <c r="Z80" i="6"/>
  <c r="Z24" i="6"/>
  <c r="Z348" i="6"/>
  <c r="Z297" i="6"/>
  <c r="Z366" i="6"/>
  <c r="Z392" i="6"/>
  <c r="Z358" i="6"/>
  <c r="Z286" i="6"/>
  <c r="Z128" i="6"/>
  <c r="Z266" i="6"/>
  <c r="Z11" i="6"/>
  <c r="Z208" i="6"/>
  <c r="Z427" i="6"/>
  <c r="Z312" i="6"/>
  <c r="Z357" i="6"/>
  <c r="Z167" i="6"/>
  <c r="Z403" i="6"/>
  <c r="Z282" i="6"/>
  <c r="Z206" i="6"/>
  <c r="Z437" i="6"/>
  <c r="Z311" i="6"/>
  <c r="Z216" i="6"/>
  <c r="Z430" i="6"/>
  <c r="Z301" i="6"/>
  <c r="Z390" i="6"/>
  <c r="Z181" i="6"/>
  <c r="Z412" i="6"/>
  <c r="Z20" i="6"/>
  <c r="Z439" i="6"/>
  <c r="Z129" i="6"/>
  <c r="Z307" i="6"/>
  <c r="Z382" i="6"/>
  <c r="Z172" i="6"/>
  <c r="Z76" i="6"/>
  <c r="Z354" i="6"/>
  <c r="Z84" i="6"/>
  <c r="Z68" i="6"/>
  <c r="Z267" i="6"/>
  <c r="Z259" i="6"/>
  <c r="Z350" i="6"/>
  <c r="Z396" i="6"/>
  <c r="Z213" i="6"/>
  <c r="Z457" i="6"/>
  <c r="Z147" i="6"/>
  <c r="Z276" i="6"/>
  <c r="Z63" i="6"/>
  <c r="Z75" i="6"/>
  <c r="AA474" i="6" l="1"/>
  <c r="AA477" i="6"/>
  <c r="AA472" i="6"/>
  <c r="AA478" i="6"/>
  <c r="AA479" i="6"/>
  <c r="AA475" i="6"/>
  <c r="AA473" i="6"/>
  <c r="AA476" i="6"/>
  <c r="AA190" i="6"/>
  <c r="AA471" i="6"/>
  <c r="AA470" i="6"/>
  <c r="AA417" i="6"/>
  <c r="AA418" i="6"/>
  <c r="AA419" i="6"/>
  <c r="AA420" i="6"/>
  <c r="AA421" i="6"/>
  <c r="AA321" i="6"/>
  <c r="AA97" i="6"/>
  <c r="AA98" i="6"/>
  <c r="AA96" i="6"/>
  <c r="AA391" i="6"/>
  <c r="AA265" i="6"/>
  <c r="AA359" i="6"/>
  <c r="AA460" i="6"/>
  <c r="AA340" i="6"/>
  <c r="AA136" i="6"/>
  <c r="AA54" i="6"/>
  <c r="AA399" i="6"/>
  <c r="AA428" i="6"/>
  <c r="AA39" i="6"/>
  <c r="AA376" i="6"/>
  <c r="AA129" i="6"/>
  <c r="AA360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400" i="6"/>
  <c r="AA196" i="6"/>
  <c r="AA151" i="6"/>
  <c r="AA233" i="6"/>
  <c r="AA266" i="6"/>
  <c r="AA284" i="6"/>
  <c r="AA174" i="6"/>
  <c r="AA79" i="6"/>
  <c r="AA105" i="6"/>
  <c r="AA277" i="6"/>
  <c r="AA49" i="6"/>
  <c r="AA86" i="6"/>
  <c r="AA403" i="6"/>
  <c r="AA330" i="6"/>
  <c r="AA29" i="6"/>
  <c r="AA453" i="6"/>
  <c r="AA130" i="6"/>
  <c r="AA201" i="6"/>
  <c r="AA102" i="6"/>
  <c r="AA13" i="6"/>
  <c r="AA357" i="6"/>
  <c r="AA128" i="6"/>
  <c r="AA191" i="6"/>
  <c r="AA387" i="6"/>
  <c r="AA368" i="6"/>
  <c r="AA380" i="6"/>
  <c r="AA249" i="6"/>
  <c r="AA149" i="6"/>
  <c r="AA393" i="6"/>
  <c r="AA99" i="6"/>
  <c r="AA146" i="6"/>
  <c r="AA440" i="6"/>
  <c r="AA355" i="6"/>
  <c r="AA147" i="6"/>
  <c r="AA398" i="6"/>
  <c r="AA404" i="6"/>
  <c r="AA118" i="6"/>
  <c r="AA28" i="6"/>
  <c r="AA69" i="6"/>
  <c r="AA356" i="6"/>
  <c r="AA223" i="6"/>
  <c r="AA91" i="6"/>
  <c r="AA178" i="6"/>
  <c r="AA73" i="6"/>
  <c r="AA199" i="6"/>
  <c r="AA267" i="6"/>
  <c r="AA429" i="6"/>
  <c r="AA354" i="6"/>
  <c r="AA179" i="6"/>
  <c r="AA310" i="6"/>
  <c r="AA204" i="6"/>
  <c r="Z5" i="6"/>
  <c r="AA33" i="6"/>
  <c r="AA449" i="6"/>
  <c r="AA373" i="6"/>
  <c r="AA374" i="6"/>
  <c r="AA375" i="6"/>
  <c r="AA236" i="6"/>
  <c r="AA325" i="6"/>
  <c r="AA331" i="6"/>
  <c r="AA383" i="6"/>
  <c r="AA303" i="6"/>
  <c r="AA385" i="6"/>
  <c r="AA64" i="6"/>
  <c r="AA63" i="6"/>
  <c r="AA176" i="6"/>
  <c r="AA275" i="6"/>
  <c r="AA343" i="6"/>
  <c r="AA438" i="6"/>
  <c r="AA287" i="6"/>
  <c r="AA53" i="6"/>
  <c r="AA158" i="6"/>
  <c r="AA17" i="6"/>
  <c r="AA389" i="6"/>
  <c r="AA216" i="6"/>
  <c r="AA274" i="6"/>
  <c r="AA57" i="6"/>
  <c r="AA154" i="6"/>
  <c r="AA213" i="6"/>
  <c r="AA437" i="6"/>
  <c r="AA140" i="6"/>
  <c r="AA452" i="6"/>
  <c r="AA44" i="6"/>
  <c r="AA271" i="6"/>
  <c r="AA365" i="6"/>
  <c r="AA133" i="6"/>
  <c r="AA278" i="6"/>
  <c r="AA326" i="6"/>
  <c r="AA450" i="6"/>
  <c r="AA394" i="6"/>
  <c r="AA38" i="6"/>
  <c r="AA37" i="6"/>
  <c r="AA254" i="6"/>
  <c r="AA305" i="6"/>
  <c r="AA296" i="6"/>
  <c r="AA416" i="6"/>
  <c r="AA353" i="6"/>
  <c r="AA22" i="6"/>
  <c r="AA172" i="6"/>
  <c r="AA30" i="6"/>
  <c r="AA314" i="6"/>
  <c r="AA203" i="6"/>
  <c r="AA231" i="6"/>
  <c r="AA41" i="6"/>
  <c r="AA221" i="6"/>
  <c r="AA238" i="6"/>
  <c r="AA119" i="6"/>
  <c r="AA211" i="6"/>
  <c r="AA251" i="6"/>
  <c r="AA285" i="6"/>
  <c r="AA58" i="6"/>
  <c r="AA183" i="6"/>
  <c r="AA247" i="6"/>
  <c r="AA180" i="6"/>
  <c r="AA364" i="6"/>
  <c r="AA8" i="6"/>
  <c r="AA111" i="6"/>
  <c r="AA150" i="6"/>
  <c r="AA165" i="6"/>
  <c r="AA261" i="6"/>
  <c r="AA427" i="6"/>
  <c r="AA10" i="6"/>
  <c r="AA381" i="6"/>
  <c r="AA367" i="6"/>
  <c r="AA120" i="6"/>
  <c r="AA245" i="6"/>
  <c r="AA349" i="6"/>
  <c r="AA322" i="6"/>
  <c r="AA458" i="6"/>
  <c r="AA300" i="6"/>
  <c r="AA78" i="6"/>
  <c r="AA14" i="6"/>
  <c r="AA276" i="6"/>
  <c r="AA167" i="6"/>
  <c r="AA243" i="6"/>
  <c r="AA25" i="6"/>
  <c r="AA242" i="6"/>
  <c r="AA157" i="6"/>
  <c r="AA370" i="6"/>
  <c r="AA82" i="6"/>
  <c r="AA218" i="6"/>
  <c r="AA464" i="6"/>
  <c r="AA454" i="6"/>
  <c r="AA139" i="6"/>
  <c r="AA76" i="6"/>
  <c r="AA192" i="6"/>
  <c r="AA270" i="6"/>
  <c r="AA345" i="6"/>
  <c r="AA426" i="6"/>
  <c r="AA469" i="6"/>
  <c r="AA371" i="6"/>
  <c r="AA90" i="6"/>
  <c r="AA227" i="6"/>
  <c r="AA232" i="6"/>
  <c r="AA288" i="6"/>
  <c r="AA415" i="6"/>
  <c r="AA295" i="6"/>
  <c r="AA21" i="6"/>
  <c r="AA219" i="6"/>
  <c r="AA446" i="6"/>
  <c r="AA137" i="6"/>
  <c r="AA336" i="6"/>
  <c r="AA411" i="6"/>
  <c r="AA108" i="6"/>
  <c r="AA126" i="6"/>
  <c r="AA344" i="6"/>
  <c r="AA50" i="6"/>
  <c r="AA352" i="6"/>
  <c r="AA244" i="6"/>
  <c r="AA366" i="6"/>
  <c r="AA447" i="6"/>
  <c r="AA377" i="6"/>
  <c r="AA62" i="6"/>
  <c r="AA155" i="6"/>
  <c r="AA229" i="6"/>
  <c r="AA350" i="6"/>
  <c r="AA311" i="6"/>
  <c r="AA457" i="6"/>
  <c r="AA197" i="6"/>
  <c r="AA110" i="6"/>
  <c r="AA430" i="6"/>
  <c r="AA173" i="6"/>
  <c r="AA122" i="6"/>
  <c r="AA455" i="6"/>
  <c r="AA134" i="6"/>
  <c r="AA148" i="6"/>
  <c r="AA319" i="6"/>
  <c r="AA34" i="6"/>
  <c r="AA268" i="6"/>
  <c r="AA442" i="6"/>
  <c r="AA306" i="6"/>
  <c r="AA32" i="6"/>
  <c r="AA225" i="6"/>
  <c r="AA328" i="6"/>
  <c r="AA413" i="6"/>
  <c r="AA59" i="6"/>
  <c r="AA207" i="6"/>
  <c r="AA439" i="6"/>
  <c r="AA156" i="6"/>
  <c r="AA127" i="6"/>
  <c r="AA307" i="6"/>
  <c r="AA18" i="6"/>
  <c r="AA12" i="6"/>
  <c r="AA222" i="6"/>
  <c r="AA335" i="6"/>
  <c r="AA436" i="6"/>
  <c r="AA106" i="6"/>
  <c r="AA166" i="6"/>
  <c r="AA341" i="6"/>
  <c r="AA66" i="6"/>
  <c r="AA224" i="6"/>
  <c r="AA47" i="6"/>
  <c r="AA332" i="6"/>
  <c r="AA407" i="6"/>
  <c r="AA406" i="6"/>
  <c r="AA170" i="6"/>
  <c r="AA425" i="6"/>
  <c r="AA171" i="6"/>
  <c r="AA435" i="6"/>
  <c r="AA408" i="6"/>
  <c r="AA395" i="6"/>
  <c r="AA396" i="6"/>
  <c r="AA182" i="6"/>
  <c r="AA362" i="6"/>
  <c r="AA384" i="6"/>
  <c r="AA123" i="6"/>
  <c r="AA280" i="6"/>
  <c r="AA414" i="6"/>
  <c r="AA141" i="6"/>
  <c r="AA153" i="6"/>
  <c r="AA9" i="6"/>
  <c r="AA241" i="6"/>
  <c r="AA423" i="6"/>
  <c r="AA135" i="6"/>
  <c r="AA83" i="6"/>
  <c r="AA294" i="6"/>
  <c r="AA75" i="6"/>
  <c r="AA433" i="6"/>
  <c r="AA318" i="6"/>
  <c r="AA189" i="6"/>
  <c r="AA333" i="6"/>
  <c r="AA260" i="6"/>
  <c r="AA195" i="6"/>
  <c r="AA56" i="6"/>
  <c r="AA302" i="6"/>
  <c r="AA16" i="6"/>
  <c r="AA210" i="6"/>
  <c r="AA386" i="6"/>
  <c r="AA177" i="6"/>
  <c r="AA230" i="6"/>
  <c r="AA312" i="6"/>
  <c r="AA432" i="6"/>
  <c r="AB7" i="6"/>
  <c r="AA456" i="6"/>
  <c r="AA143" i="6"/>
  <c r="AA228" i="6"/>
  <c r="AA329" i="6"/>
  <c r="AA468" i="6"/>
  <c r="AA88" i="6"/>
  <c r="AA246" i="6"/>
  <c r="AA43" i="6"/>
  <c r="AA466" i="6"/>
  <c r="AA237" i="6"/>
  <c r="AA347" i="6"/>
  <c r="AA286" i="6"/>
  <c r="AA317" i="6"/>
  <c r="AA434" i="6"/>
  <c r="AA401" i="6"/>
  <c r="AA71" i="6"/>
  <c r="AA160" i="6"/>
  <c r="AA202" i="6"/>
  <c r="AA299" i="6"/>
  <c r="AA298" i="6"/>
  <c r="AA445" i="6"/>
  <c r="AA372" i="6"/>
  <c r="AA60" i="6"/>
  <c r="AA116" i="6"/>
  <c r="AA250" i="6"/>
  <c r="AA334" i="6"/>
  <c r="AA292" i="6"/>
  <c r="AA168" i="6"/>
  <c r="AA175" i="6"/>
  <c r="AA290" i="6"/>
  <c r="AA27" i="6"/>
  <c r="AA200" i="6"/>
  <c r="AA379" i="6"/>
  <c r="AA84" i="6"/>
  <c r="AA67" i="6"/>
  <c r="AA257" i="6"/>
  <c r="AA74" i="6"/>
  <c r="AA390" i="6"/>
  <c r="AA48" i="6"/>
  <c r="AA259" i="6"/>
  <c r="AA405" i="6"/>
  <c r="AA26" i="6"/>
  <c r="AA101" i="6"/>
  <c r="AA262" i="6"/>
  <c r="AA131" i="6"/>
  <c r="AA258" i="6"/>
  <c r="AA87" i="6"/>
  <c r="AA208" i="6"/>
  <c r="AA46" i="6"/>
  <c r="AA193" i="6"/>
  <c r="AA412" i="6"/>
  <c r="AA338" i="6"/>
  <c r="AA42" i="6"/>
  <c r="AA162" i="6"/>
  <c r="AA112" i="6"/>
  <c r="AA351" i="6"/>
  <c r="AA315" i="6"/>
  <c r="AA424" i="6"/>
  <c r="AA378" i="6"/>
  <c r="AA31" i="6"/>
  <c r="AA85" i="6"/>
  <c r="AA103" i="6"/>
  <c r="AA217" i="6"/>
  <c r="AA309" i="6"/>
  <c r="AA104" i="6"/>
  <c r="AA94" i="6"/>
  <c r="AA269" i="6"/>
  <c r="AA409" i="6"/>
  <c r="AA186" i="6"/>
  <c r="AA323" i="6"/>
  <c r="AA68" i="6"/>
  <c r="AA51" i="6"/>
  <c r="AA187" i="6"/>
  <c r="AA459" i="6"/>
  <c r="AA448" i="6"/>
  <c r="AA382" i="6"/>
  <c r="AA465" i="6"/>
  <c r="AA339" i="6"/>
  <c r="AA220" i="6"/>
  <c r="AA291" i="6"/>
  <c r="AA358" i="6"/>
  <c r="AA337" i="6"/>
  <c r="AA55" i="6"/>
  <c r="AA113" i="6"/>
  <c r="AA215" i="6"/>
  <c r="AA272" i="6"/>
  <c r="AA132" i="6"/>
  <c r="AA77" i="6"/>
  <c r="AA264" i="6"/>
  <c r="AA206" i="6"/>
  <c r="AA152" i="6"/>
  <c r="AA327" i="6"/>
  <c r="AA52" i="6"/>
  <c r="AA35" i="6"/>
  <c r="AA226" i="6"/>
  <c r="AA462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9" i="6"/>
  <c r="AA142" i="6"/>
  <c r="AA410" i="6"/>
  <c r="AA392" i="6"/>
  <c r="AA144" i="6"/>
  <c r="AA467" i="6"/>
  <c r="AA363" i="6"/>
  <c r="AA124" i="6"/>
  <c r="AA263" i="6"/>
  <c r="AA15" i="6"/>
  <c r="AA301" i="6"/>
  <c r="AA451" i="6"/>
  <c r="AA397" i="6"/>
  <c r="AA70" i="6"/>
  <c r="AA145" i="6"/>
  <c r="AA194" i="6"/>
  <c r="AA212" i="6"/>
  <c r="AA443" i="6"/>
  <c r="AA361" i="6"/>
  <c r="AA24" i="6"/>
  <c r="AA100" i="6"/>
  <c r="AA188" i="6"/>
  <c r="AA320" i="6"/>
  <c r="AA114" i="6"/>
  <c r="AA198" i="6"/>
  <c r="AA461" i="6"/>
  <c r="AA169" i="6"/>
  <c r="AA346" i="6"/>
  <c r="AA36" i="6"/>
  <c r="AA19" i="6"/>
  <c r="AA93" i="6"/>
  <c r="AA159" i="6"/>
  <c r="AA441" i="6"/>
  <c r="AA293" i="6"/>
  <c r="AA297" i="6"/>
  <c r="AA125" i="6"/>
  <c r="AA256" i="6"/>
  <c r="AA431" i="6"/>
  <c r="AA402" i="6"/>
  <c r="AA40" i="6"/>
  <c r="AA253" i="6"/>
  <c r="AA184" i="6"/>
  <c r="AA235" i="6"/>
  <c r="AA422" i="6"/>
  <c r="AA463" i="6"/>
  <c r="AA388" i="6"/>
  <c r="AA80" i="6"/>
  <c r="AA255" i="6"/>
  <c r="AA209" i="6"/>
  <c r="AA81" i="6"/>
  <c r="AA45" i="6"/>
  <c r="AA313" i="6"/>
  <c r="AA444" i="6"/>
  <c r="AA121" i="6"/>
  <c r="AA348" i="6"/>
  <c r="AA20" i="6"/>
  <c r="AA279" i="6"/>
  <c r="AA234" i="6"/>
  <c r="AA92" i="6"/>
  <c r="AB474" i="6" l="1"/>
  <c r="AB477" i="6"/>
  <c r="AB472" i="6"/>
  <c r="AB478" i="6"/>
  <c r="AB479" i="6"/>
  <c r="AB475" i="6"/>
  <c r="AB473" i="6"/>
  <c r="AB476" i="6"/>
  <c r="AB190" i="6"/>
  <c r="AB471" i="6"/>
  <c r="AB470" i="6"/>
  <c r="AB317" i="6"/>
  <c r="AB420" i="6"/>
  <c r="AB419" i="6"/>
  <c r="AB417" i="6"/>
  <c r="AB418" i="6"/>
  <c r="AB421" i="6"/>
  <c r="AB432" i="6"/>
  <c r="AB321" i="6"/>
  <c r="AB96" i="6"/>
  <c r="AB97" i="6"/>
  <c r="AB98" i="6"/>
  <c r="AB125" i="6"/>
  <c r="AB162" i="6"/>
  <c r="AB359" i="6"/>
  <c r="AB360" i="6"/>
  <c r="AB218" i="6"/>
  <c r="AB165" i="6"/>
  <c r="AB300" i="6"/>
  <c r="AB301" i="6"/>
  <c r="AB311" i="6"/>
  <c r="AB237" i="6"/>
  <c r="AB63" i="6"/>
  <c r="AB416" i="6"/>
  <c r="AB55" i="6"/>
  <c r="AB47" i="6"/>
  <c r="AB71" i="6"/>
  <c r="AB364" i="6"/>
  <c r="AB39" i="6"/>
  <c r="AB31" i="6"/>
  <c r="AB109" i="6"/>
  <c r="AB233" i="6"/>
  <c r="AB131" i="6"/>
  <c r="AB181" i="6"/>
  <c r="AB281" i="6"/>
  <c r="AB265" i="6"/>
  <c r="AB17" i="6"/>
  <c r="AB343" i="6"/>
  <c r="AB217" i="6"/>
  <c r="AB428" i="6"/>
  <c r="AB468" i="6"/>
  <c r="AB349" i="6"/>
  <c r="AB112" i="6"/>
  <c r="AB409" i="6"/>
  <c r="AB127" i="6"/>
  <c r="AB249" i="6"/>
  <c r="AB118" i="6"/>
  <c r="AB278" i="6"/>
  <c r="AB365" i="6"/>
  <c r="AB262" i="6"/>
  <c r="AB84" i="6"/>
  <c r="AB327" i="6"/>
  <c r="AB160" i="6"/>
  <c r="AB68" i="6"/>
  <c r="AB467" i="6"/>
  <c r="AB24" i="6"/>
  <c r="AB413" i="6"/>
  <c r="AB442" i="6"/>
  <c r="AB397" i="6"/>
  <c r="AB348" i="6"/>
  <c r="AB320" i="6"/>
  <c r="AB345" i="6"/>
  <c r="AB430" i="6"/>
  <c r="AB306" i="6"/>
  <c r="AB100" i="6"/>
  <c r="AB427" i="6"/>
  <c r="AB216" i="6"/>
  <c r="AB303" i="6"/>
  <c r="AB166" i="6"/>
  <c r="AB167" i="6"/>
  <c r="AB340" i="6"/>
  <c r="AB77" i="6"/>
  <c r="AB107" i="6"/>
  <c r="AB324" i="6"/>
  <c r="AB182" i="6"/>
  <c r="AB61" i="6"/>
  <c r="AB398" i="6"/>
  <c r="AB264" i="6"/>
  <c r="AB245" i="6"/>
  <c r="AB302" i="6"/>
  <c r="AB412" i="6"/>
  <c r="AB153" i="6"/>
  <c r="AB113" i="6"/>
  <c r="AB309" i="6"/>
  <c r="AB385" i="6"/>
  <c r="AB23" i="6"/>
  <c r="AB201" i="6"/>
  <c r="AB135" i="6"/>
  <c r="AB52" i="6"/>
  <c r="AB168" i="6"/>
  <c r="AB461" i="6"/>
  <c r="AB45" i="6"/>
  <c r="AB238" i="6"/>
  <c r="AB141" i="6"/>
  <c r="AB173" i="6"/>
  <c r="AB129" i="6"/>
  <c r="AB293" i="6"/>
  <c r="AB110" i="6"/>
  <c r="AB355" i="6"/>
  <c r="AB86" i="6"/>
  <c r="AB402" i="6"/>
  <c r="AB108" i="6"/>
  <c r="AB104" i="6"/>
  <c r="AB436" i="6"/>
  <c r="AB29" i="6"/>
  <c r="AB103" i="6"/>
  <c r="AB368" i="6"/>
  <c r="AB70" i="6"/>
  <c r="AB411" i="6"/>
  <c r="AB134" i="6"/>
  <c r="AB132" i="6"/>
  <c r="AB381" i="6"/>
  <c r="AB13" i="6"/>
  <c r="AB277" i="6"/>
  <c r="AB334" i="6"/>
  <c r="AB60" i="6"/>
  <c r="AB323" i="6"/>
  <c r="AB346" i="6"/>
  <c r="AB75" i="6"/>
  <c r="AB99" i="6"/>
  <c r="AB189" i="6"/>
  <c r="AB154" i="6"/>
  <c r="AB243" i="6"/>
  <c r="AB379" i="6"/>
  <c r="AB148" i="6"/>
  <c r="AB212" i="6"/>
  <c r="AB244" i="6"/>
  <c r="AB33" i="6"/>
  <c r="AB221" i="6"/>
  <c r="AB44" i="6"/>
  <c r="AB220" i="6"/>
  <c r="AB152" i="6"/>
  <c r="AB308" i="6"/>
  <c r="AB425" i="6"/>
  <c r="AB200" i="6"/>
  <c r="AB11" i="6"/>
  <c r="AB246" i="6"/>
  <c r="AB453" i="6"/>
  <c r="AB330" i="6"/>
  <c r="AB74" i="6"/>
  <c r="AB394" i="6"/>
  <c r="AB76" i="6"/>
  <c r="AB59" i="6"/>
  <c r="AB410" i="6"/>
  <c r="AB350" i="6"/>
  <c r="AB197" i="6"/>
  <c r="AB58" i="6"/>
  <c r="AB49" i="6"/>
  <c r="AB312" i="6"/>
  <c r="AB383" i="6"/>
  <c r="AB28" i="6"/>
  <c r="AB204" i="6"/>
  <c r="AB203" i="6"/>
  <c r="AB292" i="6"/>
  <c r="AB358" i="6"/>
  <c r="AB85" i="6"/>
  <c r="AB445" i="6"/>
  <c r="AB230" i="6"/>
  <c r="AB395" i="6"/>
  <c r="AB78" i="6"/>
  <c r="AB440" i="6"/>
  <c r="AB466" i="6"/>
  <c r="AB228" i="6"/>
  <c r="AB9" i="6"/>
  <c r="AB106" i="6"/>
  <c r="AB54" i="6"/>
  <c r="AB460" i="6"/>
  <c r="AB187" i="6"/>
  <c r="AB448" i="6"/>
  <c r="AB463" i="6"/>
  <c r="AB254" i="6"/>
  <c r="AB367" i="6"/>
  <c r="AB295" i="6"/>
  <c r="AB105" i="6"/>
  <c r="AB156" i="6"/>
  <c r="AB287" i="6"/>
  <c r="AB66" i="6"/>
  <c r="AB42" i="6"/>
  <c r="AB433" i="6"/>
  <c r="AB186" i="6"/>
  <c r="AB53" i="6"/>
  <c r="AB214" i="6"/>
  <c r="AB62" i="6"/>
  <c r="AB126" i="6"/>
  <c r="AB101" i="6"/>
  <c r="AB401" i="6"/>
  <c r="AB164" i="6"/>
  <c r="AB159" i="6"/>
  <c r="AB260" i="6"/>
  <c r="AB149" i="6"/>
  <c r="AB21" i="6"/>
  <c r="AB198" i="6"/>
  <c r="AB437" i="6"/>
  <c r="AB46" i="6"/>
  <c r="AB252" i="6"/>
  <c r="AB261" i="6"/>
  <c r="AB12" i="6"/>
  <c r="AB469" i="6"/>
  <c r="AB157" i="6"/>
  <c r="AB213" i="6"/>
  <c r="AB369" i="6"/>
  <c r="AB206" i="6"/>
  <c r="AB43" i="6"/>
  <c r="AB414" i="6"/>
  <c r="AB344" i="6"/>
  <c r="AB361" i="6"/>
  <c r="AB89" i="6"/>
  <c r="AB88" i="6"/>
  <c r="AB144" i="6"/>
  <c r="AB338" i="6"/>
  <c r="AB10" i="6"/>
  <c r="AB247" i="6"/>
  <c r="AB119" i="6"/>
  <c r="AB404" i="6"/>
  <c r="AB30" i="6"/>
  <c r="AB339" i="6"/>
  <c r="AB236" i="6"/>
  <c r="AB81" i="6"/>
  <c r="AB276" i="6"/>
  <c r="AB145" i="6"/>
  <c r="AB407" i="6"/>
  <c r="AB18" i="6"/>
  <c r="AB196" i="6"/>
  <c r="AB403" i="6"/>
  <c r="AB405" i="6"/>
  <c r="AB27" i="6"/>
  <c r="AB328" i="6"/>
  <c r="AB435" i="6"/>
  <c r="AB357" i="6"/>
  <c r="AB72" i="6"/>
  <c r="AB161" i="6"/>
  <c r="AB259" i="6"/>
  <c r="AB422" i="6"/>
  <c r="AB231" i="6"/>
  <c r="AB83" i="6"/>
  <c r="AB347" i="6"/>
  <c r="AB14" i="6"/>
  <c r="AB286" i="6"/>
  <c r="AB188" i="6"/>
  <c r="AB431" i="6"/>
  <c r="AB366" i="6"/>
  <c r="AB102" i="6"/>
  <c r="AB423" i="6"/>
  <c r="AB331" i="6"/>
  <c r="AB65" i="6"/>
  <c r="AB438" i="6"/>
  <c r="AB313" i="6"/>
  <c r="AB370" i="6"/>
  <c r="AB56" i="6"/>
  <c r="AB136" i="6"/>
  <c r="AB215" i="6"/>
  <c r="AB356" i="6"/>
  <c r="AB384" i="6"/>
  <c r="AB280" i="6"/>
  <c r="AB408" i="6"/>
  <c r="AB380" i="6"/>
  <c r="AB441" i="6"/>
  <c r="AB297" i="6"/>
  <c r="AB452" i="6"/>
  <c r="AB451" i="6"/>
  <c r="AB40" i="6"/>
  <c r="AB250" i="6"/>
  <c r="AB158" i="6"/>
  <c r="AB337" i="6"/>
  <c r="AB199" i="6"/>
  <c r="AB439" i="6"/>
  <c r="AB316" i="6"/>
  <c r="AB389" i="6"/>
  <c r="AB315" i="6"/>
  <c r="AB329" i="6"/>
  <c r="AB459" i="6"/>
  <c r="AB36" i="6"/>
  <c r="AB19" i="6"/>
  <c r="AB227" i="6"/>
  <c r="AB242" i="6"/>
  <c r="AB299" i="6"/>
  <c r="AB314" i="6"/>
  <c r="AB462" i="6"/>
  <c r="AB290" i="6"/>
  <c r="AB336" i="6"/>
  <c r="AB20" i="6"/>
  <c r="AB396" i="6"/>
  <c r="AB211" i="6"/>
  <c r="AB226" i="6"/>
  <c r="AB283" i="6"/>
  <c r="AB298" i="6"/>
  <c r="AB38" i="6"/>
  <c r="AB319" i="6"/>
  <c r="AB195" i="6"/>
  <c r="AB267" i="6"/>
  <c r="AB282" i="6"/>
  <c r="AB455" i="6"/>
  <c r="AB179" i="6"/>
  <c r="AB115" i="6"/>
  <c r="AB133" i="6"/>
  <c r="AB90" i="6"/>
  <c r="AB255" i="6"/>
  <c r="AB117" i="6"/>
  <c r="AB73" i="6"/>
  <c r="AB169" i="6"/>
  <c r="AB429" i="6"/>
  <c r="AB202" i="6"/>
  <c r="AB322" i="6"/>
  <c r="AB22" i="6"/>
  <c r="AB128" i="6"/>
  <c r="AB305" i="6"/>
  <c r="AB351" i="6"/>
  <c r="AB390" i="6"/>
  <c r="AB177" i="6"/>
  <c r="AB194" i="6"/>
  <c r="AB130" i="6"/>
  <c r="AB266" i="6"/>
  <c r="AB210" i="6"/>
  <c r="AB279" i="6"/>
  <c r="AB443" i="6"/>
  <c r="AB229" i="6"/>
  <c r="AB26" i="6"/>
  <c r="AB341" i="6"/>
  <c r="AB57" i="6"/>
  <c r="AB251" i="6"/>
  <c r="AB362" i="6"/>
  <c r="AB184" i="6"/>
  <c r="AB307" i="6"/>
  <c r="AB352" i="6"/>
  <c r="AB150" i="6"/>
  <c r="AB289" i="6"/>
  <c r="AB288" i="6"/>
  <c r="AB456" i="6"/>
  <c r="AB176" i="6"/>
  <c r="AB193" i="6"/>
  <c r="AB122" i="6"/>
  <c r="AA5" i="6"/>
  <c r="AB342" i="6"/>
  <c r="AB400" i="6"/>
  <c r="AB333" i="6"/>
  <c r="AB50" i="6"/>
  <c r="AB296" i="6"/>
  <c r="AB239" i="6"/>
  <c r="AB137" i="6"/>
  <c r="AB270" i="6"/>
  <c r="AB263" i="6"/>
  <c r="AB376" i="6"/>
  <c r="AB114" i="6"/>
  <c r="AB123" i="6"/>
  <c r="AB372" i="6"/>
  <c r="AB223" i="6"/>
  <c r="AB325" i="6"/>
  <c r="AB25" i="6"/>
  <c r="AB235" i="6"/>
  <c r="AB450" i="6"/>
  <c r="AB151" i="6"/>
  <c r="AB291" i="6"/>
  <c r="AB274" i="6"/>
  <c r="AB248" i="6"/>
  <c r="AB273" i="6"/>
  <c r="AB272" i="6"/>
  <c r="AB399" i="6"/>
  <c r="AB80" i="6"/>
  <c r="AB175" i="6"/>
  <c r="AB139" i="6"/>
  <c r="AB258" i="6"/>
  <c r="AB371" i="6"/>
  <c r="AB205" i="6"/>
  <c r="AB140" i="6"/>
  <c r="AB253" i="6"/>
  <c r="AB464" i="6"/>
  <c r="AB34" i="6"/>
  <c r="AB222" i="6"/>
  <c r="AB444" i="6"/>
  <c r="AB207" i="6"/>
  <c r="AB294" i="6"/>
  <c r="AB363" i="6"/>
  <c r="AB219" i="6"/>
  <c r="AB426" i="6"/>
  <c r="AB87" i="6"/>
  <c r="AB275" i="6"/>
  <c r="AB171" i="6"/>
  <c r="AB232" i="6"/>
  <c r="AB257" i="6"/>
  <c r="AB256" i="6"/>
  <c r="AB465" i="6"/>
  <c r="AB386" i="6"/>
  <c r="AB79" i="6"/>
  <c r="AB95" i="6"/>
  <c r="AB449" i="6"/>
  <c r="AB373" i="6"/>
  <c r="AB374" i="6"/>
  <c r="AB375" i="6"/>
  <c r="AB180" i="6"/>
  <c r="AB332" i="6"/>
  <c r="AB64" i="6"/>
  <c r="AB284" i="6"/>
  <c r="AB15" i="6"/>
  <c r="AB147" i="6"/>
  <c r="AB378" i="6"/>
  <c r="AB240" i="6"/>
  <c r="AB93" i="6"/>
  <c r="AB48" i="6"/>
  <c r="AB268" i="6"/>
  <c r="AB388" i="6"/>
  <c r="AB170" i="6"/>
  <c r="AB447" i="6"/>
  <c r="AB224" i="6"/>
  <c r="AB92" i="6"/>
  <c r="AB32" i="6"/>
  <c r="AB138" i="6"/>
  <c r="AB393" i="6"/>
  <c r="AB116" i="6"/>
  <c r="AB387" i="6"/>
  <c r="AB208" i="6"/>
  <c r="AB91" i="6"/>
  <c r="AB69" i="6"/>
  <c r="AB120" i="6"/>
  <c r="AB335" i="6"/>
  <c r="AB67" i="6"/>
  <c r="AB285" i="6"/>
  <c r="AB16" i="6"/>
  <c r="AB155" i="6"/>
  <c r="AB382" i="6"/>
  <c r="AB241" i="6"/>
  <c r="AB458" i="6"/>
  <c r="AB192" i="6"/>
  <c r="AB37" i="6"/>
  <c r="AB318" i="6"/>
  <c r="AB51" i="6"/>
  <c r="AB269" i="6"/>
  <c r="AB392" i="6"/>
  <c r="AB225" i="6"/>
  <c r="AB434" i="6"/>
  <c r="AB174" i="6"/>
  <c r="AB183" i="6"/>
  <c r="AB354" i="6"/>
  <c r="AB142" i="6"/>
  <c r="AB111" i="6"/>
  <c r="AB82" i="6"/>
  <c r="AB271" i="6"/>
  <c r="AB454" i="6"/>
  <c r="AB326" i="6"/>
  <c r="AB178" i="6"/>
  <c r="AB415" i="6"/>
  <c r="AB172" i="6"/>
  <c r="AB457" i="6"/>
  <c r="AB191" i="6"/>
  <c r="AB310" i="6"/>
  <c r="AB41" i="6"/>
  <c r="AB121" i="6"/>
  <c r="AB353" i="6"/>
  <c r="AB234" i="6"/>
  <c r="AB424" i="6"/>
  <c r="AB143" i="6"/>
  <c r="AB446" i="6"/>
  <c r="AB406" i="6"/>
  <c r="AB163" i="6"/>
  <c r="AB304" i="6"/>
  <c r="AB35" i="6"/>
  <c r="AB146" i="6"/>
  <c r="AB8" i="6"/>
  <c r="AB124" i="6"/>
  <c r="AB391" i="6"/>
  <c r="AB209" i="6"/>
  <c r="AB377" i="6"/>
  <c r="AB94" i="6"/>
  <c r="AB5" i="6" l="1"/>
</calcChain>
</file>

<file path=xl/sharedStrings.xml><?xml version="1.0" encoding="utf-8"?>
<sst xmlns="http://schemas.openxmlformats.org/spreadsheetml/2006/main" count="4565" uniqueCount="2009">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</sst>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8"/>
  <sheetViews>
    <sheetView tabSelected="1" zoomScaleNormal="100" workbookViewId="0">
      <pane ySplit="7" topLeftCell="A90" activePane="bottomLeft" state="frozen"/>
      <selection pane="bottomLeft" activeCell="O96" sqref="O96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76</v>
      </c>
      <c r="G3" s="5">
        <f>+AF6</f>
        <v>76</v>
      </c>
      <c r="H3" s="5">
        <f>+E3-G3</f>
        <v>34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136</v>
      </c>
      <c r="G4" s="7">
        <f>+AG6</f>
        <v>119</v>
      </c>
      <c r="H4" s="5">
        <f>+E4-G4</f>
        <v>207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212</v>
      </c>
      <c r="G5" s="8">
        <f>+G3+G4</f>
        <v>195</v>
      </c>
      <c r="H5" s="8">
        <f>+H3+H4</f>
        <v>241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SUM(S8:S2421)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SUM(AD8:AD1690)</f>
        <v>76</v>
      </c>
      <c r="AE6" s="1">
        <f t="shared" si="1"/>
        <v>136</v>
      </c>
      <c r="AF6" s="1">
        <f t="shared" si="1"/>
        <v>76</v>
      </c>
      <c r="AG6" s="1">
        <f t="shared" si="1"/>
        <v>119</v>
      </c>
      <c r="AH6" s="1">
        <f t="shared" si="1"/>
        <v>110</v>
      </c>
      <c r="AI6" s="1">
        <f t="shared" si="1"/>
        <v>326</v>
      </c>
    </row>
    <row r="7" spans="1:36" s="31" customFormat="1" ht="14.25" customHeight="1" x14ac:dyDescent="0.25">
      <c r="A7" s="27" t="s">
        <v>1378</v>
      </c>
      <c r="B7" s="27" t="s">
        <v>1379</v>
      </c>
      <c r="C7" s="27" t="s">
        <v>1380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1381</v>
      </c>
      <c r="K7" s="27" t="s">
        <v>1640</v>
      </c>
      <c r="L7" s="27" t="s">
        <v>17</v>
      </c>
      <c r="M7" s="32" t="s">
        <v>1382</v>
      </c>
      <c r="N7" s="28" t="s">
        <v>0</v>
      </c>
      <c r="O7" s="18" t="s">
        <v>1</v>
      </c>
      <c r="P7" s="18" t="s">
        <v>2</v>
      </c>
      <c r="Q7" s="32" t="s">
        <v>1888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1742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1598</v>
      </c>
      <c r="E9" s="35" t="s">
        <v>172</v>
      </c>
      <c r="F9" s="35" t="s">
        <v>1548</v>
      </c>
      <c r="G9" s="35" t="s">
        <v>39</v>
      </c>
      <c r="H9" s="35" t="s">
        <v>364</v>
      </c>
      <c r="I9" s="34" t="s">
        <v>1549</v>
      </c>
      <c r="J9" s="34">
        <v>99</v>
      </c>
      <c r="K9" s="36" t="s">
        <v>968</v>
      </c>
      <c r="L9" s="36" t="s">
        <v>1708</v>
      </c>
      <c r="M9" s="37" t="s">
        <v>1386</v>
      </c>
      <c r="N9" s="37" t="s">
        <v>1734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1709</v>
      </c>
      <c r="M10" s="50" t="s">
        <v>1383</v>
      </c>
      <c r="N10" s="50" t="s">
        <v>1754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1384</v>
      </c>
      <c r="N11" s="50" t="s">
        <v>1809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1712</v>
      </c>
      <c r="M12" s="50" t="s">
        <v>1123</v>
      </c>
      <c r="N12" s="50" t="s">
        <v>1743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1713</v>
      </c>
      <c r="M13" s="50" t="s">
        <v>1123</v>
      </c>
      <c r="N13" s="50" t="s">
        <v>1743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1300</v>
      </c>
      <c r="G14" s="48" t="s">
        <v>241</v>
      </c>
      <c r="H14" s="48" t="s">
        <v>355</v>
      </c>
      <c r="I14" s="47" t="s">
        <v>1367</v>
      </c>
      <c r="J14" s="47">
        <v>1</v>
      </c>
      <c r="K14" s="49" t="s">
        <v>964</v>
      </c>
      <c r="L14" s="49" t="s">
        <v>1715</v>
      </c>
      <c r="M14" s="50" t="s">
        <v>1385</v>
      </c>
      <c r="N14" s="50" t="s">
        <v>1746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1713</v>
      </c>
      <c r="M15" s="50" t="s">
        <v>1123</v>
      </c>
      <c r="N15" s="50" t="s">
        <v>1754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1705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1721</v>
      </c>
      <c r="M17" s="50" t="s">
        <v>1386</v>
      </c>
      <c r="N17" s="50" t="s">
        <v>1748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1386</v>
      </c>
      <c r="N18" s="50" t="s">
        <v>1809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1816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1172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1713</v>
      </c>
      <c r="M23" s="37" t="s">
        <v>1123</v>
      </c>
      <c r="N23" s="37" t="s">
        <v>1750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1595</v>
      </c>
      <c r="E24" s="42" t="s">
        <v>172</v>
      </c>
      <c r="F24" s="42" t="s">
        <v>1596</v>
      </c>
      <c r="G24" s="42" t="s">
        <v>214</v>
      </c>
      <c r="H24" s="42" t="s">
        <v>355</v>
      </c>
      <c r="I24" s="41" t="s">
        <v>1597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1756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1722</v>
      </c>
      <c r="M27" s="50" t="s">
        <v>1387</v>
      </c>
      <c r="N27" s="50" t="s">
        <v>1743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1740</v>
      </c>
      <c r="O28" s="38">
        <v>1</v>
      </c>
      <c r="P28" s="38">
        <v>1</v>
      </c>
      <c r="Q28" s="35" t="s">
        <v>1919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1717</v>
      </c>
      <c r="M29" s="37" t="s">
        <v>1567</v>
      </c>
      <c r="N29" s="37" t="s">
        <v>1763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1388</v>
      </c>
      <c r="N31" s="50" t="s">
        <v>1741</v>
      </c>
      <c r="O31" s="51"/>
      <c r="P31" s="51"/>
      <c r="Q31" s="68" t="s">
        <v>1913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1713</v>
      </c>
      <c r="M32" s="50" t="s">
        <v>1389</v>
      </c>
      <c r="N32" s="50" t="s">
        <v>1744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1734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1556</v>
      </c>
      <c r="E34" s="48" t="s">
        <v>1253</v>
      </c>
      <c r="F34" s="48" t="s">
        <v>1557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1747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1469</v>
      </c>
      <c r="E35" s="42" t="s">
        <v>1471</v>
      </c>
      <c r="F35" s="42" t="s">
        <v>1470</v>
      </c>
      <c r="G35" s="42"/>
      <c r="H35" s="42" t="s">
        <v>1142</v>
      </c>
      <c r="I35" s="41" t="s">
        <v>1472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1927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1390</v>
      </c>
      <c r="N36" s="50" t="s">
        <v>1754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1875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1809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1769</v>
      </c>
      <c r="E38" s="39" t="s">
        <v>156</v>
      </c>
      <c r="F38" s="39" t="s">
        <v>1770</v>
      </c>
      <c r="G38" s="39"/>
      <c r="H38" s="39" t="s">
        <v>1771</v>
      </c>
      <c r="I38" s="40" t="s">
        <v>1772</v>
      </c>
      <c r="J38" s="34">
        <v>18</v>
      </c>
      <c r="K38" s="36" t="s">
        <v>707</v>
      </c>
      <c r="L38" s="36">
        <v>55</v>
      </c>
      <c r="M38" s="37" t="s">
        <v>1484</v>
      </c>
      <c r="N38" s="37" t="s">
        <v>1740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1710</v>
      </c>
      <c r="M39" s="37" t="s">
        <v>1389</v>
      </c>
      <c r="N39" s="37" t="s">
        <v>1755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1758</v>
      </c>
      <c r="E40" s="39" t="s">
        <v>1759</v>
      </c>
      <c r="F40" s="39" t="s">
        <v>1760</v>
      </c>
      <c r="G40" s="39" t="s">
        <v>322</v>
      </c>
      <c r="H40" s="39" t="s">
        <v>355</v>
      </c>
      <c r="I40" s="40" t="s">
        <v>1761</v>
      </c>
      <c r="J40" s="34">
        <v>99</v>
      </c>
      <c r="K40" s="36" t="s">
        <v>707</v>
      </c>
      <c r="L40" s="36"/>
      <c r="M40" s="37"/>
      <c r="N40" s="37" t="s">
        <v>1740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1707</v>
      </c>
      <c r="M41" s="50" t="s">
        <v>1384</v>
      </c>
      <c r="N41" s="50" t="s">
        <v>1744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1519</v>
      </c>
      <c r="E42" s="39" t="s">
        <v>176</v>
      </c>
      <c r="F42" s="39" t="s">
        <v>1667</v>
      </c>
      <c r="G42" s="39" t="s">
        <v>1521</v>
      </c>
      <c r="H42" s="39" t="s">
        <v>355</v>
      </c>
      <c r="I42" s="40" t="s">
        <v>1520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1734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1711</v>
      </c>
      <c r="M43" s="37" t="s">
        <v>1391</v>
      </c>
      <c r="N43" s="37" t="s">
        <v>1832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1822</v>
      </c>
      <c r="E44" s="48" t="s">
        <v>176</v>
      </c>
      <c r="F44" s="48" t="s">
        <v>1823</v>
      </c>
      <c r="G44" s="48" t="s">
        <v>195</v>
      </c>
      <c r="H44" s="48" t="s">
        <v>355</v>
      </c>
      <c r="I44" s="47" t="s">
        <v>1824</v>
      </c>
      <c r="J44" s="47">
        <v>9</v>
      </c>
      <c r="K44" s="49" t="s">
        <v>707</v>
      </c>
      <c r="L44" s="49">
        <v>60</v>
      </c>
      <c r="M44" s="50" t="s">
        <v>1825</v>
      </c>
      <c r="N44" s="50" t="s">
        <v>1816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1886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1745</v>
      </c>
      <c r="O45" s="51"/>
      <c r="P45" s="51"/>
      <c r="Q45" s="68" t="s">
        <v>1914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1740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1706</v>
      </c>
      <c r="M47" s="50" t="s">
        <v>1123</v>
      </c>
      <c r="N47" s="50" t="s">
        <v>1809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1642</v>
      </c>
      <c r="E48" s="42" t="s">
        <v>175</v>
      </c>
      <c r="F48" s="42" t="s">
        <v>1668</v>
      </c>
      <c r="G48" s="42" t="s">
        <v>252</v>
      </c>
      <c r="H48" s="42" t="s">
        <v>355</v>
      </c>
      <c r="I48" s="41" t="s">
        <v>1570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1538</v>
      </c>
      <c r="E49" s="48" t="s">
        <v>1656</v>
      </c>
      <c r="F49" s="48" t="s">
        <v>1539</v>
      </c>
      <c r="G49" s="48" t="s">
        <v>201</v>
      </c>
      <c r="H49" s="48" t="s">
        <v>355</v>
      </c>
      <c r="I49" s="47" t="s">
        <v>1540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1747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1474</v>
      </c>
      <c r="E50" s="48" t="s">
        <v>1657</v>
      </c>
      <c r="F50" s="48" t="s">
        <v>1473</v>
      </c>
      <c r="G50" s="48" t="s">
        <v>221</v>
      </c>
      <c r="H50" s="48" t="s">
        <v>355</v>
      </c>
      <c r="I50" s="47" t="s">
        <v>1694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1744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1953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1478</v>
      </c>
      <c r="E52" s="16"/>
      <c r="F52" s="16" t="s">
        <v>1479</v>
      </c>
      <c r="G52" s="16" t="s">
        <v>1480</v>
      </c>
      <c r="H52" s="16" t="s">
        <v>355</v>
      </c>
      <c r="I52" s="15" t="s">
        <v>1481</v>
      </c>
      <c r="J52" s="15">
        <v>99</v>
      </c>
      <c r="K52" s="10" t="s">
        <v>707</v>
      </c>
      <c r="L52" s="10">
        <v>35</v>
      </c>
      <c r="M52" s="19" t="s">
        <v>1486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1809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1747</v>
      </c>
      <c r="O54" s="51"/>
      <c r="P54" s="51"/>
      <c r="Q54" s="68" t="s">
        <v>1917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1646</v>
      </c>
      <c r="E55" s="48" t="s">
        <v>176</v>
      </c>
      <c r="F55" s="48" t="s">
        <v>1672</v>
      </c>
      <c r="G55" s="48" t="s">
        <v>1673</v>
      </c>
      <c r="H55" s="48" t="s">
        <v>355</v>
      </c>
      <c r="I55" s="47" t="s">
        <v>1485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1748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1707</v>
      </c>
      <c r="M56" s="50" t="s">
        <v>1392</v>
      </c>
      <c r="N56" s="50" t="s">
        <v>1742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1197</v>
      </c>
      <c r="E57" s="16" t="s">
        <v>175</v>
      </c>
      <c r="F57" s="16" t="s">
        <v>1198</v>
      </c>
      <c r="G57" s="16" t="s">
        <v>39</v>
      </c>
      <c r="H57" s="16" t="s">
        <v>1200</v>
      </c>
      <c r="I57" s="15" t="s">
        <v>1199</v>
      </c>
      <c r="J57" s="15">
        <v>17</v>
      </c>
      <c r="K57" s="10" t="s">
        <v>707</v>
      </c>
      <c r="L57" s="10" t="s">
        <v>1393</v>
      </c>
      <c r="M57" s="19" t="s">
        <v>1394</v>
      </c>
      <c r="N57" s="17"/>
      <c r="Q57" s="16" t="s">
        <v>1893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1208</v>
      </c>
      <c r="E58" s="16" t="s">
        <v>175</v>
      </c>
      <c r="F58" s="16" t="s">
        <v>1209</v>
      </c>
      <c r="G58" s="16" t="s">
        <v>39</v>
      </c>
      <c r="H58" s="16" t="s">
        <v>1210</v>
      </c>
      <c r="I58" s="15" t="s">
        <v>1211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1599</v>
      </c>
      <c r="E60" s="35" t="s">
        <v>176</v>
      </c>
      <c r="F60" s="35" t="s">
        <v>1600</v>
      </c>
      <c r="G60" s="35" t="s">
        <v>1601</v>
      </c>
      <c r="H60" s="35" t="s">
        <v>355</v>
      </c>
      <c r="I60" s="34" t="s">
        <v>1494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1734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1627</v>
      </c>
      <c r="E61" s="35" t="s">
        <v>171</v>
      </c>
      <c r="F61" s="35" t="s">
        <v>1628</v>
      </c>
      <c r="G61" s="35" t="s">
        <v>39</v>
      </c>
      <c r="H61" s="35" t="s">
        <v>356</v>
      </c>
      <c r="I61" s="34" t="s">
        <v>1629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1734</v>
      </c>
      <c r="O61" s="38">
        <v>1</v>
      </c>
      <c r="P61" s="38">
        <v>1</v>
      </c>
      <c r="Q61" s="39" t="s">
        <v>1912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1624</v>
      </c>
      <c r="E62" s="42" t="s">
        <v>175</v>
      </c>
      <c r="F62" s="42" t="s">
        <v>1625</v>
      </c>
      <c r="G62" s="42" t="s">
        <v>1490</v>
      </c>
      <c r="H62" s="42" t="s">
        <v>355</v>
      </c>
      <c r="I62" s="41" t="s">
        <v>1626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1713</v>
      </c>
      <c r="M64" s="37" t="s">
        <v>1386</v>
      </c>
      <c r="N64" s="37" t="s">
        <v>1756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1329</v>
      </c>
      <c r="E65" s="16" t="s">
        <v>176</v>
      </c>
      <c r="F65" s="16" t="s">
        <v>1353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1706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1522</v>
      </c>
      <c r="E66" s="48" t="s">
        <v>171</v>
      </c>
      <c r="F66" s="48" t="s">
        <v>1524</v>
      </c>
      <c r="G66" s="48" t="s">
        <v>1171</v>
      </c>
      <c r="H66" s="48" t="s">
        <v>355</v>
      </c>
      <c r="I66" s="47" t="s">
        <v>1523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1816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1741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1454</v>
      </c>
      <c r="E69" s="35" t="s">
        <v>176</v>
      </c>
      <c r="F69" s="35" t="s">
        <v>1451</v>
      </c>
      <c r="G69" s="35" t="s">
        <v>39</v>
      </c>
      <c r="H69" s="35" t="s">
        <v>355</v>
      </c>
      <c r="I69" s="34" t="s">
        <v>1452</v>
      </c>
      <c r="J69" s="34">
        <v>99</v>
      </c>
      <c r="K69" s="36" t="s">
        <v>706</v>
      </c>
      <c r="L69" s="36" t="s">
        <v>693</v>
      </c>
      <c r="M69" s="37" t="s">
        <v>1453</v>
      </c>
      <c r="N69" s="37" t="s">
        <v>1734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1330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1395</v>
      </c>
      <c r="N71" s="37" t="s">
        <v>1740</v>
      </c>
      <c r="O71" s="38">
        <v>1</v>
      </c>
      <c r="P71" s="38">
        <v>1</v>
      </c>
      <c r="Q71" s="35" t="s">
        <v>1994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1719</v>
      </c>
      <c r="M73" s="50" t="s">
        <v>1386</v>
      </c>
      <c r="N73" s="50" t="s">
        <v>1745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1849</v>
      </c>
      <c r="E74" s="35" t="s">
        <v>175</v>
      </c>
      <c r="F74" s="35" t="s">
        <v>1850</v>
      </c>
      <c r="G74" s="35"/>
      <c r="H74" s="35" t="s">
        <v>1851</v>
      </c>
      <c r="I74" s="34" t="s">
        <v>1852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1750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1731</v>
      </c>
      <c r="E75" s="35" t="s">
        <v>176</v>
      </c>
      <c r="F75" s="39" t="s">
        <v>1732</v>
      </c>
      <c r="G75" s="39" t="s">
        <v>208</v>
      </c>
      <c r="H75" s="39" t="s">
        <v>355</v>
      </c>
      <c r="I75" s="40" t="s">
        <v>1733</v>
      </c>
      <c r="J75" s="34"/>
      <c r="K75" s="36" t="s">
        <v>707</v>
      </c>
      <c r="L75" s="36"/>
      <c r="M75" s="37"/>
      <c r="N75" s="37" t="s">
        <v>1734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1167</v>
      </c>
      <c r="J76" s="34">
        <v>13</v>
      </c>
      <c r="K76" s="36" t="s">
        <v>706</v>
      </c>
      <c r="L76" s="36" t="s">
        <v>693</v>
      </c>
      <c r="M76" s="37" t="s">
        <v>1448</v>
      </c>
      <c r="N76" s="37" t="s">
        <v>1756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1602</v>
      </c>
      <c r="E77" s="35" t="s">
        <v>176</v>
      </c>
      <c r="F77" s="39" t="s">
        <v>1603</v>
      </c>
      <c r="G77" s="39" t="s">
        <v>236</v>
      </c>
      <c r="H77" s="39" t="s">
        <v>355</v>
      </c>
      <c r="I77" s="40" t="s">
        <v>1604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1796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1332</v>
      </c>
      <c r="E78" s="42" t="s">
        <v>175</v>
      </c>
      <c r="F78" s="42" t="s">
        <v>1275</v>
      </c>
      <c r="G78" s="42" t="s">
        <v>208</v>
      </c>
      <c r="H78" s="42" t="s">
        <v>355</v>
      </c>
      <c r="I78" s="41" t="s">
        <v>1276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1806</v>
      </c>
      <c r="E79" s="35" t="s">
        <v>171</v>
      </c>
      <c r="F79" s="39" t="s">
        <v>1804</v>
      </c>
      <c r="G79" s="39" t="s">
        <v>233</v>
      </c>
      <c r="H79" s="39" t="s">
        <v>355</v>
      </c>
      <c r="I79" s="40" t="s">
        <v>1805</v>
      </c>
      <c r="J79" s="34">
        <v>99</v>
      </c>
      <c r="K79" s="36" t="s">
        <v>707</v>
      </c>
      <c r="L79" s="36"/>
      <c r="M79" s="37"/>
      <c r="N79" s="37" t="s">
        <v>1734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1164</v>
      </c>
      <c r="E80" s="35" t="s">
        <v>171</v>
      </c>
      <c r="F80" s="39" t="s">
        <v>1165</v>
      </c>
      <c r="G80" s="39" t="s">
        <v>39</v>
      </c>
      <c r="H80" s="39" t="s">
        <v>1366</v>
      </c>
      <c r="I80" s="40" t="s">
        <v>1166</v>
      </c>
      <c r="J80" s="34">
        <v>11</v>
      </c>
      <c r="K80" s="36" t="s">
        <v>706</v>
      </c>
      <c r="L80" s="36" t="s">
        <v>1706</v>
      </c>
      <c r="M80" s="37" t="s">
        <v>1396</v>
      </c>
      <c r="N80" s="37" t="s">
        <v>1756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6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1889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6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1740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6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1750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6" ht="14.25" customHeight="1" x14ac:dyDescent="0.25">
      <c r="A84" s="15">
        <v>0</v>
      </c>
      <c r="B84" s="15">
        <v>1</v>
      </c>
      <c r="C84" s="15">
        <v>3</v>
      </c>
      <c r="D84" s="16" t="s">
        <v>1793</v>
      </c>
      <c r="E84" s="16" t="s">
        <v>173</v>
      </c>
      <c r="F84" s="16" t="s">
        <v>1795</v>
      </c>
      <c r="G84" s="16"/>
      <c r="H84" s="16" t="s">
        <v>365</v>
      </c>
      <c r="I84" s="15" t="s">
        <v>1794</v>
      </c>
      <c r="J84" s="15">
        <v>17</v>
      </c>
      <c r="K84" s="10" t="s">
        <v>707</v>
      </c>
      <c r="L84" s="10" t="s">
        <v>1749</v>
      </c>
      <c r="M84" s="19" t="s">
        <v>695</v>
      </c>
      <c r="N84" s="17"/>
      <c r="Q84" s="20" t="s">
        <v>1921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6" ht="14.25" customHeight="1" x14ac:dyDescent="0.25">
      <c r="A85" s="34">
        <v>0</v>
      </c>
      <c r="B85" s="34">
        <v>1</v>
      </c>
      <c r="C85" s="34">
        <v>3</v>
      </c>
      <c r="D85" s="35" t="s">
        <v>1817</v>
      </c>
      <c r="E85" s="35" t="s">
        <v>173</v>
      </c>
      <c r="F85" s="35" t="s">
        <v>1818</v>
      </c>
      <c r="G85" s="35" t="s">
        <v>1819</v>
      </c>
      <c r="H85" s="35" t="s">
        <v>355</v>
      </c>
      <c r="I85" s="34" t="s">
        <v>1820</v>
      </c>
      <c r="J85" s="34">
        <v>1</v>
      </c>
      <c r="K85" s="36" t="s">
        <v>707</v>
      </c>
      <c r="L85" s="36">
        <v>60</v>
      </c>
      <c r="M85" s="37" t="s">
        <v>1821</v>
      </c>
      <c r="N85" s="37" t="s">
        <v>1856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6" s="2" customFormat="1" ht="14.25" customHeight="1" x14ac:dyDescent="0.25">
      <c r="A86" s="34">
        <v>0</v>
      </c>
      <c r="B86" s="34">
        <v>1</v>
      </c>
      <c r="C86" s="34">
        <v>3</v>
      </c>
      <c r="D86" s="39" t="s">
        <v>1605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1762</v>
      </c>
      <c r="O86" s="38">
        <v>1</v>
      </c>
      <c r="P86" s="38"/>
      <c r="Q86" s="39"/>
      <c r="R86" s="1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C86" s="1"/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  <c r="AJ86" s="1"/>
    </row>
    <row r="87" spans="1:36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1887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6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1706</v>
      </c>
      <c r="M88" s="50" t="s">
        <v>1397</v>
      </c>
      <c r="N88" s="50" t="s">
        <v>1754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6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1706</v>
      </c>
      <c r="M89" s="50" t="s">
        <v>974</v>
      </c>
      <c r="N89" s="50" t="s">
        <v>1742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6" ht="14.25" customHeight="1" x14ac:dyDescent="0.25">
      <c r="A90" s="15">
        <v>0</v>
      </c>
      <c r="B90" s="15">
        <v>1</v>
      </c>
      <c r="C90" s="15">
        <v>3</v>
      </c>
      <c r="D90" s="20" t="s">
        <v>1959</v>
      </c>
      <c r="E90" s="20" t="s">
        <v>1990</v>
      </c>
      <c r="F90" s="20" t="s">
        <v>1991</v>
      </c>
      <c r="G90" s="20"/>
      <c r="H90" s="20" t="s">
        <v>1987</v>
      </c>
      <c r="I90" s="21" t="s">
        <v>1992</v>
      </c>
      <c r="J90" s="15">
        <v>18</v>
      </c>
      <c r="K90" s="10" t="s">
        <v>707</v>
      </c>
      <c r="L90" s="10" t="s">
        <v>1749</v>
      </c>
      <c r="M90" s="19" t="s">
        <v>975</v>
      </c>
      <c r="N90" s="17"/>
      <c r="Q90" s="20" t="s">
        <v>1993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6" ht="14.25" customHeight="1" x14ac:dyDescent="0.25">
      <c r="A91" s="34">
        <v>0</v>
      </c>
      <c r="B91" s="34">
        <v>1</v>
      </c>
      <c r="C91" s="34">
        <v>3</v>
      </c>
      <c r="D91" s="39" t="s">
        <v>1532</v>
      </c>
      <c r="E91" s="35" t="s">
        <v>177</v>
      </c>
      <c r="F91" s="39" t="s">
        <v>1533</v>
      </c>
      <c r="G91" s="39" t="s">
        <v>39</v>
      </c>
      <c r="H91" s="39" t="s">
        <v>910</v>
      </c>
      <c r="I91" s="40" t="s">
        <v>1534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1740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6" ht="14.25" customHeight="1" x14ac:dyDescent="0.25">
      <c r="A92" s="34">
        <v>0</v>
      </c>
      <c r="B92" s="34">
        <v>1</v>
      </c>
      <c r="C92" s="34">
        <v>3</v>
      </c>
      <c r="D92" s="39" t="s">
        <v>1861</v>
      </c>
      <c r="E92" s="39" t="s">
        <v>173</v>
      </c>
      <c r="F92" s="39" t="s">
        <v>1862</v>
      </c>
      <c r="G92" s="39"/>
      <c r="H92" s="39" t="s">
        <v>1863</v>
      </c>
      <c r="I92" s="40" t="s">
        <v>1864</v>
      </c>
      <c r="J92" s="34">
        <v>15</v>
      </c>
      <c r="K92" s="36" t="s">
        <v>707</v>
      </c>
      <c r="L92" s="36"/>
      <c r="M92" s="37"/>
      <c r="N92" s="37" t="s">
        <v>1740</v>
      </c>
      <c r="O92" s="38">
        <v>1</v>
      </c>
      <c r="P92" s="38">
        <v>1</v>
      </c>
      <c r="Q92" s="39" t="s">
        <v>1899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6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1338</v>
      </c>
      <c r="F93" s="16" t="s">
        <v>1665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6" ht="14.25" customHeight="1" x14ac:dyDescent="0.25">
      <c r="A94" s="15">
        <v>0</v>
      </c>
      <c r="B94" s="15">
        <v>1</v>
      </c>
      <c r="C94" s="15">
        <v>3</v>
      </c>
      <c r="D94" s="16" t="s">
        <v>1553</v>
      </c>
      <c r="E94" s="16" t="s">
        <v>173</v>
      </c>
      <c r="F94" s="16" t="s">
        <v>1554</v>
      </c>
      <c r="G94" s="16" t="s">
        <v>39</v>
      </c>
      <c r="H94" s="16" t="s">
        <v>365</v>
      </c>
      <c r="I94" s="15" t="s">
        <v>1555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1923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6" s="2" customFormat="1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173</v>
      </c>
      <c r="F95" s="39" t="s">
        <v>321</v>
      </c>
      <c r="G95" s="39" t="s">
        <v>39</v>
      </c>
      <c r="H95" s="39" t="s">
        <v>371</v>
      </c>
      <c r="I95" s="40" t="s">
        <v>468</v>
      </c>
      <c r="J95" s="34">
        <v>14</v>
      </c>
      <c r="K95" s="36" t="s">
        <v>960</v>
      </c>
      <c r="L95" s="36" t="s">
        <v>698</v>
      </c>
      <c r="M95" s="37" t="s">
        <v>695</v>
      </c>
      <c r="N95" s="37" t="s">
        <v>1755</v>
      </c>
      <c r="O95" s="38">
        <v>1</v>
      </c>
      <c r="P95" s="38"/>
      <c r="Q95" s="39" t="s">
        <v>1896</v>
      </c>
      <c r="R95" s="1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C95" s="1"/>
      <c r="AD95" s="1">
        <f t="shared" si="45"/>
        <v>0</v>
      </c>
      <c r="AE95" s="1">
        <f t="shared" si="46"/>
        <v>1</v>
      </c>
      <c r="AF95" s="1">
        <f t="shared" si="19"/>
        <v>0</v>
      </c>
      <c r="AG95" s="1">
        <f t="shared" si="20"/>
        <v>1</v>
      </c>
      <c r="AH95" s="1">
        <f t="shared" si="21"/>
        <v>0</v>
      </c>
      <c r="AI95" s="1">
        <f t="shared" si="22"/>
        <v>1</v>
      </c>
      <c r="AJ95" s="1"/>
    </row>
    <row r="96" spans="1:36" s="2" customFormat="1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171</v>
      </c>
      <c r="F96" s="39" t="s">
        <v>327</v>
      </c>
      <c r="G96" s="39" t="s">
        <v>231</v>
      </c>
      <c r="H96" s="39" t="s">
        <v>355</v>
      </c>
      <c r="I96" s="40" t="s">
        <v>475</v>
      </c>
      <c r="J96" s="34">
        <v>7</v>
      </c>
      <c r="K96" s="36" t="s">
        <v>706</v>
      </c>
      <c r="L96" s="36" t="s">
        <v>39</v>
      </c>
      <c r="M96" s="37" t="s">
        <v>39</v>
      </c>
      <c r="N96" s="37" t="s">
        <v>1740</v>
      </c>
      <c r="O96" s="38">
        <v>1</v>
      </c>
      <c r="P96" s="38">
        <v>1</v>
      </c>
      <c r="Q96" s="39"/>
      <c r="R96" s="1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C96" s="1"/>
      <c r="AD96" s="1">
        <f t="shared" ref="AD96:AD98" si="69">+O96*P96</f>
        <v>1</v>
      </c>
      <c r="AE96" s="1">
        <f t="shared" ref="AE96:AE98" si="70">O96*(1-P96)</f>
        <v>0</v>
      </c>
      <c r="AF96" s="1">
        <f t="shared" ref="AF96:AF98" si="71">+O96*P96*(1-A96)</f>
        <v>1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  <c r="AJ96" s="1"/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1939</v>
      </c>
      <c r="E97" s="35" t="s">
        <v>1940</v>
      </c>
      <c r="F97" s="39" t="s">
        <v>1941</v>
      </c>
      <c r="G97" s="39"/>
      <c r="H97" s="39" t="s">
        <v>367</v>
      </c>
      <c r="I97" s="40" t="s">
        <v>1943</v>
      </c>
      <c r="J97" s="34">
        <v>18</v>
      </c>
      <c r="K97" s="36" t="s">
        <v>707</v>
      </c>
      <c r="L97" s="36"/>
      <c r="M97" s="37"/>
      <c r="N97" s="37" t="s">
        <v>1740</v>
      </c>
      <c r="O97" s="38">
        <v>1</v>
      </c>
      <c r="P97" s="38">
        <v>1</v>
      </c>
      <c r="Q97" s="39" t="s">
        <v>1942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1214</v>
      </c>
      <c r="E98" s="48" t="s">
        <v>176</v>
      </c>
      <c r="F98" s="48" t="s">
        <v>1346</v>
      </c>
      <c r="G98" s="48" t="s">
        <v>39</v>
      </c>
      <c r="H98" s="48" t="s">
        <v>613</v>
      </c>
      <c r="I98" s="47" t="s">
        <v>1215</v>
      </c>
      <c r="J98" s="47">
        <v>14</v>
      </c>
      <c r="K98" s="49" t="s">
        <v>960</v>
      </c>
      <c r="L98" s="49" t="s">
        <v>1706</v>
      </c>
      <c r="M98" s="50" t="s">
        <v>1398</v>
      </c>
      <c r="N98" s="50" t="s">
        <v>1809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1734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1754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1652</v>
      </c>
      <c r="E102" s="16" t="s">
        <v>1091</v>
      </c>
      <c r="F102" s="16" t="s">
        <v>1226</v>
      </c>
      <c r="G102" s="16" t="s">
        <v>39</v>
      </c>
      <c r="H102" s="16" t="s">
        <v>1227</v>
      </c>
      <c r="I102" s="15" t="s">
        <v>1228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1891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1565</v>
      </c>
      <c r="E103" s="16" t="s">
        <v>171</v>
      </c>
      <c r="F103" s="16" t="s">
        <v>1684</v>
      </c>
      <c r="G103" s="16" t="s">
        <v>39</v>
      </c>
      <c r="H103" s="16" t="s">
        <v>358</v>
      </c>
      <c r="I103" s="15" t="s">
        <v>1566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1326</v>
      </c>
      <c r="E104" s="35" t="s">
        <v>176</v>
      </c>
      <c r="F104" s="35" t="s">
        <v>1347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1706</v>
      </c>
      <c r="M104" s="37" t="s">
        <v>1399</v>
      </c>
      <c r="N104" s="37" t="s">
        <v>1756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1270</v>
      </c>
      <c r="E105" s="35" t="s">
        <v>171</v>
      </c>
      <c r="F105" s="35" t="s">
        <v>1348</v>
      </c>
      <c r="G105" s="35" t="s">
        <v>1201</v>
      </c>
      <c r="H105" s="35" t="s">
        <v>355</v>
      </c>
      <c r="I105" s="34" t="s">
        <v>1202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1808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1740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1400</v>
      </c>
      <c r="N107" s="37" t="s">
        <v>1755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1400</v>
      </c>
      <c r="N108" s="37" t="s">
        <v>1734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1890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1512</v>
      </c>
      <c r="E110" s="48" t="s">
        <v>171</v>
      </c>
      <c r="F110" s="48" t="s">
        <v>1513</v>
      </c>
      <c r="G110" s="48" t="s">
        <v>39</v>
      </c>
      <c r="H110" s="48" t="s">
        <v>375</v>
      </c>
      <c r="I110" s="47" t="s">
        <v>1514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1741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1741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1756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1754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1327</v>
      </c>
      <c r="E115" s="16" t="s">
        <v>173</v>
      </c>
      <c r="F115" s="16" t="s">
        <v>1350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1706</v>
      </c>
      <c r="M116" s="50" t="s">
        <v>974</v>
      </c>
      <c r="N116" s="50" t="s">
        <v>1809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1527</v>
      </c>
      <c r="E117" s="35" t="s">
        <v>171</v>
      </c>
      <c r="F117" s="35" t="s">
        <v>1674</v>
      </c>
      <c r="G117" s="35" t="s">
        <v>39</v>
      </c>
      <c r="H117" s="35" t="s">
        <v>1528</v>
      </c>
      <c r="I117" s="34" t="s">
        <v>1529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1734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1985</v>
      </c>
      <c r="E119" s="20" t="s">
        <v>173</v>
      </c>
      <c r="F119" s="20" t="s">
        <v>1982</v>
      </c>
      <c r="G119" s="20"/>
      <c r="H119" s="20" t="s">
        <v>1983</v>
      </c>
      <c r="I119" s="21" t="s">
        <v>1981</v>
      </c>
      <c r="J119" s="15">
        <v>17</v>
      </c>
      <c r="K119" s="10" t="s">
        <v>707</v>
      </c>
      <c r="L119" s="10" t="s">
        <v>1749</v>
      </c>
      <c r="M119" s="19" t="s">
        <v>975</v>
      </c>
      <c r="N119" s="17"/>
      <c r="Q119" s="20" t="s">
        <v>1984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1874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1749</v>
      </c>
      <c r="M120" s="50" t="s">
        <v>1401</v>
      </c>
      <c r="N120" s="50" t="s">
        <v>1809</v>
      </c>
      <c r="O120" s="51"/>
      <c r="P120" s="51"/>
      <c r="Q120" s="68" t="s">
        <v>1897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1351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1706</v>
      </c>
      <c r="M121" s="19" t="s">
        <v>1402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1762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1636</v>
      </c>
      <c r="E123" s="35" t="s">
        <v>1091</v>
      </c>
      <c r="F123" s="35" t="s">
        <v>1637</v>
      </c>
      <c r="G123" s="35" t="s">
        <v>39</v>
      </c>
      <c r="H123" s="35" t="s">
        <v>1638</v>
      </c>
      <c r="I123" s="34" t="s">
        <v>1639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1755</v>
      </c>
      <c r="O123" s="38">
        <v>1</v>
      </c>
      <c r="P123" s="38"/>
      <c r="Q123" s="39" t="s">
        <v>1902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1749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1957</v>
      </c>
      <c r="E125" s="20" t="s">
        <v>173</v>
      </c>
      <c r="F125" s="20" t="s">
        <v>1978</v>
      </c>
      <c r="G125" s="20"/>
      <c r="H125" s="20" t="s">
        <v>1977</v>
      </c>
      <c r="I125" s="21" t="s">
        <v>1979</v>
      </c>
      <c r="J125" s="15">
        <v>15</v>
      </c>
      <c r="K125" s="10" t="s">
        <v>707</v>
      </c>
      <c r="L125" s="10" t="s">
        <v>1749</v>
      </c>
      <c r="M125" s="19" t="s">
        <v>975</v>
      </c>
      <c r="N125" s="17"/>
      <c r="Q125" s="20" t="s">
        <v>1980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1163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1740</v>
      </c>
      <c r="O126" s="38">
        <v>1</v>
      </c>
      <c r="P126" s="38">
        <v>1</v>
      </c>
      <c r="Q126" s="39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1</v>
      </c>
      <c r="AE126" s="1">
        <f t="shared" si="46"/>
        <v>0</v>
      </c>
      <c r="AF126" s="1">
        <f t="shared" si="19"/>
        <v>1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1895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1515</v>
      </c>
      <c r="E128" s="42" t="s">
        <v>1659</v>
      </c>
      <c r="F128" s="42" t="s">
        <v>1517</v>
      </c>
      <c r="G128" s="42" t="s">
        <v>39</v>
      </c>
      <c r="H128" s="42" t="s">
        <v>1518</v>
      </c>
      <c r="I128" s="41" t="s">
        <v>1516</v>
      </c>
      <c r="J128" s="41">
        <v>14</v>
      </c>
      <c r="K128" s="43" t="s">
        <v>966</v>
      </c>
      <c r="L128" s="43" t="s">
        <v>690</v>
      </c>
      <c r="M128" s="44" t="s">
        <v>1403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1263</v>
      </c>
      <c r="E129" s="48" t="s">
        <v>173</v>
      </c>
      <c r="F129" s="48" t="s">
        <v>1264</v>
      </c>
      <c r="G129" s="48" t="s">
        <v>1266</v>
      </c>
      <c r="H129" s="48" t="s">
        <v>355</v>
      </c>
      <c r="I129" s="47" t="s">
        <v>1265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1809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1509</v>
      </c>
      <c r="E130" s="16" t="s">
        <v>173</v>
      </c>
      <c r="F130" s="16" t="s">
        <v>1510</v>
      </c>
      <c r="G130" s="16" t="s">
        <v>39</v>
      </c>
      <c r="H130" s="16" t="s">
        <v>366</v>
      </c>
      <c r="I130" s="15" t="s">
        <v>1511</v>
      </c>
      <c r="J130" s="15">
        <v>18</v>
      </c>
      <c r="K130" s="10" t="s">
        <v>960</v>
      </c>
      <c r="L130" s="10" t="s">
        <v>1749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1630</v>
      </c>
      <c r="E131" s="16" t="s">
        <v>173</v>
      </c>
      <c r="F131" s="16" t="s">
        <v>1633</v>
      </c>
      <c r="G131" s="16" t="s">
        <v>39</v>
      </c>
      <c r="H131" s="16" t="s">
        <v>1631</v>
      </c>
      <c r="I131" s="15" t="s">
        <v>1632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1251</v>
      </c>
      <c r="E132" s="16" t="s">
        <v>1253</v>
      </c>
      <c r="F132" s="16" t="s">
        <v>1254</v>
      </c>
      <c r="G132" s="16" t="s">
        <v>39</v>
      </c>
      <c r="H132" s="16" t="s">
        <v>370</v>
      </c>
      <c r="I132" s="15" t="s">
        <v>1252</v>
      </c>
      <c r="J132" s="15">
        <v>14</v>
      </c>
      <c r="K132" s="10" t="s">
        <v>962</v>
      </c>
      <c r="L132" s="10" t="s">
        <v>690</v>
      </c>
      <c r="M132" s="19" t="s">
        <v>1403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1740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1808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1809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1589</v>
      </c>
      <c r="E136" s="16" t="s">
        <v>171</v>
      </c>
      <c r="F136" s="16" t="s">
        <v>1591</v>
      </c>
      <c r="G136" s="16"/>
      <c r="H136" s="16" t="s">
        <v>366</v>
      </c>
      <c r="I136" s="15" t="s">
        <v>1590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1294</v>
      </c>
      <c r="E137" s="35" t="s">
        <v>173</v>
      </c>
      <c r="F137" s="35" t="s">
        <v>1295</v>
      </c>
      <c r="G137" s="35" t="s">
        <v>239</v>
      </c>
      <c r="H137" s="35" t="s">
        <v>355</v>
      </c>
      <c r="I137" s="34" t="s">
        <v>1296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1734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2" si="75">+O137*P137*(1-A137)</f>
        <v>1</v>
      </c>
      <c r="AG137" s="1">
        <f t="shared" ref="AG137:AG202" si="76">O137*(1-P137)*(1-A137)</f>
        <v>0</v>
      </c>
      <c r="AH137" s="1">
        <f t="shared" ref="AH137:AH202" si="77">+P137*(1-A137)</f>
        <v>1</v>
      </c>
      <c r="AI137" s="1">
        <f t="shared" ref="AI137:AI202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1740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1314</v>
      </c>
      <c r="E140" s="35" t="s">
        <v>173</v>
      </c>
      <c r="F140" s="35" t="s">
        <v>1315</v>
      </c>
      <c r="G140" s="35" t="s">
        <v>209</v>
      </c>
      <c r="H140" s="35" t="s">
        <v>355</v>
      </c>
      <c r="I140" s="34" t="s">
        <v>1316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1740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1748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1953</v>
      </c>
      <c r="O142" s="38">
        <v>1</v>
      </c>
      <c r="P142" s="38"/>
      <c r="Q142" s="39"/>
      <c r="S142" s="1">
        <f t="shared" ref="S142:S207" si="79">IF(J142=$S$7,1,0)</f>
        <v>0</v>
      </c>
      <c r="T142" s="1">
        <f t="shared" ref="T142:T207" si="80">IF(J142=$T$7,1,0)</f>
        <v>0</v>
      </c>
      <c r="U142" s="1">
        <f t="shared" ref="U142:U207" si="81">IF(J142=$U$7,1,0)</f>
        <v>0</v>
      </c>
      <c r="V142" s="1">
        <f t="shared" ref="V142:V207" si="82">IF(J142=$V$7,1,0)</f>
        <v>0</v>
      </c>
      <c r="W142" s="1">
        <f t="shared" ref="W142:W207" si="83">IF(J142=$W$7,1,0)</f>
        <v>0</v>
      </c>
      <c r="X142" s="1">
        <f t="shared" ref="X142:X207" si="84">IF(J142=$X$7,1,0)</f>
        <v>0</v>
      </c>
      <c r="Y142" s="1">
        <f t="shared" ref="Y142:Y207" si="85">IF(J142=$Y$7,1,0)</f>
        <v>0</v>
      </c>
      <c r="Z142" s="1">
        <f t="shared" ref="Z142:Z207" si="86">IF(J142=$Z$7,1,0)</f>
        <v>0</v>
      </c>
      <c r="AA142" s="1">
        <f t="shared" ref="AA142:AA207" si="87">IF(J142=$AA$7,1,0)</f>
        <v>0</v>
      </c>
      <c r="AB142" s="1">
        <f t="shared" ref="AB142:AB207" si="88">IF(J142=$AB$7,1,0)</f>
        <v>0</v>
      </c>
      <c r="AD142" s="1">
        <f t="shared" ref="AD142:AD207" si="89">+O142*P142</f>
        <v>0</v>
      </c>
      <c r="AE142" s="1">
        <f t="shared" ref="AE142:AE207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1799</v>
      </c>
      <c r="E143" s="39" t="s">
        <v>1800</v>
      </c>
      <c r="F143" s="39" t="s">
        <v>1801</v>
      </c>
      <c r="G143" s="39" t="s">
        <v>1802</v>
      </c>
      <c r="H143" s="39" t="s">
        <v>355</v>
      </c>
      <c r="I143" s="40" t="s">
        <v>1803</v>
      </c>
      <c r="J143" s="34">
        <v>99</v>
      </c>
      <c r="K143" s="36" t="s">
        <v>707</v>
      </c>
      <c r="L143" s="36"/>
      <c r="M143" s="37"/>
      <c r="N143" s="37" t="s">
        <v>1740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1749</v>
      </c>
      <c r="M144" s="37" t="s">
        <v>974</v>
      </c>
      <c r="N144" s="37" t="s">
        <v>1740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1746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1205</v>
      </c>
      <c r="E146" s="35" t="s">
        <v>173</v>
      </c>
      <c r="F146" s="35" t="s">
        <v>1206</v>
      </c>
      <c r="G146" s="35" t="s">
        <v>239</v>
      </c>
      <c r="H146" s="35" t="s">
        <v>355</v>
      </c>
      <c r="I146" s="34" t="s">
        <v>1207</v>
      </c>
      <c r="J146" s="34">
        <v>4</v>
      </c>
      <c r="K146" s="36" t="s">
        <v>967</v>
      </c>
      <c r="L146" s="36" t="s">
        <v>1706</v>
      </c>
      <c r="M146" s="37" t="s">
        <v>1611</v>
      </c>
      <c r="N146" s="37" t="s">
        <v>1734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1648</v>
      </c>
      <c r="E147" s="35" t="s">
        <v>171</v>
      </c>
      <c r="F147" s="35" t="s">
        <v>1483</v>
      </c>
      <c r="G147" s="35" t="s">
        <v>1676</v>
      </c>
      <c r="H147" s="35" t="s">
        <v>355</v>
      </c>
      <c r="I147" s="34" t="s">
        <v>1482</v>
      </c>
      <c r="J147" s="34">
        <v>99</v>
      </c>
      <c r="K147" s="36" t="s">
        <v>706</v>
      </c>
      <c r="L147" s="36" t="s">
        <v>1711</v>
      </c>
      <c r="M147" s="37" t="s">
        <v>1484</v>
      </c>
      <c r="N147" s="37" t="s">
        <v>1756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1955</v>
      </c>
      <c r="E148" s="20" t="s">
        <v>173</v>
      </c>
      <c r="F148" s="20" t="s">
        <v>1971</v>
      </c>
      <c r="G148" s="20"/>
      <c r="H148" s="20" t="s">
        <v>1970</v>
      </c>
      <c r="I148" s="21" t="s">
        <v>1969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1369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1755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1574</v>
      </c>
      <c r="E150" s="35" t="s">
        <v>173</v>
      </c>
      <c r="F150" s="35" t="s">
        <v>1575</v>
      </c>
      <c r="G150" s="35" t="s">
        <v>39</v>
      </c>
      <c r="H150" s="35" t="s">
        <v>1576</v>
      </c>
      <c r="I150" s="34" t="s">
        <v>1577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1740</v>
      </c>
      <c r="O150" s="38">
        <v>1</v>
      </c>
      <c r="P150" s="38">
        <v>1</v>
      </c>
      <c r="Q150" s="35" t="s">
        <v>1920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1876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1746</v>
      </c>
      <c r="O151" s="51"/>
      <c r="P151" s="51"/>
      <c r="Q151" s="68" t="s">
        <v>1903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1894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1746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1386</v>
      </c>
      <c r="N154" s="50" t="s">
        <v>1816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1176</v>
      </c>
      <c r="E155" s="16" t="s">
        <v>173</v>
      </c>
      <c r="F155" s="16" t="s">
        <v>1178</v>
      </c>
      <c r="G155" s="16" t="s">
        <v>771</v>
      </c>
      <c r="H155" s="16" t="s">
        <v>355</v>
      </c>
      <c r="I155" s="15" t="s">
        <v>1177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1954</v>
      </c>
      <c r="E157" s="20" t="s">
        <v>173</v>
      </c>
      <c r="F157" s="20" t="s">
        <v>1965</v>
      </c>
      <c r="G157" s="20"/>
      <c r="H157" s="20" t="s">
        <v>1966</v>
      </c>
      <c r="I157" s="21" t="s">
        <v>1967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1964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1747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1960</v>
      </c>
      <c r="E159" s="20" t="s">
        <v>173</v>
      </c>
      <c r="F159" s="20" t="s">
        <v>1962</v>
      </c>
      <c r="G159" s="20"/>
      <c r="H159" s="20" t="s">
        <v>1963</v>
      </c>
      <c r="I159" s="21" t="s">
        <v>1961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1968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1216</v>
      </c>
      <c r="E160" s="48" t="s">
        <v>173</v>
      </c>
      <c r="F160" s="48" t="s">
        <v>1218</v>
      </c>
      <c r="G160" s="48" t="s">
        <v>186</v>
      </c>
      <c r="H160" s="48" t="s">
        <v>355</v>
      </c>
      <c r="I160" s="47" t="s">
        <v>1217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1741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1706</v>
      </c>
      <c r="M161" s="37" t="s">
        <v>974</v>
      </c>
      <c r="N161" s="37" t="s">
        <v>1734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1809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1740</v>
      </c>
      <c r="O164" s="38">
        <v>1</v>
      </c>
      <c r="P164" s="38">
        <v>1</v>
      </c>
      <c r="Q164" s="39" t="s">
        <v>1898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1848</v>
      </c>
      <c r="E166" s="35" t="s">
        <v>1091</v>
      </c>
      <c r="F166" s="35" t="s">
        <v>1833</v>
      </c>
      <c r="G166" s="35"/>
      <c r="H166" s="35" t="s">
        <v>373</v>
      </c>
      <c r="I166" s="34" t="s">
        <v>1834</v>
      </c>
      <c r="J166" s="34">
        <v>16</v>
      </c>
      <c r="K166" s="36" t="s">
        <v>707</v>
      </c>
      <c r="L166" s="36"/>
      <c r="M166" s="37"/>
      <c r="N166" s="37" t="s">
        <v>1734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1734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1996</v>
      </c>
      <c r="E169" s="57" t="s">
        <v>1997</v>
      </c>
      <c r="F169" s="57" t="s">
        <v>1998</v>
      </c>
      <c r="G169" s="57" t="s">
        <v>537</v>
      </c>
      <c r="H169" s="57" t="s">
        <v>355</v>
      </c>
      <c r="I169" s="70" t="s">
        <v>1999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1740</v>
      </c>
      <c r="O170" s="38">
        <v>1</v>
      </c>
      <c r="P170" s="38">
        <v>1</v>
      </c>
      <c r="Q170" s="35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1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1</v>
      </c>
      <c r="AE170" s="1">
        <f t="shared" si="90"/>
        <v>0</v>
      </c>
      <c r="AF170" s="1">
        <f t="shared" si="75"/>
        <v>1</v>
      </c>
      <c r="AG170" s="1">
        <f t="shared" si="76"/>
        <v>0</v>
      </c>
      <c r="AH170" s="1">
        <f t="shared" si="77"/>
        <v>1</v>
      </c>
      <c r="AI170" s="1">
        <f t="shared" si="7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1535</v>
      </c>
      <c r="E171" s="16" t="s">
        <v>1091</v>
      </c>
      <c r="F171" s="16" t="s">
        <v>1536</v>
      </c>
      <c r="G171" s="16" t="s">
        <v>219</v>
      </c>
      <c r="H171" s="16" t="s">
        <v>355</v>
      </c>
      <c r="I171" s="15" t="s">
        <v>1537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0</v>
      </c>
      <c r="AF171" s="1">
        <f t="shared" si="75"/>
        <v>0</v>
      </c>
      <c r="AG171" s="1">
        <f t="shared" si="76"/>
        <v>0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1750</v>
      </c>
      <c r="O172" s="38">
        <v>1</v>
      </c>
      <c r="P172" s="38"/>
      <c r="Q172" s="35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1</v>
      </c>
      <c r="AF172" s="1">
        <f t="shared" si="75"/>
        <v>0</v>
      </c>
      <c r="AG172" s="1">
        <f t="shared" si="76"/>
        <v>1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1742</v>
      </c>
      <c r="O173" s="51"/>
      <c r="P173" s="51"/>
      <c r="Q173" s="48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1651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1704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1700</v>
      </c>
      <c r="J175" s="52">
        <v>99</v>
      </c>
      <c r="K175" s="54" t="s">
        <v>726</v>
      </c>
      <c r="L175" s="54" t="s">
        <v>690</v>
      </c>
      <c r="M175" s="55" t="s">
        <v>1404</v>
      </c>
      <c r="N175" s="55" t="s">
        <v>1750</v>
      </c>
      <c r="O175" s="56">
        <v>1</v>
      </c>
      <c r="P175" s="56"/>
      <c r="Q175" s="53" t="s">
        <v>1937</v>
      </c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1</v>
      </c>
      <c r="AF175" s="1">
        <f t="shared" si="75"/>
        <v>0</v>
      </c>
      <c r="AG175" s="1">
        <f t="shared" si="76"/>
        <v>1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1267</v>
      </c>
      <c r="E177" s="35" t="s">
        <v>171</v>
      </c>
      <c r="F177" s="35" t="s">
        <v>1683</v>
      </c>
      <c r="G177" s="35" t="s">
        <v>39</v>
      </c>
      <c r="H177" s="35" t="s">
        <v>775</v>
      </c>
      <c r="I177" s="34" t="s">
        <v>1268</v>
      </c>
      <c r="J177" s="34">
        <v>11</v>
      </c>
      <c r="K177" s="36" t="s">
        <v>726</v>
      </c>
      <c r="L177" s="36" t="s">
        <v>693</v>
      </c>
      <c r="M177" s="37" t="s">
        <v>1405</v>
      </c>
      <c r="N177" s="37" t="s">
        <v>1756</v>
      </c>
      <c r="O177" s="38">
        <v>1</v>
      </c>
      <c r="P177" s="38"/>
      <c r="Q177" s="35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1</v>
      </c>
      <c r="AF177" s="1">
        <f t="shared" si="75"/>
        <v>0</v>
      </c>
      <c r="AG177" s="1">
        <f t="shared" si="76"/>
        <v>1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1406</v>
      </c>
      <c r="N178" s="37" t="s">
        <v>1734</v>
      </c>
      <c r="O178" s="38">
        <v>1</v>
      </c>
      <c r="P178" s="38">
        <v>1</v>
      </c>
      <c r="Q178" s="35"/>
      <c r="S178" s="1">
        <f t="shared" si="79"/>
        <v>0</v>
      </c>
      <c r="T178" s="1">
        <f t="shared" si="80"/>
        <v>1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1743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1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1742</v>
      </c>
      <c r="O180" s="51"/>
      <c r="P180" s="51"/>
      <c r="Q180" s="48"/>
      <c r="S180" s="1">
        <f t="shared" si="79"/>
        <v>1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1147</v>
      </c>
      <c r="M181" s="19" t="s">
        <v>976</v>
      </c>
      <c r="N181" s="17"/>
      <c r="Q181" s="16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1744</v>
      </c>
      <c r="O182" s="51"/>
      <c r="P182" s="51"/>
      <c r="Q182" s="48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0</v>
      </c>
      <c r="AE182" s="1">
        <f t="shared" si="90"/>
        <v>0</v>
      </c>
      <c r="AF182" s="1">
        <f t="shared" si="75"/>
        <v>0</v>
      </c>
      <c r="AG182" s="1">
        <f t="shared" si="76"/>
        <v>0</v>
      </c>
      <c r="AH182" s="1">
        <f t="shared" si="77"/>
        <v>0</v>
      </c>
      <c r="AI182" s="1">
        <f t="shared" si="78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1736</v>
      </c>
      <c r="E183" s="35" t="s">
        <v>167</v>
      </c>
      <c r="F183" s="35" t="s">
        <v>1737</v>
      </c>
      <c r="G183" s="35" t="s">
        <v>1738</v>
      </c>
      <c r="H183" s="35" t="s">
        <v>355</v>
      </c>
      <c r="I183" s="34" t="s">
        <v>1739</v>
      </c>
      <c r="J183" s="34">
        <v>2</v>
      </c>
      <c r="K183" s="36" t="s">
        <v>707</v>
      </c>
      <c r="L183" s="36"/>
      <c r="M183" s="37"/>
      <c r="N183" s="37" t="s">
        <v>1740</v>
      </c>
      <c r="O183" s="38">
        <v>1</v>
      </c>
      <c r="P183" s="38">
        <v>1</v>
      </c>
      <c r="Q183" s="35"/>
      <c r="S183" s="1">
        <f t="shared" si="79"/>
        <v>0</v>
      </c>
      <c r="T183" s="1">
        <f t="shared" si="80"/>
        <v>1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ref="AD183:AD187" si="91">+O183*P183</f>
        <v>1</v>
      </c>
      <c r="AE183" s="1">
        <f t="shared" ref="AE183:AE187" si="92">O183*(1-P183)</f>
        <v>0</v>
      </c>
      <c r="AF183" s="1">
        <f t="shared" ref="AF183:AF187" si="93">+O183*P183*(1-A183)</f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1742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1</v>
      </c>
      <c r="AB184" s="1">
        <f t="shared" si="88"/>
        <v>0</v>
      </c>
      <c r="AD184" s="1">
        <f t="shared" si="91"/>
        <v>0</v>
      </c>
      <c r="AE184" s="1">
        <f t="shared" si="92"/>
        <v>0</v>
      </c>
      <c r="AF184" s="1">
        <f t="shared" si="93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15">
        <v>0</v>
      </c>
      <c r="B185" s="15">
        <v>1</v>
      </c>
      <c r="C185" s="15">
        <v>5</v>
      </c>
      <c r="D185" s="20" t="s">
        <v>2004</v>
      </c>
      <c r="E185" s="20" t="s">
        <v>167</v>
      </c>
      <c r="F185" s="20" t="s">
        <v>2005</v>
      </c>
      <c r="G185" s="20" t="s">
        <v>2008</v>
      </c>
      <c r="H185" s="20" t="s">
        <v>355</v>
      </c>
      <c r="I185" s="21" t="s">
        <v>2006</v>
      </c>
      <c r="J185" s="15">
        <v>99</v>
      </c>
      <c r="K185" s="10" t="s">
        <v>707</v>
      </c>
      <c r="L185" s="10">
        <v>25</v>
      </c>
      <c r="M185" s="19" t="s">
        <v>695</v>
      </c>
      <c r="N185" s="17"/>
      <c r="Q185" s="20" t="s">
        <v>2007</v>
      </c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91"/>
        <v>0</v>
      </c>
      <c r="AE185" s="1">
        <f t="shared" si="92"/>
        <v>0</v>
      </c>
      <c r="AF185" s="1">
        <f t="shared" si="93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167</v>
      </c>
      <c r="F186" s="48" t="s">
        <v>329</v>
      </c>
      <c r="G186" s="48" t="s">
        <v>181</v>
      </c>
      <c r="H186" s="48" t="s">
        <v>355</v>
      </c>
      <c r="I186" s="47" t="s">
        <v>477</v>
      </c>
      <c r="J186" s="47">
        <v>10</v>
      </c>
      <c r="K186" s="49" t="s">
        <v>962</v>
      </c>
      <c r="L186" s="49" t="s">
        <v>698</v>
      </c>
      <c r="M186" s="50" t="s">
        <v>695</v>
      </c>
      <c r="N186" s="50" t="s">
        <v>1747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1</v>
      </c>
      <c r="AD186" s="1">
        <f t="shared" si="91"/>
        <v>0</v>
      </c>
      <c r="AE186" s="1">
        <f t="shared" si="92"/>
        <v>0</v>
      </c>
      <c r="AF186" s="1">
        <f t="shared" si="93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550</v>
      </c>
      <c r="G187" s="48" t="s">
        <v>221</v>
      </c>
      <c r="H187" s="48" t="s">
        <v>355</v>
      </c>
      <c r="I187" s="47" t="s">
        <v>542</v>
      </c>
      <c r="J187" s="47">
        <v>8</v>
      </c>
      <c r="K187" s="49" t="s">
        <v>960</v>
      </c>
      <c r="L187" s="49" t="s">
        <v>698</v>
      </c>
      <c r="M187" s="50" t="s">
        <v>695</v>
      </c>
      <c r="N187" s="50" t="s">
        <v>1742</v>
      </c>
      <c r="O187" s="51"/>
      <c r="P187" s="51"/>
      <c r="Q187" s="48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1</v>
      </c>
      <c r="AA187" s="1">
        <f t="shared" si="87"/>
        <v>0</v>
      </c>
      <c r="AB187" s="1">
        <f t="shared" si="88"/>
        <v>0</v>
      </c>
      <c r="AD187" s="1">
        <f t="shared" si="91"/>
        <v>0</v>
      </c>
      <c r="AE187" s="1">
        <f t="shared" si="92"/>
        <v>0</v>
      </c>
      <c r="AF187" s="1">
        <f t="shared" si="93"/>
        <v>0</v>
      </c>
      <c r="AG187" s="1">
        <f t="shared" si="76"/>
        <v>0</v>
      </c>
      <c r="AH187" s="1">
        <f t="shared" si="77"/>
        <v>0</v>
      </c>
      <c r="AI187" s="1">
        <f t="shared" si="78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167</v>
      </c>
      <c r="F188" s="48" t="s">
        <v>338</v>
      </c>
      <c r="G188" s="48" t="s">
        <v>339</v>
      </c>
      <c r="H188" s="48" t="s">
        <v>355</v>
      </c>
      <c r="I188" s="47" t="s">
        <v>486</v>
      </c>
      <c r="J188" s="47">
        <v>10</v>
      </c>
      <c r="K188" s="49" t="s">
        <v>960</v>
      </c>
      <c r="L188" s="49" t="s">
        <v>698</v>
      </c>
      <c r="M188" s="50" t="s">
        <v>695</v>
      </c>
      <c r="N188" s="50" t="s">
        <v>1742</v>
      </c>
      <c r="O188" s="51"/>
      <c r="P188" s="51"/>
      <c r="Q188" s="48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1</v>
      </c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1644</v>
      </c>
      <c r="E189" s="48" t="s">
        <v>167</v>
      </c>
      <c r="F189" s="48" t="s">
        <v>869</v>
      </c>
      <c r="G189" s="48" t="s">
        <v>1671</v>
      </c>
      <c r="H189" s="48" t="s">
        <v>355</v>
      </c>
      <c r="I189" s="47" t="s">
        <v>870</v>
      </c>
      <c r="J189" s="47">
        <v>1</v>
      </c>
      <c r="K189" s="49" t="s">
        <v>726</v>
      </c>
      <c r="L189" s="49" t="s">
        <v>1714</v>
      </c>
      <c r="M189" s="50" t="s">
        <v>1407</v>
      </c>
      <c r="N189" s="50" t="s">
        <v>1742</v>
      </c>
      <c r="O189" s="51"/>
      <c r="P189" s="51"/>
      <c r="Q189" s="48"/>
      <c r="S189" s="1">
        <f t="shared" si="79"/>
        <v>1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ref="AD189:AD190" si="94">+O189*P189</f>
        <v>0</v>
      </c>
      <c r="AE189" s="1">
        <f t="shared" ref="AE189:AE190" si="95">O189*(1-P189)</f>
        <v>0</v>
      </c>
      <c r="AF189" s="1">
        <f t="shared" ref="AF189:AF190" si="96">+O189*P189*(1-A189)</f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1956</v>
      </c>
      <c r="E190" s="20" t="s">
        <v>897</v>
      </c>
      <c r="F190" s="20" t="s">
        <v>1974</v>
      </c>
      <c r="G190" s="20"/>
      <c r="H190" s="20" t="s">
        <v>1975</v>
      </c>
      <c r="I190" s="21" t="s">
        <v>1973</v>
      </c>
      <c r="J190" s="15">
        <v>15</v>
      </c>
      <c r="K190" s="10" t="s">
        <v>707</v>
      </c>
      <c r="L190" s="10" t="s">
        <v>701</v>
      </c>
      <c r="M190" s="19" t="s">
        <v>975</v>
      </c>
      <c r="N190" s="17"/>
      <c r="Q190" s="20" t="s">
        <v>1976</v>
      </c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94"/>
        <v>0</v>
      </c>
      <c r="AE190" s="1">
        <f t="shared" si="95"/>
        <v>0</v>
      </c>
      <c r="AF190" s="1">
        <f t="shared" si="96"/>
        <v>0</v>
      </c>
      <c r="AG190" s="1">
        <f t="shared" si="76"/>
        <v>0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891</v>
      </c>
      <c r="E191" s="35" t="s">
        <v>892</v>
      </c>
      <c r="F191" s="35" t="s">
        <v>1096</v>
      </c>
      <c r="G191" s="35" t="s">
        <v>39</v>
      </c>
      <c r="H191" s="35" t="s">
        <v>893</v>
      </c>
      <c r="I191" s="34" t="s">
        <v>894</v>
      </c>
      <c r="J191" s="34">
        <v>16</v>
      </c>
      <c r="K191" s="36" t="s">
        <v>707</v>
      </c>
      <c r="L191" s="36" t="s">
        <v>696</v>
      </c>
      <c r="M191" s="37" t="s">
        <v>974</v>
      </c>
      <c r="N191" s="37" t="s">
        <v>1740</v>
      </c>
      <c r="O191" s="38">
        <v>1</v>
      </c>
      <c r="P191" s="38">
        <v>1</v>
      </c>
      <c r="Q191" s="39" t="s">
        <v>1901</v>
      </c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1</v>
      </c>
      <c r="AE191" s="1">
        <f t="shared" si="90"/>
        <v>0</v>
      </c>
      <c r="AF191" s="1">
        <f t="shared" si="75"/>
        <v>1</v>
      </c>
      <c r="AG191" s="1">
        <f t="shared" si="76"/>
        <v>0</v>
      </c>
      <c r="AH191" s="1">
        <f t="shared" si="77"/>
        <v>1</v>
      </c>
      <c r="AI191" s="1">
        <f t="shared" si="78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174</v>
      </c>
      <c r="F192" s="35" t="s">
        <v>305</v>
      </c>
      <c r="G192" s="35" t="s">
        <v>39</v>
      </c>
      <c r="H192" s="35" t="s">
        <v>360</v>
      </c>
      <c r="I192" s="34" t="s">
        <v>454</v>
      </c>
      <c r="J192" s="34">
        <v>14</v>
      </c>
      <c r="K192" s="36" t="s">
        <v>960</v>
      </c>
      <c r="L192" s="36" t="s">
        <v>697</v>
      </c>
      <c r="M192" s="37" t="s">
        <v>974</v>
      </c>
      <c r="N192" s="37" t="s">
        <v>1750</v>
      </c>
      <c r="O192" s="38">
        <v>1</v>
      </c>
      <c r="P192" s="38"/>
      <c r="Q192" s="35"/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1</v>
      </c>
      <c r="AF192" s="1">
        <f t="shared" si="75"/>
        <v>0</v>
      </c>
      <c r="AG192" s="1">
        <f t="shared" si="76"/>
        <v>1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1958</v>
      </c>
      <c r="E193" s="20" t="s">
        <v>897</v>
      </c>
      <c r="F193" s="20" t="s">
        <v>1988</v>
      </c>
      <c r="G193" s="20"/>
      <c r="H193" s="20" t="s">
        <v>1987</v>
      </c>
      <c r="I193" s="21" t="s">
        <v>1986</v>
      </c>
      <c r="J193" s="15">
        <v>18</v>
      </c>
      <c r="K193" s="10" t="s">
        <v>707</v>
      </c>
      <c r="L193" s="10" t="s">
        <v>701</v>
      </c>
      <c r="M193" s="19" t="s">
        <v>975</v>
      </c>
      <c r="N193" s="17"/>
      <c r="Q193" s="20" t="s">
        <v>1989</v>
      </c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0</v>
      </c>
      <c r="AF193" s="1">
        <f t="shared" si="75"/>
        <v>0</v>
      </c>
      <c r="AG193" s="1">
        <f t="shared" si="76"/>
        <v>0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515</v>
      </c>
      <c r="E194" s="48" t="s">
        <v>173</v>
      </c>
      <c r="F194" s="48" t="s">
        <v>551</v>
      </c>
      <c r="G194" s="48" t="s">
        <v>39</v>
      </c>
      <c r="H194" s="48" t="s">
        <v>363</v>
      </c>
      <c r="I194" s="47" t="s">
        <v>1118</v>
      </c>
      <c r="J194" s="47">
        <v>12</v>
      </c>
      <c r="K194" s="49" t="s">
        <v>707</v>
      </c>
      <c r="L194" s="49">
        <v>35</v>
      </c>
      <c r="M194" s="50" t="s">
        <v>974</v>
      </c>
      <c r="N194" s="50" t="s">
        <v>1809</v>
      </c>
      <c r="O194" s="51"/>
      <c r="P194" s="51"/>
      <c r="Q194" s="48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0</v>
      </c>
      <c r="AF194" s="1">
        <f t="shared" si="75"/>
        <v>0</v>
      </c>
      <c r="AG194" s="1">
        <f t="shared" si="76"/>
        <v>0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152</v>
      </c>
      <c r="E195" s="35" t="s">
        <v>167</v>
      </c>
      <c r="F195" s="39" t="s">
        <v>1877</v>
      </c>
      <c r="G195" s="35" t="s">
        <v>198</v>
      </c>
      <c r="H195" s="35" t="s">
        <v>355</v>
      </c>
      <c r="I195" s="34" t="s">
        <v>500</v>
      </c>
      <c r="J195" s="34">
        <v>99</v>
      </c>
      <c r="K195" s="36" t="s">
        <v>960</v>
      </c>
      <c r="L195" s="36" t="s">
        <v>697</v>
      </c>
      <c r="M195" s="37" t="s">
        <v>974</v>
      </c>
      <c r="N195" s="37" t="s">
        <v>1755</v>
      </c>
      <c r="O195" s="38">
        <v>1</v>
      </c>
      <c r="P195" s="38"/>
      <c r="Q195" s="35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1</v>
      </c>
      <c r="AF195" s="1">
        <f t="shared" si="75"/>
        <v>0</v>
      </c>
      <c r="AG195" s="1">
        <f t="shared" si="76"/>
        <v>1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651</v>
      </c>
      <c r="E196" s="48" t="s">
        <v>687</v>
      </c>
      <c r="F196" s="48" t="s">
        <v>647</v>
      </c>
      <c r="G196" s="48" t="s">
        <v>186</v>
      </c>
      <c r="H196" s="48" t="s">
        <v>355</v>
      </c>
      <c r="I196" s="47" t="s">
        <v>648</v>
      </c>
      <c r="J196" s="47">
        <v>99</v>
      </c>
      <c r="K196" s="49" t="s">
        <v>726</v>
      </c>
      <c r="L196" s="49" t="s">
        <v>697</v>
      </c>
      <c r="M196" s="50" t="s">
        <v>974</v>
      </c>
      <c r="N196" s="50" t="s">
        <v>1741</v>
      </c>
      <c r="O196" s="51"/>
      <c r="P196" s="51"/>
      <c r="Q196" s="48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1317</v>
      </c>
      <c r="E197" s="35" t="s">
        <v>167</v>
      </c>
      <c r="F197" s="35" t="s">
        <v>1318</v>
      </c>
      <c r="G197" s="35" t="s">
        <v>284</v>
      </c>
      <c r="H197" s="35" t="s">
        <v>355</v>
      </c>
      <c r="I197" s="34" t="s">
        <v>1319</v>
      </c>
      <c r="J197" s="34">
        <v>99</v>
      </c>
      <c r="K197" s="36" t="s">
        <v>706</v>
      </c>
      <c r="L197" s="36" t="s">
        <v>39</v>
      </c>
      <c r="M197" s="37" t="s">
        <v>39</v>
      </c>
      <c r="N197" s="37" t="s">
        <v>1740</v>
      </c>
      <c r="O197" s="38">
        <v>1</v>
      </c>
      <c r="P197" s="38">
        <v>1</v>
      </c>
      <c r="Q197" s="35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1</v>
      </c>
      <c r="AE197" s="1">
        <f t="shared" si="90"/>
        <v>0</v>
      </c>
      <c r="AF197" s="1">
        <f t="shared" si="75"/>
        <v>1</v>
      </c>
      <c r="AG197" s="1">
        <f t="shared" si="76"/>
        <v>0</v>
      </c>
      <c r="AH197" s="1">
        <f t="shared" si="77"/>
        <v>1</v>
      </c>
      <c r="AI197" s="1">
        <f t="shared" si="78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896</v>
      </c>
      <c r="E198" s="48" t="s">
        <v>897</v>
      </c>
      <c r="F198" s="48" t="s">
        <v>938</v>
      </c>
      <c r="G198" s="48" t="s">
        <v>39</v>
      </c>
      <c r="H198" s="48" t="s">
        <v>898</v>
      </c>
      <c r="I198" s="47" t="s">
        <v>899</v>
      </c>
      <c r="J198" s="47">
        <v>17</v>
      </c>
      <c r="K198" s="49" t="s">
        <v>707</v>
      </c>
      <c r="L198" s="49" t="s">
        <v>701</v>
      </c>
      <c r="M198" s="50" t="s">
        <v>974</v>
      </c>
      <c r="N198" s="50" t="s">
        <v>1748</v>
      </c>
      <c r="O198" s="51"/>
      <c r="P198" s="51"/>
      <c r="Q198" s="48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1948</v>
      </c>
      <c r="E199" s="16" t="s">
        <v>897</v>
      </c>
      <c r="F199" s="16" t="s">
        <v>1950</v>
      </c>
      <c r="G199" s="16"/>
      <c r="H199" s="16" t="s">
        <v>1949</v>
      </c>
      <c r="I199" s="15" t="s">
        <v>1951</v>
      </c>
      <c r="J199" s="15">
        <v>16</v>
      </c>
      <c r="K199" s="10" t="s">
        <v>707</v>
      </c>
      <c r="L199" s="10" t="s">
        <v>701</v>
      </c>
      <c r="M199" s="19" t="s">
        <v>974</v>
      </c>
      <c r="N199" s="17"/>
      <c r="Q199" s="20" t="s">
        <v>1952</v>
      </c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167</v>
      </c>
      <c r="F200" s="48" t="s">
        <v>333</v>
      </c>
      <c r="G200" s="48" t="s">
        <v>334</v>
      </c>
      <c r="H200" s="48" t="s">
        <v>355</v>
      </c>
      <c r="I200" s="47" t="s">
        <v>481</v>
      </c>
      <c r="J200" s="47">
        <v>99</v>
      </c>
      <c r="K200" s="49" t="s">
        <v>726</v>
      </c>
      <c r="L200" s="49" t="s">
        <v>698</v>
      </c>
      <c r="M200" s="50" t="s">
        <v>974</v>
      </c>
      <c r="N200" s="50" t="s">
        <v>1754</v>
      </c>
      <c r="O200" s="51"/>
      <c r="P200" s="51"/>
      <c r="Q200" s="48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0</v>
      </c>
      <c r="AF200" s="1">
        <f t="shared" si="75"/>
        <v>0</v>
      </c>
      <c r="AG200" s="1">
        <f t="shared" si="76"/>
        <v>0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167</v>
      </c>
      <c r="F201" s="35" t="s">
        <v>308</v>
      </c>
      <c r="G201" s="35" t="s">
        <v>232</v>
      </c>
      <c r="H201" s="35" t="s">
        <v>355</v>
      </c>
      <c r="I201" s="34" t="s">
        <v>457</v>
      </c>
      <c r="J201" s="34">
        <v>99</v>
      </c>
      <c r="K201" s="36" t="s">
        <v>726</v>
      </c>
      <c r="L201" s="36" t="s">
        <v>700</v>
      </c>
      <c r="M201" s="37" t="s">
        <v>695</v>
      </c>
      <c r="N201" s="37" t="s">
        <v>1750</v>
      </c>
      <c r="O201" s="38">
        <v>1</v>
      </c>
      <c r="P201" s="38"/>
      <c r="Q201" s="35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1</v>
      </c>
      <c r="AF201" s="1">
        <f t="shared" si="75"/>
        <v>0</v>
      </c>
      <c r="AG201" s="1">
        <f t="shared" si="76"/>
        <v>1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173</v>
      </c>
      <c r="F202" s="16" t="s">
        <v>311</v>
      </c>
      <c r="G202" s="16" t="s">
        <v>39</v>
      </c>
      <c r="H202" s="16" t="s">
        <v>365</v>
      </c>
      <c r="I202" s="15" t="s">
        <v>460</v>
      </c>
      <c r="J202" s="15">
        <v>17</v>
      </c>
      <c r="K202" s="10" t="s">
        <v>707</v>
      </c>
      <c r="L202" s="10" t="s">
        <v>701</v>
      </c>
      <c r="M202" s="19" t="s">
        <v>695</v>
      </c>
      <c r="N202" s="17"/>
      <c r="Q202" s="20" t="s">
        <v>1922</v>
      </c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0</v>
      </c>
      <c r="AD202" s="1">
        <f t="shared" si="89"/>
        <v>0</v>
      </c>
      <c r="AE202" s="1">
        <f t="shared" si="90"/>
        <v>0</v>
      </c>
      <c r="AF202" s="1">
        <f t="shared" si="75"/>
        <v>0</v>
      </c>
      <c r="AG202" s="1">
        <f t="shared" si="76"/>
        <v>0</v>
      </c>
      <c r="AH202" s="1">
        <f t="shared" si="77"/>
        <v>0</v>
      </c>
      <c r="AI202" s="1">
        <f t="shared" si="78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527</v>
      </c>
      <c r="E203" s="35" t="s">
        <v>528</v>
      </c>
      <c r="F203" s="35" t="s">
        <v>529</v>
      </c>
      <c r="G203" s="35" t="s">
        <v>203</v>
      </c>
      <c r="H203" s="35" t="s">
        <v>355</v>
      </c>
      <c r="I203" s="34" t="s">
        <v>530</v>
      </c>
      <c r="J203" s="34">
        <v>10</v>
      </c>
      <c r="K203" s="36" t="s">
        <v>706</v>
      </c>
      <c r="L203" s="36" t="s">
        <v>697</v>
      </c>
      <c r="M203" s="37" t="s">
        <v>974</v>
      </c>
      <c r="N203" s="37" t="s">
        <v>1740</v>
      </c>
      <c r="O203" s="38">
        <v>1</v>
      </c>
      <c r="P203" s="38">
        <v>1</v>
      </c>
      <c r="Q203" s="35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1</v>
      </c>
      <c r="AD203" s="1">
        <f t="shared" si="89"/>
        <v>1</v>
      </c>
      <c r="AE203" s="1">
        <f t="shared" si="90"/>
        <v>0</v>
      </c>
      <c r="AF203" s="1">
        <f t="shared" ref="AF203:AF266" si="97">+O203*P203*(1-A203)</f>
        <v>1</v>
      </c>
      <c r="AG203" s="1">
        <f t="shared" ref="AG203:AG266" si="98">O203*(1-P203)*(1-A203)</f>
        <v>0</v>
      </c>
      <c r="AH203" s="1">
        <f t="shared" ref="AH203:AH266" si="99">+P203*(1-A203)</f>
        <v>1</v>
      </c>
      <c r="AI203" s="1">
        <f t="shared" ref="AI203:AI266" si="100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1506</v>
      </c>
      <c r="E204" s="35" t="s">
        <v>167</v>
      </c>
      <c r="F204" s="35" t="s">
        <v>1507</v>
      </c>
      <c r="G204" s="35" t="s">
        <v>181</v>
      </c>
      <c r="H204" s="35" t="s">
        <v>355</v>
      </c>
      <c r="I204" s="34" t="s">
        <v>1508</v>
      </c>
      <c r="J204" s="34">
        <v>10</v>
      </c>
      <c r="K204" s="36" t="s">
        <v>960</v>
      </c>
      <c r="L204" s="36" t="s">
        <v>697</v>
      </c>
      <c r="M204" s="37" t="s">
        <v>974</v>
      </c>
      <c r="N204" s="37" t="s">
        <v>1734</v>
      </c>
      <c r="O204" s="38">
        <v>1</v>
      </c>
      <c r="P204" s="38">
        <v>1</v>
      </c>
      <c r="Q204" s="35"/>
      <c r="S204" s="1">
        <f t="shared" si="79"/>
        <v>0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1</v>
      </c>
      <c r="AD204" s="1">
        <f t="shared" si="89"/>
        <v>1</v>
      </c>
      <c r="AE204" s="1">
        <f t="shared" si="90"/>
        <v>0</v>
      </c>
      <c r="AF204" s="1">
        <f t="shared" si="97"/>
        <v>1</v>
      </c>
      <c r="AG204" s="1">
        <f t="shared" si="98"/>
        <v>0</v>
      </c>
      <c r="AH204" s="1">
        <f t="shared" si="99"/>
        <v>1</v>
      </c>
      <c r="AI204" s="1">
        <f t="shared" si="100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1764</v>
      </c>
      <c r="E205" s="35" t="s">
        <v>167</v>
      </c>
      <c r="F205" s="35" t="s">
        <v>1765</v>
      </c>
      <c r="G205" s="35" t="s">
        <v>1766</v>
      </c>
      <c r="H205" s="35" t="s">
        <v>355</v>
      </c>
      <c r="I205" s="34" t="s">
        <v>1767</v>
      </c>
      <c r="J205" s="34">
        <v>1</v>
      </c>
      <c r="K205" s="36" t="s">
        <v>707</v>
      </c>
      <c r="L205" s="36"/>
      <c r="M205" s="37"/>
      <c r="N205" s="37" t="s">
        <v>1755</v>
      </c>
      <c r="O205" s="38">
        <v>1</v>
      </c>
      <c r="P205" s="38"/>
      <c r="Q205" s="35"/>
      <c r="S205" s="1">
        <f t="shared" si="79"/>
        <v>1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D205" s="1">
        <f t="shared" si="89"/>
        <v>0</v>
      </c>
      <c r="AE205" s="1">
        <f t="shared" si="90"/>
        <v>1</v>
      </c>
      <c r="AF205" s="1">
        <f t="shared" si="97"/>
        <v>0</v>
      </c>
      <c r="AG205" s="1">
        <f t="shared" si="98"/>
        <v>1</v>
      </c>
      <c r="AH205" s="1">
        <f t="shared" si="99"/>
        <v>0</v>
      </c>
      <c r="AI205" s="1">
        <f t="shared" si="100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1030</v>
      </c>
      <c r="E206" s="48" t="s">
        <v>1091</v>
      </c>
      <c r="F206" s="48" t="s">
        <v>1031</v>
      </c>
      <c r="G206" s="48" t="s">
        <v>195</v>
      </c>
      <c r="H206" s="48" t="s">
        <v>355</v>
      </c>
      <c r="I206" s="47" t="s">
        <v>1032</v>
      </c>
      <c r="J206" s="47">
        <v>9</v>
      </c>
      <c r="K206" s="49" t="s">
        <v>726</v>
      </c>
      <c r="L206" s="49" t="s">
        <v>1711</v>
      </c>
      <c r="M206" s="50" t="s">
        <v>1611</v>
      </c>
      <c r="N206" s="50" t="s">
        <v>1742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1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7"/>
        <v>0</v>
      </c>
      <c r="AG206" s="1">
        <f t="shared" si="98"/>
        <v>0</v>
      </c>
      <c r="AH206" s="1">
        <f t="shared" si="99"/>
        <v>0</v>
      </c>
      <c r="AI206" s="1">
        <f t="shared" si="100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1621</v>
      </c>
      <c r="E207" s="48" t="s">
        <v>167</v>
      </c>
      <c r="F207" s="48" t="s">
        <v>1622</v>
      </c>
      <c r="G207" s="48" t="s">
        <v>214</v>
      </c>
      <c r="H207" s="48" t="s">
        <v>355</v>
      </c>
      <c r="I207" s="47" t="s">
        <v>1623</v>
      </c>
      <c r="J207" s="47">
        <v>1</v>
      </c>
      <c r="K207" s="49" t="s">
        <v>726</v>
      </c>
      <c r="L207" s="49" t="s">
        <v>698</v>
      </c>
      <c r="M207" s="50" t="s">
        <v>974</v>
      </c>
      <c r="N207" s="50" t="s">
        <v>1743</v>
      </c>
      <c r="O207" s="51"/>
      <c r="P207" s="51"/>
      <c r="Q207" s="48"/>
      <c r="S207" s="1">
        <f t="shared" si="79"/>
        <v>1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97"/>
        <v>0</v>
      </c>
      <c r="AG207" s="1">
        <f t="shared" si="98"/>
        <v>0</v>
      </c>
      <c r="AH207" s="1">
        <f t="shared" si="99"/>
        <v>0</v>
      </c>
      <c r="AI207" s="1">
        <f t="shared" si="100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148</v>
      </c>
      <c r="E208" s="42" t="s">
        <v>547</v>
      </c>
      <c r="F208" s="42" t="s">
        <v>1606</v>
      </c>
      <c r="G208" s="42" t="s">
        <v>1680</v>
      </c>
      <c r="H208" s="42" t="s">
        <v>355</v>
      </c>
      <c r="I208" s="41" t="s">
        <v>496</v>
      </c>
      <c r="J208" s="41">
        <v>99</v>
      </c>
      <c r="K208" s="43" t="s">
        <v>706</v>
      </c>
      <c r="L208" s="43" t="s">
        <v>693</v>
      </c>
      <c r="M208" s="44" t="s">
        <v>974</v>
      </c>
      <c r="N208" s="45"/>
      <c r="O208" s="46"/>
      <c r="P208" s="46">
        <v>1</v>
      </c>
      <c r="Q208" s="42"/>
      <c r="S208" s="1">
        <f t="shared" ref="S208:S270" si="101">IF(J208=$S$7,1,0)</f>
        <v>0</v>
      </c>
      <c r="T208" s="1">
        <f t="shared" ref="T208:T270" si="102">IF(J208=$T$7,1,0)</f>
        <v>0</v>
      </c>
      <c r="U208" s="1">
        <f t="shared" ref="U208:U270" si="103">IF(J208=$U$7,1,0)</f>
        <v>0</v>
      </c>
      <c r="V208" s="1">
        <f t="shared" ref="V208:V270" si="104">IF(J208=$V$7,1,0)</f>
        <v>0</v>
      </c>
      <c r="W208" s="1">
        <f t="shared" ref="W208:W270" si="105">IF(J208=$W$7,1,0)</f>
        <v>0</v>
      </c>
      <c r="X208" s="1">
        <f t="shared" ref="X208:X270" si="106">IF(J208=$X$7,1,0)</f>
        <v>0</v>
      </c>
      <c r="Y208" s="1">
        <f t="shared" ref="Y208:Y270" si="107">IF(J208=$Y$7,1,0)</f>
        <v>0</v>
      </c>
      <c r="Z208" s="1">
        <f t="shared" ref="Z208:Z270" si="108">IF(J208=$Z$7,1,0)</f>
        <v>0</v>
      </c>
      <c r="AA208" s="1">
        <f t="shared" ref="AA208:AA270" si="109">IF(J208=$AA$7,1,0)</f>
        <v>0</v>
      </c>
      <c r="AB208" s="1">
        <f t="shared" ref="AB208:AB270" si="110">IF(J208=$AB$7,1,0)</f>
        <v>0</v>
      </c>
      <c r="AD208" s="1">
        <f t="shared" ref="AD208:AD270" si="111">+O208*P208</f>
        <v>0</v>
      </c>
      <c r="AE208" s="1">
        <f t="shared" ref="AE208:AE270" si="112">O208*(1-P208)</f>
        <v>0</v>
      </c>
      <c r="AF208" s="1">
        <f t="shared" si="97"/>
        <v>0</v>
      </c>
      <c r="AG208" s="1">
        <f t="shared" si="98"/>
        <v>0</v>
      </c>
      <c r="AH208" s="1">
        <f t="shared" si="99"/>
        <v>1</v>
      </c>
      <c r="AI208" s="1">
        <f t="shared" si="100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1219</v>
      </c>
      <c r="E209" s="16" t="s">
        <v>167</v>
      </c>
      <c r="F209" s="16" t="s">
        <v>1220</v>
      </c>
      <c r="G209" s="16" t="s">
        <v>1221</v>
      </c>
      <c r="H209" s="16" t="s">
        <v>355</v>
      </c>
      <c r="I209" s="15" t="s">
        <v>1222</v>
      </c>
      <c r="J209" s="15">
        <v>99</v>
      </c>
      <c r="K209" s="10" t="s">
        <v>707</v>
      </c>
      <c r="L209" s="10">
        <v>30</v>
      </c>
      <c r="M209" s="19" t="s">
        <v>974</v>
      </c>
      <c r="N209" s="19"/>
      <c r="Q209" s="16"/>
      <c r="S209" s="1">
        <f t="shared" si="101"/>
        <v>0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97"/>
        <v>0</v>
      </c>
      <c r="AG209" s="1">
        <f t="shared" si="98"/>
        <v>0</v>
      </c>
      <c r="AH209" s="1">
        <f t="shared" si="99"/>
        <v>0</v>
      </c>
      <c r="AI209" s="1">
        <f t="shared" si="100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1607</v>
      </c>
      <c r="E210" s="35" t="s">
        <v>173</v>
      </c>
      <c r="F210" s="35" t="s">
        <v>812</v>
      </c>
      <c r="G210" s="35" t="s">
        <v>39</v>
      </c>
      <c r="H210" s="35" t="s">
        <v>813</v>
      </c>
      <c r="I210" s="34" t="s">
        <v>814</v>
      </c>
      <c r="J210" s="34">
        <v>16</v>
      </c>
      <c r="K210" s="36" t="s">
        <v>961</v>
      </c>
      <c r="L210" s="36" t="s">
        <v>1749</v>
      </c>
      <c r="M210" s="37" t="s">
        <v>974</v>
      </c>
      <c r="N210" s="37" t="s">
        <v>1755</v>
      </c>
      <c r="O210" s="38">
        <v>1</v>
      </c>
      <c r="P210" s="38"/>
      <c r="Q210" s="35"/>
      <c r="S210" s="1">
        <f t="shared" si="101"/>
        <v>0</v>
      </c>
      <c r="T210" s="1">
        <f t="shared" si="102"/>
        <v>0</v>
      </c>
      <c r="U210" s="1">
        <f t="shared" si="103"/>
        <v>0</v>
      </c>
      <c r="V210" s="1">
        <f t="shared" si="104"/>
        <v>0</v>
      </c>
      <c r="W210" s="1">
        <f t="shared" si="105"/>
        <v>0</v>
      </c>
      <c r="X210" s="1">
        <f t="shared" si="106"/>
        <v>0</v>
      </c>
      <c r="Y210" s="1">
        <f t="shared" si="107"/>
        <v>0</v>
      </c>
      <c r="Z210" s="1">
        <f t="shared" si="108"/>
        <v>0</v>
      </c>
      <c r="AA210" s="1">
        <f t="shared" si="109"/>
        <v>0</v>
      </c>
      <c r="AB210" s="1">
        <f t="shared" si="110"/>
        <v>0</v>
      </c>
      <c r="AD210" s="1">
        <f t="shared" si="111"/>
        <v>0</v>
      </c>
      <c r="AE210" s="1">
        <f t="shared" si="112"/>
        <v>1</v>
      </c>
      <c r="AF210" s="1">
        <f t="shared" si="97"/>
        <v>0</v>
      </c>
      <c r="AG210" s="1">
        <f t="shared" si="98"/>
        <v>1</v>
      </c>
      <c r="AH210" s="1">
        <f t="shared" si="99"/>
        <v>0</v>
      </c>
      <c r="AI210" s="1">
        <f t="shared" si="100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504</v>
      </c>
      <c r="E211" s="35" t="s">
        <v>167</v>
      </c>
      <c r="F211" s="35" t="s">
        <v>505</v>
      </c>
      <c r="G211" s="35" t="s">
        <v>506</v>
      </c>
      <c r="H211" s="35" t="s">
        <v>355</v>
      </c>
      <c r="I211" s="34" t="s">
        <v>507</v>
      </c>
      <c r="J211" s="34">
        <v>99</v>
      </c>
      <c r="K211" s="36" t="s">
        <v>961</v>
      </c>
      <c r="L211" s="36" t="s">
        <v>698</v>
      </c>
      <c r="M211" s="37" t="s">
        <v>695</v>
      </c>
      <c r="N211" s="37" t="s">
        <v>1734</v>
      </c>
      <c r="O211" s="38">
        <v>1</v>
      </c>
      <c r="P211" s="38">
        <v>1</v>
      </c>
      <c r="Q211" s="35"/>
      <c r="S211" s="1">
        <f t="shared" si="101"/>
        <v>0</v>
      </c>
      <c r="T211" s="1">
        <f t="shared" si="102"/>
        <v>0</v>
      </c>
      <c r="U211" s="1">
        <f t="shared" si="103"/>
        <v>0</v>
      </c>
      <c r="V211" s="1">
        <f t="shared" si="104"/>
        <v>0</v>
      </c>
      <c r="W211" s="1">
        <f t="shared" si="105"/>
        <v>0</v>
      </c>
      <c r="X211" s="1">
        <f t="shared" si="106"/>
        <v>0</v>
      </c>
      <c r="Y211" s="1">
        <f t="shared" si="107"/>
        <v>0</v>
      </c>
      <c r="Z211" s="1">
        <f t="shared" si="108"/>
        <v>0</v>
      </c>
      <c r="AA211" s="1">
        <f t="shared" si="109"/>
        <v>0</v>
      </c>
      <c r="AB211" s="1">
        <f t="shared" si="110"/>
        <v>0</v>
      </c>
      <c r="AD211" s="1">
        <f t="shared" si="111"/>
        <v>1</v>
      </c>
      <c r="AE211" s="1">
        <f t="shared" si="112"/>
        <v>0</v>
      </c>
      <c r="AF211" s="1">
        <f t="shared" si="97"/>
        <v>1</v>
      </c>
      <c r="AG211" s="1">
        <f t="shared" si="98"/>
        <v>0</v>
      </c>
      <c r="AH211" s="1">
        <f t="shared" si="99"/>
        <v>1</v>
      </c>
      <c r="AI211" s="1">
        <f t="shared" si="100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1457</v>
      </c>
      <c r="E212" s="35" t="s">
        <v>168</v>
      </c>
      <c r="F212" s="35" t="s">
        <v>1458</v>
      </c>
      <c r="G212" s="35" t="s">
        <v>180</v>
      </c>
      <c r="H212" s="35" t="s">
        <v>355</v>
      </c>
      <c r="I212" s="34" t="s">
        <v>1459</v>
      </c>
      <c r="J212" s="34">
        <v>99</v>
      </c>
      <c r="K212" s="36" t="s">
        <v>960</v>
      </c>
      <c r="L212" s="36" t="s">
        <v>700</v>
      </c>
      <c r="M212" s="37" t="s">
        <v>1460</v>
      </c>
      <c r="N212" s="37" t="s">
        <v>1756</v>
      </c>
      <c r="O212" s="38">
        <v>1</v>
      </c>
      <c r="P212" s="38"/>
      <c r="Q212" s="39"/>
      <c r="S212" s="1">
        <f t="shared" si="101"/>
        <v>0</v>
      </c>
      <c r="T212" s="1">
        <f t="shared" si="102"/>
        <v>0</v>
      </c>
      <c r="U212" s="1">
        <f t="shared" si="103"/>
        <v>0</v>
      </c>
      <c r="V212" s="1">
        <f t="shared" si="104"/>
        <v>0</v>
      </c>
      <c r="W212" s="1">
        <f t="shared" si="105"/>
        <v>0</v>
      </c>
      <c r="X212" s="1">
        <f t="shared" si="106"/>
        <v>0</v>
      </c>
      <c r="Y212" s="1">
        <f t="shared" si="107"/>
        <v>0</v>
      </c>
      <c r="Z212" s="1">
        <f t="shared" si="108"/>
        <v>0</v>
      </c>
      <c r="AA212" s="1">
        <f t="shared" si="109"/>
        <v>0</v>
      </c>
      <c r="AB212" s="1">
        <f t="shared" si="110"/>
        <v>0</v>
      </c>
      <c r="AD212" s="1">
        <f t="shared" si="111"/>
        <v>0</v>
      </c>
      <c r="AE212" s="1">
        <f t="shared" si="112"/>
        <v>1</v>
      </c>
      <c r="AF212" s="1">
        <f t="shared" si="97"/>
        <v>0</v>
      </c>
      <c r="AG212" s="1">
        <f t="shared" si="98"/>
        <v>1</v>
      </c>
      <c r="AH212" s="1">
        <f t="shared" si="99"/>
        <v>0</v>
      </c>
      <c r="AI212" s="1">
        <f t="shared" si="100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1193</v>
      </c>
      <c r="E213" s="35" t="s">
        <v>1196</v>
      </c>
      <c r="F213" s="35" t="s">
        <v>1194</v>
      </c>
      <c r="G213" s="35" t="s">
        <v>39</v>
      </c>
      <c r="H213" s="35" t="s">
        <v>355</v>
      </c>
      <c r="I213" s="34" t="s">
        <v>1195</v>
      </c>
      <c r="J213" s="34">
        <v>99</v>
      </c>
      <c r="K213" s="36" t="s">
        <v>966</v>
      </c>
      <c r="L213" s="36" t="s">
        <v>39</v>
      </c>
      <c r="M213" s="37" t="s">
        <v>39</v>
      </c>
      <c r="N213" s="37" t="s">
        <v>1740</v>
      </c>
      <c r="O213" s="38">
        <v>1</v>
      </c>
      <c r="P213" s="38">
        <v>1</v>
      </c>
      <c r="Q213" s="39" t="s">
        <v>1915</v>
      </c>
      <c r="S213" s="1">
        <f t="shared" si="101"/>
        <v>0</v>
      </c>
      <c r="T213" s="1">
        <f t="shared" si="102"/>
        <v>0</v>
      </c>
      <c r="U213" s="1">
        <f t="shared" si="103"/>
        <v>0</v>
      </c>
      <c r="V213" s="1">
        <f t="shared" si="104"/>
        <v>0</v>
      </c>
      <c r="W213" s="1">
        <f t="shared" si="105"/>
        <v>0</v>
      </c>
      <c r="X213" s="1">
        <f t="shared" si="106"/>
        <v>0</v>
      </c>
      <c r="Y213" s="1">
        <f t="shared" si="107"/>
        <v>0</v>
      </c>
      <c r="Z213" s="1">
        <f t="shared" si="108"/>
        <v>0</v>
      </c>
      <c r="AA213" s="1">
        <f t="shared" si="109"/>
        <v>0</v>
      </c>
      <c r="AB213" s="1">
        <f t="shared" si="110"/>
        <v>0</v>
      </c>
      <c r="AD213" s="1">
        <f t="shared" si="111"/>
        <v>1</v>
      </c>
      <c r="AE213" s="1">
        <f t="shared" si="112"/>
        <v>0</v>
      </c>
      <c r="AF213" s="1">
        <f t="shared" si="97"/>
        <v>1</v>
      </c>
      <c r="AG213" s="1">
        <f t="shared" si="98"/>
        <v>0</v>
      </c>
      <c r="AH213" s="1">
        <f t="shared" si="99"/>
        <v>1</v>
      </c>
      <c r="AI213" s="1">
        <f t="shared" si="100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1655</v>
      </c>
      <c r="E214" s="35" t="s">
        <v>1663</v>
      </c>
      <c r="F214" s="35" t="s">
        <v>1690</v>
      </c>
      <c r="G214" s="35" t="s">
        <v>1691</v>
      </c>
      <c r="H214" s="35" t="s">
        <v>355</v>
      </c>
      <c r="I214" s="34" t="s">
        <v>1703</v>
      </c>
      <c r="J214" s="34">
        <v>1</v>
      </c>
      <c r="K214" s="36" t="s">
        <v>962</v>
      </c>
      <c r="L214" s="36" t="s">
        <v>39</v>
      </c>
      <c r="M214" s="37" t="s">
        <v>39</v>
      </c>
      <c r="N214" s="37" t="s">
        <v>1734</v>
      </c>
      <c r="O214" s="38">
        <v>1</v>
      </c>
      <c r="P214" s="38">
        <v>1</v>
      </c>
      <c r="Q214" s="35"/>
      <c r="S214" s="1">
        <f t="shared" si="101"/>
        <v>1</v>
      </c>
      <c r="T214" s="1">
        <f t="shared" si="102"/>
        <v>0</v>
      </c>
      <c r="U214" s="1">
        <f t="shared" si="103"/>
        <v>0</v>
      </c>
      <c r="V214" s="1">
        <f t="shared" si="104"/>
        <v>0</v>
      </c>
      <c r="W214" s="1">
        <f t="shared" si="105"/>
        <v>0</v>
      </c>
      <c r="X214" s="1">
        <f t="shared" si="106"/>
        <v>0</v>
      </c>
      <c r="Y214" s="1">
        <f t="shared" si="107"/>
        <v>0</v>
      </c>
      <c r="Z214" s="1">
        <f t="shared" si="108"/>
        <v>0</v>
      </c>
      <c r="AA214" s="1">
        <f t="shared" si="109"/>
        <v>0</v>
      </c>
      <c r="AB214" s="1">
        <f t="shared" si="110"/>
        <v>0</v>
      </c>
      <c r="AD214" s="1">
        <f t="shared" si="111"/>
        <v>1</v>
      </c>
      <c r="AE214" s="1">
        <f t="shared" si="112"/>
        <v>0</v>
      </c>
      <c r="AF214" s="1">
        <f t="shared" si="97"/>
        <v>1</v>
      </c>
      <c r="AG214" s="1">
        <f t="shared" si="98"/>
        <v>0</v>
      </c>
      <c r="AH214" s="1">
        <f t="shared" si="99"/>
        <v>1</v>
      </c>
      <c r="AI214" s="1">
        <f t="shared" si="100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169</v>
      </c>
      <c r="F215" s="35" t="s">
        <v>285</v>
      </c>
      <c r="G215" s="35" t="s">
        <v>231</v>
      </c>
      <c r="H215" s="35" t="s">
        <v>355</v>
      </c>
      <c r="I215" s="34" t="s">
        <v>439</v>
      </c>
      <c r="J215" s="34">
        <v>7</v>
      </c>
      <c r="K215" s="36" t="s">
        <v>726</v>
      </c>
      <c r="L215" s="36">
        <v>40</v>
      </c>
      <c r="M215" s="37" t="s">
        <v>39</v>
      </c>
      <c r="N215" s="37" t="s">
        <v>1755</v>
      </c>
      <c r="O215" s="38">
        <v>1</v>
      </c>
      <c r="P215" s="38"/>
      <c r="Q215" s="35"/>
      <c r="S215" s="1">
        <f t="shared" si="101"/>
        <v>0</v>
      </c>
      <c r="T215" s="1">
        <f t="shared" si="102"/>
        <v>0</v>
      </c>
      <c r="U215" s="1">
        <f t="shared" si="103"/>
        <v>0</v>
      </c>
      <c r="V215" s="1">
        <f t="shared" si="104"/>
        <v>0</v>
      </c>
      <c r="W215" s="1">
        <f t="shared" si="105"/>
        <v>0</v>
      </c>
      <c r="X215" s="1">
        <f t="shared" si="106"/>
        <v>0</v>
      </c>
      <c r="Y215" s="1">
        <f t="shared" si="107"/>
        <v>1</v>
      </c>
      <c r="Z215" s="1">
        <f t="shared" si="108"/>
        <v>0</v>
      </c>
      <c r="AA215" s="1">
        <f t="shared" si="109"/>
        <v>0</v>
      </c>
      <c r="AB215" s="1">
        <f t="shared" si="110"/>
        <v>0</v>
      </c>
      <c r="AD215" s="1">
        <f t="shared" si="111"/>
        <v>0</v>
      </c>
      <c r="AE215" s="1">
        <f t="shared" si="112"/>
        <v>1</v>
      </c>
      <c r="AF215" s="1">
        <f t="shared" si="97"/>
        <v>0</v>
      </c>
      <c r="AG215" s="1">
        <f t="shared" si="98"/>
        <v>1</v>
      </c>
      <c r="AH215" s="1">
        <f t="shared" si="99"/>
        <v>0</v>
      </c>
      <c r="AI215" s="1">
        <f t="shared" si="100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166</v>
      </c>
      <c r="F216" s="39" t="s">
        <v>1878</v>
      </c>
      <c r="G216" s="35" t="s">
        <v>241</v>
      </c>
      <c r="H216" s="35" t="s">
        <v>355</v>
      </c>
      <c r="I216" s="34" t="s">
        <v>440</v>
      </c>
      <c r="J216" s="34">
        <v>1</v>
      </c>
      <c r="K216" s="36" t="s">
        <v>968</v>
      </c>
      <c r="L216" s="36" t="s">
        <v>39</v>
      </c>
      <c r="M216" s="37" t="s">
        <v>39</v>
      </c>
      <c r="N216" s="37" t="s">
        <v>1734</v>
      </c>
      <c r="O216" s="38">
        <v>1</v>
      </c>
      <c r="P216" s="38">
        <v>1</v>
      </c>
      <c r="Q216" s="35"/>
      <c r="S216" s="1">
        <f t="shared" si="101"/>
        <v>1</v>
      </c>
      <c r="T216" s="1">
        <f t="shared" si="102"/>
        <v>0</v>
      </c>
      <c r="U216" s="1">
        <f t="shared" si="103"/>
        <v>0</v>
      </c>
      <c r="V216" s="1">
        <f t="shared" si="104"/>
        <v>0</v>
      </c>
      <c r="W216" s="1">
        <f t="shared" si="105"/>
        <v>0</v>
      </c>
      <c r="X216" s="1">
        <f t="shared" si="106"/>
        <v>0</v>
      </c>
      <c r="Y216" s="1">
        <f t="shared" si="107"/>
        <v>0</v>
      </c>
      <c r="Z216" s="1">
        <f t="shared" si="108"/>
        <v>0</v>
      </c>
      <c r="AA216" s="1">
        <f t="shared" si="109"/>
        <v>0</v>
      </c>
      <c r="AB216" s="1">
        <f t="shared" si="110"/>
        <v>0</v>
      </c>
      <c r="AD216" s="1">
        <f t="shared" si="111"/>
        <v>1</v>
      </c>
      <c r="AE216" s="1">
        <f t="shared" si="112"/>
        <v>0</v>
      </c>
      <c r="AF216" s="1">
        <f t="shared" si="97"/>
        <v>1</v>
      </c>
      <c r="AG216" s="1">
        <f t="shared" si="98"/>
        <v>0</v>
      </c>
      <c r="AH216" s="1">
        <f t="shared" si="99"/>
        <v>1</v>
      </c>
      <c r="AI216" s="1">
        <f t="shared" si="100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168</v>
      </c>
      <c r="F217" s="35" t="s">
        <v>287</v>
      </c>
      <c r="G217" s="35" t="s">
        <v>201</v>
      </c>
      <c r="H217" s="35" t="s">
        <v>355</v>
      </c>
      <c r="I217" s="34" t="s">
        <v>441</v>
      </c>
      <c r="J217" s="34">
        <v>2</v>
      </c>
      <c r="K217" s="36" t="s">
        <v>966</v>
      </c>
      <c r="L217" s="36" t="s">
        <v>39</v>
      </c>
      <c r="M217" s="37" t="s">
        <v>39</v>
      </c>
      <c r="N217" s="37" t="s">
        <v>1734</v>
      </c>
      <c r="O217" s="38">
        <v>1</v>
      </c>
      <c r="P217" s="38">
        <v>1</v>
      </c>
      <c r="Q217" s="35"/>
      <c r="S217" s="1">
        <f t="shared" si="101"/>
        <v>0</v>
      </c>
      <c r="T217" s="1">
        <f t="shared" si="102"/>
        <v>1</v>
      </c>
      <c r="U217" s="1">
        <f t="shared" si="103"/>
        <v>0</v>
      </c>
      <c r="V217" s="1">
        <f t="shared" si="104"/>
        <v>0</v>
      </c>
      <c r="W217" s="1">
        <f t="shared" si="105"/>
        <v>0</v>
      </c>
      <c r="X217" s="1">
        <f t="shared" si="106"/>
        <v>0</v>
      </c>
      <c r="Y217" s="1">
        <f t="shared" si="107"/>
        <v>0</v>
      </c>
      <c r="Z217" s="1">
        <f t="shared" si="108"/>
        <v>0</v>
      </c>
      <c r="AA217" s="1">
        <f t="shared" si="109"/>
        <v>0</v>
      </c>
      <c r="AB217" s="1">
        <f t="shared" si="110"/>
        <v>0</v>
      </c>
      <c r="AD217" s="1">
        <f t="shared" si="111"/>
        <v>1</v>
      </c>
      <c r="AE217" s="1">
        <f t="shared" si="112"/>
        <v>0</v>
      </c>
      <c r="AF217" s="1">
        <f t="shared" si="97"/>
        <v>1</v>
      </c>
      <c r="AG217" s="1">
        <f t="shared" si="98"/>
        <v>0</v>
      </c>
      <c r="AH217" s="1">
        <f t="shared" si="99"/>
        <v>1</v>
      </c>
      <c r="AI217" s="1">
        <f t="shared" si="100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1283</v>
      </c>
      <c r="E218" s="48" t="s">
        <v>168</v>
      </c>
      <c r="F218" s="48" t="s">
        <v>1154</v>
      </c>
      <c r="G218" s="48" t="s">
        <v>1349</v>
      </c>
      <c r="H218" s="48" t="s">
        <v>355</v>
      </c>
      <c r="I218" s="47" t="s">
        <v>1155</v>
      </c>
      <c r="J218" s="47">
        <v>99</v>
      </c>
      <c r="K218" s="49" t="s">
        <v>706</v>
      </c>
      <c r="L218" s="49">
        <v>45</v>
      </c>
      <c r="M218" s="50" t="s">
        <v>39</v>
      </c>
      <c r="N218" s="50" t="s">
        <v>1742</v>
      </c>
      <c r="O218" s="51"/>
      <c r="P218" s="51"/>
      <c r="Q218" s="48"/>
      <c r="S218" s="1">
        <f t="shared" si="101"/>
        <v>0</v>
      </c>
      <c r="T218" s="1">
        <f t="shared" si="102"/>
        <v>0</v>
      </c>
      <c r="U218" s="1">
        <f t="shared" si="103"/>
        <v>0</v>
      </c>
      <c r="V218" s="1">
        <f t="shared" si="104"/>
        <v>0</v>
      </c>
      <c r="W218" s="1">
        <f t="shared" si="105"/>
        <v>0</v>
      </c>
      <c r="X218" s="1">
        <f t="shared" si="106"/>
        <v>0</v>
      </c>
      <c r="Y218" s="1">
        <f t="shared" si="107"/>
        <v>0</v>
      </c>
      <c r="Z218" s="1">
        <f t="shared" si="108"/>
        <v>0</v>
      </c>
      <c r="AA218" s="1">
        <f t="shared" si="109"/>
        <v>0</v>
      </c>
      <c r="AB218" s="1">
        <f t="shared" si="110"/>
        <v>0</v>
      </c>
      <c r="AD218" s="1">
        <f t="shared" si="111"/>
        <v>0</v>
      </c>
      <c r="AE218" s="1">
        <f t="shared" si="112"/>
        <v>0</v>
      </c>
      <c r="AF218" s="1">
        <f t="shared" si="97"/>
        <v>0</v>
      </c>
      <c r="AG218" s="1">
        <f t="shared" si="98"/>
        <v>0</v>
      </c>
      <c r="AH218" s="1">
        <f t="shared" si="99"/>
        <v>0</v>
      </c>
      <c r="AI218" s="1">
        <f t="shared" si="100"/>
        <v>1</v>
      </c>
    </row>
    <row r="219" spans="1:35" ht="14.25" customHeight="1" x14ac:dyDescent="0.25">
      <c r="A219" s="41">
        <v>0</v>
      </c>
      <c r="B219" s="41">
        <v>1</v>
      </c>
      <c r="C219" s="41">
        <v>6</v>
      </c>
      <c r="D219" s="57" t="s">
        <v>1798</v>
      </c>
      <c r="E219" s="42" t="s">
        <v>168</v>
      </c>
      <c r="F219" s="42" t="s">
        <v>1773</v>
      </c>
      <c r="G219" s="42"/>
      <c r="H219" s="42" t="s">
        <v>355</v>
      </c>
      <c r="I219" s="41" t="s">
        <v>1774</v>
      </c>
      <c r="J219" s="41"/>
      <c r="K219" s="43" t="s">
        <v>707</v>
      </c>
      <c r="L219" s="43"/>
      <c r="M219" s="44"/>
      <c r="N219" s="45"/>
      <c r="O219" s="46"/>
      <c r="P219" s="46">
        <v>1</v>
      </c>
      <c r="Q219" s="42"/>
      <c r="S219" s="1">
        <f t="shared" si="101"/>
        <v>0</v>
      </c>
      <c r="T219" s="1">
        <f t="shared" si="102"/>
        <v>0</v>
      </c>
      <c r="U219" s="1">
        <f t="shared" si="103"/>
        <v>0</v>
      </c>
      <c r="V219" s="1">
        <f t="shared" si="104"/>
        <v>0</v>
      </c>
      <c r="W219" s="1">
        <f t="shared" si="105"/>
        <v>0</v>
      </c>
      <c r="X219" s="1">
        <f t="shared" si="106"/>
        <v>0</v>
      </c>
      <c r="Y219" s="1">
        <f t="shared" si="107"/>
        <v>0</v>
      </c>
      <c r="Z219" s="1">
        <f t="shared" si="108"/>
        <v>0</v>
      </c>
      <c r="AA219" s="1">
        <f t="shared" si="109"/>
        <v>0</v>
      </c>
      <c r="AB219" s="1">
        <f t="shared" si="110"/>
        <v>0</v>
      </c>
      <c r="AD219" s="1">
        <f t="shared" si="111"/>
        <v>0</v>
      </c>
      <c r="AE219" s="1">
        <f t="shared" si="112"/>
        <v>0</v>
      </c>
      <c r="AF219" s="1">
        <f t="shared" si="97"/>
        <v>0</v>
      </c>
      <c r="AG219" s="1">
        <f t="shared" si="98"/>
        <v>0</v>
      </c>
      <c r="AH219" s="1">
        <f t="shared" si="99"/>
        <v>1</v>
      </c>
      <c r="AI219" s="1">
        <f t="shared" si="100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1018</v>
      </c>
      <c r="E220" s="35" t="s">
        <v>168</v>
      </c>
      <c r="F220" s="35" t="s">
        <v>1019</v>
      </c>
      <c r="G220" s="35" t="s">
        <v>1107</v>
      </c>
      <c r="H220" s="35" t="s">
        <v>355</v>
      </c>
      <c r="I220" s="34" t="s">
        <v>1020</v>
      </c>
      <c r="J220" s="34">
        <v>99</v>
      </c>
      <c r="K220" s="36" t="s">
        <v>968</v>
      </c>
      <c r="L220" s="36" t="s">
        <v>39</v>
      </c>
      <c r="M220" s="37" t="s">
        <v>39</v>
      </c>
      <c r="N220" s="37" t="s">
        <v>1734</v>
      </c>
      <c r="O220" s="38">
        <v>1</v>
      </c>
      <c r="P220" s="38">
        <v>1</v>
      </c>
      <c r="Q220" s="35"/>
      <c r="S220" s="1">
        <f t="shared" si="101"/>
        <v>0</v>
      </c>
      <c r="T220" s="1">
        <f t="shared" si="102"/>
        <v>0</v>
      </c>
      <c r="U220" s="1">
        <f t="shared" si="103"/>
        <v>0</v>
      </c>
      <c r="V220" s="1">
        <f t="shared" si="104"/>
        <v>0</v>
      </c>
      <c r="W220" s="1">
        <f t="shared" si="105"/>
        <v>0</v>
      </c>
      <c r="X220" s="1">
        <f t="shared" si="106"/>
        <v>0</v>
      </c>
      <c r="Y220" s="1">
        <f t="shared" si="107"/>
        <v>0</v>
      </c>
      <c r="Z220" s="1">
        <f t="shared" si="108"/>
        <v>0</v>
      </c>
      <c r="AA220" s="1">
        <f t="shared" si="109"/>
        <v>0</v>
      </c>
      <c r="AB220" s="1">
        <f t="shared" si="110"/>
        <v>0</v>
      </c>
      <c r="AD220" s="1">
        <f t="shared" si="111"/>
        <v>1</v>
      </c>
      <c r="AE220" s="1">
        <f t="shared" si="112"/>
        <v>0</v>
      </c>
      <c r="AF220" s="1">
        <f t="shared" si="97"/>
        <v>1</v>
      </c>
      <c r="AG220" s="1">
        <f t="shared" si="98"/>
        <v>0</v>
      </c>
      <c r="AH220" s="1">
        <f t="shared" si="99"/>
        <v>1</v>
      </c>
      <c r="AI220" s="1">
        <f t="shared" si="100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170</v>
      </c>
      <c r="F221" s="35" t="s">
        <v>290</v>
      </c>
      <c r="G221" s="35" t="s">
        <v>195</v>
      </c>
      <c r="H221" s="35" t="s">
        <v>355</v>
      </c>
      <c r="I221" s="34" t="s">
        <v>443</v>
      </c>
      <c r="J221" s="34">
        <v>9</v>
      </c>
      <c r="K221" s="36" t="s">
        <v>706</v>
      </c>
      <c r="L221" s="36" t="s">
        <v>698</v>
      </c>
      <c r="M221" s="37" t="s">
        <v>710</v>
      </c>
      <c r="N221" s="37" t="s">
        <v>1755</v>
      </c>
      <c r="O221" s="38">
        <v>1</v>
      </c>
      <c r="P221" s="38"/>
      <c r="Q221" s="35"/>
      <c r="S221" s="1">
        <f t="shared" si="101"/>
        <v>0</v>
      </c>
      <c r="T221" s="1">
        <f t="shared" si="102"/>
        <v>0</v>
      </c>
      <c r="U221" s="1">
        <f t="shared" si="103"/>
        <v>0</v>
      </c>
      <c r="V221" s="1">
        <f t="shared" si="104"/>
        <v>0</v>
      </c>
      <c r="W221" s="1">
        <f t="shared" si="105"/>
        <v>0</v>
      </c>
      <c r="X221" s="1">
        <f t="shared" si="106"/>
        <v>0</v>
      </c>
      <c r="Y221" s="1">
        <f t="shared" si="107"/>
        <v>0</v>
      </c>
      <c r="Z221" s="1">
        <f t="shared" si="108"/>
        <v>0</v>
      </c>
      <c r="AA221" s="1">
        <f t="shared" si="109"/>
        <v>1</v>
      </c>
      <c r="AB221" s="1">
        <f t="shared" si="110"/>
        <v>0</v>
      </c>
      <c r="AD221" s="1">
        <f t="shared" si="111"/>
        <v>0</v>
      </c>
      <c r="AE221" s="1">
        <f t="shared" si="112"/>
        <v>1</v>
      </c>
      <c r="AF221" s="1">
        <f t="shared" si="97"/>
        <v>0</v>
      </c>
      <c r="AG221" s="1">
        <f t="shared" si="98"/>
        <v>1</v>
      </c>
      <c r="AH221" s="1">
        <f t="shared" si="99"/>
        <v>0</v>
      </c>
      <c r="AI221" s="1">
        <f t="shared" si="100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1616</v>
      </c>
      <c r="E222" s="42" t="s">
        <v>1617</v>
      </c>
      <c r="F222" s="42" t="s">
        <v>1618</v>
      </c>
      <c r="G222" s="42" t="s">
        <v>193</v>
      </c>
      <c r="H222" s="42" t="s">
        <v>355</v>
      </c>
      <c r="I222" s="41" t="s">
        <v>1619</v>
      </c>
      <c r="J222" s="41">
        <v>10</v>
      </c>
      <c r="K222" s="43" t="s">
        <v>960</v>
      </c>
      <c r="L222" s="43" t="s">
        <v>690</v>
      </c>
      <c r="M222" s="44" t="s">
        <v>1620</v>
      </c>
      <c r="N222" s="45"/>
      <c r="O222" s="46"/>
      <c r="P222" s="46">
        <v>1</v>
      </c>
      <c r="Q222" s="42"/>
      <c r="S222" s="1">
        <f t="shared" si="101"/>
        <v>0</v>
      </c>
      <c r="T222" s="1">
        <f t="shared" si="102"/>
        <v>0</v>
      </c>
      <c r="U222" s="1">
        <f t="shared" si="103"/>
        <v>0</v>
      </c>
      <c r="V222" s="1">
        <f t="shared" si="104"/>
        <v>0</v>
      </c>
      <c r="W222" s="1">
        <f t="shared" si="105"/>
        <v>0</v>
      </c>
      <c r="X222" s="1">
        <f t="shared" si="106"/>
        <v>0</v>
      </c>
      <c r="Y222" s="1">
        <f t="shared" si="107"/>
        <v>0</v>
      </c>
      <c r="Z222" s="1">
        <f t="shared" si="108"/>
        <v>0</v>
      </c>
      <c r="AA222" s="1">
        <f t="shared" si="109"/>
        <v>0</v>
      </c>
      <c r="AB222" s="1">
        <f t="shared" si="110"/>
        <v>1</v>
      </c>
      <c r="AD222" s="1">
        <f t="shared" si="111"/>
        <v>0</v>
      </c>
      <c r="AE222" s="1">
        <f t="shared" si="112"/>
        <v>0</v>
      </c>
      <c r="AF222" s="1">
        <f t="shared" si="97"/>
        <v>0</v>
      </c>
      <c r="AG222" s="1">
        <f t="shared" si="98"/>
        <v>0</v>
      </c>
      <c r="AH222" s="1">
        <f t="shared" si="99"/>
        <v>1</v>
      </c>
      <c r="AI222" s="1">
        <f t="shared" si="100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166</v>
      </c>
      <c r="F223" s="48" t="s">
        <v>291</v>
      </c>
      <c r="G223" s="48" t="s">
        <v>292</v>
      </c>
      <c r="H223" s="48" t="s">
        <v>355</v>
      </c>
      <c r="I223" s="47" t="s">
        <v>444</v>
      </c>
      <c r="J223" s="47">
        <v>7</v>
      </c>
      <c r="K223" s="49" t="s">
        <v>706</v>
      </c>
      <c r="L223" s="49" t="s">
        <v>698</v>
      </c>
      <c r="M223" s="50" t="s">
        <v>702</v>
      </c>
      <c r="N223" s="50" t="s">
        <v>1741</v>
      </c>
      <c r="O223" s="51"/>
      <c r="P223" s="51"/>
      <c r="Q223" s="48"/>
      <c r="S223" s="1">
        <f t="shared" si="101"/>
        <v>0</v>
      </c>
      <c r="T223" s="1">
        <f t="shared" si="102"/>
        <v>0</v>
      </c>
      <c r="U223" s="1">
        <f t="shared" si="103"/>
        <v>0</v>
      </c>
      <c r="V223" s="1">
        <f t="shared" si="104"/>
        <v>0</v>
      </c>
      <c r="W223" s="1">
        <f t="shared" si="105"/>
        <v>0</v>
      </c>
      <c r="X223" s="1">
        <f t="shared" si="106"/>
        <v>0</v>
      </c>
      <c r="Y223" s="1">
        <f t="shared" si="107"/>
        <v>1</v>
      </c>
      <c r="Z223" s="1">
        <f t="shared" si="108"/>
        <v>0</v>
      </c>
      <c r="AA223" s="1">
        <f t="shared" si="109"/>
        <v>0</v>
      </c>
      <c r="AB223" s="1">
        <f t="shared" si="110"/>
        <v>0</v>
      </c>
      <c r="AD223" s="1">
        <f t="shared" si="111"/>
        <v>0</v>
      </c>
      <c r="AE223" s="1">
        <f t="shared" si="112"/>
        <v>0</v>
      </c>
      <c r="AF223" s="1">
        <f t="shared" si="97"/>
        <v>0</v>
      </c>
      <c r="AG223" s="1">
        <f t="shared" si="98"/>
        <v>0</v>
      </c>
      <c r="AH223" s="1">
        <f t="shared" si="99"/>
        <v>0</v>
      </c>
      <c r="AI223" s="1">
        <f t="shared" si="100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1089</v>
      </c>
      <c r="E224" s="35" t="s">
        <v>168</v>
      </c>
      <c r="F224" s="35" t="s">
        <v>663</v>
      </c>
      <c r="G224" s="35" t="s">
        <v>180</v>
      </c>
      <c r="H224" s="35" t="s">
        <v>355</v>
      </c>
      <c r="I224" s="34" t="s">
        <v>382</v>
      </c>
      <c r="J224" s="34">
        <v>10</v>
      </c>
      <c r="K224" s="36" t="s">
        <v>726</v>
      </c>
      <c r="L224" s="36" t="s">
        <v>708</v>
      </c>
      <c r="M224" s="37" t="s">
        <v>711</v>
      </c>
      <c r="N224" s="37" t="s">
        <v>1757</v>
      </c>
      <c r="O224" s="38">
        <v>1</v>
      </c>
      <c r="P224" s="38"/>
      <c r="Q224" s="35"/>
      <c r="S224" s="1">
        <f t="shared" si="101"/>
        <v>0</v>
      </c>
      <c r="T224" s="1">
        <f t="shared" si="102"/>
        <v>0</v>
      </c>
      <c r="U224" s="1">
        <f t="shared" si="103"/>
        <v>0</v>
      </c>
      <c r="V224" s="1">
        <f t="shared" si="104"/>
        <v>0</v>
      </c>
      <c r="W224" s="1">
        <f t="shared" si="105"/>
        <v>0</v>
      </c>
      <c r="X224" s="1">
        <f t="shared" si="106"/>
        <v>0</v>
      </c>
      <c r="Y224" s="1">
        <f t="shared" si="107"/>
        <v>0</v>
      </c>
      <c r="Z224" s="1">
        <f t="shared" si="108"/>
        <v>0</v>
      </c>
      <c r="AA224" s="1">
        <f t="shared" si="109"/>
        <v>0</v>
      </c>
      <c r="AB224" s="1">
        <f t="shared" si="110"/>
        <v>1</v>
      </c>
      <c r="AD224" s="1">
        <f t="shared" si="111"/>
        <v>0</v>
      </c>
      <c r="AE224" s="1">
        <f t="shared" si="112"/>
        <v>1</v>
      </c>
      <c r="AF224" s="1">
        <f t="shared" si="97"/>
        <v>0</v>
      </c>
      <c r="AG224" s="1">
        <f t="shared" si="98"/>
        <v>1</v>
      </c>
      <c r="AH224" s="1">
        <f t="shared" si="99"/>
        <v>0</v>
      </c>
      <c r="AI224" s="1">
        <f t="shared" si="100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1236</v>
      </c>
      <c r="E225" s="35" t="s">
        <v>166</v>
      </c>
      <c r="F225" s="35" t="s">
        <v>1237</v>
      </c>
      <c r="G225" s="35" t="s">
        <v>1239</v>
      </c>
      <c r="H225" s="35" t="s">
        <v>355</v>
      </c>
      <c r="I225" s="34" t="s">
        <v>1238</v>
      </c>
      <c r="J225" s="34">
        <v>99</v>
      </c>
      <c r="K225" s="36" t="s">
        <v>726</v>
      </c>
      <c r="L225" s="36" t="s">
        <v>697</v>
      </c>
      <c r="M225" s="37" t="s">
        <v>1408</v>
      </c>
      <c r="N225" s="37" t="s">
        <v>1750</v>
      </c>
      <c r="O225" s="38">
        <v>1</v>
      </c>
      <c r="P225" s="38"/>
      <c r="Q225" s="35"/>
      <c r="R225" s="34"/>
      <c r="S225" s="34">
        <f t="shared" si="101"/>
        <v>0</v>
      </c>
      <c r="T225" s="34">
        <f t="shared" si="102"/>
        <v>0</v>
      </c>
      <c r="U225" s="35">
        <f t="shared" si="103"/>
        <v>0</v>
      </c>
      <c r="V225" s="35">
        <f t="shared" si="104"/>
        <v>0</v>
      </c>
      <c r="W225" s="35">
        <f t="shared" si="105"/>
        <v>0</v>
      </c>
      <c r="X225" s="35">
        <f t="shared" si="106"/>
        <v>0</v>
      </c>
      <c r="Y225" s="35">
        <f t="shared" si="107"/>
        <v>0</v>
      </c>
      <c r="Z225" s="34">
        <f t="shared" si="108"/>
        <v>0</v>
      </c>
      <c r="AA225" s="34">
        <f t="shared" si="109"/>
        <v>0</v>
      </c>
      <c r="AB225" s="36">
        <f t="shared" si="110"/>
        <v>0</v>
      </c>
      <c r="AC225" s="36"/>
      <c r="AD225" s="37">
        <f t="shared" si="111"/>
        <v>0</v>
      </c>
      <c r="AE225" s="37">
        <f t="shared" si="112"/>
        <v>1</v>
      </c>
      <c r="AF225" s="38">
        <f t="shared" si="97"/>
        <v>0</v>
      </c>
      <c r="AG225" s="38">
        <f t="shared" si="98"/>
        <v>1</v>
      </c>
      <c r="AH225" s="39">
        <f t="shared" si="99"/>
        <v>0</v>
      </c>
      <c r="AI225" s="34">
        <f t="shared" si="100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982</v>
      </c>
      <c r="E226" s="35" t="s">
        <v>166</v>
      </c>
      <c r="F226" s="35" t="s">
        <v>980</v>
      </c>
      <c r="G226" s="35" t="s">
        <v>1109</v>
      </c>
      <c r="H226" s="35" t="s">
        <v>355</v>
      </c>
      <c r="I226" s="34" t="s">
        <v>981</v>
      </c>
      <c r="J226" s="34">
        <v>1</v>
      </c>
      <c r="K226" s="36" t="s">
        <v>960</v>
      </c>
      <c r="L226" s="36" t="s">
        <v>693</v>
      </c>
      <c r="M226" s="37" t="s">
        <v>1409</v>
      </c>
      <c r="N226" s="37" t="s">
        <v>1755</v>
      </c>
      <c r="O226" s="38">
        <v>1</v>
      </c>
      <c r="P226" s="38"/>
      <c r="Q226" s="35"/>
      <c r="R226" s="1"/>
      <c r="S226" s="1">
        <f t="shared" si="101"/>
        <v>1</v>
      </c>
      <c r="T226" s="1">
        <f t="shared" si="102"/>
        <v>0</v>
      </c>
      <c r="U226" s="1">
        <f t="shared" si="103"/>
        <v>0</v>
      </c>
      <c r="V226" s="1">
        <f t="shared" si="104"/>
        <v>0</v>
      </c>
      <c r="W226" s="1">
        <f t="shared" si="105"/>
        <v>0</v>
      </c>
      <c r="X226" s="1">
        <f t="shared" si="106"/>
        <v>0</v>
      </c>
      <c r="Y226" s="1">
        <f t="shared" si="107"/>
        <v>0</v>
      </c>
      <c r="Z226" s="1">
        <f t="shared" si="108"/>
        <v>0</v>
      </c>
      <c r="AA226" s="1">
        <f t="shared" si="109"/>
        <v>0</v>
      </c>
      <c r="AB226" s="1">
        <f t="shared" si="110"/>
        <v>0</v>
      </c>
      <c r="AC226" s="1"/>
      <c r="AD226" s="1">
        <f t="shared" si="111"/>
        <v>0</v>
      </c>
      <c r="AE226" s="1">
        <f t="shared" si="112"/>
        <v>1</v>
      </c>
      <c r="AF226" s="1">
        <f t="shared" si="97"/>
        <v>0</v>
      </c>
      <c r="AG226" s="1">
        <f t="shared" si="98"/>
        <v>1</v>
      </c>
      <c r="AH226" s="1">
        <f t="shared" si="99"/>
        <v>0</v>
      </c>
      <c r="AI226" s="1">
        <f t="shared" si="100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523</v>
      </c>
      <c r="E227" s="48" t="s">
        <v>168</v>
      </c>
      <c r="F227" s="48" t="s">
        <v>524</v>
      </c>
      <c r="G227" s="48" t="s">
        <v>525</v>
      </c>
      <c r="H227" s="48" t="s">
        <v>355</v>
      </c>
      <c r="I227" s="47" t="s">
        <v>526</v>
      </c>
      <c r="J227" s="47">
        <v>99</v>
      </c>
      <c r="K227" s="49" t="s">
        <v>706</v>
      </c>
      <c r="L227" s="49" t="s">
        <v>698</v>
      </c>
      <c r="M227" s="50" t="s">
        <v>711</v>
      </c>
      <c r="N227" s="50" t="s">
        <v>1816</v>
      </c>
      <c r="O227" s="51"/>
      <c r="P227" s="51"/>
      <c r="Q227" s="48"/>
      <c r="R227" s="1"/>
      <c r="S227" s="1">
        <f t="shared" si="101"/>
        <v>0</v>
      </c>
      <c r="T227" s="1">
        <f t="shared" si="102"/>
        <v>0</v>
      </c>
      <c r="U227" s="1">
        <f t="shared" si="103"/>
        <v>0</v>
      </c>
      <c r="V227" s="1">
        <f t="shared" si="104"/>
        <v>0</v>
      </c>
      <c r="W227" s="1">
        <f t="shared" si="105"/>
        <v>0</v>
      </c>
      <c r="X227" s="1">
        <f t="shared" si="106"/>
        <v>0</v>
      </c>
      <c r="Y227" s="1">
        <f t="shared" si="107"/>
        <v>0</v>
      </c>
      <c r="Z227" s="1">
        <f t="shared" si="108"/>
        <v>0</v>
      </c>
      <c r="AA227" s="1">
        <f t="shared" si="109"/>
        <v>0</v>
      </c>
      <c r="AB227" s="1">
        <f t="shared" si="110"/>
        <v>0</v>
      </c>
      <c r="AC227" s="1"/>
      <c r="AD227" s="1">
        <f t="shared" si="111"/>
        <v>0</v>
      </c>
      <c r="AE227" s="1">
        <f t="shared" si="112"/>
        <v>0</v>
      </c>
      <c r="AF227" s="1">
        <f t="shared" si="97"/>
        <v>0</v>
      </c>
      <c r="AG227" s="1">
        <f t="shared" si="98"/>
        <v>0</v>
      </c>
      <c r="AH227" s="1">
        <f t="shared" si="99"/>
        <v>0</v>
      </c>
      <c r="AI227" s="1">
        <f t="shared" si="100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1844</v>
      </c>
      <c r="E228" s="42" t="s">
        <v>1845</v>
      </c>
      <c r="F228" s="42" t="s">
        <v>1846</v>
      </c>
      <c r="G228" s="42"/>
      <c r="H228" s="42" t="s">
        <v>355</v>
      </c>
      <c r="I228" s="41" t="s">
        <v>1847</v>
      </c>
      <c r="J228" s="41"/>
      <c r="K228" s="43" t="s">
        <v>707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01"/>
        <v>0</v>
      </c>
      <c r="T228" s="1">
        <f t="shared" si="102"/>
        <v>0</v>
      </c>
      <c r="U228" s="1">
        <f t="shared" si="103"/>
        <v>0</v>
      </c>
      <c r="V228" s="1">
        <f t="shared" si="104"/>
        <v>0</v>
      </c>
      <c r="W228" s="1">
        <f t="shared" si="105"/>
        <v>0</v>
      </c>
      <c r="X228" s="1">
        <f t="shared" si="106"/>
        <v>0</v>
      </c>
      <c r="Y228" s="1">
        <f t="shared" si="107"/>
        <v>0</v>
      </c>
      <c r="Z228" s="1">
        <f t="shared" si="108"/>
        <v>0</v>
      </c>
      <c r="AA228" s="1">
        <f t="shared" si="109"/>
        <v>0</v>
      </c>
      <c r="AB228" s="1">
        <f t="shared" si="110"/>
        <v>0</v>
      </c>
      <c r="AC228" s="1"/>
      <c r="AD228" s="1">
        <f t="shared" si="111"/>
        <v>0</v>
      </c>
      <c r="AE228" s="1">
        <f t="shared" si="112"/>
        <v>0</v>
      </c>
      <c r="AF228" s="1">
        <f t="shared" si="97"/>
        <v>0</v>
      </c>
      <c r="AG228" s="1">
        <f t="shared" si="98"/>
        <v>0</v>
      </c>
      <c r="AH228" s="1">
        <f t="shared" si="99"/>
        <v>1</v>
      </c>
      <c r="AI228" s="1">
        <f t="shared" si="100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1487</v>
      </c>
      <c r="E229" s="48" t="s">
        <v>168</v>
      </c>
      <c r="F229" s="48" t="s">
        <v>1489</v>
      </c>
      <c r="G229" s="48" t="s">
        <v>1490</v>
      </c>
      <c r="H229" s="48" t="s">
        <v>355</v>
      </c>
      <c r="I229" s="47" t="s">
        <v>1488</v>
      </c>
      <c r="J229" s="47">
        <v>99</v>
      </c>
      <c r="K229" s="49" t="s">
        <v>707</v>
      </c>
      <c r="L229" s="49">
        <v>62</v>
      </c>
      <c r="M229" s="50"/>
      <c r="N229" s="50" t="s">
        <v>1741</v>
      </c>
      <c r="O229" s="51"/>
      <c r="P229" s="51"/>
      <c r="Q229" s="48"/>
      <c r="R229" s="1"/>
      <c r="S229" s="1">
        <f t="shared" si="101"/>
        <v>0</v>
      </c>
      <c r="T229" s="1">
        <f t="shared" si="102"/>
        <v>0</v>
      </c>
      <c r="U229" s="1">
        <f t="shared" si="103"/>
        <v>0</v>
      </c>
      <c r="V229" s="1">
        <f t="shared" si="104"/>
        <v>0</v>
      </c>
      <c r="W229" s="1">
        <f t="shared" si="105"/>
        <v>0</v>
      </c>
      <c r="X229" s="1">
        <f t="shared" si="106"/>
        <v>0</v>
      </c>
      <c r="Y229" s="1">
        <f t="shared" si="107"/>
        <v>0</v>
      </c>
      <c r="Z229" s="1">
        <f t="shared" si="108"/>
        <v>0</v>
      </c>
      <c r="AA229" s="1">
        <f t="shared" si="109"/>
        <v>0</v>
      </c>
      <c r="AB229" s="1">
        <f t="shared" si="110"/>
        <v>0</v>
      </c>
      <c r="AC229" s="1"/>
      <c r="AD229" s="1">
        <f t="shared" si="111"/>
        <v>0</v>
      </c>
      <c r="AE229" s="1">
        <f t="shared" si="112"/>
        <v>0</v>
      </c>
      <c r="AF229" s="1">
        <f t="shared" si="97"/>
        <v>0</v>
      </c>
      <c r="AG229" s="1">
        <f t="shared" si="98"/>
        <v>0</v>
      </c>
      <c r="AH229" s="1">
        <f t="shared" si="99"/>
        <v>0</v>
      </c>
      <c r="AI229" s="1">
        <f t="shared" si="100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1203</v>
      </c>
      <c r="E230" s="35" t="s">
        <v>166</v>
      </c>
      <c r="F230" s="35" t="s">
        <v>1677</v>
      </c>
      <c r="G230" s="35" t="s">
        <v>214</v>
      </c>
      <c r="H230" s="35" t="s">
        <v>355</v>
      </c>
      <c r="I230" s="34" t="s">
        <v>1204</v>
      </c>
      <c r="J230" s="34">
        <v>1</v>
      </c>
      <c r="K230" s="36" t="s">
        <v>966</v>
      </c>
      <c r="L230" s="36" t="s">
        <v>690</v>
      </c>
      <c r="M230" s="37" t="s">
        <v>1579</v>
      </c>
      <c r="N230" s="37" t="s">
        <v>1762</v>
      </c>
      <c r="O230" s="38">
        <v>1</v>
      </c>
      <c r="P230" s="38"/>
      <c r="Q230" s="35"/>
      <c r="R230" s="1"/>
      <c r="S230" s="1">
        <f t="shared" si="101"/>
        <v>1</v>
      </c>
      <c r="T230" s="1">
        <f t="shared" si="102"/>
        <v>0</v>
      </c>
      <c r="U230" s="1">
        <f t="shared" si="103"/>
        <v>0</v>
      </c>
      <c r="V230" s="1">
        <f t="shared" si="104"/>
        <v>0</v>
      </c>
      <c r="W230" s="1">
        <f t="shared" si="105"/>
        <v>0</v>
      </c>
      <c r="X230" s="1">
        <f t="shared" si="106"/>
        <v>0</v>
      </c>
      <c r="Y230" s="1">
        <f t="shared" si="107"/>
        <v>0</v>
      </c>
      <c r="Z230" s="1">
        <f t="shared" si="108"/>
        <v>0</v>
      </c>
      <c r="AA230" s="1">
        <f t="shared" si="109"/>
        <v>0</v>
      </c>
      <c r="AB230" s="1">
        <f t="shared" si="110"/>
        <v>0</v>
      </c>
      <c r="AC230" s="1"/>
      <c r="AD230" s="1">
        <f t="shared" si="111"/>
        <v>0</v>
      </c>
      <c r="AE230" s="1">
        <f t="shared" si="112"/>
        <v>1</v>
      </c>
      <c r="AF230" s="1">
        <f t="shared" si="97"/>
        <v>0</v>
      </c>
      <c r="AG230" s="1">
        <f t="shared" si="98"/>
        <v>1</v>
      </c>
      <c r="AH230" s="1">
        <f t="shared" si="99"/>
        <v>0</v>
      </c>
      <c r="AI230" s="1">
        <f t="shared" si="100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168</v>
      </c>
      <c r="F231" s="35" t="s">
        <v>297</v>
      </c>
      <c r="G231" s="35" t="s">
        <v>286</v>
      </c>
      <c r="H231" s="35" t="s">
        <v>355</v>
      </c>
      <c r="I231" s="34" t="s">
        <v>1122</v>
      </c>
      <c r="J231" s="34">
        <v>10</v>
      </c>
      <c r="K231" s="36" t="s">
        <v>960</v>
      </c>
      <c r="L231" s="36" t="s">
        <v>698</v>
      </c>
      <c r="M231" s="37" t="s">
        <v>709</v>
      </c>
      <c r="N231" s="37" t="s">
        <v>1756</v>
      </c>
      <c r="O231" s="38">
        <v>1</v>
      </c>
      <c r="P231" s="38"/>
      <c r="Q231" s="35"/>
      <c r="R231" s="1"/>
      <c r="S231" s="1">
        <f t="shared" si="101"/>
        <v>0</v>
      </c>
      <c r="T231" s="1">
        <f t="shared" si="102"/>
        <v>0</v>
      </c>
      <c r="U231" s="1">
        <f t="shared" si="103"/>
        <v>0</v>
      </c>
      <c r="V231" s="1">
        <f t="shared" si="104"/>
        <v>0</v>
      </c>
      <c r="W231" s="1">
        <f t="shared" si="105"/>
        <v>0</v>
      </c>
      <c r="X231" s="1">
        <f t="shared" si="106"/>
        <v>0</v>
      </c>
      <c r="Y231" s="1">
        <f t="shared" si="107"/>
        <v>0</v>
      </c>
      <c r="Z231" s="1">
        <f t="shared" si="108"/>
        <v>0</v>
      </c>
      <c r="AA231" s="1">
        <f t="shared" si="109"/>
        <v>0</v>
      </c>
      <c r="AB231" s="1">
        <f t="shared" si="110"/>
        <v>1</v>
      </c>
      <c r="AC231" s="1"/>
      <c r="AD231" s="1">
        <f t="shared" si="111"/>
        <v>0</v>
      </c>
      <c r="AE231" s="1">
        <f t="shared" si="112"/>
        <v>1</v>
      </c>
      <c r="AF231" s="1">
        <f t="shared" si="97"/>
        <v>0</v>
      </c>
      <c r="AG231" s="1">
        <f t="shared" si="98"/>
        <v>1</v>
      </c>
      <c r="AH231" s="1">
        <f t="shared" si="99"/>
        <v>0</v>
      </c>
      <c r="AI231" s="1">
        <f t="shared" si="100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605</v>
      </c>
      <c r="E232" s="35" t="s">
        <v>166</v>
      </c>
      <c r="F232" s="35" t="s">
        <v>607</v>
      </c>
      <c r="G232" s="35" t="s">
        <v>39</v>
      </c>
      <c r="H232" s="35" t="s">
        <v>355</v>
      </c>
      <c r="I232" s="34" t="s">
        <v>606</v>
      </c>
      <c r="J232" s="34">
        <v>99</v>
      </c>
      <c r="K232" s="36" t="s">
        <v>960</v>
      </c>
      <c r="L232" s="36" t="s">
        <v>697</v>
      </c>
      <c r="M232" s="37" t="s">
        <v>974</v>
      </c>
      <c r="N232" s="37" t="s">
        <v>1756</v>
      </c>
      <c r="O232" s="38">
        <v>1</v>
      </c>
      <c r="P232" s="38"/>
      <c r="Q232" s="35"/>
      <c r="R232" s="1"/>
      <c r="S232" s="1">
        <f t="shared" si="101"/>
        <v>0</v>
      </c>
      <c r="T232" s="1">
        <f t="shared" si="102"/>
        <v>0</v>
      </c>
      <c r="U232" s="1">
        <f t="shared" si="103"/>
        <v>0</v>
      </c>
      <c r="V232" s="1">
        <f t="shared" si="104"/>
        <v>0</v>
      </c>
      <c r="W232" s="1">
        <f t="shared" si="105"/>
        <v>0</v>
      </c>
      <c r="X232" s="1">
        <f t="shared" si="106"/>
        <v>0</v>
      </c>
      <c r="Y232" s="1">
        <f t="shared" si="107"/>
        <v>0</v>
      </c>
      <c r="Z232" s="1">
        <f t="shared" si="108"/>
        <v>0</v>
      </c>
      <c r="AA232" s="1">
        <f t="shared" si="109"/>
        <v>0</v>
      </c>
      <c r="AB232" s="1">
        <f t="shared" si="110"/>
        <v>0</v>
      </c>
      <c r="AC232" s="1"/>
      <c r="AD232" s="1">
        <f t="shared" si="111"/>
        <v>0</v>
      </c>
      <c r="AE232" s="1">
        <f t="shared" si="112"/>
        <v>1</v>
      </c>
      <c r="AF232" s="1">
        <f t="shared" si="97"/>
        <v>0</v>
      </c>
      <c r="AG232" s="1">
        <f t="shared" si="98"/>
        <v>1</v>
      </c>
      <c r="AH232" s="1">
        <f t="shared" si="99"/>
        <v>0</v>
      </c>
      <c r="AI232" s="1">
        <f t="shared" si="100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1168</v>
      </c>
      <c r="E233" s="35" t="s">
        <v>166</v>
      </c>
      <c r="F233" s="35" t="s">
        <v>1170</v>
      </c>
      <c r="G233" s="35" t="s">
        <v>221</v>
      </c>
      <c r="H233" s="35" t="s">
        <v>355</v>
      </c>
      <c r="I233" s="34" t="s">
        <v>1169</v>
      </c>
      <c r="J233" s="34">
        <v>8</v>
      </c>
      <c r="K233" s="36" t="s">
        <v>706</v>
      </c>
      <c r="L233" s="36" t="s">
        <v>1720</v>
      </c>
      <c r="M233" s="37" t="s">
        <v>1410</v>
      </c>
      <c r="N233" s="37" t="s">
        <v>1755</v>
      </c>
      <c r="O233" s="38">
        <v>1</v>
      </c>
      <c r="P233" s="38"/>
      <c r="Q233" s="35"/>
      <c r="R233" s="1"/>
      <c r="S233" s="1">
        <f t="shared" si="101"/>
        <v>0</v>
      </c>
      <c r="T233" s="1">
        <f t="shared" si="102"/>
        <v>0</v>
      </c>
      <c r="U233" s="1">
        <f t="shared" si="103"/>
        <v>0</v>
      </c>
      <c r="V233" s="1">
        <f t="shared" si="104"/>
        <v>0</v>
      </c>
      <c r="W233" s="1">
        <f t="shared" si="105"/>
        <v>0</v>
      </c>
      <c r="X233" s="1">
        <f t="shared" si="106"/>
        <v>0</v>
      </c>
      <c r="Y233" s="1">
        <f t="shared" si="107"/>
        <v>0</v>
      </c>
      <c r="Z233" s="1">
        <f t="shared" si="108"/>
        <v>1</v>
      </c>
      <c r="AA233" s="1">
        <f t="shared" si="109"/>
        <v>0</v>
      </c>
      <c r="AB233" s="1">
        <f t="shared" si="110"/>
        <v>0</v>
      </c>
      <c r="AC233" s="1"/>
      <c r="AD233" s="1">
        <f t="shared" si="111"/>
        <v>0</v>
      </c>
      <c r="AE233" s="1">
        <f t="shared" si="112"/>
        <v>1</v>
      </c>
      <c r="AF233" s="1">
        <f t="shared" si="97"/>
        <v>0</v>
      </c>
      <c r="AG233" s="1">
        <f t="shared" si="98"/>
        <v>1</v>
      </c>
      <c r="AH233" s="1">
        <f t="shared" si="99"/>
        <v>0</v>
      </c>
      <c r="AI233" s="1">
        <f t="shared" si="100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566</v>
      </c>
      <c r="E234" s="35" t="s">
        <v>168</v>
      </c>
      <c r="F234" s="35" t="s">
        <v>664</v>
      </c>
      <c r="G234" s="35" t="s">
        <v>203</v>
      </c>
      <c r="H234" s="35" t="s">
        <v>355</v>
      </c>
      <c r="I234" s="34" t="s">
        <v>585</v>
      </c>
      <c r="J234" s="34">
        <v>10</v>
      </c>
      <c r="K234" s="36" t="s">
        <v>966</v>
      </c>
      <c r="L234" s="36" t="s">
        <v>697</v>
      </c>
      <c r="M234" s="37" t="s">
        <v>709</v>
      </c>
      <c r="N234" s="37" t="s">
        <v>1755</v>
      </c>
      <c r="O234" s="38">
        <v>1</v>
      </c>
      <c r="P234" s="38"/>
      <c r="Q234" s="39"/>
      <c r="R234" s="1"/>
      <c r="S234" s="1">
        <f t="shared" si="101"/>
        <v>0</v>
      </c>
      <c r="T234" s="1">
        <f t="shared" si="102"/>
        <v>0</v>
      </c>
      <c r="U234" s="1">
        <f t="shared" si="103"/>
        <v>0</v>
      </c>
      <c r="V234" s="1">
        <f t="shared" si="104"/>
        <v>0</v>
      </c>
      <c r="W234" s="1">
        <f t="shared" si="105"/>
        <v>0</v>
      </c>
      <c r="X234" s="1">
        <f t="shared" si="106"/>
        <v>0</v>
      </c>
      <c r="Y234" s="1">
        <f t="shared" si="107"/>
        <v>0</v>
      </c>
      <c r="Z234" s="1">
        <f t="shared" si="108"/>
        <v>0</v>
      </c>
      <c r="AA234" s="1">
        <f t="shared" si="109"/>
        <v>0</v>
      </c>
      <c r="AB234" s="1">
        <f t="shared" si="110"/>
        <v>1</v>
      </c>
      <c r="AC234" s="1"/>
      <c r="AD234" s="1">
        <f t="shared" si="111"/>
        <v>0</v>
      </c>
      <c r="AE234" s="1">
        <f t="shared" si="112"/>
        <v>1</v>
      </c>
      <c r="AF234" s="1">
        <f t="shared" si="97"/>
        <v>0</v>
      </c>
      <c r="AG234" s="1">
        <f t="shared" si="98"/>
        <v>1</v>
      </c>
      <c r="AH234" s="1">
        <f t="shared" si="99"/>
        <v>0</v>
      </c>
      <c r="AI234" s="1">
        <f t="shared" si="100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901</v>
      </c>
      <c r="E235" s="48" t="s">
        <v>168</v>
      </c>
      <c r="F235" s="48" t="s">
        <v>942</v>
      </c>
      <c r="G235" s="48" t="s">
        <v>943</v>
      </c>
      <c r="H235" s="48" t="s">
        <v>355</v>
      </c>
      <c r="I235" s="47" t="s">
        <v>957</v>
      </c>
      <c r="J235" s="47">
        <v>99</v>
      </c>
      <c r="K235" s="49" t="s">
        <v>706</v>
      </c>
      <c r="L235" s="49" t="s">
        <v>693</v>
      </c>
      <c r="M235" s="50" t="s">
        <v>1411</v>
      </c>
      <c r="N235" s="50" t="s">
        <v>1745</v>
      </c>
      <c r="O235" s="51"/>
      <c r="P235" s="51"/>
      <c r="Q235" s="48"/>
      <c r="R235" s="1"/>
      <c r="S235" s="1">
        <f t="shared" si="101"/>
        <v>0</v>
      </c>
      <c r="T235" s="1">
        <f t="shared" si="102"/>
        <v>0</v>
      </c>
      <c r="U235" s="1">
        <f t="shared" si="103"/>
        <v>0</v>
      </c>
      <c r="V235" s="1">
        <f t="shared" si="104"/>
        <v>0</v>
      </c>
      <c r="W235" s="1">
        <f t="shared" si="105"/>
        <v>0</v>
      </c>
      <c r="X235" s="1">
        <f t="shared" si="106"/>
        <v>0</v>
      </c>
      <c r="Y235" s="1">
        <f t="shared" si="107"/>
        <v>0</v>
      </c>
      <c r="Z235" s="1">
        <f t="shared" si="108"/>
        <v>0</v>
      </c>
      <c r="AA235" s="1">
        <f t="shared" si="109"/>
        <v>0</v>
      </c>
      <c r="AB235" s="1">
        <f t="shared" si="110"/>
        <v>0</v>
      </c>
      <c r="AC235" s="1"/>
      <c r="AD235" s="1">
        <f t="shared" si="111"/>
        <v>0</v>
      </c>
      <c r="AE235" s="1">
        <f t="shared" si="112"/>
        <v>0</v>
      </c>
      <c r="AF235" s="1">
        <f t="shared" si="97"/>
        <v>0</v>
      </c>
      <c r="AG235" s="1">
        <f t="shared" si="98"/>
        <v>0</v>
      </c>
      <c r="AH235" s="1">
        <f t="shared" si="99"/>
        <v>0</v>
      </c>
      <c r="AI235" s="1">
        <f t="shared" si="100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168</v>
      </c>
      <c r="F236" s="35" t="s">
        <v>665</v>
      </c>
      <c r="G236" s="35" t="s">
        <v>667</v>
      </c>
      <c r="H236" s="35" t="s">
        <v>355</v>
      </c>
      <c r="I236" s="34" t="s">
        <v>448</v>
      </c>
      <c r="J236" s="34">
        <v>99</v>
      </c>
      <c r="K236" s="36" t="s">
        <v>726</v>
      </c>
      <c r="L236" s="36" t="s">
        <v>700</v>
      </c>
      <c r="M236" s="37" t="s">
        <v>711</v>
      </c>
      <c r="N236" s="37" t="s">
        <v>1756</v>
      </c>
      <c r="O236" s="38">
        <v>1</v>
      </c>
      <c r="P236" s="38"/>
      <c r="Q236" s="35"/>
      <c r="R236" s="1"/>
      <c r="S236" s="1">
        <f t="shared" si="101"/>
        <v>0</v>
      </c>
      <c r="T236" s="1">
        <f t="shared" si="102"/>
        <v>0</v>
      </c>
      <c r="U236" s="1">
        <f t="shared" si="103"/>
        <v>0</v>
      </c>
      <c r="V236" s="1">
        <f t="shared" si="104"/>
        <v>0</v>
      </c>
      <c r="W236" s="1">
        <f t="shared" si="105"/>
        <v>0</v>
      </c>
      <c r="X236" s="1">
        <f t="shared" si="106"/>
        <v>0</v>
      </c>
      <c r="Y236" s="1">
        <f t="shared" si="107"/>
        <v>0</v>
      </c>
      <c r="Z236" s="1">
        <f t="shared" si="108"/>
        <v>0</v>
      </c>
      <c r="AA236" s="1">
        <f t="shared" si="109"/>
        <v>0</v>
      </c>
      <c r="AB236" s="1">
        <f t="shared" si="110"/>
        <v>0</v>
      </c>
      <c r="AC236" s="1"/>
      <c r="AD236" s="1">
        <f t="shared" si="111"/>
        <v>0</v>
      </c>
      <c r="AE236" s="1">
        <f t="shared" si="112"/>
        <v>1</v>
      </c>
      <c r="AF236" s="1">
        <f t="shared" si="97"/>
        <v>0</v>
      </c>
      <c r="AG236" s="1">
        <f t="shared" si="98"/>
        <v>1</v>
      </c>
      <c r="AH236" s="1">
        <f t="shared" si="99"/>
        <v>0</v>
      </c>
      <c r="AI236" s="1">
        <f t="shared" si="100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666</v>
      </c>
      <c r="G237" s="42" t="s">
        <v>667</v>
      </c>
      <c r="H237" s="42" t="s">
        <v>355</v>
      </c>
      <c r="I237" s="41" t="s">
        <v>633</v>
      </c>
      <c r="J237" s="41">
        <v>99</v>
      </c>
      <c r="K237" s="43" t="s">
        <v>958</v>
      </c>
      <c r="L237" s="43" t="s">
        <v>697</v>
      </c>
      <c r="M237" s="44" t="s">
        <v>1412</v>
      </c>
      <c r="N237" s="45"/>
      <c r="O237" s="46"/>
      <c r="P237" s="46">
        <v>1</v>
      </c>
      <c r="Q237" s="42"/>
      <c r="R237" s="1"/>
      <c r="S237" s="1">
        <f t="shared" si="101"/>
        <v>0</v>
      </c>
      <c r="T237" s="1">
        <f t="shared" si="102"/>
        <v>0</v>
      </c>
      <c r="U237" s="1">
        <f t="shared" si="103"/>
        <v>0</v>
      </c>
      <c r="V237" s="1">
        <f t="shared" si="104"/>
        <v>0</v>
      </c>
      <c r="W237" s="1">
        <f t="shared" si="105"/>
        <v>0</v>
      </c>
      <c r="X237" s="1">
        <f t="shared" si="106"/>
        <v>0</v>
      </c>
      <c r="Y237" s="1">
        <f t="shared" si="107"/>
        <v>0</v>
      </c>
      <c r="Z237" s="1">
        <f t="shared" si="108"/>
        <v>0</v>
      </c>
      <c r="AA237" s="1">
        <f t="shared" si="109"/>
        <v>0</v>
      </c>
      <c r="AB237" s="1">
        <f t="shared" si="110"/>
        <v>0</v>
      </c>
      <c r="AC237" s="1"/>
      <c r="AD237" s="1">
        <f t="shared" si="111"/>
        <v>0</v>
      </c>
      <c r="AE237" s="1">
        <f t="shared" si="112"/>
        <v>0</v>
      </c>
      <c r="AF237" s="1">
        <f t="shared" si="97"/>
        <v>0</v>
      </c>
      <c r="AG237" s="1">
        <f t="shared" si="98"/>
        <v>0</v>
      </c>
      <c r="AH237" s="1">
        <f t="shared" si="99"/>
        <v>1</v>
      </c>
      <c r="AI237" s="1">
        <f t="shared" si="100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652</v>
      </c>
      <c r="E238" s="48" t="s">
        <v>29</v>
      </c>
      <c r="F238" s="48" t="s">
        <v>628</v>
      </c>
      <c r="G238" s="48" t="s">
        <v>233</v>
      </c>
      <c r="H238" s="48" t="s">
        <v>355</v>
      </c>
      <c r="I238" s="47" t="s">
        <v>629</v>
      </c>
      <c r="J238" s="47">
        <v>99</v>
      </c>
      <c r="K238" s="49" t="s">
        <v>717</v>
      </c>
      <c r="L238" s="49" t="s">
        <v>700</v>
      </c>
      <c r="M238" s="50" t="s">
        <v>977</v>
      </c>
      <c r="N238" s="50" t="s">
        <v>1816</v>
      </c>
      <c r="O238" s="51"/>
      <c r="P238" s="51"/>
      <c r="Q238" s="48"/>
      <c r="R238" s="1"/>
      <c r="S238" s="1">
        <f t="shared" si="101"/>
        <v>0</v>
      </c>
      <c r="T238" s="1">
        <f t="shared" si="102"/>
        <v>0</v>
      </c>
      <c r="U238" s="1">
        <f t="shared" si="103"/>
        <v>0</v>
      </c>
      <c r="V238" s="1">
        <f t="shared" si="104"/>
        <v>0</v>
      </c>
      <c r="W238" s="1">
        <f t="shared" si="105"/>
        <v>0</v>
      </c>
      <c r="X238" s="1">
        <f t="shared" si="106"/>
        <v>0</v>
      </c>
      <c r="Y238" s="1">
        <f t="shared" si="107"/>
        <v>0</v>
      </c>
      <c r="Z238" s="1">
        <f t="shared" si="108"/>
        <v>0</v>
      </c>
      <c r="AA238" s="1">
        <f t="shared" si="109"/>
        <v>0</v>
      </c>
      <c r="AB238" s="1">
        <f t="shared" si="110"/>
        <v>0</v>
      </c>
      <c r="AC238" s="1"/>
      <c r="AD238" s="1">
        <f t="shared" si="111"/>
        <v>0</v>
      </c>
      <c r="AE238" s="1">
        <f t="shared" si="112"/>
        <v>0</v>
      </c>
      <c r="AF238" s="1">
        <f t="shared" si="97"/>
        <v>0</v>
      </c>
      <c r="AG238" s="1">
        <f t="shared" si="98"/>
        <v>0</v>
      </c>
      <c r="AH238" s="1">
        <f t="shared" si="99"/>
        <v>0</v>
      </c>
      <c r="AI238" s="1">
        <f t="shared" si="100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987</v>
      </c>
      <c r="E239" s="16" t="s">
        <v>29</v>
      </c>
      <c r="F239" s="16" t="s">
        <v>988</v>
      </c>
      <c r="G239" s="16" t="s">
        <v>989</v>
      </c>
      <c r="H239" s="16" t="s">
        <v>355</v>
      </c>
      <c r="I239" s="15" t="s">
        <v>986</v>
      </c>
      <c r="J239" s="15">
        <v>99</v>
      </c>
      <c r="K239" s="10" t="s">
        <v>707</v>
      </c>
      <c r="L239" s="10">
        <v>20</v>
      </c>
      <c r="M239" s="19" t="s">
        <v>977</v>
      </c>
      <c r="N239" s="19"/>
      <c r="O239" s="1"/>
      <c r="P239" s="1"/>
      <c r="Q239" s="16"/>
      <c r="R239" s="1"/>
      <c r="S239" s="1">
        <f t="shared" si="101"/>
        <v>0</v>
      </c>
      <c r="T239" s="1">
        <f t="shared" si="102"/>
        <v>0</v>
      </c>
      <c r="U239" s="1">
        <f t="shared" si="103"/>
        <v>0</v>
      </c>
      <c r="V239" s="1">
        <f t="shared" si="104"/>
        <v>0</v>
      </c>
      <c r="W239" s="1">
        <f t="shared" si="105"/>
        <v>0</v>
      </c>
      <c r="X239" s="1">
        <f t="shared" si="106"/>
        <v>0</v>
      </c>
      <c r="Y239" s="1">
        <f t="shared" si="107"/>
        <v>0</v>
      </c>
      <c r="Z239" s="1">
        <f t="shared" si="108"/>
        <v>0</v>
      </c>
      <c r="AA239" s="1">
        <f t="shared" si="109"/>
        <v>0</v>
      </c>
      <c r="AB239" s="1">
        <f t="shared" si="110"/>
        <v>0</v>
      </c>
      <c r="AC239" s="1"/>
      <c r="AD239" s="1">
        <f t="shared" si="111"/>
        <v>0</v>
      </c>
      <c r="AE239" s="1">
        <f t="shared" si="112"/>
        <v>0</v>
      </c>
      <c r="AF239" s="1">
        <f t="shared" si="97"/>
        <v>0</v>
      </c>
      <c r="AG239" s="1">
        <f t="shared" si="98"/>
        <v>0</v>
      </c>
      <c r="AH239" s="1">
        <f t="shared" si="99"/>
        <v>0</v>
      </c>
      <c r="AI239" s="1">
        <f t="shared" si="100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593</v>
      </c>
      <c r="E240" s="42" t="s">
        <v>29</v>
      </c>
      <c r="F240" s="42" t="s">
        <v>594</v>
      </c>
      <c r="G240" s="42" t="s">
        <v>1077</v>
      </c>
      <c r="H240" s="42" t="s">
        <v>355</v>
      </c>
      <c r="I240" s="41" t="s">
        <v>595</v>
      </c>
      <c r="J240" s="41">
        <v>99</v>
      </c>
      <c r="K240" s="43" t="s">
        <v>707</v>
      </c>
      <c r="L240" s="43">
        <v>35</v>
      </c>
      <c r="M240" s="44" t="s">
        <v>1412</v>
      </c>
      <c r="N240" s="44"/>
      <c r="O240" s="46"/>
      <c r="P240" s="46">
        <v>1</v>
      </c>
      <c r="Q240" s="42"/>
      <c r="R240" s="1"/>
      <c r="S240" s="1">
        <f t="shared" si="101"/>
        <v>0</v>
      </c>
      <c r="T240" s="1">
        <f t="shared" si="102"/>
        <v>0</v>
      </c>
      <c r="U240" s="1">
        <f t="shared" si="103"/>
        <v>0</v>
      </c>
      <c r="V240" s="1">
        <f t="shared" si="104"/>
        <v>0</v>
      </c>
      <c r="W240" s="1">
        <f t="shared" si="105"/>
        <v>0</v>
      </c>
      <c r="X240" s="1">
        <f t="shared" si="106"/>
        <v>0</v>
      </c>
      <c r="Y240" s="1">
        <f t="shared" si="107"/>
        <v>0</v>
      </c>
      <c r="Z240" s="1">
        <f t="shared" si="108"/>
        <v>0</v>
      </c>
      <c r="AA240" s="1">
        <f t="shared" si="109"/>
        <v>0</v>
      </c>
      <c r="AB240" s="1">
        <f t="shared" si="110"/>
        <v>0</v>
      </c>
      <c r="AC240" s="1"/>
      <c r="AD240" s="1">
        <f t="shared" si="111"/>
        <v>0</v>
      </c>
      <c r="AE240" s="1">
        <f t="shared" si="112"/>
        <v>0</v>
      </c>
      <c r="AF240" s="1">
        <f t="shared" si="97"/>
        <v>0</v>
      </c>
      <c r="AG240" s="1">
        <f t="shared" si="98"/>
        <v>0</v>
      </c>
      <c r="AH240" s="1">
        <f t="shared" si="99"/>
        <v>1</v>
      </c>
      <c r="AI240" s="1">
        <f t="shared" si="100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1634</v>
      </c>
      <c r="E241" s="42" t="s">
        <v>29</v>
      </c>
      <c r="F241" s="42" t="s">
        <v>1689</v>
      </c>
      <c r="G241" s="42" t="s">
        <v>313</v>
      </c>
      <c r="H241" s="42" t="s">
        <v>355</v>
      </c>
      <c r="I241" s="41" t="s">
        <v>1635</v>
      </c>
      <c r="J241" s="41"/>
      <c r="K241" s="43" t="s">
        <v>717</v>
      </c>
      <c r="L241" s="43">
        <v>45</v>
      </c>
      <c r="M241" s="44" t="s">
        <v>1807</v>
      </c>
      <c r="N241" s="45"/>
      <c r="O241" s="46"/>
      <c r="P241" s="46">
        <v>1</v>
      </c>
      <c r="Q241" s="42"/>
      <c r="S241" s="1">
        <f t="shared" si="101"/>
        <v>0</v>
      </c>
      <c r="T241" s="1">
        <f t="shared" si="102"/>
        <v>0</v>
      </c>
      <c r="U241" s="1">
        <f t="shared" si="103"/>
        <v>0</v>
      </c>
      <c r="V241" s="1">
        <f t="shared" si="104"/>
        <v>0</v>
      </c>
      <c r="W241" s="1">
        <f t="shared" si="105"/>
        <v>0</v>
      </c>
      <c r="X241" s="1">
        <f t="shared" si="106"/>
        <v>0</v>
      </c>
      <c r="Y241" s="1">
        <f t="shared" si="107"/>
        <v>0</v>
      </c>
      <c r="Z241" s="1">
        <f t="shared" si="108"/>
        <v>0</v>
      </c>
      <c r="AA241" s="1">
        <f t="shared" si="109"/>
        <v>0</v>
      </c>
      <c r="AB241" s="1">
        <f t="shared" si="110"/>
        <v>0</v>
      </c>
      <c r="AD241" s="1">
        <f t="shared" si="111"/>
        <v>0</v>
      </c>
      <c r="AE241" s="1">
        <f t="shared" si="112"/>
        <v>0</v>
      </c>
      <c r="AF241" s="1">
        <f t="shared" si="97"/>
        <v>0</v>
      </c>
      <c r="AG241" s="1">
        <f t="shared" si="98"/>
        <v>0</v>
      </c>
      <c r="AH241" s="1">
        <f t="shared" si="99"/>
        <v>1</v>
      </c>
      <c r="AI241" s="1">
        <f t="shared" si="100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863</v>
      </c>
      <c r="E242" s="35" t="s">
        <v>29</v>
      </c>
      <c r="F242" s="35" t="s">
        <v>864</v>
      </c>
      <c r="G242" s="35" t="s">
        <v>203</v>
      </c>
      <c r="H242" s="35" t="s">
        <v>355</v>
      </c>
      <c r="I242" s="34" t="s">
        <v>865</v>
      </c>
      <c r="J242" s="34">
        <v>10</v>
      </c>
      <c r="K242" s="36" t="s">
        <v>717</v>
      </c>
      <c r="L242" s="36" t="s">
        <v>697</v>
      </c>
      <c r="M242" s="37" t="s">
        <v>1412</v>
      </c>
      <c r="N242" s="37" t="s">
        <v>1762</v>
      </c>
      <c r="O242" s="38">
        <v>1</v>
      </c>
      <c r="P242" s="38"/>
      <c r="Q242" s="35"/>
      <c r="S242" s="1">
        <f t="shared" si="101"/>
        <v>0</v>
      </c>
      <c r="T242" s="1">
        <f t="shared" si="102"/>
        <v>0</v>
      </c>
      <c r="U242" s="1">
        <f t="shared" si="103"/>
        <v>0</v>
      </c>
      <c r="V242" s="1">
        <f t="shared" si="104"/>
        <v>0</v>
      </c>
      <c r="W242" s="1">
        <f t="shared" si="105"/>
        <v>0</v>
      </c>
      <c r="X242" s="1">
        <f t="shared" si="106"/>
        <v>0</v>
      </c>
      <c r="Y242" s="1">
        <f t="shared" si="107"/>
        <v>0</v>
      </c>
      <c r="Z242" s="1">
        <f t="shared" si="108"/>
        <v>0</v>
      </c>
      <c r="AA242" s="1">
        <f t="shared" si="109"/>
        <v>0</v>
      </c>
      <c r="AB242" s="1">
        <f t="shared" si="110"/>
        <v>1</v>
      </c>
      <c r="AD242" s="1">
        <f t="shared" si="111"/>
        <v>0</v>
      </c>
      <c r="AE242" s="1">
        <f t="shared" si="112"/>
        <v>1</v>
      </c>
      <c r="AF242" s="1">
        <f t="shared" si="97"/>
        <v>0</v>
      </c>
      <c r="AG242" s="1">
        <f t="shared" si="98"/>
        <v>1</v>
      </c>
      <c r="AH242" s="1">
        <f t="shared" si="99"/>
        <v>0</v>
      </c>
      <c r="AI242" s="1">
        <f t="shared" si="100"/>
        <v>1</v>
      </c>
    </row>
    <row r="243" spans="1:35" ht="14.25" customHeight="1" x14ac:dyDescent="0.25">
      <c r="A243" s="41">
        <v>0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281</v>
      </c>
      <c r="G243" s="42" t="s">
        <v>231</v>
      </c>
      <c r="H243" s="42" t="s">
        <v>355</v>
      </c>
      <c r="I243" s="41" t="s">
        <v>436</v>
      </c>
      <c r="J243" s="41">
        <v>7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S243" s="1">
        <f t="shared" si="101"/>
        <v>0</v>
      </c>
      <c r="T243" s="1">
        <f t="shared" si="102"/>
        <v>0</v>
      </c>
      <c r="U243" s="1">
        <f t="shared" si="103"/>
        <v>0</v>
      </c>
      <c r="V243" s="1">
        <f t="shared" si="104"/>
        <v>0</v>
      </c>
      <c r="W243" s="1">
        <f t="shared" si="105"/>
        <v>0</v>
      </c>
      <c r="X243" s="1">
        <f t="shared" si="106"/>
        <v>0</v>
      </c>
      <c r="Y243" s="1">
        <f t="shared" si="107"/>
        <v>1</v>
      </c>
      <c r="Z243" s="1">
        <f t="shared" si="108"/>
        <v>0</v>
      </c>
      <c r="AA243" s="1">
        <f t="shared" si="109"/>
        <v>0</v>
      </c>
      <c r="AB243" s="1">
        <f t="shared" si="110"/>
        <v>0</v>
      </c>
      <c r="AD243" s="1">
        <f t="shared" si="111"/>
        <v>0</v>
      </c>
      <c r="AE243" s="1">
        <f t="shared" si="112"/>
        <v>0</v>
      </c>
      <c r="AF243" s="1">
        <f t="shared" si="97"/>
        <v>0</v>
      </c>
      <c r="AG243" s="1">
        <f t="shared" si="98"/>
        <v>0</v>
      </c>
      <c r="AH243" s="1">
        <f t="shared" si="99"/>
        <v>1</v>
      </c>
      <c r="AI243" s="1">
        <f t="shared" si="100"/>
        <v>0</v>
      </c>
    </row>
    <row r="244" spans="1:35" ht="14.25" customHeight="1" x14ac:dyDescent="0.25">
      <c r="A244" s="41">
        <v>1</v>
      </c>
      <c r="B244" s="41">
        <v>1</v>
      </c>
      <c r="C244" s="41">
        <v>7</v>
      </c>
      <c r="D244" s="42" t="s">
        <v>40</v>
      </c>
      <c r="E244" s="42" t="s">
        <v>29</v>
      </c>
      <c r="F244" s="42" t="s">
        <v>1608</v>
      </c>
      <c r="G244" s="42" t="s">
        <v>39</v>
      </c>
      <c r="H244" s="42" t="s">
        <v>355</v>
      </c>
      <c r="I244" s="41" t="s">
        <v>1609</v>
      </c>
      <c r="J244" s="41">
        <v>99</v>
      </c>
      <c r="K244" s="43" t="s">
        <v>717</v>
      </c>
      <c r="L244" s="43" t="s">
        <v>700</v>
      </c>
      <c r="M244" s="44" t="s">
        <v>977</v>
      </c>
      <c r="N244" s="45"/>
      <c r="O244" s="46"/>
      <c r="P244" s="46">
        <v>1</v>
      </c>
      <c r="Q244" s="42"/>
      <c r="S244" s="1">
        <f t="shared" si="101"/>
        <v>0</v>
      </c>
      <c r="T244" s="1">
        <f t="shared" si="102"/>
        <v>0</v>
      </c>
      <c r="U244" s="1">
        <f t="shared" si="103"/>
        <v>0</v>
      </c>
      <c r="V244" s="1">
        <f t="shared" si="104"/>
        <v>0</v>
      </c>
      <c r="W244" s="1">
        <f t="shared" si="105"/>
        <v>0</v>
      </c>
      <c r="X244" s="1">
        <f t="shared" si="106"/>
        <v>0</v>
      </c>
      <c r="Y244" s="1">
        <f t="shared" si="107"/>
        <v>0</v>
      </c>
      <c r="Z244" s="1">
        <f t="shared" si="108"/>
        <v>0</v>
      </c>
      <c r="AA244" s="1">
        <f t="shared" si="109"/>
        <v>0</v>
      </c>
      <c r="AB244" s="1">
        <f t="shared" si="110"/>
        <v>0</v>
      </c>
      <c r="AD244" s="1">
        <f t="shared" si="111"/>
        <v>0</v>
      </c>
      <c r="AE244" s="1">
        <f t="shared" si="112"/>
        <v>0</v>
      </c>
      <c r="AF244" s="1">
        <f t="shared" si="97"/>
        <v>0</v>
      </c>
      <c r="AG244" s="1">
        <f t="shared" si="98"/>
        <v>0</v>
      </c>
      <c r="AH244" s="1">
        <f t="shared" si="99"/>
        <v>0</v>
      </c>
      <c r="AI244" s="1">
        <f t="shared" si="100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1491</v>
      </c>
      <c r="E245" s="53" t="s">
        <v>29</v>
      </c>
      <c r="F245" s="58" t="s">
        <v>1008</v>
      </c>
      <c r="G245" s="58" t="s">
        <v>1106</v>
      </c>
      <c r="H245" s="58" t="s">
        <v>355</v>
      </c>
      <c r="I245" s="66" t="s">
        <v>1114</v>
      </c>
      <c r="J245" s="52">
        <v>10</v>
      </c>
      <c r="K245" s="54" t="s">
        <v>717</v>
      </c>
      <c r="L245" s="54" t="s">
        <v>698</v>
      </c>
      <c r="M245" s="55" t="s">
        <v>977</v>
      </c>
      <c r="N245" s="55" t="s">
        <v>1750</v>
      </c>
      <c r="O245" s="56">
        <v>1</v>
      </c>
      <c r="P245" s="56"/>
      <c r="Q245" s="58"/>
      <c r="S245" s="1">
        <f t="shared" si="101"/>
        <v>0</v>
      </c>
      <c r="T245" s="1">
        <f t="shared" si="102"/>
        <v>0</v>
      </c>
      <c r="U245" s="1">
        <f t="shared" si="103"/>
        <v>0</v>
      </c>
      <c r="V245" s="1">
        <f t="shared" si="104"/>
        <v>0</v>
      </c>
      <c r="W245" s="1">
        <f t="shared" si="105"/>
        <v>0</v>
      </c>
      <c r="X245" s="1">
        <f t="shared" si="106"/>
        <v>0</v>
      </c>
      <c r="Y245" s="1">
        <f t="shared" si="107"/>
        <v>0</v>
      </c>
      <c r="Z245" s="1">
        <f t="shared" si="108"/>
        <v>0</v>
      </c>
      <c r="AA245" s="1">
        <f t="shared" si="109"/>
        <v>0</v>
      </c>
      <c r="AB245" s="1">
        <f t="shared" si="110"/>
        <v>1</v>
      </c>
      <c r="AD245" s="1">
        <f t="shared" si="111"/>
        <v>0</v>
      </c>
      <c r="AE245" s="1">
        <f t="shared" si="112"/>
        <v>1</v>
      </c>
      <c r="AF245" s="1">
        <f t="shared" si="97"/>
        <v>0</v>
      </c>
      <c r="AG245" s="1">
        <f t="shared" si="98"/>
        <v>1</v>
      </c>
      <c r="AH245" s="1">
        <f t="shared" si="99"/>
        <v>0</v>
      </c>
      <c r="AI245" s="1">
        <f t="shared" si="100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1492</v>
      </c>
      <c r="E246" s="35" t="s">
        <v>29</v>
      </c>
      <c r="F246" s="39" t="s">
        <v>1006</v>
      </c>
      <c r="G246" s="39" t="s">
        <v>241</v>
      </c>
      <c r="H246" s="39" t="s">
        <v>355</v>
      </c>
      <c r="I246" s="40" t="s">
        <v>1007</v>
      </c>
      <c r="J246" s="34">
        <v>1</v>
      </c>
      <c r="K246" s="36" t="s">
        <v>965</v>
      </c>
      <c r="L246" s="36" t="s">
        <v>698</v>
      </c>
      <c r="M246" s="37" t="s">
        <v>977</v>
      </c>
      <c r="N246" s="37" t="s">
        <v>1808</v>
      </c>
      <c r="O246" s="38">
        <v>1</v>
      </c>
      <c r="P246" s="38"/>
      <c r="Q246" s="39"/>
      <c r="S246" s="1">
        <f t="shared" si="101"/>
        <v>1</v>
      </c>
      <c r="T246" s="1">
        <f t="shared" si="102"/>
        <v>0</v>
      </c>
      <c r="U246" s="1">
        <f t="shared" si="103"/>
        <v>0</v>
      </c>
      <c r="V246" s="1">
        <f t="shared" si="104"/>
        <v>0</v>
      </c>
      <c r="W246" s="1">
        <f t="shared" si="105"/>
        <v>0</v>
      </c>
      <c r="X246" s="1">
        <f t="shared" si="106"/>
        <v>0</v>
      </c>
      <c r="Y246" s="1">
        <f t="shared" si="107"/>
        <v>0</v>
      </c>
      <c r="Z246" s="1">
        <f t="shared" si="108"/>
        <v>0</v>
      </c>
      <c r="AA246" s="1">
        <f t="shared" si="109"/>
        <v>0</v>
      </c>
      <c r="AB246" s="1">
        <f t="shared" si="110"/>
        <v>0</v>
      </c>
      <c r="AD246" s="1">
        <f t="shared" si="111"/>
        <v>0</v>
      </c>
      <c r="AE246" s="1">
        <f t="shared" si="112"/>
        <v>1</v>
      </c>
      <c r="AF246" s="1">
        <f t="shared" si="97"/>
        <v>0</v>
      </c>
      <c r="AG246" s="1">
        <f t="shared" si="98"/>
        <v>1</v>
      </c>
      <c r="AH246" s="1">
        <f t="shared" si="99"/>
        <v>0</v>
      </c>
      <c r="AI246" s="1">
        <f t="shared" si="100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902</v>
      </c>
      <c r="E247" s="48" t="s">
        <v>29</v>
      </c>
      <c r="F247" s="48" t="s">
        <v>903</v>
      </c>
      <c r="G247" s="48" t="s">
        <v>39</v>
      </c>
      <c r="H247" s="48" t="s">
        <v>356</v>
      </c>
      <c r="I247" s="47" t="s">
        <v>904</v>
      </c>
      <c r="J247" s="47">
        <v>11</v>
      </c>
      <c r="K247" s="49" t="s">
        <v>707</v>
      </c>
      <c r="L247" s="49">
        <v>35</v>
      </c>
      <c r="M247" s="50" t="s">
        <v>1412</v>
      </c>
      <c r="N247" s="50" t="s">
        <v>1754</v>
      </c>
      <c r="O247" s="51"/>
      <c r="P247" s="51"/>
      <c r="Q247" s="68" t="s">
        <v>1910</v>
      </c>
      <c r="S247" s="1">
        <f t="shared" si="101"/>
        <v>0</v>
      </c>
      <c r="T247" s="1">
        <f t="shared" si="102"/>
        <v>0</v>
      </c>
      <c r="U247" s="1">
        <f t="shared" si="103"/>
        <v>0</v>
      </c>
      <c r="V247" s="1">
        <f t="shared" si="104"/>
        <v>0</v>
      </c>
      <c r="W247" s="1">
        <f t="shared" si="105"/>
        <v>0</v>
      </c>
      <c r="X247" s="1">
        <f t="shared" si="106"/>
        <v>0</v>
      </c>
      <c r="Y247" s="1">
        <f t="shared" si="107"/>
        <v>0</v>
      </c>
      <c r="Z247" s="1">
        <f t="shared" si="108"/>
        <v>0</v>
      </c>
      <c r="AA247" s="1">
        <f t="shared" si="109"/>
        <v>0</v>
      </c>
      <c r="AB247" s="1">
        <f t="shared" si="110"/>
        <v>0</v>
      </c>
      <c r="AD247" s="1">
        <f t="shared" si="111"/>
        <v>0</v>
      </c>
      <c r="AE247" s="1">
        <f t="shared" si="112"/>
        <v>0</v>
      </c>
      <c r="AF247" s="1">
        <f t="shared" si="97"/>
        <v>0</v>
      </c>
      <c r="AG247" s="1">
        <f t="shared" si="98"/>
        <v>0</v>
      </c>
      <c r="AH247" s="1">
        <f t="shared" si="99"/>
        <v>0</v>
      </c>
      <c r="AI247" s="1">
        <f t="shared" si="100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1088</v>
      </c>
      <c r="E248" s="35" t="s">
        <v>29</v>
      </c>
      <c r="F248" s="39" t="s">
        <v>990</v>
      </c>
      <c r="G248" s="39" t="s">
        <v>204</v>
      </c>
      <c r="H248" s="39" t="s">
        <v>355</v>
      </c>
      <c r="I248" s="40" t="s">
        <v>991</v>
      </c>
      <c r="J248" s="34">
        <v>99</v>
      </c>
      <c r="K248" s="36" t="s">
        <v>717</v>
      </c>
      <c r="L248" s="36" t="s">
        <v>698</v>
      </c>
      <c r="M248" s="37" t="s">
        <v>1449</v>
      </c>
      <c r="N248" s="37" t="s">
        <v>1734</v>
      </c>
      <c r="O248" s="38">
        <v>1</v>
      </c>
      <c r="P248" s="38">
        <v>1</v>
      </c>
      <c r="Q248" s="39"/>
      <c r="S248" s="1">
        <f t="shared" si="101"/>
        <v>0</v>
      </c>
      <c r="T248" s="1">
        <f t="shared" si="102"/>
        <v>0</v>
      </c>
      <c r="U248" s="1">
        <f t="shared" si="103"/>
        <v>0</v>
      </c>
      <c r="V248" s="1">
        <f t="shared" si="104"/>
        <v>0</v>
      </c>
      <c r="W248" s="1">
        <f t="shared" si="105"/>
        <v>0</v>
      </c>
      <c r="X248" s="1">
        <f t="shared" si="106"/>
        <v>0</v>
      </c>
      <c r="Y248" s="1">
        <f t="shared" si="107"/>
        <v>0</v>
      </c>
      <c r="Z248" s="1">
        <f t="shared" si="108"/>
        <v>0</v>
      </c>
      <c r="AA248" s="1">
        <f t="shared" si="109"/>
        <v>0</v>
      </c>
      <c r="AB248" s="1">
        <f t="shared" si="110"/>
        <v>0</v>
      </c>
      <c r="AD248" s="1">
        <f t="shared" si="111"/>
        <v>1</v>
      </c>
      <c r="AE248" s="1">
        <f t="shared" si="112"/>
        <v>0</v>
      </c>
      <c r="AF248" s="1">
        <f t="shared" si="97"/>
        <v>1</v>
      </c>
      <c r="AG248" s="1">
        <f t="shared" si="98"/>
        <v>0</v>
      </c>
      <c r="AH248" s="1">
        <f t="shared" si="99"/>
        <v>1</v>
      </c>
      <c r="AI248" s="1">
        <f t="shared" si="100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755</v>
      </c>
      <c r="E249" s="16" t="s">
        <v>29</v>
      </c>
      <c r="F249" s="16" t="s">
        <v>756</v>
      </c>
      <c r="G249" s="16" t="s">
        <v>757</v>
      </c>
      <c r="H249" s="16" t="s">
        <v>355</v>
      </c>
      <c r="I249" s="15" t="s">
        <v>758</v>
      </c>
      <c r="J249" s="15">
        <v>99</v>
      </c>
      <c r="K249" s="10" t="s">
        <v>707</v>
      </c>
      <c r="L249" s="10">
        <v>20</v>
      </c>
      <c r="M249" s="19" t="s">
        <v>1124</v>
      </c>
      <c r="N249" s="17"/>
      <c r="Q249" s="16"/>
      <c r="S249" s="1">
        <f t="shared" si="101"/>
        <v>0</v>
      </c>
      <c r="T249" s="1">
        <f t="shared" si="102"/>
        <v>0</v>
      </c>
      <c r="U249" s="1">
        <f t="shared" si="103"/>
        <v>0</v>
      </c>
      <c r="V249" s="1">
        <f t="shared" si="104"/>
        <v>0</v>
      </c>
      <c r="W249" s="1">
        <f t="shared" si="105"/>
        <v>0</v>
      </c>
      <c r="X249" s="1">
        <f t="shared" si="106"/>
        <v>0</v>
      </c>
      <c r="Y249" s="1">
        <f t="shared" si="107"/>
        <v>0</v>
      </c>
      <c r="Z249" s="1">
        <f t="shared" si="108"/>
        <v>0</v>
      </c>
      <c r="AA249" s="1">
        <f t="shared" si="109"/>
        <v>0</v>
      </c>
      <c r="AB249" s="1">
        <f t="shared" si="110"/>
        <v>0</v>
      </c>
      <c r="AD249" s="1">
        <f t="shared" si="111"/>
        <v>0</v>
      </c>
      <c r="AE249" s="1">
        <f t="shared" si="112"/>
        <v>0</v>
      </c>
      <c r="AF249" s="1">
        <f t="shared" si="97"/>
        <v>0</v>
      </c>
      <c r="AG249" s="1">
        <f t="shared" si="98"/>
        <v>0</v>
      </c>
      <c r="AH249" s="1">
        <f t="shared" si="99"/>
        <v>0</v>
      </c>
      <c r="AI249" s="1">
        <f t="shared" si="100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832</v>
      </c>
      <c r="E250" s="35" t="s">
        <v>29</v>
      </c>
      <c r="F250" s="39" t="s">
        <v>833</v>
      </c>
      <c r="G250" s="39" t="s">
        <v>932</v>
      </c>
      <c r="H250" s="39" t="s">
        <v>355</v>
      </c>
      <c r="I250" s="40" t="s">
        <v>834</v>
      </c>
      <c r="J250" s="34">
        <v>99</v>
      </c>
      <c r="K250" s="36" t="s">
        <v>959</v>
      </c>
      <c r="L250" s="36" t="s">
        <v>698</v>
      </c>
      <c r="M250" s="37" t="s">
        <v>977</v>
      </c>
      <c r="N250" s="37" t="s">
        <v>1832</v>
      </c>
      <c r="O250" s="38">
        <v>1</v>
      </c>
      <c r="P250" s="38"/>
      <c r="Q250" s="39"/>
      <c r="S250" s="1">
        <f t="shared" si="101"/>
        <v>0</v>
      </c>
      <c r="T250" s="1">
        <f t="shared" si="102"/>
        <v>0</v>
      </c>
      <c r="U250" s="1">
        <f t="shared" si="103"/>
        <v>0</v>
      </c>
      <c r="V250" s="1">
        <f t="shared" si="104"/>
        <v>0</v>
      </c>
      <c r="W250" s="1">
        <f t="shared" si="105"/>
        <v>0</v>
      </c>
      <c r="X250" s="1">
        <f t="shared" si="106"/>
        <v>0</v>
      </c>
      <c r="Y250" s="1">
        <f t="shared" si="107"/>
        <v>0</v>
      </c>
      <c r="Z250" s="1">
        <f t="shared" si="108"/>
        <v>0</v>
      </c>
      <c r="AA250" s="1">
        <f t="shared" si="109"/>
        <v>0</v>
      </c>
      <c r="AB250" s="1">
        <f t="shared" si="110"/>
        <v>0</v>
      </c>
      <c r="AD250" s="1">
        <f t="shared" si="111"/>
        <v>0</v>
      </c>
      <c r="AE250" s="1">
        <f t="shared" si="112"/>
        <v>1</v>
      </c>
      <c r="AF250" s="1">
        <f t="shared" si="97"/>
        <v>0</v>
      </c>
      <c r="AG250" s="1">
        <f t="shared" si="98"/>
        <v>1</v>
      </c>
      <c r="AH250" s="1">
        <f t="shared" si="99"/>
        <v>0</v>
      </c>
      <c r="AI250" s="1">
        <f t="shared" si="100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1727</v>
      </c>
      <c r="E251" s="35" t="s">
        <v>29</v>
      </c>
      <c r="F251" s="39" t="s">
        <v>1728</v>
      </c>
      <c r="G251" s="39" t="s">
        <v>250</v>
      </c>
      <c r="H251" s="39" t="s">
        <v>355</v>
      </c>
      <c r="I251" s="40" t="s">
        <v>1729</v>
      </c>
      <c r="J251" s="34"/>
      <c r="K251" s="36" t="s">
        <v>707</v>
      </c>
      <c r="L251" s="36"/>
      <c r="M251" s="37"/>
      <c r="N251" s="37" t="s">
        <v>1734</v>
      </c>
      <c r="O251" s="38">
        <v>1</v>
      </c>
      <c r="P251" s="38">
        <v>1</v>
      </c>
      <c r="Q251" s="39"/>
      <c r="S251" s="1">
        <f t="shared" si="101"/>
        <v>0</v>
      </c>
      <c r="T251" s="1">
        <f t="shared" si="102"/>
        <v>0</v>
      </c>
      <c r="U251" s="1">
        <f t="shared" si="103"/>
        <v>0</v>
      </c>
      <c r="V251" s="1">
        <f t="shared" si="104"/>
        <v>0</v>
      </c>
      <c r="W251" s="1">
        <f t="shared" si="105"/>
        <v>0</v>
      </c>
      <c r="X251" s="1">
        <f t="shared" si="106"/>
        <v>0</v>
      </c>
      <c r="Y251" s="1">
        <f t="shared" si="107"/>
        <v>0</v>
      </c>
      <c r="Z251" s="1">
        <f t="shared" si="108"/>
        <v>0</v>
      </c>
      <c r="AA251" s="1">
        <f t="shared" si="109"/>
        <v>0</v>
      </c>
      <c r="AB251" s="1">
        <f t="shared" si="110"/>
        <v>0</v>
      </c>
      <c r="AD251" s="1">
        <f t="shared" si="111"/>
        <v>1</v>
      </c>
      <c r="AE251" s="1">
        <f t="shared" si="112"/>
        <v>0</v>
      </c>
      <c r="AF251" s="1">
        <f t="shared" si="97"/>
        <v>1</v>
      </c>
      <c r="AG251" s="1">
        <f t="shared" si="98"/>
        <v>0</v>
      </c>
      <c r="AH251" s="1">
        <f t="shared" si="99"/>
        <v>1</v>
      </c>
      <c r="AI251" s="1">
        <f t="shared" si="100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905</v>
      </c>
      <c r="E252" s="35" t="s">
        <v>29</v>
      </c>
      <c r="F252" s="35" t="s">
        <v>906</v>
      </c>
      <c r="G252" s="35" t="s">
        <v>229</v>
      </c>
      <c r="H252" s="35" t="s">
        <v>355</v>
      </c>
      <c r="I252" s="34" t="s">
        <v>907</v>
      </c>
      <c r="J252" s="34">
        <v>99</v>
      </c>
      <c r="K252" s="36" t="s">
        <v>717</v>
      </c>
      <c r="L252" s="36" t="s">
        <v>698</v>
      </c>
      <c r="M252" s="37" t="s">
        <v>1413</v>
      </c>
      <c r="N252" s="37" t="s">
        <v>1755</v>
      </c>
      <c r="O252" s="38">
        <v>1</v>
      </c>
      <c r="P252" s="38"/>
      <c r="Q252" s="35"/>
      <c r="S252" s="1">
        <f t="shared" si="101"/>
        <v>0</v>
      </c>
      <c r="T252" s="1">
        <f t="shared" si="102"/>
        <v>0</v>
      </c>
      <c r="U252" s="1">
        <f t="shared" si="103"/>
        <v>0</v>
      </c>
      <c r="V252" s="1">
        <f t="shared" si="104"/>
        <v>0</v>
      </c>
      <c r="W252" s="1">
        <f t="shared" si="105"/>
        <v>0</v>
      </c>
      <c r="X252" s="1">
        <f t="shared" si="106"/>
        <v>0</v>
      </c>
      <c r="Y252" s="1">
        <f t="shared" si="107"/>
        <v>0</v>
      </c>
      <c r="Z252" s="1">
        <f t="shared" si="108"/>
        <v>0</v>
      </c>
      <c r="AA252" s="1">
        <f t="shared" si="109"/>
        <v>0</v>
      </c>
      <c r="AB252" s="1">
        <f t="shared" si="110"/>
        <v>0</v>
      </c>
      <c r="AD252" s="1">
        <f t="shared" si="111"/>
        <v>0</v>
      </c>
      <c r="AE252" s="1">
        <f t="shared" si="112"/>
        <v>1</v>
      </c>
      <c r="AF252" s="1">
        <f t="shared" si="97"/>
        <v>0</v>
      </c>
      <c r="AG252" s="1">
        <f t="shared" si="98"/>
        <v>1</v>
      </c>
      <c r="AH252" s="1">
        <f t="shared" si="99"/>
        <v>0</v>
      </c>
      <c r="AI252" s="1">
        <f t="shared" si="100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282</v>
      </c>
      <c r="G253" s="35" t="s">
        <v>239</v>
      </c>
      <c r="H253" s="35" t="s">
        <v>355</v>
      </c>
      <c r="I253" s="34" t="s">
        <v>438</v>
      </c>
      <c r="J253" s="34">
        <v>4</v>
      </c>
      <c r="K253" s="36" t="s">
        <v>958</v>
      </c>
      <c r="L253" s="36" t="s">
        <v>39</v>
      </c>
      <c r="M253" s="37" t="s">
        <v>39</v>
      </c>
      <c r="N253" s="37" t="s">
        <v>1734</v>
      </c>
      <c r="O253" s="38">
        <v>1</v>
      </c>
      <c r="P253" s="38">
        <v>1</v>
      </c>
      <c r="Q253" s="35"/>
      <c r="S253" s="1">
        <f t="shared" si="101"/>
        <v>0</v>
      </c>
      <c r="T253" s="1">
        <f t="shared" si="102"/>
        <v>0</v>
      </c>
      <c r="U253" s="1">
        <f t="shared" si="103"/>
        <v>0</v>
      </c>
      <c r="V253" s="1">
        <f t="shared" si="104"/>
        <v>1</v>
      </c>
      <c r="W253" s="1">
        <f t="shared" si="105"/>
        <v>0</v>
      </c>
      <c r="X253" s="1">
        <f t="shared" si="106"/>
        <v>0</v>
      </c>
      <c r="Y253" s="1">
        <f t="shared" si="107"/>
        <v>0</v>
      </c>
      <c r="Z253" s="1">
        <f t="shared" si="108"/>
        <v>0</v>
      </c>
      <c r="AA253" s="1">
        <f t="shared" si="109"/>
        <v>0</v>
      </c>
      <c r="AB253" s="1">
        <f t="shared" si="110"/>
        <v>0</v>
      </c>
      <c r="AD253" s="1">
        <f t="shared" si="111"/>
        <v>1</v>
      </c>
      <c r="AE253" s="1">
        <f t="shared" si="112"/>
        <v>0</v>
      </c>
      <c r="AF253" s="1">
        <f t="shared" si="97"/>
        <v>1</v>
      </c>
      <c r="AG253" s="1">
        <f t="shared" si="98"/>
        <v>0</v>
      </c>
      <c r="AH253" s="1">
        <f t="shared" si="99"/>
        <v>1</v>
      </c>
      <c r="AI253" s="1">
        <f t="shared" si="100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283</v>
      </c>
      <c r="G254" s="48" t="s">
        <v>284</v>
      </c>
      <c r="H254" s="48" t="s">
        <v>355</v>
      </c>
      <c r="I254" s="47" t="s">
        <v>947</v>
      </c>
      <c r="J254" s="47">
        <v>99</v>
      </c>
      <c r="K254" s="49" t="s">
        <v>959</v>
      </c>
      <c r="L254" s="49" t="s">
        <v>698</v>
      </c>
      <c r="M254" s="50" t="s">
        <v>977</v>
      </c>
      <c r="N254" s="50" t="s">
        <v>1816</v>
      </c>
      <c r="O254" s="51"/>
      <c r="P254" s="51"/>
      <c r="Q254" s="48"/>
      <c r="S254" s="1">
        <f t="shared" si="101"/>
        <v>0</v>
      </c>
      <c r="T254" s="1">
        <f t="shared" si="102"/>
        <v>0</v>
      </c>
      <c r="U254" s="1">
        <f t="shared" si="103"/>
        <v>0</v>
      </c>
      <c r="V254" s="1">
        <f t="shared" si="104"/>
        <v>0</v>
      </c>
      <c r="W254" s="1">
        <f t="shared" si="105"/>
        <v>0</v>
      </c>
      <c r="X254" s="1">
        <f t="shared" si="106"/>
        <v>0</v>
      </c>
      <c r="Y254" s="1">
        <f t="shared" si="107"/>
        <v>0</v>
      </c>
      <c r="Z254" s="1">
        <f t="shared" si="108"/>
        <v>0</v>
      </c>
      <c r="AA254" s="1">
        <f t="shared" si="109"/>
        <v>0</v>
      </c>
      <c r="AB254" s="1">
        <f t="shared" si="110"/>
        <v>0</v>
      </c>
      <c r="AD254" s="1">
        <f t="shared" si="111"/>
        <v>0</v>
      </c>
      <c r="AE254" s="1">
        <f t="shared" si="112"/>
        <v>0</v>
      </c>
      <c r="AF254" s="1">
        <f t="shared" si="97"/>
        <v>0</v>
      </c>
      <c r="AG254" s="1">
        <f t="shared" si="98"/>
        <v>0</v>
      </c>
      <c r="AH254" s="1">
        <f t="shared" si="99"/>
        <v>0</v>
      </c>
      <c r="AI254" s="1">
        <f t="shared" si="100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1643</v>
      </c>
      <c r="E255" s="35" t="s">
        <v>29</v>
      </c>
      <c r="F255" s="39" t="s">
        <v>1542</v>
      </c>
      <c r="G255" s="39" t="s">
        <v>39</v>
      </c>
      <c r="H255" s="39" t="s">
        <v>890</v>
      </c>
      <c r="I255" s="40" t="s">
        <v>1543</v>
      </c>
      <c r="J255" s="34">
        <v>17</v>
      </c>
      <c r="K255" s="36" t="s">
        <v>717</v>
      </c>
      <c r="L255" s="36" t="s">
        <v>701</v>
      </c>
      <c r="M255" s="37" t="s">
        <v>1464</v>
      </c>
      <c r="N255" s="37" t="s">
        <v>1734</v>
      </c>
      <c r="O255" s="38">
        <v>1</v>
      </c>
      <c r="P255" s="38">
        <v>1</v>
      </c>
      <c r="Q255" s="39"/>
      <c r="S255" s="1">
        <f t="shared" si="101"/>
        <v>0</v>
      </c>
      <c r="T255" s="1">
        <f t="shared" si="102"/>
        <v>0</v>
      </c>
      <c r="U255" s="1">
        <f t="shared" si="103"/>
        <v>0</v>
      </c>
      <c r="V255" s="1">
        <f t="shared" si="104"/>
        <v>0</v>
      </c>
      <c r="W255" s="1">
        <f t="shared" si="105"/>
        <v>0</v>
      </c>
      <c r="X255" s="1">
        <f t="shared" si="106"/>
        <v>0</v>
      </c>
      <c r="Y255" s="1">
        <f t="shared" si="107"/>
        <v>0</v>
      </c>
      <c r="Z255" s="1">
        <f t="shared" si="108"/>
        <v>0</v>
      </c>
      <c r="AA255" s="1">
        <f t="shared" si="109"/>
        <v>0</v>
      </c>
      <c r="AB255" s="1">
        <f t="shared" si="110"/>
        <v>0</v>
      </c>
      <c r="AD255" s="1">
        <f t="shared" si="111"/>
        <v>1</v>
      </c>
      <c r="AE255" s="1">
        <f t="shared" si="112"/>
        <v>0</v>
      </c>
      <c r="AF255" s="1">
        <f t="shared" si="97"/>
        <v>1</v>
      </c>
      <c r="AG255" s="1">
        <f t="shared" si="98"/>
        <v>0</v>
      </c>
      <c r="AH255" s="1">
        <f t="shared" si="99"/>
        <v>1</v>
      </c>
      <c r="AI255" s="1">
        <f t="shared" si="100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1461</v>
      </c>
      <c r="E256" s="48" t="s">
        <v>29</v>
      </c>
      <c r="F256" s="48" t="s">
        <v>1462</v>
      </c>
      <c r="G256" s="48" t="s">
        <v>322</v>
      </c>
      <c r="H256" s="48" t="s">
        <v>355</v>
      </c>
      <c r="I256" s="47" t="s">
        <v>1463</v>
      </c>
      <c r="J256" s="47">
        <v>99</v>
      </c>
      <c r="K256" s="49" t="s">
        <v>707</v>
      </c>
      <c r="L256" s="49">
        <v>30</v>
      </c>
      <c r="M256" s="50" t="s">
        <v>1464</v>
      </c>
      <c r="N256" s="50" t="s">
        <v>1809</v>
      </c>
      <c r="O256" s="51"/>
      <c r="P256" s="51"/>
      <c r="Q256" s="48"/>
      <c r="S256" s="1">
        <f t="shared" si="101"/>
        <v>0</v>
      </c>
      <c r="T256" s="1">
        <f t="shared" si="102"/>
        <v>0</v>
      </c>
      <c r="U256" s="1">
        <f t="shared" si="103"/>
        <v>0</v>
      </c>
      <c r="V256" s="1">
        <f t="shared" si="104"/>
        <v>0</v>
      </c>
      <c r="W256" s="1">
        <f t="shared" si="105"/>
        <v>0</v>
      </c>
      <c r="X256" s="1">
        <f t="shared" si="106"/>
        <v>0</v>
      </c>
      <c r="Y256" s="1">
        <f t="shared" si="107"/>
        <v>0</v>
      </c>
      <c r="Z256" s="1">
        <f t="shared" si="108"/>
        <v>0</v>
      </c>
      <c r="AA256" s="1">
        <f t="shared" si="109"/>
        <v>0</v>
      </c>
      <c r="AB256" s="1">
        <f t="shared" si="110"/>
        <v>0</v>
      </c>
      <c r="AD256" s="1">
        <f t="shared" si="111"/>
        <v>0</v>
      </c>
      <c r="AE256" s="1">
        <f t="shared" si="112"/>
        <v>0</v>
      </c>
      <c r="AF256" s="1">
        <f t="shared" si="97"/>
        <v>0</v>
      </c>
      <c r="AG256" s="1">
        <f t="shared" si="98"/>
        <v>0</v>
      </c>
      <c r="AH256" s="1">
        <f t="shared" si="99"/>
        <v>0</v>
      </c>
      <c r="AI256" s="1">
        <f t="shared" si="100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851</v>
      </c>
      <c r="G257" s="39" t="s">
        <v>223</v>
      </c>
      <c r="H257" s="39" t="s">
        <v>355</v>
      </c>
      <c r="I257" s="40" t="s">
        <v>852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1856</v>
      </c>
      <c r="O257" s="38">
        <v>1</v>
      </c>
      <c r="P257" s="38"/>
      <c r="Q257" s="39"/>
      <c r="S257" s="1">
        <f t="shared" si="101"/>
        <v>0</v>
      </c>
      <c r="T257" s="1">
        <f t="shared" si="102"/>
        <v>0</v>
      </c>
      <c r="U257" s="1">
        <f t="shared" si="103"/>
        <v>0</v>
      </c>
      <c r="V257" s="1">
        <f t="shared" si="104"/>
        <v>0</v>
      </c>
      <c r="W257" s="1">
        <f t="shared" si="105"/>
        <v>0</v>
      </c>
      <c r="X257" s="1">
        <f t="shared" si="106"/>
        <v>0</v>
      </c>
      <c r="Y257" s="1">
        <f t="shared" si="107"/>
        <v>0</v>
      </c>
      <c r="Z257" s="1">
        <f t="shared" si="108"/>
        <v>0</v>
      </c>
      <c r="AA257" s="1">
        <f t="shared" si="109"/>
        <v>0</v>
      </c>
      <c r="AB257" s="1">
        <f t="shared" si="110"/>
        <v>0</v>
      </c>
      <c r="AD257" s="1">
        <f t="shared" si="111"/>
        <v>0</v>
      </c>
      <c r="AE257" s="1">
        <f t="shared" si="112"/>
        <v>1</v>
      </c>
      <c r="AF257" s="1">
        <f t="shared" si="97"/>
        <v>0</v>
      </c>
      <c r="AG257" s="1">
        <f t="shared" si="98"/>
        <v>1</v>
      </c>
      <c r="AH257" s="1">
        <f t="shared" si="99"/>
        <v>0</v>
      </c>
      <c r="AI257" s="1">
        <f t="shared" si="100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850</v>
      </c>
      <c r="E258" s="35" t="s">
        <v>29</v>
      </c>
      <c r="F258" s="39" t="s">
        <v>934</v>
      </c>
      <c r="G258" s="39" t="s">
        <v>280</v>
      </c>
      <c r="H258" s="39" t="s">
        <v>355</v>
      </c>
      <c r="I258" s="40" t="s">
        <v>853</v>
      </c>
      <c r="J258" s="34">
        <v>99</v>
      </c>
      <c r="K258" s="36" t="s">
        <v>959</v>
      </c>
      <c r="L258" s="36" t="s">
        <v>698</v>
      </c>
      <c r="M258" s="37" t="s">
        <v>977</v>
      </c>
      <c r="N258" s="37" t="s">
        <v>1856</v>
      </c>
      <c r="O258" s="38">
        <v>1</v>
      </c>
      <c r="P258" s="38"/>
      <c r="Q258" s="39"/>
      <c r="S258" s="1">
        <f t="shared" si="101"/>
        <v>0</v>
      </c>
      <c r="T258" s="1">
        <f t="shared" si="102"/>
        <v>0</v>
      </c>
      <c r="U258" s="1">
        <f t="shared" si="103"/>
        <v>0</v>
      </c>
      <c r="V258" s="1">
        <f t="shared" si="104"/>
        <v>0</v>
      </c>
      <c r="W258" s="1">
        <f t="shared" si="105"/>
        <v>0</v>
      </c>
      <c r="X258" s="1">
        <f t="shared" si="106"/>
        <v>0</v>
      </c>
      <c r="Y258" s="1">
        <f t="shared" si="107"/>
        <v>0</v>
      </c>
      <c r="Z258" s="1">
        <f t="shared" si="108"/>
        <v>0</v>
      </c>
      <c r="AA258" s="1">
        <f t="shared" si="109"/>
        <v>0</v>
      </c>
      <c r="AB258" s="1">
        <f t="shared" si="110"/>
        <v>0</v>
      </c>
      <c r="AD258" s="1">
        <f t="shared" si="111"/>
        <v>0</v>
      </c>
      <c r="AE258" s="1">
        <f t="shared" si="112"/>
        <v>1</v>
      </c>
      <c r="AF258" s="1">
        <f t="shared" si="97"/>
        <v>0</v>
      </c>
      <c r="AG258" s="1">
        <f t="shared" si="98"/>
        <v>0</v>
      </c>
      <c r="AH258" s="1">
        <f t="shared" si="99"/>
        <v>0</v>
      </c>
      <c r="AI258" s="1">
        <f t="shared" si="100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1223</v>
      </c>
      <c r="E259" s="35" t="s">
        <v>29</v>
      </c>
      <c r="F259" s="35" t="s">
        <v>1224</v>
      </c>
      <c r="G259" s="35" t="s">
        <v>239</v>
      </c>
      <c r="H259" s="35" t="s">
        <v>355</v>
      </c>
      <c r="I259" s="34" t="s">
        <v>1368</v>
      </c>
      <c r="J259" s="34">
        <v>99</v>
      </c>
      <c r="K259" s="36" t="s">
        <v>717</v>
      </c>
      <c r="L259" s="36" t="s">
        <v>698</v>
      </c>
      <c r="M259" s="37" t="s">
        <v>1414</v>
      </c>
      <c r="N259" s="37" t="s">
        <v>1762</v>
      </c>
      <c r="O259" s="38">
        <v>1</v>
      </c>
      <c r="P259" s="38"/>
      <c r="Q259" s="35"/>
      <c r="S259" s="1">
        <f t="shared" si="101"/>
        <v>0</v>
      </c>
      <c r="T259" s="1">
        <f t="shared" si="102"/>
        <v>0</v>
      </c>
      <c r="U259" s="1">
        <f t="shared" si="103"/>
        <v>0</v>
      </c>
      <c r="V259" s="1">
        <f t="shared" si="104"/>
        <v>0</v>
      </c>
      <c r="W259" s="1">
        <f t="shared" si="105"/>
        <v>0</v>
      </c>
      <c r="X259" s="1">
        <f t="shared" si="106"/>
        <v>0</v>
      </c>
      <c r="Y259" s="1">
        <f t="shared" si="107"/>
        <v>0</v>
      </c>
      <c r="Z259" s="1">
        <f t="shared" si="108"/>
        <v>0</v>
      </c>
      <c r="AA259" s="1">
        <f t="shared" si="109"/>
        <v>0</v>
      </c>
      <c r="AB259" s="1">
        <f t="shared" si="110"/>
        <v>0</v>
      </c>
      <c r="AD259" s="1">
        <f t="shared" ref="AD259:AD260" si="113">+O259*P259</f>
        <v>0</v>
      </c>
      <c r="AE259" s="1">
        <f t="shared" ref="AE259:AE260" si="114">O259*(1-P259)</f>
        <v>1</v>
      </c>
      <c r="AF259" s="1">
        <f t="shared" ref="AF259:AF260" si="115">+O259*P259*(1-A259)</f>
        <v>0</v>
      </c>
      <c r="AG259" s="1">
        <f t="shared" ref="AG259:AG260" si="116">O259*(1-P259)*(1-A259)</f>
        <v>1</v>
      </c>
      <c r="AH259" s="1">
        <f t="shared" ref="AH259:AH260" si="117">+P259*(1-A259)</f>
        <v>0</v>
      </c>
      <c r="AI259" s="1">
        <f t="shared" ref="AI259:AI260" si="118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1240</v>
      </c>
      <c r="E260" s="35" t="s">
        <v>29</v>
      </c>
      <c r="F260" s="39" t="s">
        <v>1241</v>
      </c>
      <c r="G260" s="39" t="s">
        <v>239</v>
      </c>
      <c r="H260" s="39" t="s">
        <v>355</v>
      </c>
      <c r="I260" s="40" t="s">
        <v>1242</v>
      </c>
      <c r="J260" s="34">
        <v>99</v>
      </c>
      <c r="K260" s="36" t="s">
        <v>717</v>
      </c>
      <c r="L260" s="36" t="s">
        <v>697</v>
      </c>
      <c r="M260" s="37" t="s">
        <v>1414</v>
      </c>
      <c r="N260" s="37" t="s">
        <v>1832</v>
      </c>
      <c r="O260" s="38">
        <v>1</v>
      </c>
      <c r="P260" s="38"/>
      <c r="Q260" s="39"/>
      <c r="S260" s="1">
        <f t="shared" si="101"/>
        <v>0</v>
      </c>
      <c r="T260" s="1">
        <f t="shared" si="102"/>
        <v>0</v>
      </c>
      <c r="U260" s="1">
        <f t="shared" si="103"/>
        <v>0</v>
      </c>
      <c r="V260" s="1">
        <f t="shared" si="104"/>
        <v>0</v>
      </c>
      <c r="W260" s="1">
        <f t="shared" si="105"/>
        <v>0</v>
      </c>
      <c r="X260" s="1">
        <f t="shared" si="106"/>
        <v>0</v>
      </c>
      <c r="Y260" s="1">
        <f t="shared" si="107"/>
        <v>0</v>
      </c>
      <c r="Z260" s="1">
        <f t="shared" si="108"/>
        <v>0</v>
      </c>
      <c r="AA260" s="1">
        <f t="shared" si="109"/>
        <v>0</v>
      </c>
      <c r="AB260" s="1">
        <f t="shared" si="110"/>
        <v>0</v>
      </c>
      <c r="AD260" s="1">
        <f t="shared" si="113"/>
        <v>0</v>
      </c>
      <c r="AE260" s="1">
        <f t="shared" si="114"/>
        <v>1</v>
      </c>
      <c r="AF260" s="1">
        <f t="shared" si="115"/>
        <v>0</v>
      </c>
      <c r="AG260" s="1">
        <f t="shared" si="116"/>
        <v>1</v>
      </c>
      <c r="AH260" s="1">
        <f t="shared" si="117"/>
        <v>0</v>
      </c>
      <c r="AI260" s="1">
        <f t="shared" si="118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289</v>
      </c>
      <c r="G261" s="39" t="s">
        <v>191</v>
      </c>
      <c r="H261" s="39" t="s">
        <v>355</v>
      </c>
      <c r="I261" s="40" t="s">
        <v>442</v>
      </c>
      <c r="J261" s="34">
        <v>99</v>
      </c>
      <c r="K261" s="36" t="s">
        <v>717</v>
      </c>
      <c r="L261" s="36" t="s">
        <v>698</v>
      </c>
      <c r="M261" s="37" t="s">
        <v>1415</v>
      </c>
      <c r="N261" s="37" t="s">
        <v>1757</v>
      </c>
      <c r="O261" s="38">
        <v>1</v>
      </c>
      <c r="P261" s="38"/>
      <c r="Q261" s="39"/>
      <c r="S261" s="1">
        <f t="shared" si="101"/>
        <v>0</v>
      </c>
      <c r="T261" s="1">
        <f t="shared" si="102"/>
        <v>0</v>
      </c>
      <c r="U261" s="1">
        <f t="shared" si="103"/>
        <v>0</v>
      </c>
      <c r="V261" s="1">
        <f t="shared" si="104"/>
        <v>0</v>
      </c>
      <c r="W261" s="1">
        <f t="shared" si="105"/>
        <v>0</v>
      </c>
      <c r="X261" s="1">
        <f t="shared" si="106"/>
        <v>0</v>
      </c>
      <c r="Y261" s="1">
        <f t="shared" si="107"/>
        <v>0</v>
      </c>
      <c r="Z261" s="1">
        <f t="shared" si="108"/>
        <v>0</v>
      </c>
      <c r="AA261" s="1">
        <f t="shared" si="109"/>
        <v>0</v>
      </c>
      <c r="AB261" s="1">
        <f t="shared" si="110"/>
        <v>0</v>
      </c>
      <c r="AD261" s="1">
        <f t="shared" si="111"/>
        <v>0</v>
      </c>
      <c r="AE261" s="1">
        <f t="shared" si="112"/>
        <v>1</v>
      </c>
      <c r="AF261" s="1">
        <f t="shared" si="97"/>
        <v>0</v>
      </c>
      <c r="AG261" s="1">
        <f t="shared" si="98"/>
        <v>1</v>
      </c>
      <c r="AH261" s="1">
        <f t="shared" si="99"/>
        <v>0</v>
      </c>
      <c r="AI261" s="1">
        <f t="shared" si="100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875</v>
      </c>
      <c r="G262" s="48" t="s">
        <v>195</v>
      </c>
      <c r="H262" s="48" t="s">
        <v>355</v>
      </c>
      <c r="I262" s="47" t="s">
        <v>876</v>
      </c>
      <c r="J262" s="47">
        <v>9</v>
      </c>
      <c r="K262" s="49" t="s">
        <v>717</v>
      </c>
      <c r="L262" s="49" t="s">
        <v>700</v>
      </c>
      <c r="M262" s="50" t="s">
        <v>712</v>
      </c>
      <c r="N262" s="50" t="s">
        <v>1742</v>
      </c>
      <c r="O262" s="51"/>
      <c r="P262" s="51"/>
      <c r="Q262" s="48"/>
      <c r="S262" s="1">
        <f t="shared" si="101"/>
        <v>0</v>
      </c>
      <c r="T262" s="1">
        <f t="shared" si="102"/>
        <v>0</v>
      </c>
      <c r="U262" s="1">
        <f t="shared" si="103"/>
        <v>0</v>
      </c>
      <c r="V262" s="1">
        <f t="shared" si="104"/>
        <v>0</v>
      </c>
      <c r="W262" s="1">
        <f t="shared" si="105"/>
        <v>0</v>
      </c>
      <c r="X262" s="1">
        <f t="shared" si="106"/>
        <v>0</v>
      </c>
      <c r="Y262" s="1">
        <f t="shared" si="107"/>
        <v>0</v>
      </c>
      <c r="Z262" s="1">
        <f t="shared" si="108"/>
        <v>0</v>
      </c>
      <c r="AA262" s="1">
        <f t="shared" si="109"/>
        <v>1</v>
      </c>
      <c r="AB262" s="1">
        <f t="shared" si="110"/>
        <v>0</v>
      </c>
      <c r="AD262" s="1">
        <f t="shared" si="111"/>
        <v>0</v>
      </c>
      <c r="AE262" s="1">
        <f t="shared" si="112"/>
        <v>0</v>
      </c>
      <c r="AF262" s="1">
        <f t="shared" si="97"/>
        <v>0</v>
      </c>
      <c r="AG262" s="1">
        <f t="shared" si="98"/>
        <v>0</v>
      </c>
      <c r="AH262" s="1">
        <f t="shared" si="99"/>
        <v>0</v>
      </c>
      <c r="AI262" s="1">
        <f t="shared" si="100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874</v>
      </c>
      <c r="E263" s="48" t="s">
        <v>29</v>
      </c>
      <c r="F263" s="48" t="s">
        <v>1072</v>
      </c>
      <c r="G263" s="48" t="s">
        <v>322</v>
      </c>
      <c r="H263" s="48" t="s">
        <v>355</v>
      </c>
      <c r="I263" s="47" t="s">
        <v>1073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1742</v>
      </c>
      <c r="O263" s="51"/>
      <c r="P263" s="51"/>
      <c r="Q263" s="48"/>
      <c r="S263" s="1">
        <f t="shared" si="101"/>
        <v>0</v>
      </c>
      <c r="T263" s="1">
        <f t="shared" si="102"/>
        <v>0</v>
      </c>
      <c r="U263" s="1">
        <f t="shared" si="103"/>
        <v>0</v>
      </c>
      <c r="V263" s="1">
        <f t="shared" si="104"/>
        <v>0</v>
      </c>
      <c r="W263" s="1">
        <f t="shared" si="105"/>
        <v>0</v>
      </c>
      <c r="X263" s="1">
        <f t="shared" si="106"/>
        <v>0</v>
      </c>
      <c r="Y263" s="1">
        <f t="shared" si="107"/>
        <v>0</v>
      </c>
      <c r="Z263" s="1">
        <f t="shared" si="108"/>
        <v>0</v>
      </c>
      <c r="AA263" s="1">
        <f t="shared" si="109"/>
        <v>0</v>
      </c>
      <c r="AB263" s="1">
        <f t="shared" si="110"/>
        <v>0</v>
      </c>
      <c r="AD263" s="1">
        <f t="shared" si="111"/>
        <v>0</v>
      </c>
      <c r="AE263" s="1">
        <f t="shared" si="112"/>
        <v>0</v>
      </c>
      <c r="AF263" s="1">
        <f t="shared" si="97"/>
        <v>0</v>
      </c>
      <c r="AG263" s="1">
        <f t="shared" si="98"/>
        <v>0</v>
      </c>
      <c r="AH263" s="1">
        <f t="shared" si="99"/>
        <v>0</v>
      </c>
      <c r="AI263" s="1">
        <f t="shared" si="100"/>
        <v>0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293</v>
      </c>
      <c r="G264" s="48" t="s">
        <v>294</v>
      </c>
      <c r="H264" s="48" t="s">
        <v>355</v>
      </c>
      <c r="I264" s="47" t="s">
        <v>1121</v>
      </c>
      <c r="J264" s="47">
        <v>99</v>
      </c>
      <c r="K264" s="49" t="s">
        <v>717</v>
      </c>
      <c r="L264" s="49" t="s">
        <v>700</v>
      </c>
      <c r="M264" s="50" t="s">
        <v>712</v>
      </c>
      <c r="N264" s="50" t="s">
        <v>1746</v>
      </c>
      <c r="O264" s="51"/>
      <c r="P264" s="51"/>
      <c r="Q264" s="48"/>
      <c r="S264" s="1">
        <f t="shared" si="101"/>
        <v>0</v>
      </c>
      <c r="T264" s="1">
        <f t="shared" si="102"/>
        <v>0</v>
      </c>
      <c r="U264" s="1">
        <f t="shared" si="103"/>
        <v>0</v>
      </c>
      <c r="V264" s="1">
        <f t="shared" si="104"/>
        <v>0</v>
      </c>
      <c r="W264" s="1">
        <f t="shared" si="105"/>
        <v>0</v>
      </c>
      <c r="X264" s="1">
        <f t="shared" si="106"/>
        <v>0</v>
      </c>
      <c r="Y264" s="1">
        <f t="shared" si="107"/>
        <v>0</v>
      </c>
      <c r="Z264" s="1">
        <f t="shared" si="108"/>
        <v>0</v>
      </c>
      <c r="AA264" s="1">
        <f t="shared" si="109"/>
        <v>0</v>
      </c>
      <c r="AB264" s="1">
        <f t="shared" si="110"/>
        <v>0</v>
      </c>
      <c r="AD264" s="1">
        <f t="shared" si="111"/>
        <v>0</v>
      </c>
      <c r="AE264" s="1">
        <f t="shared" si="112"/>
        <v>0</v>
      </c>
      <c r="AF264" s="1">
        <f t="shared" si="97"/>
        <v>0</v>
      </c>
      <c r="AG264" s="1">
        <f t="shared" si="98"/>
        <v>0</v>
      </c>
      <c r="AH264" s="1">
        <f t="shared" si="99"/>
        <v>0</v>
      </c>
      <c r="AI264" s="1">
        <f t="shared" si="100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534</v>
      </c>
      <c r="E265" s="48" t="s">
        <v>29</v>
      </c>
      <c r="F265" s="48" t="s">
        <v>668</v>
      </c>
      <c r="G265" s="48" t="s">
        <v>39</v>
      </c>
      <c r="H265" s="48" t="s">
        <v>535</v>
      </c>
      <c r="I265" s="47" t="s">
        <v>1697</v>
      </c>
      <c r="J265" s="47">
        <v>14</v>
      </c>
      <c r="K265" s="49" t="s">
        <v>958</v>
      </c>
      <c r="L265" s="49">
        <v>40</v>
      </c>
      <c r="M265" s="50" t="s">
        <v>712</v>
      </c>
      <c r="N265" s="50" t="s">
        <v>1742</v>
      </c>
      <c r="O265" s="51"/>
      <c r="P265" s="51"/>
      <c r="Q265" s="48"/>
      <c r="S265" s="1">
        <f t="shared" si="101"/>
        <v>0</v>
      </c>
      <c r="T265" s="1">
        <f t="shared" si="102"/>
        <v>0</v>
      </c>
      <c r="U265" s="1">
        <f t="shared" si="103"/>
        <v>0</v>
      </c>
      <c r="V265" s="1">
        <f t="shared" si="104"/>
        <v>0</v>
      </c>
      <c r="W265" s="1">
        <f t="shared" si="105"/>
        <v>0</v>
      </c>
      <c r="X265" s="1">
        <f t="shared" si="106"/>
        <v>0</v>
      </c>
      <c r="Y265" s="1">
        <f t="shared" si="107"/>
        <v>0</v>
      </c>
      <c r="Z265" s="1">
        <f t="shared" si="108"/>
        <v>0</v>
      </c>
      <c r="AA265" s="1">
        <f t="shared" si="109"/>
        <v>0</v>
      </c>
      <c r="AB265" s="1">
        <f t="shared" si="110"/>
        <v>0</v>
      </c>
      <c r="AD265" s="1">
        <f t="shared" si="111"/>
        <v>0</v>
      </c>
      <c r="AE265" s="1">
        <f t="shared" si="112"/>
        <v>0</v>
      </c>
      <c r="AF265" s="1">
        <f t="shared" si="97"/>
        <v>0</v>
      </c>
      <c r="AG265" s="1">
        <f t="shared" si="98"/>
        <v>0</v>
      </c>
      <c r="AH265" s="1">
        <f t="shared" si="99"/>
        <v>0</v>
      </c>
      <c r="AI265" s="1">
        <f t="shared" si="100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1328</v>
      </c>
      <c r="E266" s="35" t="s">
        <v>29</v>
      </c>
      <c r="F266" s="39" t="s">
        <v>1352</v>
      </c>
      <c r="G266" s="39" t="s">
        <v>39</v>
      </c>
      <c r="H266" s="39" t="s">
        <v>355</v>
      </c>
      <c r="I266" s="40" t="s">
        <v>1156</v>
      </c>
      <c r="J266" s="34">
        <v>99</v>
      </c>
      <c r="K266" s="36" t="s">
        <v>717</v>
      </c>
      <c r="L266" s="36" t="s">
        <v>697</v>
      </c>
      <c r="M266" s="37" t="s">
        <v>1416</v>
      </c>
      <c r="N266" s="37" t="s">
        <v>1740</v>
      </c>
      <c r="O266" s="38">
        <v>1</v>
      </c>
      <c r="P266" s="38">
        <v>1</v>
      </c>
      <c r="Q266" s="39"/>
      <c r="S266" s="1">
        <f t="shared" si="101"/>
        <v>0</v>
      </c>
      <c r="T266" s="1">
        <f t="shared" si="102"/>
        <v>0</v>
      </c>
      <c r="U266" s="1">
        <f t="shared" si="103"/>
        <v>0</v>
      </c>
      <c r="V266" s="1">
        <f t="shared" si="104"/>
        <v>0</v>
      </c>
      <c r="W266" s="1">
        <f t="shared" si="105"/>
        <v>0</v>
      </c>
      <c r="X266" s="1">
        <f t="shared" si="106"/>
        <v>0</v>
      </c>
      <c r="Y266" s="1">
        <f t="shared" si="107"/>
        <v>0</v>
      </c>
      <c r="Z266" s="1">
        <f t="shared" si="108"/>
        <v>0</v>
      </c>
      <c r="AA266" s="1">
        <f t="shared" si="109"/>
        <v>0</v>
      </c>
      <c r="AB266" s="1">
        <f t="shared" si="110"/>
        <v>0</v>
      </c>
      <c r="AD266" s="1">
        <f t="shared" si="111"/>
        <v>1</v>
      </c>
      <c r="AE266" s="1">
        <f t="shared" si="112"/>
        <v>0</v>
      </c>
      <c r="AF266" s="1">
        <f t="shared" si="97"/>
        <v>1</v>
      </c>
      <c r="AG266" s="1">
        <f t="shared" si="98"/>
        <v>0</v>
      </c>
      <c r="AH266" s="1">
        <f t="shared" si="99"/>
        <v>1</v>
      </c>
      <c r="AI266" s="1">
        <f t="shared" si="100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296</v>
      </c>
      <c r="G267" s="48" t="s">
        <v>264</v>
      </c>
      <c r="H267" s="48" t="s">
        <v>355</v>
      </c>
      <c r="I267" s="47" t="s">
        <v>446</v>
      </c>
      <c r="J267" s="47">
        <v>1</v>
      </c>
      <c r="K267" s="49" t="s">
        <v>717</v>
      </c>
      <c r="L267" s="49" t="s">
        <v>698</v>
      </c>
      <c r="M267" s="50" t="s">
        <v>712</v>
      </c>
      <c r="N267" s="50" t="s">
        <v>1742</v>
      </c>
      <c r="O267" s="51"/>
      <c r="P267" s="51"/>
      <c r="Q267" s="48"/>
      <c r="S267" s="1">
        <f t="shared" si="101"/>
        <v>1</v>
      </c>
      <c r="T267" s="1">
        <f t="shared" si="102"/>
        <v>0</v>
      </c>
      <c r="U267" s="1">
        <f t="shared" si="103"/>
        <v>0</v>
      </c>
      <c r="V267" s="1">
        <f t="shared" si="104"/>
        <v>0</v>
      </c>
      <c r="W267" s="1">
        <f t="shared" si="105"/>
        <v>0</v>
      </c>
      <c r="X267" s="1">
        <f t="shared" si="106"/>
        <v>0</v>
      </c>
      <c r="Y267" s="1">
        <f t="shared" si="107"/>
        <v>0</v>
      </c>
      <c r="Z267" s="1">
        <f t="shared" si="108"/>
        <v>0</v>
      </c>
      <c r="AA267" s="1">
        <f t="shared" si="109"/>
        <v>0</v>
      </c>
      <c r="AB267" s="1">
        <f t="shared" si="110"/>
        <v>0</v>
      </c>
      <c r="AD267" s="1">
        <f t="shared" si="111"/>
        <v>0</v>
      </c>
      <c r="AE267" s="1">
        <f t="shared" si="112"/>
        <v>0</v>
      </c>
      <c r="AF267" s="1">
        <f t="shared" ref="AF267:AF331" si="119">+O267*P267*(1-A267)</f>
        <v>0</v>
      </c>
      <c r="AG267" s="1">
        <f t="shared" ref="AG267:AG331" si="120">O267*(1-P267)*(1-A267)</f>
        <v>0</v>
      </c>
      <c r="AH267" s="1">
        <f t="shared" ref="AH267:AH331" si="121">+P267*(1-A267)</f>
        <v>0</v>
      </c>
      <c r="AI267" s="1">
        <f t="shared" ref="AI267:AI331" si="122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760</v>
      </c>
      <c r="G268" s="16" t="s">
        <v>39</v>
      </c>
      <c r="H268" s="16" t="s">
        <v>761</v>
      </c>
      <c r="I268" s="15" t="s">
        <v>762</v>
      </c>
      <c r="J268" s="15">
        <v>18</v>
      </c>
      <c r="K268" s="10" t="s">
        <v>707</v>
      </c>
      <c r="L268" s="10" t="s">
        <v>701</v>
      </c>
      <c r="M268" s="19" t="s">
        <v>712</v>
      </c>
      <c r="N268" s="17"/>
      <c r="Q268" s="16"/>
      <c r="S268" s="1">
        <f t="shared" si="101"/>
        <v>0</v>
      </c>
      <c r="T268" s="1">
        <f t="shared" si="102"/>
        <v>0</v>
      </c>
      <c r="U268" s="1">
        <f t="shared" si="103"/>
        <v>0</v>
      </c>
      <c r="V268" s="1">
        <f t="shared" si="104"/>
        <v>0</v>
      </c>
      <c r="W268" s="1">
        <f t="shared" si="105"/>
        <v>0</v>
      </c>
      <c r="X268" s="1">
        <f t="shared" si="106"/>
        <v>0</v>
      </c>
      <c r="Y268" s="1">
        <f t="shared" si="107"/>
        <v>0</v>
      </c>
      <c r="Z268" s="1">
        <f t="shared" si="108"/>
        <v>0</v>
      </c>
      <c r="AA268" s="1">
        <f t="shared" si="109"/>
        <v>0</v>
      </c>
      <c r="AB268" s="1">
        <f t="shared" si="110"/>
        <v>0</v>
      </c>
      <c r="AD268" s="1">
        <f t="shared" si="111"/>
        <v>0</v>
      </c>
      <c r="AE268" s="1">
        <f t="shared" si="112"/>
        <v>0</v>
      </c>
      <c r="AF268" s="1">
        <f t="shared" si="119"/>
        <v>0</v>
      </c>
      <c r="AG268" s="1">
        <f t="shared" si="120"/>
        <v>0</v>
      </c>
      <c r="AH268" s="1">
        <f t="shared" si="121"/>
        <v>0</v>
      </c>
      <c r="AI268" s="1">
        <f t="shared" si="122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759</v>
      </c>
      <c r="E269" s="16" t="s">
        <v>29</v>
      </c>
      <c r="F269" s="16" t="s">
        <v>763</v>
      </c>
      <c r="G269" s="16" t="s">
        <v>39</v>
      </c>
      <c r="H269" s="16" t="s">
        <v>749</v>
      </c>
      <c r="I269" s="15" t="s">
        <v>764</v>
      </c>
      <c r="J269" s="15">
        <v>17</v>
      </c>
      <c r="K269" s="10" t="s">
        <v>707</v>
      </c>
      <c r="L269" s="10" t="s">
        <v>701</v>
      </c>
      <c r="M269" s="19" t="s">
        <v>712</v>
      </c>
      <c r="N269" s="17"/>
      <c r="Q269" s="16"/>
      <c r="S269" s="1">
        <f t="shared" si="101"/>
        <v>0</v>
      </c>
      <c r="T269" s="1">
        <f t="shared" si="102"/>
        <v>0</v>
      </c>
      <c r="U269" s="1">
        <f t="shared" si="103"/>
        <v>0</v>
      </c>
      <c r="V269" s="1">
        <f t="shared" si="104"/>
        <v>0</v>
      </c>
      <c r="W269" s="1">
        <f t="shared" si="105"/>
        <v>0</v>
      </c>
      <c r="X269" s="1">
        <f t="shared" si="106"/>
        <v>0</v>
      </c>
      <c r="Y269" s="1">
        <f t="shared" si="107"/>
        <v>0</v>
      </c>
      <c r="Z269" s="1">
        <f t="shared" si="108"/>
        <v>0</v>
      </c>
      <c r="AA269" s="1">
        <f t="shared" si="109"/>
        <v>0</v>
      </c>
      <c r="AB269" s="1">
        <f t="shared" si="110"/>
        <v>0</v>
      </c>
      <c r="AD269" s="1">
        <f t="shared" si="111"/>
        <v>0</v>
      </c>
      <c r="AE269" s="1">
        <f t="shared" si="112"/>
        <v>0</v>
      </c>
      <c r="AF269" s="1">
        <f t="shared" si="119"/>
        <v>0</v>
      </c>
      <c r="AG269" s="1">
        <f t="shared" si="120"/>
        <v>0</v>
      </c>
      <c r="AH269" s="1">
        <f t="shared" si="121"/>
        <v>0</v>
      </c>
      <c r="AI269" s="1">
        <f t="shared" si="122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1525</v>
      </c>
      <c r="E270" s="35" t="s">
        <v>29</v>
      </c>
      <c r="F270" s="39" t="s">
        <v>1678</v>
      </c>
      <c r="G270" s="39" t="s">
        <v>1679</v>
      </c>
      <c r="H270" s="39" t="s">
        <v>355</v>
      </c>
      <c r="I270" s="40" t="s">
        <v>1526</v>
      </c>
      <c r="J270" s="34">
        <v>99</v>
      </c>
      <c r="K270" s="36" t="s">
        <v>717</v>
      </c>
      <c r="L270" s="36" t="s">
        <v>39</v>
      </c>
      <c r="M270" s="37" t="s">
        <v>39</v>
      </c>
      <c r="N270" s="37" t="s">
        <v>1734</v>
      </c>
      <c r="O270" s="38">
        <v>1</v>
      </c>
      <c r="P270" s="38">
        <v>1</v>
      </c>
      <c r="Q270" s="39"/>
      <c r="S270" s="1">
        <f t="shared" si="101"/>
        <v>0</v>
      </c>
      <c r="T270" s="1">
        <f t="shared" si="102"/>
        <v>0</v>
      </c>
      <c r="U270" s="1">
        <f t="shared" si="103"/>
        <v>0</v>
      </c>
      <c r="V270" s="1">
        <f t="shared" si="104"/>
        <v>0</v>
      </c>
      <c r="W270" s="1">
        <f t="shared" si="105"/>
        <v>0</v>
      </c>
      <c r="X270" s="1">
        <f t="shared" si="106"/>
        <v>0</v>
      </c>
      <c r="Y270" s="1">
        <f t="shared" si="107"/>
        <v>0</v>
      </c>
      <c r="Z270" s="1">
        <f t="shared" si="108"/>
        <v>0</v>
      </c>
      <c r="AA270" s="1">
        <f t="shared" si="109"/>
        <v>0</v>
      </c>
      <c r="AB270" s="1">
        <f t="shared" si="110"/>
        <v>0</v>
      </c>
      <c r="AD270" s="1">
        <f t="shared" si="111"/>
        <v>1</v>
      </c>
      <c r="AE270" s="1">
        <f t="shared" si="112"/>
        <v>0</v>
      </c>
      <c r="AF270" s="1">
        <f t="shared" si="119"/>
        <v>1</v>
      </c>
      <c r="AG270" s="1">
        <f t="shared" si="120"/>
        <v>0</v>
      </c>
      <c r="AH270" s="1">
        <f t="shared" si="121"/>
        <v>1</v>
      </c>
      <c r="AI270" s="1">
        <f t="shared" si="122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1150</v>
      </c>
      <c r="E271" s="16" t="s">
        <v>29</v>
      </c>
      <c r="F271" s="16" t="s">
        <v>1151</v>
      </c>
      <c r="G271" s="16" t="s">
        <v>1153</v>
      </c>
      <c r="H271" s="16" t="s">
        <v>355</v>
      </c>
      <c r="I271" s="15" t="s">
        <v>1152</v>
      </c>
      <c r="J271" s="15">
        <v>99</v>
      </c>
      <c r="K271" s="10" t="s">
        <v>707</v>
      </c>
      <c r="L271" s="10">
        <v>30</v>
      </c>
      <c r="M271" s="19" t="s">
        <v>1417</v>
      </c>
      <c r="N271" s="19"/>
      <c r="Q271" s="16"/>
      <c r="S271" s="1">
        <f t="shared" ref="S271:S335" si="123">IF(J271=$S$7,1,0)</f>
        <v>0</v>
      </c>
      <c r="T271" s="1">
        <f t="shared" ref="T271:T335" si="124">IF(J271=$T$7,1,0)</f>
        <v>0</v>
      </c>
      <c r="U271" s="1">
        <f t="shared" ref="U271:U335" si="125">IF(J271=$U$7,1,0)</f>
        <v>0</v>
      </c>
      <c r="V271" s="1">
        <f t="shared" ref="V271:V335" si="126">IF(J271=$V$7,1,0)</f>
        <v>0</v>
      </c>
      <c r="W271" s="1">
        <f t="shared" ref="W271:W335" si="127">IF(J271=$W$7,1,0)</f>
        <v>0</v>
      </c>
      <c r="X271" s="1">
        <f t="shared" ref="X271:X335" si="128">IF(J271=$X$7,1,0)</f>
        <v>0</v>
      </c>
      <c r="Y271" s="1">
        <f t="shared" ref="Y271:Y335" si="129">IF(J271=$Y$7,1,0)</f>
        <v>0</v>
      </c>
      <c r="Z271" s="1">
        <f t="shared" ref="Z271:Z335" si="130">IF(J271=$Z$7,1,0)</f>
        <v>0</v>
      </c>
      <c r="AA271" s="1">
        <f t="shared" ref="AA271:AA335" si="131">IF(J271=$AA$7,1,0)</f>
        <v>0</v>
      </c>
      <c r="AB271" s="1">
        <f t="shared" ref="AB271:AB335" si="132">IF(J271=$AB$7,1,0)</f>
        <v>0</v>
      </c>
      <c r="AD271" s="1">
        <f t="shared" ref="AD271:AD335" si="133">+O271*P271</f>
        <v>0</v>
      </c>
      <c r="AE271" s="1">
        <f t="shared" ref="AE271:AE335" si="134">O271*(1-P271)</f>
        <v>0</v>
      </c>
      <c r="AF271" s="1">
        <f t="shared" si="119"/>
        <v>0</v>
      </c>
      <c r="AG271" s="1">
        <f t="shared" si="120"/>
        <v>0</v>
      </c>
      <c r="AH271" s="1">
        <f t="shared" si="121"/>
        <v>0</v>
      </c>
      <c r="AI271" s="1">
        <f t="shared" si="122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298</v>
      </c>
      <c r="G272" s="48" t="s">
        <v>198</v>
      </c>
      <c r="H272" s="48" t="s">
        <v>355</v>
      </c>
      <c r="I272" s="47" t="s">
        <v>447</v>
      </c>
      <c r="J272" s="47">
        <v>9</v>
      </c>
      <c r="K272" s="49" t="s">
        <v>707</v>
      </c>
      <c r="L272" s="49">
        <v>30</v>
      </c>
      <c r="M272" s="50" t="s">
        <v>712</v>
      </c>
      <c r="N272" s="50" t="s">
        <v>1742</v>
      </c>
      <c r="O272" s="51"/>
      <c r="P272" s="51"/>
      <c r="Q272" s="48"/>
      <c r="S272" s="1">
        <f t="shared" si="123"/>
        <v>0</v>
      </c>
      <c r="T272" s="1">
        <f t="shared" si="124"/>
        <v>0</v>
      </c>
      <c r="U272" s="1">
        <f t="shared" si="125"/>
        <v>0</v>
      </c>
      <c r="V272" s="1">
        <f t="shared" si="126"/>
        <v>0</v>
      </c>
      <c r="W272" s="1">
        <f t="shared" si="127"/>
        <v>0</v>
      </c>
      <c r="X272" s="1">
        <f t="shared" si="128"/>
        <v>0</v>
      </c>
      <c r="Y272" s="1">
        <f t="shared" si="129"/>
        <v>0</v>
      </c>
      <c r="Z272" s="1">
        <f t="shared" si="130"/>
        <v>0</v>
      </c>
      <c r="AA272" s="1">
        <f t="shared" si="131"/>
        <v>1</v>
      </c>
      <c r="AB272" s="1">
        <f t="shared" si="132"/>
        <v>0</v>
      </c>
      <c r="AD272" s="1">
        <f t="shared" si="133"/>
        <v>0</v>
      </c>
      <c r="AE272" s="1">
        <f t="shared" si="134"/>
        <v>0</v>
      </c>
      <c r="AF272" s="1">
        <f t="shared" si="119"/>
        <v>0</v>
      </c>
      <c r="AG272" s="1">
        <f t="shared" si="120"/>
        <v>0</v>
      </c>
      <c r="AH272" s="1">
        <f t="shared" si="121"/>
        <v>0</v>
      </c>
      <c r="AI272" s="1">
        <f t="shared" si="122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807</v>
      </c>
      <c r="E273" s="48" t="s">
        <v>29</v>
      </c>
      <c r="F273" s="48" t="s">
        <v>786</v>
      </c>
      <c r="G273" s="48" t="s">
        <v>808</v>
      </c>
      <c r="H273" s="48" t="s">
        <v>355</v>
      </c>
      <c r="I273" s="47" t="s">
        <v>956</v>
      </c>
      <c r="J273" s="47">
        <v>99</v>
      </c>
      <c r="K273" s="49" t="s">
        <v>717</v>
      </c>
      <c r="L273" s="49" t="s">
        <v>698</v>
      </c>
      <c r="M273" s="50" t="s">
        <v>712</v>
      </c>
      <c r="N273" s="50" t="s">
        <v>1809</v>
      </c>
      <c r="O273" s="51"/>
      <c r="P273" s="51"/>
      <c r="Q273" s="48"/>
      <c r="S273" s="1">
        <f t="shared" si="123"/>
        <v>0</v>
      </c>
      <c r="T273" s="1">
        <f t="shared" si="124"/>
        <v>0</v>
      </c>
      <c r="U273" s="1">
        <f t="shared" si="125"/>
        <v>0</v>
      </c>
      <c r="V273" s="1">
        <f t="shared" si="126"/>
        <v>0</v>
      </c>
      <c r="W273" s="1">
        <f t="shared" si="127"/>
        <v>0</v>
      </c>
      <c r="X273" s="1">
        <f t="shared" si="128"/>
        <v>0</v>
      </c>
      <c r="Y273" s="1">
        <f t="shared" si="129"/>
        <v>0</v>
      </c>
      <c r="Z273" s="1">
        <f t="shared" si="130"/>
        <v>0</v>
      </c>
      <c r="AA273" s="1">
        <f t="shared" si="131"/>
        <v>0</v>
      </c>
      <c r="AB273" s="1">
        <f t="shared" si="132"/>
        <v>0</v>
      </c>
      <c r="AD273" s="1">
        <f t="shared" si="133"/>
        <v>0</v>
      </c>
      <c r="AE273" s="1">
        <f t="shared" si="134"/>
        <v>0</v>
      </c>
      <c r="AF273" s="1">
        <f t="shared" si="119"/>
        <v>0</v>
      </c>
      <c r="AG273" s="1">
        <f t="shared" si="120"/>
        <v>0</v>
      </c>
      <c r="AH273" s="1">
        <f t="shared" si="121"/>
        <v>0</v>
      </c>
      <c r="AI273" s="1">
        <f t="shared" si="122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1331</v>
      </c>
      <c r="E274" s="48" t="s">
        <v>29</v>
      </c>
      <c r="F274" s="48" t="s">
        <v>1354</v>
      </c>
      <c r="G274" s="48" t="s">
        <v>1188</v>
      </c>
      <c r="H274" s="48" t="s">
        <v>355</v>
      </c>
      <c r="I274" s="47" t="s">
        <v>1699</v>
      </c>
      <c r="J274" s="47">
        <v>99</v>
      </c>
      <c r="K274" s="49" t="s">
        <v>717</v>
      </c>
      <c r="L274" s="49" t="s">
        <v>698</v>
      </c>
      <c r="M274" s="50" t="s">
        <v>1418</v>
      </c>
      <c r="N274" s="50" t="s">
        <v>1745</v>
      </c>
      <c r="O274" s="51"/>
      <c r="P274" s="51"/>
      <c r="Q274" s="48"/>
      <c r="S274" s="1">
        <f t="shared" si="123"/>
        <v>0</v>
      </c>
      <c r="T274" s="1">
        <f t="shared" si="124"/>
        <v>0</v>
      </c>
      <c r="U274" s="1">
        <f t="shared" si="125"/>
        <v>0</v>
      </c>
      <c r="V274" s="1">
        <f t="shared" si="126"/>
        <v>0</v>
      </c>
      <c r="W274" s="1">
        <f t="shared" si="127"/>
        <v>0</v>
      </c>
      <c r="X274" s="1">
        <f t="shared" si="128"/>
        <v>0</v>
      </c>
      <c r="Y274" s="1">
        <f t="shared" si="129"/>
        <v>0</v>
      </c>
      <c r="Z274" s="1">
        <f t="shared" si="130"/>
        <v>0</v>
      </c>
      <c r="AA274" s="1">
        <f t="shared" si="131"/>
        <v>0</v>
      </c>
      <c r="AB274" s="1">
        <f t="shared" si="132"/>
        <v>0</v>
      </c>
      <c r="AD274" s="1">
        <f t="shared" si="133"/>
        <v>0</v>
      </c>
      <c r="AE274" s="1">
        <f t="shared" si="134"/>
        <v>0</v>
      </c>
      <c r="AF274" s="1">
        <f t="shared" si="119"/>
        <v>0</v>
      </c>
      <c r="AG274" s="1">
        <f t="shared" si="120"/>
        <v>0</v>
      </c>
      <c r="AH274" s="1">
        <f t="shared" si="121"/>
        <v>0</v>
      </c>
      <c r="AI274" s="1">
        <f t="shared" si="122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1286</v>
      </c>
      <c r="E275" s="16" t="s">
        <v>29</v>
      </c>
      <c r="F275" s="16" t="s">
        <v>1287</v>
      </c>
      <c r="G275" s="16" t="s">
        <v>1288</v>
      </c>
      <c r="H275" s="16" t="s">
        <v>355</v>
      </c>
      <c r="I275" s="15" t="s">
        <v>1289</v>
      </c>
      <c r="J275" s="15">
        <v>99</v>
      </c>
      <c r="K275" s="10" t="s">
        <v>717</v>
      </c>
      <c r="L275" s="10" t="s">
        <v>698</v>
      </c>
      <c r="M275" s="19" t="s">
        <v>712</v>
      </c>
      <c r="N275" s="17"/>
      <c r="Q275" s="16"/>
      <c r="S275" s="1">
        <f t="shared" si="123"/>
        <v>0</v>
      </c>
      <c r="T275" s="1">
        <f t="shared" si="124"/>
        <v>0</v>
      </c>
      <c r="U275" s="1">
        <f t="shared" si="125"/>
        <v>0</v>
      </c>
      <c r="V275" s="1">
        <f t="shared" si="126"/>
        <v>0</v>
      </c>
      <c r="W275" s="1">
        <f t="shared" si="127"/>
        <v>0</v>
      </c>
      <c r="X275" s="1">
        <f t="shared" si="128"/>
        <v>0</v>
      </c>
      <c r="Y275" s="1">
        <f t="shared" si="129"/>
        <v>0</v>
      </c>
      <c r="Z275" s="1">
        <f t="shared" si="130"/>
        <v>0</v>
      </c>
      <c r="AA275" s="1">
        <f t="shared" si="131"/>
        <v>0</v>
      </c>
      <c r="AB275" s="1">
        <f t="shared" si="132"/>
        <v>0</v>
      </c>
      <c r="AD275" s="1">
        <f t="shared" si="133"/>
        <v>0</v>
      </c>
      <c r="AE275" s="1">
        <f t="shared" si="134"/>
        <v>0</v>
      </c>
      <c r="AF275" s="1">
        <f t="shared" si="119"/>
        <v>0</v>
      </c>
      <c r="AG275" s="1">
        <f t="shared" si="120"/>
        <v>0</v>
      </c>
      <c r="AH275" s="1">
        <f t="shared" si="121"/>
        <v>0</v>
      </c>
      <c r="AI275" s="1">
        <f t="shared" si="122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713</v>
      </c>
      <c r="E276" s="35" t="s">
        <v>29</v>
      </c>
      <c r="F276" s="35" t="s">
        <v>714</v>
      </c>
      <c r="G276" s="35" t="s">
        <v>185</v>
      </c>
      <c r="H276" s="35" t="s">
        <v>355</v>
      </c>
      <c r="I276" s="34" t="s">
        <v>715</v>
      </c>
      <c r="J276" s="34">
        <v>99</v>
      </c>
      <c r="K276" s="36" t="s">
        <v>959</v>
      </c>
      <c r="L276" s="36" t="s">
        <v>39</v>
      </c>
      <c r="M276" s="37" t="s">
        <v>39</v>
      </c>
      <c r="N276" s="37" t="s">
        <v>1740</v>
      </c>
      <c r="O276" s="38">
        <v>1</v>
      </c>
      <c r="P276" s="38">
        <v>1</v>
      </c>
      <c r="Q276" s="35"/>
      <c r="S276" s="1">
        <f t="shared" si="123"/>
        <v>0</v>
      </c>
      <c r="T276" s="1">
        <f t="shared" si="124"/>
        <v>0</v>
      </c>
      <c r="U276" s="1">
        <f t="shared" si="125"/>
        <v>0</v>
      </c>
      <c r="V276" s="1">
        <f t="shared" si="126"/>
        <v>0</v>
      </c>
      <c r="W276" s="1">
        <f t="shared" si="127"/>
        <v>0</v>
      </c>
      <c r="X276" s="1">
        <f t="shared" si="128"/>
        <v>0</v>
      </c>
      <c r="Y276" s="1">
        <f t="shared" si="129"/>
        <v>0</v>
      </c>
      <c r="Z276" s="1">
        <f t="shared" si="130"/>
        <v>0</v>
      </c>
      <c r="AA276" s="1">
        <f t="shared" si="131"/>
        <v>0</v>
      </c>
      <c r="AB276" s="1">
        <f t="shared" si="132"/>
        <v>0</v>
      </c>
      <c r="AD276" s="1">
        <f t="shared" si="133"/>
        <v>1</v>
      </c>
      <c r="AE276" s="1">
        <f t="shared" si="134"/>
        <v>0</v>
      </c>
      <c r="AF276" s="1">
        <f t="shared" si="119"/>
        <v>1</v>
      </c>
      <c r="AG276" s="1">
        <f t="shared" si="120"/>
        <v>0</v>
      </c>
      <c r="AH276" s="1">
        <f t="shared" si="121"/>
        <v>1</v>
      </c>
      <c r="AI276" s="1">
        <f t="shared" si="122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538</v>
      </c>
      <c r="E277" s="35" t="s">
        <v>34</v>
      </c>
      <c r="F277" s="35" t="s">
        <v>539</v>
      </c>
      <c r="G277" s="35" t="s">
        <v>221</v>
      </c>
      <c r="H277" s="35" t="s">
        <v>355</v>
      </c>
      <c r="I277" s="34" t="s">
        <v>540</v>
      </c>
      <c r="J277" s="34">
        <v>8</v>
      </c>
      <c r="K277" s="36" t="s">
        <v>717</v>
      </c>
      <c r="L277" s="36" t="s">
        <v>717</v>
      </c>
      <c r="M277" s="37" t="s">
        <v>718</v>
      </c>
      <c r="N277" s="37" t="s">
        <v>1755</v>
      </c>
      <c r="O277" s="38">
        <v>1</v>
      </c>
      <c r="P277" s="38"/>
      <c r="Q277" s="35"/>
      <c r="S277" s="1">
        <f t="shared" si="123"/>
        <v>0</v>
      </c>
      <c r="T277" s="1">
        <f t="shared" si="124"/>
        <v>0</v>
      </c>
      <c r="U277" s="1">
        <f t="shared" si="125"/>
        <v>0</v>
      </c>
      <c r="V277" s="1">
        <f t="shared" si="126"/>
        <v>0</v>
      </c>
      <c r="W277" s="1">
        <f t="shared" si="127"/>
        <v>0</v>
      </c>
      <c r="X277" s="1">
        <f t="shared" si="128"/>
        <v>0</v>
      </c>
      <c r="Y277" s="1">
        <f t="shared" si="129"/>
        <v>0</v>
      </c>
      <c r="Z277" s="1">
        <f t="shared" si="130"/>
        <v>1</v>
      </c>
      <c r="AA277" s="1">
        <f t="shared" si="131"/>
        <v>0</v>
      </c>
      <c r="AB277" s="1">
        <f t="shared" si="132"/>
        <v>0</v>
      </c>
      <c r="AD277" s="1">
        <f t="shared" si="133"/>
        <v>0</v>
      </c>
      <c r="AE277" s="1">
        <f t="shared" si="134"/>
        <v>1</v>
      </c>
      <c r="AF277" s="1">
        <f t="shared" si="119"/>
        <v>0</v>
      </c>
      <c r="AG277" s="1">
        <f t="shared" si="120"/>
        <v>1</v>
      </c>
      <c r="AH277" s="1">
        <f t="shared" si="121"/>
        <v>0</v>
      </c>
      <c r="AI277" s="1">
        <f t="shared" si="122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1297</v>
      </c>
      <c r="E278" s="35" t="s">
        <v>563</v>
      </c>
      <c r="F278" s="35" t="s">
        <v>1298</v>
      </c>
      <c r="G278" s="35" t="s">
        <v>231</v>
      </c>
      <c r="H278" s="35" t="s">
        <v>355</v>
      </c>
      <c r="I278" s="34" t="s">
        <v>1299</v>
      </c>
      <c r="J278" s="34">
        <v>7</v>
      </c>
      <c r="K278" s="36" t="s">
        <v>717</v>
      </c>
      <c r="L278" s="36" t="s">
        <v>717</v>
      </c>
      <c r="M278" s="37" t="s">
        <v>718</v>
      </c>
      <c r="N278" s="37" t="s">
        <v>1763</v>
      </c>
      <c r="O278" s="38">
        <v>1</v>
      </c>
      <c r="P278" s="38"/>
      <c r="Q278" s="35"/>
      <c r="S278" s="1">
        <f t="shared" si="123"/>
        <v>0</v>
      </c>
      <c r="T278" s="1">
        <f t="shared" si="124"/>
        <v>0</v>
      </c>
      <c r="U278" s="1">
        <f t="shared" si="125"/>
        <v>0</v>
      </c>
      <c r="V278" s="1">
        <f t="shared" si="126"/>
        <v>0</v>
      </c>
      <c r="W278" s="1">
        <f t="shared" si="127"/>
        <v>0</v>
      </c>
      <c r="X278" s="1">
        <f t="shared" si="128"/>
        <v>0</v>
      </c>
      <c r="Y278" s="1">
        <f t="shared" si="129"/>
        <v>1</v>
      </c>
      <c r="Z278" s="1">
        <f t="shared" si="130"/>
        <v>0</v>
      </c>
      <c r="AA278" s="1">
        <f t="shared" si="131"/>
        <v>0</v>
      </c>
      <c r="AB278" s="1">
        <f t="shared" si="132"/>
        <v>0</v>
      </c>
      <c r="AD278" s="1">
        <f t="shared" si="133"/>
        <v>0</v>
      </c>
      <c r="AE278" s="1">
        <f t="shared" si="134"/>
        <v>1</v>
      </c>
      <c r="AF278" s="1">
        <f t="shared" si="119"/>
        <v>0</v>
      </c>
      <c r="AG278" s="1">
        <f t="shared" si="120"/>
        <v>1</v>
      </c>
      <c r="AH278" s="1">
        <f t="shared" si="121"/>
        <v>0</v>
      </c>
      <c r="AI278" s="1">
        <f t="shared" si="122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1333</v>
      </c>
      <c r="E279" s="35" t="s">
        <v>563</v>
      </c>
      <c r="F279" s="35" t="s">
        <v>1995</v>
      </c>
      <c r="G279" s="35" t="s">
        <v>214</v>
      </c>
      <c r="H279" s="35" t="s">
        <v>355</v>
      </c>
      <c r="I279" s="34" t="s">
        <v>1162</v>
      </c>
      <c r="J279" s="34">
        <v>1</v>
      </c>
      <c r="K279" s="36" t="s">
        <v>958</v>
      </c>
      <c r="L279" s="36" t="s">
        <v>717</v>
      </c>
      <c r="M279" s="37" t="s">
        <v>718</v>
      </c>
      <c r="N279" s="37" t="s">
        <v>1768</v>
      </c>
      <c r="O279" s="38">
        <v>1</v>
      </c>
      <c r="P279" s="38"/>
      <c r="Q279" s="35"/>
      <c r="S279" s="1">
        <f t="shared" si="123"/>
        <v>1</v>
      </c>
      <c r="T279" s="1">
        <f t="shared" si="124"/>
        <v>0</v>
      </c>
      <c r="U279" s="1">
        <f t="shared" si="125"/>
        <v>0</v>
      </c>
      <c r="V279" s="1">
        <f t="shared" si="126"/>
        <v>0</v>
      </c>
      <c r="W279" s="1">
        <f t="shared" si="127"/>
        <v>0</v>
      </c>
      <c r="X279" s="1">
        <f t="shared" si="128"/>
        <v>0</v>
      </c>
      <c r="Y279" s="1">
        <f t="shared" si="129"/>
        <v>0</v>
      </c>
      <c r="Z279" s="1">
        <f t="shared" si="130"/>
        <v>0</v>
      </c>
      <c r="AA279" s="1">
        <f t="shared" si="131"/>
        <v>0</v>
      </c>
      <c r="AB279" s="1">
        <f t="shared" si="132"/>
        <v>0</v>
      </c>
      <c r="AD279" s="1">
        <f t="shared" si="133"/>
        <v>0</v>
      </c>
      <c r="AE279" s="1">
        <f t="shared" si="134"/>
        <v>1</v>
      </c>
      <c r="AF279" s="1">
        <f t="shared" si="119"/>
        <v>0</v>
      </c>
      <c r="AG279" s="1">
        <f t="shared" si="120"/>
        <v>1</v>
      </c>
      <c r="AH279" s="1">
        <f t="shared" si="121"/>
        <v>0</v>
      </c>
      <c r="AI279" s="1">
        <f t="shared" si="122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1334</v>
      </c>
      <c r="E280" s="35" t="s">
        <v>563</v>
      </c>
      <c r="F280" s="35" t="s">
        <v>1157</v>
      </c>
      <c r="G280" s="35" t="s">
        <v>286</v>
      </c>
      <c r="H280" s="35" t="s">
        <v>355</v>
      </c>
      <c r="I280" s="34" t="s">
        <v>1158</v>
      </c>
      <c r="J280" s="34">
        <v>10</v>
      </c>
      <c r="K280" s="36" t="s">
        <v>958</v>
      </c>
      <c r="L280" s="36" t="s">
        <v>717</v>
      </c>
      <c r="M280" s="37" t="s">
        <v>718</v>
      </c>
      <c r="N280" s="37" t="s">
        <v>1768</v>
      </c>
      <c r="O280" s="38">
        <v>1</v>
      </c>
      <c r="P280" s="38"/>
      <c r="Q280" s="35"/>
      <c r="S280" s="1">
        <f t="shared" si="123"/>
        <v>0</v>
      </c>
      <c r="T280" s="1">
        <f t="shared" si="124"/>
        <v>0</v>
      </c>
      <c r="U280" s="1">
        <f t="shared" si="125"/>
        <v>0</v>
      </c>
      <c r="V280" s="1">
        <f t="shared" si="126"/>
        <v>0</v>
      </c>
      <c r="W280" s="1">
        <f t="shared" si="127"/>
        <v>0</v>
      </c>
      <c r="X280" s="1">
        <f t="shared" si="128"/>
        <v>0</v>
      </c>
      <c r="Y280" s="1">
        <f t="shared" si="129"/>
        <v>0</v>
      </c>
      <c r="Z280" s="1">
        <f t="shared" si="130"/>
        <v>0</v>
      </c>
      <c r="AA280" s="1">
        <f t="shared" si="131"/>
        <v>0</v>
      </c>
      <c r="AB280" s="1">
        <f t="shared" si="132"/>
        <v>1</v>
      </c>
      <c r="AD280" s="1">
        <f t="shared" si="133"/>
        <v>0</v>
      </c>
      <c r="AE280" s="1">
        <f t="shared" si="134"/>
        <v>1</v>
      </c>
      <c r="AF280" s="1">
        <f t="shared" si="119"/>
        <v>0</v>
      </c>
      <c r="AG280" s="1">
        <f t="shared" si="120"/>
        <v>1</v>
      </c>
      <c r="AH280" s="1">
        <f t="shared" si="121"/>
        <v>0</v>
      </c>
      <c r="AI280" s="1">
        <f t="shared" si="122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514</v>
      </c>
      <c r="E281" s="16" t="s">
        <v>34</v>
      </c>
      <c r="F281" s="16" t="s">
        <v>513</v>
      </c>
      <c r="G281" s="16" t="s">
        <v>548</v>
      </c>
      <c r="H281" s="16" t="s">
        <v>355</v>
      </c>
      <c r="I281" s="15" t="s">
        <v>1371</v>
      </c>
      <c r="J281" s="15">
        <v>99</v>
      </c>
      <c r="K281" s="10" t="s">
        <v>959</v>
      </c>
      <c r="L281" s="10" t="s">
        <v>717</v>
      </c>
      <c r="M281" s="19" t="s">
        <v>718</v>
      </c>
      <c r="N281" s="19"/>
      <c r="Q281" s="16"/>
      <c r="S281" s="1">
        <f t="shared" si="123"/>
        <v>0</v>
      </c>
      <c r="T281" s="1">
        <f t="shared" si="124"/>
        <v>0</v>
      </c>
      <c r="U281" s="1">
        <f t="shared" si="125"/>
        <v>0</v>
      </c>
      <c r="V281" s="1">
        <f t="shared" si="126"/>
        <v>0</v>
      </c>
      <c r="W281" s="1">
        <f t="shared" si="127"/>
        <v>0</v>
      </c>
      <c r="X281" s="1">
        <f t="shared" si="128"/>
        <v>0</v>
      </c>
      <c r="Y281" s="1">
        <f t="shared" si="129"/>
        <v>0</v>
      </c>
      <c r="Z281" s="1">
        <f t="shared" si="130"/>
        <v>0</v>
      </c>
      <c r="AA281" s="1">
        <f t="shared" si="131"/>
        <v>0</v>
      </c>
      <c r="AB281" s="1">
        <f t="shared" si="132"/>
        <v>0</v>
      </c>
      <c r="AD281" s="1">
        <f t="shared" si="133"/>
        <v>0</v>
      </c>
      <c r="AE281" s="1">
        <f t="shared" si="134"/>
        <v>0</v>
      </c>
      <c r="AF281" s="1">
        <f t="shared" si="119"/>
        <v>0</v>
      </c>
      <c r="AG281" s="1">
        <f t="shared" si="120"/>
        <v>0</v>
      </c>
      <c r="AH281" s="1">
        <f t="shared" si="121"/>
        <v>0</v>
      </c>
      <c r="AI281" s="1">
        <f t="shared" si="122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1046</v>
      </c>
      <c r="E282" s="42" t="s">
        <v>36</v>
      </c>
      <c r="F282" s="42" t="s">
        <v>1666</v>
      </c>
      <c r="G282" s="42" t="s">
        <v>630</v>
      </c>
      <c r="H282" s="42" t="s">
        <v>355</v>
      </c>
      <c r="I282" s="41" t="s">
        <v>1047</v>
      </c>
      <c r="J282" s="41">
        <v>99</v>
      </c>
      <c r="K282" s="43" t="s">
        <v>963</v>
      </c>
      <c r="L282" s="43" t="s">
        <v>717</v>
      </c>
      <c r="M282" s="44" t="s">
        <v>718</v>
      </c>
      <c r="N282" s="45"/>
      <c r="O282" s="46"/>
      <c r="P282" s="46">
        <v>1</v>
      </c>
      <c r="Q282" s="57" t="s">
        <v>1906</v>
      </c>
      <c r="S282" s="1">
        <f t="shared" si="123"/>
        <v>0</v>
      </c>
      <c r="T282" s="1">
        <f t="shared" si="124"/>
        <v>0</v>
      </c>
      <c r="U282" s="1">
        <f t="shared" si="125"/>
        <v>0</v>
      </c>
      <c r="V282" s="1">
        <f t="shared" si="126"/>
        <v>0</v>
      </c>
      <c r="W282" s="1">
        <f t="shared" si="127"/>
        <v>0</v>
      </c>
      <c r="X282" s="1">
        <f t="shared" si="128"/>
        <v>0</v>
      </c>
      <c r="Y282" s="1">
        <f t="shared" si="129"/>
        <v>0</v>
      </c>
      <c r="Z282" s="1">
        <f t="shared" si="130"/>
        <v>0</v>
      </c>
      <c r="AA282" s="1">
        <f t="shared" si="131"/>
        <v>0</v>
      </c>
      <c r="AB282" s="1">
        <f t="shared" si="132"/>
        <v>0</v>
      </c>
      <c r="AD282" s="1">
        <f t="shared" si="133"/>
        <v>0</v>
      </c>
      <c r="AE282" s="1">
        <f t="shared" si="134"/>
        <v>0</v>
      </c>
      <c r="AF282" s="1">
        <f t="shared" si="119"/>
        <v>0</v>
      </c>
      <c r="AG282" s="1">
        <f t="shared" si="120"/>
        <v>0</v>
      </c>
      <c r="AH282" s="1">
        <f t="shared" si="121"/>
        <v>1</v>
      </c>
      <c r="AI282" s="1">
        <f t="shared" si="122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1321</v>
      </c>
      <c r="F283" s="35" t="s">
        <v>192</v>
      </c>
      <c r="G283" s="35" t="s">
        <v>193</v>
      </c>
      <c r="H283" s="35" t="s">
        <v>355</v>
      </c>
      <c r="I283" s="34" t="s">
        <v>387</v>
      </c>
      <c r="J283" s="34">
        <v>99</v>
      </c>
      <c r="K283" s="36" t="s">
        <v>716</v>
      </c>
      <c r="L283" s="36" t="s">
        <v>717</v>
      </c>
      <c r="M283" s="37" t="s">
        <v>718</v>
      </c>
      <c r="N283" s="37" t="s">
        <v>1763</v>
      </c>
      <c r="O283" s="38">
        <v>1</v>
      </c>
      <c r="P283" s="38"/>
      <c r="Q283" s="35"/>
      <c r="S283" s="1">
        <f t="shared" si="123"/>
        <v>0</v>
      </c>
      <c r="T283" s="1">
        <f t="shared" si="124"/>
        <v>0</v>
      </c>
      <c r="U283" s="1">
        <f t="shared" si="125"/>
        <v>0</v>
      </c>
      <c r="V283" s="1">
        <f t="shared" si="126"/>
        <v>0</v>
      </c>
      <c r="W283" s="1">
        <f t="shared" si="127"/>
        <v>0</v>
      </c>
      <c r="X283" s="1">
        <f t="shared" si="128"/>
        <v>0</v>
      </c>
      <c r="Y283" s="1">
        <f t="shared" si="129"/>
        <v>0</v>
      </c>
      <c r="Z283" s="1">
        <f t="shared" si="130"/>
        <v>0</v>
      </c>
      <c r="AA283" s="1">
        <f t="shared" si="131"/>
        <v>0</v>
      </c>
      <c r="AB283" s="1">
        <f t="shared" si="132"/>
        <v>0</v>
      </c>
      <c r="AD283" s="1">
        <f t="shared" si="133"/>
        <v>0</v>
      </c>
      <c r="AE283" s="1">
        <f t="shared" si="134"/>
        <v>1</v>
      </c>
      <c r="AF283" s="1">
        <f t="shared" si="119"/>
        <v>0</v>
      </c>
      <c r="AG283" s="1">
        <f t="shared" si="120"/>
        <v>0</v>
      </c>
      <c r="AH283" s="1">
        <f t="shared" si="121"/>
        <v>0</v>
      </c>
      <c r="AI283" s="1">
        <f t="shared" si="122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1078</v>
      </c>
      <c r="E284" s="35" t="s">
        <v>1321</v>
      </c>
      <c r="F284" s="35" t="s">
        <v>1093</v>
      </c>
      <c r="G284" s="35" t="s">
        <v>203</v>
      </c>
      <c r="H284" s="35" t="s">
        <v>355</v>
      </c>
      <c r="I284" s="34" t="s">
        <v>387</v>
      </c>
      <c r="J284" s="34">
        <v>10</v>
      </c>
      <c r="K284" s="36" t="s">
        <v>716</v>
      </c>
      <c r="L284" s="36" t="s">
        <v>717</v>
      </c>
      <c r="M284" s="37" t="s">
        <v>718</v>
      </c>
      <c r="N284" s="37" t="s">
        <v>1763</v>
      </c>
      <c r="O284" s="38">
        <v>1</v>
      </c>
      <c r="P284" s="38"/>
      <c r="Q284" s="35"/>
      <c r="S284" s="1">
        <f t="shared" si="123"/>
        <v>0</v>
      </c>
      <c r="T284" s="1">
        <f t="shared" si="124"/>
        <v>0</v>
      </c>
      <c r="U284" s="1">
        <f t="shared" si="125"/>
        <v>0</v>
      </c>
      <c r="V284" s="1">
        <f t="shared" si="126"/>
        <v>0</v>
      </c>
      <c r="W284" s="1">
        <f t="shared" si="127"/>
        <v>0</v>
      </c>
      <c r="X284" s="1">
        <f t="shared" si="128"/>
        <v>0</v>
      </c>
      <c r="Y284" s="1">
        <f t="shared" si="129"/>
        <v>0</v>
      </c>
      <c r="Z284" s="1">
        <f t="shared" si="130"/>
        <v>0</v>
      </c>
      <c r="AA284" s="1">
        <f t="shared" si="131"/>
        <v>0</v>
      </c>
      <c r="AB284" s="1">
        <f t="shared" si="132"/>
        <v>1</v>
      </c>
      <c r="AD284" s="1">
        <f t="shared" si="133"/>
        <v>0</v>
      </c>
      <c r="AE284" s="1">
        <f t="shared" si="134"/>
        <v>1</v>
      </c>
      <c r="AF284" s="1">
        <f t="shared" si="119"/>
        <v>0</v>
      </c>
      <c r="AG284" s="1">
        <f t="shared" si="120"/>
        <v>1</v>
      </c>
      <c r="AH284" s="1">
        <f t="shared" si="121"/>
        <v>0</v>
      </c>
      <c r="AI284" s="1">
        <f t="shared" si="122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1280</v>
      </c>
      <c r="E285" s="35" t="s">
        <v>563</v>
      </c>
      <c r="F285" s="35" t="s">
        <v>1281</v>
      </c>
      <c r="G285" s="35" t="s">
        <v>259</v>
      </c>
      <c r="H285" s="35" t="s">
        <v>355</v>
      </c>
      <c r="I285" s="34" t="s">
        <v>1282</v>
      </c>
      <c r="J285" s="34">
        <v>8</v>
      </c>
      <c r="K285" s="36" t="s">
        <v>958</v>
      </c>
      <c r="L285" s="36" t="s">
        <v>717</v>
      </c>
      <c r="M285" s="37" t="s">
        <v>718</v>
      </c>
      <c r="N285" s="37" t="s">
        <v>1755</v>
      </c>
      <c r="O285" s="38">
        <v>1</v>
      </c>
      <c r="P285" s="38"/>
      <c r="Q285" s="35"/>
      <c r="S285" s="1">
        <f t="shared" si="123"/>
        <v>0</v>
      </c>
      <c r="T285" s="1">
        <f t="shared" si="124"/>
        <v>0</v>
      </c>
      <c r="U285" s="1">
        <f t="shared" si="125"/>
        <v>0</v>
      </c>
      <c r="V285" s="1">
        <f t="shared" si="126"/>
        <v>0</v>
      </c>
      <c r="W285" s="1">
        <f t="shared" si="127"/>
        <v>0</v>
      </c>
      <c r="X285" s="1">
        <f t="shared" si="128"/>
        <v>0</v>
      </c>
      <c r="Y285" s="1">
        <f t="shared" si="129"/>
        <v>0</v>
      </c>
      <c r="Z285" s="1">
        <f t="shared" si="130"/>
        <v>1</v>
      </c>
      <c r="AA285" s="1">
        <f t="shared" si="131"/>
        <v>0</v>
      </c>
      <c r="AB285" s="1">
        <f t="shared" si="132"/>
        <v>0</v>
      </c>
      <c r="AD285" s="1">
        <f t="shared" si="133"/>
        <v>0</v>
      </c>
      <c r="AE285" s="1">
        <f t="shared" si="134"/>
        <v>1</v>
      </c>
      <c r="AF285" s="1">
        <f t="shared" si="119"/>
        <v>0</v>
      </c>
      <c r="AG285" s="1">
        <f t="shared" si="120"/>
        <v>1</v>
      </c>
      <c r="AH285" s="1">
        <f t="shared" si="121"/>
        <v>0</v>
      </c>
      <c r="AI285" s="1">
        <f t="shared" si="122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580</v>
      </c>
      <c r="F286" s="48" t="s">
        <v>190</v>
      </c>
      <c r="G286" s="48" t="s">
        <v>301</v>
      </c>
      <c r="H286" s="48" t="s">
        <v>355</v>
      </c>
      <c r="I286" s="47" t="s">
        <v>386</v>
      </c>
      <c r="J286" s="47">
        <v>99</v>
      </c>
      <c r="K286" s="49" t="s">
        <v>717</v>
      </c>
      <c r="L286" s="49" t="s">
        <v>717</v>
      </c>
      <c r="M286" s="50" t="s">
        <v>718</v>
      </c>
      <c r="N286" s="50" t="s">
        <v>1754</v>
      </c>
      <c r="O286" s="51"/>
      <c r="P286" s="51"/>
      <c r="Q286" s="48"/>
      <c r="S286" s="1">
        <f t="shared" si="123"/>
        <v>0</v>
      </c>
      <c r="T286" s="1">
        <f t="shared" si="124"/>
        <v>0</v>
      </c>
      <c r="U286" s="1">
        <f t="shared" si="125"/>
        <v>0</v>
      </c>
      <c r="V286" s="1">
        <f t="shared" si="126"/>
        <v>0</v>
      </c>
      <c r="W286" s="1">
        <f t="shared" si="127"/>
        <v>0</v>
      </c>
      <c r="X286" s="1">
        <f t="shared" si="128"/>
        <v>0</v>
      </c>
      <c r="Y286" s="1">
        <f t="shared" si="129"/>
        <v>0</v>
      </c>
      <c r="Z286" s="1">
        <f t="shared" si="130"/>
        <v>0</v>
      </c>
      <c r="AA286" s="1">
        <f t="shared" si="131"/>
        <v>0</v>
      </c>
      <c r="AB286" s="1">
        <f t="shared" si="132"/>
        <v>0</v>
      </c>
      <c r="AD286" s="1">
        <f t="shared" si="133"/>
        <v>0</v>
      </c>
      <c r="AE286" s="1">
        <f t="shared" si="134"/>
        <v>0</v>
      </c>
      <c r="AF286" s="1">
        <f t="shared" si="119"/>
        <v>0</v>
      </c>
      <c r="AG286" s="1">
        <f t="shared" si="120"/>
        <v>0</v>
      </c>
      <c r="AH286" s="1">
        <f t="shared" si="121"/>
        <v>0</v>
      </c>
      <c r="AI286" s="1">
        <f t="shared" si="122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163</v>
      </c>
      <c r="F287" s="16" t="s">
        <v>669</v>
      </c>
      <c r="G287" s="16" t="s">
        <v>222</v>
      </c>
      <c r="H287" s="16" t="s">
        <v>355</v>
      </c>
      <c r="I287" s="15" t="s">
        <v>397</v>
      </c>
      <c r="J287" s="15">
        <v>99</v>
      </c>
      <c r="K287" s="10" t="s">
        <v>965</v>
      </c>
      <c r="L287" s="10" t="s">
        <v>717</v>
      </c>
      <c r="M287" s="19" t="s">
        <v>718</v>
      </c>
      <c r="N287" s="19"/>
      <c r="Q287" s="16"/>
      <c r="S287" s="1">
        <f t="shared" si="123"/>
        <v>0</v>
      </c>
      <c r="T287" s="1">
        <f t="shared" si="124"/>
        <v>0</v>
      </c>
      <c r="U287" s="1">
        <f t="shared" si="125"/>
        <v>0</v>
      </c>
      <c r="V287" s="1">
        <f t="shared" si="126"/>
        <v>0</v>
      </c>
      <c r="W287" s="1">
        <f t="shared" si="127"/>
        <v>0</v>
      </c>
      <c r="X287" s="1">
        <f t="shared" si="128"/>
        <v>0</v>
      </c>
      <c r="Y287" s="1">
        <f t="shared" si="129"/>
        <v>0</v>
      </c>
      <c r="Z287" s="1">
        <f t="shared" si="130"/>
        <v>0</v>
      </c>
      <c r="AA287" s="1">
        <f t="shared" si="131"/>
        <v>0</v>
      </c>
      <c r="AB287" s="1">
        <f t="shared" si="132"/>
        <v>0</v>
      </c>
      <c r="AD287" s="1">
        <f t="shared" si="133"/>
        <v>0</v>
      </c>
      <c r="AE287" s="1">
        <f t="shared" si="134"/>
        <v>0</v>
      </c>
      <c r="AF287" s="1">
        <f t="shared" si="119"/>
        <v>0</v>
      </c>
      <c r="AG287" s="1">
        <f t="shared" si="120"/>
        <v>0</v>
      </c>
      <c r="AH287" s="1">
        <f t="shared" si="121"/>
        <v>0</v>
      </c>
      <c r="AI287" s="1">
        <f t="shared" si="122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517</v>
      </c>
      <c r="E288" s="35" t="s">
        <v>563</v>
      </c>
      <c r="F288" s="35" t="s">
        <v>230</v>
      </c>
      <c r="G288" s="35" t="s">
        <v>231</v>
      </c>
      <c r="H288" s="35" t="s">
        <v>355</v>
      </c>
      <c r="I288" s="34" t="s">
        <v>401</v>
      </c>
      <c r="J288" s="34">
        <v>7</v>
      </c>
      <c r="K288" s="36" t="s">
        <v>958</v>
      </c>
      <c r="L288" s="36" t="s">
        <v>717</v>
      </c>
      <c r="M288" s="37" t="s">
        <v>718</v>
      </c>
      <c r="N288" s="37" t="s">
        <v>1756</v>
      </c>
      <c r="O288" s="38">
        <v>1</v>
      </c>
      <c r="P288" s="38"/>
      <c r="Q288" s="35"/>
      <c r="S288" s="1">
        <f t="shared" si="123"/>
        <v>0</v>
      </c>
      <c r="T288" s="1">
        <f t="shared" si="124"/>
        <v>0</v>
      </c>
      <c r="U288" s="1">
        <f t="shared" si="125"/>
        <v>0</v>
      </c>
      <c r="V288" s="1">
        <f t="shared" si="126"/>
        <v>0</v>
      </c>
      <c r="W288" s="1">
        <f t="shared" si="127"/>
        <v>0</v>
      </c>
      <c r="X288" s="1">
        <f t="shared" si="128"/>
        <v>0</v>
      </c>
      <c r="Y288" s="1">
        <f t="shared" si="129"/>
        <v>1</v>
      </c>
      <c r="Z288" s="1">
        <f t="shared" si="130"/>
        <v>0</v>
      </c>
      <c r="AA288" s="1">
        <f t="shared" si="131"/>
        <v>0</v>
      </c>
      <c r="AB288" s="1">
        <f t="shared" si="132"/>
        <v>0</v>
      </c>
      <c r="AD288" s="1">
        <f t="shared" si="133"/>
        <v>0</v>
      </c>
      <c r="AE288" s="1">
        <f t="shared" si="134"/>
        <v>1</v>
      </c>
      <c r="AF288" s="1">
        <f t="shared" si="119"/>
        <v>0</v>
      </c>
      <c r="AG288" s="1">
        <f t="shared" si="120"/>
        <v>1</v>
      </c>
      <c r="AH288" s="1">
        <f t="shared" si="121"/>
        <v>0</v>
      </c>
      <c r="AI288" s="1">
        <f t="shared" si="122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562</v>
      </c>
      <c r="E289" s="48" t="s">
        <v>563</v>
      </c>
      <c r="F289" s="48" t="s">
        <v>564</v>
      </c>
      <c r="G289" s="48" t="s">
        <v>209</v>
      </c>
      <c r="H289" s="48" t="s">
        <v>355</v>
      </c>
      <c r="I289" s="47" t="s">
        <v>565</v>
      </c>
      <c r="J289" s="47">
        <v>3</v>
      </c>
      <c r="K289" s="49" t="s">
        <v>716</v>
      </c>
      <c r="L289" s="49" t="s">
        <v>717</v>
      </c>
      <c r="M289" s="50" t="s">
        <v>718</v>
      </c>
      <c r="N289" s="50" t="s">
        <v>1754</v>
      </c>
      <c r="O289" s="51"/>
      <c r="P289" s="51"/>
      <c r="Q289" s="48"/>
      <c r="S289" s="1">
        <f t="shared" si="123"/>
        <v>0</v>
      </c>
      <c r="T289" s="1">
        <f t="shared" si="124"/>
        <v>0</v>
      </c>
      <c r="U289" s="1">
        <f t="shared" si="125"/>
        <v>1</v>
      </c>
      <c r="V289" s="1">
        <f t="shared" si="126"/>
        <v>0</v>
      </c>
      <c r="W289" s="1">
        <f t="shared" si="127"/>
        <v>0</v>
      </c>
      <c r="X289" s="1">
        <f t="shared" si="128"/>
        <v>0</v>
      </c>
      <c r="Y289" s="1">
        <f t="shared" si="129"/>
        <v>0</v>
      </c>
      <c r="Z289" s="1">
        <f t="shared" si="130"/>
        <v>0</v>
      </c>
      <c r="AA289" s="1">
        <f t="shared" si="131"/>
        <v>0</v>
      </c>
      <c r="AB289" s="1">
        <f t="shared" si="132"/>
        <v>0</v>
      </c>
      <c r="AD289" s="1">
        <f t="shared" si="133"/>
        <v>0</v>
      </c>
      <c r="AE289" s="1">
        <f t="shared" si="134"/>
        <v>0</v>
      </c>
      <c r="AF289" s="1">
        <f t="shared" si="119"/>
        <v>0</v>
      </c>
      <c r="AG289" s="1">
        <f t="shared" si="120"/>
        <v>0</v>
      </c>
      <c r="AH289" s="1">
        <f t="shared" si="121"/>
        <v>0</v>
      </c>
      <c r="AI289" s="1">
        <f t="shared" si="122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1057</v>
      </c>
      <c r="E290" s="39" t="s">
        <v>32</v>
      </c>
      <c r="F290" s="39" t="s">
        <v>1284</v>
      </c>
      <c r="G290" s="39" t="s">
        <v>537</v>
      </c>
      <c r="H290" s="39" t="s">
        <v>355</v>
      </c>
      <c r="I290" s="40" t="s">
        <v>1285</v>
      </c>
      <c r="J290" s="40">
        <v>6</v>
      </c>
      <c r="K290" s="59" t="s">
        <v>717</v>
      </c>
      <c r="L290" s="36" t="s">
        <v>717</v>
      </c>
      <c r="M290" s="37" t="s">
        <v>718</v>
      </c>
      <c r="N290" s="37" t="s">
        <v>1755</v>
      </c>
      <c r="O290" s="38">
        <v>1</v>
      </c>
      <c r="P290" s="38"/>
      <c r="Q290" s="39"/>
      <c r="S290" s="1">
        <f t="shared" si="123"/>
        <v>0</v>
      </c>
      <c r="T290" s="1">
        <f t="shared" si="124"/>
        <v>0</v>
      </c>
      <c r="U290" s="1">
        <f t="shared" si="125"/>
        <v>0</v>
      </c>
      <c r="V290" s="1">
        <f t="shared" si="126"/>
        <v>0</v>
      </c>
      <c r="W290" s="1">
        <f t="shared" si="127"/>
        <v>0</v>
      </c>
      <c r="X290" s="1">
        <f t="shared" si="128"/>
        <v>1</v>
      </c>
      <c r="Y290" s="1">
        <f t="shared" si="129"/>
        <v>0</v>
      </c>
      <c r="Z290" s="1">
        <f t="shared" si="130"/>
        <v>0</v>
      </c>
      <c r="AA290" s="1">
        <f t="shared" si="131"/>
        <v>0</v>
      </c>
      <c r="AB290" s="1">
        <f t="shared" si="132"/>
        <v>0</v>
      </c>
      <c r="AD290" s="1">
        <f t="shared" si="133"/>
        <v>0</v>
      </c>
      <c r="AE290" s="1">
        <f t="shared" si="134"/>
        <v>1</v>
      </c>
      <c r="AF290" s="1">
        <f t="shared" si="119"/>
        <v>0</v>
      </c>
      <c r="AG290" s="1">
        <f t="shared" si="120"/>
        <v>1</v>
      </c>
      <c r="AH290" s="1">
        <f t="shared" si="121"/>
        <v>0</v>
      </c>
      <c r="AI290" s="1">
        <f t="shared" si="122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921</v>
      </c>
      <c r="E291" s="48" t="s">
        <v>1340</v>
      </c>
      <c r="F291" s="48" t="s">
        <v>793</v>
      </c>
      <c r="G291" s="48" t="s">
        <v>258</v>
      </c>
      <c r="H291" s="48" t="s">
        <v>355</v>
      </c>
      <c r="I291" s="47" t="s">
        <v>948</v>
      </c>
      <c r="J291" s="47">
        <v>99</v>
      </c>
      <c r="K291" s="49" t="s">
        <v>716</v>
      </c>
      <c r="L291" s="49" t="s">
        <v>717</v>
      </c>
      <c r="M291" s="50" t="s">
        <v>718</v>
      </c>
      <c r="N291" s="50" t="s">
        <v>1741</v>
      </c>
      <c r="O291" s="51"/>
      <c r="P291" s="51"/>
      <c r="Q291" s="48"/>
      <c r="S291" s="1">
        <f t="shared" si="123"/>
        <v>0</v>
      </c>
      <c r="T291" s="1">
        <f t="shared" si="124"/>
        <v>0</v>
      </c>
      <c r="U291" s="1">
        <f t="shared" si="125"/>
        <v>0</v>
      </c>
      <c r="V291" s="1">
        <f t="shared" si="126"/>
        <v>0</v>
      </c>
      <c r="W291" s="1">
        <f t="shared" si="127"/>
        <v>0</v>
      </c>
      <c r="X291" s="1">
        <f t="shared" si="128"/>
        <v>0</v>
      </c>
      <c r="Y291" s="1">
        <f t="shared" si="129"/>
        <v>0</v>
      </c>
      <c r="Z291" s="1">
        <f t="shared" si="130"/>
        <v>0</v>
      </c>
      <c r="AA291" s="1">
        <f t="shared" si="131"/>
        <v>0</v>
      </c>
      <c r="AB291" s="1">
        <f t="shared" si="132"/>
        <v>0</v>
      </c>
      <c r="AD291" s="1">
        <f t="shared" si="133"/>
        <v>0</v>
      </c>
      <c r="AE291" s="1">
        <f t="shared" si="134"/>
        <v>0</v>
      </c>
      <c r="AF291" s="1">
        <f t="shared" si="119"/>
        <v>0</v>
      </c>
      <c r="AG291" s="1">
        <f t="shared" si="120"/>
        <v>0</v>
      </c>
      <c r="AH291" s="1">
        <f t="shared" si="121"/>
        <v>0</v>
      </c>
      <c r="AI291" s="1">
        <f t="shared" si="122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1778</v>
      </c>
      <c r="E292" s="39" t="s">
        <v>1779</v>
      </c>
      <c r="F292" s="39" t="s">
        <v>1780</v>
      </c>
      <c r="G292" s="39" t="s">
        <v>181</v>
      </c>
      <c r="H292" s="39" t="s">
        <v>355</v>
      </c>
      <c r="I292" s="40" t="s">
        <v>1781</v>
      </c>
      <c r="J292" s="40"/>
      <c r="K292" s="59" t="s">
        <v>707</v>
      </c>
      <c r="L292" s="36">
        <v>4</v>
      </c>
      <c r="M292" s="37" t="s">
        <v>718</v>
      </c>
      <c r="N292" s="37" t="s">
        <v>1750</v>
      </c>
      <c r="O292" s="38">
        <v>1</v>
      </c>
      <c r="P292" s="38"/>
      <c r="Q292" s="39"/>
      <c r="S292" s="1">
        <f t="shared" si="123"/>
        <v>0</v>
      </c>
      <c r="T292" s="1">
        <f t="shared" si="124"/>
        <v>0</v>
      </c>
      <c r="U292" s="1">
        <f t="shared" si="125"/>
        <v>0</v>
      </c>
      <c r="V292" s="1">
        <f t="shared" si="126"/>
        <v>0</v>
      </c>
      <c r="W292" s="1">
        <f t="shared" si="127"/>
        <v>0</v>
      </c>
      <c r="X292" s="1">
        <f t="shared" si="128"/>
        <v>0</v>
      </c>
      <c r="Y292" s="1">
        <f t="shared" si="129"/>
        <v>0</v>
      </c>
      <c r="Z292" s="1">
        <f t="shared" si="130"/>
        <v>0</v>
      </c>
      <c r="AA292" s="1">
        <f t="shared" si="131"/>
        <v>0</v>
      </c>
      <c r="AB292" s="1">
        <f t="shared" si="132"/>
        <v>0</v>
      </c>
      <c r="AD292" s="1">
        <f t="shared" si="133"/>
        <v>0</v>
      </c>
      <c r="AE292" s="1">
        <f t="shared" si="134"/>
        <v>1</v>
      </c>
      <c r="AF292" s="1">
        <f t="shared" si="119"/>
        <v>0</v>
      </c>
      <c r="AG292" s="1">
        <f t="shared" si="120"/>
        <v>1</v>
      </c>
      <c r="AH292" s="1">
        <f t="shared" si="121"/>
        <v>0</v>
      </c>
      <c r="AI292" s="1">
        <f t="shared" si="122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621</v>
      </c>
      <c r="E293" s="35" t="s">
        <v>622</v>
      </c>
      <c r="F293" s="35" t="s">
        <v>623</v>
      </c>
      <c r="G293" s="35" t="s">
        <v>624</v>
      </c>
      <c r="H293" s="35" t="s">
        <v>355</v>
      </c>
      <c r="I293" s="34" t="s">
        <v>625</v>
      </c>
      <c r="J293" s="34">
        <v>99</v>
      </c>
      <c r="K293" s="36" t="s">
        <v>716</v>
      </c>
      <c r="L293" s="36" t="s">
        <v>717</v>
      </c>
      <c r="M293" s="37" t="s">
        <v>718</v>
      </c>
      <c r="N293" s="37" t="s">
        <v>1763</v>
      </c>
      <c r="O293" s="38">
        <v>1</v>
      </c>
      <c r="P293" s="38"/>
      <c r="Q293" s="35"/>
      <c r="S293" s="1">
        <f t="shared" si="123"/>
        <v>0</v>
      </c>
      <c r="T293" s="1">
        <f t="shared" si="124"/>
        <v>0</v>
      </c>
      <c r="U293" s="1">
        <f t="shared" si="125"/>
        <v>0</v>
      </c>
      <c r="V293" s="1">
        <f t="shared" si="126"/>
        <v>0</v>
      </c>
      <c r="W293" s="1">
        <f t="shared" si="127"/>
        <v>0</v>
      </c>
      <c r="X293" s="1">
        <f t="shared" si="128"/>
        <v>0</v>
      </c>
      <c r="Y293" s="1">
        <f t="shared" si="129"/>
        <v>0</v>
      </c>
      <c r="Z293" s="1">
        <f t="shared" si="130"/>
        <v>0</v>
      </c>
      <c r="AA293" s="1">
        <f t="shared" si="131"/>
        <v>0</v>
      </c>
      <c r="AB293" s="1">
        <f t="shared" si="132"/>
        <v>0</v>
      </c>
      <c r="AD293" s="1">
        <f t="shared" si="133"/>
        <v>0</v>
      </c>
      <c r="AE293" s="1">
        <f t="shared" si="134"/>
        <v>1</v>
      </c>
      <c r="AF293" s="1">
        <f t="shared" si="119"/>
        <v>0</v>
      </c>
      <c r="AG293" s="1">
        <f t="shared" si="120"/>
        <v>1</v>
      </c>
      <c r="AH293" s="1">
        <f t="shared" si="121"/>
        <v>0</v>
      </c>
      <c r="AI293" s="1">
        <f t="shared" si="122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1084</v>
      </c>
      <c r="E294" s="48" t="s">
        <v>1341</v>
      </c>
      <c r="F294" s="48" t="s">
        <v>1670</v>
      </c>
      <c r="G294" s="48" t="s">
        <v>191</v>
      </c>
      <c r="H294" s="48" t="s">
        <v>355</v>
      </c>
      <c r="I294" s="67" t="s">
        <v>1868</v>
      </c>
      <c r="J294" s="47">
        <v>99</v>
      </c>
      <c r="K294" s="49" t="s">
        <v>716</v>
      </c>
      <c r="L294" s="49" t="s">
        <v>717</v>
      </c>
      <c r="M294" s="50" t="s">
        <v>718</v>
      </c>
      <c r="N294" s="50" t="s">
        <v>1742</v>
      </c>
      <c r="O294" s="51"/>
      <c r="P294" s="51"/>
      <c r="Q294" s="48"/>
      <c r="S294" s="1">
        <f t="shared" si="123"/>
        <v>0</v>
      </c>
      <c r="T294" s="1">
        <f t="shared" si="124"/>
        <v>0</v>
      </c>
      <c r="U294" s="1">
        <f t="shared" si="125"/>
        <v>0</v>
      </c>
      <c r="V294" s="1">
        <f t="shared" si="126"/>
        <v>0</v>
      </c>
      <c r="W294" s="1">
        <f t="shared" si="127"/>
        <v>0</v>
      </c>
      <c r="X294" s="1">
        <f t="shared" si="128"/>
        <v>0</v>
      </c>
      <c r="Y294" s="1">
        <f t="shared" si="129"/>
        <v>0</v>
      </c>
      <c r="Z294" s="1">
        <f t="shared" si="130"/>
        <v>0</v>
      </c>
      <c r="AA294" s="1">
        <f t="shared" si="131"/>
        <v>0</v>
      </c>
      <c r="AB294" s="1">
        <f t="shared" si="132"/>
        <v>0</v>
      </c>
      <c r="AD294" s="1">
        <f t="shared" si="133"/>
        <v>0</v>
      </c>
      <c r="AE294" s="1">
        <f t="shared" si="134"/>
        <v>0</v>
      </c>
      <c r="AF294" s="1">
        <f t="shared" si="119"/>
        <v>0</v>
      </c>
      <c r="AG294" s="1">
        <f t="shared" si="120"/>
        <v>0</v>
      </c>
      <c r="AH294" s="1">
        <f t="shared" si="121"/>
        <v>0</v>
      </c>
      <c r="AI294" s="1">
        <f t="shared" si="122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653</v>
      </c>
      <c r="E295" s="16" t="s">
        <v>36</v>
      </c>
      <c r="F295" s="16" t="s">
        <v>670</v>
      </c>
      <c r="G295" s="16" t="s">
        <v>202</v>
      </c>
      <c r="H295" s="16" t="s">
        <v>355</v>
      </c>
      <c r="I295" s="15" t="s">
        <v>1009</v>
      </c>
      <c r="J295" s="15">
        <v>99</v>
      </c>
      <c r="K295" s="10" t="s">
        <v>707</v>
      </c>
      <c r="L295" s="10">
        <v>4</v>
      </c>
      <c r="M295" s="19" t="s">
        <v>718</v>
      </c>
      <c r="N295" s="17"/>
      <c r="Q295" s="16"/>
      <c r="S295" s="1">
        <f t="shared" si="123"/>
        <v>0</v>
      </c>
      <c r="T295" s="1">
        <f t="shared" si="124"/>
        <v>0</v>
      </c>
      <c r="U295" s="1">
        <f t="shared" si="125"/>
        <v>0</v>
      </c>
      <c r="V295" s="1">
        <f t="shared" si="126"/>
        <v>0</v>
      </c>
      <c r="W295" s="1">
        <f t="shared" si="127"/>
        <v>0</v>
      </c>
      <c r="X295" s="1">
        <f t="shared" si="128"/>
        <v>0</v>
      </c>
      <c r="Y295" s="1">
        <f t="shared" si="129"/>
        <v>0</v>
      </c>
      <c r="Z295" s="1">
        <f t="shared" si="130"/>
        <v>0</v>
      </c>
      <c r="AA295" s="1">
        <f t="shared" si="131"/>
        <v>0</v>
      </c>
      <c r="AB295" s="1">
        <f t="shared" si="132"/>
        <v>0</v>
      </c>
      <c r="AD295" s="1">
        <f t="shared" si="133"/>
        <v>0</v>
      </c>
      <c r="AE295" s="1">
        <f t="shared" si="134"/>
        <v>0</v>
      </c>
      <c r="AF295" s="1">
        <f t="shared" si="119"/>
        <v>0</v>
      </c>
      <c r="AG295" s="1">
        <f t="shared" si="120"/>
        <v>0</v>
      </c>
      <c r="AH295" s="1">
        <f t="shared" si="121"/>
        <v>0</v>
      </c>
      <c r="AI295" s="1">
        <f t="shared" si="122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1271</v>
      </c>
      <c r="E296" s="48" t="s">
        <v>1272</v>
      </c>
      <c r="F296" s="48" t="s">
        <v>1273</v>
      </c>
      <c r="G296" s="48" t="s">
        <v>1171</v>
      </c>
      <c r="H296" s="48" t="s">
        <v>355</v>
      </c>
      <c r="I296" s="47" t="s">
        <v>1274</v>
      </c>
      <c r="J296" s="47">
        <v>11</v>
      </c>
      <c r="K296" s="49" t="s">
        <v>707</v>
      </c>
      <c r="L296" s="49">
        <v>6</v>
      </c>
      <c r="M296" s="50" t="s">
        <v>1735</v>
      </c>
      <c r="N296" s="50" t="s">
        <v>1816</v>
      </c>
      <c r="O296" s="51"/>
      <c r="P296" s="51"/>
      <c r="Q296" s="48"/>
      <c r="S296" s="1">
        <f t="shared" si="123"/>
        <v>0</v>
      </c>
      <c r="T296" s="1">
        <f t="shared" si="124"/>
        <v>0</v>
      </c>
      <c r="U296" s="1">
        <f t="shared" si="125"/>
        <v>0</v>
      </c>
      <c r="V296" s="1">
        <f t="shared" si="126"/>
        <v>0</v>
      </c>
      <c r="W296" s="1">
        <f t="shared" si="127"/>
        <v>0</v>
      </c>
      <c r="X296" s="1">
        <f t="shared" si="128"/>
        <v>0</v>
      </c>
      <c r="Y296" s="1">
        <f t="shared" si="129"/>
        <v>0</v>
      </c>
      <c r="Z296" s="1">
        <f t="shared" si="130"/>
        <v>0</v>
      </c>
      <c r="AA296" s="1">
        <f t="shared" si="131"/>
        <v>0</v>
      </c>
      <c r="AB296" s="1">
        <f t="shared" si="132"/>
        <v>0</v>
      </c>
      <c r="AD296" s="1">
        <f t="shared" si="133"/>
        <v>0</v>
      </c>
      <c r="AE296" s="1">
        <f t="shared" si="134"/>
        <v>0</v>
      </c>
      <c r="AF296" s="1">
        <f t="shared" si="119"/>
        <v>0</v>
      </c>
      <c r="AG296" s="1">
        <f t="shared" si="120"/>
        <v>0</v>
      </c>
      <c r="AH296" s="1">
        <f t="shared" si="121"/>
        <v>0</v>
      </c>
      <c r="AI296" s="1">
        <f t="shared" si="122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1127</v>
      </c>
      <c r="E297" s="35" t="s">
        <v>1321</v>
      </c>
      <c r="F297" s="35" t="s">
        <v>1125</v>
      </c>
      <c r="G297" s="35" t="s">
        <v>231</v>
      </c>
      <c r="H297" s="35" t="s">
        <v>355</v>
      </c>
      <c r="I297" s="34" t="s">
        <v>1126</v>
      </c>
      <c r="J297" s="34">
        <v>7</v>
      </c>
      <c r="K297" s="36" t="s">
        <v>717</v>
      </c>
      <c r="L297" s="36" t="s">
        <v>1716</v>
      </c>
      <c r="M297" s="37" t="s">
        <v>718</v>
      </c>
      <c r="N297" s="37" t="s">
        <v>1763</v>
      </c>
      <c r="O297" s="38">
        <v>1</v>
      </c>
      <c r="P297" s="38"/>
      <c r="Q297" s="35"/>
      <c r="S297" s="1">
        <f t="shared" si="123"/>
        <v>0</v>
      </c>
      <c r="T297" s="1">
        <f t="shared" si="124"/>
        <v>0</v>
      </c>
      <c r="U297" s="1">
        <f t="shared" si="125"/>
        <v>0</v>
      </c>
      <c r="V297" s="1">
        <f t="shared" si="126"/>
        <v>0</v>
      </c>
      <c r="W297" s="1">
        <f t="shared" si="127"/>
        <v>0</v>
      </c>
      <c r="X297" s="1">
        <f t="shared" si="128"/>
        <v>0</v>
      </c>
      <c r="Y297" s="1">
        <f t="shared" si="129"/>
        <v>1</v>
      </c>
      <c r="Z297" s="1">
        <f t="shared" si="130"/>
        <v>0</v>
      </c>
      <c r="AA297" s="1">
        <f t="shared" si="131"/>
        <v>0</v>
      </c>
      <c r="AB297" s="1">
        <f t="shared" si="132"/>
        <v>0</v>
      </c>
      <c r="AD297" s="1">
        <f t="shared" si="133"/>
        <v>0</v>
      </c>
      <c r="AE297" s="1">
        <f t="shared" si="134"/>
        <v>1</v>
      </c>
      <c r="AF297" s="1">
        <f t="shared" si="119"/>
        <v>0</v>
      </c>
      <c r="AG297" s="1">
        <f t="shared" si="120"/>
        <v>1</v>
      </c>
      <c r="AH297" s="1">
        <f t="shared" si="121"/>
        <v>0</v>
      </c>
      <c r="AI297" s="1">
        <f t="shared" si="122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1012</v>
      </c>
      <c r="E298" s="35" t="s">
        <v>1343</v>
      </c>
      <c r="F298" s="35" t="s">
        <v>1013</v>
      </c>
      <c r="G298" s="35" t="s">
        <v>1104</v>
      </c>
      <c r="H298" s="35" t="s">
        <v>355</v>
      </c>
      <c r="I298" s="34" t="s">
        <v>409</v>
      </c>
      <c r="J298" s="34">
        <v>99</v>
      </c>
      <c r="K298" s="36" t="s">
        <v>717</v>
      </c>
      <c r="L298" s="36" t="s">
        <v>717</v>
      </c>
      <c r="M298" s="37" t="s">
        <v>718</v>
      </c>
      <c r="N298" s="37" t="s">
        <v>1750</v>
      </c>
      <c r="O298" s="38">
        <v>1</v>
      </c>
      <c r="P298" s="38"/>
      <c r="Q298" s="35"/>
      <c r="S298" s="1">
        <f t="shared" si="123"/>
        <v>0</v>
      </c>
      <c r="T298" s="1">
        <f t="shared" si="124"/>
        <v>0</v>
      </c>
      <c r="U298" s="1">
        <f t="shared" si="125"/>
        <v>0</v>
      </c>
      <c r="V298" s="1">
        <f t="shared" si="126"/>
        <v>0</v>
      </c>
      <c r="W298" s="1">
        <f t="shared" si="127"/>
        <v>0</v>
      </c>
      <c r="X298" s="1">
        <f t="shared" si="128"/>
        <v>0</v>
      </c>
      <c r="Y298" s="1">
        <f t="shared" si="129"/>
        <v>0</v>
      </c>
      <c r="Z298" s="1">
        <f t="shared" si="130"/>
        <v>0</v>
      </c>
      <c r="AA298" s="1">
        <f t="shared" si="131"/>
        <v>0</v>
      </c>
      <c r="AB298" s="1">
        <f t="shared" si="132"/>
        <v>0</v>
      </c>
      <c r="AD298" s="1">
        <f t="shared" si="133"/>
        <v>0</v>
      </c>
      <c r="AE298" s="1">
        <f t="shared" si="134"/>
        <v>1</v>
      </c>
      <c r="AF298" s="1">
        <f t="shared" si="119"/>
        <v>0</v>
      </c>
      <c r="AG298" s="1">
        <f t="shared" si="120"/>
        <v>1</v>
      </c>
      <c r="AH298" s="1">
        <f t="shared" si="121"/>
        <v>0</v>
      </c>
      <c r="AI298" s="1">
        <f t="shared" si="122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1134</v>
      </c>
      <c r="E299" s="53" t="s">
        <v>563</v>
      </c>
      <c r="F299" s="53" t="s">
        <v>1361</v>
      </c>
      <c r="G299" s="53" t="s">
        <v>266</v>
      </c>
      <c r="H299" s="53" t="s">
        <v>355</v>
      </c>
      <c r="I299" s="52" t="s">
        <v>1135</v>
      </c>
      <c r="J299" s="52">
        <v>8</v>
      </c>
      <c r="K299" s="54" t="s">
        <v>716</v>
      </c>
      <c r="L299" s="54" t="s">
        <v>1716</v>
      </c>
      <c r="M299" s="55" t="s">
        <v>718</v>
      </c>
      <c r="N299" s="55" t="s">
        <v>1755</v>
      </c>
      <c r="O299" s="56">
        <v>1</v>
      </c>
      <c r="P299" s="56"/>
      <c r="Q299" s="53"/>
      <c r="S299" s="1">
        <f t="shared" si="123"/>
        <v>0</v>
      </c>
      <c r="T299" s="1">
        <f t="shared" si="124"/>
        <v>0</v>
      </c>
      <c r="U299" s="1">
        <f t="shared" si="125"/>
        <v>0</v>
      </c>
      <c r="V299" s="1">
        <f t="shared" si="126"/>
        <v>0</v>
      </c>
      <c r="W299" s="1">
        <f t="shared" si="127"/>
        <v>0</v>
      </c>
      <c r="X299" s="1">
        <f t="shared" si="128"/>
        <v>0</v>
      </c>
      <c r="Y299" s="1">
        <f t="shared" si="129"/>
        <v>0</v>
      </c>
      <c r="Z299" s="1">
        <f t="shared" si="130"/>
        <v>1</v>
      </c>
      <c r="AA299" s="1">
        <f t="shared" si="131"/>
        <v>0</v>
      </c>
      <c r="AB299" s="1">
        <f t="shared" si="132"/>
        <v>0</v>
      </c>
      <c r="AD299" s="1">
        <f t="shared" si="133"/>
        <v>0</v>
      </c>
      <c r="AE299" s="1">
        <f t="shared" si="134"/>
        <v>1</v>
      </c>
      <c r="AF299" s="1">
        <f t="shared" si="119"/>
        <v>0</v>
      </c>
      <c r="AG299" s="1">
        <f t="shared" si="120"/>
        <v>1</v>
      </c>
      <c r="AH299" s="1">
        <f t="shared" si="121"/>
        <v>0</v>
      </c>
      <c r="AI299" s="1">
        <f t="shared" si="122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1293</v>
      </c>
      <c r="E300" s="35" t="s">
        <v>1341</v>
      </c>
      <c r="F300" s="35" t="s">
        <v>1290</v>
      </c>
      <c r="G300" s="35" t="s">
        <v>1291</v>
      </c>
      <c r="H300" s="35" t="s">
        <v>355</v>
      </c>
      <c r="I300" s="34" t="s">
        <v>1292</v>
      </c>
      <c r="J300" s="34">
        <v>1</v>
      </c>
      <c r="K300" s="36" t="s">
        <v>716</v>
      </c>
      <c r="L300" s="36" t="s">
        <v>717</v>
      </c>
      <c r="M300" s="37" t="s">
        <v>718</v>
      </c>
      <c r="N300" s="37" t="s">
        <v>1768</v>
      </c>
      <c r="O300" s="38">
        <v>1</v>
      </c>
      <c r="P300" s="38"/>
      <c r="Q300" s="35" t="s">
        <v>1909</v>
      </c>
      <c r="S300" s="1">
        <f t="shared" si="123"/>
        <v>1</v>
      </c>
      <c r="T300" s="1">
        <f t="shared" si="124"/>
        <v>0</v>
      </c>
      <c r="U300" s="1">
        <f t="shared" si="125"/>
        <v>0</v>
      </c>
      <c r="V300" s="1">
        <f t="shared" si="126"/>
        <v>0</v>
      </c>
      <c r="W300" s="1">
        <f t="shared" si="127"/>
        <v>0</v>
      </c>
      <c r="X300" s="1">
        <f t="shared" si="128"/>
        <v>0</v>
      </c>
      <c r="Y300" s="1">
        <f t="shared" si="129"/>
        <v>0</v>
      </c>
      <c r="Z300" s="1">
        <f t="shared" si="130"/>
        <v>0</v>
      </c>
      <c r="AA300" s="1">
        <f t="shared" si="131"/>
        <v>0</v>
      </c>
      <c r="AB300" s="1">
        <f t="shared" si="132"/>
        <v>0</v>
      </c>
      <c r="AD300" s="1">
        <f t="shared" si="133"/>
        <v>0</v>
      </c>
      <c r="AE300" s="1">
        <f t="shared" si="134"/>
        <v>1</v>
      </c>
      <c r="AF300" s="1">
        <f t="shared" si="119"/>
        <v>0</v>
      </c>
      <c r="AG300" s="1">
        <f t="shared" si="120"/>
        <v>1</v>
      </c>
      <c r="AH300" s="1">
        <f t="shared" si="121"/>
        <v>0</v>
      </c>
      <c r="AI300" s="1">
        <f t="shared" si="122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207</v>
      </c>
      <c r="G301" s="48" t="s">
        <v>208</v>
      </c>
      <c r="H301" s="48" t="s">
        <v>355</v>
      </c>
      <c r="I301" s="47" t="s">
        <v>392</v>
      </c>
      <c r="J301" s="47">
        <v>99</v>
      </c>
      <c r="K301" s="49" t="s">
        <v>716</v>
      </c>
      <c r="L301" s="49" t="s">
        <v>717</v>
      </c>
      <c r="M301" s="50" t="s">
        <v>718</v>
      </c>
      <c r="N301" s="50" t="s">
        <v>1754</v>
      </c>
      <c r="O301" s="51"/>
      <c r="P301" s="51"/>
      <c r="Q301" s="48"/>
      <c r="S301" s="1">
        <f t="shared" si="123"/>
        <v>0</v>
      </c>
      <c r="T301" s="1">
        <f t="shared" si="124"/>
        <v>0</v>
      </c>
      <c r="U301" s="1">
        <f t="shared" si="125"/>
        <v>0</v>
      </c>
      <c r="V301" s="1">
        <f t="shared" si="126"/>
        <v>0</v>
      </c>
      <c r="W301" s="1">
        <f t="shared" si="127"/>
        <v>0</v>
      </c>
      <c r="X301" s="1">
        <f t="shared" si="128"/>
        <v>0</v>
      </c>
      <c r="Y301" s="1">
        <f t="shared" si="129"/>
        <v>0</v>
      </c>
      <c r="Z301" s="1">
        <f t="shared" si="130"/>
        <v>0</v>
      </c>
      <c r="AA301" s="1">
        <f t="shared" si="131"/>
        <v>0</v>
      </c>
      <c r="AB301" s="1">
        <f t="shared" si="132"/>
        <v>0</v>
      </c>
      <c r="AD301" s="1">
        <f t="shared" si="133"/>
        <v>0</v>
      </c>
      <c r="AE301" s="1">
        <f t="shared" si="134"/>
        <v>0</v>
      </c>
      <c r="AF301" s="1">
        <f t="shared" si="119"/>
        <v>0</v>
      </c>
      <c r="AG301" s="1">
        <f t="shared" si="120"/>
        <v>0</v>
      </c>
      <c r="AH301" s="1">
        <f t="shared" si="121"/>
        <v>0</v>
      </c>
      <c r="AI301" s="1">
        <f t="shared" si="122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563</v>
      </c>
      <c r="F302" s="48" t="s">
        <v>1054</v>
      </c>
      <c r="G302" s="48" t="s">
        <v>191</v>
      </c>
      <c r="H302" s="48" t="s">
        <v>355</v>
      </c>
      <c r="I302" s="47" t="s">
        <v>422</v>
      </c>
      <c r="J302" s="47">
        <v>99</v>
      </c>
      <c r="K302" s="49" t="s">
        <v>958</v>
      </c>
      <c r="L302" s="49" t="s">
        <v>717</v>
      </c>
      <c r="M302" s="50" t="s">
        <v>718</v>
      </c>
      <c r="N302" s="50" t="s">
        <v>1742</v>
      </c>
      <c r="O302" s="51"/>
      <c r="P302" s="51"/>
      <c r="Q302" s="48"/>
      <c r="S302" s="1">
        <f t="shared" si="123"/>
        <v>0</v>
      </c>
      <c r="T302" s="1">
        <f t="shared" si="124"/>
        <v>0</v>
      </c>
      <c r="U302" s="1">
        <f t="shared" si="125"/>
        <v>0</v>
      </c>
      <c r="V302" s="1">
        <f t="shared" si="126"/>
        <v>0</v>
      </c>
      <c r="W302" s="1">
        <f t="shared" si="127"/>
        <v>0</v>
      </c>
      <c r="X302" s="1">
        <f t="shared" si="128"/>
        <v>0</v>
      </c>
      <c r="Y302" s="1">
        <f t="shared" si="129"/>
        <v>0</v>
      </c>
      <c r="Z302" s="1">
        <f t="shared" si="130"/>
        <v>0</v>
      </c>
      <c r="AA302" s="1">
        <f t="shared" si="131"/>
        <v>0</v>
      </c>
      <c r="AB302" s="1">
        <f t="shared" si="132"/>
        <v>0</v>
      </c>
      <c r="AD302" s="1">
        <f t="shared" si="133"/>
        <v>0</v>
      </c>
      <c r="AE302" s="1">
        <f t="shared" si="134"/>
        <v>0</v>
      </c>
      <c r="AF302" s="1">
        <f t="shared" si="119"/>
        <v>0</v>
      </c>
      <c r="AG302" s="1">
        <f t="shared" si="120"/>
        <v>0</v>
      </c>
      <c r="AH302" s="1">
        <f t="shared" si="121"/>
        <v>0</v>
      </c>
      <c r="AI302" s="1">
        <f t="shared" si="122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188</v>
      </c>
      <c r="G303" s="35" t="s">
        <v>181</v>
      </c>
      <c r="H303" s="35" t="s">
        <v>355</v>
      </c>
      <c r="I303" s="34" t="s">
        <v>384</v>
      </c>
      <c r="J303" s="34">
        <v>10</v>
      </c>
      <c r="K303" s="36" t="s">
        <v>959</v>
      </c>
      <c r="L303" s="36" t="s">
        <v>717</v>
      </c>
      <c r="M303" s="37" t="s">
        <v>718</v>
      </c>
      <c r="N303" s="37" t="s">
        <v>1750</v>
      </c>
      <c r="O303" s="38">
        <v>1</v>
      </c>
      <c r="P303" s="38"/>
      <c r="Q303" s="35"/>
      <c r="S303" s="1">
        <f t="shared" si="123"/>
        <v>0</v>
      </c>
      <c r="T303" s="1">
        <f t="shared" si="124"/>
        <v>0</v>
      </c>
      <c r="U303" s="1">
        <f t="shared" si="125"/>
        <v>0</v>
      </c>
      <c r="V303" s="1">
        <f t="shared" si="126"/>
        <v>0</v>
      </c>
      <c r="W303" s="1">
        <f t="shared" si="127"/>
        <v>0</v>
      </c>
      <c r="X303" s="1">
        <f t="shared" si="128"/>
        <v>0</v>
      </c>
      <c r="Y303" s="1">
        <f t="shared" si="129"/>
        <v>0</v>
      </c>
      <c r="Z303" s="1">
        <f t="shared" si="130"/>
        <v>0</v>
      </c>
      <c r="AA303" s="1">
        <f t="shared" si="131"/>
        <v>0</v>
      </c>
      <c r="AB303" s="1">
        <f t="shared" si="132"/>
        <v>1</v>
      </c>
      <c r="AD303" s="1">
        <f t="shared" si="133"/>
        <v>0</v>
      </c>
      <c r="AE303" s="1">
        <f t="shared" si="134"/>
        <v>1</v>
      </c>
      <c r="AF303" s="1">
        <f t="shared" si="119"/>
        <v>0</v>
      </c>
      <c r="AG303" s="1">
        <f t="shared" si="120"/>
        <v>1</v>
      </c>
      <c r="AH303" s="1">
        <f t="shared" si="121"/>
        <v>0</v>
      </c>
      <c r="AI303" s="1">
        <f t="shared" si="122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654</v>
      </c>
      <c r="E304" s="48" t="s">
        <v>161</v>
      </c>
      <c r="F304" s="48" t="s">
        <v>189</v>
      </c>
      <c r="G304" s="48" t="s">
        <v>671</v>
      </c>
      <c r="H304" s="48" t="s">
        <v>355</v>
      </c>
      <c r="I304" s="47" t="s">
        <v>385</v>
      </c>
      <c r="J304" s="47">
        <v>99</v>
      </c>
      <c r="K304" s="49" t="s">
        <v>716</v>
      </c>
      <c r="L304" s="49" t="s">
        <v>717</v>
      </c>
      <c r="M304" s="50" t="s">
        <v>718</v>
      </c>
      <c r="N304" s="50" t="s">
        <v>1744</v>
      </c>
      <c r="O304" s="51"/>
      <c r="P304" s="51"/>
      <c r="Q304" s="48"/>
      <c r="S304" s="1">
        <f t="shared" si="123"/>
        <v>0</v>
      </c>
      <c r="T304" s="1">
        <f t="shared" si="124"/>
        <v>0</v>
      </c>
      <c r="U304" s="1">
        <f t="shared" si="125"/>
        <v>0</v>
      </c>
      <c r="V304" s="1">
        <f t="shared" si="126"/>
        <v>0</v>
      </c>
      <c r="W304" s="1">
        <f t="shared" si="127"/>
        <v>0</v>
      </c>
      <c r="X304" s="1">
        <f t="shared" si="128"/>
        <v>0</v>
      </c>
      <c r="Y304" s="1">
        <f t="shared" si="129"/>
        <v>0</v>
      </c>
      <c r="Z304" s="1">
        <f t="shared" si="130"/>
        <v>0</v>
      </c>
      <c r="AA304" s="1">
        <f t="shared" si="131"/>
        <v>0</v>
      </c>
      <c r="AB304" s="1">
        <f t="shared" si="132"/>
        <v>0</v>
      </c>
      <c r="AD304" s="1">
        <f t="shared" si="133"/>
        <v>0</v>
      </c>
      <c r="AE304" s="1">
        <f t="shared" si="134"/>
        <v>0</v>
      </c>
      <c r="AF304" s="1">
        <f t="shared" si="119"/>
        <v>0</v>
      </c>
      <c r="AG304" s="1">
        <f t="shared" si="120"/>
        <v>0</v>
      </c>
      <c r="AH304" s="1">
        <f t="shared" si="121"/>
        <v>0</v>
      </c>
      <c r="AI304" s="1">
        <f t="shared" si="122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1311</v>
      </c>
      <c r="E305" s="42" t="s">
        <v>36</v>
      </c>
      <c r="F305" s="42" t="s">
        <v>1312</v>
      </c>
      <c r="G305" s="42" t="s">
        <v>259</v>
      </c>
      <c r="H305" s="42" t="s">
        <v>355</v>
      </c>
      <c r="I305" s="41" t="s">
        <v>1313</v>
      </c>
      <c r="J305" s="41">
        <v>8</v>
      </c>
      <c r="K305" s="43" t="s">
        <v>963</v>
      </c>
      <c r="L305" s="43" t="s">
        <v>717</v>
      </c>
      <c r="M305" s="44" t="s">
        <v>718</v>
      </c>
      <c r="N305" s="45"/>
      <c r="O305" s="46"/>
      <c r="P305" s="46">
        <v>1</v>
      </c>
      <c r="Q305" s="42"/>
      <c r="S305" s="1">
        <f t="shared" si="123"/>
        <v>0</v>
      </c>
      <c r="T305" s="1">
        <f t="shared" si="124"/>
        <v>0</v>
      </c>
      <c r="U305" s="1">
        <f t="shared" si="125"/>
        <v>0</v>
      </c>
      <c r="V305" s="1">
        <f t="shared" si="126"/>
        <v>0</v>
      </c>
      <c r="W305" s="1">
        <f t="shared" si="127"/>
        <v>0</v>
      </c>
      <c r="X305" s="1">
        <f t="shared" si="128"/>
        <v>0</v>
      </c>
      <c r="Y305" s="1">
        <f t="shared" si="129"/>
        <v>0</v>
      </c>
      <c r="Z305" s="1">
        <f t="shared" si="130"/>
        <v>1</v>
      </c>
      <c r="AA305" s="1">
        <f t="shared" si="131"/>
        <v>0</v>
      </c>
      <c r="AB305" s="1">
        <f t="shared" si="132"/>
        <v>0</v>
      </c>
      <c r="AD305" s="1">
        <f t="shared" si="133"/>
        <v>0</v>
      </c>
      <c r="AE305" s="1">
        <f t="shared" si="134"/>
        <v>0</v>
      </c>
      <c r="AF305" s="1">
        <f t="shared" si="119"/>
        <v>0</v>
      </c>
      <c r="AG305" s="1">
        <f t="shared" si="120"/>
        <v>0</v>
      </c>
      <c r="AH305" s="1">
        <f t="shared" si="121"/>
        <v>1</v>
      </c>
      <c r="AI305" s="1">
        <f t="shared" si="122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563</v>
      </c>
      <c r="F306" s="35" t="s">
        <v>213</v>
      </c>
      <c r="G306" s="35" t="s">
        <v>214</v>
      </c>
      <c r="H306" s="35" t="s">
        <v>355</v>
      </c>
      <c r="I306" s="34" t="s">
        <v>394</v>
      </c>
      <c r="J306" s="34">
        <v>1</v>
      </c>
      <c r="K306" s="36" t="s">
        <v>959</v>
      </c>
      <c r="L306" s="36" t="s">
        <v>717</v>
      </c>
      <c r="M306" s="37" t="s">
        <v>39</v>
      </c>
      <c r="N306" s="37" t="s">
        <v>1750</v>
      </c>
      <c r="O306" s="38">
        <v>1</v>
      </c>
      <c r="P306" s="38"/>
      <c r="Q306" s="35"/>
      <c r="S306" s="1">
        <f t="shared" si="123"/>
        <v>1</v>
      </c>
      <c r="T306" s="1">
        <f t="shared" si="124"/>
        <v>0</v>
      </c>
      <c r="U306" s="1">
        <f t="shared" si="125"/>
        <v>0</v>
      </c>
      <c r="V306" s="1">
        <f t="shared" si="126"/>
        <v>0</v>
      </c>
      <c r="W306" s="1">
        <f t="shared" si="127"/>
        <v>0</v>
      </c>
      <c r="X306" s="1">
        <f t="shared" si="128"/>
        <v>0</v>
      </c>
      <c r="Y306" s="1">
        <f t="shared" si="129"/>
        <v>0</v>
      </c>
      <c r="Z306" s="1">
        <f t="shared" si="130"/>
        <v>0</v>
      </c>
      <c r="AA306" s="1">
        <f t="shared" si="131"/>
        <v>0</v>
      </c>
      <c r="AB306" s="1">
        <f t="shared" si="132"/>
        <v>0</v>
      </c>
      <c r="AD306" s="1">
        <f t="shared" si="133"/>
        <v>0</v>
      </c>
      <c r="AE306" s="1">
        <f t="shared" si="134"/>
        <v>1</v>
      </c>
      <c r="AF306" s="1">
        <f t="shared" si="119"/>
        <v>0</v>
      </c>
      <c r="AG306" s="1">
        <f t="shared" si="120"/>
        <v>1</v>
      </c>
      <c r="AH306" s="1">
        <f t="shared" si="121"/>
        <v>0</v>
      </c>
      <c r="AI306" s="1">
        <f t="shared" si="122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545</v>
      </c>
      <c r="F307" s="48" t="s">
        <v>234</v>
      </c>
      <c r="G307" s="48" t="s">
        <v>205</v>
      </c>
      <c r="H307" s="48" t="s">
        <v>355</v>
      </c>
      <c r="I307" s="47" t="s">
        <v>402</v>
      </c>
      <c r="J307" s="47">
        <v>7</v>
      </c>
      <c r="K307" s="49" t="s">
        <v>716</v>
      </c>
      <c r="L307" s="49" t="s">
        <v>717</v>
      </c>
      <c r="M307" s="50" t="s">
        <v>718</v>
      </c>
      <c r="N307" s="50" t="s">
        <v>1745</v>
      </c>
      <c r="O307" s="51"/>
      <c r="P307" s="51"/>
      <c r="Q307" s="48"/>
      <c r="S307" s="1">
        <f t="shared" si="123"/>
        <v>0</v>
      </c>
      <c r="T307" s="1">
        <f t="shared" si="124"/>
        <v>0</v>
      </c>
      <c r="U307" s="1">
        <f t="shared" si="125"/>
        <v>0</v>
      </c>
      <c r="V307" s="1">
        <f t="shared" si="126"/>
        <v>0</v>
      </c>
      <c r="W307" s="1">
        <f t="shared" si="127"/>
        <v>0</v>
      </c>
      <c r="X307" s="1">
        <f t="shared" si="128"/>
        <v>0</v>
      </c>
      <c r="Y307" s="1">
        <f t="shared" si="129"/>
        <v>1</v>
      </c>
      <c r="Z307" s="1">
        <f t="shared" si="130"/>
        <v>0</v>
      </c>
      <c r="AA307" s="1">
        <f t="shared" si="131"/>
        <v>0</v>
      </c>
      <c r="AB307" s="1">
        <f t="shared" si="132"/>
        <v>0</v>
      </c>
      <c r="AD307" s="1">
        <f t="shared" si="133"/>
        <v>0</v>
      </c>
      <c r="AE307" s="1">
        <f t="shared" si="134"/>
        <v>0</v>
      </c>
      <c r="AF307" s="1">
        <f t="shared" si="119"/>
        <v>0</v>
      </c>
      <c r="AG307" s="1">
        <f t="shared" si="120"/>
        <v>0</v>
      </c>
      <c r="AH307" s="1">
        <f t="shared" si="121"/>
        <v>0</v>
      </c>
      <c r="AI307" s="1">
        <f t="shared" si="122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1654</v>
      </c>
      <c r="E308" s="53" t="s">
        <v>563</v>
      </c>
      <c r="F308" s="53" t="s">
        <v>1365</v>
      </c>
      <c r="G308" s="53" t="s">
        <v>1291</v>
      </c>
      <c r="H308" s="53" t="s">
        <v>355</v>
      </c>
      <c r="I308" s="52" t="s">
        <v>1174</v>
      </c>
      <c r="J308" s="52">
        <v>99</v>
      </c>
      <c r="K308" s="54" t="s">
        <v>716</v>
      </c>
      <c r="L308" s="54" t="s">
        <v>717</v>
      </c>
      <c r="M308" s="55" t="s">
        <v>718</v>
      </c>
      <c r="N308" s="55" t="s">
        <v>1755</v>
      </c>
      <c r="O308" s="56">
        <v>1</v>
      </c>
      <c r="P308" s="56"/>
      <c r="Q308" s="58" t="s">
        <v>1908</v>
      </c>
      <c r="S308" s="1">
        <f t="shared" si="123"/>
        <v>0</v>
      </c>
      <c r="T308" s="1">
        <f t="shared" si="124"/>
        <v>0</v>
      </c>
      <c r="U308" s="1">
        <f t="shared" si="125"/>
        <v>0</v>
      </c>
      <c r="V308" s="1">
        <f t="shared" si="126"/>
        <v>0</v>
      </c>
      <c r="W308" s="1">
        <f t="shared" si="127"/>
        <v>0</v>
      </c>
      <c r="X308" s="1">
        <f t="shared" si="128"/>
        <v>0</v>
      </c>
      <c r="Y308" s="1">
        <f t="shared" si="129"/>
        <v>0</v>
      </c>
      <c r="Z308" s="1">
        <f t="shared" si="130"/>
        <v>0</v>
      </c>
      <c r="AA308" s="1">
        <f t="shared" si="131"/>
        <v>0</v>
      </c>
      <c r="AB308" s="1">
        <f t="shared" si="132"/>
        <v>0</v>
      </c>
      <c r="AD308" s="1">
        <f t="shared" si="133"/>
        <v>0</v>
      </c>
      <c r="AE308" s="1">
        <f t="shared" si="134"/>
        <v>1</v>
      </c>
      <c r="AF308" s="1">
        <f t="shared" si="119"/>
        <v>0</v>
      </c>
      <c r="AG308" s="1">
        <f t="shared" si="120"/>
        <v>1</v>
      </c>
      <c r="AH308" s="1">
        <f t="shared" si="121"/>
        <v>0</v>
      </c>
      <c r="AI308" s="1">
        <f t="shared" si="122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1789</v>
      </c>
      <c r="E309" s="53" t="s">
        <v>1790</v>
      </c>
      <c r="F309" s="53" t="s">
        <v>1791</v>
      </c>
      <c r="G309" s="53" t="s">
        <v>1792</v>
      </c>
      <c r="H309" s="53" t="s">
        <v>355</v>
      </c>
      <c r="I309" s="52"/>
      <c r="J309" s="52">
        <v>1</v>
      </c>
      <c r="K309" s="54" t="s">
        <v>707</v>
      </c>
      <c r="L309" s="54"/>
      <c r="M309" s="55"/>
      <c r="N309" s="55" t="s">
        <v>1750</v>
      </c>
      <c r="O309" s="56">
        <v>1</v>
      </c>
      <c r="P309" s="56"/>
      <c r="Q309" s="58" t="s">
        <v>1916</v>
      </c>
      <c r="S309" s="1">
        <f t="shared" si="123"/>
        <v>1</v>
      </c>
      <c r="T309" s="1">
        <f t="shared" si="124"/>
        <v>0</v>
      </c>
      <c r="U309" s="1">
        <f t="shared" si="125"/>
        <v>0</v>
      </c>
      <c r="V309" s="1">
        <f t="shared" si="126"/>
        <v>0</v>
      </c>
      <c r="W309" s="1">
        <f t="shared" si="127"/>
        <v>0</v>
      </c>
      <c r="X309" s="1">
        <f t="shared" si="128"/>
        <v>0</v>
      </c>
      <c r="Y309" s="1">
        <f t="shared" si="129"/>
        <v>0</v>
      </c>
      <c r="Z309" s="1">
        <f t="shared" si="130"/>
        <v>0</v>
      </c>
      <c r="AA309" s="1">
        <f t="shared" si="131"/>
        <v>0</v>
      </c>
      <c r="AB309" s="1">
        <f t="shared" si="132"/>
        <v>0</v>
      </c>
      <c r="AD309" s="1">
        <f t="shared" si="133"/>
        <v>0</v>
      </c>
      <c r="AE309" s="1">
        <f t="shared" si="134"/>
        <v>1</v>
      </c>
      <c r="AF309" s="1">
        <f t="shared" si="119"/>
        <v>0</v>
      </c>
      <c r="AG309" s="1">
        <f t="shared" si="120"/>
        <v>1</v>
      </c>
      <c r="AH309" s="1">
        <f t="shared" si="121"/>
        <v>0</v>
      </c>
      <c r="AI309" s="1">
        <f t="shared" si="122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1325</v>
      </c>
      <c r="E310" s="35" t="s">
        <v>1345</v>
      </c>
      <c r="F310" s="35" t="s">
        <v>1308</v>
      </c>
      <c r="G310" s="35" t="s">
        <v>1309</v>
      </c>
      <c r="H310" s="35" t="s">
        <v>355</v>
      </c>
      <c r="I310" s="34" t="s">
        <v>1310</v>
      </c>
      <c r="J310" s="34">
        <v>99</v>
      </c>
      <c r="K310" s="36" t="s">
        <v>959</v>
      </c>
      <c r="L310" s="36" t="s">
        <v>717</v>
      </c>
      <c r="M310" s="37" t="s">
        <v>718</v>
      </c>
      <c r="N310" s="37" t="s">
        <v>1926</v>
      </c>
      <c r="O310" s="38">
        <v>1</v>
      </c>
      <c r="P310" s="38"/>
      <c r="Q310" s="35"/>
      <c r="S310" s="1">
        <f t="shared" si="123"/>
        <v>0</v>
      </c>
      <c r="T310" s="1">
        <f t="shared" si="124"/>
        <v>0</v>
      </c>
      <c r="U310" s="1">
        <f t="shared" si="125"/>
        <v>0</v>
      </c>
      <c r="V310" s="1">
        <f t="shared" si="126"/>
        <v>0</v>
      </c>
      <c r="W310" s="1">
        <f t="shared" si="127"/>
        <v>0</v>
      </c>
      <c r="X310" s="1">
        <f t="shared" si="128"/>
        <v>0</v>
      </c>
      <c r="Y310" s="1">
        <f t="shared" si="129"/>
        <v>0</v>
      </c>
      <c r="Z310" s="1">
        <f t="shared" si="130"/>
        <v>0</v>
      </c>
      <c r="AA310" s="1">
        <f t="shared" si="131"/>
        <v>0</v>
      </c>
      <c r="AB310" s="1">
        <f t="shared" si="132"/>
        <v>0</v>
      </c>
      <c r="AD310" s="1">
        <f t="shared" si="133"/>
        <v>0</v>
      </c>
      <c r="AE310" s="1">
        <f t="shared" si="134"/>
        <v>1</v>
      </c>
      <c r="AF310" s="1">
        <f t="shared" si="119"/>
        <v>0</v>
      </c>
      <c r="AG310" s="1">
        <f t="shared" si="120"/>
        <v>1</v>
      </c>
      <c r="AH310" s="1">
        <f t="shared" si="121"/>
        <v>0</v>
      </c>
      <c r="AI310" s="1">
        <f t="shared" si="122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1320</v>
      </c>
      <c r="E311" s="48" t="s">
        <v>161</v>
      </c>
      <c r="F311" s="48" t="s">
        <v>1322</v>
      </c>
      <c r="G311" s="48" t="s">
        <v>1323</v>
      </c>
      <c r="H311" s="48" t="s">
        <v>355</v>
      </c>
      <c r="I311" s="47" t="s">
        <v>1324</v>
      </c>
      <c r="J311" s="47">
        <v>8</v>
      </c>
      <c r="K311" s="49" t="s">
        <v>717</v>
      </c>
      <c r="L311" s="49" t="s">
        <v>717</v>
      </c>
      <c r="M311" s="50" t="s">
        <v>718</v>
      </c>
      <c r="N311" s="50" t="s">
        <v>1754</v>
      </c>
      <c r="O311" s="51"/>
      <c r="P311" s="51"/>
      <c r="Q311" s="48"/>
      <c r="S311" s="1">
        <f t="shared" si="123"/>
        <v>0</v>
      </c>
      <c r="T311" s="1">
        <f t="shared" si="124"/>
        <v>0</v>
      </c>
      <c r="U311" s="1">
        <f t="shared" si="125"/>
        <v>0</v>
      </c>
      <c r="V311" s="1">
        <f t="shared" si="126"/>
        <v>0</v>
      </c>
      <c r="W311" s="1">
        <f t="shared" si="127"/>
        <v>0</v>
      </c>
      <c r="X311" s="1">
        <f t="shared" si="128"/>
        <v>0</v>
      </c>
      <c r="Y311" s="1">
        <f t="shared" si="129"/>
        <v>0</v>
      </c>
      <c r="Z311" s="1">
        <f t="shared" si="130"/>
        <v>1</v>
      </c>
      <c r="AA311" s="1">
        <f t="shared" si="131"/>
        <v>0</v>
      </c>
      <c r="AB311" s="1">
        <f t="shared" si="132"/>
        <v>0</v>
      </c>
      <c r="AD311" s="1">
        <f t="shared" si="133"/>
        <v>0</v>
      </c>
      <c r="AE311" s="1">
        <f t="shared" si="134"/>
        <v>0</v>
      </c>
      <c r="AF311" s="1">
        <f t="shared" si="119"/>
        <v>0</v>
      </c>
      <c r="AG311" s="1">
        <f t="shared" si="120"/>
        <v>0</v>
      </c>
      <c r="AH311" s="1">
        <f t="shared" si="121"/>
        <v>0</v>
      </c>
      <c r="AI311" s="1">
        <f t="shared" si="122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1653</v>
      </c>
      <c r="E312" s="48" t="s">
        <v>1175</v>
      </c>
      <c r="F312" s="48" t="s">
        <v>1687</v>
      </c>
      <c r="G312" s="48" t="s">
        <v>191</v>
      </c>
      <c r="H312" s="48" t="s">
        <v>355</v>
      </c>
      <c r="I312" s="47" t="s">
        <v>1614</v>
      </c>
      <c r="J312" s="47">
        <v>99</v>
      </c>
      <c r="K312" s="49" t="s">
        <v>717</v>
      </c>
      <c r="L312" s="49" t="s">
        <v>700</v>
      </c>
      <c r="M312" s="50" t="s">
        <v>1615</v>
      </c>
      <c r="N312" s="50" t="s">
        <v>1745</v>
      </c>
      <c r="O312" s="51"/>
      <c r="P312" s="51"/>
      <c r="Q312" s="48"/>
      <c r="S312" s="1">
        <f t="shared" si="123"/>
        <v>0</v>
      </c>
      <c r="T312" s="1">
        <f t="shared" si="124"/>
        <v>0</v>
      </c>
      <c r="U312" s="1">
        <f t="shared" si="125"/>
        <v>0</v>
      </c>
      <c r="V312" s="1">
        <f t="shared" si="126"/>
        <v>0</v>
      </c>
      <c r="W312" s="1">
        <f t="shared" si="127"/>
        <v>0</v>
      </c>
      <c r="X312" s="1">
        <f t="shared" si="128"/>
        <v>0</v>
      </c>
      <c r="Y312" s="1">
        <f t="shared" si="129"/>
        <v>0</v>
      </c>
      <c r="Z312" s="1">
        <f t="shared" si="130"/>
        <v>0</v>
      </c>
      <c r="AA312" s="1">
        <f t="shared" si="131"/>
        <v>0</v>
      </c>
      <c r="AB312" s="1">
        <f t="shared" si="132"/>
        <v>0</v>
      </c>
      <c r="AD312" s="1">
        <f t="shared" si="133"/>
        <v>0</v>
      </c>
      <c r="AE312" s="1">
        <f t="shared" si="134"/>
        <v>0</v>
      </c>
      <c r="AF312" s="1">
        <f t="shared" si="119"/>
        <v>0</v>
      </c>
      <c r="AG312" s="1">
        <f t="shared" si="120"/>
        <v>0</v>
      </c>
      <c r="AH312" s="1">
        <f t="shared" si="121"/>
        <v>0</v>
      </c>
      <c r="AI312" s="1">
        <f t="shared" si="122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165</v>
      </c>
      <c r="F313" s="53" t="s">
        <v>244</v>
      </c>
      <c r="G313" s="53" t="s">
        <v>201</v>
      </c>
      <c r="H313" s="53" t="s">
        <v>355</v>
      </c>
      <c r="I313" s="52" t="s">
        <v>408</v>
      </c>
      <c r="J313" s="52">
        <v>2</v>
      </c>
      <c r="K313" s="54" t="s">
        <v>959</v>
      </c>
      <c r="L313" s="54" t="s">
        <v>700</v>
      </c>
      <c r="M313" s="55" t="s">
        <v>719</v>
      </c>
      <c r="N313" s="55" t="s">
        <v>1750</v>
      </c>
      <c r="O313" s="56">
        <v>1</v>
      </c>
      <c r="P313" s="56"/>
      <c r="Q313" s="53"/>
      <c r="S313" s="1">
        <f t="shared" si="123"/>
        <v>0</v>
      </c>
      <c r="T313" s="1">
        <f t="shared" si="124"/>
        <v>1</v>
      </c>
      <c r="U313" s="1">
        <f t="shared" si="125"/>
        <v>0</v>
      </c>
      <c r="V313" s="1">
        <f t="shared" si="126"/>
        <v>0</v>
      </c>
      <c r="W313" s="1">
        <f t="shared" si="127"/>
        <v>0</v>
      </c>
      <c r="X313" s="1">
        <f t="shared" si="128"/>
        <v>0</v>
      </c>
      <c r="Y313" s="1">
        <f t="shared" si="129"/>
        <v>0</v>
      </c>
      <c r="Z313" s="1">
        <f t="shared" si="130"/>
        <v>0</v>
      </c>
      <c r="AA313" s="1">
        <f t="shared" si="131"/>
        <v>0</v>
      </c>
      <c r="AB313" s="1">
        <f t="shared" si="132"/>
        <v>0</v>
      </c>
      <c r="AD313" s="1">
        <f t="shared" si="133"/>
        <v>0</v>
      </c>
      <c r="AE313" s="1">
        <f t="shared" si="134"/>
        <v>1</v>
      </c>
      <c r="AF313" s="1">
        <f t="shared" si="119"/>
        <v>0</v>
      </c>
      <c r="AG313" s="1">
        <f t="shared" si="120"/>
        <v>1</v>
      </c>
      <c r="AH313" s="1">
        <f t="shared" si="121"/>
        <v>0</v>
      </c>
      <c r="AI313" s="1">
        <f t="shared" si="122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1189</v>
      </c>
      <c r="E314" s="48" t="s">
        <v>1190</v>
      </c>
      <c r="F314" s="48" t="s">
        <v>1355</v>
      </c>
      <c r="G314" s="48" t="s">
        <v>1060</v>
      </c>
      <c r="H314" s="48" t="s">
        <v>355</v>
      </c>
      <c r="I314" s="47" t="s">
        <v>1191</v>
      </c>
      <c r="J314" s="47">
        <v>1</v>
      </c>
      <c r="K314" s="49" t="s">
        <v>716</v>
      </c>
      <c r="L314" s="49" t="s">
        <v>708</v>
      </c>
      <c r="M314" s="50" t="s">
        <v>1419</v>
      </c>
      <c r="N314" s="50" t="s">
        <v>1742</v>
      </c>
      <c r="O314" s="51"/>
      <c r="P314" s="51"/>
      <c r="Q314" s="48"/>
      <c r="S314" s="1">
        <f t="shared" si="123"/>
        <v>1</v>
      </c>
      <c r="T314" s="1">
        <f t="shared" si="124"/>
        <v>0</v>
      </c>
      <c r="U314" s="1">
        <f t="shared" si="125"/>
        <v>0</v>
      </c>
      <c r="V314" s="1">
        <f t="shared" si="126"/>
        <v>0</v>
      </c>
      <c r="W314" s="1">
        <f t="shared" si="127"/>
        <v>0</v>
      </c>
      <c r="X314" s="1">
        <f t="shared" si="128"/>
        <v>0</v>
      </c>
      <c r="Y314" s="1">
        <f t="shared" si="129"/>
        <v>0</v>
      </c>
      <c r="Z314" s="1">
        <f t="shared" si="130"/>
        <v>0</v>
      </c>
      <c r="AA314" s="1">
        <f t="shared" si="131"/>
        <v>0</v>
      </c>
      <c r="AB314" s="1">
        <f t="shared" si="132"/>
        <v>0</v>
      </c>
      <c r="AD314" s="1">
        <f t="shared" si="133"/>
        <v>0</v>
      </c>
      <c r="AE314" s="1">
        <f t="shared" si="134"/>
        <v>0</v>
      </c>
      <c r="AF314" s="1">
        <f t="shared" si="119"/>
        <v>0</v>
      </c>
      <c r="AG314" s="1">
        <f t="shared" si="120"/>
        <v>0</v>
      </c>
      <c r="AH314" s="1">
        <f t="shared" si="121"/>
        <v>0</v>
      </c>
      <c r="AI314" s="1">
        <f t="shared" si="122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1835</v>
      </c>
      <c r="E315" s="35" t="s">
        <v>1836</v>
      </c>
      <c r="F315" s="35" t="s">
        <v>1837</v>
      </c>
      <c r="G315" s="35" t="s">
        <v>197</v>
      </c>
      <c r="H315" s="35" t="s">
        <v>355</v>
      </c>
      <c r="I315" s="34" t="s">
        <v>1838</v>
      </c>
      <c r="J315" s="34"/>
      <c r="K315" s="36" t="s">
        <v>707</v>
      </c>
      <c r="L315" s="36">
        <v>20</v>
      </c>
      <c r="M315" s="37" t="s">
        <v>1839</v>
      </c>
      <c r="N315" s="37" t="s">
        <v>1755</v>
      </c>
      <c r="O315" s="38">
        <v>1</v>
      </c>
      <c r="P315" s="38"/>
      <c r="Q315" s="35"/>
      <c r="S315" s="1">
        <f t="shared" si="123"/>
        <v>0</v>
      </c>
      <c r="T315" s="1">
        <f t="shared" si="124"/>
        <v>0</v>
      </c>
      <c r="U315" s="1">
        <f t="shared" si="125"/>
        <v>0</v>
      </c>
      <c r="V315" s="1">
        <f t="shared" si="126"/>
        <v>0</v>
      </c>
      <c r="W315" s="1">
        <f t="shared" si="127"/>
        <v>0</v>
      </c>
      <c r="X315" s="1">
        <f t="shared" si="128"/>
        <v>0</v>
      </c>
      <c r="Y315" s="1">
        <f t="shared" si="129"/>
        <v>0</v>
      </c>
      <c r="Z315" s="1">
        <f t="shared" si="130"/>
        <v>0</v>
      </c>
      <c r="AA315" s="1">
        <f t="shared" si="131"/>
        <v>0</v>
      </c>
      <c r="AB315" s="1">
        <f t="shared" si="132"/>
        <v>0</v>
      </c>
      <c r="AD315" s="1">
        <f t="shared" si="133"/>
        <v>0</v>
      </c>
      <c r="AE315" s="1">
        <f t="shared" si="134"/>
        <v>1</v>
      </c>
      <c r="AF315" s="1">
        <f t="shared" si="119"/>
        <v>0</v>
      </c>
      <c r="AG315" s="1">
        <f t="shared" si="120"/>
        <v>1</v>
      </c>
      <c r="AH315" s="1">
        <f t="shared" si="121"/>
        <v>0</v>
      </c>
      <c r="AI315" s="1">
        <f t="shared" si="122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1583</v>
      </c>
      <c r="E316" s="16" t="s">
        <v>1584</v>
      </c>
      <c r="F316" s="16" t="s">
        <v>1586</v>
      </c>
      <c r="G316" s="16" t="s">
        <v>1587</v>
      </c>
      <c r="H316" s="16" t="s">
        <v>355</v>
      </c>
      <c r="I316" s="15" t="s">
        <v>1585</v>
      </c>
      <c r="J316" s="15">
        <v>99</v>
      </c>
      <c r="K316" s="10" t="s">
        <v>707</v>
      </c>
      <c r="L316" s="10">
        <v>18</v>
      </c>
      <c r="M316" s="19" t="s">
        <v>1588</v>
      </c>
      <c r="N316" s="17"/>
      <c r="Q316" s="16"/>
      <c r="S316" s="1">
        <f t="shared" si="123"/>
        <v>0</v>
      </c>
      <c r="T316" s="1">
        <f t="shared" si="124"/>
        <v>0</v>
      </c>
      <c r="U316" s="1">
        <f t="shared" si="125"/>
        <v>0</v>
      </c>
      <c r="V316" s="1">
        <f t="shared" si="126"/>
        <v>0</v>
      </c>
      <c r="W316" s="1">
        <f t="shared" si="127"/>
        <v>0</v>
      </c>
      <c r="X316" s="1">
        <f t="shared" si="128"/>
        <v>0</v>
      </c>
      <c r="Y316" s="1">
        <f t="shared" si="129"/>
        <v>0</v>
      </c>
      <c r="Z316" s="1">
        <f t="shared" si="130"/>
        <v>0</v>
      </c>
      <c r="AA316" s="1">
        <f t="shared" si="131"/>
        <v>0</v>
      </c>
      <c r="AB316" s="1">
        <f t="shared" si="132"/>
        <v>0</v>
      </c>
      <c r="AD316" s="1">
        <f t="shared" si="133"/>
        <v>0</v>
      </c>
      <c r="AE316" s="1">
        <f t="shared" si="134"/>
        <v>0</v>
      </c>
      <c r="AF316" s="1">
        <f t="shared" si="119"/>
        <v>0</v>
      </c>
      <c r="AG316" s="1">
        <f t="shared" si="120"/>
        <v>0</v>
      </c>
      <c r="AH316" s="1">
        <f t="shared" si="121"/>
        <v>0</v>
      </c>
      <c r="AI316" s="1">
        <f t="shared" si="122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242</v>
      </c>
      <c r="G317" s="53" t="s">
        <v>243</v>
      </c>
      <c r="H317" s="53" t="s">
        <v>355</v>
      </c>
      <c r="I317" s="52" t="s">
        <v>407</v>
      </c>
      <c r="J317" s="52">
        <v>1</v>
      </c>
      <c r="K317" s="54" t="s">
        <v>965</v>
      </c>
      <c r="L317" s="54" t="s">
        <v>720</v>
      </c>
      <c r="M317" s="55" t="s">
        <v>721</v>
      </c>
      <c r="N317" s="55" t="s">
        <v>1750</v>
      </c>
      <c r="O317" s="56">
        <v>1</v>
      </c>
      <c r="P317" s="56"/>
      <c r="Q317" s="53"/>
      <c r="S317" s="1">
        <f t="shared" si="123"/>
        <v>1</v>
      </c>
      <c r="T317" s="1">
        <f t="shared" si="124"/>
        <v>0</v>
      </c>
      <c r="U317" s="1">
        <f t="shared" si="125"/>
        <v>0</v>
      </c>
      <c r="V317" s="1">
        <f t="shared" si="126"/>
        <v>0</v>
      </c>
      <c r="W317" s="1">
        <f t="shared" si="127"/>
        <v>0</v>
      </c>
      <c r="X317" s="1">
        <f t="shared" si="128"/>
        <v>0</v>
      </c>
      <c r="Y317" s="1">
        <f t="shared" si="129"/>
        <v>0</v>
      </c>
      <c r="Z317" s="1">
        <f t="shared" si="130"/>
        <v>0</v>
      </c>
      <c r="AA317" s="1">
        <f t="shared" si="131"/>
        <v>0</v>
      </c>
      <c r="AB317" s="1">
        <f t="shared" si="132"/>
        <v>0</v>
      </c>
      <c r="AD317" s="1">
        <f t="shared" si="133"/>
        <v>0</v>
      </c>
      <c r="AE317" s="1">
        <f t="shared" si="134"/>
        <v>1</v>
      </c>
      <c r="AF317" s="1">
        <f t="shared" si="119"/>
        <v>0</v>
      </c>
      <c r="AG317" s="1">
        <f t="shared" si="120"/>
        <v>1</v>
      </c>
      <c r="AH317" s="1">
        <f t="shared" si="121"/>
        <v>0</v>
      </c>
      <c r="AI317" s="1">
        <f t="shared" si="122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1090</v>
      </c>
      <c r="F318" s="53" t="s">
        <v>235</v>
      </c>
      <c r="G318" s="53" t="s">
        <v>236</v>
      </c>
      <c r="H318" s="53" t="s">
        <v>355</v>
      </c>
      <c r="I318" s="52" t="s">
        <v>1372</v>
      </c>
      <c r="J318" s="52">
        <v>99</v>
      </c>
      <c r="K318" s="54" t="s">
        <v>959</v>
      </c>
      <c r="L318" s="54" t="s">
        <v>720</v>
      </c>
      <c r="M318" s="55" t="s">
        <v>722</v>
      </c>
      <c r="N318" s="55" t="s">
        <v>1750</v>
      </c>
      <c r="O318" s="56">
        <v>1</v>
      </c>
      <c r="P318" s="56"/>
      <c r="Q318" s="53"/>
      <c r="S318" s="1">
        <f t="shared" si="123"/>
        <v>0</v>
      </c>
      <c r="T318" s="1">
        <f t="shared" si="124"/>
        <v>0</v>
      </c>
      <c r="U318" s="1">
        <f t="shared" si="125"/>
        <v>0</v>
      </c>
      <c r="V318" s="1">
        <f t="shared" si="126"/>
        <v>0</v>
      </c>
      <c r="W318" s="1">
        <f t="shared" si="127"/>
        <v>0</v>
      </c>
      <c r="X318" s="1">
        <f t="shared" si="128"/>
        <v>0</v>
      </c>
      <c r="Y318" s="1">
        <f t="shared" si="129"/>
        <v>0</v>
      </c>
      <c r="Z318" s="1">
        <f t="shared" si="130"/>
        <v>0</v>
      </c>
      <c r="AA318" s="1">
        <f t="shared" si="131"/>
        <v>0</v>
      </c>
      <c r="AB318" s="1">
        <f t="shared" si="132"/>
        <v>0</v>
      </c>
      <c r="AD318" s="1">
        <f t="shared" si="133"/>
        <v>0</v>
      </c>
      <c r="AE318" s="1">
        <f t="shared" si="134"/>
        <v>1</v>
      </c>
      <c r="AF318" s="1">
        <f t="shared" si="119"/>
        <v>0</v>
      </c>
      <c r="AG318" s="1">
        <f t="shared" si="120"/>
        <v>1</v>
      </c>
      <c r="AH318" s="1">
        <f t="shared" si="121"/>
        <v>0</v>
      </c>
      <c r="AI318" s="1">
        <f t="shared" si="122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1723</v>
      </c>
      <c r="E319" s="35" t="s">
        <v>1725</v>
      </c>
      <c r="F319" s="35" t="s">
        <v>1724</v>
      </c>
      <c r="G319" s="35"/>
      <c r="H319" s="35" t="s">
        <v>355</v>
      </c>
      <c r="I319" s="34" t="s">
        <v>1726</v>
      </c>
      <c r="J319" s="34"/>
      <c r="K319" s="36" t="s">
        <v>707</v>
      </c>
      <c r="L319" s="36"/>
      <c r="M319" s="37"/>
      <c r="N319" s="37" t="s">
        <v>1734</v>
      </c>
      <c r="O319" s="38">
        <v>1</v>
      </c>
      <c r="P319" s="38">
        <v>1</v>
      </c>
      <c r="Q319" s="35"/>
      <c r="S319" s="1">
        <f t="shared" si="123"/>
        <v>0</v>
      </c>
      <c r="T319" s="1">
        <f t="shared" si="124"/>
        <v>0</v>
      </c>
      <c r="U319" s="1">
        <f t="shared" si="125"/>
        <v>0</v>
      </c>
      <c r="V319" s="1">
        <f t="shared" si="126"/>
        <v>0</v>
      </c>
      <c r="W319" s="1">
        <f t="shared" si="127"/>
        <v>0</v>
      </c>
      <c r="X319" s="1">
        <f t="shared" si="128"/>
        <v>0</v>
      </c>
      <c r="Y319" s="1">
        <f t="shared" si="129"/>
        <v>0</v>
      </c>
      <c r="Z319" s="1">
        <f t="shared" si="130"/>
        <v>0</v>
      </c>
      <c r="AA319" s="1">
        <f t="shared" si="131"/>
        <v>0</v>
      </c>
      <c r="AB319" s="1">
        <f t="shared" si="132"/>
        <v>0</v>
      </c>
      <c r="AD319" s="1">
        <f t="shared" si="133"/>
        <v>1</v>
      </c>
      <c r="AE319" s="1">
        <f t="shared" si="134"/>
        <v>0</v>
      </c>
      <c r="AF319" s="1">
        <f t="shared" si="119"/>
        <v>1</v>
      </c>
      <c r="AG319" s="1">
        <f t="shared" si="120"/>
        <v>0</v>
      </c>
      <c r="AH319" s="1">
        <f t="shared" si="121"/>
        <v>1</v>
      </c>
      <c r="AI319" s="1">
        <f t="shared" si="122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791</v>
      </c>
      <c r="E320" s="48" t="s">
        <v>913</v>
      </c>
      <c r="F320" s="48" t="s">
        <v>1578</v>
      </c>
      <c r="G320" s="48" t="s">
        <v>231</v>
      </c>
      <c r="H320" s="48" t="s">
        <v>355</v>
      </c>
      <c r="I320" s="47" t="s">
        <v>1701</v>
      </c>
      <c r="J320" s="47">
        <v>7</v>
      </c>
      <c r="K320" s="49" t="s">
        <v>717</v>
      </c>
      <c r="L320" s="49">
        <v>20</v>
      </c>
      <c r="M320" s="50" t="s">
        <v>39</v>
      </c>
      <c r="N320" s="50" t="s">
        <v>1741</v>
      </c>
      <c r="O320" s="51"/>
      <c r="P320" s="51"/>
      <c r="Q320" s="48"/>
      <c r="S320" s="1">
        <f t="shared" si="123"/>
        <v>0</v>
      </c>
      <c r="T320" s="1">
        <f t="shared" si="124"/>
        <v>0</v>
      </c>
      <c r="U320" s="1">
        <f t="shared" si="125"/>
        <v>0</v>
      </c>
      <c r="V320" s="1">
        <f t="shared" si="126"/>
        <v>0</v>
      </c>
      <c r="W320" s="1">
        <f t="shared" si="127"/>
        <v>0</v>
      </c>
      <c r="X320" s="1">
        <f t="shared" si="128"/>
        <v>0</v>
      </c>
      <c r="Y320" s="1">
        <f t="shared" si="129"/>
        <v>1</v>
      </c>
      <c r="Z320" s="1">
        <f t="shared" si="130"/>
        <v>0</v>
      </c>
      <c r="AA320" s="1">
        <f t="shared" si="131"/>
        <v>0</v>
      </c>
      <c r="AB320" s="1">
        <f t="shared" si="132"/>
        <v>0</v>
      </c>
      <c r="AD320" s="1">
        <f t="shared" si="133"/>
        <v>0</v>
      </c>
      <c r="AE320" s="1">
        <f t="shared" si="134"/>
        <v>0</v>
      </c>
      <c r="AF320" s="1">
        <f t="shared" si="119"/>
        <v>0</v>
      </c>
      <c r="AG320" s="1">
        <f t="shared" si="120"/>
        <v>0</v>
      </c>
      <c r="AH320" s="1">
        <f t="shared" si="121"/>
        <v>0</v>
      </c>
      <c r="AI320" s="1">
        <f t="shared" si="122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858</v>
      </c>
      <c r="G321" s="35" t="s">
        <v>221</v>
      </c>
      <c r="H321" s="35" t="s">
        <v>355</v>
      </c>
      <c r="I321" s="34" t="s">
        <v>859</v>
      </c>
      <c r="J321" s="34">
        <v>8</v>
      </c>
      <c r="K321" s="36" t="s">
        <v>717</v>
      </c>
      <c r="L321" s="36" t="s">
        <v>720</v>
      </c>
      <c r="M321" s="37" t="s">
        <v>1420</v>
      </c>
      <c r="N321" s="37" t="s">
        <v>1750</v>
      </c>
      <c r="O321" s="38">
        <v>1</v>
      </c>
      <c r="P321" s="38"/>
      <c r="Q321" s="35"/>
      <c r="S321" s="1">
        <f t="shared" si="123"/>
        <v>0</v>
      </c>
      <c r="T321" s="1">
        <f t="shared" si="124"/>
        <v>0</v>
      </c>
      <c r="U321" s="1">
        <f t="shared" si="125"/>
        <v>0</v>
      </c>
      <c r="V321" s="1">
        <f t="shared" si="126"/>
        <v>0</v>
      </c>
      <c r="W321" s="1">
        <f t="shared" si="127"/>
        <v>0</v>
      </c>
      <c r="X321" s="1">
        <f t="shared" si="128"/>
        <v>0</v>
      </c>
      <c r="Y321" s="1">
        <f t="shared" si="129"/>
        <v>0</v>
      </c>
      <c r="Z321" s="1">
        <f t="shared" si="130"/>
        <v>1</v>
      </c>
      <c r="AA321" s="1">
        <f t="shared" si="131"/>
        <v>0</v>
      </c>
      <c r="AB321" s="1">
        <f t="shared" si="132"/>
        <v>0</v>
      </c>
      <c r="AD321" s="1">
        <f t="shared" si="133"/>
        <v>0</v>
      </c>
      <c r="AE321" s="1">
        <f t="shared" si="134"/>
        <v>1</v>
      </c>
      <c r="AF321" s="1">
        <f t="shared" si="119"/>
        <v>0</v>
      </c>
      <c r="AG321" s="1">
        <f t="shared" si="120"/>
        <v>1</v>
      </c>
      <c r="AH321" s="1">
        <f t="shared" si="121"/>
        <v>0</v>
      </c>
      <c r="AI321" s="1">
        <f t="shared" si="122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856</v>
      </c>
      <c r="E322" s="35" t="s">
        <v>543</v>
      </c>
      <c r="F322" s="35" t="s">
        <v>1360</v>
      </c>
      <c r="G322" s="35" t="s">
        <v>195</v>
      </c>
      <c r="H322" s="35" t="s">
        <v>355</v>
      </c>
      <c r="I322" s="34" t="s">
        <v>857</v>
      </c>
      <c r="J322" s="34">
        <v>9</v>
      </c>
      <c r="K322" s="36" t="s">
        <v>717</v>
      </c>
      <c r="L322" s="36" t="s">
        <v>720</v>
      </c>
      <c r="M322" s="37" t="s">
        <v>1420</v>
      </c>
      <c r="N322" s="37" t="s">
        <v>1750</v>
      </c>
      <c r="O322" s="38">
        <v>1</v>
      </c>
      <c r="P322" s="38"/>
      <c r="Q322" s="35"/>
      <c r="S322" s="1">
        <f t="shared" si="123"/>
        <v>0</v>
      </c>
      <c r="T322" s="1">
        <f t="shared" si="124"/>
        <v>0</v>
      </c>
      <c r="U322" s="1">
        <f t="shared" si="125"/>
        <v>0</v>
      </c>
      <c r="V322" s="1">
        <f t="shared" si="126"/>
        <v>0</v>
      </c>
      <c r="W322" s="1">
        <f t="shared" si="127"/>
        <v>0</v>
      </c>
      <c r="X322" s="1">
        <f t="shared" si="128"/>
        <v>0</v>
      </c>
      <c r="Y322" s="1">
        <f t="shared" si="129"/>
        <v>0</v>
      </c>
      <c r="Z322" s="1">
        <f t="shared" si="130"/>
        <v>0</v>
      </c>
      <c r="AA322" s="1">
        <f t="shared" si="131"/>
        <v>1</v>
      </c>
      <c r="AB322" s="1">
        <f t="shared" si="132"/>
        <v>0</v>
      </c>
      <c r="AD322" s="1">
        <f t="shared" si="133"/>
        <v>0</v>
      </c>
      <c r="AE322" s="1">
        <f t="shared" si="134"/>
        <v>1</v>
      </c>
      <c r="AF322" s="1">
        <f t="shared" si="119"/>
        <v>0</v>
      </c>
      <c r="AG322" s="1">
        <f t="shared" si="120"/>
        <v>0</v>
      </c>
      <c r="AH322" s="1">
        <f t="shared" si="121"/>
        <v>0</v>
      </c>
      <c r="AI322" s="1">
        <f t="shared" si="122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922</v>
      </c>
      <c r="E323" s="48" t="s">
        <v>789</v>
      </c>
      <c r="F323" s="48" t="s">
        <v>790</v>
      </c>
      <c r="G323" s="48" t="s">
        <v>231</v>
      </c>
      <c r="H323" s="48" t="s">
        <v>355</v>
      </c>
      <c r="I323" s="47" t="s">
        <v>792</v>
      </c>
      <c r="J323" s="47">
        <v>7</v>
      </c>
      <c r="K323" s="49" t="s">
        <v>716</v>
      </c>
      <c r="L323" s="49">
        <v>15</v>
      </c>
      <c r="M323" s="50" t="s">
        <v>39</v>
      </c>
      <c r="N323" s="50" t="s">
        <v>1742</v>
      </c>
      <c r="O323" s="51"/>
      <c r="P323" s="51"/>
      <c r="Q323" s="48"/>
      <c r="S323" s="1">
        <f t="shared" si="123"/>
        <v>0</v>
      </c>
      <c r="T323" s="1">
        <f t="shared" si="124"/>
        <v>0</v>
      </c>
      <c r="U323" s="1">
        <f t="shared" si="125"/>
        <v>0</v>
      </c>
      <c r="V323" s="1">
        <f t="shared" si="126"/>
        <v>0</v>
      </c>
      <c r="W323" s="1">
        <f t="shared" si="127"/>
        <v>0</v>
      </c>
      <c r="X323" s="1">
        <f t="shared" si="128"/>
        <v>0</v>
      </c>
      <c r="Y323" s="1">
        <f t="shared" si="129"/>
        <v>1</v>
      </c>
      <c r="Z323" s="1">
        <f t="shared" si="130"/>
        <v>0</v>
      </c>
      <c r="AA323" s="1">
        <f t="shared" si="131"/>
        <v>0</v>
      </c>
      <c r="AB323" s="1">
        <f t="shared" si="132"/>
        <v>0</v>
      </c>
      <c r="AD323" s="1">
        <f t="shared" si="133"/>
        <v>0</v>
      </c>
      <c r="AE323" s="1">
        <f t="shared" si="134"/>
        <v>0</v>
      </c>
      <c r="AF323" s="1">
        <f t="shared" si="119"/>
        <v>0</v>
      </c>
      <c r="AG323" s="1">
        <f t="shared" si="120"/>
        <v>0</v>
      </c>
      <c r="AH323" s="1">
        <f t="shared" si="121"/>
        <v>0</v>
      </c>
      <c r="AI323" s="1">
        <f t="shared" si="122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158</v>
      </c>
      <c r="F324" s="68" t="s">
        <v>1879</v>
      </c>
      <c r="G324" s="48" t="s">
        <v>210</v>
      </c>
      <c r="H324" s="48" t="s">
        <v>355</v>
      </c>
      <c r="I324" s="47" t="s">
        <v>433</v>
      </c>
      <c r="J324" s="47">
        <v>99</v>
      </c>
      <c r="K324" s="49" t="s">
        <v>958</v>
      </c>
      <c r="L324" s="49" t="s">
        <v>708</v>
      </c>
      <c r="M324" s="50" t="s">
        <v>723</v>
      </c>
      <c r="N324" s="50" t="s">
        <v>1742</v>
      </c>
      <c r="O324" s="51"/>
      <c r="P324" s="51"/>
      <c r="Q324" s="48"/>
      <c r="S324" s="1">
        <f t="shared" si="123"/>
        <v>0</v>
      </c>
      <c r="T324" s="1">
        <f t="shared" si="124"/>
        <v>0</v>
      </c>
      <c r="U324" s="1">
        <f t="shared" si="125"/>
        <v>0</v>
      </c>
      <c r="V324" s="1">
        <f t="shared" si="126"/>
        <v>0</v>
      </c>
      <c r="W324" s="1">
        <f t="shared" si="127"/>
        <v>0</v>
      </c>
      <c r="X324" s="1">
        <f t="shared" si="128"/>
        <v>0</v>
      </c>
      <c r="Y324" s="1">
        <f t="shared" si="129"/>
        <v>0</v>
      </c>
      <c r="Z324" s="1">
        <f t="shared" si="130"/>
        <v>0</v>
      </c>
      <c r="AA324" s="1">
        <f t="shared" si="131"/>
        <v>0</v>
      </c>
      <c r="AB324" s="1">
        <f t="shared" si="132"/>
        <v>0</v>
      </c>
      <c r="AD324" s="1">
        <f t="shared" si="133"/>
        <v>0</v>
      </c>
      <c r="AE324" s="1">
        <f t="shared" si="134"/>
        <v>0</v>
      </c>
      <c r="AF324" s="1">
        <f t="shared" si="119"/>
        <v>0</v>
      </c>
      <c r="AG324" s="1">
        <f t="shared" si="120"/>
        <v>0</v>
      </c>
      <c r="AH324" s="1">
        <f t="shared" si="121"/>
        <v>0</v>
      </c>
      <c r="AI324" s="1">
        <f t="shared" si="122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1571</v>
      </c>
      <c r="E325" s="42" t="s">
        <v>1341</v>
      </c>
      <c r="F325" s="42" t="s">
        <v>1572</v>
      </c>
      <c r="G325" s="42" t="s">
        <v>1172</v>
      </c>
      <c r="H325" s="42" t="s">
        <v>355</v>
      </c>
      <c r="I325" s="41" t="s">
        <v>1573</v>
      </c>
      <c r="J325" s="41">
        <v>1</v>
      </c>
      <c r="K325" s="43" t="s">
        <v>717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23"/>
        <v>1</v>
      </c>
      <c r="T325" s="1">
        <f t="shared" si="124"/>
        <v>0</v>
      </c>
      <c r="U325" s="1">
        <f t="shared" si="125"/>
        <v>0</v>
      </c>
      <c r="V325" s="1">
        <f t="shared" si="126"/>
        <v>0</v>
      </c>
      <c r="W325" s="1">
        <f t="shared" si="127"/>
        <v>0</v>
      </c>
      <c r="X325" s="1">
        <f t="shared" si="128"/>
        <v>0</v>
      </c>
      <c r="Y325" s="1">
        <f t="shared" si="129"/>
        <v>0</v>
      </c>
      <c r="Z325" s="1">
        <f t="shared" si="130"/>
        <v>0</v>
      </c>
      <c r="AA325" s="1">
        <f t="shared" si="131"/>
        <v>0</v>
      </c>
      <c r="AB325" s="1">
        <f t="shared" si="132"/>
        <v>0</v>
      </c>
      <c r="AD325" s="1">
        <f t="shared" si="133"/>
        <v>0</v>
      </c>
      <c r="AE325" s="1">
        <f t="shared" si="134"/>
        <v>0</v>
      </c>
      <c r="AF325" s="1">
        <f t="shared" si="119"/>
        <v>0</v>
      </c>
      <c r="AG325" s="1">
        <f t="shared" si="120"/>
        <v>0</v>
      </c>
      <c r="AH325" s="1">
        <f t="shared" si="121"/>
        <v>1</v>
      </c>
      <c r="AI325" s="1">
        <f t="shared" si="122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1751</v>
      </c>
      <c r="E326" s="35" t="s">
        <v>27</v>
      </c>
      <c r="F326" s="35" t="s">
        <v>1048</v>
      </c>
      <c r="G326" s="35" t="s">
        <v>221</v>
      </c>
      <c r="H326" s="35" t="s">
        <v>355</v>
      </c>
      <c r="I326" s="34" t="s">
        <v>1049</v>
      </c>
      <c r="J326" s="34">
        <v>8</v>
      </c>
      <c r="K326" s="36" t="s">
        <v>717</v>
      </c>
      <c r="L326" s="36">
        <v>25</v>
      </c>
      <c r="M326" s="37" t="s">
        <v>1752</v>
      </c>
      <c r="N326" s="37" t="s">
        <v>1734</v>
      </c>
      <c r="O326" s="38">
        <v>1</v>
      </c>
      <c r="P326" s="38">
        <v>1</v>
      </c>
      <c r="Q326" s="35"/>
      <c r="S326" s="1">
        <f t="shared" si="123"/>
        <v>0</v>
      </c>
      <c r="T326" s="1">
        <f t="shared" si="124"/>
        <v>0</v>
      </c>
      <c r="U326" s="1">
        <f t="shared" si="125"/>
        <v>0</v>
      </c>
      <c r="V326" s="1">
        <f t="shared" si="126"/>
        <v>0</v>
      </c>
      <c r="W326" s="1">
        <f t="shared" si="127"/>
        <v>0</v>
      </c>
      <c r="X326" s="1">
        <f t="shared" si="128"/>
        <v>0</v>
      </c>
      <c r="Y326" s="1">
        <f t="shared" si="129"/>
        <v>0</v>
      </c>
      <c r="Z326" s="1">
        <f t="shared" si="130"/>
        <v>1</v>
      </c>
      <c r="AA326" s="1">
        <f t="shared" si="131"/>
        <v>0</v>
      </c>
      <c r="AB326" s="1">
        <f t="shared" si="132"/>
        <v>0</v>
      </c>
      <c r="AD326" s="1">
        <f t="shared" si="133"/>
        <v>1</v>
      </c>
      <c r="AE326" s="1">
        <f t="shared" si="134"/>
        <v>0</v>
      </c>
      <c r="AF326" s="1">
        <f t="shared" si="119"/>
        <v>1</v>
      </c>
      <c r="AG326" s="1">
        <f t="shared" si="120"/>
        <v>0</v>
      </c>
      <c r="AH326" s="1">
        <f t="shared" si="121"/>
        <v>1</v>
      </c>
      <c r="AI326" s="1">
        <f t="shared" si="122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672</v>
      </c>
      <c r="G327" s="35" t="s">
        <v>181</v>
      </c>
      <c r="H327" s="35" t="s">
        <v>355</v>
      </c>
      <c r="I327" s="34" t="s">
        <v>953</v>
      </c>
      <c r="J327" s="34">
        <v>10</v>
      </c>
      <c r="K327" s="36" t="s">
        <v>717</v>
      </c>
      <c r="L327" s="36" t="s">
        <v>724</v>
      </c>
      <c r="M327" s="37" t="s">
        <v>725</v>
      </c>
      <c r="N327" s="37" t="s">
        <v>1734</v>
      </c>
      <c r="O327" s="38">
        <v>1</v>
      </c>
      <c r="P327" s="38">
        <v>1</v>
      </c>
      <c r="Q327" s="35"/>
      <c r="S327" s="1">
        <f t="shared" si="123"/>
        <v>0</v>
      </c>
      <c r="T327" s="1">
        <f t="shared" si="124"/>
        <v>0</v>
      </c>
      <c r="U327" s="1">
        <f t="shared" si="125"/>
        <v>0</v>
      </c>
      <c r="V327" s="1">
        <f t="shared" si="126"/>
        <v>0</v>
      </c>
      <c r="W327" s="1">
        <f t="shared" si="127"/>
        <v>0</v>
      </c>
      <c r="X327" s="1">
        <f t="shared" si="128"/>
        <v>0</v>
      </c>
      <c r="Y327" s="1">
        <f t="shared" si="129"/>
        <v>0</v>
      </c>
      <c r="Z327" s="1">
        <f t="shared" si="130"/>
        <v>0</v>
      </c>
      <c r="AA327" s="1">
        <f t="shared" si="131"/>
        <v>0</v>
      </c>
      <c r="AB327" s="1">
        <f t="shared" si="132"/>
        <v>1</v>
      </c>
      <c r="AD327" s="1">
        <f t="shared" si="133"/>
        <v>1</v>
      </c>
      <c r="AE327" s="1">
        <f t="shared" si="134"/>
        <v>0</v>
      </c>
      <c r="AF327" s="1">
        <f t="shared" si="119"/>
        <v>1</v>
      </c>
      <c r="AG327" s="1">
        <f t="shared" si="120"/>
        <v>0</v>
      </c>
      <c r="AH327" s="1">
        <f t="shared" si="121"/>
        <v>1</v>
      </c>
      <c r="AI327" s="1">
        <f t="shared" si="122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1455</v>
      </c>
      <c r="E328" s="35" t="s">
        <v>1660</v>
      </c>
      <c r="F328" s="35" t="s">
        <v>1675</v>
      </c>
      <c r="G328" s="35" t="s">
        <v>231</v>
      </c>
      <c r="H328" s="35" t="s">
        <v>355</v>
      </c>
      <c r="I328" s="34" t="s">
        <v>1456</v>
      </c>
      <c r="J328" s="34">
        <v>99</v>
      </c>
      <c r="K328" s="36" t="s">
        <v>959</v>
      </c>
      <c r="L328" s="36">
        <v>20</v>
      </c>
      <c r="M328" s="37" t="s">
        <v>39</v>
      </c>
      <c r="N328" s="37" t="s">
        <v>1734</v>
      </c>
      <c r="O328" s="38">
        <v>1</v>
      </c>
      <c r="P328" s="38">
        <v>1</v>
      </c>
      <c r="Q328" s="35"/>
      <c r="S328" s="1">
        <f t="shared" si="123"/>
        <v>0</v>
      </c>
      <c r="T328" s="1">
        <f t="shared" si="124"/>
        <v>0</v>
      </c>
      <c r="U328" s="1">
        <f t="shared" si="125"/>
        <v>0</v>
      </c>
      <c r="V328" s="1">
        <f t="shared" si="126"/>
        <v>0</v>
      </c>
      <c r="W328" s="1">
        <f t="shared" si="127"/>
        <v>0</v>
      </c>
      <c r="X328" s="1">
        <f t="shared" si="128"/>
        <v>0</v>
      </c>
      <c r="Y328" s="1">
        <f t="shared" si="129"/>
        <v>0</v>
      </c>
      <c r="Z328" s="1">
        <f t="shared" si="130"/>
        <v>0</v>
      </c>
      <c r="AA328" s="1">
        <f t="shared" si="131"/>
        <v>0</v>
      </c>
      <c r="AB328" s="1">
        <f t="shared" si="132"/>
        <v>0</v>
      </c>
      <c r="AD328" s="1">
        <f t="shared" si="133"/>
        <v>1</v>
      </c>
      <c r="AE328" s="1">
        <f t="shared" si="134"/>
        <v>0</v>
      </c>
      <c r="AF328" s="1">
        <f t="shared" si="119"/>
        <v>1</v>
      </c>
      <c r="AG328" s="1">
        <f t="shared" si="120"/>
        <v>0</v>
      </c>
      <c r="AH328" s="1">
        <f t="shared" si="121"/>
        <v>1</v>
      </c>
      <c r="AI328" s="1">
        <f t="shared" si="122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2000</v>
      </c>
      <c r="E329" s="57" t="s">
        <v>2001</v>
      </c>
      <c r="F329" s="57" t="s">
        <v>2002</v>
      </c>
      <c r="G329" s="57" t="s">
        <v>180</v>
      </c>
      <c r="H329" s="57" t="s">
        <v>355</v>
      </c>
      <c r="I329" s="70" t="s">
        <v>2003</v>
      </c>
      <c r="J329" s="70"/>
      <c r="K329" s="70" t="s">
        <v>707</v>
      </c>
      <c r="L329" s="70"/>
      <c r="M329" s="57"/>
      <c r="N329" s="57"/>
      <c r="O329" s="71"/>
      <c r="P329" s="71">
        <v>1</v>
      </c>
      <c r="Q329" s="57"/>
      <c r="S329" s="1">
        <f t="shared" si="123"/>
        <v>0</v>
      </c>
      <c r="T329" s="1">
        <f t="shared" si="124"/>
        <v>0</v>
      </c>
      <c r="U329" s="1">
        <f t="shared" si="125"/>
        <v>0</v>
      </c>
      <c r="V329" s="1">
        <f t="shared" si="126"/>
        <v>0</v>
      </c>
      <c r="W329" s="1">
        <f t="shared" si="127"/>
        <v>0</v>
      </c>
      <c r="X329" s="1">
        <f t="shared" si="128"/>
        <v>0</v>
      </c>
      <c r="Y329" s="1">
        <f t="shared" si="129"/>
        <v>0</v>
      </c>
      <c r="Z329" s="1">
        <f t="shared" si="130"/>
        <v>0</v>
      </c>
      <c r="AA329" s="1">
        <f t="shared" si="131"/>
        <v>0</v>
      </c>
      <c r="AB329" s="1">
        <f t="shared" si="132"/>
        <v>0</v>
      </c>
      <c r="AD329" s="1">
        <f t="shared" si="133"/>
        <v>0</v>
      </c>
      <c r="AE329" s="1">
        <f t="shared" si="134"/>
        <v>0</v>
      </c>
      <c r="AF329" s="1">
        <f t="shared" si="119"/>
        <v>0</v>
      </c>
      <c r="AG329" s="1">
        <f t="shared" si="120"/>
        <v>0</v>
      </c>
      <c r="AH329" s="1">
        <f t="shared" si="121"/>
        <v>1</v>
      </c>
      <c r="AI329" s="1">
        <f t="shared" si="122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608</v>
      </c>
      <c r="E330" s="53" t="s">
        <v>609</v>
      </c>
      <c r="F330" s="53" t="s">
        <v>610</v>
      </c>
      <c r="G330" s="53" t="s">
        <v>258</v>
      </c>
      <c r="H330" s="53" t="s">
        <v>355</v>
      </c>
      <c r="I330" s="52" t="s">
        <v>611</v>
      </c>
      <c r="J330" s="52">
        <v>99</v>
      </c>
      <c r="K330" s="54" t="s">
        <v>959</v>
      </c>
      <c r="L330" s="54" t="s">
        <v>708</v>
      </c>
      <c r="M330" s="55" t="s">
        <v>1421</v>
      </c>
      <c r="N330" s="55" t="s">
        <v>1750</v>
      </c>
      <c r="O330" s="56">
        <v>1</v>
      </c>
      <c r="P330" s="56"/>
      <c r="Q330" s="53"/>
      <c r="S330" s="1">
        <f t="shared" si="123"/>
        <v>0</v>
      </c>
      <c r="T330" s="1">
        <f t="shared" si="124"/>
        <v>0</v>
      </c>
      <c r="U330" s="1">
        <f t="shared" si="125"/>
        <v>0</v>
      </c>
      <c r="V330" s="1">
        <f t="shared" si="126"/>
        <v>0</v>
      </c>
      <c r="W330" s="1">
        <f t="shared" si="127"/>
        <v>0</v>
      </c>
      <c r="X330" s="1">
        <f t="shared" si="128"/>
        <v>0</v>
      </c>
      <c r="Y330" s="1">
        <f t="shared" si="129"/>
        <v>0</v>
      </c>
      <c r="Z330" s="1">
        <f t="shared" si="130"/>
        <v>0</v>
      </c>
      <c r="AA330" s="1">
        <f t="shared" si="131"/>
        <v>0</v>
      </c>
      <c r="AB330" s="1">
        <f t="shared" si="132"/>
        <v>0</v>
      </c>
      <c r="AD330" s="1">
        <f t="shared" si="133"/>
        <v>0</v>
      </c>
      <c r="AE330" s="1">
        <f t="shared" si="134"/>
        <v>1</v>
      </c>
      <c r="AF330" s="1">
        <f t="shared" si="119"/>
        <v>0</v>
      </c>
      <c r="AG330" s="1">
        <f t="shared" si="120"/>
        <v>1</v>
      </c>
      <c r="AH330" s="1">
        <f t="shared" si="121"/>
        <v>0</v>
      </c>
      <c r="AI330" s="1">
        <f t="shared" si="122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1932</v>
      </c>
      <c r="E331" s="35" t="s">
        <v>1933</v>
      </c>
      <c r="F331" s="35" t="s">
        <v>1934</v>
      </c>
      <c r="G331" s="35" t="s">
        <v>185</v>
      </c>
      <c r="H331" s="35" t="s">
        <v>355</v>
      </c>
      <c r="I331" s="34" t="s">
        <v>1936</v>
      </c>
      <c r="J331" s="34">
        <v>99</v>
      </c>
      <c r="K331" s="36" t="s">
        <v>707</v>
      </c>
      <c r="L331" s="36"/>
      <c r="M331" s="37"/>
      <c r="N331" s="37" t="s">
        <v>1734</v>
      </c>
      <c r="O331" s="38">
        <v>1</v>
      </c>
      <c r="P331" s="38">
        <v>1</v>
      </c>
      <c r="Q331" s="35" t="s">
        <v>1935</v>
      </c>
      <c r="S331" s="1">
        <f t="shared" si="123"/>
        <v>0</v>
      </c>
      <c r="T331" s="1">
        <f t="shared" si="124"/>
        <v>0</v>
      </c>
      <c r="U331" s="1">
        <f t="shared" si="125"/>
        <v>0</v>
      </c>
      <c r="V331" s="1">
        <f t="shared" si="126"/>
        <v>0</v>
      </c>
      <c r="W331" s="1">
        <f t="shared" si="127"/>
        <v>0</v>
      </c>
      <c r="X331" s="1">
        <f t="shared" si="128"/>
        <v>0</v>
      </c>
      <c r="Y331" s="1">
        <f t="shared" si="129"/>
        <v>0</v>
      </c>
      <c r="Z331" s="1">
        <f t="shared" si="130"/>
        <v>0</v>
      </c>
      <c r="AA331" s="1">
        <f t="shared" si="131"/>
        <v>0</v>
      </c>
      <c r="AB331" s="1">
        <f t="shared" si="132"/>
        <v>0</v>
      </c>
      <c r="AD331" s="1">
        <f t="shared" si="133"/>
        <v>1</v>
      </c>
      <c r="AE331" s="1">
        <f t="shared" si="134"/>
        <v>0</v>
      </c>
      <c r="AF331" s="1">
        <f t="shared" si="119"/>
        <v>1</v>
      </c>
      <c r="AG331" s="1">
        <f t="shared" si="120"/>
        <v>0</v>
      </c>
      <c r="AH331" s="1">
        <f t="shared" si="121"/>
        <v>1</v>
      </c>
      <c r="AI331" s="1">
        <f t="shared" si="122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1650</v>
      </c>
      <c r="E332" s="48" t="s">
        <v>1175</v>
      </c>
      <c r="F332" s="48" t="s">
        <v>1681</v>
      </c>
      <c r="G332" s="48" t="s">
        <v>181</v>
      </c>
      <c r="H332" s="48" t="s">
        <v>355</v>
      </c>
      <c r="I332" s="47" t="s">
        <v>1501</v>
      </c>
      <c r="J332" s="47">
        <v>10</v>
      </c>
      <c r="K332" s="49" t="s">
        <v>716</v>
      </c>
      <c r="L332" s="49">
        <v>15</v>
      </c>
      <c r="M332" s="50" t="s">
        <v>39</v>
      </c>
      <c r="N332" s="50" t="s">
        <v>1747</v>
      </c>
      <c r="O332" s="51"/>
      <c r="P332" s="51"/>
      <c r="Q332" s="48"/>
      <c r="S332" s="1">
        <f t="shared" si="123"/>
        <v>0</v>
      </c>
      <c r="T332" s="1">
        <f t="shared" si="124"/>
        <v>0</v>
      </c>
      <c r="U332" s="1">
        <f t="shared" si="125"/>
        <v>0</v>
      </c>
      <c r="V332" s="1">
        <f t="shared" si="126"/>
        <v>0</v>
      </c>
      <c r="W332" s="1">
        <f t="shared" si="127"/>
        <v>0</v>
      </c>
      <c r="X332" s="1">
        <f t="shared" si="128"/>
        <v>0</v>
      </c>
      <c r="Y332" s="1">
        <f t="shared" si="129"/>
        <v>0</v>
      </c>
      <c r="Z332" s="1">
        <f t="shared" si="130"/>
        <v>0</v>
      </c>
      <c r="AA332" s="1">
        <f t="shared" si="131"/>
        <v>0</v>
      </c>
      <c r="AB332" s="1">
        <f t="shared" si="132"/>
        <v>1</v>
      </c>
      <c r="AD332" s="1">
        <f t="shared" si="133"/>
        <v>0</v>
      </c>
      <c r="AE332" s="1">
        <f t="shared" si="134"/>
        <v>0</v>
      </c>
      <c r="AF332" s="1">
        <f t="shared" ref="AF332:AF395" si="135">+O332*P332*(1-A332)</f>
        <v>0</v>
      </c>
      <c r="AG332" s="1">
        <f t="shared" ref="AG332:AG395" si="136">O332*(1-P332)*(1-A332)</f>
        <v>0</v>
      </c>
      <c r="AH332" s="1">
        <f t="shared" ref="AH332:AH395" si="137">+P332*(1-A332)</f>
        <v>0</v>
      </c>
      <c r="AI332" s="1">
        <f t="shared" ref="AI332:AI395" si="138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866</v>
      </c>
      <c r="E333" s="48" t="s">
        <v>546</v>
      </c>
      <c r="F333" s="48" t="s">
        <v>867</v>
      </c>
      <c r="G333" s="48" t="s">
        <v>315</v>
      </c>
      <c r="H333" s="48" t="s">
        <v>355</v>
      </c>
      <c r="I333" s="47" t="s">
        <v>868</v>
      </c>
      <c r="J333" s="47">
        <v>1</v>
      </c>
      <c r="K333" s="49" t="s">
        <v>716</v>
      </c>
      <c r="L333" s="49">
        <v>25</v>
      </c>
      <c r="M333" s="50" t="s">
        <v>39</v>
      </c>
      <c r="N333" s="50" t="s">
        <v>1742</v>
      </c>
      <c r="O333" s="51"/>
      <c r="P333" s="51"/>
      <c r="Q333" s="48"/>
      <c r="S333" s="1">
        <f t="shared" si="123"/>
        <v>1</v>
      </c>
      <c r="T333" s="1">
        <f t="shared" si="124"/>
        <v>0</v>
      </c>
      <c r="U333" s="1">
        <f t="shared" si="125"/>
        <v>0</v>
      </c>
      <c r="V333" s="1">
        <f t="shared" si="126"/>
        <v>0</v>
      </c>
      <c r="W333" s="1">
        <f t="shared" si="127"/>
        <v>0</v>
      </c>
      <c r="X333" s="1">
        <f t="shared" si="128"/>
        <v>0</v>
      </c>
      <c r="Y333" s="1">
        <f t="shared" si="129"/>
        <v>0</v>
      </c>
      <c r="Z333" s="1">
        <f t="shared" si="130"/>
        <v>0</v>
      </c>
      <c r="AA333" s="1">
        <f t="shared" si="131"/>
        <v>0</v>
      </c>
      <c r="AB333" s="1">
        <f t="shared" si="132"/>
        <v>0</v>
      </c>
      <c r="AD333" s="1">
        <f t="shared" si="133"/>
        <v>0</v>
      </c>
      <c r="AE333" s="1">
        <f t="shared" si="134"/>
        <v>0</v>
      </c>
      <c r="AF333" s="1">
        <f t="shared" si="135"/>
        <v>0</v>
      </c>
      <c r="AG333" s="1">
        <f t="shared" si="136"/>
        <v>0</v>
      </c>
      <c r="AH333" s="1">
        <f t="shared" si="137"/>
        <v>0</v>
      </c>
      <c r="AI333" s="1">
        <f t="shared" si="138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570</v>
      </c>
      <c r="E334" s="35" t="s">
        <v>38</v>
      </c>
      <c r="F334" s="35" t="s">
        <v>238</v>
      </c>
      <c r="G334" s="35" t="s">
        <v>541</v>
      </c>
      <c r="H334" s="35" t="s">
        <v>355</v>
      </c>
      <c r="I334" s="34" t="s">
        <v>404</v>
      </c>
      <c r="J334" s="34">
        <v>1</v>
      </c>
      <c r="K334" s="36" t="s">
        <v>716</v>
      </c>
      <c r="L334" s="36" t="s">
        <v>728</v>
      </c>
      <c r="M334" s="37" t="s">
        <v>729</v>
      </c>
      <c r="N334" s="37" t="s">
        <v>1734</v>
      </c>
      <c r="O334" s="38">
        <v>1</v>
      </c>
      <c r="P334" s="38">
        <v>1</v>
      </c>
      <c r="Q334" s="35"/>
      <c r="S334" s="1">
        <f t="shared" si="123"/>
        <v>1</v>
      </c>
      <c r="T334" s="1">
        <f t="shared" si="124"/>
        <v>0</v>
      </c>
      <c r="U334" s="1">
        <f t="shared" si="125"/>
        <v>0</v>
      </c>
      <c r="V334" s="1">
        <f t="shared" si="126"/>
        <v>0</v>
      </c>
      <c r="W334" s="1">
        <f t="shared" si="127"/>
        <v>0</v>
      </c>
      <c r="X334" s="1">
        <f t="shared" si="128"/>
        <v>0</v>
      </c>
      <c r="Y334" s="1">
        <f t="shared" si="129"/>
        <v>0</v>
      </c>
      <c r="Z334" s="1">
        <f t="shared" si="130"/>
        <v>0</v>
      </c>
      <c r="AA334" s="1">
        <f t="shared" si="131"/>
        <v>0</v>
      </c>
      <c r="AB334" s="1">
        <f t="shared" si="132"/>
        <v>0</v>
      </c>
      <c r="AD334" s="1">
        <f t="shared" si="133"/>
        <v>1</v>
      </c>
      <c r="AE334" s="1">
        <f t="shared" si="134"/>
        <v>0</v>
      </c>
      <c r="AF334" s="1">
        <f t="shared" si="135"/>
        <v>1</v>
      </c>
      <c r="AG334" s="1">
        <f t="shared" si="136"/>
        <v>0</v>
      </c>
      <c r="AH334" s="1">
        <f t="shared" si="137"/>
        <v>1</v>
      </c>
      <c r="AI334" s="1">
        <f t="shared" si="138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854</v>
      </c>
      <c r="E335" s="48" t="s">
        <v>34</v>
      </c>
      <c r="F335" s="48" t="s">
        <v>930</v>
      </c>
      <c r="G335" s="48" t="s">
        <v>640</v>
      </c>
      <c r="H335" s="48" t="s">
        <v>355</v>
      </c>
      <c r="I335" s="47" t="s">
        <v>855</v>
      </c>
      <c r="J335" s="47">
        <v>1</v>
      </c>
      <c r="K335" s="49" t="s">
        <v>958</v>
      </c>
      <c r="L335" s="49" t="s">
        <v>733</v>
      </c>
      <c r="M335" s="50" t="s">
        <v>727</v>
      </c>
      <c r="N335" s="50" t="s">
        <v>1742</v>
      </c>
      <c r="O335" s="51"/>
      <c r="P335" s="51"/>
      <c r="Q335" s="48"/>
      <c r="S335" s="1">
        <f t="shared" si="123"/>
        <v>1</v>
      </c>
      <c r="T335" s="1">
        <f t="shared" si="124"/>
        <v>0</v>
      </c>
      <c r="U335" s="1">
        <f t="shared" si="125"/>
        <v>0</v>
      </c>
      <c r="V335" s="1">
        <f t="shared" si="126"/>
        <v>0</v>
      </c>
      <c r="W335" s="1">
        <f t="shared" si="127"/>
        <v>0</v>
      </c>
      <c r="X335" s="1">
        <f t="shared" si="128"/>
        <v>0</v>
      </c>
      <c r="Y335" s="1">
        <f t="shared" si="129"/>
        <v>0</v>
      </c>
      <c r="Z335" s="1">
        <f t="shared" si="130"/>
        <v>0</v>
      </c>
      <c r="AA335" s="1">
        <f t="shared" si="131"/>
        <v>0</v>
      </c>
      <c r="AB335" s="1">
        <f t="shared" si="132"/>
        <v>0</v>
      </c>
      <c r="AD335" s="1">
        <f t="shared" si="133"/>
        <v>0</v>
      </c>
      <c r="AE335" s="1">
        <f t="shared" si="134"/>
        <v>0</v>
      </c>
      <c r="AF335" s="1">
        <f t="shared" si="135"/>
        <v>0</v>
      </c>
      <c r="AG335" s="1">
        <f t="shared" si="136"/>
        <v>0</v>
      </c>
      <c r="AH335" s="1">
        <f t="shared" si="137"/>
        <v>0</v>
      </c>
      <c r="AI335" s="1">
        <f t="shared" si="138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797</v>
      </c>
      <c r="E336" s="48" t="s">
        <v>32</v>
      </c>
      <c r="F336" s="48" t="s">
        <v>798</v>
      </c>
      <c r="G336" s="48" t="s">
        <v>252</v>
      </c>
      <c r="H336" s="48" t="s">
        <v>355</v>
      </c>
      <c r="I336" s="47" t="s">
        <v>799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1744</v>
      </c>
      <c r="O336" s="51"/>
      <c r="P336" s="51"/>
      <c r="Q336" s="48"/>
      <c r="S336" s="1">
        <f t="shared" ref="S336:S399" si="139">IF(J336=$S$7,1,0)</f>
        <v>0</v>
      </c>
      <c r="T336" s="1">
        <f t="shared" ref="T336:T399" si="140">IF(J336=$T$7,1,0)</f>
        <v>0</v>
      </c>
      <c r="U336" s="1">
        <f t="shared" ref="U336:U399" si="141">IF(J336=$U$7,1,0)</f>
        <v>0</v>
      </c>
      <c r="V336" s="1">
        <f t="shared" ref="V336:V399" si="142">IF(J336=$V$7,1,0)</f>
        <v>0</v>
      </c>
      <c r="W336" s="1">
        <f t="shared" ref="W336:W399" si="143">IF(J336=$W$7,1,0)</f>
        <v>0</v>
      </c>
      <c r="X336" s="1">
        <f t="shared" ref="X336:X399" si="144">IF(J336=$X$7,1,0)</f>
        <v>0</v>
      </c>
      <c r="Y336" s="1">
        <f t="shared" ref="Y336:Y399" si="145">IF(J336=$Y$7,1,0)</f>
        <v>0</v>
      </c>
      <c r="Z336" s="1">
        <f t="shared" ref="Z336:Z399" si="146">IF(J336=$Z$7,1,0)</f>
        <v>0</v>
      </c>
      <c r="AA336" s="1">
        <f t="shared" ref="AA336:AA399" si="147">IF(J336=$AA$7,1,0)</f>
        <v>0</v>
      </c>
      <c r="AB336" s="1">
        <f t="shared" ref="AB336:AB399" si="148">IF(J336=$AB$7,1,0)</f>
        <v>0</v>
      </c>
      <c r="AD336" s="1">
        <f t="shared" ref="AD336:AD399" si="149">+O336*P336</f>
        <v>0</v>
      </c>
      <c r="AE336" s="1">
        <f t="shared" ref="AE336:AE399" si="150">O336*(1-P336)</f>
        <v>0</v>
      </c>
      <c r="AF336" s="1">
        <f t="shared" si="135"/>
        <v>0</v>
      </c>
      <c r="AG336" s="1">
        <f t="shared" si="136"/>
        <v>0</v>
      </c>
      <c r="AH336" s="1">
        <f t="shared" si="137"/>
        <v>0</v>
      </c>
      <c r="AI336" s="1">
        <f t="shared" si="138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162</v>
      </c>
      <c r="F337" s="48" t="s">
        <v>220</v>
      </c>
      <c r="G337" s="48" t="s">
        <v>197</v>
      </c>
      <c r="H337" s="48" t="s">
        <v>355</v>
      </c>
      <c r="I337" s="47" t="s">
        <v>553</v>
      </c>
      <c r="J337" s="47">
        <v>99</v>
      </c>
      <c r="K337" s="49" t="s">
        <v>717</v>
      </c>
      <c r="L337" s="49" t="s">
        <v>726</v>
      </c>
      <c r="M337" s="50" t="s">
        <v>727</v>
      </c>
      <c r="N337" s="50" t="s">
        <v>1809</v>
      </c>
      <c r="O337" s="51"/>
      <c r="P337" s="51"/>
      <c r="Q337" s="48"/>
      <c r="S337" s="1">
        <f t="shared" si="139"/>
        <v>0</v>
      </c>
      <c r="T337" s="1">
        <f t="shared" si="140"/>
        <v>0</v>
      </c>
      <c r="U337" s="1">
        <f t="shared" si="141"/>
        <v>0</v>
      </c>
      <c r="V337" s="1">
        <f t="shared" si="142"/>
        <v>0</v>
      </c>
      <c r="W337" s="1">
        <f t="shared" si="143"/>
        <v>0</v>
      </c>
      <c r="X337" s="1">
        <f t="shared" si="144"/>
        <v>0</v>
      </c>
      <c r="Y337" s="1">
        <f t="shared" si="145"/>
        <v>0</v>
      </c>
      <c r="Z337" s="1">
        <f t="shared" si="146"/>
        <v>0</v>
      </c>
      <c r="AA337" s="1">
        <f t="shared" si="147"/>
        <v>0</v>
      </c>
      <c r="AB337" s="1">
        <f t="shared" si="148"/>
        <v>0</v>
      </c>
      <c r="AD337" s="1">
        <f t="shared" si="149"/>
        <v>0</v>
      </c>
      <c r="AE337" s="1">
        <f t="shared" si="150"/>
        <v>0</v>
      </c>
      <c r="AF337" s="1">
        <f t="shared" si="135"/>
        <v>0</v>
      </c>
      <c r="AG337" s="1">
        <f t="shared" si="136"/>
        <v>0</v>
      </c>
      <c r="AH337" s="1">
        <f t="shared" si="137"/>
        <v>0</v>
      </c>
      <c r="AI337" s="1">
        <f t="shared" si="138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1182</v>
      </c>
      <c r="E338" s="48" t="s">
        <v>1342</v>
      </c>
      <c r="F338" s="48" t="s">
        <v>1183</v>
      </c>
      <c r="G338" s="48" t="s">
        <v>303</v>
      </c>
      <c r="H338" s="48" t="s">
        <v>355</v>
      </c>
      <c r="I338" s="47" t="s">
        <v>1184</v>
      </c>
      <c r="J338" s="47">
        <v>1</v>
      </c>
      <c r="K338" s="49" t="s">
        <v>959</v>
      </c>
      <c r="L338" s="49" t="s">
        <v>697</v>
      </c>
      <c r="M338" s="50" t="s">
        <v>1422</v>
      </c>
      <c r="N338" s="50" t="s">
        <v>1742</v>
      </c>
      <c r="O338" s="51"/>
      <c r="P338" s="51"/>
      <c r="Q338" s="48"/>
      <c r="S338" s="1">
        <f t="shared" si="139"/>
        <v>1</v>
      </c>
      <c r="T338" s="1">
        <f t="shared" si="140"/>
        <v>0</v>
      </c>
      <c r="U338" s="1">
        <f t="shared" si="141"/>
        <v>0</v>
      </c>
      <c r="V338" s="1">
        <f t="shared" si="142"/>
        <v>0</v>
      </c>
      <c r="W338" s="1">
        <f t="shared" si="143"/>
        <v>0</v>
      </c>
      <c r="X338" s="1">
        <f t="shared" si="144"/>
        <v>0</v>
      </c>
      <c r="Y338" s="1">
        <f t="shared" si="145"/>
        <v>0</v>
      </c>
      <c r="Z338" s="1">
        <f t="shared" si="146"/>
        <v>0</v>
      </c>
      <c r="AA338" s="1">
        <f t="shared" si="147"/>
        <v>0</v>
      </c>
      <c r="AB338" s="1">
        <f t="shared" si="148"/>
        <v>0</v>
      </c>
      <c r="AD338" s="1">
        <f t="shared" si="149"/>
        <v>0</v>
      </c>
      <c r="AE338" s="1">
        <f t="shared" si="150"/>
        <v>0</v>
      </c>
      <c r="AF338" s="1">
        <f t="shared" si="135"/>
        <v>0</v>
      </c>
      <c r="AG338" s="1">
        <f t="shared" si="136"/>
        <v>0</v>
      </c>
      <c r="AH338" s="1">
        <f t="shared" si="137"/>
        <v>0</v>
      </c>
      <c r="AI338" s="1">
        <f t="shared" si="138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1179</v>
      </c>
      <c r="E339" s="48" t="s">
        <v>1342</v>
      </c>
      <c r="F339" s="48" t="s">
        <v>1180</v>
      </c>
      <c r="G339" s="48" t="s">
        <v>1060</v>
      </c>
      <c r="H339" s="48" t="s">
        <v>355</v>
      </c>
      <c r="I339" s="47" t="s">
        <v>1181</v>
      </c>
      <c r="J339" s="47">
        <v>1</v>
      </c>
      <c r="K339" s="49" t="s">
        <v>717</v>
      </c>
      <c r="L339" s="49" t="s">
        <v>697</v>
      </c>
      <c r="M339" s="50" t="s">
        <v>1422</v>
      </c>
      <c r="N339" s="50" t="s">
        <v>1742</v>
      </c>
      <c r="O339" s="51"/>
      <c r="P339" s="51"/>
      <c r="Q339" s="48"/>
      <c r="S339" s="1">
        <f t="shared" si="139"/>
        <v>1</v>
      </c>
      <c r="T339" s="1">
        <f t="shared" si="140"/>
        <v>0</v>
      </c>
      <c r="U339" s="1">
        <f t="shared" si="141"/>
        <v>0</v>
      </c>
      <c r="V339" s="1">
        <f t="shared" si="142"/>
        <v>0</v>
      </c>
      <c r="W339" s="1">
        <f t="shared" si="143"/>
        <v>0</v>
      </c>
      <c r="X339" s="1">
        <f t="shared" si="144"/>
        <v>0</v>
      </c>
      <c r="Y339" s="1">
        <f t="shared" si="145"/>
        <v>0</v>
      </c>
      <c r="Z339" s="1">
        <f t="shared" si="146"/>
        <v>0</v>
      </c>
      <c r="AA339" s="1">
        <f t="shared" si="147"/>
        <v>0</v>
      </c>
      <c r="AB339" s="1">
        <f t="shared" si="148"/>
        <v>0</v>
      </c>
      <c r="AD339" s="1">
        <f t="shared" si="149"/>
        <v>0</v>
      </c>
      <c r="AE339" s="1">
        <f t="shared" si="150"/>
        <v>0</v>
      </c>
      <c r="AF339" s="1">
        <f t="shared" si="135"/>
        <v>0</v>
      </c>
      <c r="AG339" s="1">
        <f t="shared" si="136"/>
        <v>0</v>
      </c>
      <c r="AH339" s="1">
        <f t="shared" si="137"/>
        <v>0</v>
      </c>
      <c r="AI339" s="1">
        <f t="shared" si="138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1301</v>
      </c>
      <c r="E340" s="35" t="s">
        <v>32</v>
      </c>
      <c r="F340" s="35" t="s">
        <v>1302</v>
      </c>
      <c r="G340" s="35" t="s">
        <v>223</v>
      </c>
      <c r="H340" s="35" t="s">
        <v>355</v>
      </c>
      <c r="I340" s="34" t="s">
        <v>1696</v>
      </c>
      <c r="J340" s="34">
        <v>99</v>
      </c>
      <c r="K340" s="36" t="s">
        <v>717</v>
      </c>
      <c r="L340" s="36" t="s">
        <v>720</v>
      </c>
      <c r="M340" s="37" t="s">
        <v>1303</v>
      </c>
      <c r="N340" s="37" t="s">
        <v>1734</v>
      </c>
      <c r="O340" s="38">
        <v>1</v>
      </c>
      <c r="P340" s="38">
        <v>1</v>
      </c>
      <c r="Q340" s="35"/>
      <c r="S340" s="1">
        <f t="shared" si="139"/>
        <v>0</v>
      </c>
      <c r="T340" s="1">
        <f t="shared" si="140"/>
        <v>0</v>
      </c>
      <c r="U340" s="1">
        <f t="shared" si="141"/>
        <v>0</v>
      </c>
      <c r="V340" s="1">
        <f t="shared" si="142"/>
        <v>0</v>
      </c>
      <c r="W340" s="1">
        <f t="shared" si="143"/>
        <v>0</v>
      </c>
      <c r="X340" s="1">
        <f t="shared" si="144"/>
        <v>0</v>
      </c>
      <c r="Y340" s="1">
        <f t="shared" si="145"/>
        <v>0</v>
      </c>
      <c r="Z340" s="1">
        <f t="shared" si="146"/>
        <v>0</v>
      </c>
      <c r="AA340" s="1">
        <f t="shared" si="147"/>
        <v>0</v>
      </c>
      <c r="AB340" s="1">
        <f t="shared" si="148"/>
        <v>0</v>
      </c>
      <c r="AD340" s="1">
        <f t="shared" si="149"/>
        <v>1</v>
      </c>
      <c r="AE340" s="1">
        <f t="shared" si="150"/>
        <v>0</v>
      </c>
      <c r="AF340" s="1">
        <f t="shared" si="135"/>
        <v>1</v>
      </c>
      <c r="AG340" s="1">
        <f t="shared" si="136"/>
        <v>0</v>
      </c>
      <c r="AH340" s="1">
        <f t="shared" si="137"/>
        <v>1</v>
      </c>
      <c r="AI340" s="1">
        <f t="shared" si="138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765</v>
      </c>
      <c r="E341" s="35" t="s">
        <v>917</v>
      </c>
      <c r="F341" s="35" t="s">
        <v>766</v>
      </c>
      <c r="G341" s="35" t="s">
        <v>221</v>
      </c>
      <c r="H341" s="35" t="s">
        <v>355</v>
      </c>
      <c r="I341" s="34" t="s">
        <v>767</v>
      </c>
      <c r="J341" s="34">
        <v>8</v>
      </c>
      <c r="K341" s="36" t="s">
        <v>959</v>
      </c>
      <c r="L341" s="36" t="s">
        <v>733</v>
      </c>
      <c r="M341" s="37" t="s">
        <v>727</v>
      </c>
      <c r="N341" s="37" t="s">
        <v>1755</v>
      </c>
      <c r="O341" s="38">
        <v>1</v>
      </c>
      <c r="P341" s="38"/>
      <c r="Q341" s="35"/>
      <c r="S341" s="1">
        <f t="shared" si="139"/>
        <v>0</v>
      </c>
      <c r="T341" s="1">
        <f t="shared" si="140"/>
        <v>0</v>
      </c>
      <c r="U341" s="1">
        <f t="shared" si="141"/>
        <v>0</v>
      </c>
      <c r="V341" s="1">
        <f t="shared" si="142"/>
        <v>0</v>
      </c>
      <c r="W341" s="1">
        <f t="shared" si="143"/>
        <v>0</v>
      </c>
      <c r="X341" s="1">
        <f t="shared" si="144"/>
        <v>0</v>
      </c>
      <c r="Y341" s="1">
        <f t="shared" si="145"/>
        <v>0</v>
      </c>
      <c r="Z341" s="1">
        <f t="shared" si="146"/>
        <v>1</v>
      </c>
      <c r="AA341" s="1">
        <f t="shared" si="147"/>
        <v>0</v>
      </c>
      <c r="AB341" s="1">
        <f t="shared" si="148"/>
        <v>0</v>
      </c>
      <c r="AD341" s="1">
        <f t="shared" si="149"/>
        <v>0</v>
      </c>
      <c r="AE341" s="1">
        <f t="shared" si="150"/>
        <v>1</v>
      </c>
      <c r="AF341" s="1">
        <f t="shared" si="135"/>
        <v>0</v>
      </c>
      <c r="AG341" s="1">
        <f t="shared" si="136"/>
        <v>1</v>
      </c>
      <c r="AH341" s="1">
        <f t="shared" si="137"/>
        <v>0</v>
      </c>
      <c r="AI341" s="1">
        <f t="shared" si="138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1502</v>
      </c>
      <c r="E342" s="48" t="s">
        <v>1503</v>
      </c>
      <c r="F342" s="48" t="s">
        <v>1504</v>
      </c>
      <c r="G342" s="48" t="s">
        <v>239</v>
      </c>
      <c r="H342" s="48" t="s">
        <v>355</v>
      </c>
      <c r="I342" s="47" t="s">
        <v>1505</v>
      </c>
      <c r="J342" s="47">
        <v>4</v>
      </c>
      <c r="K342" s="49" t="s">
        <v>716</v>
      </c>
      <c r="L342" s="49">
        <v>15</v>
      </c>
      <c r="M342" s="50" t="s">
        <v>39</v>
      </c>
      <c r="N342" s="50" t="s">
        <v>1809</v>
      </c>
      <c r="O342" s="51"/>
      <c r="P342" s="51"/>
      <c r="Q342" s="48"/>
      <c r="S342" s="1">
        <f t="shared" si="139"/>
        <v>0</v>
      </c>
      <c r="T342" s="1">
        <f t="shared" si="140"/>
        <v>0</v>
      </c>
      <c r="U342" s="1">
        <f t="shared" si="141"/>
        <v>0</v>
      </c>
      <c r="V342" s="1">
        <f t="shared" si="142"/>
        <v>1</v>
      </c>
      <c r="W342" s="1">
        <f t="shared" si="143"/>
        <v>0</v>
      </c>
      <c r="X342" s="1">
        <f t="shared" si="144"/>
        <v>0</v>
      </c>
      <c r="Y342" s="1">
        <f t="shared" si="145"/>
        <v>0</v>
      </c>
      <c r="Z342" s="1">
        <f t="shared" si="146"/>
        <v>0</v>
      </c>
      <c r="AA342" s="1">
        <f t="shared" si="147"/>
        <v>0</v>
      </c>
      <c r="AB342" s="1">
        <f t="shared" si="148"/>
        <v>0</v>
      </c>
      <c r="AD342" s="1">
        <f t="shared" si="149"/>
        <v>0</v>
      </c>
      <c r="AE342" s="1">
        <f t="shared" si="150"/>
        <v>0</v>
      </c>
      <c r="AF342" s="1">
        <f t="shared" si="135"/>
        <v>0</v>
      </c>
      <c r="AG342" s="1">
        <f t="shared" si="136"/>
        <v>0</v>
      </c>
      <c r="AH342" s="1">
        <f t="shared" si="137"/>
        <v>0</v>
      </c>
      <c r="AI342" s="1">
        <f t="shared" si="138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1560</v>
      </c>
      <c r="E343" s="35" t="s">
        <v>1561</v>
      </c>
      <c r="F343" s="35" t="s">
        <v>1562</v>
      </c>
      <c r="G343" s="35" t="s">
        <v>1563</v>
      </c>
      <c r="H343" s="35" t="s">
        <v>355</v>
      </c>
      <c r="I343" s="34" t="s">
        <v>1564</v>
      </c>
      <c r="J343" s="34">
        <v>7</v>
      </c>
      <c r="K343" s="36" t="s">
        <v>959</v>
      </c>
      <c r="L343" s="36">
        <v>10</v>
      </c>
      <c r="M343" s="37" t="s">
        <v>39</v>
      </c>
      <c r="N343" s="37" t="s">
        <v>1750</v>
      </c>
      <c r="O343" s="38">
        <v>1</v>
      </c>
      <c r="P343" s="38"/>
      <c r="Q343" s="35"/>
      <c r="S343" s="1">
        <f t="shared" si="139"/>
        <v>0</v>
      </c>
      <c r="T343" s="1">
        <f t="shared" si="140"/>
        <v>0</v>
      </c>
      <c r="U343" s="1">
        <f t="shared" si="141"/>
        <v>0</v>
      </c>
      <c r="V343" s="1">
        <f t="shared" si="142"/>
        <v>0</v>
      </c>
      <c r="W343" s="1">
        <f t="shared" si="143"/>
        <v>0</v>
      </c>
      <c r="X343" s="1">
        <f t="shared" si="144"/>
        <v>0</v>
      </c>
      <c r="Y343" s="1">
        <f t="shared" si="145"/>
        <v>1</v>
      </c>
      <c r="Z343" s="1">
        <f t="shared" si="146"/>
        <v>0</v>
      </c>
      <c r="AA343" s="1">
        <f t="shared" si="147"/>
        <v>0</v>
      </c>
      <c r="AB343" s="1">
        <f t="shared" si="148"/>
        <v>0</v>
      </c>
      <c r="AD343" s="1">
        <f t="shared" si="149"/>
        <v>0</v>
      </c>
      <c r="AE343" s="1">
        <f t="shared" si="150"/>
        <v>1</v>
      </c>
      <c r="AF343" s="1">
        <f t="shared" si="135"/>
        <v>0</v>
      </c>
      <c r="AG343" s="1">
        <f t="shared" si="136"/>
        <v>1</v>
      </c>
      <c r="AH343" s="1">
        <f t="shared" si="137"/>
        <v>0</v>
      </c>
      <c r="AI343" s="1">
        <f t="shared" si="138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845</v>
      </c>
      <c r="E344" s="48" t="s">
        <v>32</v>
      </c>
      <c r="F344" s="48" t="s">
        <v>847</v>
      </c>
      <c r="G344" s="48" t="s">
        <v>39</v>
      </c>
      <c r="H344" s="48" t="s">
        <v>355</v>
      </c>
      <c r="I344" s="47" t="s">
        <v>846</v>
      </c>
      <c r="J344" s="47">
        <v>1</v>
      </c>
      <c r="K344" s="49" t="s">
        <v>717</v>
      </c>
      <c r="L344" s="49" t="s">
        <v>698</v>
      </c>
      <c r="M344" s="50" t="s">
        <v>1422</v>
      </c>
      <c r="N344" s="50" t="s">
        <v>1742</v>
      </c>
      <c r="O344" s="51"/>
      <c r="P344" s="51"/>
      <c r="Q344" s="48"/>
      <c r="S344" s="1">
        <f t="shared" si="139"/>
        <v>1</v>
      </c>
      <c r="T344" s="1">
        <f t="shared" si="140"/>
        <v>0</v>
      </c>
      <c r="U344" s="1">
        <f t="shared" si="141"/>
        <v>0</v>
      </c>
      <c r="V344" s="1">
        <f t="shared" si="142"/>
        <v>0</v>
      </c>
      <c r="W344" s="1">
        <f t="shared" si="143"/>
        <v>0</v>
      </c>
      <c r="X344" s="1">
        <f t="shared" si="144"/>
        <v>0</v>
      </c>
      <c r="Y344" s="1">
        <f t="shared" si="145"/>
        <v>0</v>
      </c>
      <c r="Z344" s="1">
        <f t="shared" si="146"/>
        <v>0</v>
      </c>
      <c r="AA344" s="1">
        <f t="shared" si="147"/>
        <v>0</v>
      </c>
      <c r="AB344" s="1">
        <f t="shared" si="148"/>
        <v>0</v>
      </c>
      <c r="AD344" s="1">
        <f t="shared" si="149"/>
        <v>0</v>
      </c>
      <c r="AE344" s="1">
        <f t="shared" si="150"/>
        <v>0</v>
      </c>
      <c r="AF344" s="1">
        <f t="shared" si="135"/>
        <v>0</v>
      </c>
      <c r="AG344" s="1">
        <f t="shared" si="136"/>
        <v>0</v>
      </c>
      <c r="AH344" s="1">
        <f t="shared" si="137"/>
        <v>0</v>
      </c>
      <c r="AI344" s="1">
        <f t="shared" si="138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768</v>
      </c>
      <c r="E345" s="16" t="s">
        <v>769</v>
      </c>
      <c r="F345" s="16" t="s">
        <v>770</v>
      </c>
      <c r="G345" s="16" t="s">
        <v>771</v>
      </c>
      <c r="H345" s="16" t="s">
        <v>355</v>
      </c>
      <c r="I345" s="15" t="s">
        <v>772</v>
      </c>
      <c r="J345" s="15">
        <v>99</v>
      </c>
      <c r="K345" s="10" t="s">
        <v>707</v>
      </c>
      <c r="L345" s="10">
        <v>15</v>
      </c>
      <c r="M345" s="19" t="s">
        <v>773</v>
      </c>
      <c r="N345" s="19"/>
      <c r="Q345" s="16"/>
      <c r="S345" s="1">
        <f t="shared" si="139"/>
        <v>0</v>
      </c>
      <c r="T345" s="1">
        <f t="shared" si="140"/>
        <v>0</v>
      </c>
      <c r="U345" s="1">
        <f t="shared" si="141"/>
        <v>0</v>
      </c>
      <c r="V345" s="1">
        <f t="shared" si="142"/>
        <v>0</v>
      </c>
      <c r="W345" s="1">
        <f t="shared" si="143"/>
        <v>0</v>
      </c>
      <c r="X345" s="1">
        <f t="shared" si="144"/>
        <v>0</v>
      </c>
      <c r="Y345" s="1">
        <f t="shared" si="145"/>
        <v>0</v>
      </c>
      <c r="Z345" s="1">
        <f t="shared" si="146"/>
        <v>0</v>
      </c>
      <c r="AA345" s="1">
        <f t="shared" si="147"/>
        <v>0</v>
      </c>
      <c r="AB345" s="1">
        <f t="shared" si="148"/>
        <v>0</v>
      </c>
      <c r="AD345" s="1">
        <f t="shared" si="149"/>
        <v>0</v>
      </c>
      <c r="AE345" s="1">
        <f t="shared" si="150"/>
        <v>0</v>
      </c>
      <c r="AF345" s="1">
        <f t="shared" si="135"/>
        <v>0</v>
      </c>
      <c r="AG345" s="1">
        <f t="shared" si="136"/>
        <v>0</v>
      </c>
      <c r="AH345" s="1">
        <f t="shared" si="137"/>
        <v>0</v>
      </c>
      <c r="AI345" s="1">
        <f t="shared" si="138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802</v>
      </c>
      <c r="E346" s="48" t="s">
        <v>912</v>
      </c>
      <c r="F346" s="48" t="s">
        <v>929</v>
      </c>
      <c r="G346" s="48" t="s">
        <v>209</v>
      </c>
      <c r="H346" s="48" t="s">
        <v>355</v>
      </c>
      <c r="I346" s="47" t="s">
        <v>1370</v>
      </c>
      <c r="J346" s="47">
        <v>3</v>
      </c>
      <c r="K346" s="49" t="s">
        <v>707</v>
      </c>
      <c r="L346" s="49">
        <v>20</v>
      </c>
      <c r="M346" s="50" t="s">
        <v>1424</v>
      </c>
      <c r="N346" s="50" t="s">
        <v>1809</v>
      </c>
      <c r="O346" s="51"/>
      <c r="P346" s="51"/>
      <c r="Q346" s="48"/>
      <c r="S346" s="1">
        <f t="shared" si="139"/>
        <v>0</v>
      </c>
      <c r="T346" s="1">
        <f t="shared" si="140"/>
        <v>0</v>
      </c>
      <c r="U346" s="1">
        <f t="shared" si="141"/>
        <v>1</v>
      </c>
      <c r="V346" s="1">
        <f t="shared" si="142"/>
        <v>0</v>
      </c>
      <c r="W346" s="1">
        <f t="shared" si="143"/>
        <v>0</v>
      </c>
      <c r="X346" s="1">
        <f t="shared" si="144"/>
        <v>0</v>
      </c>
      <c r="Y346" s="1">
        <f t="shared" si="145"/>
        <v>0</v>
      </c>
      <c r="Z346" s="1">
        <f t="shared" si="146"/>
        <v>0</v>
      </c>
      <c r="AA346" s="1">
        <f t="shared" si="147"/>
        <v>0</v>
      </c>
      <c r="AB346" s="1">
        <f t="shared" si="148"/>
        <v>0</v>
      </c>
      <c r="AD346" s="1">
        <f t="shared" si="149"/>
        <v>0</v>
      </c>
      <c r="AE346" s="1">
        <f t="shared" si="150"/>
        <v>0</v>
      </c>
      <c r="AF346" s="1">
        <f t="shared" si="135"/>
        <v>0</v>
      </c>
      <c r="AG346" s="1">
        <f t="shared" si="136"/>
        <v>0</v>
      </c>
      <c r="AH346" s="1">
        <f t="shared" si="137"/>
        <v>0</v>
      </c>
      <c r="AI346" s="1">
        <f t="shared" si="138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569</v>
      </c>
      <c r="E347" s="61" t="s">
        <v>37</v>
      </c>
      <c r="F347" s="61" t="s">
        <v>206</v>
      </c>
      <c r="G347" s="61" t="s">
        <v>39</v>
      </c>
      <c r="H347" s="61" t="s">
        <v>355</v>
      </c>
      <c r="I347" s="60" t="s">
        <v>390</v>
      </c>
      <c r="J347" s="60">
        <v>6</v>
      </c>
      <c r="K347" s="62" t="s">
        <v>707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39"/>
        <v>0</v>
      </c>
      <c r="T347" s="1">
        <f t="shared" si="140"/>
        <v>0</v>
      </c>
      <c r="U347" s="1">
        <f t="shared" si="141"/>
        <v>0</v>
      </c>
      <c r="V347" s="1">
        <f t="shared" si="142"/>
        <v>0</v>
      </c>
      <c r="W347" s="1">
        <f t="shared" si="143"/>
        <v>0</v>
      </c>
      <c r="X347" s="1">
        <f t="shared" si="144"/>
        <v>1</v>
      </c>
      <c r="Y347" s="1">
        <f t="shared" si="145"/>
        <v>0</v>
      </c>
      <c r="Z347" s="1">
        <f t="shared" si="146"/>
        <v>0</v>
      </c>
      <c r="AA347" s="1">
        <f t="shared" si="147"/>
        <v>0</v>
      </c>
      <c r="AB347" s="1">
        <f t="shared" si="148"/>
        <v>0</v>
      </c>
      <c r="AD347" s="1">
        <f t="shared" si="149"/>
        <v>0</v>
      </c>
      <c r="AE347" s="1">
        <f t="shared" si="150"/>
        <v>0</v>
      </c>
      <c r="AF347" s="1">
        <f t="shared" si="135"/>
        <v>0</v>
      </c>
      <c r="AG347" s="1">
        <f t="shared" si="136"/>
        <v>0</v>
      </c>
      <c r="AH347" s="1">
        <f t="shared" si="137"/>
        <v>0</v>
      </c>
      <c r="AI347" s="1">
        <f t="shared" si="138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655</v>
      </c>
      <c r="E348" s="48" t="s">
        <v>914</v>
      </c>
      <c r="F348" s="48" t="s">
        <v>626</v>
      </c>
      <c r="G348" s="48" t="s">
        <v>342</v>
      </c>
      <c r="H348" s="48" t="s">
        <v>355</v>
      </c>
      <c r="I348" s="47" t="s">
        <v>627</v>
      </c>
      <c r="J348" s="47">
        <v>10</v>
      </c>
      <c r="K348" s="49" t="s">
        <v>958</v>
      </c>
      <c r="L348" s="49" t="s">
        <v>708</v>
      </c>
      <c r="M348" s="50" t="s">
        <v>1425</v>
      </c>
      <c r="N348" s="50" t="s">
        <v>1741</v>
      </c>
      <c r="O348" s="51"/>
      <c r="P348" s="51"/>
      <c r="Q348" s="48"/>
      <c r="S348" s="1">
        <f t="shared" si="139"/>
        <v>0</v>
      </c>
      <c r="T348" s="1">
        <f t="shared" si="140"/>
        <v>0</v>
      </c>
      <c r="U348" s="1">
        <f t="shared" si="141"/>
        <v>0</v>
      </c>
      <c r="V348" s="1">
        <f t="shared" si="142"/>
        <v>0</v>
      </c>
      <c r="W348" s="1">
        <f t="shared" si="143"/>
        <v>0</v>
      </c>
      <c r="X348" s="1">
        <f t="shared" si="144"/>
        <v>0</v>
      </c>
      <c r="Y348" s="1">
        <f t="shared" si="145"/>
        <v>0</v>
      </c>
      <c r="Z348" s="1">
        <f t="shared" si="146"/>
        <v>0</v>
      </c>
      <c r="AA348" s="1">
        <f t="shared" si="147"/>
        <v>0</v>
      </c>
      <c r="AB348" s="1">
        <f t="shared" si="148"/>
        <v>1</v>
      </c>
      <c r="AD348" s="1">
        <f t="shared" si="149"/>
        <v>0</v>
      </c>
      <c r="AE348" s="1">
        <f t="shared" si="150"/>
        <v>0</v>
      </c>
      <c r="AF348" s="1">
        <f t="shared" si="135"/>
        <v>0</v>
      </c>
      <c r="AG348" s="1">
        <f t="shared" si="136"/>
        <v>0</v>
      </c>
      <c r="AH348" s="1">
        <f t="shared" si="137"/>
        <v>0</v>
      </c>
      <c r="AI348" s="1">
        <f t="shared" si="138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267</v>
      </c>
      <c r="G349" s="35" t="s">
        <v>214</v>
      </c>
      <c r="H349" s="35" t="s">
        <v>355</v>
      </c>
      <c r="I349" s="34" t="s">
        <v>949</v>
      </c>
      <c r="J349" s="34">
        <v>1</v>
      </c>
      <c r="K349" s="36" t="s">
        <v>717</v>
      </c>
      <c r="L349" s="36" t="s">
        <v>708</v>
      </c>
      <c r="M349" s="37" t="s">
        <v>1426</v>
      </c>
      <c r="N349" s="37" t="s">
        <v>1750</v>
      </c>
      <c r="O349" s="38">
        <v>1</v>
      </c>
      <c r="P349" s="38"/>
      <c r="Q349" s="35"/>
      <c r="S349" s="1">
        <f t="shared" si="139"/>
        <v>1</v>
      </c>
      <c r="T349" s="1">
        <f t="shared" si="140"/>
        <v>0</v>
      </c>
      <c r="U349" s="1">
        <f t="shared" si="141"/>
        <v>0</v>
      </c>
      <c r="V349" s="1">
        <f t="shared" si="142"/>
        <v>0</v>
      </c>
      <c r="W349" s="1">
        <f t="shared" si="143"/>
        <v>0</v>
      </c>
      <c r="X349" s="1">
        <f t="shared" si="144"/>
        <v>0</v>
      </c>
      <c r="Y349" s="1">
        <f t="shared" si="145"/>
        <v>0</v>
      </c>
      <c r="Z349" s="1">
        <f t="shared" si="146"/>
        <v>0</v>
      </c>
      <c r="AA349" s="1">
        <f t="shared" si="147"/>
        <v>0</v>
      </c>
      <c r="AB349" s="1">
        <f t="shared" si="148"/>
        <v>0</v>
      </c>
      <c r="AD349" s="1">
        <f t="shared" si="149"/>
        <v>0</v>
      </c>
      <c r="AE349" s="1">
        <f t="shared" si="150"/>
        <v>1</v>
      </c>
      <c r="AF349" s="1">
        <f t="shared" si="135"/>
        <v>0</v>
      </c>
      <c r="AG349" s="1">
        <f t="shared" si="136"/>
        <v>1</v>
      </c>
      <c r="AH349" s="1">
        <f t="shared" si="137"/>
        <v>0</v>
      </c>
      <c r="AI349" s="1">
        <f t="shared" si="138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923</v>
      </c>
      <c r="E350" s="35" t="s">
        <v>916</v>
      </c>
      <c r="F350" s="35" t="s">
        <v>786</v>
      </c>
      <c r="G350" s="35" t="s">
        <v>286</v>
      </c>
      <c r="H350" s="35" t="s">
        <v>355</v>
      </c>
      <c r="I350" s="34" t="s">
        <v>950</v>
      </c>
      <c r="J350" s="34">
        <v>4</v>
      </c>
      <c r="K350" s="36" t="s">
        <v>717</v>
      </c>
      <c r="L350" s="36" t="s">
        <v>700</v>
      </c>
      <c r="M350" s="37" t="s">
        <v>1427</v>
      </c>
      <c r="N350" s="37" t="s">
        <v>1756</v>
      </c>
      <c r="O350" s="38">
        <v>1</v>
      </c>
      <c r="P350" s="38"/>
      <c r="Q350" s="35"/>
      <c r="S350" s="1">
        <f t="shared" si="139"/>
        <v>0</v>
      </c>
      <c r="T350" s="1">
        <f t="shared" si="140"/>
        <v>0</v>
      </c>
      <c r="U350" s="1">
        <f t="shared" si="141"/>
        <v>0</v>
      </c>
      <c r="V350" s="1">
        <f t="shared" si="142"/>
        <v>1</v>
      </c>
      <c r="W350" s="1">
        <f t="shared" si="143"/>
        <v>0</v>
      </c>
      <c r="X350" s="1">
        <f t="shared" si="144"/>
        <v>0</v>
      </c>
      <c r="Y350" s="1">
        <f t="shared" si="145"/>
        <v>0</v>
      </c>
      <c r="Z350" s="1">
        <f t="shared" si="146"/>
        <v>0</v>
      </c>
      <c r="AA350" s="1">
        <f t="shared" si="147"/>
        <v>0</v>
      </c>
      <c r="AB350" s="1">
        <f t="shared" si="148"/>
        <v>0</v>
      </c>
      <c r="AD350" s="1">
        <f t="shared" si="149"/>
        <v>0</v>
      </c>
      <c r="AE350" s="1">
        <f t="shared" si="150"/>
        <v>1</v>
      </c>
      <c r="AF350" s="1">
        <f t="shared" si="135"/>
        <v>0</v>
      </c>
      <c r="AG350" s="1">
        <f t="shared" si="136"/>
        <v>1</v>
      </c>
      <c r="AH350" s="1">
        <f t="shared" si="137"/>
        <v>0</v>
      </c>
      <c r="AI350" s="1">
        <f t="shared" si="138"/>
        <v>1</v>
      </c>
    </row>
    <row r="351" spans="1:35" ht="14.25" customHeight="1" x14ac:dyDescent="0.25">
      <c r="A351" s="41">
        <v>0</v>
      </c>
      <c r="B351" s="41">
        <v>2</v>
      </c>
      <c r="C351" s="41">
        <v>4</v>
      </c>
      <c r="D351" s="42" t="s">
        <v>1145</v>
      </c>
      <c r="E351" s="42" t="s">
        <v>776</v>
      </c>
      <c r="F351" s="42" t="s">
        <v>1146</v>
      </c>
      <c r="G351" s="42" t="s">
        <v>186</v>
      </c>
      <c r="H351" s="42" t="s">
        <v>355</v>
      </c>
      <c r="I351" s="41" t="s">
        <v>1173</v>
      </c>
      <c r="J351" s="41">
        <v>99</v>
      </c>
      <c r="K351" s="43" t="s">
        <v>717</v>
      </c>
      <c r="L351" s="43" t="s">
        <v>39</v>
      </c>
      <c r="M351" s="44" t="s">
        <v>39</v>
      </c>
      <c r="N351" s="45"/>
      <c r="O351" s="46"/>
      <c r="P351" s="46">
        <v>1</v>
      </c>
      <c r="Q351" s="42"/>
      <c r="S351" s="1">
        <f t="shared" si="139"/>
        <v>0</v>
      </c>
      <c r="T351" s="1">
        <f t="shared" si="140"/>
        <v>0</v>
      </c>
      <c r="U351" s="1">
        <f t="shared" si="141"/>
        <v>0</v>
      </c>
      <c r="V351" s="1">
        <f t="shared" si="142"/>
        <v>0</v>
      </c>
      <c r="W351" s="1">
        <f t="shared" si="143"/>
        <v>0</v>
      </c>
      <c r="X351" s="1">
        <f t="shared" si="144"/>
        <v>0</v>
      </c>
      <c r="Y351" s="1">
        <f t="shared" si="145"/>
        <v>0</v>
      </c>
      <c r="Z351" s="1">
        <f t="shared" si="146"/>
        <v>0</v>
      </c>
      <c r="AA351" s="1">
        <f t="shared" si="147"/>
        <v>0</v>
      </c>
      <c r="AB351" s="1">
        <f t="shared" si="148"/>
        <v>0</v>
      </c>
      <c r="AD351" s="1">
        <f t="shared" si="149"/>
        <v>0</v>
      </c>
      <c r="AE351" s="1">
        <f t="shared" si="150"/>
        <v>0</v>
      </c>
      <c r="AF351" s="1">
        <f t="shared" si="135"/>
        <v>0</v>
      </c>
      <c r="AG351" s="1">
        <f t="shared" si="136"/>
        <v>0</v>
      </c>
      <c r="AH351" s="1">
        <f t="shared" si="137"/>
        <v>1</v>
      </c>
      <c r="AI351" s="1">
        <f t="shared" si="138"/>
        <v>0</v>
      </c>
    </row>
    <row r="352" spans="1:35" ht="14.25" customHeight="1" x14ac:dyDescent="0.25">
      <c r="A352" s="15">
        <v>0</v>
      </c>
      <c r="B352" s="15">
        <v>2</v>
      </c>
      <c r="C352" s="15">
        <v>4</v>
      </c>
      <c r="D352" s="16" t="s">
        <v>631</v>
      </c>
      <c r="E352" s="16" t="s">
        <v>688</v>
      </c>
      <c r="F352" s="16" t="s">
        <v>673</v>
      </c>
      <c r="G352" s="16" t="s">
        <v>630</v>
      </c>
      <c r="H352" s="16" t="s">
        <v>355</v>
      </c>
      <c r="I352" s="15" t="s">
        <v>632</v>
      </c>
      <c r="J352" s="15">
        <v>99</v>
      </c>
      <c r="K352" s="10" t="s">
        <v>959</v>
      </c>
      <c r="L352" s="10" t="s">
        <v>39</v>
      </c>
      <c r="M352" s="19" t="s">
        <v>39</v>
      </c>
      <c r="N352" s="17"/>
      <c r="Q352" s="20" t="s">
        <v>1904</v>
      </c>
      <c r="S352" s="1">
        <f t="shared" si="139"/>
        <v>0</v>
      </c>
      <c r="T352" s="1">
        <f t="shared" si="140"/>
        <v>0</v>
      </c>
      <c r="U352" s="1">
        <f t="shared" si="141"/>
        <v>0</v>
      </c>
      <c r="V352" s="1">
        <f t="shared" si="142"/>
        <v>0</v>
      </c>
      <c r="W352" s="1">
        <f t="shared" si="143"/>
        <v>0</v>
      </c>
      <c r="X352" s="1">
        <f t="shared" si="144"/>
        <v>0</v>
      </c>
      <c r="Y352" s="1">
        <f t="shared" si="145"/>
        <v>0</v>
      </c>
      <c r="Z352" s="1">
        <f t="shared" si="146"/>
        <v>0</v>
      </c>
      <c r="AA352" s="1">
        <f t="shared" si="147"/>
        <v>0</v>
      </c>
      <c r="AB352" s="1">
        <f t="shared" si="148"/>
        <v>0</v>
      </c>
      <c r="AD352" s="1">
        <f t="shared" si="149"/>
        <v>0</v>
      </c>
      <c r="AE352" s="1">
        <f t="shared" si="150"/>
        <v>0</v>
      </c>
      <c r="AF352" s="1">
        <f t="shared" si="135"/>
        <v>0</v>
      </c>
      <c r="AG352" s="1">
        <f t="shared" si="136"/>
        <v>0</v>
      </c>
      <c r="AH352" s="1">
        <f t="shared" si="137"/>
        <v>0</v>
      </c>
      <c r="AI352" s="1">
        <f t="shared" si="138"/>
        <v>1</v>
      </c>
    </row>
    <row r="353" spans="1:16384" s="2" customFormat="1" ht="14.25" customHeight="1" x14ac:dyDescent="0.25">
      <c r="A353" s="34">
        <v>0</v>
      </c>
      <c r="B353" s="34">
        <v>2</v>
      </c>
      <c r="C353" s="34">
        <v>4</v>
      </c>
      <c r="D353" s="35" t="s">
        <v>84</v>
      </c>
      <c r="E353" s="35" t="s">
        <v>35</v>
      </c>
      <c r="F353" s="35" t="s">
        <v>278</v>
      </c>
      <c r="G353" s="35" t="s">
        <v>225</v>
      </c>
      <c r="H353" s="35" t="s">
        <v>355</v>
      </c>
      <c r="I353" s="34" t="s">
        <v>434</v>
      </c>
      <c r="J353" s="34">
        <v>99</v>
      </c>
      <c r="K353" s="36" t="s">
        <v>958</v>
      </c>
      <c r="L353" s="36" t="s">
        <v>708</v>
      </c>
      <c r="M353" s="37" t="s">
        <v>730</v>
      </c>
      <c r="N353" s="37" t="s">
        <v>1768</v>
      </c>
      <c r="O353" s="38">
        <v>1</v>
      </c>
      <c r="P353" s="38"/>
      <c r="Q353" s="35"/>
      <c r="R353" s="1"/>
      <c r="S353" s="1">
        <f t="shared" si="139"/>
        <v>0</v>
      </c>
      <c r="T353" s="1">
        <f t="shared" si="140"/>
        <v>0</v>
      </c>
      <c r="U353" s="1">
        <f t="shared" si="141"/>
        <v>0</v>
      </c>
      <c r="V353" s="1">
        <f t="shared" si="142"/>
        <v>0</v>
      </c>
      <c r="W353" s="1">
        <f t="shared" si="143"/>
        <v>0</v>
      </c>
      <c r="X353" s="1">
        <f t="shared" si="144"/>
        <v>0</v>
      </c>
      <c r="Y353" s="1">
        <f t="shared" si="145"/>
        <v>0</v>
      </c>
      <c r="Z353" s="1">
        <f t="shared" si="146"/>
        <v>0</v>
      </c>
      <c r="AA353" s="1">
        <f t="shared" si="147"/>
        <v>0</v>
      </c>
      <c r="AB353" s="1">
        <f t="shared" si="148"/>
        <v>0</v>
      </c>
      <c r="AC353" s="1"/>
      <c r="AD353" s="1">
        <f t="shared" si="149"/>
        <v>0</v>
      </c>
      <c r="AE353" s="1">
        <f t="shared" si="150"/>
        <v>1</v>
      </c>
      <c r="AF353" s="1">
        <f t="shared" si="135"/>
        <v>0</v>
      </c>
      <c r="AG353" s="1">
        <f t="shared" si="136"/>
        <v>1</v>
      </c>
      <c r="AH353" s="1">
        <f t="shared" si="137"/>
        <v>0</v>
      </c>
      <c r="AI353" s="1">
        <f t="shared" si="138"/>
        <v>1</v>
      </c>
      <c r="AJ353" s="1"/>
    </row>
    <row r="354" spans="1:16384" s="2" customFormat="1" ht="14.25" customHeight="1" x14ac:dyDescent="0.25">
      <c r="A354" s="15">
        <v>0</v>
      </c>
      <c r="B354" s="15">
        <v>2</v>
      </c>
      <c r="C354" s="15">
        <v>4</v>
      </c>
      <c r="D354" s="16" t="s">
        <v>883</v>
      </c>
      <c r="E354" s="16" t="s">
        <v>776</v>
      </c>
      <c r="F354" s="16" t="s">
        <v>881</v>
      </c>
      <c r="G354" s="16" t="s">
        <v>280</v>
      </c>
      <c r="H354" s="16" t="s">
        <v>355</v>
      </c>
      <c r="I354" s="15" t="s">
        <v>882</v>
      </c>
      <c r="J354" s="15">
        <v>99</v>
      </c>
      <c r="K354" s="10" t="s">
        <v>707</v>
      </c>
      <c r="L354" s="10">
        <v>25</v>
      </c>
      <c r="M354" s="19" t="s">
        <v>1428</v>
      </c>
      <c r="N354" s="19"/>
      <c r="O354" s="1"/>
      <c r="P354" s="1"/>
      <c r="Q354" s="16"/>
      <c r="R354" s="1"/>
      <c r="S354" s="1">
        <f t="shared" si="139"/>
        <v>0</v>
      </c>
      <c r="T354" s="1">
        <f t="shared" si="140"/>
        <v>0</v>
      </c>
      <c r="U354" s="1">
        <f t="shared" si="141"/>
        <v>0</v>
      </c>
      <c r="V354" s="1">
        <f t="shared" si="142"/>
        <v>0</v>
      </c>
      <c r="W354" s="1">
        <f t="shared" si="143"/>
        <v>0</v>
      </c>
      <c r="X354" s="1">
        <f t="shared" si="144"/>
        <v>0</v>
      </c>
      <c r="Y354" s="1">
        <f t="shared" si="145"/>
        <v>0</v>
      </c>
      <c r="Z354" s="1">
        <f t="shared" si="146"/>
        <v>0</v>
      </c>
      <c r="AA354" s="1">
        <f t="shared" si="147"/>
        <v>0</v>
      </c>
      <c r="AB354" s="1">
        <f t="shared" si="148"/>
        <v>0</v>
      </c>
      <c r="AC354" s="1"/>
      <c r="AD354" s="1">
        <f t="shared" si="149"/>
        <v>0</v>
      </c>
      <c r="AE354" s="1">
        <f t="shared" si="150"/>
        <v>0</v>
      </c>
      <c r="AF354" s="1">
        <f t="shared" si="135"/>
        <v>0</v>
      </c>
      <c r="AG354" s="1">
        <f t="shared" si="136"/>
        <v>0</v>
      </c>
      <c r="AH354" s="1">
        <f t="shared" si="137"/>
        <v>0</v>
      </c>
      <c r="AI354" s="1">
        <f t="shared" si="138"/>
        <v>1</v>
      </c>
      <c r="AJ354" s="1"/>
    </row>
    <row r="355" spans="1:16384" s="2" customFormat="1" ht="14.25" customHeight="1" x14ac:dyDescent="0.25">
      <c r="A355" s="34">
        <v>0</v>
      </c>
      <c r="B355" s="34">
        <v>2</v>
      </c>
      <c r="C355" s="34">
        <v>4</v>
      </c>
      <c r="D355" s="35" t="s">
        <v>926</v>
      </c>
      <c r="E355" s="35" t="s">
        <v>776</v>
      </c>
      <c r="F355" s="35" t="s">
        <v>848</v>
      </c>
      <c r="G355" s="35" t="s">
        <v>210</v>
      </c>
      <c r="H355" s="35" t="s">
        <v>355</v>
      </c>
      <c r="I355" s="34" t="s">
        <v>849</v>
      </c>
      <c r="J355" s="34">
        <v>99</v>
      </c>
      <c r="K355" s="36" t="s">
        <v>716</v>
      </c>
      <c r="L355" s="36" t="s">
        <v>708</v>
      </c>
      <c r="M355" s="37" t="s">
        <v>730</v>
      </c>
      <c r="N355" s="37" t="s">
        <v>1763</v>
      </c>
      <c r="O355" s="38">
        <v>1</v>
      </c>
      <c r="P355" s="38"/>
      <c r="Q355" s="35"/>
      <c r="R355" s="1"/>
      <c r="S355" s="1">
        <f t="shared" si="139"/>
        <v>0</v>
      </c>
      <c r="T355" s="1">
        <f t="shared" si="140"/>
        <v>0</v>
      </c>
      <c r="U355" s="1">
        <f t="shared" si="141"/>
        <v>0</v>
      </c>
      <c r="V355" s="1">
        <f t="shared" si="142"/>
        <v>0</v>
      </c>
      <c r="W355" s="1">
        <f t="shared" si="143"/>
        <v>0</v>
      </c>
      <c r="X355" s="1">
        <f t="shared" si="144"/>
        <v>0</v>
      </c>
      <c r="Y355" s="1">
        <f t="shared" si="145"/>
        <v>0</v>
      </c>
      <c r="Z355" s="1">
        <f t="shared" si="146"/>
        <v>0</v>
      </c>
      <c r="AA355" s="1">
        <f t="shared" si="147"/>
        <v>0</v>
      </c>
      <c r="AB355" s="1">
        <f t="shared" si="148"/>
        <v>0</v>
      </c>
      <c r="AC355" s="1"/>
      <c r="AD355" s="1">
        <f t="shared" si="149"/>
        <v>0</v>
      </c>
      <c r="AE355" s="1">
        <f t="shared" si="150"/>
        <v>1</v>
      </c>
      <c r="AF355" s="1">
        <f t="shared" si="135"/>
        <v>0</v>
      </c>
      <c r="AG355" s="1">
        <f t="shared" si="136"/>
        <v>1</v>
      </c>
      <c r="AH355" s="1">
        <f t="shared" si="137"/>
        <v>0</v>
      </c>
      <c r="AI355" s="1">
        <f t="shared" si="138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4</v>
      </c>
      <c r="D356" s="48" t="s">
        <v>1230</v>
      </c>
      <c r="E356" s="48" t="s">
        <v>1229</v>
      </c>
      <c r="F356" s="48" t="s">
        <v>1231</v>
      </c>
      <c r="G356" s="48" t="s">
        <v>537</v>
      </c>
      <c r="H356" s="48" t="s">
        <v>355</v>
      </c>
      <c r="I356" s="47" t="s">
        <v>1232</v>
      </c>
      <c r="J356" s="47">
        <v>99</v>
      </c>
      <c r="K356" s="49" t="s">
        <v>717</v>
      </c>
      <c r="L356" s="49" t="s">
        <v>698</v>
      </c>
      <c r="M356" s="50" t="s">
        <v>1429</v>
      </c>
      <c r="N356" s="50" t="s">
        <v>1754</v>
      </c>
      <c r="O356" s="51"/>
      <c r="P356" s="51"/>
      <c r="Q356" s="48"/>
      <c r="R356" s="1"/>
      <c r="S356" s="1">
        <f t="shared" si="139"/>
        <v>0</v>
      </c>
      <c r="T356" s="1">
        <f t="shared" si="140"/>
        <v>0</v>
      </c>
      <c r="U356" s="1">
        <f t="shared" si="141"/>
        <v>0</v>
      </c>
      <c r="V356" s="1">
        <f t="shared" si="142"/>
        <v>0</v>
      </c>
      <c r="W356" s="1">
        <f t="shared" si="143"/>
        <v>0</v>
      </c>
      <c r="X356" s="1">
        <f t="shared" si="144"/>
        <v>0</v>
      </c>
      <c r="Y356" s="1">
        <f t="shared" si="145"/>
        <v>0</v>
      </c>
      <c r="Z356" s="1">
        <f t="shared" si="146"/>
        <v>0</v>
      </c>
      <c r="AA356" s="1">
        <f t="shared" si="147"/>
        <v>0</v>
      </c>
      <c r="AB356" s="1">
        <f t="shared" si="148"/>
        <v>0</v>
      </c>
      <c r="AC356" s="1"/>
      <c r="AD356" s="1">
        <f t="shared" si="149"/>
        <v>0</v>
      </c>
      <c r="AE356" s="1">
        <f t="shared" si="150"/>
        <v>0</v>
      </c>
      <c r="AF356" s="1">
        <f t="shared" si="135"/>
        <v>0</v>
      </c>
      <c r="AG356" s="1">
        <f t="shared" si="136"/>
        <v>0</v>
      </c>
      <c r="AH356" s="1">
        <f t="shared" si="137"/>
        <v>0</v>
      </c>
      <c r="AI356" s="1">
        <f t="shared" si="138"/>
        <v>1</v>
      </c>
      <c r="AJ356" s="1"/>
    </row>
    <row r="357" spans="1:16384" s="2" customFormat="1" ht="14.25" customHeight="1" x14ac:dyDescent="0.25">
      <c r="A357" s="34">
        <v>0</v>
      </c>
      <c r="B357" s="34">
        <v>2</v>
      </c>
      <c r="C357" s="34">
        <v>4</v>
      </c>
      <c r="D357" s="35" t="s">
        <v>827</v>
      </c>
      <c r="E357" s="35" t="s">
        <v>592</v>
      </c>
      <c r="F357" s="35" t="s">
        <v>828</v>
      </c>
      <c r="G357" s="35" t="s">
        <v>941</v>
      </c>
      <c r="H357" s="35" t="s">
        <v>355</v>
      </c>
      <c r="I357" s="34" t="s">
        <v>955</v>
      </c>
      <c r="J357" s="34">
        <v>7</v>
      </c>
      <c r="K357" s="36" t="s">
        <v>716</v>
      </c>
      <c r="L357" s="36" t="s">
        <v>39</v>
      </c>
      <c r="M357" s="37" t="s">
        <v>39</v>
      </c>
      <c r="N357" s="37" t="s">
        <v>1734</v>
      </c>
      <c r="O357" s="38">
        <v>1</v>
      </c>
      <c r="P357" s="38">
        <v>1</v>
      </c>
      <c r="Q357" s="35"/>
      <c r="R357" s="1"/>
      <c r="S357" s="1">
        <f t="shared" si="139"/>
        <v>0</v>
      </c>
      <c r="T357" s="1">
        <f t="shared" si="140"/>
        <v>0</v>
      </c>
      <c r="U357" s="1">
        <f t="shared" si="141"/>
        <v>0</v>
      </c>
      <c r="V357" s="1">
        <f t="shared" si="142"/>
        <v>0</v>
      </c>
      <c r="W357" s="1">
        <f t="shared" si="143"/>
        <v>0</v>
      </c>
      <c r="X357" s="1">
        <f t="shared" si="144"/>
        <v>0</v>
      </c>
      <c r="Y357" s="1">
        <f t="shared" si="145"/>
        <v>1</v>
      </c>
      <c r="Z357" s="1">
        <f t="shared" si="146"/>
        <v>0</v>
      </c>
      <c r="AA357" s="1">
        <f t="shared" si="147"/>
        <v>0</v>
      </c>
      <c r="AB357" s="1">
        <f t="shared" si="148"/>
        <v>0</v>
      </c>
      <c r="AC357" s="1"/>
      <c r="AD357" s="1">
        <f t="shared" si="149"/>
        <v>1</v>
      </c>
      <c r="AE357" s="1">
        <f t="shared" si="150"/>
        <v>0</v>
      </c>
      <c r="AF357" s="1">
        <f t="shared" si="135"/>
        <v>1</v>
      </c>
      <c r="AG357" s="1">
        <f t="shared" si="136"/>
        <v>0</v>
      </c>
      <c r="AH357" s="1">
        <f t="shared" si="137"/>
        <v>1</v>
      </c>
      <c r="AI357" s="1">
        <f t="shared" si="138"/>
        <v>0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4</v>
      </c>
      <c r="D358" s="48" t="s">
        <v>1612</v>
      </c>
      <c r="E358" s="48" t="s">
        <v>1662</v>
      </c>
      <c r="F358" s="48" t="s">
        <v>1613</v>
      </c>
      <c r="G358" s="48" t="s">
        <v>334</v>
      </c>
      <c r="H358" s="48" t="s">
        <v>355</v>
      </c>
      <c r="I358" s="47" t="s">
        <v>30</v>
      </c>
      <c r="J358" s="47">
        <v>99</v>
      </c>
      <c r="K358" s="49" t="s">
        <v>717</v>
      </c>
      <c r="L358" s="49">
        <v>20</v>
      </c>
      <c r="M358" s="50" t="s">
        <v>39</v>
      </c>
      <c r="N358" s="50" t="s">
        <v>1748</v>
      </c>
      <c r="O358" s="51"/>
      <c r="P358" s="51"/>
      <c r="Q358" s="48"/>
      <c r="R358" s="1"/>
      <c r="S358" s="1">
        <f t="shared" si="139"/>
        <v>0</v>
      </c>
      <c r="T358" s="1">
        <f t="shared" si="140"/>
        <v>0</v>
      </c>
      <c r="U358" s="1">
        <f t="shared" si="141"/>
        <v>0</v>
      </c>
      <c r="V358" s="1">
        <f t="shared" si="142"/>
        <v>0</v>
      </c>
      <c r="W358" s="1">
        <f t="shared" si="143"/>
        <v>0</v>
      </c>
      <c r="X358" s="1">
        <f t="shared" si="144"/>
        <v>0</v>
      </c>
      <c r="Y358" s="1">
        <f t="shared" si="145"/>
        <v>0</v>
      </c>
      <c r="Z358" s="1">
        <f t="shared" si="146"/>
        <v>0</v>
      </c>
      <c r="AA358" s="1">
        <f t="shared" si="147"/>
        <v>0</v>
      </c>
      <c r="AB358" s="1">
        <f t="shared" si="148"/>
        <v>0</v>
      </c>
      <c r="AC358" s="1"/>
      <c r="AD358" s="1">
        <f t="shared" ref="AD358:AD361" si="151">+O358*P358</f>
        <v>0</v>
      </c>
      <c r="AE358" s="1">
        <f t="shared" ref="AE358:AE361" si="152">O358*(1-P358)</f>
        <v>0</v>
      </c>
      <c r="AF358" s="1">
        <f t="shared" ref="AF358:AF361" si="153">+O358*P358*(1-A358)</f>
        <v>0</v>
      </c>
      <c r="AG358" s="1">
        <f t="shared" ref="AG358:AG361" si="154">O358*(1-P358)*(1-A358)</f>
        <v>0</v>
      </c>
      <c r="AH358" s="1">
        <f t="shared" ref="AH358:AH361" si="155">+P358*(1-A358)</f>
        <v>0</v>
      </c>
      <c r="AI358" s="1">
        <f t="shared" ref="AI358:AI361" si="156">+(1-A358)*(1-P358)</f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58</v>
      </c>
      <c r="E359" s="35" t="s">
        <v>44</v>
      </c>
      <c r="F359" s="35" t="s">
        <v>674</v>
      </c>
      <c r="G359" s="35" t="s">
        <v>224</v>
      </c>
      <c r="H359" s="35" t="s">
        <v>355</v>
      </c>
      <c r="I359" s="34" t="s">
        <v>398</v>
      </c>
      <c r="J359" s="34">
        <v>8</v>
      </c>
      <c r="K359" s="36" t="s">
        <v>717</v>
      </c>
      <c r="L359" s="36" t="s">
        <v>720</v>
      </c>
      <c r="M359" s="37" t="s">
        <v>1430</v>
      </c>
      <c r="N359" s="37" t="s">
        <v>1755</v>
      </c>
      <c r="O359" s="38">
        <v>1</v>
      </c>
      <c r="P359" s="38"/>
      <c r="Q359" s="35"/>
      <c r="R359" s="1"/>
      <c r="S359" s="1">
        <f t="shared" si="139"/>
        <v>0</v>
      </c>
      <c r="T359" s="1">
        <f t="shared" si="140"/>
        <v>0</v>
      </c>
      <c r="U359" s="1">
        <f t="shared" si="141"/>
        <v>0</v>
      </c>
      <c r="V359" s="1">
        <f t="shared" si="142"/>
        <v>0</v>
      </c>
      <c r="W359" s="1">
        <f t="shared" si="143"/>
        <v>0</v>
      </c>
      <c r="X359" s="1">
        <f t="shared" si="144"/>
        <v>0</v>
      </c>
      <c r="Y359" s="1">
        <f t="shared" si="145"/>
        <v>0</v>
      </c>
      <c r="Z359" s="1">
        <f t="shared" si="146"/>
        <v>1</v>
      </c>
      <c r="AA359" s="1">
        <f t="shared" si="147"/>
        <v>0</v>
      </c>
      <c r="AB359" s="1">
        <f t="shared" si="148"/>
        <v>0</v>
      </c>
      <c r="AC359" s="1"/>
      <c r="AD359" s="1">
        <f t="shared" si="151"/>
        <v>0</v>
      </c>
      <c r="AE359" s="1">
        <f t="shared" si="152"/>
        <v>1</v>
      </c>
      <c r="AF359" s="1">
        <f t="shared" si="153"/>
        <v>0</v>
      </c>
      <c r="AG359" s="1">
        <f t="shared" si="154"/>
        <v>1</v>
      </c>
      <c r="AH359" s="1">
        <f t="shared" si="155"/>
        <v>0</v>
      </c>
      <c r="AI359" s="1">
        <f t="shared" si="156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836</v>
      </c>
      <c r="E360" s="48" t="s">
        <v>835</v>
      </c>
      <c r="F360" s="48" t="s">
        <v>928</v>
      </c>
      <c r="G360" s="48" t="s">
        <v>214</v>
      </c>
      <c r="H360" s="48" t="s">
        <v>355</v>
      </c>
      <c r="I360" s="47" t="s">
        <v>837</v>
      </c>
      <c r="J360" s="47">
        <v>1</v>
      </c>
      <c r="K360" s="49" t="s">
        <v>716</v>
      </c>
      <c r="L360" s="49" t="s">
        <v>697</v>
      </c>
      <c r="M360" s="50" t="s">
        <v>1431</v>
      </c>
      <c r="N360" s="50" t="s">
        <v>1742</v>
      </c>
      <c r="O360" s="51"/>
      <c r="P360" s="51"/>
      <c r="Q360" s="48"/>
      <c r="R360" s="1"/>
      <c r="S360" s="1">
        <f t="shared" si="139"/>
        <v>1</v>
      </c>
      <c r="T360" s="1">
        <f t="shared" si="140"/>
        <v>0</v>
      </c>
      <c r="U360" s="1">
        <f t="shared" si="141"/>
        <v>0</v>
      </c>
      <c r="V360" s="1">
        <f t="shared" si="142"/>
        <v>0</v>
      </c>
      <c r="W360" s="1">
        <f t="shared" si="143"/>
        <v>0</v>
      </c>
      <c r="X360" s="1">
        <f t="shared" si="144"/>
        <v>0</v>
      </c>
      <c r="Y360" s="1">
        <f t="shared" si="145"/>
        <v>0</v>
      </c>
      <c r="Z360" s="1">
        <f t="shared" si="146"/>
        <v>0</v>
      </c>
      <c r="AA360" s="1">
        <f t="shared" si="147"/>
        <v>0</v>
      </c>
      <c r="AB360" s="1">
        <f t="shared" si="148"/>
        <v>0</v>
      </c>
      <c r="AC360" s="1"/>
      <c r="AD360" s="1">
        <f t="shared" si="151"/>
        <v>0</v>
      </c>
      <c r="AE360" s="1">
        <f t="shared" si="152"/>
        <v>0</v>
      </c>
      <c r="AF360" s="1">
        <f t="shared" si="153"/>
        <v>0</v>
      </c>
      <c r="AG360" s="1">
        <f t="shared" si="154"/>
        <v>0</v>
      </c>
      <c r="AH360" s="1">
        <f t="shared" si="155"/>
        <v>0</v>
      </c>
      <c r="AI360" s="1">
        <f t="shared" si="156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65</v>
      </c>
      <c r="E361" s="35" t="s">
        <v>165</v>
      </c>
      <c r="F361" s="35" t="s">
        <v>549</v>
      </c>
      <c r="G361" s="35" t="s">
        <v>195</v>
      </c>
      <c r="H361" s="35" t="s">
        <v>355</v>
      </c>
      <c r="I361" s="34" t="s">
        <v>554</v>
      </c>
      <c r="J361" s="34">
        <v>9</v>
      </c>
      <c r="K361" s="36" t="s">
        <v>717</v>
      </c>
      <c r="L361" s="36" t="s">
        <v>690</v>
      </c>
      <c r="M361" s="37" t="s">
        <v>1450</v>
      </c>
      <c r="N361" s="37" t="s">
        <v>1768</v>
      </c>
      <c r="O361" s="38">
        <v>1</v>
      </c>
      <c r="P361" s="38"/>
      <c r="Q361" s="35"/>
      <c r="R361" s="1"/>
      <c r="S361" s="1">
        <f t="shared" si="139"/>
        <v>0</v>
      </c>
      <c r="T361" s="1">
        <f t="shared" si="140"/>
        <v>0</v>
      </c>
      <c r="U361" s="1">
        <f t="shared" si="141"/>
        <v>0</v>
      </c>
      <c r="V361" s="1">
        <f t="shared" si="142"/>
        <v>0</v>
      </c>
      <c r="W361" s="1">
        <f t="shared" si="143"/>
        <v>0</v>
      </c>
      <c r="X361" s="1">
        <f t="shared" si="144"/>
        <v>0</v>
      </c>
      <c r="Y361" s="1">
        <f t="shared" si="145"/>
        <v>0</v>
      </c>
      <c r="Z361" s="1">
        <f t="shared" si="146"/>
        <v>0</v>
      </c>
      <c r="AA361" s="1">
        <f t="shared" si="147"/>
        <v>1</v>
      </c>
      <c r="AB361" s="1">
        <f t="shared" si="148"/>
        <v>0</v>
      </c>
      <c r="AC361" s="1"/>
      <c r="AD361" s="1">
        <f t="shared" si="151"/>
        <v>0</v>
      </c>
      <c r="AE361" s="1">
        <f t="shared" si="152"/>
        <v>1</v>
      </c>
      <c r="AF361" s="1">
        <f t="shared" si="153"/>
        <v>0</v>
      </c>
      <c r="AG361" s="1">
        <f t="shared" si="154"/>
        <v>1</v>
      </c>
      <c r="AH361" s="1">
        <f t="shared" si="155"/>
        <v>0</v>
      </c>
      <c r="AI361" s="1">
        <f t="shared" si="156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1493</v>
      </c>
      <c r="E362" s="48" t="s">
        <v>35</v>
      </c>
      <c r="F362" s="68" t="s">
        <v>1880</v>
      </c>
      <c r="G362" s="48" t="s">
        <v>223</v>
      </c>
      <c r="H362" s="48" t="s">
        <v>355</v>
      </c>
      <c r="I362" s="47" t="s">
        <v>1693</v>
      </c>
      <c r="J362" s="47">
        <v>99</v>
      </c>
      <c r="K362" s="49" t="s">
        <v>717</v>
      </c>
      <c r="L362" s="49">
        <v>25</v>
      </c>
      <c r="M362" s="50" t="s">
        <v>39</v>
      </c>
      <c r="N362" s="50" t="s">
        <v>1744</v>
      </c>
      <c r="O362" s="51"/>
      <c r="P362" s="51"/>
      <c r="Q362" s="48"/>
      <c r="R362" s="1"/>
      <c r="S362" s="1">
        <f t="shared" si="139"/>
        <v>0</v>
      </c>
      <c r="T362" s="1">
        <f t="shared" si="140"/>
        <v>0</v>
      </c>
      <c r="U362" s="1">
        <f t="shared" si="141"/>
        <v>0</v>
      </c>
      <c r="V362" s="1">
        <f t="shared" si="142"/>
        <v>0</v>
      </c>
      <c r="W362" s="1">
        <f t="shared" si="143"/>
        <v>0</v>
      </c>
      <c r="X362" s="1">
        <f t="shared" si="144"/>
        <v>0</v>
      </c>
      <c r="Y362" s="1">
        <f t="shared" si="145"/>
        <v>0</v>
      </c>
      <c r="Z362" s="1">
        <f t="shared" si="146"/>
        <v>0</v>
      </c>
      <c r="AA362" s="1">
        <f t="shared" si="147"/>
        <v>0</v>
      </c>
      <c r="AB362" s="1">
        <f t="shared" si="148"/>
        <v>0</v>
      </c>
      <c r="AC362" s="1"/>
      <c r="AD362" s="1">
        <f t="shared" si="149"/>
        <v>0</v>
      </c>
      <c r="AE362" s="1">
        <f t="shared" si="150"/>
        <v>0</v>
      </c>
      <c r="AF362" s="1">
        <f t="shared" si="135"/>
        <v>0</v>
      </c>
      <c r="AG362" s="1">
        <f t="shared" si="136"/>
        <v>0</v>
      </c>
      <c r="AH362" s="1">
        <f t="shared" si="137"/>
        <v>0</v>
      </c>
      <c r="AI362" s="1">
        <f t="shared" si="138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1826</v>
      </c>
      <c r="E363" s="48" t="s">
        <v>776</v>
      </c>
      <c r="F363" s="48" t="s">
        <v>1827</v>
      </c>
      <c r="G363" s="48" t="s">
        <v>225</v>
      </c>
      <c r="H363" s="48" t="s">
        <v>355</v>
      </c>
      <c r="I363" s="47" t="s">
        <v>1828</v>
      </c>
      <c r="J363" s="47">
        <v>99</v>
      </c>
      <c r="K363" s="49" t="s">
        <v>1829</v>
      </c>
      <c r="L363" s="49">
        <v>40</v>
      </c>
      <c r="M363" s="50" t="s">
        <v>1830</v>
      </c>
      <c r="N363" s="50" t="s">
        <v>1816</v>
      </c>
      <c r="O363" s="51"/>
      <c r="P363" s="51"/>
      <c r="Q363" s="48"/>
      <c r="R363" s="1"/>
      <c r="S363" s="1">
        <f t="shared" si="139"/>
        <v>0</v>
      </c>
      <c r="T363" s="1">
        <f t="shared" si="140"/>
        <v>0</v>
      </c>
      <c r="U363" s="1">
        <f t="shared" si="141"/>
        <v>0</v>
      </c>
      <c r="V363" s="1">
        <f t="shared" si="142"/>
        <v>0</v>
      </c>
      <c r="W363" s="1">
        <f t="shared" si="143"/>
        <v>0</v>
      </c>
      <c r="X363" s="1">
        <f t="shared" si="144"/>
        <v>0</v>
      </c>
      <c r="Y363" s="1">
        <f t="shared" si="145"/>
        <v>0</v>
      </c>
      <c r="Z363" s="1">
        <f t="shared" si="146"/>
        <v>0</v>
      </c>
      <c r="AA363" s="1">
        <f t="shared" si="147"/>
        <v>0</v>
      </c>
      <c r="AB363" s="1">
        <f t="shared" si="148"/>
        <v>0</v>
      </c>
      <c r="AC363" s="1"/>
      <c r="AD363" s="1">
        <f t="shared" si="149"/>
        <v>0</v>
      </c>
      <c r="AE363" s="1">
        <f t="shared" si="150"/>
        <v>0</v>
      </c>
      <c r="AF363" s="1">
        <f t="shared" si="135"/>
        <v>0</v>
      </c>
      <c r="AG363" s="1">
        <f t="shared" si="136"/>
        <v>0</v>
      </c>
      <c r="AH363" s="1">
        <f t="shared" si="137"/>
        <v>0</v>
      </c>
      <c r="AI363" s="1">
        <f t="shared" si="138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618</v>
      </c>
      <c r="E364" s="35" t="s">
        <v>689</v>
      </c>
      <c r="F364" s="35" t="s">
        <v>619</v>
      </c>
      <c r="G364" s="35" t="s">
        <v>288</v>
      </c>
      <c r="H364" s="35" t="s">
        <v>355</v>
      </c>
      <c r="I364" s="34" t="s">
        <v>620</v>
      </c>
      <c r="J364" s="34">
        <v>99</v>
      </c>
      <c r="K364" s="36" t="s">
        <v>716</v>
      </c>
      <c r="L364" s="36" t="s">
        <v>708</v>
      </c>
      <c r="M364" s="37" t="s">
        <v>1432</v>
      </c>
      <c r="N364" s="37" t="s">
        <v>1750</v>
      </c>
      <c r="O364" s="38">
        <v>1</v>
      </c>
      <c r="P364" s="38"/>
      <c r="Q364" s="35"/>
      <c r="R364" s="1"/>
      <c r="S364" s="1">
        <f t="shared" si="139"/>
        <v>0</v>
      </c>
      <c r="T364" s="1">
        <f t="shared" si="140"/>
        <v>0</v>
      </c>
      <c r="U364" s="1">
        <f t="shared" si="141"/>
        <v>0</v>
      </c>
      <c r="V364" s="1">
        <f t="shared" si="142"/>
        <v>0</v>
      </c>
      <c r="W364" s="1">
        <f t="shared" si="143"/>
        <v>0</v>
      </c>
      <c r="X364" s="1">
        <f t="shared" si="144"/>
        <v>0</v>
      </c>
      <c r="Y364" s="1">
        <f t="shared" si="145"/>
        <v>0</v>
      </c>
      <c r="Z364" s="1">
        <f t="shared" si="146"/>
        <v>0</v>
      </c>
      <c r="AA364" s="1">
        <f t="shared" si="147"/>
        <v>0</v>
      </c>
      <c r="AB364" s="1">
        <f t="shared" si="148"/>
        <v>0</v>
      </c>
      <c r="AC364" s="1"/>
      <c r="AD364" s="1">
        <f t="shared" si="149"/>
        <v>0</v>
      </c>
      <c r="AE364" s="1">
        <f t="shared" si="150"/>
        <v>1</v>
      </c>
      <c r="AF364" s="1">
        <f t="shared" si="135"/>
        <v>0</v>
      </c>
      <c r="AG364" s="1">
        <f t="shared" si="136"/>
        <v>1</v>
      </c>
      <c r="AH364" s="1">
        <f t="shared" si="137"/>
        <v>0</v>
      </c>
      <c r="AI364" s="1">
        <f t="shared" si="138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1495</v>
      </c>
      <c r="E365" s="48" t="s">
        <v>776</v>
      </c>
      <c r="F365" s="48" t="s">
        <v>1496</v>
      </c>
      <c r="G365" s="48" t="s">
        <v>197</v>
      </c>
      <c r="H365" s="48" t="s">
        <v>355</v>
      </c>
      <c r="I365" s="47" t="s">
        <v>1497</v>
      </c>
      <c r="J365" s="47">
        <v>99</v>
      </c>
      <c r="K365" s="49" t="s">
        <v>958</v>
      </c>
      <c r="L365" s="49" t="s">
        <v>697</v>
      </c>
      <c r="M365" s="50" t="s">
        <v>1423</v>
      </c>
      <c r="N365" s="50" t="s">
        <v>1742</v>
      </c>
      <c r="O365" s="51"/>
      <c r="P365" s="51"/>
      <c r="Q365" s="48"/>
      <c r="R365" s="1"/>
      <c r="S365" s="1">
        <f t="shared" si="139"/>
        <v>0</v>
      </c>
      <c r="T365" s="1">
        <f t="shared" si="140"/>
        <v>0</v>
      </c>
      <c r="U365" s="1">
        <f t="shared" si="141"/>
        <v>0</v>
      </c>
      <c r="V365" s="1">
        <f t="shared" si="142"/>
        <v>0</v>
      </c>
      <c r="W365" s="1">
        <f t="shared" si="143"/>
        <v>0</v>
      </c>
      <c r="X365" s="1">
        <f t="shared" si="144"/>
        <v>0</v>
      </c>
      <c r="Y365" s="1">
        <f t="shared" si="145"/>
        <v>0</v>
      </c>
      <c r="Z365" s="1">
        <f t="shared" si="146"/>
        <v>0</v>
      </c>
      <c r="AA365" s="1">
        <f t="shared" si="147"/>
        <v>0</v>
      </c>
      <c r="AB365" s="1">
        <f t="shared" si="148"/>
        <v>0</v>
      </c>
      <c r="AC365" s="1"/>
      <c r="AD365" s="1">
        <f t="shared" si="149"/>
        <v>0</v>
      </c>
      <c r="AE365" s="1">
        <f t="shared" si="150"/>
        <v>0</v>
      </c>
      <c r="AF365" s="1">
        <f t="shared" si="135"/>
        <v>0</v>
      </c>
      <c r="AG365" s="1">
        <f t="shared" si="136"/>
        <v>0</v>
      </c>
      <c r="AH365" s="1">
        <f t="shared" si="137"/>
        <v>0</v>
      </c>
      <c r="AI365" s="1">
        <f t="shared" si="138"/>
        <v>1</v>
      </c>
      <c r="AJ365" s="1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781</v>
      </c>
      <c r="G366" s="48" t="s">
        <v>208</v>
      </c>
      <c r="H366" s="48" t="s">
        <v>355</v>
      </c>
      <c r="I366" s="47" t="s">
        <v>780</v>
      </c>
      <c r="J366" s="47">
        <v>99</v>
      </c>
      <c r="K366" s="49" t="s">
        <v>716</v>
      </c>
      <c r="L366" s="49" t="s">
        <v>698</v>
      </c>
      <c r="M366" s="50" t="s">
        <v>1433</v>
      </c>
      <c r="N366" s="50" t="s">
        <v>1742</v>
      </c>
      <c r="O366" s="51"/>
      <c r="P366" s="51"/>
      <c r="Q366" s="48"/>
      <c r="R366" s="34"/>
      <c r="S366" s="34">
        <f t="shared" si="139"/>
        <v>0</v>
      </c>
      <c r="T366" s="34">
        <f t="shared" si="140"/>
        <v>0</v>
      </c>
      <c r="U366" s="35">
        <f t="shared" si="141"/>
        <v>0</v>
      </c>
      <c r="V366" s="35">
        <f t="shared" si="142"/>
        <v>0</v>
      </c>
      <c r="W366" s="35">
        <f t="shared" si="143"/>
        <v>0</v>
      </c>
      <c r="X366" s="35">
        <f t="shared" si="144"/>
        <v>0</v>
      </c>
      <c r="Y366" s="35">
        <f t="shared" si="145"/>
        <v>0</v>
      </c>
      <c r="Z366" s="34">
        <f t="shared" si="146"/>
        <v>0</v>
      </c>
      <c r="AA366" s="34">
        <f t="shared" si="147"/>
        <v>0</v>
      </c>
      <c r="AB366" s="36">
        <f t="shared" si="148"/>
        <v>0</v>
      </c>
      <c r="AC366" s="36"/>
      <c r="AD366" s="37">
        <f t="shared" si="149"/>
        <v>0</v>
      </c>
      <c r="AE366" s="37">
        <f t="shared" si="150"/>
        <v>0</v>
      </c>
      <c r="AF366" s="38">
        <f t="shared" si="135"/>
        <v>0</v>
      </c>
      <c r="AG366" s="38">
        <f t="shared" si="136"/>
        <v>0</v>
      </c>
      <c r="AH366" s="39">
        <f t="shared" si="137"/>
        <v>0</v>
      </c>
      <c r="AI366" s="34">
        <f t="shared" si="138"/>
        <v>1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1</v>
      </c>
      <c r="B367" s="47">
        <v>2</v>
      </c>
      <c r="C367" s="47">
        <v>5</v>
      </c>
      <c r="D367" s="48" t="s">
        <v>779</v>
      </c>
      <c r="E367" s="48" t="s">
        <v>776</v>
      </c>
      <c r="F367" s="48" t="s">
        <v>1010</v>
      </c>
      <c r="G367" s="48" t="s">
        <v>191</v>
      </c>
      <c r="H367" s="48" t="s">
        <v>355</v>
      </c>
      <c r="I367" s="47" t="s">
        <v>1011</v>
      </c>
      <c r="J367" s="47">
        <v>99</v>
      </c>
      <c r="K367" s="49" t="s">
        <v>716</v>
      </c>
      <c r="L367" s="49" t="s">
        <v>698</v>
      </c>
      <c r="M367" s="50" t="s">
        <v>1433</v>
      </c>
      <c r="N367" s="50" t="s">
        <v>1742</v>
      </c>
      <c r="O367" s="51"/>
      <c r="P367" s="51"/>
      <c r="Q367" s="48"/>
      <c r="R367" s="1"/>
      <c r="S367" s="1">
        <f t="shared" si="139"/>
        <v>0</v>
      </c>
      <c r="T367" s="1">
        <f t="shared" si="140"/>
        <v>0</v>
      </c>
      <c r="U367" s="1">
        <f t="shared" si="141"/>
        <v>0</v>
      </c>
      <c r="V367" s="1">
        <f t="shared" si="142"/>
        <v>0</v>
      </c>
      <c r="W367" s="1">
        <f t="shared" si="143"/>
        <v>0</v>
      </c>
      <c r="X367" s="1">
        <f t="shared" si="144"/>
        <v>0</v>
      </c>
      <c r="Y367" s="1">
        <f t="shared" si="145"/>
        <v>0</v>
      </c>
      <c r="Z367" s="1">
        <f t="shared" si="146"/>
        <v>0</v>
      </c>
      <c r="AA367" s="1">
        <f t="shared" si="147"/>
        <v>0</v>
      </c>
      <c r="AB367" s="1">
        <f t="shared" si="148"/>
        <v>0</v>
      </c>
      <c r="AC367" s="1"/>
      <c r="AD367" s="1">
        <f t="shared" si="149"/>
        <v>0</v>
      </c>
      <c r="AE367" s="1">
        <f t="shared" si="150"/>
        <v>0</v>
      </c>
      <c r="AF367" s="1">
        <f t="shared" si="135"/>
        <v>0</v>
      </c>
      <c r="AG367" s="1">
        <f t="shared" si="136"/>
        <v>0</v>
      </c>
      <c r="AH367" s="1">
        <f t="shared" si="137"/>
        <v>0</v>
      </c>
      <c r="AI367" s="1">
        <f t="shared" si="138"/>
        <v>0</v>
      </c>
      <c r="AJ367" s="1"/>
    </row>
    <row r="368" spans="1:16384" s="2" customFormat="1" ht="14.25" customHeight="1" x14ac:dyDescent="0.25">
      <c r="A368" s="15">
        <v>0</v>
      </c>
      <c r="B368" s="15">
        <v>2</v>
      </c>
      <c r="C368" s="15">
        <v>5</v>
      </c>
      <c r="D368" s="16" t="s">
        <v>920</v>
      </c>
      <c r="E368" s="16" t="s">
        <v>915</v>
      </c>
      <c r="F368" s="16" t="s">
        <v>933</v>
      </c>
      <c r="G368" s="16" t="s">
        <v>1357</v>
      </c>
      <c r="H368" s="16" t="s">
        <v>355</v>
      </c>
      <c r="I368" s="15" t="s">
        <v>774</v>
      </c>
      <c r="J368" s="15">
        <v>99</v>
      </c>
      <c r="K368" s="10" t="s">
        <v>707</v>
      </c>
      <c r="L368" s="10">
        <v>20</v>
      </c>
      <c r="M368" s="19" t="s">
        <v>1434</v>
      </c>
      <c r="N368" s="19"/>
      <c r="O368" s="1"/>
      <c r="P368" s="1"/>
      <c r="Q368" s="16"/>
      <c r="R368" s="1"/>
      <c r="S368" s="1">
        <f t="shared" si="139"/>
        <v>0</v>
      </c>
      <c r="T368" s="1">
        <f t="shared" si="140"/>
        <v>0</v>
      </c>
      <c r="U368" s="1">
        <f t="shared" si="141"/>
        <v>0</v>
      </c>
      <c r="V368" s="1">
        <f t="shared" si="142"/>
        <v>0</v>
      </c>
      <c r="W368" s="1">
        <f t="shared" si="143"/>
        <v>0</v>
      </c>
      <c r="X368" s="1">
        <f t="shared" si="144"/>
        <v>0</v>
      </c>
      <c r="Y368" s="1">
        <f t="shared" si="145"/>
        <v>0</v>
      </c>
      <c r="Z368" s="1">
        <f t="shared" si="146"/>
        <v>0</v>
      </c>
      <c r="AA368" s="1">
        <f t="shared" si="147"/>
        <v>0</v>
      </c>
      <c r="AB368" s="1">
        <f t="shared" si="148"/>
        <v>0</v>
      </c>
      <c r="AC368" s="1"/>
      <c r="AD368" s="1">
        <f t="shared" si="149"/>
        <v>0</v>
      </c>
      <c r="AE368" s="1">
        <f t="shared" si="150"/>
        <v>0</v>
      </c>
      <c r="AF368" s="1">
        <f t="shared" si="135"/>
        <v>0</v>
      </c>
      <c r="AG368" s="1">
        <f t="shared" si="136"/>
        <v>0</v>
      </c>
      <c r="AH368" s="1">
        <f t="shared" si="137"/>
        <v>0</v>
      </c>
      <c r="AI368" s="1">
        <f t="shared" si="138"/>
        <v>1</v>
      </c>
      <c r="AJ368" s="1"/>
    </row>
    <row r="369" spans="1:35" ht="14.25" customHeight="1" x14ac:dyDescent="0.25">
      <c r="A369" s="52">
        <v>0</v>
      </c>
      <c r="B369" s="52">
        <v>2</v>
      </c>
      <c r="C369" s="52">
        <v>5</v>
      </c>
      <c r="D369" s="58" t="s">
        <v>1797</v>
      </c>
      <c r="E369" s="53" t="s">
        <v>168</v>
      </c>
      <c r="F369" s="53" t="s">
        <v>1775</v>
      </c>
      <c r="G369" s="53"/>
      <c r="H369" s="53" t="s">
        <v>355</v>
      </c>
      <c r="I369" s="52" t="s">
        <v>1776</v>
      </c>
      <c r="J369" s="52"/>
      <c r="K369" s="54" t="s">
        <v>707</v>
      </c>
      <c r="L369" s="54">
        <v>30</v>
      </c>
      <c r="M369" s="55" t="s">
        <v>1777</v>
      </c>
      <c r="N369" s="55" t="s">
        <v>1755</v>
      </c>
      <c r="O369" s="56">
        <v>1</v>
      </c>
      <c r="P369" s="56"/>
      <c r="Q369" s="53"/>
      <c r="S369" s="1">
        <f t="shared" si="139"/>
        <v>0</v>
      </c>
      <c r="T369" s="1">
        <f t="shared" si="140"/>
        <v>0</v>
      </c>
      <c r="U369" s="1">
        <f t="shared" si="141"/>
        <v>0</v>
      </c>
      <c r="V369" s="1">
        <f t="shared" si="142"/>
        <v>0</v>
      </c>
      <c r="W369" s="1">
        <f t="shared" si="143"/>
        <v>0</v>
      </c>
      <c r="X369" s="1">
        <f t="shared" si="144"/>
        <v>0</v>
      </c>
      <c r="Y369" s="1">
        <f t="shared" si="145"/>
        <v>0</v>
      </c>
      <c r="Z369" s="1">
        <f t="shared" si="146"/>
        <v>0</v>
      </c>
      <c r="AA369" s="1">
        <f t="shared" si="147"/>
        <v>0</v>
      </c>
      <c r="AB369" s="1">
        <f t="shared" si="148"/>
        <v>0</v>
      </c>
      <c r="AD369" s="1">
        <f t="shared" si="149"/>
        <v>0</v>
      </c>
      <c r="AE369" s="1">
        <f t="shared" si="150"/>
        <v>1</v>
      </c>
      <c r="AF369" s="1">
        <f t="shared" si="135"/>
        <v>0</v>
      </c>
      <c r="AG369" s="1">
        <f t="shared" si="136"/>
        <v>1</v>
      </c>
      <c r="AH369" s="1">
        <f t="shared" si="137"/>
        <v>0</v>
      </c>
      <c r="AI369" s="1">
        <f t="shared" si="138"/>
        <v>1</v>
      </c>
    </row>
    <row r="370" spans="1:35" ht="14.25" customHeight="1" x14ac:dyDescent="0.25">
      <c r="A370" s="34"/>
      <c r="B370" s="34">
        <v>2</v>
      </c>
      <c r="C370" s="34">
        <v>5</v>
      </c>
      <c r="D370" s="35" t="s">
        <v>1928</v>
      </c>
      <c r="E370" s="35"/>
      <c r="F370" s="35" t="s">
        <v>1929</v>
      </c>
      <c r="G370" s="35" t="s">
        <v>209</v>
      </c>
      <c r="H370" s="35" t="s">
        <v>355</v>
      </c>
      <c r="I370" s="34" t="s">
        <v>1930</v>
      </c>
      <c r="J370" s="34">
        <v>3</v>
      </c>
      <c r="K370" s="36" t="s">
        <v>707</v>
      </c>
      <c r="L370" s="36"/>
      <c r="M370" s="37"/>
      <c r="N370" s="37" t="s">
        <v>1734</v>
      </c>
      <c r="O370" s="38">
        <v>1</v>
      </c>
      <c r="P370" s="38">
        <v>1</v>
      </c>
      <c r="Q370" s="35" t="s">
        <v>1931</v>
      </c>
      <c r="S370" s="1">
        <f t="shared" si="139"/>
        <v>0</v>
      </c>
      <c r="T370" s="1">
        <f t="shared" si="140"/>
        <v>0</v>
      </c>
      <c r="U370" s="1">
        <f t="shared" si="141"/>
        <v>1</v>
      </c>
      <c r="V370" s="1">
        <f t="shared" si="142"/>
        <v>0</v>
      </c>
      <c r="W370" s="1">
        <f t="shared" si="143"/>
        <v>0</v>
      </c>
      <c r="X370" s="1">
        <f t="shared" si="144"/>
        <v>0</v>
      </c>
      <c r="Y370" s="1">
        <f t="shared" si="145"/>
        <v>0</v>
      </c>
      <c r="Z370" s="1">
        <f t="shared" si="146"/>
        <v>0</v>
      </c>
      <c r="AA370" s="1">
        <f t="shared" si="147"/>
        <v>0</v>
      </c>
      <c r="AB370" s="1">
        <f t="shared" si="148"/>
        <v>0</v>
      </c>
      <c r="AD370" s="1">
        <f t="shared" si="149"/>
        <v>1</v>
      </c>
      <c r="AE370" s="1">
        <f t="shared" si="150"/>
        <v>0</v>
      </c>
      <c r="AF370" s="1">
        <f t="shared" si="135"/>
        <v>1</v>
      </c>
      <c r="AG370" s="1">
        <f t="shared" si="136"/>
        <v>0</v>
      </c>
      <c r="AH370" s="1">
        <f t="shared" si="137"/>
        <v>1</v>
      </c>
      <c r="AI370" s="1">
        <f t="shared" si="138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1277</v>
      </c>
      <c r="E371" s="35" t="s">
        <v>1278</v>
      </c>
      <c r="F371" s="35" t="s">
        <v>1279</v>
      </c>
      <c r="G371" s="35" t="s">
        <v>221</v>
      </c>
      <c r="H371" s="35" t="s">
        <v>355</v>
      </c>
      <c r="I371" s="34" t="s">
        <v>1730</v>
      </c>
      <c r="J371" s="34">
        <v>8</v>
      </c>
      <c r="K371" s="36" t="s">
        <v>717</v>
      </c>
      <c r="L371" s="36" t="s">
        <v>39</v>
      </c>
      <c r="M371" s="37" t="s">
        <v>39</v>
      </c>
      <c r="N371" s="37" t="s">
        <v>1734</v>
      </c>
      <c r="O371" s="38">
        <v>1</v>
      </c>
      <c r="P371" s="38">
        <v>1</v>
      </c>
      <c r="Q371" s="35"/>
      <c r="S371" s="1">
        <f t="shared" si="139"/>
        <v>0</v>
      </c>
      <c r="T371" s="1">
        <f t="shared" si="140"/>
        <v>0</v>
      </c>
      <c r="U371" s="1">
        <f t="shared" si="141"/>
        <v>0</v>
      </c>
      <c r="V371" s="1">
        <f t="shared" si="142"/>
        <v>0</v>
      </c>
      <c r="W371" s="1">
        <f t="shared" si="143"/>
        <v>0</v>
      </c>
      <c r="X371" s="1">
        <f t="shared" si="144"/>
        <v>0</v>
      </c>
      <c r="Y371" s="1">
        <f t="shared" si="145"/>
        <v>0</v>
      </c>
      <c r="Z371" s="1">
        <f t="shared" si="146"/>
        <v>1</v>
      </c>
      <c r="AA371" s="1">
        <f t="shared" si="147"/>
        <v>0</v>
      </c>
      <c r="AB371" s="1">
        <f t="shared" si="148"/>
        <v>0</v>
      </c>
      <c r="AD371" s="1">
        <f t="shared" si="149"/>
        <v>1</v>
      </c>
      <c r="AE371" s="1">
        <f t="shared" si="150"/>
        <v>0</v>
      </c>
      <c r="AF371" s="1">
        <f t="shared" si="135"/>
        <v>1</v>
      </c>
      <c r="AG371" s="1">
        <f t="shared" si="136"/>
        <v>0</v>
      </c>
      <c r="AH371" s="1">
        <f t="shared" si="137"/>
        <v>1</v>
      </c>
      <c r="AI371" s="1">
        <f t="shared" si="138"/>
        <v>0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1086</v>
      </c>
      <c r="E372" s="35" t="s">
        <v>156</v>
      </c>
      <c r="F372" s="35" t="s">
        <v>1070</v>
      </c>
      <c r="G372" s="35" t="s">
        <v>322</v>
      </c>
      <c r="H372" s="35" t="s">
        <v>355</v>
      </c>
      <c r="I372" s="34" t="s">
        <v>1071</v>
      </c>
      <c r="J372" s="34">
        <v>99</v>
      </c>
      <c r="K372" s="36" t="s">
        <v>717</v>
      </c>
      <c r="L372" s="36" t="s">
        <v>698</v>
      </c>
      <c r="M372" s="37" t="s">
        <v>1435</v>
      </c>
      <c r="N372" s="37" t="s">
        <v>1763</v>
      </c>
      <c r="O372" s="38">
        <v>1</v>
      </c>
      <c r="P372" s="38"/>
      <c r="Q372" s="35"/>
      <c r="S372" s="1">
        <f t="shared" si="139"/>
        <v>0</v>
      </c>
      <c r="T372" s="1">
        <f t="shared" si="140"/>
        <v>0</v>
      </c>
      <c r="U372" s="1">
        <f t="shared" si="141"/>
        <v>0</v>
      </c>
      <c r="V372" s="1">
        <f t="shared" si="142"/>
        <v>0</v>
      </c>
      <c r="W372" s="1">
        <f t="shared" si="143"/>
        <v>0</v>
      </c>
      <c r="X372" s="1">
        <f t="shared" si="144"/>
        <v>0</v>
      </c>
      <c r="Y372" s="1">
        <f t="shared" si="145"/>
        <v>0</v>
      </c>
      <c r="Z372" s="1">
        <f t="shared" si="146"/>
        <v>0</v>
      </c>
      <c r="AA372" s="1">
        <f t="shared" si="147"/>
        <v>0</v>
      </c>
      <c r="AB372" s="1">
        <f t="shared" si="148"/>
        <v>0</v>
      </c>
      <c r="AD372" s="1">
        <f t="shared" si="149"/>
        <v>0</v>
      </c>
      <c r="AE372" s="1">
        <f t="shared" si="150"/>
        <v>1</v>
      </c>
      <c r="AF372" s="1">
        <f t="shared" si="135"/>
        <v>0</v>
      </c>
      <c r="AG372" s="1">
        <f t="shared" si="136"/>
        <v>1</v>
      </c>
      <c r="AH372" s="1">
        <f t="shared" si="137"/>
        <v>0</v>
      </c>
      <c r="AI372" s="1">
        <f t="shared" si="138"/>
        <v>1</v>
      </c>
    </row>
    <row r="373" spans="1:35" ht="14.25" customHeight="1" x14ac:dyDescent="0.25">
      <c r="A373" s="34">
        <v>0</v>
      </c>
      <c r="B373" s="34">
        <v>2</v>
      </c>
      <c r="C373" s="34">
        <v>5</v>
      </c>
      <c r="D373" s="35" t="s">
        <v>800</v>
      </c>
      <c r="E373" s="35" t="s">
        <v>776</v>
      </c>
      <c r="F373" s="35" t="s">
        <v>936</v>
      </c>
      <c r="G373" s="35" t="s">
        <v>221</v>
      </c>
      <c r="H373" s="35" t="s">
        <v>355</v>
      </c>
      <c r="I373" s="34" t="s">
        <v>801</v>
      </c>
      <c r="J373" s="34">
        <v>8</v>
      </c>
      <c r="K373" s="36" t="s">
        <v>707</v>
      </c>
      <c r="L373" s="36">
        <v>20</v>
      </c>
      <c r="M373" s="37" t="s">
        <v>1426</v>
      </c>
      <c r="N373" s="37" t="s">
        <v>1832</v>
      </c>
      <c r="O373" s="38">
        <v>1</v>
      </c>
      <c r="P373" s="38"/>
      <c r="Q373" s="35"/>
      <c r="S373" s="1">
        <f t="shared" ref="S373:S375" si="157">IF(J373=$S$7,1,0)</f>
        <v>0</v>
      </c>
      <c r="T373" s="1">
        <f t="shared" ref="T373:T375" si="158">IF(J373=$T$7,1,0)</f>
        <v>0</v>
      </c>
      <c r="U373" s="1">
        <f t="shared" ref="U373:U375" si="159">IF(J373=$U$7,1,0)</f>
        <v>0</v>
      </c>
      <c r="V373" s="1">
        <f t="shared" ref="V373:V375" si="160">IF(J373=$V$7,1,0)</f>
        <v>0</v>
      </c>
      <c r="W373" s="1">
        <f t="shared" ref="W373:W375" si="161">IF(J373=$W$7,1,0)</f>
        <v>0</v>
      </c>
      <c r="X373" s="1">
        <f t="shared" ref="X373:X375" si="162">IF(J373=$X$7,1,0)</f>
        <v>0</v>
      </c>
      <c r="Y373" s="1">
        <f t="shared" ref="Y373:Y375" si="163">IF(J373=$Y$7,1,0)</f>
        <v>0</v>
      </c>
      <c r="Z373" s="1">
        <f t="shared" ref="Z373:Z375" si="164">IF(J373=$Z$7,1,0)</f>
        <v>1</v>
      </c>
      <c r="AA373" s="1">
        <f t="shared" ref="AA373:AA375" si="165">IF(J373=$AA$7,1,0)</f>
        <v>0</v>
      </c>
      <c r="AB373" s="1">
        <f t="shared" ref="AB373:AB375" si="166">IF(J373=$AB$7,1,0)</f>
        <v>0</v>
      </c>
      <c r="AD373" s="1">
        <f t="shared" ref="AD373:AD375" si="167">+O373*P373</f>
        <v>0</v>
      </c>
      <c r="AE373" s="1">
        <f t="shared" ref="AE373:AE375" si="168">O373*(1-P373)</f>
        <v>1</v>
      </c>
      <c r="AF373" s="1">
        <f t="shared" si="135"/>
        <v>0</v>
      </c>
      <c r="AG373" s="1">
        <f t="shared" si="136"/>
        <v>1</v>
      </c>
      <c r="AH373" s="1">
        <f t="shared" si="137"/>
        <v>0</v>
      </c>
      <c r="AI373" s="1">
        <f t="shared" si="138"/>
        <v>1</v>
      </c>
    </row>
    <row r="374" spans="1:35" ht="14.25" customHeight="1" x14ac:dyDescent="0.25">
      <c r="A374" s="52">
        <v>0</v>
      </c>
      <c r="B374" s="52">
        <v>2</v>
      </c>
      <c r="C374" s="52">
        <v>5</v>
      </c>
      <c r="D374" s="53" t="s">
        <v>79</v>
      </c>
      <c r="E374" s="53" t="s">
        <v>160</v>
      </c>
      <c r="F374" s="53" t="s">
        <v>269</v>
      </c>
      <c r="G374" s="53" t="s">
        <v>214</v>
      </c>
      <c r="H374" s="53" t="s">
        <v>355</v>
      </c>
      <c r="I374" s="52" t="s">
        <v>426</v>
      </c>
      <c r="J374" s="52">
        <v>1</v>
      </c>
      <c r="K374" s="54" t="s">
        <v>959</v>
      </c>
      <c r="L374" s="54" t="s">
        <v>708</v>
      </c>
      <c r="M374" s="55" t="s">
        <v>731</v>
      </c>
      <c r="N374" s="55" t="s">
        <v>1750</v>
      </c>
      <c r="O374" s="56">
        <v>1</v>
      </c>
      <c r="P374" s="56"/>
      <c r="Q374" s="53"/>
      <c r="S374" s="1">
        <f t="shared" si="157"/>
        <v>1</v>
      </c>
      <c r="T374" s="1">
        <f t="shared" si="158"/>
        <v>0</v>
      </c>
      <c r="U374" s="1">
        <f t="shared" si="159"/>
        <v>0</v>
      </c>
      <c r="V374" s="1">
        <f t="shared" si="160"/>
        <v>0</v>
      </c>
      <c r="W374" s="1">
        <f t="shared" si="161"/>
        <v>0</v>
      </c>
      <c r="X374" s="1">
        <f t="shared" si="162"/>
        <v>0</v>
      </c>
      <c r="Y374" s="1">
        <f t="shared" si="163"/>
        <v>0</v>
      </c>
      <c r="Z374" s="1">
        <f t="shared" si="164"/>
        <v>0</v>
      </c>
      <c r="AA374" s="1">
        <f t="shared" si="165"/>
        <v>0</v>
      </c>
      <c r="AB374" s="1">
        <f t="shared" si="166"/>
        <v>0</v>
      </c>
      <c r="AD374" s="1">
        <f t="shared" si="167"/>
        <v>0</v>
      </c>
      <c r="AE374" s="1">
        <f t="shared" si="168"/>
        <v>1</v>
      </c>
      <c r="AF374" s="1">
        <f t="shared" si="135"/>
        <v>0</v>
      </c>
      <c r="AG374" s="1">
        <f t="shared" si="136"/>
        <v>1</v>
      </c>
      <c r="AH374" s="1">
        <f t="shared" si="137"/>
        <v>0</v>
      </c>
      <c r="AI374" s="1">
        <f t="shared" si="138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1649</v>
      </c>
      <c r="E375" s="35" t="s">
        <v>1661</v>
      </c>
      <c r="F375" s="35" t="s">
        <v>1558</v>
      </c>
      <c r="G375" s="35" t="s">
        <v>263</v>
      </c>
      <c r="H375" s="35" t="s">
        <v>355</v>
      </c>
      <c r="I375" s="34" t="s">
        <v>1559</v>
      </c>
      <c r="J375" s="34">
        <v>99</v>
      </c>
      <c r="K375" s="36" t="s">
        <v>959</v>
      </c>
      <c r="L375" s="36">
        <v>40</v>
      </c>
      <c r="M375" s="37" t="s">
        <v>39</v>
      </c>
      <c r="N375" s="37" t="s">
        <v>1832</v>
      </c>
      <c r="O375" s="38">
        <v>1</v>
      </c>
      <c r="P375" s="38"/>
      <c r="Q375" s="35"/>
      <c r="S375" s="1">
        <f t="shared" si="157"/>
        <v>0</v>
      </c>
      <c r="T375" s="1">
        <f t="shared" si="158"/>
        <v>0</v>
      </c>
      <c r="U375" s="1">
        <f t="shared" si="159"/>
        <v>0</v>
      </c>
      <c r="V375" s="1">
        <f t="shared" si="160"/>
        <v>0</v>
      </c>
      <c r="W375" s="1">
        <f t="shared" si="161"/>
        <v>0</v>
      </c>
      <c r="X375" s="1">
        <f t="shared" si="162"/>
        <v>0</v>
      </c>
      <c r="Y375" s="1">
        <f t="shared" si="163"/>
        <v>0</v>
      </c>
      <c r="Z375" s="1">
        <f t="shared" si="164"/>
        <v>0</v>
      </c>
      <c r="AA375" s="1">
        <f t="shared" si="165"/>
        <v>0</v>
      </c>
      <c r="AB375" s="1">
        <f t="shared" si="166"/>
        <v>0</v>
      </c>
      <c r="AD375" s="1">
        <f t="shared" si="167"/>
        <v>0</v>
      </c>
      <c r="AE375" s="1">
        <f t="shared" si="168"/>
        <v>1</v>
      </c>
      <c r="AF375" s="1">
        <f t="shared" si="135"/>
        <v>0</v>
      </c>
      <c r="AG375" s="1">
        <f t="shared" si="136"/>
        <v>1</v>
      </c>
      <c r="AH375" s="1">
        <f t="shared" si="137"/>
        <v>0</v>
      </c>
      <c r="AI375" s="1">
        <f t="shared" si="138"/>
        <v>1</v>
      </c>
    </row>
    <row r="376" spans="1:35" ht="14.25" customHeight="1" x14ac:dyDescent="0.25">
      <c r="A376" s="34">
        <v>0</v>
      </c>
      <c r="B376" s="34">
        <v>2</v>
      </c>
      <c r="C376" s="34">
        <v>5</v>
      </c>
      <c r="D376" s="35" t="s">
        <v>1304</v>
      </c>
      <c r="E376" s="35" t="s">
        <v>27</v>
      </c>
      <c r="F376" s="35" t="s">
        <v>1305</v>
      </c>
      <c r="G376" s="35" t="s">
        <v>1306</v>
      </c>
      <c r="H376" s="35" t="s">
        <v>355</v>
      </c>
      <c r="I376" s="34" t="s">
        <v>1307</v>
      </c>
      <c r="J376" s="34">
        <v>99</v>
      </c>
      <c r="K376" s="36" t="s">
        <v>959</v>
      </c>
      <c r="L376" s="36" t="s">
        <v>39</v>
      </c>
      <c r="M376" s="37" t="s">
        <v>39</v>
      </c>
      <c r="N376" s="37" t="s">
        <v>1734</v>
      </c>
      <c r="O376" s="38">
        <v>1</v>
      </c>
      <c r="P376" s="38">
        <v>1</v>
      </c>
      <c r="Q376" s="39"/>
      <c r="S376" s="1">
        <f t="shared" si="139"/>
        <v>0</v>
      </c>
      <c r="T376" s="1">
        <f t="shared" si="140"/>
        <v>0</v>
      </c>
      <c r="U376" s="1">
        <f t="shared" si="141"/>
        <v>0</v>
      </c>
      <c r="V376" s="1">
        <f t="shared" si="142"/>
        <v>0</v>
      </c>
      <c r="W376" s="1">
        <f t="shared" si="143"/>
        <v>0</v>
      </c>
      <c r="X376" s="1">
        <f t="shared" si="144"/>
        <v>0</v>
      </c>
      <c r="Y376" s="1">
        <f t="shared" si="145"/>
        <v>0</v>
      </c>
      <c r="Z376" s="1">
        <f t="shared" si="146"/>
        <v>0</v>
      </c>
      <c r="AA376" s="1">
        <f t="shared" si="147"/>
        <v>0</v>
      </c>
      <c r="AB376" s="1">
        <f t="shared" si="148"/>
        <v>0</v>
      </c>
      <c r="AD376" s="1">
        <f t="shared" si="149"/>
        <v>1</v>
      </c>
      <c r="AE376" s="1">
        <f t="shared" si="150"/>
        <v>0</v>
      </c>
      <c r="AF376" s="1">
        <f t="shared" si="135"/>
        <v>1</v>
      </c>
      <c r="AG376" s="1">
        <f t="shared" si="136"/>
        <v>0</v>
      </c>
      <c r="AH376" s="1">
        <f t="shared" si="137"/>
        <v>1</v>
      </c>
      <c r="AI376" s="1">
        <f t="shared" si="138"/>
        <v>0</v>
      </c>
    </row>
    <row r="377" spans="1:35" ht="14.25" customHeight="1" x14ac:dyDescent="0.25">
      <c r="A377" s="47">
        <v>0</v>
      </c>
      <c r="B377" s="47">
        <v>2</v>
      </c>
      <c r="C377" s="47">
        <v>5</v>
      </c>
      <c r="D377" s="48" t="s">
        <v>1610</v>
      </c>
      <c r="E377" s="48" t="s">
        <v>160</v>
      </c>
      <c r="F377" s="48" t="s">
        <v>1682</v>
      </c>
      <c r="G377" s="48" t="s">
        <v>1475</v>
      </c>
      <c r="H377" s="48" t="s">
        <v>355</v>
      </c>
      <c r="I377" s="47" t="s">
        <v>1476</v>
      </c>
      <c r="J377" s="47">
        <v>99</v>
      </c>
      <c r="K377" s="49" t="s">
        <v>717</v>
      </c>
      <c r="L377" s="49" t="s">
        <v>700</v>
      </c>
      <c r="M377" s="50" t="s">
        <v>1477</v>
      </c>
      <c r="N377" s="50" t="s">
        <v>1754</v>
      </c>
      <c r="O377" s="51"/>
      <c r="P377" s="51"/>
      <c r="Q377" s="48"/>
      <c r="S377" s="1">
        <f t="shared" si="139"/>
        <v>0</v>
      </c>
      <c r="T377" s="1">
        <f t="shared" si="140"/>
        <v>0</v>
      </c>
      <c r="U377" s="1">
        <f t="shared" si="141"/>
        <v>0</v>
      </c>
      <c r="V377" s="1">
        <f t="shared" si="142"/>
        <v>0</v>
      </c>
      <c r="W377" s="1">
        <f t="shared" si="143"/>
        <v>0</v>
      </c>
      <c r="X377" s="1">
        <f t="shared" si="144"/>
        <v>0</v>
      </c>
      <c r="Y377" s="1">
        <f t="shared" si="145"/>
        <v>0</v>
      </c>
      <c r="Z377" s="1">
        <f t="shared" si="146"/>
        <v>0</v>
      </c>
      <c r="AA377" s="1">
        <f t="shared" si="147"/>
        <v>0</v>
      </c>
      <c r="AB377" s="1">
        <f t="shared" si="148"/>
        <v>0</v>
      </c>
      <c r="AD377" s="1">
        <f t="shared" si="149"/>
        <v>0</v>
      </c>
      <c r="AE377" s="1">
        <f t="shared" si="150"/>
        <v>0</v>
      </c>
      <c r="AF377" s="1">
        <f t="shared" si="135"/>
        <v>0</v>
      </c>
      <c r="AG377" s="1">
        <f t="shared" si="136"/>
        <v>0</v>
      </c>
      <c r="AH377" s="1">
        <f t="shared" si="137"/>
        <v>0</v>
      </c>
      <c r="AI377" s="1">
        <f t="shared" si="138"/>
        <v>1</v>
      </c>
    </row>
    <row r="378" spans="1:35" ht="14.25" customHeight="1" x14ac:dyDescent="0.25">
      <c r="A378" s="34">
        <v>0</v>
      </c>
      <c r="B378" s="34">
        <v>2</v>
      </c>
      <c r="C378" s="34">
        <v>5</v>
      </c>
      <c r="D378" s="35" t="s">
        <v>1785</v>
      </c>
      <c r="E378" s="35" t="s">
        <v>156</v>
      </c>
      <c r="F378" s="35" t="s">
        <v>1786</v>
      </c>
      <c r="G378" s="35" t="s">
        <v>659</v>
      </c>
      <c r="H378" s="35" t="s">
        <v>355</v>
      </c>
      <c r="I378" s="34" t="s">
        <v>1787</v>
      </c>
      <c r="J378" s="34"/>
      <c r="K378" s="36" t="s">
        <v>707</v>
      </c>
      <c r="L378" s="36">
        <v>40</v>
      </c>
      <c r="M378" s="37" t="s">
        <v>1788</v>
      </c>
      <c r="N378" s="37" t="s">
        <v>1750</v>
      </c>
      <c r="O378" s="38">
        <v>1</v>
      </c>
      <c r="P378" s="38"/>
      <c r="Q378" s="35"/>
      <c r="S378" s="1">
        <f t="shared" si="139"/>
        <v>0</v>
      </c>
      <c r="T378" s="1">
        <f t="shared" si="140"/>
        <v>0</v>
      </c>
      <c r="U378" s="1">
        <f t="shared" si="141"/>
        <v>0</v>
      </c>
      <c r="V378" s="1">
        <f t="shared" si="142"/>
        <v>0</v>
      </c>
      <c r="W378" s="1">
        <f t="shared" si="143"/>
        <v>0</v>
      </c>
      <c r="X378" s="1">
        <f t="shared" si="144"/>
        <v>0</v>
      </c>
      <c r="Y378" s="1">
        <f t="shared" si="145"/>
        <v>0</v>
      </c>
      <c r="Z378" s="1">
        <f t="shared" si="146"/>
        <v>0</v>
      </c>
      <c r="AA378" s="1">
        <f t="shared" si="147"/>
        <v>0</v>
      </c>
      <c r="AB378" s="1">
        <f t="shared" si="148"/>
        <v>0</v>
      </c>
      <c r="AD378" s="1">
        <f t="shared" si="149"/>
        <v>0</v>
      </c>
      <c r="AE378" s="1">
        <f t="shared" si="150"/>
        <v>1</v>
      </c>
      <c r="AF378" s="1">
        <f t="shared" si="135"/>
        <v>0</v>
      </c>
      <c r="AG378" s="1">
        <f t="shared" si="136"/>
        <v>1</v>
      </c>
      <c r="AH378" s="1">
        <f t="shared" si="137"/>
        <v>0</v>
      </c>
      <c r="AI378" s="1">
        <f t="shared" si="138"/>
        <v>1</v>
      </c>
    </row>
    <row r="379" spans="1:35" ht="14.25" customHeight="1" x14ac:dyDescent="0.25">
      <c r="A379" s="47">
        <v>0</v>
      </c>
      <c r="B379" s="47">
        <v>2</v>
      </c>
      <c r="C379" s="47">
        <v>5</v>
      </c>
      <c r="D379" s="48" t="s">
        <v>841</v>
      </c>
      <c r="E379" s="48" t="s">
        <v>835</v>
      </c>
      <c r="F379" s="48" t="s">
        <v>945</v>
      </c>
      <c r="G379" s="48" t="s">
        <v>181</v>
      </c>
      <c r="H379" s="48" t="s">
        <v>355</v>
      </c>
      <c r="I379" s="47" t="s">
        <v>1113</v>
      </c>
      <c r="J379" s="47">
        <v>10</v>
      </c>
      <c r="K379" s="49" t="s">
        <v>716</v>
      </c>
      <c r="L379" s="49" t="s">
        <v>697</v>
      </c>
      <c r="M379" s="50" t="s">
        <v>1436</v>
      </c>
      <c r="N379" s="50" t="s">
        <v>1748</v>
      </c>
      <c r="O379" s="51"/>
      <c r="P379" s="51"/>
      <c r="Q379" s="48"/>
      <c r="S379" s="1">
        <f t="shared" si="139"/>
        <v>0</v>
      </c>
      <c r="T379" s="1">
        <f t="shared" si="140"/>
        <v>0</v>
      </c>
      <c r="U379" s="1">
        <f t="shared" si="141"/>
        <v>0</v>
      </c>
      <c r="V379" s="1">
        <f t="shared" si="142"/>
        <v>0</v>
      </c>
      <c r="W379" s="1">
        <f t="shared" si="143"/>
        <v>0</v>
      </c>
      <c r="X379" s="1">
        <f t="shared" si="144"/>
        <v>0</v>
      </c>
      <c r="Y379" s="1">
        <f t="shared" si="145"/>
        <v>0</v>
      </c>
      <c r="Z379" s="1">
        <f t="shared" si="146"/>
        <v>0</v>
      </c>
      <c r="AA379" s="1">
        <f t="shared" si="147"/>
        <v>0</v>
      </c>
      <c r="AB379" s="1">
        <f t="shared" si="148"/>
        <v>1</v>
      </c>
      <c r="AD379" s="1">
        <f t="shared" si="149"/>
        <v>0</v>
      </c>
      <c r="AE379" s="1">
        <f t="shared" si="150"/>
        <v>0</v>
      </c>
      <c r="AF379" s="1">
        <f t="shared" si="135"/>
        <v>0</v>
      </c>
      <c r="AG379" s="1">
        <f t="shared" si="136"/>
        <v>0</v>
      </c>
      <c r="AH379" s="1">
        <f t="shared" si="137"/>
        <v>0</v>
      </c>
      <c r="AI379" s="1">
        <f t="shared" si="138"/>
        <v>1</v>
      </c>
    </row>
    <row r="380" spans="1:35" ht="14.25" customHeight="1" x14ac:dyDescent="0.25">
      <c r="A380" s="60">
        <v>0</v>
      </c>
      <c r="B380" s="60">
        <v>2</v>
      </c>
      <c r="C380" s="60">
        <v>6</v>
      </c>
      <c r="D380" s="61" t="s">
        <v>1550</v>
      </c>
      <c r="E380" s="61" t="s">
        <v>27</v>
      </c>
      <c r="F380" s="61" t="s">
        <v>1552</v>
      </c>
      <c r="G380" s="61" t="s">
        <v>1541</v>
      </c>
      <c r="H380" s="61" t="s">
        <v>355</v>
      </c>
      <c r="I380" s="60" t="s">
        <v>1551</v>
      </c>
      <c r="J380" s="60">
        <v>5</v>
      </c>
      <c r="K380" s="62" t="s">
        <v>959</v>
      </c>
      <c r="L380" s="62" t="s">
        <v>39</v>
      </c>
      <c r="M380" s="63" t="s">
        <v>39</v>
      </c>
      <c r="N380" s="64"/>
      <c r="O380" s="65"/>
      <c r="P380" s="65"/>
      <c r="Q380" s="69" t="s">
        <v>1907</v>
      </c>
      <c r="S380" s="1">
        <f t="shared" si="139"/>
        <v>0</v>
      </c>
      <c r="T380" s="1">
        <f t="shared" si="140"/>
        <v>0</v>
      </c>
      <c r="U380" s="1">
        <f t="shared" si="141"/>
        <v>0</v>
      </c>
      <c r="V380" s="1">
        <f t="shared" si="142"/>
        <v>0</v>
      </c>
      <c r="W380" s="1">
        <f t="shared" si="143"/>
        <v>1</v>
      </c>
      <c r="X380" s="1">
        <f t="shared" si="144"/>
        <v>0</v>
      </c>
      <c r="Y380" s="1">
        <f t="shared" si="145"/>
        <v>0</v>
      </c>
      <c r="Z380" s="1">
        <f t="shared" si="146"/>
        <v>0</v>
      </c>
      <c r="AA380" s="1">
        <f t="shared" si="147"/>
        <v>0</v>
      </c>
      <c r="AB380" s="1">
        <f t="shared" si="148"/>
        <v>0</v>
      </c>
      <c r="AD380" s="1">
        <f t="shared" si="149"/>
        <v>0</v>
      </c>
      <c r="AE380" s="1">
        <f t="shared" si="150"/>
        <v>0</v>
      </c>
      <c r="AF380" s="1">
        <f t="shared" si="135"/>
        <v>0</v>
      </c>
      <c r="AG380" s="1">
        <f t="shared" si="136"/>
        <v>0</v>
      </c>
      <c r="AH380" s="1">
        <f t="shared" si="137"/>
        <v>0</v>
      </c>
      <c r="AI380" s="1">
        <f t="shared" si="138"/>
        <v>1</v>
      </c>
    </row>
    <row r="381" spans="1:35" ht="14.25" customHeight="1" x14ac:dyDescent="0.25">
      <c r="A381" s="47">
        <v>0</v>
      </c>
      <c r="B381" s="47">
        <v>2</v>
      </c>
      <c r="C381" s="47">
        <v>6</v>
      </c>
      <c r="D381" s="48" t="s">
        <v>521</v>
      </c>
      <c r="E381" s="48" t="s">
        <v>31</v>
      </c>
      <c r="F381" s="48" t="s">
        <v>675</v>
      </c>
      <c r="G381" s="48" t="s">
        <v>201</v>
      </c>
      <c r="H381" s="48" t="s">
        <v>355</v>
      </c>
      <c r="I381" s="47" t="s">
        <v>522</v>
      </c>
      <c r="J381" s="47">
        <v>2</v>
      </c>
      <c r="K381" s="49" t="s">
        <v>958</v>
      </c>
      <c r="L381" s="49" t="s">
        <v>698</v>
      </c>
      <c r="M381" s="50" t="s">
        <v>1437</v>
      </c>
      <c r="N381" s="50" t="s">
        <v>1742</v>
      </c>
      <c r="O381" s="51"/>
      <c r="P381" s="51"/>
      <c r="Q381" s="48"/>
      <c r="S381" s="1">
        <f t="shared" si="139"/>
        <v>0</v>
      </c>
      <c r="T381" s="1">
        <f t="shared" si="140"/>
        <v>1</v>
      </c>
      <c r="U381" s="1">
        <f t="shared" si="141"/>
        <v>0</v>
      </c>
      <c r="V381" s="1">
        <f t="shared" si="142"/>
        <v>0</v>
      </c>
      <c r="W381" s="1">
        <f t="shared" si="143"/>
        <v>0</v>
      </c>
      <c r="X381" s="1">
        <f t="shared" si="144"/>
        <v>0</v>
      </c>
      <c r="Y381" s="1">
        <f t="shared" si="145"/>
        <v>0</v>
      </c>
      <c r="Z381" s="1">
        <f t="shared" si="146"/>
        <v>0</v>
      </c>
      <c r="AA381" s="1">
        <f t="shared" si="147"/>
        <v>0</v>
      </c>
      <c r="AB381" s="1">
        <f t="shared" si="148"/>
        <v>0</v>
      </c>
      <c r="AD381" s="1">
        <f t="shared" si="149"/>
        <v>0</v>
      </c>
      <c r="AE381" s="1">
        <f t="shared" si="150"/>
        <v>0</v>
      </c>
      <c r="AF381" s="1">
        <f t="shared" si="135"/>
        <v>0</v>
      </c>
      <c r="AG381" s="1">
        <f t="shared" si="136"/>
        <v>0</v>
      </c>
      <c r="AH381" s="1">
        <f t="shared" si="137"/>
        <v>0</v>
      </c>
      <c r="AI381" s="1">
        <f t="shared" si="138"/>
        <v>1</v>
      </c>
    </row>
    <row r="382" spans="1:35" ht="14.25" customHeight="1" x14ac:dyDescent="0.25">
      <c r="A382" s="34">
        <v>0</v>
      </c>
      <c r="B382" s="34">
        <v>2</v>
      </c>
      <c r="C382" s="34">
        <v>6</v>
      </c>
      <c r="D382" s="35" t="s">
        <v>53</v>
      </c>
      <c r="E382" s="35" t="s">
        <v>31</v>
      </c>
      <c r="F382" s="35" t="s">
        <v>211</v>
      </c>
      <c r="G382" s="35" t="s">
        <v>212</v>
      </c>
      <c r="H382" s="35" t="s">
        <v>355</v>
      </c>
      <c r="I382" s="34" t="s">
        <v>393</v>
      </c>
      <c r="J382" s="34">
        <v>1</v>
      </c>
      <c r="K382" s="36" t="s">
        <v>716</v>
      </c>
      <c r="L382" s="36" t="s">
        <v>708</v>
      </c>
      <c r="M382" s="37" t="s">
        <v>732</v>
      </c>
      <c r="N382" s="37" t="s">
        <v>1750</v>
      </c>
      <c r="O382" s="38">
        <v>1</v>
      </c>
      <c r="P382" s="38"/>
      <c r="Q382" s="35"/>
      <c r="S382" s="1">
        <f t="shared" si="139"/>
        <v>1</v>
      </c>
      <c r="T382" s="1">
        <f t="shared" si="140"/>
        <v>0</v>
      </c>
      <c r="U382" s="1">
        <f t="shared" si="141"/>
        <v>0</v>
      </c>
      <c r="V382" s="1">
        <f t="shared" si="142"/>
        <v>0</v>
      </c>
      <c r="W382" s="1">
        <f t="shared" si="143"/>
        <v>0</v>
      </c>
      <c r="X382" s="1">
        <f t="shared" si="144"/>
        <v>0</v>
      </c>
      <c r="Y382" s="1">
        <f t="shared" si="145"/>
        <v>0</v>
      </c>
      <c r="Z382" s="1">
        <f t="shared" si="146"/>
        <v>0</v>
      </c>
      <c r="AA382" s="1">
        <f t="shared" si="147"/>
        <v>0</v>
      </c>
      <c r="AB382" s="1">
        <f t="shared" si="148"/>
        <v>0</v>
      </c>
      <c r="AD382" s="1">
        <f t="shared" si="149"/>
        <v>0</v>
      </c>
      <c r="AE382" s="1">
        <f t="shared" si="150"/>
        <v>1</v>
      </c>
      <c r="AF382" s="1">
        <f t="shared" si="135"/>
        <v>0</v>
      </c>
      <c r="AG382" s="1">
        <f t="shared" si="136"/>
        <v>1</v>
      </c>
      <c r="AH382" s="1">
        <f t="shared" si="137"/>
        <v>0</v>
      </c>
      <c r="AI382" s="1">
        <f t="shared" si="138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1869</v>
      </c>
      <c r="E383" s="16" t="s">
        <v>1870</v>
      </c>
      <c r="F383" s="20" t="s">
        <v>1871</v>
      </c>
      <c r="G383" s="16"/>
      <c r="H383" s="20" t="s">
        <v>355</v>
      </c>
      <c r="I383" s="21" t="s">
        <v>1872</v>
      </c>
      <c r="J383" s="15">
        <v>99</v>
      </c>
      <c r="K383" s="10" t="s">
        <v>707</v>
      </c>
      <c r="L383" s="10">
        <v>25</v>
      </c>
      <c r="M383" s="19" t="s">
        <v>1873</v>
      </c>
      <c r="N383" s="19"/>
      <c r="Q383" s="20"/>
      <c r="S383" s="1">
        <f t="shared" si="139"/>
        <v>0</v>
      </c>
      <c r="T383" s="1">
        <f t="shared" si="140"/>
        <v>0</v>
      </c>
      <c r="U383" s="1">
        <f t="shared" si="141"/>
        <v>0</v>
      </c>
      <c r="V383" s="1">
        <f t="shared" si="142"/>
        <v>0</v>
      </c>
      <c r="W383" s="1">
        <f t="shared" si="143"/>
        <v>0</v>
      </c>
      <c r="X383" s="1">
        <f t="shared" si="144"/>
        <v>0</v>
      </c>
      <c r="Y383" s="1">
        <f t="shared" si="145"/>
        <v>0</v>
      </c>
      <c r="Z383" s="1">
        <f t="shared" si="146"/>
        <v>0</v>
      </c>
      <c r="AA383" s="1">
        <f t="shared" si="147"/>
        <v>0</v>
      </c>
      <c r="AB383" s="1">
        <f t="shared" si="148"/>
        <v>0</v>
      </c>
      <c r="AD383" s="1">
        <f t="shared" si="149"/>
        <v>0</v>
      </c>
      <c r="AE383" s="1">
        <f t="shared" si="150"/>
        <v>0</v>
      </c>
      <c r="AF383" s="1">
        <f t="shared" si="135"/>
        <v>0</v>
      </c>
      <c r="AG383" s="1">
        <f t="shared" si="136"/>
        <v>0</v>
      </c>
      <c r="AH383" s="1">
        <f t="shared" si="137"/>
        <v>0</v>
      </c>
      <c r="AI383" s="1">
        <f t="shared" si="138"/>
        <v>1</v>
      </c>
    </row>
    <row r="384" spans="1:35" ht="14.25" customHeight="1" x14ac:dyDescent="0.25">
      <c r="A384" s="15">
        <v>0</v>
      </c>
      <c r="B384" s="15">
        <v>2</v>
      </c>
      <c r="C384" s="15">
        <v>6</v>
      </c>
      <c r="D384" s="16" t="s">
        <v>80</v>
      </c>
      <c r="E384" s="16" t="s">
        <v>31</v>
      </c>
      <c r="F384" s="16" t="s">
        <v>271</v>
      </c>
      <c r="G384" s="16" t="s">
        <v>225</v>
      </c>
      <c r="H384" s="16" t="s">
        <v>355</v>
      </c>
      <c r="I384" s="15" t="s">
        <v>681</v>
      </c>
      <c r="J384" s="15">
        <v>99</v>
      </c>
      <c r="K384" s="10" t="s">
        <v>959</v>
      </c>
      <c r="L384" s="10" t="s">
        <v>698</v>
      </c>
      <c r="M384" s="19" t="s">
        <v>1438</v>
      </c>
      <c r="N384" s="19"/>
      <c r="Q384" s="16"/>
      <c r="S384" s="1">
        <f t="shared" si="139"/>
        <v>0</v>
      </c>
      <c r="T384" s="1">
        <f t="shared" si="140"/>
        <v>0</v>
      </c>
      <c r="U384" s="1">
        <f t="shared" si="141"/>
        <v>0</v>
      </c>
      <c r="V384" s="1">
        <f t="shared" si="142"/>
        <v>0</v>
      </c>
      <c r="W384" s="1">
        <f t="shared" si="143"/>
        <v>0</v>
      </c>
      <c r="X384" s="1">
        <f t="shared" si="144"/>
        <v>0</v>
      </c>
      <c r="Y384" s="1">
        <f t="shared" si="145"/>
        <v>0</v>
      </c>
      <c r="Z384" s="1">
        <f t="shared" si="146"/>
        <v>0</v>
      </c>
      <c r="AA384" s="1">
        <f t="shared" si="147"/>
        <v>0</v>
      </c>
      <c r="AB384" s="1">
        <f t="shared" si="148"/>
        <v>0</v>
      </c>
      <c r="AD384" s="1">
        <f t="shared" si="149"/>
        <v>0</v>
      </c>
      <c r="AE384" s="1">
        <f t="shared" si="150"/>
        <v>0</v>
      </c>
      <c r="AF384" s="1">
        <f t="shared" si="135"/>
        <v>0</v>
      </c>
      <c r="AG384" s="1">
        <f t="shared" si="136"/>
        <v>0</v>
      </c>
      <c r="AH384" s="1">
        <f t="shared" si="137"/>
        <v>0</v>
      </c>
      <c r="AI384" s="1">
        <f t="shared" si="138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641</v>
      </c>
      <c r="E385" s="48" t="s">
        <v>31</v>
      </c>
      <c r="F385" s="48" t="s">
        <v>642</v>
      </c>
      <c r="G385" s="48" t="s">
        <v>241</v>
      </c>
      <c r="H385" s="48" t="s">
        <v>355</v>
      </c>
      <c r="I385" s="47" t="s">
        <v>643</v>
      </c>
      <c r="J385" s="47">
        <v>1</v>
      </c>
      <c r="K385" s="49" t="s">
        <v>717</v>
      </c>
      <c r="L385" s="49" t="s">
        <v>698</v>
      </c>
      <c r="M385" s="50" t="s">
        <v>1439</v>
      </c>
      <c r="N385" s="50" t="s">
        <v>1742</v>
      </c>
      <c r="O385" s="51"/>
      <c r="P385" s="51"/>
      <c r="Q385" s="48"/>
      <c r="S385" s="1">
        <f t="shared" si="139"/>
        <v>1</v>
      </c>
      <c r="T385" s="1">
        <f t="shared" si="140"/>
        <v>0</v>
      </c>
      <c r="U385" s="1">
        <f t="shared" si="141"/>
        <v>0</v>
      </c>
      <c r="V385" s="1">
        <f t="shared" si="142"/>
        <v>0</v>
      </c>
      <c r="W385" s="1">
        <f t="shared" si="143"/>
        <v>0</v>
      </c>
      <c r="X385" s="1">
        <f t="shared" si="144"/>
        <v>0</v>
      </c>
      <c r="Y385" s="1">
        <f t="shared" si="145"/>
        <v>0</v>
      </c>
      <c r="Z385" s="1">
        <f t="shared" si="146"/>
        <v>0</v>
      </c>
      <c r="AA385" s="1">
        <f t="shared" si="147"/>
        <v>0</v>
      </c>
      <c r="AB385" s="1">
        <f t="shared" si="148"/>
        <v>0</v>
      </c>
      <c r="AD385" s="1">
        <f t="shared" si="149"/>
        <v>0</v>
      </c>
      <c r="AE385" s="1">
        <f t="shared" si="150"/>
        <v>0</v>
      </c>
      <c r="AF385" s="1">
        <f t="shared" si="135"/>
        <v>0</v>
      </c>
      <c r="AG385" s="1">
        <f t="shared" si="136"/>
        <v>0</v>
      </c>
      <c r="AH385" s="1">
        <f t="shared" si="137"/>
        <v>0</v>
      </c>
      <c r="AI385" s="1">
        <f t="shared" si="138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1139</v>
      </c>
      <c r="E386" s="48" t="s">
        <v>31</v>
      </c>
      <c r="F386" s="48" t="s">
        <v>675</v>
      </c>
      <c r="G386" s="48" t="s">
        <v>201</v>
      </c>
      <c r="H386" s="48" t="s">
        <v>355</v>
      </c>
      <c r="I386" s="47" t="s">
        <v>522</v>
      </c>
      <c r="J386" s="47">
        <v>2</v>
      </c>
      <c r="K386" s="49" t="s">
        <v>716</v>
      </c>
      <c r="L386" s="49" t="s">
        <v>698</v>
      </c>
      <c r="M386" s="50" t="s">
        <v>732</v>
      </c>
      <c r="N386" s="50" t="s">
        <v>1742</v>
      </c>
      <c r="O386" s="51"/>
      <c r="P386" s="51"/>
      <c r="Q386" s="48"/>
      <c r="S386" s="1">
        <f t="shared" si="139"/>
        <v>0</v>
      </c>
      <c r="T386" s="1">
        <f t="shared" si="140"/>
        <v>1</v>
      </c>
      <c r="U386" s="1">
        <f t="shared" si="141"/>
        <v>0</v>
      </c>
      <c r="V386" s="1">
        <f t="shared" si="142"/>
        <v>0</v>
      </c>
      <c r="W386" s="1">
        <f t="shared" si="143"/>
        <v>0</v>
      </c>
      <c r="X386" s="1">
        <f t="shared" si="144"/>
        <v>0</v>
      </c>
      <c r="Y386" s="1">
        <f t="shared" si="145"/>
        <v>0</v>
      </c>
      <c r="Z386" s="1">
        <f t="shared" si="146"/>
        <v>0</v>
      </c>
      <c r="AA386" s="1">
        <f t="shared" si="147"/>
        <v>0</v>
      </c>
      <c r="AB386" s="1">
        <f t="shared" si="148"/>
        <v>0</v>
      </c>
      <c r="AD386" s="1">
        <f t="shared" si="149"/>
        <v>0</v>
      </c>
      <c r="AE386" s="1">
        <f t="shared" si="150"/>
        <v>0</v>
      </c>
      <c r="AF386" s="1">
        <f t="shared" si="135"/>
        <v>0</v>
      </c>
      <c r="AG386" s="1">
        <f t="shared" si="136"/>
        <v>0</v>
      </c>
      <c r="AH386" s="1">
        <f t="shared" si="137"/>
        <v>0</v>
      </c>
      <c r="AI386" s="1">
        <f t="shared" si="138"/>
        <v>1</v>
      </c>
    </row>
    <row r="387" spans="1:35" ht="14.25" customHeight="1" x14ac:dyDescent="0.25">
      <c r="A387" s="47">
        <v>0</v>
      </c>
      <c r="B387" s="47">
        <v>2</v>
      </c>
      <c r="C387" s="47">
        <v>6</v>
      </c>
      <c r="D387" s="48" t="s">
        <v>1087</v>
      </c>
      <c r="E387" s="48" t="s">
        <v>160</v>
      </c>
      <c r="F387" s="48" t="s">
        <v>199</v>
      </c>
      <c r="G387" s="48" t="s">
        <v>200</v>
      </c>
      <c r="H387" s="48" t="s">
        <v>355</v>
      </c>
      <c r="I387" s="47" t="s">
        <v>389</v>
      </c>
      <c r="J387" s="47">
        <v>99</v>
      </c>
      <c r="K387" s="49" t="s">
        <v>716</v>
      </c>
      <c r="L387" s="49" t="s">
        <v>720</v>
      </c>
      <c r="M387" s="50" t="s">
        <v>734</v>
      </c>
      <c r="N387" s="50" t="s">
        <v>1741</v>
      </c>
      <c r="O387" s="51"/>
      <c r="P387" s="51"/>
      <c r="Q387" s="48"/>
      <c r="S387" s="1">
        <f t="shared" si="139"/>
        <v>0</v>
      </c>
      <c r="T387" s="1">
        <f t="shared" si="140"/>
        <v>0</v>
      </c>
      <c r="U387" s="1">
        <f t="shared" si="141"/>
        <v>0</v>
      </c>
      <c r="V387" s="1">
        <f t="shared" si="142"/>
        <v>0</v>
      </c>
      <c r="W387" s="1">
        <f t="shared" si="143"/>
        <v>0</v>
      </c>
      <c r="X387" s="1">
        <f t="shared" si="144"/>
        <v>0</v>
      </c>
      <c r="Y387" s="1">
        <f t="shared" si="145"/>
        <v>0</v>
      </c>
      <c r="Z387" s="1">
        <f t="shared" si="146"/>
        <v>0</v>
      </c>
      <c r="AA387" s="1">
        <f t="shared" si="147"/>
        <v>0</v>
      </c>
      <c r="AB387" s="1">
        <f t="shared" si="148"/>
        <v>0</v>
      </c>
      <c r="AD387" s="1">
        <f t="shared" si="149"/>
        <v>0</v>
      </c>
      <c r="AE387" s="1">
        <f t="shared" si="150"/>
        <v>0</v>
      </c>
      <c r="AF387" s="1">
        <f t="shared" si="135"/>
        <v>0</v>
      </c>
      <c r="AG387" s="1">
        <f t="shared" si="136"/>
        <v>0</v>
      </c>
      <c r="AH387" s="1">
        <f t="shared" si="137"/>
        <v>0</v>
      </c>
      <c r="AI387" s="1">
        <f t="shared" si="138"/>
        <v>1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511</v>
      </c>
      <c r="E388" s="35" t="s">
        <v>157</v>
      </c>
      <c r="F388" s="35" t="s">
        <v>512</v>
      </c>
      <c r="G388" s="35" t="s">
        <v>39</v>
      </c>
      <c r="H388" s="35" t="s">
        <v>355</v>
      </c>
      <c r="I388" s="34" t="s">
        <v>946</v>
      </c>
      <c r="J388" s="34">
        <v>7</v>
      </c>
      <c r="K388" s="36" t="s">
        <v>959</v>
      </c>
      <c r="L388" s="36" t="s">
        <v>39</v>
      </c>
      <c r="M388" s="37" t="s">
        <v>39</v>
      </c>
      <c r="N388" s="37" t="s">
        <v>1734</v>
      </c>
      <c r="O388" s="38">
        <v>1</v>
      </c>
      <c r="P388" s="38">
        <v>1</v>
      </c>
      <c r="Q388" s="35"/>
      <c r="S388" s="1">
        <f t="shared" si="139"/>
        <v>0</v>
      </c>
      <c r="T388" s="1">
        <f t="shared" si="140"/>
        <v>0</v>
      </c>
      <c r="U388" s="1">
        <f t="shared" si="141"/>
        <v>0</v>
      </c>
      <c r="V388" s="1">
        <f t="shared" si="142"/>
        <v>0</v>
      </c>
      <c r="W388" s="1">
        <f t="shared" si="143"/>
        <v>0</v>
      </c>
      <c r="X388" s="1">
        <f t="shared" si="144"/>
        <v>0</v>
      </c>
      <c r="Y388" s="1">
        <f t="shared" si="145"/>
        <v>1</v>
      </c>
      <c r="Z388" s="1">
        <f t="shared" si="146"/>
        <v>0</v>
      </c>
      <c r="AA388" s="1">
        <f t="shared" si="147"/>
        <v>0</v>
      </c>
      <c r="AB388" s="1">
        <f t="shared" si="148"/>
        <v>0</v>
      </c>
      <c r="AD388" s="1">
        <f t="shared" si="149"/>
        <v>1</v>
      </c>
      <c r="AE388" s="1">
        <f t="shared" si="150"/>
        <v>0</v>
      </c>
      <c r="AF388" s="1">
        <f t="shared" si="135"/>
        <v>1</v>
      </c>
      <c r="AG388" s="1">
        <f t="shared" si="136"/>
        <v>0</v>
      </c>
      <c r="AH388" s="1">
        <f t="shared" si="137"/>
        <v>1</v>
      </c>
      <c r="AI388" s="1">
        <f t="shared" si="138"/>
        <v>0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70</v>
      </c>
      <c r="E389" s="35" t="s">
        <v>28</v>
      </c>
      <c r="F389" s="35" t="s">
        <v>676</v>
      </c>
      <c r="G389" s="35" t="s">
        <v>259</v>
      </c>
      <c r="H389" s="35" t="s">
        <v>355</v>
      </c>
      <c r="I389" s="34" t="s">
        <v>418</v>
      </c>
      <c r="J389" s="34">
        <v>8</v>
      </c>
      <c r="K389" s="36" t="s">
        <v>717</v>
      </c>
      <c r="L389" s="36" t="s">
        <v>717</v>
      </c>
      <c r="M389" s="37" t="s">
        <v>735</v>
      </c>
      <c r="N389" s="37" t="s">
        <v>1750</v>
      </c>
      <c r="O389" s="38">
        <v>1</v>
      </c>
      <c r="P389" s="38"/>
      <c r="Q389" s="35"/>
      <c r="S389" s="1">
        <f t="shared" si="139"/>
        <v>0</v>
      </c>
      <c r="T389" s="1">
        <f t="shared" si="140"/>
        <v>0</v>
      </c>
      <c r="U389" s="1">
        <f t="shared" si="141"/>
        <v>0</v>
      </c>
      <c r="V389" s="1">
        <f t="shared" si="142"/>
        <v>0</v>
      </c>
      <c r="W389" s="1">
        <f t="shared" si="143"/>
        <v>0</v>
      </c>
      <c r="X389" s="1">
        <f t="shared" si="144"/>
        <v>0</v>
      </c>
      <c r="Y389" s="1">
        <f t="shared" si="145"/>
        <v>0</v>
      </c>
      <c r="Z389" s="1">
        <f t="shared" si="146"/>
        <v>1</v>
      </c>
      <c r="AA389" s="1">
        <f t="shared" si="147"/>
        <v>0</v>
      </c>
      <c r="AB389" s="1">
        <f t="shared" si="148"/>
        <v>0</v>
      </c>
      <c r="AD389" s="1">
        <f t="shared" si="149"/>
        <v>0</v>
      </c>
      <c r="AE389" s="1">
        <f t="shared" si="150"/>
        <v>1</v>
      </c>
      <c r="AF389" s="1">
        <f t="shared" si="135"/>
        <v>0</v>
      </c>
      <c r="AG389" s="1">
        <f t="shared" si="136"/>
        <v>1</v>
      </c>
      <c r="AH389" s="1">
        <f t="shared" si="137"/>
        <v>0</v>
      </c>
      <c r="AI389" s="1">
        <f t="shared" si="138"/>
        <v>1</v>
      </c>
    </row>
    <row r="390" spans="1:35" ht="14.25" customHeight="1" x14ac:dyDescent="0.25">
      <c r="A390" s="34">
        <v>0</v>
      </c>
      <c r="B390" s="34">
        <v>2</v>
      </c>
      <c r="C390" s="34">
        <v>7</v>
      </c>
      <c r="D390" s="35" t="s">
        <v>656</v>
      </c>
      <c r="E390" s="35" t="s">
        <v>157</v>
      </c>
      <c r="F390" s="35" t="s">
        <v>587</v>
      </c>
      <c r="G390" s="35" t="s">
        <v>250</v>
      </c>
      <c r="H390" s="35" t="s">
        <v>355</v>
      </c>
      <c r="I390" s="34" t="s">
        <v>682</v>
      </c>
      <c r="J390" s="34">
        <v>7</v>
      </c>
      <c r="K390" s="36" t="s">
        <v>959</v>
      </c>
      <c r="L390" s="36" t="s">
        <v>39</v>
      </c>
      <c r="M390" s="37" t="s">
        <v>39</v>
      </c>
      <c r="N390" s="37" t="s">
        <v>1734</v>
      </c>
      <c r="O390" s="38">
        <v>1</v>
      </c>
      <c r="P390" s="38">
        <v>1</v>
      </c>
      <c r="Q390" s="35"/>
      <c r="S390" s="1">
        <f t="shared" si="139"/>
        <v>0</v>
      </c>
      <c r="T390" s="1">
        <f t="shared" si="140"/>
        <v>0</v>
      </c>
      <c r="U390" s="1">
        <f t="shared" si="141"/>
        <v>0</v>
      </c>
      <c r="V390" s="1">
        <f t="shared" si="142"/>
        <v>0</v>
      </c>
      <c r="W390" s="1">
        <f t="shared" si="143"/>
        <v>0</v>
      </c>
      <c r="X390" s="1">
        <f t="shared" si="144"/>
        <v>0</v>
      </c>
      <c r="Y390" s="1">
        <f t="shared" si="145"/>
        <v>1</v>
      </c>
      <c r="Z390" s="1">
        <f t="shared" si="146"/>
        <v>0</v>
      </c>
      <c r="AA390" s="1">
        <f t="shared" si="147"/>
        <v>0</v>
      </c>
      <c r="AB390" s="1">
        <f t="shared" si="148"/>
        <v>0</v>
      </c>
      <c r="AD390" s="1">
        <f t="shared" si="149"/>
        <v>1</v>
      </c>
      <c r="AE390" s="1">
        <f t="shared" si="150"/>
        <v>0</v>
      </c>
      <c r="AF390" s="1">
        <f t="shared" si="135"/>
        <v>1</v>
      </c>
      <c r="AG390" s="1">
        <f t="shared" si="136"/>
        <v>0</v>
      </c>
      <c r="AH390" s="1">
        <f t="shared" si="137"/>
        <v>1</v>
      </c>
      <c r="AI390" s="1">
        <f t="shared" si="138"/>
        <v>0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1641</v>
      </c>
      <c r="E391" s="48" t="s">
        <v>157</v>
      </c>
      <c r="F391" s="48" t="s">
        <v>1664</v>
      </c>
      <c r="G391" s="48" t="s">
        <v>214</v>
      </c>
      <c r="H391" s="48" t="s">
        <v>355</v>
      </c>
      <c r="I391" s="47" t="s">
        <v>596</v>
      </c>
      <c r="J391" s="47">
        <v>1</v>
      </c>
      <c r="K391" s="49" t="s">
        <v>716</v>
      </c>
      <c r="L391" s="49" t="s">
        <v>726</v>
      </c>
      <c r="M391" s="50" t="s">
        <v>1440</v>
      </c>
      <c r="N391" s="50" t="s">
        <v>1742</v>
      </c>
      <c r="O391" s="51"/>
      <c r="P391" s="51"/>
      <c r="Q391" s="48"/>
      <c r="S391" s="1">
        <f t="shared" si="139"/>
        <v>1</v>
      </c>
      <c r="T391" s="1">
        <f t="shared" si="140"/>
        <v>0</v>
      </c>
      <c r="U391" s="1">
        <f t="shared" si="141"/>
        <v>0</v>
      </c>
      <c r="V391" s="1">
        <f t="shared" si="142"/>
        <v>0</v>
      </c>
      <c r="W391" s="1">
        <f t="shared" si="143"/>
        <v>0</v>
      </c>
      <c r="X391" s="1">
        <f t="shared" si="144"/>
        <v>0</v>
      </c>
      <c r="Y391" s="1">
        <f t="shared" si="145"/>
        <v>0</v>
      </c>
      <c r="Z391" s="1">
        <f t="shared" si="146"/>
        <v>0</v>
      </c>
      <c r="AA391" s="1">
        <f t="shared" si="147"/>
        <v>0</v>
      </c>
      <c r="AB391" s="1">
        <f t="shared" si="148"/>
        <v>0</v>
      </c>
      <c r="AD391" s="1">
        <f t="shared" si="149"/>
        <v>0</v>
      </c>
      <c r="AE391" s="1">
        <f t="shared" si="150"/>
        <v>0</v>
      </c>
      <c r="AF391" s="1">
        <f t="shared" si="135"/>
        <v>0</v>
      </c>
      <c r="AG391" s="1">
        <f t="shared" si="136"/>
        <v>0</v>
      </c>
      <c r="AH391" s="1">
        <f t="shared" si="137"/>
        <v>0</v>
      </c>
      <c r="AI391" s="1">
        <f t="shared" si="138"/>
        <v>1</v>
      </c>
    </row>
    <row r="392" spans="1:35" ht="14.25" customHeight="1" x14ac:dyDescent="0.25">
      <c r="A392" s="47">
        <v>0</v>
      </c>
      <c r="B392" s="47">
        <v>2</v>
      </c>
      <c r="C392" s="47">
        <v>7</v>
      </c>
      <c r="D392" s="48" t="s">
        <v>1074</v>
      </c>
      <c r="E392" s="48" t="s">
        <v>1050</v>
      </c>
      <c r="F392" s="48" t="s">
        <v>1075</v>
      </c>
      <c r="G392" s="48" t="s">
        <v>214</v>
      </c>
      <c r="H392" s="48" t="s">
        <v>355</v>
      </c>
      <c r="I392" s="47" t="s">
        <v>1076</v>
      </c>
      <c r="J392" s="47">
        <v>1</v>
      </c>
      <c r="K392" s="49" t="s">
        <v>959</v>
      </c>
      <c r="L392" s="49" t="s">
        <v>726</v>
      </c>
      <c r="M392" s="50" t="s">
        <v>1441</v>
      </c>
      <c r="N392" s="50" t="s">
        <v>1742</v>
      </c>
      <c r="O392" s="51"/>
      <c r="P392" s="51"/>
      <c r="Q392" s="48" t="s">
        <v>1925</v>
      </c>
      <c r="S392" s="1">
        <f t="shared" si="139"/>
        <v>1</v>
      </c>
      <c r="T392" s="1">
        <f t="shared" si="140"/>
        <v>0</v>
      </c>
      <c r="U392" s="1">
        <f t="shared" si="141"/>
        <v>0</v>
      </c>
      <c r="V392" s="1">
        <f t="shared" si="142"/>
        <v>0</v>
      </c>
      <c r="W392" s="1">
        <f t="shared" si="143"/>
        <v>0</v>
      </c>
      <c r="X392" s="1">
        <f t="shared" si="144"/>
        <v>0</v>
      </c>
      <c r="Y392" s="1">
        <f t="shared" si="145"/>
        <v>0</v>
      </c>
      <c r="Z392" s="1">
        <f t="shared" si="146"/>
        <v>0</v>
      </c>
      <c r="AA392" s="1">
        <f t="shared" si="147"/>
        <v>0</v>
      </c>
      <c r="AB392" s="1">
        <f t="shared" si="148"/>
        <v>0</v>
      </c>
      <c r="AD392" s="1">
        <f t="shared" si="149"/>
        <v>0</v>
      </c>
      <c r="AE392" s="1">
        <f t="shared" si="150"/>
        <v>0</v>
      </c>
      <c r="AF392" s="1">
        <f t="shared" si="135"/>
        <v>0</v>
      </c>
      <c r="AG392" s="1">
        <f t="shared" si="136"/>
        <v>0</v>
      </c>
      <c r="AH392" s="1">
        <f t="shared" si="137"/>
        <v>0</v>
      </c>
      <c r="AI392" s="1">
        <f t="shared" si="138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1021</v>
      </c>
      <c r="E393" s="35" t="s">
        <v>157</v>
      </c>
      <c r="F393" s="35" t="s">
        <v>1092</v>
      </c>
      <c r="G393" s="35" t="s">
        <v>1102</v>
      </c>
      <c r="H393" s="35" t="s">
        <v>355</v>
      </c>
      <c r="I393" s="34" t="s">
        <v>1022</v>
      </c>
      <c r="J393" s="34">
        <v>99</v>
      </c>
      <c r="K393" s="36" t="s">
        <v>717</v>
      </c>
      <c r="L393" s="36" t="s">
        <v>726</v>
      </c>
      <c r="M393" s="37" t="s">
        <v>1441</v>
      </c>
      <c r="N393" s="37" t="s">
        <v>1755</v>
      </c>
      <c r="O393" s="38">
        <v>1</v>
      </c>
      <c r="P393" s="38"/>
      <c r="Q393" s="35"/>
      <c r="S393" s="1">
        <f t="shared" si="139"/>
        <v>0</v>
      </c>
      <c r="T393" s="1">
        <f t="shared" si="140"/>
        <v>0</v>
      </c>
      <c r="U393" s="1">
        <f t="shared" si="141"/>
        <v>0</v>
      </c>
      <c r="V393" s="1">
        <f t="shared" si="142"/>
        <v>0</v>
      </c>
      <c r="W393" s="1">
        <f t="shared" si="143"/>
        <v>0</v>
      </c>
      <c r="X393" s="1">
        <f t="shared" si="144"/>
        <v>0</v>
      </c>
      <c r="Y393" s="1">
        <f t="shared" si="145"/>
        <v>0</v>
      </c>
      <c r="Z393" s="1">
        <f t="shared" si="146"/>
        <v>0</v>
      </c>
      <c r="AA393" s="1">
        <f t="shared" si="147"/>
        <v>0</v>
      </c>
      <c r="AB393" s="1">
        <f t="shared" si="148"/>
        <v>0</v>
      </c>
      <c r="AD393" s="1">
        <f t="shared" si="149"/>
        <v>0</v>
      </c>
      <c r="AE393" s="1">
        <f t="shared" si="150"/>
        <v>1</v>
      </c>
      <c r="AF393" s="1">
        <f t="shared" si="135"/>
        <v>0</v>
      </c>
      <c r="AG393" s="1">
        <f t="shared" si="136"/>
        <v>1</v>
      </c>
      <c r="AH393" s="1">
        <f t="shared" si="137"/>
        <v>0</v>
      </c>
      <c r="AI393" s="1">
        <f t="shared" si="138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1212</v>
      </c>
      <c r="E394" s="35" t="s">
        <v>1339</v>
      </c>
      <c r="F394" s="35" t="s">
        <v>1213</v>
      </c>
      <c r="G394" s="35" t="s">
        <v>39</v>
      </c>
      <c r="H394" s="35" t="s">
        <v>355</v>
      </c>
      <c r="I394" s="34" t="s">
        <v>1692</v>
      </c>
      <c r="J394" s="34">
        <v>99</v>
      </c>
      <c r="K394" s="36" t="s">
        <v>959</v>
      </c>
      <c r="L394" s="36" t="s">
        <v>733</v>
      </c>
      <c r="M394" s="37" t="s">
        <v>1442</v>
      </c>
      <c r="N394" s="37" t="s">
        <v>1755</v>
      </c>
      <c r="O394" s="38">
        <v>1</v>
      </c>
      <c r="P394" s="38"/>
      <c r="Q394" s="35"/>
      <c r="S394" s="1">
        <f t="shared" si="139"/>
        <v>0</v>
      </c>
      <c r="T394" s="1">
        <f t="shared" si="140"/>
        <v>0</v>
      </c>
      <c r="U394" s="1">
        <f t="shared" si="141"/>
        <v>0</v>
      </c>
      <c r="V394" s="1">
        <f t="shared" si="142"/>
        <v>0</v>
      </c>
      <c r="W394" s="1">
        <f t="shared" si="143"/>
        <v>0</v>
      </c>
      <c r="X394" s="1">
        <f t="shared" si="144"/>
        <v>0</v>
      </c>
      <c r="Y394" s="1">
        <f t="shared" si="145"/>
        <v>0</v>
      </c>
      <c r="Z394" s="1">
        <f t="shared" si="146"/>
        <v>0</v>
      </c>
      <c r="AA394" s="1">
        <f t="shared" si="147"/>
        <v>0</v>
      </c>
      <c r="AB394" s="1">
        <f t="shared" si="148"/>
        <v>0</v>
      </c>
      <c r="AD394" s="1">
        <f t="shared" si="149"/>
        <v>0</v>
      </c>
      <c r="AE394" s="1">
        <f t="shared" si="150"/>
        <v>1</v>
      </c>
      <c r="AF394" s="1">
        <f t="shared" si="135"/>
        <v>0</v>
      </c>
      <c r="AG394" s="1">
        <f t="shared" si="136"/>
        <v>1</v>
      </c>
      <c r="AH394" s="1">
        <f t="shared" si="137"/>
        <v>0</v>
      </c>
      <c r="AI394" s="1">
        <f t="shared" si="138"/>
        <v>1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646</v>
      </c>
      <c r="G395" s="35" t="s">
        <v>537</v>
      </c>
      <c r="H395" s="35" t="s">
        <v>355</v>
      </c>
      <c r="I395" s="34" t="s">
        <v>395</v>
      </c>
      <c r="J395" s="34">
        <v>6</v>
      </c>
      <c r="K395" s="36" t="s">
        <v>716</v>
      </c>
      <c r="L395" s="36" t="s">
        <v>717</v>
      </c>
      <c r="M395" s="37" t="s">
        <v>735</v>
      </c>
      <c r="N395" s="37" t="s">
        <v>1768</v>
      </c>
      <c r="O395" s="38">
        <v>1</v>
      </c>
      <c r="P395" s="38"/>
      <c r="Q395" s="35"/>
      <c r="S395" s="1">
        <f t="shared" si="139"/>
        <v>0</v>
      </c>
      <c r="T395" s="1">
        <f t="shared" si="140"/>
        <v>0</v>
      </c>
      <c r="U395" s="1">
        <f t="shared" si="141"/>
        <v>0</v>
      </c>
      <c r="V395" s="1">
        <f t="shared" si="142"/>
        <v>0</v>
      </c>
      <c r="W395" s="1">
        <f t="shared" si="143"/>
        <v>0</v>
      </c>
      <c r="X395" s="1">
        <f t="shared" si="144"/>
        <v>1</v>
      </c>
      <c r="Y395" s="1">
        <f t="shared" si="145"/>
        <v>0</v>
      </c>
      <c r="Z395" s="1">
        <f t="shared" si="146"/>
        <v>0</v>
      </c>
      <c r="AA395" s="1">
        <f t="shared" si="147"/>
        <v>0</v>
      </c>
      <c r="AB395" s="1">
        <f t="shared" si="148"/>
        <v>0</v>
      </c>
      <c r="AD395" s="1">
        <f t="shared" si="149"/>
        <v>0</v>
      </c>
      <c r="AE395" s="1">
        <f t="shared" si="150"/>
        <v>1</v>
      </c>
      <c r="AF395" s="1">
        <f t="shared" si="135"/>
        <v>0</v>
      </c>
      <c r="AG395" s="1">
        <f t="shared" si="136"/>
        <v>1</v>
      </c>
      <c r="AH395" s="1">
        <f t="shared" si="137"/>
        <v>0</v>
      </c>
      <c r="AI395" s="1">
        <f t="shared" si="138"/>
        <v>1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217</v>
      </c>
      <c r="G396" s="35" t="s">
        <v>39</v>
      </c>
      <c r="H396" s="35" t="s">
        <v>355</v>
      </c>
      <c r="I396" s="34" t="s">
        <v>30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1768</v>
      </c>
      <c r="O396" s="38">
        <v>1</v>
      </c>
      <c r="P396" s="38"/>
      <c r="Q396" s="35"/>
      <c r="S396" s="1">
        <f t="shared" si="139"/>
        <v>0</v>
      </c>
      <c r="T396" s="1">
        <f t="shared" si="140"/>
        <v>0</v>
      </c>
      <c r="U396" s="1">
        <f t="shared" si="141"/>
        <v>0</v>
      </c>
      <c r="V396" s="1">
        <f t="shared" si="142"/>
        <v>0</v>
      </c>
      <c r="W396" s="1">
        <f t="shared" si="143"/>
        <v>0</v>
      </c>
      <c r="X396" s="1">
        <f t="shared" si="144"/>
        <v>0</v>
      </c>
      <c r="Y396" s="1">
        <f t="shared" si="145"/>
        <v>0</v>
      </c>
      <c r="Z396" s="1">
        <f t="shared" si="146"/>
        <v>0</v>
      </c>
      <c r="AA396" s="1">
        <f t="shared" si="147"/>
        <v>0</v>
      </c>
      <c r="AB396" s="1">
        <f t="shared" si="148"/>
        <v>0</v>
      </c>
      <c r="AD396" s="1">
        <f t="shared" si="149"/>
        <v>0</v>
      </c>
      <c r="AE396" s="1">
        <f t="shared" si="150"/>
        <v>1</v>
      </c>
      <c r="AF396" s="1">
        <f t="shared" ref="AF396:AF459" si="169">+O396*P396*(1-A396)</f>
        <v>0</v>
      </c>
      <c r="AG396" s="1">
        <f t="shared" ref="AG396:AG459" si="170">O396*(1-P396)*(1-A396)</f>
        <v>0</v>
      </c>
      <c r="AH396" s="1">
        <f t="shared" ref="AH396:AH459" si="171">+P396*(1-A396)</f>
        <v>0</v>
      </c>
      <c r="AI396" s="1">
        <f t="shared" ref="AI396:AI459" si="172">+(1-A396)*(1-P396)</f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216</v>
      </c>
      <c r="G397" s="35" t="s">
        <v>39</v>
      </c>
      <c r="H397" s="35" t="s">
        <v>355</v>
      </c>
      <c r="I397" s="34" t="s">
        <v>395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1768</v>
      </c>
      <c r="O397" s="38">
        <v>1</v>
      </c>
      <c r="P397" s="38"/>
      <c r="Q397" s="35"/>
      <c r="S397" s="1">
        <f t="shared" si="139"/>
        <v>0</v>
      </c>
      <c r="T397" s="1">
        <f t="shared" si="140"/>
        <v>0</v>
      </c>
      <c r="U397" s="1">
        <f t="shared" si="141"/>
        <v>0</v>
      </c>
      <c r="V397" s="1">
        <f t="shared" si="142"/>
        <v>0</v>
      </c>
      <c r="W397" s="1">
        <f t="shared" si="143"/>
        <v>0</v>
      </c>
      <c r="X397" s="1">
        <f t="shared" si="144"/>
        <v>0</v>
      </c>
      <c r="Y397" s="1">
        <f t="shared" si="145"/>
        <v>0</v>
      </c>
      <c r="Z397" s="1">
        <f t="shared" si="146"/>
        <v>0</v>
      </c>
      <c r="AA397" s="1">
        <f t="shared" si="147"/>
        <v>0</v>
      </c>
      <c r="AB397" s="1">
        <f t="shared" si="148"/>
        <v>0</v>
      </c>
      <c r="AD397" s="1">
        <f t="shared" si="149"/>
        <v>0</v>
      </c>
      <c r="AE397" s="1">
        <f t="shared" si="150"/>
        <v>1</v>
      </c>
      <c r="AF397" s="1">
        <f t="shared" si="169"/>
        <v>0</v>
      </c>
      <c r="AG397" s="1">
        <f t="shared" si="170"/>
        <v>0</v>
      </c>
      <c r="AH397" s="1">
        <f t="shared" si="171"/>
        <v>0</v>
      </c>
      <c r="AI397" s="1">
        <f t="shared" si="172"/>
        <v>0</v>
      </c>
    </row>
    <row r="398" spans="1:35" ht="14.25" customHeight="1" x14ac:dyDescent="0.25">
      <c r="A398" s="34">
        <v>1</v>
      </c>
      <c r="B398" s="34">
        <v>2</v>
      </c>
      <c r="C398" s="34">
        <v>7</v>
      </c>
      <c r="D398" s="35" t="s">
        <v>55</v>
      </c>
      <c r="E398" s="35" t="s">
        <v>28</v>
      </c>
      <c r="F398" s="35" t="s">
        <v>218</v>
      </c>
      <c r="G398" s="35" t="s">
        <v>219</v>
      </c>
      <c r="H398" s="35" t="s">
        <v>355</v>
      </c>
      <c r="I398" s="34" t="s">
        <v>396</v>
      </c>
      <c r="J398" s="34">
        <v>99</v>
      </c>
      <c r="K398" s="36" t="s">
        <v>716</v>
      </c>
      <c r="L398" s="36" t="s">
        <v>717</v>
      </c>
      <c r="M398" s="37" t="s">
        <v>735</v>
      </c>
      <c r="N398" s="37" t="s">
        <v>1768</v>
      </c>
      <c r="O398" s="38">
        <v>1</v>
      </c>
      <c r="P398" s="38"/>
      <c r="Q398" s="35"/>
      <c r="S398" s="1">
        <f t="shared" si="139"/>
        <v>0</v>
      </c>
      <c r="T398" s="1">
        <f t="shared" si="140"/>
        <v>0</v>
      </c>
      <c r="U398" s="1">
        <f t="shared" si="141"/>
        <v>0</v>
      </c>
      <c r="V398" s="1">
        <f t="shared" si="142"/>
        <v>0</v>
      </c>
      <c r="W398" s="1">
        <f t="shared" si="143"/>
        <v>0</v>
      </c>
      <c r="X398" s="1">
        <f t="shared" si="144"/>
        <v>0</v>
      </c>
      <c r="Y398" s="1">
        <f t="shared" si="145"/>
        <v>0</v>
      </c>
      <c r="Z398" s="1">
        <f t="shared" si="146"/>
        <v>0</v>
      </c>
      <c r="AA398" s="1">
        <f t="shared" si="147"/>
        <v>0</v>
      </c>
      <c r="AB398" s="1">
        <f t="shared" si="148"/>
        <v>0</v>
      </c>
      <c r="AD398" s="1">
        <f t="shared" si="149"/>
        <v>0</v>
      </c>
      <c r="AE398" s="1">
        <f t="shared" si="150"/>
        <v>1</v>
      </c>
      <c r="AF398" s="1">
        <f t="shared" si="169"/>
        <v>0</v>
      </c>
      <c r="AG398" s="1">
        <f t="shared" si="170"/>
        <v>0</v>
      </c>
      <c r="AH398" s="1">
        <f t="shared" si="171"/>
        <v>0</v>
      </c>
      <c r="AI398" s="1">
        <f t="shared" si="172"/>
        <v>0</v>
      </c>
    </row>
    <row r="399" spans="1:35" ht="14.25" customHeight="1" x14ac:dyDescent="0.25">
      <c r="A399" s="47">
        <v>0</v>
      </c>
      <c r="B399" s="47">
        <v>2</v>
      </c>
      <c r="C399" s="47">
        <v>7</v>
      </c>
      <c r="D399" s="48" t="s">
        <v>68</v>
      </c>
      <c r="E399" s="48" t="s">
        <v>28</v>
      </c>
      <c r="F399" s="48" t="s">
        <v>254</v>
      </c>
      <c r="G399" s="48" t="s">
        <v>255</v>
      </c>
      <c r="H399" s="48" t="s">
        <v>355</v>
      </c>
      <c r="I399" s="47" t="s">
        <v>415</v>
      </c>
      <c r="J399" s="47">
        <v>99</v>
      </c>
      <c r="K399" s="49" t="s">
        <v>717</v>
      </c>
      <c r="L399" s="49" t="s">
        <v>717</v>
      </c>
      <c r="M399" s="50" t="s">
        <v>735</v>
      </c>
      <c r="N399" s="50" t="s">
        <v>1809</v>
      </c>
      <c r="O399" s="51"/>
      <c r="P399" s="51"/>
      <c r="Q399" s="48"/>
      <c r="S399" s="1">
        <f t="shared" si="139"/>
        <v>0</v>
      </c>
      <c r="T399" s="1">
        <f t="shared" si="140"/>
        <v>0</v>
      </c>
      <c r="U399" s="1">
        <f t="shared" si="141"/>
        <v>0</v>
      </c>
      <c r="V399" s="1">
        <f t="shared" si="142"/>
        <v>0</v>
      </c>
      <c r="W399" s="1">
        <f t="shared" si="143"/>
        <v>0</v>
      </c>
      <c r="X399" s="1">
        <f t="shared" si="144"/>
        <v>0</v>
      </c>
      <c r="Y399" s="1">
        <f t="shared" si="145"/>
        <v>0</v>
      </c>
      <c r="Z399" s="1">
        <f t="shared" si="146"/>
        <v>0</v>
      </c>
      <c r="AA399" s="1">
        <f t="shared" si="147"/>
        <v>0</v>
      </c>
      <c r="AB399" s="1">
        <f t="shared" si="148"/>
        <v>0</v>
      </c>
      <c r="AD399" s="1">
        <f t="shared" si="149"/>
        <v>0</v>
      </c>
      <c r="AE399" s="1">
        <f t="shared" si="150"/>
        <v>0</v>
      </c>
      <c r="AF399" s="1">
        <f t="shared" si="169"/>
        <v>0</v>
      </c>
      <c r="AG399" s="1">
        <f t="shared" si="170"/>
        <v>0</v>
      </c>
      <c r="AH399" s="1">
        <f t="shared" si="171"/>
        <v>0</v>
      </c>
      <c r="AI399" s="1">
        <f t="shared" si="172"/>
        <v>1</v>
      </c>
    </row>
    <row r="400" spans="1:35" ht="14.25" customHeight="1" x14ac:dyDescent="0.25">
      <c r="A400" s="15">
        <v>0</v>
      </c>
      <c r="B400" s="15">
        <v>2</v>
      </c>
      <c r="C400" s="15">
        <v>7</v>
      </c>
      <c r="D400" s="16" t="s">
        <v>69</v>
      </c>
      <c r="E400" s="16" t="s">
        <v>28</v>
      </c>
      <c r="F400" s="16" t="s">
        <v>256</v>
      </c>
      <c r="G400" s="16" t="s">
        <v>208</v>
      </c>
      <c r="H400" s="16" t="s">
        <v>355</v>
      </c>
      <c r="I400" s="15" t="s">
        <v>416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Q400" s="16"/>
      <c r="S400" s="1">
        <f t="shared" ref="S400:S466" si="173">IF(J400=$S$7,1,0)</f>
        <v>0</v>
      </c>
      <c r="T400" s="1">
        <f t="shared" ref="T400:T466" si="174">IF(J400=$T$7,1,0)</f>
        <v>0</v>
      </c>
      <c r="U400" s="1">
        <f t="shared" ref="U400:U466" si="175">IF(J400=$U$7,1,0)</f>
        <v>0</v>
      </c>
      <c r="V400" s="1">
        <f t="shared" ref="V400:V466" si="176">IF(J400=$V$7,1,0)</f>
        <v>0</v>
      </c>
      <c r="W400" s="1">
        <f t="shared" ref="W400:W466" si="177">IF(J400=$W$7,1,0)</f>
        <v>0</v>
      </c>
      <c r="X400" s="1">
        <f t="shared" ref="X400:X466" si="178">IF(J400=$X$7,1,0)</f>
        <v>0</v>
      </c>
      <c r="Y400" s="1">
        <f t="shared" ref="Y400:Y466" si="179">IF(J400=$Y$7,1,0)</f>
        <v>0</v>
      </c>
      <c r="Z400" s="1">
        <f t="shared" ref="Z400:Z466" si="180">IF(J400=$Z$7,1,0)</f>
        <v>0</v>
      </c>
      <c r="AA400" s="1">
        <f t="shared" ref="AA400:AA466" si="181">IF(J400=$AA$7,1,0)</f>
        <v>0</v>
      </c>
      <c r="AB400" s="1">
        <f t="shared" ref="AB400:AB466" si="182">IF(J400=$AB$7,1,0)</f>
        <v>0</v>
      </c>
      <c r="AD400" s="1">
        <f t="shared" ref="AD400:AD466" si="183">+O400*P400</f>
        <v>0</v>
      </c>
      <c r="AE400" s="1">
        <f t="shared" ref="AE400:AE466" si="184">O400*(1-P400)</f>
        <v>0</v>
      </c>
      <c r="AF400" s="1">
        <f t="shared" si="169"/>
        <v>0</v>
      </c>
      <c r="AG400" s="1">
        <f t="shared" si="170"/>
        <v>0</v>
      </c>
      <c r="AH400" s="1">
        <f t="shared" si="171"/>
        <v>0</v>
      </c>
      <c r="AI400" s="1">
        <f t="shared" si="172"/>
        <v>1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20" t="s">
        <v>1881</v>
      </c>
      <c r="G401" s="16" t="s">
        <v>257</v>
      </c>
      <c r="H401" s="16" t="s">
        <v>355</v>
      </c>
      <c r="I401" s="15" t="s">
        <v>417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Q401" s="16"/>
      <c r="S401" s="1">
        <f t="shared" si="173"/>
        <v>0</v>
      </c>
      <c r="T401" s="1">
        <f t="shared" si="174"/>
        <v>0</v>
      </c>
      <c r="U401" s="1">
        <f t="shared" si="175"/>
        <v>0</v>
      </c>
      <c r="V401" s="1">
        <f t="shared" si="176"/>
        <v>0</v>
      </c>
      <c r="W401" s="1">
        <f t="shared" si="177"/>
        <v>0</v>
      </c>
      <c r="X401" s="1">
        <f t="shared" si="178"/>
        <v>0</v>
      </c>
      <c r="Y401" s="1">
        <f t="shared" si="179"/>
        <v>0</v>
      </c>
      <c r="Z401" s="1">
        <f t="shared" si="180"/>
        <v>0</v>
      </c>
      <c r="AA401" s="1">
        <f t="shared" si="181"/>
        <v>0</v>
      </c>
      <c r="AB401" s="1">
        <f t="shared" si="182"/>
        <v>0</v>
      </c>
      <c r="AD401" s="1">
        <f t="shared" si="183"/>
        <v>0</v>
      </c>
      <c r="AE401" s="1">
        <f t="shared" si="184"/>
        <v>0</v>
      </c>
      <c r="AF401" s="1">
        <f t="shared" si="169"/>
        <v>0</v>
      </c>
      <c r="AG401" s="1">
        <f t="shared" si="170"/>
        <v>0</v>
      </c>
      <c r="AH401" s="1">
        <f t="shared" si="171"/>
        <v>0</v>
      </c>
      <c r="AI401" s="1">
        <f t="shared" si="172"/>
        <v>0</v>
      </c>
    </row>
    <row r="402" spans="1:35" ht="14.25" customHeight="1" x14ac:dyDescent="0.25">
      <c r="A402" s="15">
        <v>1</v>
      </c>
      <c r="B402" s="15">
        <v>2</v>
      </c>
      <c r="C402" s="15">
        <v>7</v>
      </c>
      <c r="D402" s="16" t="s">
        <v>69</v>
      </c>
      <c r="E402" s="16" t="s">
        <v>28</v>
      </c>
      <c r="F402" s="16" t="s">
        <v>572</v>
      </c>
      <c r="G402" s="16" t="s">
        <v>573</v>
      </c>
      <c r="H402" s="16" t="s">
        <v>355</v>
      </c>
      <c r="I402" s="15" t="s">
        <v>582</v>
      </c>
      <c r="J402" s="15">
        <v>99</v>
      </c>
      <c r="K402" s="10" t="s">
        <v>959</v>
      </c>
      <c r="L402" s="10" t="s">
        <v>717</v>
      </c>
      <c r="M402" s="19" t="s">
        <v>735</v>
      </c>
      <c r="N402" s="17"/>
      <c r="Q402" s="16"/>
      <c r="S402" s="1">
        <f t="shared" si="173"/>
        <v>0</v>
      </c>
      <c r="T402" s="1">
        <f t="shared" si="174"/>
        <v>0</v>
      </c>
      <c r="U402" s="1">
        <f t="shared" si="175"/>
        <v>0</v>
      </c>
      <c r="V402" s="1">
        <f t="shared" si="176"/>
        <v>0</v>
      </c>
      <c r="W402" s="1">
        <f t="shared" si="177"/>
        <v>0</v>
      </c>
      <c r="X402" s="1">
        <f t="shared" si="178"/>
        <v>0</v>
      </c>
      <c r="Y402" s="1">
        <f t="shared" si="179"/>
        <v>0</v>
      </c>
      <c r="Z402" s="1">
        <f t="shared" si="180"/>
        <v>0</v>
      </c>
      <c r="AA402" s="1">
        <f t="shared" si="181"/>
        <v>0</v>
      </c>
      <c r="AB402" s="1">
        <f t="shared" si="182"/>
        <v>0</v>
      </c>
      <c r="AD402" s="1">
        <f t="shared" si="183"/>
        <v>0</v>
      </c>
      <c r="AE402" s="1">
        <f t="shared" si="184"/>
        <v>0</v>
      </c>
      <c r="AF402" s="1">
        <f t="shared" si="169"/>
        <v>0</v>
      </c>
      <c r="AG402" s="1">
        <f t="shared" si="170"/>
        <v>0</v>
      </c>
      <c r="AH402" s="1">
        <f t="shared" si="171"/>
        <v>0</v>
      </c>
      <c r="AI402" s="1">
        <f t="shared" si="172"/>
        <v>0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71</v>
      </c>
      <c r="E403" s="48" t="s">
        <v>28</v>
      </c>
      <c r="F403" s="48" t="s">
        <v>1356</v>
      </c>
      <c r="G403" s="48" t="s">
        <v>260</v>
      </c>
      <c r="H403" s="48" t="s">
        <v>355</v>
      </c>
      <c r="I403" s="47" t="s">
        <v>419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1809</v>
      </c>
      <c r="O403" s="51"/>
      <c r="P403" s="51"/>
      <c r="Q403" s="48"/>
      <c r="S403" s="1">
        <f t="shared" si="173"/>
        <v>0</v>
      </c>
      <c r="T403" s="1">
        <f t="shared" si="174"/>
        <v>0</v>
      </c>
      <c r="U403" s="1">
        <f t="shared" si="175"/>
        <v>0</v>
      </c>
      <c r="V403" s="1">
        <f t="shared" si="176"/>
        <v>0</v>
      </c>
      <c r="W403" s="1">
        <f t="shared" si="177"/>
        <v>0</v>
      </c>
      <c r="X403" s="1">
        <f t="shared" si="178"/>
        <v>0</v>
      </c>
      <c r="Y403" s="1">
        <f t="shared" si="179"/>
        <v>0</v>
      </c>
      <c r="Z403" s="1">
        <f t="shared" si="180"/>
        <v>0</v>
      </c>
      <c r="AA403" s="1">
        <f t="shared" si="181"/>
        <v>0</v>
      </c>
      <c r="AB403" s="1">
        <f t="shared" si="182"/>
        <v>0</v>
      </c>
      <c r="AD403" s="1">
        <f t="shared" si="183"/>
        <v>0</v>
      </c>
      <c r="AE403" s="1">
        <f t="shared" si="184"/>
        <v>0</v>
      </c>
      <c r="AF403" s="1">
        <f t="shared" si="169"/>
        <v>0</v>
      </c>
      <c r="AG403" s="1">
        <f t="shared" si="170"/>
        <v>0</v>
      </c>
      <c r="AH403" s="1">
        <f t="shared" si="171"/>
        <v>0</v>
      </c>
      <c r="AI403" s="1">
        <f t="shared" si="172"/>
        <v>1</v>
      </c>
    </row>
    <row r="404" spans="1:35" ht="14.25" customHeight="1" x14ac:dyDescent="0.25">
      <c r="A404" s="47">
        <v>0</v>
      </c>
      <c r="B404" s="47">
        <v>2</v>
      </c>
      <c r="C404" s="47">
        <v>7</v>
      </c>
      <c r="D404" s="48" t="s">
        <v>1066</v>
      </c>
      <c r="E404" s="48" t="s">
        <v>28</v>
      </c>
      <c r="F404" s="48" t="s">
        <v>1067</v>
      </c>
      <c r="G404" s="48" t="s">
        <v>1068</v>
      </c>
      <c r="H404" s="48" t="s">
        <v>355</v>
      </c>
      <c r="I404" s="47" t="s">
        <v>1069</v>
      </c>
      <c r="J404" s="47">
        <v>99</v>
      </c>
      <c r="K404" s="49" t="s">
        <v>717</v>
      </c>
      <c r="L404" s="49" t="s">
        <v>717</v>
      </c>
      <c r="M404" s="50" t="s">
        <v>735</v>
      </c>
      <c r="N404" s="50" t="s">
        <v>1809</v>
      </c>
      <c r="O404" s="51"/>
      <c r="P404" s="51"/>
      <c r="Q404" s="48"/>
      <c r="S404" s="1">
        <f t="shared" si="173"/>
        <v>0</v>
      </c>
      <c r="T404" s="1">
        <f t="shared" si="174"/>
        <v>0</v>
      </c>
      <c r="U404" s="1">
        <f t="shared" si="175"/>
        <v>0</v>
      </c>
      <c r="V404" s="1">
        <f t="shared" si="176"/>
        <v>0</v>
      </c>
      <c r="W404" s="1">
        <f t="shared" si="177"/>
        <v>0</v>
      </c>
      <c r="X404" s="1">
        <f t="shared" si="178"/>
        <v>0</v>
      </c>
      <c r="Y404" s="1">
        <f t="shared" si="179"/>
        <v>0</v>
      </c>
      <c r="Z404" s="1">
        <f t="shared" si="180"/>
        <v>0</v>
      </c>
      <c r="AA404" s="1">
        <f t="shared" si="181"/>
        <v>0</v>
      </c>
      <c r="AB404" s="1">
        <f t="shared" si="182"/>
        <v>0</v>
      </c>
      <c r="AD404" s="1">
        <f t="shared" si="183"/>
        <v>0</v>
      </c>
      <c r="AE404" s="1">
        <f t="shared" si="184"/>
        <v>0</v>
      </c>
      <c r="AF404" s="1">
        <f t="shared" si="169"/>
        <v>0</v>
      </c>
      <c r="AG404" s="1">
        <f t="shared" si="170"/>
        <v>0</v>
      </c>
      <c r="AH404" s="1">
        <f t="shared" si="171"/>
        <v>0</v>
      </c>
      <c r="AI404" s="1">
        <f t="shared" si="172"/>
        <v>1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1813</v>
      </c>
      <c r="E405" s="35" t="s">
        <v>157</v>
      </c>
      <c r="F405" s="35" t="s">
        <v>1814</v>
      </c>
      <c r="G405" s="35"/>
      <c r="H405" s="35" t="s">
        <v>355</v>
      </c>
      <c r="I405" s="34" t="s">
        <v>1815</v>
      </c>
      <c r="J405" s="34">
        <v>99</v>
      </c>
      <c r="K405" s="36" t="s">
        <v>707</v>
      </c>
      <c r="L405" s="36"/>
      <c r="M405" s="37"/>
      <c r="N405" s="37" t="s">
        <v>1734</v>
      </c>
      <c r="O405" s="38">
        <v>1</v>
      </c>
      <c r="P405" s="38">
        <v>1</v>
      </c>
      <c r="Q405" s="35"/>
      <c r="S405" s="1">
        <f t="shared" si="173"/>
        <v>0</v>
      </c>
      <c r="T405" s="1">
        <f t="shared" si="174"/>
        <v>0</v>
      </c>
      <c r="U405" s="1">
        <f t="shared" si="175"/>
        <v>0</v>
      </c>
      <c r="V405" s="1">
        <f t="shared" si="176"/>
        <v>0</v>
      </c>
      <c r="W405" s="1">
        <f t="shared" si="177"/>
        <v>0</v>
      </c>
      <c r="X405" s="1">
        <f t="shared" si="178"/>
        <v>0</v>
      </c>
      <c r="Y405" s="1">
        <f t="shared" si="179"/>
        <v>0</v>
      </c>
      <c r="Z405" s="1">
        <f t="shared" si="180"/>
        <v>0</v>
      </c>
      <c r="AA405" s="1">
        <f t="shared" si="181"/>
        <v>0</v>
      </c>
      <c r="AB405" s="1">
        <f t="shared" si="182"/>
        <v>0</v>
      </c>
      <c r="AD405" s="1">
        <f t="shared" si="183"/>
        <v>1</v>
      </c>
      <c r="AE405" s="1">
        <f t="shared" si="184"/>
        <v>0</v>
      </c>
      <c r="AF405" s="1">
        <f t="shared" si="169"/>
        <v>1</v>
      </c>
      <c r="AG405" s="1">
        <f t="shared" si="170"/>
        <v>0</v>
      </c>
      <c r="AH405" s="1">
        <f t="shared" si="171"/>
        <v>1</v>
      </c>
      <c r="AI405" s="1">
        <f t="shared" si="172"/>
        <v>0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1185</v>
      </c>
      <c r="E406" s="35" t="s">
        <v>157</v>
      </c>
      <c r="F406" s="35" t="s">
        <v>1186</v>
      </c>
      <c r="G406" s="35" t="s">
        <v>294</v>
      </c>
      <c r="H406" s="35" t="s">
        <v>355</v>
      </c>
      <c r="I406" s="34" t="s">
        <v>1187</v>
      </c>
      <c r="J406" s="34">
        <v>99</v>
      </c>
      <c r="K406" s="36" t="s">
        <v>717</v>
      </c>
      <c r="L406" s="36" t="s">
        <v>726</v>
      </c>
      <c r="M406" s="37" t="s">
        <v>1441</v>
      </c>
      <c r="N406" s="37" t="s">
        <v>1755</v>
      </c>
      <c r="O406" s="38">
        <v>1</v>
      </c>
      <c r="P406" s="38"/>
      <c r="Q406" s="35"/>
      <c r="S406" s="1">
        <f t="shared" si="173"/>
        <v>0</v>
      </c>
      <c r="T406" s="1">
        <f t="shared" si="174"/>
        <v>0</v>
      </c>
      <c r="U406" s="1">
        <f t="shared" si="175"/>
        <v>0</v>
      </c>
      <c r="V406" s="1">
        <f t="shared" si="176"/>
        <v>0</v>
      </c>
      <c r="W406" s="1">
        <f t="shared" si="177"/>
        <v>0</v>
      </c>
      <c r="X406" s="1">
        <f t="shared" si="178"/>
        <v>0</v>
      </c>
      <c r="Y406" s="1">
        <f t="shared" si="179"/>
        <v>0</v>
      </c>
      <c r="Z406" s="1">
        <f t="shared" si="180"/>
        <v>0</v>
      </c>
      <c r="AA406" s="1">
        <f t="shared" si="181"/>
        <v>0</v>
      </c>
      <c r="AB406" s="1">
        <f t="shared" si="182"/>
        <v>0</v>
      </c>
      <c r="AD406" s="1">
        <f t="shared" si="183"/>
        <v>0</v>
      </c>
      <c r="AE406" s="1">
        <f t="shared" si="184"/>
        <v>1</v>
      </c>
      <c r="AF406" s="1">
        <f t="shared" si="169"/>
        <v>0</v>
      </c>
      <c r="AG406" s="1">
        <f t="shared" si="170"/>
        <v>1</v>
      </c>
      <c r="AH406" s="1">
        <f t="shared" si="171"/>
        <v>0</v>
      </c>
      <c r="AI406" s="1">
        <f t="shared" si="172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1159</v>
      </c>
      <c r="E407" s="35" t="s">
        <v>1160</v>
      </c>
      <c r="F407" s="39" t="s">
        <v>1885</v>
      </c>
      <c r="G407" s="35" t="s">
        <v>630</v>
      </c>
      <c r="H407" s="35" t="s">
        <v>355</v>
      </c>
      <c r="I407" s="34" t="s">
        <v>1161</v>
      </c>
      <c r="J407" s="34">
        <v>99</v>
      </c>
      <c r="K407" s="36" t="s">
        <v>717</v>
      </c>
      <c r="L407" s="36" t="s">
        <v>717</v>
      </c>
      <c r="M407" s="37" t="s">
        <v>735</v>
      </c>
      <c r="N407" s="37" t="s">
        <v>1750</v>
      </c>
      <c r="O407" s="38">
        <v>1</v>
      </c>
      <c r="P407" s="38"/>
      <c r="Q407" s="39" t="s">
        <v>1905</v>
      </c>
      <c r="S407" s="1">
        <f t="shared" si="173"/>
        <v>0</v>
      </c>
      <c r="T407" s="1">
        <f t="shared" si="174"/>
        <v>0</v>
      </c>
      <c r="U407" s="1">
        <f t="shared" si="175"/>
        <v>0</v>
      </c>
      <c r="V407" s="1">
        <f t="shared" si="176"/>
        <v>0</v>
      </c>
      <c r="W407" s="1">
        <f t="shared" si="177"/>
        <v>0</v>
      </c>
      <c r="X407" s="1">
        <f t="shared" si="178"/>
        <v>0</v>
      </c>
      <c r="Y407" s="1">
        <f t="shared" si="179"/>
        <v>0</v>
      </c>
      <c r="Z407" s="1">
        <f t="shared" si="180"/>
        <v>0</v>
      </c>
      <c r="AA407" s="1">
        <f t="shared" si="181"/>
        <v>0</v>
      </c>
      <c r="AB407" s="1">
        <f t="shared" si="182"/>
        <v>0</v>
      </c>
      <c r="AD407" s="1">
        <f t="shared" si="183"/>
        <v>0</v>
      </c>
      <c r="AE407" s="1">
        <f t="shared" si="184"/>
        <v>1</v>
      </c>
      <c r="AF407" s="1">
        <f t="shared" si="169"/>
        <v>0</v>
      </c>
      <c r="AG407" s="1">
        <f t="shared" si="170"/>
        <v>1</v>
      </c>
      <c r="AH407" s="1">
        <f t="shared" si="171"/>
        <v>0</v>
      </c>
      <c r="AI407" s="1">
        <f t="shared" si="172"/>
        <v>1</v>
      </c>
    </row>
    <row r="408" spans="1:35" ht="14.25" customHeight="1" x14ac:dyDescent="0.25">
      <c r="A408" s="34">
        <v>0</v>
      </c>
      <c r="B408" s="34">
        <v>2</v>
      </c>
      <c r="C408" s="34">
        <v>7</v>
      </c>
      <c r="D408" s="35" t="s">
        <v>544</v>
      </c>
      <c r="E408" s="35" t="s">
        <v>159</v>
      </c>
      <c r="F408" s="35" t="s">
        <v>196</v>
      </c>
      <c r="G408" s="35" t="s">
        <v>197</v>
      </c>
      <c r="H408" s="35" t="s">
        <v>355</v>
      </c>
      <c r="I408" s="34" t="s">
        <v>552</v>
      </c>
      <c r="J408" s="34">
        <v>99</v>
      </c>
      <c r="K408" s="36" t="s">
        <v>959</v>
      </c>
      <c r="L408" s="36" t="s">
        <v>700</v>
      </c>
      <c r="M408" s="37" t="s">
        <v>1443</v>
      </c>
      <c r="N408" s="37" t="s">
        <v>1755</v>
      </c>
      <c r="O408" s="38">
        <v>1</v>
      </c>
      <c r="P408" s="38"/>
      <c r="Q408" s="35"/>
      <c r="S408" s="1">
        <f t="shared" si="173"/>
        <v>0</v>
      </c>
      <c r="T408" s="1">
        <f t="shared" si="174"/>
        <v>0</v>
      </c>
      <c r="U408" s="1">
        <f t="shared" si="175"/>
        <v>0</v>
      </c>
      <c r="V408" s="1">
        <f t="shared" si="176"/>
        <v>0</v>
      </c>
      <c r="W408" s="1">
        <f t="shared" si="177"/>
        <v>0</v>
      </c>
      <c r="X408" s="1">
        <f t="shared" si="178"/>
        <v>0</v>
      </c>
      <c r="Y408" s="1">
        <f t="shared" si="179"/>
        <v>0</v>
      </c>
      <c r="Z408" s="1">
        <f t="shared" si="180"/>
        <v>0</v>
      </c>
      <c r="AA408" s="1">
        <f t="shared" si="181"/>
        <v>0</v>
      </c>
      <c r="AB408" s="1">
        <f t="shared" si="182"/>
        <v>0</v>
      </c>
      <c r="AD408" s="1">
        <f t="shared" si="183"/>
        <v>0</v>
      </c>
      <c r="AE408" s="1">
        <f t="shared" si="184"/>
        <v>1</v>
      </c>
      <c r="AF408" s="1">
        <f t="shared" si="169"/>
        <v>0</v>
      </c>
      <c r="AG408" s="1">
        <f t="shared" si="170"/>
        <v>1</v>
      </c>
      <c r="AH408" s="1">
        <f t="shared" si="171"/>
        <v>0</v>
      </c>
      <c r="AI408" s="1">
        <f t="shared" si="172"/>
        <v>1</v>
      </c>
    </row>
    <row r="409" spans="1:35" ht="14.25" customHeight="1" x14ac:dyDescent="0.25">
      <c r="A409" s="15">
        <v>0</v>
      </c>
      <c r="B409" s="15">
        <v>2</v>
      </c>
      <c r="C409" s="15">
        <v>7</v>
      </c>
      <c r="D409" s="16" t="s">
        <v>46</v>
      </c>
      <c r="E409" s="16" t="s">
        <v>157</v>
      </c>
      <c r="F409" s="16" t="s">
        <v>184</v>
      </c>
      <c r="G409" s="16" t="s">
        <v>180</v>
      </c>
      <c r="H409" s="16" t="s">
        <v>355</v>
      </c>
      <c r="I409" s="15" t="s">
        <v>383</v>
      </c>
      <c r="J409" s="15">
        <v>10</v>
      </c>
      <c r="K409" s="10" t="s">
        <v>959</v>
      </c>
      <c r="L409" s="10" t="s">
        <v>726</v>
      </c>
      <c r="M409" s="19" t="s">
        <v>1441</v>
      </c>
      <c r="N409" s="19"/>
      <c r="Q409" s="16"/>
      <c r="S409" s="1">
        <f t="shared" si="173"/>
        <v>0</v>
      </c>
      <c r="T409" s="1">
        <f t="shared" si="174"/>
        <v>0</v>
      </c>
      <c r="U409" s="1">
        <f t="shared" si="175"/>
        <v>0</v>
      </c>
      <c r="V409" s="1">
        <f t="shared" si="176"/>
        <v>0</v>
      </c>
      <c r="W409" s="1">
        <f t="shared" si="177"/>
        <v>0</v>
      </c>
      <c r="X409" s="1">
        <f t="shared" si="178"/>
        <v>0</v>
      </c>
      <c r="Y409" s="1">
        <f t="shared" si="179"/>
        <v>0</v>
      </c>
      <c r="Z409" s="1">
        <f t="shared" si="180"/>
        <v>0</v>
      </c>
      <c r="AA409" s="1">
        <f t="shared" si="181"/>
        <v>0</v>
      </c>
      <c r="AB409" s="1">
        <f t="shared" si="182"/>
        <v>1</v>
      </c>
      <c r="AD409" s="1">
        <f t="shared" si="183"/>
        <v>0</v>
      </c>
      <c r="AE409" s="1">
        <f t="shared" si="184"/>
        <v>0</v>
      </c>
      <c r="AF409" s="1">
        <f t="shared" si="169"/>
        <v>0</v>
      </c>
      <c r="AG409" s="1">
        <f t="shared" si="170"/>
        <v>0</v>
      </c>
      <c r="AH409" s="1">
        <f t="shared" si="171"/>
        <v>0</v>
      </c>
      <c r="AI409" s="1">
        <f t="shared" si="172"/>
        <v>1</v>
      </c>
    </row>
    <row r="410" spans="1:35" ht="14.25" customHeight="1" x14ac:dyDescent="0.25">
      <c r="A410" s="47">
        <v>0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249</v>
      </c>
      <c r="G410" s="48" t="s">
        <v>250</v>
      </c>
      <c r="H410" s="48" t="s">
        <v>355</v>
      </c>
      <c r="I410" s="47" t="s">
        <v>412</v>
      </c>
      <c r="J410" s="47">
        <v>7</v>
      </c>
      <c r="K410" s="49" t="s">
        <v>717</v>
      </c>
      <c r="L410" s="49" t="s">
        <v>717</v>
      </c>
      <c r="M410" s="50" t="s">
        <v>735</v>
      </c>
      <c r="N410" s="50" t="s">
        <v>1741</v>
      </c>
      <c r="O410" s="51"/>
      <c r="P410" s="51"/>
      <c r="Q410" s="48"/>
      <c r="S410" s="1">
        <f t="shared" si="173"/>
        <v>0</v>
      </c>
      <c r="T410" s="1">
        <f t="shared" si="174"/>
        <v>0</v>
      </c>
      <c r="U410" s="1">
        <f t="shared" si="175"/>
        <v>0</v>
      </c>
      <c r="V410" s="1">
        <f t="shared" si="176"/>
        <v>0</v>
      </c>
      <c r="W410" s="1">
        <f t="shared" si="177"/>
        <v>0</v>
      </c>
      <c r="X410" s="1">
        <f t="shared" si="178"/>
        <v>0</v>
      </c>
      <c r="Y410" s="1">
        <f t="shared" si="179"/>
        <v>1</v>
      </c>
      <c r="Z410" s="1">
        <f t="shared" si="180"/>
        <v>0</v>
      </c>
      <c r="AA410" s="1">
        <f t="shared" si="181"/>
        <v>0</v>
      </c>
      <c r="AB410" s="1">
        <f t="shared" si="182"/>
        <v>0</v>
      </c>
      <c r="AD410" s="1">
        <f t="shared" si="183"/>
        <v>0</v>
      </c>
      <c r="AE410" s="1">
        <f t="shared" si="184"/>
        <v>0</v>
      </c>
      <c r="AF410" s="1">
        <f t="shared" si="169"/>
        <v>0</v>
      </c>
      <c r="AG410" s="1">
        <f t="shared" si="170"/>
        <v>0</v>
      </c>
      <c r="AH410" s="1">
        <f t="shared" si="171"/>
        <v>0</v>
      </c>
      <c r="AI410" s="1">
        <f t="shared" si="172"/>
        <v>1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1043</v>
      </c>
      <c r="G411" s="48" t="s">
        <v>541</v>
      </c>
      <c r="H411" s="48" t="s">
        <v>355</v>
      </c>
      <c r="I411" s="47" t="s">
        <v>30</v>
      </c>
      <c r="J411" s="47">
        <v>1</v>
      </c>
      <c r="K411" s="49" t="s">
        <v>717</v>
      </c>
      <c r="L411" s="49" t="s">
        <v>717</v>
      </c>
      <c r="M411" s="50" t="s">
        <v>735</v>
      </c>
      <c r="N411" s="50" t="s">
        <v>1741</v>
      </c>
      <c r="O411" s="51"/>
      <c r="P411" s="51"/>
      <c r="Q411" s="48"/>
      <c r="S411" s="1">
        <f t="shared" si="173"/>
        <v>1</v>
      </c>
      <c r="T411" s="1">
        <f t="shared" si="174"/>
        <v>0</v>
      </c>
      <c r="U411" s="1">
        <f t="shared" si="175"/>
        <v>0</v>
      </c>
      <c r="V411" s="1">
        <f t="shared" si="176"/>
        <v>0</v>
      </c>
      <c r="W411" s="1">
        <f t="shared" si="177"/>
        <v>0</v>
      </c>
      <c r="X411" s="1">
        <f t="shared" si="178"/>
        <v>0</v>
      </c>
      <c r="Y411" s="1">
        <f t="shared" si="179"/>
        <v>0</v>
      </c>
      <c r="Z411" s="1">
        <f t="shared" si="180"/>
        <v>0</v>
      </c>
      <c r="AA411" s="1">
        <f t="shared" si="181"/>
        <v>0</v>
      </c>
      <c r="AB411" s="1">
        <f t="shared" si="182"/>
        <v>0</v>
      </c>
      <c r="AD411" s="1">
        <f t="shared" si="183"/>
        <v>0</v>
      </c>
      <c r="AE411" s="1">
        <f t="shared" si="184"/>
        <v>0</v>
      </c>
      <c r="AF411" s="1">
        <f t="shared" si="169"/>
        <v>0</v>
      </c>
      <c r="AG411" s="1">
        <f t="shared" si="170"/>
        <v>0</v>
      </c>
      <c r="AH411" s="1">
        <f t="shared" si="171"/>
        <v>0</v>
      </c>
      <c r="AI411" s="1">
        <f t="shared" si="172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251</v>
      </c>
      <c r="G412" s="48" t="s">
        <v>201</v>
      </c>
      <c r="H412" s="48" t="s">
        <v>355</v>
      </c>
      <c r="I412" s="47" t="s">
        <v>413</v>
      </c>
      <c r="J412" s="47">
        <v>2</v>
      </c>
      <c r="K412" s="49" t="s">
        <v>717</v>
      </c>
      <c r="L412" s="49" t="s">
        <v>717</v>
      </c>
      <c r="M412" s="50" t="s">
        <v>735</v>
      </c>
      <c r="N412" s="50" t="s">
        <v>1741</v>
      </c>
      <c r="O412" s="51"/>
      <c r="P412" s="51"/>
      <c r="Q412" s="48"/>
      <c r="S412" s="1">
        <f t="shared" si="173"/>
        <v>0</v>
      </c>
      <c r="T412" s="1">
        <f t="shared" si="174"/>
        <v>1</v>
      </c>
      <c r="U412" s="1">
        <f t="shared" si="175"/>
        <v>0</v>
      </c>
      <c r="V412" s="1">
        <f t="shared" si="176"/>
        <v>0</v>
      </c>
      <c r="W412" s="1">
        <f t="shared" si="177"/>
        <v>0</v>
      </c>
      <c r="X412" s="1">
        <f t="shared" si="178"/>
        <v>0</v>
      </c>
      <c r="Y412" s="1">
        <f t="shared" si="179"/>
        <v>0</v>
      </c>
      <c r="Z412" s="1">
        <f t="shared" si="180"/>
        <v>0</v>
      </c>
      <c r="AA412" s="1">
        <f t="shared" si="181"/>
        <v>0</v>
      </c>
      <c r="AB412" s="1">
        <f t="shared" si="182"/>
        <v>0</v>
      </c>
      <c r="AD412" s="1">
        <f t="shared" si="183"/>
        <v>0</v>
      </c>
      <c r="AE412" s="1">
        <f t="shared" si="184"/>
        <v>0</v>
      </c>
      <c r="AF412" s="1">
        <f t="shared" si="169"/>
        <v>0</v>
      </c>
      <c r="AG412" s="1">
        <f t="shared" si="170"/>
        <v>0</v>
      </c>
      <c r="AH412" s="1">
        <f t="shared" si="171"/>
        <v>0</v>
      </c>
      <c r="AI412" s="1">
        <f t="shared" si="172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248</v>
      </c>
      <c r="G413" s="48" t="s">
        <v>1358</v>
      </c>
      <c r="H413" s="48" t="s">
        <v>355</v>
      </c>
      <c r="I413" s="47" t="s">
        <v>30</v>
      </c>
      <c r="J413" s="47">
        <v>1</v>
      </c>
      <c r="K413" s="49" t="s">
        <v>717</v>
      </c>
      <c r="L413" s="49" t="s">
        <v>717</v>
      </c>
      <c r="M413" s="50" t="s">
        <v>735</v>
      </c>
      <c r="N413" s="50" t="s">
        <v>1741</v>
      </c>
      <c r="O413" s="51"/>
      <c r="P413" s="51"/>
      <c r="Q413" s="48" t="s">
        <v>1924</v>
      </c>
      <c r="S413" s="1">
        <f t="shared" si="173"/>
        <v>1</v>
      </c>
      <c r="T413" s="1">
        <f t="shared" si="174"/>
        <v>0</v>
      </c>
      <c r="U413" s="1">
        <f t="shared" si="175"/>
        <v>0</v>
      </c>
      <c r="V413" s="1">
        <f t="shared" si="176"/>
        <v>0</v>
      </c>
      <c r="W413" s="1">
        <f t="shared" si="177"/>
        <v>0</v>
      </c>
      <c r="X413" s="1">
        <f t="shared" si="178"/>
        <v>0</v>
      </c>
      <c r="Y413" s="1">
        <f t="shared" si="179"/>
        <v>0</v>
      </c>
      <c r="Z413" s="1">
        <f t="shared" si="180"/>
        <v>0</v>
      </c>
      <c r="AA413" s="1">
        <f t="shared" si="181"/>
        <v>0</v>
      </c>
      <c r="AB413" s="1">
        <f t="shared" si="182"/>
        <v>0</v>
      </c>
      <c r="AD413" s="1">
        <f t="shared" si="183"/>
        <v>0</v>
      </c>
      <c r="AE413" s="1">
        <f t="shared" si="184"/>
        <v>0</v>
      </c>
      <c r="AF413" s="1">
        <f t="shared" si="169"/>
        <v>0</v>
      </c>
      <c r="AG413" s="1">
        <f t="shared" si="170"/>
        <v>0</v>
      </c>
      <c r="AH413" s="1">
        <f t="shared" si="171"/>
        <v>0</v>
      </c>
      <c r="AI413" s="1">
        <f t="shared" si="172"/>
        <v>0</v>
      </c>
    </row>
    <row r="414" spans="1:35" ht="14.25" customHeight="1" x14ac:dyDescent="0.25">
      <c r="A414" s="47">
        <v>1</v>
      </c>
      <c r="B414" s="47">
        <v>2</v>
      </c>
      <c r="C414" s="47">
        <v>7</v>
      </c>
      <c r="D414" s="48" t="s">
        <v>67</v>
      </c>
      <c r="E414" s="48" t="s">
        <v>28</v>
      </c>
      <c r="F414" s="48" t="s">
        <v>253</v>
      </c>
      <c r="G414" s="48" t="s">
        <v>195</v>
      </c>
      <c r="H414" s="48" t="s">
        <v>355</v>
      </c>
      <c r="I414" s="47" t="s">
        <v>414</v>
      </c>
      <c r="J414" s="47">
        <v>9</v>
      </c>
      <c r="K414" s="49" t="s">
        <v>717</v>
      </c>
      <c r="L414" s="49" t="s">
        <v>717</v>
      </c>
      <c r="M414" s="50" t="s">
        <v>735</v>
      </c>
      <c r="N414" s="50" t="s">
        <v>1741</v>
      </c>
      <c r="O414" s="51"/>
      <c r="P414" s="51"/>
      <c r="Q414" s="48"/>
      <c r="S414" s="1">
        <f t="shared" si="173"/>
        <v>0</v>
      </c>
      <c r="T414" s="1">
        <f t="shared" si="174"/>
        <v>0</v>
      </c>
      <c r="U414" s="1">
        <f t="shared" si="175"/>
        <v>0</v>
      </c>
      <c r="V414" s="1">
        <f t="shared" si="176"/>
        <v>0</v>
      </c>
      <c r="W414" s="1">
        <f t="shared" si="177"/>
        <v>0</v>
      </c>
      <c r="X414" s="1">
        <f t="shared" si="178"/>
        <v>0</v>
      </c>
      <c r="Y414" s="1">
        <f t="shared" si="179"/>
        <v>0</v>
      </c>
      <c r="Z414" s="1">
        <f t="shared" si="180"/>
        <v>0</v>
      </c>
      <c r="AA414" s="1">
        <f t="shared" si="181"/>
        <v>1</v>
      </c>
      <c r="AB414" s="1">
        <f t="shared" si="182"/>
        <v>0</v>
      </c>
      <c r="AD414" s="1">
        <f t="shared" si="183"/>
        <v>0</v>
      </c>
      <c r="AE414" s="1">
        <f t="shared" si="184"/>
        <v>0</v>
      </c>
      <c r="AF414" s="1">
        <f t="shared" si="169"/>
        <v>0</v>
      </c>
      <c r="AG414" s="1">
        <f t="shared" si="170"/>
        <v>0</v>
      </c>
      <c r="AH414" s="1">
        <f t="shared" si="171"/>
        <v>0</v>
      </c>
      <c r="AI414" s="1">
        <f t="shared" si="172"/>
        <v>0</v>
      </c>
    </row>
    <row r="415" spans="1:35" ht="14.25" customHeight="1" x14ac:dyDescent="0.25">
      <c r="A415" s="47">
        <v>0</v>
      </c>
      <c r="B415" s="47">
        <v>2</v>
      </c>
      <c r="C415" s="47">
        <v>7</v>
      </c>
      <c r="D415" s="48" t="s">
        <v>1027</v>
      </c>
      <c r="E415" s="48" t="s">
        <v>28</v>
      </c>
      <c r="F415" s="48" t="s">
        <v>1028</v>
      </c>
      <c r="G415" s="48" t="s">
        <v>195</v>
      </c>
      <c r="H415" s="48" t="s">
        <v>355</v>
      </c>
      <c r="I415" s="47" t="s">
        <v>1029</v>
      </c>
      <c r="J415" s="47">
        <v>9</v>
      </c>
      <c r="K415" s="49" t="s">
        <v>716</v>
      </c>
      <c r="L415" s="49" t="s">
        <v>717</v>
      </c>
      <c r="M415" s="50" t="s">
        <v>735</v>
      </c>
      <c r="N415" s="50" t="s">
        <v>1742</v>
      </c>
      <c r="O415" s="51"/>
      <c r="P415" s="51"/>
      <c r="Q415" s="48"/>
      <c r="S415" s="1">
        <f t="shared" si="173"/>
        <v>0</v>
      </c>
      <c r="T415" s="1">
        <f t="shared" si="174"/>
        <v>0</v>
      </c>
      <c r="U415" s="1">
        <f t="shared" si="175"/>
        <v>0</v>
      </c>
      <c r="V415" s="1">
        <f t="shared" si="176"/>
        <v>0</v>
      </c>
      <c r="W415" s="1">
        <f t="shared" si="177"/>
        <v>0</v>
      </c>
      <c r="X415" s="1">
        <f t="shared" si="178"/>
        <v>0</v>
      </c>
      <c r="Y415" s="1">
        <f t="shared" si="179"/>
        <v>0</v>
      </c>
      <c r="Z415" s="1">
        <f t="shared" si="180"/>
        <v>0</v>
      </c>
      <c r="AA415" s="1">
        <f t="shared" si="181"/>
        <v>1</v>
      </c>
      <c r="AB415" s="1">
        <f t="shared" si="182"/>
        <v>0</v>
      </c>
      <c r="AD415" s="1">
        <f t="shared" si="183"/>
        <v>0</v>
      </c>
      <c r="AE415" s="1">
        <f t="shared" si="184"/>
        <v>0</v>
      </c>
      <c r="AF415" s="1">
        <f t="shared" si="169"/>
        <v>0</v>
      </c>
      <c r="AG415" s="1">
        <f t="shared" si="170"/>
        <v>0</v>
      </c>
      <c r="AH415" s="1">
        <f t="shared" si="171"/>
        <v>0</v>
      </c>
      <c r="AI415" s="1">
        <f t="shared" si="172"/>
        <v>1</v>
      </c>
    </row>
    <row r="416" spans="1:35" ht="14.25" customHeight="1" x14ac:dyDescent="0.25">
      <c r="A416" s="34">
        <v>0</v>
      </c>
      <c r="B416" s="34">
        <v>2</v>
      </c>
      <c r="C416" s="34">
        <v>7</v>
      </c>
      <c r="D416" s="35" t="s">
        <v>1840</v>
      </c>
      <c r="E416" s="35" t="s">
        <v>1841</v>
      </c>
      <c r="F416" s="35" t="s">
        <v>1842</v>
      </c>
      <c r="G416" s="35" t="s">
        <v>208</v>
      </c>
      <c r="H416" s="35" t="s">
        <v>355</v>
      </c>
      <c r="I416" s="34" t="s">
        <v>30</v>
      </c>
      <c r="J416" s="34"/>
      <c r="K416" s="36" t="s">
        <v>707</v>
      </c>
      <c r="L416" s="36">
        <v>20</v>
      </c>
      <c r="M416" s="37" t="s">
        <v>1843</v>
      </c>
      <c r="N416" s="37" t="s">
        <v>1750</v>
      </c>
      <c r="O416" s="38">
        <v>1</v>
      </c>
      <c r="P416" s="38"/>
      <c r="Q416" s="35"/>
      <c r="S416" s="1">
        <f t="shared" si="173"/>
        <v>0</v>
      </c>
      <c r="T416" s="1">
        <f t="shared" si="174"/>
        <v>0</v>
      </c>
      <c r="U416" s="1">
        <f t="shared" si="175"/>
        <v>0</v>
      </c>
      <c r="V416" s="1">
        <f t="shared" si="176"/>
        <v>0</v>
      </c>
      <c r="W416" s="1">
        <f t="shared" si="177"/>
        <v>0</v>
      </c>
      <c r="X416" s="1">
        <f t="shared" si="178"/>
        <v>0</v>
      </c>
      <c r="Y416" s="1">
        <f t="shared" si="179"/>
        <v>0</v>
      </c>
      <c r="Z416" s="1">
        <f t="shared" si="180"/>
        <v>0</v>
      </c>
      <c r="AA416" s="1">
        <f t="shared" si="181"/>
        <v>0</v>
      </c>
      <c r="AB416" s="1">
        <f t="shared" si="182"/>
        <v>0</v>
      </c>
      <c r="AD416" s="1">
        <f t="shared" si="183"/>
        <v>0</v>
      </c>
      <c r="AE416" s="1">
        <f t="shared" si="184"/>
        <v>1</v>
      </c>
      <c r="AF416" s="1">
        <f t="shared" si="169"/>
        <v>0</v>
      </c>
      <c r="AG416" s="1">
        <f t="shared" si="170"/>
        <v>1</v>
      </c>
      <c r="AH416" s="1">
        <f t="shared" si="171"/>
        <v>0</v>
      </c>
      <c r="AI416" s="1">
        <f t="shared" si="172"/>
        <v>1</v>
      </c>
    </row>
    <row r="417" spans="1:35" ht="14.25" customHeight="1" x14ac:dyDescent="0.25">
      <c r="A417" s="52">
        <v>0</v>
      </c>
      <c r="B417" s="52">
        <v>2</v>
      </c>
      <c r="C417" s="52">
        <v>7</v>
      </c>
      <c r="D417" s="53" t="s">
        <v>1083</v>
      </c>
      <c r="E417" s="53" t="s">
        <v>546</v>
      </c>
      <c r="F417" s="53" t="s">
        <v>1064</v>
      </c>
      <c r="G417" s="53" t="s">
        <v>239</v>
      </c>
      <c r="H417" s="53" t="s">
        <v>355</v>
      </c>
      <c r="I417" s="52" t="s">
        <v>1065</v>
      </c>
      <c r="J417" s="52">
        <v>99</v>
      </c>
      <c r="K417" s="54" t="s">
        <v>959</v>
      </c>
      <c r="L417" s="54" t="s">
        <v>726</v>
      </c>
      <c r="M417" s="55" t="s">
        <v>1444</v>
      </c>
      <c r="N417" s="55" t="s">
        <v>1750</v>
      </c>
      <c r="O417" s="56">
        <v>1</v>
      </c>
      <c r="P417" s="56"/>
      <c r="Q417" s="53"/>
      <c r="S417" s="1">
        <f t="shared" ref="S417:S421" si="185">IF(J417=$S$7,1,0)</f>
        <v>0</v>
      </c>
      <c r="T417" s="1">
        <f t="shared" ref="T417:T421" si="186">IF(J417=$T$7,1,0)</f>
        <v>0</v>
      </c>
      <c r="U417" s="1">
        <f t="shared" ref="U417:U421" si="187">IF(J417=$U$7,1,0)</f>
        <v>0</v>
      </c>
      <c r="V417" s="1">
        <f t="shared" ref="V417:V421" si="188">IF(J417=$V$7,1,0)</f>
        <v>0</v>
      </c>
      <c r="W417" s="1">
        <f t="shared" ref="W417:W421" si="189">IF(J417=$W$7,1,0)</f>
        <v>0</v>
      </c>
      <c r="X417" s="1">
        <f t="shared" ref="X417:X421" si="190">IF(J417=$X$7,1,0)</f>
        <v>0</v>
      </c>
      <c r="Y417" s="1">
        <f t="shared" ref="Y417:Y421" si="191">IF(J417=$Y$7,1,0)</f>
        <v>0</v>
      </c>
      <c r="Z417" s="1">
        <f t="shared" ref="Z417:Z421" si="192">IF(J417=$Z$7,1,0)</f>
        <v>0</v>
      </c>
      <c r="AA417" s="1">
        <f t="shared" ref="AA417:AA421" si="193">IF(J417=$AA$7,1,0)</f>
        <v>0</v>
      </c>
      <c r="AB417" s="1">
        <f t="shared" ref="AB417:AB421" si="194">IF(J417=$AB$7,1,0)</f>
        <v>0</v>
      </c>
      <c r="AD417" s="1">
        <f t="shared" ref="AD417:AD421" si="195">+O417*P417</f>
        <v>0</v>
      </c>
      <c r="AE417" s="1">
        <f t="shared" ref="AE417:AE421" si="196">O417*(1-P417)</f>
        <v>1</v>
      </c>
      <c r="AF417" s="1">
        <f t="shared" ref="AF417:AF421" si="197">+O417*P417*(1-A417)</f>
        <v>0</v>
      </c>
      <c r="AG417" s="1">
        <f t="shared" ref="AG417:AG421" si="198">O417*(1-P417)*(1-A417)</f>
        <v>1</v>
      </c>
      <c r="AH417" s="1">
        <f t="shared" ref="AH417:AH421" si="199">+P417*(1-A417)</f>
        <v>0</v>
      </c>
      <c r="AI417" s="1">
        <f t="shared" ref="AI417:AI421" si="200">+(1-A417)*(1-P417)</f>
        <v>1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1233</v>
      </c>
      <c r="E418" s="35" t="s">
        <v>157</v>
      </c>
      <c r="F418" s="35" t="s">
        <v>1234</v>
      </c>
      <c r="G418" s="35" t="s">
        <v>252</v>
      </c>
      <c r="H418" s="35" t="s">
        <v>355</v>
      </c>
      <c r="I418" s="34" t="s">
        <v>1235</v>
      </c>
      <c r="J418" s="34">
        <v>99</v>
      </c>
      <c r="K418" s="36" t="s">
        <v>717</v>
      </c>
      <c r="L418" s="36">
        <v>10</v>
      </c>
      <c r="M418" s="37" t="s">
        <v>1753</v>
      </c>
      <c r="N418" s="37" t="s">
        <v>1734</v>
      </c>
      <c r="O418" s="38">
        <v>1</v>
      </c>
      <c r="P418" s="38">
        <v>1</v>
      </c>
      <c r="Q418" s="35"/>
      <c r="S418" s="1">
        <f t="shared" si="185"/>
        <v>0</v>
      </c>
      <c r="T418" s="1">
        <f t="shared" si="186"/>
        <v>0</v>
      </c>
      <c r="U418" s="1">
        <f t="shared" si="187"/>
        <v>0</v>
      </c>
      <c r="V418" s="1">
        <f t="shared" si="188"/>
        <v>0</v>
      </c>
      <c r="W418" s="1">
        <f t="shared" si="189"/>
        <v>0</v>
      </c>
      <c r="X418" s="1">
        <f t="shared" si="190"/>
        <v>0</v>
      </c>
      <c r="Y418" s="1">
        <f t="shared" si="191"/>
        <v>0</v>
      </c>
      <c r="Z418" s="1">
        <f t="shared" si="192"/>
        <v>0</v>
      </c>
      <c r="AA418" s="1">
        <f t="shared" si="193"/>
        <v>0</v>
      </c>
      <c r="AB418" s="1">
        <f t="shared" si="194"/>
        <v>0</v>
      </c>
      <c r="AD418" s="1">
        <f t="shared" si="195"/>
        <v>1</v>
      </c>
      <c r="AE418" s="1">
        <f t="shared" si="196"/>
        <v>0</v>
      </c>
      <c r="AF418" s="1">
        <f t="shared" si="197"/>
        <v>1</v>
      </c>
      <c r="AG418" s="1">
        <f t="shared" si="198"/>
        <v>0</v>
      </c>
      <c r="AH418" s="1">
        <f t="shared" si="199"/>
        <v>1</v>
      </c>
      <c r="AI418" s="1">
        <f t="shared" si="200"/>
        <v>0</v>
      </c>
    </row>
    <row r="419" spans="1:35" ht="14.25" customHeight="1" x14ac:dyDescent="0.25">
      <c r="A419" s="34">
        <v>0</v>
      </c>
      <c r="B419" s="34">
        <v>2</v>
      </c>
      <c r="C419" s="34">
        <v>7</v>
      </c>
      <c r="D419" s="39" t="s">
        <v>1810</v>
      </c>
      <c r="E419" s="39" t="s">
        <v>28</v>
      </c>
      <c r="F419" s="39" t="s">
        <v>1811</v>
      </c>
      <c r="G419" s="39" t="s">
        <v>181</v>
      </c>
      <c r="H419" s="39" t="s">
        <v>355</v>
      </c>
      <c r="I419" s="40" t="s">
        <v>1812</v>
      </c>
      <c r="J419" s="34">
        <v>10</v>
      </c>
      <c r="K419" s="36" t="s">
        <v>707</v>
      </c>
      <c r="L419" s="36">
        <v>10</v>
      </c>
      <c r="M419" s="37"/>
      <c r="N419" s="37" t="s">
        <v>1734</v>
      </c>
      <c r="O419" s="38">
        <v>1</v>
      </c>
      <c r="P419" s="38">
        <v>1</v>
      </c>
      <c r="Q419" s="39"/>
      <c r="S419" s="1">
        <f t="shared" si="185"/>
        <v>0</v>
      </c>
      <c r="T419" s="1">
        <f t="shared" si="186"/>
        <v>0</v>
      </c>
      <c r="U419" s="1">
        <f t="shared" si="187"/>
        <v>0</v>
      </c>
      <c r="V419" s="1">
        <f t="shared" si="188"/>
        <v>0</v>
      </c>
      <c r="W419" s="1">
        <f t="shared" si="189"/>
        <v>0</v>
      </c>
      <c r="X419" s="1">
        <f t="shared" si="190"/>
        <v>0</v>
      </c>
      <c r="Y419" s="1">
        <f t="shared" si="191"/>
        <v>0</v>
      </c>
      <c r="Z419" s="1">
        <f t="shared" si="192"/>
        <v>0</v>
      </c>
      <c r="AA419" s="1">
        <f t="shared" si="193"/>
        <v>0</v>
      </c>
      <c r="AB419" s="1">
        <f t="shared" si="194"/>
        <v>1</v>
      </c>
      <c r="AD419" s="1">
        <f t="shared" si="195"/>
        <v>1</v>
      </c>
      <c r="AE419" s="1">
        <f t="shared" si="196"/>
        <v>0</v>
      </c>
      <c r="AF419" s="1">
        <f t="shared" si="197"/>
        <v>1</v>
      </c>
      <c r="AG419" s="1">
        <f t="shared" si="198"/>
        <v>0</v>
      </c>
      <c r="AH419" s="1">
        <f t="shared" si="199"/>
        <v>1</v>
      </c>
      <c r="AI419" s="1">
        <f t="shared" si="200"/>
        <v>0</v>
      </c>
    </row>
    <row r="420" spans="1:35" ht="14.25" customHeight="1" x14ac:dyDescent="0.25">
      <c r="A420" s="40">
        <v>0</v>
      </c>
      <c r="B420" s="40">
        <v>2</v>
      </c>
      <c r="C420" s="40">
        <v>7</v>
      </c>
      <c r="D420" s="39" t="s">
        <v>1592</v>
      </c>
      <c r="E420" s="39" t="s">
        <v>1658</v>
      </c>
      <c r="F420" s="39" t="s">
        <v>1593</v>
      </c>
      <c r="G420" s="39" t="s">
        <v>659</v>
      </c>
      <c r="H420" s="39" t="s">
        <v>355</v>
      </c>
      <c r="I420" s="40" t="s">
        <v>1594</v>
      </c>
      <c r="J420" s="40">
        <v>99</v>
      </c>
      <c r="K420" s="36" t="s">
        <v>717</v>
      </c>
      <c r="L420" s="36" t="s">
        <v>39</v>
      </c>
      <c r="M420" s="37" t="s">
        <v>39</v>
      </c>
      <c r="N420" s="37" t="s">
        <v>1734</v>
      </c>
      <c r="O420" s="38">
        <v>1</v>
      </c>
      <c r="P420" s="38">
        <v>1</v>
      </c>
      <c r="Q420" s="39"/>
      <c r="S420" s="1">
        <f t="shared" si="185"/>
        <v>0</v>
      </c>
      <c r="T420" s="1">
        <f t="shared" si="186"/>
        <v>0</v>
      </c>
      <c r="U420" s="1">
        <f t="shared" si="187"/>
        <v>0</v>
      </c>
      <c r="V420" s="1">
        <f t="shared" si="188"/>
        <v>0</v>
      </c>
      <c r="W420" s="1">
        <f t="shared" si="189"/>
        <v>0</v>
      </c>
      <c r="X420" s="1">
        <f t="shared" si="190"/>
        <v>0</v>
      </c>
      <c r="Y420" s="1">
        <f t="shared" si="191"/>
        <v>0</v>
      </c>
      <c r="Z420" s="1">
        <f t="shared" si="192"/>
        <v>0</v>
      </c>
      <c r="AA420" s="1">
        <f t="shared" si="193"/>
        <v>0</v>
      </c>
      <c r="AB420" s="1">
        <f t="shared" si="194"/>
        <v>0</v>
      </c>
      <c r="AD420" s="1">
        <f t="shared" si="195"/>
        <v>1</v>
      </c>
      <c r="AE420" s="1">
        <f t="shared" si="196"/>
        <v>0</v>
      </c>
      <c r="AF420" s="1">
        <f t="shared" si="197"/>
        <v>1</v>
      </c>
      <c r="AG420" s="1">
        <f t="shared" si="198"/>
        <v>0</v>
      </c>
      <c r="AH420" s="1">
        <f t="shared" si="199"/>
        <v>1</v>
      </c>
      <c r="AI420" s="1">
        <f t="shared" si="200"/>
        <v>0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1544</v>
      </c>
      <c r="E421" s="48" t="s">
        <v>28</v>
      </c>
      <c r="F421" s="48" t="s">
        <v>1669</v>
      </c>
      <c r="G421" s="48" t="s">
        <v>288</v>
      </c>
      <c r="H421" s="48" t="s">
        <v>355</v>
      </c>
      <c r="I421" s="47" t="s">
        <v>1695</v>
      </c>
      <c r="J421" s="47">
        <v>99</v>
      </c>
      <c r="K421" s="49" t="s">
        <v>717</v>
      </c>
      <c r="L421" s="49" t="s">
        <v>717</v>
      </c>
      <c r="M421" s="50" t="s">
        <v>735</v>
      </c>
      <c r="N421" s="50" t="s">
        <v>1742</v>
      </c>
      <c r="O421" s="51"/>
      <c r="P421" s="51"/>
      <c r="Q421" s="48"/>
      <c r="S421" s="1">
        <f t="shared" si="185"/>
        <v>0</v>
      </c>
      <c r="T421" s="1">
        <f t="shared" si="186"/>
        <v>0</v>
      </c>
      <c r="U421" s="1">
        <f t="shared" si="187"/>
        <v>0</v>
      </c>
      <c r="V421" s="1">
        <f t="shared" si="188"/>
        <v>0</v>
      </c>
      <c r="W421" s="1">
        <f t="shared" si="189"/>
        <v>0</v>
      </c>
      <c r="X421" s="1">
        <f t="shared" si="190"/>
        <v>0</v>
      </c>
      <c r="Y421" s="1">
        <f t="shared" si="191"/>
        <v>0</v>
      </c>
      <c r="Z421" s="1">
        <f t="shared" si="192"/>
        <v>0</v>
      </c>
      <c r="AA421" s="1">
        <f t="shared" si="193"/>
        <v>0</v>
      </c>
      <c r="AB421" s="1">
        <f t="shared" si="194"/>
        <v>0</v>
      </c>
      <c r="AD421" s="1">
        <f t="shared" si="195"/>
        <v>0</v>
      </c>
      <c r="AE421" s="1">
        <f t="shared" si="196"/>
        <v>0</v>
      </c>
      <c r="AF421" s="1">
        <f t="shared" si="197"/>
        <v>0</v>
      </c>
      <c r="AG421" s="1">
        <f t="shared" si="198"/>
        <v>0</v>
      </c>
      <c r="AH421" s="1">
        <f t="shared" si="199"/>
        <v>0</v>
      </c>
      <c r="AI421" s="1">
        <f t="shared" si="200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1335</v>
      </c>
      <c r="E422" s="48" t="s">
        <v>28</v>
      </c>
      <c r="F422" s="48" t="s">
        <v>574</v>
      </c>
      <c r="G422" s="48" t="s">
        <v>182</v>
      </c>
      <c r="H422" s="48" t="s">
        <v>355</v>
      </c>
      <c r="I422" s="47" t="s">
        <v>431</v>
      </c>
      <c r="J422" s="47">
        <v>7</v>
      </c>
      <c r="K422" s="49" t="s">
        <v>716</v>
      </c>
      <c r="L422" s="49" t="s">
        <v>717</v>
      </c>
      <c r="M422" s="50" t="s">
        <v>735</v>
      </c>
      <c r="N422" s="50" t="s">
        <v>1742</v>
      </c>
      <c r="O422" s="51"/>
      <c r="P422" s="51"/>
      <c r="Q422" s="48"/>
      <c r="S422" s="1">
        <f t="shared" si="173"/>
        <v>0</v>
      </c>
      <c r="T422" s="1">
        <f t="shared" si="174"/>
        <v>0</v>
      </c>
      <c r="U422" s="1">
        <f t="shared" si="175"/>
        <v>0</v>
      </c>
      <c r="V422" s="1">
        <f t="shared" si="176"/>
        <v>0</v>
      </c>
      <c r="W422" s="1">
        <f t="shared" si="177"/>
        <v>0</v>
      </c>
      <c r="X422" s="1">
        <f t="shared" si="178"/>
        <v>0</v>
      </c>
      <c r="Y422" s="1">
        <f t="shared" si="179"/>
        <v>1</v>
      </c>
      <c r="Z422" s="1">
        <f t="shared" si="180"/>
        <v>0</v>
      </c>
      <c r="AA422" s="1">
        <f t="shared" si="181"/>
        <v>0</v>
      </c>
      <c r="AB422" s="1">
        <f t="shared" si="182"/>
        <v>0</v>
      </c>
      <c r="AD422" s="1">
        <f t="shared" si="183"/>
        <v>0</v>
      </c>
      <c r="AE422" s="1">
        <f t="shared" si="184"/>
        <v>0</v>
      </c>
      <c r="AF422" s="1">
        <f t="shared" si="169"/>
        <v>0</v>
      </c>
      <c r="AG422" s="1">
        <f t="shared" si="170"/>
        <v>0</v>
      </c>
      <c r="AH422" s="1">
        <f t="shared" si="171"/>
        <v>0</v>
      </c>
      <c r="AI422" s="1">
        <f t="shared" si="172"/>
        <v>1</v>
      </c>
    </row>
    <row r="423" spans="1:35" ht="14.25" customHeight="1" x14ac:dyDescent="0.25">
      <c r="A423" s="47">
        <v>0</v>
      </c>
      <c r="B423" s="47">
        <v>2</v>
      </c>
      <c r="C423" s="47">
        <v>7</v>
      </c>
      <c r="D423" s="48" t="s">
        <v>72</v>
      </c>
      <c r="E423" s="48" t="s">
        <v>28</v>
      </c>
      <c r="F423" s="68" t="s">
        <v>1882</v>
      </c>
      <c r="G423" s="48" t="s">
        <v>236</v>
      </c>
      <c r="H423" s="48" t="s">
        <v>355</v>
      </c>
      <c r="I423" s="47" t="s">
        <v>683</v>
      </c>
      <c r="J423" s="47">
        <v>99</v>
      </c>
      <c r="K423" s="49" t="s">
        <v>717</v>
      </c>
      <c r="L423" s="49" t="s">
        <v>717</v>
      </c>
      <c r="M423" s="50" t="s">
        <v>735</v>
      </c>
      <c r="N423" s="50" t="s">
        <v>1742</v>
      </c>
      <c r="O423" s="51"/>
      <c r="P423" s="51"/>
      <c r="Q423" s="48"/>
      <c r="S423" s="1">
        <f t="shared" si="173"/>
        <v>0</v>
      </c>
      <c r="T423" s="1">
        <f t="shared" si="174"/>
        <v>0</v>
      </c>
      <c r="U423" s="1">
        <f t="shared" si="175"/>
        <v>0</v>
      </c>
      <c r="V423" s="1">
        <f t="shared" si="176"/>
        <v>0</v>
      </c>
      <c r="W423" s="1">
        <f t="shared" si="177"/>
        <v>0</v>
      </c>
      <c r="X423" s="1">
        <f t="shared" si="178"/>
        <v>0</v>
      </c>
      <c r="Y423" s="1">
        <f t="shared" si="179"/>
        <v>0</v>
      </c>
      <c r="Z423" s="1">
        <f t="shared" si="180"/>
        <v>0</v>
      </c>
      <c r="AA423" s="1">
        <f t="shared" si="181"/>
        <v>0</v>
      </c>
      <c r="AB423" s="1">
        <f t="shared" si="182"/>
        <v>0</v>
      </c>
      <c r="AD423" s="1">
        <f t="shared" si="183"/>
        <v>0</v>
      </c>
      <c r="AE423" s="1">
        <f t="shared" si="184"/>
        <v>0</v>
      </c>
      <c r="AF423" s="1">
        <f t="shared" si="169"/>
        <v>0</v>
      </c>
      <c r="AG423" s="1">
        <f t="shared" si="170"/>
        <v>0</v>
      </c>
      <c r="AH423" s="1">
        <f t="shared" si="171"/>
        <v>0</v>
      </c>
      <c r="AI423" s="1">
        <f t="shared" si="172"/>
        <v>1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262</v>
      </c>
      <c r="G424" s="48" t="s">
        <v>221</v>
      </c>
      <c r="H424" s="48" t="s">
        <v>355</v>
      </c>
      <c r="I424" s="47" t="s">
        <v>421</v>
      </c>
      <c r="J424" s="47">
        <v>8</v>
      </c>
      <c r="K424" s="49" t="s">
        <v>717</v>
      </c>
      <c r="L424" s="49" t="s">
        <v>717</v>
      </c>
      <c r="M424" s="50" t="s">
        <v>735</v>
      </c>
      <c r="N424" s="50" t="s">
        <v>1742</v>
      </c>
      <c r="O424" s="51"/>
      <c r="P424" s="51"/>
      <c r="Q424" s="48"/>
      <c r="S424" s="1">
        <f t="shared" si="173"/>
        <v>0</v>
      </c>
      <c r="T424" s="1">
        <f t="shared" si="174"/>
        <v>0</v>
      </c>
      <c r="U424" s="1">
        <f t="shared" si="175"/>
        <v>0</v>
      </c>
      <c r="V424" s="1">
        <f t="shared" si="176"/>
        <v>0</v>
      </c>
      <c r="W424" s="1">
        <f t="shared" si="177"/>
        <v>0</v>
      </c>
      <c r="X424" s="1">
        <f t="shared" si="178"/>
        <v>0</v>
      </c>
      <c r="Y424" s="1">
        <f t="shared" si="179"/>
        <v>0</v>
      </c>
      <c r="Z424" s="1">
        <f t="shared" si="180"/>
        <v>1</v>
      </c>
      <c r="AA424" s="1">
        <f t="shared" si="181"/>
        <v>0</v>
      </c>
      <c r="AB424" s="1">
        <f t="shared" si="182"/>
        <v>0</v>
      </c>
      <c r="AD424" s="1">
        <f t="shared" si="183"/>
        <v>0</v>
      </c>
      <c r="AE424" s="1">
        <f t="shared" si="184"/>
        <v>0</v>
      </c>
      <c r="AF424" s="1">
        <f t="shared" si="169"/>
        <v>0</v>
      </c>
      <c r="AG424" s="1">
        <f t="shared" si="170"/>
        <v>0</v>
      </c>
      <c r="AH424" s="1">
        <f t="shared" si="171"/>
        <v>0</v>
      </c>
      <c r="AI424" s="1">
        <f t="shared" si="172"/>
        <v>0</v>
      </c>
    </row>
    <row r="425" spans="1:35" ht="14.25" customHeight="1" x14ac:dyDescent="0.25">
      <c r="A425" s="47">
        <v>1</v>
      </c>
      <c r="B425" s="47">
        <v>2</v>
      </c>
      <c r="C425" s="47">
        <v>7</v>
      </c>
      <c r="D425" s="48" t="s">
        <v>72</v>
      </c>
      <c r="E425" s="48" t="s">
        <v>28</v>
      </c>
      <c r="F425" s="48" t="s">
        <v>261</v>
      </c>
      <c r="G425" s="48" t="s">
        <v>179</v>
      </c>
      <c r="H425" s="48" t="s">
        <v>355</v>
      </c>
      <c r="I425" s="47" t="s">
        <v>420</v>
      </c>
      <c r="J425" s="47">
        <v>1</v>
      </c>
      <c r="K425" s="49" t="s">
        <v>717</v>
      </c>
      <c r="L425" s="49" t="s">
        <v>717</v>
      </c>
      <c r="M425" s="50" t="s">
        <v>735</v>
      </c>
      <c r="N425" s="50" t="s">
        <v>1742</v>
      </c>
      <c r="O425" s="51"/>
      <c r="P425" s="51"/>
      <c r="Q425" s="48"/>
      <c r="S425" s="1">
        <f t="shared" si="173"/>
        <v>1</v>
      </c>
      <c r="T425" s="1">
        <f t="shared" si="174"/>
        <v>0</v>
      </c>
      <c r="U425" s="1">
        <f t="shared" si="175"/>
        <v>0</v>
      </c>
      <c r="V425" s="1">
        <f t="shared" si="176"/>
        <v>0</v>
      </c>
      <c r="W425" s="1">
        <f t="shared" si="177"/>
        <v>0</v>
      </c>
      <c r="X425" s="1">
        <f t="shared" si="178"/>
        <v>0</v>
      </c>
      <c r="Y425" s="1">
        <f t="shared" si="179"/>
        <v>0</v>
      </c>
      <c r="Z425" s="1">
        <f t="shared" si="180"/>
        <v>0</v>
      </c>
      <c r="AA425" s="1">
        <f t="shared" si="181"/>
        <v>0</v>
      </c>
      <c r="AB425" s="1">
        <f t="shared" si="182"/>
        <v>0</v>
      </c>
      <c r="AD425" s="1">
        <f t="shared" si="183"/>
        <v>0</v>
      </c>
      <c r="AE425" s="1">
        <f t="shared" si="184"/>
        <v>0</v>
      </c>
      <c r="AF425" s="1">
        <f t="shared" si="169"/>
        <v>0</v>
      </c>
      <c r="AG425" s="1">
        <f t="shared" si="170"/>
        <v>0</v>
      </c>
      <c r="AH425" s="1">
        <f t="shared" si="171"/>
        <v>0</v>
      </c>
      <c r="AI425" s="1">
        <f t="shared" si="172"/>
        <v>0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782</v>
      </c>
      <c r="E426" s="16" t="s">
        <v>28</v>
      </c>
      <c r="F426" s="16" t="s">
        <v>783</v>
      </c>
      <c r="G426" s="16" t="s">
        <v>280</v>
      </c>
      <c r="H426" s="16" t="s">
        <v>355</v>
      </c>
      <c r="I426" s="15" t="s">
        <v>784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Q426" s="16"/>
      <c r="S426" s="1">
        <f t="shared" si="173"/>
        <v>0</v>
      </c>
      <c r="T426" s="1">
        <f t="shared" si="174"/>
        <v>0</v>
      </c>
      <c r="U426" s="1">
        <f t="shared" si="175"/>
        <v>0</v>
      </c>
      <c r="V426" s="1">
        <f t="shared" si="176"/>
        <v>0</v>
      </c>
      <c r="W426" s="1">
        <f t="shared" si="177"/>
        <v>0</v>
      </c>
      <c r="X426" s="1">
        <f t="shared" si="178"/>
        <v>0</v>
      </c>
      <c r="Y426" s="1">
        <f t="shared" si="179"/>
        <v>0</v>
      </c>
      <c r="Z426" s="1">
        <f t="shared" si="180"/>
        <v>0</v>
      </c>
      <c r="AA426" s="1">
        <f t="shared" si="181"/>
        <v>0</v>
      </c>
      <c r="AB426" s="1">
        <f t="shared" si="182"/>
        <v>0</v>
      </c>
      <c r="AD426" s="1">
        <f t="shared" si="183"/>
        <v>0</v>
      </c>
      <c r="AE426" s="1">
        <f t="shared" si="184"/>
        <v>0</v>
      </c>
      <c r="AF426" s="1">
        <f t="shared" si="169"/>
        <v>0</v>
      </c>
      <c r="AG426" s="1">
        <f t="shared" si="170"/>
        <v>0</v>
      </c>
      <c r="AH426" s="1">
        <f t="shared" si="171"/>
        <v>0</v>
      </c>
      <c r="AI426" s="1">
        <f t="shared" si="172"/>
        <v>1</v>
      </c>
    </row>
    <row r="427" spans="1:35" ht="14.25" customHeight="1" x14ac:dyDescent="0.25">
      <c r="A427" s="15">
        <v>0</v>
      </c>
      <c r="B427" s="15">
        <v>2</v>
      </c>
      <c r="C427" s="15">
        <v>7</v>
      </c>
      <c r="D427" s="16" t="s">
        <v>85</v>
      </c>
      <c r="E427" s="16" t="s">
        <v>28</v>
      </c>
      <c r="F427" s="16" t="s">
        <v>279</v>
      </c>
      <c r="G427" s="16" t="s">
        <v>280</v>
      </c>
      <c r="H427" s="16" t="s">
        <v>355</v>
      </c>
      <c r="I427" s="15" t="s">
        <v>435</v>
      </c>
      <c r="J427" s="15">
        <v>99</v>
      </c>
      <c r="K427" s="10" t="s">
        <v>717</v>
      </c>
      <c r="L427" s="10" t="s">
        <v>717</v>
      </c>
      <c r="M427" s="19" t="s">
        <v>735</v>
      </c>
      <c r="N427" s="17"/>
      <c r="Q427" s="16"/>
      <c r="S427" s="1">
        <f t="shared" si="173"/>
        <v>0</v>
      </c>
      <c r="T427" s="1">
        <f t="shared" si="174"/>
        <v>0</v>
      </c>
      <c r="U427" s="1">
        <f t="shared" si="175"/>
        <v>0</v>
      </c>
      <c r="V427" s="1">
        <f t="shared" si="176"/>
        <v>0</v>
      </c>
      <c r="W427" s="1">
        <f t="shared" si="177"/>
        <v>0</v>
      </c>
      <c r="X427" s="1">
        <f t="shared" si="178"/>
        <v>0</v>
      </c>
      <c r="Y427" s="1">
        <f t="shared" si="179"/>
        <v>0</v>
      </c>
      <c r="Z427" s="1">
        <f t="shared" si="180"/>
        <v>0</v>
      </c>
      <c r="AA427" s="1">
        <f t="shared" si="181"/>
        <v>0</v>
      </c>
      <c r="AB427" s="1">
        <f t="shared" si="182"/>
        <v>0</v>
      </c>
      <c r="AD427" s="1">
        <f t="shared" si="183"/>
        <v>0</v>
      </c>
      <c r="AE427" s="1">
        <f t="shared" si="184"/>
        <v>0</v>
      </c>
      <c r="AF427" s="1">
        <f t="shared" si="169"/>
        <v>0</v>
      </c>
      <c r="AG427" s="1">
        <f t="shared" si="170"/>
        <v>0</v>
      </c>
      <c r="AH427" s="1">
        <f t="shared" si="171"/>
        <v>0</v>
      </c>
      <c r="AI427" s="1">
        <f t="shared" si="172"/>
        <v>1</v>
      </c>
    </row>
    <row r="428" spans="1:35" ht="14.25" customHeight="1" x14ac:dyDescent="0.25">
      <c r="A428" s="40">
        <v>0</v>
      </c>
      <c r="B428" s="40">
        <v>2</v>
      </c>
      <c r="C428" s="40">
        <v>7</v>
      </c>
      <c r="D428" s="39" t="s">
        <v>1944</v>
      </c>
      <c r="E428" s="39" t="s">
        <v>28</v>
      </c>
      <c r="F428" s="39" t="s">
        <v>1945</v>
      </c>
      <c r="G428" s="39" t="s">
        <v>186</v>
      </c>
      <c r="H428" s="39" t="s">
        <v>355</v>
      </c>
      <c r="I428" s="40" t="s">
        <v>1946</v>
      </c>
      <c r="J428" s="40">
        <v>99</v>
      </c>
      <c r="K428" s="36" t="s">
        <v>707</v>
      </c>
      <c r="L428" s="36">
        <v>4</v>
      </c>
      <c r="M428" s="37" t="s">
        <v>735</v>
      </c>
      <c r="N428" s="37" t="s">
        <v>1750</v>
      </c>
      <c r="O428" s="38">
        <v>1</v>
      </c>
      <c r="P428" s="38"/>
      <c r="Q428" s="39" t="s">
        <v>1947</v>
      </c>
      <c r="S428" s="1">
        <f t="shared" si="173"/>
        <v>0</v>
      </c>
      <c r="T428" s="1">
        <f t="shared" si="174"/>
        <v>0</v>
      </c>
      <c r="U428" s="1">
        <f t="shared" si="175"/>
        <v>0</v>
      </c>
      <c r="V428" s="1">
        <f t="shared" si="176"/>
        <v>0</v>
      </c>
      <c r="W428" s="1">
        <f t="shared" si="177"/>
        <v>0</v>
      </c>
      <c r="X428" s="1">
        <f t="shared" si="178"/>
        <v>0</v>
      </c>
      <c r="Y428" s="1">
        <f t="shared" si="179"/>
        <v>0</v>
      </c>
      <c r="Z428" s="1">
        <f t="shared" si="180"/>
        <v>0</v>
      </c>
      <c r="AA428" s="1">
        <f t="shared" si="181"/>
        <v>0</v>
      </c>
      <c r="AB428" s="1">
        <f t="shared" si="182"/>
        <v>0</v>
      </c>
      <c r="AD428" s="1">
        <f t="shared" si="183"/>
        <v>0</v>
      </c>
      <c r="AE428" s="1">
        <f t="shared" si="184"/>
        <v>1</v>
      </c>
      <c r="AF428" s="1">
        <f t="shared" si="169"/>
        <v>0</v>
      </c>
      <c r="AG428" s="1">
        <f t="shared" si="170"/>
        <v>1</v>
      </c>
      <c r="AH428" s="1">
        <f t="shared" si="171"/>
        <v>0</v>
      </c>
      <c r="AI428" s="1">
        <f t="shared" si="172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1883</v>
      </c>
      <c r="G429" s="48" t="s">
        <v>558</v>
      </c>
      <c r="H429" s="48" t="s">
        <v>355</v>
      </c>
      <c r="I429" s="47" t="s">
        <v>559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1809</v>
      </c>
      <c r="O429" s="51"/>
      <c r="P429" s="51"/>
      <c r="Q429" s="48"/>
      <c r="S429" s="1">
        <f t="shared" si="173"/>
        <v>0</v>
      </c>
      <c r="T429" s="1">
        <f t="shared" si="174"/>
        <v>0</v>
      </c>
      <c r="U429" s="1">
        <f t="shared" si="175"/>
        <v>0</v>
      </c>
      <c r="V429" s="1">
        <f t="shared" si="176"/>
        <v>0</v>
      </c>
      <c r="W429" s="1">
        <f t="shared" si="177"/>
        <v>0</v>
      </c>
      <c r="X429" s="1">
        <f t="shared" si="178"/>
        <v>0</v>
      </c>
      <c r="Y429" s="1">
        <f t="shared" si="179"/>
        <v>0</v>
      </c>
      <c r="Z429" s="1">
        <f t="shared" si="180"/>
        <v>0</v>
      </c>
      <c r="AA429" s="1">
        <f t="shared" si="181"/>
        <v>0</v>
      </c>
      <c r="AB429" s="1">
        <f t="shared" si="182"/>
        <v>0</v>
      </c>
      <c r="AD429" s="1">
        <f t="shared" si="183"/>
        <v>0</v>
      </c>
      <c r="AE429" s="1">
        <f t="shared" si="184"/>
        <v>0</v>
      </c>
      <c r="AF429" s="1">
        <f t="shared" si="169"/>
        <v>0</v>
      </c>
      <c r="AG429" s="1">
        <f t="shared" si="170"/>
        <v>0</v>
      </c>
      <c r="AH429" s="1">
        <f t="shared" si="171"/>
        <v>0</v>
      </c>
      <c r="AI429" s="1">
        <f t="shared" si="172"/>
        <v>1</v>
      </c>
    </row>
    <row r="430" spans="1:35" ht="14.25" customHeight="1" x14ac:dyDescent="0.25">
      <c r="A430" s="47">
        <v>1</v>
      </c>
      <c r="B430" s="47">
        <v>2</v>
      </c>
      <c r="C430" s="47">
        <v>7</v>
      </c>
      <c r="D430" s="48" t="s">
        <v>555</v>
      </c>
      <c r="E430" s="48" t="s">
        <v>28</v>
      </c>
      <c r="F430" s="68" t="s">
        <v>1884</v>
      </c>
      <c r="G430" s="48" t="s">
        <v>556</v>
      </c>
      <c r="H430" s="48" t="s">
        <v>355</v>
      </c>
      <c r="I430" s="47" t="s">
        <v>557</v>
      </c>
      <c r="J430" s="47">
        <v>99</v>
      </c>
      <c r="K430" s="49" t="s">
        <v>717</v>
      </c>
      <c r="L430" s="49" t="s">
        <v>717</v>
      </c>
      <c r="M430" s="50" t="s">
        <v>735</v>
      </c>
      <c r="N430" s="50" t="s">
        <v>1809</v>
      </c>
      <c r="O430" s="51"/>
      <c r="P430" s="51"/>
      <c r="Q430" s="48"/>
      <c r="S430" s="1">
        <f t="shared" si="173"/>
        <v>0</v>
      </c>
      <c r="T430" s="1">
        <f t="shared" si="174"/>
        <v>0</v>
      </c>
      <c r="U430" s="1">
        <f t="shared" si="175"/>
        <v>0</v>
      </c>
      <c r="V430" s="1">
        <f t="shared" si="176"/>
        <v>0</v>
      </c>
      <c r="W430" s="1">
        <f t="shared" si="177"/>
        <v>0</v>
      </c>
      <c r="X430" s="1">
        <f t="shared" si="178"/>
        <v>0</v>
      </c>
      <c r="Y430" s="1">
        <f t="shared" si="179"/>
        <v>0</v>
      </c>
      <c r="Z430" s="1">
        <f t="shared" si="180"/>
        <v>0</v>
      </c>
      <c r="AA430" s="1">
        <f t="shared" si="181"/>
        <v>0</v>
      </c>
      <c r="AB430" s="1">
        <f t="shared" si="182"/>
        <v>0</v>
      </c>
      <c r="AD430" s="1">
        <f t="shared" si="183"/>
        <v>0</v>
      </c>
      <c r="AE430" s="1">
        <f t="shared" si="184"/>
        <v>0</v>
      </c>
      <c r="AF430" s="1">
        <f t="shared" si="169"/>
        <v>0</v>
      </c>
      <c r="AG430" s="1">
        <f t="shared" si="170"/>
        <v>0</v>
      </c>
      <c r="AH430" s="1">
        <f t="shared" si="171"/>
        <v>0</v>
      </c>
      <c r="AI430" s="1">
        <f t="shared" si="172"/>
        <v>0</v>
      </c>
    </row>
    <row r="431" spans="1:35" ht="14.25" customHeight="1" x14ac:dyDescent="0.25">
      <c r="A431" s="47">
        <v>0</v>
      </c>
      <c r="B431" s="47">
        <v>2</v>
      </c>
      <c r="C431" s="47">
        <v>7</v>
      </c>
      <c r="D431" s="48" t="s">
        <v>1192</v>
      </c>
      <c r="E431" s="48" t="s">
        <v>28</v>
      </c>
      <c r="F431" s="48" t="s">
        <v>1685</v>
      </c>
      <c r="G431" s="48" t="s">
        <v>236</v>
      </c>
      <c r="H431" s="48" t="s">
        <v>355</v>
      </c>
      <c r="I431" s="47" t="s">
        <v>1373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1742</v>
      </c>
      <c r="O431" s="51"/>
      <c r="P431" s="51"/>
      <c r="Q431" s="48"/>
      <c r="S431" s="1">
        <f t="shared" si="173"/>
        <v>0</v>
      </c>
      <c r="T431" s="1">
        <f t="shared" si="174"/>
        <v>0</v>
      </c>
      <c r="U431" s="1">
        <f t="shared" si="175"/>
        <v>0</v>
      </c>
      <c r="V431" s="1">
        <f t="shared" si="176"/>
        <v>0</v>
      </c>
      <c r="W431" s="1">
        <f t="shared" si="177"/>
        <v>0</v>
      </c>
      <c r="X431" s="1">
        <f t="shared" si="178"/>
        <v>0</v>
      </c>
      <c r="Y431" s="1">
        <f t="shared" si="179"/>
        <v>0</v>
      </c>
      <c r="Z431" s="1">
        <f t="shared" si="180"/>
        <v>0</v>
      </c>
      <c r="AA431" s="1">
        <f t="shared" si="181"/>
        <v>0</v>
      </c>
      <c r="AB431" s="1">
        <f t="shared" si="182"/>
        <v>0</v>
      </c>
      <c r="AD431" s="1">
        <f t="shared" si="183"/>
        <v>0</v>
      </c>
      <c r="AE431" s="1">
        <f t="shared" si="184"/>
        <v>0</v>
      </c>
      <c r="AF431" s="1">
        <f t="shared" si="169"/>
        <v>0</v>
      </c>
      <c r="AG431" s="1">
        <f t="shared" si="170"/>
        <v>0</v>
      </c>
      <c r="AH431" s="1">
        <f t="shared" si="171"/>
        <v>0</v>
      </c>
      <c r="AI431" s="1">
        <f t="shared" si="172"/>
        <v>1</v>
      </c>
    </row>
    <row r="432" spans="1:35" ht="14.25" customHeight="1" x14ac:dyDescent="0.25">
      <c r="A432" s="47">
        <v>1</v>
      </c>
      <c r="B432" s="47">
        <v>2</v>
      </c>
      <c r="C432" s="47">
        <v>7</v>
      </c>
      <c r="D432" s="48" t="s">
        <v>1192</v>
      </c>
      <c r="E432" s="48" t="s">
        <v>28</v>
      </c>
      <c r="F432" s="48" t="s">
        <v>1686</v>
      </c>
      <c r="G432" s="48" t="s">
        <v>1359</v>
      </c>
      <c r="H432" s="48" t="s">
        <v>355</v>
      </c>
      <c r="I432" s="47" t="s">
        <v>1374</v>
      </c>
      <c r="J432" s="47">
        <v>99</v>
      </c>
      <c r="K432" s="49" t="s">
        <v>716</v>
      </c>
      <c r="L432" s="49" t="s">
        <v>717</v>
      </c>
      <c r="M432" s="50" t="s">
        <v>735</v>
      </c>
      <c r="N432" s="50" t="s">
        <v>1742</v>
      </c>
      <c r="O432" s="51"/>
      <c r="P432" s="51"/>
      <c r="Q432" s="48"/>
      <c r="S432" s="1">
        <f t="shared" si="173"/>
        <v>0</v>
      </c>
      <c r="T432" s="1">
        <f t="shared" si="174"/>
        <v>0</v>
      </c>
      <c r="U432" s="1">
        <f t="shared" si="175"/>
        <v>0</v>
      </c>
      <c r="V432" s="1">
        <f t="shared" si="176"/>
        <v>0</v>
      </c>
      <c r="W432" s="1">
        <f t="shared" si="177"/>
        <v>0</v>
      </c>
      <c r="X432" s="1">
        <f t="shared" si="178"/>
        <v>0</v>
      </c>
      <c r="Y432" s="1">
        <f t="shared" si="179"/>
        <v>0</v>
      </c>
      <c r="Z432" s="1">
        <f t="shared" si="180"/>
        <v>0</v>
      </c>
      <c r="AA432" s="1">
        <f t="shared" si="181"/>
        <v>0</v>
      </c>
      <c r="AB432" s="1">
        <f t="shared" si="182"/>
        <v>0</v>
      </c>
      <c r="AD432" s="1">
        <f t="shared" si="183"/>
        <v>0</v>
      </c>
      <c r="AE432" s="1">
        <f t="shared" si="184"/>
        <v>0</v>
      </c>
      <c r="AF432" s="1">
        <f t="shared" si="169"/>
        <v>0</v>
      </c>
      <c r="AG432" s="1">
        <f t="shared" si="170"/>
        <v>0</v>
      </c>
      <c r="AH432" s="1">
        <f t="shared" si="171"/>
        <v>0</v>
      </c>
      <c r="AI432" s="1">
        <f t="shared" si="172"/>
        <v>0</v>
      </c>
    </row>
    <row r="433" spans="1:35" ht="14.25" customHeight="1" x14ac:dyDescent="0.25">
      <c r="A433" s="34">
        <v>0</v>
      </c>
      <c r="B433" s="34">
        <v>2</v>
      </c>
      <c r="C433" s="34">
        <v>7</v>
      </c>
      <c r="D433" s="35" t="s">
        <v>1260</v>
      </c>
      <c r="E433" s="35" t="s">
        <v>28</v>
      </c>
      <c r="F433" s="35" t="s">
        <v>1259</v>
      </c>
      <c r="G433" s="35" t="s">
        <v>1244</v>
      </c>
      <c r="H433" s="35" t="s">
        <v>355</v>
      </c>
      <c r="I433" s="34" t="s">
        <v>1261</v>
      </c>
      <c r="J433" s="34">
        <v>99</v>
      </c>
      <c r="K433" s="36" t="s">
        <v>707</v>
      </c>
      <c r="L433" s="36" t="s">
        <v>717</v>
      </c>
      <c r="M433" s="37" t="s">
        <v>735</v>
      </c>
      <c r="N433" s="37" t="s">
        <v>1750</v>
      </c>
      <c r="O433" s="38">
        <v>1</v>
      </c>
      <c r="P433" s="38"/>
      <c r="Q433" s="35"/>
      <c r="S433" s="1">
        <f t="shared" si="173"/>
        <v>0</v>
      </c>
      <c r="T433" s="1">
        <f t="shared" si="174"/>
        <v>0</v>
      </c>
      <c r="U433" s="1">
        <f t="shared" si="175"/>
        <v>0</v>
      </c>
      <c r="V433" s="1">
        <f t="shared" si="176"/>
        <v>0</v>
      </c>
      <c r="W433" s="1">
        <f t="shared" si="177"/>
        <v>0</v>
      </c>
      <c r="X433" s="1">
        <f t="shared" si="178"/>
        <v>0</v>
      </c>
      <c r="Y433" s="1">
        <f t="shared" si="179"/>
        <v>0</v>
      </c>
      <c r="Z433" s="1">
        <f t="shared" si="180"/>
        <v>0</v>
      </c>
      <c r="AA433" s="1">
        <f t="shared" si="181"/>
        <v>0</v>
      </c>
      <c r="AB433" s="1">
        <f t="shared" si="182"/>
        <v>0</v>
      </c>
      <c r="AD433" s="1">
        <f t="shared" si="183"/>
        <v>0</v>
      </c>
      <c r="AE433" s="1">
        <f t="shared" si="184"/>
        <v>1</v>
      </c>
      <c r="AF433" s="1">
        <f t="shared" si="169"/>
        <v>0</v>
      </c>
      <c r="AG433" s="1">
        <f t="shared" si="170"/>
        <v>1</v>
      </c>
      <c r="AH433" s="1">
        <f t="shared" si="171"/>
        <v>0</v>
      </c>
      <c r="AI433" s="1">
        <f t="shared" si="172"/>
        <v>1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1260</v>
      </c>
      <c r="E434" s="35" t="s">
        <v>28</v>
      </c>
      <c r="F434" s="35" t="s">
        <v>1258</v>
      </c>
      <c r="G434" s="35" t="s">
        <v>39</v>
      </c>
      <c r="H434" s="35" t="s">
        <v>355</v>
      </c>
      <c r="I434" s="34" t="s">
        <v>1262</v>
      </c>
      <c r="J434" s="34">
        <v>9</v>
      </c>
      <c r="K434" s="36" t="s">
        <v>707</v>
      </c>
      <c r="L434" s="36" t="s">
        <v>717</v>
      </c>
      <c r="M434" s="37" t="s">
        <v>735</v>
      </c>
      <c r="N434" s="37" t="s">
        <v>1750</v>
      </c>
      <c r="O434" s="38">
        <v>1</v>
      </c>
      <c r="P434" s="38"/>
      <c r="Q434" s="35"/>
      <c r="S434" s="1">
        <f t="shared" si="173"/>
        <v>0</v>
      </c>
      <c r="T434" s="1">
        <f t="shared" si="174"/>
        <v>0</v>
      </c>
      <c r="U434" s="1">
        <f t="shared" si="175"/>
        <v>0</v>
      </c>
      <c r="V434" s="1">
        <f t="shared" si="176"/>
        <v>0</v>
      </c>
      <c r="W434" s="1">
        <f t="shared" si="177"/>
        <v>0</v>
      </c>
      <c r="X434" s="1">
        <f t="shared" si="178"/>
        <v>0</v>
      </c>
      <c r="Y434" s="1">
        <f t="shared" si="179"/>
        <v>0</v>
      </c>
      <c r="Z434" s="1">
        <f t="shared" si="180"/>
        <v>0</v>
      </c>
      <c r="AA434" s="1">
        <f t="shared" si="181"/>
        <v>1</v>
      </c>
      <c r="AB434" s="1">
        <f t="shared" si="182"/>
        <v>0</v>
      </c>
      <c r="AD434" s="1">
        <f t="shared" si="183"/>
        <v>0</v>
      </c>
      <c r="AE434" s="1">
        <f t="shared" si="184"/>
        <v>1</v>
      </c>
      <c r="AF434" s="1">
        <f t="shared" si="169"/>
        <v>0</v>
      </c>
      <c r="AG434" s="1">
        <f t="shared" si="170"/>
        <v>0</v>
      </c>
      <c r="AH434" s="1">
        <f t="shared" si="171"/>
        <v>0</v>
      </c>
      <c r="AI434" s="1">
        <f t="shared" si="172"/>
        <v>0</v>
      </c>
    </row>
    <row r="435" spans="1:35" ht="14.25" customHeight="1" x14ac:dyDescent="0.25">
      <c r="A435" s="34">
        <v>1</v>
      </c>
      <c r="B435" s="34">
        <v>2</v>
      </c>
      <c r="C435" s="34">
        <v>7</v>
      </c>
      <c r="D435" s="35" t="s">
        <v>1260</v>
      </c>
      <c r="E435" s="35" t="s">
        <v>28</v>
      </c>
      <c r="F435" s="39" t="s">
        <v>1831</v>
      </c>
      <c r="G435" s="39" t="s">
        <v>259</v>
      </c>
      <c r="H435" s="35" t="s">
        <v>355</v>
      </c>
      <c r="I435" s="40" t="s">
        <v>30</v>
      </c>
      <c r="J435" s="34">
        <v>8</v>
      </c>
      <c r="K435" s="36" t="s">
        <v>707</v>
      </c>
      <c r="L435" s="36" t="s">
        <v>717</v>
      </c>
      <c r="M435" s="37" t="s">
        <v>735</v>
      </c>
      <c r="N435" s="37" t="s">
        <v>1750</v>
      </c>
      <c r="O435" s="38">
        <v>1</v>
      </c>
      <c r="P435" s="38"/>
      <c r="Q435" s="35"/>
      <c r="S435" s="1">
        <f t="shared" si="173"/>
        <v>0</v>
      </c>
      <c r="T435" s="1">
        <f t="shared" si="174"/>
        <v>0</v>
      </c>
      <c r="U435" s="1">
        <f t="shared" si="175"/>
        <v>0</v>
      </c>
      <c r="V435" s="1">
        <f t="shared" si="176"/>
        <v>0</v>
      </c>
      <c r="W435" s="1">
        <f t="shared" si="177"/>
        <v>0</v>
      </c>
      <c r="X435" s="1">
        <f t="shared" si="178"/>
        <v>0</v>
      </c>
      <c r="Y435" s="1">
        <f t="shared" si="179"/>
        <v>0</v>
      </c>
      <c r="Z435" s="1">
        <f t="shared" si="180"/>
        <v>1</v>
      </c>
      <c r="AA435" s="1">
        <f t="shared" si="181"/>
        <v>0</v>
      </c>
      <c r="AB435" s="1">
        <f t="shared" si="182"/>
        <v>0</v>
      </c>
      <c r="AD435" s="1">
        <f t="shared" si="183"/>
        <v>0</v>
      </c>
      <c r="AE435" s="1">
        <f t="shared" si="184"/>
        <v>1</v>
      </c>
      <c r="AF435" s="1">
        <f t="shared" si="169"/>
        <v>0</v>
      </c>
      <c r="AG435" s="1">
        <f t="shared" si="170"/>
        <v>0</v>
      </c>
      <c r="AH435" s="1">
        <f t="shared" si="171"/>
        <v>0</v>
      </c>
      <c r="AI435" s="1">
        <f t="shared" si="172"/>
        <v>0</v>
      </c>
    </row>
    <row r="436" spans="1:35" ht="14.25" customHeight="1" x14ac:dyDescent="0.25">
      <c r="A436" s="34">
        <v>0</v>
      </c>
      <c r="B436" s="34">
        <v>2</v>
      </c>
      <c r="C436" s="34">
        <v>7</v>
      </c>
      <c r="D436" s="35" t="s">
        <v>51</v>
      </c>
      <c r="E436" s="35" t="s">
        <v>28</v>
      </c>
      <c r="F436" s="35" t="s">
        <v>677</v>
      </c>
      <c r="G436" s="35" t="s">
        <v>186</v>
      </c>
      <c r="H436" s="35" t="s">
        <v>355</v>
      </c>
      <c r="I436" s="34" t="s">
        <v>391</v>
      </c>
      <c r="J436" s="34">
        <v>99</v>
      </c>
      <c r="K436" s="36" t="s">
        <v>716</v>
      </c>
      <c r="L436" s="36" t="s">
        <v>717</v>
      </c>
      <c r="M436" s="37" t="s">
        <v>735</v>
      </c>
      <c r="N436" s="37" t="s">
        <v>1756</v>
      </c>
      <c r="O436" s="38">
        <v>1</v>
      </c>
      <c r="P436" s="38"/>
      <c r="Q436" s="35"/>
      <c r="S436" s="1">
        <f t="shared" si="173"/>
        <v>0</v>
      </c>
      <c r="T436" s="1">
        <f t="shared" si="174"/>
        <v>0</v>
      </c>
      <c r="U436" s="1">
        <f t="shared" si="175"/>
        <v>0</v>
      </c>
      <c r="V436" s="1">
        <f t="shared" si="176"/>
        <v>0</v>
      </c>
      <c r="W436" s="1">
        <f t="shared" si="177"/>
        <v>0</v>
      </c>
      <c r="X436" s="1">
        <f t="shared" si="178"/>
        <v>0</v>
      </c>
      <c r="Y436" s="1">
        <f t="shared" si="179"/>
        <v>0</v>
      </c>
      <c r="Z436" s="1">
        <f t="shared" si="180"/>
        <v>0</v>
      </c>
      <c r="AA436" s="1">
        <f t="shared" si="181"/>
        <v>0</v>
      </c>
      <c r="AB436" s="1">
        <f t="shared" si="182"/>
        <v>0</v>
      </c>
      <c r="AD436" s="1">
        <f t="shared" si="183"/>
        <v>0</v>
      </c>
      <c r="AE436" s="1">
        <f t="shared" si="184"/>
        <v>1</v>
      </c>
      <c r="AF436" s="1">
        <f t="shared" si="169"/>
        <v>0</v>
      </c>
      <c r="AG436" s="1">
        <f t="shared" si="170"/>
        <v>1</v>
      </c>
      <c r="AH436" s="1">
        <f t="shared" si="171"/>
        <v>0</v>
      </c>
      <c r="AI436" s="1">
        <f t="shared" si="172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1002</v>
      </c>
      <c r="G437" s="48" t="s">
        <v>241</v>
      </c>
      <c r="H437" s="48" t="s">
        <v>355</v>
      </c>
      <c r="I437" s="47" t="s">
        <v>1110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1742</v>
      </c>
      <c r="O437" s="51"/>
      <c r="P437" s="51"/>
      <c r="Q437" s="48"/>
      <c r="S437" s="1">
        <f t="shared" si="173"/>
        <v>1</v>
      </c>
      <c r="T437" s="1">
        <f t="shared" si="174"/>
        <v>0</v>
      </c>
      <c r="U437" s="1">
        <f t="shared" si="175"/>
        <v>0</v>
      </c>
      <c r="V437" s="1">
        <f t="shared" si="176"/>
        <v>0</v>
      </c>
      <c r="W437" s="1">
        <f t="shared" si="177"/>
        <v>0</v>
      </c>
      <c r="X437" s="1">
        <f t="shared" si="178"/>
        <v>0</v>
      </c>
      <c r="Y437" s="1">
        <f t="shared" si="179"/>
        <v>0</v>
      </c>
      <c r="Z437" s="1">
        <f t="shared" si="180"/>
        <v>0</v>
      </c>
      <c r="AA437" s="1">
        <f t="shared" si="181"/>
        <v>0</v>
      </c>
      <c r="AB437" s="1">
        <f t="shared" si="182"/>
        <v>0</v>
      </c>
      <c r="AD437" s="1">
        <f t="shared" si="183"/>
        <v>0</v>
      </c>
      <c r="AE437" s="1">
        <f t="shared" si="184"/>
        <v>0</v>
      </c>
      <c r="AF437" s="1">
        <f t="shared" si="169"/>
        <v>0</v>
      </c>
      <c r="AG437" s="1">
        <f t="shared" si="170"/>
        <v>0</v>
      </c>
      <c r="AH437" s="1">
        <f t="shared" si="171"/>
        <v>0</v>
      </c>
      <c r="AI437" s="1">
        <f t="shared" si="172"/>
        <v>1</v>
      </c>
    </row>
    <row r="438" spans="1:35" ht="14.25" customHeight="1" x14ac:dyDescent="0.25">
      <c r="A438" s="47">
        <v>1</v>
      </c>
      <c r="B438" s="47">
        <v>2</v>
      </c>
      <c r="C438" s="47">
        <v>7</v>
      </c>
      <c r="D438" s="48" t="s">
        <v>1085</v>
      </c>
      <c r="E438" s="48" t="s">
        <v>28</v>
      </c>
      <c r="F438" s="48" t="s">
        <v>1003</v>
      </c>
      <c r="G438" s="48" t="s">
        <v>1103</v>
      </c>
      <c r="H438" s="48" t="s">
        <v>355</v>
      </c>
      <c r="I438" s="47" t="s">
        <v>1111</v>
      </c>
      <c r="J438" s="47">
        <v>1</v>
      </c>
      <c r="K438" s="49" t="s">
        <v>716</v>
      </c>
      <c r="L438" s="49" t="s">
        <v>717</v>
      </c>
      <c r="M438" s="50" t="s">
        <v>735</v>
      </c>
      <c r="N438" s="50" t="s">
        <v>1742</v>
      </c>
      <c r="O438" s="51"/>
      <c r="P438" s="51"/>
      <c r="Q438" s="48"/>
      <c r="S438" s="1">
        <f t="shared" si="173"/>
        <v>1</v>
      </c>
      <c r="T438" s="1">
        <f t="shared" si="174"/>
        <v>0</v>
      </c>
      <c r="U438" s="1">
        <f t="shared" si="175"/>
        <v>0</v>
      </c>
      <c r="V438" s="1">
        <f t="shared" si="176"/>
        <v>0</v>
      </c>
      <c r="W438" s="1">
        <f t="shared" si="177"/>
        <v>0</v>
      </c>
      <c r="X438" s="1">
        <f t="shared" si="178"/>
        <v>0</v>
      </c>
      <c r="Y438" s="1">
        <f t="shared" si="179"/>
        <v>0</v>
      </c>
      <c r="Z438" s="1">
        <f t="shared" si="180"/>
        <v>0</v>
      </c>
      <c r="AA438" s="1">
        <f t="shared" si="181"/>
        <v>0</v>
      </c>
      <c r="AB438" s="1">
        <f t="shared" si="182"/>
        <v>0</v>
      </c>
      <c r="AD438" s="1">
        <f t="shared" si="183"/>
        <v>0</v>
      </c>
      <c r="AE438" s="1">
        <f t="shared" si="184"/>
        <v>0</v>
      </c>
      <c r="AF438" s="1">
        <f t="shared" si="169"/>
        <v>0</v>
      </c>
      <c r="AG438" s="1">
        <f t="shared" si="170"/>
        <v>0</v>
      </c>
      <c r="AH438" s="1">
        <f t="shared" si="171"/>
        <v>0</v>
      </c>
      <c r="AI438" s="1">
        <f t="shared" si="172"/>
        <v>0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1645</v>
      </c>
      <c r="E439" s="35" t="s">
        <v>157</v>
      </c>
      <c r="F439" s="35" t="s">
        <v>1498</v>
      </c>
      <c r="G439" s="35" t="s">
        <v>1499</v>
      </c>
      <c r="H439" s="35" t="s">
        <v>355</v>
      </c>
      <c r="I439" s="34" t="s">
        <v>1500</v>
      </c>
      <c r="J439" s="34">
        <v>99</v>
      </c>
      <c r="K439" s="36" t="s">
        <v>959</v>
      </c>
      <c r="L439" s="36" t="s">
        <v>726</v>
      </c>
      <c r="M439" s="37" t="s">
        <v>736</v>
      </c>
      <c r="N439" s="37" t="s">
        <v>1755</v>
      </c>
      <c r="O439" s="38">
        <v>1</v>
      </c>
      <c r="P439" s="38"/>
      <c r="Q439" s="35"/>
      <c r="S439" s="1">
        <f t="shared" si="173"/>
        <v>0</v>
      </c>
      <c r="T439" s="1">
        <f t="shared" si="174"/>
        <v>0</v>
      </c>
      <c r="U439" s="1">
        <f t="shared" si="175"/>
        <v>0</v>
      </c>
      <c r="V439" s="1">
        <f t="shared" si="176"/>
        <v>0</v>
      </c>
      <c r="W439" s="1">
        <f t="shared" si="177"/>
        <v>0</v>
      </c>
      <c r="X439" s="1">
        <f t="shared" si="178"/>
        <v>0</v>
      </c>
      <c r="Y439" s="1">
        <f t="shared" si="179"/>
        <v>0</v>
      </c>
      <c r="Z439" s="1">
        <f t="shared" si="180"/>
        <v>0</v>
      </c>
      <c r="AA439" s="1">
        <f t="shared" si="181"/>
        <v>0</v>
      </c>
      <c r="AB439" s="1">
        <f t="shared" si="182"/>
        <v>0</v>
      </c>
      <c r="AD439" s="1">
        <f t="shared" si="183"/>
        <v>0</v>
      </c>
      <c r="AE439" s="1">
        <f t="shared" si="184"/>
        <v>1</v>
      </c>
      <c r="AF439" s="1">
        <f t="shared" si="169"/>
        <v>0</v>
      </c>
      <c r="AG439" s="1">
        <f t="shared" si="170"/>
        <v>1</v>
      </c>
      <c r="AH439" s="1">
        <f t="shared" si="171"/>
        <v>0</v>
      </c>
      <c r="AI439" s="1">
        <f t="shared" si="172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82</v>
      </c>
      <c r="E440" s="48" t="s">
        <v>28</v>
      </c>
      <c r="F440" s="48" t="s">
        <v>275</v>
      </c>
      <c r="G440" s="48" t="s">
        <v>276</v>
      </c>
      <c r="H440" s="48" t="s">
        <v>355</v>
      </c>
      <c r="I440" s="47" t="s">
        <v>430</v>
      </c>
      <c r="J440" s="47">
        <v>7</v>
      </c>
      <c r="K440" s="49" t="s">
        <v>959</v>
      </c>
      <c r="L440" s="49" t="s">
        <v>958</v>
      </c>
      <c r="M440" s="50" t="s">
        <v>972</v>
      </c>
      <c r="N440" s="50" t="s">
        <v>1816</v>
      </c>
      <c r="O440" s="51"/>
      <c r="P440" s="51"/>
      <c r="Q440" s="48"/>
      <c r="S440" s="1">
        <f t="shared" si="173"/>
        <v>0</v>
      </c>
      <c r="T440" s="1">
        <f t="shared" si="174"/>
        <v>0</v>
      </c>
      <c r="U440" s="1">
        <f t="shared" si="175"/>
        <v>0</v>
      </c>
      <c r="V440" s="1">
        <f t="shared" si="176"/>
        <v>0</v>
      </c>
      <c r="W440" s="1">
        <f t="shared" si="177"/>
        <v>0</v>
      </c>
      <c r="X440" s="1">
        <f t="shared" si="178"/>
        <v>0</v>
      </c>
      <c r="Y440" s="1">
        <f t="shared" si="179"/>
        <v>1</v>
      </c>
      <c r="Z440" s="1">
        <f t="shared" si="180"/>
        <v>0</v>
      </c>
      <c r="AA440" s="1">
        <f t="shared" si="181"/>
        <v>0</v>
      </c>
      <c r="AB440" s="1">
        <f t="shared" si="182"/>
        <v>0</v>
      </c>
      <c r="AD440" s="1">
        <f t="shared" si="183"/>
        <v>0</v>
      </c>
      <c r="AE440" s="1">
        <f t="shared" si="184"/>
        <v>0</v>
      </c>
      <c r="AF440" s="1">
        <f t="shared" si="169"/>
        <v>0</v>
      </c>
      <c r="AG440" s="1">
        <f t="shared" si="170"/>
        <v>0</v>
      </c>
      <c r="AH440" s="1">
        <f t="shared" si="171"/>
        <v>0</v>
      </c>
      <c r="AI440" s="1">
        <f t="shared" si="172"/>
        <v>1</v>
      </c>
    </row>
    <row r="441" spans="1:35" ht="14.25" customHeight="1" x14ac:dyDescent="0.25">
      <c r="A441" s="47">
        <v>0</v>
      </c>
      <c r="B441" s="47">
        <v>2</v>
      </c>
      <c r="C441" s="47">
        <v>7</v>
      </c>
      <c r="D441" s="48" t="s">
        <v>76</v>
      </c>
      <c r="E441" s="48" t="s">
        <v>28</v>
      </c>
      <c r="F441" s="48" t="s">
        <v>1688</v>
      </c>
      <c r="G441" s="48" t="s">
        <v>191</v>
      </c>
      <c r="H441" s="48" t="s">
        <v>355</v>
      </c>
      <c r="I441" s="47" t="s">
        <v>424</v>
      </c>
      <c r="J441" s="47">
        <v>99</v>
      </c>
      <c r="K441" s="49" t="s">
        <v>958</v>
      </c>
      <c r="L441" s="49" t="s">
        <v>717</v>
      </c>
      <c r="M441" s="50" t="s">
        <v>735</v>
      </c>
      <c r="N441" s="50" t="s">
        <v>1742</v>
      </c>
      <c r="O441" s="51"/>
      <c r="P441" s="51"/>
      <c r="Q441" s="48"/>
      <c r="S441" s="1">
        <f t="shared" si="173"/>
        <v>0</v>
      </c>
      <c r="T441" s="1">
        <f t="shared" si="174"/>
        <v>0</v>
      </c>
      <c r="U441" s="1">
        <f t="shared" si="175"/>
        <v>0</v>
      </c>
      <c r="V441" s="1">
        <f t="shared" si="176"/>
        <v>0</v>
      </c>
      <c r="W441" s="1">
        <f t="shared" si="177"/>
        <v>0</v>
      </c>
      <c r="X441" s="1">
        <f t="shared" si="178"/>
        <v>0</v>
      </c>
      <c r="Y441" s="1">
        <f t="shared" si="179"/>
        <v>0</v>
      </c>
      <c r="Z441" s="1">
        <f t="shared" si="180"/>
        <v>0</v>
      </c>
      <c r="AA441" s="1">
        <f t="shared" si="181"/>
        <v>0</v>
      </c>
      <c r="AB441" s="1">
        <f t="shared" si="182"/>
        <v>0</v>
      </c>
      <c r="AD441" s="1">
        <f t="shared" si="183"/>
        <v>0</v>
      </c>
      <c r="AE441" s="1">
        <f t="shared" si="184"/>
        <v>0</v>
      </c>
      <c r="AF441" s="1">
        <f t="shared" si="169"/>
        <v>0</v>
      </c>
      <c r="AG441" s="1">
        <f t="shared" si="170"/>
        <v>0</v>
      </c>
      <c r="AH441" s="1">
        <f t="shared" si="171"/>
        <v>0</v>
      </c>
      <c r="AI441" s="1">
        <f t="shared" si="172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1647</v>
      </c>
      <c r="E442" s="35" t="s">
        <v>164</v>
      </c>
      <c r="F442" s="35" t="s">
        <v>245</v>
      </c>
      <c r="G442" s="35" t="s">
        <v>219</v>
      </c>
      <c r="H442" s="35" t="s">
        <v>355</v>
      </c>
      <c r="I442" s="34" t="s">
        <v>409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1734</v>
      </c>
      <c r="O442" s="38">
        <v>1</v>
      </c>
      <c r="P442" s="38">
        <v>1</v>
      </c>
      <c r="Q442" s="35"/>
      <c r="S442" s="1">
        <f t="shared" si="173"/>
        <v>0</v>
      </c>
      <c r="T442" s="1">
        <f t="shared" si="174"/>
        <v>0</v>
      </c>
      <c r="U442" s="1">
        <f t="shared" si="175"/>
        <v>0</v>
      </c>
      <c r="V442" s="1">
        <f t="shared" si="176"/>
        <v>0</v>
      </c>
      <c r="W442" s="1">
        <f t="shared" si="177"/>
        <v>0</v>
      </c>
      <c r="X442" s="1">
        <f t="shared" si="178"/>
        <v>0</v>
      </c>
      <c r="Y442" s="1">
        <f t="shared" si="179"/>
        <v>0</v>
      </c>
      <c r="Z442" s="1">
        <f t="shared" si="180"/>
        <v>0</v>
      </c>
      <c r="AA442" s="1">
        <f t="shared" si="181"/>
        <v>0</v>
      </c>
      <c r="AB442" s="1">
        <f t="shared" si="182"/>
        <v>0</v>
      </c>
      <c r="AD442" s="1">
        <f t="shared" si="183"/>
        <v>1</v>
      </c>
      <c r="AE442" s="1">
        <f t="shared" si="184"/>
        <v>0</v>
      </c>
      <c r="AF442" s="1">
        <f t="shared" si="169"/>
        <v>1</v>
      </c>
      <c r="AG442" s="1">
        <f t="shared" si="170"/>
        <v>0</v>
      </c>
      <c r="AH442" s="1">
        <f t="shared" si="171"/>
        <v>1</v>
      </c>
      <c r="AI442" s="1">
        <f t="shared" si="172"/>
        <v>0</v>
      </c>
    </row>
    <row r="443" spans="1:35" ht="14.25" customHeight="1" x14ac:dyDescent="0.25">
      <c r="A443" s="34">
        <v>0</v>
      </c>
      <c r="B443" s="34">
        <v>2</v>
      </c>
      <c r="C443" s="34">
        <v>7</v>
      </c>
      <c r="D443" s="35" t="s">
        <v>1545</v>
      </c>
      <c r="E443" s="35" t="s">
        <v>157</v>
      </c>
      <c r="F443" s="35" t="s">
        <v>1546</v>
      </c>
      <c r="G443" s="35" t="s">
        <v>39</v>
      </c>
      <c r="H443" s="35" t="s">
        <v>355</v>
      </c>
      <c r="I443" s="34" t="s">
        <v>1547</v>
      </c>
      <c r="J443" s="34">
        <v>99</v>
      </c>
      <c r="K443" s="36" t="s">
        <v>717</v>
      </c>
      <c r="L443" s="36" t="s">
        <v>726</v>
      </c>
      <c r="M443" s="37" t="s">
        <v>736</v>
      </c>
      <c r="N443" s="37" t="s">
        <v>1755</v>
      </c>
      <c r="O443" s="38">
        <v>1</v>
      </c>
      <c r="P443" s="38"/>
      <c r="Q443" s="35"/>
      <c r="S443" s="1">
        <f t="shared" si="173"/>
        <v>0</v>
      </c>
      <c r="T443" s="1">
        <f t="shared" si="174"/>
        <v>0</v>
      </c>
      <c r="U443" s="1">
        <f t="shared" si="175"/>
        <v>0</v>
      </c>
      <c r="V443" s="1">
        <f t="shared" si="176"/>
        <v>0</v>
      </c>
      <c r="W443" s="1">
        <f t="shared" si="177"/>
        <v>0</v>
      </c>
      <c r="X443" s="1">
        <f t="shared" si="178"/>
        <v>0</v>
      </c>
      <c r="Y443" s="1">
        <f t="shared" si="179"/>
        <v>0</v>
      </c>
      <c r="Z443" s="1">
        <f t="shared" si="180"/>
        <v>0</v>
      </c>
      <c r="AA443" s="1">
        <f t="shared" si="181"/>
        <v>0</v>
      </c>
      <c r="AB443" s="1">
        <f t="shared" si="182"/>
        <v>0</v>
      </c>
      <c r="AD443" s="1">
        <f t="shared" si="183"/>
        <v>0</v>
      </c>
      <c r="AE443" s="1">
        <f t="shared" si="184"/>
        <v>1</v>
      </c>
      <c r="AF443" s="1">
        <f t="shared" si="169"/>
        <v>0</v>
      </c>
      <c r="AG443" s="1">
        <f t="shared" si="170"/>
        <v>1</v>
      </c>
      <c r="AH443" s="1">
        <f t="shared" si="171"/>
        <v>0</v>
      </c>
      <c r="AI443" s="1">
        <f t="shared" si="172"/>
        <v>1</v>
      </c>
    </row>
    <row r="444" spans="1:35" ht="14.25" customHeight="1" x14ac:dyDescent="0.25">
      <c r="A444" s="47">
        <v>0</v>
      </c>
      <c r="B444" s="47">
        <v>2</v>
      </c>
      <c r="C444" s="47">
        <v>7</v>
      </c>
      <c r="D444" s="48" t="s">
        <v>1269</v>
      </c>
      <c r="E444" s="48" t="s">
        <v>1531</v>
      </c>
      <c r="F444" s="48" t="s">
        <v>1362</v>
      </c>
      <c r="G444" s="48" t="s">
        <v>187</v>
      </c>
      <c r="H444" s="48" t="s">
        <v>355</v>
      </c>
      <c r="I444" s="47" t="s">
        <v>1375</v>
      </c>
      <c r="J444" s="47">
        <v>1</v>
      </c>
      <c r="K444" s="49" t="s">
        <v>717</v>
      </c>
      <c r="L444" s="49" t="s">
        <v>720</v>
      </c>
      <c r="M444" s="50" t="s">
        <v>1445</v>
      </c>
      <c r="N444" s="50" t="s">
        <v>1742</v>
      </c>
      <c r="O444" s="51"/>
      <c r="P444" s="51"/>
      <c r="Q444" s="48"/>
      <c r="S444" s="1">
        <f t="shared" si="173"/>
        <v>1</v>
      </c>
      <c r="T444" s="1">
        <f t="shared" si="174"/>
        <v>0</v>
      </c>
      <c r="U444" s="1">
        <f t="shared" si="175"/>
        <v>0</v>
      </c>
      <c r="V444" s="1">
        <f t="shared" si="176"/>
        <v>0</v>
      </c>
      <c r="W444" s="1">
        <f t="shared" si="177"/>
        <v>0</v>
      </c>
      <c r="X444" s="1">
        <f t="shared" si="178"/>
        <v>0</v>
      </c>
      <c r="Y444" s="1">
        <f t="shared" si="179"/>
        <v>0</v>
      </c>
      <c r="Z444" s="1">
        <f t="shared" si="180"/>
        <v>0</v>
      </c>
      <c r="AA444" s="1">
        <f t="shared" si="181"/>
        <v>0</v>
      </c>
      <c r="AB444" s="1">
        <f t="shared" si="182"/>
        <v>0</v>
      </c>
      <c r="AD444" s="1">
        <f t="shared" si="183"/>
        <v>0</v>
      </c>
      <c r="AE444" s="1">
        <f t="shared" si="184"/>
        <v>0</v>
      </c>
      <c r="AF444" s="1">
        <f t="shared" si="169"/>
        <v>0</v>
      </c>
      <c r="AG444" s="1">
        <f t="shared" si="170"/>
        <v>0</v>
      </c>
      <c r="AH444" s="1">
        <f t="shared" si="171"/>
        <v>0</v>
      </c>
      <c r="AI444" s="1">
        <f t="shared" si="172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978</v>
      </c>
      <c r="G445" s="35" t="s">
        <v>1105</v>
      </c>
      <c r="H445" s="35" t="s">
        <v>355</v>
      </c>
      <c r="I445" s="34" t="s">
        <v>1112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1750</v>
      </c>
      <c r="O445" s="38">
        <v>1</v>
      </c>
      <c r="P445" s="38"/>
      <c r="Q445" s="35"/>
      <c r="S445" s="1">
        <f t="shared" si="173"/>
        <v>0</v>
      </c>
      <c r="T445" s="1">
        <f t="shared" si="174"/>
        <v>0</v>
      </c>
      <c r="U445" s="1">
        <f t="shared" si="175"/>
        <v>0</v>
      </c>
      <c r="V445" s="1">
        <f t="shared" si="176"/>
        <v>0</v>
      </c>
      <c r="W445" s="1">
        <f t="shared" si="177"/>
        <v>0</v>
      </c>
      <c r="X445" s="1">
        <f t="shared" si="178"/>
        <v>0</v>
      </c>
      <c r="Y445" s="1">
        <f t="shared" si="179"/>
        <v>0</v>
      </c>
      <c r="Z445" s="1">
        <f t="shared" si="180"/>
        <v>0</v>
      </c>
      <c r="AA445" s="1">
        <f t="shared" si="181"/>
        <v>0</v>
      </c>
      <c r="AB445" s="1">
        <f t="shared" si="182"/>
        <v>0</v>
      </c>
      <c r="AD445" s="1">
        <f t="shared" si="183"/>
        <v>0</v>
      </c>
      <c r="AE445" s="1">
        <f t="shared" si="184"/>
        <v>1</v>
      </c>
      <c r="AF445" s="1">
        <f t="shared" si="169"/>
        <v>0</v>
      </c>
      <c r="AG445" s="1">
        <f t="shared" si="170"/>
        <v>1</v>
      </c>
      <c r="AH445" s="1">
        <f t="shared" si="171"/>
        <v>0</v>
      </c>
      <c r="AI445" s="1">
        <f t="shared" si="172"/>
        <v>1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225</v>
      </c>
      <c r="H446" s="35" t="s">
        <v>355</v>
      </c>
      <c r="I446" s="34" t="s">
        <v>410</v>
      </c>
      <c r="J446" s="34">
        <v>99</v>
      </c>
      <c r="K446" s="36" t="s">
        <v>717</v>
      </c>
      <c r="L446" s="36" t="s">
        <v>717</v>
      </c>
      <c r="M446" s="37" t="s">
        <v>735</v>
      </c>
      <c r="N446" s="37" t="s">
        <v>1750</v>
      </c>
      <c r="O446" s="38">
        <v>1</v>
      </c>
      <c r="P446" s="38"/>
      <c r="Q446" s="35"/>
      <c r="S446" s="1">
        <f t="shared" si="173"/>
        <v>0</v>
      </c>
      <c r="T446" s="1">
        <f t="shared" si="174"/>
        <v>0</v>
      </c>
      <c r="U446" s="1">
        <f t="shared" si="175"/>
        <v>0</v>
      </c>
      <c r="V446" s="1">
        <f t="shared" si="176"/>
        <v>0</v>
      </c>
      <c r="W446" s="1">
        <f t="shared" si="177"/>
        <v>0</v>
      </c>
      <c r="X446" s="1">
        <f t="shared" si="178"/>
        <v>0</v>
      </c>
      <c r="Y446" s="1">
        <f t="shared" si="179"/>
        <v>0</v>
      </c>
      <c r="Z446" s="1">
        <f t="shared" si="180"/>
        <v>0</v>
      </c>
      <c r="AA446" s="1">
        <f t="shared" si="181"/>
        <v>0</v>
      </c>
      <c r="AB446" s="1">
        <f t="shared" si="182"/>
        <v>0</v>
      </c>
      <c r="AD446" s="1">
        <f t="shared" si="183"/>
        <v>0</v>
      </c>
      <c r="AE446" s="1">
        <f t="shared" si="184"/>
        <v>1</v>
      </c>
      <c r="AF446" s="1">
        <f t="shared" si="169"/>
        <v>0</v>
      </c>
      <c r="AG446" s="1">
        <f t="shared" si="170"/>
        <v>0</v>
      </c>
      <c r="AH446" s="1">
        <f t="shared" si="171"/>
        <v>0</v>
      </c>
      <c r="AI446" s="1">
        <f t="shared" si="172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247</v>
      </c>
      <c r="G447" s="35" t="s">
        <v>221</v>
      </c>
      <c r="H447" s="35" t="s">
        <v>355</v>
      </c>
      <c r="I447" s="34" t="s">
        <v>411</v>
      </c>
      <c r="J447" s="34">
        <v>8</v>
      </c>
      <c r="K447" s="36" t="s">
        <v>717</v>
      </c>
      <c r="L447" s="36" t="s">
        <v>717</v>
      </c>
      <c r="M447" s="37" t="s">
        <v>735</v>
      </c>
      <c r="N447" s="37" t="s">
        <v>1750</v>
      </c>
      <c r="O447" s="38">
        <v>1</v>
      </c>
      <c r="P447" s="38"/>
      <c r="Q447" s="35"/>
      <c r="S447" s="1">
        <f t="shared" si="173"/>
        <v>0</v>
      </c>
      <c r="T447" s="1">
        <f t="shared" si="174"/>
        <v>0</v>
      </c>
      <c r="U447" s="1">
        <f t="shared" si="175"/>
        <v>0</v>
      </c>
      <c r="V447" s="1">
        <f t="shared" si="176"/>
        <v>0</v>
      </c>
      <c r="W447" s="1">
        <f t="shared" si="177"/>
        <v>0</v>
      </c>
      <c r="X447" s="1">
        <f t="shared" si="178"/>
        <v>0</v>
      </c>
      <c r="Y447" s="1">
        <f t="shared" si="179"/>
        <v>0</v>
      </c>
      <c r="Z447" s="1">
        <f t="shared" si="180"/>
        <v>1</v>
      </c>
      <c r="AA447" s="1">
        <f t="shared" si="181"/>
        <v>0</v>
      </c>
      <c r="AB447" s="1">
        <f t="shared" si="182"/>
        <v>0</v>
      </c>
      <c r="AD447" s="1">
        <f t="shared" si="183"/>
        <v>0</v>
      </c>
      <c r="AE447" s="1">
        <f t="shared" si="184"/>
        <v>1</v>
      </c>
      <c r="AF447" s="1">
        <f t="shared" si="169"/>
        <v>0</v>
      </c>
      <c r="AG447" s="1">
        <f t="shared" si="170"/>
        <v>0</v>
      </c>
      <c r="AH447" s="1">
        <f t="shared" si="171"/>
        <v>0</v>
      </c>
      <c r="AI447" s="1">
        <f t="shared" si="172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1038</v>
      </c>
      <c r="G448" s="35" t="s">
        <v>39</v>
      </c>
      <c r="H448" s="35" t="s">
        <v>355</v>
      </c>
      <c r="I448" s="34" t="s">
        <v>1039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1750</v>
      </c>
      <c r="O448" s="38">
        <v>1</v>
      </c>
      <c r="P448" s="38"/>
      <c r="Q448" s="35"/>
      <c r="S448" s="1">
        <f t="shared" si="173"/>
        <v>1</v>
      </c>
      <c r="T448" s="1">
        <f t="shared" si="174"/>
        <v>0</v>
      </c>
      <c r="U448" s="1">
        <f t="shared" si="175"/>
        <v>0</v>
      </c>
      <c r="V448" s="1">
        <f t="shared" si="176"/>
        <v>0</v>
      </c>
      <c r="W448" s="1">
        <f t="shared" si="177"/>
        <v>0</v>
      </c>
      <c r="X448" s="1">
        <f t="shared" si="178"/>
        <v>0</v>
      </c>
      <c r="Y448" s="1">
        <f t="shared" si="179"/>
        <v>0</v>
      </c>
      <c r="Z448" s="1">
        <f t="shared" si="180"/>
        <v>0</v>
      </c>
      <c r="AA448" s="1">
        <f t="shared" si="181"/>
        <v>0</v>
      </c>
      <c r="AB448" s="1">
        <f t="shared" si="182"/>
        <v>0</v>
      </c>
      <c r="AD448" s="1">
        <f t="shared" si="183"/>
        <v>0</v>
      </c>
      <c r="AE448" s="1">
        <f t="shared" si="184"/>
        <v>1</v>
      </c>
      <c r="AF448" s="1">
        <f t="shared" si="169"/>
        <v>0</v>
      </c>
      <c r="AG448" s="1">
        <f t="shared" si="170"/>
        <v>0</v>
      </c>
      <c r="AH448" s="1">
        <f t="shared" si="171"/>
        <v>0</v>
      </c>
      <c r="AI448" s="1">
        <f t="shared" si="172"/>
        <v>0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66</v>
      </c>
      <c r="E449" s="35" t="s">
        <v>28</v>
      </c>
      <c r="F449" s="35" t="s">
        <v>1040</v>
      </c>
      <c r="G449" s="35" t="s">
        <v>303</v>
      </c>
      <c r="H449" s="35" t="s">
        <v>355</v>
      </c>
      <c r="I449" s="34" t="s">
        <v>1041</v>
      </c>
      <c r="J449" s="34">
        <v>1</v>
      </c>
      <c r="K449" s="36" t="s">
        <v>717</v>
      </c>
      <c r="L449" s="36" t="s">
        <v>717</v>
      </c>
      <c r="M449" s="37" t="s">
        <v>735</v>
      </c>
      <c r="N449" s="37" t="s">
        <v>1750</v>
      </c>
      <c r="O449" s="38">
        <v>1</v>
      </c>
      <c r="P449" s="38"/>
      <c r="Q449" s="35"/>
      <c r="S449" s="1">
        <f t="shared" si="173"/>
        <v>1</v>
      </c>
      <c r="T449" s="1">
        <f t="shared" si="174"/>
        <v>0</v>
      </c>
      <c r="U449" s="1">
        <f t="shared" si="175"/>
        <v>0</v>
      </c>
      <c r="V449" s="1">
        <f t="shared" si="176"/>
        <v>0</v>
      </c>
      <c r="W449" s="1">
        <f t="shared" si="177"/>
        <v>0</v>
      </c>
      <c r="X449" s="1">
        <f t="shared" si="178"/>
        <v>0</v>
      </c>
      <c r="Y449" s="1">
        <f t="shared" si="179"/>
        <v>0</v>
      </c>
      <c r="Z449" s="1">
        <f t="shared" si="180"/>
        <v>0</v>
      </c>
      <c r="AA449" s="1">
        <f t="shared" si="181"/>
        <v>0</v>
      </c>
      <c r="AB449" s="1">
        <f t="shared" si="182"/>
        <v>0</v>
      </c>
      <c r="AD449" s="1">
        <f t="shared" ref="AD449:AD450" si="201">+O449*P449</f>
        <v>0</v>
      </c>
      <c r="AE449" s="1">
        <f t="shared" ref="AE449:AE450" si="202">O449*(1-P449)</f>
        <v>1</v>
      </c>
      <c r="AF449" s="1">
        <f t="shared" si="169"/>
        <v>0</v>
      </c>
      <c r="AG449" s="1">
        <f t="shared" si="170"/>
        <v>0</v>
      </c>
      <c r="AH449" s="1">
        <f t="shared" si="171"/>
        <v>0</v>
      </c>
      <c r="AI449" s="1">
        <f t="shared" si="172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1580</v>
      </c>
      <c r="E450" s="35" t="s">
        <v>157</v>
      </c>
      <c r="F450" s="35" t="s">
        <v>1581</v>
      </c>
      <c r="G450" s="35" t="s">
        <v>208</v>
      </c>
      <c r="H450" s="35" t="s">
        <v>355</v>
      </c>
      <c r="I450" s="34" t="s">
        <v>1582</v>
      </c>
      <c r="J450" s="34">
        <v>99</v>
      </c>
      <c r="K450" s="36" t="s">
        <v>716</v>
      </c>
      <c r="L450" s="36" t="s">
        <v>726</v>
      </c>
      <c r="M450" s="37" t="s">
        <v>736</v>
      </c>
      <c r="N450" s="37" t="s">
        <v>1953</v>
      </c>
      <c r="O450" s="38">
        <v>1</v>
      </c>
      <c r="P450" s="38"/>
      <c r="Q450" s="35"/>
      <c r="S450" s="1">
        <f t="shared" si="173"/>
        <v>0</v>
      </c>
      <c r="T450" s="1">
        <f t="shared" si="174"/>
        <v>0</v>
      </c>
      <c r="U450" s="1">
        <f t="shared" si="175"/>
        <v>0</v>
      </c>
      <c r="V450" s="1">
        <f t="shared" si="176"/>
        <v>0</v>
      </c>
      <c r="W450" s="1">
        <f t="shared" si="177"/>
        <v>0</v>
      </c>
      <c r="X450" s="1">
        <f t="shared" si="178"/>
        <v>0</v>
      </c>
      <c r="Y450" s="1">
        <f t="shared" si="179"/>
        <v>0</v>
      </c>
      <c r="Z450" s="1">
        <f t="shared" si="180"/>
        <v>0</v>
      </c>
      <c r="AA450" s="1">
        <f t="shared" si="181"/>
        <v>0</v>
      </c>
      <c r="AB450" s="1">
        <f t="shared" si="182"/>
        <v>0</v>
      </c>
      <c r="AD450" s="1">
        <f t="shared" si="201"/>
        <v>0</v>
      </c>
      <c r="AE450" s="1">
        <f t="shared" si="202"/>
        <v>1</v>
      </c>
      <c r="AF450" s="1">
        <f t="shared" si="169"/>
        <v>0</v>
      </c>
      <c r="AG450" s="1">
        <f t="shared" si="170"/>
        <v>1</v>
      </c>
      <c r="AH450" s="1">
        <f t="shared" si="171"/>
        <v>0</v>
      </c>
      <c r="AI450" s="1">
        <f t="shared" si="172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1136</v>
      </c>
      <c r="E451" s="48" t="s">
        <v>28</v>
      </c>
      <c r="F451" s="48" t="s">
        <v>1137</v>
      </c>
      <c r="G451" s="48" t="s">
        <v>221</v>
      </c>
      <c r="H451" s="48" t="s">
        <v>355</v>
      </c>
      <c r="I451" s="47" t="s">
        <v>1138</v>
      </c>
      <c r="J451" s="47">
        <v>8</v>
      </c>
      <c r="K451" s="49" t="s">
        <v>959</v>
      </c>
      <c r="L451" s="49" t="s">
        <v>717</v>
      </c>
      <c r="M451" s="50" t="s">
        <v>735</v>
      </c>
      <c r="N451" s="50" t="s">
        <v>1809</v>
      </c>
      <c r="O451" s="51"/>
      <c r="P451" s="51"/>
      <c r="Q451" s="48"/>
      <c r="S451" s="1">
        <f t="shared" si="173"/>
        <v>0</v>
      </c>
      <c r="T451" s="1">
        <f t="shared" si="174"/>
        <v>0</v>
      </c>
      <c r="U451" s="1">
        <f t="shared" si="175"/>
        <v>0</v>
      </c>
      <c r="V451" s="1">
        <f t="shared" si="176"/>
        <v>0</v>
      </c>
      <c r="W451" s="1">
        <f t="shared" si="177"/>
        <v>0</v>
      </c>
      <c r="X451" s="1">
        <f t="shared" si="178"/>
        <v>0</v>
      </c>
      <c r="Y451" s="1">
        <f t="shared" si="179"/>
        <v>0</v>
      </c>
      <c r="Z451" s="1">
        <f t="shared" si="180"/>
        <v>1</v>
      </c>
      <c r="AA451" s="1">
        <f t="shared" si="181"/>
        <v>0</v>
      </c>
      <c r="AB451" s="1">
        <f t="shared" si="182"/>
        <v>0</v>
      </c>
      <c r="AD451" s="1">
        <f t="shared" si="183"/>
        <v>0</v>
      </c>
      <c r="AE451" s="1">
        <f t="shared" si="184"/>
        <v>0</v>
      </c>
      <c r="AF451" s="1">
        <f t="shared" si="169"/>
        <v>0</v>
      </c>
      <c r="AG451" s="1">
        <f t="shared" si="170"/>
        <v>0</v>
      </c>
      <c r="AH451" s="1">
        <f t="shared" si="171"/>
        <v>0</v>
      </c>
      <c r="AI451" s="1">
        <f t="shared" si="172"/>
        <v>1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73</v>
      </c>
      <c r="E452" s="48" t="s">
        <v>28</v>
      </c>
      <c r="F452" s="48" t="s">
        <v>265</v>
      </c>
      <c r="G452" s="48" t="s">
        <v>195</v>
      </c>
      <c r="H452" s="48" t="s">
        <v>355</v>
      </c>
      <c r="I452" s="47" t="s">
        <v>422</v>
      </c>
      <c r="J452" s="47">
        <v>9</v>
      </c>
      <c r="K452" s="49" t="s">
        <v>716</v>
      </c>
      <c r="L452" s="49" t="s">
        <v>717</v>
      </c>
      <c r="M452" s="50" t="s">
        <v>735</v>
      </c>
      <c r="N452" s="50" t="s">
        <v>1742</v>
      </c>
      <c r="O452" s="51"/>
      <c r="P452" s="51"/>
      <c r="Q452" s="48"/>
      <c r="S452" s="1">
        <f t="shared" si="173"/>
        <v>0</v>
      </c>
      <c r="T452" s="1">
        <f t="shared" si="174"/>
        <v>0</v>
      </c>
      <c r="U452" s="1">
        <f t="shared" si="175"/>
        <v>0</v>
      </c>
      <c r="V452" s="1">
        <f t="shared" si="176"/>
        <v>0</v>
      </c>
      <c r="W452" s="1">
        <f t="shared" si="177"/>
        <v>0</v>
      </c>
      <c r="X452" s="1">
        <f t="shared" si="178"/>
        <v>0</v>
      </c>
      <c r="Y452" s="1">
        <f t="shared" si="179"/>
        <v>0</v>
      </c>
      <c r="Z452" s="1">
        <f t="shared" si="180"/>
        <v>0</v>
      </c>
      <c r="AA452" s="1">
        <f t="shared" si="181"/>
        <v>1</v>
      </c>
      <c r="AB452" s="1">
        <f t="shared" si="182"/>
        <v>0</v>
      </c>
      <c r="AD452" s="1">
        <f t="shared" si="183"/>
        <v>0</v>
      </c>
      <c r="AE452" s="1">
        <f t="shared" si="184"/>
        <v>0</v>
      </c>
      <c r="AF452" s="1">
        <f t="shared" si="169"/>
        <v>0</v>
      </c>
      <c r="AG452" s="1">
        <f t="shared" si="170"/>
        <v>0</v>
      </c>
      <c r="AH452" s="1">
        <f t="shared" si="171"/>
        <v>0</v>
      </c>
      <c r="AI452" s="1">
        <f t="shared" si="172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59</v>
      </c>
      <c r="E453" s="35" t="s">
        <v>164</v>
      </c>
      <c r="F453" s="35" t="s">
        <v>226</v>
      </c>
      <c r="G453" s="35" t="s">
        <v>227</v>
      </c>
      <c r="H453" s="35" t="s">
        <v>355</v>
      </c>
      <c r="I453" s="34" t="s">
        <v>399</v>
      </c>
      <c r="J453" s="34">
        <v>99</v>
      </c>
      <c r="K453" s="36" t="s">
        <v>717</v>
      </c>
      <c r="L453" s="36" t="s">
        <v>726</v>
      </c>
      <c r="M453" s="37" t="s">
        <v>736</v>
      </c>
      <c r="N453" s="37" t="s">
        <v>1757</v>
      </c>
      <c r="O453" s="38">
        <v>1</v>
      </c>
      <c r="P453" s="38"/>
      <c r="Q453" s="35"/>
      <c r="S453" s="1">
        <f t="shared" si="173"/>
        <v>0</v>
      </c>
      <c r="T453" s="1">
        <f t="shared" si="174"/>
        <v>0</v>
      </c>
      <c r="U453" s="1">
        <f t="shared" si="175"/>
        <v>0</v>
      </c>
      <c r="V453" s="1">
        <f t="shared" si="176"/>
        <v>0</v>
      </c>
      <c r="W453" s="1">
        <f t="shared" si="177"/>
        <v>0</v>
      </c>
      <c r="X453" s="1">
        <f t="shared" si="178"/>
        <v>0</v>
      </c>
      <c r="Y453" s="1">
        <f t="shared" si="179"/>
        <v>0</v>
      </c>
      <c r="Z453" s="1">
        <f t="shared" si="180"/>
        <v>0</v>
      </c>
      <c r="AA453" s="1">
        <f t="shared" si="181"/>
        <v>0</v>
      </c>
      <c r="AB453" s="1">
        <f t="shared" si="182"/>
        <v>0</v>
      </c>
      <c r="AD453" s="1">
        <f t="shared" si="183"/>
        <v>0</v>
      </c>
      <c r="AE453" s="1">
        <f t="shared" si="184"/>
        <v>1</v>
      </c>
      <c r="AF453" s="1">
        <f t="shared" si="169"/>
        <v>0</v>
      </c>
      <c r="AG453" s="1">
        <f t="shared" si="170"/>
        <v>1</v>
      </c>
      <c r="AH453" s="1">
        <f t="shared" si="171"/>
        <v>0</v>
      </c>
      <c r="AI453" s="1">
        <f t="shared" si="172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1079</v>
      </c>
      <c r="E454" s="35" t="s">
        <v>157</v>
      </c>
      <c r="F454" s="35" t="s">
        <v>1080</v>
      </c>
      <c r="G454" s="35" t="s">
        <v>221</v>
      </c>
      <c r="H454" s="35" t="s">
        <v>355</v>
      </c>
      <c r="I454" s="34" t="s">
        <v>1081</v>
      </c>
      <c r="J454" s="34">
        <v>8</v>
      </c>
      <c r="K454" s="36" t="s">
        <v>716</v>
      </c>
      <c r="L454" s="36" t="s">
        <v>726</v>
      </c>
      <c r="M454" s="37" t="s">
        <v>736</v>
      </c>
      <c r="N454" s="37" t="s">
        <v>1755</v>
      </c>
      <c r="O454" s="38">
        <v>1</v>
      </c>
      <c r="P454" s="38"/>
      <c r="Q454" s="35"/>
      <c r="S454" s="1">
        <f t="shared" si="173"/>
        <v>0</v>
      </c>
      <c r="T454" s="1">
        <f t="shared" si="174"/>
        <v>0</v>
      </c>
      <c r="U454" s="1">
        <f t="shared" si="175"/>
        <v>0</v>
      </c>
      <c r="V454" s="1">
        <f t="shared" si="176"/>
        <v>0</v>
      </c>
      <c r="W454" s="1">
        <f t="shared" si="177"/>
        <v>0</v>
      </c>
      <c r="X454" s="1">
        <f t="shared" si="178"/>
        <v>0</v>
      </c>
      <c r="Y454" s="1">
        <f t="shared" si="179"/>
        <v>0</v>
      </c>
      <c r="Z454" s="1">
        <f t="shared" si="180"/>
        <v>1</v>
      </c>
      <c r="AA454" s="1">
        <f t="shared" si="181"/>
        <v>0</v>
      </c>
      <c r="AB454" s="1">
        <f t="shared" si="182"/>
        <v>0</v>
      </c>
      <c r="AD454" s="1">
        <f t="shared" si="183"/>
        <v>0</v>
      </c>
      <c r="AE454" s="1">
        <f t="shared" si="184"/>
        <v>1</v>
      </c>
      <c r="AF454" s="1">
        <f t="shared" si="169"/>
        <v>0</v>
      </c>
      <c r="AG454" s="1">
        <f t="shared" si="170"/>
        <v>1</v>
      </c>
      <c r="AH454" s="1">
        <f t="shared" si="171"/>
        <v>0</v>
      </c>
      <c r="AI454" s="1">
        <f t="shared" si="172"/>
        <v>1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81</v>
      </c>
      <c r="E455" s="35" t="s">
        <v>157</v>
      </c>
      <c r="F455" s="35" t="s">
        <v>274</v>
      </c>
      <c r="G455" s="35" t="s">
        <v>255</v>
      </c>
      <c r="H455" s="35" t="s">
        <v>355</v>
      </c>
      <c r="I455" s="34" t="s">
        <v>429</v>
      </c>
      <c r="J455" s="34">
        <v>99</v>
      </c>
      <c r="K455" s="36" t="s">
        <v>717</v>
      </c>
      <c r="L455" s="36" t="s">
        <v>737</v>
      </c>
      <c r="M455" s="37" t="s">
        <v>738</v>
      </c>
      <c r="N455" s="37" t="s">
        <v>1763</v>
      </c>
      <c r="O455" s="38">
        <v>1</v>
      </c>
      <c r="P455" s="38"/>
      <c r="Q455" s="35"/>
      <c r="S455" s="1">
        <f t="shared" si="173"/>
        <v>0</v>
      </c>
      <c r="T455" s="1">
        <f t="shared" si="174"/>
        <v>0</v>
      </c>
      <c r="U455" s="1">
        <f t="shared" si="175"/>
        <v>0</v>
      </c>
      <c r="V455" s="1">
        <f t="shared" si="176"/>
        <v>0</v>
      </c>
      <c r="W455" s="1">
        <f t="shared" si="177"/>
        <v>0</v>
      </c>
      <c r="X455" s="1">
        <f t="shared" si="178"/>
        <v>0</v>
      </c>
      <c r="Y455" s="1">
        <f t="shared" si="179"/>
        <v>0</v>
      </c>
      <c r="Z455" s="1">
        <f t="shared" si="180"/>
        <v>0</v>
      </c>
      <c r="AA455" s="1">
        <f t="shared" si="181"/>
        <v>0</v>
      </c>
      <c r="AB455" s="1">
        <f t="shared" si="182"/>
        <v>0</v>
      </c>
      <c r="AD455" s="1">
        <f t="shared" si="183"/>
        <v>0</v>
      </c>
      <c r="AE455" s="1">
        <f t="shared" si="184"/>
        <v>1</v>
      </c>
      <c r="AF455" s="1">
        <f t="shared" si="169"/>
        <v>0</v>
      </c>
      <c r="AG455" s="1">
        <f t="shared" si="170"/>
        <v>1</v>
      </c>
      <c r="AH455" s="1">
        <f t="shared" si="171"/>
        <v>0</v>
      </c>
      <c r="AI455" s="1">
        <f t="shared" si="172"/>
        <v>1</v>
      </c>
    </row>
    <row r="456" spans="1:35" ht="14.25" customHeight="1" x14ac:dyDescent="0.25">
      <c r="A456" s="40">
        <v>0</v>
      </c>
      <c r="B456" s="40">
        <v>2</v>
      </c>
      <c r="C456" s="40">
        <v>7</v>
      </c>
      <c r="D456" s="39" t="s">
        <v>1782</v>
      </c>
      <c r="E456" s="39" t="s">
        <v>1783</v>
      </c>
      <c r="F456" s="39" t="s">
        <v>1784</v>
      </c>
      <c r="G456" s="39" t="s">
        <v>191</v>
      </c>
      <c r="H456" s="39" t="s">
        <v>355</v>
      </c>
      <c r="I456" s="40"/>
      <c r="J456" s="40"/>
      <c r="K456" s="36" t="s">
        <v>707</v>
      </c>
      <c r="L456" s="36"/>
      <c r="M456" s="37"/>
      <c r="N456" s="37" t="s">
        <v>1734</v>
      </c>
      <c r="O456" s="38">
        <v>1</v>
      </c>
      <c r="P456" s="38">
        <v>1</v>
      </c>
      <c r="Q456" s="39"/>
      <c r="S456" s="1">
        <f t="shared" si="173"/>
        <v>0</v>
      </c>
      <c r="T456" s="1">
        <f t="shared" si="174"/>
        <v>0</v>
      </c>
      <c r="U456" s="1">
        <f t="shared" si="175"/>
        <v>0</v>
      </c>
      <c r="V456" s="1">
        <f t="shared" si="176"/>
        <v>0</v>
      </c>
      <c r="W456" s="1">
        <f t="shared" si="177"/>
        <v>0</v>
      </c>
      <c r="X456" s="1">
        <f t="shared" si="178"/>
        <v>0</v>
      </c>
      <c r="Y456" s="1">
        <f t="shared" si="179"/>
        <v>0</v>
      </c>
      <c r="Z456" s="1">
        <f t="shared" si="180"/>
        <v>0</v>
      </c>
      <c r="AA456" s="1">
        <f t="shared" si="181"/>
        <v>0</v>
      </c>
      <c r="AB456" s="1">
        <f t="shared" si="182"/>
        <v>0</v>
      </c>
      <c r="AD456" s="1">
        <f t="shared" si="183"/>
        <v>1</v>
      </c>
      <c r="AE456" s="1">
        <f t="shared" si="184"/>
        <v>0</v>
      </c>
      <c r="AF456" s="1">
        <f t="shared" si="169"/>
        <v>1</v>
      </c>
      <c r="AG456" s="1">
        <f t="shared" si="170"/>
        <v>0</v>
      </c>
      <c r="AH456" s="1">
        <f t="shared" si="171"/>
        <v>1</v>
      </c>
      <c r="AI456" s="1">
        <f t="shared" si="172"/>
        <v>0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516</v>
      </c>
      <c r="E457" s="48" t="s">
        <v>157</v>
      </c>
      <c r="F457" s="48" t="s">
        <v>576</v>
      </c>
      <c r="G457" s="48" t="s">
        <v>322</v>
      </c>
      <c r="H457" s="48" t="s">
        <v>355</v>
      </c>
      <c r="I457" s="47" t="s">
        <v>583</v>
      </c>
      <c r="J457" s="47">
        <v>99</v>
      </c>
      <c r="K457" s="49" t="s">
        <v>958</v>
      </c>
      <c r="L457" s="49" t="s">
        <v>726</v>
      </c>
      <c r="M457" s="50" t="s">
        <v>736</v>
      </c>
      <c r="N457" s="50" t="s">
        <v>1745</v>
      </c>
      <c r="O457" s="51"/>
      <c r="P457" s="51"/>
      <c r="Q457" s="48"/>
      <c r="S457" s="1">
        <f t="shared" si="173"/>
        <v>0</v>
      </c>
      <c r="T457" s="1">
        <f t="shared" si="174"/>
        <v>0</v>
      </c>
      <c r="U457" s="1">
        <f t="shared" si="175"/>
        <v>0</v>
      </c>
      <c r="V457" s="1">
        <f t="shared" si="176"/>
        <v>0</v>
      </c>
      <c r="W457" s="1">
        <f t="shared" si="177"/>
        <v>0</v>
      </c>
      <c r="X457" s="1">
        <f t="shared" si="178"/>
        <v>0</v>
      </c>
      <c r="Y457" s="1">
        <f t="shared" si="179"/>
        <v>0</v>
      </c>
      <c r="Z457" s="1">
        <f t="shared" si="180"/>
        <v>0</v>
      </c>
      <c r="AA457" s="1">
        <f t="shared" si="181"/>
        <v>0</v>
      </c>
      <c r="AB457" s="1">
        <f t="shared" si="182"/>
        <v>0</v>
      </c>
      <c r="AD457" s="1">
        <f t="shared" si="183"/>
        <v>0</v>
      </c>
      <c r="AE457" s="1">
        <f t="shared" si="184"/>
        <v>0</v>
      </c>
      <c r="AF457" s="1">
        <f t="shared" si="169"/>
        <v>0</v>
      </c>
      <c r="AG457" s="1">
        <f t="shared" si="170"/>
        <v>0</v>
      </c>
      <c r="AH457" s="1">
        <f t="shared" si="171"/>
        <v>0</v>
      </c>
      <c r="AI457" s="1">
        <f t="shared" si="172"/>
        <v>1</v>
      </c>
    </row>
    <row r="458" spans="1:35" ht="14.25" customHeight="1" x14ac:dyDescent="0.25">
      <c r="A458" s="47">
        <v>0</v>
      </c>
      <c r="B458" s="47">
        <v>2</v>
      </c>
      <c r="C458" s="47">
        <v>7</v>
      </c>
      <c r="D458" s="48" t="s">
        <v>74</v>
      </c>
      <c r="E458" s="48" t="s">
        <v>157</v>
      </c>
      <c r="F458" s="48" t="s">
        <v>678</v>
      </c>
      <c r="G458" s="48" t="s">
        <v>266</v>
      </c>
      <c r="H458" s="48" t="s">
        <v>355</v>
      </c>
      <c r="I458" s="47" t="s">
        <v>423</v>
      </c>
      <c r="J458" s="47">
        <v>99</v>
      </c>
      <c r="K458" s="49" t="s">
        <v>716</v>
      </c>
      <c r="L458" s="49" t="s">
        <v>733</v>
      </c>
      <c r="M458" s="50" t="s">
        <v>736</v>
      </c>
      <c r="N458" s="50" t="s">
        <v>1742</v>
      </c>
      <c r="O458" s="51"/>
      <c r="P458" s="51"/>
      <c r="Q458" s="48"/>
      <c r="S458" s="1">
        <f t="shared" si="173"/>
        <v>0</v>
      </c>
      <c r="T458" s="1">
        <f t="shared" si="174"/>
        <v>0</v>
      </c>
      <c r="U458" s="1">
        <f t="shared" si="175"/>
        <v>0</v>
      </c>
      <c r="V458" s="1">
        <f t="shared" si="176"/>
        <v>0</v>
      </c>
      <c r="W458" s="1">
        <f t="shared" si="177"/>
        <v>0</v>
      </c>
      <c r="X458" s="1">
        <f t="shared" si="178"/>
        <v>0</v>
      </c>
      <c r="Y458" s="1">
        <f t="shared" si="179"/>
        <v>0</v>
      </c>
      <c r="Z458" s="1">
        <f t="shared" si="180"/>
        <v>0</v>
      </c>
      <c r="AA458" s="1">
        <f t="shared" si="181"/>
        <v>0</v>
      </c>
      <c r="AB458" s="1">
        <f t="shared" si="182"/>
        <v>0</v>
      </c>
      <c r="AD458" s="1">
        <f t="shared" ref="AD458:AD461" si="203">+O458*P458</f>
        <v>0</v>
      </c>
      <c r="AE458" s="1">
        <f t="shared" ref="AE458:AE461" si="204">O458*(1-P458)</f>
        <v>0</v>
      </c>
      <c r="AF458" s="1">
        <f t="shared" si="169"/>
        <v>0</v>
      </c>
      <c r="AG458" s="1">
        <f t="shared" si="170"/>
        <v>0</v>
      </c>
      <c r="AH458" s="1">
        <f t="shared" si="171"/>
        <v>0</v>
      </c>
      <c r="AI458" s="1">
        <f t="shared" si="172"/>
        <v>1</v>
      </c>
    </row>
    <row r="459" spans="1:35" ht="14.25" customHeight="1" x14ac:dyDescent="0.25">
      <c r="A459" s="15">
        <v>0</v>
      </c>
      <c r="B459" s="15">
        <v>2</v>
      </c>
      <c r="C459" s="15">
        <v>7</v>
      </c>
      <c r="D459" s="20" t="s">
        <v>1865</v>
      </c>
      <c r="E459" s="16" t="s">
        <v>157</v>
      </c>
      <c r="F459" s="20" t="s">
        <v>1866</v>
      </c>
      <c r="G459" s="20" t="s">
        <v>284</v>
      </c>
      <c r="H459" s="20" t="s">
        <v>355</v>
      </c>
      <c r="I459" s="21" t="s">
        <v>1867</v>
      </c>
      <c r="J459" s="15">
        <v>99</v>
      </c>
      <c r="K459" s="10" t="s">
        <v>707</v>
      </c>
      <c r="L459" s="10" t="s">
        <v>726</v>
      </c>
      <c r="M459" s="19" t="s">
        <v>736</v>
      </c>
      <c r="N459" s="19"/>
      <c r="Q459" s="20"/>
      <c r="S459" s="1">
        <f t="shared" si="173"/>
        <v>0</v>
      </c>
      <c r="T459" s="1">
        <f t="shared" si="174"/>
        <v>0</v>
      </c>
      <c r="U459" s="1">
        <f t="shared" si="175"/>
        <v>0</v>
      </c>
      <c r="V459" s="1">
        <f t="shared" si="176"/>
        <v>0</v>
      </c>
      <c r="W459" s="1">
        <f t="shared" si="177"/>
        <v>0</v>
      </c>
      <c r="X459" s="1">
        <f t="shared" si="178"/>
        <v>0</v>
      </c>
      <c r="Y459" s="1">
        <f t="shared" si="179"/>
        <v>0</v>
      </c>
      <c r="Z459" s="1">
        <f t="shared" si="180"/>
        <v>0</v>
      </c>
      <c r="AA459" s="1">
        <f t="shared" si="181"/>
        <v>0</v>
      </c>
      <c r="AB459" s="1">
        <f t="shared" si="182"/>
        <v>0</v>
      </c>
      <c r="AD459" s="1">
        <f t="shared" si="203"/>
        <v>0</v>
      </c>
      <c r="AE459" s="1">
        <f t="shared" si="204"/>
        <v>0</v>
      </c>
      <c r="AF459" s="1">
        <f t="shared" si="169"/>
        <v>0</v>
      </c>
      <c r="AG459" s="1">
        <f t="shared" si="170"/>
        <v>0</v>
      </c>
      <c r="AH459" s="1">
        <f t="shared" si="171"/>
        <v>0</v>
      </c>
      <c r="AI459" s="1">
        <f t="shared" si="172"/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60</v>
      </c>
      <c r="E460" s="35" t="s">
        <v>164</v>
      </c>
      <c r="F460" s="35" t="s">
        <v>228</v>
      </c>
      <c r="G460" s="35" t="s">
        <v>191</v>
      </c>
      <c r="H460" s="35" t="s">
        <v>355</v>
      </c>
      <c r="I460" s="34" t="s">
        <v>400</v>
      </c>
      <c r="J460" s="34">
        <v>99</v>
      </c>
      <c r="K460" s="36" t="s">
        <v>717</v>
      </c>
      <c r="L460" s="36" t="s">
        <v>726</v>
      </c>
      <c r="M460" s="37" t="s">
        <v>736</v>
      </c>
      <c r="N460" s="37" t="s">
        <v>1755</v>
      </c>
      <c r="O460" s="38">
        <v>1</v>
      </c>
      <c r="P460" s="38"/>
      <c r="Q460" s="35"/>
      <c r="S460" s="1">
        <f t="shared" si="173"/>
        <v>0</v>
      </c>
      <c r="T460" s="1">
        <f t="shared" si="174"/>
        <v>0</v>
      </c>
      <c r="U460" s="1">
        <f t="shared" si="175"/>
        <v>0</v>
      </c>
      <c r="V460" s="1">
        <f t="shared" si="176"/>
        <v>0</v>
      </c>
      <c r="W460" s="1">
        <f t="shared" si="177"/>
        <v>0</v>
      </c>
      <c r="X460" s="1">
        <f t="shared" si="178"/>
        <v>0</v>
      </c>
      <c r="Y460" s="1">
        <f t="shared" si="179"/>
        <v>0</v>
      </c>
      <c r="Z460" s="1">
        <f t="shared" si="180"/>
        <v>0</v>
      </c>
      <c r="AA460" s="1">
        <f t="shared" si="181"/>
        <v>0</v>
      </c>
      <c r="AB460" s="1">
        <f t="shared" si="182"/>
        <v>0</v>
      </c>
      <c r="AD460" s="1">
        <f t="shared" si="203"/>
        <v>0</v>
      </c>
      <c r="AE460" s="1">
        <f t="shared" si="204"/>
        <v>1</v>
      </c>
      <c r="AF460" s="1">
        <f t="shared" ref="AF460:AF477" si="205">+O460*P460*(1-A460)</f>
        <v>0</v>
      </c>
      <c r="AG460" s="1">
        <f t="shared" ref="AG460:AG477" si="206">O460*(1-P460)*(1-A460)</f>
        <v>1</v>
      </c>
      <c r="AH460" s="1">
        <f t="shared" ref="AH460:AH477" si="207">+P460*(1-A460)</f>
        <v>0</v>
      </c>
      <c r="AI460" s="1">
        <f t="shared" ref="AI460:AI477" si="208">+(1-A460)*(1-P460)</f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1336</v>
      </c>
      <c r="E461" s="35" t="s">
        <v>157</v>
      </c>
      <c r="F461" s="35" t="s">
        <v>1149</v>
      </c>
      <c r="G461" s="35" t="s">
        <v>193</v>
      </c>
      <c r="H461" s="35" t="s">
        <v>355</v>
      </c>
      <c r="I461" s="34" t="s">
        <v>1376</v>
      </c>
      <c r="J461" s="34">
        <v>99</v>
      </c>
      <c r="K461" s="36" t="s">
        <v>716</v>
      </c>
      <c r="L461" s="36" t="s">
        <v>39</v>
      </c>
      <c r="M461" s="37" t="s">
        <v>39</v>
      </c>
      <c r="N461" s="37" t="s">
        <v>1734</v>
      </c>
      <c r="O461" s="38">
        <v>1</v>
      </c>
      <c r="P461" s="38">
        <v>1</v>
      </c>
      <c r="Q461" s="35"/>
      <c r="S461" s="1">
        <f t="shared" si="173"/>
        <v>0</v>
      </c>
      <c r="T461" s="1">
        <f t="shared" si="174"/>
        <v>0</v>
      </c>
      <c r="U461" s="1">
        <f t="shared" si="175"/>
        <v>0</v>
      </c>
      <c r="V461" s="1">
        <f t="shared" si="176"/>
        <v>0</v>
      </c>
      <c r="W461" s="1">
        <f t="shared" si="177"/>
        <v>0</v>
      </c>
      <c r="X461" s="1">
        <f t="shared" si="178"/>
        <v>0</v>
      </c>
      <c r="Y461" s="1">
        <f t="shared" si="179"/>
        <v>0</v>
      </c>
      <c r="Z461" s="1">
        <f t="shared" si="180"/>
        <v>0</v>
      </c>
      <c r="AA461" s="1">
        <f t="shared" si="181"/>
        <v>0</v>
      </c>
      <c r="AB461" s="1">
        <f t="shared" si="182"/>
        <v>0</v>
      </c>
      <c r="AD461" s="1">
        <f t="shared" si="203"/>
        <v>1</v>
      </c>
      <c r="AE461" s="1">
        <f t="shared" si="204"/>
        <v>0</v>
      </c>
      <c r="AF461" s="1">
        <f t="shared" si="205"/>
        <v>1</v>
      </c>
      <c r="AG461" s="1">
        <f t="shared" si="206"/>
        <v>0</v>
      </c>
      <c r="AH461" s="1">
        <f t="shared" si="207"/>
        <v>1</v>
      </c>
      <c r="AI461" s="1">
        <f t="shared" si="208"/>
        <v>0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591</v>
      </c>
      <c r="E462" s="35" t="s">
        <v>1344</v>
      </c>
      <c r="F462" s="35" t="s">
        <v>679</v>
      </c>
      <c r="G462" s="35" t="s">
        <v>241</v>
      </c>
      <c r="H462" s="35" t="s">
        <v>355</v>
      </c>
      <c r="I462" s="34" t="s">
        <v>406</v>
      </c>
      <c r="J462" s="34">
        <v>1</v>
      </c>
      <c r="K462" s="36" t="s">
        <v>717</v>
      </c>
      <c r="L462" s="36" t="s">
        <v>1718</v>
      </c>
      <c r="M462" s="37" t="s">
        <v>1446</v>
      </c>
      <c r="N462" s="37" t="s">
        <v>1755</v>
      </c>
      <c r="O462" s="38">
        <v>1</v>
      </c>
      <c r="P462" s="38"/>
      <c r="Q462" s="35"/>
      <c r="S462" s="1">
        <f t="shared" si="173"/>
        <v>1</v>
      </c>
      <c r="T462" s="1">
        <f t="shared" si="174"/>
        <v>0</v>
      </c>
      <c r="U462" s="1">
        <f t="shared" si="175"/>
        <v>0</v>
      </c>
      <c r="V462" s="1">
        <f t="shared" si="176"/>
        <v>0</v>
      </c>
      <c r="W462" s="1">
        <f t="shared" si="177"/>
        <v>0</v>
      </c>
      <c r="X462" s="1">
        <f t="shared" si="178"/>
        <v>0</v>
      </c>
      <c r="Y462" s="1">
        <f t="shared" si="179"/>
        <v>0</v>
      </c>
      <c r="Z462" s="1">
        <f t="shared" si="180"/>
        <v>0</v>
      </c>
      <c r="AA462" s="1">
        <f t="shared" si="181"/>
        <v>0</v>
      </c>
      <c r="AB462" s="1">
        <f t="shared" si="182"/>
        <v>0</v>
      </c>
      <c r="AD462" s="1">
        <f t="shared" ref="AD462" si="209">+O462*P462</f>
        <v>0</v>
      </c>
      <c r="AE462" s="1">
        <f t="shared" ref="AE462" si="210">O462*(1-P462)</f>
        <v>1</v>
      </c>
      <c r="AF462" s="1">
        <f t="shared" si="205"/>
        <v>0</v>
      </c>
      <c r="AG462" s="1">
        <f t="shared" si="206"/>
        <v>1</v>
      </c>
      <c r="AH462" s="1">
        <f t="shared" si="207"/>
        <v>0</v>
      </c>
      <c r="AI462" s="1">
        <f t="shared" si="208"/>
        <v>1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591</v>
      </c>
      <c r="E463" s="35" t="s">
        <v>1344</v>
      </c>
      <c r="F463" s="35" t="s">
        <v>240</v>
      </c>
      <c r="G463" s="35" t="s">
        <v>179</v>
      </c>
      <c r="H463" s="35" t="s">
        <v>355</v>
      </c>
      <c r="I463" s="34" t="s">
        <v>405</v>
      </c>
      <c r="J463" s="34">
        <v>1</v>
      </c>
      <c r="K463" s="36" t="s">
        <v>717</v>
      </c>
      <c r="L463" s="36" t="s">
        <v>1718</v>
      </c>
      <c r="M463" s="37" t="s">
        <v>1446</v>
      </c>
      <c r="N463" s="37" t="s">
        <v>1755</v>
      </c>
      <c r="O463" s="38">
        <v>1</v>
      </c>
      <c r="P463" s="38"/>
      <c r="Q463" s="39" t="s">
        <v>1918</v>
      </c>
      <c r="S463" s="1">
        <f t="shared" si="173"/>
        <v>1</v>
      </c>
      <c r="T463" s="1">
        <f t="shared" si="174"/>
        <v>0</v>
      </c>
      <c r="U463" s="1">
        <f t="shared" si="175"/>
        <v>0</v>
      </c>
      <c r="V463" s="1">
        <f t="shared" si="176"/>
        <v>0</v>
      </c>
      <c r="W463" s="1">
        <f t="shared" si="177"/>
        <v>0</v>
      </c>
      <c r="X463" s="1">
        <f t="shared" si="178"/>
        <v>0</v>
      </c>
      <c r="Y463" s="1">
        <f t="shared" si="179"/>
        <v>0</v>
      </c>
      <c r="Z463" s="1">
        <f t="shared" si="180"/>
        <v>0</v>
      </c>
      <c r="AA463" s="1">
        <f t="shared" si="181"/>
        <v>0</v>
      </c>
      <c r="AB463" s="1">
        <f t="shared" si="182"/>
        <v>0</v>
      </c>
      <c r="AD463" s="1">
        <f t="shared" si="183"/>
        <v>0</v>
      </c>
      <c r="AE463" s="1">
        <f t="shared" si="184"/>
        <v>1</v>
      </c>
      <c r="AF463" s="1">
        <f t="shared" si="205"/>
        <v>0</v>
      </c>
      <c r="AG463" s="1">
        <f t="shared" si="206"/>
        <v>0</v>
      </c>
      <c r="AH463" s="1">
        <f t="shared" si="207"/>
        <v>0</v>
      </c>
      <c r="AI463" s="1">
        <f t="shared" si="208"/>
        <v>0</v>
      </c>
    </row>
    <row r="464" spans="1:35" ht="14.25" customHeight="1" x14ac:dyDescent="0.25">
      <c r="A464" s="34">
        <v>0</v>
      </c>
      <c r="B464" s="34">
        <v>2</v>
      </c>
      <c r="C464" s="34">
        <v>7</v>
      </c>
      <c r="D464" s="35" t="s">
        <v>1337</v>
      </c>
      <c r="E464" s="35" t="s">
        <v>157</v>
      </c>
      <c r="F464" s="35" t="s">
        <v>1363</v>
      </c>
      <c r="G464" s="35" t="s">
        <v>259</v>
      </c>
      <c r="H464" s="35" t="s">
        <v>355</v>
      </c>
      <c r="I464" s="34" t="s">
        <v>1246</v>
      </c>
      <c r="J464" s="34">
        <v>8</v>
      </c>
      <c r="K464" s="36" t="s">
        <v>959</v>
      </c>
      <c r="L464" s="36" t="s">
        <v>726</v>
      </c>
      <c r="M464" s="37" t="s">
        <v>736</v>
      </c>
      <c r="N464" s="37" t="s">
        <v>1755</v>
      </c>
      <c r="O464" s="38">
        <v>1</v>
      </c>
      <c r="P464" s="38"/>
      <c r="Q464" s="35"/>
      <c r="S464" s="1">
        <f t="shared" si="173"/>
        <v>0</v>
      </c>
      <c r="T464" s="1">
        <f t="shared" si="174"/>
        <v>0</v>
      </c>
      <c r="U464" s="1">
        <f t="shared" si="175"/>
        <v>0</v>
      </c>
      <c r="V464" s="1">
        <f t="shared" si="176"/>
        <v>0</v>
      </c>
      <c r="W464" s="1">
        <f t="shared" si="177"/>
        <v>0</v>
      </c>
      <c r="X464" s="1">
        <f t="shared" si="178"/>
        <v>0</v>
      </c>
      <c r="Y464" s="1">
        <f t="shared" si="179"/>
        <v>0</v>
      </c>
      <c r="Z464" s="1">
        <f t="shared" si="180"/>
        <v>1</v>
      </c>
      <c r="AA464" s="1">
        <f t="shared" si="181"/>
        <v>0</v>
      </c>
      <c r="AB464" s="1">
        <f t="shared" si="182"/>
        <v>0</v>
      </c>
      <c r="AD464" s="1">
        <f t="shared" si="183"/>
        <v>0</v>
      </c>
      <c r="AE464" s="1">
        <f t="shared" si="184"/>
        <v>1</v>
      </c>
      <c r="AF464" s="1">
        <f t="shared" si="205"/>
        <v>0</v>
      </c>
      <c r="AG464" s="1">
        <f t="shared" si="206"/>
        <v>1</v>
      </c>
      <c r="AH464" s="1">
        <f t="shared" si="207"/>
        <v>0</v>
      </c>
      <c r="AI464" s="1">
        <f t="shared" si="208"/>
        <v>1</v>
      </c>
    </row>
    <row r="465" spans="1:35" ht="14.25" customHeight="1" x14ac:dyDescent="0.25">
      <c r="A465" s="34">
        <v>1</v>
      </c>
      <c r="B465" s="34">
        <v>2</v>
      </c>
      <c r="C465" s="34">
        <v>7</v>
      </c>
      <c r="D465" s="35" t="s">
        <v>1337</v>
      </c>
      <c r="E465" s="35" t="s">
        <v>157</v>
      </c>
      <c r="F465" s="35" t="s">
        <v>1225</v>
      </c>
      <c r="G465" s="35" t="s">
        <v>219</v>
      </c>
      <c r="H465" s="35" t="s">
        <v>355</v>
      </c>
      <c r="I465" s="34" t="s">
        <v>1246</v>
      </c>
      <c r="J465" s="34">
        <v>99</v>
      </c>
      <c r="K465" s="36" t="s">
        <v>959</v>
      </c>
      <c r="L465" s="36" t="s">
        <v>726</v>
      </c>
      <c r="M465" s="37" t="s">
        <v>736</v>
      </c>
      <c r="N465" s="37" t="s">
        <v>1755</v>
      </c>
      <c r="O465" s="38">
        <v>1</v>
      </c>
      <c r="P465" s="38"/>
      <c r="Q465" s="35"/>
      <c r="S465" s="1">
        <f t="shared" si="173"/>
        <v>0</v>
      </c>
      <c r="T465" s="1">
        <f t="shared" si="174"/>
        <v>0</v>
      </c>
      <c r="U465" s="1">
        <f t="shared" si="175"/>
        <v>0</v>
      </c>
      <c r="V465" s="1">
        <f t="shared" si="176"/>
        <v>0</v>
      </c>
      <c r="W465" s="1">
        <f t="shared" si="177"/>
        <v>0</v>
      </c>
      <c r="X465" s="1">
        <f t="shared" si="178"/>
        <v>0</v>
      </c>
      <c r="Y465" s="1">
        <f t="shared" si="179"/>
        <v>0</v>
      </c>
      <c r="Z465" s="1">
        <f t="shared" si="180"/>
        <v>0</v>
      </c>
      <c r="AA465" s="1">
        <f t="shared" si="181"/>
        <v>0</v>
      </c>
      <c r="AB465" s="1">
        <f t="shared" si="182"/>
        <v>0</v>
      </c>
      <c r="AD465" s="1">
        <f t="shared" si="183"/>
        <v>0</v>
      </c>
      <c r="AE465" s="1">
        <f t="shared" si="184"/>
        <v>1</v>
      </c>
      <c r="AF465" s="1">
        <f t="shared" si="205"/>
        <v>0</v>
      </c>
      <c r="AG465" s="1">
        <f t="shared" si="206"/>
        <v>0</v>
      </c>
      <c r="AH465" s="1">
        <f t="shared" si="207"/>
        <v>0</v>
      </c>
      <c r="AI465" s="1">
        <f t="shared" si="208"/>
        <v>0</v>
      </c>
    </row>
    <row r="466" spans="1:35" ht="14.25" customHeight="1" x14ac:dyDescent="0.25">
      <c r="A466" s="47">
        <v>0</v>
      </c>
      <c r="B466" s="47">
        <v>2</v>
      </c>
      <c r="C466" s="47">
        <v>7</v>
      </c>
      <c r="D466" s="48" t="s">
        <v>1255</v>
      </c>
      <c r="E466" s="48" t="s">
        <v>157</v>
      </c>
      <c r="F466" s="48" t="s">
        <v>1257</v>
      </c>
      <c r="G466" s="48" t="s">
        <v>221</v>
      </c>
      <c r="H466" s="48" t="s">
        <v>355</v>
      </c>
      <c r="I466" s="47" t="s">
        <v>1377</v>
      </c>
      <c r="J466" s="47">
        <v>8</v>
      </c>
      <c r="K466" s="49" t="s">
        <v>958</v>
      </c>
      <c r="L466" s="49" t="s">
        <v>726</v>
      </c>
      <c r="M466" s="50" t="s">
        <v>736</v>
      </c>
      <c r="N466" s="50" t="s">
        <v>1742</v>
      </c>
      <c r="O466" s="51"/>
      <c r="P466" s="51"/>
      <c r="Q466" s="48"/>
      <c r="S466" s="1">
        <f t="shared" si="173"/>
        <v>0</v>
      </c>
      <c r="T466" s="1">
        <f t="shared" si="174"/>
        <v>0</v>
      </c>
      <c r="U466" s="1">
        <f t="shared" si="175"/>
        <v>0</v>
      </c>
      <c r="V466" s="1">
        <f t="shared" si="176"/>
        <v>0</v>
      </c>
      <c r="W466" s="1">
        <f t="shared" si="177"/>
        <v>0</v>
      </c>
      <c r="X466" s="1">
        <f t="shared" si="178"/>
        <v>0</v>
      </c>
      <c r="Y466" s="1">
        <f t="shared" si="179"/>
        <v>0</v>
      </c>
      <c r="Z466" s="1">
        <f t="shared" si="180"/>
        <v>1</v>
      </c>
      <c r="AA466" s="1">
        <f t="shared" si="181"/>
        <v>0</v>
      </c>
      <c r="AB466" s="1">
        <f t="shared" si="182"/>
        <v>0</v>
      </c>
      <c r="AD466" s="1">
        <f t="shared" si="183"/>
        <v>0</v>
      </c>
      <c r="AE466" s="1">
        <f t="shared" si="184"/>
        <v>0</v>
      </c>
      <c r="AF466" s="1">
        <f t="shared" si="205"/>
        <v>0</v>
      </c>
      <c r="AG466" s="1">
        <f t="shared" si="206"/>
        <v>0</v>
      </c>
      <c r="AH466" s="1">
        <f t="shared" si="207"/>
        <v>0</v>
      </c>
      <c r="AI466" s="1">
        <f t="shared" si="208"/>
        <v>1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1255</v>
      </c>
      <c r="E467" s="48" t="s">
        <v>157</v>
      </c>
      <c r="F467" s="48" t="s">
        <v>1364</v>
      </c>
      <c r="G467" s="48" t="s">
        <v>39</v>
      </c>
      <c r="H467" s="48" t="s">
        <v>356</v>
      </c>
      <c r="I467" s="47" t="s">
        <v>1256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1742</v>
      </c>
      <c r="O467" s="51"/>
      <c r="P467" s="51"/>
      <c r="Q467" s="68" t="s">
        <v>1911</v>
      </c>
      <c r="S467" s="1">
        <f t="shared" ref="S467:S477" si="211">IF(J467=$S$7,1,0)</f>
        <v>0</v>
      </c>
      <c r="T467" s="1">
        <f t="shared" ref="T467:T477" si="212">IF(J467=$T$7,1,0)</f>
        <v>0</v>
      </c>
      <c r="U467" s="1">
        <f t="shared" ref="U467:U477" si="213">IF(J467=$U$7,1,0)</f>
        <v>0</v>
      </c>
      <c r="V467" s="1">
        <f t="shared" ref="V467:V477" si="214">IF(J467=$V$7,1,0)</f>
        <v>0</v>
      </c>
      <c r="W467" s="1">
        <f t="shared" ref="W467:W477" si="215">IF(J467=$W$7,1,0)</f>
        <v>0</v>
      </c>
      <c r="X467" s="1">
        <f t="shared" ref="X467:X477" si="216">IF(J467=$X$7,1,0)</f>
        <v>0</v>
      </c>
      <c r="Y467" s="1">
        <f t="shared" ref="Y467:Y477" si="217">IF(J467=$Y$7,1,0)</f>
        <v>0</v>
      </c>
      <c r="Z467" s="1">
        <f t="shared" ref="Z467:Z477" si="218">IF(J467=$Z$7,1,0)</f>
        <v>0</v>
      </c>
      <c r="AA467" s="1">
        <f t="shared" ref="AA467:AA477" si="219">IF(J467=$AA$7,1,0)</f>
        <v>0</v>
      </c>
      <c r="AB467" s="1">
        <f t="shared" ref="AB467:AB477" si="220">IF(J467=$AB$7,1,0)</f>
        <v>0</v>
      </c>
      <c r="AD467" s="1">
        <f>+O467*P467</f>
        <v>0</v>
      </c>
      <c r="AE467" s="1">
        <f>O467*(1-P467)</f>
        <v>0</v>
      </c>
      <c r="AF467" s="1">
        <f t="shared" si="205"/>
        <v>0</v>
      </c>
      <c r="AG467" s="1">
        <f t="shared" si="206"/>
        <v>0</v>
      </c>
      <c r="AH467" s="1">
        <f t="shared" si="207"/>
        <v>0</v>
      </c>
      <c r="AI467" s="1">
        <f t="shared" si="208"/>
        <v>0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1255</v>
      </c>
      <c r="E468" s="48" t="s">
        <v>157</v>
      </c>
      <c r="F468" s="48" t="s">
        <v>1530</v>
      </c>
      <c r="G468" s="48" t="s">
        <v>236</v>
      </c>
      <c r="H468" s="48" t="s">
        <v>355</v>
      </c>
      <c r="I468" s="47" t="s">
        <v>1698</v>
      </c>
      <c r="J468" s="47">
        <v>99</v>
      </c>
      <c r="K468" s="49" t="s">
        <v>958</v>
      </c>
      <c r="L468" s="49" t="s">
        <v>726</v>
      </c>
      <c r="M468" s="50" t="s">
        <v>736</v>
      </c>
      <c r="N468" s="50" t="s">
        <v>1742</v>
      </c>
      <c r="O468" s="51"/>
      <c r="P468" s="51"/>
      <c r="Q468" s="48"/>
      <c r="S468" s="1">
        <f t="shared" si="211"/>
        <v>0</v>
      </c>
      <c r="T468" s="1">
        <f t="shared" si="212"/>
        <v>0</v>
      </c>
      <c r="U468" s="1">
        <f t="shared" si="213"/>
        <v>0</v>
      </c>
      <c r="V468" s="1">
        <f t="shared" si="214"/>
        <v>0</v>
      </c>
      <c r="W468" s="1">
        <f t="shared" si="215"/>
        <v>0</v>
      </c>
      <c r="X468" s="1">
        <f t="shared" si="216"/>
        <v>0</v>
      </c>
      <c r="Y468" s="1">
        <f t="shared" si="217"/>
        <v>0</v>
      </c>
      <c r="Z468" s="1">
        <f t="shared" si="218"/>
        <v>0</v>
      </c>
      <c r="AA468" s="1">
        <f t="shared" si="219"/>
        <v>0</v>
      </c>
      <c r="AB468" s="1">
        <f t="shared" si="220"/>
        <v>0</v>
      </c>
      <c r="AD468" s="1">
        <f>+O468*P468</f>
        <v>0</v>
      </c>
      <c r="AE468" s="1">
        <f>O468*(1-P468)</f>
        <v>0</v>
      </c>
      <c r="AF468" s="1">
        <f t="shared" si="205"/>
        <v>0</v>
      </c>
      <c r="AG468" s="1">
        <f t="shared" si="206"/>
        <v>0</v>
      </c>
      <c r="AH468" s="1">
        <f t="shared" si="207"/>
        <v>0</v>
      </c>
      <c r="AI468" s="1">
        <f t="shared" si="208"/>
        <v>0</v>
      </c>
    </row>
    <row r="469" spans="1:35" ht="14.25" customHeight="1" x14ac:dyDescent="0.25">
      <c r="A469" s="34">
        <v>0</v>
      </c>
      <c r="B469" s="34">
        <v>2</v>
      </c>
      <c r="C469" s="34">
        <v>7</v>
      </c>
      <c r="D469" s="35" t="s">
        <v>1857</v>
      </c>
      <c r="E469" s="35" t="s">
        <v>1858</v>
      </c>
      <c r="F469" s="35" t="s">
        <v>1859</v>
      </c>
      <c r="G469" s="35" t="s">
        <v>266</v>
      </c>
      <c r="H469" s="35" t="s">
        <v>355</v>
      </c>
      <c r="I469" s="34" t="s">
        <v>1860</v>
      </c>
      <c r="J469" s="34">
        <v>99</v>
      </c>
      <c r="K469" s="36" t="s">
        <v>707</v>
      </c>
      <c r="L469" s="36"/>
      <c r="M469" s="37"/>
      <c r="N469" s="37" t="s">
        <v>1734</v>
      </c>
      <c r="O469" s="38">
        <v>1</v>
      </c>
      <c r="P469" s="38">
        <v>1</v>
      </c>
      <c r="Q469" s="35"/>
      <c r="S469" s="1">
        <f t="shared" si="211"/>
        <v>0</v>
      </c>
      <c r="T469" s="1">
        <f t="shared" si="212"/>
        <v>0</v>
      </c>
      <c r="U469" s="1">
        <f t="shared" si="213"/>
        <v>0</v>
      </c>
      <c r="V469" s="1">
        <f t="shared" si="214"/>
        <v>0</v>
      </c>
      <c r="W469" s="1">
        <f t="shared" si="215"/>
        <v>0</v>
      </c>
      <c r="X469" s="1">
        <f t="shared" si="216"/>
        <v>0</v>
      </c>
      <c r="Y469" s="1">
        <f t="shared" si="217"/>
        <v>0</v>
      </c>
      <c r="Z469" s="1">
        <f t="shared" si="218"/>
        <v>0</v>
      </c>
      <c r="AA469" s="1">
        <f t="shared" si="219"/>
        <v>0</v>
      </c>
      <c r="AB469" s="1">
        <f t="shared" si="220"/>
        <v>0</v>
      </c>
      <c r="AD469" s="1">
        <f>+O469*P469</f>
        <v>1</v>
      </c>
      <c r="AE469" s="1">
        <f>O469*(1-P469)</f>
        <v>0</v>
      </c>
      <c r="AF469" s="1">
        <f t="shared" si="205"/>
        <v>1</v>
      </c>
      <c r="AG469" s="1">
        <f t="shared" si="206"/>
        <v>0</v>
      </c>
      <c r="AH469" s="1">
        <f t="shared" si="207"/>
        <v>1</v>
      </c>
      <c r="AI469" s="1">
        <f t="shared" si="208"/>
        <v>0</v>
      </c>
    </row>
    <row r="470" spans="1:35" ht="14.25" customHeight="1" x14ac:dyDescent="0.25">
      <c r="A470" s="47">
        <v>0</v>
      </c>
      <c r="B470" s="47">
        <v>2</v>
      </c>
      <c r="C470" s="47">
        <v>7</v>
      </c>
      <c r="D470" s="48" t="s">
        <v>1250</v>
      </c>
      <c r="E470" s="48" t="s">
        <v>28</v>
      </c>
      <c r="F470" s="48" t="s">
        <v>1243</v>
      </c>
      <c r="G470" s="48" t="s">
        <v>1244</v>
      </c>
      <c r="H470" s="48" t="s">
        <v>355</v>
      </c>
      <c r="I470" s="47" t="s">
        <v>1245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1742</v>
      </c>
      <c r="O470" s="51"/>
      <c r="P470" s="51"/>
      <c r="Q470" s="48"/>
      <c r="S470" s="1">
        <f t="shared" si="211"/>
        <v>0</v>
      </c>
      <c r="T470" s="1">
        <f t="shared" si="212"/>
        <v>0</v>
      </c>
      <c r="U470" s="1">
        <f t="shared" si="213"/>
        <v>0</v>
      </c>
      <c r="V470" s="1">
        <f t="shared" si="214"/>
        <v>0</v>
      </c>
      <c r="W470" s="1">
        <f t="shared" si="215"/>
        <v>0</v>
      </c>
      <c r="X470" s="1">
        <f t="shared" si="216"/>
        <v>0</v>
      </c>
      <c r="Y470" s="1">
        <f t="shared" si="217"/>
        <v>0</v>
      </c>
      <c r="Z470" s="1">
        <f t="shared" si="218"/>
        <v>0</v>
      </c>
      <c r="AA470" s="1">
        <f t="shared" si="219"/>
        <v>0</v>
      </c>
      <c r="AB470" s="1">
        <f t="shared" si="220"/>
        <v>0</v>
      </c>
      <c r="AD470" s="1">
        <f t="shared" ref="AD470:AD477" si="221">+O470*P470</f>
        <v>0</v>
      </c>
      <c r="AE470" s="1">
        <f t="shared" ref="AE470:AE477" si="222">O470*(1-P470)</f>
        <v>0</v>
      </c>
      <c r="AF470" s="1">
        <f t="shared" si="205"/>
        <v>0</v>
      </c>
      <c r="AG470" s="1">
        <f t="shared" si="206"/>
        <v>0</v>
      </c>
      <c r="AH470" s="1">
        <f t="shared" si="207"/>
        <v>0</v>
      </c>
      <c r="AI470" s="1">
        <f t="shared" si="208"/>
        <v>1</v>
      </c>
    </row>
    <row r="471" spans="1:35" ht="14.25" customHeight="1" x14ac:dyDescent="0.25">
      <c r="A471" s="47">
        <v>1</v>
      </c>
      <c r="B471" s="47">
        <v>2</v>
      </c>
      <c r="C471" s="47">
        <v>7</v>
      </c>
      <c r="D471" s="48" t="s">
        <v>1247</v>
      </c>
      <c r="E471" s="48" t="s">
        <v>28</v>
      </c>
      <c r="F471" s="48" t="s">
        <v>1248</v>
      </c>
      <c r="G471" s="48" t="s">
        <v>525</v>
      </c>
      <c r="H471" s="48" t="s">
        <v>355</v>
      </c>
      <c r="I471" s="47" t="s">
        <v>1249</v>
      </c>
      <c r="J471" s="47">
        <v>99</v>
      </c>
      <c r="K471" s="49" t="s">
        <v>716</v>
      </c>
      <c r="L471" s="49" t="s">
        <v>717</v>
      </c>
      <c r="M471" s="50" t="s">
        <v>735</v>
      </c>
      <c r="N471" s="50" t="s">
        <v>1742</v>
      </c>
      <c r="O471" s="51"/>
      <c r="P471" s="51"/>
      <c r="Q471" s="48"/>
      <c r="S471" s="1">
        <f t="shared" si="211"/>
        <v>0</v>
      </c>
      <c r="T471" s="1">
        <f t="shared" si="212"/>
        <v>0</v>
      </c>
      <c r="U471" s="1">
        <f t="shared" si="213"/>
        <v>0</v>
      </c>
      <c r="V471" s="1">
        <f t="shared" si="214"/>
        <v>0</v>
      </c>
      <c r="W471" s="1">
        <f t="shared" si="215"/>
        <v>0</v>
      </c>
      <c r="X471" s="1">
        <f t="shared" si="216"/>
        <v>0</v>
      </c>
      <c r="Y471" s="1">
        <f t="shared" si="217"/>
        <v>0</v>
      </c>
      <c r="Z471" s="1">
        <f t="shared" si="218"/>
        <v>0</v>
      </c>
      <c r="AA471" s="1">
        <f t="shared" si="219"/>
        <v>0</v>
      </c>
      <c r="AB471" s="1">
        <f t="shared" si="220"/>
        <v>0</v>
      </c>
      <c r="AD471" s="1">
        <f t="shared" si="221"/>
        <v>0</v>
      </c>
      <c r="AE471" s="1">
        <f t="shared" si="222"/>
        <v>0</v>
      </c>
      <c r="AF471" s="1">
        <f t="shared" si="205"/>
        <v>0</v>
      </c>
      <c r="AG471" s="1">
        <f t="shared" si="206"/>
        <v>0</v>
      </c>
      <c r="AH471" s="1">
        <f t="shared" si="207"/>
        <v>0</v>
      </c>
      <c r="AI471" s="1">
        <f t="shared" si="208"/>
        <v>0</v>
      </c>
    </row>
    <row r="472" spans="1:35" ht="14.25" customHeight="1" x14ac:dyDescent="0.25">
      <c r="A472" s="34">
        <v>0</v>
      </c>
      <c r="B472" s="34">
        <v>2</v>
      </c>
      <c r="C472" s="34">
        <v>7</v>
      </c>
      <c r="D472" s="35" t="s">
        <v>1853</v>
      </c>
      <c r="E472" s="35" t="s">
        <v>1175</v>
      </c>
      <c r="F472" s="35" t="s">
        <v>1854</v>
      </c>
      <c r="G472" s="35"/>
      <c r="H472" s="35" t="s">
        <v>355</v>
      </c>
      <c r="I472" s="34" t="s">
        <v>1855</v>
      </c>
      <c r="J472" s="34">
        <v>6</v>
      </c>
      <c r="K472" s="36" t="s">
        <v>707</v>
      </c>
      <c r="L472" s="36"/>
      <c r="M472" s="37"/>
      <c r="N472" s="37" t="s">
        <v>1755</v>
      </c>
      <c r="O472" s="38">
        <v>1</v>
      </c>
      <c r="P472" s="38"/>
      <c r="Q472" s="35"/>
      <c r="S472" s="1">
        <f t="shared" si="211"/>
        <v>0</v>
      </c>
      <c r="T472" s="1">
        <f t="shared" si="212"/>
        <v>0</v>
      </c>
      <c r="U472" s="1">
        <f t="shared" si="213"/>
        <v>0</v>
      </c>
      <c r="V472" s="1">
        <f t="shared" si="214"/>
        <v>0</v>
      </c>
      <c r="W472" s="1">
        <f t="shared" si="215"/>
        <v>0</v>
      </c>
      <c r="X472" s="1">
        <f t="shared" si="216"/>
        <v>1</v>
      </c>
      <c r="Y472" s="1">
        <f t="shared" si="217"/>
        <v>0</v>
      </c>
      <c r="Z472" s="1">
        <f t="shared" si="218"/>
        <v>0</v>
      </c>
      <c r="AA472" s="1">
        <f t="shared" si="219"/>
        <v>0</v>
      </c>
      <c r="AB472" s="1">
        <f t="shared" si="220"/>
        <v>0</v>
      </c>
      <c r="AD472" s="1">
        <f t="shared" si="221"/>
        <v>0</v>
      </c>
      <c r="AE472" s="1">
        <f t="shared" si="222"/>
        <v>1</v>
      </c>
      <c r="AF472" s="1">
        <f t="shared" si="205"/>
        <v>0</v>
      </c>
      <c r="AG472" s="1">
        <f t="shared" si="206"/>
        <v>1</v>
      </c>
      <c r="AH472" s="1">
        <f t="shared" si="207"/>
        <v>0</v>
      </c>
      <c r="AI472" s="1">
        <f t="shared" si="208"/>
        <v>1</v>
      </c>
    </row>
    <row r="473" spans="1:35" ht="14.25" customHeight="1" x14ac:dyDescent="0.25">
      <c r="A473" s="47">
        <v>0</v>
      </c>
      <c r="B473" s="47">
        <v>2</v>
      </c>
      <c r="C473" s="47">
        <v>7</v>
      </c>
      <c r="D473" s="48" t="s">
        <v>1465</v>
      </c>
      <c r="E473" s="48" t="s">
        <v>28</v>
      </c>
      <c r="F473" s="48" t="s">
        <v>1466</v>
      </c>
      <c r="G473" s="48" t="s">
        <v>1467</v>
      </c>
      <c r="H473" s="48" t="s">
        <v>355</v>
      </c>
      <c r="I473" s="47" t="s">
        <v>1468</v>
      </c>
      <c r="J473" s="47">
        <v>99</v>
      </c>
      <c r="K473" s="49" t="s">
        <v>716</v>
      </c>
      <c r="L473" s="49" t="s">
        <v>717</v>
      </c>
      <c r="M473" s="50" t="s">
        <v>735</v>
      </c>
      <c r="N473" s="50" t="s">
        <v>1742</v>
      </c>
      <c r="O473" s="51"/>
      <c r="P473" s="51"/>
      <c r="Q473" s="48" t="s">
        <v>1938</v>
      </c>
      <c r="S473" s="1">
        <f t="shared" si="211"/>
        <v>0</v>
      </c>
      <c r="T473" s="1">
        <f t="shared" si="212"/>
        <v>0</v>
      </c>
      <c r="U473" s="1">
        <f t="shared" si="213"/>
        <v>0</v>
      </c>
      <c r="V473" s="1">
        <f t="shared" si="214"/>
        <v>0</v>
      </c>
      <c r="W473" s="1">
        <f t="shared" si="215"/>
        <v>0</v>
      </c>
      <c r="X473" s="1">
        <f t="shared" si="216"/>
        <v>0</v>
      </c>
      <c r="Y473" s="1">
        <f t="shared" si="217"/>
        <v>0</v>
      </c>
      <c r="Z473" s="1">
        <f t="shared" si="218"/>
        <v>0</v>
      </c>
      <c r="AA473" s="1">
        <f t="shared" si="219"/>
        <v>0</v>
      </c>
      <c r="AB473" s="1">
        <f t="shared" si="220"/>
        <v>0</v>
      </c>
      <c r="AD473" s="1">
        <f t="shared" si="221"/>
        <v>0</v>
      </c>
      <c r="AE473" s="1">
        <f t="shared" si="222"/>
        <v>0</v>
      </c>
      <c r="AF473" s="1">
        <f t="shared" si="205"/>
        <v>0</v>
      </c>
      <c r="AG473" s="1">
        <f t="shared" si="206"/>
        <v>0</v>
      </c>
      <c r="AH473" s="1">
        <f t="shared" si="207"/>
        <v>0</v>
      </c>
      <c r="AI473" s="1">
        <f t="shared" si="208"/>
        <v>1</v>
      </c>
    </row>
    <row r="474" spans="1:35" ht="14.25" customHeight="1" x14ac:dyDescent="0.25">
      <c r="A474" s="34">
        <v>0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577</v>
      </c>
      <c r="G474" s="35" t="s">
        <v>236</v>
      </c>
      <c r="H474" s="35" t="s">
        <v>355</v>
      </c>
      <c r="I474" s="34" t="s">
        <v>584</v>
      </c>
      <c r="J474" s="34">
        <v>99</v>
      </c>
      <c r="K474" s="36" t="s">
        <v>716</v>
      </c>
      <c r="L474" s="36" t="s">
        <v>733</v>
      </c>
      <c r="M474" s="37" t="s">
        <v>1447</v>
      </c>
      <c r="N474" s="37" t="s">
        <v>1755</v>
      </c>
      <c r="O474" s="38">
        <v>1</v>
      </c>
      <c r="P474" s="38"/>
      <c r="Q474" s="35"/>
      <c r="S474" s="1">
        <f t="shared" si="211"/>
        <v>0</v>
      </c>
      <c r="T474" s="1">
        <f t="shared" si="212"/>
        <v>0</v>
      </c>
      <c r="U474" s="1">
        <f t="shared" si="213"/>
        <v>0</v>
      </c>
      <c r="V474" s="1">
        <f t="shared" si="214"/>
        <v>0</v>
      </c>
      <c r="W474" s="1">
        <f t="shared" si="215"/>
        <v>0</v>
      </c>
      <c r="X474" s="1">
        <f t="shared" si="216"/>
        <v>0</v>
      </c>
      <c r="Y474" s="1">
        <f t="shared" si="217"/>
        <v>0</v>
      </c>
      <c r="Z474" s="1">
        <f t="shared" si="218"/>
        <v>0</v>
      </c>
      <c r="AA474" s="1">
        <f t="shared" si="219"/>
        <v>0</v>
      </c>
      <c r="AB474" s="1">
        <f t="shared" si="220"/>
        <v>0</v>
      </c>
      <c r="AD474" s="1">
        <f t="shared" si="221"/>
        <v>0</v>
      </c>
      <c r="AE474" s="1">
        <f t="shared" si="222"/>
        <v>1</v>
      </c>
      <c r="AF474" s="1">
        <f t="shared" si="205"/>
        <v>0</v>
      </c>
      <c r="AG474" s="1">
        <f t="shared" si="206"/>
        <v>1</v>
      </c>
      <c r="AH474" s="1">
        <f t="shared" si="207"/>
        <v>0</v>
      </c>
      <c r="AI474" s="1">
        <f t="shared" si="208"/>
        <v>1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272</v>
      </c>
      <c r="G475" s="35" t="s">
        <v>181</v>
      </c>
      <c r="H475" s="35" t="s">
        <v>355</v>
      </c>
      <c r="I475" s="34" t="s">
        <v>427</v>
      </c>
      <c r="J475" s="34">
        <v>10</v>
      </c>
      <c r="K475" s="36" t="s">
        <v>716</v>
      </c>
      <c r="L475" s="36" t="s">
        <v>733</v>
      </c>
      <c r="M475" s="37" t="s">
        <v>1447</v>
      </c>
      <c r="N475" s="37" t="s">
        <v>1755</v>
      </c>
      <c r="O475" s="38">
        <v>1</v>
      </c>
      <c r="P475" s="38"/>
      <c r="Q475" s="35"/>
      <c r="S475" s="1">
        <f t="shared" si="211"/>
        <v>0</v>
      </c>
      <c r="T475" s="1">
        <f t="shared" si="212"/>
        <v>0</v>
      </c>
      <c r="U475" s="1">
        <f t="shared" si="213"/>
        <v>0</v>
      </c>
      <c r="V475" s="1">
        <f t="shared" si="214"/>
        <v>0</v>
      </c>
      <c r="W475" s="1">
        <f t="shared" si="215"/>
        <v>0</v>
      </c>
      <c r="X475" s="1">
        <f t="shared" si="216"/>
        <v>0</v>
      </c>
      <c r="Y475" s="1">
        <f t="shared" si="217"/>
        <v>0</v>
      </c>
      <c r="Z475" s="1">
        <f t="shared" si="218"/>
        <v>0</v>
      </c>
      <c r="AA475" s="1">
        <f t="shared" si="219"/>
        <v>0</v>
      </c>
      <c r="AB475" s="1">
        <f t="shared" si="220"/>
        <v>1</v>
      </c>
      <c r="AD475" s="1">
        <f t="shared" si="221"/>
        <v>0</v>
      </c>
      <c r="AE475" s="1">
        <f t="shared" si="222"/>
        <v>1</v>
      </c>
      <c r="AF475" s="1">
        <f t="shared" si="205"/>
        <v>0</v>
      </c>
      <c r="AG475" s="1">
        <f t="shared" si="206"/>
        <v>0</v>
      </c>
      <c r="AH475" s="1">
        <f t="shared" si="207"/>
        <v>0</v>
      </c>
      <c r="AI475" s="1">
        <f t="shared" si="208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273</v>
      </c>
      <c r="G476" s="35" t="s">
        <v>39</v>
      </c>
      <c r="H476" s="35" t="s">
        <v>355</v>
      </c>
      <c r="I476" s="34" t="s">
        <v>428</v>
      </c>
      <c r="J476" s="34">
        <v>5</v>
      </c>
      <c r="K476" s="36" t="s">
        <v>716</v>
      </c>
      <c r="L476" s="36" t="s">
        <v>733</v>
      </c>
      <c r="M476" s="37" t="s">
        <v>1447</v>
      </c>
      <c r="N476" s="37" t="s">
        <v>1755</v>
      </c>
      <c r="O476" s="38">
        <v>1</v>
      </c>
      <c r="P476" s="38"/>
      <c r="Q476" s="35"/>
      <c r="S476" s="1">
        <f t="shared" si="211"/>
        <v>0</v>
      </c>
      <c r="T476" s="1">
        <f t="shared" si="212"/>
        <v>0</v>
      </c>
      <c r="U476" s="1">
        <f t="shared" si="213"/>
        <v>0</v>
      </c>
      <c r="V476" s="1">
        <f t="shared" si="214"/>
        <v>0</v>
      </c>
      <c r="W476" s="1">
        <f t="shared" si="215"/>
        <v>1</v>
      </c>
      <c r="X476" s="1">
        <f t="shared" si="216"/>
        <v>0</v>
      </c>
      <c r="Y476" s="1">
        <f t="shared" si="217"/>
        <v>0</v>
      </c>
      <c r="Z476" s="1">
        <f t="shared" si="218"/>
        <v>0</v>
      </c>
      <c r="AA476" s="1">
        <f t="shared" si="219"/>
        <v>0</v>
      </c>
      <c r="AB476" s="1">
        <f t="shared" si="220"/>
        <v>0</v>
      </c>
      <c r="AD476" s="1">
        <f t="shared" si="221"/>
        <v>0</v>
      </c>
      <c r="AE476" s="1">
        <f t="shared" si="222"/>
        <v>1</v>
      </c>
      <c r="AF476" s="1">
        <f t="shared" si="205"/>
        <v>0</v>
      </c>
      <c r="AG476" s="1">
        <f t="shared" si="206"/>
        <v>0</v>
      </c>
      <c r="AH476" s="1">
        <f t="shared" si="207"/>
        <v>0</v>
      </c>
      <c r="AI476" s="1">
        <f t="shared" si="208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543</v>
      </c>
      <c r="F477" s="35" t="s">
        <v>277</v>
      </c>
      <c r="G477" s="35" t="s">
        <v>195</v>
      </c>
      <c r="H477" s="35" t="s">
        <v>355</v>
      </c>
      <c r="I477" s="34" t="s">
        <v>432</v>
      </c>
      <c r="J477" s="34">
        <v>9</v>
      </c>
      <c r="K477" s="36" t="s">
        <v>716</v>
      </c>
      <c r="L477" s="36" t="s">
        <v>733</v>
      </c>
      <c r="M477" s="37" t="s">
        <v>1447</v>
      </c>
      <c r="N477" s="37" t="s">
        <v>1755</v>
      </c>
      <c r="O477" s="38">
        <v>1</v>
      </c>
      <c r="P477" s="38"/>
      <c r="Q477" s="35"/>
      <c r="S477" s="1">
        <f t="shared" si="211"/>
        <v>0</v>
      </c>
      <c r="T477" s="1">
        <f t="shared" si="212"/>
        <v>0</v>
      </c>
      <c r="U477" s="1">
        <f t="shared" si="213"/>
        <v>0</v>
      </c>
      <c r="V477" s="1">
        <f t="shared" si="214"/>
        <v>0</v>
      </c>
      <c r="W477" s="1">
        <f t="shared" si="215"/>
        <v>0</v>
      </c>
      <c r="X477" s="1">
        <f t="shared" si="216"/>
        <v>0</v>
      </c>
      <c r="Y477" s="1">
        <f t="shared" si="217"/>
        <v>0</v>
      </c>
      <c r="Z477" s="1">
        <f t="shared" si="218"/>
        <v>0</v>
      </c>
      <c r="AA477" s="1">
        <f t="shared" si="219"/>
        <v>1</v>
      </c>
      <c r="AB477" s="1">
        <f t="shared" si="220"/>
        <v>0</v>
      </c>
      <c r="AD477" s="1">
        <f t="shared" si="221"/>
        <v>0</v>
      </c>
      <c r="AE477" s="1">
        <f t="shared" si="222"/>
        <v>1</v>
      </c>
      <c r="AF477" s="1">
        <f t="shared" si="205"/>
        <v>0</v>
      </c>
      <c r="AG477" s="1">
        <f t="shared" si="206"/>
        <v>0</v>
      </c>
      <c r="AH477" s="1">
        <f t="shared" si="207"/>
        <v>0</v>
      </c>
      <c r="AI477" s="1">
        <f t="shared" si="208"/>
        <v>0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1568</v>
      </c>
      <c r="E478" s="48" t="s">
        <v>28</v>
      </c>
      <c r="F478" s="48" t="s">
        <v>1569</v>
      </c>
      <c r="G478" s="48" t="s">
        <v>239</v>
      </c>
      <c r="H478" s="48" t="s">
        <v>355</v>
      </c>
      <c r="I478" s="47" t="s">
        <v>1702</v>
      </c>
      <c r="J478" s="47">
        <v>4</v>
      </c>
      <c r="K478" s="49" t="s">
        <v>717</v>
      </c>
      <c r="L478" s="49" t="s">
        <v>717</v>
      </c>
      <c r="M478" s="50" t="s">
        <v>735</v>
      </c>
      <c r="N478" s="50" t="s">
        <v>1742</v>
      </c>
      <c r="O478" s="51"/>
      <c r="P478" s="51"/>
      <c r="Q478" s="48"/>
      <c r="S478" s="1">
        <f t="shared" ref="S478:S479" si="223">IF(J478=$S$7,1,0)</f>
        <v>0</v>
      </c>
      <c r="T478" s="1">
        <f t="shared" ref="T478:T479" si="224">IF(J478=$T$7,1,0)</f>
        <v>0</v>
      </c>
      <c r="U478" s="1">
        <f t="shared" ref="U478:U479" si="225">IF(J478=$U$7,1,0)</f>
        <v>0</v>
      </c>
      <c r="V478" s="1">
        <f t="shared" ref="V478:V479" si="226">IF(J478=$V$7,1,0)</f>
        <v>1</v>
      </c>
      <c r="W478" s="1">
        <f t="shared" ref="W478:W479" si="227">IF(J478=$W$7,1,0)</f>
        <v>0</v>
      </c>
      <c r="X478" s="1">
        <f t="shared" ref="X478:X479" si="228">IF(J478=$X$7,1,0)</f>
        <v>0</v>
      </c>
      <c r="Y478" s="1">
        <f t="shared" ref="Y478:Y479" si="229">IF(J478=$Y$7,1,0)</f>
        <v>0</v>
      </c>
      <c r="Z478" s="1">
        <f t="shared" ref="Z478:Z479" si="230">IF(J478=$Z$7,1,0)</f>
        <v>0</v>
      </c>
      <c r="AA478" s="1">
        <f t="shared" ref="AA478:AA479" si="231">IF(J478=$AA$7,1,0)</f>
        <v>0</v>
      </c>
      <c r="AB478" s="1">
        <f t="shared" ref="AB478:AB479" si="232">IF(J478=$AB$7,1,0)</f>
        <v>0</v>
      </c>
      <c r="AD478" s="1">
        <f t="shared" ref="AD478:AD479" si="233">+O478*P478</f>
        <v>0</v>
      </c>
      <c r="AE478" s="1">
        <f t="shared" ref="AE478:AE479" si="234">O478*(1-P478)</f>
        <v>0</v>
      </c>
      <c r="AF478" s="1">
        <f t="shared" ref="AF478:AF479" si="235">+O478*P478*(1-A478)</f>
        <v>0</v>
      </c>
      <c r="AG478" s="1">
        <f t="shared" ref="AG478:AG479" si="236">O478*(1-P478)*(1-A478)</f>
        <v>0</v>
      </c>
      <c r="AH478" s="1">
        <f t="shared" ref="AH478:AH479" si="237">+P478*(1-A478)</f>
        <v>0</v>
      </c>
      <c r="AI478" s="1">
        <f t="shared" ref="AI478:AI479" si="238">+(1-A478)*(1-P478)</f>
        <v>1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63</v>
      </c>
      <c r="E479" s="48" t="s">
        <v>44</v>
      </c>
      <c r="F479" s="48" t="s">
        <v>237</v>
      </c>
      <c r="G479" s="48" t="s">
        <v>201</v>
      </c>
      <c r="H479" s="48" t="s">
        <v>355</v>
      </c>
      <c r="I479" s="47" t="s">
        <v>403</v>
      </c>
      <c r="J479" s="47">
        <v>2</v>
      </c>
      <c r="K479" s="49" t="s">
        <v>717</v>
      </c>
      <c r="L479" s="49" t="s">
        <v>726</v>
      </c>
      <c r="M479" s="50" t="s">
        <v>739</v>
      </c>
      <c r="N479" s="50" t="s">
        <v>1742</v>
      </c>
      <c r="O479" s="51"/>
      <c r="P479" s="51"/>
      <c r="Q479" s="48"/>
      <c r="S479" s="1">
        <f t="shared" si="223"/>
        <v>0</v>
      </c>
      <c r="T479" s="1">
        <f t="shared" si="224"/>
        <v>1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0</v>
      </c>
      <c r="AF479" s="1">
        <f t="shared" si="235"/>
        <v>0</v>
      </c>
      <c r="AG479" s="1">
        <f t="shared" si="236"/>
        <v>0</v>
      </c>
      <c r="AH479" s="1">
        <f t="shared" si="237"/>
        <v>0</v>
      </c>
      <c r="AI479" s="1">
        <f t="shared" si="238"/>
        <v>1</v>
      </c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</sheetData>
  <autoFilter ref="A7:Q479" xr:uid="{AEE30112-88BB-441D-AEFC-A7A733AB1798}">
    <sortState xmlns:xlrd2="http://schemas.microsoft.com/office/spreadsheetml/2017/richdata2" ref="A8:Q455">
      <sortCondition ref="B8:B455"/>
      <sortCondition ref="C8:C455"/>
      <sortCondition ref="D8:D455"/>
      <sortCondition ref="A8:A455"/>
    </sortState>
  </autoFilter>
  <sortState xmlns:xlrd2="http://schemas.microsoft.com/office/spreadsheetml/2017/richdata2" ref="A8:Q479">
    <sortCondition ref="B8:B479"/>
    <sortCondition ref="C8:C479"/>
    <sortCondition ref="D8:D479"/>
    <sortCondition ref="A8:A47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2026-06-07T15:20:55Z</dcterms:modified>
</cp:coreProperties>
</file>