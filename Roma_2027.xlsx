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A7144BC9-555E-446F-A6FE-BFC362E80A9B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golose'!$A$7:$Q$495</definedName>
    <definedName name="_xlnm.Print_Area" localSheetId="0">'Tavole e pause golose'!$D$7:$I$178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236" i="6" l="1"/>
  <c r="AE236" i="6"/>
  <c r="AF236" i="6"/>
  <c r="AG236" i="6"/>
  <c r="AH236" i="6"/>
  <c r="AI236" i="6"/>
  <c r="AD237" i="6"/>
  <c r="AE237" i="6"/>
  <c r="AF237" i="6"/>
  <c r="AG237" i="6"/>
  <c r="AH237" i="6"/>
  <c r="AI237" i="6"/>
  <c r="AD238" i="6"/>
  <c r="AE238" i="6"/>
  <c r="AF238" i="6"/>
  <c r="AG238" i="6"/>
  <c r="AH238" i="6"/>
  <c r="AI238" i="6"/>
  <c r="AD239" i="6"/>
  <c r="AE239" i="6"/>
  <c r="AF239" i="6"/>
  <c r="AG239" i="6"/>
  <c r="AH239" i="6"/>
  <c r="AI239" i="6"/>
  <c r="S236" i="6"/>
  <c r="T236" i="6"/>
  <c r="U236" i="6"/>
  <c r="V236" i="6"/>
  <c r="W236" i="6"/>
  <c r="X236" i="6"/>
  <c r="Y236" i="6"/>
  <c r="Z236" i="6"/>
  <c r="AA236" i="6"/>
  <c r="AB236" i="6"/>
  <c r="AD289" i="6"/>
  <c r="AE289" i="6"/>
  <c r="AF289" i="6"/>
  <c r="AG289" i="6"/>
  <c r="AH289" i="6"/>
  <c r="AI289" i="6"/>
  <c r="AD290" i="6"/>
  <c r="AE290" i="6"/>
  <c r="AF290" i="6"/>
  <c r="AG290" i="6"/>
  <c r="AH290" i="6"/>
  <c r="AI290" i="6"/>
  <c r="AD291" i="6"/>
  <c r="AE291" i="6"/>
  <c r="AF291" i="6"/>
  <c r="AG291" i="6"/>
  <c r="AH291" i="6"/>
  <c r="AI291" i="6"/>
  <c r="AD292" i="6"/>
  <c r="AE292" i="6"/>
  <c r="AF292" i="6"/>
  <c r="AG292" i="6"/>
  <c r="AH292" i="6"/>
  <c r="AI292" i="6"/>
  <c r="AD293" i="6"/>
  <c r="AE293" i="6"/>
  <c r="AF293" i="6"/>
  <c r="AG293" i="6"/>
  <c r="AH293" i="6"/>
  <c r="AI293" i="6"/>
  <c r="S289" i="6"/>
  <c r="T289" i="6"/>
  <c r="AD85" i="6"/>
  <c r="AE85" i="6"/>
  <c r="AF85" i="6"/>
  <c r="AG85" i="6"/>
  <c r="S85" i="6"/>
  <c r="AH85" i="6"/>
  <c r="AI85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AD409" i="6"/>
  <c r="AE409" i="6"/>
  <c r="AF409" i="6"/>
  <c r="AG409" i="6"/>
  <c r="S409" i="6"/>
  <c r="AH409" i="6"/>
  <c r="AI409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AD455" i="6"/>
  <c r="AE455" i="6"/>
  <c r="AF455" i="6"/>
  <c r="AG455" i="6"/>
  <c r="AH455" i="6"/>
  <c r="AI455" i="6"/>
  <c r="AD456" i="6"/>
  <c r="AE456" i="6"/>
  <c r="AF456" i="6"/>
  <c r="AG456" i="6"/>
  <c r="AH456" i="6"/>
  <c r="AI456" i="6"/>
  <c r="AD457" i="6"/>
  <c r="AE457" i="6"/>
  <c r="AF457" i="6"/>
  <c r="AG457" i="6"/>
  <c r="AH457" i="6"/>
  <c r="AI457" i="6"/>
  <c r="AD458" i="6"/>
  <c r="AE458" i="6"/>
  <c r="AF458" i="6"/>
  <c r="AG458" i="6"/>
  <c r="AH458" i="6"/>
  <c r="AI458" i="6"/>
  <c r="S455" i="6"/>
  <c r="AD363" i="6"/>
  <c r="AE363" i="6"/>
  <c r="AF363" i="6"/>
  <c r="AG363" i="6"/>
  <c r="AH363" i="6"/>
  <c r="AI363" i="6"/>
  <c r="AD364" i="6"/>
  <c r="AE364" i="6"/>
  <c r="AF364" i="6"/>
  <c r="AG364" i="6"/>
  <c r="AH364" i="6"/>
  <c r="AI364" i="6"/>
  <c r="AD365" i="6"/>
  <c r="AE365" i="6"/>
  <c r="AF365" i="6"/>
  <c r="AG365" i="6"/>
  <c r="AH365" i="6"/>
  <c r="AI365" i="6"/>
  <c r="S364" i="6"/>
  <c r="AI271" i="6"/>
  <c r="AH271" i="6"/>
  <c r="AG271" i="6"/>
  <c r="AF271" i="6"/>
  <c r="AE271" i="6"/>
  <c r="AD271" i="6"/>
  <c r="S271" i="6"/>
  <c r="AI270" i="6"/>
  <c r="AH270" i="6"/>
  <c r="AG270" i="6"/>
  <c r="AF270" i="6"/>
  <c r="AE270" i="6"/>
  <c r="AD270" i="6"/>
  <c r="S270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AD72" i="6"/>
  <c r="AE72" i="6"/>
  <c r="AF72" i="6"/>
  <c r="AG72" i="6"/>
  <c r="AH72" i="6"/>
  <c r="AI72" i="6"/>
  <c r="AD73" i="6"/>
  <c r="AE73" i="6"/>
  <c r="AF73" i="6"/>
  <c r="AG73" i="6"/>
  <c r="AH73" i="6"/>
  <c r="AI73" i="6"/>
  <c r="AD74" i="6"/>
  <c r="AE74" i="6"/>
  <c r="AF74" i="6"/>
  <c r="AG74" i="6"/>
  <c r="AH74" i="6"/>
  <c r="AI74" i="6"/>
  <c r="AD75" i="6"/>
  <c r="AE75" i="6"/>
  <c r="AF75" i="6"/>
  <c r="AG75" i="6"/>
  <c r="AH75" i="6"/>
  <c r="AI75" i="6"/>
  <c r="S74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AD188" i="6"/>
  <c r="AE188" i="6"/>
  <c r="AF188" i="6"/>
  <c r="AD189" i="6"/>
  <c r="AE189" i="6"/>
  <c r="AF189" i="6"/>
  <c r="AD190" i="6"/>
  <c r="AE190" i="6"/>
  <c r="AF190" i="6"/>
  <c r="AD191" i="6"/>
  <c r="AE191" i="6"/>
  <c r="AF191" i="6"/>
  <c r="AD192" i="6"/>
  <c r="AE192" i="6"/>
  <c r="AF192" i="6"/>
  <c r="S190" i="6"/>
  <c r="AG190" i="6"/>
  <c r="AH190" i="6"/>
  <c r="AI190" i="6"/>
  <c r="S494" i="6"/>
  <c r="AD494" i="6"/>
  <c r="AE494" i="6"/>
  <c r="AF494" i="6"/>
  <c r="AG494" i="6"/>
  <c r="AH494" i="6"/>
  <c r="AI494" i="6"/>
  <c r="S495" i="6"/>
  <c r="AD495" i="6"/>
  <c r="AE495" i="6"/>
  <c r="AF495" i="6"/>
  <c r="AG495" i="6"/>
  <c r="AH495" i="6"/>
  <c r="AI495" i="6"/>
  <c r="AI493" i="6"/>
  <c r="AH493" i="6"/>
  <c r="AG493" i="6"/>
  <c r="AF493" i="6"/>
  <c r="AE493" i="6"/>
  <c r="AD493" i="6"/>
  <c r="AI492" i="6"/>
  <c r="AH492" i="6"/>
  <c r="AG492" i="6"/>
  <c r="AF492" i="6"/>
  <c r="AE492" i="6"/>
  <c r="AD492" i="6"/>
  <c r="AI491" i="6"/>
  <c r="AH491" i="6"/>
  <c r="AG491" i="6"/>
  <c r="AF491" i="6"/>
  <c r="AE491" i="6"/>
  <c r="AD491" i="6"/>
  <c r="AI490" i="6"/>
  <c r="AH490" i="6"/>
  <c r="AG490" i="6"/>
  <c r="AF490" i="6"/>
  <c r="AE490" i="6"/>
  <c r="AD490" i="6"/>
  <c r="AI489" i="6"/>
  <c r="AH489" i="6"/>
  <c r="AG489" i="6"/>
  <c r="AF489" i="6"/>
  <c r="AE489" i="6"/>
  <c r="AD489" i="6"/>
  <c r="AI488" i="6"/>
  <c r="AH488" i="6"/>
  <c r="AG488" i="6"/>
  <c r="AF488" i="6"/>
  <c r="AE488" i="6"/>
  <c r="AD488" i="6"/>
  <c r="AI487" i="6"/>
  <c r="AH487" i="6"/>
  <c r="AG487" i="6"/>
  <c r="AF487" i="6"/>
  <c r="AE487" i="6"/>
  <c r="AD487" i="6"/>
  <c r="AI486" i="6"/>
  <c r="AH486" i="6"/>
  <c r="AG486" i="6"/>
  <c r="AF486" i="6"/>
  <c r="AE486" i="6"/>
  <c r="AD486" i="6"/>
  <c r="AI266" i="6"/>
  <c r="AH266" i="6"/>
  <c r="AG266" i="6"/>
  <c r="AF266" i="6"/>
  <c r="AE266" i="6"/>
  <c r="AD266" i="6"/>
  <c r="AI265" i="6"/>
  <c r="AH265" i="6"/>
  <c r="AG265" i="6"/>
  <c r="AF265" i="6"/>
  <c r="AE265" i="6"/>
  <c r="AD265" i="6"/>
  <c r="S493" i="6"/>
  <c r="S492" i="6"/>
  <c r="S491" i="6"/>
  <c r="S490" i="6"/>
  <c r="S489" i="6"/>
  <c r="S488" i="6"/>
  <c r="S487" i="6"/>
  <c r="S486" i="6"/>
  <c r="AD194" i="6"/>
  <c r="AE194" i="6"/>
  <c r="AF194" i="6"/>
  <c r="AD195" i="6"/>
  <c r="AE195" i="6"/>
  <c r="AF195" i="6"/>
  <c r="S195" i="6"/>
  <c r="AG195" i="6"/>
  <c r="AH195" i="6"/>
  <c r="AI195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330" i="6"/>
  <c r="AD330" i="6"/>
  <c r="AE330" i="6"/>
  <c r="AF330" i="6"/>
  <c r="AG330" i="6"/>
  <c r="AH330" i="6"/>
  <c r="AI330" i="6"/>
  <c r="AD367" i="6"/>
  <c r="AE367" i="6"/>
  <c r="AF367" i="6"/>
  <c r="AG367" i="6"/>
  <c r="AH367" i="6"/>
  <c r="AI367" i="6"/>
  <c r="AD368" i="6"/>
  <c r="AE368" i="6"/>
  <c r="AF368" i="6"/>
  <c r="AG368" i="6"/>
  <c r="AH368" i="6"/>
  <c r="AI368" i="6"/>
  <c r="AD369" i="6"/>
  <c r="AE369" i="6"/>
  <c r="AF369" i="6"/>
  <c r="AG369" i="6"/>
  <c r="AH369" i="6"/>
  <c r="AI369" i="6"/>
  <c r="AD370" i="6"/>
  <c r="AE370" i="6"/>
  <c r="AF370" i="6"/>
  <c r="AG370" i="6"/>
  <c r="AH370" i="6"/>
  <c r="AI370" i="6"/>
  <c r="S368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AD463" i="6"/>
  <c r="AE463" i="6"/>
  <c r="AD464" i="6"/>
  <c r="AE464" i="6"/>
  <c r="S463" i="6"/>
  <c r="AF463" i="6"/>
  <c r="AG463" i="6"/>
  <c r="AH463" i="6"/>
  <c r="AI46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AD478" i="6"/>
  <c r="AE478" i="6"/>
  <c r="S478" i="6"/>
  <c r="AF478" i="6"/>
  <c r="AG478" i="6"/>
  <c r="AH478" i="6"/>
  <c r="AI478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S73" i="6"/>
  <c r="S75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G188" i="6"/>
  <c r="AH188" i="6"/>
  <c r="AI188" i="6"/>
  <c r="S189" i="6"/>
  <c r="AG189" i="6"/>
  <c r="AH189" i="6"/>
  <c r="AI189" i="6"/>
  <c r="S191" i="6"/>
  <c r="AG191" i="6"/>
  <c r="AH191" i="6"/>
  <c r="AI191" i="6"/>
  <c r="S192" i="6"/>
  <c r="AG192" i="6"/>
  <c r="AH192" i="6"/>
  <c r="AI192" i="6"/>
  <c r="S193" i="6"/>
  <c r="AD193" i="6"/>
  <c r="AE193" i="6"/>
  <c r="AF193" i="6"/>
  <c r="AG193" i="6"/>
  <c r="AH193" i="6"/>
  <c r="AI193" i="6"/>
  <c r="S194" i="6"/>
  <c r="AG194" i="6"/>
  <c r="AH194" i="6"/>
  <c r="AI194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7" i="6"/>
  <c r="S238" i="6"/>
  <c r="S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S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90" i="6"/>
  <c r="S291" i="6"/>
  <c r="S292" i="6"/>
  <c r="S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S365" i="6"/>
  <c r="S366" i="6"/>
  <c r="AD366" i="6"/>
  <c r="AE366" i="6"/>
  <c r="AF366" i="6"/>
  <c r="AG366" i="6"/>
  <c r="AH366" i="6"/>
  <c r="AI366" i="6"/>
  <c r="S367" i="6"/>
  <c r="S369" i="6"/>
  <c r="S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5" i="6"/>
  <c r="AD385" i="6"/>
  <c r="AE385" i="6"/>
  <c r="AF385" i="6"/>
  <c r="AG385" i="6"/>
  <c r="AH385" i="6"/>
  <c r="AI385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6" i="6"/>
  <c r="S457" i="6"/>
  <c r="S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40" i="6" s="1"/>
  <c r="T85" i="6" l="1"/>
  <c r="T35" i="6"/>
  <c r="T34" i="6"/>
  <c r="T33" i="6"/>
  <c r="T32" i="6"/>
  <c r="T171" i="6"/>
  <c r="T170" i="6"/>
  <c r="T409" i="6"/>
  <c r="T389" i="6"/>
  <c r="T388" i="6"/>
  <c r="T387" i="6"/>
  <c r="T386" i="6"/>
  <c r="T161" i="6"/>
  <c r="T160" i="6"/>
  <c r="T159" i="6"/>
  <c r="T158" i="6"/>
  <c r="T157" i="6"/>
  <c r="T455" i="6"/>
  <c r="T364" i="6"/>
  <c r="T270" i="6"/>
  <c r="T271" i="6"/>
  <c r="T416" i="6"/>
  <c r="T415" i="6"/>
  <c r="T414" i="6"/>
  <c r="T413" i="6"/>
  <c r="T412" i="6"/>
  <c r="T411" i="6"/>
  <c r="T410" i="6"/>
  <c r="T74" i="6"/>
  <c r="T477" i="6"/>
  <c r="T476" i="6"/>
  <c r="T475" i="6"/>
  <c r="T474" i="6"/>
  <c r="T473" i="6"/>
  <c r="T472" i="6"/>
  <c r="T54" i="6"/>
  <c r="T53" i="6"/>
  <c r="T52" i="6"/>
  <c r="T190" i="6"/>
  <c r="T488" i="6"/>
  <c r="T493" i="6"/>
  <c r="T490" i="6"/>
  <c r="T492" i="6"/>
  <c r="T489" i="6"/>
  <c r="T491" i="6"/>
  <c r="T495" i="6"/>
  <c r="T494" i="6"/>
  <c r="T487" i="6"/>
  <c r="T486" i="6"/>
  <c r="T195" i="6"/>
  <c r="T434" i="6"/>
  <c r="T433" i="6"/>
  <c r="T432" i="6"/>
  <c r="T431" i="6"/>
  <c r="T430" i="6"/>
  <c r="T101" i="6"/>
  <c r="T100" i="6"/>
  <c r="T99" i="6"/>
  <c r="T330" i="6"/>
  <c r="T368" i="6"/>
  <c r="T89" i="6"/>
  <c r="T342" i="6"/>
  <c r="T373" i="6"/>
  <c r="T304" i="6"/>
  <c r="T191" i="6"/>
  <c r="T189" i="6"/>
  <c r="T65" i="6"/>
  <c r="T384" i="6"/>
  <c r="T383" i="6"/>
  <c r="T382" i="6"/>
  <c r="T463" i="6"/>
  <c r="T275" i="6"/>
  <c r="T244" i="6"/>
  <c r="T276" i="6"/>
  <c r="T221" i="6"/>
  <c r="T220" i="6"/>
  <c r="T360" i="6"/>
  <c r="T346" i="6"/>
  <c r="T143" i="6"/>
  <c r="T167" i="6"/>
  <c r="T106" i="6"/>
  <c r="T144" i="6"/>
  <c r="T326" i="6"/>
  <c r="T105" i="6"/>
  <c r="T96" i="6"/>
  <c r="T95" i="6"/>
  <c r="T94" i="6"/>
  <c r="T301" i="6"/>
  <c r="T245" i="6"/>
  <c r="T377" i="6"/>
  <c r="T361" i="6"/>
  <c r="T325" i="6"/>
  <c r="T297" i="6"/>
  <c r="T273" i="6"/>
  <c r="T243" i="6"/>
  <c r="T219" i="6"/>
  <c r="T187" i="6"/>
  <c r="T71" i="6"/>
  <c r="T142" i="6"/>
  <c r="T102" i="6"/>
  <c r="T381" i="6"/>
  <c r="T348" i="6"/>
  <c r="T324" i="6"/>
  <c r="T296" i="6"/>
  <c r="T272" i="6"/>
  <c r="T242" i="6"/>
  <c r="T216" i="6"/>
  <c r="T186" i="6"/>
  <c r="T134" i="6"/>
  <c r="T66" i="6"/>
  <c r="T295" i="6"/>
  <c r="T185" i="6"/>
  <c r="T211" i="6"/>
  <c r="T399" i="6"/>
  <c r="T69" i="6"/>
  <c r="T209" i="6"/>
  <c r="T370" i="6"/>
  <c r="T407" i="6"/>
  <c r="T336" i="6"/>
  <c r="T313" i="6"/>
  <c r="T290" i="6"/>
  <c r="T81" i="6"/>
  <c r="T235" i="6"/>
  <c r="T208" i="6"/>
  <c r="T92" i="6"/>
  <c r="T126" i="6"/>
  <c r="T91" i="6"/>
  <c r="T129" i="6"/>
  <c r="T238" i="6"/>
  <c r="T352" i="6"/>
  <c r="T374" i="6"/>
  <c r="T418" i="6"/>
  <c r="T257" i="6"/>
  <c r="T312" i="6"/>
  <c r="T288" i="6"/>
  <c r="T251" i="6"/>
  <c r="T232" i="6"/>
  <c r="T207" i="6"/>
  <c r="T173" i="6"/>
  <c r="T125" i="6"/>
  <c r="T49" i="6"/>
  <c r="T334" i="6"/>
  <c r="T130" i="6"/>
  <c r="T266" i="6"/>
  <c r="T335" i="6"/>
  <c r="T262" i="6"/>
  <c r="T178" i="6"/>
  <c r="T403" i="6"/>
  <c r="T311" i="6"/>
  <c r="T252" i="6"/>
  <c r="T228" i="6"/>
  <c r="T205" i="6"/>
  <c r="T165" i="6"/>
  <c r="T155" i="6"/>
  <c r="T123" i="6"/>
  <c r="T48" i="6"/>
  <c r="T269" i="6"/>
  <c r="T61" i="6"/>
  <c r="T240" i="6"/>
  <c r="T293" i="6"/>
  <c r="T176" i="6"/>
  <c r="T378" i="6"/>
  <c r="T337" i="6"/>
  <c r="T287" i="6"/>
  <c r="T255" i="6"/>
  <c r="T310" i="6"/>
  <c r="T284" i="6"/>
  <c r="T253" i="6"/>
  <c r="T227" i="6"/>
  <c r="T204" i="6"/>
  <c r="T174" i="6"/>
  <c r="T154" i="6"/>
  <c r="T122" i="6"/>
  <c r="T46" i="6"/>
  <c r="T322" i="6"/>
  <c r="T86" i="6"/>
  <c r="T391" i="6"/>
  <c r="T294" i="6"/>
  <c r="T68" i="6"/>
  <c r="T320" i="6"/>
  <c r="T128" i="6"/>
  <c r="T127" i="6"/>
  <c r="T343" i="6"/>
  <c r="T344" i="6"/>
  <c r="T354" i="6"/>
  <c r="T309" i="6"/>
  <c r="T280" i="6"/>
  <c r="T175" i="6"/>
  <c r="T226" i="6"/>
  <c r="T196" i="6"/>
  <c r="T70" i="6"/>
  <c r="T153" i="6"/>
  <c r="T118" i="6"/>
  <c r="T45" i="6"/>
  <c r="T241" i="6"/>
  <c r="T351" i="6"/>
  <c r="T182" i="6"/>
  <c r="T210" i="6"/>
  <c r="T366" i="6"/>
  <c r="T317" i="6"/>
  <c r="T237" i="6"/>
  <c r="T169" i="6"/>
  <c r="T59" i="6"/>
  <c r="T331" i="6"/>
  <c r="T308" i="6"/>
  <c r="T166" i="6"/>
  <c r="T194" i="6"/>
  <c r="T150" i="6"/>
  <c r="T400" i="6"/>
  <c r="T260" i="6"/>
  <c r="T306" i="6"/>
  <c r="T278" i="6"/>
  <c r="T177" i="6"/>
  <c r="T224" i="6"/>
  <c r="T193" i="6"/>
  <c r="T93" i="6"/>
  <c r="T146" i="6"/>
  <c r="T109" i="6"/>
  <c r="T41" i="6"/>
  <c r="T212" i="6"/>
  <c r="T321" i="6"/>
  <c r="T87" i="6"/>
  <c r="T292" i="6"/>
  <c r="T396" i="6"/>
  <c r="T259" i="6"/>
  <c r="T279" i="6"/>
  <c r="T225" i="6"/>
  <c r="T60" i="6"/>
  <c r="T114" i="6"/>
  <c r="T43" i="6"/>
  <c r="T404" i="6"/>
  <c r="T345" i="6"/>
  <c r="T261" i="6"/>
  <c r="T305" i="6"/>
  <c r="T277" i="6"/>
  <c r="T249" i="6"/>
  <c r="T223" i="6"/>
  <c r="T192" i="6"/>
  <c r="T75" i="6"/>
  <c r="T145" i="6"/>
  <c r="T107" i="6"/>
  <c r="T38" i="6"/>
  <c r="T62" i="6"/>
  <c r="T56" i="6"/>
  <c r="T141" i="6"/>
  <c r="T113" i="6"/>
  <c r="T80" i="6"/>
  <c r="T31" i="6"/>
  <c r="T203" i="6"/>
  <c r="T163" i="6"/>
  <c r="T139" i="6"/>
  <c r="T112" i="6"/>
  <c r="T64" i="6"/>
  <c r="T30" i="6"/>
  <c r="T200" i="6"/>
  <c r="T172" i="6"/>
  <c r="T162" i="6"/>
  <c r="T138" i="6"/>
  <c r="T111" i="6"/>
  <c r="T55" i="6"/>
  <c r="T29" i="6"/>
  <c r="T137" i="6"/>
  <c r="T110" i="6"/>
  <c r="T50" i="6"/>
  <c r="T27" i="6"/>
  <c r="T26" i="6"/>
  <c r="T25" i="6"/>
  <c r="T47" i="6"/>
  <c r="T17" i="6"/>
  <c r="T16" i="6"/>
  <c r="T15" i="6"/>
  <c r="T14" i="6"/>
  <c r="T42" i="6"/>
  <c r="T9" i="6"/>
  <c r="T11" i="6"/>
  <c r="T121" i="6"/>
  <c r="T83" i="6"/>
  <c r="T22" i="6"/>
  <c r="T18" i="6"/>
  <c r="T13" i="6"/>
  <c r="U7" i="6"/>
  <c r="T442" i="6"/>
  <c r="T379" i="6"/>
  <c r="T478" i="6"/>
  <c r="T392" i="6"/>
  <c r="T395" i="6"/>
  <c r="T256" i="6"/>
  <c r="T353" i="6"/>
  <c r="T323" i="6"/>
  <c r="T307" i="6"/>
  <c r="T291" i="6"/>
  <c r="T274" i="6"/>
  <c r="T254" i="6"/>
  <c r="T239" i="6"/>
  <c r="T222" i="6"/>
  <c r="T206" i="6"/>
  <c r="T188" i="6"/>
  <c r="T84" i="6"/>
  <c r="T58" i="6"/>
  <c r="T156" i="6"/>
  <c r="T140" i="6"/>
  <c r="T124" i="6"/>
  <c r="T108" i="6"/>
  <c r="T97" i="6"/>
  <c r="T44" i="6"/>
  <c r="T28" i="6"/>
  <c r="T12" i="6"/>
  <c r="T484" i="6"/>
  <c r="T408" i="6"/>
  <c r="T347" i="6"/>
  <c r="T338" i="6"/>
  <c r="T319" i="6"/>
  <c r="T303" i="6"/>
  <c r="T286" i="6"/>
  <c r="T268" i="6"/>
  <c r="T168" i="6"/>
  <c r="T234" i="6"/>
  <c r="T218" i="6"/>
  <c r="T202" i="6"/>
  <c r="T184" i="6"/>
  <c r="T98" i="6"/>
  <c r="T152" i="6"/>
  <c r="T136" i="6"/>
  <c r="T120" i="6"/>
  <c r="T104" i="6"/>
  <c r="T57" i="6"/>
  <c r="T40" i="6"/>
  <c r="T24" i="6"/>
  <c r="T10" i="6"/>
  <c r="T479" i="6"/>
  <c r="T419" i="6"/>
  <c r="T332" i="6"/>
  <c r="T258" i="6"/>
  <c r="T318" i="6"/>
  <c r="T302" i="6"/>
  <c r="T285" i="6"/>
  <c r="T267" i="6"/>
  <c r="T250" i="6"/>
  <c r="T233" i="6"/>
  <c r="T217" i="6"/>
  <c r="T201" i="6"/>
  <c r="T183" i="6"/>
  <c r="T88" i="6"/>
  <c r="T82" i="6"/>
  <c r="T151" i="6"/>
  <c r="T135" i="6"/>
  <c r="T119" i="6"/>
  <c r="T103" i="6"/>
  <c r="T73" i="6"/>
  <c r="T39" i="6"/>
  <c r="T23" i="6"/>
  <c r="T358" i="6"/>
  <c r="T398" i="6"/>
  <c r="T447" i="6"/>
  <c r="AD6" i="6"/>
  <c r="F3" i="6" s="1"/>
  <c r="T422" i="6"/>
  <c r="T420" i="6"/>
  <c r="T357" i="6"/>
  <c r="T349" i="6"/>
  <c r="T329" i="6"/>
  <c r="T316" i="6"/>
  <c r="T300" i="6"/>
  <c r="T283" i="6"/>
  <c r="T265" i="6"/>
  <c r="T248" i="6"/>
  <c r="T231" i="6"/>
  <c r="T215" i="6"/>
  <c r="T199" i="6"/>
  <c r="T181" i="6"/>
  <c r="T67" i="6"/>
  <c r="T79" i="6"/>
  <c r="T149" i="6"/>
  <c r="T133" i="6"/>
  <c r="T117" i="6"/>
  <c r="T90" i="6"/>
  <c r="T37" i="6"/>
  <c r="T21" i="6"/>
  <c r="T459" i="6"/>
  <c r="T363" i="6"/>
  <c r="T340" i="6"/>
  <c r="T341" i="6"/>
  <c r="T333" i="6"/>
  <c r="T328" i="6"/>
  <c r="T315" i="6"/>
  <c r="T299" i="6"/>
  <c r="T282" i="6"/>
  <c r="T264" i="6"/>
  <c r="T247" i="6"/>
  <c r="T230" i="6"/>
  <c r="T214" i="6"/>
  <c r="T198" i="6"/>
  <c r="T180" i="6"/>
  <c r="T63" i="6"/>
  <c r="T148" i="6"/>
  <c r="T132" i="6"/>
  <c r="T116" i="6"/>
  <c r="T36" i="6"/>
  <c r="T20" i="6"/>
  <c r="T355" i="6"/>
  <c r="T365" i="6"/>
  <c r="T359" i="6"/>
  <c r="T350" i="6"/>
  <c r="T327" i="6"/>
  <c r="T314" i="6"/>
  <c r="T298" i="6"/>
  <c r="T281" i="6"/>
  <c r="T263" i="6"/>
  <c r="T246" i="6"/>
  <c r="T229" i="6"/>
  <c r="T213" i="6"/>
  <c r="T197" i="6"/>
  <c r="T179" i="6"/>
  <c r="T78" i="6"/>
  <c r="T164" i="6"/>
  <c r="T147" i="6"/>
  <c r="T131" i="6"/>
  <c r="T115" i="6"/>
  <c r="T72" i="6"/>
  <c r="T51" i="6"/>
  <c r="T19" i="6"/>
  <c r="T77" i="6"/>
  <c r="T76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71" i="6"/>
  <c r="T454" i="6"/>
  <c r="T438" i="6"/>
  <c r="T482" i="6"/>
  <c r="T462" i="6"/>
  <c r="T445" i="6"/>
  <c r="T428" i="6"/>
  <c r="T402" i="6"/>
  <c r="T369" i="6"/>
  <c r="T469" i="6"/>
  <c r="T452" i="6"/>
  <c r="T436" i="6"/>
  <c r="T356" i="6"/>
  <c r="T480" i="6"/>
  <c r="T460" i="6"/>
  <c r="T443" i="6"/>
  <c r="T426" i="6"/>
  <c r="T406" i="6"/>
  <c r="T372" i="6"/>
  <c r="T467" i="6"/>
  <c r="T450" i="6"/>
  <c r="T424" i="6"/>
  <c r="T458" i="6"/>
  <c r="T441" i="6"/>
  <c r="T393" i="6"/>
  <c r="T376" i="6"/>
  <c r="T485" i="6"/>
  <c r="T465" i="6"/>
  <c r="T448" i="6"/>
  <c r="T456" i="6"/>
  <c r="T439" i="6"/>
  <c r="T397" i="6"/>
  <c r="T380" i="6"/>
  <c r="T362" i="6"/>
  <c r="T483" i="6"/>
  <c r="T464" i="6"/>
  <c r="T446" i="6"/>
  <c r="T429" i="6"/>
  <c r="T417" i="6"/>
  <c r="T470" i="6"/>
  <c r="T453" i="6"/>
  <c r="T437" i="6"/>
  <c r="T401" i="6"/>
  <c r="T385" i="6"/>
  <c r="T367" i="6"/>
  <c r="T481" i="6"/>
  <c r="T461" i="6"/>
  <c r="T444" i="6"/>
  <c r="T427" i="6"/>
  <c r="T468" i="6"/>
  <c r="T451" i="6"/>
  <c r="T435" i="6"/>
  <c r="T425" i="6"/>
  <c r="T421" i="6"/>
  <c r="T405" i="6"/>
  <c r="T390" i="6"/>
  <c r="T371" i="6"/>
  <c r="T423" i="6"/>
  <c r="T339" i="6"/>
  <c r="T466" i="6"/>
  <c r="T449" i="6"/>
  <c r="T394" i="6"/>
  <c r="T375" i="6"/>
  <c r="T457" i="6"/>
  <c r="U85" i="6" l="1"/>
  <c r="U289" i="6"/>
  <c r="U32" i="6"/>
  <c r="U33" i="6"/>
  <c r="U34" i="6"/>
  <c r="U35" i="6"/>
  <c r="U409" i="6"/>
  <c r="U170" i="6"/>
  <c r="U171" i="6"/>
  <c r="U386" i="6"/>
  <c r="U387" i="6"/>
  <c r="U388" i="6"/>
  <c r="U389" i="6"/>
  <c r="U157" i="6"/>
  <c r="U158" i="6"/>
  <c r="U159" i="6"/>
  <c r="U160" i="6"/>
  <c r="U161" i="6"/>
  <c r="U364" i="6"/>
  <c r="U455" i="6"/>
  <c r="U271" i="6"/>
  <c r="U270" i="6"/>
  <c r="U74" i="6"/>
  <c r="U410" i="6"/>
  <c r="U411" i="6"/>
  <c r="U412" i="6"/>
  <c r="U413" i="6"/>
  <c r="U414" i="6"/>
  <c r="U415" i="6"/>
  <c r="U416" i="6"/>
  <c r="U472" i="6"/>
  <c r="U473" i="6"/>
  <c r="U474" i="6"/>
  <c r="U475" i="6"/>
  <c r="U476" i="6"/>
  <c r="U477" i="6"/>
  <c r="U190" i="6"/>
  <c r="U52" i="6"/>
  <c r="U53" i="6"/>
  <c r="U54" i="6"/>
  <c r="U488" i="6"/>
  <c r="U494" i="6"/>
  <c r="U495" i="6"/>
  <c r="U491" i="6"/>
  <c r="U489" i="6"/>
  <c r="U492" i="6"/>
  <c r="U490" i="6"/>
  <c r="U493" i="6"/>
  <c r="U195" i="6"/>
  <c r="U486" i="6"/>
  <c r="U487" i="6"/>
  <c r="U430" i="6"/>
  <c r="U431" i="6"/>
  <c r="U432" i="6"/>
  <c r="U433" i="6"/>
  <c r="U434" i="6"/>
  <c r="U330" i="6"/>
  <c r="U99" i="6"/>
  <c r="U100" i="6"/>
  <c r="U101" i="6"/>
  <c r="U13" i="6"/>
  <c r="U368" i="6"/>
  <c r="U341" i="6"/>
  <c r="U463" i="6"/>
  <c r="U382" i="6"/>
  <c r="U383" i="6"/>
  <c r="U384" i="6"/>
  <c r="U94" i="6"/>
  <c r="U95" i="6"/>
  <c r="U96" i="6"/>
  <c r="U145" i="6"/>
  <c r="U110" i="6"/>
  <c r="U298" i="6"/>
  <c r="U185" i="6"/>
  <c r="U461" i="6"/>
  <c r="U424" i="6"/>
  <c r="U465" i="6"/>
  <c r="U299" i="6"/>
  <c r="U224" i="6"/>
  <c r="U234" i="6"/>
  <c r="U317" i="6"/>
  <c r="U176" i="6"/>
  <c r="U134" i="6"/>
  <c r="U280" i="6"/>
  <c r="U149" i="6"/>
  <c r="U283" i="6"/>
  <c r="U103" i="6"/>
  <c r="U339" i="6"/>
  <c r="U327" i="6"/>
  <c r="U78" i="6"/>
  <c r="U303" i="6"/>
  <c r="U165" i="6"/>
  <c r="U392" i="6"/>
  <c r="U111" i="6"/>
  <c r="U108" i="6"/>
  <c r="U338" i="6"/>
  <c r="U178" i="6"/>
  <c r="U210" i="6"/>
  <c r="U121" i="6"/>
  <c r="U332" i="6"/>
  <c r="U204" i="6"/>
  <c r="U301" i="6"/>
  <c r="U181" i="6"/>
  <c r="U45" i="6"/>
  <c r="U22" i="6"/>
  <c r="U192" i="6"/>
  <c r="U36" i="6"/>
  <c r="U24" i="6"/>
  <c r="U305" i="6"/>
  <c r="U124" i="6"/>
  <c r="U231" i="6"/>
  <c r="U207" i="6"/>
  <c r="U480" i="6"/>
  <c r="U485" i="6"/>
  <c r="U468" i="6"/>
  <c r="U20" i="6"/>
  <c r="U452" i="6"/>
  <c r="U329" i="6"/>
  <c r="U71" i="6"/>
  <c r="U467" i="6"/>
  <c r="U459" i="6"/>
  <c r="U240" i="6"/>
  <c r="U154" i="6"/>
  <c r="U321" i="6"/>
  <c r="U244" i="6"/>
  <c r="U233" i="6"/>
  <c r="U113" i="6"/>
  <c r="U203" i="6"/>
  <c r="U235" i="6"/>
  <c r="V7" i="6"/>
  <c r="U27" i="6"/>
  <c r="U470" i="6"/>
  <c r="U251" i="6"/>
  <c r="U450" i="6"/>
  <c r="U21" i="6"/>
  <c r="U112" i="6"/>
  <c r="U19" i="6"/>
  <c r="U69" i="6"/>
  <c r="U421" i="6"/>
  <c r="U140" i="6"/>
  <c r="U349" i="6"/>
  <c r="U219" i="6"/>
  <c r="U357" i="6"/>
  <c r="U79" i="6"/>
  <c r="U272" i="6"/>
  <c r="U209" i="6"/>
  <c r="U288" i="6"/>
  <c r="U458" i="6"/>
  <c r="U469" i="6"/>
  <c r="U57" i="6"/>
  <c r="U107" i="6"/>
  <c r="U73" i="6"/>
  <c r="U142" i="6"/>
  <c r="U133" i="6"/>
  <c r="U135" i="6"/>
  <c r="U340" i="6"/>
  <c r="U179" i="6"/>
  <c r="U276" i="6"/>
  <c r="U447" i="6"/>
  <c r="U9" i="6"/>
  <c r="U68" i="6"/>
  <c r="U175" i="6"/>
  <c r="U153" i="6"/>
  <c r="U109" i="6"/>
  <c r="U11" i="6"/>
  <c r="U295" i="6"/>
  <c r="U358" i="6"/>
  <c r="U194" i="6"/>
  <c r="U445" i="6"/>
  <c r="U197" i="6"/>
  <c r="U77" i="6"/>
  <c r="U297" i="6"/>
  <c r="U438" i="6"/>
  <c r="U279" i="6"/>
  <c r="U183" i="6"/>
  <c r="U30" i="6"/>
  <c r="U451" i="6"/>
  <c r="U439" i="6"/>
  <c r="U481" i="6"/>
  <c r="U425" i="6"/>
  <c r="U144" i="6"/>
  <c r="U441" i="6"/>
  <c r="U10" i="6"/>
  <c r="U114" i="6"/>
  <c r="U23" i="6"/>
  <c r="U422" i="6"/>
  <c r="U479" i="6"/>
  <c r="U105" i="6"/>
  <c r="U278" i="6"/>
  <c r="U76" i="6"/>
  <c r="U242" i="6"/>
  <c r="U162" i="6"/>
  <c r="U419" i="6"/>
  <c r="U86" i="6"/>
  <c r="U137" i="6"/>
  <c r="U429" i="6"/>
  <c r="U120" i="6"/>
  <c r="U151" i="6"/>
  <c r="U25" i="6"/>
  <c r="U311" i="6"/>
  <c r="U426" i="6"/>
  <c r="U211" i="6"/>
  <c r="U213" i="6"/>
  <c r="U316" i="6"/>
  <c r="U180" i="6"/>
  <c r="U319" i="6"/>
  <c r="U212" i="6"/>
  <c r="U59" i="6"/>
  <c r="U483" i="6"/>
  <c r="U126" i="6"/>
  <c r="U62" i="6"/>
  <c r="U8" i="6"/>
  <c r="U442" i="6"/>
  <c r="U359" i="6"/>
  <c r="U40" i="6"/>
  <c r="U225" i="6"/>
  <c r="U457" i="6"/>
  <c r="U89" i="6"/>
  <c r="U87" i="6"/>
  <c r="U428" i="6"/>
  <c r="U51" i="6"/>
  <c r="U91" i="6"/>
  <c r="U420" i="6"/>
  <c r="U104" i="6"/>
  <c r="U427" i="6"/>
  <c r="U258" i="6"/>
  <c r="U188" i="6"/>
  <c r="U172" i="6"/>
  <c r="U41" i="6"/>
  <c r="U167" i="6"/>
  <c r="U227" i="6"/>
  <c r="U462" i="6"/>
  <c r="U229" i="6"/>
  <c r="U260" i="6"/>
  <c r="U205" i="6"/>
  <c r="U374" i="6"/>
  <c r="U177" i="6"/>
  <c r="U417" i="6"/>
  <c r="U250" i="6"/>
  <c r="U82" i="6"/>
  <c r="U436" i="6"/>
  <c r="U456" i="6"/>
  <c r="U43" i="6"/>
  <c r="U38" i="6"/>
  <c r="U60" i="6"/>
  <c r="U55" i="6"/>
  <c r="U166" i="6"/>
  <c r="U484" i="6"/>
  <c r="U466" i="6"/>
  <c r="U129" i="6"/>
  <c r="U444" i="6"/>
  <c r="U222" i="6"/>
  <c r="U448" i="6"/>
  <c r="U191" i="6"/>
  <c r="U75" i="6"/>
  <c r="U482" i="6"/>
  <c r="U264" i="6"/>
  <c r="U405" i="6"/>
  <c r="U238" i="6"/>
  <c r="U281" i="6"/>
  <c r="U16" i="6"/>
  <c r="U214" i="6"/>
  <c r="U453" i="6"/>
  <c r="U29" i="6"/>
  <c r="U168" i="6"/>
  <c r="U440" i="6"/>
  <c r="U97" i="6"/>
  <c r="U449" i="6"/>
  <c r="U18" i="6"/>
  <c r="U446" i="6"/>
  <c r="U206" i="6"/>
  <c r="U136" i="6"/>
  <c r="U58" i="6"/>
  <c r="U443" i="6"/>
  <c r="U356" i="6"/>
  <c r="U254" i="6"/>
  <c r="U350" i="6"/>
  <c r="U232" i="6"/>
  <c r="U15" i="6"/>
  <c r="U435" i="6"/>
  <c r="U155" i="6"/>
  <c r="U437" i="6"/>
  <c r="U464" i="6"/>
  <c r="U130" i="6"/>
  <c r="U208" i="6"/>
  <c r="U92" i="6"/>
  <c r="U460" i="6"/>
  <c r="U282" i="6"/>
  <c r="U80" i="6"/>
  <c r="U277" i="6"/>
  <c r="U408" i="6"/>
  <c r="U184" i="6"/>
  <c r="U49" i="6"/>
  <c r="U90" i="6"/>
  <c r="U119" i="6"/>
  <c r="U302" i="6"/>
  <c r="U376" i="6"/>
  <c r="U122" i="6"/>
  <c r="U131" i="6"/>
  <c r="U300" i="6"/>
  <c r="U320" i="6"/>
  <c r="U394" i="6"/>
  <c r="U322" i="6"/>
  <c r="U193" i="6"/>
  <c r="U372" i="6"/>
  <c r="U318" i="6"/>
  <c r="U355" i="6"/>
  <c r="U423" i="6"/>
  <c r="U287" i="6"/>
  <c r="U371" i="6"/>
  <c r="U248" i="6"/>
  <c r="U390" i="6"/>
  <c r="U259" i="6"/>
  <c r="U348" i="6"/>
  <c r="U454" i="6"/>
  <c r="U471" i="6"/>
  <c r="U308" i="6"/>
  <c r="U406" i="6"/>
  <c r="U333" i="6"/>
  <c r="U375" i="6"/>
  <c r="U326" i="6"/>
  <c r="U44" i="6"/>
  <c r="U344" i="6"/>
  <c r="U391" i="6"/>
  <c r="U393" i="6"/>
  <c r="U353" i="6"/>
  <c r="U42" i="6"/>
  <c r="U331" i="6"/>
  <c r="U72" i="6"/>
  <c r="U373" i="6"/>
  <c r="U47" i="6"/>
  <c r="U14" i="6"/>
  <c r="U363" i="6"/>
  <c r="U70" i="6"/>
  <c r="U12" i="6"/>
  <c r="U106" i="6"/>
  <c r="U407" i="6"/>
  <c r="U182" i="6"/>
  <c r="U48" i="6"/>
  <c r="U342" i="6"/>
  <c r="U380" i="6"/>
  <c r="U173" i="6"/>
  <c r="U46" i="6"/>
  <c r="U246" i="6"/>
  <c r="U81" i="6"/>
  <c r="U115" i="6"/>
  <c r="U398" i="6"/>
  <c r="U343" i="6"/>
  <c r="U123" i="6"/>
  <c r="U215" i="6"/>
  <c r="U253" i="6"/>
  <c r="U292" i="6"/>
  <c r="U237" i="6"/>
  <c r="U361" i="6"/>
  <c r="U256" i="6"/>
  <c r="U216" i="6"/>
  <c r="U245" i="6"/>
  <c r="U50" i="6"/>
  <c r="U164" i="6"/>
  <c r="U220" i="6"/>
  <c r="U263" i="6"/>
  <c r="U296" i="6"/>
  <c r="U249" i="6"/>
  <c r="U366" i="6"/>
  <c r="U397" i="6"/>
  <c r="U116" i="6"/>
  <c r="U400" i="6"/>
  <c r="U199" i="6"/>
  <c r="U98" i="6"/>
  <c r="U147" i="6"/>
  <c r="U478" i="6"/>
  <c r="U102" i="6"/>
  <c r="U169" i="6"/>
  <c r="U221" i="6"/>
  <c r="U265" i="6"/>
  <c r="U304" i="6"/>
  <c r="U261" i="6"/>
  <c r="U367" i="6"/>
  <c r="U399" i="6"/>
  <c r="U128" i="6"/>
  <c r="U267" i="6"/>
  <c r="U125" i="6"/>
  <c r="U83" i="6"/>
  <c r="U315" i="6"/>
  <c r="U93" i="6"/>
  <c r="U325" i="6"/>
  <c r="U252" i="6"/>
  <c r="U345" i="6"/>
  <c r="U39" i="6"/>
  <c r="U294" i="6"/>
  <c r="U56" i="6"/>
  <c r="U223" i="6"/>
  <c r="U306" i="6"/>
  <c r="U369" i="6"/>
  <c r="U285" i="6"/>
  <c r="U291" i="6"/>
  <c r="U217" i="6"/>
  <c r="U61" i="6"/>
  <c r="U117" i="6"/>
  <c r="U152" i="6"/>
  <c r="U226" i="6"/>
  <c r="U268" i="6"/>
  <c r="U307" i="6"/>
  <c r="U354" i="6"/>
  <c r="U401" i="6"/>
  <c r="U148" i="6"/>
  <c r="U360" i="6"/>
  <c r="U396" i="6"/>
  <c r="U63" i="6"/>
  <c r="U118" i="6"/>
  <c r="U186" i="6"/>
  <c r="U228" i="6"/>
  <c r="U269" i="6"/>
  <c r="U309" i="6"/>
  <c r="U328" i="6"/>
  <c r="U370" i="6"/>
  <c r="U402" i="6"/>
  <c r="U230" i="6"/>
  <c r="U337" i="6"/>
  <c r="U377" i="6"/>
  <c r="U138" i="6"/>
  <c r="U257" i="6"/>
  <c r="U37" i="6"/>
  <c r="U64" i="6"/>
  <c r="U127" i="6"/>
  <c r="U187" i="6"/>
  <c r="U273" i="6"/>
  <c r="U310" i="6"/>
  <c r="U403" i="6"/>
  <c r="U274" i="6"/>
  <c r="U378" i="6"/>
  <c r="U139" i="6"/>
  <c r="U65" i="6"/>
  <c r="U143" i="6"/>
  <c r="U189" i="6"/>
  <c r="U312" i="6"/>
  <c r="U404" i="6"/>
  <c r="U141" i="6"/>
  <c r="U247" i="6"/>
  <c r="U365" i="6"/>
  <c r="U17" i="6"/>
  <c r="U66" i="6"/>
  <c r="U174" i="6"/>
  <c r="U196" i="6"/>
  <c r="U146" i="6"/>
  <c r="U275" i="6"/>
  <c r="U313" i="6"/>
  <c r="U336" i="6"/>
  <c r="U379" i="6"/>
  <c r="U284" i="6"/>
  <c r="U314" i="6"/>
  <c r="U381" i="6"/>
  <c r="U202" i="6"/>
  <c r="U395" i="6"/>
  <c r="U26" i="6"/>
  <c r="U67" i="6"/>
  <c r="U132" i="6"/>
  <c r="U198" i="6"/>
  <c r="U163" i="6"/>
  <c r="U352" i="6"/>
  <c r="U28" i="6"/>
  <c r="U335" i="6"/>
  <c r="U347" i="6"/>
  <c r="U293" i="6"/>
  <c r="U31" i="6"/>
  <c r="U84" i="6"/>
  <c r="U156" i="6"/>
  <c r="U200" i="6"/>
  <c r="U239" i="6"/>
  <c r="U286" i="6"/>
  <c r="U323" i="6"/>
  <c r="U351" i="6"/>
  <c r="U418" i="6"/>
  <c r="U241" i="6"/>
  <c r="U262" i="6"/>
  <c r="U88" i="6"/>
  <c r="U150" i="6"/>
  <c r="U201" i="6"/>
  <c r="U243" i="6"/>
  <c r="U290" i="6"/>
  <c r="U324" i="6"/>
  <c r="U334" i="6"/>
  <c r="U385" i="6"/>
  <c r="U346" i="6"/>
  <c r="U362" i="6"/>
  <c r="U218" i="6"/>
  <c r="U255" i="6"/>
  <c r="U266" i="6"/>
  <c r="F5" i="6"/>
  <c r="G5" i="6"/>
  <c r="E5" i="6"/>
  <c r="H4" i="6"/>
  <c r="H3" i="6"/>
  <c r="T5" i="6"/>
  <c r="V85" i="6" l="1"/>
  <c r="V289" i="6"/>
  <c r="V32" i="6"/>
  <c r="V33" i="6"/>
  <c r="V34" i="6"/>
  <c r="V35" i="6"/>
  <c r="V409" i="6"/>
  <c r="V170" i="6"/>
  <c r="V171" i="6"/>
  <c r="V386" i="6"/>
  <c r="V387" i="6"/>
  <c r="V388" i="6"/>
  <c r="V389" i="6"/>
  <c r="V157" i="6"/>
  <c r="V158" i="6"/>
  <c r="V159" i="6"/>
  <c r="V160" i="6"/>
  <c r="V161" i="6"/>
  <c r="V364" i="6"/>
  <c r="V455" i="6"/>
  <c r="V270" i="6"/>
  <c r="V271" i="6"/>
  <c r="V74" i="6"/>
  <c r="V410" i="6"/>
  <c r="V411" i="6"/>
  <c r="V412" i="6"/>
  <c r="V413" i="6"/>
  <c r="V414" i="6"/>
  <c r="V415" i="6"/>
  <c r="V416" i="6"/>
  <c r="V318" i="6"/>
  <c r="V472" i="6"/>
  <c r="V473" i="6"/>
  <c r="V474" i="6"/>
  <c r="V475" i="6"/>
  <c r="V476" i="6"/>
  <c r="V477" i="6"/>
  <c r="V52" i="6"/>
  <c r="V53" i="6"/>
  <c r="V54" i="6"/>
  <c r="V142" i="6"/>
  <c r="V190" i="6"/>
  <c r="V478" i="6"/>
  <c r="V488" i="6"/>
  <c r="V494" i="6"/>
  <c r="V495" i="6"/>
  <c r="V491" i="6"/>
  <c r="V489" i="6"/>
  <c r="V492" i="6"/>
  <c r="V490" i="6"/>
  <c r="V493" i="6"/>
  <c r="V385" i="6"/>
  <c r="V192" i="6"/>
  <c r="V360" i="6"/>
  <c r="V242" i="6"/>
  <c r="V195" i="6"/>
  <c r="V486" i="6"/>
  <c r="V487" i="6"/>
  <c r="V430" i="6"/>
  <c r="V431" i="6"/>
  <c r="V432" i="6"/>
  <c r="V433" i="6"/>
  <c r="V434" i="6"/>
  <c r="V99" i="6"/>
  <c r="V100" i="6"/>
  <c r="V101" i="6"/>
  <c r="V368" i="6"/>
  <c r="V330" i="6"/>
  <c r="V97" i="6"/>
  <c r="V315" i="6"/>
  <c r="V390" i="6"/>
  <c r="V38" i="6"/>
  <c r="V266" i="6"/>
  <c r="V130" i="6"/>
  <c r="V323" i="6"/>
  <c r="V398" i="6"/>
  <c r="V13" i="6"/>
  <c r="V68" i="6"/>
  <c r="V138" i="6"/>
  <c r="V357" i="6"/>
  <c r="V169" i="6"/>
  <c r="V288" i="6"/>
  <c r="V294" i="6"/>
  <c r="V230" i="6"/>
  <c r="V327" i="6"/>
  <c r="V28" i="6"/>
  <c r="V18" i="6"/>
  <c r="V237" i="6"/>
  <c r="V446" i="6"/>
  <c r="V185" i="6"/>
  <c r="V463" i="6"/>
  <c r="V382" i="6"/>
  <c r="V383" i="6"/>
  <c r="V384" i="6"/>
  <c r="V94" i="6"/>
  <c r="V95" i="6"/>
  <c r="V96" i="6"/>
  <c r="V155" i="6"/>
  <c r="V426" i="6"/>
  <c r="V207" i="6"/>
  <c r="V480" i="6"/>
  <c r="V255" i="6"/>
  <c r="V73" i="6"/>
  <c r="V363" i="6"/>
  <c r="V106" i="6"/>
  <c r="V396" i="6"/>
  <c r="V136" i="6"/>
  <c r="V256" i="6"/>
  <c r="V204" i="6"/>
  <c r="V258" i="6"/>
  <c r="V56" i="6"/>
  <c r="V285" i="6"/>
  <c r="V12" i="6"/>
  <c r="V233" i="6"/>
  <c r="V350" i="6"/>
  <c r="V51" i="6"/>
  <c r="V282" i="6"/>
  <c r="V458" i="6"/>
  <c r="V198" i="6"/>
  <c r="V297" i="6"/>
  <c r="V253" i="6"/>
  <c r="V399" i="6"/>
  <c r="V126" i="6"/>
  <c r="V448" i="6"/>
  <c r="V362" i="6"/>
  <c r="V65" i="6"/>
  <c r="V465" i="6"/>
  <c r="V353" i="6"/>
  <c r="V378" i="6"/>
  <c r="V120" i="6"/>
  <c r="V238" i="6"/>
  <c r="V447" i="6"/>
  <c r="V186" i="6"/>
  <c r="V149" i="6"/>
  <c r="V267" i="6"/>
  <c r="V481" i="6"/>
  <c r="V217" i="6"/>
  <c r="V331" i="6"/>
  <c r="V19" i="6"/>
  <c r="V264" i="6"/>
  <c r="V441" i="6"/>
  <c r="V180" i="6"/>
  <c r="V280" i="6"/>
  <c r="V401" i="6"/>
  <c r="V141" i="6"/>
  <c r="V243" i="6"/>
  <c r="V272" i="6"/>
  <c r="V460" i="6"/>
  <c r="V307" i="6"/>
  <c r="V485" i="6"/>
  <c r="V9" i="6"/>
  <c r="V251" i="6"/>
  <c r="V90" i="6"/>
  <c r="V436" i="6"/>
  <c r="V324" i="6"/>
  <c r="V66" i="6"/>
  <c r="V361" i="6"/>
  <c r="V104" i="6"/>
  <c r="V221" i="6"/>
  <c r="V174" i="6"/>
  <c r="V393" i="6"/>
  <c r="V133" i="6"/>
  <c r="V81" i="6"/>
  <c r="V461" i="6"/>
  <c r="V201" i="6"/>
  <c r="V316" i="6"/>
  <c r="V80" i="6"/>
  <c r="V248" i="6"/>
  <c r="W7" i="6"/>
  <c r="V93" i="6"/>
  <c r="V262" i="6"/>
  <c r="V125" i="6"/>
  <c r="V226" i="6"/>
  <c r="V484" i="6"/>
  <c r="V212" i="6"/>
  <c r="V452" i="6"/>
  <c r="V369" i="6"/>
  <c r="V469" i="6"/>
  <c r="V420" i="6"/>
  <c r="V308" i="6"/>
  <c r="V67" i="6"/>
  <c r="V354" i="6"/>
  <c r="V31" i="6"/>
  <c r="V205" i="6"/>
  <c r="V343" i="6"/>
  <c r="V82" i="6"/>
  <c r="V375" i="6"/>
  <c r="V117" i="6"/>
  <c r="V234" i="6"/>
  <c r="V444" i="6"/>
  <c r="V183" i="6"/>
  <c r="V300" i="6"/>
  <c r="V40" i="6"/>
  <c r="V231" i="6"/>
  <c r="V423" i="6"/>
  <c r="V246" i="6"/>
  <c r="V367" i="6"/>
  <c r="V109" i="6"/>
  <c r="V210" i="6"/>
  <c r="V456" i="6"/>
  <c r="V257" i="6"/>
  <c r="V175" i="6"/>
  <c r="V372" i="6"/>
  <c r="V313" i="6"/>
  <c r="V139" i="6"/>
  <c r="V10" i="6"/>
  <c r="V276" i="6"/>
  <c r="V43" i="6"/>
  <c r="V438" i="6"/>
  <c r="V325" i="6"/>
  <c r="V292" i="6"/>
  <c r="V24" i="6"/>
  <c r="V322" i="6"/>
  <c r="V87" i="6"/>
  <c r="V187" i="6"/>
  <c r="V150" i="6"/>
  <c r="V348" i="6"/>
  <c r="V79" i="6"/>
  <c r="V218" i="6"/>
  <c r="V427" i="6"/>
  <c r="V92" i="6"/>
  <c r="V283" i="6"/>
  <c r="V479" i="6"/>
  <c r="V215" i="6"/>
  <c r="V404" i="6"/>
  <c r="V144" i="6"/>
  <c r="V229" i="6"/>
  <c r="V352" i="6"/>
  <c r="V41" i="6"/>
  <c r="V193" i="6"/>
  <c r="V77" i="6"/>
  <c r="V312" i="6"/>
  <c r="V454" i="6"/>
  <c r="V381" i="6"/>
  <c r="V189" i="6"/>
  <c r="V471" i="6"/>
  <c r="V422" i="6"/>
  <c r="V240" i="6"/>
  <c r="V275" i="6"/>
  <c r="V105" i="6"/>
  <c r="V306" i="6"/>
  <c r="V173" i="6"/>
  <c r="V394" i="6"/>
  <c r="V134" i="6"/>
  <c r="V339" i="6"/>
  <c r="V25" i="6"/>
  <c r="V202" i="6"/>
  <c r="V345" i="6"/>
  <c r="V164" i="6"/>
  <c r="V265" i="6"/>
  <c r="V459" i="6"/>
  <c r="V199" i="6"/>
  <c r="V128" i="6"/>
  <c r="V213" i="6"/>
  <c r="V261" i="6"/>
  <c r="V98" i="6"/>
  <c r="V60" i="6"/>
  <c r="V76" i="6"/>
  <c r="V225" i="6"/>
  <c r="V359" i="6"/>
  <c r="V291" i="6"/>
  <c r="V110" i="6"/>
  <c r="V440" i="6"/>
  <c r="V337" i="6"/>
  <c r="V168" i="6"/>
  <c r="V290" i="6"/>
  <c r="V20" i="6"/>
  <c r="V376" i="6"/>
  <c r="V118" i="6"/>
  <c r="V319" i="6"/>
  <c r="V59" i="6"/>
  <c r="V184" i="6"/>
  <c r="V407" i="6"/>
  <c r="V147" i="6"/>
  <c r="V249" i="6"/>
  <c r="V442" i="6"/>
  <c r="V181" i="6"/>
  <c r="V370" i="6"/>
  <c r="V112" i="6"/>
  <c r="V197" i="6"/>
  <c r="V311" i="6"/>
  <c r="V30" i="6"/>
  <c r="V71" i="6"/>
  <c r="V153" i="6"/>
  <c r="V397" i="6"/>
  <c r="V196" i="6"/>
  <c r="V245" i="6"/>
  <c r="V70" i="6"/>
  <c r="V241" i="6"/>
  <c r="V61" i="6"/>
  <c r="V273" i="6"/>
  <c r="V151" i="6"/>
  <c r="V332" i="6"/>
  <c r="V102" i="6"/>
  <c r="V303" i="6"/>
  <c r="V46" i="6"/>
  <c r="V166" i="6"/>
  <c r="V391" i="6"/>
  <c r="V131" i="6"/>
  <c r="V232" i="6"/>
  <c r="V341" i="6"/>
  <c r="V62" i="6"/>
  <c r="V259" i="6"/>
  <c r="V47" i="6"/>
  <c r="V179" i="6"/>
  <c r="V295" i="6"/>
  <c r="V419" i="6"/>
  <c r="V156" i="6"/>
  <c r="V26" i="6"/>
  <c r="V296" i="6"/>
  <c r="V123" i="6"/>
  <c r="V445" i="6"/>
  <c r="V335" i="6"/>
  <c r="V58" i="6"/>
  <c r="V425" i="6"/>
  <c r="V224" i="6"/>
  <c r="V55" i="6"/>
  <c r="V177" i="6"/>
  <c r="V395" i="6"/>
  <c r="V135" i="6"/>
  <c r="V355" i="6"/>
  <c r="V27" i="6"/>
  <c r="V286" i="6"/>
  <c r="V14" i="6"/>
  <c r="V165" i="6"/>
  <c r="V373" i="6"/>
  <c r="V115" i="6"/>
  <c r="V216" i="6"/>
  <c r="V346" i="6"/>
  <c r="V162" i="6"/>
  <c r="V328" i="6"/>
  <c r="V15" i="6"/>
  <c r="V75" i="6"/>
  <c r="V278" i="6"/>
  <c r="V400" i="6"/>
  <c r="V140" i="6"/>
  <c r="V457" i="6"/>
  <c r="V209" i="6"/>
  <c r="V482" i="6"/>
  <c r="V11" i="6"/>
  <c r="V254" i="6"/>
  <c r="V72" i="6"/>
  <c r="V468" i="6"/>
  <c r="V208" i="6"/>
  <c r="V22" i="6"/>
  <c r="V239" i="6"/>
  <c r="V377" i="6"/>
  <c r="V119" i="6"/>
  <c r="V320" i="6"/>
  <c r="V83" i="6"/>
  <c r="V268" i="6"/>
  <c r="V408" i="6"/>
  <c r="V148" i="6"/>
  <c r="V333" i="6"/>
  <c r="V200" i="6"/>
  <c r="V405" i="6"/>
  <c r="V145" i="6"/>
  <c r="V314" i="6"/>
  <c r="V64" i="6"/>
  <c r="V252" i="6"/>
  <c r="V124" i="6"/>
  <c r="V293" i="6"/>
  <c r="V86" i="6"/>
  <c r="V152" i="6"/>
  <c r="V302" i="6"/>
  <c r="V114" i="6"/>
  <c r="V57" i="6"/>
  <c r="V428" i="6"/>
  <c r="V137" i="6"/>
  <c r="V450" i="6"/>
  <c r="V365" i="6"/>
  <c r="V467" i="6"/>
  <c r="V451" i="6"/>
  <c r="V191" i="6"/>
  <c r="V424" i="6"/>
  <c r="V222" i="6"/>
  <c r="V347" i="6"/>
  <c r="V103" i="6"/>
  <c r="V304" i="6"/>
  <c r="V48" i="6"/>
  <c r="V167" i="6"/>
  <c r="V392" i="6"/>
  <c r="V132" i="6"/>
  <c r="V340" i="6"/>
  <c r="V21" i="6"/>
  <c r="V182" i="6"/>
  <c r="V129" i="6"/>
  <c r="V298" i="6"/>
  <c r="V36" i="6"/>
  <c r="V143" i="6"/>
  <c r="V244" i="6"/>
  <c r="V366" i="6"/>
  <c r="V108" i="6"/>
  <c r="V228" i="6"/>
  <c r="V443" i="6"/>
  <c r="V122" i="6"/>
  <c r="V429" i="6"/>
  <c r="V250" i="6"/>
  <c r="V89" i="6"/>
  <c r="V462" i="6"/>
  <c r="V402" i="6"/>
  <c r="V358" i="6"/>
  <c r="V8" i="6"/>
  <c r="V274" i="6"/>
  <c r="V37" i="6"/>
  <c r="V437" i="6"/>
  <c r="V435" i="6"/>
  <c r="V172" i="6"/>
  <c r="V466" i="6"/>
  <c r="V206" i="6"/>
  <c r="V338" i="6"/>
  <c r="V29" i="6"/>
  <c r="V287" i="6"/>
  <c r="V16" i="6"/>
  <c r="V235" i="6"/>
  <c r="V374" i="6"/>
  <c r="V116" i="6"/>
  <c r="V317" i="6"/>
  <c r="V91" i="6"/>
  <c r="V84" i="6"/>
  <c r="V371" i="6"/>
  <c r="V113" i="6"/>
  <c r="V281" i="6"/>
  <c r="V403" i="6"/>
  <c r="V127" i="6"/>
  <c r="V227" i="6"/>
  <c r="V336" i="6"/>
  <c r="V39" i="6"/>
  <c r="V309" i="6"/>
  <c r="V453" i="6"/>
  <c r="V379" i="6"/>
  <c r="V178" i="6"/>
  <c r="V470" i="6"/>
  <c r="V421" i="6"/>
  <c r="V342" i="6"/>
  <c r="V449" i="6"/>
  <c r="V188" i="6"/>
  <c r="V321" i="6"/>
  <c r="V69" i="6"/>
  <c r="V269" i="6"/>
  <c r="V483" i="6"/>
  <c r="V219" i="6"/>
  <c r="V349" i="6"/>
  <c r="V63" i="6"/>
  <c r="V301" i="6"/>
  <c r="V42" i="6"/>
  <c r="V163" i="6"/>
  <c r="V334" i="6"/>
  <c r="V49" i="6"/>
  <c r="V263" i="6"/>
  <c r="V111" i="6"/>
  <c r="V211" i="6"/>
  <c r="V326" i="6"/>
  <c r="V121" i="6"/>
  <c r="V380" i="6"/>
  <c r="V220" i="6"/>
  <c r="V44" i="6"/>
  <c r="V299" i="6"/>
  <c r="V214" i="6"/>
  <c r="V277" i="6"/>
  <c r="V418" i="6"/>
  <c r="V223" i="6"/>
  <c r="V344" i="6"/>
  <c r="V279" i="6"/>
  <c r="V107" i="6"/>
  <c r="V439" i="6"/>
  <c r="V260" i="6"/>
  <c r="V417" i="6"/>
  <c r="V154" i="6"/>
  <c r="V78" i="6"/>
  <c r="V305" i="6"/>
  <c r="V50" i="6"/>
  <c r="V176" i="6"/>
  <c r="V464" i="6"/>
  <c r="V203" i="6"/>
  <c r="V356" i="6"/>
  <c r="V23" i="6"/>
  <c r="V284" i="6"/>
  <c r="V406" i="6"/>
  <c r="V146" i="6"/>
  <c r="V329" i="6"/>
  <c r="V17" i="6"/>
  <c r="V247" i="6"/>
  <c r="V351" i="6"/>
  <c r="V45" i="6"/>
  <c r="V194" i="6"/>
  <c r="V310" i="6"/>
  <c r="V88" i="6"/>
  <c r="U5" i="6"/>
  <c r="H5" i="6"/>
  <c r="W85" i="6" l="1"/>
  <c r="W289" i="6"/>
  <c r="W32" i="6"/>
  <c r="W33" i="6"/>
  <c r="W34" i="6"/>
  <c r="W35" i="6"/>
  <c r="W409" i="6"/>
  <c r="W170" i="6"/>
  <c r="W171" i="6"/>
  <c r="W386" i="6"/>
  <c r="W387" i="6"/>
  <c r="W388" i="6"/>
  <c r="W389" i="6"/>
  <c r="W157" i="6"/>
  <c r="W158" i="6"/>
  <c r="W159" i="6"/>
  <c r="W160" i="6"/>
  <c r="W161" i="6"/>
  <c r="W364" i="6"/>
  <c r="W455" i="6"/>
  <c r="W271" i="6"/>
  <c r="W270" i="6"/>
  <c r="W74" i="6"/>
  <c r="W410" i="6"/>
  <c r="W411" i="6"/>
  <c r="W412" i="6"/>
  <c r="W413" i="6"/>
  <c r="W414" i="6"/>
  <c r="W415" i="6"/>
  <c r="W416" i="6"/>
  <c r="W472" i="6"/>
  <c r="W473" i="6"/>
  <c r="W474" i="6"/>
  <c r="W475" i="6"/>
  <c r="W476" i="6"/>
  <c r="W477" i="6"/>
  <c r="W190" i="6"/>
  <c r="W52" i="6"/>
  <c r="W53" i="6"/>
  <c r="W54" i="6"/>
  <c r="W493" i="6"/>
  <c r="W488" i="6"/>
  <c r="W494" i="6"/>
  <c r="W495" i="6"/>
  <c r="W491" i="6"/>
  <c r="W489" i="6"/>
  <c r="W492" i="6"/>
  <c r="W490" i="6"/>
  <c r="W195" i="6"/>
  <c r="W486" i="6"/>
  <c r="W487" i="6"/>
  <c r="W430" i="6"/>
  <c r="W431" i="6"/>
  <c r="W432" i="6"/>
  <c r="W433" i="6"/>
  <c r="W434" i="6"/>
  <c r="W127" i="6"/>
  <c r="W99" i="6"/>
  <c r="W100" i="6"/>
  <c r="W101" i="6"/>
  <c r="W363" i="6"/>
  <c r="W330" i="6"/>
  <c r="W61" i="6"/>
  <c r="W120" i="6"/>
  <c r="W88" i="6"/>
  <c r="W254" i="6"/>
  <c r="W188" i="6"/>
  <c r="W283" i="6"/>
  <c r="W17" i="6"/>
  <c r="W419" i="6"/>
  <c r="W12" i="6"/>
  <c r="W37" i="6"/>
  <c r="W149" i="6"/>
  <c r="W324" i="6"/>
  <c r="W368" i="6"/>
  <c r="W360" i="6"/>
  <c r="W60" i="6"/>
  <c r="W440" i="6"/>
  <c r="W202" i="6"/>
  <c r="W8" i="6"/>
  <c r="W484" i="6"/>
  <c r="W428" i="6"/>
  <c r="W62" i="6"/>
  <c r="W67" i="6"/>
  <c r="W463" i="6"/>
  <c r="W382" i="6"/>
  <c r="W383" i="6"/>
  <c r="W384" i="6"/>
  <c r="W308" i="6"/>
  <c r="W94" i="6"/>
  <c r="W95" i="6"/>
  <c r="W96" i="6"/>
  <c r="V5" i="6"/>
  <c r="W385" i="6"/>
  <c r="W408" i="6"/>
  <c r="W420" i="6"/>
  <c r="W480" i="6"/>
  <c r="W460" i="6"/>
  <c r="W443" i="6"/>
  <c r="W31" i="6"/>
  <c r="W30" i="6"/>
  <c r="W59" i="6"/>
  <c r="W86" i="6"/>
  <c r="W119" i="6"/>
  <c r="W147" i="6"/>
  <c r="W165" i="6"/>
  <c r="W247" i="6"/>
  <c r="W182" i="6"/>
  <c r="W43" i="6"/>
  <c r="W265" i="6"/>
  <c r="W393" i="6"/>
  <c r="W111" i="6"/>
  <c r="W211" i="6"/>
  <c r="W36" i="6"/>
  <c r="W50" i="6"/>
  <c r="W292" i="6"/>
  <c r="W348" i="6"/>
  <c r="W406" i="6"/>
  <c r="W342" i="6"/>
  <c r="W427" i="6"/>
  <c r="W441" i="6"/>
  <c r="W258" i="6"/>
  <c r="W479" i="6"/>
  <c r="W459" i="6"/>
  <c r="W29" i="6"/>
  <c r="W57" i="6"/>
  <c r="W82" i="6"/>
  <c r="W118" i="6"/>
  <c r="W145" i="6"/>
  <c r="W166" i="6"/>
  <c r="W340" i="6"/>
  <c r="W27" i="6"/>
  <c r="W225" i="6"/>
  <c r="W451" i="6"/>
  <c r="W375" i="6"/>
  <c r="W89" i="6"/>
  <c r="W311" i="6"/>
  <c r="W20" i="6"/>
  <c r="W275" i="6"/>
  <c r="W77" i="6"/>
  <c r="W191" i="6"/>
  <c r="W232" i="6"/>
  <c r="W349" i="6"/>
  <c r="W381" i="6"/>
  <c r="W405" i="6"/>
  <c r="W325" i="6"/>
  <c r="W421" i="6"/>
  <c r="W481" i="6"/>
  <c r="W457" i="6"/>
  <c r="W470" i="6"/>
  <c r="W442" i="6"/>
  <c r="W28" i="6"/>
  <c r="W81" i="6"/>
  <c r="W117" i="6"/>
  <c r="W142" i="6"/>
  <c r="W318" i="6"/>
  <c r="W466" i="6"/>
  <c r="W251" i="6"/>
  <c r="W422" i="6"/>
  <c r="W144" i="6"/>
  <c r="W326" i="6"/>
  <c r="W71" i="6"/>
  <c r="W295" i="6"/>
  <c r="W309" i="6"/>
  <c r="W18" i="6"/>
  <c r="W230" i="6"/>
  <c r="W76" i="6"/>
  <c r="W356" i="6"/>
  <c r="W357" i="6"/>
  <c r="W208" i="6"/>
  <c r="W379" i="6"/>
  <c r="W403" i="6"/>
  <c r="W402" i="6"/>
  <c r="W401" i="6"/>
  <c r="W331" i="6"/>
  <c r="W461" i="6"/>
  <c r="W471" i="6"/>
  <c r="W437" i="6"/>
  <c r="W485" i="6"/>
  <c r="W26" i="6"/>
  <c r="W51" i="6"/>
  <c r="W80" i="6"/>
  <c r="W115" i="6"/>
  <c r="W302" i="6"/>
  <c r="W218" i="6"/>
  <c r="W128" i="6"/>
  <c r="W353" i="6"/>
  <c r="W55" i="6"/>
  <c r="W278" i="6"/>
  <c r="W293" i="6"/>
  <c r="X7" i="6"/>
  <c r="W242" i="6"/>
  <c r="W306" i="6"/>
  <c r="W305" i="6"/>
  <c r="W260" i="6"/>
  <c r="W350" i="6"/>
  <c r="W377" i="6"/>
  <c r="W374" i="6"/>
  <c r="W372" i="6"/>
  <c r="W400" i="6"/>
  <c r="W423" i="6"/>
  <c r="W454" i="6"/>
  <c r="W482" i="6"/>
  <c r="W462" i="6"/>
  <c r="W24" i="6"/>
  <c r="W48" i="6"/>
  <c r="W79" i="6"/>
  <c r="W285" i="6"/>
  <c r="W439" i="6"/>
  <c r="W257" i="6"/>
  <c r="W394" i="6"/>
  <c r="W112" i="6"/>
  <c r="W227" i="6"/>
  <c r="W38" i="6"/>
  <c r="W245" i="6"/>
  <c r="W276" i="6"/>
  <c r="W429" i="6"/>
  <c r="W181" i="6"/>
  <c r="W478" i="6"/>
  <c r="W277" i="6"/>
  <c r="W274" i="6"/>
  <c r="W304" i="6"/>
  <c r="W219" i="6"/>
  <c r="W334" i="6"/>
  <c r="W327" i="6"/>
  <c r="W259" i="6"/>
  <c r="W371" i="6"/>
  <c r="W399" i="6"/>
  <c r="W397" i="6"/>
  <c r="W424" i="6"/>
  <c r="W445" i="6"/>
  <c r="W452" i="6"/>
  <c r="W21" i="6"/>
  <c r="W47" i="6"/>
  <c r="W267" i="6"/>
  <c r="W469" i="6"/>
  <c r="W163" i="6"/>
  <c r="W376" i="6"/>
  <c r="W90" i="6"/>
  <c r="W313" i="6"/>
  <c r="W22" i="6"/>
  <c r="W183" i="6"/>
  <c r="W237" i="6"/>
  <c r="W10" i="6"/>
  <c r="W177" i="6"/>
  <c r="W217" i="6"/>
  <c r="W192" i="6"/>
  <c r="W273" i="6"/>
  <c r="W303" i="6"/>
  <c r="W203" i="6"/>
  <c r="W194" i="6"/>
  <c r="W261" i="6"/>
  <c r="W351" i="6"/>
  <c r="W352" i="6"/>
  <c r="W369" i="6"/>
  <c r="W395" i="6"/>
  <c r="W358" i="6"/>
  <c r="W468" i="6"/>
  <c r="W456" i="6"/>
  <c r="W449" i="6"/>
  <c r="W19" i="6"/>
  <c r="W178" i="6"/>
  <c r="W146" i="6"/>
  <c r="W332" i="6"/>
  <c r="W72" i="6"/>
  <c r="W297" i="6"/>
  <c r="W483" i="6"/>
  <c r="W207" i="6"/>
  <c r="W246" i="6"/>
  <c r="W458" i="6"/>
  <c r="W175" i="6"/>
  <c r="W233" i="6"/>
  <c r="W93" i="6"/>
  <c r="W239" i="6"/>
  <c r="W226" i="6"/>
  <c r="W250" i="6"/>
  <c r="W272" i="6"/>
  <c r="W301" i="6"/>
  <c r="W299" i="6"/>
  <c r="W296" i="6"/>
  <c r="W180" i="6"/>
  <c r="W321" i="6"/>
  <c r="W337" i="6"/>
  <c r="W367" i="6"/>
  <c r="W392" i="6"/>
  <c r="W343" i="6"/>
  <c r="W9" i="6"/>
  <c r="W467" i="6"/>
  <c r="W196" i="6"/>
  <c r="W346" i="6"/>
  <c r="W130" i="6"/>
  <c r="W336" i="6"/>
  <c r="W56" i="6"/>
  <c r="W280" i="6"/>
  <c r="W453" i="6"/>
  <c r="W179" i="6"/>
  <c r="W189" i="6"/>
  <c r="W244" i="6"/>
  <c r="W154" i="6"/>
  <c r="W307" i="6"/>
  <c r="W243" i="6"/>
  <c r="W140" i="6"/>
  <c r="W176" i="6"/>
  <c r="W167" i="6"/>
  <c r="W210" i="6"/>
  <c r="W238" i="6"/>
  <c r="W269" i="6"/>
  <c r="W268" i="6"/>
  <c r="W266" i="6"/>
  <c r="W294" i="6"/>
  <c r="W291" i="6"/>
  <c r="W320" i="6"/>
  <c r="W354" i="6"/>
  <c r="W366" i="6"/>
  <c r="W390" i="6"/>
  <c r="W344" i="6"/>
  <c r="W418" i="6"/>
  <c r="W426" i="6"/>
  <c r="W234" i="6"/>
  <c r="W396" i="6"/>
  <c r="W114" i="6"/>
  <c r="W235" i="6"/>
  <c r="W39" i="6"/>
  <c r="W262" i="6"/>
  <c r="W444" i="6"/>
  <c r="W173" i="6"/>
  <c r="W255" i="6"/>
  <c r="W224" i="6"/>
  <c r="W138" i="6"/>
  <c r="W279" i="6"/>
  <c r="W113" i="6"/>
  <c r="W137" i="6"/>
  <c r="W136" i="6"/>
  <c r="W184" i="6"/>
  <c r="W228" i="6"/>
  <c r="W220" i="6"/>
  <c r="W212" i="6"/>
  <c r="W264" i="6"/>
  <c r="W249" i="6"/>
  <c r="W290" i="6"/>
  <c r="W319" i="6"/>
  <c r="W338" i="6"/>
  <c r="W365" i="6"/>
  <c r="W248" i="6"/>
  <c r="W448" i="6"/>
  <c r="W197" i="6"/>
  <c r="W378" i="6"/>
  <c r="W92" i="6"/>
  <c r="W314" i="6"/>
  <c r="W23" i="6"/>
  <c r="W201" i="6"/>
  <c r="W240" i="6"/>
  <c r="W174" i="6"/>
  <c r="W404" i="6"/>
  <c r="W122" i="6"/>
  <c r="W78" i="6"/>
  <c r="W110" i="6"/>
  <c r="W108" i="6"/>
  <c r="W135" i="6"/>
  <c r="W164" i="6"/>
  <c r="W168" i="6"/>
  <c r="W256" i="6"/>
  <c r="W229" i="6"/>
  <c r="W204" i="6"/>
  <c r="W186" i="6"/>
  <c r="W241" i="6"/>
  <c r="W288" i="6"/>
  <c r="W317" i="6"/>
  <c r="W216" i="6"/>
  <c r="W362" i="6"/>
  <c r="W438" i="6"/>
  <c r="W361" i="6"/>
  <c r="W75" i="6"/>
  <c r="W298" i="6"/>
  <c r="W436" i="6"/>
  <c r="W223" i="6"/>
  <c r="W11" i="6"/>
  <c r="W141" i="6"/>
  <c r="W155" i="6"/>
  <c r="W106" i="6"/>
  <c r="W46" i="6"/>
  <c r="W45" i="6"/>
  <c r="W73" i="6"/>
  <c r="W105" i="6"/>
  <c r="W134" i="6"/>
  <c r="W162" i="6"/>
  <c r="W156" i="6"/>
  <c r="W221" i="6"/>
  <c r="W213" i="6"/>
  <c r="W252" i="6"/>
  <c r="W222" i="6"/>
  <c r="W287" i="6"/>
  <c r="W315" i="6"/>
  <c r="W355" i="6"/>
  <c r="W347" i="6"/>
  <c r="W329" i="6"/>
  <c r="W148" i="6"/>
  <c r="W335" i="6"/>
  <c r="W58" i="6"/>
  <c r="W281" i="6"/>
  <c r="W322" i="6"/>
  <c r="W193" i="6"/>
  <c r="W407" i="6"/>
  <c r="W125" i="6"/>
  <c r="W139" i="6"/>
  <c r="W370" i="6"/>
  <c r="W83" i="6"/>
  <c r="W16" i="6"/>
  <c r="W15" i="6"/>
  <c r="W44" i="6"/>
  <c r="W70" i="6"/>
  <c r="W104" i="6"/>
  <c r="W133" i="6"/>
  <c r="W131" i="6"/>
  <c r="W129" i="6"/>
  <c r="W153" i="6"/>
  <c r="W152" i="6"/>
  <c r="W205" i="6"/>
  <c r="W215" i="6"/>
  <c r="W214" i="6"/>
  <c r="W286" i="6"/>
  <c r="W312" i="6"/>
  <c r="W339" i="6"/>
  <c r="W200" i="6"/>
  <c r="W132" i="6"/>
  <c r="W341" i="6"/>
  <c r="W41" i="6"/>
  <c r="W263" i="6"/>
  <c r="W447" i="6"/>
  <c r="W172" i="6"/>
  <c r="W391" i="6"/>
  <c r="W109" i="6"/>
  <c r="W123" i="6"/>
  <c r="W333" i="6"/>
  <c r="W66" i="6"/>
  <c r="W450" i="6"/>
  <c r="W446" i="6"/>
  <c r="W14" i="6"/>
  <c r="W42" i="6"/>
  <c r="W68" i="6"/>
  <c r="W103" i="6"/>
  <c r="W102" i="6"/>
  <c r="W126" i="6"/>
  <c r="W124" i="6"/>
  <c r="W151" i="6"/>
  <c r="W187" i="6"/>
  <c r="W199" i="6"/>
  <c r="W206" i="6"/>
  <c r="W284" i="6"/>
  <c r="W310" i="6"/>
  <c r="W398" i="6"/>
  <c r="W116" i="6"/>
  <c r="W316" i="6"/>
  <c r="W25" i="6"/>
  <c r="W209" i="6"/>
  <c r="W435" i="6"/>
  <c r="W373" i="6"/>
  <c r="W87" i="6"/>
  <c r="W107" i="6"/>
  <c r="W328" i="6"/>
  <c r="W49" i="6"/>
  <c r="W417" i="6"/>
  <c r="W464" i="6"/>
  <c r="W359" i="6"/>
  <c r="W425" i="6"/>
  <c r="W465" i="6"/>
  <c r="W13" i="6"/>
  <c r="W40" i="6"/>
  <c r="W65" i="6"/>
  <c r="W64" i="6"/>
  <c r="W63" i="6"/>
  <c r="W98" i="6"/>
  <c r="W91" i="6"/>
  <c r="W121" i="6"/>
  <c r="W150" i="6"/>
  <c r="W169" i="6"/>
  <c r="W253" i="6"/>
  <c r="W198" i="6"/>
  <c r="W282" i="6"/>
  <c r="W380" i="6"/>
  <c r="W97" i="6"/>
  <c r="W300" i="6"/>
  <c r="W231" i="6"/>
  <c r="W345" i="6"/>
  <c r="W143" i="6"/>
  <c r="W323" i="6"/>
  <c r="W69" i="6"/>
  <c r="W84" i="6"/>
  <c r="W185" i="6"/>
  <c r="X85" i="6" l="1"/>
  <c r="X289" i="6"/>
  <c r="X32" i="6"/>
  <c r="X33" i="6"/>
  <c r="X34" i="6"/>
  <c r="X35" i="6"/>
  <c r="X409" i="6"/>
  <c r="X170" i="6"/>
  <c r="X171" i="6"/>
  <c r="X386" i="6"/>
  <c r="X387" i="6"/>
  <c r="X388" i="6"/>
  <c r="X389" i="6"/>
  <c r="X157" i="6"/>
  <c r="X158" i="6"/>
  <c r="X159" i="6"/>
  <c r="X160" i="6"/>
  <c r="X161" i="6"/>
  <c r="X364" i="6"/>
  <c r="X455" i="6"/>
  <c r="X271" i="6"/>
  <c r="X270" i="6"/>
  <c r="X74" i="6"/>
  <c r="X410" i="6"/>
  <c r="X411" i="6"/>
  <c r="X412" i="6"/>
  <c r="X413" i="6"/>
  <c r="X414" i="6"/>
  <c r="X415" i="6"/>
  <c r="X416" i="6"/>
  <c r="X472" i="6"/>
  <c r="X473" i="6"/>
  <c r="X474" i="6"/>
  <c r="X475" i="6"/>
  <c r="X476" i="6"/>
  <c r="X477" i="6"/>
  <c r="X190" i="6"/>
  <c r="X52" i="6"/>
  <c r="X53" i="6"/>
  <c r="X54" i="6"/>
  <c r="X493" i="6"/>
  <c r="X488" i="6"/>
  <c r="X494" i="6"/>
  <c r="X495" i="6"/>
  <c r="X491" i="6"/>
  <c r="X489" i="6"/>
  <c r="X492" i="6"/>
  <c r="X490" i="6"/>
  <c r="X195" i="6"/>
  <c r="X486" i="6"/>
  <c r="X487" i="6"/>
  <c r="X430" i="6"/>
  <c r="X431" i="6"/>
  <c r="X432" i="6"/>
  <c r="X433" i="6"/>
  <c r="X434" i="6"/>
  <c r="X330" i="6"/>
  <c r="X99" i="6"/>
  <c r="X100" i="6"/>
  <c r="X101" i="6"/>
  <c r="X276" i="6"/>
  <c r="X368" i="6"/>
  <c r="X392" i="6"/>
  <c r="X302" i="6"/>
  <c r="X168" i="6"/>
  <c r="X481" i="6"/>
  <c r="X327" i="6"/>
  <c r="X72" i="6"/>
  <c r="X382" i="6"/>
  <c r="X383" i="6"/>
  <c r="X384" i="6"/>
  <c r="X275" i="6"/>
  <c r="X292" i="6"/>
  <c r="X452" i="6"/>
  <c r="X423" i="6"/>
  <c r="X79" i="6"/>
  <c r="X67" i="6"/>
  <c r="X13" i="6"/>
  <c r="X28" i="6"/>
  <c r="X463" i="6"/>
  <c r="X438" i="6"/>
  <c r="X81" i="6"/>
  <c r="X167" i="6"/>
  <c r="X26" i="6"/>
  <c r="X325" i="6"/>
  <c r="X253" i="6"/>
  <c r="X221" i="6"/>
  <c r="X456" i="6"/>
  <c r="X316" i="6"/>
  <c r="X82" i="6"/>
  <c r="X440" i="6"/>
  <c r="X426" i="6"/>
  <c r="X374" i="6"/>
  <c r="X228" i="6"/>
  <c r="X453" i="6"/>
  <c r="X254" i="6"/>
  <c r="X318" i="6"/>
  <c r="X332" i="6"/>
  <c r="X182" i="6"/>
  <c r="X88" i="6"/>
  <c r="X134" i="6"/>
  <c r="X401" i="6"/>
  <c r="X365" i="6"/>
  <c r="X151" i="6"/>
  <c r="X351" i="6"/>
  <c r="X296" i="6"/>
  <c r="X279" i="6"/>
  <c r="X196" i="6"/>
  <c r="X337" i="6"/>
  <c r="X359" i="6"/>
  <c r="X29" i="6"/>
  <c r="X94" i="6"/>
  <c r="X95" i="6"/>
  <c r="X96" i="6"/>
  <c r="X363" i="6"/>
  <c r="X172" i="6"/>
  <c r="X294" i="6"/>
  <c r="X93" i="6"/>
  <c r="X65" i="6"/>
  <c r="X70" i="6"/>
  <c r="X344" i="6"/>
  <c r="X154" i="6"/>
  <c r="X27" i="6"/>
  <c r="X277" i="6"/>
  <c r="X84" i="6"/>
  <c r="X480" i="6"/>
  <c r="X293" i="6"/>
  <c r="X90" i="6"/>
  <c r="W5" i="6"/>
  <c r="X482" i="6"/>
  <c r="X435" i="6"/>
  <c r="X103" i="6"/>
  <c r="X355" i="6"/>
  <c r="X10" i="6"/>
  <c r="X443" i="6"/>
  <c r="X268" i="6"/>
  <c r="X335" i="6"/>
  <c r="X249" i="6"/>
  <c r="X180" i="6"/>
  <c r="X43" i="6"/>
  <c r="X241" i="6"/>
  <c r="X237" i="6"/>
  <c r="X230" i="6"/>
  <c r="X444" i="6"/>
  <c r="X191" i="6"/>
  <c r="X213" i="6"/>
  <c r="X404" i="6"/>
  <c r="X138" i="6"/>
  <c r="X153" i="6"/>
  <c r="X419" i="6"/>
  <c r="X150" i="6"/>
  <c r="X341" i="6"/>
  <c r="X51" i="6"/>
  <c r="X49" i="6"/>
  <c r="X48" i="6"/>
  <c r="X46" i="6"/>
  <c r="X77" i="6"/>
  <c r="X313" i="6"/>
  <c r="X427" i="6"/>
  <c r="X192" i="6"/>
  <c r="X22" i="6"/>
  <c r="X246" i="6"/>
  <c r="X137" i="6"/>
  <c r="X25" i="6"/>
  <c r="X24" i="6"/>
  <c r="X76" i="6"/>
  <c r="X469" i="6"/>
  <c r="X397" i="6"/>
  <c r="X187" i="6"/>
  <c r="X356" i="6"/>
  <c r="X385" i="6"/>
  <c r="Y7" i="6"/>
  <c r="X188" i="6"/>
  <c r="X215" i="6"/>
  <c r="X295" i="6"/>
  <c r="X199" i="6"/>
  <c r="X189" i="6"/>
  <c r="X181" i="6"/>
  <c r="X425" i="6"/>
  <c r="X156" i="6"/>
  <c r="X173" i="6"/>
  <c r="X370" i="6"/>
  <c r="X106" i="6"/>
  <c r="X121" i="6"/>
  <c r="X118" i="6"/>
  <c r="X300" i="6"/>
  <c r="X299" i="6"/>
  <c r="X298" i="6"/>
  <c r="X297" i="6"/>
  <c r="X9" i="6"/>
  <c r="X371" i="6"/>
  <c r="X465" i="6"/>
  <c r="X309" i="6"/>
  <c r="X261" i="6"/>
  <c r="X407" i="6"/>
  <c r="X454" i="6"/>
  <c r="X120" i="6"/>
  <c r="X184" i="6"/>
  <c r="X278" i="6"/>
  <c r="X479" i="6"/>
  <c r="X255" i="6"/>
  <c r="X256" i="6"/>
  <c r="X229" i="6"/>
  <c r="X406" i="6"/>
  <c r="X140" i="6"/>
  <c r="X155" i="6"/>
  <c r="X350" i="6"/>
  <c r="X80" i="6"/>
  <c r="X105" i="6"/>
  <c r="X366" i="6"/>
  <c r="X102" i="6"/>
  <c r="X283" i="6"/>
  <c r="X282" i="6"/>
  <c r="X281" i="6"/>
  <c r="X280" i="6"/>
  <c r="X36" i="6"/>
  <c r="X478" i="6"/>
  <c r="X421" i="6"/>
  <c r="X336" i="6"/>
  <c r="X420" i="6"/>
  <c r="X484" i="6"/>
  <c r="X75" i="6"/>
  <c r="X260" i="6"/>
  <c r="X380" i="6"/>
  <c r="X11" i="6"/>
  <c r="X232" i="6"/>
  <c r="X245" i="6"/>
  <c r="X216" i="6"/>
  <c r="X208" i="6"/>
  <c r="X200" i="6"/>
  <c r="X390" i="6"/>
  <c r="X124" i="6"/>
  <c r="X139" i="6"/>
  <c r="X339" i="6"/>
  <c r="X58" i="6"/>
  <c r="X57" i="6"/>
  <c r="X194" i="6"/>
  <c r="X92" i="6"/>
  <c r="X265" i="6"/>
  <c r="X264" i="6"/>
  <c r="X263" i="6"/>
  <c r="X262" i="6"/>
  <c r="X20" i="6"/>
  <c r="X405" i="6"/>
  <c r="X319" i="6"/>
  <c r="X394" i="6"/>
  <c r="X346" i="6"/>
  <c r="X429" i="6"/>
  <c r="X303" i="6"/>
  <c r="X219" i="6"/>
  <c r="X402" i="6"/>
  <c r="X436" i="6"/>
  <c r="X86" i="6"/>
  <c r="X183" i="6"/>
  <c r="X485" i="6"/>
  <c r="X177" i="6"/>
  <c r="X176" i="6"/>
  <c r="X175" i="6"/>
  <c r="X372" i="6"/>
  <c r="X108" i="6"/>
  <c r="X123" i="6"/>
  <c r="X321" i="6"/>
  <c r="X37" i="6"/>
  <c r="X357" i="6"/>
  <c r="X225" i="6"/>
  <c r="X217" i="6"/>
  <c r="X209" i="6"/>
  <c r="X201" i="6"/>
  <c r="X50" i="6"/>
  <c r="X441" i="6"/>
  <c r="X136" i="6"/>
  <c r="X311" i="6"/>
  <c r="X242" i="6"/>
  <c r="X395" i="6"/>
  <c r="X204" i="6"/>
  <c r="X367" i="6"/>
  <c r="X447" i="6"/>
  <c r="X169" i="6"/>
  <c r="X342" i="6"/>
  <c r="X377" i="6"/>
  <c r="X451" i="6"/>
  <c r="X162" i="6"/>
  <c r="X207" i="6"/>
  <c r="X345" i="6"/>
  <c r="X333" i="6"/>
  <c r="X83" i="6"/>
  <c r="X107" i="6"/>
  <c r="X305" i="6"/>
  <c r="X12" i="6"/>
  <c r="X98" i="6"/>
  <c r="X317" i="6"/>
  <c r="X30" i="6"/>
  <c r="X251" i="6"/>
  <c r="X252" i="6"/>
  <c r="X231" i="6"/>
  <c r="X223" i="6"/>
  <c r="X361" i="6"/>
  <c r="X122" i="6"/>
  <c r="X379" i="6"/>
  <c r="X104" i="6"/>
  <c r="X328" i="6"/>
  <c r="X391" i="6"/>
  <c r="X360" i="6"/>
  <c r="X460" i="6"/>
  <c r="X286" i="6"/>
  <c r="X259" i="6"/>
  <c r="X185" i="6"/>
  <c r="X145" i="6"/>
  <c r="X179" i="6"/>
  <c r="X143" i="6"/>
  <c r="X142" i="6"/>
  <c r="X141" i="6"/>
  <c r="X227" i="6"/>
  <c r="X60" i="6"/>
  <c r="X91" i="6"/>
  <c r="X288" i="6"/>
  <c r="X304" i="6"/>
  <c r="X56" i="6"/>
  <c r="X301" i="6"/>
  <c r="X446" i="6"/>
  <c r="X218" i="6"/>
  <c r="X210" i="6"/>
  <c r="X202" i="6"/>
  <c r="X193" i="6"/>
  <c r="X18" i="6"/>
  <c r="X424" i="6"/>
  <c r="X369" i="6"/>
  <c r="X439" i="6"/>
  <c r="X314" i="6"/>
  <c r="X362" i="6"/>
  <c r="X461" i="6"/>
  <c r="X152" i="6"/>
  <c r="X324" i="6"/>
  <c r="X398" i="6"/>
  <c r="X129" i="6"/>
  <c r="X224" i="6"/>
  <c r="X393" i="6"/>
  <c r="X127" i="6"/>
  <c r="X126" i="6"/>
  <c r="X125" i="6"/>
  <c r="X323" i="6"/>
  <c r="X39" i="6"/>
  <c r="X59" i="6"/>
  <c r="X272" i="6"/>
  <c r="X287" i="6"/>
  <c r="X284" i="6"/>
  <c r="X450" i="6"/>
  <c r="X248" i="6"/>
  <c r="X244" i="6"/>
  <c r="X240" i="6"/>
  <c r="X235" i="6"/>
  <c r="X64" i="6"/>
  <c r="X400" i="6"/>
  <c r="X334" i="6"/>
  <c r="X437" i="6"/>
  <c r="X234" i="6"/>
  <c r="X203" i="6"/>
  <c r="X8" i="6"/>
  <c r="X445" i="6"/>
  <c r="X267" i="6"/>
  <c r="X373" i="6"/>
  <c r="X113" i="6"/>
  <c r="X68" i="6"/>
  <c r="X375" i="6"/>
  <c r="X111" i="6"/>
  <c r="X110" i="6"/>
  <c r="X109" i="6"/>
  <c r="X307" i="6"/>
  <c r="X16" i="6"/>
  <c r="X38" i="6"/>
  <c r="X206" i="6"/>
  <c r="X269" i="6"/>
  <c r="X73" i="6"/>
  <c r="X266" i="6"/>
  <c r="X89" i="6"/>
  <c r="X71" i="6"/>
  <c r="X47" i="6"/>
  <c r="X338" i="6"/>
  <c r="X459" i="6"/>
  <c r="X466" i="6"/>
  <c r="X312" i="6"/>
  <c r="X347" i="6"/>
  <c r="X408" i="6"/>
  <c r="X471" i="6"/>
  <c r="X135" i="6"/>
  <c r="X352" i="6"/>
  <c r="X66" i="6"/>
  <c r="X348" i="6"/>
  <c r="X87" i="6"/>
  <c r="X69" i="6"/>
  <c r="X97" i="6"/>
  <c r="X291" i="6"/>
  <c r="X306" i="6"/>
  <c r="X14" i="6"/>
  <c r="X220" i="6"/>
  <c r="X198" i="6"/>
  <c r="X55" i="6"/>
  <c r="X233" i="6"/>
  <c r="X211" i="6"/>
  <c r="X166" i="6"/>
  <c r="X165" i="6"/>
  <c r="X164" i="6"/>
  <c r="X163" i="6"/>
  <c r="X31" i="6"/>
  <c r="X250" i="6"/>
  <c r="X329" i="6"/>
  <c r="X422" i="6"/>
  <c r="X462" i="6"/>
  <c r="X257" i="6"/>
  <c r="X340" i="6"/>
  <c r="X343" i="6"/>
  <c r="X457" i="6"/>
  <c r="X320" i="6"/>
  <c r="X44" i="6"/>
  <c r="X144" i="6"/>
  <c r="X354" i="6"/>
  <c r="X63" i="6"/>
  <c r="X62" i="6"/>
  <c r="X61" i="6"/>
  <c r="X274" i="6"/>
  <c r="X290" i="6"/>
  <c r="X449" i="6"/>
  <c r="X247" i="6"/>
  <c r="X212" i="6"/>
  <c r="X186" i="6"/>
  <c r="X418" i="6"/>
  <c r="X149" i="6"/>
  <c r="X148" i="6"/>
  <c r="X147" i="6"/>
  <c r="X146" i="6"/>
  <c r="X15" i="6"/>
  <c r="X442" i="6"/>
  <c r="X322" i="6"/>
  <c r="X428" i="6"/>
  <c r="X315" i="6"/>
  <c r="X396" i="6"/>
  <c r="X448" i="6"/>
  <c r="X464" i="6"/>
  <c r="X308" i="6"/>
  <c r="X349" i="6"/>
  <c r="X403" i="6"/>
  <c r="X468" i="6"/>
  <c r="X178" i="6"/>
  <c r="X23" i="6"/>
  <c r="X128" i="6"/>
  <c r="X326" i="6"/>
  <c r="X42" i="6"/>
  <c r="X41" i="6"/>
  <c r="X40" i="6"/>
  <c r="X222" i="6"/>
  <c r="X273" i="6"/>
  <c r="X470" i="6"/>
  <c r="X205" i="6"/>
  <c r="X243" i="6"/>
  <c r="X483" i="6"/>
  <c r="X226" i="6"/>
  <c r="X399" i="6"/>
  <c r="X133" i="6"/>
  <c r="X132" i="6"/>
  <c r="X131" i="6"/>
  <c r="X130" i="6"/>
  <c r="X45" i="6"/>
  <c r="X174" i="6"/>
  <c r="X239" i="6"/>
  <c r="X285" i="6"/>
  <c r="X353" i="6"/>
  <c r="X417" i="6"/>
  <c r="X358" i="6"/>
  <c r="X378" i="6"/>
  <c r="X331" i="6"/>
  <c r="X119" i="6"/>
  <c r="X376" i="6"/>
  <c r="X112" i="6"/>
  <c r="X310" i="6"/>
  <c r="X21" i="6"/>
  <c r="X19" i="6"/>
  <c r="X17" i="6"/>
  <c r="X238" i="6"/>
  <c r="X214" i="6"/>
  <c r="X458" i="6"/>
  <c r="X78" i="6"/>
  <c r="X197" i="6"/>
  <c r="X467" i="6"/>
  <c r="X258" i="6"/>
  <c r="X381" i="6"/>
  <c r="X117" i="6"/>
  <c r="X116" i="6"/>
  <c r="X115" i="6"/>
  <c r="X114" i="6"/>
  <c r="Y85" i="6" l="1"/>
  <c r="Y289" i="6"/>
  <c r="Y32" i="6"/>
  <c r="Y33" i="6"/>
  <c r="Y34" i="6"/>
  <c r="Y35" i="6"/>
  <c r="Y409" i="6"/>
  <c r="Y170" i="6"/>
  <c r="Y171" i="6"/>
  <c r="Y386" i="6"/>
  <c r="Y387" i="6"/>
  <c r="Y388" i="6"/>
  <c r="Y389" i="6"/>
  <c r="Y157" i="6"/>
  <c r="Y158" i="6"/>
  <c r="Y159" i="6"/>
  <c r="Y160" i="6"/>
  <c r="Y161" i="6"/>
  <c r="Y364" i="6"/>
  <c r="Y455" i="6"/>
  <c r="Y271" i="6"/>
  <c r="Y270" i="6"/>
  <c r="Y74" i="6"/>
  <c r="Y410" i="6"/>
  <c r="Y411" i="6"/>
  <c r="Y412" i="6"/>
  <c r="Y413" i="6"/>
  <c r="Y414" i="6"/>
  <c r="Y415" i="6"/>
  <c r="Y416" i="6"/>
  <c r="Y472" i="6"/>
  <c r="Y473" i="6"/>
  <c r="Y474" i="6"/>
  <c r="Y475" i="6"/>
  <c r="Y476" i="6"/>
  <c r="Y477" i="6"/>
  <c r="Y190" i="6"/>
  <c r="Y52" i="6"/>
  <c r="Y53" i="6"/>
  <c r="Y54" i="6"/>
  <c r="Y490" i="6"/>
  <c r="Y493" i="6"/>
  <c r="Y488" i="6"/>
  <c r="Y494" i="6"/>
  <c r="Y495" i="6"/>
  <c r="Y491" i="6"/>
  <c r="Y489" i="6"/>
  <c r="Y492" i="6"/>
  <c r="Y486" i="6"/>
  <c r="Y487" i="6"/>
  <c r="Y103" i="6"/>
  <c r="Y372" i="6"/>
  <c r="Y137" i="6"/>
  <c r="Y195" i="6"/>
  <c r="Y479" i="6"/>
  <c r="Y407" i="6"/>
  <c r="Y404" i="6"/>
  <c r="Y146" i="6"/>
  <c r="Y42" i="6"/>
  <c r="Y75" i="6"/>
  <c r="Y123" i="6"/>
  <c r="Y201" i="6"/>
  <c r="Y430" i="6"/>
  <c r="Y431" i="6"/>
  <c r="Y432" i="6"/>
  <c r="Y433" i="6"/>
  <c r="Y434" i="6"/>
  <c r="Y273" i="6"/>
  <c r="Y218" i="6"/>
  <c r="Y178" i="6"/>
  <c r="Y129" i="6"/>
  <c r="Y78" i="6"/>
  <c r="Y57" i="6"/>
  <c r="Y370" i="6"/>
  <c r="Y207" i="6"/>
  <c r="Y14" i="6"/>
  <c r="Y286" i="6"/>
  <c r="Y439" i="6"/>
  <c r="Y280" i="6"/>
  <c r="Y428" i="6"/>
  <c r="Y27" i="6"/>
  <c r="Y295" i="6"/>
  <c r="Y145" i="6"/>
  <c r="Y65" i="6"/>
  <c r="Y105" i="6"/>
  <c r="Y18" i="6"/>
  <c r="Y223" i="6"/>
  <c r="Y110" i="6"/>
  <c r="Y244" i="6"/>
  <c r="Y180" i="6"/>
  <c r="Y149" i="6"/>
  <c r="Y87" i="6"/>
  <c r="Y221" i="6"/>
  <c r="Y72" i="6"/>
  <c r="Y61" i="6"/>
  <c r="Y124" i="6"/>
  <c r="Y353" i="6"/>
  <c r="Y276" i="6"/>
  <c r="Y402" i="6"/>
  <c r="Y309" i="6"/>
  <c r="Y219" i="6"/>
  <c r="Y115" i="6"/>
  <c r="Y330" i="6"/>
  <c r="Y99" i="6"/>
  <c r="Y100" i="6"/>
  <c r="Y101" i="6"/>
  <c r="Y344" i="6"/>
  <c r="Y174" i="6"/>
  <c r="Y234" i="6"/>
  <c r="Y84" i="6"/>
  <c r="Y62" i="6"/>
  <c r="Y417" i="6"/>
  <c r="Y82" i="6"/>
  <c r="Y319" i="6"/>
  <c r="Y188" i="6"/>
  <c r="Y465" i="6"/>
  <c r="Y148" i="6"/>
  <c r="Y104" i="6"/>
  <c r="Y360" i="6"/>
  <c r="Y351" i="6"/>
  <c r="Y256" i="6"/>
  <c r="Y12" i="6"/>
  <c r="Y119" i="6"/>
  <c r="Y232" i="6"/>
  <c r="Y368" i="6"/>
  <c r="Y454" i="6"/>
  <c r="Y132" i="6"/>
  <c r="Y333" i="6"/>
  <c r="Y204" i="6"/>
  <c r="Y134" i="6"/>
  <c r="Y440" i="6"/>
  <c r="Y424" i="6"/>
  <c r="Y399" i="6"/>
  <c r="Y49" i="6"/>
  <c r="Y127" i="6"/>
  <c r="Y196" i="6"/>
  <c r="Y194" i="6"/>
  <c r="Y215" i="6"/>
  <c r="Y317" i="6"/>
  <c r="Y16" i="6"/>
  <c r="Y38" i="6"/>
  <c r="Y60" i="6"/>
  <c r="Y9" i="6"/>
  <c r="Y113" i="6"/>
  <c r="Y189" i="6"/>
  <c r="Y205" i="6"/>
  <c r="Y183" i="6"/>
  <c r="Y46" i="6"/>
  <c r="Y262" i="6"/>
  <c r="Y332" i="6"/>
  <c r="Y240" i="6"/>
  <c r="Y17" i="6"/>
  <c r="Y112" i="6"/>
  <c r="Y375" i="6"/>
  <c r="Y400" i="6"/>
  <c r="Y26" i="6"/>
  <c r="Y102" i="6"/>
  <c r="Y166" i="6"/>
  <c r="Y89" i="6"/>
  <c r="Y192" i="6"/>
  <c r="Y366" i="6"/>
  <c r="Y281" i="6"/>
  <c r="Y13" i="6"/>
  <c r="Y36" i="6"/>
  <c r="Y403" i="6"/>
  <c r="Y73" i="6"/>
  <c r="Y173" i="6"/>
  <c r="Y156" i="6"/>
  <c r="Y167" i="6"/>
  <c r="Y30" i="6"/>
  <c r="Y394" i="6"/>
  <c r="Y278" i="6"/>
  <c r="Y8" i="6"/>
  <c r="Y58" i="6"/>
  <c r="Y249" i="6"/>
  <c r="Y371" i="6"/>
  <c r="Y462" i="6"/>
  <c r="Y395" i="6"/>
  <c r="Y48" i="6"/>
  <c r="Y125" i="6"/>
  <c r="Y69" i="6"/>
  <c r="Y122" i="6"/>
  <c r="Y450" i="6"/>
  <c r="Y345" i="6"/>
  <c r="Y347" i="6"/>
  <c r="Y369" i="6"/>
  <c r="Y361" i="6"/>
  <c r="Y40" i="6"/>
  <c r="Y70" i="6"/>
  <c r="Y108" i="6"/>
  <c r="Y81" i="6"/>
  <c r="Y77" i="6"/>
  <c r="Y260" i="6"/>
  <c r="Y97" i="6"/>
  <c r="Y263" i="6"/>
  <c r="Y380" i="6"/>
  <c r="Y483" i="6"/>
  <c r="Y24" i="6"/>
  <c r="Y37" i="6"/>
  <c r="Y86" i="6"/>
  <c r="Y47" i="6"/>
  <c r="Y76" i="6"/>
  <c r="Y228" i="6"/>
  <c r="Y385" i="6"/>
  <c r="Y423" i="6"/>
  <c r="Y22" i="6"/>
  <c r="Y391" i="6"/>
  <c r="Y55" i="6"/>
  <c r="Y307" i="6"/>
  <c r="Y43" i="6"/>
  <c r="Y447" i="6"/>
  <c r="Y446" i="6"/>
  <c r="Y443" i="6"/>
  <c r="Y381" i="6"/>
  <c r="Y51" i="6"/>
  <c r="Y478" i="6"/>
  <c r="Y350" i="6"/>
  <c r="Y315" i="6"/>
  <c r="Y44" i="6"/>
  <c r="Y356" i="6"/>
  <c r="Y254" i="6"/>
  <c r="Y312" i="6"/>
  <c r="Y469" i="6"/>
  <c r="Y238" i="6"/>
  <c r="Y342" i="6"/>
  <c r="Y377" i="6"/>
  <c r="Y318" i="6"/>
  <c r="Y15" i="6"/>
  <c r="Y301" i="6"/>
  <c r="Y444" i="6"/>
  <c r="Y109" i="6"/>
  <c r="Y314" i="6"/>
  <c r="Y445" i="6"/>
  <c r="Y133" i="6"/>
  <c r="Y202" i="6"/>
  <c r="Y247" i="6"/>
  <c r="Y359" i="6"/>
  <c r="Y485" i="6"/>
  <c r="Y484" i="6"/>
  <c r="Y373" i="6"/>
  <c r="Y20" i="6"/>
  <c r="Y340" i="6"/>
  <c r="Y304" i="6"/>
  <c r="Y296" i="6"/>
  <c r="Y401" i="6"/>
  <c r="Y269" i="6"/>
  <c r="Y426" i="6"/>
  <c r="Y408" i="6"/>
  <c r="Y452" i="6"/>
  <c r="Y438" i="6"/>
  <c r="Y367" i="6"/>
  <c r="Y464" i="6"/>
  <c r="Y225" i="6"/>
  <c r="Y419" i="6"/>
  <c r="Y467" i="6"/>
  <c r="Y111" i="6"/>
  <c r="Y299" i="6"/>
  <c r="Y457" i="6"/>
  <c r="Y378" i="6"/>
  <c r="Y310" i="6"/>
  <c r="Y294" i="6"/>
  <c r="Y287" i="6"/>
  <c r="Y313" i="6"/>
  <c r="Y346" i="6"/>
  <c r="Y363" i="6"/>
  <c r="Y293" i="6"/>
  <c r="Y436" i="6"/>
  <c r="Y396" i="6"/>
  <c r="Y427" i="6"/>
  <c r="Y355" i="6"/>
  <c r="Y266" i="6"/>
  <c r="Y449" i="6"/>
  <c r="Y68" i="6"/>
  <c r="Y468" i="6"/>
  <c r="Y448" i="6"/>
  <c r="Y306" i="6"/>
  <c r="Y397" i="6"/>
  <c r="Y199" i="6"/>
  <c r="Y459" i="6"/>
  <c r="Y214" i="6"/>
  <c r="Y155" i="6"/>
  <c r="Y227" i="6"/>
  <c r="Y79" i="6"/>
  <c r="Y131" i="6"/>
  <c r="Y222" i="6"/>
  <c r="Y321" i="6"/>
  <c r="Y482" i="6"/>
  <c r="Y191" i="6"/>
  <c r="Y235" i="6"/>
  <c r="Y316" i="6"/>
  <c r="Y308" i="6"/>
  <c r="Y300" i="6"/>
  <c r="Y275" i="6"/>
  <c r="Y327" i="6"/>
  <c r="Y470" i="6"/>
  <c r="Y282" i="6"/>
  <c r="Y118" i="6"/>
  <c r="Y25" i="6"/>
  <c r="Y179" i="6"/>
  <c r="Y10" i="6"/>
  <c r="Y67" i="6"/>
  <c r="Y471" i="6"/>
  <c r="Y31" i="6"/>
  <c r="Y11" i="6"/>
  <c r="Y435" i="6"/>
  <c r="Y425" i="6"/>
  <c r="Y283" i="6"/>
  <c r="Y334" i="6"/>
  <c r="Y177" i="6"/>
  <c r="Y243" i="6"/>
  <c r="Y268" i="6"/>
  <c r="Y354" i="6"/>
  <c r="Y379" i="6"/>
  <c r="Y279" i="6"/>
  <c r="Y203" i="6"/>
  <c r="Y420" i="6"/>
  <c r="Y251" i="6"/>
  <c r="Y41" i="6"/>
  <c r="Y267" i="6"/>
  <c r="Y107" i="6"/>
  <c r="Y153" i="6"/>
  <c r="Y198" i="6"/>
  <c r="Y343" i="6"/>
  <c r="Y322" i="6"/>
  <c r="Y348" i="6"/>
  <c r="Y456" i="6"/>
  <c r="Y93" i="6"/>
  <c r="Y212" i="6"/>
  <c r="Y259" i="6"/>
  <c r="Y237" i="6"/>
  <c r="Y230" i="6"/>
  <c r="Y210" i="6"/>
  <c r="Y302" i="6"/>
  <c r="Y458" i="6"/>
  <c r="Y453" i="6"/>
  <c r="Y328" i="6"/>
  <c r="Y92" i="6"/>
  <c r="Y144" i="6"/>
  <c r="Y253" i="6"/>
  <c r="Y451" i="6"/>
  <c r="Y242" i="6"/>
  <c r="Y172" i="6"/>
  <c r="Y264" i="6"/>
  <c r="Y209" i="6"/>
  <c r="Y466" i="6"/>
  <c r="Y28" i="6"/>
  <c r="Y121" i="6"/>
  <c r="Y169" i="6"/>
  <c r="Y421" i="6"/>
  <c r="Y23" i="6"/>
  <c r="Y331" i="6"/>
  <c r="Y442" i="6"/>
  <c r="Y481" i="6"/>
  <c r="Y398" i="6"/>
  <c r="Y130" i="6"/>
  <c r="Y239" i="6"/>
  <c r="Y274" i="6"/>
  <c r="Y186" i="6"/>
  <c r="Y211" i="6"/>
  <c r="Y208" i="6"/>
  <c r="Y193" i="6"/>
  <c r="Y358" i="6"/>
  <c r="Y441" i="6"/>
  <c r="Y393" i="6"/>
  <c r="Y265" i="6"/>
  <c r="Y374" i="6"/>
  <c r="Y213" i="6"/>
  <c r="Y229" i="6"/>
  <c r="Y106" i="6"/>
  <c r="Y150" i="6"/>
  <c r="Y220" i="6"/>
  <c r="Y305" i="6"/>
  <c r="Y297" i="6"/>
  <c r="Y261" i="6"/>
  <c r="Y141" i="6"/>
  <c r="Y185" i="6"/>
  <c r="Y163" i="6"/>
  <c r="Y181" i="6"/>
  <c r="Y168" i="6"/>
  <c r="Y323" i="6"/>
  <c r="Y324" i="6"/>
  <c r="Y143" i="6"/>
  <c r="Y248" i="6"/>
  <c r="Y29" i="6"/>
  <c r="Y206" i="6"/>
  <c r="Y422" i="6"/>
  <c r="Y376" i="6"/>
  <c r="Y50" i="6"/>
  <c r="Y128" i="6"/>
  <c r="Y197" i="6"/>
  <c r="Y325" i="6"/>
  <c r="Y303" i="6"/>
  <c r="Y352" i="6"/>
  <c r="Y91" i="6"/>
  <c r="Y117" i="6"/>
  <c r="Y139" i="6"/>
  <c r="Y138" i="6"/>
  <c r="Y162" i="6"/>
  <c r="Y258" i="6"/>
  <c r="Y246" i="6"/>
  <c r="Y291" i="6"/>
  <c r="Y135" i="6"/>
  <c r="Y338" i="6"/>
  <c r="Y341" i="6"/>
  <c r="Y164" i="6"/>
  <c r="Y231" i="6"/>
  <c r="Y277" i="6"/>
  <c r="Y362" i="6"/>
  <c r="Y418" i="6"/>
  <c r="Y88" i="6"/>
  <c r="Y175" i="6"/>
  <c r="Y357" i="6"/>
  <c r="Y311" i="6"/>
  <c r="Y349" i="6"/>
  <c r="Y336" i="6"/>
  <c r="Y292" i="6"/>
  <c r="Y56" i="6"/>
  <c r="Y154" i="6"/>
  <c r="Y224" i="6"/>
  <c r="Y339" i="6"/>
  <c r="Y461" i="6"/>
  <c r="Y290" i="6"/>
  <c r="Y45" i="6"/>
  <c r="Y90" i="6"/>
  <c r="Y176" i="6"/>
  <c r="Y298" i="6"/>
  <c r="Y39" i="6"/>
  <c r="Y116" i="6"/>
  <c r="Y184" i="6"/>
  <c r="Y250" i="6"/>
  <c r="Y337" i="6"/>
  <c r="Y460" i="6"/>
  <c r="Y140" i="6"/>
  <c r="Y252" i="6"/>
  <c r="Y463" i="6"/>
  <c r="Y382" i="6"/>
  <c r="Y383" i="6"/>
  <c r="Y384" i="6"/>
  <c r="Y114" i="6"/>
  <c r="Y245" i="6"/>
  <c r="Y284" i="6"/>
  <c r="Y326" i="6"/>
  <c r="Y390" i="6"/>
  <c r="Y152" i="6"/>
  <c r="Y216" i="6"/>
  <c r="Y83" i="6"/>
  <c r="Y255" i="6"/>
  <c r="Y406" i="6"/>
  <c r="Y142" i="6"/>
  <c r="Y335" i="6"/>
  <c r="Y365" i="6"/>
  <c r="Y136" i="6"/>
  <c r="Y200" i="6"/>
  <c r="Y71" i="6"/>
  <c r="Y147" i="6"/>
  <c r="Y257" i="6"/>
  <c r="Y66" i="6"/>
  <c r="Y165" i="6"/>
  <c r="Y241" i="6"/>
  <c r="Y405" i="6"/>
  <c r="Z7" i="6"/>
  <c r="Y59" i="6"/>
  <c r="Y226" i="6"/>
  <c r="Y480" i="6"/>
  <c r="Y126" i="6"/>
  <c r="Y285" i="6"/>
  <c r="Y392" i="6"/>
  <c r="Y120" i="6"/>
  <c r="Y182" i="6"/>
  <c r="X5" i="6"/>
  <c r="Y63" i="6"/>
  <c r="Y94" i="6"/>
  <c r="Y95" i="6"/>
  <c r="Y96" i="6"/>
  <c r="Y429" i="6"/>
  <c r="Y98" i="6"/>
  <c r="Y288" i="6"/>
  <c r="Y21" i="6"/>
  <c r="Y187" i="6"/>
  <c r="Y437" i="6"/>
  <c r="Y64" i="6"/>
  <c r="Y151" i="6"/>
  <c r="Y272" i="6"/>
  <c r="Y19" i="6"/>
  <c r="Y233" i="6"/>
  <c r="Y80" i="6"/>
  <c r="Y329" i="6"/>
  <c r="Y217" i="6"/>
  <c r="Y320" i="6"/>
  <c r="Z85" i="6" l="1"/>
  <c r="Z289" i="6"/>
  <c r="Z32" i="6"/>
  <c r="Z33" i="6"/>
  <c r="Z34" i="6"/>
  <c r="Z35" i="6"/>
  <c r="Z409" i="6"/>
  <c r="Z170" i="6"/>
  <c r="Z171" i="6"/>
  <c r="Z386" i="6"/>
  <c r="Z387" i="6"/>
  <c r="Z388" i="6"/>
  <c r="Z389" i="6"/>
  <c r="Z157" i="6"/>
  <c r="Z158" i="6"/>
  <c r="Z159" i="6"/>
  <c r="Z160" i="6"/>
  <c r="Z161" i="6"/>
  <c r="Z364" i="6"/>
  <c r="Z455" i="6"/>
  <c r="Z271" i="6"/>
  <c r="Z270" i="6"/>
  <c r="Z74" i="6"/>
  <c r="Z410" i="6"/>
  <c r="Z411" i="6"/>
  <c r="Z412" i="6"/>
  <c r="Z413" i="6"/>
  <c r="Z414" i="6"/>
  <c r="Z415" i="6"/>
  <c r="Z416" i="6"/>
  <c r="Z472" i="6"/>
  <c r="Z473" i="6"/>
  <c r="Z474" i="6"/>
  <c r="Z475" i="6"/>
  <c r="Z476" i="6"/>
  <c r="Z477" i="6"/>
  <c r="Z190" i="6"/>
  <c r="Z52" i="6"/>
  <c r="Z53" i="6"/>
  <c r="Z54" i="6"/>
  <c r="Z490" i="6"/>
  <c r="Z493" i="6"/>
  <c r="Z488" i="6"/>
  <c r="Z494" i="6"/>
  <c r="Z495" i="6"/>
  <c r="Z491" i="6"/>
  <c r="Z489" i="6"/>
  <c r="Z492" i="6"/>
  <c r="Z195" i="6"/>
  <c r="Z486" i="6"/>
  <c r="Z487" i="6"/>
  <c r="Z202" i="6"/>
  <c r="Z184" i="6"/>
  <c r="Z371" i="6"/>
  <c r="Z430" i="6"/>
  <c r="Z431" i="6"/>
  <c r="Z432" i="6"/>
  <c r="Z433" i="6"/>
  <c r="Z434" i="6"/>
  <c r="Z135" i="6"/>
  <c r="Z330" i="6"/>
  <c r="Z99" i="6"/>
  <c r="Z100" i="6"/>
  <c r="Z101" i="6"/>
  <c r="Z168" i="6"/>
  <c r="Z12" i="6"/>
  <c r="Z368" i="6"/>
  <c r="Z76" i="6"/>
  <c r="Z349" i="6"/>
  <c r="Z314" i="6"/>
  <c r="Z454" i="6"/>
  <c r="Z307" i="6"/>
  <c r="Z13" i="6"/>
  <c r="Z350" i="6"/>
  <c r="Z457" i="6"/>
  <c r="Z436" i="6"/>
  <c r="Z276" i="6"/>
  <c r="Z448" i="6"/>
  <c r="Z144" i="6"/>
  <c r="Z478" i="6"/>
  <c r="Z137" i="6"/>
  <c r="Z42" i="6"/>
  <c r="Z154" i="6"/>
  <c r="Z128" i="6"/>
  <c r="Z61" i="6"/>
  <c r="Z390" i="6"/>
  <c r="Z23" i="6"/>
  <c r="Z83" i="6"/>
  <c r="Z8" i="6"/>
  <c r="Z467" i="6"/>
  <c r="Z360" i="6"/>
  <c r="Z322" i="6"/>
  <c r="Y5" i="6"/>
  <c r="Z397" i="6"/>
  <c r="Z250" i="6"/>
  <c r="Z50" i="6"/>
  <c r="Z116" i="6"/>
  <c r="Z353" i="6"/>
  <c r="Z65" i="6"/>
  <c r="Z297" i="6"/>
  <c r="Z63" i="6"/>
  <c r="Z88" i="6"/>
  <c r="Z351" i="6"/>
  <c r="Z303" i="6"/>
  <c r="Z127" i="6"/>
  <c r="Z147" i="6"/>
  <c r="Z286" i="6"/>
  <c r="Z253" i="6"/>
  <c r="Z355" i="6"/>
  <c r="Z89" i="6"/>
  <c r="Z245" i="6"/>
  <c r="Z235" i="6"/>
  <c r="Z285" i="6"/>
  <c r="Z260" i="6"/>
  <c r="Z312" i="6"/>
  <c r="Z418" i="6"/>
  <c r="Z264" i="6"/>
  <c r="Z212" i="6"/>
  <c r="Z399" i="6"/>
  <c r="Z356" i="6"/>
  <c r="Z259" i="6"/>
  <c r="Z277" i="6"/>
  <c r="Z348" i="6"/>
  <c r="Z240" i="6"/>
  <c r="Z420" i="6"/>
  <c r="Z134" i="6"/>
  <c r="Z380" i="6"/>
  <c r="Z118" i="6"/>
  <c r="Z279" i="6"/>
  <c r="Z86" i="6"/>
  <c r="Z332" i="6"/>
  <c r="Z335" i="6"/>
  <c r="Z341" i="6"/>
  <c r="Z252" i="6"/>
  <c r="Z256" i="6"/>
  <c r="Z482" i="6"/>
  <c r="Z438" i="6"/>
  <c r="Z121" i="6"/>
  <c r="Z37" i="6"/>
  <c r="Z143" i="6"/>
  <c r="Z460" i="6"/>
  <c r="Z239" i="6"/>
  <c r="Z372" i="6"/>
  <c r="Z339" i="6"/>
  <c r="Z246" i="6"/>
  <c r="Z363" i="6"/>
  <c r="Z317" i="6"/>
  <c r="Z114" i="6"/>
  <c r="Z62" i="6"/>
  <c r="Z299" i="6"/>
  <c r="Z403" i="6"/>
  <c r="Z485" i="6"/>
  <c r="Z43" i="6"/>
  <c r="Z346" i="6"/>
  <c r="Z381" i="6"/>
  <c r="Z204" i="6"/>
  <c r="Z345" i="6"/>
  <c r="Z465" i="6"/>
  <c r="Z25" i="6"/>
  <c r="Z263" i="6"/>
  <c r="Z51" i="6"/>
  <c r="Z365" i="6"/>
  <c r="Z451" i="6"/>
  <c r="Z290" i="6"/>
  <c r="Z214" i="6"/>
  <c r="Z441" i="6"/>
  <c r="Z56" i="6"/>
  <c r="Z354" i="6"/>
  <c r="Z370" i="6"/>
  <c r="Z179" i="6"/>
  <c r="Z405" i="6"/>
  <c r="Z315" i="6"/>
  <c r="Z31" i="6"/>
  <c r="Z228" i="6"/>
  <c r="Z112" i="6"/>
  <c r="Z111" i="6"/>
  <c r="Z292" i="6"/>
  <c r="Z283" i="6"/>
  <c r="Z326" i="6"/>
  <c r="Z223" i="6"/>
  <c r="Z222" i="6"/>
  <c r="Z219" i="6"/>
  <c r="Z151" i="6"/>
  <c r="Z293" i="6"/>
  <c r="Z73" i="6"/>
  <c r="Z319" i="6"/>
  <c r="Z109" i="6"/>
  <c r="Z445" i="6"/>
  <c r="Z70" i="6"/>
  <c r="Z318" i="6"/>
  <c r="Z404" i="6"/>
  <c r="Z197" i="6"/>
  <c r="Z426" i="6"/>
  <c r="Z29" i="6"/>
  <c r="Z280" i="6"/>
  <c r="Z340" i="6"/>
  <c r="Z373" i="6"/>
  <c r="Z196" i="6"/>
  <c r="Z323" i="6"/>
  <c r="Z93" i="6"/>
  <c r="Z81" i="6"/>
  <c r="Z328" i="6"/>
  <c r="Z327" i="6"/>
  <c r="Z419" i="6"/>
  <c r="Z189" i="6"/>
  <c r="Z188" i="6"/>
  <c r="Z185" i="6"/>
  <c r="Z439" i="6"/>
  <c r="Z119" i="6"/>
  <c r="Z294" i="6"/>
  <c r="Z249" i="6"/>
  <c r="Z84" i="6"/>
  <c r="Z95" i="6"/>
  <c r="Z97" i="6"/>
  <c r="Z207" i="6"/>
  <c r="Z203" i="6"/>
  <c r="Z287" i="6"/>
  <c r="Z396" i="6"/>
  <c r="Z178" i="6"/>
  <c r="Z45" i="6"/>
  <c r="Z44" i="6"/>
  <c r="Z242" i="6"/>
  <c r="Z241" i="6"/>
  <c r="Z374" i="6"/>
  <c r="Z174" i="6"/>
  <c r="Z173" i="6"/>
  <c r="Z169" i="6"/>
  <c r="Z401" i="6"/>
  <c r="Z102" i="6"/>
  <c r="Z262" i="6"/>
  <c r="Z15" i="6"/>
  <c r="Z232" i="6"/>
  <c r="Z49" i="6"/>
  <c r="Z94" i="6"/>
  <c r="Z72" i="6"/>
  <c r="Z251" i="6"/>
  <c r="Z237" i="6"/>
  <c r="Z282" i="6"/>
  <c r="Z424" i="6"/>
  <c r="Z164" i="6"/>
  <c r="Z352" i="6"/>
  <c r="Z421" i="6"/>
  <c r="Z205" i="6"/>
  <c r="Z435" i="6"/>
  <c r="Z47" i="6"/>
  <c r="Z305" i="6"/>
  <c r="Z361" i="6"/>
  <c r="Z257" i="6"/>
  <c r="Z273" i="6"/>
  <c r="Z162" i="6"/>
  <c r="Z324" i="6"/>
  <c r="Z27" i="6"/>
  <c r="Z26" i="6"/>
  <c r="Z225" i="6"/>
  <c r="Z224" i="6"/>
  <c r="Z481" i="6"/>
  <c r="Z156" i="6"/>
  <c r="Z155" i="6"/>
  <c r="Z152" i="6"/>
  <c r="Z301" i="6"/>
  <c r="Z92" i="6"/>
  <c r="Z325" i="6"/>
  <c r="Z398" i="6"/>
  <c r="Z216" i="6"/>
  <c r="AA7" i="6"/>
  <c r="Z90" i="6"/>
  <c r="Z342" i="6"/>
  <c r="Z479" i="6"/>
  <c r="Z138" i="6"/>
  <c r="Z266" i="6"/>
  <c r="Z187" i="6"/>
  <c r="Z247" i="6"/>
  <c r="Z458" i="6"/>
  <c r="Z104" i="6"/>
  <c r="Z248" i="6"/>
  <c r="Z466" i="6"/>
  <c r="Z145" i="6"/>
  <c r="Z308" i="6"/>
  <c r="Z300" i="6"/>
  <c r="Z281" i="6"/>
  <c r="Z209" i="6"/>
  <c r="Z208" i="6"/>
  <c r="Z461" i="6"/>
  <c r="Z140" i="6"/>
  <c r="Z139" i="6"/>
  <c r="Z136" i="6"/>
  <c r="Z334" i="6"/>
  <c r="Z255" i="6"/>
  <c r="Z391" i="6"/>
  <c r="Z200" i="6"/>
  <c r="Z17" i="6"/>
  <c r="Z130" i="6"/>
  <c r="Z377" i="6"/>
  <c r="Z229" i="6"/>
  <c r="Z442" i="6"/>
  <c r="Z267" i="6"/>
  <c r="Z180" i="6"/>
  <c r="Z19" i="6"/>
  <c r="Z231" i="6"/>
  <c r="Z449" i="6"/>
  <c r="Z129" i="6"/>
  <c r="Z278" i="6"/>
  <c r="Z268" i="6"/>
  <c r="Z369" i="6"/>
  <c r="Z192" i="6"/>
  <c r="Z191" i="6"/>
  <c r="Z444" i="6"/>
  <c r="Z124" i="6"/>
  <c r="Z123" i="6"/>
  <c r="Z120" i="6"/>
  <c r="Z302" i="6"/>
  <c r="Z75" i="6"/>
  <c r="Z422" i="6"/>
  <c r="Z182" i="6"/>
  <c r="Z14" i="6"/>
  <c r="Z407" i="6"/>
  <c r="Z484" i="6"/>
  <c r="Z220" i="6"/>
  <c r="Z58" i="6"/>
  <c r="Z122" i="6"/>
  <c r="Z163" i="6"/>
  <c r="Z153" i="6"/>
  <c r="Z347" i="6"/>
  <c r="Z258" i="6"/>
  <c r="Z38" i="6"/>
  <c r="Z115" i="6"/>
  <c r="Z269" i="6"/>
  <c r="Z394" i="6"/>
  <c r="Z215" i="6"/>
  <c r="Z113" i="6"/>
  <c r="Z331" i="6"/>
  <c r="Z329" i="6"/>
  <c r="Z298" i="6"/>
  <c r="Z176" i="6"/>
  <c r="Z175" i="6"/>
  <c r="Z427" i="6"/>
  <c r="Z107" i="6"/>
  <c r="Z106" i="6"/>
  <c r="Z103" i="6"/>
  <c r="Z272" i="6"/>
  <c r="Z16" i="6"/>
  <c r="Z233" i="6"/>
  <c r="Z423" i="6"/>
  <c r="Z166" i="6"/>
  <c r="Z463" i="6"/>
  <c r="Z382" i="6"/>
  <c r="Z383" i="6"/>
  <c r="Z384" i="6"/>
  <c r="Z230" i="6"/>
  <c r="Z462" i="6"/>
  <c r="Z198" i="6"/>
  <c r="Z288" i="6"/>
  <c r="Z67" i="6"/>
  <c r="Z244" i="6"/>
  <c r="Z243" i="6"/>
  <c r="Z483" i="6"/>
  <c r="Z417" i="6"/>
  <c r="Z66" i="6"/>
  <c r="Z343" i="6"/>
  <c r="Z217" i="6"/>
  <c r="Z470" i="6"/>
  <c r="Z149" i="6"/>
  <c r="Z68" i="6"/>
  <c r="Z79" i="6"/>
  <c r="Z428" i="6"/>
  <c r="Z91" i="6"/>
  <c r="Z447" i="6"/>
  <c r="Z10" i="6"/>
  <c r="Z304" i="6"/>
  <c r="Z238" i="6"/>
  <c r="Z408" i="6"/>
  <c r="Z181" i="6"/>
  <c r="Z333" i="6"/>
  <c r="Z46" i="6"/>
  <c r="Z227" i="6"/>
  <c r="Z226" i="6"/>
  <c r="Z464" i="6"/>
  <c r="Z142" i="6"/>
  <c r="Z141" i="6"/>
  <c r="Z296" i="6"/>
  <c r="Z60" i="6"/>
  <c r="Z59" i="6"/>
  <c r="Z55" i="6"/>
  <c r="Z254" i="6"/>
  <c r="Z395" i="6"/>
  <c r="Z201" i="6"/>
  <c r="Z453" i="6"/>
  <c r="Z133" i="6"/>
  <c r="Z57" i="6"/>
  <c r="Z96" i="6"/>
  <c r="Z378" i="6"/>
  <c r="Z468" i="6"/>
  <c r="Z80" i="6"/>
  <c r="Z30" i="6"/>
  <c r="Z199" i="6"/>
  <c r="Z98" i="6"/>
  <c r="Z48" i="6"/>
  <c r="Z165" i="6"/>
  <c r="Z28" i="6"/>
  <c r="Z210" i="6"/>
  <c r="Z446" i="6"/>
  <c r="Z126" i="6"/>
  <c r="Z125" i="6"/>
  <c r="Z336" i="6"/>
  <c r="Z41" i="6"/>
  <c r="Z39" i="6"/>
  <c r="Z36" i="6"/>
  <c r="Z9" i="6"/>
  <c r="Z183" i="6"/>
  <c r="Z437" i="6"/>
  <c r="Z117" i="6"/>
  <c r="Z40" i="6"/>
  <c r="Z344" i="6"/>
  <c r="Z206" i="6"/>
  <c r="Z456" i="6"/>
  <c r="Z311" i="6"/>
  <c r="Z337" i="6"/>
  <c r="Z379" i="6"/>
  <c r="Z358" i="6"/>
  <c r="Z480" i="6"/>
  <c r="Z146" i="6"/>
  <c r="Z309" i="6"/>
  <c r="Z385" i="6"/>
  <c r="Z71" i="6"/>
  <c r="Z459" i="6"/>
  <c r="Z105" i="6"/>
  <c r="Z469" i="6"/>
  <c r="Z148" i="6"/>
  <c r="Z338" i="6"/>
  <c r="Z376" i="6"/>
  <c r="Z194" i="6"/>
  <c r="Z193" i="6"/>
  <c r="Z429" i="6"/>
  <c r="Z110" i="6"/>
  <c r="Z108" i="6"/>
  <c r="Z313" i="6"/>
  <c r="Z22" i="6"/>
  <c r="Z21" i="6"/>
  <c r="Z18" i="6"/>
  <c r="Z234" i="6"/>
  <c r="Z261" i="6"/>
  <c r="Z167" i="6"/>
  <c r="Z393" i="6"/>
  <c r="Z82" i="6"/>
  <c r="Z24" i="6"/>
  <c r="Z357" i="6"/>
  <c r="Z306" i="6"/>
  <c r="Z375" i="6"/>
  <c r="Z402" i="6"/>
  <c r="Z367" i="6"/>
  <c r="Z295" i="6"/>
  <c r="Z131" i="6"/>
  <c r="Z274" i="6"/>
  <c r="Z11" i="6"/>
  <c r="Z213" i="6"/>
  <c r="Z440" i="6"/>
  <c r="Z321" i="6"/>
  <c r="Z366" i="6"/>
  <c r="Z172" i="6"/>
  <c r="Z291" i="6"/>
  <c r="Z211" i="6"/>
  <c r="Z450" i="6"/>
  <c r="Z320" i="6"/>
  <c r="Z221" i="6"/>
  <c r="Z443" i="6"/>
  <c r="Z310" i="6"/>
  <c r="Z400" i="6"/>
  <c r="Z186" i="6"/>
  <c r="Z425" i="6"/>
  <c r="Z20" i="6"/>
  <c r="Z452" i="6"/>
  <c r="Z132" i="6"/>
  <c r="Z316" i="6"/>
  <c r="Z392" i="6"/>
  <c r="Z177" i="6"/>
  <c r="Z78" i="6"/>
  <c r="Z362" i="6"/>
  <c r="Z87" i="6"/>
  <c r="Z69" i="6"/>
  <c r="Z275" i="6"/>
  <c r="Z265" i="6"/>
  <c r="Z359" i="6"/>
  <c r="Z406" i="6"/>
  <c r="Z218" i="6"/>
  <c r="Z471" i="6"/>
  <c r="Z150" i="6"/>
  <c r="Z284" i="6"/>
  <c r="Z64" i="6"/>
  <c r="Z77" i="6"/>
  <c r="AA85" i="6" l="1"/>
  <c r="AA289" i="6"/>
  <c r="AA32" i="6"/>
  <c r="AA33" i="6"/>
  <c r="AA34" i="6"/>
  <c r="AA35" i="6"/>
  <c r="AA409" i="6"/>
  <c r="AA170" i="6"/>
  <c r="AA171" i="6"/>
  <c r="AA386" i="6"/>
  <c r="AA387" i="6"/>
  <c r="AA388" i="6"/>
  <c r="AA389" i="6"/>
  <c r="AA157" i="6"/>
  <c r="AA158" i="6"/>
  <c r="AA159" i="6"/>
  <c r="AA160" i="6"/>
  <c r="AA161" i="6"/>
  <c r="AA364" i="6"/>
  <c r="AA455" i="6"/>
  <c r="AA271" i="6"/>
  <c r="AA270" i="6"/>
  <c r="AA74" i="6"/>
  <c r="AA410" i="6"/>
  <c r="AA411" i="6"/>
  <c r="AA412" i="6"/>
  <c r="AA413" i="6"/>
  <c r="AA414" i="6"/>
  <c r="AA415" i="6"/>
  <c r="AA416" i="6"/>
  <c r="AA472" i="6"/>
  <c r="AA473" i="6"/>
  <c r="AA474" i="6"/>
  <c r="AA475" i="6"/>
  <c r="AA476" i="6"/>
  <c r="AA477" i="6"/>
  <c r="AA190" i="6"/>
  <c r="AA52" i="6"/>
  <c r="AA53" i="6"/>
  <c r="AA54" i="6"/>
  <c r="AA490" i="6"/>
  <c r="AA493" i="6"/>
  <c r="AA488" i="6"/>
  <c r="AA494" i="6"/>
  <c r="AA495" i="6"/>
  <c r="AA491" i="6"/>
  <c r="AA489" i="6"/>
  <c r="AA492" i="6"/>
  <c r="AA195" i="6"/>
  <c r="AA487" i="6"/>
  <c r="AA486" i="6"/>
  <c r="AA430" i="6"/>
  <c r="AA431" i="6"/>
  <c r="AA432" i="6"/>
  <c r="AA433" i="6"/>
  <c r="AA434" i="6"/>
  <c r="AA330" i="6"/>
  <c r="AA100" i="6"/>
  <c r="AA101" i="6"/>
  <c r="AA99" i="6"/>
  <c r="AA401" i="6"/>
  <c r="AA273" i="6"/>
  <c r="AA368" i="6"/>
  <c r="AA349" i="6"/>
  <c r="AA139" i="6"/>
  <c r="AA55" i="6"/>
  <c r="AA441" i="6"/>
  <c r="AA39" i="6"/>
  <c r="AA385" i="6"/>
  <c r="AA132" i="6"/>
  <c r="AA369" i="6"/>
  <c r="AA298" i="6"/>
  <c r="AA120" i="6"/>
  <c r="AA23" i="6"/>
  <c r="AA333" i="6"/>
  <c r="AA11" i="6"/>
  <c r="AA98" i="6"/>
  <c r="AA110" i="6"/>
  <c r="AA219" i="6"/>
  <c r="AA325" i="6"/>
  <c r="AA141" i="6"/>
  <c r="AA165" i="6"/>
  <c r="AA92" i="6"/>
  <c r="AA281" i="6"/>
  <c r="AA292" i="6"/>
  <c r="AA254" i="6"/>
  <c r="AA313" i="6"/>
  <c r="AA351" i="6"/>
  <c r="AA66" i="6"/>
  <c r="AA317" i="6"/>
  <c r="AA186" i="6"/>
  <c r="AA201" i="6"/>
  <c r="AA154" i="6"/>
  <c r="AA239" i="6"/>
  <c r="AA274" i="6"/>
  <c r="AA293" i="6"/>
  <c r="AA179" i="6"/>
  <c r="AA81" i="6"/>
  <c r="AA108" i="6"/>
  <c r="AA285" i="6"/>
  <c r="AA49" i="6"/>
  <c r="AA89" i="6"/>
  <c r="AA339" i="6"/>
  <c r="AA29" i="6"/>
  <c r="AA467" i="6"/>
  <c r="AA133" i="6"/>
  <c r="AA206" i="6"/>
  <c r="AA105" i="6"/>
  <c r="AA13" i="6"/>
  <c r="AA366" i="6"/>
  <c r="AA131" i="6"/>
  <c r="AA196" i="6"/>
  <c r="AA397" i="6"/>
  <c r="AA377" i="6"/>
  <c r="AA390" i="6"/>
  <c r="AA255" i="6"/>
  <c r="AA152" i="6"/>
  <c r="AA403" i="6"/>
  <c r="AA102" i="6"/>
  <c r="AA149" i="6"/>
  <c r="AA453" i="6"/>
  <c r="AA363" i="6"/>
  <c r="AA150" i="6"/>
  <c r="AA408" i="6"/>
  <c r="AA417" i="6"/>
  <c r="AA121" i="6"/>
  <c r="AA28" i="6"/>
  <c r="AA70" i="6"/>
  <c r="AA365" i="6"/>
  <c r="AA228" i="6"/>
  <c r="AA94" i="6"/>
  <c r="AA183" i="6"/>
  <c r="AA75" i="6"/>
  <c r="AA204" i="6"/>
  <c r="AA275" i="6"/>
  <c r="AA442" i="6"/>
  <c r="AA362" i="6"/>
  <c r="AA184" i="6"/>
  <c r="AA319" i="6"/>
  <c r="AA209" i="6"/>
  <c r="Z5" i="6"/>
  <c r="AA463" i="6"/>
  <c r="AA382" i="6"/>
  <c r="AA383" i="6"/>
  <c r="AA384" i="6"/>
  <c r="AA242" i="6"/>
  <c r="AA334" i="6"/>
  <c r="AA340" i="6"/>
  <c r="AA393" i="6"/>
  <c r="AA312" i="6"/>
  <c r="AA395" i="6"/>
  <c r="AA65" i="6"/>
  <c r="AA64" i="6"/>
  <c r="AA181" i="6"/>
  <c r="AA283" i="6"/>
  <c r="AA352" i="6"/>
  <c r="AA451" i="6"/>
  <c r="AA296" i="6"/>
  <c r="AA162" i="6"/>
  <c r="AA17" i="6"/>
  <c r="AA399" i="6"/>
  <c r="AA221" i="6"/>
  <c r="AA282" i="6"/>
  <c r="AA58" i="6"/>
  <c r="AA218" i="6"/>
  <c r="AA450" i="6"/>
  <c r="AA143" i="6"/>
  <c r="AA466" i="6"/>
  <c r="AA44" i="6"/>
  <c r="AA279" i="6"/>
  <c r="AA374" i="6"/>
  <c r="AA136" i="6"/>
  <c r="AA286" i="6"/>
  <c r="AA335" i="6"/>
  <c r="AA464" i="6"/>
  <c r="AA404" i="6"/>
  <c r="AA38" i="6"/>
  <c r="AA37" i="6"/>
  <c r="AA260" i="6"/>
  <c r="AA314" i="6"/>
  <c r="AA305" i="6"/>
  <c r="AA429" i="6"/>
  <c r="AA361" i="6"/>
  <c r="AA22" i="6"/>
  <c r="AA177" i="6"/>
  <c r="AA30" i="6"/>
  <c r="AA323" i="6"/>
  <c r="AA208" i="6"/>
  <c r="AA237" i="6"/>
  <c r="AA41" i="6"/>
  <c r="AA226" i="6"/>
  <c r="AA244" i="6"/>
  <c r="AA122" i="6"/>
  <c r="AA216" i="6"/>
  <c r="AA257" i="6"/>
  <c r="AA294" i="6"/>
  <c r="AA59" i="6"/>
  <c r="AA188" i="6"/>
  <c r="AA253" i="6"/>
  <c r="AA185" i="6"/>
  <c r="AA373" i="6"/>
  <c r="AA8" i="6"/>
  <c r="AA114" i="6"/>
  <c r="AA153" i="6"/>
  <c r="AA169" i="6"/>
  <c r="AA267" i="6"/>
  <c r="AA440" i="6"/>
  <c r="AA10" i="6"/>
  <c r="AA391" i="6"/>
  <c r="AA376" i="6"/>
  <c r="AA123" i="6"/>
  <c r="AA251" i="6"/>
  <c r="AA358" i="6"/>
  <c r="AA331" i="6"/>
  <c r="AA309" i="6"/>
  <c r="AA80" i="6"/>
  <c r="AA14" i="6"/>
  <c r="AA284" i="6"/>
  <c r="AA172" i="6"/>
  <c r="AA249" i="6"/>
  <c r="AA25" i="6"/>
  <c r="AA248" i="6"/>
  <c r="AA379" i="6"/>
  <c r="AA84" i="6"/>
  <c r="AA223" i="6"/>
  <c r="AA480" i="6"/>
  <c r="AA468" i="6"/>
  <c r="AA142" i="6"/>
  <c r="AA78" i="6"/>
  <c r="AA197" i="6"/>
  <c r="AA278" i="6"/>
  <c r="AA354" i="6"/>
  <c r="AA439" i="6"/>
  <c r="AA485" i="6"/>
  <c r="AA380" i="6"/>
  <c r="AA93" i="6"/>
  <c r="AA232" i="6"/>
  <c r="AA238" i="6"/>
  <c r="AA297" i="6"/>
  <c r="AA428" i="6"/>
  <c r="AA304" i="6"/>
  <c r="AA21" i="6"/>
  <c r="AA224" i="6"/>
  <c r="AA460" i="6"/>
  <c r="AA140" i="6"/>
  <c r="AA345" i="6"/>
  <c r="AA424" i="6"/>
  <c r="AA111" i="6"/>
  <c r="AA129" i="6"/>
  <c r="AA353" i="6"/>
  <c r="AA50" i="6"/>
  <c r="AA360" i="6"/>
  <c r="AA250" i="6"/>
  <c r="AA375" i="6"/>
  <c r="AA461" i="6"/>
  <c r="AA63" i="6"/>
  <c r="AA234" i="6"/>
  <c r="AA359" i="6"/>
  <c r="AA320" i="6"/>
  <c r="AA471" i="6"/>
  <c r="AA202" i="6"/>
  <c r="AA113" i="6"/>
  <c r="AA443" i="6"/>
  <c r="AA178" i="6"/>
  <c r="AA125" i="6"/>
  <c r="AA469" i="6"/>
  <c r="AA137" i="6"/>
  <c r="AA151" i="6"/>
  <c r="AA328" i="6"/>
  <c r="AA276" i="6"/>
  <c r="AA456" i="6"/>
  <c r="AA315" i="6"/>
  <c r="AA230" i="6"/>
  <c r="AA337" i="6"/>
  <c r="AA426" i="6"/>
  <c r="AA60" i="6"/>
  <c r="AA212" i="6"/>
  <c r="AA452" i="6"/>
  <c r="AA130" i="6"/>
  <c r="AA316" i="6"/>
  <c r="AA18" i="6"/>
  <c r="AA12" i="6"/>
  <c r="AA227" i="6"/>
  <c r="AA344" i="6"/>
  <c r="AA449" i="6"/>
  <c r="AA109" i="6"/>
  <c r="AA350" i="6"/>
  <c r="AA67" i="6"/>
  <c r="AA229" i="6"/>
  <c r="AA47" i="6"/>
  <c r="AA341" i="6"/>
  <c r="AA420" i="6"/>
  <c r="AA419" i="6"/>
  <c r="AA175" i="6"/>
  <c r="AA438" i="6"/>
  <c r="AA176" i="6"/>
  <c r="AA448" i="6"/>
  <c r="AA421" i="6"/>
  <c r="AA405" i="6"/>
  <c r="AA406" i="6"/>
  <c r="AA187" i="6"/>
  <c r="AA371" i="6"/>
  <c r="AA394" i="6"/>
  <c r="AA126" i="6"/>
  <c r="AA288" i="6"/>
  <c r="AA427" i="6"/>
  <c r="AA144" i="6"/>
  <c r="AA156" i="6"/>
  <c r="AA9" i="6"/>
  <c r="AA247" i="6"/>
  <c r="AA436" i="6"/>
  <c r="AA138" i="6"/>
  <c r="AA86" i="6"/>
  <c r="AA303" i="6"/>
  <c r="AA77" i="6"/>
  <c r="AA446" i="6"/>
  <c r="AA327" i="6"/>
  <c r="AA194" i="6"/>
  <c r="AA342" i="6"/>
  <c r="AA266" i="6"/>
  <c r="AA200" i="6"/>
  <c r="AA57" i="6"/>
  <c r="AA311" i="6"/>
  <c r="AA16" i="6"/>
  <c r="AA215" i="6"/>
  <c r="AA396" i="6"/>
  <c r="AA182" i="6"/>
  <c r="AA235" i="6"/>
  <c r="AA321" i="6"/>
  <c r="AA445" i="6"/>
  <c r="AB7" i="6"/>
  <c r="AA470" i="6"/>
  <c r="AA146" i="6"/>
  <c r="AA233" i="6"/>
  <c r="AA338" i="6"/>
  <c r="AA484" i="6"/>
  <c r="AA91" i="6"/>
  <c r="AA252" i="6"/>
  <c r="AA43" i="6"/>
  <c r="AA482" i="6"/>
  <c r="AA243" i="6"/>
  <c r="AA356" i="6"/>
  <c r="AA295" i="6"/>
  <c r="AA326" i="6"/>
  <c r="AA447" i="6"/>
  <c r="AA72" i="6"/>
  <c r="AA164" i="6"/>
  <c r="AA207" i="6"/>
  <c r="AA308" i="6"/>
  <c r="AA307" i="6"/>
  <c r="AA459" i="6"/>
  <c r="AA381" i="6"/>
  <c r="AA61" i="6"/>
  <c r="AA119" i="6"/>
  <c r="AA256" i="6"/>
  <c r="AA343" i="6"/>
  <c r="AA301" i="6"/>
  <c r="AA173" i="6"/>
  <c r="AA180" i="6"/>
  <c r="AA299" i="6"/>
  <c r="AA27" i="6"/>
  <c r="AA205" i="6"/>
  <c r="AA87" i="6"/>
  <c r="AA68" i="6"/>
  <c r="AA263" i="6"/>
  <c r="AA76" i="6"/>
  <c r="AA400" i="6"/>
  <c r="AA48" i="6"/>
  <c r="AA265" i="6"/>
  <c r="AA418" i="6"/>
  <c r="AA26" i="6"/>
  <c r="AA104" i="6"/>
  <c r="AA268" i="6"/>
  <c r="AA134" i="6"/>
  <c r="AA264" i="6"/>
  <c r="AA90" i="6"/>
  <c r="AA213" i="6"/>
  <c r="AA46" i="6"/>
  <c r="AA198" i="6"/>
  <c r="AA425" i="6"/>
  <c r="AA347" i="6"/>
  <c r="AA42" i="6"/>
  <c r="AA166" i="6"/>
  <c r="AA115" i="6"/>
  <c r="AA324" i="6"/>
  <c r="AA437" i="6"/>
  <c r="AA31" i="6"/>
  <c r="AA88" i="6"/>
  <c r="AA106" i="6"/>
  <c r="AA222" i="6"/>
  <c r="AA318" i="6"/>
  <c r="AA107" i="6"/>
  <c r="AA97" i="6"/>
  <c r="AA277" i="6"/>
  <c r="AA422" i="6"/>
  <c r="AA191" i="6"/>
  <c r="AA332" i="6"/>
  <c r="AA69" i="6"/>
  <c r="AA51" i="6"/>
  <c r="AA192" i="6"/>
  <c r="AA462" i="6"/>
  <c r="AA392" i="6"/>
  <c r="AA481" i="6"/>
  <c r="AA348" i="6"/>
  <c r="AA225" i="6"/>
  <c r="AA300" i="6"/>
  <c r="AA367" i="6"/>
  <c r="AA346" i="6"/>
  <c r="AA56" i="6"/>
  <c r="AA116" i="6"/>
  <c r="AA220" i="6"/>
  <c r="AA280" i="6"/>
  <c r="AA135" i="6"/>
  <c r="AA79" i="6"/>
  <c r="AA272" i="6"/>
  <c r="AA211" i="6"/>
  <c r="AA155" i="6"/>
  <c r="AA336" i="6"/>
  <c r="AA231" i="6"/>
  <c r="AA478" i="6"/>
  <c r="AA290" i="6"/>
  <c r="AA118" i="6"/>
  <c r="AA167" i="6"/>
  <c r="AA291" i="6"/>
  <c r="AA62" i="6"/>
  <c r="AA210" i="6"/>
  <c r="AA168" i="6"/>
  <c r="AA112" i="6"/>
  <c r="AA258" i="6"/>
  <c r="AA245" i="6"/>
  <c r="AA246" i="6"/>
  <c r="AA73" i="6"/>
  <c r="AA378" i="6"/>
  <c r="AA145" i="6"/>
  <c r="AA423" i="6"/>
  <c r="AA402" i="6"/>
  <c r="AA147" i="6"/>
  <c r="AA483" i="6"/>
  <c r="AA372" i="6"/>
  <c r="AA127" i="6"/>
  <c r="AA269" i="6"/>
  <c r="AA15" i="6"/>
  <c r="AA310" i="6"/>
  <c r="AA465" i="6"/>
  <c r="AA407" i="6"/>
  <c r="AA71" i="6"/>
  <c r="AA148" i="6"/>
  <c r="AA199" i="6"/>
  <c r="AA217" i="6"/>
  <c r="AA457" i="6"/>
  <c r="AA370" i="6"/>
  <c r="AA24" i="6"/>
  <c r="AA103" i="6"/>
  <c r="AA193" i="6"/>
  <c r="AA329" i="6"/>
  <c r="AA117" i="6"/>
  <c r="AA203" i="6"/>
  <c r="AA174" i="6"/>
  <c r="AA355" i="6"/>
  <c r="AA36" i="6"/>
  <c r="AA19" i="6"/>
  <c r="AA96" i="6"/>
  <c r="AA163" i="6"/>
  <c r="AA454" i="6"/>
  <c r="AA302" i="6"/>
  <c r="AA306" i="6"/>
  <c r="AA128" i="6"/>
  <c r="AA262" i="6"/>
  <c r="AA444" i="6"/>
  <c r="AA40" i="6"/>
  <c r="AA259" i="6"/>
  <c r="AA189" i="6"/>
  <c r="AA241" i="6"/>
  <c r="AA435" i="6"/>
  <c r="AA479" i="6"/>
  <c r="AA398" i="6"/>
  <c r="AA82" i="6"/>
  <c r="AA261" i="6"/>
  <c r="AA214" i="6"/>
  <c r="AA83" i="6"/>
  <c r="AA45" i="6"/>
  <c r="AA322" i="6"/>
  <c r="AA458" i="6"/>
  <c r="AA124" i="6"/>
  <c r="AA357" i="6"/>
  <c r="AA20" i="6"/>
  <c r="AA287" i="6"/>
  <c r="AA240" i="6"/>
  <c r="AA95" i="6"/>
  <c r="AB85" i="6" l="1"/>
  <c r="AB289" i="6"/>
  <c r="AB32" i="6"/>
  <c r="AB33" i="6"/>
  <c r="AB34" i="6"/>
  <c r="AB35" i="6"/>
  <c r="AB409" i="6"/>
  <c r="AB170" i="6"/>
  <c r="AB171" i="6"/>
  <c r="AB386" i="6"/>
  <c r="AB389" i="6"/>
  <c r="AB387" i="6"/>
  <c r="AB388" i="6"/>
  <c r="AB157" i="6"/>
  <c r="AB158" i="6"/>
  <c r="AB159" i="6"/>
  <c r="AB160" i="6"/>
  <c r="AB161" i="6"/>
  <c r="AB364" i="6"/>
  <c r="AB455" i="6"/>
  <c r="AB270" i="6"/>
  <c r="AB271" i="6"/>
  <c r="AB74" i="6"/>
  <c r="AB410" i="6"/>
  <c r="AB411" i="6"/>
  <c r="AB412" i="6"/>
  <c r="AB413" i="6"/>
  <c r="AB414" i="6"/>
  <c r="AB415" i="6"/>
  <c r="AB416" i="6"/>
  <c r="AB472" i="6"/>
  <c r="AB473" i="6"/>
  <c r="AB474" i="6"/>
  <c r="AB475" i="6"/>
  <c r="AB476" i="6"/>
  <c r="AB477" i="6"/>
  <c r="AB190" i="6"/>
  <c r="AB52" i="6"/>
  <c r="AB53" i="6"/>
  <c r="AB54" i="6"/>
  <c r="AB490" i="6"/>
  <c r="AB493" i="6"/>
  <c r="AB488" i="6"/>
  <c r="AB494" i="6"/>
  <c r="AB495" i="6"/>
  <c r="AB491" i="6"/>
  <c r="AB489" i="6"/>
  <c r="AB492" i="6"/>
  <c r="AB195" i="6"/>
  <c r="AB487" i="6"/>
  <c r="AB486" i="6"/>
  <c r="AB326" i="6"/>
  <c r="AB433" i="6"/>
  <c r="AB432" i="6"/>
  <c r="AB430" i="6"/>
  <c r="AB431" i="6"/>
  <c r="AB434" i="6"/>
  <c r="AB445" i="6"/>
  <c r="AB330" i="6"/>
  <c r="AB99" i="6"/>
  <c r="AB100" i="6"/>
  <c r="AB101" i="6"/>
  <c r="AB128" i="6"/>
  <c r="AB166" i="6"/>
  <c r="AB368" i="6"/>
  <c r="AB369" i="6"/>
  <c r="AB223" i="6"/>
  <c r="AB169" i="6"/>
  <c r="AB309" i="6"/>
  <c r="AB310" i="6"/>
  <c r="AB320" i="6"/>
  <c r="AB243" i="6"/>
  <c r="AB64" i="6"/>
  <c r="AB429" i="6"/>
  <c r="AB56" i="6"/>
  <c r="AB47" i="6"/>
  <c r="AB72" i="6"/>
  <c r="AB373" i="6"/>
  <c r="AB39" i="6"/>
  <c r="AB31" i="6"/>
  <c r="AB112" i="6"/>
  <c r="AB239" i="6"/>
  <c r="AB134" i="6"/>
  <c r="AB186" i="6"/>
  <c r="AB290" i="6"/>
  <c r="AB273" i="6"/>
  <c r="AB17" i="6"/>
  <c r="AB352" i="6"/>
  <c r="AB222" i="6"/>
  <c r="AB441" i="6"/>
  <c r="AB484" i="6"/>
  <c r="AB358" i="6"/>
  <c r="AB115" i="6"/>
  <c r="AB422" i="6"/>
  <c r="AB130" i="6"/>
  <c r="AB255" i="6"/>
  <c r="AB121" i="6"/>
  <c r="AB286" i="6"/>
  <c r="AB374" i="6"/>
  <c r="AB268" i="6"/>
  <c r="AB87" i="6"/>
  <c r="AB336" i="6"/>
  <c r="AB164" i="6"/>
  <c r="AB69" i="6"/>
  <c r="AB483" i="6"/>
  <c r="AB24" i="6"/>
  <c r="AB426" i="6"/>
  <c r="AB456" i="6"/>
  <c r="AB407" i="6"/>
  <c r="AB357" i="6"/>
  <c r="AB329" i="6"/>
  <c r="AB354" i="6"/>
  <c r="AB443" i="6"/>
  <c r="AB315" i="6"/>
  <c r="AB103" i="6"/>
  <c r="AB440" i="6"/>
  <c r="AB221" i="6"/>
  <c r="AB312" i="6"/>
  <c r="AB172" i="6"/>
  <c r="AB349" i="6"/>
  <c r="AB79" i="6"/>
  <c r="AB110" i="6"/>
  <c r="AB333" i="6"/>
  <c r="AB187" i="6"/>
  <c r="AB62" i="6"/>
  <c r="AB408" i="6"/>
  <c r="AB272" i="6"/>
  <c r="AB251" i="6"/>
  <c r="AB311" i="6"/>
  <c r="AB425" i="6"/>
  <c r="AB156" i="6"/>
  <c r="AB116" i="6"/>
  <c r="AB318" i="6"/>
  <c r="AB395" i="6"/>
  <c r="AB23" i="6"/>
  <c r="AB206" i="6"/>
  <c r="AB138" i="6"/>
  <c r="AB173" i="6"/>
  <c r="AB45" i="6"/>
  <c r="AB244" i="6"/>
  <c r="AB144" i="6"/>
  <c r="AB178" i="6"/>
  <c r="AB132" i="6"/>
  <c r="AB302" i="6"/>
  <c r="AB113" i="6"/>
  <c r="AB363" i="6"/>
  <c r="AB89" i="6"/>
  <c r="AB111" i="6"/>
  <c r="AB107" i="6"/>
  <c r="AB449" i="6"/>
  <c r="AB29" i="6"/>
  <c r="AB106" i="6"/>
  <c r="AB377" i="6"/>
  <c r="AB71" i="6"/>
  <c r="AB424" i="6"/>
  <c r="AB137" i="6"/>
  <c r="AB135" i="6"/>
  <c r="AB391" i="6"/>
  <c r="AB13" i="6"/>
  <c r="AB285" i="6"/>
  <c r="AB343" i="6"/>
  <c r="AB61" i="6"/>
  <c r="AB332" i="6"/>
  <c r="AB355" i="6"/>
  <c r="AB77" i="6"/>
  <c r="AB102" i="6"/>
  <c r="AB194" i="6"/>
  <c r="AB249" i="6"/>
  <c r="AB151" i="6"/>
  <c r="AB217" i="6"/>
  <c r="AB250" i="6"/>
  <c r="AB226" i="6"/>
  <c r="AB44" i="6"/>
  <c r="AB225" i="6"/>
  <c r="AB155" i="6"/>
  <c r="AB317" i="6"/>
  <c r="AB438" i="6"/>
  <c r="AB205" i="6"/>
  <c r="AB11" i="6"/>
  <c r="AB252" i="6"/>
  <c r="AB467" i="6"/>
  <c r="AB339" i="6"/>
  <c r="AB76" i="6"/>
  <c r="AB404" i="6"/>
  <c r="AB78" i="6"/>
  <c r="AB60" i="6"/>
  <c r="AB423" i="6"/>
  <c r="AB359" i="6"/>
  <c r="AB202" i="6"/>
  <c r="AB59" i="6"/>
  <c r="AB49" i="6"/>
  <c r="AB321" i="6"/>
  <c r="AB393" i="6"/>
  <c r="AB28" i="6"/>
  <c r="AB209" i="6"/>
  <c r="AB208" i="6"/>
  <c r="AB301" i="6"/>
  <c r="AB367" i="6"/>
  <c r="AB88" i="6"/>
  <c r="AB459" i="6"/>
  <c r="AB235" i="6"/>
  <c r="AB405" i="6"/>
  <c r="AB80" i="6"/>
  <c r="AB453" i="6"/>
  <c r="AB482" i="6"/>
  <c r="AB233" i="6"/>
  <c r="AB9" i="6"/>
  <c r="AB109" i="6"/>
  <c r="AB55" i="6"/>
  <c r="AB192" i="6"/>
  <c r="AB462" i="6"/>
  <c r="AB479" i="6"/>
  <c r="AB260" i="6"/>
  <c r="AB376" i="6"/>
  <c r="AB304" i="6"/>
  <c r="AB108" i="6"/>
  <c r="AB296" i="6"/>
  <c r="AB67" i="6"/>
  <c r="AB42" i="6"/>
  <c r="AB446" i="6"/>
  <c r="AB191" i="6"/>
  <c r="AB219" i="6"/>
  <c r="AB63" i="6"/>
  <c r="AB129" i="6"/>
  <c r="AB104" i="6"/>
  <c r="AB168" i="6"/>
  <c r="AB163" i="6"/>
  <c r="AB266" i="6"/>
  <c r="AB152" i="6"/>
  <c r="AB21" i="6"/>
  <c r="AB203" i="6"/>
  <c r="AB450" i="6"/>
  <c r="AB46" i="6"/>
  <c r="AB258" i="6"/>
  <c r="AB267" i="6"/>
  <c r="AB12" i="6"/>
  <c r="AB485" i="6"/>
  <c r="AB218" i="6"/>
  <c r="AB378" i="6"/>
  <c r="AB211" i="6"/>
  <c r="AB43" i="6"/>
  <c r="AB427" i="6"/>
  <c r="AB353" i="6"/>
  <c r="AB370" i="6"/>
  <c r="AB92" i="6"/>
  <c r="AB91" i="6"/>
  <c r="AB147" i="6"/>
  <c r="AB347" i="6"/>
  <c r="AB10" i="6"/>
  <c r="AB253" i="6"/>
  <c r="AB122" i="6"/>
  <c r="AB417" i="6"/>
  <c r="AB30" i="6"/>
  <c r="AB348" i="6"/>
  <c r="AB242" i="6"/>
  <c r="AB83" i="6"/>
  <c r="AB284" i="6"/>
  <c r="AB148" i="6"/>
  <c r="AB420" i="6"/>
  <c r="AB18" i="6"/>
  <c r="AB201" i="6"/>
  <c r="AB418" i="6"/>
  <c r="AB27" i="6"/>
  <c r="AB337" i="6"/>
  <c r="AB448" i="6"/>
  <c r="AB366" i="6"/>
  <c r="AB73" i="6"/>
  <c r="AB165" i="6"/>
  <c r="AB265" i="6"/>
  <c r="AB435" i="6"/>
  <c r="AB237" i="6"/>
  <c r="AB86" i="6"/>
  <c r="AB356" i="6"/>
  <c r="AB14" i="6"/>
  <c r="AB295" i="6"/>
  <c r="AB193" i="6"/>
  <c r="AB444" i="6"/>
  <c r="AB375" i="6"/>
  <c r="AB105" i="6"/>
  <c r="AB436" i="6"/>
  <c r="AB340" i="6"/>
  <c r="AB66" i="6"/>
  <c r="AB451" i="6"/>
  <c r="AB322" i="6"/>
  <c r="AB379" i="6"/>
  <c r="AB57" i="6"/>
  <c r="AB139" i="6"/>
  <c r="AB220" i="6"/>
  <c r="AB365" i="6"/>
  <c r="AB394" i="6"/>
  <c r="AB288" i="6"/>
  <c r="AB421" i="6"/>
  <c r="AB390" i="6"/>
  <c r="AB454" i="6"/>
  <c r="AB306" i="6"/>
  <c r="AB466" i="6"/>
  <c r="AB465" i="6"/>
  <c r="AB40" i="6"/>
  <c r="AB256" i="6"/>
  <c r="AB162" i="6"/>
  <c r="AB346" i="6"/>
  <c r="AB204" i="6"/>
  <c r="AB452" i="6"/>
  <c r="AB325" i="6"/>
  <c r="AB399" i="6"/>
  <c r="AB324" i="6"/>
  <c r="AB338" i="6"/>
  <c r="AB36" i="6"/>
  <c r="AB19" i="6"/>
  <c r="AB232" i="6"/>
  <c r="AB248" i="6"/>
  <c r="AB308" i="6"/>
  <c r="AB323" i="6"/>
  <c r="AB478" i="6"/>
  <c r="AB299" i="6"/>
  <c r="AB345" i="6"/>
  <c r="AB20" i="6"/>
  <c r="AB406" i="6"/>
  <c r="AB216" i="6"/>
  <c r="AB231" i="6"/>
  <c r="AB292" i="6"/>
  <c r="AB307" i="6"/>
  <c r="AB38" i="6"/>
  <c r="AB328" i="6"/>
  <c r="AB200" i="6"/>
  <c r="AB275" i="6"/>
  <c r="AB291" i="6"/>
  <c r="AB469" i="6"/>
  <c r="AB184" i="6"/>
  <c r="AB118" i="6"/>
  <c r="AB136" i="6"/>
  <c r="AB93" i="6"/>
  <c r="AB261" i="6"/>
  <c r="AB120" i="6"/>
  <c r="AB75" i="6"/>
  <c r="AB174" i="6"/>
  <c r="AB442" i="6"/>
  <c r="AB207" i="6"/>
  <c r="AB331" i="6"/>
  <c r="AB22" i="6"/>
  <c r="AB131" i="6"/>
  <c r="AB314" i="6"/>
  <c r="AB400" i="6"/>
  <c r="AB182" i="6"/>
  <c r="AB199" i="6"/>
  <c r="AB133" i="6"/>
  <c r="AB274" i="6"/>
  <c r="AB215" i="6"/>
  <c r="AB287" i="6"/>
  <c r="AB457" i="6"/>
  <c r="AB234" i="6"/>
  <c r="AB26" i="6"/>
  <c r="AB350" i="6"/>
  <c r="AB58" i="6"/>
  <c r="AB257" i="6"/>
  <c r="AB371" i="6"/>
  <c r="AB189" i="6"/>
  <c r="AB316" i="6"/>
  <c r="AB360" i="6"/>
  <c r="AB153" i="6"/>
  <c r="AB298" i="6"/>
  <c r="AB297" i="6"/>
  <c r="AB470" i="6"/>
  <c r="AB181" i="6"/>
  <c r="AB198" i="6"/>
  <c r="AB125" i="6"/>
  <c r="AA5" i="6"/>
  <c r="AB351" i="6"/>
  <c r="AB342" i="6"/>
  <c r="AB50" i="6"/>
  <c r="AB305" i="6"/>
  <c r="AB245" i="6"/>
  <c r="AB140" i="6"/>
  <c r="AB278" i="6"/>
  <c r="AB269" i="6"/>
  <c r="AB385" i="6"/>
  <c r="AB117" i="6"/>
  <c r="AB126" i="6"/>
  <c r="AB381" i="6"/>
  <c r="AB228" i="6"/>
  <c r="AB334" i="6"/>
  <c r="AB25" i="6"/>
  <c r="AB241" i="6"/>
  <c r="AB464" i="6"/>
  <c r="AB154" i="6"/>
  <c r="AB300" i="6"/>
  <c r="AB282" i="6"/>
  <c r="AB254" i="6"/>
  <c r="AB281" i="6"/>
  <c r="AB280" i="6"/>
  <c r="AB82" i="6"/>
  <c r="AB180" i="6"/>
  <c r="AB142" i="6"/>
  <c r="AB264" i="6"/>
  <c r="AB380" i="6"/>
  <c r="AB210" i="6"/>
  <c r="AB143" i="6"/>
  <c r="AB259" i="6"/>
  <c r="AB480" i="6"/>
  <c r="AB227" i="6"/>
  <c r="AB458" i="6"/>
  <c r="AB212" i="6"/>
  <c r="AB303" i="6"/>
  <c r="AB372" i="6"/>
  <c r="AB224" i="6"/>
  <c r="AB439" i="6"/>
  <c r="AB90" i="6"/>
  <c r="AB283" i="6"/>
  <c r="AB176" i="6"/>
  <c r="AB238" i="6"/>
  <c r="AB263" i="6"/>
  <c r="AB262" i="6"/>
  <c r="AB481" i="6"/>
  <c r="AB396" i="6"/>
  <c r="AB81" i="6"/>
  <c r="AB98" i="6"/>
  <c r="AB463" i="6"/>
  <c r="AB382" i="6"/>
  <c r="AB383" i="6"/>
  <c r="AB384" i="6"/>
  <c r="AB185" i="6"/>
  <c r="AB341" i="6"/>
  <c r="AB65" i="6"/>
  <c r="AB293" i="6"/>
  <c r="AB15" i="6"/>
  <c r="AB150" i="6"/>
  <c r="AB246" i="6"/>
  <c r="AB96" i="6"/>
  <c r="AB48" i="6"/>
  <c r="AB276" i="6"/>
  <c r="AB398" i="6"/>
  <c r="AB175" i="6"/>
  <c r="AB461" i="6"/>
  <c r="AB229" i="6"/>
  <c r="AB95" i="6"/>
  <c r="AB141" i="6"/>
  <c r="AB403" i="6"/>
  <c r="AB119" i="6"/>
  <c r="AB397" i="6"/>
  <c r="AB213" i="6"/>
  <c r="AB94" i="6"/>
  <c r="AB70" i="6"/>
  <c r="AB123" i="6"/>
  <c r="AB344" i="6"/>
  <c r="AB68" i="6"/>
  <c r="AB294" i="6"/>
  <c r="AB16" i="6"/>
  <c r="AB392" i="6"/>
  <c r="AB247" i="6"/>
  <c r="AB197" i="6"/>
  <c r="AB37" i="6"/>
  <c r="AB327" i="6"/>
  <c r="AB51" i="6"/>
  <c r="AB277" i="6"/>
  <c r="AB402" i="6"/>
  <c r="AB230" i="6"/>
  <c r="AB447" i="6"/>
  <c r="AB179" i="6"/>
  <c r="AB188" i="6"/>
  <c r="AB362" i="6"/>
  <c r="AB145" i="6"/>
  <c r="AB114" i="6"/>
  <c r="AB84" i="6"/>
  <c r="AB279" i="6"/>
  <c r="AB468" i="6"/>
  <c r="AB335" i="6"/>
  <c r="AB183" i="6"/>
  <c r="AB428" i="6"/>
  <c r="AB177" i="6"/>
  <c r="AB471" i="6"/>
  <c r="AB196" i="6"/>
  <c r="AB319" i="6"/>
  <c r="AB41" i="6"/>
  <c r="AB124" i="6"/>
  <c r="AB361" i="6"/>
  <c r="AB240" i="6"/>
  <c r="AB437" i="6"/>
  <c r="AB146" i="6"/>
  <c r="AB460" i="6"/>
  <c r="AB419" i="6"/>
  <c r="AB167" i="6"/>
  <c r="AB313" i="6"/>
  <c r="AB149" i="6"/>
  <c r="AB8" i="6"/>
  <c r="AB127" i="6"/>
  <c r="AB401" i="6"/>
  <c r="AB214" i="6"/>
  <c r="AB97" i="6"/>
  <c r="AB5" i="6" l="1"/>
</calcChain>
</file>

<file path=xl/sharedStrings.xml><?xml version="1.0" encoding="utf-8"?>
<sst xmlns="http://schemas.openxmlformats.org/spreadsheetml/2006/main" count="4739" uniqueCount="2079">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</sst>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0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94"/>
  <sheetViews>
    <sheetView tabSelected="1" zoomScaleNormal="100" workbookViewId="0">
      <pane ySplit="7" topLeftCell="A335" activePane="bottomLeft" state="frozen"/>
      <selection pane="bottomLeft" activeCell="E339" sqref="E339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121</v>
      </c>
      <c r="F3" s="5">
        <f>+AD6</f>
        <v>107</v>
      </c>
      <c r="G3" s="5">
        <f>+AF6</f>
        <v>102</v>
      </c>
      <c r="H3" s="5">
        <f>+E3-G3</f>
        <v>19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327</v>
      </c>
      <c r="F4" s="7">
        <f>+AE6</f>
        <v>166</v>
      </c>
      <c r="G4" s="7">
        <f>+AG6</f>
        <v>149</v>
      </c>
      <c r="H4" s="5">
        <f>+E4-G4</f>
        <v>178</v>
      </c>
      <c r="I4" s="22" t="s">
        <v>10</v>
      </c>
      <c r="J4" s="23" t="s">
        <v>566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448</v>
      </c>
      <c r="F5" s="8">
        <f>+F3+F4</f>
        <v>273</v>
      </c>
      <c r="G5" s="8">
        <f>+G3+G4</f>
        <v>251</v>
      </c>
      <c r="H5" s="8">
        <f>+H3+H4</f>
        <v>197</v>
      </c>
      <c r="I5" s="30" t="s">
        <v>16</v>
      </c>
      <c r="J5" s="25" t="s">
        <v>565</v>
      </c>
      <c r="K5" s="26" t="s">
        <v>41</v>
      </c>
      <c r="M5" s="17"/>
      <c r="N5" s="17"/>
      <c r="Q5" s="9"/>
      <c r="S5" s="9">
        <f t="shared" ref="S5:AB5" si="0">SUM(S8:S2437)</f>
        <v>59</v>
      </c>
      <c r="T5" s="9">
        <f t="shared" si="0"/>
        <v>10</v>
      </c>
      <c r="U5" s="9">
        <f t="shared" si="0"/>
        <v>6</v>
      </c>
      <c r="V5" s="9">
        <f t="shared" si="0"/>
        <v>7</v>
      </c>
      <c r="W5" s="9">
        <f t="shared" si="0"/>
        <v>3</v>
      </c>
      <c r="X5" s="9">
        <f t="shared" si="0"/>
        <v>5</v>
      </c>
      <c r="Y5" s="9">
        <f t="shared" si="0"/>
        <v>17</v>
      </c>
      <c r="Z5" s="9">
        <f t="shared" si="0"/>
        <v>30</v>
      </c>
      <c r="AA5" s="9">
        <f t="shared" si="0"/>
        <v>17</v>
      </c>
      <c r="AB5" s="9">
        <f t="shared" si="0"/>
        <v>22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SUM(AD8:AD1706)</f>
        <v>107</v>
      </c>
      <c r="AE6" s="1">
        <f t="shared" si="1"/>
        <v>166</v>
      </c>
      <c r="AF6" s="1">
        <f t="shared" si="1"/>
        <v>102</v>
      </c>
      <c r="AG6" s="1">
        <f t="shared" si="1"/>
        <v>149</v>
      </c>
      <c r="AH6" s="1">
        <f t="shared" si="1"/>
        <v>121</v>
      </c>
      <c r="AI6" s="1">
        <f t="shared" si="1"/>
        <v>327</v>
      </c>
    </row>
    <row r="7" spans="1:35" s="69" customFormat="1" ht="14.25" customHeight="1" x14ac:dyDescent="0.25">
      <c r="A7" s="27" t="s">
        <v>1371</v>
      </c>
      <c r="B7" s="27" t="s">
        <v>1372</v>
      </c>
      <c r="C7" s="27" t="s">
        <v>1373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1374</v>
      </c>
      <c r="K7" s="27" t="s">
        <v>1633</v>
      </c>
      <c r="L7" s="27" t="s">
        <v>17</v>
      </c>
      <c r="M7" s="29" t="s">
        <v>1375</v>
      </c>
      <c r="N7" s="28" t="s">
        <v>0</v>
      </c>
      <c r="O7" s="18" t="s">
        <v>1</v>
      </c>
      <c r="P7" s="18" t="s">
        <v>2</v>
      </c>
      <c r="Q7" s="29" t="s">
        <v>1881</v>
      </c>
      <c r="S7" s="69">
        <v>1</v>
      </c>
      <c r="T7" s="69">
        <f>+S7+1</f>
        <v>2</v>
      </c>
      <c r="U7" s="69">
        <f t="shared" ref="U7:AB7" si="2">+T7+1</f>
        <v>3</v>
      </c>
      <c r="V7" s="69">
        <f t="shared" si="2"/>
        <v>4</v>
      </c>
      <c r="W7" s="69">
        <f t="shared" si="2"/>
        <v>5</v>
      </c>
      <c r="X7" s="69">
        <f t="shared" si="2"/>
        <v>6</v>
      </c>
      <c r="Y7" s="69">
        <f t="shared" si="2"/>
        <v>7</v>
      </c>
      <c r="Z7" s="69">
        <f t="shared" si="2"/>
        <v>8</v>
      </c>
      <c r="AA7" s="69">
        <f t="shared" si="2"/>
        <v>9</v>
      </c>
      <c r="AB7" s="69">
        <f t="shared" si="2"/>
        <v>10</v>
      </c>
      <c r="AD7" s="69" t="s">
        <v>21</v>
      </c>
      <c r="AE7" s="69" t="s">
        <v>22</v>
      </c>
      <c r="AF7" s="69" t="s">
        <v>4</v>
      </c>
      <c r="AG7" s="69" t="s">
        <v>5</v>
      </c>
      <c r="AH7" s="69" t="s">
        <v>6</v>
      </c>
      <c r="AI7" s="69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125</v>
      </c>
      <c r="E8" s="32" t="s">
        <v>907</v>
      </c>
      <c r="F8" s="32" t="s">
        <v>325</v>
      </c>
      <c r="G8" s="32" t="s">
        <v>178</v>
      </c>
      <c r="H8" s="32" t="s">
        <v>354</v>
      </c>
      <c r="I8" s="31" t="s">
        <v>472</v>
      </c>
      <c r="J8" s="31">
        <v>1</v>
      </c>
      <c r="K8" s="33" t="s">
        <v>733</v>
      </c>
      <c r="L8" s="33">
        <v>200</v>
      </c>
      <c r="M8" s="34" t="s">
        <v>39</v>
      </c>
      <c r="N8" s="34" t="s">
        <v>1743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71" si="3">+O8*P8*(1-A8)</f>
        <v>0</v>
      </c>
      <c r="AG8" s="1">
        <f t="shared" ref="AG8:AG71" si="4">O8*(1-P8)*(1-A8)</f>
        <v>1</v>
      </c>
      <c r="AH8" s="1">
        <f t="shared" ref="AH8:AH71" si="5">+P8*(1-A8)</f>
        <v>0</v>
      </c>
      <c r="AI8" s="1">
        <f t="shared" ref="AI8:AI71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1591</v>
      </c>
      <c r="E9" s="32" t="s">
        <v>171</v>
      </c>
      <c r="F9" s="32" t="s">
        <v>1541</v>
      </c>
      <c r="G9" s="32" t="s">
        <v>39</v>
      </c>
      <c r="H9" s="32" t="s">
        <v>363</v>
      </c>
      <c r="I9" s="31" t="s">
        <v>1542</v>
      </c>
      <c r="J9" s="31">
        <v>99</v>
      </c>
      <c r="K9" s="33" t="s">
        <v>964</v>
      </c>
      <c r="L9" s="33" t="s">
        <v>1701</v>
      </c>
      <c r="M9" s="34" t="s">
        <v>1379</v>
      </c>
      <c r="N9" s="34" t="s">
        <v>1727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44">
        <v>0</v>
      </c>
      <c r="B10" s="44">
        <v>1</v>
      </c>
      <c r="C10" s="44">
        <v>1</v>
      </c>
      <c r="D10" s="45" t="s">
        <v>150</v>
      </c>
      <c r="E10" s="45" t="s">
        <v>171</v>
      </c>
      <c r="F10" s="45" t="s">
        <v>351</v>
      </c>
      <c r="G10" s="45" t="s">
        <v>178</v>
      </c>
      <c r="H10" s="45" t="s">
        <v>354</v>
      </c>
      <c r="I10" s="44" t="s">
        <v>497</v>
      </c>
      <c r="J10" s="44">
        <v>1</v>
      </c>
      <c r="K10" s="46" t="s">
        <v>964</v>
      </c>
      <c r="L10" s="46" t="s">
        <v>1702</v>
      </c>
      <c r="M10" s="47" t="s">
        <v>1376</v>
      </c>
      <c r="N10" s="47" t="s">
        <v>1747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1032</v>
      </c>
      <c r="E11" s="32" t="s">
        <v>174</v>
      </c>
      <c r="F11" s="32" t="s">
        <v>1090</v>
      </c>
      <c r="G11" s="32" t="s">
        <v>39</v>
      </c>
      <c r="H11" s="32" t="s">
        <v>1033</v>
      </c>
      <c r="I11" s="31" t="s">
        <v>1112</v>
      </c>
      <c r="J11" s="31">
        <v>16</v>
      </c>
      <c r="K11" s="33" t="s">
        <v>962</v>
      </c>
      <c r="L11" s="33">
        <v>45</v>
      </c>
      <c r="M11" s="34" t="s">
        <v>1377</v>
      </c>
      <c r="N11" s="34" t="s">
        <v>1825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44">
        <v>0</v>
      </c>
      <c r="B12" s="44">
        <v>1</v>
      </c>
      <c r="C12" s="44">
        <v>1</v>
      </c>
      <c r="D12" s="45" t="s">
        <v>117</v>
      </c>
      <c r="E12" s="45" t="s">
        <v>171</v>
      </c>
      <c r="F12" s="45" t="s">
        <v>316</v>
      </c>
      <c r="G12" s="45" t="s">
        <v>317</v>
      </c>
      <c r="H12" s="45" t="s">
        <v>354</v>
      </c>
      <c r="I12" s="44" t="s">
        <v>464</v>
      </c>
      <c r="J12" s="44">
        <v>8</v>
      </c>
      <c r="K12" s="46" t="s">
        <v>966</v>
      </c>
      <c r="L12" s="46" t="s">
        <v>1705</v>
      </c>
      <c r="M12" s="47" t="s">
        <v>1119</v>
      </c>
      <c r="N12" s="47" t="s">
        <v>1736</v>
      </c>
      <c r="O12" s="48"/>
      <c r="P12" s="48"/>
      <c r="Q12" s="45"/>
      <c r="S12" s="1">
        <f t="shared" ref="S12:S75" si="7">IF(J12=$S$7,1,0)</f>
        <v>0</v>
      </c>
      <c r="T12" s="1">
        <f t="shared" ref="T12:T75" si="8">IF(J12=$T$7,1,0)</f>
        <v>0</v>
      </c>
      <c r="U12" s="1">
        <f t="shared" ref="U12:U75" si="9">IF(J12=$U$7,1,0)</f>
        <v>0</v>
      </c>
      <c r="V12" s="1">
        <f t="shared" ref="V12:V75" si="10">IF(J12=$V$7,1,0)</f>
        <v>0</v>
      </c>
      <c r="W12" s="1">
        <f t="shared" ref="W12:W75" si="11">IF(J12=$W$7,1,0)</f>
        <v>0</v>
      </c>
      <c r="X12" s="1">
        <f t="shared" ref="X12:X75" si="12">IF(J12=$X$7,1,0)</f>
        <v>0</v>
      </c>
      <c r="Y12" s="1">
        <f t="shared" ref="Y12:Y75" si="13">IF(J12=$Y$7,1,0)</f>
        <v>0</v>
      </c>
      <c r="Z12" s="1">
        <f t="shared" ref="Z12:Z75" si="14">IF(J12=$Z$7,1,0)</f>
        <v>1</v>
      </c>
      <c r="AA12" s="1">
        <f t="shared" ref="AA12:AA75" si="15">IF(J12=$AA$7,1,0)</f>
        <v>0</v>
      </c>
      <c r="AB12" s="1">
        <f t="shared" ref="AB12:AB75" si="16">IF(J12=$AB$7,1,0)</f>
        <v>0</v>
      </c>
      <c r="AD12" s="1">
        <f t="shared" ref="AD12:AD71" si="17">+O12*P12</f>
        <v>0</v>
      </c>
      <c r="AE12" s="1">
        <f t="shared" ref="AE12:AE71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44">
        <v>0</v>
      </c>
      <c r="B13" s="44">
        <v>1</v>
      </c>
      <c r="C13" s="44">
        <v>1</v>
      </c>
      <c r="D13" s="45" t="s">
        <v>140</v>
      </c>
      <c r="E13" s="45" t="s">
        <v>171</v>
      </c>
      <c r="F13" s="45" t="s">
        <v>340</v>
      </c>
      <c r="G13" s="45" t="s">
        <v>341</v>
      </c>
      <c r="H13" s="45" t="s">
        <v>354</v>
      </c>
      <c r="I13" s="44" t="s">
        <v>488</v>
      </c>
      <c r="J13" s="44">
        <v>10</v>
      </c>
      <c r="K13" s="46" t="s">
        <v>964</v>
      </c>
      <c r="L13" s="46" t="s">
        <v>1706</v>
      </c>
      <c r="M13" s="47" t="s">
        <v>1119</v>
      </c>
      <c r="N13" s="47" t="s">
        <v>1736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5" ht="14.25" customHeight="1" x14ac:dyDescent="0.25">
      <c r="A14" s="44">
        <v>0</v>
      </c>
      <c r="B14" s="44">
        <v>1</v>
      </c>
      <c r="C14" s="44">
        <v>1</v>
      </c>
      <c r="D14" s="45" t="s">
        <v>534</v>
      </c>
      <c r="E14" s="45" t="s">
        <v>171</v>
      </c>
      <c r="F14" s="45" t="s">
        <v>1293</v>
      </c>
      <c r="G14" s="45" t="s">
        <v>240</v>
      </c>
      <c r="H14" s="45" t="s">
        <v>354</v>
      </c>
      <c r="I14" s="44" t="s">
        <v>1360</v>
      </c>
      <c r="J14" s="44">
        <v>1</v>
      </c>
      <c r="K14" s="46" t="s">
        <v>960</v>
      </c>
      <c r="L14" s="46" t="s">
        <v>1708</v>
      </c>
      <c r="M14" s="47" t="s">
        <v>1378</v>
      </c>
      <c r="N14" s="47" t="s">
        <v>1739</v>
      </c>
      <c r="O14" s="48"/>
      <c r="P14" s="48"/>
      <c r="Q14" s="45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0</v>
      </c>
      <c r="AF14" s="1">
        <f t="shared" si="3"/>
        <v>0</v>
      </c>
      <c r="AG14" s="1">
        <f t="shared" si="4"/>
        <v>0</v>
      </c>
      <c r="AH14" s="1">
        <f t="shared" si="5"/>
        <v>0</v>
      </c>
      <c r="AI14" s="1">
        <f t="shared" si="6"/>
        <v>1</v>
      </c>
    </row>
    <row r="15" spans="1:35" ht="14.25" customHeight="1" x14ac:dyDescent="0.25">
      <c r="A15" s="44">
        <v>0</v>
      </c>
      <c r="B15" s="44">
        <v>1</v>
      </c>
      <c r="C15" s="44">
        <v>1</v>
      </c>
      <c r="D15" s="45" t="s">
        <v>116</v>
      </c>
      <c r="E15" s="45" t="s">
        <v>171</v>
      </c>
      <c r="F15" s="45" t="s">
        <v>315</v>
      </c>
      <c r="G15" s="45" t="s">
        <v>186</v>
      </c>
      <c r="H15" s="45" t="s">
        <v>354</v>
      </c>
      <c r="I15" s="44" t="s">
        <v>463</v>
      </c>
      <c r="J15" s="44">
        <v>1</v>
      </c>
      <c r="K15" s="46" t="s">
        <v>964</v>
      </c>
      <c r="L15" s="46" t="s">
        <v>1706</v>
      </c>
      <c r="M15" s="47" t="s">
        <v>1119</v>
      </c>
      <c r="N15" s="47" t="s">
        <v>1747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110</v>
      </c>
      <c r="E16" s="39" t="s">
        <v>171</v>
      </c>
      <c r="F16" s="39" t="s">
        <v>309</v>
      </c>
      <c r="G16" s="39" t="s">
        <v>213</v>
      </c>
      <c r="H16" s="39" t="s">
        <v>354</v>
      </c>
      <c r="I16" s="38" t="s">
        <v>458</v>
      </c>
      <c r="J16" s="38">
        <v>1</v>
      </c>
      <c r="K16" s="40" t="s">
        <v>1698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25">
      <c r="A17" s="44">
        <v>0</v>
      </c>
      <c r="B17" s="44">
        <v>1</v>
      </c>
      <c r="C17" s="44">
        <v>1</v>
      </c>
      <c r="D17" s="45" t="s">
        <v>120</v>
      </c>
      <c r="E17" s="45" t="s">
        <v>681</v>
      </c>
      <c r="F17" s="45" t="s">
        <v>1091</v>
      </c>
      <c r="G17" s="45" t="s">
        <v>39</v>
      </c>
      <c r="H17" s="45" t="s">
        <v>355</v>
      </c>
      <c r="I17" s="44" t="s">
        <v>1113</v>
      </c>
      <c r="J17" s="44">
        <v>11</v>
      </c>
      <c r="K17" s="46" t="s">
        <v>966</v>
      </c>
      <c r="L17" s="46" t="s">
        <v>1714</v>
      </c>
      <c r="M17" s="47" t="s">
        <v>1379</v>
      </c>
      <c r="N17" s="47" t="s">
        <v>1741</v>
      </c>
      <c r="O17" s="48"/>
      <c r="P17" s="48"/>
      <c r="Q17" s="45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148</v>
      </c>
      <c r="E18" s="45" t="s">
        <v>171</v>
      </c>
      <c r="F18" s="45" t="s">
        <v>349</v>
      </c>
      <c r="G18" s="45" t="s">
        <v>39</v>
      </c>
      <c r="H18" s="45" t="s">
        <v>379</v>
      </c>
      <c r="I18" s="44" t="s">
        <v>495</v>
      </c>
      <c r="J18" s="44">
        <v>16</v>
      </c>
      <c r="K18" s="46" t="s">
        <v>960</v>
      </c>
      <c r="L18" s="46">
        <v>75</v>
      </c>
      <c r="M18" s="47" t="s">
        <v>1379</v>
      </c>
      <c r="N18" s="47" t="s">
        <v>1802</v>
      </c>
      <c r="O18" s="48"/>
      <c r="P18" s="48"/>
      <c r="Q18" s="45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25">
      <c r="A19" s="44">
        <v>0</v>
      </c>
      <c r="B19" s="44">
        <v>1</v>
      </c>
      <c r="C19" s="44">
        <v>1</v>
      </c>
      <c r="D19" s="45" t="s">
        <v>121</v>
      </c>
      <c r="E19" s="45" t="s">
        <v>171</v>
      </c>
      <c r="F19" s="45" t="s">
        <v>322</v>
      </c>
      <c r="G19" s="45" t="s">
        <v>323</v>
      </c>
      <c r="H19" s="45" t="s">
        <v>354</v>
      </c>
      <c r="I19" s="44" t="s">
        <v>468</v>
      </c>
      <c r="J19" s="44">
        <v>99</v>
      </c>
      <c r="K19" s="46" t="s">
        <v>965</v>
      </c>
      <c r="L19" s="46">
        <v>200</v>
      </c>
      <c r="M19" s="47" t="s">
        <v>39</v>
      </c>
      <c r="N19" s="47" t="s">
        <v>1809</v>
      </c>
      <c r="O19" s="48"/>
      <c r="P19" s="48"/>
      <c r="Q19" s="45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0</v>
      </c>
      <c r="AF19" s="1">
        <f t="shared" si="3"/>
        <v>0</v>
      </c>
      <c r="AG19" s="1">
        <f t="shared" si="4"/>
        <v>0</v>
      </c>
      <c r="AH19" s="1">
        <f t="shared" si="5"/>
        <v>0</v>
      </c>
      <c r="AI19" s="1">
        <f t="shared" si="6"/>
        <v>1</v>
      </c>
    </row>
    <row r="20" spans="1:35" ht="14.25" customHeight="1" x14ac:dyDescent="0.25">
      <c r="A20" s="38">
        <v>0</v>
      </c>
      <c r="B20" s="38">
        <v>1</v>
      </c>
      <c r="C20" s="38">
        <v>1</v>
      </c>
      <c r="D20" s="39" t="s">
        <v>101</v>
      </c>
      <c r="E20" s="39" t="s">
        <v>171</v>
      </c>
      <c r="F20" s="39" t="s">
        <v>298</v>
      </c>
      <c r="G20" s="39" t="s">
        <v>39</v>
      </c>
      <c r="H20" s="39" t="s">
        <v>356</v>
      </c>
      <c r="I20" s="38" t="s">
        <v>448</v>
      </c>
      <c r="J20" s="38">
        <v>15</v>
      </c>
      <c r="K20" s="40" t="s">
        <v>967</v>
      </c>
      <c r="L20" s="40" t="s">
        <v>39</v>
      </c>
      <c r="M20" s="41" t="s">
        <v>39</v>
      </c>
      <c r="N20" s="42"/>
      <c r="O20" s="43"/>
      <c r="P20" s="43">
        <v>1</v>
      </c>
      <c r="Q20" s="54" t="s">
        <v>1893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896</v>
      </c>
      <c r="E21" s="32" t="s">
        <v>170</v>
      </c>
      <c r="F21" s="32" t="s">
        <v>294</v>
      </c>
      <c r="G21" s="32" t="s">
        <v>39</v>
      </c>
      <c r="H21" s="32" t="s">
        <v>355</v>
      </c>
      <c r="I21" s="31" t="s">
        <v>444</v>
      </c>
      <c r="J21" s="31">
        <v>11</v>
      </c>
      <c r="K21" s="33" t="s">
        <v>960</v>
      </c>
      <c r="L21" s="33" t="s">
        <v>39</v>
      </c>
      <c r="M21" s="34" t="s">
        <v>39</v>
      </c>
      <c r="N21" s="34" t="s">
        <v>1727</v>
      </c>
      <c r="O21" s="35">
        <v>1</v>
      </c>
      <c r="P21" s="35">
        <v>1</v>
      </c>
      <c r="Q21" s="32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1</v>
      </c>
      <c r="AE21" s="1">
        <f t="shared" si="18"/>
        <v>0</v>
      </c>
      <c r="AF21" s="1">
        <f t="shared" si="3"/>
        <v>1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118</v>
      </c>
      <c r="E22" s="32" t="s">
        <v>171</v>
      </c>
      <c r="F22" s="32" t="s">
        <v>318</v>
      </c>
      <c r="G22" s="32" t="s">
        <v>39</v>
      </c>
      <c r="H22" s="32" t="s">
        <v>368</v>
      </c>
      <c r="I22" s="31" t="s">
        <v>465</v>
      </c>
      <c r="J22" s="31">
        <v>18</v>
      </c>
      <c r="K22" s="33" t="s">
        <v>967</v>
      </c>
      <c r="L22" s="33" t="s">
        <v>39</v>
      </c>
      <c r="M22" s="34" t="s">
        <v>39</v>
      </c>
      <c r="N22" s="34" t="s">
        <v>1733</v>
      </c>
      <c r="O22" s="35">
        <v>1</v>
      </c>
      <c r="P22" s="35">
        <v>1</v>
      </c>
      <c r="Q22" s="32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1</v>
      </c>
      <c r="AE22" s="1">
        <f t="shared" si="18"/>
        <v>0</v>
      </c>
      <c r="AF22" s="1">
        <f t="shared" si="3"/>
        <v>1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138</v>
      </c>
      <c r="E23" s="32" t="s">
        <v>682</v>
      </c>
      <c r="F23" s="32" t="s">
        <v>339</v>
      </c>
      <c r="G23" s="32" t="s">
        <v>1166</v>
      </c>
      <c r="H23" s="32" t="s">
        <v>354</v>
      </c>
      <c r="I23" s="31" t="s">
        <v>486</v>
      </c>
      <c r="J23" s="31">
        <v>1</v>
      </c>
      <c r="K23" s="33" t="s">
        <v>960</v>
      </c>
      <c r="L23" s="33" t="s">
        <v>1706</v>
      </c>
      <c r="M23" s="34" t="s">
        <v>1119</v>
      </c>
      <c r="N23" s="34" t="s">
        <v>1743</v>
      </c>
      <c r="O23" s="35">
        <v>1</v>
      </c>
      <c r="P23" s="35"/>
      <c r="Q23" s="32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1588</v>
      </c>
      <c r="E24" s="32" t="s">
        <v>171</v>
      </c>
      <c r="F24" s="32" t="s">
        <v>1589</v>
      </c>
      <c r="G24" s="32" t="s">
        <v>213</v>
      </c>
      <c r="H24" s="32" t="s">
        <v>354</v>
      </c>
      <c r="I24" s="31" t="s">
        <v>1590</v>
      </c>
      <c r="J24" s="31">
        <v>1</v>
      </c>
      <c r="K24" s="33" t="s">
        <v>966</v>
      </c>
      <c r="L24" s="33" t="s">
        <v>39</v>
      </c>
      <c r="M24" s="34" t="s">
        <v>39</v>
      </c>
      <c r="N24" s="34" t="s">
        <v>1727</v>
      </c>
      <c r="O24" s="35">
        <v>1</v>
      </c>
      <c r="P24" s="35">
        <v>1</v>
      </c>
      <c r="Q24" s="32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1</v>
      </c>
      <c r="AE24" s="1">
        <f t="shared" si="18"/>
        <v>0</v>
      </c>
      <c r="AF24" s="1">
        <f t="shared" si="3"/>
        <v>1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1051</v>
      </c>
      <c r="E25" s="32" t="s">
        <v>171</v>
      </c>
      <c r="F25" s="32" t="s">
        <v>1095</v>
      </c>
      <c r="G25" s="32" t="s">
        <v>1038</v>
      </c>
      <c r="H25" s="32" t="s">
        <v>354</v>
      </c>
      <c r="I25" s="31" t="s">
        <v>1052</v>
      </c>
      <c r="J25" s="31">
        <v>99</v>
      </c>
      <c r="K25" s="33" t="s">
        <v>733</v>
      </c>
      <c r="L25" s="33">
        <v>150</v>
      </c>
      <c r="M25" s="34" t="s">
        <v>39</v>
      </c>
      <c r="N25" s="34" t="s">
        <v>1749</v>
      </c>
      <c r="O25" s="35">
        <v>1</v>
      </c>
      <c r="P25" s="35"/>
      <c r="Q25" s="32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25">
      <c r="A26" s="38">
        <v>0</v>
      </c>
      <c r="B26" s="38">
        <v>1</v>
      </c>
      <c r="C26" s="38">
        <v>1</v>
      </c>
      <c r="D26" s="39" t="s">
        <v>112</v>
      </c>
      <c r="E26" s="39" t="s">
        <v>170</v>
      </c>
      <c r="F26" s="39" t="s">
        <v>311</v>
      </c>
      <c r="G26" s="39" t="s">
        <v>39</v>
      </c>
      <c r="H26" s="39" t="s">
        <v>355</v>
      </c>
      <c r="I26" s="38" t="s">
        <v>460</v>
      </c>
      <c r="J26" s="38">
        <v>11</v>
      </c>
      <c r="K26" s="40" t="s">
        <v>733</v>
      </c>
      <c r="L26" s="40" t="s">
        <v>39</v>
      </c>
      <c r="M26" s="41" t="s">
        <v>39</v>
      </c>
      <c r="N26" s="42"/>
      <c r="O26" s="43"/>
      <c r="P26" s="43">
        <v>1</v>
      </c>
      <c r="Q26" s="39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25">
      <c r="A27" s="44">
        <v>0</v>
      </c>
      <c r="B27" s="44">
        <v>1</v>
      </c>
      <c r="C27" s="44">
        <v>1</v>
      </c>
      <c r="D27" s="45" t="s">
        <v>103</v>
      </c>
      <c r="E27" s="45" t="s">
        <v>171</v>
      </c>
      <c r="F27" s="45" t="s">
        <v>301</v>
      </c>
      <c r="G27" s="45" t="s">
        <v>302</v>
      </c>
      <c r="H27" s="45" t="s">
        <v>354</v>
      </c>
      <c r="I27" s="44" t="s">
        <v>450</v>
      </c>
      <c r="J27" s="44">
        <v>1</v>
      </c>
      <c r="K27" s="46" t="s">
        <v>964</v>
      </c>
      <c r="L27" s="46" t="s">
        <v>1715</v>
      </c>
      <c r="M27" s="47" t="s">
        <v>1380</v>
      </c>
      <c r="N27" s="47" t="s">
        <v>1736</v>
      </c>
      <c r="O27" s="48"/>
      <c r="P27" s="48"/>
      <c r="Q27" s="45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114</v>
      </c>
      <c r="E28" s="32" t="s">
        <v>171</v>
      </c>
      <c r="F28" s="32" t="s">
        <v>313</v>
      </c>
      <c r="G28" s="32" t="s">
        <v>314</v>
      </c>
      <c r="H28" s="32" t="s">
        <v>354</v>
      </c>
      <c r="I28" s="31" t="s">
        <v>462</v>
      </c>
      <c r="J28" s="31">
        <v>1</v>
      </c>
      <c r="K28" s="33" t="s">
        <v>967</v>
      </c>
      <c r="L28" s="33" t="s">
        <v>39</v>
      </c>
      <c r="M28" s="34" t="s">
        <v>39</v>
      </c>
      <c r="N28" s="34" t="s">
        <v>1733</v>
      </c>
      <c r="O28" s="35">
        <v>1</v>
      </c>
      <c r="P28" s="35">
        <v>1</v>
      </c>
      <c r="Q28" s="32" t="s">
        <v>1912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856</v>
      </c>
      <c r="E29" s="32" t="s">
        <v>171</v>
      </c>
      <c r="F29" s="32" t="s">
        <v>857</v>
      </c>
      <c r="G29" s="32" t="s">
        <v>220</v>
      </c>
      <c r="H29" s="32" t="s">
        <v>354</v>
      </c>
      <c r="I29" s="31" t="s">
        <v>858</v>
      </c>
      <c r="J29" s="31">
        <v>8</v>
      </c>
      <c r="K29" s="33" t="s">
        <v>964</v>
      </c>
      <c r="L29" s="33" t="s">
        <v>1710</v>
      </c>
      <c r="M29" s="34" t="s">
        <v>1560</v>
      </c>
      <c r="N29" s="34" t="s">
        <v>1756</v>
      </c>
      <c r="O29" s="35">
        <v>1</v>
      </c>
      <c r="P29" s="35"/>
      <c r="Q29" s="32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25">
      <c r="A30" s="38">
        <v>0</v>
      </c>
      <c r="B30" s="38">
        <v>1</v>
      </c>
      <c r="C30" s="38">
        <v>1</v>
      </c>
      <c r="D30" s="39" t="s">
        <v>133</v>
      </c>
      <c r="E30" s="39" t="s">
        <v>171</v>
      </c>
      <c r="F30" s="39" t="s">
        <v>335</v>
      </c>
      <c r="G30" s="39" t="s">
        <v>39</v>
      </c>
      <c r="H30" s="39" t="s">
        <v>357</v>
      </c>
      <c r="I30" s="38" t="s">
        <v>482</v>
      </c>
      <c r="J30" s="38">
        <v>18</v>
      </c>
      <c r="K30" s="40" t="s">
        <v>960</v>
      </c>
      <c r="L30" s="40" t="s">
        <v>39</v>
      </c>
      <c r="M30" s="41" t="s">
        <v>39</v>
      </c>
      <c r="N30" s="42"/>
      <c r="O30" s="43"/>
      <c r="P30" s="43">
        <v>1</v>
      </c>
      <c r="Q30" s="39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144</v>
      </c>
      <c r="E31" s="45" t="s">
        <v>174</v>
      </c>
      <c r="F31" s="45" t="s">
        <v>346</v>
      </c>
      <c r="G31" s="45" t="s">
        <v>39</v>
      </c>
      <c r="H31" s="45" t="s">
        <v>367</v>
      </c>
      <c r="I31" s="44" t="s">
        <v>492</v>
      </c>
      <c r="J31" s="44">
        <v>18</v>
      </c>
      <c r="K31" s="46" t="s">
        <v>964</v>
      </c>
      <c r="L31" s="46">
        <v>70</v>
      </c>
      <c r="M31" s="47" t="s">
        <v>1381</v>
      </c>
      <c r="N31" s="47" t="s">
        <v>1734</v>
      </c>
      <c r="O31" s="48"/>
      <c r="P31" s="48"/>
      <c r="Q31" s="65" t="s">
        <v>1906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152</v>
      </c>
      <c r="E32" s="36" t="s">
        <v>171</v>
      </c>
      <c r="F32" s="36" t="s">
        <v>352</v>
      </c>
      <c r="G32" s="36" t="s">
        <v>194</v>
      </c>
      <c r="H32" s="36" t="s">
        <v>354</v>
      </c>
      <c r="I32" s="37" t="s">
        <v>499</v>
      </c>
      <c r="J32" s="31">
        <v>9</v>
      </c>
      <c r="K32" s="33" t="s">
        <v>960</v>
      </c>
      <c r="L32" s="33" t="s">
        <v>1706</v>
      </c>
      <c r="M32" s="34" t="s">
        <v>1382</v>
      </c>
      <c r="N32" s="34" t="s">
        <v>1756</v>
      </c>
      <c r="O32" s="35">
        <v>1</v>
      </c>
      <c r="P32" s="35"/>
      <c r="Q32" s="36"/>
      <c r="S32" s="1">
        <f t="shared" ref="S32:S35" si="19">IF(J32=$S$7,1,0)</f>
        <v>0</v>
      </c>
      <c r="T32" s="1">
        <f t="shared" ref="T32:T35" si="20">IF(J32=$T$7,1,0)</f>
        <v>0</v>
      </c>
      <c r="U32" s="1">
        <f t="shared" ref="U32:U35" si="21">IF(J32=$U$7,1,0)</f>
        <v>0</v>
      </c>
      <c r="V32" s="1">
        <f t="shared" ref="V32:V35" si="22">IF(J32=$V$7,1,0)</f>
        <v>0</v>
      </c>
      <c r="W32" s="1">
        <f t="shared" ref="W32:W35" si="23">IF(J32=$W$7,1,0)</f>
        <v>0</v>
      </c>
      <c r="X32" s="1">
        <f t="shared" ref="X32:X35" si="24">IF(J32=$X$7,1,0)</f>
        <v>0</v>
      </c>
      <c r="Y32" s="1">
        <f t="shared" ref="Y32:Y35" si="25">IF(J32=$Y$7,1,0)</f>
        <v>0</v>
      </c>
      <c r="Z32" s="1">
        <f t="shared" ref="Z32:Z35" si="26">IF(J32=$Z$7,1,0)</f>
        <v>0</v>
      </c>
      <c r="AA32" s="1">
        <f t="shared" ref="AA32:AA35" si="27">IF(J32=$AA$7,1,0)</f>
        <v>1</v>
      </c>
      <c r="AB32" s="1">
        <f t="shared" ref="AB32:AB35" si="28">IF(J32=$AB$7,1,0)</f>
        <v>0</v>
      </c>
      <c r="AD32" s="1">
        <f t="shared" ref="AD32:AD35" si="29">+O32*P32</f>
        <v>0</v>
      </c>
      <c r="AE32" s="1">
        <f t="shared" ref="AE32:AE35" si="30">O32*(1-P32)</f>
        <v>1</v>
      </c>
      <c r="AF32" s="1">
        <f t="shared" ref="AF32:AF35" si="31">+O32*P32*(1-A32)</f>
        <v>0</v>
      </c>
      <c r="AG32" s="1">
        <f t="shared" ref="AG32:AG35" si="32">O32*(1-P32)*(1-A32)</f>
        <v>1</v>
      </c>
      <c r="AH32" s="1">
        <f t="shared" ref="AH32:AH35" si="33">+P32*(1-A32)</f>
        <v>0</v>
      </c>
      <c r="AI32" s="1">
        <f t="shared" ref="AI32:AI35" si="34">+(1-A32)*(1-P32)</f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1549</v>
      </c>
      <c r="E33" s="36" t="s">
        <v>1246</v>
      </c>
      <c r="F33" s="36" t="s">
        <v>1550</v>
      </c>
      <c r="G33" s="36" t="s">
        <v>258</v>
      </c>
      <c r="H33" s="36" t="s">
        <v>354</v>
      </c>
      <c r="I33" s="37" t="s">
        <v>473</v>
      </c>
      <c r="J33" s="31">
        <v>8</v>
      </c>
      <c r="K33" s="33" t="s">
        <v>702</v>
      </c>
      <c r="L33" s="33" t="s">
        <v>689</v>
      </c>
      <c r="M33" s="34" t="s">
        <v>690</v>
      </c>
      <c r="N33" s="34" t="s">
        <v>1789</v>
      </c>
      <c r="O33" s="35">
        <v>1</v>
      </c>
      <c r="P33" s="35"/>
      <c r="Q33" s="36"/>
      <c r="S33" s="1">
        <f t="shared" si="19"/>
        <v>0</v>
      </c>
      <c r="T33" s="1">
        <f t="shared" si="20"/>
        <v>0</v>
      </c>
      <c r="U33" s="1">
        <f t="shared" si="21"/>
        <v>0</v>
      </c>
      <c r="V33" s="1">
        <f t="shared" si="22"/>
        <v>0</v>
      </c>
      <c r="W33" s="1">
        <f t="shared" si="23"/>
        <v>0</v>
      </c>
      <c r="X33" s="1">
        <f t="shared" si="24"/>
        <v>0</v>
      </c>
      <c r="Y33" s="1">
        <f t="shared" si="25"/>
        <v>0</v>
      </c>
      <c r="Z33" s="1">
        <f t="shared" si="26"/>
        <v>1</v>
      </c>
      <c r="AA33" s="1">
        <f t="shared" si="27"/>
        <v>0</v>
      </c>
      <c r="AB33" s="1">
        <f t="shared" si="28"/>
        <v>0</v>
      </c>
      <c r="AD33" s="1">
        <f t="shared" si="29"/>
        <v>0</v>
      </c>
      <c r="AE33" s="1">
        <f t="shared" si="30"/>
        <v>1</v>
      </c>
      <c r="AF33" s="1">
        <f t="shared" si="31"/>
        <v>0</v>
      </c>
      <c r="AG33" s="1">
        <f t="shared" si="32"/>
        <v>1</v>
      </c>
      <c r="AH33" s="1">
        <f t="shared" si="33"/>
        <v>0</v>
      </c>
      <c r="AI33" s="1">
        <f t="shared" si="34"/>
        <v>1</v>
      </c>
    </row>
    <row r="34" spans="1:35" ht="14.25" customHeight="1" x14ac:dyDescent="0.25">
      <c r="A34" s="38">
        <v>0</v>
      </c>
      <c r="B34" s="38">
        <v>1</v>
      </c>
      <c r="C34" s="38">
        <v>2</v>
      </c>
      <c r="D34" s="39" t="s">
        <v>1462</v>
      </c>
      <c r="E34" s="39" t="s">
        <v>1464</v>
      </c>
      <c r="F34" s="39" t="s">
        <v>1463</v>
      </c>
      <c r="G34" s="39"/>
      <c r="H34" s="39" t="s">
        <v>1138</v>
      </c>
      <c r="I34" s="38" t="s">
        <v>1465</v>
      </c>
      <c r="J34" s="38">
        <v>99</v>
      </c>
      <c r="K34" s="40" t="s">
        <v>703</v>
      </c>
      <c r="L34" s="40"/>
      <c r="M34" s="41"/>
      <c r="N34" s="42"/>
      <c r="O34" s="43"/>
      <c r="P34" s="43">
        <v>1</v>
      </c>
      <c r="Q34" s="54" t="s">
        <v>1920</v>
      </c>
      <c r="S34" s="1">
        <f t="shared" si="19"/>
        <v>0</v>
      </c>
      <c r="T34" s="1">
        <f t="shared" si="20"/>
        <v>0</v>
      </c>
      <c r="U34" s="1">
        <f t="shared" si="21"/>
        <v>0</v>
      </c>
      <c r="V34" s="1">
        <f t="shared" si="22"/>
        <v>0</v>
      </c>
      <c r="W34" s="1">
        <f t="shared" si="23"/>
        <v>0</v>
      </c>
      <c r="X34" s="1">
        <f t="shared" si="24"/>
        <v>0</v>
      </c>
      <c r="Y34" s="1">
        <f t="shared" si="25"/>
        <v>0</v>
      </c>
      <c r="Z34" s="1">
        <f t="shared" si="26"/>
        <v>0</v>
      </c>
      <c r="AA34" s="1">
        <f t="shared" si="27"/>
        <v>0</v>
      </c>
      <c r="AB34" s="1">
        <f t="shared" si="28"/>
        <v>0</v>
      </c>
      <c r="AD34" s="1">
        <f t="shared" si="29"/>
        <v>0</v>
      </c>
      <c r="AE34" s="1">
        <f t="shared" si="30"/>
        <v>0</v>
      </c>
      <c r="AF34" s="1">
        <f t="shared" si="31"/>
        <v>0</v>
      </c>
      <c r="AG34" s="1">
        <f t="shared" si="32"/>
        <v>0</v>
      </c>
      <c r="AH34" s="1">
        <f t="shared" si="33"/>
        <v>1</v>
      </c>
      <c r="AI34" s="1">
        <f t="shared" si="34"/>
        <v>0</v>
      </c>
    </row>
    <row r="35" spans="1:35" ht="14.25" customHeight="1" x14ac:dyDescent="0.25">
      <c r="A35" s="44">
        <v>0</v>
      </c>
      <c r="B35" s="44">
        <v>1</v>
      </c>
      <c r="C35" s="44">
        <v>2</v>
      </c>
      <c r="D35" s="45" t="s">
        <v>596</v>
      </c>
      <c r="E35" s="45" t="s">
        <v>175</v>
      </c>
      <c r="F35" s="45" t="s">
        <v>597</v>
      </c>
      <c r="G35" s="45" t="s">
        <v>251</v>
      </c>
      <c r="H35" s="45" t="s">
        <v>354</v>
      </c>
      <c r="I35" s="44" t="s">
        <v>598</v>
      </c>
      <c r="J35" s="44">
        <v>99</v>
      </c>
      <c r="K35" s="46" t="s">
        <v>956</v>
      </c>
      <c r="L35" s="46" t="s">
        <v>689</v>
      </c>
      <c r="M35" s="47" t="s">
        <v>1383</v>
      </c>
      <c r="N35" s="47" t="s">
        <v>1747</v>
      </c>
      <c r="O35" s="48"/>
      <c r="P35" s="48"/>
      <c r="Q35" s="45"/>
      <c r="S35" s="1">
        <f t="shared" si="19"/>
        <v>0</v>
      </c>
      <c r="T35" s="1">
        <f t="shared" si="20"/>
        <v>0</v>
      </c>
      <c r="U35" s="1">
        <f t="shared" si="21"/>
        <v>0</v>
      </c>
      <c r="V35" s="1">
        <f t="shared" si="22"/>
        <v>0</v>
      </c>
      <c r="W35" s="1">
        <f t="shared" si="23"/>
        <v>0</v>
      </c>
      <c r="X35" s="1">
        <f t="shared" si="24"/>
        <v>0</v>
      </c>
      <c r="Y35" s="1">
        <f t="shared" si="25"/>
        <v>0</v>
      </c>
      <c r="Z35" s="1">
        <f t="shared" si="26"/>
        <v>0</v>
      </c>
      <c r="AA35" s="1">
        <f t="shared" si="27"/>
        <v>0</v>
      </c>
      <c r="AB35" s="1">
        <f t="shared" si="28"/>
        <v>0</v>
      </c>
      <c r="AD35" s="1">
        <f t="shared" si="29"/>
        <v>0</v>
      </c>
      <c r="AE35" s="1">
        <f t="shared" si="30"/>
        <v>0</v>
      </c>
      <c r="AF35" s="1">
        <f t="shared" si="31"/>
        <v>0</v>
      </c>
      <c r="AG35" s="1">
        <f t="shared" si="32"/>
        <v>0</v>
      </c>
      <c r="AH35" s="1">
        <f t="shared" si="33"/>
        <v>0</v>
      </c>
      <c r="AI35" s="1">
        <f t="shared" si="34"/>
        <v>1</v>
      </c>
    </row>
    <row r="36" spans="1:35" ht="14.25" customHeight="1" x14ac:dyDescent="0.25">
      <c r="A36" s="44">
        <v>0</v>
      </c>
      <c r="B36" s="44">
        <v>1</v>
      </c>
      <c r="C36" s="44">
        <v>2</v>
      </c>
      <c r="D36" s="45" t="s">
        <v>113</v>
      </c>
      <c r="E36" s="45" t="s">
        <v>175</v>
      </c>
      <c r="F36" s="65" t="s">
        <v>1868</v>
      </c>
      <c r="G36" s="45" t="s">
        <v>312</v>
      </c>
      <c r="H36" s="45" t="s">
        <v>354</v>
      </c>
      <c r="I36" s="44" t="s">
        <v>461</v>
      </c>
      <c r="J36" s="44">
        <v>99</v>
      </c>
      <c r="K36" s="46" t="s">
        <v>702</v>
      </c>
      <c r="L36" s="46" t="s">
        <v>689</v>
      </c>
      <c r="M36" s="47" t="s">
        <v>691</v>
      </c>
      <c r="N36" s="47" t="s">
        <v>1802</v>
      </c>
      <c r="O36" s="48"/>
      <c r="P36" s="48"/>
      <c r="Q36" s="45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1762</v>
      </c>
      <c r="E37" s="36" t="s">
        <v>155</v>
      </c>
      <c r="F37" s="36" t="s">
        <v>1763</v>
      </c>
      <c r="G37" s="36"/>
      <c r="H37" s="36" t="s">
        <v>1764</v>
      </c>
      <c r="I37" s="37" t="s">
        <v>1765</v>
      </c>
      <c r="J37" s="31">
        <v>18</v>
      </c>
      <c r="K37" s="33" t="s">
        <v>703</v>
      </c>
      <c r="L37" s="33">
        <v>55</v>
      </c>
      <c r="M37" s="34" t="s">
        <v>1477</v>
      </c>
      <c r="N37" s="34" t="s">
        <v>1733</v>
      </c>
      <c r="O37" s="35">
        <v>1</v>
      </c>
      <c r="P37" s="35">
        <v>1</v>
      </c>
      <c r="Q37" s="36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1</v>
      </c>
      <c r="AE37" s="1">
        <f t="shared" si="18"/>
        <v>0</v>
      </c>
      <c r="AF37" s="1">
        <f t="shared" si="3"/>
        <v>1</v>
      </c>
      <c r="AG37" s="1">
        <f t="shared" si="4"/>
        <v>0</v>
      </c>
      <c r="AH37" s="1">
        <f t="shared" si="5"/>
        <v>1</v>
      </c>
      <c r="AI37" s="1">
        <f t="shared" si="6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599</v>
      </c>
      <c r="E38" s="36" t="s">
        <v>175</v>
      </c>
      <c r="F38" s="36" t="s">
        <v>600</v>
      </c>
      <c r="G38" s="36" t="s">
        <v>573</v>
      </c>
      <c r="H38" s="36" t="s">
        <v>354</v>
      </c>
      <c r="I38" s="37" t="s">
        <v>601</v>
      </c>
      <c r="J38" s="31">
        <v>1</v>
      </c>
      <c r="K38" s="33" t="s">
        <v>956</v>
      </c>
      <c r="L38" s="33" t="s">
        <v>1703</v>
      </c>
      <c r="M38" s="34" t="s">
        <v>1382</v>
      </c>
      <c r="N38" s="34" t="s">
        <v>1748</v>
      </c>
      <c r="O38" s="35">
        <v>1</v>
      </c>
      <c r="P38" s="35"/>
      <c r="Q38" s="36"/>
      <c r="S38" s="1">
        <f t="shared" si="7"/>
        <v>1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0</v>
      </c>
      <c r="AE38" s="1">
        <f t="shared" si="18"/>
        <v>1</v>
      </c>
      <c r="AF38" s="1">
        <f t="shared" si="3"/>
        <v>0</v>
      </c>
      <c r="AG38" s="1">
        <f t="shared" si="4"/>
        <v>1</v>
      </c>
      <c r="AH38" s="1">
        <f t="shared" si="5"/>
        <v>0</v>
      </c>
      <c r="AI38" s="1">
        <f t="shared" si="6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1751</v>
      </c>
      <c r="E39" s="36" t="s">
        <v>1752</v>
      </c>
      <c r="F39" s="36" t="s">
        <v>1753</v>
      </c>
      <c r="G39" s="36" t="s">
        <v>321</v>
      </c>
      <c r="H39" s="36" t="s">
        <v>354</v>
      </c>
      <c r="I39" s="37" t="s">
        <v>1754</v>
      </c>
      <c r="J39" s="31">
        <v>99</v>
      </c>
      <c r="K39" s="33" t="s">
        <v>703</v>
      </c>
      <c r="L39" s="33"/>
      <c r="M39" s="34"/>
      <c r="N39" s="34" t="s">
        <v>1733</v>
      </c>
      <c r="O39" s="35">
        <v>1</v>
      </c>
      <c r="P39" s="35">
        <v>1</v>
      </c>
      <c r="Q39" s="36"/>
      <c r="S39" s="1">
        <f t="shared" si="7"/>
        <v>0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1</v>
      </c>
      <c r="AE39" s="1">
        <f t="shared" si="18"/>
        <v>0</v>
      </c>
      <c r="AF39" s="1">
        <f t="shared" si="3"/>
        <v>1</v>
      </c>
      <c r="AG39" s="1">
        <f t="shared" si="4"/>
        <v>0</v>
      </c>
      <c r="AH39" s="1">
        <f t="shared" si="5"/>
        <v>1</v>
      </c>
      <c r="AI39" s="1">
        <f t="shared" si="6"/>
        <v>0</v>
      </c>
    </row>
    <row r="40" spans="1:35" ht="14.25" customHeight="1" x14ac:dyDescent="0.25">
      <c r="A40" s="44">
        <v>0</v>
      </c>
      <c r="B40" s="44">
        <v>1</v>
      </c>
      <c r="C40" s="44">
        <v>2</v>
      </c>
      <c r="D40" s="45" t="s">
        <v>642</v>
      </c>
      <c r="E40" s="45" t="s">
        <v>175</v>
      </c>
      <c r="F40" s="45" t="s">
        <v>643</v>
      </c>
      <c r="G40" s="45" t="s">
        <v>220</v>
      </c>
      <c r="H40" s="45" t="s">
        <v>354</v>
      </c>
      <c r="I40" s="44" t="s">
        <v>1111</v>
      </c>
      <c r="J40" s="44">
        <v>8</v>
      </c>
      <c r="K40" s="46" t="s">
        <v>956</v>
      </c>
      <c r="L40" s="46" t="s">
        <v>1700</v>
      </c>
      <c r="M40" s="47" t="s">
        <v>1377</v>
      </c>
      <c r="N40" s="47" t="s">
        <v>1737</v>
      </c>
      <c r="O40" s="48"/>
      <c r="P40" s="48"/>
      <c r="Q40" s="45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1</v>
      </c>
      <c r="AA40" s="1">
        <f t="shared" si="15"/>
        <v>0</v>
      </c>
      <c r="AB40" s="1">
        <f t="shared" si="16"/>
        <v>0</v>
      </c>
      <c r="AD40" s="1">
        <f t="shared" si="17"/>
        <v>0</v>
      </c>
      <c r="AE40" s="1">
        <f t="shared" si="18"/>
        <v>0</v>
      </c>
      <c r="AF40" s="1">
        <f t="shared" si="3"/>
        <v>0</v>
      </c>
      <c r="AG40" s="1">
        <f t="shared" si="4"/>
        <v>0</v>
      </c>
      <c r="AH40" s="1">
        <f t="shared" si="5"/>
        <v>0</v>
      </c>
      <c r="AI40" s="1">
        <f t="shared" si="6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1512</v>
      </c>
      <c r="E41" s="36" t="s">
        <v>175</v>
      </c>
      <c r="F41" s="36" t="s">
        <v>1660</v>
      </c>
      <c r="G41" s="36" t="s">
        <v>1514</v>
      </c>
      <c r="H41" s="36" t="s">
        <v>354</v>
      </c>
      <c r="I41" s="37" t="s">
        <v>1513</v>
      </c>
      <c r="J41" s="31">
        <v>99</v>
      </c>
      <c r="K41" s="33" t="s">
        <v>957</v>
      </c>
      <c r="L41" s="33" t="s">
        <v>39</v>
      </c>
      <c r="M41" s="34" t="s">
        <v>39</v>
      </c>
      <c r="N41" s="34" t="s">
        <v>1727</v>
      </c>
      <c r="O41" s="35">
        <v>1</v>
      </c>
      <c r="P41" s="35">
        <v>1</v>
      </c>
      <c r="Q41" s="36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0</v>
      </c>
      <c r="AA41" s="1">
        <f t="shared" si="15"/>
        <v>0</v>
      </c>
      <c r="AB41" s="1">
        <f t="shared" si="16"/>
        <v>0</v>
      </c>
      <c r="AD41" s="1">
        <f t="shared" si="17"/>
        <v>1</v>
      </c>
      <c r="AE41" s="1">
        <f t="shared" si="18"/>
        <v>0</v>
      </c>
      <c r="AF41" s="1">
        <f t="shared" si="3"/>
        <v>1</v>
      </c>
      <c r="AG41" s="1">
        <f t="shared" si="4"/>
        <v>0</v>
      </c>
      <c r="AH41" s="1">
        <f t="shared" si="5"/>
        <v>1</v>
      </c>
      <c r="AI41" s="1">
        <f t="shared" si="6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880</v>
      </c>
      <c r="E42" s="32" t="s">
        <v>174</v>
      </c>
      <c r="F42" s="32" t="s">
        <v>881</v>
      </c>
      <c r="G42" s="32" t="s">
        <v>39</v>
      </c>
      <c r="H42" s="32" t="s">
        <v>375</v>
      </c>
      <c r="I42" s="31" t="s">
        <v>882</v>
      </c>
      <c r="J42" s="31">
        <v>12</v>
      </c>
      <c r="K42" s="33" t="s">
        <v>702</v>
      </c>
      <c r="L42" s="33" t="s">
        <v>1704</v>
      </c>
      <c r="M42" s="34" t="s">
        <v>1384</v>
      </c>
      <c r="N42" s="34" t="s">
        <v>1825</v>
      </c>
      <c r="O42" s="35">
        <v>1</v>
      </c>
      <c r="P42" s="35"/>
      <c r="Q42" s="32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0</v>
      </c>
      <c r="AE42" s="1">
        <f t="shared" si="18"/>
        <v>1</v>
      </c>
      <c r="AF42" s="1">
        <f t="shared" si="3"/>
        <v>0</v>
      </c>
      <c r="AG42" s="1">
        <f t="shared" si="4"/>
        <v>1</v>
      </c>
      <c r="AH42" s="1">
        <f t="shared" si="5"/>
        <v>0</v>
      </c>
      <c r="AI42" s="1">
        <f t="shared" si="6"/>
        <v>1</v>
      </c>
    </row>
    <row r="43" spans="1:35" ht="14.25" customHeight="1" x14ac:dyDescent="0.25">
      <c r="A43" s="44">
        <v>0</v>
      </c>
      <c r="B43" s="44">
        <v>1</v>
      </c>
      <c r="C43" s="44">
        <v>2</v>
      </c>
      <c r="D43" s="45" t="s">
        <v>1815</v>
      </c>
      <c r="E43" s="45" t="s">
        <v>175</v>
      </c>
      <c r="F43" s="45" t="s">
        <v>1816</v>
      </c>
      <c r="G43" s="45" t="s">
        <v>194</v>
      </c>
      <c r="H43" s="45" t="s">
        <v>354</v>
      </c>
      <c r="I43" s="44" t="s">
        <v>1817</v>
      </c>
      <c r="J43" s="44">
        <v>9</v>
      </c>
      <c r="K43" s="46" t="s">
        <v>703</v>
      </c>
      <c r="L43" s="46">
        <v>60</v>
      </c>
      <c r="M43" s="47" t="s">
        <v>1818</v>
      </c>
      <c r="N43" s="47" t="s">
        <v>1809</v>
      </c>
      <c r="O43" s="48"/>
      <c r="P43" s="48"/>
      <c r="Q43" s="45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1</v>
      </c>
      <c r="AB43" s="1">
        <f t="shared" si="16"/>
        <v>0</v>
      </c>
      <c r="AD43" s="1">
        <f t="shared" si="17"/>
        <v>0</v>
      </c>
      <c r="AE43" s="1">
        <f t="shared" si="18"/>
        <v>0</v>
      </c>
      <c r="AF43" s="1">
        <f t="shared" si="3"/>
        <v>0</v>
      </c>
      <c r="AG43" s="1">
        <f t="shared" si="4"/>
        <v>0</v>
      </c>
      <c r="AH43" s="1">
        <f t="shared" si="5"/>
        <v>0</v>
      </c>
      <c r="AI43" s="1">
        <f t="shared" si="6"/>
        <v>1</v>
      </c>
    </row>
    <row r="44" spans="1:35" ht="14.25" customHeight="1" x14ac:dyDescent="0.25">
      <c r="A44" s="44">
        <v>0</v>
      </c>
      <c r="B44" s="44">
        <v>1</v>
      </c>
      <c r="C44" s="44">
        <v>2</v>
      </c>
      <c r="D44" s="45" t="s">
        <v>139</v>
      </c>
      <c r="E44" s="45" t="s">
        <v>175</v>
      </c>
      <c r="F44" s="65" t="s">
        <v>1879</v>
      </c>
      <c r="G44" s="45" t="s">
        <v>200</v>
      </c>
      <c r="H44" s="45" t="s">
        <v>354</v>
      </c>
      <c r="I44" s="44" t="s">
        <v>487</v>
      </c>
      <c r="J44" s="44">
        <v>2</v>
      </c>
      <c r="K44" s="46" t="s">
        <v>956</v>
      </c>
      <c r="L44" s="46" t="s">
        <v>693</v>
      </c>
      <c r="M44" s="47" t="s">
        <v>691</v>
      </c>
      <c r="N44" s="47" t="s">
        <v>1738</v>
      </c>
      <c r="O44" s="48"/>
      <c r="P44" s="48"/>
      <c r="Q44" s="65" t="s">
        <v>1907</v>
      </c>
      <c r="S44" s="1">
        <f t="shared" si="7"/>
        <v>0</v>
      </c>
      <c r="T44" s="1">
        <f t="shared" si="8"/>
        <v>1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0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838</v>
      </c>
      <c r="E45" s="32" t="s">
        <v>175</v>
      </c>
      <c r="F45" s="32" t="s">
        <v>840</v>
      </c>
      <c r="G45" s="32" t="s">
        <v>39</v>
      </c>
      <c r="H45" s="32" t="s">
        <v>354</v>
      </c>
      <c r="I45" s="31" t="s">
        <v>839</v>
      </c>
      <c r="J45" s="31">
        <v>99</v>
      </c>
      <c r="K45" s="33" t="s">
        <v>962</v>
      </c>
      <c r="L45" s="33" t="s">
        <v>39</v>
      </c>
      <c r="M45" s="34" t="s">
        <v>39</v>
      </c>
      <c r="N45" s="34" t="s">
        <v>1733</v>
      </c>
      <c r="O45" s="35">
        <v>1</v>
      </c>
      <c r="P45" s="35">
        <v>1</v>
      </c>
      <c r="Q45" s="32"/>
      <c r="S45" s="1">
        <f t="shared" si="7"/>
        <v>0</v>
      </c>
      <c r="T45" s="1">
        <f t="shared" si="8"/>
        <v>0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1</v>
      </c>
      <c r="AE45" s="1">
        <f t="shared" si="18"/>
        <v>0</v>
      </c>
      <c r="AF45" s="1">
        <f t="shared" si="3"/>
        <v>1</v>
      </c>
      <c r="AG45" s="1">
        <f t="shared" si="4"/>
        <v>0</v>
      </c>
      <c r="AH45" s="1">
        <f t="shared" si="5"/>
        <v>1</v>
      </c>
      <c r="AI45" s="1">
        <f t="shared" si="6"/>
        <v>0</v>
      </c>
    </row>
    <row r="46" spans="1:35" ht="14.25" customHeight="1" x14ac:dyDescent="0.25">
      <c r="A46" s="44">
        <v>0</v>
      </c>
      <c r="B46" s="44">
        <v>1</v>
      </c>
      <c r="C46" s="44">
        <v>2</v>
      </c>
      <c r="D46" s="45" t="s">
        <v>915</v>
      </c>
      <c r="E46" s="45" t="s">
        <v>175</v>
      </c>
      <c r="F46" s="45" t="s">
        <v>783</v>
      </c>
      <c r="G46" s="45" t="s">
        <v>39</v>
      </c>
      <c r="H46" s="45" t="s">
        <v>375</v>
      </c>
      <c r="I46" s="44" t="s">
        <v>784</v>
      </c>
      <c r="J46" s="44">
        <v>12</v>
      </c>
      <c r="K46" s="46" t="s">
        <v>722</v>
      </c>
      <c r="L46" s="46" t="s">
        <v>1699</v>
      </c>
      <c r="M46" s="47" t="s">
        <v>1119</v>
      </c>
      <c r="N46" s="47" t="s">
        <v>1802</v>
      </c>
      <c r="O46" s="48"/>
      <c r="P46" s="48"/>
      <c r="Q46" s="45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0</v>
      </c>
      <c r="AE46" s="1">
        <f t="shared" si="18"/>
        <v>0</v>
      </c>
      <c r="AF46" s="1">
        <f t="shared" si="3"/>
        <v>0</v>
      </c>
      <c r="AG46" s="1">
        <f t="shared" si="4"/>
        <v>0</v>
      </c>
      <c r="AH46" s="1">
        <f t="shared" si="5"/>
        <v>0</v>
      </c>
      <c r="AI46" s="1">
        <f t="shared" si="6"/>
        <v>1</v>
      </c>
    </row>
    <row r="47" spans="1:35" ht="14.25" customHeight="1" x14ac:dyDescent="0.25">
      <c r="A47" s="38">
        <v>0</v>
      </c>
      <c r="B47" s="38">
        <v>1</v>
      </c>
      <c r="C47" s="38">
        <v>2</v>
      </c>
      <c r="D47" s="39" t="s">
        <v>1635</v>
      </c>
      <c r="E47" s="39" t="s">
        <v>174</v>
      </c>
      <c r="F47" s="39" t="s">
        <v>1661</v>
      </c>
      <c r="G47" s="39" t="s">
        <v>251</v>
      </c>
      <c r="H47" s="39" t="s">
        <v>354</v>
      </c>
      <c r="I47" s="38" t="s">
        <v>1563</v>
      </c>
      <c r="J47" s="38">
        <v>99</v>
      </c>
      <c r="K47" s="40" t="s">
        <v>957</v>
      </c>
      <c r="L47" s="40" t="s">
        <v>39</v>
      </c>
      <c r="M47" s="41" t="s">
        <v>39</v>
      </c>
      <c r="N47" s="42"/>
      <c r="O47" s="43"/>
      <c r="P47" s="43">
        <v>1</v>
      </c>
      <c r="Q47" s="39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1</v>
      </c>
      <c r="AI47" s="1">
        <f t="shared" si="6"/>
        <v>0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1531</v>
      </c>
      <c r="E48" s="32" t="s">
        <v>1649</v>
      </c>
      <c r="F48" s="32" t="s">
        <v>1532</v>
      </c>
      <c r="G48" s="32" t="s">
        <v>200</v>
      </c>
      <c r="H48" s="32" t="s">
        <v>354</v>
      </c>
      <c r="I48" s="31" t="s">
        <v>1533</v>
      </c>
      <c r="J48" s="31">
        <v>2</v>
      </c>
      <c r="K48" s="33" t="s">
        <v>956</v>
      </c>
      <c r="L48" s="33">
        <v>70</v>
      </c>
      <c r="M48" s="34" t="s">
        <v>39</v>
      </c>
      <c r="N48" s="34" t="s">
        <v>1789</v>
      </c>
      <c r="O48" s="35">
        <v>1</v>
      </c>
      <c r="P48" s="35"/>
      <c r="Q48" s="32"/>
      <c r="S48" s="1">
        <f t="shared" si="7"/>
        <v>0</v>
      </c>
      <c r="T48" s="1">
        <f t="shared" si="8"/>
        <v>1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1</v>
      </c>
      <c r="AF48" s="1">
        <f t="shared" si="3"/>
        <v>0</v>
      </c>
      <c r="AG48" s="1">
        <f t="shared" si="4"/>
        <v>1</v>
      </c>
      <c r="AH48" s="1">
        <f t="shared" si="5"/>
        <v>0</v>
      </c>
      <c r="AI48" s="1">
        <f t="shared" si="6"/>
        <v>1</v>
      </c>
    </row>
    <row r="49" spans="1:35" ht="14.25" customHeight="1" x14ac:dyDescent="0.25">
      <c r="A49" s="44">
        <v>0</v>
      </c>
      <c r="B49" s="44">
        <v>1</v>
      </c>
      <c r="C49" s="44">
        <v>2</v>
      </c>
      <c r="D49" s="45" t="s">
        <v>1467</v>
      </c>
      <c r="E49" s="45" t="s">
        <v>1650</v>
      </c>
      <c r="F49" s="45" t="s">
        <v>1466</v>
      </c>
      <c r="G49" s="45" t="s">
        <v>220</v>
      </c>
      <c r="H49" s="45" t="s">
        <v>354</v>
      </c>
      <c r="I49" s="44" t="s">
        <v>1687</v>
      </c>
      <c r="J49" s="44">
        <v>8</v>
      </c>
      <c r="K49" s="46" t="s">
        <v>702</v>
      </c>
      <c r="L49" s="46">
        <v>70</v>
      </c>
      <c r="M49" s="47" t="s">
        <v>39</v>
      </c>
      <c r="N49" s="47" t="s">
        <v>1737</v>
      </c>
      <c r="O49" s="48"/>
      <c r="P49" s="48"/>
      <c r="Q49" s="45"/>
      <c r="S49" s="1">
        <f t="shared" si="7"/>
        <v>0</v>
      </c>
      <c r="T49" s="1">
        <f t="shared" si="8"/>
        <v>0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1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25">
      <c r="A50" s="31">
        <v>0</v>
      </c>
      <c r="B50" s="31">
        <v>1</v>
      </c>
      <c r="C50" s="31">
        <v>2</v>
      </c>
      <c r="D50" s="32" t="s">
        <v>811</v>
      </c>
      <c r="E50" s="32" t="s">
        <v>175</v>
      </c>
      <c r="F50" s="32" t="s">
        <v>812</v>
      </c>
      <c r="G50" s="32" t="s">
        <v>39</v>
      </c>
      <c r="H50" s="32" t="s">
        <v>813</v>
      </c>
      <c r="I50" s="31" t="s">
        <v>814</v>
      </c>
      <c r="J50" s="31">
        <v>11</v>
      </c>
      <c r="K50" s="33" t="s">
        <v>703</v>
      </c>
      <c r="L50" s="33">
        <v>50</v>
      </c>
      <c r="M50" s="34" t="s">
        <v>1119</v>
      </c>
      <c r="N50" s="34" t="s">
        <v>1946</v>
      </c>
      <c r="O50" s="35">
        <v>1</v>
      </c>
      <c r="P50" s="35"/>
      <c r="Q50" s="32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0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1</v>
      </c>
      <c r="AF50" s="1">
        <f t="shared" si="3"/>
        <v>0</v>
      </c>
      <c r="AG50" s="1">
        <f t="shared" si="4"/>
        <v>1</v>
      </c>
      <c r="AH50" s="1">
        <f t="shared" si="5"/>
        <v>0</v>
      </c>
      <c r="AI50" s="1">
        <f t="shared" si="6"/>
        <v>1</v>
      </c>
    </row>
    <row r="51" spans="1:35" ht="14.25" customHeight="1" x14ac:dyDescent="0.25">
      <c r="A51" s="31">
        <v>0</v>
      </c>
      <c r="B51" s="31">
        <v>1</v>
      </c>
      <c r="C51" s="31">
        <v>2</v>
      </c>
      <c r="D51" s="32" t="s">
        <v>1471</v>
      </c>
      <c r="E51" s="32"/>
      <c r="F51" s="32" t="s">
        <v>1472</v>
      </c>
      <c r="G51" s="32" t="s">
        <v>1473</v>
      </c>
      <c r="H51" s="32" t="s">
        <v>354</v>
      </c>
      <c r="I51" s="31" t="s">
        <v>1474</v>
      </c>
      <c r="J51" s="31">
        <v>99</v>
      </c>
      <c r="K51" s="33" t="s">
        <v>703</v>
      </c>
      <c r="L51" s="33">
        <v>35</v>
      </c>
      <c r="M51" s="34" t="s">
        <v>1479</v>
      </c>
      <c r="N51" s="34" t="s">
        <v>1748</v>
      </c>
      <c r="O51" s="35">
        <v>1</v>
      </c>
      <c r="P51" s="35"/>
      <c r="Q51" s="32"/>
      <c r="S51" s="1">
        <f t="shared" si="7"/>
        <v>0</v>
      </c>
      <c r="T51" s="1">
        <f t="shared" si="8"/>
        <v>0</v>
      </c>
      <c r="U51" s="1">
        <f t="shared" si="9"/>
        <v>0</v>
      </c>
      <c r="V51" s="1">
        <f t="shared" si="10"/>
        <v>0</v>
      </c>
      <c r="W51" s="1">
        <f t="shared" si="11"/>
        <v>0</v>
      </c>
      <c r="X51" s="1">
        <f t="shared" si="12"/>
        <v>0</v>
      </c>
      <c r="Y51" s="1">
        <f t="shared" si="13"/>
        <v>0</v>
      </c>
      <c r="Z51" s="1">
        <f t="shared" si="14"/>
        <v>0</v>
      </c>
      <c r="AA51" s="1">
        <f t="shared" si="15"/>
        <v>0</v>
      </c>
      <c r="AB51" s="1">
        <f t="shared" si="16"/>
        <v>0</v>
      </c>
      <c r="AD51" s="1">
        <f t="shared" si="17"/>
        <v>0</v>
      </c>
      <c r="AE51" s="1">
        <f t="shared" si="18"/>
        <v>1</v>
      </c>
      <c r="AF51" s="1">
        <f t="shared" si="3"/>
        <v>0</v>
      </c>
      <c r="AG51" s="1">
        <f t="shared" si="4"/>
        <v>1</v>
      </c>
      <c r="AH51" s="1">
        <f t="shared" si="5"/>
        <v>0</v>
      </c>
      <c r="AI51" s="1">
        <f t="shared" si="6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2001</v>
      </c>
      <c r="E52" s="32" t="s">
        <v>175</v>
      </c>
      <c r="F52" s="32" t="s">
        <v>2002</v>
      </c>
      <c r="G52" s="32" t="s">
        <v>2003</v>
      </c>
      <c r="H52" s="32" t="s">
        <v>354</v>
      </c>
      <c r="I52" s="31" t="s">
        <v>2004</v>
      </c>
      <c r="J52" s="31">
        <v>99</v>
      </c>
      <c r="K52" s="33" t="s">
        <v>703</v>
      </c>
      <c r="L52" s="33"/>
      <c r="M52" s="34"/>
      <c r="N52" s="34" t="s">
        <v>1733</v>
      </c>
      <c r="O52" s="35">
        <v>1</v>
      </c>
      <c r="P52" s="35">
        <v>1</v>
      </c>
      <c r="Q52" s="32" t="s">
        <v>2005</v>
      </c>
      <c r="S52" s="1">
        <f t="shared" ref="S52:S54" si="35">IF(J52=$S$7,1,0)</f>
        <v>0</v>
      </c>
      <c r="T52" s="1">
        <f t="shared" ref="T52:T54" si="36">IF(J52=$T$7,1,0)</f>
        <v>0</v>
      </c>
      <c r="U52" s="1">
        <f t="shared" ref="U52:U54" si="37">IF(J52=$U$7,1,0)</f>
        <v>0</v>
      </c>
      <c r="V52" s="1">
        <f t="shared" ref="V52:V54" si="38">IF(J52=$V$7,1,0)</f>
        <v>0</v>
      </c>
      <c r="W52" s="1">
        <f t="shared" ref="W52:W54" si="39">IF(J52=$W$7,1,0)</f>
        <v>0</v>
      </c>
      <c r="X52" s="1">
        <f t="shared" ref="X52:X54" si="40">IF(J52=$X$7,1,0)</f>
        <v>0</v>
      </c>
      <c r="Y52" s="1">
        <f t="shared" ref="Y52:Y54" si="41">IF(J52=$Y$7,1,0)</f>
        <v>0</v>
      </c>
      <c r="Z52" s="1">
        <f t="shared" ref="Z52:Z54" si="42">IF(J52=$Z$7,1,0)</f>
        <v>0</v>
      </c>
      <c r="AA52" s="1">
        <f t="shared" ref="AA52:AA54" si="43">IF(J52=$AA$7,1,0)</f>
        <v>0</v>
      </c>
      <c r="AB52" s="1">
        <f t="shared" ref="AB52:AB54" si="44">IF(J52=$AB$7,1,0)</f>
        <v>0</v>
      </c>
      <c r="AD52" s="1">
        <f t="shared" ref="AD52:AD54" si="45">+O52*P52</f>
        <v>1</v>
      </c>
      <c r="AE52" s="1">
        <f t="shared" ref="AE52:AE54" si="46">O52*(1-P52)</f>
        <v>0</v>
      </c>
      <c r="AF52" s="1">
        <f t="shared" ref="AF52:AF54" si="47">+O52*P52*(1-A52)</f>
        <v>1</v>
      </c>
      <c r="AG52" s="1">
        <f t="shared" ref="AG52:AG54" si="48">O52*(1-P52)*(1-A52)</f>
        <v>0</v>
      </c>
      <c r="AH52" s="1">
        <f t="shared" ref="AH52:AH54" si="49">+P52*(1-A52)</f>
        <v>1</v>
      </c>
      <c r="AI52" s="1">
        <f t="shared" ref="AI52:AI54" si="50">+(1-A52)*(1-P52)</f>
        <v>0</v>
      </c>
    </row>
    <row r="53" spans="1:35" ht="14.25" customHeight="1" x14ac:dyDescent="0.25">
      <c r="A53" s="44">
        <v>0</v>
      </c>
      <c r="B53" s="44">
        <v>1</v>
      </c>
      <c r="C53" s="44">
        <v>2</v>
      </c>
      <c r="D53" s="45" t="s">
        <v>122</v>
      </c>
      <c r="E53" s="45" t="s">
        <v>175</v>
      </c>
      <c r="F53" s="45" t="s">
        <v>655</v>
      </c>
      <c r="G53" s="45" t="s">
        <v>39</v>
      </c>
      <c r="H53" s="45" t="s">
        <v>371</v>
      </c>
      <c r="I53" s="44" t="s">
        <v>469</v>
      </c>
      <c r="J53" s="44">
        <v>11</v>
      </c>
      <c r="K53" s="46" t="s">
        <v>703</v>
      </c>
      <c r="L53" s="46">
        <v>40</v>
      </c>
      <c r="M53" s="47" t="s">
        <v>691</v>
      </c>
      <c r="N53" s="47" t="s">
        <v>1802</v>
      </c>
      <c r="O53" s="48"/>
      <c r="P53" s="48"/>
      <c r="Q53" s="45"/>
      <c r="S53" s="1">
        <f t="shared" si="35"/>
        <v>0</v>
      </c>
      <c r="T53" s="1">
        <f t="shared" si="36"/>
        <v>0</v>
      </c>
      <c r="U53" s="1">
        <f t="shared" si="37"/>
        <v>0</v>
      </c>
      <c r="V53" s="1">
        <f t="shared" si="38"/>
        <v>0</v>
      </c>
      <c r="W53" s="1">
        <f t="shared" si="39"/>
        <v>0</v>
      </c>
      <c r="X53" s="1">
        <f t="shared" si="40"/>
        <v>0</v>
      </c>
      <c r="Y53" s="1">
        <f t="shared" si="41"/>
        <v>0</v>
      </c>
      <c r="Z53" s="1">
        <f t="shared" si="42"/>
        <v>0</v>
      </c>
      <c r="AA53" s="1">
        <f t="shared" si="43"/>
        <v>0</v>
      </c>
      <c r="AB53" s="1">
        <f t="shared" si="44"/>
        <v>0</v>
      </c>
      <c r="AD53" s="1">
        <f t="shared" si="45"/>
        <v>0</v>
      </c>
      <c r="AE53" s="1">
        <f t="shared" si="46"/>
        <v>0</v>
      </c>
      <c r="AF53" s="1">
        <f t="shared" si="47"/>
        <v>0</v>
      </c>
      <c r="AG53" s="1">
        <f t="shared" si="48"/>
        <v>0</v>
      </c>
      <c r="AH53" s="1">
        <f t="shared" si="49"/>
        <v>0</v>
      </c>
      <c r="AI53" s="1">
        <f t="shared" si="50"/>
        <v>1</v>
      </c>
    </row>
    <row r="54" spans="1:35" ht="14.25" customHeight="1" x14ac:dyDescent="0.25">
      <c r="A54" s="31">
        <v>0</v>
      </c>
      <c r="B54" s="31">
        <v>1</v>
      </c>
      <c r="C54" s="31">
        <v>2</v>
      </c>
      <c r="D54" s="32" t="s">
        <v>1054</v>
      </c>
      <c r="E54" s="32" t="s">
        <v>175</v>
      </c>
      <c r="F54" s="32" t="s">
        <v>1055</v>
      </c>
      <c r="G54" s="32" t="s">
        <v>1056</v>
      </c>
      <c r="H54" s="32" t="s">
        <v>354</v>
      </c>
      <c r="I54" s="31" t="s">
        <v>1057</v>
      </c>
      <c r="J54" s="31">
        <v>1</v>
      </c>
      <c r="K54" s="33" t="s">
        <v>722</v>
      </c>
      <c r="L54" s="33" t="s">
        <v>687</v>
      </c>
      <c r="M54" s="34" t="s">
        <v>1119</v>
      </c>
      <c r="N54" s="34" t="s">
        <v>1789</v>
      </c>
      <c r="O54" s="35">
        <v>1</v>
      </c>
      <c r="P54" s="35"/>
      <c r="Q54" s="32" t="s">
        <v>1910</v>
      </c>
      <c r="S54" s="1">
        <f t="shared" si="35"/>
        <v>1</v>
      </c>
      <c r="T54" s="1">
        <f t="shared" si="36"/>
        <v>0</v>
      </c>
      <c r="U54" s="1">
        <f t="shared" si="37"/>
        <v>0</v>
      </c>
      <c r="V54" s="1">
        <f t="shared" si="38"/>
        <v>0</v>
      </c>
      <c r="W54" s="1">
        <f t="shared" si="39"/>
        <v>0</v>
      </c>
      <c r="X54" s="1">
        <f t="shared" si="40"/>
        <v>0</v>
      </c>
      <c r="Y54" s="1">
        <f t="shared" si="41"/>
        <v>0</v>
      </c>
      <c r="Z54" s="1">
        <f t="shared" si="42"/>
        <v>0</v>
      </c>
      <c r="AA54" s="1">
        <f t="shared" si="43"/>
        <v>0</v>
      </c>
      <c r="AB54" s="1">
        <f t="shared" si="44"/>
        <v>0</v>
      </c>
      <c r="AD54" s="1">
        <f t="shared" si="45"/>
        <v>0</v>
      </c>
      <c r="AE54" s="1">
        <f t="shared" si="46"/>
        <v>1</v>
      </c>
      <c r="AF54" s="1">
        <f t="shared" si="47"/>
        <v>0</v>
      </c>
      <c r="AG54" s="1">
        <f t="shared" si="48"/>
        <v>1</v>
      </c>
      <c r="AH54" s="1">
        <f t="shared" si="49"/>
        <v>0</v>
      </c>
      <c r="AI54" s="1">
        <f t="shared" si="50"/>
        <v>1</v>
      </c>
    </row>
    <row r="55" spans="1:35" ht="14.25" customHeight="1" x14ac:dyDescent="0.25">
      <c r="A55" s="31">
        <v>0</v>
      </c>
      <c r="B55" s="31">
        <v>1</v>
      </c>
      <c r="C55" s="31">
        <v>2</v>
      </c>
      <c r="D55" s="32" t="s">
        <v>1639</v>
      </c>
      <c r="E55" s="32" t="s">
        <v>175</v>
      </c>
      <c r="F55" s="32" t="s">
        <v>1665</v>
      </c>
      <c r="G55" s="32" t="s">
        <v>1666</v>
      </c>
      <c r="H55" s="32" t="s">
        <v>354</v>
      </c>
      <c r="I55" s="31" t="s">
        <v>1478</v>
      </c>
      <c r="J55" s="31">
        <v>99</v>
      </c>
      <c r="K55" s="33" t="s">
        <v>702</v>
      </c>
      <c r="L55" s="33">
        <v>45</v>
      </c>
      <c r="M55" s="34" t="s">
        <v>39</v>
      </c>
      <c r="N55" s="34" t="s">
        <v>1755</v>
      </c>
      <c r="O55" s="35">
        <v>1</v>
      </c>
      <c r="P55" s="35"/>
      <c r="Q55" s="32" t="s">
        <v>2052</v>
      </c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1</v>
      </c>
      <c r="AF55" s="1">
        <f t="shared" si="3"/>
        <v>0</v>
      </c>
      <c r="AG55" s="1">
        <f t="shared" si="4"/>
        <v>1</v>
      </c>
      <c r="AH55" s="1">
        <f t="shared" si="5"/>
        <v>0</v>
      </c>
      <c r="AI55" s="1">
        <f t="shared" si="6"/>
        <v>1</v>
      </c>
    </row>
    <row r="56" spans="1:35" ht="14.25" customHeight="1" x14ac:dyDescent="0.25">
      <c r="A56" s="44">
        <v>0</v>
      </c>
      <c r="B56" s="44">
        <v>1</v>
      </c>
      <c r="C56" s="44">
        <v>2</v>
      </c>
      <c r="D56" s="45" t="s">
        <v>647</v>
      </c>
      <c r="E56" s="45" t="s">
        <v>175</v>
      </c>
      <c r="F56" s="45" t="s">
        <v>602</v>
      </c>
      <c r="G56" s="45" t="s">
        <v>595</v>
      </c>
      <c r="H56" s="45" t="s">
        <v>354</v>
      </c>
      <c r="I56" s="44" t="s">
        <v>677</v>
      </c>
      <c r="J56" s="44">
        <v>1</v>
      </c>
      <c r="K56" s="46" t="s">
        <v>702</v>
      </c>
      <c r="L56" s="46" t="s">
        <v>1700</v>
      </c>
      <c r="M56" s="47" t="s">
        <v>1385</v>
      </c>
      <c r="N56" s="47" t="s">
        <v>1735</v>
      </c>
      <c r="O56" s="48"/>
      <c r="P56" s="48"/>
      <c r="Q56" s="45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25">
      <c r="A57" s="15">
        <v>0</v>
      </c>
      <c r="B57" s="15">
        <v>1</v>
      </c>
      <c r="C57" s="15">
        <v>2</v>
      </c>
      <c r="D57" s="16" t="s">
        <v>1190</v>
      </c>
      <c r="E57" s="16" t="s">
        <v>174</v>
      </c>
      <c r="F57" s="16" t="s">
        <v>1191</v>
      </c>
      <c r="G57" s="16" t="s">
        <v>39</v>
      </c>
      <c r="H57" s="16" t="s">
        <v>1193</v>
      </c>
      <c r="I57" s="15" t="s">
        <v>1192</v>
      </c>
      <c r="J57" s="15">
        <v>17</v>
      </c>
      <c r="K57" s="10" t="s">
        <v>703</v>
      </c>
      <c r="L57" s="10" t="s">
        <v>1386</v>
      </c>
      <c r="M57" s="19" t="s">
        <v>1387</v>
      </c>
      <c r="N57" s="17"/>
      <c r="Q57" s="16" t="s">
        <v>1886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1201</v>
      </c>
      <c r="E58" s="16" t="s">
        <v>174</v>
      </c>
      <c r="F58" s="16" t="s">
        <v>1202</v>
      </c>
      <c r="G58" s="16" t="s">
        <v>39</v>
      </c>
      <c r="H58" s="16" t="s">
        <v>1203</v>
      </c>
      <c r="I58" s="15" t="s">
        <v>1204</v>
      </c>
      <c r="J58" s="15">
        <v>18</v>
      </c>
      <c r="K58" s="10" t="s">
        <v>957</v>
      </c>
      <c r="L58" s="10" t="s">
        <v>695</v>
      </c>
      <c r="M58" s="19" t="s">
        <v>970</v>
      </c>
      <c r="N58" s="17"/>
      <c r="Q58" s="16" t="s">
        <v>1885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1029</v>
      </c>
      <c r="E59" s="16" t="s">
        <v>175</v>
      </c>
      <c r="F59" s="16" t="s">
        <v>1031</v>
      </c>
      <c r="G59" s="16" t="s">
        <v>39</v>
      </c>
      <c r="H59" s="16" t="s">
        <v>365</v>
      </c>
      <c r="I59" s="15" t="s">
        <v>1030</v>
      </c>
      <c r="J59" s="15">
        <v>18</v>
      </c>
      <c r="K59" s="10" t="s">
        <v>702</v>
      </c>
      <c r="L59" s="10" t="s">
        <v>1141</v>
      </c>
      <c r="M59" s="19" t="s">
        <v>691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25">
      <c r="A60" s="31">
        <v>0</v>
      </c>
      <c r="B60" s="31">
        <v>1</v>
      </c>
      <c r="C60" s="31">
        <v>2</v>
      </c>
      <c r="D60" s="32" t="s">
        <v>1592</v>
      </c>
      <c r="E60" s="32" t="s">
        <v>175</v>
      </c>
      <c r="F60" s="32" t="s">
        <v>1593</v>
      </c>
      <c r="G60" s="32" t="s">
        <v>1594</v>
      </c>
      <c r="H60" s="32" t="s">
        <v>354</v>
      </c>
      <c r="I60" s="31" t="s">
        <v>1487</v>
      </c>
      <c r="J60" s="31">
        <v>99</v>
      </c>
      <c r="K60" s="33" t="s">
        <v>702</v>
      </c>
      <c r="L60" s="33" t="s">
        <v>39</v>
      </c>
      <c r="M60" s="34" t="s">
        <v>39</v>
      </c>
      <c r="N60" s="34" t="s">
        <v>1727</v>
      </c>
      <c r="O60" s="35">
        <v>1</v>
      </c>
      <c r="P60" s="35">
        <v>1</v>
      </c>
      <c r="Q60" s="32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25">
      <c r="A61" s="31">
        <v>0</v>
      </c>
      <c r="B61" s="31">
        <v>1</v>
      </c>
      <c r="C61" s="31">
        <v>2</v>
      </c>
      <c r="D61" s="32" t="s">
        <v>1620</v>
      </c>
      <c r="E61" s="32" t="s">
        <v>170</v>
      </c>
      <c r="F61" s="32" t="s">
        <v>1621</v>
      </c>
      <c r="G61" s="32" t="s">
        <v>39</v>
      </c>
      <c r="H61" s="32" t="s">
        <v>355</v>
      </c>
      <c r="I61" s="31" t="s">
        <v>1622</v>
      </c>
      <c r="J61" s="31">
        <v>11</v>
      </c>
      <c r="K61" s="33" t="s">
        <v>957</v>
      </c>
      <c r="L61" s="33" t="s">
        <v>39</v>
      </c>
      <c r="M61" s="34" t="s">
        <v>39</v>
      </c>
      <c r="N61" s="34" t="s">
        <v>1727</v>
      </c>
      <c r="O61" s="35">
        <v>1</v>
      </c>
      <c r="P61" s="35">
        <v>1</v>
      </c>
      <c r="Q61" s="36" t="s">
        <v>1905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1617</v>
      </c>
      <c r="E62" s="32" t="s">
        <v>174</v>
      </c>
      <c r="F62" s="32" t="s">
        <v>1618</v>
      </c>
      <c r="G62" s="32" t="s">
        <v>1483</v>
      </c>
      <c r="H62" s="32" t="s">
        <v>354</v>
      </c>
      <c r="I62" s="31" t="s">
        <v>1619</v>
      </c>
      <c r="J62" s="31">
        <v>99</v>
      </c>
      <c r="K62" s="33" t="s">
        <v>962</v>
      </c>
      <c r="L62" s="33" t="s">
        <v>39</v>
      </c>
      <c r="M62" s="34" t="s">
        <v>39</v>
      </c>
      <c r="N62" s="34" t="s">
        <v>1727</v>
      </c>
      <c r="O62" s="35">
        <v>1</v>
      </c>
      <c r="P62" s="35">
        <v>1</v>
      </c>
      <c r="Q62" s="32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1</v>
      </c>
      <c r="AE62" s="1">
        <f t="shared" si="18"/>
        <v>0</v>
      </c>
      <c r="AF62" s="1">
        <f t="shared" si="3"/>
        <v>1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569</v>
      </c>
      <c r="E63" s="32" t="s">
        <v>579</v>
      </c>
      <c r="F63" s="32" t="s">
        <v>558</v>
      </c>
      <c r="G63" s="32" t="s">
        <v>262</v>
      </c>
      <c r="H63" s="32" t="s">
        <v>354</v>
      </c>
      <c r="I63" s="31" t="s">
        <v>559</v>
      </c>
      <c r="J63" s="31">
        <v>99</v>
      </c>
      <c r="K63" s="33" t="s">
        <v>956</v>
      </c>
      <c r="L63" s="33" t="s">
        <v>39</v>
      </c>
      <c r="M63" s="34" t="s">
        <v>39</v>
      </c>
      <c r="N63" s="34" t="s">
        <v>1727</v>
      </c>
      <c r="O63" s="35">
        <v>1</v>
      </c>
      <c r="P63" s="35">
        <v>1</v>
      </c>
      <c r="Q63" s="3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1</v>
      </c>
      <c r="AE63" s="1">
        <f t="shared" si="18"/>
        <v>0</v>
      </c>
      <c r="AF63" s="1">
        <f t="shared" si="3"/>
        <v>1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799</v>
      </c>
      <c r="E64" s="32" t="s">
        <v>174</v>
      </c>
      <c r="F64" s="32" t="s">
        <v>801</v>
      </c>
      <c r="G64" s="32" t="s">
        <v>39</v>
      </c>
      <c r="H64" s="32" t="s">
        <v>800</v>
      </c>
      <c r="I64" s="31" t="s">
        <v>802</v>
      </c>
      <c r="J64" s="31">
        <v>14</v>
      </c>
      <c r="K64" s="33" t="s">
        <v>964</v>
      </c>
      <c r="L64" s="33" t="s">
        <v>1706</v>
      </c>
      <c r="M64" s="34" t="s">
        <v>1379</v>
      </c>
      <c r="N64" s="34" t="s">
        <v>1749</v>
      </c>
      <c r="O64" s="35">
        <v>1</v>
      </c>
      <c r="P64" s="35"/>
      <c r="Q64" s="32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5" ht="14.25" customHeight="1" x14ac:dyDescent="0.25">
      <c r="A65" s="15">
        <v>0</v>
      </c>
      <c r="B65" s="15">
        <v>1</v>
      </c>
      <c r="C65" s="15">
        <v>2</v>
      </c>
      <c r="D65" s="16" t="s">
        <v>1322</v>
      </c>
      <c r="E65" s="16" t="s">
        <v>175</v>
      </c>
      <c r="F65" s="16" t="s">
        <v>1346</v>
      </c>
      <c r="G65" s="16" t="s">
        <v>39</v>
      </c>
      <c r="H65" s="16" t="s">
        <v>363</v>
      </c>
      <c r="I65" s="15" t="s">
        <v>1142</v>
      </c>
      <c r="J65" s="15">
        <v>14</v>
      </c>
      <c r="K65" s="10" t="s">
        <v>722</v>
      </c>
      <c r="L65" s="10" t="s">
        <v>1699</v>
      </c>
      <c r="M65" s="19" t="s">
        <v>972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25">
      <c r="A66" s="44">
        <v>0</v>
      </c>
      <c r="B66" s="44">
        <v>1</v>
      </c>
      <c r="C66" s="44">
        <v>2</v>
      </c>
      <c r="D66" s="45" t="s">
        <v>1515</v>
      </c>
      <c r="E66" s="45" t="s">
        <v>170</v>
      </c>
      <c r="F66" s="45" t="s">
        <v>1517</v>
      </c>
      <c r="G66" s="45" t="s">
        <v>1165</v>
      </c>
      <c r="H66" s="45" t="s">
        <v>354</v>
      </c>
      <c r="I66" s="44" t="s">
        <v>1516</v>
      </c>
      <c r="J66" s="44">
        <v>11</v>
      </c>
      <c r="K66" s="46" t="s">
        <v>722</v>
      </c>
      <c r="L66" s="46">
        <v>50</v>
      </c>
      <c r="M66" s="47" t="s">
        <v>39</v>
      </c>
      <c r="N66" s="47" t="s">
        <v>1809</v>
      </c>
      <c r="O66" s="48"/>
      <c r="P66" s="48"/>
      <c r="Q66" s="45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25">
      <c r="A67" s="31">
        <v>0</v>
      </c>
      <c r="B67" s="31">
        <v>1</v>
      </c>
      <c r="C67" s="31">
        <v>2</v>
      </c>
      <c r="D67" s="32" t="s">
        <v>1137</v>
      </c>
      <c r="E67" s="32" t="s">
        <v>175</v>
      </c>
      <c r="F67" s="32" t="s">
        <v>1140</v>
      </c>
      <c r="G67" s="32" t="s">
        <v>39</v>
      </c>
      <c r="H67" s="32" t="s">
        <v>1138</v>
      </c>
      <c r="I67" s="31" t="s">
        <v>1139</v>
      </c>
      <c r="J67" s="31">
        <v>12</v>
      </c>
      <c r="K67" s="33" t="s">
        <v>703</v>
      </c>
      <c r="L67" s="33">
        <v>50</v>
      </c>
      <c r="M67" s="34" t="s">
        <v>39</v>
      </c>
      <c r="N67" s="34" t="s">
        <v>1749</v>
      </c>
      <c r="O67" s="35">
        <v>1</v>
      </c>
      <c r="P67" s="35"/>
      <c r="Q67" s="32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1</v>
      </c>
      <c r="AF67" s="1">
        <f t="shared" si="3"/>
        <v>0</v>
      </c>
      <c r="AG67" s="1">
        <f t="shared" si="4"/>
        <v>1</v>
      </c>
      <c r="AH67" s="1">
        <f t="shared" si="5"/>
        <v>0</v>
      </c>
      <c r="AI67" s="1">
        <f t="shared" si="6"/>
        <v>1</v>
      </c>
    </row>
    <row r="68" spans="1:35" ht="14.25" customHeight="1" x14ac:dyDescent="0.25">
      <c r="A68" s="57">
        <v>0</v>
      </c>
      <c r="B68" s="57">
        <v>1</v>
      </c>
      <c r="C68" s="57">
        <v>2</v>
      </c>
      <c r="D68" s="58" t="s">
        <v>154</v>
      </c>
      <c r="E68" s="58" t="s">
        <v>171</v>
      </c>
      <c r="F68" s="58" t="s">
        <v>935</v>
      </c>
      <c r="G68" s="58" t="s">
        <v>186</v>
      </c>
      <c r="H68" s="58" t="s">
        <v>354</v>
      </c>
      <c r="I68" s="57" t="s">
        <v>501</v>
      </c>
      <c r="J68" s="57">
        <v>1</v>
      </c>
      <c r="K68" s="59" t="s">
        <v>960</v>
      </c>
      <c r="L68" s="59" t="s">
        <v>39</v>
      </c>
      <c r="M68" s="60" t="s">
        <v>39</v>
      </c>
      <c r="N68" s="61"/>
      <c r="O68" s="62"/>
      <c r="P68" s="62">
        <v>1</v>
      </c>
      <c r="Q68" s="58"/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0</v>
      </c>
      <c r="AE68" s="1">
        <f t="shared" si="18"/>
        <v>0</v>
      </c>
      <c r="AF68" s="1">
        <f t="shared" si="3"/>
        <v>0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1447</v>
      </c>
      <c r="E69" s="32" t="s">
        <v>175</v>
      </c>
      <c r="F69" s="32" t="s">
        <v>1444</v>
      </c>
      <c r="G69" s="32" t="s">
        <v>39</v>
      </c>
      <c r="H69" s="32" t="s">
        <v>354</v>
      </c>
      <c r="I69" s="31" t="s">
        <v>1445</v>
      </c>
      <c r="J69" s="31">
        <v>99</v>
      </c>
      <c r="K69" s="33" t="s">
        <v>702</v>
      </c>
      <c r="L69" s="33" t="s">
        <v>689</v>
      </c>
      <c r="M69" s="34" t="s">
        <v>1446</v>
      </c>
      <c r="N69" s="34" t="s">
        <v>1727</v>
      </c>
      <c r="O69" s="35">
        <v>1</v>
      </c>
      <c r="P69" s="35">
        <v>1</v>
      </c>
      <c r="Q69" s="32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25">
      <c r="A70" s="38">
        <v>0</v>
      </c>
      <c r="B70" s="38">
        <v>1</v>
      </c>
      <c r="C70" s="38">
        <v>2</v>
      </c>
      <c r="D70" s="54" t="s">
        <v>815</v>
      </c>
      <c r="E70" s="39" t="s">
        <v>175</v>
      </c>
      <c r="F70" s="39" t="s">
        <v>936</v>
      </c>
      <c r="G70" s="39" t="s">
        <v>213</v>
      </c>
      <c r="H70" s="39" t="s">
        <v>354</v>
      </c>
      <c r="I70" s="38" t="s">
        <v>816</v>
      </c>
      <c r="J70" s="38">
        <v>1</v>
      </c>
      <c r="K70" s="40" t="s">
        <v>956</v>
      </c>
      <c r="L70" s="40" t="s">
        <v>39</v>
      </c>
      <c r="M70" s="41" t="s">
        <v>39</v>
      </c>
      <c r="N70" s="42"/>
      <c r="O70" s="43"/>
      <c r="P70" s="43">
        <v>1</v>
      </c>
      <c r="Q70" s="39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25">
      <c r="A71" s="31">
        <v>0</v>
      </c>
      <c r="B71" s="31">
        <v>1</v>
      </c>
      <c r="C71" s="31">
        <v>2</v>
      </c>
      <c r="D71" s="32" t="s">
        <v>1323</v>
      </c>
      <c r="E71" s="32" t="s">
        <v>175</v>
      </c>
      <c r="F71" s="32" t="s">
        <v>1126</v>
      </c>
      <c r="G71" s="32" t="s">
        <v>39</v>
      </c>
      <c r="H71" s="32" t="s">
        <v>1125</v>
      </c>
      <c r="I71" s="31" t="s">
        <v>1124</v>
      </c>
      <c r="J71" s="31">
        <v>15</v>
      </c>
      <c r="K71" s="33" t="s">
        <v>957</v>
      </c>
      <c r="L71" s="33">
        <v>75</v>
      </c>
      <c r="M71" s="34" t="s">
        <v>1388</v>
      </c>
      <c r="N71" s="34" t="s">
        <v>1733</v>
      </c>
      <c r="O71" s="35">
        <v>1</v>
      </c>
      <c r="P71" s="35">
        <v>1</v>
      </c>
      <c r="Q71" s="32" t="s">
        <v>1987</v>
      </c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si="17"/>
        <v>1</v>
      </c>
      <c r="AE71" s="1">
        <f t="shared" si="18"/>
        <v>0</v>
      </c>
      <c r="AF71" s="1">
        <f t="shared" si="3"/>
        <v>1</v>
      </c>
      <c r="AG71" s="1">
        <f t="shared" si="4"/>
        <v>0</v>
      </c>
      <c r="AH71" s="1">
        <f t="shared" si="5"/>
        <v>1</v>
      </c>
      <c r="AI71" s="1">
        <f t="shared" si="6"/>
        <v>0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1047</v>
      </c>
      <c r="E72" s="32" t="s">
        <v>174</v>
      </c>
      <c r="F72" s="32" t="s">
        <v>1048</v>
      </c>
      <c r="G72" s="32" t="s">
        <v>628</v>
      </c>
      <c r="H72" s="32" t="s">
        <v>354</v>
      </c>
      <c r="I72" s="31" t="s">
        <v>1049</v>
      </c>
      <c r="J72" s="31">
        <v>99</v>
      </c>
      <c r="K72" s="33" t="s">
        <v>702</v>
      </c>
      <c r="L72" s="33" t="s">
        <v>39</v>
      </c>
      <c r="M72" s="34" t="s">
        <v>39</v>
      </c>
      <c r="N72" s="34" t="s">
        <v>1733</v>
      </c>
      <c r="O72" s="35">
        <v>1</v>
      </c>
      <c r="P72" s="35">
        <v>1</v>
      </c>
      <c r="Q72" s="32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ref="AD72:AD75" si="51">+O72*P72</f>
        <v>1</v>
      </c>
      <c r="AE72" s="1">
        <f t="shared" ref="AE72:AE75" si="52">O72*(1-P72)</f>
        <v>0</v>
      </c>
      <c r="AF72" s="1">
        <f t="shared" ref="AF72:AF75" si="53">+O72*P72*(1-A72)</f>
        <v>1</v>
      </c>
      <c r="AG72" s="1">
        <f t="shared" ref="AG72:AG75" si="54">O72*(1-P72)*(1-A72)</f>
        <v>0</v>
      </c>
      <c r="AH72" s="1">
        <f t="shared" ref="AH72:AH75" si="55">+P72*(1-A72)</f>
        <v>1</v>
      </c>
      <c r="AI72" s="1">
        <f t="shared" ref="AI72:AI75" si="56">+(1-A72)*(1-P72)</f>
        <v>0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2057</v>
      </c>
      <c r="E73" s="32" t="s">
        <v>1983</v>
      </c>
      <c r="F73" s="32" t="s">
        <v>2058</v>
      </c>
      <c r="G73" s="32" t="s">
        <v>285</v>
      </c>
      <c r="H73" s="32" t="s">
        <v>354</v>
      </c>
      <c r="I73" s="31" t="s">
        <v>2059</v>
      </c>
      <c r="J73" s="31">
        <v>10</v>
      </c>
      <c r="K73" s="33" t="s">
        <v>703</v>
      </c>
      <c r="L73" s="33"/>
      <c r="M73" s="34"/>
      <c r="N73" s="34" t="s">
        <v>1733</v>
      </c>
      <c r="O73" s="35">
        <v>1</v>
      </c>
      <c r="P73" s="35">
        <v>1</v>
      </c>
      <c r="Q73" s="36" t="s">
        <v>2060</v>
      </c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0</v>
      </c>
      <c r="AA73" s="1">
        <f t="shared" si="15"/>
        <v>0</v>
      </c>
      <c r="AB73" s="1">
        <f t="shared" si="16"/>
        <v>1</v>
      </c>
      <c r="AD73" s="1">
        <f t="shared" si="51"/>
        <v>1</v>
      </c>
      <c r="AE73" s="1">
        <f t="shared" si="52"/>
        <v>0</v>
      </c>
      <c r="AF73" s="1">
        <f t="shared" si="53"/>
        <v>1</v>
      </c>
      <c r="AG73" s="1">
        <f t="shared" si="54"/>
        <v>0</v>
      </c>
      <c r="AH73" s="1">
        <f t="shared" si="55"/>
        <v>1</v>
      </c>
      <c r="AI73" s="1">
        <f t="shared" si="56"/>
        <v>0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6" t="s">
        <v>2013</v>
      </c>
      <c r="E74" s="32" t="s">
        <v>175</v>
      </c>
      <c r="F74" s="36" t="s">
        <v>2014</v>
      </c>
      <c r="G74" s="36" t="s">
        <v>220</v>
      </c>
      <c r="H74" s="36" t="s">
        <v>354</v>
      </c>
      <c r="I74" s="37" t="s">
        <v>2015</v>
      </c>
      <c r="J74" s="31">
        <v>8</v>
      </c>
      <c r="K74" s="33" t="s">
        <v>703</v>
      </c>
      <c r="L74" s="33"/>
      <c r="M74" s="34"/>
      <c r="N74" s="34" t="s">
        <v>1733</v>
      </c>
      <c r="O74" s="35">
        <v>1</v>
      </c>
      <c r="P74" s="35">
        <v>1</v>
      </c>
      <c r="Q74" s="32"/>
      <c r="S74" s="1">
        <f t="shared" si="7"/>
        <v>0</v>
      </c>
      <c r="T74" s="1">
        <f t="shared" si="8"/>
        <v>0</v>
      </c>
      <c r="U74" s="1">
        <f t="shared" si="9"/>
        <v>0</v>
      </c>
      <c r="V74" s="1">
        <f t="shared" si="10"/>
        <v>0</v>
      </c>
      <c r="W74" s="1">
        <f t="shared" si="11"/>
        <v>0</v>
      </c>
      <c r="X74" s="1">
        <f t="shared" si="12"/>
        <v>0</v>
      </c>
      <c r="Y74" s="1">
        <f t="shared" si="13"/>
        <v>0</v>
      </c>
      <c r="Z74" s="1">
        <f t="shared" si="14"/>
        <v>1</v>
      </c>
      <c r="AA74" s="1">
        <f t="shared" si="15"/>
        <v>0</v>
      </c>
      <c r="AB74" s="1">
        <f t="shared" si="16"/>
        <v>0</v>
      </c>
      <c r="AD74" s="1">
        <f t="shared" si="51"/>
        <v>1</v>
      </c>
      <c r="AE74" s="1">
        <f t="shared" si="52"/>
        <v>0</v>
      </c>
      <c r="AF74" s="1">
        <f t="shared" si="53"/>
        <v>1</v>
      </c>
      <c r="AG74" s="1">
        <f t="shared" si="54"/>
        <v>0</v>
      </c>
      <c r="AH74" s="1">
        <f t="shared" si="55"/>
        <v>1</v>
      </c>
      <c r="AI74" s="1">
        <f t="shared" si="56"/>
        <v>0</v>
      </c>
    </row>
    <row r="75" spans="1:35" ht="14.25" customHeight="1" x14ac:dyDescent="0.25">
      <c r="A75" s="44">
        <v>0</v>
      </c>
      <c r="B75" s="44">
        <v>1</v>
      </c>
      <c r="C75" s="44">
        <v>2</v>
      </c>
      <c r="D75" s="45" t="s">
        <v>584</v>
      </c>
      <c r="E75" s="45" t="s">
        <v>174</v>
      </c>
      <c r="F75" s="45" t="s">
        <v>586</v>
      </c>
      <c r="G75" s="45" t="s">
        <v>39</v>
      </c>
      <c r="H75" s="45" t="s">
        <v>587</v>
      </c>
      <c r="I75" s="44" t="s">
        <v>588</v>
      </c>
      <c r="J75" s="44">
        <v>12</v>
      </c>
      <c r="K75" s="46" t="s">
        <v>960</v>
      </c>
      <c r="L75" s="46" t="s">
        <v>1712</v>
      </c>
      <c r="M75" s="47" t="s">
        <v>1379</v>
      </c>
      <c r="N75" s="47" t="s">
        <v>1738</v>
      </c>
      <c r="O75" s="48"/>
      <c r="P75" s="48"/>
      <c r="Q75" s="45"/>
      <c r="S75" s="1">
        <f t="shared" si="7"/>
        <v>0</v>
      </c>
      <c r="T75" s="1">
        <f t="shared" si="8"/>
        <v>0</v>
      </c>
      <c r="U75" s="1">
        <f t="shared" si="9"/>
        <v>0</v>
      </c>
      <c r="V75" s="1">
        <f t="shared" si="10"/>
        <v>0</v>
      </c>
      <c r="W75" s="1">
        <f t="shared" si="11"/>
        <v>0</v>
      </c>
      <c r="X75" s="1">
        <f t="shared" si="12"/>
        <v>0</v>
      </c>
      <c r="Y75" s="1">
        <f t="shared" si="13"/>
        <v>0</v>
      </c>
      <c r="Z75" s="1">
        <f t="shared" si="14"/>
        <v>0</v>
      </c>
      <c r="AA75" s="1">
        <f t="shared" si="15"/>
        <v>0</v>
      </c>
      <c r="AB75" s="1">
        <f t="shared" si="16"/>
        <v>0</v>
      </c>
      <c r="AD75" s="1">
        <f t="shared" si="51"/>
        <v>0</v>
      </c>
      <c r="AE75" s="1">
        <f t="shared" si="52"/>
        <v>0</v>
      </c>
      <c r="AF75" s="1">
        <f t="shared" si="53"/>
        <v>0</v>
      </c>
      <c r="AG75" s="1">
        <f t="shared" si="54"/>
        <v>0</v>
      </c>
      <c r="AH75" s="1">
        <f t="shared" si="55"/>
        <v>0</v>
      </c>
      <c r="AI75" s="1">
        <f t="shared" si="56"/>
        <v>1</v>
      </c>
    </row>
    <row r="76" spans="1:35" ht="14.25" customHeight="1" x14ac:dyDescent="0.25">
      <c r="A76" s="31">
        <v>0</v>
      </c>
      <c r="B76" s="31">
        <v>1</v>
      </c>
      <c r="C76" s="31">
        <v>2</v>
      </c>
      <c r="D76" s="32" t="s">
        <v>1842</v>
      </c>
      <c r="E76" s="32" t="s">
        <v>174</v>
      </c>
      <c r="F76" s="32" t="s">
        <v>1843</v>
      </c>
      <c r="G76" s="32"/>
      <c r="H76" s="32" t="s">
        <v>1844</v>
      </c>
      <c r="I76" s="31" t="s">
        <v>1845</v>
      </c>
      <c r="J76" s="31">
        <v>14</v>
      </c>
      <c r="K76" s="33" t="s">
        <v>703</v>
      </c>
      <c r="L76" s="33">
        <v>75</v>
      </c>
      <c r="M76" s="34" t="s">
        <v>971</v>
      </c>
      <c r="N76" s="34" t="s">
        <v>1743</v>
      </c>
      <c r="O76" s="35">
        <v>1</v>
      </c>
      <c r="P76" s="35"/>
      <c r="Q76" s="32"/>
      <c r="S76" s="1">
        <f t="shared" ref="S76:S77" si="57">IF(J76=$S$7,1,0)</f>
        <v>0</v>
      </c>
      <c r="T76" s="1">
        <f t="shared" ref="T76:T77" si="58">IF(J76=$T$7,1,0)</f>
        <v>0</v>
      </c>
      <c r="U76" s="1">
        <f t="shared" ref="U76:U77" si="59">IF(J76=$U$7,1,0)</f>
        <v>0</v>
      </c>
      <c r="V76" s="1">
        <f t="shared" ref="V76:V77" si="60">IF(J76=$V$7,1,0)</f>
        <v>0</v>
      </c>
      <c r="W76" s="1">
        <f t="shared" ref="W76:W77" si="61">IF(J76=$W$7,1,0)</f>
        <v>0</v>
      </c>
      <c r="X76" s="1">
        <f t="shared" ref="X76:X77" si="62">IF(J76=$X$7,1,0)</f>
        <v>0</v>
      </c>
      <c r="Y76" s="1">
        <f t="shared" ref="Y76:Y77" si="63">IF(J76=$Y$7,1,0)</f>
        <v>0</v>
      </c>
      <c r="Z76" s="1">
        <f t="shared" ref="Z76:Z77" si="64">IF(J76=$Z$7,1,0)</f>
        <v>0</v>
      </c>
      <c r="AA76" s="1">
        <f t="shared" ref="AA76:AA77" si="65">IF(J76=$AA$7,1,0)</f>
        <v>0</v>
      </c>
      <c r="AB76" s="1">
        <f t="shared" ref="AB76:AB77" si="66">IF(J76=$AB$7,1,0)</f>
        <v>0</v>
      </c>
      <c r="AD76" s="1">
        <f t="shared" ref="AD76:AD77" si="67">+O76*P76</f>
        <v>0</v>
      </c>
      <c r="AE76" s="1">
        <f t="shared" ref="AE76:AE77" si="68">O76*(1-P76)</f>
        <v>1</v>
      </c>
      <c r="AF76" s="1">
        <f t="shared" ref="AF76:AF139" si="69">+O76*P76*(1-A76)</f>
        <v>0</v>
      </c>
      <c r="AG76" s="1">
        <f t="shared" ref="AG76:AG139" si="70">O76*(1-P76)*(1-A76)</f>
        <v>1</v>
      </c>
      <c r="AH76" s="1">
        <f t="shared" ref="AH76:AH139" si="71">+P76*(1-A76)</f>
        <v>0</v>
      </c>
      <c r="AI76" s="1">
        <f t="shared" ref="AI76:AI139" si="72">+(1-A76)*(1-P76)</f>
        <v>1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6" t="s">
        <v>1724</v>
      </c>
      <c r="E77" s="32" t="s">
        <v>175</v>
      </c>
      <c r="F77" s="36" t="s">
        <v>1725</v>
      </c>
      <c r="G77" s="36" t="s">
        <v>207</v>
      </c>
      <c r="H77" s="36" t="s">
        <v>354</v>
      </c>
      <c r="I77" s="37" t="s">
        <v>1726</v>
      </c>
      <c r="J77" s="31">
        <v>99</v>
      </c>
      <c r="K77" s="33" t="s">
        <v>703</v>
      </c>
      <c r="L77" s="33"/>
      <c r="M77" s="34"/>
      <c r="N77" s="34" t="s">
        <v>1727</v>
      </c>
      <c r="O77" s="35">
        <v>1</v>
      </c>
      <c r="P77" s="35">
        <v>1</v>
      </c>
      <c r="Q77" s="36"/>
      <c r="S77" s="1">
        <f t="shared" si="57"/>
        <v>0</v>
      </c>
      <c r="T77" s="1">
        <f t="shared" si="58"/>
        <v>0</v>
      </c>
      <c r="U77" s="1">
        <f t="shared" si="59"/>
        <v>0</v>
      </c>
      <c r="V77" s="1">
        <f t="shared" si="60"/>
        <v>0</v>
      </c>
      <c r="W77" s="1">
        <f t="shared" si="61"/>
        <v>0</v>
      </c>
      <c r="X77" s="1">
        <f t="shared" si="62"/>
        <v>0</v>
      </c>
      <c r="Y77" s="1">
        <f t="shared" si="63"/>
        <v>0</v>
      </c>
      <c r="Z77" s="1">
        <f t="shared" si="64"/>
        <v>0</v>
      </c>
      <c r="AA77" s="1">
        <f t="shared" si="65"/>
        <v>0</v>
      </c>
      <c r="AB77" s="1">
        <f t="shared" si="66"/>
        <v>0</v>
      </c>
      <c r="AD77" s="1">
        <f t="shared" si="67"/>
        <v>1</v>
      </c>
      <c r="AE77" s="1">
        <f t="shared" si="68"/>
        <v>0</v>
      </c>
      <c r="AF77" s="1">
        <f t="shared" si="69"/>
        <v>1</v>
      </c>
      <c r="AG77" s="1">
        <f t="shared" si="70"/>
        <v>0</v>
      </c>
      <c r="AH77" s="1">
        <f t="shared" si="71"/>
        <v>1</v>
      </c>
      <c r="AI77" s="1">
        <f t="shared" si="72"/>
        <v>0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6" t="s">
        <v>1058</v>
      </c>
      <c r="E78" s="32" t="s">
        <v>175</v>
      </c>
      <c r="F78" s="36" t="s">
        <v>1097</v>
      </c>
      <c r="G78" s="36" t="s">
        <v>39</v>
      </c>
      <c r="H78" s="36" t="s">
        <v>1059</v>
      </c>
      <c r="I78" s="37" t="s">
        <v>1161</v>
      </c>
      <c r="J78" s="31">
        <v>13</v>
      </c>
      <c r="K78" s="33" t="s">
        <v>702</v>
      </c>
      <c r="L78" s="33" t="s">
        <v>689</v>
      </c>
      <c r="M78" s="34" t="s">
        <v>1441</v>
      </c>
      <c r="N78" s="34" t="s">
        <v>1749</v>
      </c>
      <c r="O78" s="35">
        <v>1</v>
      </c>
      <c r="P78" s="35"/>
      <c r="Q78" s="36"/>
      <c r="S78" s="1">
        <f t="shared" ref="S78:S144" si="73">IF(J78=$S$7,1,0)</f>
        <v>0</v>
      </c>
      <c r="T78" s="1">
        <f t="shared" ref="T78:T144" si="74">IF(J78=$T$7,1,0)</f>
        <v>0</v>
      </c>
      <c r="U78" s="1">
        <f t="shared" ref="U78:U144" si="75">IF(J78=$U$7,1,0)</f>
        <v>0</v>
      </c>
      <c r="V78" s="1">
        <f t="shared" ref="V78:V144" si="76">IF(J78=$V$7,1,0)</f>
        <v>0</v>
      </c>
      <c r="W78" s="1">
        <f t="shared" ref="W78:W144" si="77">IF(J78=$W$7,1,0)</f>
        <v>0</v>
      </c>
      <c r="X78" s="1">
        <f t="shared" ref="X78:X144" si="78">IF(J78=$X$7,1,0)</f>
        <v>0</v>
      </c>
      <c r="Y78" s="1">
        <f t="shared" ref="Y78:Y144" si="79">IF(J78=$Y$7,1,0)</f>
        <v>0</v>
      </c>
      <c r="Z78" s="1">
        <f t="shared" ref="Z78:Z144" si="80">IF(J78=$Z$7,1,0)</f>
        <v>0</v>
      </c>
      <c r="AA78" s="1">
        <f t="shared" ref="AA78:AA144" si="81">IF(J78=$AA$7,1,0)</f>
        <v>0</v>
      </c>
      <c r="AB78" s="1">
        <f t="shared" ref="AB78:AB144" si="82">IF(J78=$AB$7,1,0)</f>
        <v>0</v>
      </c>
      <c r="AD78" s="1">
        <f t="shared" ref="AD78:AD144" si="83">+O78*P78</f>
        <v>0</v>
      </c>
      <c r="AE78" s="1">
        <f t="shared" ref="AE78:AE144" si="84">O78*(1-P78)</f>
        <v>1</v>
      </c>
      <c r="AF78" s="1">
        <f t="shared" si="69"/>
        <v>0</v>
      </c>
      <c r="AG78" s="1">
        <f t="shared" si="70"/>
        <v>1</v>
      </c>
      <c r="AH78" s="1">
        <f t="shared" si="71"/>
        <v>0</v>
      </c>
      <c r="AI78" s="1">
        <f t="shared" si="72"/>
        <v>1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6" t="s">
        <v>1595</v>
      </c>
      <c r="E79" s="32" t="s">
        <v>175</v>
      </c>
      <c r="F79" s="36" t="s">
        <v>1596</v>
      </c>
      <c r="G79" s="36" t="s">
        <v>235</v>
      </c>
      <c r="H79" s="36" t="s">
        <v>354</v>
      </c>
      <c r="I79" s="37" t="s">
        <v>1597</v>
      </c>
      <c r="J79" s="31">
        <v>99</v>
      </c>
      <c r="K79" s="33" t="s">
        <v>956</v>
      </c>
      <c r="L79" s="33">
        <v>45</v>
      </c>
      <c r="M79" s="34" t="s">
        <v>39</v>
      </c>
      <c r="N79" s="34" t="s">
        <v>1789</v>
      </c>
      <c r="O79" s="35">
        <v>1</v>
      </c>
      <c r="P79" s="35"/>
      <c r="Q79" s="36"/>
      <c r="S79" s="1">
        <f t="shared" si="73"/>
        <v>0</v>
      </c>
      <c r="T79" s="1">
        <f t="shared" si="74"/>
        <v>0</v>
      </c>
      <c r="U79" s="1">
        <f t="shared" si="75"/>
        <v>0</v>
      </c>
      <c r="V79" s="1">
        <f t="shared" si="76"/>
        <v>0</v>
      </c>
      <c r="W79" s="1">
        <f t="shared" si="77"/>
        <v>0</v>
      </c>
      <c r="X79" s="1">
        <f t="shared" si="78"/>
        <v>0</v>
      </c>
      <c r="Y79" s="1">
        <f t="shared" si="79"/>
        <v>0</v>
      </c>
      <c r="Z79" s="1">
        <f t="shared" si="80"/>
        <v>0</v>
      </c>
      <c r="AA79" s="1">
        <f t="shared" si="81"/>
        <v>0</v>
      </c>
      <c r="AB79" s="1">
        <f t="shared" si="82"/>
        <v>0</v>
      </c>
      <c r="AD79" s="1">
        <f t="shared" si="83"/>
        <v>0</v>
      </c>
      <c r="AE79" s="1">
        <f t="shared" si="84"/>
        <v>1</v>
      </c>
      <c r="AF79" s="1">
        <f t="shared" si="69"/>
        <v>0</v>
      </c>
      <c r="AG79" s="1">
        <f t="shared" si="70"/>
        <v>1</v>
      </c>
      <c r="AH79" s="1">
        <f t="shared" si="71"/>
        <v>0</v>
      </c>
      <c r="AI79" s="1">
        <f t="shared" si="72"/>
        <v>1</v>
      </c>
    </row>
    <row r="80" spans="1:35" ht="14.25" customHeight="1" x14ac:dyDescent="0.25">
      <c r="A80" s="38">
        <v>0</v>
      </c>
      <c r="B80" s="38">
        <v>1</v>
      </c>
      <c r="C80" s="38">
        <v>2</v>
      </c>
      <c r="D80" s="54" t="s">
        <v>1325</v>
      </c>
      <c r="E80" s="39" t="s">
        <v>174</v>
      </c>
      <c r="F80" s="39" t="s">
        <v>1268</v>
      </c>
      <c r="G80" s="39" t="s">
        <v>207</v>
      </c>
      <c r="H80" s="39" t="s">
        <v>354</v>
      </c>
      <c r="I80" s="38" t="s">
        <v>1269</v>
      </c>
      <c r="J80" s="38">
        <v>99</v>
      </c>
      <c r="K80" s="40" t="s">
        <v>962</v>
      </c>
      <c r="L80" s="40" t="s">
        <v>39</v>
      </c>
      <c r="M80" s="41" t="s">
        <v>39</v>
      </c>
      <c r="N80" s="42"/>
      <c r="O80" s="43"/>
      <c r="P80" s="43">
        <v>1</v>
      </c>
      <c r="Q80" s="39"/>
      <c r="S80" s="1">
        <f t="shared" si="73"/>
        <v>0</v>
      </c>
      <c r="T80" s="1">
        <f t="shared" si="74"/>
        <v>0</v>
      </c>
      <c r="U80" s="1">
        <f t="shared" si="75"/>
        <v>0</v>
      </c>
      <c r="V80" s="1">
        <f t="shared" si="76"/>
        <v>0</v>
      </c>
      <c r="W80" s="1">
        <f t="shared" si="77"/>
        <v>0</v>
      </c>
      <c r="X80" s="1">
        <f t="shared" si="78"/>
        <v>0</v>
      </c>
      <c r="Y80" s="1">
        <f t="shared" si="79"/>
        <v>0</v>
      </c>
      <c r="Z80" s="1">
        <f t="shared" si="80"/>
        <v>0</v>
      </c>
      <c r="AA80" s="1">
        <f t="shared" si="81"/>
        <v>0</v>
      </c>
      <c r="AB80" s="1">
        <f t="shared" si="82"/>
        <v>0</v>
      </c>
      <c r="AD80" s="1">
        <f t="shared" si="83"/>
        <v>0</v>
      </c>
      <c r="AE80" s="1">
        <f t="shared" si="84"/>
        <v>0</v>
      </c>
      <c r="AF80" s="1">
        <f t="shared" si="69"/>
        <v>0</v>
      </c>
      <c r="AG80" s="1">
        <f t="shared" si="70"/>
        <v>0</v>
      </c>
      <c r="AH80" s="1">
        <f t="shared" si="71"/>
        <v>1</v>
      </c>
      <c r="AI80" s="1">
        <f t="shared" si="72"/>
        <v>0</v>
      </c>
    </row>
    <row r="81" spans="1:35" ht="14.25" customHeight="1" x14ac:dyDescent="0.25">
      <c r="A81" s="31">
        <v>0</v>
      </c>
      <c r="B81" s="31">
        <v>1</v>
      </c>
      <c r="C81" s="31">
        <v>3</v>
      </c>
      <c r="D81" s="36" t="s">
        <v>1799</v>
      </c>
      <c r="E81" s="32" t="s">
        <v>170</v>
      </c>
      <c r="F81" s="36" t="s">
        <v>1797</v>
      </c>
      <c r="G81" s="36" t="s">
        <v>232</v>
      </c>
      <c r="H81" s="36" t="s">
        <v>354</v>
      </c>
      <c r="I81" s="37" t="s">
        <v>1798</v>
      </c>
      <c r="J81" s="31">
        <v>99</v>
      </c>
      <c r="K81" s="33" t="s">
        <v>703</v>
      </c>
      <c r="L81" s="33"/>
      <c r="M81" s="34"/>
      <c r="N81" s="34" t="s">
        <v>1727</v>
      </c>
      <c r="O81" s="35">
        <v>1</v>
      </c>
      <c r="P81" s="35">
        <v>1</v>
      </c>
      <c r="Q81" s="36"/>
      <c r="S81" s="1">
        <f t="shared" si="73"/>
        <v>0</v>
      </c>
      <c r="T81" s="1">
        <f t="shared" si="74"/>
        <v>0</v>
      </c>
      <c r="U81" s="1">
        <f t="shared" si="75"/>
        <v>0</v>
      </c>
      <c r="V81" s="1">
        <f t="shared" si="76"/>
        <v>0</v>
      </c>
      <c r="W81" s="1">
        <f t="shared" si="77"/>
        <v>0</v>
      </c>
      <c r="X81" s="1">
        <f t="shared" si="78"/>
        <v>0</v>
      </c>
      <c r="Y81" s="1">
        <f t="shared" si="79"/>
        <v>0</v>
      </c>
      <c r="Z81" s="1">
        <f t="shared" si="80"/>
        <v>0</v>
      </c>
      <c r="AA81" s="1">
        <f t="shared" si="81"/>
        <v>0</v>
      </c>
      <c r="AB81" s="1">
        <f t="shared" si="82"/>
        <v>0</v>
      </c>
      <c r="AD81" s="1">
        <f t="shared" si="83"/>
        <v>1</v>
      </c>
      <c r="AE81" s="1">
        <f t="shared" si="84"/>
        <v>0</v>
      </c>
      <c r="AF81" s="1">
        <f t="shared" si="69"/>
        <v>1</v>
      </c>
      <c r="AG81" s="1">
        <f t="shared" si="70"/>
        <v>0</v>
      </c>
      <c r="AH81" s="1">
        <f t="shared" si="71"/>
        <v>1</v>
      </c>
      <c r="AI81" s="1">
        <f t="shared" si="72"/>
        <v>0</v>
      </c>
    </row>
    <row r="82" spans="1:35" ht="14.25" customHeight="1" x14ac:dyDescent="0.25">
      <c r="A82" s="31">
        <v>0</v>
      </c>
      <c r="B82" s="31">
        <v>1</v>
      </c>
      <c r="C82" s="31">
        <v>3</v>
      </c>
      <c r="D82" s="36" t="s">
        <v>1158</v>
      </c>
      <c r="E82" s="32" t="s">
        <v>170</v>
      </c>
      <c r="F82" s="36" t="s">
        <v>1159</v>
      </c>
      <c r="G82" s="36" t="s">
        <v>39</v>
      </c>
      <c r="H82" s="36" t="s">
        <v>1359</v>
      </c>
      <c r="I82" s="37" t="s">
        <v>1160</v>
      </c>
      <c r="J82" s="31">
        <v>11</v>
      </c>
      <c r="K82" s="33" t="s">
        <v>702</v>
      </c>
      <c r="L82" s="33" t="s">
        <v>1699</v>
      </c>
      <c r="M82" s="34" t="s">
        <v>1389</v>
      </c>
      <c r="N82" s="34" t="s">
        <v>1749</v>
      </c>
      <c r="O82" s="35">
        <v>1</v>
      </c>
      <c r="P82" s="35"/>
      <c r="Q82" s="36"/>
      <c r="S82" s="1">
        <f t="shared" si="73"/>
        <v>0</v>
      </c>
      <c r="T82" s="1">
        <f t="shared" si="74"/>
        <v>0</v>
      </c>
      <c r="U82" s="1">
        <f t="shared" si="75"/>
        <v>0</v>
      </c>
      <c r="V82" s="1">
        <f t="shared" si="76"/>
        <v>0</v>
      </c>
      <c r="W82" s="1">
        <f t="shared" si="77"/>
        <v>0</v>
      </c>
      <c r="X82" s="1">
        <f t="shared" si="78"/>
        <v>0</v>
      </c>
      <c r="Y82" s="1">
        <f t="shared" si="79"/>
        <v>0</v>
      </c>
      <c r="Z82" s="1">
        <f t="shared" si="80"/>
        <v>0</v>
      </c>
      <c r="AA82" s="1">
        <f t="shared" si="81"/>
        <v>0</v>
      </c>
      <c r="AB82" s="1">
        <f t="shared" si="82"/>
        <v>0</v>
      </c>
      <c r="AD82" s="1">
        <f t="shared" si="83"/>
        <v>0</v>
      </c>
      <c r="AE82" s="1">
        <f t="shared" si="84"/>
        <v>1</v>
      </c>
      <c r="AF82" s="1">
        <f t="shared" si="69"/>
        <v>0</v>
      </c>
      <c r="AG82" s="1">
        <f t="shared" si="70"/>
        <v>1</v>
      </c>
      <c r="AH82" s="1">
        <f t="shared" si="71"/>
        <v>0</v>
      </c>
      <c r="AI82" s="1">
        <f t="shared" si="72"/>
        <v>1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124</v>
      </c>
      <c r="E83" s="32" t="s">
        <v>170</v>
      </c>
      <c r="F83" s="36" t="s">
        <v>576</v>
      </c>
      <c r="G83" s="36" t="s">
        <v>39</v>
      </c>
      <c r="H83" s="36" t="s">
        <v>373</v>
      </c>
      <c r="I83" s="37" t="s">
        <v>471</v>
      </c>
      <c r="J83" s="31">
        <v>18</v>
      </c>
      <c r="K83" s="33" t="s">
        <v>703</v>
      </c>
      <c r="L83" s="33" t="s">
        <v>695</v>
      </c>
      <c r="M83" s="34" t="s">
        <v>691</v>
      </c>
      <c r="N83" s="34" t="s">
        <v>1825</v>
      </c>
      <c r="O83" s="35">
        <v>1</v>
      </c>
      <c r="P83" s="35"/>
      <c r="Q83" s="36" t="s">
        <v>1882</v>
      </c>
      <c r="S83" s="1">
        <f t="shared" si="73"/>
        <v>0</v>
      </c>
      <c r="T83" s="1">
        <f t="shared" si="74"/>
        <v>0</v>
      </c>
      <c r="U83" s="1">
        <f t="shared" si="75"/>
        <v>0</v>
      </c>
      <c r="V83" s="1">
        <f t="shared" si="76"/>
        <v>0</v>
      </c>
      <c r="W83" s="1">
        <f t="shared" si="77"/>
        <v>0</v>
      </c>
      <c r="X83" s="1">
        <f t="shared" si="78"/>
        <v>0</v>
      </c>
      <c r="Y83" s="1">
        <f t="shared" si="79"/>
        <v>0</v>
      </c>
      <c r="Z83" s="1">
        <f t="shared" si="80"/>
        <v>0</v>
      </c>
      <c r="AA83" s="1">
        <f t="shared" si="81"/>
        <v>0</v>
      </c>
      <c r="AB83" s="1">
        <f t="shared" si="82"/>
        <v>0</v>
      </c>
      <c r="AD83" s="1">
        <f t="shared" si="83"/>
        <v>0</v>
      </c>
      <c r="AE83" s="1">
        <f t="shared" si="84"/>
        <v>1</v>
      </c>
      <c r="AF83" s="1">
        <f t="shared" si="69"/>
        <v>0</v>
      </c>
      <c r="AG83" s="1">
        <f t="shared" si="70"/>
        <v>1</v>
      </c>
      <c r="AH83" s="1">
        <f t="shared" si="71"/>
        <v>0</v>
      </c>
      <c r="AI83" s="1">
        <f t="shared" si="72"/>
        <v>1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1010</v>
      </c>
      <c r="E84" s="32" t="s">
        <v>172</v>
      </c>
      <c r="F84" s="36" t="s">
        <v>1011</v>
      </c>
      <c r="G84" s="36" t="s">
        <v>1012</v>
      </c>
      <c r="H84" s="36" t="s">
        <v>354</v>
      </c>
      <c r="I84" s="37" t="s">
        <v>1013</v>
      </c>
      <c r="J84" s="31">
        <v>99</v>
      </c>
      <c r="K84" s="33" t="s">
        <v>956</v>
      </c>
      <c r="L84" s="33" t="s">
        <v>39</v>
      </c>
      <c r="M84" s="34" t="s">
        <v>39</v>
      </c>
      <c r="N84" s="34" t="s">
        <v>1733</v>
      </c>
      <c r="O84" s="35">
        <v>1</v>
      </c>
      <c r="P84" s="35">
        <v>1</v>
      </c>
      <c r="Q84" s="36"/>
      <c r="S84" s="1">
        <f t="shared" si="73"/>
        <v>0</v>
      </c>
      <c r="T84" s="1">
        <f t="shared" si="74"/>
        <v>0</v>
      </c>
      <c r="U84" s="1">
        <f t="shared" si="75"/>
        <v>0</v>
      </c>
      <c r="V84" s="1">
        <f t="shared" si="76"/>
        <v>0</v>
      </c>
      <c r="W84" s="1">
        <f t="shared" si="77"/>
        <v>0</v>
      </c>
      <c r="X84" s="1">
        <f t="shared" si="78"/>
        <v>0</v>
      </c>
      <c r="Y84" s="1">
        <f t="shared" si="79"/>
        <v>0</v>
      </c>
      <c r="Z84" s="1">
        <f t="shared" si="80"/>
        <v>0</v>
      </c>
      <c r="AA84" s="1">
        <f t="shared" si="81"/>
        <v>0</v>
      </c>
      <c r="AB84" s="1">
        <f t="shared" si="82"/>
        <v>0</v>
      </c>
      <c r="AD84" s="1">
        <f t="shared" si="83"/>
        <v>1</v>
      </c>
      <c r="AE84" s="1">
        <f t="shared" si="84"/>
        <v>0</v>
      </c>
      <c r="AF84" s="1">
        <f t="shared" si="69"/>
        <v>1</v>
      </c>
      <c r="AG84" s="1">
        <f t="shared" si="70"/>
        <v>0</v>
      </c>
      <c r="AH84" s="1">
        <f t="shared" si="71"/>
        <v>1</v>
      </c>
      <c r="AI84" s="1">
        <f t="shared" si="72"/>
        <v>0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143</v>
      </c>
      <c r="E85" s="32" t="s">
        <v>175</v>
      </c>
      <c r="F85" s="36" t="s">
        <v>344</v>
      </c>
      <c r="G85" s="36" t="s">
        <v>345</v>
      </c>
      <c r="H85" s="36" t="s">
        <v>354</v>
      </c>
      <c r="I85" s="37" t="s">
        <v>491</v>
      </c>
      <c r="J85" s="31">
        <v>6</v>
      </c>
      <c r="K85" s="33" t="s">
        <v>957</v>
      </c>
      <c r="L85" s="33" t="s">
        <v>687</v>
      </c>
      <c r="M85" s="34" t="s">
        <v>691</v>
      </c>
      <c r="N85" s="34" t="s">
        <v>1743</v>
      </c>
      <c r="O85" s="35">
        <v>1</v>
      </c>
      <c r="P85" s="35"/>
      <c r="Q85" s="36"/>
      <c r="S85" s="1">
        <f t="shared" si="73"/>
        <v>0</v>
      </c>
      <c r="T85" s="1">
        <f t="shared" si="74"/>
        <v>0</v>
      </c>
      <c r="U85" s="1">
        <f t="shared" si="75"/>
        <v>0</v>
      </c>
      <c r="V85" s="1">
        <f t="shared" si="76"/>
        <v>0</v>
      </c>
      <c r="W85" s="1">
        <f t="shared" si="77"/>
        <v>0</v>
      </c>
      <c r="X85" s="1">
        <f t="shared" si="78"/>
        <v>1</v>
      </c>
      <c r="Y85" s="1">
        <f t="shared" si="79"/>
        <v>0</v>
      </c>
      <c r="Z85" s="1">
        <f t="shared" si="80"/>
        <v>0</v>
      </c>
      <c r="AA85" s="1">
        <f t="shared" si="81"/>
        <v>0</v>
      </c>
      <c r="AB85" s="1">
        <f t="shared" si="82"/>
        <v>0</v>
      </c>
      <c r="AD85" s="1">
        <f t="shared" si="83"/>
        <v>0</v>
      </c>
      <c r="AE85" s="1">
        <f t="shared" si="84"/>
        <v>1</v>
      </c>
      <c r="AF85" s="1">
        <f t="shared" si="69"/>
        <v>0</v>
      </c>
      <c r="AG85" s="1">
        <f t="shared" si="70"/>
        <v>1</v>
      </c>
      <c r="AH85" s="1">
        <f t="shared" si="71"/>
        <v>0</v>
      </c>
      <c r="AI85" s="1">
        <f t="shared" si="72"/>
        <v>1</v>
      </c>
    </row>
    <row r="86" spans="1:35" ht="14.25" customHeight="1" x14ac:dyDescent="0.25">
      <c r="A86" s="15">
        <v>0</v>
      </c>
      <c r="B86" s="15">
        <v>1</v>
      </c>
      <c r="C86" s="15">
        <v>3</v>
      </c>
      <c r="D86" s="16" t="s">
        <v>1786</v>
      </c>
      <c r="E86" s="16" t="s">
        <v>172</v>
      </c>
      <c r="F86" s="16" t="s">
        <v>1788</v>
      </c>
      <c r="G86" s="16"/>
      <c r="H86" s="16" t="s">
        <v>364</v>
      </c>
      <c r="I86" s="15" t="s">
        <v>1787</v>
      </c>
      <c r="J86" s="15">
        <v>17</v>
      </c>
      <c r="K86" s="10" t="s">
        <v>703</v>
      </c>
      <c r="L86" s="10" t="s">
        <v>1742</v>
      </c>
      <c r="M86" s="19" t="s">
        <v>691</v>
      </c>
      <c r="N86" s="17"/>
      <c r="Q86" s="20" t="s">
        <v>1914</v>
      </c>
      <c r="S86" s="1">
        <f t="shared" si="73"/>
        <v>0</v>
      </c>
      <c r="T86" s="1">
        <f t="shared" si="74"/>
        <v>0</v>
      </c>
      <c r="U86" s="1">
        <f t="shared" si="75"/>
        <v>0</v>
      </c>
      <c r="V86" s="1">
        <f t="shared" si="76"/>
        <v>0</v>
      </c>
      <c r="W86" s="1">
        <f t="shared" si="77"/>
        <v>0</v>
      </c>
      <c r="X86" s="1">
        <f t="shared" si="78"/>
        <v>0</v>
      </c>
      <c r="Y86" s="1">
        <f t="shared" si="79"/>
        <v>0</v>
      </c>
      <c r="Z86" s="1">
        <f t="shared" si="80"/>
        <v>0</v>
      </c>
      <c r="AA86" s="1">
        <f t="shared" si="81"/>
        <v>0</v>
      </c>
      <c r="AB86" s="1">
        <f t="shared" si="82"/>
        <v>0</v>
      </c>
      <c r="AD86" s="1">
        <f t="shared" si="83"/>
        <v>0</v>
      </c>
      <c r="AE86" s="1">
        <f t="shared" si="84"/>
        <v>0</v>
      </c>
      <c r="AF86" s="1">
        <f t="shared" si="69"/>
        <v>0</v>
      </c>
      <c r="AG86" s="1">
        <f t="shared" si="70"/>
        <v>0</v>
      </c>
      <c r="AH86" s="1">
        <f t="shared" si="71"/>
        <v>0</v>
      </c>
      <c r="AI86" s="1">
        <f t="shared" si="72"/>
        <v>1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2" t="s">
        <v>1810</v>
      </c>
      <c r="E87" s="32" t="s">
        <v>172</v>
      </c>
      <c r="F87" s="32" t="s">
        <v>1811</v>
      </c>
      <c r="G87" s="32" t="s">
        <v>1812</v>
      </c>
      <c r="H87" s="32" t="s">
        <v>354</v>
      </c>
      <c r="I87" s="31" t="s">
        <v>1813</v>
      </c>
      <c r="J87" s="31">
        <v>1</v>
      </c>
      <c r="K87" s="33" t="s">
        <v>703</v>
      </c>
      <c r="L87" s="33">
        <v>60</v>
      </c>
      <c r="M87" s="34" t="s">
        <v>1814</v>
      </c>
      <c r="N87" s="34" t="s">
        <v>1849</v>
      </c>
      <c r="O87" s="35">
        <v>1</v>
      </c>
      <c r="P87" s="35"/>
      <c r="Q87" s="32"/>
      <c r="S87" s="1">
        <f t="shared" si="73"/>
        <v>1</v>
      </c>
      <c r="T87" s="1">
        <f t="shared" si="74"/>
        <v>0</v>
      </c>
      <c r="U87" s="1">
        <f t="shared" si="75"/>
        <v>0</v>
      </c>
      <c r="V87" s="1">
        <f t="shared" si="76"/>
        <v>0</v>
      </c>
      <c r="W87" s="1">
        <f t="shared" si="77"/>
        <v>0</v>
      </c>
      <c r="X87" s="1">
        <f t="shared" si="78"/>
        <v>0</v>
      </c>
      <c r="Y87" s="1">
        <f t="shared" si="79"/>
        <v>0</v>
      </c>
      <c r="Z87" s="1">
        <f t="shared" si="80"/>
        <v>0</v>
      </c>
      <c r="AA87" s="1">
        <f t="shared" si="81"/>
        <v>0</v>
      </c>
      <c r="AB87" s="1">
        <f t="shared" si="82"/>
        <v>0</v>
      </c>
      <c r="AD87" s="1">
        <f t="shared" si="83"/>
        <v>0</v>
      </c>
      <c r="AE87" s="1">
        <f t="shared" si="84"/>
        <v>1</v>
      </c>
      <c r="AF87" s="1">
        <f t="shared" si="69"/>
        <v>0</v>
      </c>
      <c r="AG87" s="1">
        <f t="shared" si="70"/>
        <v>1</v>
      </c>
      <c r="AH87" s="1">
        <f t="shared" si="71"/>
        <v>0</v>
      </c>
      <c r="AI87" s="1">
        <f t="shared" si="72"/>
        <v>1</v>
      </c>
    </row>
    <row r="88" spans="1:35" ht="14.25" customHeight="1" x14ac:dyDescent="0.25">
      <c r="A88" s="31">
        <v>0</v>
      </c>
      <c r="B88" s="31">
        <v>1</v>
      </c>
      <c r="C88" s="31">
        <v>3</v>
      </c>
      <c r="D88" s="36" t="s">
        <v>2067</v>
      </c>
      <c r="E88" s="36" t="s">
        <v>176</v>
      </c>
      <c r="F88" s="36" t="s">
        <v>2065</v>
      </c>
      <c r="G88" s="36" t="s">
        <v>220</v>
      </c>
      <c r="H88" s="36" t="s">
        <v>354</v>
      </c>
      <c r="I88" s="37" t="s">
        <v>2066</v>
      </c>
      <c r="J88" s="31">
        <v>8</v>
      </c>
      <c r="K88" s="33" t="s">
        <v>703</v>
      </c>
      <c r="L88" s="33"/>
      <c r="M88" s="34"/>
      <c r="N88" s="34" t="s">
        <v>1733</v>
      </c>
      <c r="O88" s="35">
        <v>1</v>
      </c>
      <c r="P88" s="35">
        <v>1</v>
      </c>
      <c r="Q88" s="36"/>
      <c r="S88" s="1">
        <f t="shared" si="73"/>
        <v>0</v>
      </c>
      <c r="T88" s="1">
        <f t="shared" si="74"/>
        <v>0</v>
      </c>
      <c r="U88" s="1">
        <f t="shared" si="75"/>
        <v>0</v>
      </c>
      <c r="V88" s="1">
        <f t="shared" si="76"/>
        <v>0</v>
      </c>
      <c r="W88" s="1">
        <f t="shared" si="77"/>
        <v>0</v>
      </c>
      <c r="X88" s="1">
        <f t="shared" si="78"/>
        <v>0</v>
      </c>
      <c r="Y88" s="1">
        <f t="shared" si="79"/>
        <v>0</v>
      </c>
      <c r="Z88" s="1">
        <f t="shared" si="80"/>
        <v>1</v>
      </c>
      <c r="AA88" s="1">
        <f t="shared" si="81"/>
        <v>0</v>
      </c>
      <c r="AB88" s="1">
        <f t="shared" si="82"/>
        <v>0</v>
      </c>
      <c r="AD88" s="1">
        <f t="shared" si="83"/>
        <v>1</v>
      </c>
      <c r="AE88" s="1">
        <f t="shared" si="84"/>
        <v>0</v>
      </c>
      <c r="AF88" s="1">
        <f t="shared" si="69"/>
        <v>1</v>
      </c>
      <c r="AG88" s="1">
        <f t="shared" si="70"/>
        <v>0</v>
      </c>
      <c r="AH88" s="1">
        <f t="shared" si="71"/>
        <v>1</v>
      </c>
      <c r="AI88" s="1">
        <f t="shared" si="72"/>
        <v>0</v>
      </c>
    </row>
    <row r="89" spans="1:35" ht="14.25" customHeight="1" x14ac:dyDescent="0.25">
      <c r="A89" s="31">
        <v>0</v>
      </c>
      <c r="B89" s="31">
        <v>1</v>
      </c>
      <c r="C89" s="31">
        <v>3</v>
      </c>
      <c r="D89" s="36" t="s">
        <v>1598</v>
      </c>
      <c r="E89" s="32" t="s">
        <v>175</v>
      </c>
      <c r="F89" s="36" t="s">
        <v>319</v>
      </c>
      <c r="G89" s="36" t="s">
        <v>269</v>
      </c>
      <c r="H89" s="36" t="s">
        <v>354</v>
      </c>
      <c r="I89" s="37" t="s">
        <v>466</v>
      </c>
      <c r="J89" s="31">
        <v>8</v>
      </c>
      <c r="K89" s="33" t="s">
        <v>702</v>
      </c>
      <c r="L89" s="33" t="s">
        <v>689</v>
      </c>
      <c r="M89" s="34" t="s">
        <v>691</v>
      </c>
      <c r="N89" s="34" t="s">
        <v>1755</v>
      </c>
      <c r="O89" s="35">
        <v>1</v>
      </c>
      <c r="P89" s="35"/>
      <c r="Q89" s="36"/>
      <c r="S89" s="1">
        <f t="shared" si="73"/>
        <v>0</v>
      </c>
      <c r="T89" s="1">
        <f t="shared" si="74"/>
        <v>0</v>
      </c>
      <c r="U89" s="1">
        <f t="shared" si="75"/>
        <v>0</v>
      </c>
      <c r="V89" s="1">
        <f t="shared" si="76"/>
        <v>0</v>
      </c>
      <c r="W89" s="1">
        <f t="shared" si="77"/>
        <v>0</v>
      </c>
      <c r="X89" s="1">
        <f t="shared" si="78"/>
        <v>0</v>
      </c>
      <c r="Y89" s="1">
        <f t="shared" si="79"/>
        <v>0</v>
      </c>
      <c r="Z89" s="1">
        <f t="shared" si="80"/>
        <v>1</v>
      </c>
      <c r="AA89" s="1">
        <f t="shared" si="81"/>
        <v>0</v>
      </c>
      <c r="AB89" s="1">
        <f t="shared" si="82"/>
        <v>0</v>
      </c>
      <c r="AD89" s="1">
        <f t="shared" si="83"/>
        <v>0</v>
      </c>
      <c r="AE89" s="1">
        <f t="shared" si="84"/>
        <v>1</v>
      </c>
      <c r="AF89" s="1">
        <f t="shared" si="69"/>
        <v>0</v>
      </c>
      <c r="AG89" s="1">
        <f t="shared" si="70"/>
        <v>1</v>
      </c>
      <c r="AH89" s="1">
        <f t="shared" si="71"/>
        <v>0</v>
      </c>
      <c r="AI89" s="1">
        <f t="shared" si="72"/>
        <v>1</v>
      </c>
    </row>
    <row r="90" spans="1:35" ht="14.25" customHeight="1" x14ac:dyDescent="0.25">
      <c r="A90" s="38">
        <v>0</v>
      </c>
      <c r="B90" s="38">
        <v>1</v>
      </c>
      <c r="C90" s="38">
        <v>3</v>
      </c>
      <c r="D90" s="39" t="s">
        <v>136</v>
      </c>
      <c r="E90" s="39" t="s">
        <v>172</v>
      </c>
      <c r="F90" s="54" t="s">
        <v>1880</v>
      </c>
      <c r="G90" s="39" t="s">
        <v>240</v>
      </c>
      <c r="H90" s="39" t="s">
        <v>354</v>
      </c>
      <c r="I90" s="38" t="s">
        <v>484</v>
      </c>
      <c r="J90" s="38">
        <v>1</v>
      </c>
      <c r="K90" s="40" t="s">
        <v>956</v>
      </c>
      <c r="L90" s="40" t="s">
        <v>689</v>
      </c>
      <c r="M90" s="41" t="s">
        <v>691</v>
      </c>
      <c r="N90" s="42"/>
      <c r="O90" s="43"/>
      <c r="P90" s="43">
        <v>1</v>
      </c>
      <c r="Q90" s="39"/>
      <c r="S90" s="1">
        <f t="shared" si="73"/>
        <v>1</v>
      </c>
      <c r="T90" s="1">
        <f t="shared" si="74"/>
        <v>0</v>
      </c>
      <c r="U90" s="1">
        <f t="shared" si="75"/>
        <v>0</v>
      </c>
      <c r="V90" s="1">
        <f t="shared" si="76"/>
        <v>0</v>
      </c>
      <c r="W90" s="1">
        <f t="shared" si="77"/>
        <v>0</v>
      </c>
      <c r="X90" s="1">
        <f t="shared" si="78"/>
        <v>0</v>
      </c>
      <c r="Y90" s="1">
        <f t="shared" si="79"/>
        <v>0</v>
      </c>
      <c r="Z90" s="1">
        <f t="shared" si="80"/>
        <v>0</v>
      </c>
      <c r="AA90" s="1">
        <f t="shared" si="81"/>
        <v>0</v>
      </c>
      <c r="AB90" s="1">
        <f t="shared" si="82"/>
        <v>0</v>
      </c>
      <c r="AD90" s="1">
        <f t="shared" si="83"/>
        <v>0</v>
      </c>
      <c r="AE90" s="1">
        <f t="shared" si="84"/>
        <v>0</v>
      </c>
      <c r="AF90" s="1">
        <f t="shared" si="69"/>
        <v>0</v>
      </c>
      <c r="AG90" s="1">
        <f t="shared" si="70"/>
        <v>0</v>
      </c>
      <c r="AH90" s="1">
        <f t="shared" si="71"/>
        <v>1</v>
      </c>
      <c r="AI90" s="1">
        <f t="shared" si="72"/>
        <v>0</v>
      </c>
    </row>
    <row r="91" spans="1:35" ht="14.25" customHeight="1" x14ac:dyDescent="0.25">
      <c r="A91" s="44">
        <v>0</v>
      </c>
      <c r="B91" s="44">
        <v>1</v>
      </c>
      <c r="C91" s="44">
        <v>3</v>
      </c>
      <c r="D91" s="45" t="s">
        <v>790</v>
      </c>
      <c r="E91" s="45" t="s">
        <v>610</v>
      </c>
      <c r="F91" s="45" t="s">
        <v>792</v>
      </c>
      <c r="G91" s="45" t="s">
        <v>214</v>
      </c>
      <c r="H91" s="45" t="s">
        <v>354</v>
      </c>
      <c r="I91" s="44" t="s">
        <v>791</v>
      </c>
      <c r="J91" s="44">
        <v>99</v>
      </c>
      <c r="K91" s="46" t="s">
        <v>722</v>
      </c>
      <c r="L91" s="46" t="s">
        <v>1699</v>
      </c>
      <c r="M91" s="47" t="s">
        <v>1390</v>
      </c>
      <c r="N91" s="47" t="s">
        <v>1747</v>
      </c>
      <c r="O91" s="48"/>
      <c r="P91" s="48"/>
      <c r="Q91" s="45"/>
      <c r="S91" s="1">
        <f t="shared" si="73"/>
        <v>0</v>
      </c>
      <c r="T91" s="1">
        <f t="shared" si="74"/>
        <v>0</v>
      </c>
      <c r="U91" s="1">
        <f t="shared" si="75"/>
        <v>0</v>
      </c>
      <c r="V91" s="1">
        <f t="shared" si="76"/>
        <v>0</v>
      </c>
      <c r="W91" s="1">
        <f t="shared" si="77"/>
        <v>0</v>
      </c>
      <c r="X91" s="1">
        <f t="shared" si="78"/>
        <v>0</v>
      </c>
      <c r="Y91" s="1">
        <f t="shared" si="79"/>
        <v>0</v>
      </c>
      <c r="Z91" s="1">
        <f t="shared" si="80"/>
        <v>0</v>
      </c>
      <c r="AA91" s="1">
        <f t="shared" si="81"/>
        <v>0</v>
      </c>
      <c r="AB91" s="1">
        <f t="shared" si="82"/>
        <v>0</v>
      </c>
      <c r="AD91" s="1">
        <f t="shared" si="83"/>
        <v>0</v>
      </c>
      <c r="AE91" s="1">
        <f t="shared" si="84"/>
        <v>0</v>
      </c>
      <c r="AF91" s="1">
        <f t="shared" si="69"/>
        <v>0</v>
      </c>
      <c r="AG91" s="1">
        <f t="shared" si="70"/>
        <v>0</v>
      </c>
      <c r="AH91" s="1">
        <f t="shared" si="71"/>
        <v>0</v>
      </c>
      <c r="AI91" s="1">
        <f t="shared" si="72"/>
        <v>1</v>
      </c>
    </row>
    <row r="92" spans="1:35" ht="14.25" customHeight="1" x14ac:dyDescent="0.25">
      <c r="A92" s="44">
        <v>0</v>
      </c>
      <c r="B92" s="44">
        <v>1</v>
      </c>
      <c r="C92" s="44">
        <v>3</v>
      </c>
      <c r="D92" s="45" t="s">
        <v>77</v>
      </c>
      <c r="E92" s="45" t="s">
        <v>172</v>
      </c>
      <c r="F92" s="45" t="s">
        <v>267</v>
      </c>
      <c r="G92" s="45" t="s">
        <v>263</v>
      </c>
      <c r="H92" s="45" t="s">
        <v>354</v>
      </c>
      <c r="I92" s="44" t="s">
        <v>424</v>
      </c>
      <c r="J92" s="44">
        <v>1</v>
      </c>
      <c r="K92" s="46" t="s">
        <v>956</v>
      </c>
      <c r="L92" s="46" t="s">
        <v>1699</v>
      </c>
      <c r="M92" s="47" t="s">
        <v>970</v>
      </c>
      <c r="N92" s="47" t="s">
        <v>1735</v>
      </c>
      <c r="O92" s="48"/>
      <c r="P92" s="48"/>
      <c r="Q92" s="45"/>
      <c r="S92" s="1">
        <f t="shared" si="73"/>
        <v>1</v>
      </c>
      <c r="T92" s="1">
        <f t="shared" si="74"/>
        <v>0</v>
      </c>
      <c r="U92" s="1">
        <f t="shared" si="75"/>
        <v>0</v>
      </c>
      <c r="V92" s="1">
        <f t="shared" si="76"/>
        <v>0</v>
      </c>
      <c r="W92" s="1">
        <f t="shared" si="77"/>
        <v>0</v>
      </c>
      <c r="X92" s="1">
        <f t="shared" si="78"/>
        <v>0</v>
      </c>
      <c r="Y92" s="1">
        <f t="shared" si="79"/>
        <v>0</v>
      </c>
      <c r="Z92" s="1">
        <f t="shared" si="80"/>
        <v>0</v>
      </c>
      <c r="AA92" s="1">
        <f t="shared" si="81"/>
        <v>0</v>
      </c>
      <c r="AB92" s="1">
        <f t="shared" si="82"/>
        <v>0</v>
      </c>
      <c r="AD92" s="1">
        <f t="shared" si="83"/>
        <v>0</v>
      </c>
      <c r="AE92" s="1">
        <f t="shared" si="84"/>
        <v>0</v>
      </c>
      <c r="AF92" s="1">
        <f t="shared" si="69"/>
        <v>0</v>
      </c>
      <c r="AG92" s="1">
        <f t="shared" si="70"/>
        <v>0</v>
      </c>
      <c r="AH92" s="1">
        <f t="shared" si="71"/>
        <v>0</v>
      </c>
      <c r="AI92" s="1">
        <f t="shared" si="72"/>
        <v>1</v>
      </c>
    </row>
    <row r="93" spans="1:35" ht="14.25" customHeight="1" x14ac:dyDescent="0.25">
      <c r="A93" s="15">
        <v>0</v>
      </c>
      <c r="B93" s="15">
        <v>1</v>
      </c>
      <c r="C93" s="15">
        <v>3</v>
      </c>
      <c r="D93" s="20" t="s">
        <v>1952</v>
      </c>
      <c r="E93" s="20" t="s">
        <v>1983</v>
      </c>
      <c r="F93" s="20" t="s">
        <v>1984</v>
      </c>
      <c r="G93" s="20"/>
      <c r="H93" s="20" t="s">
        <v>1980</v>
      </c>
      <c r="I93" s="21" t="s">
        <v>1985</v>
      </c>
      <c r="J93" s="15">
        <v>18</v>
      </c>
      <c r="K93" s="10" t="s">
        <v>703</v>
      </c>
      <c r="L93" s="10" t="s">
        <v>1742</v>
      </c>
      <c r="M93" s="19" t="s">
        <v>971</v>
      </c>
      <c r="N93" s="17"/>
      <c r="Q93" s="20" t="s">
        <v>1986</v>
      </c>
      <c r="S93" s="1">
        <f t="shared" si="73"/>
        <v>0</v>
      </c>
      <c r="T93" s="1">
        <f t="shared" si="74"/>
        <v>0</v>
      </c>
      <c r="U93" s="1">
        <f t="shared" si="75"/>
        <v>0</v>
      </c>
      <c r="V93" s="1">
        <f t="shared" si="76"/>
        <v>0</v>
      </c>
      <c r="W93" s="1">
        <f t="shared" si="77"/>
        <v>0</v>
      </c>
      <c r="X93" s="1">
        <f t="shared" si="78"/>
        <v>0</v>
      </c>
      <c r="Y93" s="1">
        <f t="shared" si="79"/>
        <v>0</v>
      </c>
      <c r="Z93" s="1">
        <f t="shared" si="80"/>
        <v>0</v>
      </c>
      <c r="AA93" s="1">
        <f t="shared" si="81"/>
        <v>0</v>
      </c>
      <c r="AB93" s="1">
        <f t="shared" si="82"/>
        <v>0</v>
      </c>
      <c r="AD93" s="1">
        <f t="shared" si="83"/>
        <v>0</v>
      </c>
      <c r="AE93" s="1">
        <f t="shared" si="84"/>
        <v>0</v>
      </c>
      <c r="AF93" s="1">
        <f t="shared" si="69"/>
        <v>0</v>
      </c>
      <c r="AG93" s="1">
        <f t="shared" si="70"/>
        <v>0</v>
      </c>
      <c r="AH93" s="1">
        <f t="shared" si="71"/>
        <v>0</v>
      </c>
      <c r="AI93" s="1">
        <f t="shared" si="72"/>
        <v>1</v>
      </c>
    </row>
    <row r="94" spans="1:35" ht="14.25" customHeight="1" x14ac:dyDescent="0.25">
      <c r="A94" s="31">
        <v>0</v>
      </c>
      <c r="B94" s="31">
        <v>1</v>
      </c>
      <c r="C94" s="31">
        <v>3</v>
      </c>
      <c r="D94" s="36" t="s">
        <v>1525</v>
      </c>
      <c r="E94" s="32" t="s">
        <v>176</v>
      </c>
      <c r="F94" s="36" t="s">
        <v>1526</v>
      </c>
      <c r="G94" s="36" t="s">
        <v>39</v>
      </c>
      <c r="H94" s="36" t="s">
        <v>906</v>
      </c>
      <c r="I94" s="37" t="s">
        <v>1527</v>
      </c>
      <c r="J94" s="31">
        <v>11</v>
      </c>
      <c r="K94" s="33" t="s">
        <v>964</v>
      </c>
      <c r="L94" s="33" t="s">
        <v>39</v>
      </c>
      <c r="M94" s="34" t="s">
        <v>39</v>
      </c>
      <c r="N94" s="34" t="s">
        <v>1733</v>
      </c>
      <c r="O94" s="35">
        <v>1</v>
      </c>
      <c r="P94" s="35">
        <v>1</v>
      </c>
      <c r="Q94" s="36"/>
      <c r="S94" s="1">
        <f t="shared" ref="S94:S96" si="85">IF(J94=$S$7,1,0)</f>
        <v>0</v>
      </c>
      <c r="T94" s="1">
        <f t="shared" ref="T94:T96" si="86">IF(J94=$T$7,1,0)</f>
        <v>0</v>
      </c>
      <c r="U94" s="1">
        <f t="shared" ref="U94:U96" si="87">IF(J94=$U$7,1,0)</f>
        <v>0</v>
      </c>
      <c r="V94" s="1">
        <f t="shared" ref="V94:V96" si="88">IF(J94=$V$7,1,0)</f>
        <v>0</v>
      </c>
      <c r="W94" s="1">
        <f t="shared" ref="W94:W96" si="89">IF(J94=$W$7,1,0)</f>
        <v>0</v>
      </c>
      <c r="X94" s="1">
        <f t="shared" ref="X94:X96" si="90">IF(J94=$X$7,1,0)</f>
        <v>0</v>
      </c>
      <c r="Y94" s="1">
        <f t="shared" ref="Y94:Y96" si="91">IF(J94=$Y$7,1,0)</f>
        <v>0</v>
      </c>
      <c r="Z94" s="1">
        <f t="shared" ref="Z94:Z96" si="92">IF(J94=$Z$7,1,0)</f>
        <v>0</v>
      </c>
      <c r="AA94" s="1">
        <f t="shared" ref="AA94:AA96" si="93">IF(J94=$AA$7,1,0)</f>
        <v>0</v>
      </c>
      <c r="AB94" s="1">
        <f t="shared" ref="AB94:AB96" si="94">IF(J94=$AB$7,1,0)</f>
        <v>0</v>
      </c>
      <c r="AD94" s="1">
        <f t="shared" ref="AD94:AD96" si="95">+O94*P94</f>
        <v>1</v>
      </c>
      <c r="AE94" s="1">
        <f t="shared" ref="AE94:AE96" si="96">O94*(1-P94)</f>
        <v>0</v>
      </c>
      <c r="AF94" s="1">
        <f t="shared" si="69"/>
        <v>1</v>
      </c>
      <c r="AG94" s="1">
        <f t="shared" si="70"/>
        <v>0</v>
      </c>
      <c r="AH94" s="1">
        <f t="shared" si="71"/>
        <v>1</v>
      </c>
      <c r="AI94" s="1">
        <f t="shared" si="72"/>
        <v>0</v>
      </c>
    </row>
    <row r="95" spans="1:35" ht="14.25" customHeight="1" x14ac:dyDescent="0.25">
      <c r="A95" s="31">
        <v>0</v>
      </c>
      <c r="B95" s="31">
        <v>1</v>
      </c>
      <c r="C95" s="31">
        <v>3</v>
      </c>
      <c r="D95" s="36" t="s">
        <v>1854</v>
      </c>
      <c r="E95" s="36" t="s">
        <v>172</v>
      </c>
      <c r="F95" s="36" t="s">
        <v>1855</v>
      </c>
      <c r="G95" s="36"/>
      <c r="H95" s="36" t="s">
        <v>1856</v>
      </c>
      <c r="I95" s="37" t="s">
        <v>1857</v>
      </c>
      <c r="J95" s="31">
        <v>15</v>
      </c>
      <c r="K95" s="33" t="s">
        <v>703</v>
      </c>
      <c r="L95" s="33"/>
      <c r="M95" s="34"/>
      <c r="N95" s="34" t="s">
        <v>1733</v>
      </c>
      <c r="O95" s="35">
        <v>1</v>
      </c>
      <c r="P95" s="35">
        <v>1</v>
      </c>
      <c r="Q95" s="36" t="s">
        <v>1892</v>
      </c>
      <c r="S95" s="1">
        <f t="shared" si="85"/>
        <v>0</v>
      </c>
      <c r="T95" s="1">
        <f t="shared" si="86"/>
        <v>0</v>
      </c>
      <c r="U95" s="1">
        <f t="shared" si="87"/>
        <v>0</v>
      </c>
      <c r="V95" s="1">
        <f t="shared" si="88"/>
        <v>0</v>
      </c>
      <c r="W95" s="1">
        <f t="shared" si="89"/>
        <v>0</v>
      </c>
      <c r="X95" s="1">
        <f t="shared" si="90"/>
        <v>0</v>
      </c>
      <c r="Y95" s="1">
        <f t="shared" si="91"/>
        <v>0</v>
      </c>
      <c r="Z95" s="1">
        <f t="shared" si="92"/>
        <v>0</v>
      </c>
      <c r="AA95" s="1">
        <f t="shared" si="93"/>
        <v>0</v>
      </c>
      <c r="AB95" s="1">
        <f t="shared" si="94"/>
        <v>0</v>
      </c>
      <c r="AD95" s="1">
        <f t="shared" si="95"/>
        <v>1</v>
      </c>
      <c r="AE95" s="1">
        <f t="shared" si="96"/>
        <v>0</v>
      </c>
      <c r="AF95" s="1">
        <f t="shared" si="69"/>
        <v>1</v>
      </c>
      <c r="AG95" s="1">
        <f t="shared" si="70"/>
        <v>0</v>
      </c>
      <c r="AH95" s="1">
        <f t="shared" si="71"/>
        <v>1</v>
      </c>
      <c r="AI95" s="1">
        <f t="shared" si="72"/>
        <v>0</v>
      </c>
    </row>
    <row r="96" spans="1:35" ht="14.25" customHeight="1" x14ac:dyDescent="0.25">
      <c r="A96" s="44">
        <v>0</v>
      </c>
      <c r="B96" s="44">
        <v>1</v>
      </c>
      <c r="C96" s="44">
        <v>3</v>
      </c>
      <c r="D96" s="45" t="s">
        <v>736</v>
      </c>
      <c r="E96" s="45" t="s">
        <v>1331</v>
      </c>
      <c r="F96" s="45" t="s">
        <v>1658</v>
      </c>
      <c r="G96" s="45" t="s">
        <v>39</v>
      </c>
      <c r="H96" s="45" t="s">
        <v>737</v>
      </c>
      <c r="I96" s="44" t="s">
        <v>738</v>
      </c>
      <c r="J96" s="44">
        <v>18</v>
      </c>
      <c r="K96" s="46" t="s">
        <v>702</v>
      </c>
      <c r="L96" s="46" t="s">
        <v>688</v>
      </c>
      <c r="M96" s="47" t="s">
        <v>970</v>
      </c>
      <c r="N96" s="47" t="s">
        <v>1809</v>
      </c>
      <c r="O96" s="48"/>
      <c r="P96" s="48"/>
      <c r="Q96" s="45"/>
      <c r="S96" s="1">
        <f t="shared" si="85"/>
        <v>0</v>
      </c>
      <c r="T96" s="1">
        <f t="shared" si="86"/>
        <v>0</v>
      </c>
      <c r="U96" s="1">
        <f t="shared" si="87"/>
        <v>0</v>
      </c>
      <c r="V96" s="1">
        <f t="shared" si="88"/>
        <v>0</v>
      </c>
      <c r="W96" s="1">
        <f t="shared" si="89"/>
        <v>0</v>
      </c>
      <c r="X96" s="1">
        <f t="shared" si="90"/>
        <v>0</v>
      </c>
      <c r="Y96" s="1">
        <f t="shared" si="91"/>
        <v>0</v>
      </c>
      <c r="Z96" s="1">
        <f t="shared" si="92"/>
        <v>0</v>
      </c>
      <c r="AA96" s="1">
        <f t="shared" si="93"/>
        <v>0</v>
      </c>
      <c r="AB96" s="1">
        <f t="shared" si="94"/>
        <v>0</v>
      </c>
      <c r="AD96" s="1">
        <f t="shared" si="95"/>
        <v>0</v>
      </c>
      <c r="AE96" s="1">
        <f t="shared" si="96"/>
        <v>0</v>
      </c>
      <c r="AF96" s="1">
        <f t="shared" si="69"/>
        <v>0</v>
      </c>
      <c r="AG96" s="1">
        <f t="shared" si="70"/>
        <v>0</v>
      </c>
      <c r="AH96" s="1">
        <f t="shared" si="71"/>
        <v>0</v>
      </c>
      <c r="AI96" s="1">
        <f t="shared" si="72"/>
        <v>1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2" t="s">
        <v>1546</v>
      </c>
      <c r="E97" s="32" t="s">
        <v>172</v>
      </c>
      <c r="F97" s="32" t="s">
        <v>1547</v>
      </c>
      <c r="G97" s="32" t="s">
        <v>39</v>
      </c>
      <c r="H97" s="32" t="s">
        <v>364</v>
      </c>
      <c r="I97" s="31" t="s">
        <v>1548</v>
      </c>
      <c r="J97" s="31">
        <v>17</v>
      </c>
      <c r="K97" s="33" t="s">
        <v>722</v>
      </c>
      <c r="L97" s="33" t="s">
        <v>688</v>
      </c>
      <c r="M97" s="34" t="s">
        <v>39</v>
      </c>
      <c r="N97" s="34" t="s">
        <v>1727</v>
      </c>
      <c r="O97" s="35">
        <v>1</v>
      </c>
      <c r="P97" s="35">
        <v>1</v>
      </c>
      <c r="Q97" s="36" t="s">
        <v>1916</v>
      </c>
      <c r="S97" s="1">
        <f t="shared" si="73"/>
        <v>0</v>
      </c>
      <c r="T97" s="1">
        <f t="shared" si="74"/>
        <v>0</v>
      </c>
      <c r="U97" s="1">
        <f t="shared" si="75"/>
        <v>0</v>
      </c>
      <c r="V97" s="1">
        <f t="shared" si="76"/>
        <v>0</v>
      </c>
      <c r="W97" s="1">
        <f t="shared" si="77"/>
        <v>0</v>
      </c>
      <c r="X97" s="1">
        <f t="shared" si="78"/>
        <v>0</v>
      </c>
      <c r="Y97" s="1">
        <f t="shared" si="79"/>
        <v>0</v>
      </c>
      <c r="Z97" s="1">
        <f t="shared" si="80"/>
        <v>0</v>
      </c>
      <c r="AA97" s="1">
        <f t="shared" si="81"/>
        <v>0</v>
      </c>
      <c r="AB97" s="1">
        <f t="shared" si="82"/>
        <v>0</v>
      </c>
      <c r="AD97" s="1">
        <f t="shared" si="83"/>
        <v>1</v>
      </c>
      <c r="AE97" s="1">
        <f t="shared" si="84"/>
        <v>0</v>
      </c>
      <c r="AF97" s="1">
        <f t="shared" si="69"/>
        <v>1</v>
      </c>
      <c r="AG97" s="1">
        <f t="shared" si="70"/>
        <v>0</v>
      </c>
      <c r="AH97" s="1">
        <f t="shared" si="71"/>
        <v>1</v>
      </c>
      <c r="AI97" s="1">
        <f t="shared" si="72"/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6" t="s">
        <v>119</v>
      </c>
      <c r="E98" s="32" t="s">
        <v>172</v>
      </c>
      <c r="F98" s="36" t="s">
        <v>320</v>
      </c>
      <c r="G98" s="36" t="s">
        <v>39</v>
      </c>
      <c r="H98" s="36" t="s">
        <v>370</v>
      </c>
      <c r="I98" s="37" t="s">
        <v>467</v>
      </c>
      <c r="J98" s="31">
        <v>14</v>
      </c>
      <c r="K98" s="33" t="s">
        <v>956</v>
      </c>
      <c r="L98" s="33" t="s">
        <v>694</v>
      </c>
      <c r="M98" s="34" t="s">
        <v>691</v>
      </c>
      <c r="N98" s="34" t="s">
        <v>1748</v>
      </c>
      <c r="O98" s="35">
        <v>1</v>
      </c>
      <c r="P98" s="35"/>
      <c r="Q98" s="36" t="s">
        <v>1889</v>
      </c>
      <c r="S98" s="1">
        <f t="shared" si="73"/>
        <v>0</v>
      </c>
      <c r="T98" s="1">
        <f t="shared" si="74"/>
        <v>0</v>
      </c>
      <c r="U98" s="1">
        <f t="shared" si="75"/>
        <v>0</v>
      </c>
      <c r="V98" s="1">
        <f t="shared" si="76"/>
        <v>0</v>
      </c>
      <c r="W98" s="1">
        <f t="shared" si="77"/>
        <v>0</v>
      </c>
      <c r="X98" s="1">
        <f t="shared" si="78"/>
        <v>0</v>
      </c>
      <c r="Y98" s="1">
        <f t="shared" si="79"/>
        <v>0</v>
      </c>
      <c r="Z98" s="1">
        <f t="shared" si="80"/>
        <v>0</v>
      </c>
      <c r="AA98" s="1">
        <f t="shared" si="81"/>
        <v>0</v>
      </c>
      <c r="AB98" s="1">
        <f t="shared" si="82"/>
        <v>0</v>
      </c>
      <c r="AD98" s="1">
        <f t="shared" si="83"/>
        <v>0</v>
      </c>
      <c r="AE98" s="1">
        <f t="shared" si="84"/>
        <v>1</v>
      </c>
      <c r="AF98" s="1">
        <f t="shared" si="69"/>
        <v>0</v>
      </c>
      <c r="AG98" s="1">
        <f t="shared" si="70"/>
        <v>1</v>
      </c>
      <c r="AH98" s="1">
        <f t="shared" si="71"/>
        <v>0</v>
      </c>
      <c r="AI98" s="1">
        <f t="shared" si="72"/>
        <v>1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6" t="s">
        <v>115</v>
      </c>
      <c r="E99" s="32" t="s">
        <v>170</v>
      </c>
      <c r="F99" s="36" t="s">
        <v>326</v>
      </c>
      <c r="G99" s="36" t="s">
        <v>230</v>
      </c>
      <c r="H99" s="36" t="s">
        <v>354</v>
      </c>
      <c r="I99" s="37" t="s">
        <v>474</v>
      </c>
      <c r="J99" s="31">
        <v>7</v>
      </c>
      <c r="K99" s="33" t="s">
        <v>702</v>
      </c>
      <c r="L99" s="33" t="s">
        <v>39</v>
      </c>
      <c r="M99" s="34" t="s">
        <v>39</v>
      </c>
      <c r="N99" s="34" t="s">
        <v>1733</v>
      </c>
      <c r="O99" s="35">
        <v>1</v>
      </c>
      <c r="P99" s="35">
        <v>1</v>
      </c>
      <c r="Q99" s="36"/>
      <c r="S99" s="1">
        <f t="shared" ref="S99:S101" si="97">IF(J99=$S$7,1,0)</f>
        <v>0</v>
      </c>
      <c r="T99" s="1">
        <f t="shared" ref="T99:T101" si="98">IF(J99=$T$7,1,0)</f>
        <v>0</v>
      </c>
      <c r="U99" s="1">
        <f t="shared" ref="U99:U101" si="99">IF(J99=$U$7,1,0)</f>
        <v>0</v>
      </c>
      <c r="V99" s="1">
        <f t="shared" ref="V99:V101" si="100">IF(J99=$V$7,1,0)</f>
        <v>0</v>
      </c>
      <c r="W99" s="1">
        <f t="shared" ref="W99:W101" si="101">IF(J99=$W$7,1,0)</f>
        <v>0</v>
      </c>
      <c r="X99" s="1">
        <f t="shared" ref="X99:X101" si="102">IF(J99=$X$7,1,0)</f>
        <v>0</v>
      </c>
      <c r="Y99" s="1">
        <f t="shared" ref="Y99:Y101" si="103">IF(J99=$Y$7,1,0)</f>
        <v>1</v>
      </c>
      <c r="Z99" s="1">
        <f t="shared" ref="Z99:Z101" si="104">IF(J99=$Z$7,1,0)</f>
        <v>0</v>
      </c>
      <c r="AA99" s="1">
        <f t="shared" ref="AA99:AA101" si="105">IF(J99=$AA$7,1,0)</f>
        <v>0</v>
      </c>
      <c r="AB99" s="1">
        <f t="shared" ref="AB99:AB101" si="106">IF(J99=$AB$7,1,0)</f>
        <v>0</v>
      </c>
      <c r="AD99" s="1">
        <f t="shared" ref="AD99:AD101" si="107">+O99*P99</f>
        <v>1</v>
      </c>
      <c r="AE99" s="1">
        <f t="shared" ref="AE99:AE101" si="108">O99*(1-P99)</f>
        <v>0</v>
      </c>
      <c r="AF99" s="1">
        <f t="shared" ref="AF99:AF101" si="109">+O99*P99*(1-A99)</f>
        <v>1</v>
      </c>
      <c r="AG99" s="1">
        <f t="shared" ref="AG99:AG101" si="110">O99*(1-P99)*(1-A99)</f>
        <v>0</v>
      </c>
      <c r="AH99" s="1">
        <f t="shared" ref="AH99:AH101" si="111">+P99*(1-A99)</f>
        <v>1</v>
      </c>
      <c r="AI99" s="1">
        <f t="shared" ref="AI99:AI101" si="112">+(1-A99)*(1-P99)</f>
        <v>0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6" t="s">
        <v>1932</v>
      </c>
      <c r="E100" s="32" t="s">
        <v>1933</v>
      </c>
      <c r="F100" s="36" t="s">
        <v>1934</v>
      </c>
      <c r="G100" s="36"/>
      <c r="H100" s="36" t="s">
        <v>366</v>
      </c>
      <c r="I100" s="37" t="s">
        <v>1936</v>
      </c>
      <c r="J100" s="31">
        <v>18</v>
      </c>
      <c r="K100" s="33" t="s">
        <v>703</v>
      </c>
      <c r="L100" s="33"/>
      <c r="M100" s="34"/>
      <c r="N100" s="34" t="s">
        <v>1733</v>
      </c>
      <c r="O100" s="35">
        <v>1</v>
      </c>
      <c r="P100" s="35">
        <v>1</v>
      </c>
      <c r="Q100" s="36" t="s">
        <v>1935</v>
      </c>
      <c r="S100" s="1">
        <f t="shared" si="97"/>
        <v>0</v>
      </c>
      <c r="T100" s="1">
        <f t="shared" si="98"/>
        <v>0</v>
      </c>
      <c r="U100" s="1">
        <f t="shared" si="99"/>
        <v>0</v>
      </c>
      <c r="V100" s="1">
        <f t="shared" si="100"/>
        <v>0</v>
      </c>
      <c r="W100" s="1">
        <f t="shared" si="101"/>
        <v>0</v>
      </c>
      <c r="X100" s="1">
        <f t="shared" si="102"/>
        <v>0</v>
      </c>
      <c r="Y100" s="1">
        <f t="shared" si="103"/>
        <v>0</v>
      </c>
      <c r="Z100" s="1">
        <f t="shared" si="104"/>
        <v>0</v>
      </c>
      <c r="AA100" s="1">
        <f t="shared" si="105"/>
        <v>0</v>
      </c>
      <c r="AB100" s="1">
        <f t="shared" si="106"/>
        <v>0</v>
      </c>
      <c r="AD100" s="1">
        <f t="shared" si="107"/>
        <v>1</v>
      </c>
      <c r="AE100" s="1">
        <f t="shared" si="108"/>
        <v>0</v>
      </c>
      <c r="AF100" s="1">
        <f t="shared" si="109"/>
        <v>1</v>
      </c>
      <c r="AG100" s="1">
        <f t="shared" si="110"/>
        <v>0</v>
      </c>
      <c r="AH100" s="1">
        <f t="shared" si="111"/>
        <v>1</v>
      </c>
      <c r="AI100" s="1">
        <f t="shared" si="112"/>
        <v>0</v>
      </c>
    </row>
    <row r="101" spans="1:35" ht="14.25" customHeight="1" x14ac:dyDescent="0.25">
      <c r="A101" s="44">
        <v>0</v>
      </c>
      <c r="B101" s="44">
        <v>1</v>
      </c>
      <c r="C101" s="44">
        <v>3</v>
      </c>
      <c r="D101" s="45" t="s">
        <v>1207</v>
      </c>
      <c r="E101" s="45" t="s">
        <v>175</v>
      </c>
      <c r="F101" s="45" t="s">
        <v>1339</v>
      </c>
      <c r="G101" s="45" t="s">
        <v>39</v>
      </c>
      <c r="H101" s="45" t="s">
        <v>611</v>
      </c>
      <c r="I101" s="44" t="s">
        <v>1208</v>
      </c>
      <c r="J101" s="44">
        <v>14</v>
      </c>
      <c r="K101" s="46" t="s">
        <v>956</v>
      </c>
      <c r="L101" s="46" t="s">
        <v>1699</v>
      </c>
      <c r="M101" s="47" t="s">
        <v>1391</v>
      </c>
      <c r="N101" s="47" t="s">
        <v>1802</v>
      </c>
      <c r="O101" s="48"/>
      <c r="P101" s="48"/>
      <c r="Q101" s="45"/>
      <c r="S101" s="1">
        <f t="shared" si="97"/>
        <v>0</v>
      </c>
      <c r="T101" s="1">
        <f t="shared" si="98"/>
        <v>0</v>
      </c>
      <c r="U101" s="1">
        <f t="shared" si="99"/>
        <v>0</v>
      </c>
      <c r="V101" s="1">
        <f t="shared" si="100"/>
        <v>0</v>
      </c>
      <c r="W101" s="1">
        <f t="shared" si="101"/>
        <v>0</v>
      </c>
      <c r="X101" s="1">
        <f t="shared" si="102"/>
        <v>0</v>
      </c>
      <c r="Y101" s="1">
        <f t="shared" si="103"/>
        <v>0</v>
      </c>
      <c r="Z101" s="1">
        <f t="shared" si="104"/>
        <v>0</v>
      </c>
      <c r="AA101" s="1">
        <f t="shared" si="105"/>
        <v>0</v>
      </c>
      <c r="AB101" s="1">
        <f t="shared" si="106"/>
        <v>0</v>
      </c>
      <c r="AD101" s="1">
        <f t="shared" si="107"/>
        <v>0</v>
      </c>
      <c r="AE101" s="1">
        <f t="shared" si="108"/>
        <v>0</v>
      </c>
      <c r="AF101" s="1">
        <f t="shared" si="109"/>
        <v>0</v>
      </c>
      <c r="AG101" s="1">
        <f t="shared" si="110"/>
        <v>0</v>
      </c>
      <c r="AH101" s="1">
        <f t="shared" si="111"/>
        <v>0</v>
      </c>
      <c r="AI101" s="1">
        <f t="shared" si="112"/>
        <v>1</v>
      </c>
    </row>
    <row r="102" spans="1:35" ht="14.25" customHeight="1" x14ac:dyDescent="0.25">
      <c r="A102" s="31">
        <v>0</v>
      </c>
      <c r="B102" s="31">
        <v>1</v>
      </c>
      <c r="C102" s="31">
        <v>3</v>
      </c>
      <c r="D102" s="36" t="s">
        <v>821</v>
      </c>
      <c r="E102" s="32" t="s">
        <v>176</v>
      </c>
      <c r="F102" s="36" t="s">
        <v>927</v>
      </c>
      <c r="G102" s="36" t="s">
        <v>39</v>
      </c>
      <c r="H102" s="36" t="s">
        <v>372</v>
      </c>
      <c r="I102" s="37" t="s">
        <v>822</v>
      </c>
      <c r="J102" s="31">
        <v>16</v>
      </c>
      <c r="K102" s="33" t="s">
        <v>957</v>
      </c>
      <c r="L102" s="33" t="s">
        <v>688</v>
      </c>
      <c r="M102" s="34" t="s">
        <v>970</v>
      </c>
      <c r="N102" s="34" t="s">
        <v>1727</v>
      </c>
      <c r="O102" s="35">
        <v>1</v>
      </c>
      <c r="P102" s="35">
        <v>1</v>
      </c>
      <c r="Q102" s="36"/>
      <c r="S102" s="1">
        <f t="shared" si="73"/>
        <v>0</v>
      </c>
      <c r="T102" s="1">
        <f t="shared" si="74"/>
        <v>0</v>
      </c>
      <c r="U102" s="1">
        <f t="shared" si="75"/>
        <v>0</v>
      </c>
      <c r="V102" s="1">
        <f t="shared" si="76"/>
        <v>0</v>
      </c>
      <c r="W102" s="1">
        <f t="shared" si="77"/>
        <v>0</v>
      </c>
      <c r="X102" s="1">
        <f t="shared" si="78"/>
        <v>0</v>
      </c>
      <c r="Y102" s="1">
        <f t="shared" si="79"/>
        <v>0</v>
      </c>
      <c r="Z102" s="1">
        <f t="shared" si="80"/>
        <v>0</v>
      </c>
      <c r="AA102" s="1">
        <f t="shared" si="81"/>
        <v>0</v>
      </c>
      <c r="AB102" s="1">
        <f t="shared" si="82"/>
        <v>0</v>
      </c>
      <c r="AD102" s="1">
        <f t="shared" si="83"/>
        <v>1</v>
      </c>
      <c r="AE102" s="1">
        <f t="shared" si="84"/>
        <v>0</v>
      </c>
      <c r="AF102" s="1">
        <f t="shared" si="69"/>
        <v>1</v>
      </c>
      <c r="AG102" s="1">
        <f t="shared" si="70"/>
        <v>0</v>
      </c>
      <c r="AH102" s="1">
        <f t="shared" si="71"/>
        <v>1</v>
      </c>
      <c r="AI102" s="1">
        <f t="shared" si="72"/>
        <v>0</v>
      </c>
    </row>
    <row r="103" spans="1:35" ht="14.25" customHeight="1" x14ac:dyDescent="0.25">
      <c r="A103" s="15">
        <v>0</v>
      </c>
      <c r="B103" s="15">
        <v>1</v>
      </c>
      <c r="C103" s="15">
        <v>3</v>
      </c>
      <c r="D103" s="16" t="s">
        <v>104</v>
      </c>
      <c r="E103" s="16" t="s">
        <v>170</v>
      </c>
      <c r="F103" s="16" t="s">
        <v>303</v>
      </c>
      <c r="G103" s="16" t="s">
        <v>39</v>
      </c>
      <c r="H103" s="16" t="s">
        <v>357</v>
      </c>
      <c r="I103" s="15" t="s">
        <v>451</v>
      </c>
      <c r="J103" s="15">
        <v>18</v>
      </c>
      <c r="K103" s="10" t="s">
        <v>702</v>
      </c>
      <c r="L103" s="10" t="s">
        <v>688</v>
      </c>
      <c r="M103" s="19" t="s">
        <v>691</v>
      </c>
      <c r="N103" s="17"/>
      <c r="Q103" s="16"/>
      <c r="S103" s="1">
        <f t="shared" si="73"/>
        <v>0</v>
      </c>
      <c r="T103" s="1">
        <f t="shared" si="74"/>
        <v>0</v>
      </c>
      <c r="U103" s="1">
        <f t="shared" si="75"/>
        <v>0</v>
      </c>
      <c r="V103" s="1">
        <f t="shared" si="76"/>
        <v>0</v>
      </c>
      <c r="W103" s="1">
        <f t="shared" si="77"/>
        <v>0</v>
      </c>
      <c r="X103" s="1">
        <f t="shared" si="78"/>
        <v>0</v>
      </c>
      <c r="Y103" s="1">
        <f t="shared" si="79"/>
        <v>0</v>
      </c>
      <c r="Z103" s="1">
        <f t="shared" si="80"/>
        <v>0</v>
      </c>
      <c r="AA103" s="1">
        <f t="shared" si="81"/>
        <v>0</v>
      </c>
      <c r="AB103" s="1">
        <f t="shared" si="82"/>
        <v>0</v>
      </c>
      <c r="AD103" s="1">
        <f t="shared" si="83"/>
        <v>0</v>
      </c>
      <c r="AE103" s="1">
        <f t="shared" si="84"/>
        <v>0</v>
      </c>
      <c r="AF103" s="1">
        <f t="shared" si="69"/>
        <v>0</v>
      </c>
      <c r="AG103" s="1">
        <f t="shared" si="70"/>
        <v>0</v>
      </c>
      <c r="AH103" s="1">
        <f t="shared" si="71"/>
        <v>0</v>
      </c>
      <c r="AI103" s="1">
        <f t="shared" si="72"/>
        <v>1</v>
      </c>
    </row>
    <row r="104" spans="1:35" ht="14.25" customHeight="1" x14ac:dyDescent="0.25">
      <c r="A104" s="44">
        <v>0</v>
      </c>
      <c r="B104" s="44">
        <v>1</v>
      </c>
      <c r="C104" s="44">
        <v>3</v>
      </c>
      <c r="D104" s="45" t="s">
        <v>516</v>
      </c>
      <c r="E104" s="45" t="s">
        <v>170</v>
      </c>
      <c r="F104" s="45" t="s">
        <v>517</v>
      </c>
      <c r="G104" s="45" t="s">
        <v>504</v>
      </c>
      <c r="H104" s="45" t="s">
        <v>354</v>
      </c>
      <c r="I104" s="44" t="s">
        <v>518</v>
      </c>
      <c r="J104" s="44">
        <v>99</v>
      </c>
      <c r="K104" s="46" t="s">
        <v>956</v>
      </c>
      <c r="L104" s="46" t="s">
        <v>694</v>
      </c>
      <c r="M104" s="47" t="s">
        <v>691</v>
      </c>
      <c r="N104" s="47" t="s">
        <v>1747</v>
      </c>
      <c r="O104" s="48"/>
      <c r="P104" s="48"/>
      <c r="Q104" s="45"/>
      <c r="S104" s="1">
        <f t="shared" si="73"/>
        <v>0</v>
      </c>
      <c r="T104" s="1">
        <f t="shared" si="74"/>
        <v>0</v>
      </c>
      <c r="U104" s="1">
        <f t="shared" si="75"/>
        <v>0</v>
      </c>
      <c r="V104" s="1">
        <f t="shared" si="76"/>
        <v>0</v>
      </c>
      <c r="W104" s="1">
        <f t="shared" si="77"/>
        <v>0</v>
      </c>
      <c r="X104" s="1">
        <f t="shared" si="78"/>
        <v>0</v>
      </c>
      <c r="Y104" s="1">
        <f t="shared" si="79"/>
        <v>0</v>
      </c>
      <c r="Z104" s="1">
        <f t="shared" si="80"/>
        <v>0</v>
      </c>
      <c r="AA104" s="1">
        <f t="shared" si="81"/>
        <v>0</v>
      </c>
      <c r="AB104" s="1">
        <f t="shared" si="82"/>
        <v>0</v>
      </c>
      <c r="AD104" s="1">
        <f t="shared" si="83"/>
        <v>0</v>
      </c>
      <c r="AE104" s="1">
        <f t="shared" si="84"/>
        <v>0</v>
      </c>
      <c r="AF104" s="1">
        <f t="shared" si="69"/>
        <v>0</v>
      </c>
      <c r="AG104" s="1">
        <f t="shared" si="70"/>
        <v>0</v>
      </c>
      <c r="AH104" s="1">
        <f t="shared" si="71"/>
        <v>0</v>
      </c>
      <c r="AI104" s="1">
        <f t="shared" si="72"/>
        <v>1</v>
      </c>
    </row>
    <row r="105" spans="1:35" ht="14.25" customHeight="1" x14ac:dyDescent="0.25">
      <c r="A105" s="15">
        <v>0</v>
      </c>
      <c r="B105" s="15">
        <v>1</v>
      </c>
      <c r="C105" s="15">
        <v>3</v>
      </c>
      <c r="D105" s="16" t="s">
        <v>1645</v>
      </c>
      <c r="E105" s="16" t="s">
        <v>1087</v>
      </c>
      <c r="F105" s="16" t="s">
        <v>1219</v>
      </c>
      <c r="G105" s="16" t="s">
        <v>39</v>
      </c>
      <c r="H105" s="16" t="s">
        <v>1220</v>
      </c>
      <c r="I105" s="15" t="s">
        <v>1221</v>
      </c>
      <c r="J105" s="15">
        <v>18</v>
      </c>
      <c r="K105" s="10" t="s">
        <v>958</v>
      </c>
      <c r="L105" s="10" t="s">
        <v>688</v>
      </c>
      <c r="M105" s="19" t="s">
        <v>970</v>
      </c>
      <c r="N105" s="17"/>
      <c r="Q105" s="16" t="s">
        <v>1884</v>
      </c>
      <c r="S105" s="1">
        <f t="shared" si="73"/>
        <v>0</v>
      </c>
      <c r="T105" s="1">
        <f t="shared" si="74"/>
        <v>0</v>
      </c>
      <c r="U105" s="1">
        <f t="shared" si="75"/>
        <v>0</v>
      </c>
      <c r="V105" s="1">
        <f t="shared" si="76"/>
        <v>0</v>
      </c>
      <c r="W105" s="1">
        <f t="shared" si="77"/>
        <v>0</v>
      </c>
      <c r="X105" s="1">
        <f t="shared" si="78"/>
        <v>0</v>
      </c>
      <c r="Y105" s="1">
        <f t="shared" si="79"/>
        <v>0</v>
      </c>
      <c r="Z105" s="1">
        <f t="shared" si="80"/>
        <v>0</v>
      </c>
      <c r="AA105" s="1">
        <f t="shared" si="81"/>
        <v>0</v>
      </c>
      <c r="AB105" s="1">
        <f t="shared" si="82"/>
        <v>0</v>
      </c>
      <c r="AD105" s="1">
        <f t="shared" si="83"/>
        <v>0</v>
      </c>
      <c r="AE105" s="1">
        <f t="shared" si="84"/>
        <v>0</v>
      </c>
      <c r="AF105" s="1">
        <f t="shared" si="69"/>
        <v>0</v>
      </c>
      <c r="AG105" s="1">
        <f t="shared" si="70"/>
        <v>0</v>
      </c>
      <c r="AH105" s="1">
        <f t="shared" si="71"/>
        <v>0</v>
      </c>
      <c r="AI105" s="1">
        <f t="shared" si="72"/>
        <v>1</v>
      </c>
    </row>
    <row r="106" spans="1:35" ht="14.25" customHeight="1" x14ac:dyDescent="0.25">
      <c r="A106" s="15">
        <v>0</v>
      </c>
      <c r="B106" s="15">
        <v>1</v>
      </c>
      <c r="C106" s="15">
        <v>3</v>
      </c>
      <c r="D106" s="16" t="s">
        <v>1558</v>
      </c>
      <c r="E106" s="16" t="s">
        <v>170</v>
      </c>
      <c r="F106" s="16" t="s">
        <v>1677</v>
      </c>
      <c r="G106" s="16" t="s">
        <v>39</v>
      </c>
      <c r="H106" s="16" t="s">
        <v>357</v>
      </c>
      <c r="I106" s="15" t="s">
        <v>1559</v>
      </c>
      <c r="J106" s="15">
        <v>18</v>
      </c>
      <c r="K106" s="10" t="s">
        <v>722</v>
      </c>
      <c r="L106" s="10" t="s">
        <v>688</v>
      </c>
      <c r="M106" s="19" t="s">
        <v>691</v>
      </c>
      <c r="N106" s="17"/>
      <c r="Q106" s="16"/>
      <c r="S106" s="1">
        <f t="shared" si="73"/>
        <v>0</v>
      </c>
      <c r="T106" s="1">
        <f t="shared" si="74"/>
        <v>0</v>
      </c>
      <c r="U106" s="1">
        <f t="shared" si="75"/>
        <v>0</v>
      </c>
      <c r="V106" s="1">
        <f t="shared" si="76"/>
        <v>0</v>
      </c>
      <c r="W106" s="1">
        <f t="shared" si="77"/>
        <v>0</v>
      </c>
      <c r="X106" s="1">
        <f t="shared" si="78"/>
        <v>0</v>
      </c>
      <c r="Y106" s="1">
        <f t="shared" si="79"/>
        <v>0</v>
      </c>
      <c r="Z106" s="1">
        <f t="shared" si="80"/>
        <v>0</v>
      </c>
      <c r="AA106" s="1">
        <f t="shared" si="81"/>
        <v>0</v>
      </c>
      <c r="AB106" s="1">
        <f t="shared" si="82"/>
        <v>0</v>
      </c>
      <c r="AD106" s="1">
        <f t="shared" si="83"/>
        <v>0</v>
      </c>
      <c r="AE106" s="1">
        <f t="shared" si="84"/>
        <v>0</v>
      </c>
      <c r="AF106" s="1">
        <f t="shared" si="69"/>
        <v>0</v>
      </c>
      <c r="AG106" s="1">
        <f t="shared" si="70"/>
        <v>0</v>
      </c>
      <c r="AH106" s="1">
        <f t="shared" si="71"/>
        <v>0</v>
      </c>
      <c r="AI106" s="1">
        <f t="shared" si="72"/>
        <v>1</v>
      </c>
    </row>
    <row r="107" spans="1:35" ht="14.25" customHeight="1" x14ac:dyDescent="0.25">
      <c r="A107" s="31">
        <v>0</v>
      </c>
      <c r="B107" s="31">
        <v>1</v>
      </c>
      <c r="C107" s="31">
        <v>3</v>
      </c>
      <c r="D107" s="32" t="s">
        <v>1319</v>
      </c>
      <c r="E107" s="32" t="s">
        <v>175</v>
      </c>
      <c r="F107" s="32" t="s">
        <v>1340</v>
      </c>
      <c r="G107" s="32" t="s">
        <v>39</v>
      </c>
      <c r="H107" s="32" t="s">
        <v>354</v>
      </c>
      <c r="I107" s="31" t="s">
        <v>1136</v>
      </c>
      <c r="J107" s="31">
        <v>99</v>
      </c>
      <c r="K107" s="33" t="s">
        <v>702</v>
      </c>
      <c r="L107" s="33" t="s">
        <v>1699</v>
      </c>
      <c r="M107" s="34" t="s">
        <v>1392</v>
      </c>
      <c r="N107" s="34" t="s">
        <v>1749</v>
      </c>
      <c r="O107" s="35">
        <v>1</v>
      </c>
      <c r="P107" s="35"/>
      <c r="Q107" s="32"/>
      <c r="S107" s="1">
        <f t="shared" si="73"/>
        <v>0</v>
      </c>
      <c r="T107" s="1">
        <f t="shared" si="74"/>
        <v>0</v>
      </c>
      <c r="U107" s="1">
        <f t="shared" si="75"/>
        <v>0</v>
      </c>
      <c r="V107" s="1">
        <f t="shared" si="76"/>
        <v>0</v>
      </c>
      <c r="W107" s="1">
        <f t="shared" si="77"/>
        <v>0</v>
      </c>
      <c r="X107" s="1">
        <f t="shared" si="78"/>
        <v>0</v>
      </c>
      <c r="Y107" s="1">
        <f t="shared" si="79"/>
        <v>0</v>
      </c>
      <c r="Z107" s="1">
        <f t="shared" si="80"/>
        <v>0</v>
      </c>
      <c r="AA107" s="1">
        <f t="shared" si="81"/>
        <v>0</v>
      </c>
      <c r="AB107" s="1">
        <f t="shared" si="82"/>
        <v>0</v>
      </c>
      <c r="AD107" s="1">
        <f t="shared" si="83"/>
        <v>0</v>
      </c>
      <c r="AE107" s="1">
        <f t="shared" si="84"/>
        <v>1</v>
      </c>
      <c r="AF107" s="1">
        <f t="shared" si="69"/>
        <v>0</v>
      </c>
      <c r="AG107" s="1">
        <f t="shared" si="70"/>
        <v>1</v>
      </c>
      <c r="AH107" s="1">
        <f t="shared" si="71"/>
        <v>0</v>
      </c>
      <c r="AI107" s="1">
        <f t="shared" si="72"/>
        <v>1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2" t="s">
        <v>1263</v>
      </c>
      <c r="E108" s="32" t="s">
        <v>170</v>
      </c>
      <c r="F108" s="32" t="s">
        <v>1341</v>
      </c>
      <c r="G108" s="32" t="s">
        <v>1194</v>
      </c>
      <c r="H108" s="32" t="s">
        <v>354</v>
      </c>
      <c r="I108" s="31" t="s">
        <v>1195</v>
      </c>
      <c r="J108" s="31">
        <v>99</v>
      </c>
      <c r="K108" s="33" t="s">
        <v>722</v>
      </c>
      <c r="L108" s="33">
        <v>50</v>
      </c>
      <c r="M108" s="34" t="s">
        <v>39</v>
      </c>
      <c r="N108" s="34" t="s">
        <v>1801</v>
      </c>
      <c r="O108" s="35">
        <v>1</v>
      </c>
      <c r="P108" s="35"/>
      <c r="Q108" s="32"/>
      <c r="S108" s="1">
        <f t="shared" si="73"/>
        <v>0</v>
      </c>
      <c r="T108" s="1">
        <f t="shared" si="74"/>
        <v>0</v>
      </c>
      <c r="U108" s="1">
        <f t="shared" si="75"/>
        <v>0</v>
      </c>
      <c r="V108" s="1">
        <f t="shared" si="76"/>
        <v>0</v>
      </c>
      <c r="W108" s="1">
        <f t="shared" si="77"/>
        <v>0</v>
      </c>
      <c r="X108" s="1">
        <f t="shared" si="78"/>
        <v>0</v>
      </c>
      <c r="Y108" s="1">
        <f t="shared" si="79"/>
        <v>0</v>
      </c>
      <c r="Z108" s="1">
        <f t="shared" si="80"/>
        <v>0</v>
      </c>
      <c r="AA108" s="1">
        <f t="shared" si="81"/>
        <v>0</v>
      </c>
      <c r="AB108" s="1">
        <f t="shared" si="82"/>
        <v>0</v>
      </c>
      <c r="AD108" s="1">
        <f t="shared" si="83"/>
        <v>0</v>
      </c>
      <c r="AE108" s="1">
        <f t="shared" si="84"/>
        <v>1</v>
      </c>
      <c r="AF108" s="1">
        <f t="shared" si="69"/>
        <v>0</v>
      </c>
      <c r="AG108" s="1">
        <f t="shared" si="70"/>
        <v>1</v>
      </c>
      <c r="AH108" s="1">
        <f t="shared" si="71"/>
        <v>0</v>
      </c>
      <c r="AI108" s="1">
        <f t="shared" si="72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1019</v>
      </c>
      <c r="E109" s="32" t="s">
        <v>610</v>
      </c>
      <c r="F109" s="32" t="s">
        <v>1020</v>
      </c>
      <c r="G109" s="32" t="s">
        <v>1021</v>
      </c>
      <c r="H109" s="32" t="s">
        <v>354</v>
      </c>
      <c r="I109" s="31" t="s">
        <v>1022</v>
      </c>
      <c r="J109" s="31">
        <v>99</v>
      </c>
      <c r="K109" s="33" t="s">
        <v>956</v>
      </c>
      <c r="L109" s="33" t="s">
        <v>39</v>
      </c>
      <c r="M109" s="34" t="s">
        <v>39</v>
      </c>
      <c r="N109" s="34" t="s">
        <v>1733</v>
      </c>
      <c r="O109" s="35">
        <v>1</v>
      </c>
      <c r="P109" s="35">
        <v>1</v>
      </c>
      <c r="Q109" s="32"/>
      <c r="S109" s="1">
        <f t="shared" si="73"/>
        <v>0</v>
      </c>
      <c r="T109" s="1">
        <f t="shared" si="74"/>
        <v>0</v>
      </c>
      <c r="U109" s="1">
        <f t="shared" si="75"/>
        <v>0</v>
      </c>
      <c r="V109" s="1">
        <f t="shared" si="76"/>
        <v>0</v>
      </c>
      <c r="W109" s="1">
        <f t="shared" si="77"/>
        <v>0</v>
      </c>
      <c r="X109" s="1">
        <f t="shared" si="78"/>
        <v>0</v>
      </c>
      <c r="Y109" s="1">
        <f t="shared" si="79"/>
        <v>0</v>
      </c>
      <c r="Z109" s="1">
        <f t="shared" si="80"/>
        <v>0</v>
      </c>
      <c r="AA109" s="1">
        <f t="shared" si="81"/>
        <v>0</v>
      </c>
      <c r="AB109" s="1">
        <f t="shared" si="82"/>
        <v>0</v>
      </c>
      <c r="AD109" s="1">
        <f t="shared" si="83"/>
        <v>1</v>
      </c>
      <c r="AE109" s="1">
        <f t="shared" si="84"/>
        <v>0</v>
      </c>
      <c r="AF109" s="1">
        <f t="shared" si="69"/>
        <v>1</v>
      </c>
      <c r="AG109" s="1">
        <f t="shared" si="70"/>
        <v>0</v>
      </c>
      <c r="AH109" s="1">
        <f t="shared" si="71"/>
        <v>1</v>
      </c>
      <c r="AI109" s="1">
        <f t="shared" si="72"/>
        <v>0</v>
      </c>
    </row>
    <row r="110" spans="1:35" ht="14.25" customHeight="1" x14ac:dyDescent="0.25">
      <c r="A110" s="31">
        <v>0</v>
      </c>
      <c r="B110" s="31">
        <v>1</v>
      </c>
      <c r="C110" s="31">
        <v>3</v>
      </c>
      <c r="D110" s="32" t="s">
        <v>141</v>
      </c>
      <c r="E110" s="32" t="s">
        <v>175</v>
      </c>
      <c r="F110" s="32" t="s">
        <v>342</v>
      </c>
      <c r="G110" s="32" t="s">
        <v>39</v>
      </c>
      <c r="H110" s="32" t="s">
        <v>376</v>
      </c>
      <c r="I110" s="31" t="s">
        <v>489</v>
      </c>
      <c r="J110" s="31">
        <v>16</v>
      </c>
      <c r="K110" s="33" t="s">
        <v>702</v>
      </c>
      <c r="L110" s="33" t="s">
        <v>688</v>
      </c>
      <c r="M110" s="34" t="s">
        <v>1393</v>
      </c>
      <c r="N110" s="34" t="s">
        <v>1748</v>
      </c>
      <c r="O110" s="35">
        <v>1</v>
      </c>
      <c r="P110" s="35"/>
      <c r="Q110" s="32"/>
      <c r="S110" s="1">
        <f t="shared" si="73"/>
        <v>0</v>
      </c>
      <c r="T110" s="1">
        <f t="shared" si="74"/>
        <v>0</v>
      </c>
      <c r="U110" s="1">
        <f t="shared" si="75"/>
        <v>0</v>
      </c>
      <c r="V110" s="1">
        <f t="shared" si="76"/>
        <v>0</v>
      </c>
      <c r="W110" s="1">
        <f t="shared" si="77"/>
        <v>0</v>
      </c>
      <c r="X110" s="1">
        <f t="shared" si="78"/>
        <v>0</v>
      </c>
      <c r="Y110" s="1">
        <f t="shared" si="79"/>
        <v>0</v>
      </c>
      <c r="Z110" s="1">
        <f t="shared" si="80"/>
        <v>0</v>
      </c>
      <c r="AA110" s="1">
        <f t="shared" si="81"/>
        <v>0</v>
      </c>
      <c r="AB110" s="1">
        <f t="shared" si="82"/>
        <v>0</v>
      </c>
      <c r="AD110" s="1">
        <f t="shared" si="83"/>
        <v>0</v>
      </c>
      <c r="AE110" s="1">
        <f t="shared" si="84"/>
        <v>1</v>
      </c>
      <c r="AF110" s="1">
        <f t="shared" si="69"/>
        <v>0</v>
      </c>
      <c r="AG110" s="1">
        <f t="shared" si="70"/>
        <v>1</v>
      </c>
      <c r="AH110" s="1">
        <f t="shared" si="71"/>
        <v>0</v>
      </c>
      <c r="AI110" s="1">
        <f t="shared" si="72"/>
        <v>1</v>
      </c>
    </row>
    <row r="111" spans="1:35" ht="14.25" customHeight="1" x14ac:dyDescent="0.25">
      <c r="A111" s="31">
        <v>0</v>
      </c>
      <c r="B111" s="31">
        <v>1</v>
      </c>
      <c r="C111" s="31">
        <v>3</v>
      </c>
      <c r="D111" s="32" t="s">
        <v>817</v>
      </c>
      <c r="E111" s="32" t="s">
        <v>172</v>
      </c>
      <c r="F111" s="32" t="s">
        <v>818</v>
      </c>
      <c r="G111" s="32" t="s">
        <v>39</v>
      </c>
      <c r="H111" s="32" t="s">
        <v>819</v>
      </c>
      <c r="I111" s="31" t="s">
        <v>820</v>
      </c>
      <c r="J111" s="31">
        <v>16</v>
      </c>
      <c r="K111" s="33" t="s">
        <v>702</v>
      </c>
      <c r="L111" s="33" t="s">
        <v>688</v>
      </c>
      <c r="M111" s="34" t="s">
        <v>1393</v>
      </c>
      <c r="N111" s="34" t="s">
        <v>1727</v>
      </c>
      <c r="O111" s="35">
        <v>1</v>
      </c>
      <c r="P111" s="35">
        <v>1</v>
      </c>
      <c r="Q111" s="32"/>
      <c r="S111" s="1">
        <f t="shared" si="73"/>
        <v>0</v>
      </c>
      <c r="T111" s="1">
        <f t="shared" si="74"/>
        <v>0</v>
      </c>
      <c r="U111" s="1">
        <f t="shared" si="75"/>
        <v>0</v>
      </c>
      <c r="V111" s="1">
        <f t="shared" si="76"/>
        <v>0</v>
      </c>
      <c r="W111" s="1">
        <f t="shared" si="77"/>
        <v>0</v>
      </c>
      <c r="X111" s="1">
        <f t="shared" si="78"/>
        <v>0</v>
      </c>
      <c r="Y111" s="1">
        <f t="shared" si="79"/>
        <v>0</v>
      </c>
      <c r="Z111" s="1">
        <f t="shared" si="80"/>
        <v>0</v>
      </c>
      <c r="AA111" s="1">
        <f t="shared" si="81"/>
        <v>0</v>
      </c>
      <c r="AB111" s="1">
        <f t="shared" si="82"/>
        <v>0</v>
      </c>
      <c r="AD111" s="1">
        <f t="shared" si="83"/>
        <v>1</v>
      </c>
      <c r="AE111" s="1">
        <f t="shared" si="84"/>
        <v>0</v>
      </c>
      <c r="AF111" s="1">
        <f t="shared" si="69"/>
        <v>1</v>
      </c>
      <c r="AG111" s="1">
        <f t="shared" si="70"/>
        <v>0</v>
      </c>
      <c r="AH111" s="1">
        <f t="shared" si="71"/>
        <v>1</v>
      </c>
      <c r="AI111" s="1">
        <f t="shared" si="72"/>
        <v>0</v>
      </c>
    </row>
    <row r="112" spans="1:35" ht="14.25" customHeight="1" x14ac:dyDescent="0.25">
      <c r="A112" s="15">
        <v>0</v>
      </c>
      <c r="B112" s="15">
        <v>1</v>
      </c>
      <c r="C112" s="15">
        <v>3</v>
      </c>
      <c r="D112" s="16" t="s">
        <v>108</v>
      </c>
      <c r="E112" s="16" t="s">
        <v>170</v>
      </c>
      <c r="F112" s="16" t="s">
        <v>306</v>
      </c>
      <c r="G112" s="16" t="s">
        <v>39</v>
      </c>
      <c r="H112" s="16" t="s">
        <v>361</v>
      </c>
      <c r="I112" s="15" t="s">
        <v>455</v>
      </c>
      <c r="J112" s="15">
        <v>18</v>
      </c>
      <c r="K112" s="10" t="s">
        <v>703</v>
      </c>
      <c r="L112" s="10" t="s">
        <v>688</v>
      </c>
      <c r="M112" s="19" t="s">
        <v>691</v>
      </c>
      <c r="N112" s="17"/>
      <c r="Q112" s="20" t="s">
        <v>1883</v>
      </c>
      <c r="S112" s="1">
        <f t="shared" si="73"/>
        <v>0</v>
      </c>
      <c r="T112" s="1">
        <f t="shared" si="74"/>
        <v>0</v>
      </c>
      <c r="U112" s="1">
        <f t="shared" si="75"/>
        <v>0</v>
      </c>
      <c r="V112" s="1">
        <f t="shared" si="76"/>
        <v>0</v>
      </c>
      <c r="W112" s="1">
        <f t="shared" si="77"/>
        <v>0</v>
      </c>
      <c r="X112" s="1">
        <f t="shared" si="78"/>
        <v>0</v>
      </c>
      <c r="Y112" s="1">
        <f t="shared" si="79"/>
        <v>0</v>
      </c>
      <c r="Z112" s="1">
        <f t="shared" si="80"/>
        <v>0</v>
      </c>
      <c r="AA112" s="1">
        <f t="shared" si="81"/>
        <v>0</v>
      </c>
      <c r="AB112" s="1">
        <f t="shared" si="82"/>
        <v>0</v>
      </c>
      <c r="AD112" s="1">
        <f t="shared" si="83"/>
        <v>0</v>
      </c>
      <c r="AE112" s="1">
        <f t="shared" si="84"/>
        <v>0</v>
      </c>
      <c r="AF112" s="1">
        <f t="shared" si="69"/>
        <v>0</v>
      </c>
      <c r="AG112" s="1">
        <f t="shared" si="70"/>
        <v>0</v>
      </c>
      <c r="AH112" s="1">
        <f t="shared" si="71"/>
        <v>0</v>
      </c>
      <c r="AI112" s="1">
        <f t="shared" si="72"/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1505</v>
      </c>
      <c r="E113" s="32" t="s">
        <v>170</v>
      </c>
      <c r="F113" s="32" t="s">
        <v>1506</v>
      </c>
      <c r="G113" s="32" t="s">
        <v>39</v>
      </c>
      <c r="H113" s="32" t="s">
        <v>374</v>
      </c>
      <c r="I113" s="31" t="s">
        <v>1507</v>
      </c>
      <c r="J113" s="31">
        <v>11</v>
      </c>
      <c r="K113" s="33" t="s">
        <v>722</v>
      </c>
      <c r="L113" s="33">
        <v>50</v>
      </c>
      <c r="M113" s="34" t="s">
        <v>39</v>
      </c>
      <c r="N113" s="34" t="s">
        <v>1749</v>
      </c>
      <c r="O113" s="35">
        <v>1</v>
      </c>
      <c r="P113" s="35"/>
      <c r="Q113" s="32"/>
      <c r="S113" s="1">
        <f t="shared" si="73"/>
        <v>0</v>
      </c>
      <c r="T113" s="1">
        <f t="shared" si="74"/>
        <v>0</v>
      </c>
      <c r="U113" s="1">
        <f t="shared" si="75"/>
        <v>0</v>
      </c>
      <c r="V113" s="1">
        <f t="shared" si="76"/>
        <v>0</v>
      </c>
      <c r="W113" s="1">
        <f t="shared" si="77"/>
        <v>0</v>
      </c>
      <c r="X113" s="1">
        <f t="shared" si="78"/>
        <v>0</v>
      </c>
      <c r="Y113" s="1">
        <f t="shared" si="79"/>
        <v>0</v>
      </c>
      <c r="Z113" s="1">
        <f t="shared" si="80"/>
        <v>0</v>
      </c>
      <c r="AA113" s="1">
        <f t="shared" si="81"/>
        <v>0</v>
      </c>
      <c r="AB113" s="1">
        <f t="shared" si="82"/>
        <v>0</v>
      </c>
      <c r="AD113" s="1">
        <f t="shared" si="83"/>
        <v>0</v>
      </c>
      <c r="AE113" s="1">
        <f t="shared" si="84"/>
        <v>1</v>
      </c>
      <c r="AF113" s="1">
        <f t="shared" si="69"/>
        <v>0</v>
      </c>
      <c r="AG113" s="1">
        <f t="shared" si="70"/>
        <v>1</v>
      </c>
      <c r="AH113" s="1">
        <f t="shared" si="71"/>
        <v>0</v>
      </c>
      <c r="AI113" s="1">
        <f t="shared" si="72"/>
        <v>1</v>
      </c>
    </row>
    <row r="114" spans="1:35" ht="14.25" customHeight="1" x14ac:dyDescent="0.25">
      <c r="A114" s="44">
        <v>0</v>
      </c>
      <c r="B114" s="44">
        <v>1</v>
      </c>
      <c r="C114" s="44">
        <v>3</v>
      </c>
      <c r="D114" s="45" t="s">
        <v>107</v>
      </c>
      <c r="E114" s="45" t="s">
        <v>170</v>
      </c>
      <c r="F114" s="45" t="s">
        <v>305</v>
      </c>
      <c r="G114" s="45" t="s">
        <v>39</v>
      </c>
      <c r="H114" s="45" t="s">
        <v>360</v>
      </c>
      <c r="I114" s="44" t="s">
        <v>454</v>
      </c>
      <c r="J114" s="44">
        <v>18</v>
      </c>
      <c r="K114" s="46" t="s">
        <v>702</v>
      </c>
      <c r="L114" s="46">
        <v>55</v>
      </c>
      <c r="M114" s="47" t="s">
        <v>691</v>
      </c>
      <c r="N114" s="47" t="s">
        <v>1734</v>
      </c>
      <c r="O114" s="48"/>
      <c r="P114" s="48"/>
      <c r="Q114" s="45"/>
      <c r="S114" s="1">
        <f t="shared" si="73"/>
        <v>0</v>
      </c>
      <c r="T114" s="1">
        <f t="shared" si="74"/>
        <v>0</v>
      </c>
      <c r="U114" s="1">
        <f t="shared" si="75"/>
        <v>0</v>
      </c>
      <c r="V114" s="1">
        <f t="shared" si="76"/>
        <v>0</v>
      </c>
      <c r="W114" s="1">
        <f t="shared" si="77"/>
        <v>0</v>
      </c>
      <c r="X114" s="1">
        <f t="shared" si="78"/>
        <v>0</v>
      </c>
      <c r="Y114" s="1">
        <f t="shared" si="79"/>
        <v>0</v>
      </c>
      <c r="Z114" s="1">
        <f t="shared" si="80"/>
        <v>0</v>
      </c>
      <c r="AA114" s="1">
        <f t="shared" si="81"/>
        <v>0</v>
      </c>
      <c r="AB114" s="1">
        <f t="shared" si="82"/>
        <v>0</v>
      </c>
      <c r="AD114" s="1">
        <f t="shared" si="83"/>
        <v>0</v>
      </c>
      <c r="AE114" s="1">
        <f t="shared" si="84"/>
        <v>0</v>
      </c>
      <c r="AF114" s="1">
        <f t="shared" si="69"/>
        <v>0</v>
      </c>
      <c r="AG114" s="1">
        <f t="shared" si="70"/>
        <v>0</v>
      </c>
      <c r="AH114" s="1">
        <f t="shared" si="71"/>
        <v>0</v>
      </c>
      <c r="AI114" s="1">
        <f t="shared" si="72"/>
        <v>1</v>
      </c>
    </row>
    <row r="115" spans="1:35" ht="14.25" customHeight="1" x14ac:dyDescent="0.25">
      <c r="A115" s="31">
        <v>0</v>
      </c>
      <c r="B115" s="31">
        <v>1</v>
      </c>
      <c r="C115" s="31">
        <v>3</v>
      </c>
      <c r="D115" s="32" t="s">
        <v>128</v>
      </c>
      <c r="E115" s="32" t="s">
        <v>175</v>
      </c>
      <c r="F115" s="32" t="s">
        <v>329</v>
      </c>
      <c r="G115" s="32" t="s">
        <v>39</v>
      </c>
      <c r="H115" s="32" t="s">
        <v>375</v>
      </c>
      <c r="I115" s="31" t="s">
        <v>477</v>
      </c>
      <c r="J115" s="31">
        <v>12</v>
      </c>
      <c r="K115" s="33" t="s">
        <v>702</v>
      </c>
      <c r="L115" s="33">
        <v>35</v>
      </c>
      <c r="M115" s="34" t="s">
        <v>691</v>
      </c>
      <c r="N115" s="34" t="s">
        <v>1749</v>
      </c>
      <c r="O115" s="35">
        <v>1</v>
      </c>
      <c r="P115" s="35"/>
      <c r="Q115" s="32"/>
      <c r="S115" s="1">
        <f t="shared" si="73"/>
        <v>0</v>
      </c>
      <c r="T115" s="1">
        <f t="shared" si="74"/>
        <v>0</v>
      </c>
      <c r="U115" s="1">
        <f t="shared" si="75"/>
        <v>0</v>
      </c>
      <c r="V115" s="1">
        <f t="shared" si="76"/>
        <v>0</v>
      </c>
      <c r="W115" s="1">
        <f t="shared" si="77"/>
        <v>0</v>
      </c>
      <c r="X115" s="1">
        <f t="shared" si="78"/>
        <v>0</v>
      </c>
      <c r="Y115" s="1">
        <f t="shared" si="79"/>
        <v>0</v>
      </c>
      <c r="Z115" s="1">
        <f t="shared" si="80"/>
        <v>0</v>
      </c>
      <c r="AA115" s="1">
        <f t="shared" si="81"/>
        <v>0</v>
      </c>
      <c r="AB115" s="1">
        <f t="shared" si="82"/>
        <v>0</v>
      </c>
      <c r="AD115" s="1">
        <f t="shared" si="83"/>
        <v>0</v>
      </c>
      <c r="AE115" s="1">
        <f t="shared" si="84"/>
        <v>1</v>
      </c>
      <c r="AF115" s="1">
        <f t="shared" si="69"/>
        <v>0</v>
      </c>
      <c r="AG115" s="1">
        <f t="shared" si="70"/>
        <v>1</v>
      </c>
      <c r="AH115" s="1">
        <f t="shared" si="71"/>
        <v>0</v>
      </c>
      <c r="AI115" s="1">
        <f t="shared" si="72"/>
        <v>1</v>
      </c>
    </row>
    <row r="116" spans="1:35" ht="14.25" customHeight="1" x14ac:dyDescent="0.25">
      <c r="A116" s="31">
        <v>0</v>
      </c>
      <c r="B116" s="31">
        <v>1</v>
      </c>
      <c r="C116" s="31">
        <v>3</v>
      </c>
      <c r="D116" s="32" t="s">
        <v>994</v>
      </c>
      <c r="E116" s="32" t="s">
        <v>170</v>
      </c>
      <c r="F116" s="32" t="s">
        <v>1093</v>
      </c>
      <c r="G116" s="32" t="s">
        <v>232</v>
      </c>
      <c r="H116" s="32" t="s">
        <v>354</v>
      </c>
      <c r="I116" s="31" t="s">
        <v>995</v>
      </c>
      <c r="J116" s="31">
        <v>99</v>
      </c>
      <c r="K116" s="33" t="s">
        <v>956</v>
      </c>
      <c r="L116" s="33">
        <v>40</v>
      </c>
      <c r="M116" s="34" t="s">
        <v>39</v>
      </c>
      <c r="N116" s="34" t="s">
        <v>1946</v>
      </c>
      <c r="O116" s="35">
        <v>1</v>
      </c>
      <c r="P116" s="35"/>
      <c r="Q116" s="32"/>
      <c r="S116" s="1">
        <f t="shared" si="73"/>
        <v>0</v>
      </c>
      <c r="T116" s="1">
        <f t="shared" si="74"/>
        <v>0</v>
      </c>
      <c r="U116" s="1">
        <f t="shared" si="75"/>
        <v>0</v>
      </c>
      <c r="V116" s="1">
        <f t="shared" si="76"/>
        <v>0</v>
      </c>
      <c r="W116" s="1">
        <f t="shared" si="77"/>
        <v>0</v>
      </c>
      <c r="X116" s="1">
        <f t="shared" si="78"/>
        <v>0</v>
      </c>
      <c r="Y116" s="1">
        <f t="shared" si="79"/>
        <v>0</v>
      </c>
      <c r="Z116" s="1">
        <f t="shared" si="80"/>
        <v>0</v>
      </c>
      <c r="AA116" s="1">
        <f t="shared" si="81"/>
        <v>0</v>
      </c>
      <c r="AB116" s="1">
        <f t="shared" si="82"/>
        <v>0</v>
      </c>
      <c r="AD116" s="1">
        <f t="shared" si="83"/>
        <v>0</v>
      </c>
      <c r="AE116" s="1">
        <f t="shared" si="84"/>
        <v>1</v>
      </c>
      <c r="AF116" s="1">
        <f t="shared" si="69"/>
        <v>0</v>
      </c>
      <c r="AG116" s="1">
        <f t="shared" si="70"/>
        <v>1</v>
      </c>
      <c r="AH116" s="1">
        <f t="shared" si="71"/>
        <v>0</v>
      </c>
      <c r="AI116" s="1">
        <f t="shared" si="72"/>
        <v>1</v>
      </c>
    </row>
    <row r="117" spans="1:35" ht="14.25" customHeight="1" x14ac:dyDescent="0.25">
      <c r="A117" s="31">
        <v>0</v>
      </c>
      <c r="B117" s="31">
        <v>1</v>
      </c>
      <c r="C117" s="31">
        <v>3</v>
      </c>
      <c r="D117" s="32" t="s">
        <v>129</v>
      </c>
      <c r="E117" s="32" t="s">
        <v>170</v>
      </c>
      <c r="F117" s="32" t="s">
        <v>330</v>
      </c>
      <c r="G117" s="32" t="s">
        <v>39</v>
      </c>
      <c r="H117" s="32" t="s">
        <v>371</v>
      </c>
      <c r="I117" s="31" t="s">
        <v>478</v>
      </c>
      <c r="J117" s="31">
        <v>11</v>
      </c>
      <c r="K117" s="33" t="s">
        <v>702</v>
      </c>
      <c r="L117" s="33" t="s">
        <v>39</v>
      </c>
      <c r="M117" s="34" t="s">
        <v>39</v>
      </c>
      <c r="N117" s="34" t="s">
        <v>1727</v>
      </c>
      <c r="O117" s="35">
        <v>1</v>
      </c>
      <c r="P117" s="35">
        <v>1</v>
      </c>
      <c r="Q117" s="32" t="s">
        <v>2040</v>
      </c>
      <c r="S117" s="1">
        <f t="shared" si="73"/>
        <v>0</v>
      </c>
      <c r="T117" s="1">
        <f t="shared" si="74"/>
        <v>0</v>
      </c>
      <c r="U117" s="1">
        <f t="shared" si="75"/>
        <v>0</v>
      </c>
      <c r="V117" s="1">
        <f t="shared" si="76"/>
        <v>0</v>
      </c>
      <c r="W117" s="1">
        <f t="shared" si="77"/>
        <v>0</v>
      </c>
      <c r="X117" s="1">
        <f t="shared" si="78"/>
        <v>0</v>
      </c>
      <c r="Y117" s="1">
        <f t="shared" si="79"/>
        <v>0</v>
      </c>
      <c r="Z117" s="1">
        <f t="shared" si="80"/>
        <v>0</v>
      </c>
      <c r="AA117" s="1">
        <f t="shared" si="81"/>
        <v>0</v>
      </c>
      <c r="AB117" s="1">
        <f t="shared" si="82"/>
        <v>0</v>
      </c>
      <c r="AD117" s="1">
        <f t="shared" si="83"/>
        <v>1</v>
      </c>
      <c r="AE117" s="1">
        <f t="shared" si="84"/>
        <v>0</v>
      </c>
      <c r="AF117" s="1">
        <f t="shared" si="69"/>
        <v>1</v>
      </c>
      <c r="AG117" s="1">
        <f t="shared" si="70"/>
        <v>0</v>
      </c>
      <c r="AH117" s="1">
        <f t="shared" si="71"/>
        <v>1</v>
      </c>
      <c r="AI117" s="1">
        <f t="shared" si="72"/>
        <v>0</v>
      </c>
    </row>
    <row r="118" spans="1:35" ht="14.25" customHeight="1" x14ac:dyDescent="0.25">
      <c r="A118" s="15">
        <v>0</v>
      </c>
      <c r="B118" s="15">
        <v>1</v>
      </c>
      <c r="C118" s="15">
        <v>3</v>
      </c>
      <c r="D118" s="16" t="s">
        <v>1320</v>
      </c>
      <c r="E118" s="16" t="s">
        <v>172</v>
      </c>
      <c r="F118" s="16" t="s">
        <v>1343</v>
      </c>
      <c r="G118" s="16" t="s">
        <v>39</v>
      </c>
      <c r="H118" s="16" t="s">
        <v>988</v>
      </c>
      <c r="I118" s="15" t="s">
        <v>989</v>
      </c>
      <c r="J118" s="15">
        <v>14</v>
      </c>
      <c r="K118" s="10" t="s">
        <v>703</v>
      </c>
      <c r="L118" s="10">
        <v>30</v>
      </c>
      <c r="M118" s="19" t="s">
        <v>971</v>
      </c>
      <c r="N118" s="17"/>
      <c r="Q118" s="16"/>
      <c r="S118" s="1">
        <f t="shared" si="73"/>
        <v>0</v>
      </c>
      <c r="T118" s="1">
        <f t="shared" si="74"/>
        <v>0</v>
      </c>
      <c r="U118" s="1">
        <f t="shared" si="75"/>
        <v>0</v>
      </c>
      <c r="V118" s="1">
        <f t="shared" si="76"/>
        <v>0</v>
      </c>
      <c r="W118" s="1">
        <f t="shared" si="77"/>
        <v>0</v>
      </c>
      <c r="X118" s="1">
        <f t="shared" si="78"/>
        <v>0</v>
      </c>
      <c r="Y118" s="1">
        <f t="shared" si="79"/>
        <v>0</v>
      </c>
      <c r="Z118" s="1">
        <f t="shared" si="80"/>
        <v>0</v>
      </c>
      <c r="AA118" s="1">
        <f t="shared" si="81"/>
        <v>0</v>
      </c>
      <c r="AB118" s="1">
        <f t="shared" si="82"/>
        <v>0</v>
      </c>
      <c r="AD118" s="1">
        <f t="shared" si="83"/>
        <v>0</v>
      </c>
      <c r="AE118" s="1">
        <f t="shared" si="84"/>
        <v>0</v>
      </c>
      <c r="AF118" s="1">
        <f t="shared" si="69"/>
        <v>0</v>
      </c>
      <c r="AG118" s="1">
        <f t="shared" si="70"/>
        <v>0</v>
      </c>
      <c r="AH118" s="1">
        <f t="shared" si="71"/>
        <v>0</v>
      </c>
      <c r="AI118" s="1">
        <f t="shared" si="72"/>
        <v>1</v>
      </c>
    </row>
    <row r="119" spans="1:35" ht="14.25" customHeight="1" x14ac:dyDescent="0.25">
      <c r="A119" s="44">
        <v>0</v>
      </c>
      <c r="B119" s="44">
        <v>1</v>
      </c>
      <c r="C119" s="44">
        <v>3</v>
      </c>
      <c r="D119" s="45" t="s">
        <v>699</v>
      </c>
      <c r="E119" s="45" t="s">
        <v>175</v>
      </c>
      <c r="F119" s="45" t="s">
        <v>700</v>
      </c>
      <c r="G119" s="45" t="s">
        <v>39</v>
      </c>
      <c r="H119" s="45" t="s">
        <v>701</v>
      </c>
      <c r="I119" s="44" t="s">
        <v>1115</v>
      </c>
      <c r="J119" s="44">
        <v>13</v>
      </c>
      <c r="K119" s="46" t="s">
        <v>702</v>
      </c>
      <c r="L119" s="46" t="s">
        <v>1699</v>
      </c>
      <c r="M119" s="47" t="s">
        <v>970</v>
      </c>
      <c r="N119" s="47" t="s">
        <v>1802</v>
      </c>
      <c r="O119" s="48"/>
      <c r="P119" s="48"/>
      <c r="Q119" s="45"/>
      <c r="S119" s="1">
        <f t="shared" si="73"/>
        <v>0</v>
      </c>
      <c r="T119" s="1">
        <f t="shared" si="74"/>
        <v>0</v>
      </c>
      <c r="U119" s="1">
        <f t="shared" si="75"/>
        <v>0</v>
      </c>
      <c r="V119" s="1">
        <f t="shared" si="76"/>
        <v>0</v>
      </c>
      <c r="W119" s="1">
        <f t="shared" si="77"/>
        <v>0</v>
      </c>
      <c r="X119" s="1">
        <f t="shared" si="78"/>
        <v>0</v>
      </c>
      <c r="Y119" s="1">
        <f t="shared" si="79"/>
        <v>0</v>
      </c>
      <c r="Z119" s="1">
        <f t="shared" si="80"/>
        <v>0</v>
      </c>
      <c r="AA119" s="1">
        <f t="shared" si="81"/>
        <v>0</v>
      </c>
      <c r="AB119" s="1">
        <f t="shared" si="82"/>
        <v>0</v>
      </c>
      <c r="AD119" s="1">
        <f t="shared" si="83"/>
        <v>0</v>
      </c>
      <c r="AE119" s="1">
        <f t="shared" si="84"/>
        <v>0</v>
      </c>
      <c r="AF119" s="1">
        <f t="shared" si="69"/>
        <v>0</v>
      </c>
      <c r="AG119" s="1">
        <f t="shared" si="70"/>
        <v>0</v>
      </c>
      <c r="AH119" s="1">
        <f t="shared" si="71"/>
        <v>0</v>
      </c>
      <c r="AI119" s="1">
        <f t="shared" si="72"/>
        <v>1</v>
      </c>
    </row>
    <row r="120" spans="1:35" ht="14.25" customHeight="1" x14ac:dyDescent="0.25">
      <c r="A120" s="31">
        <v>0</v>
      </c>
      <c r="B120" s="31">
        <v>1</v>
      </c>
      <c r="C120" s="31">
        <v>3</v>
      </c>
      <c r="D120" s="32" t="s">
        <v>1520</v>
      </c>
      <c r="E120" s="32" t="s">
        <v>170</v>
      </c>
      <c r="F120" s="32" t="s">
        <v>1667</v>
      </c>
      <c r="G120" s="32" t="s">
        <v>39</v>
      </c>
      <c r="H120" s="32" t="s">
        <v>1521</v>
      </c>
      <c r="I120" s="31" t="s">
        <v>1522</v>
      </c>
      <c r="J120" s="31">
        <v>11</v>
      </c>
      <c r="K120" s="33" t="s">
        <v>722</v>
      </c>
      <c r="L120" s="33">
        <v>40</v>
      </c>
      <c r="M120" s="34" t="s">
        <v>39</v>
      </c>
      <c r="N120" s="34" t="s">
        <v>1727</v>
      </c>
      <c r="O120" s="35">
        <v>1</v>
      </c>
      <c r="P120" s="35">
        <v>1</v>
      </c>
      <c r="Q120" s="32"/>
      <c r="S120" s="1">
        <f t="shared" si="73"/>
        <v>0</v>
      </c>
      <c r="T120" s="1">
        <f t="shared" si="74"/>
        <v>0</v>
      </c>
      <c r="U120" s="1">
        <f t="shared" si="75"/>
        <v>0</v>
      </c>
      <c r="V120" s="1">
        <f t="shared" si="76"/>
        <v>0</v>
      </c>
      <c r="W120" s="1">
        <f t="shared" si="77"/>
        <v>0</v>
      </c>
      <c r="X120" s="1">
        <f t="shared" si="78"/>
        <v>0</v>
      </c>
      <c r="Y120" s="1">
        <f t="shared" si="79"/>
        <v>0</v>
      </c>
      <c r="Z120" s="1">
        <f t="shared" si="80"/>
        <v>0</v>
      </c>
      <c r="AA120" s="1">
        <f t="shared" si="81"/>
        <v>0</v>
      </c>
      <c r="AB120" s="1">
        <f t="shared" si="82"/>
        <v>0</v>
      </c>
      <c r="AD120" s="1">
        <f t="shared" si="83"/>
        <v>1</v>
      </c>
      <c r="AE120" s="1">
        <f t="shared" si="84"/>
        <v>0</v>
      </c>
      <c r="AF120" s="1">
        <f t="shared" si="69"/>
        <v>1</v>
      </c>
      <c r="AG120" s="1">
        <f t="shared" si="70"/>
        <v>0</v>
      </c>
      <c r="AH120" s="1">
        <f t="shared" si="71"/>
        <v>1</v>
      </c>
      <c r="AI120" s="1">
        <f t="shared" si="72"/>
        <v>0</v>
      </c>
    </row>
    <row r="121" spans="1:35" ht="14.25" customHeight="1" x14ac:dyDescent="0.25">
      <c r="A121" s="15">
        <v>0</v>
      </c>
      <c r="B121" s="15">
        <v>1</v>
      </c>
      <c r="C121" s="15">
        <v>3</v>
      </c>
      <c r="D121" s="16" t="s">
        <v>146</v>
      </c>
      <c r="E121" s="16" t="s">
        <v>172</v>
      </c>
      <c r="F121" s="16" t="s">
        <v>348</v>
      </c>
      <c r="G121" s="16" t="s">
        <v>39</v>
      </c>
      <c r="H121" s="16" t="s">
        <v>367</v>
      </c>
      <c r="I121" s="15" t="s">
        <v>493</v>
      </c>
      <c r="J121" s="15">
        <v>18</v>
      </c>
      <c r="K121" s="10" t="s">
        <v>956</v>
      </c>
      <c r="L121" s="10" t="s">
        <v>697</v>
      </c>
      <c r="M121" s="19" t="s">
        <v>970</v>
      </c>
      <c r="N121" s="17"/>
      <c r="Q121" s="16"/>
      <c r="S121" s="1">
        <f t="shared" si="73"/>
        <v>0</v>
      </c>
      <c r="T121" s="1">
        <f t="shared" si="74"/>
        <v>0</v>
      </c>
      <c r="U121" s="1">
        <f t="shared" si="75"/>
        <v>0</v>
      </c>
      <c r="V121" s="1">
        <f t="shared" si="76"/>
        <v>0</v>
      </c>
      <c r="W121" s="1">
        <f t="shared" si="77"/>
        <v>0</v>
      </c>
      <c r="X121" s="1">
        <f t="shared" si="78"/>
        <v>0</v>
      </c>
      <c r="Y121" s="1">
        <f t="shared" si="79"/>
        <v>0</v>
      </c>
      <c r="Z121" s="1">
        <f t="shared" si="80"/>
        <v>0</v>
      </c>
      <c r="AA121" s="1">
        <f t="shared" si="81"/>
        <v>0</v>
      </c>
      <c r="AB121" s="1">
        <f t="shared" si="82"/>
        <v>0</v>
      </c>
      <c r="AD121" s="1">
        <f t="shared" si="83"/>
        <v>0</v>
      </c>
      <c r="AE121" s="1">
        <f t="shared" si="84"/>
        <v>0</v>
      </c>
      <c r="AF121" s="1">
        <f t="shared" si="69"/>
        <v>0</v>
      </c>
      <c r="AG121" s="1">
        <f t="shared" si="70"/>
        <v>0</v>
      </c>
      <c r="AH121" s="1">
        <f t="shared" si="71"/>
        <v>0</v>
      </c>
      <c r="AI121" s="1">
        <f t="shared" si="72"/>
        <v>1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20" t="s">
        <v>1978</v>
      </c>
      <c r="E122" s="20" t="s">
        <v>172</v>
      </c>
      <c r="F122" s="20" t="s">
        <v>1975</v>
      </c>
      <c r="G122" s="20"/>
      <c r="H122" s="20" t="s">
        <v>1976</v>
      </c>
      <c r="I122" s="21" t="s">
        <v>1974</v>
      </c>
      <c r="J122" s="15">
        <v>17</v>
      </c>
      <c r="K122" s="10" t="s">
        <v>703</v>
      </c>
      <c r="L122" s="10" t="s">
        <v>1742</v>
      </c>
      <c r="M122" s="19" t="s">
        <v>971</v>
      </c>
      <c r="N122" s="17"/>
      <c r="Q122" s="20" t="s">
        <v>1977</v>
      </c>
      <c r="S122" s="1">
        <f t="shared" si="73"/>
        <v>0</v>
      </c>
      <c r="T122" s="1">
        <f t="shared" si="74"/>
        <v>0</v>
      </c>
      <c r="U122" s="1">
        <f t="shared" si="75"/>
        <v>0</v>
      </c>
      <c r="V122" s="1">
        <f t="shared" si="76"/>
        <v>0</v>
      </c>
      <c r="W122" s="1">
        <f t="shared" si="77"/>
        <v>0</v>
      </c>
      <c r="X122" s="1">
        <f t="shared" si="78"/>
        <v>0</v>
      </c>
      <c r="Y122" s="1">
        <f t="shared" si="79"/>
        <v>0</v>
      </c>
      <c r="Z122" s="1">
        <f t="shared" si="80"/>
        <v>0</v>
      </c>
      <c r="AA122" s="1">
        <f t="shared" si="81"/>
        <v>0</v>
      </c>
      <c r="AB122" s="1">
        <f t="shared" si="82"/>
        <v>0</v>
      </c>
      <c r="AD122" s="1">
        <f t="shared" si="83"/>
        <v>0</v>
      </c>
      <c r="AE122" s="1">
        <f t="shared" si="84"/>
        <v>0</v>
      </c>
      <c r="AF122" s="1">
        <f t="shared" si="69"/>
        <v>0</v>
      </c>
      <c r="AG122" s="1">
        <f t="shared" si="70"/>
        <v>0</v>
      </c>
      <c r="AH122" s="1">
        <f t="shared" si="71"/>
        <v>0</v>
      </c>
      <c r="AI122" s="1">
        <f t="shared" si="72"/>
        <v>1</v>
      </c>
    </row>
    <row r="123" spans="1:35" ht="14.25" customHeight="1" x14ac:dyDescent="0.25">
      <c r="A123" s="44">
        <v>0</v>
      </c>
      <c r="B123" s="44">
        <v>1</v>
      </c>
      <c r="C123" s="44">
        <v>3</v>
      </c>
      <c r="D123" s="45" t="s">
        <v>1000</v>
      </c>
      <c r="E123" s="45" t="s">
        <v>172</v>
      </c>
      <c r="F123" s="65" t="s">
        <v>1867</v>
      </c>
      <c r="G123" s="45" t="s">
        <v>39</v>
      </c>
      <c r="H123" s="45" t="s">
        <v>1001</v>
      </c>
      <c r="I123" s="44" t="s">
        <v>1116</v>
      </c>
      <c r="J123" s="44">
        <v>16</v>
      </c>
      <c r="K123" s="46" t="s">
        <v>722</v>
      </c>
      <c r="L123" s="46" t="s">
        <v>1742</v>
      </c>
      <c r="M123" s="47" t="s">
        <v>1394</v>
      </c>
      <c r="N123" s="47" t="s">
        <v>1802</v>
      </c>
      <c r="O123" s="48"/>
      <c r="P123" s="48"/>
      <c r="Q123" s="65" t="s">
        <v>1890</v>
      </c>
      <c r="S123" s="1">
        <f t="shared" si="73"/>
        <v>0</v>
      </c>
      <c r="T123" s="1">
        <f t="shared" si="74"/>
        <v>0</v>
      </c>
      <c r="U123" s="1">
        <f t="shared" si="75"/>
        <v>0</v>
      </c>
      <c r="V123" s="1">
        <f t="shared" si="76"/>
        <v>0</v>
      </c>
      <c r="W123" s="1">
        <f t="shared" si="77"/>
        <v>0</v>
      </c>
      <c r="X123" s="1">
        <f t="shared" si="78"/>
        <v>0</v>
      </c>
      <c r="Y123" s="1">
        <f t="shared" si="79"/>
        <v>0</v>
      </c>
      <c r="Z123" s="1">
        <f t="shared" si="80"/>
        <v>0</v>
      </c>
      <c r="AA123" s="1">
        <f t="shared" si="81"/>
        <v>0</v>
      </c>
      <c r="AB123" s="1">
        <f t="shared" si="82"/>
        <v>0</v>
      </c>
      <c r="AD123" s="1">
        <f t="shared" si="83"/>
        <v>0</v>
      </c>
      <c r="AE123" s="1">
        <f t="shared" si="84"/>
        <v>0</v>
      </c>
      <c r="AF123" s="1">
        <f t="shared" si="69"/>
        <v>0</v>
      </c>
      <c r="AG123" s="1">
        <f t="shared" si="70"/>
        <v>0</v>
      </c>
      <c r="AH123" s="1">
        <f t="shared" si="71"/>
        <v>0</v>
      </c>
      <c r="AI123" s="1">
        <f t="shared" si="72"/>
        <v>1</v>
      </c>
    </row>
    <row r="124" spans="1:35" ht="14.25" customHeight="1" x14ac:dyDescent="0.25">
      <c r="A124" s="15">
        <v>0</v>
      </c>
      <c r="B124" s="15">
        <v>1</v>
      </c>
      <c r="C124" s="15">
        <v>3</v>
      </c>
      <c r="D124" s="16" t="s">
        <v>1127</v>
      </c>
      <c r="E124" s="16" t="s">
        <v>172</v>
      </c>
      <c r="F124" s="16" t="s">
        <v>1344</v>
      </c>
      <c r="G124" s="16" t="s">
        <v>39</v>
      </c>
      <c r="H124" s="16" t="s">
        <v>1129</v>
      </c>
      <c r="I124" s="15" t="s">
        <v>1128</v>
      </c>
      <c r="J124" s="15">
        <v>14</v>
      </c>
      <c r="K124" s="10" t="s">
        <v>958</v>
      </c>
      <c r="L124" s="10" t="s">
        <v>1699</v>
      </c>
      <c r="M124" s="19" t="s">
        <v>1395</v>
      </c>
      <c r="N124" s="17"/>
      <c r="Q124" s="16"/>
      <c r="S124" s="1">
        <f t="shared" si="73"/>
        <v>0</v>
      </c>
      <c r="T124" s="1">
        <f t="shared" si="74"/>
        <v>0</v>
      </c>
      <c r="U124" s="1">
        <f t="shared" si="75"/>
        <v>0</v>
      </c>
      <c r="V124" s="1">
        <f t="shared" si="76"/>
        <v>0</v>
      </c>
      <c r="W124" s="1">
        <f t="shared" si="77"/>
        <v>0</v>
      </c>
      <c r="X124" s="1">
        <f t="shared" si="78"/>
        <v>0</v>
      </c>
      <c r="Y124" s="1">
        <f t="shared" si="79"/>
        <v>0</v>
      </c>
      <c r="Z124" s="1">
        <f t="shared" si="80"/>
        <v>0</v>
      </c>
      <c r="AA124" s="1">
        <f t="shared" si="81"/>
        <v>0</v>
      </c>
      <c r="AB124" s="1">
        <f t="shared" si="82"/>
        <v>0</v>
      </c>
      <c r="AD124" s="1">
        <f t="shared" si="83"/>
        <v>0</v>
      </c>
      <c r="AE124" s="1">
        <f t="shared" si="84"/>
        <v>0</v>
      </c>
      <c r="AF124" s="1">
        <f t="shared" si="69"/>
        <v>0</v>
      </c>
      <c r="AG124" s="1">
        <f t="shared" si="70"/>
        <v>0</v>
      </c>
      <c r="AH124" s="1">
        <f t="shared" si="71"/>
        <v>0</v>
      </c>
      <c r="AI124" s="1">
        <f t="shared" si="72"/>
        <v>1</v>
      </c>
    </row>
    <row r="125" spans="1:35" ht="14.25" customHeight="1" x14ac:dyDescent="0.25">
      <c r="A125" s="31">
        <v>0</v>
      </c>
      <c r="B125" s="31">
        <v>1</v>
      </c>
      <c r="C125" s="31">
        <v>3</v>
      </c>
      <c r="D125" s="32" t="s">
        <v>1078</v>
      </c>
      <c r="E125" s="32" t="s">
        <v>172</v>
      </c>
      <c r="F125" s="32" t="s">
        <v>1040</v>
      </c>
      <c r="G125" s="32" t="s">
        <v>1104</v>
      </c>
      <c r="H125" s="32" t="s">
        <v>354</v>
      </c>
      <c r="I125" s="31" t="s">
        <v>1041</v>
      </c>
      <c r="J125" s="31">
        <v>1</v>
      </c>
      <c r="K125" s="33" t="s">
        <v>958</v>
      </c>
      <c r="L125" s="33" t="s">
        <v>687</v>
      </c>
      <c r="M125" s="34" t="s">
        <v>971</v>
      </c>
      <c r="N125" s="34" t="s">
        <v>1755</v>
      </c>
      <c r="O125" s="35">
        <v>1</v>
      </c>
      <c r="P125" s="35"/>
      <c r="Q125" s="32"/>
      <c r="S125" s="1">
        <f t="shared" si="73"/>
        <v>1</v>
      </c>
      <c r="T125" s="1">
        <f t="shared" si="74"/>
        <v>0</v>
      </c>
      <c r="U125" s="1">
        <f t="shared" si="75"/>
        <v>0</v>
      </c>
      <c r="V125" s="1">
        <f t="shared" si="76"/>
        <v>0</v>
      </c>
      <c r="W125" s="1">
        <f t="shared" si="77"/>
        <v>0</v>
      </c>
      <c r="X125" s="1">
        <f t="shared" si="78"/>
        <v>0</v>
      </c>
      <c r="Y125" s="1">
        <f t="shared" si="79"/>
        <v>0</v>
      </c>
      <c r="Z125" s="1">
        <f t="shared" si="80"/>
        <v>0</v>
      </c>
      <c r="AA125" s="1">
        <f t="shared" si="81"/>
        <v>0</v>
      </c>
      <c r="AB125" s="1">
        <f t="shared" si="82"/>
        <v>0</v>
      </c>
      <c r="AD125" s="1">
        <f t="shared" si="83"/>
        <v>0</v>
      </c>
      <c r="AE125" s="1">
        <f t="shared" si="84"/>
        <v>1</v>
      </c>
      <c r="AF125" s="1">
        <f t="shared" si="69"/>
        <v>0</v>
      </c>
      <c r="AG125" s="1">
        <f t="shared" si="70"/>
        <v>1</v>
      </c>
      <c r="AH125" s="1">
        <f t="shared" si="71"/>
        <v>0</v>
      </c>
      <c r="AI125" s="1">
        <f t="shared" si="72"/>
        <v>1</v>
      </c>
    </row>
    <row r="126" spans="1:35" ht="14.25" customHeight="1" x14ac:dyDescent="0.25">
      <c r="A126" s="31">
        <v>0</v>
      </c>
      <c r="B126" s="31">
        <v>1</v>
      </c>
      <c r="C126" s="31">
        <v>3</v>
      </c>
      <c r="D126" s="32" t="s">
        <v>1629</v>
      </c>
      <c r="E126" s="32" t="s">
        <v>1087</v>
      </c>
      <c r="F126" s="32" t="s">
        <v>1630</v>
      </c>
      <c r="G126" s="32" t="s">
        <v>39</v>
      </c>
      <c r="H126" s="32" t="s">
        <v>1631</v>
      </c>
      <c r="I126" s="31" t="s">
        <v>1632</v>
      </c>
      <c r="J126" s="31">
        <v>15</v>
      </c>
      <c r="K126" s="33" t="s">
        <v>958</v>
      </c>
      <c r="L126" s="33" t="s">
        <v>39</v>
      </c>
      <c r="M126" s="34" t="s">
        <v>39</v>
      </c>
      <c r="N126" s="34" t="s">
        <v>1748</v>
      </c>
      <c r="O126" s="35">
        <v>1</v>
      </c>
      <c r="P126" s="35"/>
      <c r="Q126" s="36" t="s">
        <v>1895</v>
      </c>
      <c r="S126" s="1">
        <f t="shared" si="73"/>
        <v>0</v>
      </c>
      <c r="T126" s="1">
        <f t="shared" si="74"/>
        <v>0</v>
      </c>
      <c r="U126" s="1">
        <f t="shared" si="75"/>
        <v>0</v>
      </c>
      <c r="V126" s="1">
        <f t="shared" si="76"/>
        <v>0</v>
      </c>
      <c r="W126" s="1">
        <f t="shared" si="77"/>
        <v>0</v>
      </c>
      <c r="X126" s="1">
        <f t="shared" si="78"/>
        <v>0</v>
      </c>
      <c r="Y126" s="1">
        <f t="shared" si="79"/>
        <v>0</v>
      </c>
      <c r="Z126" s="1">
        <f t="shared" si="80"/>
        <v>0</v>
      </c>
      <c r="AA126" s="1">
        <f t="shared" si="81"/>
        <v>0</v>
      </c>
      <c r="AB126" s="1">
        <f t="shared" si="82"/>
        <v>0</v>
      </c>
      <c r="AD126" s="1">
        <f t="shared" si="83"/>
        <v>0</v>
      </c>
      <c r="AE126" s="1">
        <f t="shared" si="84"/>
        <v>1</v>
      </c>
      <c r="AF126" s="1">
        <f t="shared" si="69"/>
        <v>0</v>
      </c>
      <c r="AG126" s="1">
        <f t="shared" si="70"/>
        <v>1</v>
      </c>
      <c r="AH126" s="1">
        <f t="shared" si="71"/>
        <v>0</v>
      </c>
      <c r="AI126" s="1">
        <f t="shared" si="72"/>
        <v>1</v>
      </c>
    </row>
    <row r="127" spans="1:35" ht="14.25" customHeight="1" x14ac:dyDescent="0.25">
      <c r="A127" s="15">
        <v>0</v>
      </c>
      <c r="B127" s="15">
        <v>1</v>
      </c>
      <c r="C127" s="15">
        <v>3</v>
      </c>
      <c r="D127" s="16" t="s">
        <v>613</v>
      </c>
      <c r="E127" s="16" t="s">
        <v>170</v>
      </c>
      <c r="F127" s="16" t="s">
        <v>614</v>
      </c>
      <c r="G127" s="16" t="s">
        <v>39</v>
      </c>
      <c r="H127" s="16" t="s">
        <v>366</v>
      </c>
      <c r="I127" s="15" t="s">
        <v>615</v>
      </c>
      <c r="J127" s="15">
        <v>18</v>
      </c>
      <c r="K127" s="10" t="s">
        <v>722</v>
      </c>
      <c r="L127" s="10" t="s">
        <v>1742</v>
      </c>
      <c r="M127" s="19" t="s">
        <v>39</v>
      </c>
      <c r="N127" s="17"/>
      <c r="Q127" s="16"/>
      <c r="S127" s="1">
        <f t="shared" si="73"/>
        <v>0</v>
      </c>
      <c r="T127" s="1">
        <f t="shared" si="74"/>
        <v>0</v>
      </c>
      <c r="U127" s="1">
        <f t="shared" si="75"/>
        <v>0</v>
      </c>
      <c r="V127" s="1">
        <f t="shared" si="76"/>
        <v>0</v>
      </c>
      <c r="W127" s="1">
        <f t="shared" si="77"/>
        <v>0</v>
      </c>
      <c r="X127" s="1">
        <f t="shared" si="78"/>
        <v>0</v>
      </c>
      <c r="Y127" s="1">
        <f t="shared" si="79"/>
        <v>0</v>
      </c>
      <c r="Z127" s="1">
        <f t="shared" si="80"/>
        <v>0</v>
      </c>
      <c r="AA127" s="1">
        <f t="shared" si="81"/>
        <v>0</v>
      </c>
      <c r="AB127" s="1">
        <f t="shared" si="82"/>
        <v>0</v>
      </c>
      <c r="AD127" s="1">
        <f t="shared" si="83"/>
        <v>0</v>
      </c>
      <c r="AE127" s="1">
        <f t="shared" si="84"/>
        <v>0</v>
      </c>
      <c r="AF127" s="1">
        <f t="shared" si="69"/>
        <v>0</v>
      </c>
      <c r="AG127" s="1">
        <f t="shared" si="70"/>
        <v>0</v>
      </c>
      <c r="AH127" s="1">
        <f t="shared" si="71"/>
        <v>0</v>
      </c>
      <c r="AI127" s="1">
        <f t="shared" si="72"/>
        <v>1</v>
      </c>
    </row>
    <row r="128" spans="1:35" ht="14.25" customHeight="1" x14ac:dyDescent="0.25">
      <c r="A128" s="15">
        <v>0</v>
      </c>
      <c r="B128" s="15">
        <v>1</v>
      </c>
      <c r="C128" s="15">
        <v>3</v>
      </c>
      <c r="D128" s="20" t="s">
        <v>1950</v>
      </c>
      <c r="E128" s="20" t="s">
        <v>172</v>
      </c>
      <c r="F128" s="20" t="s">
        <v>1971</v>
      </c>
      <c r="G128" s="20"/>
      <c r="H128" s="20" t="s">
        <v>1970</v>
      </c>
      <c r="I128" s="21" t="s">
        <v>1972</v>
      </c>
      <c r="J128" s="15">
        <v>15</v>
      </c>
      <c r="K128" s="10" t="s">
        <v>703</v>
      </c>
      <c r="L128" s="10" t="s">
        <v>1742</v>
      </c>
      <c r="M128" s="19" t="s">
        <v>971</v>
      </c>
      <c r="N128" s="17"/>
      <c r="Q128" s="20" t="s">
        <v>1973</v>
      </c>
      <c r="S128" s="1">
        <f t="shared" si="73"/>
        <v>0</v>
      </c>
      <c r="T128" s="1">
        <f t="shared" si="74"/>
        <v>0</v>
      </c>
      <c r="U128" s="1">
        <f t="shared" si="75"/>
        <v>0</v>
      </c>
      <c r="V128" s="1">
        <f t="shared" si="76"/>
        <v>0</v>
      </c>
      <c r="W128" s="1">
        <f t="shared" si="77"/>
        <v>0</v>
      </c>
      <c r="X128" s="1">
        <f t="shared" si="78"/>
        <v>0</v>
      </c>
      <c r="Y128" s="1">
        <f t="shared" si="79"/>
        <v>0</v>
      </c>
      <c r="Z128" s="1">
        <f t="shared" si="80"/>
        <v>0</v>
      </c>
      <c r="AA128" s="1">
        <f t="shared" si="81"/>
        <v>0</v>
      </c>
      <c r="AB128" s="1">
        <f t="shared" si="82"/>
        <v>0</v>
      </c>
      <c r="AD128" s="1">
        <f t="shared" si="83"/>
        <v>0</v>
      </c>
      <c r="AE128" s="1">
        <f t="shared" si="84"/>
        <v>0</v>
      </c>
      <c r="AF128" s="1">
        <f t="shared" si="69"/>
        <v>0</v>
      </c>
      <c r="AG128" s="1">
        <f t="shared" si="70"/>
        <v>0</v>
      </c>
      <c r="AH128" s="1">
        <f t="shared" si="71"/>
        <v>0</v>
      </c>
      <c r="AI128" s="1">
        <f t="shared" si="72"/>
        <v>1</v>
      </c>
    </row>
    <row r="129" spans="1:35" ht="14.25" customHeight="1" x14ac:dyDescent="0.25">
      <c r="A129" s="31">
        <v>0</v>
      </c>
      <c r="B129" s="31">
        <v>1</v>
      </c>
      <c r="C129" s="31">
        <v>3</v>
      </c>
      <c r="D129" s="32" t="s">
        <v>920</v>
      </c>
      <c r="E129" s="32" t="s">
        <v>172</v>
      </c>
      <c r="F129" s="32" t="s">
        <v>1157</v>
      </c>
      <c r="G129" s="32" t="s">
        <v>39</v>
      </c>
      <c r="H129" s="32" t="s">
        <v>363</v>
      </c>
      <c r="I129" s="31" t="s">
        <v>891</v>
      </c>
      <c r="J129" s="31">
        <v>14</v>
      </c>
      <c r="K129" s="33" t="s">
        <v>957</v>
      </c>
      <c r="L129" s="33" t="s">
        <v>39</v>
      </c>
      <c r="M129" s="34" t="s">
        <v>39</v>
      </c>
      <c r="N129" s="34" t="s">
        <v>1733</v>
      </c>
      <c r="O129" s="35">
        <v>1</v>
      </c>
      <c r="P129" s="35">
        <v>1</v>
      </c>
      <c r="Q129" s="36"/>
      <c r="S129" s="1">
        <f t="shared" si="73"/>
        <v>0</v>
      </c>
      <c r="T129" s="1">
        <f t="shared" si="74"/>
        <v>0</v>
      </c>
      <c r="U129" s="1">
        <f t="shared" si="75"/>
        <v>0</v>
      </c>
      <c r="V129" s="1">
        <f t="shared" si="76"/>
        <v>0</v>
      </c>
      <c r="W129" s="1">
        <f t="shared" si="77"/>
        <v>0</v>
      </c>
      <c r="X129" s="1">
        <f t="shared" si="78"/>
        <v>0</v>
      </c>
      <c r="Y129" s="1">
        <f t="shared" si="79"/>
        <v>0</v>
      </c>
      <c r="Z129" s="1">
        <f t="shared" si="80"/>
        <v>0</v>
      </c>
      <c r="AA129" s="1">
        <f t="shared" si="81"/>
        <v>0</v>
      </c>
      <c r="AB129" s="1">
        <f t="shared" si="82"/>
        <v>0</v>
      </c>
      <c r="AD129" s="1">
        <f t="shared" si="83"/>
        <v>1</v>
      </c>
      <c r="AE129" s="1">
        <f t="shared" si="84"/>
        <v>0</v>
      </c>
      <c r="AF129" s="1">
        <f t="shared" si="69"/>
        <v>1</v>
      </c>
      <c r="AG129" s="1">
        <f t="shared" si="70"/>
        <v>0</v>
      </c>
      <c r="AH129" s="1">
        <f t="shared" si="71"/>
        <v>1</v>
      </c>
      <c r="AI129" s="1">
        <f t="shared" si="72"/>
        <v>0</v>
      </c>
    </row>
    <row r="130" spans="1:35" ht="14.25" customHeight="1" x14ac:dyDescent="0.25">
      <c r="A130" s="15">
        <v>0</v>
      </c>
      <c r="B130" s="15">
        <v>1</v>
      </c>
      <c r="C130" s="15">
        <v>3</v>
      </c>
      <c r="D130" s="16" t="s">
        <v>105</v>
      </c>
      <c r="E130" s="16" t="s">
        <v>172</v>
      </c>
      <c r="F130" s="16" t="s">
        <v>931</v>
      </c>
      <c r="G130" s="16" t="s">
        <v>39</v>
      </c>
      <c r="H130" s="16" t="s">
        <v>358</v>
      </c>
      <c r="I130" s="15" t="s">
        <v>452</v>
      </c>
      <c r="J130" s="15">
        <v>18</v>
      </c>
      <c r="K130" s="10" t="s">
        <v>956</v>
      </c>
      <c r="L130" s="10" t="s">
        <v>697</v>
      </c>
      <c r="M130" s="19" t="s">
        <v>691</v>
      </c>
      <c r="N130" s="17"/>
      <c r="Q130" s="16" t="s">
        <v>1888</v>
      </c>
      <c r="S130" s="1">
        <f t="shared" si="73"/>
        <v>0</v>
      </c>
      <c r="T130" s="1">
        <f t="shared" si="74"/>
        <v>0</v>
      </c>
      <c r="U130" s="1">
        <f t="shared" si="75"/>
        <v>0</v>
      </c>
      <c r="V130" s="1">
        <f t="shared" si="76"/>
        <v>0</v>
      </c>
      <c r="W130" s="1">
        <f t="shared" si="77"/>
        <v>0</v>
      </c>
      <c r="X130" s="1">
        <f t="shared" si="78"/>
        <v>0</v>
      </c>
      <c r="Y130" s="1">
        <f t="shared" si="79"/>
        <v>0</v>
      </c>
      <c r="Z130" s="1">
        <f t="shared" si="80"/>
        <v>0</v>
      </c>
      <c r="AA130" s="1">
        <f t="shared" si="81"/>
        <v>0</v>
      </c>
      <c r="AB130" s="1">
        <f t="shared" si="82"/>
        <v>0</v>
      </c>
      <c r="AD130" s="1">
        <f t="shared" si="83"/>
        <v>0</v>
      </c>
      <c r="AE130" s="1">
        <f t="shared" si="84"/>
        <v>0</v>
      </c>
      <c r="AF130" s="1">
        <f t="shared" si="69"/>
        <v>0</v>
      </c>
      <c r="AG130" s="1">
        <f t="shared" si="70"/>
        <v>0</v>
      </c>
      <c r="AH130" s="1">
        <f t="shared" si="71"/>
        <v>0</v>
      </c>
      <c r="AI130" s="1">
        <f t="shared" si="72"/>
        <v>1</v>
      </c>
    </row>
    <row r="131" spans="1:35" ht="14.25" customHeight="1" x14ac:dyDescent="0.25">
      <c r="A131" s="31">
        <v>0</v>
      </c>
      <c r="B131" s="31">
        <v>1</v>
      </c>
      <c r="C131" s="31">
        <v>3</v>
      </c>
      <c r="D131" s="32" t="s">
        <v>1508</v>
      </c>
      <c r="E131" s="32" t="s">
        <v>1652</v>
      </c>
      <c r="F131" s="32" t="s">
        <v>1510</v>
      </c>
      <c r="G131" s="32" t="s">
        <v>39</v>
      </c>
      <c r="H131" s="32" t="s">
        <v>1511</v>
      </c>
      <c r="I131" s="31" t="s">
        <v>1509</v>
      </c>
      <c r="J131" s="31">
        <v>14</v>
      </c>
      <c r="K131" s="33" t="s">
        <v>962</v>
      </c>
      <c r="L131" s="33" t="s">
        <v>687</v>
      </c>
      <c r="M131" s="34" t="s">
        <v>1396</v>
      </c>
      <c r="N131" s="34" t="s">
        <v>1727</v>
      </c>
      <c r="O131" s="35">
        <v>1</v>
      </c>
      <c r="P131" s="35">
        <v>1</v>
      </c>
      <c r="Q131" s="36"/>
      <c r="S131" s="1">
        <f t="shared" si="73"/>
        <v>0</v>
      </c>
      <c r="T131" s="1">
        <f t="shared" si="74"/>
        <v>0</v>
      </c>
      <c r="U131" s="1">
        <f t="shared" si="75"/>
        <v>0</v>
      </c>
      <c r="V131" s="1">
        <f t="shared" si="76"/>
        <v>0</v>
      </c>
      <c r="W131" s="1">
        <f t="shared" si="77"/>
        <v>0</v>
      </c>
      <c r="X131" s="1">
        <f t="shared" si="78"/>
        <v>0</v>
      </c>
      <c r="Y131" s="1">
        <f t="shared" si="79"/>
        <v>0</v>
      </c>
      <c r="Z131" s="1">
        <f t="shared" si="80"/>
        <v>0</v>
      </c>
      <c r="AA131" s="1">
        <f t="shared" si="81"/>
        <v>0</v>
      </c>
      <c r="AB131" s="1">
        <f t="shared" si="82"/>
        <v>0</v>
      </c>
      <c r="AD131" s="1">
        <f t="shared" si="83"/>
        <v>1</v>
      </c>
      <c r="AE131" s="1">
        <f t="shared" si="84"/>
        <v>0</v>
      </c>
      <c r="AF131" s="1">
        <f t="shared" si="69"/>
        <v>1</v>
      </c>
      <c r="AG131" s="1">
        <f t="shared" si="70"/>
        <v>0</v>
      </c>
      <c r="AH131" s="1">
        <f t="shared" si="71"/>
        <v>1</v>
      </c>
      <c r="AI131" s="1">
        <f t="shared" si="72"/>
        <v>0</v>
      </c>
    </row>
    <row r="132" spans="1:35" ht="14.25" customHeight="1" x14ac:dyDescent="0.25">
      <c r="A132" s="44">
        <v>0</v>
      </c>
      <c r="B132" s="44">
        <v>1</v>
      </c>
      <c r="C132" s="44">
        <v>3</v>
      </c>
      <c r="D132" s="45" t="s">
        <v>1256</v>
      </c>
      <c r="E132" s="45" t="s">
        <v>172</v>
      </c>
      <c r="F132" s="45" t="s">
        <v>1257</v>
      </c>
      <c r="G132" s="45" t="s">
        <v>1259</v>
      </c>
      <c r="H132" s="45" t="s">
        <v>354</v>
      </c>
      <c r="I132" s="44" t="s">
        <v>1258</v>
      </c>
      <c r="J132" s="44">
        <v>99</v>
      </c>
      <c r="K132" s="46" t="s">
        <v>958</v>
      </c>
      <c r="L132" s="46" t="s">
        <v>693</v>
      </c>
      <c r="M132" s="47" t="s">
        <v>971</v>
      </c>
      <c r="N132" s="47" t="s">
        <v>1802</v>
      </c>
      <c r="O132" s="48"/>
      <c r="P132" s="48"/>
      <c r="Q132" s="45"/>
      <c r="S132" s="1">
        <f t="shared" si="73"/>
        <v>0</v>
      </c>
      <c r="T132" s="1">
        <f t="shared" si="74"/>
        <v>0</v>
      </c>
      <c r="U132" s="1">
        <f t="shared" si="75"/>
        <v>0</v>
      </c>
      <c r="V132" s="1">
        <f t="shared" si="76"/>
        <v>0</v>
      </c>
      <c r="W132" s="1">
        <f t="shared" si="77"/>
        <v>0</v>
      </c>
      <c r="X132" s="1">
        <f t="shared" si="78"/>
        <v>0</v>
      </c>
      <c r="Y132" s="1">
        <f t="shared" si="79"/>
        <v>0</v>
      </c>
      <c r="Z132" s="1">
        <f t="shared" si="80"/>
        <v>0</v>
      </c>
      <c r="AA132" s="1">
        <f t="shared" si="81"/>
        <v>0</v>
      </c>
      <c r="AB132" s="1">
        <f t="shared" si="82"/>
        <v>0</v>
      </c>
      <c r="AD132" s="1">
        <f t="shared" si="83"/>
        <v>0</v>
      </c>
      <c r="AE132" s="1">
        <f t="shared" si="84"/>
        <v>0</v>
      </c>
      <c r="AF132" s="1">
        <f t="shared" si="69"/>
        <v>0</v>
      </c>
      <c r="AG132" s="1">
        <f t="shared" si="70"/>
        <v>0</v>
      </c>
      <c r="AH132" s="1">
        <f t="shared" si="71"/>
        <v>0</v>
      </c>
      <c r="AI132" s="1">
        <f t="shared" si="72"/>
        <v>1</v>
      </c>
    </row>
    <row r="133" spans="1:35" ht="14.25" customHeight="1" x14ac:dyDescent="0.25">
      <c r="A133" s="15">
        <v>0</v>
      </c>
      <c r="B133" s="15">
        <v>1</v>
      </c>
      <c r="C133" s="15">
        <v>3</v>
      </c>
      <c r="D133" s="16" t="s">
        <v>1502</v>
      </c>
      <c r="E133" s="16" t="s">
        <v>172</v>
      </c>
      <c r="F133" s="16" t="s">
        <v>1503</v>
      </c>
      <c r="G133" s="16" t="s">
        <v>39</v>
      </c>
      <c r="H133" s="16" t="s">
        <v>365</v>
      </c>
      <c r="I133" s="15" t="s">
        <v>1504</v>
      </c>
      <c r="J133" s="15">
        <v>18</v>
      </c>
      <c r="K133" s="10" t="s">
        <v>956</v>
      </c>
      <c r="L133" s="10" t="s">
        <v>1742</v>
      </c>
      <c r="M133" s="19" t="s">
        <v>39</v>
      </c>
      <c r="N133" s="17"/>
      <c r="Q133" s="16"/>
      <c r="S133" s="1">
        <f t="shared" si="73"/>
        <v>0</v>
      </c>
      <c r="T133" s="1">
        <f t="shared" si="74"/>
        <v>0</v>
      </c>
      <c r="U133" s="1">
        <f t="shared" si="75"/>
        <v>0</v>
      </c>
      <c r="V133" s="1">
        <f t="shared" si="76"/>
        <v>0</v>
      </c>
      <c r="W133" s="1">
        <f t="shared" si="77"/>
        <v>0</v>
      </c>
      <c r="X133" s="1">
        <f t="shared" si="78"/>
        <v>0</v>
      </c>
      <c r="Y133" s="1">
        <f t="shared" si="79"/>
        <v>0</v>
      </c>
      <c r="Z133" s="1">
        <f t="shared" si="80"/>
        <v>0</v>
      </c>
      <c r="AA133" s="1">
        <f t="shared" si="81"/>
        <v>0</v>
      </c>
      <c r="AB133" s="1">
        <f t="shared" si="82"/>
        <v>0</v>
      </c>
      <c r="AD133" s="1">
        <f t="shared" si="83"/>
        <v>0</v>
      </c>
      <c r="AE133" s="1">
        <f t="shared" si="84"/>
        <v>0</v>
      </c>
      <c r="AF133" s="1">
        <f t="shared" si="69"/>
        <v>0</v>
      </c>
      <c r="AG133" s="1">
        <f t="shared" si="70"/>
        <v>0</v>
      </c>
      <c r="AH133" s="1">
        <f t="shared" si="71"/>
        <v>0</v>
      </c>
      <c r="AI133" s="1">
        <f t="shared" si="72"/>
        <v>1</v>
      </c>
    </row>
    <row r="134" spans="1:35" ht="14.25" customHeight="1" x14ac:dyDescent="0.25">
      <c r="A134" s="15">
        <v>0</v>
      </c>
      <c r="B134" s="15">
        <v>1</v>
      </c>
      <c r="C134" s="15">
        <v>3</v>
      </c>
      <c r="D134" s="16" t="s">
        <v>1623</v>
      </c>
      <c r="E134" s="16" t="s">
        <v>172</v>
      </c>
      <c r="F134" s="16" t="s">
        <v>1626</v>
      </c>
      <c r="G134" s="16" t="s">
        <v>39</v>
      </c>
      <c r="H134" s="16" t="s">
        <v>1624</v>
      </c>
      <c r="I134" s="15" t="s">
        <v>1625</v>
      </c>
      <c r="J134" s="15">
        <v>15</v>
      </c>
      <c r="K134" s="10" t="s">
        <v>722</v>
      </c>
      <c r="L134" s="10" t="s">
        <v>39</v>
      </c>
      <c r="M134" s="19" t="s">
        <v>39</v>
      </c>
      <c r="N134" s="17"/>
      <c r="Q134" s="16"/>
      <c r="S134" s="1">
        <f t="shared" si="73"/>
        <v>0</v>
      </c>
      <c r="T134" s="1">
        <f t="shared" si="74"/>
        <v>0</v>
      </c>
      <c r="U134" s="1">
        <f t="shared" si="75"/>
        <v>0</v>
      </c>
      <c r="V134" s="1">
        <f t="shared" si="76"/>
        <v>0</v>
      </c>
      <c r="W134" s="1">
        <f t="shared" si="77"/>
        <v>0</v>
      </c>
      <c r="X134" s="1">
        <f t="shared" si="78"/>
        <v>0</v>
      </c>
      <c r="Y134" s="1">
        <f t="shared" si="79"/>
        <v>0</v>
      </c>
      <c r="Z134" s="1">
        <f t="shared" si="80"/>
        <v>0</v>
      </c>
      <c r="AA134" s="1">
        <f t="shared" si="81"/>
        <v>0</v>
      </c>
      <c r="AB134" s="1">
        <f t="shared" si="82"/>
        <v>0</v>
      </c>
      <c r="AD134" s="1">
        <f t="shared" si="83"/>
        <v>0</v>
      </c>
      <c r="AE134" s="1">
        <f t="shared" si="84"/>
        <v>0</v>
      </c>
      <c r="AF134" s="1">
        <f t="shared" si="69"/>
        <v>0</v>
      </c>
      <c r="AG134" s="1">
        <f t="shared" si="70"/>
        <v>0</v>
      </c>
      <c r="AH134" s="1">
        <f t="shared" si="71"/>
        <v>0</v>
      </c>
      <c r="AI134" s="1">
        <f t="shared" si="72"/>
        <v>1</v>
      </c>
    </row>
    <row r="135" spans="1:35" ht="14.25" customHeight="1" x14ac:dyDescent="0.25">
      <c r="A135" s="31">
        <v>0</v>
      </c>
      <c r="B135" s="31">
        <v>1</v>
      </c>
      <c r="C135" s="31">
        <v>3</v>
      </c>
      <c r="D135" s="32" t="s">
        <v>1244</v>
      </c>
      <c r="E135" s="32" t="s">
        <v>1246</v>
      </c>
      <c r="F135" s="32" t="s">
        <v>1247</v>
      </c>
      <c r="G135" s="32" t="s">
        <v>39</v>
      </c>
      <c r="H135" s="32" t="s">
        <v>369</v>
      </c>
      <c r="I135" s="31" t="s">
        <v>1245</v>
      </c>
      <c r="J135" s="31">
        <v>14</v>
      </c>
      <c r="K135" s="33" t="s">
        <v>958</v>
      </c>
      <c r="L135" s="33" t="s">
        <v>687</v>
      </c>
      <c r="M135" s="34" t="s">
        <v>1396</v>
      </c>
      <c r="N135" s="34" t="s">
        <v>1733</v>
      </c>
      <c r="O135" s="35">
        <v>1</v>
      </c>
      <c r="P135" s="35">
        <v>1</v>
      </c>
      <c r="Q135" s="32"/>
      <c r="S135" s="1">
        <f t="shared" si="73"/>
        <v>0</v>
      </c>
      <c r="T135" s="1">
        <f t="shared" si="74"/>
        <v>0</v>
      </c>
      <c r="U135" s="1">
        <f t="shared" si="75"/>
        <v>0</v>
      </c>
      <c r="V135" s="1">
        <f t="shared" si="76"/>
        <v>0</v>
      </c>
      <c r="W135" s="1">
        <f t="shared" si="77"/>
        <v>0</v>
      </c>
      <c r="X135" s="1">
        <f t="shared" si="78"/>
        <v>0</v>
      </c>
      <c r="Y135" s="1">
        <f t="shared" si="79"/>
        <v>0</v>
      </c>
      <c r="Z135" s="1">
        <f t="shared" si="80"/>
        <v>0</v>
      </c>
      <c r="AA135" s="1">
        <f t="shared" si="81"/>
        <v>0</v>
      </c>
      <c r="AB135" s="1">
        <f t="shared" si="82"/>
        <v>0</v>
      </c>
      <c r="AD135" s="1">
        <f t="shared" si="83"/>
        <v>1</v>
      </c>
      <c r="AE135" s="1">
        <f t="shared" si="84"/>
        <v>0</v>
      </c>
      <c r="AF135" s="1">
        <f t="shared" si="69"/>
        <v>1</v>
      </c>
      <c r="AG135" s="1">
        <f t="shared" si="70"/>
        <v>0</v>
      </c>
      <c r="AH135" s="1">
        <f t="shared" si="71"/>
        <v>1</v>
      </c>
      <c r="AI135" s="1">
        <f t="shared" si="72"/>
        <v>0</v>
      </c>
    </row>
    <row r="136" spans="1:35" ht="14.25" customHeight="1" x14ac:dyDescent="0.25">
      <c r="A136" s="31">
        <v>0</v>
      </c>
      <c r="B136" s="31">
        <v>1</v>
      </c>
      <c r="C136" s="31">
        <v>3</v>
      </c>
      <c r="D136" s="32" t="s">
        <v>130</v>
      </c>
      <c r="E136" s="32" t="s">
        <v>176</v>
      </c>
      <c r="F136" s="32" t="s">
        <v>331</v>
      </c>
      <c r="G136" s="32" t="s">
        <v>182</v>
      </c>
      <c r="H136" s="32" t="s">
        <v>354</v>
      </c>
      <c r="I136" s="31" t="s">
        <v>479</v>
      </c>
      <c r="J136" s="31">
        <v>99</v>
      </c>
      <c r="K136" s="33" t="s">
        <v>957</v>
      </c>
      <c r="L136" s="33" t="s">
        <v>39</v>
      </c>
      <c r="M136" s="34" t="s">
        <v>39</v>
      </c>
      <c r="N136" s="34" t="s">
        <v>1733</v>
      </c>
      <c r="O136" s="35">
        <v>1</v>
      </c>
      <c r="P136" s="35">
        <v>1</v>
      </c>
      <c r="Q136" s="32"/>
      <c r="S136" s="1">
        <f t="shared" si="73"/>
        <v>0</v>
      </c>
      <c r="T136" s="1">
        <f t="shared" si="74"/>
        <v>0</v>
      </c>
      <c r="U136" s="1">
        <f t="shared" si="75"/>
        <v>0</v>
      </c>
      <c r="V136" s="1">
        <f t="shared" si="76"/>
        <v>0</v>
      </c>
      <c r="W136" s="1">
        <f t="shared" si="77"/>
        <v>0</v>
      </c>
      <c r="X136" s="1">
        <f t="shared" si="78"/>
        <v>0</v>
      </c>
      <c r="Y136" s="1">
        <f t="shared" si="79"/>
        <v>0</v>
      </c>
      <c r="Z136" s="1">
        <f t="shared" si="80"/>
        <v>0</v>
      </c>
      <c r="AA136" s="1">
        <f t="shared" si="81"/>
        <v>0</v>
      </c>
      <c r="AB136" s="1">
        <f t="shared" si="82"/>
        <v>0</v>
      </c>
      <c r="AD136" s="1">
        <f t="shared" si="83"/>
        <v>1</v>
      </c>
      <c r="AE136" s="1">
        <f t="shared" si="84"/>
        <v>0</v>
      </c>
      <c r="AF136" s="1">
        <f t="shared" si="69"/>
        <v>1</v>
      </c>
      <c r="AG136" s="1">
        <f t="shared" si="70"/>
        <v>0</v>
      </c>
      <c r="AH136" s="1">
        <f t="shared" si="71"/>
        <v>1</v>
      </c>
      <c r="AI136" s="1">
        <f t="shared" si="72"/>
        <v>0</v>
      </c>
    </row>
    <row r="137" spans="1:35" ht="14.25" customHeight="1" x14ac:dyDescent="0.25">
      <c r="A137" s="31">
        <v>0</v>
      </c>
      <c r="B137" s="31">
        <v>1</v>
      </c>
      <c r="C137" s="31">
        <v>3</v>
      </c>
      <c r="D137" s="32" t="s">
        <v>921</v>
      </c>
      <c r="E137" s="32" t="s">
        <v>172</v>
      </c>
      <c r="F137" s="32" t="s">
        <v>933</v>
      </c>
      <c r="G137" s="32" t="s">
        <v>235</v>
      </c>
      <c r="H137" s="32" t="s">
        <v>354</v>
      </c>
      <c r="I137" s="31" t="s">
        <v>947</v>
      </c>
      <c r="J137" s="31">
        <v>99</v>
      </c>
      <c r="K137" s="33" t="s">
        <v>722</v>
      </c>
      <c r="L137" s="33">
        <v>45</v>
      </c>
      <c r="M137" s="34" t="s">
        <v>39</v>
      </c>
      <c r="N137" s="34" t="s">
        <v>1801</v>
      </c>
      <c r="O137" s="35">
        <v>1</v>
      </c>
      <c r="P137" s="35"/>
      <c r="Q137" s="32"/>
      <c r="S137" s="1">
        <f t="shared" si="73"/>
        <v>0</v>
      </c>
      <c r="T137" s="1">
        <f t="shared" si="74"/>
        <v>0</v>
      </c>
      <c r="U137" s="1">
        <f t="shared" si="75"/>
        <v>0</v>
      </c>
      <c r="V137" s="1">
        <f t="shared" si="76"/>
        <v>0</v>
      </c>
      <c r="W137" s="1">
        <f t="shared" si="77"/>
        <v>0</v>
      </c>
      <c r="X137" s="1">
        <f t="shared" si="78"/>
        <v>0</v>
      </c>
      <c r="Y137" s="1">
        <f t="shared" si="79"/>
        <v>0</v>
      </c>
      <c r="Z137" s="1">
        <f t="shared" si="80"/>
        <v>0</v>
      </c>
      <c r="AA137" s="1">
        <f t="shared" si="81"/>
        <v>0</v>
      </c>
      <c r="AB137" s="1">
        <f t="shared" si="82"/>
        <v>0</v>
      </c>
      <c r="AD137" s="1">
        <f t="shared" si="83"/>
        <v>0</v>
      </c>
      <c r="AE137" s="1">
        <f t="shared" si="84"/>
        <v>1</v>
      </c>
      <c r="AF137" s="1">
        <f t="shared" si="69"/>
        <v>0</v>
      </c>
      <c r="AG137" s="1">
        <f t="shared" si="70"/>
        <v>1</v>
      </c>
      <c r="AH137" s="1">
        <f t="shared" si="71"/>
        <v>0</v>
      </c>
      <c r="AI137" s="1">
        <f t="shared" si="72"/>
        <v>1</v>
      </c>
    </row>
    <row r="138" spans="1:35" ht="14.25" customHeight="1" x14ac:dyDescent="0.25">
      <c r="A138" s="44">
        <v>0</v>
      </c>
      <c r="B138" s="44">
        <v>1</v>
      </c>
      <c r="C138" s="44">
        <v>3</v>
      </c>
      <c r="D138" s="45" t="s">
        <v>78</v>
      </c>
      <c r="E138" s="45" t="s">
        <v>610</v>
      </c>
      <c r="F138" s="45" t="s">
        <v>308</v>
      </c>
      <c r="G138" s="45" t="s">
        <v>39</v>
      </c>
      <c r="H138" s="45" t="s">
        <v>362</v>
      </c>
      <c r="I138" s="44" t="s">
        <v>457</v>
      </c>
      <c r="J138" s="44">
        <v>12</v>
      </c>
      <c r="K138" s="46" t="s">
        <v>703</v>
      </c>
      <c r="L138" s="46">
        <v>40</v>
      </c>
      <c r="M138" s="47" t="s">
        <v>971</v>
      </c>
      <c r="N138" s="47" t="s">
        <v>1802</v>
      </c>
      <c r="O138" s="48"/>
      <c r="P138" s="48"/>
      <c r="Q138" s="45"/>
      <c r="S138" s="1">
        <f t="shared" si="73"/>
        <v>0</v>
      </c>
      <c r="T138" s="1">
        <f t="shared" si="74"/>
        <v>0</v>
      </c>
      <c r="U138" s="1">
        <f t="shared" si="75"/>
        <v>0</v>
      </c>
      <c r="V138" s="1">
        <f t="shared" si="76"/>
        <v>0</v>
      </c>
      <c r="W138" s="1">
        <f t="shared" si="77"/>
        <v>0</v>
      </c>
      <c r="X138" s="1">
        <f t="shared" si="78"/>
        <v>0</v>
      </c>
      <c r="Y138" s="1">
        <f t="shared" si="79"/>
        <v>0</v>
      </c>
      <c r="Z138" s="1">
        <f t="shared" si="80"/>
        <v>0</v>
      </c>
      <c r="AA138" s="1">
        <f t="shared" si="81"/>
        <v>0</v>
      </c>
      <c r="AB138" s="1">
        <f t="shared" si="82"/>
        <v>0</v>
      </c>
      <c r="AD138" s="1">
        <f t="shared" si="83"/>
        <v>0</v>
      </c>
      <c r="AE138" s="1">
        <f t="shared" si="84"/>
        <v>0</v>
      </c>
      <c r="AF138" s="1">
        <f t="shared" si="69"/>
        <v>0</v>
      </c>
      <c r="AG138" s="1">
        <f t="shared" si="70"/>
        <v>0</v>
      </c>
      <c r="AH138" s="1">
        <f t="shared" si="71"/>
        <v>0</v>
      </c>
      <c r="AI138" s="1">
        <f t="shared" si="72"/>
        <v>1</v>
      </c>
    </row>
    <row r="139" spans="1:35" ht="14.25" customHeight="1" x14ac:dyDescent="0.25">
      <c r="A139" s="15">
        <v>0</v>
      </c>
      <c r="B139" s="15">
        <v>1</v>
      </c>
      <c r="C139" s="15">
        <v>3</v>
      </c>
      <c r="D139" s="16" t="s">
        <v>1582</v>
      </c>
      <c r="E139" s="16" t="s">
        <v>170</v>
      </c>
      <c r="F139" s="16" t="s">
        <v>1584</v>
      </c>
      <c r="G139" s="16"/>
      <c r="H139" s="16" t="s">
        <v>365</v>
      </c>
      <c r="I139" s="15" t="s">
        <v>1583</v>
      </c>
      <c r="J139" s="15">
        <v>18</v>
      </c>
      <c r="K139" s="10" t="s">
        <v>703</v>
      </c>
      <c r="L139" s="10" t="s">
        <v>688</v>
      </c>
      <c r="M139" s="19" t="s">
        <v>971</v>
      </c>
      <c r="N139" s="17"/>
      <c r="Q139" s="16"/>
      <c r="S139" s="1">
        <f t="shared" si="73"/>
        <v>0</v>
      </c>
      <c r="T139" s="1">
        <f t="shared" si="74"/>
        <v>0</v>
      </c>
      <c r="U139" s="1">
        <f t="shared" si="75"/>
        <v>0</v>
      </c>
      <c r="V139" s="1">
        <f t="shared" si="76"/>
        <v>0</v>
      </c>
      <c r="W139" s="1">
        <f t="shared" si="77"/>
        <v>0</v>
      </c>
      <c r="X139" s="1">
        <f t="shared" si="78"/>
        <v>0</v>
      </c>
      <c r="Y139" s="1">
        <f t="shared" si="79"/>
        <v>0</v>
      </c>
      <c r="Z139" s="1">
        <f t="shared" si="80"/>
        <v>0</v>
      </c>
      <c r="AA139" s="1">
        <f t="shared" si="81"/>
        <v>0</v>
      </c>
      <c r="AB139" s="1">
        <f t="shared" si="82"/>
        <v>0</v>
      </c>
      <c r="AD139" s="1">
        <f t="shared" si="83"/>
        <v>0</v>
      </c>
      <c r="AE139" s="1">
        <f t="shared" si="84"/>
        <v>0</v>
      </c>
      <c r="AF139" s="1">
        <f t="shared" si="69"/>
        <v>0</v>
      </c>
      <c r="AG139" s="1">
        <f t="shared" si="70"/>
        <v>0</v>
      </c>
      <c r="AH139" s="1">
        <f t="shared" si="71"/>
        <v>0</v>
      </c>
      <c r="AI139" s="1">
        <f t="shared" si="72"/>
        <v>1</v>
      </c>
    </row>
    <row r="140" spans="1:35" ht="14.25" customHeight="1" x14ac:dyDescent="0.25">
      <c r="A140" s="31">
        <v>0</v>
      </c>
      <c r="B140" s="31">
        <v>1</v>
      </c>
      <c r="C140" s="31">
        <v>3</v>
      </c>
      <c r="D140" s="32" t="s">
        <v>1287</v>
      </c>
      <c r="E140" s="32" t="s">
        <v>172</v>
      </c>
      <c r="F140" s="32" t="s">
        <v>1288</v>
      </c>
      <c r="G140" s="32" t="s">
        <v>238</v>
      </c>
      <c r="H140" s="32" t="s">
        <v>354</v>
      </c>
      <c r="I140" s="31" t="s">
        <v>1289</v>
      </c>
      <c r="J140" s="31">
        <v>4</v>
      </c>
      <c r="K140" s="33" t="s">
        <v>957</v>
      </c>
      <c r="L140" s="33" t="s">
        <v>39</v>
      </c>
      <c r="M140" s="34" t="s">
        <v>39</v>
      </c>
      <c r="N140" s="34" t="s">
        <v>1727</v>
      </c>
      <c r="O140" s="35">
        <v>1</v>
      </c>
      <c r="P140" s="35">
        <v>1</v>
      </c>
      <c r="Q140" s="32"/>
      <c r="S140" s="1">
        <f t="shared" si="73"/>
        <v>0</v>
      </c>
      <c r="T140" s="1">
        <f t="shared" si="74"/>
        <v>0</v>
      </c>
      <c r="U140" s="1">
        <f t="shared" si="75"/>
        <v>0</v>
      </c>
      <c r="V140" s="1">
        <f t="shared" si="76"/>
        <v>1</v>
      </c>
      <c r="W140" s="1">
        <f t="shared" si="77"/>
        <v>0</v>
      </c>
      <c r="X140" s="1">
        <f t="shared" si="78"/>
        <v>0</v>
      </c>
      <c r="Y140" s="1">
        <f t="shared" si="79"/>
        <v>0</v>
      </c>
      <c r="Z140" s="1">
        <f t="shared" si="80"/>
        <v>0</v>
      </c>
      <c r="AA140" s="1">
        <f t="shared" si="81"/>
        <v>0</v>
      </c>
      <c r="AB140" s="1">
        <f t="shared" si="82"/>
        <v>0</v>
      </c>
      <c r="AD140" s="1">
        <f t="shared" si="83"/>
        <v>1</v>
      </c>
      <c r="AE140" s="1">
        <f t="shared" si="84"/>
        <v>0</v>
      </c>
      <c r="AF140" s="1">
        <f t="shared" ref="AF140:AF207" si="113">+O140*P140*(1-A140)</f>
        <v>1</v>
      </c>
      <c r="AG140" s="1">
        <f t="shared" ref="AG140:AG207" si="114">O140*(1-P140)*(1-A140)</f>
        <v>0</v>
      </c>
      <c r="AH140" s="1">
        <f t="shared" ref="AH140:AH207" si="115">+P140*(1-A140)</f>
        <v>1</v>
      </c>
      <c r="AI140" s="1">
        <f t="shared" ref="AI140:AI207" si="116">+(1-A140)*(1-P140)</f>
        <v>0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648</v>
      </c>
      <c r="E141" s="32" t="s">
        <v>172</v>
      </c>
      <c r="F141" s="32" t="s">
        <v>657</v>
      </c>
      <c r="G141" s="32" t="s">
        <v>232</v>
      </c>
      <c r="H141" s="32" t="s">
        <v>354</v>
      </c>
      <c r="I141" s="31" t="s">
        <v>612</v>
      </c>
      <c r="J141" s="31">
        <v>99</v>
      </c>
      <c r="K141" s="33" t="s">
        <v>702</v>
      </c>
      <c r="L141" s="33" t="s">
        <v>39</v>
      </c>
      <c r="M141" s="34" t="s">
        <v>39</v>
      </c>
      <c r="N141" s="34" t="s">
        <v>1733</v>
      </c>
      <c r="O141" s="35">
        <v>1</v>
      </c>
      <c r="P141" s="35">
        <v>1</v>
      </c>
      <c r="Q141" s="32"/>
      <c r="S141" s="1">
        <f t="shared" si="73"/>
        <v>0</v>
      </c>
      <c r="T141" s="1">
        <f t="shared" si="74"/>
        <v>0</v>
      </c>
      <c r="U141" s="1">
        <f t="shared" si="75"/>
        <v>0</v>
      </c>
      <c r="V141" s="1">
        <f t="shared" si="76"/>
        <v>0</v>
      </c>
      <c r="W141" s="1">
        <f t="shared" si="77"/>
        <v>0</v>
      </c>
      <c r="X141" s="1">
        <f t="shared" si="78"/>
        <v>0</v>
      </c>
      <c r="Y141" s="1">
        <f t="shared" si="79"/>
        <v>0</v>
      </c>
      <c r="Z141" s="1">
        <f t="shared" si="80"/>
        <v>0</v>
      </c>
      <c r="AA141" s="1">
        <f t="shared" si="81"/>
        <v>0</v>
      </c>
      <c r="AB141" s="1">
        <f t="shared" si="82"/>
        <v>0</v>
      </c>
      <c r="AD141" s="1">
        <f t="shared" si="83"/>
        <v>1</v>
      </c>
      <c r="AE141" s="1">
        <f t="shared" si="84"/>
        <v>0</v>
      </c>
      <c r="AF141" s="1">
        <f t="shared" si="113"/>
        <v>1</v>
      </c>
      <c r="AG141" s="1">
        <f t="shared" si="114"/>
        <v>0</v>
      </c>
      <c r="AH141" s="1">
        <f t="shared" si="115"/>
        <v>1</v>
      </c>
      <c r="AI141" s="1">
        <f t="shared" si="116"/>
        <v>0</v>
      </c>
    </row>
    <row r="142" spans="1:35" ht="14.25" customHeight="1" x14ac:dyDescent="0.25">
      <c r="A142" s="38">
        <v>0</v>
      </c>
      <c r="B142" s="38">
        <v>1</v>
      </c>
      <c r="C142" s="38">
        <v>3</v>
      </c>
      <c r="D142" s="39" t="s">
        <v>873</v>
      </c>
      <c r="E142" s="39" t="s">
        <v>874</v>
      </c>
      <c r="F142" s="39" t="s">
        <v>875</v>
      </c>
      <c r="G142" s="39" t="s">
        <v>39</v>
      </c>
      <c r="H142" s="39" t="s">
        <v>366</v>
      </c>
      <c r="I142" s="38" t="s">
        <v>876</v>
      </c>
      <c r="J142" s="38">
        <v>18</v>
      </c>
      <c r="K142" s="40" t="s">
        <v>956</v>
      </c>
      <c r="L142" s="40" t="s">
        <v>39</v>
      </c>
      <c r="M142" s="41" t="s">
        <v>39</v>
      </c>
      <c r="N142" s="42"/>
      <c r="O142" s="43"/>
      <c r="P142" s="43">
        <v>1</v>
      </c>
      <c r="Q142" s="39"/>
      <c r="S142" s="1">
        <f t="shared" si="73"/>
        <v>0</v>
      </c>
      <c r="T142" s="1">
        <f t="shared" si="74"/>
        <v>0</v>
      </c>
      <c r="U142" s="1">
        <f t="shared" si="75"/>
        <v>0</v>
      </c>
      <c r="V142" s="1">
        <f t="shared" si="76"/>
        <v>0</v>
      </c>
      <c r="W142" s="1">
        <f t="shared" si="77"/>
        <v>0</v>
      </c>
      <c r="X142" s="1">
        <f t="shared" si="78"/>
        <v>0</v>
      </c>
      <c r="Y142" s="1">
        <f t="shared" si="79"/>
        <v>0</v>
      </c>
      <c r="Z142" s="1">
        <f t="shared" si="80"/>
        <v>0</v>
      </c>
      <c r="AA142" s="1">
        <f t="shared" si="81"/>
        <v>0</v>
      </c>
      <c r="AB142" s="1">
        <f t="shared" si="82"/>
        <v>0</v>
      </c>
      <c r="AD142" s="1">
        <f t="shared" si="83"/>
        <v>0</v>
      </c>
      <c r="AE142" s="1">
        <f t="shared" si="84"/>
        <v>0</v>
      </c>
      <c r="AF142" s="1">
        <f t="shared" si="113"/>
        <v>0</v>
      </c>
      <c r="AG142" s="1">
        <f t="shared" si="114"/>
        <v>0</v>
      </c>
      <c r="AH142" s="1">
        <f t="shared" si="115"/>
        <v>1</v>
      </c>
      <c r="AI142" s="1">
        <f t="shared" si="116"/>
        <v>0</v>
      </c>
    </row>
    <row r="143" spans="1:35" ht="14.25" customHeight="1" x14ac:dyDescent="0.25">
      <c r="A143" s="31">
        <v>0</v>
      </c>
      <c r="B143" s="31">
        <v>1</v>
      </c>
      <c r="C143" s="31">
        <v>3</v>
      </c>
      <c r="D143" s="32" t="s">
        <v>1307</v>
      </c>
      <c r="E143" s="32" t="s">
        <v>172</v>
      </c>
      <c r="F143" s="32" t="s">
        <v>1308</v>
      </c>
      <c r="G143" s="32" t="s">
        <v>208</v>
      </c>
      <c r="H143" s="32" t="s">
        <v>354</v>
      </c>
      <c r="I143" s="31" t="s">
        <v>1309</v>
      </c>
      <c r="J143" s="31">
        <v>3</v>
      </c>
      <c r="K143" s="33" t="s">
        <v>956</v>
      </c>
      <c r="L143" s="33" t="s">
        <v>39</v>
      </c>
      <c r="M143" s="34" t="s">
        <v>39</v>
      </c>
      <c r="N143" s="34" t="s">
        <v>1733</v>
      </c>
      <c r="O143" s="35">
        <v>1</v>
      </c>
      <c r="P143" s="35">
        <v>1</v>
      </c>
      <c r="Q143" s="32"/>
      <c r="S143" s="1">
        <f t="shared" si="73"/>
        <v>0</v>
      </c>
      <c r="T143" s="1">
        <f t="shared" si="74"/>
        <v>0</v>
      </c>
      <c r="U143" s="1">
        <f t="shared" si="75"/>
        <v>1</v>
      </c>
      <c r="V143" s="1">
        <f t="shared" si="76"/>
        <v>0</v>
      </c>
      <c r="W143" s="1">
        <f t="shared" si="77"/>
        <v>0</v>
      </c>
      <c r="X143" s="1">
        <f t="shared" si="78"/>
        <v>0</v>
      </c>
      <c r="Y143" s="1">
        <f t="shared" si="79"/>
        <v>0</v>
      </c>
      <c r="Z143" s="1">
        <f t="shared" si="80"/>
        <v>0</v>
      </c>
      <c r="AA143" s="1">
        <f t="shared" si="81"/>
        <v>0</v>
      </c>
      <c r="AB143" s="1">
        <f t="shared" si="82"/>
        <v>0</v>
      </c>
      <c r="AD143" s="1">
        <f t="shared" si="83"/>
        <v>1</v>
      </c>
      <c r="AE143" s="1">
        <f t="shared" si="84"/>
        <v>0</v>
      </c>
      <c r="AF143" s="1">
        <f t="shared" si="113"/>
        <v>1</v>
      </c>
      <c r="AG143" s="1">
        <f t="shared" si="114"/>
        <v>0</v>
      </c>
      <c r="AH143" s="1">
        <f t="shared" si="115"/>
        <v>1</v>
      </c>
      <c r="AI143" s="1">
        <f t="shared" si="116"/>
        <v>0</v>
      </c>
    </row>
    <row r="144" spans="1:35" ht="14.25" customHeight="1" x14ac:dyDescent="0.25">
      <c r="A144" s="44">
        <v>0</v>
      </c>
      <c r="B144" s="44">
        <v>1</v>
      </c>
      <c r="C144" s="44">
        <v>3</v>
      </c>
      <c r="D144" s="45" t="s">
        <v>867</v>
      </c>
      <c r="E144" s="45" t="s">
        <v>170</v>
      </c>
      <c r="F144" s="45" t="s">
        <v>868</v>
      </c>
      <c r="G144" s="45" t="s">
        <v>39</v>
      </c>
      <c r="H144" s="45" t="s">
        <v>869</v>
      </c>
      <c r="I144" s="44" t="s">
        <v>948</v>
      </c>
      <c r="J144" s="44">
        <v>11</v>
      </c>
      <c r="K144" s="46" t="s">
        <v>702</v>
      </c>
      <c r="L144" s="46" t="s">
        <v>689</v>
      </c>
      <c r="M144" s="47" t="s">
        <v>971</v>
      </c>
      <c r="N144" s="47" t="s">
        <v>1741</v>
      </c>
      <c r="O144" s="48"/>
      <c r="P144" s="48"/>
      <c r="Q144" s="45"/>
      <c r="S144" s="1">
        <f t="shared" si="73"/>
        <v>0</v>
      </c>
      <c r="T144" s="1">
        <f t="shared" si="74"/>
        <v>0</v>
      </c>
      <c r="U144" s="1">
        <f t="shared" si="75"/>
        <v>0</v>
      </c>
      <c r="V144" s="1">
        <f t="shared" si="76"/>
        <v>0</v>
      </c>
      <c r="W144" s="1">
        <f t="shared" si="77"/>
        <v>0</v>
      </c>
      <c r="X144" s="1">
        <f t="shared" si="78"/>
        <v>0</v>
      </c>
      <c r="Y144" s="1">
        <f t="shared" si="79"/>
        <v>0</v>
      </c>
      <c r="Z144" s="1">
        <f t="shared" si="80"/>
        <v>0</v>
      </c>
      <c r="AA144" s="1">
        <f t="shared" si="81"/>
        <v>0</v>
      </c>
      <c r="AB144" s="1">
        <f t="shared" si="82"/>
        <v>0</v>
      </c>
      <c r="AD144" s="1">
        <f t="shared" si="83"/>
        <v>0</v>
      </c>
      <c r="AE144" s="1">
        <f t="shared" si="84"/>
        <v>0</v>
      </c>
      <c r="AF144" s="1">
        <f t="shared" si="113"/>
        <v>0</v>
      </c>
      <c r="AG144" s="1">
        <f t="shared" si="114"/>
        <v>0</v>
      </c>
      <c r="AH144" s="1">
        <f t="shared" si="115"/>
        <v>0</v>
      </c>
      <c r="AI144" s="1">
        <f t="shared" si="116"/>
        <v>1</v>
      </c>
    </row>
    <row r="145" spans="1:35" ht="14.25" customHeight="1" x14ac:dyDescent="0.25">
      <c r="A145" s="31">
        <v>0</v>
      </c>
      <c r="B145" s="31">
        <v>1</v>
      </c>
      <c r="C145" s="31">
        <v>3</v>
      </c>
      <c r="D145" s="36" t="s">
        <v>506</v>
      </c>
      <c r="E145" s="36" t="s">
        <v>170</v>
      </c>
      <c r="F145" s="36" t="s">
        <v>507</v>
      </c>
      <c r="G145" s="36" t="s">
        <v>504</v>
      </c>
      <c r="H145" s="36" t="s">
        <v>354</v>
      </c>
      <c r="I145" s="37" t="s">
        <v>508</v>
      </c>
      <c r="J145" s="31">
        <v>99</v>
      </c>
      <c r="K145" s="33" t="s">
        <v>703</v>
      </c>
      <c r="L145" s="33">
        <v>40</v>
      </c>
      <c r="M145" s="34" t="s">
        <v>971</v>
      </c>
      <c r="N145" s="34" t="s">
        <v>1946</v>
      </c>
      <c r="O145" s="35">
        <v>1</v>
      </c>
      <c r="P145" s="35"/>
      <c r="Q145" s="36"/>
      <c r="S145" s="1">
        <f t="shared" ref="S145:S212" si="117">IF(J145=$S$7,1,0)</f>
        <v>0</v>
      </c>
      <c r="T145" s="1">
        <f t="shared" ref="T145:T212" si="118">IF(J145=$T$7,1,0)</f>
        <v>0</v>
      </c>
      <c r="U145" s="1">
        <f t="shared" ref="U145:U212" si="119">IF(J145=$U$7,1,0)</f>
        <v>0</v>
      </c>
      <c r="V145" s="1">
        <f t="shared" ref="V145:V212" si="120">IF(J145=$V$7,1,0)</f>
        <v>0</v>
      </c>
      <c r="W145" s="1">
        <f t="shared" ref="W145:W212" si="121">IF(J145=$W$7,1,0)</f>
        <v>0</v>
      </c>
      <c r="X145" s="1">
        <f t="shared" ref="X145:X212" si="122">IF(J145=$X$7,1,0)</f>
        <v>0</v>
      </c>
      <c r="Y145" s="1">
        <f t="shared" ref="Y145:Y212" si="123">IF(J145=$Y$7,1,0)</f>
        <v>0</v>
      </c>
      <c r="Z145" s="1">
        <f t="shared" ref="Z145:Z212" si="124">IF(J145=$Z$7,1,0)</f>
        <v>0</v>
      </c>
      <c r="AA145" s="1">
        <f t="shared" ref="AA145:AA212" si="125">IF(J145=$AA$7,1,0)</f>
        <v>0</v>
      </c>
      <c r="AB145" s="1">
        <f t="shared" ref="AB145:AB212" si="126">IF(J145=$AB$7,1,0)</f>
        <v>0</v>
      </c>
      <c r="AD145" s="1">
        <f t="shared" ref="AD145:AD212" si="127">+O145*P145</f>
        <v>0</v>
      </c>
      <c r="AE145" s="1">
        <f t="shared" ref="AE145:AE212" si="128">O145*(1-P145)</f>
        <v>1</v>
      </c>
      <c r="AF145" s="1">
        <f t="shared" si="113"/>
        <v>0</v>
      </c>
      <c r="AG145" s="1">
        <f t="shared" si="114"/>
        <v>1</v>
      </c>
      <c r="AH145" s="1">
        <f t="shared" si="115"/>
        <v>0</v>
      </c>
      <c r="AI145" s="1">
        <f t="shared" si="116"/>
        <v>1</v>
      </c>
    </row>
    <row r="146" spans="1:35" ht="14.25" customHeight="1" x14ac:dyDescent="0.25">
      <c r="A146" s="31">
        <v>0</v>
      </c>
      <c r="B146" s="31">
        <v>1</v>
      </c>
      <c r="C146" s="31">
        <v>3</v>
      </c>
      <c r="D146" s="36" t="s">
        <v>1792</v>
      </c>
      <c r="E146" s="36" t="s">
        <v>1793</v>
      </c>
      <c r="F146" s="36" t="s">
        <v>1794</v>
      </c>
      <c r="G146" s="36" t="s">
        <v>1795</v>
      </c>
      <c r="H146" s="36" t="s">
        <v>354</v>
      </c>
      <c r="I146" s="37" t="s">
        <v>1796</v>
      </c>
      <c r="J146" s="31">
        <v>99</v>
      </c>
      <c r="K146" s="33" t="s">
        <v>703</v>
      </c>
      <c r="L146" s="33"/>
      <c r="M146" s="34"/>
      <c r="N146" s="34" t="s">
        <v>1733</v>
      </c>
      <c r="O146" s="35">
        <v>1</v>
      </c>
      <c r="P146" s="35">
        <v>1</v>
      </c>
      <c r="Q146" s="36"/>
      <c r="S146" s="1">
        <f t="shared" si="117"/>
        <v>0</v>
      </c>
      <c r="T146" s="1">
        <f t="shared" si="118"/>
        <v>0</v>
      </c>
      <c r="U146" s="1">
        <f t="shared" si="119"/>
        <v>0</v>
      </c>
      <c r="V146" s="1">
        <f t="shared" si="120"/>
        <v>0</v>
      </c>
      <c r="W146" s="1">
        <f t="shared" si="121"/>
        <v>0</v>
      </c>
      <c r="X146" s="1">
        <f t="shared" si="122"/>
        <v>0</v>
      </c>
      <c r="Y146" s="1">
        <f t="shared" si="123"/>
        <v>0</v>
      </c>
      <c r="Z146" s="1">
        <f t="shared" si="124"/>
        <v>0</v>
      </c>
      <c r="AA146" s="1">
        <f t="shared" si="125"/>
        <v>0</v>
      </c>
      <c r="AB146" s="1">
        <f t="shared" si="126"/>
        <v>0</v>
      </c>
      <c r="AD146" s="1">
        <f t="shared" si="127"/>
        <v>1</v>
      </c>
      <c r="AE146" s="1">
        <f t="shared" si="128"/>
        <v>0</v>
      </c>
      <c r="AF146" s="1">
        <f t="shared" si="113"/>
        <v>1</v>
      </c>
      <c r="AG146" s="1">
        <f t="shared" si="114"/>
        <v>0</v>
      </c>
      <c r="AH146" s="1">
        <f t="shared" si="115"/>
        <v>1</v>
      </c>
      <c r="AI146" s="1">
        <f t="shared" si="116"/>
        <v>0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2" t="s">
        <v>529</v>
      </c>
      <c r="E147" s="32" t="s">
        <v>170</v>
      </c>
      <c r="F147" s="32" t="s">
        <v>658</v>
      </c>
      <c r="G147" s="32" t="s">
        <v>39</v>
      </c>
      <c r="H147" s="32" t="s">
        <v>530</v>
      </c>
      <c r="I147" s="31" t="s">
        <v>531</v>
      </c>
      <c r="J147" s="31">
        <v>18</v>
      </c>
      <c r="K147" s="33" t="s">
        <v>956</v>
      </c>
      <c r="L147" s="33" t="s">
        <v>1742</v>
      </c>
      <c r="M147" s="34" t="s">
        <v>970</v>
      </c>
      <c r="N147" s="34" t="s">
        <v>1733</v>
      </c>
      <c r="O147" s="35">
        <v>1</v>
      </c>
      <c r="P147" s="35">
        <v>1</v>
      </c>
      <c r="Q147" s="32"/>
      <c r="S147" s="1">
        <f t="shared" si="117"/>
        <v>0</v>
      </c>
      <c r="T147" s="1">
        <f t="shared" si="118"/>
        <v>0</v>
      </c>
      <c r="U147" s="1">
        <f t="shared" si="119"/>
        <v>0</v>
      </c>
      <c r="V147" s="1">
        <f t="shared" si="120"/>
        <v>0</v>
      </c>
      <c r="W147" s="1">
        <f t="shared" si="121"/>
        <v>0</v>
      </c>
      <c r="X147" s="1">
        <f t="shared" si="122"/>
        <v>0</v>
      </c>
      <c r="Y147" s="1">
        <f t="shared" si="123"/>
        <v>0</v>
      </c>
      <c r="Z147" s="1">
        <f t="shared" si="124"/>
        <v>0</v>
      </c>
      <c r="AA147" s="1">
        <f t="shared" si="125"/>
        <v>0</v>
      </c>
      <c r="AB147" s="1">
        <f t="shared" si="126"/>
        <v>0</v>
      </c>
      <c r="AD147" s="1">
        <f t="shared" si="127"/>
        <v>1</v>
      </c>
      <c r="AE147" s="1">
        <f t="shared" si="128"/>
        <v>0</v>
      </c>
      <c r="AF147" s="1">
        <f t="shared" si="113"/>
        <v>1</v>
      </c>
      <c r="AG147" s="1">
        <f t="shared" si="114"/>
        <v>0</v>
      </c>
      <c r="AH147" s="1">
        <f t="shared" si="115"/>
        <v>1</v>
      </c>
      <c r="AI147" s="1">
        <f t="shared" si="116"/>
        <v>0</v>
      </c>
    </row>
    <row r="148" spans="1:35" ht="14.25" customHeight="1" x14ac:dyDescent="0.25">
      <c r="A148" s="44">
        <v>0</v>
      </c>
      <c r="B148" s="44">
        <v>1</v>
      </c>
      <c r="C148" s="44">
        <v>3</v>
      </c>
      <c r="D148" s="45" t="s">
        <v>975</v>
      </c>
      <c r="E148" s="45" t="s">
        <v>175</v>
      </c>
      <c r="F148" s="45" t="s">
        <v>805</v>
      </c>
      <c r="G148" s="45" t="s">
        <v>39</v>
      </c>
      <c r="H148" s="45" t="s">
        <v>806</v>
      </c>
      <c r="I148" s="44" t="s">
        <v>807</v>
      </c>
      <c r="J148" s="44">
        <v>16</v>
      </c>
      <c r="K148" s="46" t="s">
        <v>957</v>
      </c>
      <c r="L148" s="46" t="s">
        <v>1141</v>
      </c>
      <c r="M148" s="47" t="s">
        <v>970</v>
      </c>
      <c r="N148" s="47" t="s">
        <v>1739</v>
      </c>
      <c r="O148" s="48"/>
      <c r="P148" s="48"/>
      <c r="Q148" s="45"/>
      <c r="S148" s="1">
        <f t="shared" si="117"/>
        <v>0</v>
      </c>
      <c r="T148" s="1">
        <f t="shared" si="118"/>
        <v>0</v>
      </c>
      <c r="U148" s="1">
        <f t="shared" si="119"/>
        <v>0</v>
      </c>
      <c r="V148" s="1">
        <f t="shared" si="120"/>
        <v>0</v>
      </c>
      <c r="W148" s="1">
        <f t="shared" si="121"/>
        <v>0</v>
      </c>
      <c r="X148" s="1">
        <f t="shared" si="122"/>
        <v>0</v>
      </c>
      <c r="Y148" s="1">
        <f t="shared" si="123"/>
        <v>0</v>
      </c>
      <c r="Z148" s="1">
        <f t="shared" si="124"/>
        <v>0</v>
      </c>
      <c r="AA148" s="1">
        <f t="shared" si="125"/>
        <v>0</v>
      </c>
      <c r="AB148" s="1">
        <f t="shared" si="126"/>
        <v>0</v>
      </c>
      <c r="AD148" s="1">
        <f t="shared" si="127"/>
        <v>0</v>
      </c>
      <c r="AE148" s="1">
        <f t="shared" si="128"/>
        <v>0</v>
      </c>
      <c r="AF148" s="1">
        <f t="shared" si="113"/>
        <v>0</v>
      </c>
      <c r="AG148" s="1">
        <f t="shared" si="114"/>
        <v>0</v>
      </c>
      <c r="AH148" s="1">
        <f t="shared" si="115"/>
        <v>0</v>
      </c>
      <c r="AI148" s="1">
        <f t="shared" si="116"/>
        <v>1</v>
      </c>
    </row>
    <row r="149" spans="1:35" ht="14.25" customHeight="1" x14ac:dyDescent="0.25">
      <c r="A149" s="31">
        <v>0</v>
      </c>
      <c r="B149" s="31">
        <v>1</v>
      </c>
      <c r="C149" s="31">
        <v>3</v>
      </c>
      <c r="D149" s="32" t="s">
        <v>1198</v>
      </c>
      <c r="E149" s="32" t="s">
        <v>172</v>
      </c>
      <c r="F149" s="32" t="s">
        <v>1199</v>
      </c>
      <c r="G149" s="32" t="s">
        <v>238</v>
      </c>
      <c r="H149" s="32" t="s">
        <v>354</v>
      </c>
      <c r="I149" s="31" t="s">
        <v>1200</v>
      </c>
      <c r="J149" s="31">
        <v>4</v>
      </c>
      <c r="K149" s="33" t="s">
        <v>963</v>
      </c>
      <c r="L149" s="33" t="s">
        <v>1699</v>
      </c>
      <c r="M149" s="34" t="s">
        <v>1604</v>
      </c>
      <c r="N149" s="34" t="s">
        <v>1727</v>
      </c>
      <c r="O149" s="35">
        <v>1</v>
      </c>
      <c r="P149" s="35">
        <v>1</v>
      </c>
      <c r="Q149" s="32"/>
      <c r="S149" s="1">
        <f t="shared" si="117"/>
        <v>0</v>
      </c>
      <c r="T149" s="1">
        <f t="shared" si="118"/>
        <v>0</v>
      </c>
      <c r="U149" s="1">
        <f t="shared" si="119"/>
        <v>0</v>
      </c>
      <c r="V149" s="1">
        <f t="shared" si="120"/>
        <v>1</v>
      </c>
      <c r="W149" s="1">
        <f t="shared" si="121"/>
        <v>0</v>
      </c>
      <c r="X149" s="1">
        <f t="shared" si="122"/>
        <v>0</v>
      </c>
      <c r="Y149" s="1">
        <f t="shared" si="123"/>
        <v>0</v>
      </c>
      <c r="Z149" s="1">
        <f t="shared" si="124"/>
        <v>0</v>
      </c>
      <c r="AA149" s="1">
        <f t="shared" si="125"/>
        <v>0</v>
      </c>
      <c r="AB149" s="1">
        <f t="shared" si="126"/>
        <v>0</v>
      </c>
      <c r="AD149" s="1">
        <f t="shared" si="127"/>
        <v>1</v>
      </c>
      <c r="AE149" s="1">
        <f t="shared" si="128"/>
        <v>0</v>
      </c>
      <c r="AF149" s="1">
        <f t="shared" si="113"/>
        <v>1</v>
      </c>
      <c r="AG149" s="1">
        <f t="shared" si="114"/>
        <v>0</v>
      </c>
      <c r="AH149" s="1">
        <f t="shared" si="115"/>
        <v>1</v>
      </c>
      <c r="AI149" s="1">
        <f t="shared" si="116"/>
        <v>0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2" t="s">
        <v>1641</v>
      </c>
      <c r="E150" s="32" t="s">
        <v>170</v>
      </c>
      <c r="F150" s="32" t="s">
        <v>1476</v>
      </c>
      <c r="G150" s="32" t="s">
        <v>1669</v>
      </c>
      <c r="H150" s="32" t="s">
        <v>354</v>
      </c>
      <c r="I150" s="31" t="s">
        <v>1475</v>
      </c>
      <c r="J150" s="31">
        <v>99</v>
      </c>
      <c r="K150" s="33" t="s">
        <v>702</v>
      </c>
      <c r="L150" s="33" t="s">
        <v>1704</v>
      </c>
      <c r="M150" s="34" t="s">
        <v>1477</v>
      </c>
      <c r="N150" s="34" t="s">
        <v>1749</v>
      </c>
      <c r="O150" s="35">
        <v>1</v>
      </c>
      <c r="P150" s="35"/>
      <c r="Q150" s="32"/>
      <c r="S150" s="1">
        <f t="shared" si="117"/>
        <v>0</v>
      </c>
      <c r="T150" s="1">
        <f t="shared" si="118"/>
        <v>0</v>
      </c>
      <c r="U150" s="1">
        <f t="shared" si="119"/>
        <v>0</v>
      </c>
      <c r="V150" s="1">
        <f t="shared" si="120"/>
        <v>0</v>
      </c>
      <c r="W150" s="1">
        <f t="shared" si="121"/>
        <v>0</v>
      </c>
      <c r="X150" s="1">
        <f t="shared" si="122"/>
        <v>0</v>
      </c>
      <c r="Y150" s="1">
        <f t="shared" si="123"/>
        <v>0</v>
      </c>
      <c r="Z150" s="1">
        <f t="shared" si="124"/>
        <v>0</v>
      </c>
      <c r="AA150" s="1">
        <f t="shared" si="125"/>
        <v>0</v>
      </c>
      <c r="AB150" s="1">
        <f t="shared" si="126"/>
        <v>0</v>
      </c>
      <c r="AD150" s="1">
        <f t="shared" si="127"/>
        <v>0</v>
      </c>
      <c r="AE150" s="1">
        <f t="shared" si="128"/>
        <v>1</v>
      </c>
      <c r="AF150" s="1">
        <f t="shared" si="113"/>
        <v>0</v>
      </c>
      <c r="AG150" s="1">
        <f t="shared" si="114"/>
        <v>1</v>
      </c>
      <c r="AH150" s="1">
        <f t="shared" si="115"/>
        <v>0</v>
      </c>
      <c r="AI150" s="1">
        <f t="shared" si="116"/>
        <v>1</v>
      </c>
    </row>
    <row r="151" spans="1:35" ht="14.25" customHeight="1" x14ac:dyDescent="0.25">
      <c r="A151" s="15">
        <v>0</v>
      </c>
      <c r="B151" s="15">
        <v>1</v>
      </c>
      <c r="C151" s="15">
        <v>3</v>
      </c>
      <c r="D151" s="20" t="s">
        <v>1948</v>
      </c>
      <c r="E151" s="20" t="s">
        <v>172</v>
      </c>
      <c r="F151" s="20" t="s">
        <v>1964</v>
      </c>
      <c r="G151" s="20"/>
      <c r="H151" s="20" t="s">
        <v>1963</v>
      </c>
      <c r="I151" s="21" t="s">
        <v>1962</v>
      </c>
      <c r="J151" s="15">
        <v>14</v>
      </c>
      <c r="K151" s="10" t="s">
        <v>703</v>
      </c>
      <c r="L151" s="10" t="s">
        <v>697</v>
      </c>
      <c r="M151" s="19" t="s">
        <v>971</v>
      </c>
      <c r="N151" s="17"/>
      <c r="Q151" s="20" t="s">
        <v>1965</v>
      </c>
      <c r="S151" s="1">
        <f t="shared" si="117"/>
        <v>0</v>
      </c>
      <c r="T151" s="1">
        <f t="shared" si="118"/>
        <v>0</v>
      </c>
      <c r="U151" s="1">
        <f t="shared" si="119"/>
        <v>0</v>
      </c>
      <c r="V151" s="1">
        <f t="shared" si="120"/>
        <v>0</v>
      </c>
      <c r="W151" s="1">
        <f t="shared" si="121"/>
        <v>0</v>
      </c>
      <c r="X151" s="1">
        <f t="shared" si="122"/>
        <v>0</v>
      </c>
      <c r="Y151" s="1">
        <f t="shared" si="123"/>
        <v>0</v>
      </c>
      <c r="Z151" s="1">
        <f t="shared" si="124"/>
        <v>0</v>
      </c>
      <c r="AA151" s="1">
        <f t="shared" si="125"/>
        <v>0</v>
      </c>
      <c r="AB151" s="1">
        <f t="shared" si="126"/>
        <v>0</v>
      </c>
      <c r="AD151" s="1">
        <f t="shared" si="127"/>
        <v>0</v>
      </c>
      <c r="AE151" s="1">
        <f t="shared" si="128"/>
        <v>0</v>
      </c>
      <c r="AF151" s="1">
        <f t="shared" si="113"/>
        <v>0</v>
      </c>
      <c r="AG151" s="1">
        <f t="shared" si="114"/>
        <v>0</v>
      </c>
      <c r="AH151" s="1">
        <f t="shared" si="115"/>
        <v>0</v>
      </c>
      <c r="AI151" s="1">
        <f t="shared" si="116"/>
        <v>1</v>
      </c>
    </row>
    <row r="152" spans="1:35" ht="14.25" customHeight="1" x14ac:dyDescent="0.25">
      <c r="A152" s="31">
        <v>0</v>
      </c>
      <c r="B152" s="31">
        <v>1</v>
      </c>
      <c r="C152" s="31">
        <v>3</v>
      </c>
      <c r="D152" s="32" t="s">
        <v>145</v>
      </c>
      <c r="E152" s="32" t="s">
        <v>172</v>
      </c>
      <c r="F152" s="32" t="s">
        <v>347</v>
      </c>
      <c r="G152" s="32" t="s">
        <v>39</v>
      </c>
      <c r="H152" s="32" t="s">
        <v>378</v>
      </c>
      <c r="I152" s="31" t="s">
        <v>1362</v>
      </c>
      <c r="J152" s="31">
        <v>14</v>
      </c>
      <c r="K152" s="33" t="s">
        <v>956</v>
      </c>
      <c r="L152" s="33" t="s">
        <v>689</v>
      </c>
      <c r="M152" s="34" t="s">
        <v>691</v>
      </c>
      <c r="N152" s="34" t="s">
        <v>1748</v>
      </c>
      <c r="O152" s="35">
        <v>1</v>
      </c>
      <c r="P152" s="35"/>
      <c r="Q152" s="32"/>
      <c r="S152" s="1">
        <f t="shared" si="117"/>
        <v>0</v>
      </c>
      <c r="T152" s="1">
        <f t="shared" si="118"/>
        <v>0</v>
      </c>
      <c r="U152" s="1">
        <f t="shared" si="119"/>
        <v>0</v>
      </c>
      <c r="V152" s="1">
        <f t="shared" si="120"/>
        <v>0</v>
      </c>
      <c r="W152" s="1">
        <f t="shared" si="121"/>
        <v>0</v>
      </c>
      <c r="X152" s="1">
        <f t="shared" si="122"/>
        <v>0</v>
      </c>
      <c r="Y152" s="1">
        <f t="shared" si="123"/>
        <v>0</v>
      </c>
      <c r="Z152" s="1">
        <f t="shared" si="124"/>
        <v>0</v>
      </c>
      <c r="AA152" s="1">
        <f t="shared" si="125"/>
        <v>0</v>
      </c>
      <c r="AB152" s="1">
        <f t="shared" si="126"/>
        <v>0</v>
      </c>
      <c r="AD152" s="1">
        <f t="shared" si="127"/>
        <v>0</v>
      </c>
      <c r="AE152" s="1">
        <f t="shared" si="128"/>
        <v>1</v>
      </c>
      <c r="AF152" s="1">
        <f t="shared" si="113"/>
        <v>0</v>
      </c>
      <c r="AG152" s="1">
        <f t="shared" si="114"/>
        <v>1</v>
      </c>
      <c r="AH152" s="1">
        <f t="shared" si="115"/>
        <v>0</v>
      </c>
      <c r="AI152" s="1">
        <f t="shared" si="116"/>
        <v>1</v>
      </c>
    </row>
    <row r="153" spans="1:35" ht="14.25" customHeight="1" x14ac:dyDescent="0.25">
      <c r="A153" s="31">
        <v>0</v>
      </c>
      <c r="B153" s="31">
        <v>1</v>
      </c>
      <c r="C153" s="31">
        <v>3</v>
      </c>
      <c r="D153" s="32" t="s">
        <v>1567</v>
      </c>
      <c r="E153" s="32" t="s">
        <v>172</v>
      </c>
      <c r="F153" s="32" t="s">
        <v>1568</v>
      </c>
      <c r="G153" s="32" t="s">
        <v>39</v>
      </c>
      <c r="H153" s="32" t="s">
        <v>1569</v>
      </c>
      <c r="I153" s="31" t="s">
        <v>1570</v>
      </c>
      <c r="J153" s="31">
        <v>17</v>
      </c>
      <c r="K153" s="33" t="s">
        <v>722</v>
      </c>
      <c r="L153" s="33" t="s">
        <v>39</v>
      </c>
      <c r="M153" s="34" t="s">
        <v>39</v>
      </c>
      <c r="N153" s="34" t="s">
        <v>1733</v>
      </c>
      <c r="O153" s="35">
        <v>1</v>
      </c>
      <c r="P153" s="35">
        <v>1</v>
      </c>
      <c r="Q153" s="32" t="s">
        <v>1913</v>
      </c>
      <c r="S153" s="1">
        <f t="shared" si="117"/>
        <v>0</v>
      </c>
      <c r="T153" s="1">
        <f t="shared" si="118"/>
        <v>0</v>
      </c>
      <c r="U153" s="1">
        <f t="shared" si="119"/>
        <v>0</v>
      </c>
      <c r="V153" s="1">
        <f t="shared" si="120"/>
        <v>0</v>
      </c>
      <c r="W153" s="1">
        <f t="shared" si="121"/>
        <v>0</v>
      </c>
      <c r="X153" s="1">
        <f t="shared" si="122"/>
        <v>0</v>
      </c>
      <c r="Y153" s="1">
        <f t="shared" si="123"/>
        <v>0</v>
      </c>
      <c r="Z153" s="1">
        <f t="shared" si="124"/>
        <v>0</v>
      </c>
      <c r="AA153" s="1">
        <f t="shared" si="125"/>
        <v>0</v>
      </c>
      <c r="AB153" s="1">
        <f t="shared" si="126"/>
        <v>0</v>
      </c>
      <c r="AD153" s="1">
        <f t="shared" si="127"/>
        <v>1</v>
      </c>
      <c r="AE153" s="1">
        <f t="shared" si="128"/>
        <v>0</v>
      </c>
      <c r="AF153" s="1">
        <f t="shared" si="113"/>
        <v>1</v>
      </c>
      <c r="AG153" s="1">
        <f t="shared" si="114"/>
        <v>0</v>
      </c>
      <c r="AH153" s="1">
        <f t="shared" si="115"/>
        <v>1</v>
      </c>
      <c r="AI153" s="1">
        <f t="shared" si="116"/>
        <v>0</v>
      </c>
    </row>
    <row r="154" spans="1:35" ht="14.25" customHeight="1" x14ac:dyDescent="0.25">
      <c r="A154" s="31">
        <v>0</v>
      </c>
      <c r="B154" s="31">
        <v>1</v>
      </c>
      <c r="C154" s="31">
        <v>3</v>
      </c>
      <c r="D154" s="32" t="s">
        <v>153</v>
      </c>
      <c r="E154" s="32" t="s">
        <v>172</v>
      </c>
      <c r="F154" s="32" t="s">
        <v>353</v>
      </c>
      <c r="G154" s="32" t="s">
        <v>39</v>
      </c>
      <c r="H154" s="32" t="s">
        <v>1869</v>
      </c>
      <c r="I154" s="31" t="s">
        <v>500</v>
      </c>
      <c r="J154" s="31">
        <v>14</v>
      </c>
      <c r="K154" s="33" t="s">
        <v>702</v>
      </c>
      <c r="L154" s="33" t="s">
        <v>689</v>
      </c>
      <c r="M154" s="34" t="s">
        <v>970</v>
      </c>
      <c r="N154" s="34" t="s">
        <v>1748</v>
      </c>
      <c r="O154" s="35">
        <v>1</v>
      </c>
      <c r="P154" s="35"/>
      <c r="Q154" s="32" t="s">
        <v>1896</v>
      </c>
      <c r="S154" s="1">
        <f t="shared" si="117"/>
        <v>0</v>
      </c>
      <c r="T154" s="1">
        <f t="shared" si="118"/>
        <v>0</v>
      </c>
      <c r="U154" s="1">
        <f t="shared" si="119"/>
        <v>0</v>
      </c>
      <c r="V154" s="1">
        <f t="shared" si="120"/>
        <v>0</v>
      </c>
      <c r="W154" s="1">
        <f t="shared" si="121"/>
        <v>0</v>
      </c>
      <c r="X154" s="1">
        <f t="shared" si="122"/>
        <v>0</v>
      </c>
      <c r="Y154" s="1">
        <f t="shared" si="123"/>
        <v>0</v>
      </c>
      <c r="Z154" s="1">
        <f t="shared" si="124"/>
        <v>0</v>
      </c>
      <c r="AA154" s="1">
        <f t="shared" si="125"/>
        <v>0</v>
      </c>
      <c r="AB154" s="1">
        <f t="shared" si="126"/>
        <v>0</v>
      </c>
      <c r="AD154" s="1">
        <f t="shared" si="127"/>
        <v>0</v>
      </c>
      <c r="AE154" s="1">
        <f t="shared" si="128"/>
        <v>1</v>
      </c>
      <c r="AF154" s="1">
        <f t="shared" si="113"/>
        <v>0</v>
      </c>
      <c r="AG154" s="1">
        <f t="shared" si="114"/>
        <v>1</v>
      </c>
      <c r="AH154" s="1">
        <f t="shared" si="115"/>
        <v>0</v>
      </c>
      <c r="AI154" s="1">
        <f t="shared" si="116"/>
        <v>1</v>
      </c>
    </row>
    <row r="155" spans="1:35" ht="14.25" customHeight="1" x14ac:dyDescent="0.25">
      <c r="A155" s="15">
        <v>0</v>
      </c>
      <c r="B155" s="15">
        <v>1</v>
      </c>
      <c r="C155" s="15">
        <v>3</v>
      </c>
      <c r="D155" s="16" t="s">
        <v>739</v>
      </c>
      <c r="E155" s="16" t="s">
        <v>172</v>
      </c>
      <c r="F155" s="16" t="s">
        <v>740</v>
      </c>
      <c r="G155" s="16" t="s">
        <v>39</v>
      </c>
      <c r="H155" s="16" t="s">
        <v>741</v>
      </c>
      <c r="I155" s="15" t="s">
        <v>742</v>
      </c>
      <c r="J155" s="15">
        <v>17</v>
      </c>
      <c r="K155" s="10" t="s">
        <v>722</v>
      </c>
      <c r="L155" s="10" t="s">
        <v>697</v>
      </c>
      <c r="M155" s="19" t="s">
        <v>691</v>
      </c>
      <c r="N155" s="17"/>
      <c r="Q155" s="16" t="s">
        <v>1887</v>
      </c>
      <c r="S155" s="1">
        <f t="shared" si="117"/>
        <v>0</v>
      </c>
      <c r="T155" s="1">
        <f t="shared" si="118"/>
        <v>0</v>
      </c>
      <c r="U155" s="1">
        <f t="shared" si="119"/>
        <v>0</v>
      </c>
      <c r="V155" s="1">
        <f t="shared" si="120"/>
        <v>0</v>
      </c>
      <c r="W155" s="1">
        <f t="shared" si="121"/>
        <v>0</v>
      </c>
      <c r="X155" s="1">
        <f t="shared" si="122"/>
        <v>0</v>
      </c>
      <c r="Y155" s="1">
        <f t="shared" si="123"/>
        <v>0</v>
      </c>
      <c r="Z155" s="1">
        <f t="shared" si="124"/>
        <v>0</v>
      </c>
      <c r="AA155" s="1">
        <f t="shared" si="125"/>
        <v>0</v>
      </c>
      <c r="AB155" s="1">
        <f t="shared" si="126"/>
        <v>0</v>
      </c>
      <c r="AD155" s="1">
        <f t="shared" si="127"/>
        <v>0</v>
      </c>
      <c r="AE155" s="1">
        <f t="shared" si="128"/>
        <v>0</v>
      </c>
      <c r="AF155" s="1">
        <f t="shared" si="113"/>
        <v>0</v>
      </c>
      <c r="AG155" s="1">
        <f t="shared" si="114"/>
        <v>0</v>
      </c>
      <c r="AH155" s="1">
        <f t="shared" si="115"/>
        <v>0</v>
      </c>
      <c r="AI155" s="1">
        <f t="shared" si="116"/>
        <v>1</v>
      </c>
    </row>
    <row r="156" spans="1:35" ht="14.25" customHeight="1" x14ac:dyDescent="0.25">
      <c r="A156" s="44">
        <v>0</v>
      </c>
      <c r="B156" s="44">
        <v>1</v>
      </c>
      <c r="C156" s="44">
        <v>3</v>
      </c>
      <c r="D156" s="45" t="s">
        <v>904</v>
      </c>
      <c r="E156" s="45" t="s">
        <v>172</v>
      </c>
      <c r="F156" s="45" t="s">
        <v>1096</v>
      </c>
      <c r="G156" s="45" t="s">
        <v>39</v>
      </c>
      <c r="H156" s="45" t="s">
        <v>906</v>
      </c>
      <c r="I156" s="44" t="s">
        <v>905</v>
      </c>
      <c r="J156" s="44">
        <v>11</v>
      </c>
      <c r="K156" s="46" t="s">
        <v>957</v>
      </c>
      <c r="L156" s="46">
        <v>60</v>
      </c>
      <c r="M156" s="47" t="s">
        <v>39</v>
      </c>
      <c r="N156" s="47" t="s">
        <v>1739</v>
      </c>
      <c r="O156" s="48"/>
      <c r="P156" s="48"/>
      <c r="Q156" s="45"/>
      <c r="S156" s="1">
        <f t="shared" si="117"/>
        <v>0</v>
      </c>
      <c r="T156" s="1">
        <f t="shared" si="118"/>
        <v>0</v>
      </c>
      <c r="U156" s="1">
        <f t="shared" si="119"/>
        <v>0</v>
      </c>
      <c r="V156" s="1">
        <f t="shared" si="120"/>
        <v>0</v>
      </c>
      <c r="W156" s="1">
        <f t="shared" si="121"/>
        <v>0</v>
      </c>
      <c r="X156" s="1">
        <f t="shared" si="122"/>
        <v>0</v>
      </c>
      <c r="Y156" s="1">
        <f t="shared" si="123"/>
        <v>0</v>
      </c>
      <c r="Z156" s="1">
        <f t="shared" si="124"/>
        <v>0</v>
      </c>
      <c r="AA156" s="1">
        <f t="shared" si="125"/>
        <v>0</v>
      </c>
      <c r="AB156" s="1">
        <f t="shared" si="126"/>
        <v>0</v>
      </c>
      <c r="AD156" s="1">
        <f t="shared" si="127"/>
        <v>0</v>
      </c>
      <c r="AE156" s="1">
        <f t="shared" si="128"/>
        <v>0</v>
      </c>
      <c r="AF156" s="1">
        <f t="shared" si="113"/>
        <v>0</v>
      </c>
      <c r="AG156" s="1">
        <f t="shared" si="114"/>
        <v>0</v>
      </c>
      <c r="AH156" s="1">
        <f t="shared" si="115"/>
        <v>0</v>
      </c>
      <c r="AI156" s="1">
        <f t="shared" si="116"/>
        <v>1</v>
      </c>
    </row>
    <row r="157" spans="1:35" ht="14.25" customHeight="1" x14ac:dyDescent="0.25">
      <c r="A157" s="31">
        <v>0</v>
      </c>
      <c r="B157" s="31">
        <v>1</v>
      </c>
      <c r="C157" s="31">
        <v>3</v>
      </c>
      <c r="D157" s="32" t="s">
        <v>123</v>
      </c>
      <c r="E157" s="32" t="s">
        <v>175</v>
      </c>
      <c r="F157" s="32" t="s">
        <v>324</v>
      </c>
      <c r="G157" s="32" t="s">
        <v>39</v>
      </c>
      <c r="H157" s="32" t="s">
        <v>363</v>
      </c>
      <c r="I157" s="31" t="s">
        <v>470</v>
      </c>
      <c r="J157" s="31">
        <v>14</v>
      </c>
      <c r="K157" s="33" t="s">
        <v>722</v>
      </c>
      <c r="L157" s="33" t="s">
        <v>693</v>
      </c>
      <c r="M157" s="34" t="s">
        <v>1379</v>
      </c>
      <c r="N157" s="34" t="s">
        <v>1849</v>
      </c>
      <c r="O157" s="35">
        <v>1</v>
      </c>
      <c r="P157" s="35"/>
      <c r="Q157" s="36"/>
      <c r="S157" s="1">
        <f t="shared" ref="S157:S161" si="129">IF(J157=$S$7,1,0)</f>
        <v>0</v>
      </c>
      <c r="T157" s="1">
        <f t="shared" ref="T157:T161" si="130">IF(J157=$T$7,1,0)</f>
        <v>0</v>
      </c>
      <c r="U157" s="1">
        <f t="shared" ref="U157:U161" si="131">IF(J157=$U$7,1,0)</f>
        <v>0</v>
      </c>
      <c r="V157" s="1">
        <f t="shared" ref="V157:V161" si="132">IF(J157=$V$7,1,0)</f>
        <v>0</v>
      </c>
      <c r="W157" s="1">
        <f t="shared" ref="W157:W161" si="133">IF(J157=$W$7,1,0)</f>
        <v>0</v>
      </c>
      <c r="X157" s="1">
        <f t="shared" ref="X157:X161" si="134">IF(J157=$X$7,1,0)</f>
        <v>0</v>
      </c>
      <c r="Y157" s="1">
        <f t="shared" ref="Y157:Y161" si="135">IF(J157=$Y$7,1,0)</f>
        <v>0</v>
      </c>
      <c r="Z157" s="1">
        <f t="shared" ref="Z157:Z161" si="136">IF(J157=$Z$7,1,0)</f>
        <v>0</v>
      </c>
      <c r="AA157" s="1">
        <f t="shared" ref="AA157:AA161" si="137">IF(J157=$AA$7,1,0)</f>
        <v>0</v>
      </c>
      <c r="AB157" s="1">
        <f t="shared" ref="AB157:AB161" si="138">IF(J157=$AB$7,1,0)</f>
        <v>0</v>
      </c>
      <c r="AD157" s="1">
        <f t="shared" ref="AD157:AD161" si="139">+O157*P157</f>
        <v>0</v>
      </c>
      <c r="AE157" s="1">
        <f t="shared" ref="AE157:AE161" si="140">O157*(1-P157)</f>
        <v>1</v>
      </c>
      <c r="AF157" s="1">
        <f t="shared" ref="AF157:AF161" si="141">+O157*P157*(1-A157)</f>
        <v>0</v>
      </c>
      <c r="AG157" s="1">
        <f t="shared" ref="AG157:AG161" si="142">O157*(1-P157)*(1-A157)</f>
        <v>1</v>
      </c>
      <c r="AH157" s="1">
        <f t="shared" ref="AH157:AH161" si="143">+P157*(1-A157)</f>
        <v>0</v>
      </c>
      <c r="AI157" s="1">
        <f t="shared" ref="AI157:AI161" si="144">+(1-A157)*(1-P157)</f>
        <v>1</v>
      </c>
    </row>
    <row r="158" spans="1:35" ht="14.25" customHeight="1" x14ac:dyDescent="0.25">
      <c r="A158" s="31">
        <v>0</v>
      </c>
      <c r="B158" s="31">
        <v>1</v>
      </c>
      <c r="C158" s="31">
        <v>3</v>
      </c>
      <c r="D158" s="32" t="s">
        <v>1169</v>
      </c>
      <c r="E158" s="32" t="s">
        <v>172</v>
      </c>
      <c r="F158" s="32" t="s">
        <v>1171</v>
      </c>
      <c r="G158" s="32" t="s">
        <v>767</v>
      </c>
      <c r="H158" s="32" t="s">
        <v>354</v>
      </c>
      <c r="I158" s="31" t="s">
        <v>1170</v>
      </c>
      <c r="J158" s="31">
        <v>99</v>
      </c>
      <c r="K158" s="33" t="s">
        <v>703</v>
      </c>
      <c r="L158" s="33">
        <v>30</v>
      </c>
      <c r="M158" s="34" t="s">
        <v>970</v>
      </c>
      <c r="N158" s="34" t="s">
        <v>1825</v>
      </c>
      <c r="O158" s="35">
        <v>1</v>
      </c>
      <c r="P158" s="35"/>
      <c r="Q158" s="36"/>
      <c r="S158" s="1">
        <f t="shared" si="129"/>
        <v>0</v>
      </c>
      <c r="T158" s="1">
        <f t="shared" si="130"/>
        <v>0</v>
      </c>
      <c r="U158" s="1">
        <f t="shared" si="131"/>
        <v>0</v>
      </c>
      <c r="V158" s="1">
        <f t="shared" si="132"/>
        <v>0</v>
      </c>
      <c r="W158" s="1">
        <f t="shared" si="133"/>
        <v>0</v>
      </c>
      <c r="X158" s="1">
        <f t="shared" si="134"/>
        <v>0</v>
      </c>
      <c r="Y158" s="1">
        <f t="shared" si="135"/>
        <v>0</v>
      </c>
      <c r="Z158" s="1">
        <f t="shared" si="136"/>
        <v>0</v>
      </c>
      <c r="AA158" s="1">
        <f t="shared" si="137"/>
        <v>0</v>
      </c>
      <c r="AB158" s="1">
        <f t="shared" si="138"/>
        <v>0</v>
      </c>
      <c r="AD158" s="1">
        <f t="shared" si="139"/>
        <v>0</v>
      </c>
      <c r="AE158" s="1">
        <f t="shared" si="140"/>
        <v>1</v>
      </c>
      <c r="AF158" s="1">
        <f t="shared" si="141"/>
        <v>0</v>
      </c>
      <c r="AG158" s="1">
        <f t="shared" si="142"/>
        <v>1</v>
      </c>
      <c r="AH158" s="1">
        <f t="shared" si="143"/>
        <v>0</v>
      </c>
      <c r="AI158" s="1">
        <f t="shared" si="144"/>
        <v>1</v>
      </c>
    </row>
    <row r="159" spans="1:35" ht="14.25" customHeight="1" x14ac:dyDescent="0.25">
      <c r="A159" s="31">
        <v>0</v>
      </c>
      <c r="B159" s="31">
        <v>1</v>
      </c>
      <c r="C159" s="31">
        <v>3</v>
      </c>
      <c r="D159" s="32" t="s">
        <v>2041</v>
      </c>
      <c r="E159" s="32" t="s">
        <v>172</v>
      </c>
      <c r="F159" s="32" t="s">
        <v>2042</v>
      </c>
      <c r="G159" s="32"/>
      <c r="H159" s="32" t="s">
        <v>354</v>
      </c>
      <c r="I159" s="31" t="s">
        <v>2043</v>
      </c>
      <c r="J159" s="31">
        <v>18</v>
      </c>
      <c r="K159" s="33" t="s">
        <v>703</v>
      </c>
      <c r="L159" s="33"/>
      <c r="M159" s="34"/>
      <c r="N159" s="34" t="s">
        <v>1733</v>
      </c>
      <c r="O159" s="35">
        <v>1</v>
      </c>
      <c r="P159" s="35">
        <v>1</v>
      </c>
      <c r="Q159" s="36" t="s">
        <v>2044</v>
      </c>
      <c r="S159" s="1">
        <f t="shared" si="129"/>
        <v>0</v>
      </c>
      <c r="T159" s="1">
        <f t="shared" si="130"/>
        <v>0</v>
      </c>
      <c r="U159" s="1">
        <f t="shared" si="131"/>
        <v>0</v>
      </c>
      <c r="V159" s="1">
        <f t="shared" si="132"/>
        <v>0</v>
      </c>
      <c r="W159" s="1">
        <f t="shared" si="133"/>
        <v>0</v>
      </c>
      <c r="X159" s="1">
        <f t="shared" si="134"/>
        <v>0</v>
      </c>
      <c r="Y159" s="1">
        <f t="shared" si="135"/>
        <v>0</v>
      </c>
      <c r="Z159" s="1">
        <f t="shared" si="136"/>
        <v>0</v>
      </c>
      <c r="AA159" s="1">
        <f t="shared" si="137"/>
        <v>0</v>
      </c>
      <c r="AB159" s="1">
        <f t="shared" si="138"/>
        <v>0</v>
      </c>
      <c r="AD159" s="1">
        <f t="shared" si="139"/>
        <v>1</v>
      </c>
      <c r="AE159" s="1">
        <f t="shared" si="140"/>
        <v>0</v>
      </c>
      <c r="AF159" s="1">
        <f t="shared" si="141"/>
        <v>1</v>
      </c>
      <c r="AG159" s="1">
        <f t="shared" si="142"/>
        <v>0</v>
      </c>
      <c r="AH159" s="1">
        <f t="shared" si="143"/>
        <v>1</v>
      </c>
      <c r="AI159" s="1">
        <f t="shared" si="144"/>
        <v>0</v>
      </c>
    </row>
    <row r="160" spans="1:35" ht="14.25" customHeight="1" x14ac:dyDescent="0.25">
      <c r="A160" s="15">
        <v>0</v>
      </c>
      <c r="B160" s="15">
        <v>1</v>
      </c>
      <c r="C160" s="15">
        <v>3</v>
      </c>
      <c r="D160" s="16" t="s">
        <v>743</v>
      </c>
      <c r="E160" s="16" t="s">
        <v>170</v>
      </c>
      <c r="F160" s="16" t="s">
        <v>744</v>
      </c>
      <c r="G160" s="16" t="s">
        <v>39</v>
      </c>
      <c r="H160" s="16" t="s">
        <v>745</v>
      </c>
      <c r="I160" s="15" t="s">
        <v>746</v>
      </c>
      <c r="J160" s="15">
        <v>17</v>
      </c>
      <c r="K160" s="10" t="s">
        <v>703</v>
      </c>
      <c r="L160" s="10" t="s">
        <v>697</v>
      </c>
      <c r="M160" s="19" t="s">
        <v>971</v>
      </c>
      <c r="N160" s="17"/>
      <c r="Q160" s="16"/>
      <c r="S160" s="1">
        <f t="shared" si="129"/>
        <v>0</v>
      </c>
      <c r="T160" s="1">
        <f t="shared" si="130"/>
        <v>0</v>
      </c>
      <c r="U160" s="1">
        <f t="shared" si="131"/>
        <v>0</v>
      </c>
      <c r="V160" s="1">
        <f t="shared" si="132"/>
        <v>0</v>
      </c>
      <c r="W160" s="1">
        <f t="shared" si="133"/>
        <v>0</v>
      </c>
      <c r="X160" s="1">
        <f t="shared" si="134"/>
        <v>0</v>
      </c>
      <c r="Y160" s="1">
        <f t="shared" si="135"/>
        <v>0</v>
      </c>
      <c r="Z160" s="1">
        <f t="shared" si="136"/>
        <v>0</v>
      </c>
      <c r="AA160" s="1">
        <f t="shared" si="137"/>
        <v>0</v>
      </c>
      <c r="AB160" s="1">
        <f t="shared" si="138"/>
        <v>0</v>
      </c>
      <c r="AD160" s="1">
        <f t="shared" si="139"/>
        <v>0</v>
      </c>
      <c r="AE160" s="1">
        <f t="shared" si="140"/>
        <v>0</v>
      </c>
      <c r="AF160" s="1">
        <f t="shared" si="141"/>
        <v>0</v>
      </c>
      <c r="AG160" s="1">
        <f t="shared" si="142"/>
        <v>0</v>
      </c>
      <c r="AH160" s="1">
        <f t="shared" si="143"/>
        <v>0</v>
      </c>
      <c r="AI160" s="1">
        <f t="shared" si="144"/>
        <v>1</v>
      </c>
    </row>
    <row r="161" spans="1:35" ht="14.25" customHeight="1" x14ac:dyDescent="0.25">
      <c r="A161" s="15">
        <v>0</v>
      </c>
      <c r="B161" s="15">
        <v>1</v>
      </c>
      <c r="C161" s="15">
        <v>3</v>
      </c>
      <c r="D161" s="20" t="s">
        <v>1947</v>
      </c>
      <c r="E161" s="20" t="s">
        <v>172</v>
      </c>
      <c r="F161" s="20" t="s">
        <v>1958</v>
      </c>
      <c r="G161" s="20"/>
      <c r="H161" s="20" t="s">
        <v>1959</v>
      </c>
      <c r="I161" s="21" t="s">
        <v>1960</v>
      </c>
      <c r="J161" s="15">
        <v>16</v>
      </c>
      <c r="K161" s="10" t="s">
        <v>703</v>
      </c>
      <c r="L161" s="10" t="s">
        <v>697</v>
      </c>
      <c r="M161" s="19" t="s">
        <v>971</v>
      </c>
      <c r="N161" s="17"/>
      <c r="Q161" s="20" t="s">
        <v>1957</v>
      </c>
      <c r="S161" s="1">
        <f t="shared" si="129"/>
        <v>0</v>
      </c>
      <c r="T161" s="1">
        <f t="shared" si="130"/>
        <v>0</v>
      </c>
      <c r="U161" s="1">
        <f t="shared" si="131"/>
        <v>0</v>
      </c>
      <c r="V161" s="1">
        <f t="shared" si="132"/>
        <v>0</v>
      </c>
      <c r="W161" s="1">
        <f t="shared" si="133"/>
        <v>0</v>
      </c>
      <c r="X161" s="1">
        <f t="shared" si="134"/>
        <v>0</v>
      </c>
      <c r="Y161" s="1">
        <f t="shared" si="135"/>
        <v>0</v>
      </c>
      <c r="Z161" s="1">
        <f t="shared" si="136"/>
        <v>0</v>
      </c>
      <c r="AA161" s="1">
        <f t="shared" si="137"/>
        <v>0</v>
      </c>
      <c r="AB161" s="1">
        <f t="shared" si="138"/>
        <v>0</v>
      </c>
      <c r="AD161" s="1">
        <f t="shared" si="139"/>
        <v>0</v>
      </c>
      <c r="AE161" s="1">
        <f t="shared" si="140"/>
        <v>0</v>
      </c>
      <c r="AF161" s="1">
        <f t="shared" si="141"/>
        <v>0</v>
      </c>
      <c r="AG161" s="1">
        <f t="shared" si="142"/>
        <v>0</v>
      </c>
      <c r="AH161" s="1">
        <f t="shared" si="143"/>
        <v>0</v>
      </c>
      <c r="AI161" s="1">
        <f t="shared" si="144"/>
        <v>1</v>
      </c>
    </row>
    <row r="162" spans="1:35" ht="14.25" customHeight="1" x14ac:dyDescent="0.25">
      <c r="A162" s="44">
        <v>0</v>
      </c>
      <c r="B162" s="44">
        <v>1</v>
      </c>
      <c r="C162" s="44">
        <v>3</v>
      </c>
      <c r="D162" s="45" t="s">
        <v>834</v>
      </c>
      <c r="E162" s="45" t="s">
        <v>914</v>
      </c>
      <c r="F162" s="45" t="s">
        <v>835</v>
      </c>
      <c r="G162" s="45" t="s">
        <v>208</v>
      </c>
      <c r="H162" s="45" t="s">
        <v>354</v>
      </c>
      <c r="I162" s="44" t="s">
        <v>836</v>
      </c>
      <c r="J162" s="44">
        <v>3</v>
      </c>
      <c r="K162" s="46" t="s">
        <v>722</v>
      </c>
      <c r="L162" s="46" t="s">
        <v>693</v>
      </c>
      <c r="M162" s="47" t="s">
        <v>698</v>
      </c>
      <c r="N162" s="47" t="s">
        <v>1740</v>
      </c>
      <c r="O162" s="48"/>
      <c r="P162" s="48"/>
      <c r="Q162" s="45"/>
      <c r="S162" s="1">
        <f t="shared" si="117"/>
        <v>0</v>
      </c>
      <c r="T162" s="1">
        <f t="shared" si="118"/>
        <v>0</v>
      </c>
      <c r="U162" s="1">
        <f t="shared" si="119"/>
        <v>1</v>
      </c>
      <c r="V162" s="1">
        <f t="shared" si="120"/>
        <v>0</v>
      </c>
      <c r="W162" s="1">
        <f t="shared" si="121"/>
        <v>0</v>
      </c>
      <c r="X162" s="1">
        <f t="shared" si="122"/>
        <v>0</v>
      </c>
      <c r="Y162" s="1">
        <f t="shared" si="123"/>
        <v>0</v>
      </c>
      <c r="Z162" s="1">
        <f t="shared" si="124"/>
        <v>0</v>
      </c>
      <c r="AA162" s="1">
        <f t="shared" si="125"/>
        <v>0</v>
      </c>
      <c r="AB162" s="1">
        <f t="shared" si="126"/>
        <v>0</v>
      </c>
      <c r="AD162" s="1">
        <f t="shared" si="127"/>
        <v>0</v>
      </c>
      <c r="AE162" s="1">
        <f t="shared" si="128"/>
        <v>0</v>
      </c>
      <c r="AF162" s="1">
        <f t="shared" si="113"/>
        <v>0</v>
      </c>
      <c r="AG162" s="1">
        <f t="shared" si="114"/>
        <v>0</v>
      </c>
      <c r="AH162" s="1">
        <f t="shared" si="115"/>
        <v>0</v>
      </c>
      <c r="AI162" s="1">
        <f t="shared" si="116"/>
        <v>1</v>
      </c>
    </row>
    <row r="163" spans="1:35" ht="14.25" customHeight="1" x14ac:dyDescent="0.25">
      <c r="A163" s="15">
        <v>0</v>
      </c>
      <c r="B163" s="15">
        <v>1</v>
      </c>
      <c r="C163" s="15">
        <v>3</v>
      </c>
      <c r="D163" s="20" t="s">
        <v>1953</v>
      </c>
      <c r="E163" s="20" t="s">
        <v>172</v>
      </c>
      <c r="F163" s="20" t="s">
        <v>1955</v>
      </c>
      <c r="G163" s="20"/>
      <c r="H163" s="20" t="s">
        <v>1956</v>
      </c>
      <c r="I163" s="21" t="s">
        <v>1954</v>
      </c>
      <c r="J163" s="15">
        <v>16</v>
      </c>
      <c r="K163" s="10" t="s">
        <v>703</v>
      </c>
      <c r="L163" s="10" t="s">
        <v>697</v>
      </c>
      <c r="M163" s="19" t="s">
        <v>971</v>
      </c>
      <c r="N163" s="17"/>
      <c r="Q163" s="20" t="s">
        <v>1961</v>
      </c>
      <c r="S163" s="1">
        <f t="shared" si="117"/>
        <v>0</v>
      </c>
      <c r="T163" s="1">
        <f t="shared" si="118"/>
        <v>0</v>
      </c>
      <c r="U163" s="1">
        <f t="shared" si="119"/>
        <v>0</v>
      </c>
      <c r="V163" s="1">
        <f t="shared" si="120"/>
        <v>0</v>
      </c>
      <c r="W163" s="1">
        <f t="shared" si="121"/>
        <v>0</v>
      </c>
      <c r="X163" s="1">
        <f t="shared" si="122"/>
        <v>0</v>
      </c>
      <c r="Y163" s="1">
        <f t="shared" si="123"/>
        <v>0</v>
      </c>
      <c r="Z163" s="1">
        <f t="shared" si="124"/>
        <v>0</v>
      </c>
      <c r="AA163" s="1">
        <f t="shared" si="125"/>
        <v>0</v>
      </c>
      <c r="AB163" s="1">
        <f t="shared" si="126"/>
        <v>0</v>
      </c>
      <c r="AD163" s="1">
        <f t="shared" si="127"/>
        <v>0</v>
      </c>
      <c r="AE163" s="1">
        <f t="shared" si="128"/>
        <v>0</v>
      </c>
      <c r="AF163" s="1">
        <f t="shared" si="113"/>
        <v>0</v>
      </c>
      <c r="AG163" s="1">
        <f t="shared" si="114"/>
        <v>0</v>
      </c>
      <c r="AH163" s="1">
        <f t="shared" si="115"/>
        <v>0</v>
      </c>
      <c r="AI163" s="1">
        <f t="shared" si="116"/>
        <v>1</v>
      </c>
    </row>
    <row r="164" spans="1:35" ht="14.25" customHeight="1" x14ac:dyDescent="0.25">
      <c r="A164" s="44">
        <v>0</v>
      </c>
      <c r="B164" s="44">
        <v>1</v>
      </c>
      <c r="C164" s="44">
        <v>3</v>
      </c>
      <c r="D164" s="45" t="s">
        <v>1209</v>
      </c>
      <c r="E164" s="45" t="s">
        <v>172</v>
      </c>
      <c r="F164" s="45" t="s">
        <v>1211</v>
      </c>
      <c r="G164" s="45" t="s">
        <v>185</v>
      </c>
      <c r="H164" s="45" t="s">
        <v>354</v>
      </c>
      <c r="I164" s="44" t="s">
        <v>1210</v>
      </c>
      <c r="J164" s="44">
        <v>99</v>
      </c>
      <c r="K164" s="46" t="s">
        <v>958</v>
      </c>
      <c r="L164" s="46" t="s">
        <v>689</v>
      </c>
      <c r="M164" s="47" t="s">
        <v>971</v>
      </c>
      <c r="N164" s="47" t="s">
        <v>1734</v>
      </c>
      <c r="O164" s="48"/>
      <c r="P164" s="48"/>
      <c r="Q164" s="45"/>
      <c r="S164" s="1">
        <f t="shared" si="117"/>
        <v>0</v>
      </c>
      <c r="T164" s="1">
        <f t="shared" si="118"/>
        <v>0</v>
      </c>
      <c r="U164" s="1">
        <f t="shared" si="119"/>
        <v>0</v>
      </c>
      <c r="V164" s="1">
        <f t="shared" si="120"/>
        <v>0</v>
      </c>
      <c r="W164" s="1">
        <f t="shared" si="121"/>
        <v>0</v>
      </c>
      <c r="X164" s="1">
        <f t="shared" si="122"/>
        <v>0</v>
      </c>
      <c r="Y164" s="1">
        <f t="shared" si="123"/>
        <v>0</v>
      </c>
      <c r="Z164" s="1">
        <f t="shared" si="124"/>
        <v>0</v>
      </c>
      <c r="AA164" s="1">
        <f t="shared" si="125"/>
        <v>0</v>
      </c>
      <c r="AB164" s="1">
        <f t="shared" si="126"/>
        <v>0</v>
      </c>
      <c r="AD164" s="1">
        <f t="shared" si="127"/>
        <v>0</v>
      </c>
      <c r="AE164" s="1">
        <f t="shared" si="128"/>
        <v>0</v>
      </c>
      <c r="AF164" s="1">
        <f t="shared" si="113"/>
        <v>0</v>
      </c>
      <c r="AG164" s="1">
        <f t="shared" si="114"/>
        <v>0</v>
      </c>
      <c r="AH164" s="1">
        <f t="shared" si="115"/>
        <v>0</v>
      </c>
      <c r="AI164" s="1">
        <f t="shared" si="116"/>
        <v>1</v>
      </c>
    </row>
    <row r="165" spans="1:35" ht="14.25" customHeight="1" x14ac:dyDescent="0.25">
      <c r="A165" s="31">
        <v>0</v>
      </c>
      <c r="B165" s="31">
        <v>1</v>
      </c>
      <c r="C165" s="31">
        <v>3</v>
      </c>
      <c r="D165" s="32" t="s">
        <v>632</v>
      </c>
      <c r="E165" s="32" t="s">
        <v>170</v>
      </c>
      <c r="F165" s="32" t="s">
        <v>633</v>
      </c>
      <c r="G165" s="32" t="s">
        <v>194</v>
      </c>
      <c r="H165" s="32" t="s">
        <v>354</v>
      </c>
      <c r="I165" s="31" t="s">
        <v>634</v>
      </c>
      <c r="J165" s="31">
        <v>9</v>
      </c>
      <c r="K165" s="33" t="s">
        <v>957</v>
      </c>
      <c r="L165" s="33" t="s">
        <v>1699</v>
      </c>
      <c r="M165" s="34" t="s">
        <v>970</v>
      </c>
      <c r="N165" s="34" t="s">
        <v>1727</v>
      </c>
      <c r="O165" s="35">
        <v>1</v>
      </c>
      <c r="P165" s="35">
        <v>1</v>
      </c>
      <c r="Q165" s="32"/>
      <c r="S165" s="1">
        <f t="shared" si="117"/>
        <v>0</v>
      </c>
      <c r="T165" s="1">
        <f t="shared" si="118"/>
        <v>0</v>
      </c>
      <c r="U165" s="1">
        <f t="shared" si="119"/>
        <v>0</v>
      </c>
      <c r="V165" s="1">
        <f t="shared" si="120"/>
        <v>0</v>
      </c>
      <c r="W165" s="1">
        <f t="shared" si="121"/>
        <v>0</v>
      </c>
      <c r="X165" s="1">
        <f t="shared" si="122"/>
        <v>0</v>
      </c>
      <c r="Y165" s="1">
        <f t="shared" si="123"/>
        <v>0</v>
      </c>
      <c r="Z165" s="1">
        <f t="shared" si="124"/>
        <v>0</v>
      </c>
      <c r="AA165" s="1">
        <f t="shared" si="125"/>
        <v>1</v>
      </c>
      <c r="AB165" s="1">
        <f t="shared" si="126"/>
        <v>0</v>
      </c>
      <c r="AD165" s="1">
        <f t="shared" si="127"/>
        <v>1</v>
      </c>
      <c r="AE165" s="1">
        <f t="shared" si="128"/>
        <v>0</v>
      </c>
      <c r="AF165" s="1">
        <f t="shared" si="113"/>
        <v>1</v>
      </c>
      <c r="AG165" s="1">
        <f t="shared" si="114"/>
        <v>0</v>
      </c>
      <c r="AH165" s="1">
        <f t="shared" si="115"/>
        <v>1</v>
      </c>
      <c r="AI165" s="1">
        <f t="shared" si="116"/>
        <v>0</v>
      </c>
    </row>
    <row r="166" spans="1:35" ht="14.25" customHeight="1" x14ac:dyDescent="0.25">
      <c r="A166" s="44">
        <v>0</v>
      </c>
      <c r="B166" s="44">
        <v>1</v>
      </c>
      <c r="C166" s="44">
        <v>3</v>
      </c>
      <c r="D166" s="45" t="s">
        <v>132</v>
      </c>
      <c r="E166" s="45" t="s">
        <v>683</v>
      </c>
      <c r="F166" s="45" t="s">
        <v>334</v>
      </c>
      <c r="G166" s="45" t="s">
        <v>39</v>
      </c>
      <c r="H166" s="45" t="s">
        <v>362</v>
      </c>
      <c r="I166" s="44" t="s">
        <v>481</v>
      </c>
      <c r="J166" s="44">
        <v>12</v>
      </c>
      <c r="K166" s="46" t="s">
        <v>722</v>
      </c>
      <c r="L166" s="46">
        <v>35</v>
      </c>
      <c r="M166" s="47" t="s">
        <v>39</v>
      </c>
      <c r="N166" s="47" t="s">
        <v>1802</v>
      </c>
      <c r="O166" s="48"/>
      <c r="P166" s="48"/>
      <c r="Q166" s="45"/>
      <c r="S166" s="1">
        <f t="shared" si="117"/>
        <v>0</v>
      </c>
      <c r="T166" s="1">
        <f t="shared" si="118"/>
        <v>0</v>
      </c>
      <c r="U166" s="1">
        <f t="shared" si="119"/>
        <v>0</v>
      </c>
      <c r="V166" s="1">
        <f t="shared" si="120"/>
        <v>0</v>
      </c>
      <c r="W166" s="1">
        <f t="shared" si="121"/>
        <v>0</v>
      </c>
      <c r="X166" s="1">
        <f t="shared" si="122"/>
        <v>0</v>
      </c>
      <c r="Y166" s="1">
        <f t="shared" si="123"/>
        <v>0</v>
      </c>
      <c r="Z166" s="1">
        <f t="shared" si="124"/>
        <v>0</v>
      </c>
      <c r="AA166" s="1">
        <f t="shared" si="125"/>
        <v>0</v>
      </c>
      <c r="AB166" s="1">
        <f t="shared" si="126"/>
        <v>0</v>
      </c>
      <c r="AD166" s="1">
        <f t="shared" si="127"/>
        <v>0</v>
      </c>
      <c r="AE166" s="1">
        <f t="shared" si="128"/>
        <v>0</v>
      </c>
      <c r="AF166" s="1">
        <f t="shared" si="113"/>
        <v>0</v>
      </c>
      <c r="AG166" s="1">
        <f t="shared" si="114"/>
        <v>0</v>
      </c>
      <c r="AH166" s="1">
        <f t="shared" si="115"/>
        <v>0</v>
      </c>
      <c r="AI166" s="1">
        <f t="shared" si="116"/>
        <v>1</v>
      </c>
    </row>
    <row r="167" spans="1:35" ht="14.25" customHeight="1" x14ac:dyDescent="0.25">
      <c r="A167" s="15">
        <v>0</v>
      </c>
      <c r="B167" s="15">
        <v>1</v>
      </c>
      <c r="C167" s="15">
        <v>3</v>
      </c>
      <c r="D167" s="16" t="s">
        <v>826</v>
      </c>
      <c r="E167" s="16" t="s">
        <v>172</v>
      </c>
      <c r="F167" s="16" t="s">
        <v>827</v>
      </c>
      <c r="G167" s="16" t="s">
        <v>39</v>
      </c>
      <c r="H167" s="16" t="s">
        <v>375</v>
      </c>
      <c r="I167" s="15" t="s">
        <v>825</v>
      </c>
      <c r="J167" s="15">
        <v>12</v>
      </c>
      <c r="K167" s="10" t="s">
        <v>703</v>
      </c>
      <c r="L167" s="10">
        <v>40</v>
      </c>
      <c r="M167" s="19" t="s">
        <v>970</v>
      </c>
      <c r="N167" s="19"/>
      <c r="Q167" s="16"/>
      <c r="S167" s="1">
        <f t="shared" si="117"/>
        <v>0</v>
      </c>
      <c r="T167" s="1">
        <f t="shared" si="118"/>
        <v>0</v>
      </c>
      <c r="U167" s="1">
        <f t="shared" si="119"/>
        <v>0</v>
      </c>
      <c r="V167" s="1">
        <f t="shared" si="120"/>
        <v>0</v>
      </c>
      <c r="W167" s="1">
        <f t="shared" si="121"/>
        <v>0</v>
      </c>
      <c r="X167" s="1">
        <f t="shared" si="122"/>
        <v>0</v>
      </c>
      <c r="Y167" s="1">
        <f t="shared" si="123"/>
        <v>0</v>
      </c>
      <c r="Z167" s="1">
        <f t="shared" si="124"/>
        <v>0</v>
      </c>
      <c r="AA167" s="1">
        <f t="shared" si="125"/>
        <v>0</v>
      </c>
      <c r="AB167" s="1">
        <f t="shared" si="126"/>
        <v>0</v>
      </c>
      <c r="AD167" s="1">
        <f t="shared" si="127"/>
        <v>0</v>
      </c>
      <c r="AE167" s="1">
        <f t="shared" si="128"/>
        <v>0</v>
      </c>
      <c r="AF167" s="1">
        <f t="shared" si="113"/>
        <v>0</v>
      </c>
      <c r="AG167" s="1">
        <f t="shared" si="114"/>
        <v>0</v>
      </c>
      <c r="AH167" s="1">
        <f t="shared" si="115"/>
        <v>0</v>
      </c>
      <c r="AI167" s="1">
        <f t="shared" si="116"/>
        <v>1</v>
      </c>
    </row>
    <row r="168" spans="1:35" ht="14.25" customHeight="1" x14ac:dyDescent="0.25">
      <c r="A168" s="31">
        <v>0</v>
      </c>
      <c r="B168" s="31">
        <v>1</v>
      </c>
      <c r="C168" s="31">
        <v>3</v>
      </c>
      <c r="D168" s="32" t="s">
        <v>142</v>
      </c>
      <c r="E168" s="32" t="s">
        <v>172</v>
      </c>
      <c r="F168" s="32" t="s">
        <v>343</v>
      </c>
      <c r="G168" s="32" t="s">
        <v>39</v>
      </c>
      <c r="H168" s="32" t="s">
        <v>377</v>
      </c>
      <c r="I168" s="31" t="s">
        <v>490</v>
      </c>
      <c r="J168" s="31">
        <v>15</v>
      </c>
      <c r="K168" s="33" t="s">
        <v>702</v>
      </c>
      <c r="L168" s="33" t="s">
        <v>692</v>
      </c>
      <c r="M168" s="34" t="s">
        <v>691</v>
      </c>
      <c r="N168" s="34" t="s">
        <v>1733</v>
      </c>
      <c r="O168" s="35">
        <v>1</v>
      </c>
      <c r="P168" s="35">
        <v>1</v>
      </c>
      <c r="Q168" s="36" t="s">
        <v>1891</v>
      </c>
      <c r="S168" s="1">
        <f t="shared" si="117"/>
        <v>0</v>
      </c>
      <c r="T168" s="1">
        <f t="shared" si="118"/>
        <v>0</v>
      </c>
      <c r="U168" s="1">
        <f t="shared" si="119"/>
        <v>0</v>
      </c>
      <c r="V168" s="1">
        <f t="shared" si="120"/>
        <v>0</v>
      </c>
      <c r="W168" s="1">
        <f t="shared" si="121"/>
        <v>0</v>
      </c>
      <c r="X168" s="1">
        <f t="shared" si="122"/>
        <v>0</v>
      </c>
      <c r="Y168" s="1">
        <f t="shared" si="123"/>
        <v>0</v>
      </c>
      <c r="Z168" s="1">
        <f t="shared" si="124"/>
        <v>0</v>
      </c>
      <c r="AA168" s="1">
        <f t="shared" si="125"/>
        <v>0</v>
      </c>
      <c r="AB168" s="1">
        <f t="shared" si="126"/>
        <v>0</v>
      </c>
      <c r="AD168" s="1">
        <f t="shared" si="127"/>
        <v>1</v>
      </c>
      <c r="AE168" s="1">
        <f t="shared" si="128"/>
        <v>0</v>
      </c>
      <c r="AF168" s="1">
        <f t="shared" si="113"/>
        <v>1</v>
      </c>
      <c r="AG168" s="1">
        <f t="shared" si="114"/>
        <v>0</v>
      </c>
      <c r="AH168" s="1">
        <f t="shared" si="115"/>
        <v>1</v>
      </c>
      <c r="AI168" s="1">
        <f t="shared" si="116"/>
        <v>0</v>
      </c>
    </row>
    <row r="169" spans="1:35" ht="14.25" customHeight="1" x14ac:dyDescent="0.25">
      <c r="A169" s="15">
        <v>0</v>
      </c>
      <c r="B169" s="15">
        <v>1</v>
      </c>
      <c r="C169" s="15">
        <v>3</v>
      </c>
      <c r="D169" s="16" t="s">
        <v>747</v>
      </c>
      <c r="E169" s="16" t="s">
        <v>610</v>
      </c>
      <c r="F169" s="16" t="s">
        <v>748</v>
      </c>
      <c r="G169" s="16" t="s">
        <v>39</v>
      </c>
      <c r="H169" s="16" t="s">
        <v>749</v>
      </c>
      <c r="I169" s="15" t="s">
        <v>750</v>
      </c>
      <c r="J169" s="15">
        <v>18</v>
      </c>
      <c r="K169" s="10" t="s">
        <v>703</v>
      </c>
      <c r="L169" s="10" t="s">
        <v>697</v>
      </c>
      <c r="M169" s="19" t="s">
        <v>691</v>
      </c>
      <c r="N169" s="17"/>
      <c r="Q169" s="16"/>
      <c r="S169" s="1">
        <f t="shared" si="117"/>
        <v>0</v>
      </c>
      <c r="T169" s="1">
        <f t="shared" si="118"/>
        <v>0</v>
      </c>
      <c r="U169" s="1">
        <f t="shared" si="119"/>
        <v>0</v>
      </c>
      <c r="V169" s="1">
        <f t="shared" si="120"/>
        <v>0</v>
      </c>
      <c r="W169" s="1">
        <f t="shared" si="121"/>
        <v>0</v>
      </c>
      <c r="X169" s="1">
        <f t="shared" si="122"/>
        <v>0</v>
      </c>
      <c r="Y169" s="1">
        <f t="shared" si="123"/>
        <v>0</v>
      </c>
      <c r="Z169" s="1">
        <f t="shared" si="124"/>
        <v>0</v>
      </c>
      <c r="AA169" s="1">
        <f t="shared" si="125"/>
        <v>0</v>
      </c>
      <c r="AB169" s="1">
        <f t="shared" si="126"/>
        <v>0</v>
      </c>
      <c r="AD169" s="1">
        <f t="shared" si="127"/>
        <v>0</v>
      </c>
      <c r="AE169" s="1">
        <f t="shared" si="128"/>
        <v>0</v>
      </c>
      <c r="AF169" s="1">
        <f t="shared" si="113"/>
        <v>0</v>
      </c>
      <c r="AG169" s="1">
        <f t="shared" si="114"/>
        <v>0</v>
      </c>
      <c r="AH169" s="1">
        <f t="shared" si="115"/>
        <v>0</v>
      </c>
      <c r="AI169" s="1">
        <f t="shared" si="116"/>
        <v>1</v>
      </c>
    </row>
    <row r="170" spans="1:35" ht="14.25" customHeight="1" x14ac:dyDescent="0.25">
      <c r="A170" s="31">
        <v>0</v>
      </c>
      <c r="B170" s="31">
        <v>1</v>
      </c>
      <c r="C170" s="31">
        <v>3</v>
      </c>
      <c r="D170" s="36" t="s">
        <v>1841</v>
      </c>
      <c r="E170" s="32" t="s">
        <v>1087</v>
      </c>
      <c r="F170" s="32" t="s">
        <v>1826</v>
      </c>
      <c r="G170" s="32"/>
      <c r="H170" s="32" t="s">
        <v>372</v>
      </c>
      <c r="I170" s="31" t="s">
        <v>1827</v>
      </c>
      <c r="J170" s="31">
        <v>16</v>
      </c>
      <c r="K170" s="33" t="s">
        <v>703</v>
      </c>
      <c r="L170" s="33"/>
      <c r="M170" s="34"/>
      <c r="N170" s="34" t="s">
        <v>1727</v>
      </c>
      <c r="O170" s="35">
        <v>1</v>
      </c>
      <c r="P170" s="35">
        <v>1</v>
      </c>
      <c r="Q170" s="32"/>
      <c r="S170" s="1">
        <f t="shared" ref="S170:S171" si="145">IF(J170=$S$7,1,0)</f>
        <v>0</v>
      </c>
      <c r="T170" s="1">
        <f t="shared" ref="T170:T171" si="146">IF(J170=$T$7,1,0)</f>
        <v>0</v>
      </c>
      <c r="U170" s="1">
        <f t="shared" ref="U170:U171" si="147">IF(J170=$U$7,1,0)</f>
        <v>0</v>
      </c>
      <c r="V170" s="1">
        <f t="shared" ref="V170:V171" si="148">IF(J170=$V$7,1,0)</f>
        <v>0</v>
      </c>
      <c r="W170" s="1">
        <f t="shared" ref="W170:W171" si="149">IF(J170=$W$7,1,0)</f>
        <v>0</v>
      </c>
      <c r="X170" s="1">
        <f t="shared" ref="X170:X171" si="150">IF(J170=$X$7,1,0)</f>
        <v>0</v>
      </c>
      <c r="Y170" s="1">
        <f t="shared" ref="Y170:Y171" si="151">IF(J170=$Y$7,1,0)</f>
        <v>0</v>
      </c>
      <c r="Z170" s="1">
        <f t="shared" ref="Z170:Z171" si="152">IF(J170=$Z$7,1,0)</f>
        <v>0</v>
      </c>
      <c r="AA170" s="1">
        <f t="shared" ref="AA170:AA171" si="153">IF(J170=$AA$7,1,0)</f>
        <v>0</v>
      </c>
      <c r="AB170" s="1">
        <f t="shared" ref="AB170:AB171" si="154">IF(J170=$AB$7,1,0)</f>
        <v>0</v>
      </c>
      <c r="AD170" s="1">
        <f t="shared" ref="AD170:AD171" si="155">+O170*P170</f>
        <v>1</v>
      </c>
      <c r="AE170" s="1">
        <f t="shared" ref="AE170:AE171" si="156">O170*(1-P170)</f>
        <v>0</v>
      </c>
      <c r="AF170" s="1">
        <f t="shared" ref="AF170:AF171" si="157">+O170*P170*(1-A170)</f>
        <v>1</v>
      </c>
      <c r="AG170" s="1">
        <f t="shared" ref="AG170:AG171" si="158">O170*(1-P170)*(1-A170)</f>
        <v>0</v>
      </c>
      <c r="AH170" s="1">
        <f t="shared" ref="AH170:AH171" si="159">+P170*(1-A170)</f>
        <v>1</v>
      </c>
      <c r="AI170" s="1">
        <f t="shared" ref="AI170:AI171" si="160">+(1-A170)*(1-P170)</f>
        <v>0</v>
      </c>
    </row>
    <row r="171" spans="1:35" ht="14.25" customHeight="1" x14ac:dyDescent="0.25">
      <c r="A171" s="31">
        <v>0</v>
      </c>
      <c r="B171" s="31">
        <v>1</v>
      </c>
      <c r="C171" s="31">
        <v>3</v>
      </c>
      <c r="D171" s="32" t="s">
        <v>979</v>
      </c>
      <c r="E171" s="32" t="s">
        <v>610</v>
      </c>
      <c r="F171" s="32" t="s">
        <v>980</v>
      </c>
      <c r="G171" s="32" t="s">
        <v>203</v>
      </c>
      <c r="H171" s="32" t="s">
        <v>354</v>
      </c>
      <c r="I171" s="31" t="s">
        <v>981</v>
      </c>
      <c r="J171" s="31">
        <v>99</v>
      </c>
      <c r="K171" s="33" t="s">
        <v>956</v>
      </c>
      <c r="L171" s="33" t="s">
        <v>39</v>
      </c>
      <c r="M171" s="34" t="s">
        <v>39</v>
      </c>
      <c r="N171" s="34" t="s">
        <v>1727</v>
      </c>
      <c r="O171" s="35">
        <v>1</v>
      </c>
      <c r="P171" s="35">
        <v>1</v>
      </c>
      <c r="Q171" s="32"/>
      <c r="S171" s="1">
        <f t="shared" si="145"/>
        <v>0</v>
      </c>
      <c r="T171" s="1">
        <f t="shared" si="146"/>
        <v>0</v>
      </c>
      <c r="U171" s="1">
        <f t="shared" si="147"/>
        <v>0</v>
      </c>
      <c r="V171" s="1">
        <f t="shared" si="148"/>
        <v>0</v>
      </c>
      <c r="W171" s="1">
        <f t="shared" si="149"/>
        <v>0</v>
      </c>
      <c r="X171" s="1">
        <f t="shared" si="150"/>
        <v>0</v>
      </c>
      <c r="Y171" s="1">
        <f t="shared" si="151"/>
        <v>0</v>
      </c>
      <c r="Z171" s="1">
        <f t="shared" si="152"/>
        <v>0</v>
      </c>
      <c r="AA171" s="1">
        <f t="shared" si="153"/>
        <v>0</v>
      </c>
      <c r="AB171" s="1">
        <f t="shared" si="154"/>
        <v>0</v>
      </c>
      <c r="AD171" s="1">
        <f t="shared" si="155"/>
        <v>1</v>
      </c>
      <c r="AE171" s="1">
        <f t="shared" si="156"/>
        <v>0</v>
      </c>
      <c r="AF171" s="1">
        <f t="shared" si="157"/>
        <v>1</v>
      </c>
      <c r="AG171" s="1">
        <f t="shared" si="158"/>
        <v>0</v>
      </c>
      <c r="AH171" s="1">
        <f t="shared" si="159"/>
        <v>1</v>
      </c>
      <c r="AI171" s="1">
        <f t="shared" si="160"/>
        <v>0</v>
      </c>
    </row>
    <row r="172" spans="1:35" ht="14.25" customHeight="1" x14ac:dyDescent="0.25">
      <c r="A172" s="31">
        <v>0</v>
      </c>
      <c r="B172" s="31">
        <v>1</v>
      </c>
      <c r="C172" s="31">
        <v>3</v>
      </c>
      <c r="D172" s="32" t="s">
        <v>149</v>
      </c>
      <c r="E172" s="32" t="s">
        <v>172</v>
      </c>
      <c r="F172" s="32" t="s">
        <v>350</v>
      </c>
      <c r="G172" s="32" t="s">
        <v>39</v>
      </c>
      <c r="H172" s="32" t="s">
        <v>380</v>
      </c>
      <c r="I172" s="31" t="s">
        <v>496</v>
      </c>
      <c r="J172" s="31">
        <v>14</v>
      </c>
      <c r="K172" s="33" t="s">
        <v>964</v>
      </c>
      <c r="L172" s="33" t="s">
        <v>39</v>
      </c>
      <c r="M172" s="34" t="s">
        <v>39</v>
      </c>
      <c r="N172" s="34" t="s">
        <v>1733</v>
      </c>
      <c r="O172" s="35">
        <v>1</v>
      </c>
      <c r="P172" s="35">
        <v>1</v>
      </c>
      <c r="Q172" s="32"/>
      <c r="S172" s="1">
        <f t="shared" si="117"/>
        <v>0</v>
      </c>
      <c r="T172" s="1">
        <f t="shared" si="118"/>
        <v>0</v>
      </c>
      <c r="U172" s="1">
        <f t="shared" si="119"/>
        <v>0</v>
      </c>
      <c r="V172" s="1">
        <f t="shared" si="120"/>
        <v>0</v>
      </c>
      <c r="W172" s="1">
        <f t="shared" si="121"/>
        <v>0</v>
      </c>
      <c r="X172" s="1">
        <f t="shared" si="122"/>
        <v>0</v>
      </c>
      <c r="Y172" s="1">
        <f t="shared" si="123"/>
        <v>0</v>
      </c>
      <c r="Z172" s="1">
        <f t="shared" si="124"/>
        <v>0</v>
      </c>
      <c r="AA172" s="1">
        <f t="shared" si="125"/>
        <v>0</v>
      </c>
      <c r="AB172" s="1">
        <f t="shared" si="126"/>
        <v>0</v>
      </c>
      <c r="AD172" s="1">
        <f t="shared" si="127"/>
        <v>1</v>
      </c>
      <c r="AE172" s="1">
        <f t="shared" si="128"/>
        <v>0</v>
      </c>
      <c r="AF172" s="1">
        <f t="shared" si="113"/>
        <v>1</v>
      </c>
      <c r="AG172" s="1">
        <f t="shared" si="114"/>
        <v>0</v>
      </c>
      <c r="AH172" s="1">
        <f t="shared" si="115"/>
        <v>1</v>
      </c>
      <c r="AI172" s="1">
        <f t="shared" si="116"/>
        <v>0</v>
      </c>
    </row>
    <row r="173" spans="1:35" ht="14.25" customHeight="1" x14ac:dyDescent="0.25">
      <c r="A173" s="31">
        <v>0</v>
      </c>
      <c r="B173" s="31">
        <v>1</v>
      </c>
      <c r="C173" s="31">
        <v>3</v>
      </c>
      <c r="D173" s="32" t="s">
        <v>1989</v>
      </c>
      <c r="E173" s="32" t="s">
        <v>1990</v>
      </c>
      <c r="F173" s="32" t="s">
        <v>1991</v>
      </c>
      <c r="G173" s="32" t="s">
        <v>535</v>
      </c>
      <c r="H173" s="32" t="s">
        <v>354</v>
      </c>
      <c r="I173" s="31" t="s">
        <v>1992</v>
      </c>
      <c r="J173" s="31"/>
      <c r="K173" s="33" t="s">
        <v>703</v>
      </c>
      <c r="L173" s="33"/>
      <c r="M173" s="34"/>
      <c r="N173" s="34" t="s">
        <v>1733</v>
      </c>
      <c r="O173" s="35">
        <v>1</v>
      </c>
      <c r="P173" s="35">
        <v>1</v>
      </c>
      <c r="Q173" s="32"/>
      <c r="S173" s="1">
        <f t="shared" si="117"/>
        <v>0</v>
      </c>
      <c r="T173" s="1">
        <f t="shared" si="118"/>
        <v>0</v>
      </c>
      <c r="U173" s="1">
        <f t="shared" si="119"/>
        <v>0</v>
      </c>
      <c r="V173" s="1">
        <f t="shared" si="120"/>
        <v>0</v>
      </c>
      <c r="W173" s="1">
        <f t="shared" si="121"/>
        <v>0</v>
      </c>
      <c r="X173" s="1">
        <f t="shared" si="122"/>
        <v>0</v>
      </c>
      <c r="Y173" s="1">
        <f t="shared" si="123"/>
        <v>0</v>
      </c>
      <c r="Z173" s="1">
        <f t="shared" si="124"/>
        <v>0</v>
      </c>
      <c r="AA173" s="1">
        <f t="shared" si="125"/>
        <v>0</v>
      </c>
      <c r="AB173" s="1">
        <f t="shared" si="126"/>
        <v>0</v>
      </c>
      <c r="AD173" s="1">
        <f t="shared" si="127"/>
        <v>1</v>
      </c>
      <c r="AE173" s="1">
        <f t="shared" si="128"/>
        <v>0</v>
      </c>
      <c r="AF173" s="1">
        <f t="shared" si="113"/>
        <v>1</v>
      </c>
      <c r="AG173" s="1">
        <f t="shared" si="114"/>
        <v>0</v>
      </c>
      <c r="AH173" s="1">
        <f t="shared" si="115"/>
        <v>1</v>
      </c>
      <c r="AI173" s="1">
        <f t="shared" si="116"/>
        <v>0</v>
      </c>
    </row>
    <row r="174" spans="1:35" ht="14.25" customHeight="1" x14ac:dyDescent="0.25">
      <c r="A174" s="31">
        <v>0</v>
      </c>
      <c r="B174" s="31">
        <v>1</v>
      </c>
      <c r="C174" s="31">
        <v>3</v>
      </c>
      <c r="D174" s="32" t="s">
        <v>635</v>
      </c>
      <c r="E174" s="32" t="s">
        <v>172</v>
      </c>
      <c r="F174" s="32" t="s">
        <v>637</v>
      </c>
      <c r="G174" s="32" t="s">
        <v>238</v>
      </c>
      <c r="H174" s="32" t="s">
        <v>354</v>
      </c>
      <c r="I174" s="31" t="s">
        <v>636</v>
      </c>
      <c r="J174" s="31">
        <v>4</v>
      </c>
      <c r="K174" s="33" t="s">
        <v>956</v>
      </c>
      <c r="L174" s="33" t="s">
        <v>39</v>
      </c>
      <c r="M174" s="34" t="s">
        <v>39</v>
      </c>
      <c r="N174" s="34" t="s">
        <v>1733</v>
      </c>
      <c r="O174" s="35">
        <v>1</v>
      </c>
      <c r="P174" s="35">
        <v>1</v>
      </c>
      <c r="Q174" s="32"/>
      <c r="S174" s="1">
        <f t="shared" si="117"/>
        <v>0</v>
      </c>
      <c r="T174" s="1">
        <f t="shared" si="118"/>
        <v>0</v>
      </c>
      <c r="U174" s="1">
        <f t="shared" si="119"/>
        <v>0</v>
      </c>
      <c r="V174" s="1">
        <f t="shared" si="120"/>
        <v>1</v>
      </c>
      <c r="W174" s="1">
        <f t="shared" si="121"/>
        <v>0</v>
      </c>
      <c r="X174" s="1">
        <f t="shared" si="122"/>
        <v>0</v>
      </c>
      <c r="Y174" s="1">
        <f t="shared" si="123"/>
        <v>0</v>
      </c>
      <c r="Z174" s="1">
        <f t="shared" si="124"/>
        <v>0</v>
      </c>
      <c r="AA174" s="1">
        <f t="shared" si="125"/>
        <v>0</v>
      </c>
      <c r="AB174" s="1">
        <f t="shared" si="126"/>
        <v>0</v>
      </c>
      <c r="AD174" s="1">
        <f t="shared" si="127"/>
        <v>1</v>
      </c>
      <c r="AE174" s="1">
        <f t="shared" si="128"/>
        <v>0</v>
      </c>
      <c r="AF174" s="1">
        <f t="shared" si="113"/>
        <v>1</v>
      </c>
      <c r="AG174" s="1">
        <f t="shared" si="114"/>
        <v>0</v>
      </c>
      <c r="AH174" s="1">
        <f t="shared" si="115"/>
        <v>1</v>
      </c>
      <c r="AI174" s="1">
        <f t="shared" si="116"/>
        <v>0</v>
      </c>
    </row>
    <row r="175" spans="1:35" ht="14.25" customHeight="1" x14ac:dyDescent="0.25">
      <c r="A175" s="15">
        <v>0</v>
      </c>
      <c r="B175" s="15">
        <v>1</v>
      </c>
      <c r="C175" s="15">
        <v>3</v>
      </c>
      <c r="D175" s="16" t="s">
        <v>1528</v>
      </c>
      <c r="E175" s="16" t="s">
        <v>1087</v>
      </c>
      <c r="F175" s="16" t="s">
        <v>1529</v>
      </c>
      <c r="G175" s="16" t="s">
        <v>218</v>
      </c>
      <c r="H175" s="16" t="s">
        <v>354</v>
      </c>
      <c r="I175" s="15" t="s">
        <v>1530</v>
      </c>
      <c r="J175" s="15">
        <v>99</v>
      </c>
      <c r="K175" s="10" t="s">
        <v>703</v>
      </c>
      <c r="L175" s="10">
        <v>40</v>
      </c>
      <c r="M175" s="19" t="s">
        <v>970</v>
      </c>
      <c r="N175" s="19"/>
      <c r="Q175" s="16"/>
      <c r="S175" s="1">
        <f t="shared" si="117"/>
        <v>0</v>
      </c>
      <c r="T175" s="1">
        <f t="shared" si="118"/>
        <v>0</v>
      </c>
      <c r="U175" s="1">
        <f t="shared" si="119"/>
        <v>0</v>
      </c>
      <c r="V175" s="1">
        <f t="shared" si="120"/>
        <v>0</v>
      </c>
      <c r="W175" s="1">
        <f t="shared" si="121"/>
        <v>0</v>
      </c>
      <c r="X175" s="1">
        <f t="shared" si="122"/>
        <v>0</v>
      </c>
      <c r="Y175" s="1">
        <f t="shared" si="123"/>
        <v>0</v>
      </c>
      <c r="Z175" s="1">
        <f t="shared" si="124"/>
        <v>0</v>
      </c>
      <c r="AA175" s="1">
        <f t="shared" si="125"/>
        <v>0</v>
      </c>
      <c r="AB175" s="1">
        <f t="shared" si="126"/>
        <v>0</v>
      </c>
      <c r="AD175" s="1">
        <f t="shared" si="127"/>
        <v>0</v>
      </c>
      <c r="AE175" s="1">
        <f t="shared" si="128"/>
        <v>0</v>
      </c>
      <c r="AF175" s="1">
        <f t="shared" si="113"/>
        <v>0</v>
      </c>
      <c r="AG175" s="1">
        <f t="shared" si="114"/>
        <v>0</v>
      </c>
      <c r="AH175" s="1">
        <f t="shared" si="115"/>
        <v>0</v>
      </c>
      <c r="AI175" s="1">
        <f t="shared" si="116"/>
        <v>1</v>
      </c>
    </row>
    <row r="176" spans="1:35" ht="14.25" customHeight="1" x14ac:dyDescent="0.25">
      <c r="A176" s="31">
        <v>0</v>
      </c>
      <c r="B176" s="31">
        <v>1</v>
      </c>
      <c r="C176" s="31">
        <v>3</v>
      </c>
      <c r="D176" s="32" t="s">
        <v>102</v>
      </c>
      <c r="E176" s="32" t="s">
        <v>172</v>
      </c>
      <c r="F176" s="32" t="s">
        <v>299</v>
      </c>
      <c r="G176" s="32" t="s">
        <v>300</v>
      </c>
      <c r="H176" s="32" t="s">
        <v>354</v>
      </c>
      <c r="I176" s="31" t="s">
        <v>449</v>
      </c>
      <c r="J176" s="31">
        <v>99</v>
      </c>
      <c r="K176" s="33" t="s">
        <v>958</v>
      </c>
      <c r="L176" s="33" t="s">
        <v>693</v>
      </c>
      <c r="M176" s="34" t="s">
        <v>691</v>
      </c>
      <c r="N176" s="34" t="s">
        <v>1743</v>
      </c>
      <c r="O176" s="35">
        <v>1</v>
      </c>
      <c r="P176" s="35"/>
      <c r="Q176" s="32"/>
      <c r="S176" s="1">
        <f t="shared" si="117"/>
        <v>0</v>
      </c>
      <c r="T176" s="1">
        <f t="shared" si="118"/>
        <v>0</v>
      </c>
      <c r="U176" s="1">
        <f t="shared" si="119"/>
        <v>0</v>
      </c>
      <c r="V176" s="1">
        <f t="shared" si="120"/>
        <v>0</v>
      </c>
      <c r="W176" s="1">
        <f t="shared" si="121"/>
        <v>0</v>
      </c>
      <c r="X176" s="1">
        <f t="shared" si="122"/>
        <v>0</v>
      </c>
      <c r="Y176" s="1">
        <f t="shared" si="123"/>
        <v>0</v>
      </c>
      <c r="Z176" s="1">
        <f t="shared" si="124"/>
        <v>0</v>
      </c>
      <c r="AA176" s="1">
        <f t="shared" si="125"/>
        <v>0</v>
      </c>
      <c r="AB176" s="1">
        <f t="shared" si="126"/>
        <v>0</v>
      </c>
      <c r="AD176" s="1">
        <f t="shared" si="127"/>
        <v>0</v>
      </c>
      <c r="AE176" s="1">
        <f t="shared" si="128"/>
        <v>1</v>
      </c>
      <c r="AF176" s="1">
        <f t="shared" si="113"/>
        <v>0</v>
      </c>
      <c r="AG176" s="1">
        <f t="shared" si="114"/>
        <v>1</v>
      </c>
      <c r="AH176" s="1">
        <f t="shared" si="115"/>
        <v>0</v>
      </c>
      <c r="AI176" s="1">
        <f t="shared" si="116"/>
        <v>1</v>
      </c>
    </row>
    <row r="177" spans="1:35" ht="14.25" customHeight="1" x14ac:dyDescent="0.25">
      <c r="A177" s="44">
        <v>0</v>
      </c>
      <c r="B177" s="44">
        <v>1</v>
      </c>
      <c r="C177" s="44">
        <v>3</v>
      </c>
      <c r="D177" s="45" t="s">
        <v>990</v>
      </c>
      <c r="E177" s="45" t="s">
        <v>172</v>
      </c>
      <c r="F177" s="45" t="s">
        <v>993</v>
      </c>
      <c r="G177" s="45" t="s">
        <v>39</v>
      </c>
      <c r="H177" s="45" t="s">
        <v>992</v>
      </c>
      <c r="I177" s="44" t="s">
        <v>991</v>
      </c>
      <c r="J177" s="44">
        <v>14</v>
      </c>
      <c r="K177" s="46" t="s">
        <v>722</v>
      </c>
      <c r="L177" s="46" t="s">
        <v>694</v>
      </c>
      <c r="M177" s="47" t="s">
        <v>971</v>
      </c>
      <c r="N177" s="47" t="s">
        <v>1735</v>
      </c>
      <c r="O177" s="48"/>
      <c r="P177" s="48"/>
      <c r="Q177" s="45"/>
      <c r="S177" s="1">
        <f t="shared" si="117"/>
        <v>0</v>
      </c>
      <c r="T177" s="1">
        <f t="shared" si="118"/>
        <v>0</v>
      </c>
      <c r="U177" s="1">
        <f t="shared" si="119"/>
        <v>0</v>
      </c>
      <c r="V177" s="1">
        <f t="shared" si="120"/>
        <v>0</v>
      </c>
      <c r="W177" s="1">
        <f t="shared" si="121"/>
        <v>0</v>
      </c>
      <c r="X177" s="1">
        <f t="shared" si="122"/>
        <v>0</v>
      </c>
      <c r="Y177" s="1">
        <f t="shared" si="123"/>
        <v>0</v>
      </c>
      <c r="Z177" s="1">
        <f t="shared" si="124"/>
        <v>0</v>
      </c>
      <c r="AA177" s="1">
        <f t="shared" si="125"/>
        <v>0</v>
      </c>
      <c r="AB177" s="1">
        <f t="shared" si="126"/>
        <v>0</v>
      </c>
      <c r="AD177" s="1">
        <f t="shared" si="127"/>
        <v>0</v>
      </c>
      <c r="AE177" s="1">
        <f t="shared" si="128"/>
        <v>0</v>
      </c>
      <c r="AF177" s="1">
        <f t="shared" si="113"/>
        <v>0</v>
      </c>
      <c r="AG177" s="1">
        <f t="shared" si="114"/>
        <v>0</v>
      </c>
      <c r="AH177" s="1">
        <f t="shared" si="115"/>
        <v>0</v>
      </c>
      <c r="AI177" s="1">
        <f t="shared" si="116"/>
        <v>1</v>
      </c>
    </row>
    <row r="178" spans="1:35" ht="14.25" customHeight="1" x14ac:dyDescent="0.25">
      <c r="A178" s="57">
        <v>0</v>
      </c>
      <c r="B178" s="57">
        <v>1</v>
      </c>
      <c r="C178" s="57">
        <v>3</v>
      </c>
      <c r="D178" s="58" t="s">
        <v>1644</v>
      </c>
      <c r="E178" s="58" t="s">
        <v>172</v>
      </c>
      <c r="F178" s="58" t="s">
        <v>773</v>
      </c>
      <c r="G178" s="58" t="s">
        <v>39</v>
      </c>
      <c r="H178" s="58" t="s">
        <v>367</v>
      </c>
      <c r="I178" s="57" t="s">
        <v>781</v>
      </c>
      <c r="J178" s="57">
        <v>18</v>
      </c>
      <c r="K178" s="59" t="s">
        <v>1697</v>
      </c>
      <c r="L178" s="59" t="s">
        <v>39</v>
      </c>
      <c r="M178" s="60" t="s">
        <v>774</v>
      </c>
      <c r="N178" s="61"/>
      <c r="O178" s="62"/>
      <c r="P178" s="62"/>
      <c r="Q178" s="58"/>
      <c r="S178" s="1">
        <f t="shared" si="117"/>
        <v>0</v>
      </c>
      <c r="T178" s="1">
        <f t="shared" si="118"/>
        <v>0</v>
      </c>
      <c r="U178" s="1">
        <f t="shared" si="119"/>
        <v>0</v>
      </c>
      <c r="V178" s="1">
        <f t="shared" si="120"/>
        <v>0</v>
      </c>
      <c r="W178" s="1">
        <f t="shared" si="121"/>
        <v>0</v>
      </c>
      <c r="X178" s="1">
        <f t="shared" si="122"/>
        <v>0</v>
      </c>
      <c r="Y178" s="1">
        <f t="shared" si="123"/>
        <v>0</v>
      </c>
      <c r="Z178" s="1">
        <f t="shared" si="124"/>
        <v>0</v>
      </c>
      <c r="AA178" s="1">
        <f t="shared" si="125"/>
        <v>0</v>
      </c>
      <c r="AB178" s="1">
        <f t="shared" si="126"/>
        <v>0</v>
      </c>
      <c r="AD178" s="1">
        <f t="shared" si="127"/>
        <v>0</v>
      </c>
      <c r="AE178" s="1">
        <f t="shared" si="128"/>
        <v>0</v>
      </c>
      <c r="AF178" s="1">
        <f t="shared" si="113"/>
        <v>0</v>
      </c>
      <c r="AG178" s="1">
        <f t="shared" si="114"/>
        <v>0</v>
      </c>
      <c r="AH178" s="1">
        <f t="shared" si="115"/>
        <v>0</v>
      </c>
      <c r="AI178" s="1">
        <f t="shared" si="116"/>
        <v>1</v>
      </c>
    </row>
    <row r="179" spans="1:35" ht="14.25" customHeight="1" x14ac:dyDescent="0.25">
      <c r="A179" s="49">
        <v>0</v>
      </c>
      <c r="B179" s="49">
        <v>1</v>
      </c>
      <c r="C179" s="49">
        <v>3</v>
      </c>
      <c r="D179" s="50" t="s">
        <v>135</v>
      </c>
      <c r="E179" s="50" t="s">
        <v>172</v>
      </c>
      <c r="F179" s="50" t="s">
        <v>659</v>
      </c>
      <c r="G179" s="50" t="s">
        <v>257</v>
      </c>
      <c r="H179" s="50" t="s">
        <v>354</v>
      </c>
      <c r="I179" s="49" t="s">
        <v>1693</v>
      </c>
      <c r="J179" s="49">
        <v>99</v>
      </c>
      <c r="K179" s="51" t="s">
        <v>722</v>
      </c>
      <c r="L179" s="51" t="s">
        <v>687</v>
      </c>
      <c r="M179" s="52" t="s">
        <v>1397</v>
      </c>
      <c r="N179" s="52" t="s">
        <v>1743</v>
      </c>
      <c r="O179" s="53">
        <v>1</v>
      </c>
      <c r="P179" s="53"/>
      <c r="Q179" s="50" t="s">
        <v>1930</v>
      </c>
      <c r="S179" s="1">
        <f t="shared" si="117"/>
        <v>0</v>
      </c>
      <c r="T179" s="1">
        <f t="shared" si="118"/>
        <v>0</v>
      </c>
      <c r="U179" s="1">
        <f t="shared" si="119"/>
        <v>0</v>
      </c>
      <c r="V179" s="1">
        <f t="shared" si="120"/>
        <v>0</v>
      </c>
      <c r="W179" s="1">
        <f t="shared" si="121"/>
        <v>0</v>
      </c>
      <c r="X179" s="1">
        <f t="shared" si="122"/>
        <v>0</v>
      </c>
      <c r="Y179" s="1">
        <f t="shared" si="123"/>
        <v>0</v>
      </c>
      <c r="Z179" s="1">
        <f t="shared" si="124"/>
        <v>0</v>
      </c>
      <c r="AA179" s="1">
        <f t="shared" si="125"/>
        <v>0</v>
      </c>
      <c r="AB179" s="1">
        <f t="shared" si="126"/>
        <v>0</v>
      </c>
      <c r="AD179" s="1">
        <f t="shared" si="127"/>
        <v>0</v>
      </c>
      <c r="AE179" s="1">
        <f t="shared" si="128"/>
        <v>1</v>
      </c>
      <c r="AF179" s="1">
        <f t="shared" si="113"/>
        <v>0</v>
      </c>
      <c r="AG179" s="1">
        <f t="shared" si="114"/>
        <v>1</v>
      </c>
      <c r="AH179" s="1">
        <f t="shared" si="115"/>
        <v>0</v>
      </c>
      <c r="AI179" s="1">
        <f t="shared" si="116"/>
        <v>1</v>
      </c>
    </row>
    <row r="180" spans="1:35" ht="14.25" customHeight="1" x14ac:dyDescent="0.25">
      <c r="A180" s="15">
        <v>0</v>
      </c>
      <c r="B180" s="15">
        <v>1</v>
      </c>
      <c r="C180" s="15">
        <v>3</v>
      </c>
      <c r="D180" s="16" t="s">
        <v>923</v>
      </c>
      <c r="E180" s="16" t="s">
        <v>170</v>
      </c>
      <c r="F180" s="16" t="s">
        <v>940</v>
      </c>
      <c r="G180" s="16" t="s">
        <v>39</v>
      </c>
      <c r="H180" s="16" t="s">
        <v>365</v>
      </c>
      <c r="I180" s="15" t="s">
        <v>883</v>
      </c>
      <c r="J180" s="15">
        <v>18</v>
      </c>
      <c r="K180" s="10" t="s">
        <v>702</v>
      </c>
      <c r="L180" s="10" t="s">
        <v>697</v>
      </c>
      <c r="M180" s="19" t="s">
        <v>971</v>
      </c>
      <c r="N180" s="17"/>
      <c r="Q180" s="16"/>
      <c r="S180" s="1">
        <f t="shared" si="117"/>
        <v>0</v>
      </c>
      <c r="T180" s="1">
        <f t="shared" si="118"/>
        <v>0</v>
      </c>
      <c r="U180" s="1">
        <f t="shared" si="119"/>
        <v>0</v>
      </c>
      <c r="V180" s="1">
        <f t="shared" si="120"/>
        <v>0</v>
      </c>
      <c r="W180" s="1">
        <f t="shared" si="121"/>
        <v>0</v>
      </c>
      <c r="X180" s="1">
        <f t="shared" si="122"/>
        <v>0</v>
      </c>
      <c r="Y180" s="1">
        <f t="shared" si="123"/>
        <v>0</v>
      </c>
      <c r="Z180" s="1">
        <f t="shared" si="124"/>
        <v>0</v>
      </c>
      <c r="AA180" s="1">
        <f t="shared" si="125"/>
        <v>0</v>
      </c>
      <c r="AB180" s="1">
        <f t="shared" si="126"/>
        <v>0</v>
      </c>
      <c r="AD180" s="1">
        <f t="shared" si="127"/>
        <v>0</v>
      </c>
      <c r="AE180" s="1">
        <f t="shared" si="128"/>
        <v>0</v>
      </c>
      <c r="AF180" s="1">
        <f t="shared" si="113"/>
        <v>0</v>
      </c>
      <c r="AG180" s="1">
        <f t="shared" si="114"/>
        <v>0</v>
      </c>
      <c r="AH180" s="1">
        <f t="shared" si="115"/>
        <v>0</v>
      </c>
      <c r="AI180" s="1">
        <f t="shared" si="116"/>
        <v>1</v>
      </c>
    </row>
    <row r="181" spans="1:35" ht="14.25" customHeight="1" x14ac:dyDescent="0.25">
      <c r="A181" s="31">
        <v>0</v>
      </c>
      <c r="B181" s="31">
        <v>1</v>
      </c>
      <c r="C181" s="31">
        <v>3</v>
      </c>
      <c r="D181" s="32" t="s">
        <v>1260</v>
      </c>
      <c r="E181" s="32" t="s">
        <v>170</v>
      </c>
      <c r="F181" s="32" t="s">
        <v>1676</v>
      </c>
      <c r="G181" s="32" t="s">
        <v>39</v>
      </c>
      <c r="H181" s="32" t="s">
        <v>771</v>
      </c>
      <c r="I181" s="31" t="s">
        <v>1261</v>
      </c>
      <c r="J181" s="31">
        <v>11</v>
      </c>
      <c r="K181" s="33" t="s">
        <v>722</v>
      </c>
      <c r="L181" s="33" t="s">
        <v>689</v>
      </c>
      <c r="M181" s="34" t="s">
        <v>1398</v>
      </c>
      <c r="N181" s="34" t="s">
        <v>1749</v>
      </c>
      <c r="O181" s="35">
        <v>1</v>
      </c>
      <c r="P181" s="35"/>
      <c r="Q181" s="32"/>
      <c r="S181" s="1">
        <f t="shared" si="117"/>
        <v>0</v>
      </c>
      <c r="T181" s="1">
        <f t="shared" si="118"/>
        <v>0</v>
      </c>
      <c r="U181" s="1">
        <f t="shared" si="119"/>
        <v>0</v>
      </c>
      <c r="V181" s="1">
        <f t="shared" si="120"/>
        <v>0</v>
      </c>
      <c r="W181" s="1">
        <f t="shared" si="121"/>
        <v>0</v>
      </c>
      <c r="X181" s="1">
        <f t="shared" si="122"/>
        <v>0</v>
      </c>
      <c r="Y181" s="1">
        <f t="shared" si="123"/>
        <v>0</v>
      </c>
      <c r="Z181" s="1">
        <f t="shared" si="124"/>
        <v>0</v>
      </c>
      <c r="AA181" s="1">
        <f t="shared" si="125"/>
        <v>0</v>
      </c>
      <c r="AB181" s="1">
        <f t="shared" si="126"/>
        <v>0</v>
      </c>
      <c r="AD181" s="1">
        <f t="shared" si="127"/>
        <v>0</v>
      </c>
      <c r="AE181" s="1">
        <f t="shared" si="128"/>
        <v>1</v>
      </c>
      <c r="AF181" s="1">
        <f t="shared" si="113"/>
        <v>0</v>
      </c>
      <c r="AG181" s="1">
        <f t="shared" si="114"/>
        <v>1</v>
      </c>
      <c r="AH181" s="1">
        <f t="shared" si="115"/>
        <v>0</v>
      </c>
      <c r="AI181" s="1">
        <f t="shared" si="116"/>
        <v>1</v>
      </c>
    </row>
    <row r="182" spans="1:35" ht="14.25" customHeight="1" x14ac:dyDescent="0.25">
      <c r="A182" s="31">
        <v>0</v>
      </c>
      <c r="B182" s="31">
        <v>1</v>
      </c>
      <c r="C182" s="31">
        <v>4</v>
      </c>
      <c r="D182" s="32" t="s">
        <v>996</v>
      </c>
      <c r="E182" s="32" t="s">
        <v>772</v>
      </c>
      <c r="F182" s="32" t="s">
        <v>1094</v>
      </c>
      <c r="G182" s="32" t="s">
        <v>200</v>
      </c>
      <c r="H182" s="32" t="s">
        <v>354</v>
      </c>
      <c r="I182" s="31" t="s">
        <v>997</v>
      </c>
      <c r="J182" s="31">
        <v>2</v>
      </c>
      <c r="K182" s="33" t="s">
        <v>956</v>
      </c>
      <c r="L182" s="33" t="s">
        <v>693</v>
      </c>
      <c r="M182" s="34" t="s">
        <v>1399</v>
      </c>
      <c r="N182" s="34" t="s">
        <v>1727</v>
      </c>
      <c r="O182" s="35">
        <v>1</v>
      </c>
      <c r="P182" s="35">
        <v>1</v>
      </c>
      <c r="Q182" s="32"/>
      <c r="S182" s="1">
        <f t="shared" si="117"/>
        <v>0</v>
      </c>
      <c r="T182" s="1">
        <f t="shared" si="118"/>
        <v>1</v>
      </c>
      <c r="U182" s="1">
        <f t="shared" si="119"/>
        <v>0</v>
      </c>
      <c r="V182" s="1">
        <f t="shared" si="120"/>
        <v>0</v>
      </c>
      <c r="W182" s="1">
        <f t="shared" si="121"/>
        <v>0</v>
      </c>
      <c r="X182" s="1">
        <f t="shared" si="122"/>
        <v>0</v>
      </c>
      <c r="Y182" s="1">
        <f t="shared" si="123"/>
        <v>0</v>
      </c>
      <c r="Z182" s="1">
        <f t="shared" si="124"/>
        <v>0</v>
      </c>
      <c r="AA182" s="1">
        <f t="shared" si="125"/>
        <v>0</v>
      </c>
      <c r="AB182" s="1">
        <f t="shared" si="126"/>
        <v>0</v>
      </c>
      <c r="AD182" s="1">
        <f t="shared" si="127"/>
        <v>1</v>
      </c>
      <c r="AE182" s="1">
        <f t="shared" si="128"/>
        <v>0</v>
      </c>
      <c r="AF182" s="1">
        <f t="shared" si="113"/>
        <v>1</v>
      </c>
      <c r="AG182" s="1">
        <f t="shared" si="114"/>
        <v>0</v>
      </c>
      <c r="AH182" s="1">
        <f t="shared" si="115"/>
        <v>1</v>
      </c>
      <c r="AI182" s="1">
        <f t="shared" si="116"/>
        <v>0</v>
      </c>
    </row>
    <row r="183" spans="1:35" ht="14.25" customHeight="1" x14ac:dyDescent="0.25">
      <c r="A183" s="31">
        <v>0</v>
      </c>
      <c r="B183" s="31">
        <v>1</v>
      </c>
      <c r="C183" s="31">
        <v>4</v>
      </c>
      <c r="D183" s="32" t="s">
        <v>50</v>
      </c>
      <c r="E183" s="32" t="s">
        <v>772</v>
      </c>
      <c r="F183" s="32" t="s">
        <v>193</v>
      </c>
      <c r="G183" s="32" t="s">
        <v>194</v>
      </c>
      <c r="H183" s="32" t="s">
        <v>354</v>
      </c>
      <c r="I183" s="31" t="s">
        <v>387</v>
      </c>
      <c r="J183" s="31">
        <v>9</v>
      </c>
      <c r="K183" s="33" t="s">
        <v>956</v>
      </c>
      <c r="L183" s="33" t="s">
        <v>694</v>
      </c>
      <c r="M183" s="34" t="s">
        <v>969</v>
      </c>
      <c r="N183" s="34" t="s">
        <v>1801</v>
      </c>
      <c r="O183" s="35">
        <v>1</v>
      </c>
      <c r="P183" s="35"/>
      <c r="Q183" s="32"/>
      <c r="S183" s="1">
        <f t="shared" si="117"/>
        <v>0</v>
      </c>
      <c r="T183" s="1">
        <f t="shared" si="118"/>
        <v>0</v>
      </c>
      <c r="U183" s="1">
        <f t="shared" si="119"/>
        <v>0</v>
      </c>
      <c r="V183" s="1">
        <f t="shared" si="120"/>
        <v>0</v>
      </c>
      <c r="W183" s="1">
        <f t="shared" si="121"/>
        <v>0</v>
      </c>
      <c r="X183" s="1">
        <f t="shared" si="122"/>
        <v>0</v>
      </c>
      <c r="Y183" s="1">
        <f t="shared" si="123"/>
        <v>0</v>
      </c>
      <c r="Z183" s="1">
        <f t="shared" si="124"/>
        <v>0</v>
      </c>
      <c r="AA183" s="1">
        <f t="shared" si="125"/>
        <v>1</v>
      </c>
      <c r="AB183" s="1">
        <f t="shared" si="126"/>
        <v>0</v>
      </c>
      <c r="AD183" s="1">
        <f t="shared" si="127"/>
        <v>0</v>
      </c>
      <c r="AE183" s="1">
        <f t="shared" si="128"/>
        <v>1</v>
      </c>
      <c r="AF183" s="1">
        <f t="shared" si="113"/>
        <v>0</v>
      </c>
      <c r="AG183" s="1">
        <f t="shared" si="114"/>
        <v>1</v>
      </c>
      <c r="AH183" s="1">
        <f t="shared" si="115"/>
        <v>0</v>
      </c>
      <c r="AI183" s="1">
        <f t="shared" si="116"/>
        <v>1</v>
      </c>
    </row>
    <row r="184" spans="1:35" ht="14.25" customHeight="1" x14ac:dyDescent="0.25">
      <c r="A184" s="44">
        <v>0</v>
      </c>
      <c r="B184" s="44">
        <v>1</v>
      </c>
      <c r="C184" s="44">
        <v>4</v>
      </c>
      <c r="D184" s="45" t="s">
        <v>134</v>
      </c>
      <c r="E184" s="45" t="s">
        <v>177</v>
      </c>
      <c r="F184" s="45" t="s">
        <v>336</v>
      </c>
      <c r="G184" s="45" t="s">
        <v>213</v>
      </c>
      <c r="H184" s="45" t="s">
        <v>354</v>
      </c>
      <c r="I184" s="44" t="s">
        <v>483</v>
      </c>
      <c r="J184" s="44">
        <v>1</v>
      </c>
      <c r="K184" s="46" t="s">
        <v>956</v>
      </c>
      <c r="L184" s="46" t="s">
        <v>689</v>
      </c>
      <c r="M184" s="47" t="s">
        <v>691</v>
      </c>
      <c r="N184" s="47" t="s">
        <v>1735</v>
      </c>
      <c r="O184" s="48"/>
      <c r="P184" s="48"/>
      <c r="Q184" s="45"/>
      <c r="S184" s="1">
        <f t="shared" si="117"/>
        <v>1</v>
      </c>
      <c r="T184" s="1">
        <f t="shared" si="118"/>
        <v>0</v>
      </c>
      <c r="U184" s="1">
        <f t="shared" si="119"/>
        <v>0</v>
      </c>
      <c r="V184" s="1">
        <f t="shared" si="120"/>
        <v>0</v>
      </c>
      <c r="W184" s="1">
        <f t="shared" si="121"/>
        <v>0</v>
      </c>
      <c r="X184" s="1">
        <f t="shared" si="122"/>
        <v>0</v>
      </c>
      <c r="Y184" s="1">
        <f t="shared" si="123"/>
        <v>0</v>
      </c>
      <c r="Z184" s="1">
        <f t="shared" si="124"/>
        <v>0</v>
      </c>
      <c r="AA184" s="1">
        <f t="shared" si="125"/>
        <v>0</v>
      </c>
      <c r="AB184" s="1">
        <f t="shared" si="126"/>
        <v>0</v>
      </c>
      <c r="AD184" s="1">
        <f t="shared" si="127"/>
        <v>0</v>
      </c>
      <c r="AE184" s="1">
        <f t="shared" si="128"/>
        <v>0</v>
      </c>
      <c r="AF184" s="1">
        <f t="shared" si="113"/>
        <v>0</v>
      </c>
      <c r="AG184" s="1">
        <f t="shared" si="114"/>
        <v>0</v>
      </c>
      <c r="AH184" s="1">
        <f t="shared" si="115"/>
        <v>0</v>
      </c>
      <c r="AI184" s="1">
        <f t="shared" si="116"/>
        <v>1</v>
      </c>
    </row>
    <row r="185" spans="1:35" ht="14.25" customHeight="1" x14ac:dyDescent="0.25">
      <c r="A185" s="15">
        <v>0</v>
      </c>
      <c r="B185" s="15">
        <v>1</v>
      </c>
      <c r="C185" s="15">
        <v>4</v>
      </c>
      <c r="D185" s="16" t="s">
        <v>884</v>
      </c>
      <c r="E185" s="16" t="s">
        <v>772</v>
      </c>
      <c r="F185" s="16" t="s">
        <v>885</v>
      </c>
      <c r="G185" s="16" t="s">
        <v>39</v>
      </c>
      <c r="H185" s="16" t="s">
        <v>886</v>
      </c>
      <c r="I185" s="15" t="s">
        <v>950</v>
      </c>
      <c r="J185" s="15">
        <v>17</v>
      </c>
      <c r="K185" s="10" t="s">
        <v>703</v>
      </c>
      <c r="L185" s="10" t="s">
        <v>1141</v>
      </c>
      <c r="M185" s="19" t="s">
        <v>972</v>
      </c>
      <c r="N185" s="17"/>
      <c r="Q185" s="16"/>
      <c r="S185" s="1">
        <f t="shared" si="117"/>
        <v>0</v>
      </c>
      <c r="T185" s="1">
        <f t="shared" si="118"/>
        <v>0</v>
      </c>
      <c r="U185" s="1">
        <f t="shared" si="119"/>
        <v>0</v>
      </c>
      <c r="V185" s="1">
        <f t="shared" si="120"/>
        <v>0</v>
      </c>
      <c r="W185" s="1">
        <f t="shared" si="121"/>
        <v>0</v>
      </c>
      <c r="X185" s="1">
        <f t="shared" si="122"/>
        <v>0</v>
      </c>
      <c r="Y185" s="1">
        <f t="shared" si="123"/>
        <v>0</v>
      </c>
      <c r="Z185" s="1">
        <f t="shared" si="124"/>
        <v>0</v>
      </c>
      <c r="AA185" s="1">
        <f t="shared" si="125"/>
        <v>0</v>
      </c>
      <c r="AB185" s="1">
        <f t="shared" si="126"/>
        <v>0</v>
      </c>
      <c r="AD185" s="1">
        <f t="shared" si="127"/>
        <v>0</v>
      </c>
      <c r="AE185" s="1">
        <f t="shared" si="128"/>
        <v>0</v>
      </c>
      <c r="AF185" s="1">
        <f t="shared" si="113"/>
        <v>0</v>
      </c>
      <c r="AG185" s="1">
        <f t="shared" si="114"/>
        <v>0</v>
      </c>
      <c r="AH185" s="1">
        <f t="shared" si="115"/>
        <v>0</v>
      </c>
      <c r="AI185" s="1">
        <f t="shared" si="116"/>
        <v>1</v>
      </c>
    </row>
    <row r="186" spans="1:35" ht="14.25" customHeight="1" x14ac:dyDescent="0.25">
      <c r="A186" s="31">
        <v>0</v>
      </c>
      <c r="B186" s="31">
        <v>1</v>
      </c>
      <c r="C186" s="31">
        <v>5</v>
      </c>
      <c r="D186" s="32" t="s">
        <v>126</v>
      </c>
      <c r="E186" s="32" t="s">
        <v>526</v>
      </c>
      <c r="F186" s="32" t="s">
        <v>327</v>
      </c>
      <c r="G186" s="32" t="s">
        <v>300</v>
      </c>
      <c r="H186" s="32" t="s">
        <v>354</v>
      </c>
      <c r="I186" s="31" t="s">
        <v>475</v>
      </c>
      <c r="J186" s="31">
        <v>99</v>
      </c>
      <c r="K186" s="33" t="s">
        <v>702</v>
      </c>
      <c r="L186" s="33" t="s">
        <v>689</v>
      </c>
      <c r="M186" s="34" t="s">
        <v>970</v>
      </c>
      <c r="N186" s="34" t="s">
        <v>1743</v>
      </c>
      <c r="O186" s="35">
        <v>1</v>
      </c>
      <c r="P186" s="35"/>
      <c r="Q186" s="32"/>
      <c r="S186" s="1">
        <f t="shared" si="117"/>
        <v>0</v>
      </c>
      <c r="T186" s="1">
        <f t="shared" si="118"/>
        <v>0</v>
      </c>
      <c r="U186" s="1">
        <f t="shared" si="119"/>
        <v>0</v>
      </c>
      <c r="V186" s="1">
        <f t="shared" si="120"/>
        <v>0</v>
      </c>
      <c r="W186" s="1">
        <f t="shared" si="121"/>
        <v>0</v>
      </c>
      <c r="X186" s="1">
        <f t="shared" si="122"/>
        <v>0</v>
      </c>
      <c r="Y186" s="1">
        <f t="shared" si="123"/>
        <v>0</v>
      </c>
      <c r="Z186" s="1">
        <f t="shared" si="124"/>
        <v>0</v>
      </c>
      <c r="AA186" s="1">
        <f t="shared" si="125"/>
        <v>0</v>
      </c>
      <c r="AB186" s="1">
        <f t="shared" si="126"/>
        <v>0</v>
      </c>
      <c r="AD186" s="1">
        <f t="shared" si="127"/>
        <v>0</v>
      </c>
      <c r="AE186" s="1">
        <f t="shared" si="128"/>
        <v>1</v>
      </c>
      <c r="AF186" s="1">
        <f t="shared" si="113"/>
        <v>0</v>
      </c>
      <c r="AG186" s="1">
        <f t="shared" si="114"/>
        <v>1</v>
      </c>
      <c r="AH186" s="1">
        <f t="shared" si="115"/>
        <v>0</v>
      </c>
      <c r="AI186" s="1">
        <f t="shared" si="116"/>
        <v>1</v>
      </c>
    </row>
    <row r="187" spans="1:35" ht="14.25" customHeight="1" x14ac:dyDescent="0.25">
      <c r="A187" s="31">
        <v>0</v>
      </c>
      <c r="B187" s="31">
        <v>1</v>
      </c>
      <c r="C187" s="31">
        <v>5</v>
      </c>
      <c r="D187" s="32" t="s">
        <v>1729</v>
      </c>
      <c r="E187" s="32" t="s">
        <v>166</v>
      </c>
      <c r="F187" s="32" t="s">
        <v>1730</v>
      </c>
      <c r="G187" s="32" t="s">
        <v>1731</v>
      </c>
      <c r="H187" s="32" t="s">
        <v>354</v>
      </c>
      <c r="I187" s="31" t="s">
        <v>1732</v>
      </c>
      <c r="J187" s="31">
        <v>2</v>
      </c>
      <c r="K187" s="33" t="s">
        <v>703</v>
      </c>
      <c r="L187" s="33"/>
      <c r="M187" s="34"/>
      <c r="N187" s="34" t="s">
        <v>1733</v>
      </c>
      <c r="O187" s="35">
        <v>1</v>
      </c>
      <c r="P187" s="35">
        <v>1</v>
      </c>
      <c r="Q187" s="32"/>
      <c r="S187" s="1">
        <f t="shared" si="117"/>
        <v>0</v>
      </c>
      <c r="T187" s="1">
        <f t="shared" si="118"/>
        <v>1</v>
      </c>
      <c r="U187" s="1">
        <f t="shared" si="119"/>
        <v>0</v>
      </c>
      <c r="V187" s="1">
        <f t="shared" si="120"/>
        <v>0</v>
      </c>
      <c r="W187" s="1">
        <f t="shared" si="121"/>
        <v>0</v>
      </c>
      <c r="X187" s="1">
        <f t="shared" si="122"/>
        <v>0</v>
      </c>
      <c r="Y187" s="1">
        <f t="shared" si="123"/>
        <v>0</v>
      </c>
      <c r="Z187" s="1">
        <f t="shared" si="124"/>
        <v>0</v>
      </c>
      <c r="AA187" s="1">
        <f t="shared" si="125"/>
        <v>0</v>
      </c>
      <c r="AB187" s="1">
        <f t="shared" si="126"/>
        <v>0</v>
      </c>
      <c r="AD187" s="1">
        <f t="shared" si="127"/>
        <v>1</v>
      </c>
      <c r="AE187" s="1">
        <f t="shared" si="128"/>
        <v>0</v>
      </c>
      <c r="AF187" s="1">
        <f t="shared" si="113"/>
        <v>1</v>
      </c>
      <c r="AG187" s="1">
        <f t="shared" si="114"/>
        <v>0</v>
      </c>
      <c r="AH187" s="1">
        <f t="shared" si="115"/>
        <v>1</v>
      </c>
      <c r="AI187" s="1">
        <f t="shared" si="116"/>
        <v>0</v>
      </c>
    </row>
    <row r="188" spans="1:35" ht="14.25" customHeight="1" x14ac:dyDescent="0.25">
      <c r="A188" s="44">
        <v>0</v>
      </c>
      <c r="B188" s="44">
        <v>1</v>
      </c>
      <c r="C188" s="44">
        <v>5</v>
      </c>
      <c r="D188" s="45" t="s">
        <v>87</v>
      </c>
      <c r="E188" s="45" t="s">
        <v>166</v>
      </c>
      <c r="F188" s="45" t="s">
        <v>577</v>
      </c>
      <c r="G188" s="45" t="s">
        <v>194</v>
      </c>
      <c r="H188" s="45" t="s">
        <v>354</v>
      </c>
      <c r="I188" s="44" t="s">
        <v>436</v>
      </c>
      <c r="J188" s="44">
        <v>9</v>
      </c>
      <c r="K188" s="46" t="s">
        <v>956</v>
      </c>
      <c r="L188" s="46" t="s">
        <v>696</v>
      </c>
      <c r="M188" s="47" t="s">
        <v>691</v>
      </c>
      <c r="N188" s="47" t="s">
        <v>1735</v>
      </c>
      <c r="O188" s="48"/>
      <c r="P188" s="48"/>
      <c r="Q188" s="45"/>
      <c r="S188" s="1">
        <f t="shared" si="117"/>
        <v>0</v>
      </c>
      <c r="T188" s="1">
        <f t="shared" si="118"/>
        <v>0</v>
      </c>
      <c r="U188" s="1">
        <f t="shared" si="119"/>
        <v>0</v>
      </c>
      <c r="V188" s="1">
        <f t="shared" si="120"/>
        <v>0</v>
      </c>
      <c r="W188" s="1">
        <f t="shared" si="121"/>
        <v>0</v>
      </c>
      <c r="X188" s="1">
        <f t="shared" si="122"/>
        <v>0</v>
      </c>
      <c r="Y188" s="1">
        <f t="shared" si="123"/>
        <v>0</v>
      </c>
      <c r="Z188" s="1">
        <f t="shared" si="124"/>
        <v>0</v>
      </c>
      <c r="AA188" s="1">
        <f t="shared" si="125"/>
        <v>1</v>
      </c>
      <c r="AB188" s="1">
        <f t="shared" si="126"/>
        <v>0</v>
      </c>
      <c r="AD188" s="1">
        <f t="shared" ref="AD188:AD192" si="161">+O188*P188</f>
        <v>0</v>
      </c>
      <c r="AE188" s="1">
        <f t="shared" ref="AE188:AE192" si="162">O188*(1-P188)</f>
        <v>0</v>
      </c>
      <c r="AF188" s="1">
        <f t="shared" ref="AF188:AF192" si="163">+O188*P188*(1-A188)</f>
        <v>0</v>
      </c>
      <c r="AG188" s="1">
        <f t="shared" si="114"/>
        <v>0</v>
      </c>
      <c r="AH188" s="1">
        <f t="shared" si="115"/>
        <v>0</v>
      </c>
      <c r="AI188" s="1">
        <f t="shared" si="116"/>
        <v>1</v>
      </c>
    </row>
    <row r="189" spans="1:35" ht="14.25" customHeight="1" x14ac:dyDescent="0.25">
      <c r="A189" s="31">
        <v>0</v>
      </c>
      <c r="B189" s="31">
        <v>1</v>
      </c>
      <c r="C189" s="31">
        <v>5</v>
      </c>
      <c r="D189" s="32" t="s">
        <v>1996</v>
      </c>
      <c r="E189" s="32" t="s">
        <v>166</v>
      </c>
      <c r="F189" s="32" t="s">
        <v>1997</v>
      </c>
      <c r="G189" s="32" t="s">
        <v>2000</v>
      </c>
      <c r="H189" s="32" t="s">
        <v>354</v>
      </c>
      <c r="I189" s="31" t="s">
        <v>1998</v>
      </c>
      <c r="J189" s="31">
        <v>99</v>
      </c>
      <c r="K189" s="33" t="s">
        <v>703</v>
      </c>
      <c r="L189" s="33">
        <v>25</v>
      </c>
      <c r="M189" s="34" t="s">
        <v>691</v>
      </c>
      <c r="N189" s="34" t="s">
        <v>1743</v>
      </c>
      <c r="O189" s="35">
        <v>1</v>
      </c>
      <c r="P189" s="35"/>
      <c r="Q189" s="32" t="s">
        <v>1999</v>
      </c>
      <c r="S189" s="1">
        <f t="shared" si="117"/>
        <v>0</v>
      </c>
      <c r="T189" s="1">
        <f t="shared" si="118"/>
        <v>0</v>
      </c>
      <c r="U189" s="1">
        <f t="shared" si="119"/>
        <v>0</v>
      </c>
      <c r="V189" s="1">
        <f t="shared" si="120"/>
        <v>0</v>
      </c>
      <c r="W189" s="1">
        <f t="shared" si="121"/>
        <v>0</v>
      </c>
      <c r="X189" s="1">
        <f t="shared" si="122"/>
        <v>0</v>
      </c>
      <c r="Y189" s="1">
        <f t="shared" si="123"/>
        <v>0</v>
      </c>
      <c r="Z189" s="1">
        <f t="shared" si="124"/>
        <v>0</v>
      </c>
      <c r="AA189" s="1">
        <f t="shared" si="125"/>
        <v>0</v>
      </c>
      <c r="AB189" s="1">
        <f t="shared" si="126"/>
        <v>0</v>
      </c>
      <c r="AD189" s="1">
        <f t="shared" si="161"/>
        <v>0</v>
      </c>
      <c r="AE189" s="1">
        <f t="shared" si="162"/>
        <v>1</v>
      </c>
      <c r="AF189" s="1">
        <f t="shared" si="163"/>
        <v>0</v>
      </c>
      <c r="AG189" s="1">
        <f t="shared" si="114"/>
        <v>1</v>
      </c>
      <c r="AH189" s="1">
        <f t="shared" si="115"/>
        <v>0</v>
      </c>
      <c r="AI189" s="1">
        <f t="shared" si="116"/>
        <v>1</v>
      </c>
    </row>
    <row r="190" spans="1:35" ht="14.25" customHeight="1" x14ac:dyDescent="0.25">
      <c r="A190" s="44">
        <v>0</v>
      </c>
      <c r="B190" s="44">
        <v>1</v>
      </c>
      <c r="C190" s="44">
        <v>5</v>
      </c>
      <c r="D190" s="45" t="s">
        <v>127</v>
      </c>
      <c r="E190" s="45" t="s">
        <v>166</v>
      </c>
      <c r="F190" s="45" t="s">
        <v>328</v>
      </c>
      <c r="G190" s="45" t="s">
        <v>180</v>
      </c>
      <c r="H190" s="45" t="s">
        <v>354</v>
      </c>
      <c r="I190" s="44" t="s">
        <v>476</v>
      </c>
      <c r="J190" s="44">
        <v>10</v>
      </c>
      <c r="K190" s="46" t="s">
        <v>958</v>
      </c>
      <c r="L190" s="46" t="s">
        <v>694</v>
      </c>
      <c r="M190" s="47" t="s">
        <v>691</v>
      </c>
      <c r="N190" s="47" t="s">
        <v>1740</v>
      </c>
      <c r="O190" s="48"/>
      <c r="P190" s="48"/>
      <c r="Q190" s="45"/>
      <c r="S190" s="1">
        <f t="shared" si="117"/>
        <v>0</v>
      </c>
      <c r="T190" s="1">
        <f t="shared" si="118"/>
        <v>0</v>
      </c>
      <c r="U190" s="1">
        <f t="shared" si="119"/>
        <v>0</v>
      </c>
      <c r="V190" s="1">
        <f t="shared" si="120"/>
        <v>0</v>
      </c>
      <c r="W190" s="1">
        <f t="shared" si="121"/>
        <v>0</v>
      </c>
      <c r="X190" s="1">
        <f t="shared" si="122"/>
        <v>0</v>
      </c>
      <c r="Y190" s="1">
        <f t="shared" si="123"/>
        <v>0</v>
      </c>
      <c r="Z190" s="1">
        <f t="shared" si="124"/>
        <v>0</v>
      </c>
      <c r="AA190" s="1">
        <f t="shared" si="125"/>
        <v>0</v>
      </c>
      <c r="AB190" s="1">
        <f t="shared" si="126"/>
        <v>1</v>
      </c>
      <c r="AD190" s="1">
        <f t="shared" si="161"/>
        <v>0</v>
      </c>
      <c r="AE190" s="1">
        <f t="shared" si="162"/>
        <v>0</v>
      </c>
      <c r="AF190" s="1">
        <f t="shared" si="163"/>
        <v>0</v>
      </c>
      <c r="AG190" s="1">
        <f t="shared" si="114"/>
        <v>0</v>
      </c>
      <c r="AH190" s="1">
        <f t="shared" si="115"/>
        <v>0</v>
      </c>
      <c r="AI190" s="1">
        <f t="shared" si="116"/>
        <v>1</v>
      </c>
    </row>
    <row r="191" spans="1:35" ht="14.25" customHeight="1" x14ac:dyDescent="0.25">
      <c r="A191" s="44">
        <v>0</v>
      </c>
      <c r="B191" s="44">
        <v>1</v>
      </c>
      <c r="C191" s="44">
        <v>5</v>
      </c>
      <c r="D191" s="45" t="s">
        <v>137</v>
      </c>
      <c r="E191" s="45" t="s">
        <v>166</v>
      </c>
      <c r="F191" s="45" t="s">
        <v>548</v>
      </c>
      <c r="G191" s="45" t="s">
        <v>220</v>
      </c>
      <c r="H191" s="45" t="s">
        <v>354</v>
      </c>
      <c r="I191" s="44" t="s">
        <v>540</v>
      </c>
      <c r="J191" s="44">
        <v>8</v>
      </c>
      <c r="K191" s="46" t="s">
        <v>956</v>
      </c>
      <c r="L191" s="46" t="s">
        <v>694</v>
      </c>
      <c r="M191" s="47" t="s">
        <v>691</v>
      </c>
      <c r="N191" s="47" t="s">
        <v>1735</v>
      </c>
      <c r="O191" s="48"/>
      <c r="P191" s="48"/>
      <c r="Q191" s="45"/>
      <c r="S191" s="1">
        <f t="shared" si="117"/>
        <v>0</v>
      </c>
      <c r="T191" s="1">
        <f t="shared" si="118"/>
        <v>0</v>
      </c>
      <c r="U191" s="1">
        <f t="shared" si="119"/>
        <v>0</v>
      </c>
      <c r="V191" s="1">
        <f t="shared" si="120"/>
        <v>0</v>
      </c>
      <c r="W191" s="1">
        <f t="shared" si="121"/>
        <v>0</v>
      </c>
      <c r="X191" s="1">
        <f t="shared" si="122"/>
        <v>0</v>
      </c>
      <c r="Y191" s="1">
        <f t="shared" si="123"/>
        <v>0</v>
      </c>
      <c r="Z191" s="1">
        <f t="shared" si="124"/>
        <v>1</v>
      </c>
      <c r="AA191" s="1">
        <f t="shared" si="125"/>
        <v>0</v>
      </c>
      <c r="AB191" s="1">
        <f t="shared" si="126"/>
        <v>0</v>
      </c>
      <c r="AD191" s="1">
        <f t="shared" si="161"/>
        <v>0</v>
      </c>
      <c r="AE191" s="1">
        <f t="shared" si="162"/>
        <v>0</v>
      </c>
      <c r="AF191" s="1">
        <f t="shared" si="163"/>
        <v>0</v>
      </c>
      <c r="AG191" s="1">
        <f t="shared" si="114"/>
        <v>0</v>
      </c>
      <c r="AH191" s="1">
        <f t="shared" si="115"/>
        <v>0</v>
      </c>
      <c r="AI191" s="1">
        <f t="shared" si="116"/>
        <v>1</v>
      </c>
    </row>
    <row r="192" spans="1:35" ht="13.9" customHeight="1" x14ac:dyDescent="0.25">
      <c r="A192" s="44">
        <v>1</v>
      </c>
      <c r="B192" s="44">
        <v>1</v>
      </c>
      <c r="C192" s="44">
        <v>5</v>
      </c>
      <c r="D192" s="45" t="s">
        <v>137</v>
      </c>
      <c r="E192" s="45" t="s">
        <v>166</v>
      </c>
      <c r="F192" s="45" t="s">
        <v>337</v>
      </c>
      <c r="G192" s="45" t="s">
        <v>338</v>
      </c>
      <c r="H192" s="45" t="s">
        <v>354</v>
      </c>
      <c r="I192" s="44" t="s">
        <v>485</v>
      </c>
      <c r="J192" s="44">
        <v>10</v>
      </c>
      <c r="K192" s="46" t="s">
        <v>956</v>
      </c>
      <c r="L192" s="46" t="s">
        <v>694</v>
      </c>
      <c r="M192" s="47" t="s">
        <v>691</v>
      </c>
      <c r="N192" s="47" t="s">
        <v>1735</v>
      </c>
      <c r="O192" s="48"/>
      <c r="P192" s="48"/>
      <c r="Q192" s="45"/>
      <c r="S192" s="1">
        <f t="shared" si="117"/>
        <v>0</v>
      </c>
      <c r="T192" s="1">
        <f t="shared" si="118"/>
        <v>0</v>
      </c>
      <c r="U192" s="1">
        <f t="shared" si="119"/>
        <v>0</v>
      </c>
      <c r="V192" s="1">
        <f t="shared" si="120"/>
        <v>0</v>
      </c>
      <c r="W192" s="1">
        <f t="shared" si="121"/>
        <v>0</v>
      </c>
      <c r="X192" s="1">
        <f t="shared" si="122"/>
        <v>0</v>
      </c>
      <c r="Y192" s="1">
        <f t="shared" si="123"/>
        <v>0</v>
      </c>
      <c r="Z192" s="1">
        <f t="shared" si="124"/>
        <v>0</v>
      </c>
      <c r="AA192" s="1">
        <f t="shared" si="125"/>
        <v>0</v>
      </c>
      <c r="AB192" s="1">
        <f t="shared" si="126"/>
        <v>1</v>
      </c>
      <c r="AD192" s="1">
        <f t="shared" si="161"/>
        <v>0</v>
      </c>
      <c r="AE192" s="1">
        <f t="shared" si="162"/>
        <v>0</v>
      </c>
      <c r="AF192" s="1">
        <f t="shared" si="163"/>
        <v>0</v>
      </c>
      <c r="AG192" s="1">
        <f t="shared" si="114"/>
        <v>0</v>
      </c>
      <c r="AH192" s="1">
        <f t="shared" si="115"/>
        <v>0</v>
      </c>
      <c r="AI192" s="1">
        <f t="shared" si="116"/>
        <v>0</v>
      </c>
    </row>
    <row r="193" spans="1:35" ht="14.25" customHeight="1" x14ac:dyDescent="0.25">
      <c r="A193" s="44">
        <v>0</v>
      </c>
      <c r="B193" s="44">
        <v>1</v>
      </c>
      <c r="C193" s="44">
        <v>5</v>
      </c>
      <c r="D193" s="45" t="s">
        <v>1637</v>
      </c>
      <c r="E193" s="45" t="s">
        <v>166</v>
      </c>
      <c r="F193" s="45" t="s">
        <v>865</v>
      </c>
      <c r="G193" s="45" t="s">
        <v>1664</v>
      </c>
      <c r="H193" s="45" t="s">
        <v>354</v>
      </c>
      <c r="I193" s="44" t="s">
        <v>866</v>
      </c>
      <c r="J193" s="44">
        <v>1</v>
      </c>
      <c r="K193" s="46" t="s">
        <v>722</v>
      </c>
      <c r="L193" s="46" t="s">
        <v>1707</v>
      </c>
      <c r="M193" s="47" t="s">
        <v>1400</v>
      </c>
      <c r="N193" s="47" t="s">
        <v>1735</v>
      </c>
      <c r="O193" s="48"/>
      <c r="P193" s="48"/>
      <c r="Q193" s="45"/>
      <c r="S193" s="1">
        <f t="shared" si="117"/>
        <v>1</v>
      </c>
      <c r="T193" s="1">
        <f t="shared" si="118"/>
        <v>0</v>
      </c>
      <c r="U193" s="1">
        <f t="shared" si="119"/>
        <v>0</v>
      </c>
      <c r="V193" s="1">
        <f t="shared" si="120"/>
        <v>0</v>
      </c>
      <c r="W193" s="1">
        <f t="shared" si="121"/>
        <v>0</v>
      </c>
      <c r="X193" s="1">
        <f t="shared" si="122"/>
        <v>0</v>
      </c>
      <c r="Y193" s="1">
        <f t="shared" si="123"/>
        <v>0</v>
      </c>
      <c r="Z193" s="1">
        <f t="shared" si="124"/>
        <v>0</v>
      </c>
      <c r="AA193" s="1">
        <f t="shared" si="125"/>
        <v>0</v>
      </c>
      <c r="AB193" s="1">
        <f t="shared" si="126"/>
        <v>0</v>
      </c>
      <c r="AD193" s="1">
        <f t="shared" si="127"/>
        <v>0</v>
      </c>
      <c r="AE193" s="1">
        <f t="shared" si="128"/>
        <v>0</v>
      </c>
      <c r="AF193" s="1">
        <f t="shared" si="113"/>
        <v>0</v>
      </c>
      <c r="AG193" s="1">
        <f t="shared" si="114"/>
        <v>0</v>
      </c>
      <c r="AH193" s="1">
        <f t="shared" si="115"/>
        <v>0</v>
      </c>
      <c r="AI193" s="1">
        <f t="shared" si="116"/>
        <v>1</v>
      </c>
    </row>
    <row r="194" spans="1:35" ht="14.25" customHeight="1" x14ac:dyDescent="0.25">
      <c r="A194" s="15">
        <v>0</v>
      </c>
      <c r="B194" s="15">
        <v>1</v>
      </c>
      <c r="C194" s="15">
        <v>5</v>
      </c>
      <c r="D194" s="20" t="s">
        <v>1949</v>
      </c>
      <c r="E194" s="20" t="s">
        <v>893</v>
      </c>
      <c r="F194" s="20" t="s">
        <v>1967</v>
      </c>
      <c r="G194" s="20"/>
      <c r="H194" s="20" t="s">
        <v>1968</v>
      </c>
      <c r="I194" s="21" t="s">
        <v>1966</v>
      </c>
      <c r="J194" s="15">
        <v>15</v>
      </c>
      <c r="K194" s="10" t="s">
        <v>703</v>
      </c>
      <c r="L194" s="10" t="s">
        <v>697</v>
      </c>
      <c r="M194" s="19" t="s">
        <v>971</v>
      </c>
      <c r="N194" s="17"/>
      <c r="Q194" s="20" t="s">
        <v>1969</v>
      </c>
      <c r="S194" s="1">
        <f t="shared" si="117"/>
        <v>0</v>
      </c>
      <c r="T194" s="1">
        <f t="shared" si="118"/>
        <v>0</v>
      </c>
      <c r="U194" s="1">
        <f t="shared" si="119"/>
        <v>0</v>
      </c>
      <c r="V194" s="1">
        <f t="shared" si="120"/>
        <v>0</v>
      </c>
      <c r="W194" s="1">
        <f t="shared" si="121"/>
        <v>0</v>
      </c>
      <c r="X194" s="1">
        <f t="shared" si="122"/>
        <v>0</v>
      </c>
      <c r="Y194" s="1">
        <f t="shared" si="123"/>
        <v>0</v>
      </c>
      <c r="Z194" s="1">
        <f t="shared" si="124"/>
        <v>0</v>
      </c>
      <c r="AA194" s="1">
        <f t="shared" si="125"/>
        <v>0</v>
      </c>
      <c r="AB194" s="1">
        <f t="shared" si="126"/>
        <v>0</v>
      </c>
      <c r="AD194" s="1">
        <f t="shared" ref="AD194:AD195" si="164">+O194*P194</f>
        <v>0</v>
      </c>
      <c r="AE194" s="1">
        <f t="shared" ref="AE194:AE195" si="165">O194*(1-P194)</f>
        <v>0</v>
      </c>
      <c r="AF194" s="1">
        <f t="shared" ref="AF194:AF195" si="166">+O194*P194*(1-A194)</f>
        <v>0</v>
      </c>
      <c r="AG194" s="1">
        <f t="shared" si="114"/>
        <v>0</v>
      </c>
      <c r="AH194" s="1">
        <f t="shared" si="115"/>
        <v>0</v>
      </c>
      <c r="AI194" s="1">
        <f t="shared" si="116"/>
        <v>1</v>
      </c>
    </row>
    <row r="195" spans="1:35" ht="14.25" customHeight="1" x14ac:dyDescent="0.25">
      <c r="A195" s="31">
        <v>0</v>
      </c>
      <c r="B195" s="31">
        <v>1</v>
      </c>
      <c r="C195" s="31">
        <v>5</v>
      </c>
      <c r="D195" s="32" t="s">
        <v>887</v>
      </c>
      <c r="E195" s="32" t="s">
        <v>888</v>
      </c>
      <c r="F195" s="32" t="s">
        <v>1092</v>
      </c>
      <c r="G195" s="32" t="s">
        <v>39</v>
      </c>
      <c r="H195" s="32" t="s">
        <v>889</v>
      </c>
      <c r="I195" s="31" t="s">
        <v>890</v>
      </c>
      <c r="J195" s="31">
        <v>16</v>
      </c>
      <c r="K195" s="33" t="s">
        <v>703</v>
      </c>
      <c r="L195" s="33" t="s">
        <v>692</v>
      </c>
      <c r="M195" s="34" t="s">
        <v>970</v>
      </c>
      <c r="N195" s="34" t="s">
        <v>1733</v>
      </c>
      <c r="O195" s="35">
        <v>1</v>
      </c>
      <c r="P195" s="35">
        <v>1</v>
      </c>
      <c r="Q195" s="36" t="s">
        <v>1894</v>
      </c>
      <c r="S195" s="1">
        <f t="shared" si="117"/>
        <v>0</v>
      </c>
      <c r="T195" s="1">
        <f t="shared" si="118"/>
        <v>0</v>
      </c>
      <c r="U195" s="1">
        <f t="shared" si="119"/>
        <v>0</v>
      </c>
      <c r="V195" s="1">
        <f t="shared" si="120"/>
        <v>0</v>
      </c>
      <c r="W195" s="1">
        <f t="shared" si="121"/>
        <v>0</v>
      </c>
      <c r="X195" s="1">
        <f t="shared" si="122"/>
        <v>0</v>
      </c>
      <c r="Y195" s="1">
        <f t="shared" si="123"/>
        <v>0</v>
      </c>
      <c r="Z195" s="1">
        <f t="shared" si="124"/>
        <v>0</v>
      </c>
      <c r="AA195" s="1">
        <f t="shared" si="125"/>
        <v>0</v>
      </c>
      <c r="AB195" s="1">
        <f t="shared" si="126"/>
        <v>0</v>
      </c>
      <c r="AD195" s="1">
        <f t="shared" si="164"/>
        <v>1</v>
      </c>
      <c r="AE195" s="1">
        <f t="shared" si="165"/>
        <v>0</v>
      </c>
      <c r="AF195" s="1">
        <f t="shared" si="166"/>
        <v>1</v>
      </c>
      <c r="AG195" s="1">
        <f t="shared" si="114"/>
        <v>0</v>
      </c>
      <c r="AH195" s="1">
        <f t="shared" si="115"/>
        <v>1</v>
      </c>
      <c r="AI195" s="1">
        <f t="shared" si="116"/>
        <v>0</v>
      </c>
    </row>
    <row r="196" spans="1:35" ht="14.25" customHeight="1" x14ac:dyDescent="0.25">
      <c r="A196" s="31">
        <v>0</v>
      </c>
      <c r="B196" s="31">
        <v>1</v>
      </c>
      <c r="C196" s="31">
        <v>5</v>
      </c>
      <c r="D196" s="32" t="s">
        <v>106</v>
      </c>
      <c r="E196" s="32" t="s">
        <v>173</v>
      </c>
      <c r="F196" s="32" t="s">
        <v>304</v>
      </c>
      <c r="G196" s="32" t="s">
        <v>39</v>
      </c>
      <c r="H196" s="32" t="s">
        <v>359</v>
      </c>
      <c r="I196" s="31" t="s">
        <v>453</v>
      </c>
      <c r="J196" s="31">
        <v>14</v>
      </c>
      <c r="K196" s="33" t="s">
        <v>956</v>
      </c>
      <c r="L196" s="33" t="s">
        <v>693</v>
      </c>
      <c r="M196" s="34" t="s">
        <v>970</v>
      </c>
      <c r="N196" s="34" t="s">
        <v>1743</v>
      </c>
      <c r="O196" s="35">
        <v>1</v>
      </c>
      <c r="P196" s="35"/>
      <c r="Q196" s="32"/>
      <c r="S196" s="1">
        <f t="shared" si="117"/>
        <v>0</v>
      </c>
      <c r="T196" s="1">
        <f t="shared" si="118"/>
        <v>0</v>
      </c>
      <c r="U196" s="1">
        <f t="shared" si="119"/>
        <v>0</v>
      </c>
      <c r="V196" s="1">
        <f t="shared" si="120"/>
        <v>0</v>
      </c>
      <c r="W196" s="1">
        <f t="shared" si="121"/>
        <v>0</v>
      </c>
      <c r="X196" s="1">
        <f t="shared" si="122"/>
        <v>0</v>
      </c>
      <c r="Y196" s="1">
        <f t="shared" si="123"/>
        <v>0</v>
      </c>
      <c r="Z196" s="1">
        <f t="shared" si="124"/>
        <v>0</v>
      </c>
      <c r="AA196" s="1">
        <f t="shared" si="125"/>
        <v>0</v>
      </c>
      <c r="AB196" s="1">
        <f t="shared" si="126"/>
        <v>0</v>
      </c>
      <c r="AD196" s="1">
        <f t="shared" si="127"/>
        <v>0</v>
      </c>
      <c r="AE196" s="1">
        <f t="shared" si="128"/>
        <v>1</v>
      </c>
      <c r="AF196" s="1">
        <f t="shared" si="113"/>
        <v>0</v>
      </c>
      <c r="AG196" s="1">
        <f t="shared" si="114"/>
        <v>1</v>
      </c>
      <c r="AH196" s="1">
        <f t="shared" si="115"/>
        <v>0</v>
      </c>
      <c r="AI196" s="1">
        <f t="shared" si="116"/>
        <v>1</v>
      </c>
    </row>
    <row r="197" spans="1:35" ht="14.25" customHeight="1" x14ac:dyDescent="0.25">
      <c r="A197" s="15">
        <v>0</v>
      </c>
      <c r="B197" s="15">
        <v>1</v>
      </c>
      <c r="C197" s="15">
        <v>5</v>
      </c>
      <c r="D197" s="20" t="s">
        <v>1951</v>
      </c>
      <c r="E197" s="20" t="s">
        <v>893</v>
      </c>
      <c r="F197" s="20" t="s">
        <v>1981</v>
      </c>
      <c r="G197" s="20"/>
      <c r="H197" s="20" t="s">
        <v>1980</v>
      </c>
      <c r="I197" s="21" t="s">
        <v>1979</v>
      </c>
      <c r="J197" s="15">
        <v>18</v>
      </c>
      <c r="K197" s="10" t="s">
        <v>703</v>
      </c>
      <c r="L197" s="10" t="s">
        <v>697</v>
      </c>
      <c r="M197" s="19" t="s">
        <v>971</v>
      </c>
      <c r="N197" s="17"/>
      <c r="Q197" s="20" t="s">
        <v>1982</v>
      </c>
      <c r="S197" s="1">
        <f t="shared" si="117"/>
        <v>0</v>
      </c>
      <c r="T197" s="1">
        <f t="shared" si="118"/>
        <v>0</v>
      </c>
      <c r="U197" s="1">
        <f t="shared" si="119"/>
        <v>0</v>
      </c>
      <c r="V197" s="1">
        <f t="shared" si="120"/>
        <v>0</v>
      </c>
      <c r="W197" s="1">
        <f t="shared" si="121"/>
        <v>0</v>
      </c>
      <c r="X197" s="1">
        <f t="shared" si="122"/>
        <v>0</v>
      </c>
      <c r="Y197" s="1">
        <f t="shared" si="123"/>
        <v>0</v>
      </c>
      <c r="Z197" s="1">
        <f t="shared" si="124"/>
        <v>0</v>
      </c>
      <c r="AA197" s="1">
        <f t="shared" si="125"/>
        <v>0</v>
      </c>
      <c r="AB197" s="1">
        <f t="shared" si="126"/>
        <v>0</v>
      </c>
      <c r="AD197" s="1">
        <f t="shared" si="127"/>
        <v>0</v>
      </c>
      <c r="AE197" s="1">
        <f t="shared" si="128"/>
        <v>0</v>
      </c>
      <c r="AF197" s="1">
        <f t="shared" si="113"/>
        <v>0</v>
      </c>
      <c r="AG197" s="1">
        <f t="shared" si="114"/>
        <v>0</v>
      </c>
      <c r="AH197" s="1">
        <f t="shared" si="115"/>
        <v>0</v>
      </c>
      <c r="AI197" s="1">
        <f t="shared" si="116"/>
        <v>1</v>
      </c>
    </row>
    <row r="198" spans="1:35" ht="14.25" customHeight="1" x14ac:dyDescent="0.25">
      <c r="A198" s="44">
        <v>0</v>
      </c>
      <c r="B198" s="44">
        <v>1</v>
      </c>
      <c r="C198" s="44">
        <v>5</v>
      </c>
      <c r="D198" s="45" t="s">
        <v>513</v>
      </c>
      <c r="E198" s="45" t="s">
        <v>172</v>
      </c>
      <c r="F198" s="45" t="s">
        <v>549</v>
      </c>
      <c r="G198" s="45" t="s">
        <v>39</v>
      </c>
      <c r="H198" s="45" t="s">
        <v>362</v>
      </c>
      <c r="I198" s="44" t="s">
        <v>1114</v>
      </c>
      <c r="J198" s="44">
        <v>12</v>
      </c>
      <c r="K198" s="46" t="s">
        <v>703</v>
      </c>
      <c r="L198" s="46">
        <v>35</v>
      </c>
      <c r="M198" s="47" t="s">
        <v>970</v>
      </c>
      <c r="N198" s="47" t="s">
        <v>1802</v>
      </c>
      <c r="O198" s="48"/>
      <c r="P198" s="48"/>
      <c r="Q198" s="45"/>
      <c r="S198" s="1">
        <f t="shared" si="117"/>
        <v>0</v>
      </c>
      <c r="T198" s="1">
        <f t="shared" si="118"/>
        <v>0</v>
      </c>
      <c r="U198" s="1">
        <f t="shared" si="119"/>
        <v>0</v>
      </c>
      <c r="V198" s="1">
        <f t="shared" si="120"/>
        <v>0</v>
      </c>
      <c r="W198" s="1">
        <f t="shared" si="121"/>
        <v>0</v>
      </c>
      <c r="X198" s="1">
        <f t="shared" si="122"/>
        <v>0</v>
      </c>
      <c r="Y198" s="1">
        <f t="shared" si="123"/>
        <v>0</v>
      </c>
      <c r="Z198" s="1">
        <f t="shared" si="124"/>
        <v>0</v>
      </c>
      <c r="AA198" s="1">
        <f t="shared" si="125"/>
        <v>0</v>
      </c>
      <c r="AB198" s="1">
        <f t="shared" si="126"/>
        <v>0</v>
      </c>
      <c r="AD198" s="1">
        <f t="shared" si="127"/>
        <v>0</v>
      </c>
      <c r="AE198" s="1">
        <f t="shared" si="128"/>
        <v>0</v>
      </c>
      <c r="AF198" s="1">
        <f t="shared" si="113"/>
        <v>0</v>
      </c>
      <c r="AG198" s="1">
        <f t="shared" si="114"/>
        <v>0</v>
      </c>
      <c r="AH198" s="1">
        <f t="shared" si="115"/>
        <v>0</v>
      </c>
      <c r="AI198" s="1">
        <f t="shared" si="116"/>
        <v>1</v>
      </c>
    </row>
    <row r="199" spans="1:35" ht="14.25" customHeight="1" x14ac:dyDescent="0.25">
      <c r="A199" s="31">
        <v>0</v>
      </c>
      <c r="B199" s="31">
        <v>1</v>
      </c>
      <c r="C199" s="31">
        <v>5</v>
      </c>
      <c r="D199" s="32" t="s">
        <v>151</v>
      </c>
      <c r="E199" s="32" t="s">
        <v>166</v>
      </c>
      <c r="F199" s="36" t="s">
        <v>1870</v>
      </c>
      <c r="G199" s="32" t="s">
        <v>197</v>
      </c>
      <c r="H199" s="32" t="s">
        <v>354</v>
      </c>
      <c r="I199" s="31" t="s">
        <v>498</v>
      </c>
      <c r="J199" s="31">
        <v>99</v>
      </c>
      <c r="K199" s="33" t="s">
        <v>956</v>
      </c>
      <c r="L199" s="33" t="s">
        <v>693</v>
      </c>
      <c r="M199" s="34" t="s">
        <v>970</v>
      </c>
      <c r="N199" s="34" t="s">
        <v>1748</v>
      </c>
      <c r="O199" s="35">
        <v>1</v>
      </c>
      <c r="P199" s="35"/>
      <c r="Q199" s="32"/>
      <c r="S199" s="1">
        <f t="shared" si="117"/>
        <v>0</v>
      </c>
      <c r="T199" s="1">
        <f t="shared" si="118"/>
        <v>0</v>
      </c>
      <c r="U199" s="1">
        <f t="shared" si="119"/>
        <v>0</v>
      </c>
      <c r="V199" s="1">
        <f t="shared" si="120"/>
        <v>0</v>
      </c>
      <c r="W199" s="1">
        <f t="shared" si="121"/>
        <v>0</v>
      </c>
      <c r="X199" s="1">
        <f t="shared" si="122"/>
        <v>0</v>
      </c>
      <c r="Y199" s="1">
        <f t="shared" si="123"/>
        <v>0</v>
      </c>
      <c r="Z199" s="1">
        <f t="shared" si="124"/>
        <v>0</v>
      </c>
      <c r="AA199" s="1">
        <f t="shared" si="125"/>
        <v>0</v>
      </c>
      <c r="AB199" s="1">
        <f t="shared" si="126"/>
        <v>0</v>
      </c>
      <c r="AD199" s="1">
        <f t="shared" si="127"/>
        <v>0</v>
      </c>
      <c r="AE199" s="1">
        <f t="shared" si="128"/>
        <v>1</v>
      </c>
      <c r="AF199" s="1">
        <f t="shared" si="113"/>
        <v>0</v>
      </c>
      <c r="AG199" s="1">
        <f t="shared" si="114"/>
        <v>1</v>
      </c>
      <c r="AH199" s="1">
        <f t="shared" si="115"/>
        <v>0</v>
      </c>
      <c r="AI199" s="1">
        <f t="shared" si="116"/>
        <v>1</v>
      </c>
    </row>
    <row r="200" spans="1:35" ht="14.25" customHeight="1" x14ac:dyDescent="0.25">
      <c r="A200" s="44">
        <v>0</v>
      </c>
      <c r="B200" s="44">
        <v>1</v>
      </c>
      <c r="C200" s="44">
        <v>5</v>
      </c>
      <c r="D200" s="45" t="s">
        <v>649</v>
      </c>
      <c r="E200" s="45" t="s">
        <v>684</v>
      </c>
      <c r="F200" s="45" t="s">
        <v>645</v>
      </c>
      <c r="G200" s="45" t="s">
        <v>185</v>
      </c>
      <c r="H200" s="45" t="s">
        <v>354</v>
      </c>
      <c r="I200" s="44" t="s">
        <v>646</v>
      </c>
      <c r="J200" s="44">
        <v>99</v>
      </c>
      <c r="K200" s="46" t="s">
        <v>722</v>
      </c>
      <c r="L200" s="46" t="s">
        <v>693</v>
      </c>
      <c r="M200" s="47" t="s">
        <v>970</v>
      </c>
      <c r="N200" s="47" t="s">
        <v>1734</v>
      </c>
      <c r="O200" s="48"/>
      <c r="P200" s="48"/>
      <c r="Q200" s="45"/>
      <c r="S200" s="1">
        <f t="shared" si="117"/>
        <v>0</v>
      </c>
      <c r="T200" s="1">
        <f t="shared" si="118"/>
        <v>0</v>
      </c>
      <c r="U200" s="1">
        <f t="shared" si="119"/>
        <v>0</v>
      </c>
      <c r="V200" s="1">
        <f t="shared" si="120"/>
        <v>0</v>
      </c>
      <c r="W200" s="1">
        <f t="shared" si="121"/>
        <v>0</v>
      </c>
      <c r="X200" s="1">
        <f t="shared" si="122"/>
        <v>0</v>
      </c>
      <c r="Y200" s="1">
        <f t="shared" si="123"/>
        <v>0</v>
      </c>
      <c r="Z200" s="1">
        <f t="shared" si="124"/>
        <v>0</v>
      </c>
      <c r="AA200" s="1">
        <f t="shared" si="125"/>
        <v>0</v>
      </c>
      <c r="AB200" s="1">
        <f t="shared" si="126"/>
        <v>0</v>
      </c>
      <c r="AD200" s="1">
        <f t="shared" si="127"/>
        <v>0</v>
      </c>
      <c r="AE200" s="1">
        <f t="shared" si="128"/>
        <v>0</v>
      </c>
      <c r="AF200" s="1">
        <f t="shared" si="113"/>
        <v>0</v>
      </c>
      <c r="AG200" s="1">
        <f t="shared" si="114"/>
        <v>0</v>
      </c>
      <c r="AH200" s="1">
        <f t="shared" si="115"/>
        <v>0</v>
      </c>
      <c r="AI200" s="1">
        <f t="shared" si="116"/>
        <v>1</v>
      </c>
    </row>
    <row r="201" spans="1:35" ht="14.25" customHeight="1" x14ac:dyDescent="0.25">
      <c r="A201" s="31">
        <v>0</v>
      </c>
      <c r="B201" s="31">
        <v>1</v>
      </c>
      <c r="C201" s="31">
        <v>5</v>
      </c>
      <c r="D201" s="32" t="s">
        <v>1310</v>
      </c>
      <c r="E201" s="32" t="s">
        <v>166</v>
      </c>
      <c r="F201" s="32" t="s">
        <v>1311</v>
      </c>
      <c r="G201" s="32" t="s">
        <v>283</v>
      </c>
      <c r="H201" s="32" t="s">
        <v>354</v>
      </c>
      <c r="I201" s="31" t="s">
        <v>1312</v>
      </c>
      <c r="J201" s="31">
        <v>99</v>
      </c>
      <c r="K201" s="33" t="s">
        <v>702</v>
      </c>
      <c r="L201" s="33" t="s">
        <v>39</v>
      </c>
      <c r="M201" s="34" t="s">
        <v>39</v>
      </c>
      <c r="N201" s="34" t="s">
        <v>1733</v>
      </c>
      <c r="O201" s="35">
        <v>1</v>
      </c>
      <c r="P201" s="35">
        <v>1</v>
      </c>
      <c r="Q201" s="32"/>
      <c r="S201" s="1">
        <f t="shared" si="117"/>
        <v>0</v>
      </c>
      <c r="T201" s="1">
        <f t="shared" si="118"/>
        <v>0</v>
      </c>
      <c r="U201" s="1">
        <f t="shared" si="119"/>
        <v>0</v>
      </c>
      <c r="V201" s="1">
        <f t="shared" si="120"/>
        <v>0</v>
      </c>
      <c r="W201" s="1">
        <f t="shared" si="121"/>
        <v>0</v>
      </c>
      <c r="X201" s="1">
        <f t="shared" si="122"/>
        <v>0</v>
      </c>
      <c r="Y201" s="1">
        <f t="shared" si="123"/>
        <v>0</v>
      </c>
      <c r="Z201" s="1">
        <f t="shared" si="124"/>
        <v>0</v>
      </c>
      <c r="AA201" s="1">
        <f t="shared" si="125"/>
        <v>0</v>
      </c>
      <c r="AB201" s="1">
        <f t="shared" si="126"/>
        <v>0</v>
      </c>
      <c r="AD201" s="1">
        <f t="shared" si="127"/>
        <v>1</v>
      </c>
      <c r="AE201" s="1">
        <f t="shared" si="128"/>
        <v>0</v>
      </c>
      <c r="AF201" s="1">
        <f t="shared" si="113"/>
        <v>1</v>
      </c>
      <c r="AG201" s="1">
        <f t="shared" si="114"/>
        <v>0</v>
      </c>
      <c r="AH201" s="1">
        <f t="shared" si="115"/>
        <v>1</v>
      </c>
      <c r="AI201" s="1">
        <f t="shared" si="116"/>
        <v>0</v>
      </c>
    </row>
    <row r="202" spans="1:35" ht="14.25" customHeight="1" x14ac:dyDescent="0.25">
      <c r="A202" s="44">
        <v>0</v>
      </c>
      <c r="B202" s="44">
        <v>1</v>
      </c>
      <c r="C202" s="44">
        <v>5</v>
      </c>
      <c r="D202" s="45" t="s">
        <v>892</v>
      </c>
      <c r="E202" s="45" t="s">
        <v>893</v>
      </c>
      <c r="F202" s="45" t="s">
        <v>934</v>
      </c>
      <c r="G202" s="45" t="s">
        <v>39</v>
      </c>
      <c r="H202" s="45" t="s">
        <v>894</v>
      </c>
      <c r="I202" s="44" t="s">
        <v>895</v>
      </c>
      <c r="J202" s="44">
        <v>17</v>
      </c>
      <c r="K202" s="46" t="s">
        <v>703</v>
      </c>
      <c r="L202" s="46" t="s">
        <v>697</v>
      </c>
      <c r="M202" s="47" t="s">
        <v>970</v>
      </c>
      <c r="N202" s="47" t="s">
        <v>1741</v>
      </c>
      <c r="O202" s="48"/>
      <c r="P202" s="48"/>
      <c r="Q202" s="45"/>
      <c r="S202" s="1">
        <f t="shared" si="117"/>
        <v>0</v>
      </c>
      <c r="T202" s="1">
        <f t="shared" si="118"/>
        <v>0</v>
      </c>
      <c r="U202" s="1">
        <f t="shared" si="119"/>
        <v>0</v>
      </c>
      <c r="V202" s="1">
        <f t="shared" si="120"/>
        <v>0</v>
      </c>
      <c r="W202" s="1">
        <f t="shared" si="121"/>
        <v>0</v>
      </c>
      <c r="X202" s="1">
        <f t="shared" si="122"/>
        <v>0</v>
      </c>
      <c r="Y202" s="1">
        <f t="shared" si="123"/>
        <v>0</v>
      </c>
      <c r="Z202" s="1">
        <f t="shared" si="124"/>
        <v>0</v>
      </c>
      <c r="AA202" s="1">
        <f t="shared" si="125"/>
        <v>0</v>
      </c>
      <c r="AB202" s="1">
        <f t="shared" si="126"/>
        <v>0</v>
      </c>
      <c r="AD202" s="1">
        <f t="shared" si="127"/>
        <v>0</v>
      </c>
      <c r="AE202" s="1">
        <f t="shared" si="128"/>
        <v>0</v>
      </c>
      <c r="AF202" s="1">
        <f t="shared" si="113"/>
        <v>0</v>
      </c>
      <c r="AG202" s="1">
        <f t="shared" si="114"/>
        <v>0</v>
      </c>
      <c r="AH202" s="1">
        <f t="shared" si="115"/>
        <v>0</v>
      </c>
      <c r="AI202" s="1">
        <f t="shared" si="116"/>
        <v>1</v>
      </c>
    </row>
    <row r="203" spans="1:35" ht="14.25" customHeight="1" x14ac:dyDescent="0.25">
      <c r="A203" s="15">
        <v>0</v>
      </c>
      <c r="B203" s="15">
        <v>1</v>
      </c>
      <c r="C203" s="15">
        <v>5</v>
      </c>
      <c r="D203" s="16" t="s">
        <v>1941</v>
      </c>
      <c r="E203" s="16" t="s">
        <v>893</v>
      </c>
      <c r="F203" s="16" t="s">
        <v>1943</v>
      </c>
      <c r="G203" s="16"/>
      <c r="H203" s="16" t="s">
        <v>1942</v>
      </c>
      <c r="I203" s="15" t="s">
        <v>1944</v>
      </c>
      <c r="J203" s="15">
        <v>16</v>
      </c>
      <c r="K203" s="10" t="s">
        <v>703</v>
      </c>
      <c r="L203" s="10" t="s">
        <v>697</v>
      </c>
      <c r="M203" s="19" t="s">
        <v>970</v>
      </c>
      <c r="N203" s="17"/>
      <c r="Q203" s="20" t="s">
        <v>1945</v>
      </c>
      <c r="S203" s="1">
        <f t="shared" si="117"/>
        <v>0</v>
      </c>
      <c r="T203" s="1">
        <f t="shared" si="118"/>
        <v>0</v>
      </c>
      <c r="U203" s="1">
        <f t="shared" si="119"/>
        <v>0</v>
      </c>
      <c r="V203" s="1">
        <f t="shared" si="120"/>
        <v>0</v>
      </c>
      <c r="W203" s="1">
        <f t="shared" si="121"/>
        <v>0</v>
      </c>
      <c r="X203" s="1">
        <f t="shared" si="122"/>
        <v>0</v>
      </c>
      <c r="Y203" s="1">
        <f t="shared" si="123"/>
        <v>0</v>
      </c>
      <c r="Z203" s="1">
        <f t="shared" si="124"/>
        <v>0</v>
      </c>
      <c r="AA203" s="1">
        <f t="shared" si="125"/>
        <v>0</v>
      </c>
      <c r="AB203" s="1">
        <f t="shared" si="126"/>
        <v>0</v>
      </c>
      <c r="AD203" s="1">
        <f t="shared" si="127"/>
        <v>0</v>
      </c>
      <c r="AE203" s="1">
        <f t="shared" si="128"/>
        <v>0</v>
      </c>
      <c r="AF203" s="1">
        <f t="shared" si="113"/>
        <v>0</v>
      </c>
      <c r="AG203" s="1">
        <f t="shared" si="114"/>
        <v>0</v>
      </c>
      <c r="AH203" s="1">
        <f t="shared" si="115"/>
        <v>0</v>
      </c>
      <c r="AI203" s="1">
        <f t="shared" si="116"/>
        <v>1</v>
      </c>
    </row>
    <row r="204" spans="1:35" ht="14.25" customHeight="1" x14ac:dyDescent="0.25">
      <c r="A204" s="44">
        <v>0</v>
      </c>
      <c r="B204" s="44">
        <v>1</v>
      </c>
      <c r="C204" s="44">
        <v>5</v>
      </c>
      <c r="D204" s="45" t="s">
        <v>131</v>
      </c>
      <c r="E204" s="45" t="s">
        <v>166</v>
      </c>
      <c r="F204" s="45" t="s">
        <v>332</v>
      </c>
      <c r="G204" s="45" t="s">
        <v>333</v>
      </c>
      <c r="H204" s="45" t="s">
        <v>354</v>
      </c>
      <c r="I204" s="44" t="s">
        <v>480</v>
      </c>
      <c r="J204" s="44">
        <v>99</v>
      </c>
      <c r="K204" s="46" t="s">
        <v>722</v>
      </c>
      <c r="L204" s="46" t="s">
        <v>694</v>
      </c>
      <c r="M204" s="47" t="s">
        <v>970</v>
      </c>
      <c r="N204" s="47" t="s">
        <v>1747</v>
      </c>
      <c r="O204" s="48"/>
      <c r="P204" s="48"/>
      <c r="Q204" s="45"/>
      <c r="S204" s="1">
        <f t="shared" si="117"/>
        <v>0</v>
      </c>
      <c r="T204" s="1">
        <f t="shared" si="118"/>
        <v>0</v>
      </c>
      <c r="U204" s="1">
        <f t="shared" si="119"/>
        <v>0</v>
      </c>
      <c r="V204" s="1">
        <f t="shared" si="120"/>
        <v>0</v>
      </c>
      <c r="W204" s="1">
        <f t="shared" si="121"/>
        <v>0</v>
      </c>
      <c r="X204" s="1">
        <f t="shared" si="122"/>
        <v>0</v>
      </c>
      <c r="Y204" s="1">
        <f t="shared" si="123"/>
        <v>0</v>
      </c>
      <c r="Z204" s="1">
        <f t="shared" si="124"/>
        <v>0</v>
      </c>
      <c r="AA204" s="1">
        <f t="shared" si="125"/>
        <v>0</v>
      </c>
      <c r="AB204" s="1">
        <f t="shared" si="126"/>
        <v>0</v>
      </c>
      <c r="AD204" s="1">
        <f t="shared" si="127"/>
        <v>0</v>
      </c>
      <c r="AE204" s="1">
        <f t="shared" si="128"/>
        <v>0</v>
      </c>
      <c r="AF204" s="1">
        <f t="shared" si="113"/>
        <v>0</v>
      </c>
      <c r="AG204" s="1">
        <f t="shared" si="114"/>
        <v>0</v>
      </c>
      <c r="AH204" s="1">
        <f t="shared" si="115"/>
        <v>0</v>
      </c>
      <c r="AI204" s="1">
        <f t="shared" si="116"/>
        <v>1</v>
      </c>
    </row>
    <row r="205" spans="1:35" ht="14.25" customHeight="1" x14ac:dyDescent="0.25">
      <c r="A205" s="31">
        <v>0</v>
      </c>
      <c r="B205" s="31">
        <v>1</v>
      </c>
      <c r="C205" s="31">
        <v>5</v>
      </c>
      <c r="D205" s="32" t="s">
        <v>109</v>
      </c>
      <c r="E205" s="32" t="s">
        <v>166</v>
      </c>
      <c r="F205" s="32" t="s">
        <v>307</v>
      </c>
      <c r="G205" s="32" t="s">
        <v>231</v>
      </c>
      <c r="H205" s="32" t="s">
        <v>354</v>
      </c>
      <c r="I205" s="31" t="s">
        <v>456</v>
      </c>
      <c r="J205" s="31">
        <v>99</v>
      </c>
      <c r="K205" s="33" t="s">
        <v>722</v>
      </c>
      <c r="L205" s="33" t="s">
        <v>696</v>
      </c>
      <c r="M205" s="34" t="s">
        <v>691</v>
      </c>
      <c r="N205" s="34" t="s">
        <v>1743</v>
      </c>
      <c r="O205" s="35">
        <v>1</v>
      </c>
      <c r="P205" s="35"/>
      <c r="Q205" s="32"/>
      <c r="S205" s="1">
        <f t="shared" si="117"/>
        <v>0</v>
      </c>
      <c r="T205" s="1">
        <f t="shared" si="118"/>
        <v>0</v>
      </c>
      <c r="U205" s="1">
        <f t="shared" si="119"/>
        <v>0</v>
      </c>
      <c r="V205" s="1">
        <f t="shared" si="120"/>
        <v>0</v>
      </c>
      <c r="W205" s="1">
        <f t="shared" si="121"/>
        <v>0</v>
      </c>
      <c r="X205" s="1">
        <f t="shared" si="122"/>
        <v>0</v>
      </c>
      <c r="Y205" s="1">
        <f t="shared" si="123"/>
        <v>0</v>
      </c>
      <c r="Z205" s="1">
        <f t="shared" si="124"/>
        <v>0</v>
      </c>
      <c r="AA205" s="1">
        <f t="shared" si="125"/>
        <v>0</v>
      </c>
      <c r="AB205" s="1">
        <f t="shared" si="126"/>
        <v>0</v>
      </c>
      <c r="AD205" s="1">
        <f t="shared" si="127"/>
        <v>0</v>
      </c>
      <c r="AE205" s="1">
        <f t="shared" si="128"/>
        <v>1</v>
      </c>
      <c r="AF205" s="1">
        <f t="shared" si="113"/>
        <v>0</v>
      </c>
      <c r="AG205" s="1">
        <f t="shared" si="114"/>
        <v>1</v>
      </c>
      <c r="AH205" s="1">
        <f t="shared" si="115"/>
        <v>0</v>
      </c>
      <c r="AI205" s="1">
        <f t="shared" si="116"/>
        <v>1</v>
      </c>
    </row>
    <row r="206" spans="1:35" ht="14.25" customHeight="1" x14ac:dyDescent="0.25">
      <c r="A206" s="31">
        <v>0</v>
      </c>
      <c r="B206" s="31">
        <v>1</v>
      </c>
      <c r="C206" s="31">
        <v>5</v>
      </c>
      <c r="D206" s="32" t="s">
        <v>111</v>
      </c>
      <c r="E206" s="32" t="s">
        <v>172</v>
      </c>
      <c r="F206" s="32" t="s">
        <v>310</v>
      </c>
      <c r="G206" s="32" t="s">
        <v>39</v>
      </c>
      <c r="H206" s="32" t="s">
        <v>364</v>
      </c>
      <c r="I206" s="31" t="s">
        <v>459</v>
      </c>
      <c r="J206" s="31">
        <v>17</v>
      </c>
      <c r="K206" s="33" t="s">
        <v>703</v>
      </c>
      <c r="L206" s="33" t="s">
        <v>697</v>
      </c>
      <c r="M206" s="34" t="s">
        <v>691</v>
      </c>
      <c r="N206" s="34" t="s">
        <v>1733</v>
      </c>
      <c r="O206" s="35">
        <v>1</v>
      </c>
      <c r="P206" s="35">
        <v>1</v>
      </c>
      <c r="Q206" s="32" t="s">
        <v>1915</v>
      </c>
      <c r="S206" s="1">
        <f t="shared" si="117"/>
        <v>0</v>
      </c>
      <c r="T206" s="1">
        <f t="shared" si="118"/>
        <v>0</v>
      </c>
      <c r="U206" s="1">
        <f t="shared" si="119"/>
        <v>0</v>
      </c>
      <c r="V206" s="1">
        <f t="shared" si="120"/>
        <v>0</v>
      </c>
      <c r="W206" s="1">
        <f t="shared" si="121"/>
        <v>0</v>
      </c>
      <c r="X206" s="1">
        <f t="shared" si="122"/>
        <v>0</v>
      </c>
      <c r="Y206" s="1">
        <f t="shared" si="123"/>
        <v>0</v>
      </c>
      <c r="Z206" s="1">
        <f t="shared" si="124"/>
        <v>0</v>
      </c>
      <c r="AA206" s="1">
        <f t="shared" si="125"/>
        <v>0</v>
      </c>
      <c r="AB206" s="1">
        <f t="shared" si="126"/>
        <v>0</v>
      </c>
      <c r="AD206" s="1">
        <f t="shared" si="127"/>
        <v>1</v>
      </c>
      <c r="AE206" s="1">
        <f t="shared" si="128"/>
        <v>0</v>
      </c>
      <c r="AF206" s="1">
        <f t="shared" si="113"/>
        <v>1</v>
      </c>
      <c r="AG206" s="1">
        <f t="shared" si="114"/>
        <v>0</v>
      </c>
      <c r="AH206" s="1">
        <f t="shared" si="115"/>
        <v>1</v>
      </c>
      <c r="AI206" s="1">
        <f t="shared" si="116"/>
        <v>0</v>
      </c>
    </row>
    <row r="207" spans="1:35" ht="14.25" customHeight="1" x14ac:dyDescent="0.25">
      <c r="A207" s="31">
        <v>0</v>
      </c>
      <c r="B207" s="31">
        <v>1</v>
      </c>
      <c r="C207" s="31">
        <v>5</v>
      </c>
      <c r="D207" s="32" t="s">
        <v>525</v>
      </c>
      <c r="E207" s="32" t="s">
        <v>526</v>
      </c>
      <c r="F207" s="32" t="s">
        <v>527</v>
      </c>
      <c r="G207" s="32" t="s">
        <v>202</v>
      </c>
      <c r="H207" s="32" t="s">
        <v>354</v>
      </c>
      <c r="I207" s="31" t="s">
        <v>528</v>
      </c>
      <c r="J207" s="31">
        <v>10</v>
      </c>
      <c r="K207" s="33" t="s">
        <v>702</v>
      </c>
      <c r="L207" s="33" t="s">
        <v>693</v>
      </c>
      <c r="M207" s="34" t="s">
        <v>970</v>
      </c>
      <c r="N207" s="34" t="s">
        <v>1733</v>
      </c>
      <c r="O207" s="35">
        <v>1</v>
      </c>
      <c r="P207" s="35">
        <v>1</v>
      </c>
      <c r="Q207" s="32"/>
      <c r="S207" s="1">
        <f t="shared" si="117"/>
        <v>0</v>
      </c>
      <c r="T207" s="1">
        <f t="shared" si="118"/>
        <v>0</v>
      </c>
      <c r="U207" s="1">
        <f t="shared" si="119"/>
        <v>0</v>
      </c>
      <c r="V207" s="1">
        <f t="shared" si="120"/>
        <v>0</v>
      </c>
      <c r="W207" s="1">
        <f t="shared" si="121"/>
        <v>0</v>
      </c>
      <c r="X207" s="1">
        <f t="shared" si="122"/>
        <v>0</v>
      </c>
      <c r="Y207" s="1">
        <f t="shared" si="123"/>
        <v>0</v>
      </c>
      <c r="Z207" s="1">
        <f t="shared" si="124"/>
        <v>0</v>
      </c>
      <c r="AA207" s="1">
        <f t="shared" si="125"/>
        <v>0</v>
      </c>
      <c r="AB207" s="1">
        <f t="shared" si="126"/>
        <v>1</v>
      </c>
      <c r="AD207" s="1">
        <f t="shared" si="127"/>
        <v>1</v>
      </c>
      <c r="AE207" s="1">
        <f t="shared" si="128"/>
        <v>0</v>
      </c>
      <c r="AF207" s="1">
        <f t="shared" si="113"/>
        <v>1</v>
      </c>
      <c r="AG207" s="1">
        <f t="shared" si="114"/>
        <v>0</v>
      </c>
      <c r="AH207" s="1">
        <f t="shared" si="115"/>
        <v>1</v>
      </c>
      <c r="AI207" s="1">
        <f t="shared" si="116"/>
        <v>0</v>
      </c>
    </row>
    <row r="208" spans="1:35" ht="14.25" customHeight="1" x14ac:dyDescent="0.25">
      <c r="A208" s="31">
        <v>0</v>
      </c>
      <c r="B208" s="31">
        <v>1</v>
      </c>
      <c r="C208" s="31">
        <v>5</v>
      </c>
      <c r="D208" s="32" t="s">
        <v>1499</v>
      </c>
      <c r="E208" s="32" t="s">
        <v>166</v>
      </c>
      <c r="F208" s="32" t="s">
        <v>1500</v>
      </c>
      <c r="G208" s="32" t="s">
        <v>180</v>
      </c>
      <c r="H208" s="32" t="s">
        <v>354</v>
      </c>
      <c r="I208" s="31" t="s">
        <v>1501</v>
      </c>
      <c r="J208" s="31">
        <v>10</v>
      </c>
      <c r="K208" s="33" t="s">
        <v>956</v>
      </c>
      <c r="L208" s="33" t="s">
        <v>693</v>
      </c>
      <c r="M208" s="34" t="s">
        <v>970</v>
      </c>
      <c r="N208" s="34" t="s">
        <v>1727</v>
      </c>
      <c r="O208" s="35">
        <v>1</v>
      </c>
      <c r="P208" s="35">
        <v>1</v>
      </c>
      <c r="Q208" s="32"/>
      <c r="S208" s="1">
        <f t="shared" si="117"/>
        <v>0</v>
      </c>
      <c r="T208" s="1">
        <f t="shared" si="118"/>
        <v>0</v>
      </c>
      <c r="U208" s="1">
        <f t="shared" si="119"/>
        <v>0</v>
      </c>
      <c r="V208" s="1">
        <f t="shared" si="120"/>
        <v>0</v>
      </c>
      <c r="W208" s="1">
        <f t="shared" si="121"/>
        <v>0</v>
      </c>
      <c r="X208" s="1">
        <f t="shared" si="122"/>
        <v>0</v>
      </c>
      <c r="Y208" s="1">
        <f t="shared" si="123"/>
        <v>0</v>
      </c>
      <c r="Z208" s="1">
        <f t="shared" si="124"/>
        <v>0</v>
      </c>
      <c r="AA208" s="1">
        <f t="shared" si="125"/>
        <v>0</v>
      </c>
      <c r="AB208" s="1">
        <f t="shared" si="126"/>
        <v>1</v>
      </c>
      <c r="AD208" s="1">
        <f t="shared" si="127"/>
        <v>1</v>
      </c>
      <c r="AE208" s="1">
        <f t="shared" si="128"/>
        <v>0</v>
      </c>
      <c r="AF208" s="1">
        <f t="shared" ref="AF208:AF274" si="167">+O208*P208*(1-A208)</f>
        <v>1</v>
      </c>
      <c r="AG208" s="1">
        <f t="shared" ref="AG208:AG274" si="168">O208*(1-P208)*(1-A208)</f>
        <v>0</v>
      </c>
      <c r="AH208" s="1">
        <f t="shared" ref="AH208:AH274" si="169">+P208*(1-A208)</f>
        <v>1</v>
      </c>
      <c r="AI208" s="1">
        <f t="shared" ref="AI208:AI274" si="170">+(1-A208)*(1-P208)</f>
        <v>0</v>
      </c>
    </row>
    <row r="209" spans="1:35" ht="14.25" customHeight="1" x14ac:dyDescent="0.25">
      <c r="A209" s="31">
        <v>0</v>
      </c>
      <c r="B209" s="31">
        <v>1</v>
      </c>
      <c r="C209" s="31">
        <v>5</v>
      </c>
      <c r="D209" s="32" t="s">
        <v>1757</v>
      </c>
      <c r="E209" s="32" t="s">
        <v>166</v>
      </c>
      <c r="F209" s="32" t="s">
        <v>1758</v>
      </c>
      <c r="G209" s="32" t="s">
        <v>1759</v>
      </c>
      <c r="H209" s="32" t="s">
        <v>354</v>
      </c>
      <c r="I209" s="31" t="s">
        <v>1760</v>
      </c>
      <c r="J209" s="31">
        <v>1</v>
      </c>
      <c r="K209" s="33" t="s">
        <v>703</v>
      </c>
      <c r="L209" s="33"/>
      <c r="M209" s="34"/>
      <c r="N209" s="34" t="s">
        <v>1748</v>
      </c>
      <c r="O209" s="35">
        <v>1</v>
      </c>
      <c r="P209" s="35"/>
      <c r="Q209" s="32"/>
      <c r="S209" s="1">
        <f t="shared" si="117"/>
        <v>1</v>
      </c>
      <c r="T209" s="1">
        <f t="shared" si="118"/>
        <v>0</v>
      </c>
      <c r="U209" s="1">
        <f t="shared" si="119"/>
        <v>0</v>
      </c>
      <c r="V209" s="1">
        <f t="shared" si="120"/>
        <v>0</v>
      </c>
      <c r="W209" s="1">
        <f t="shared" si="121"/>
        <v>0</v>
      </c>
      <c r="X209" s="1">
        <f t="shared" si="122"/>
        <v>0</v>
      </c>
      <c r="Y209" s="1">
        <f t="shared" si="123"/>
        <v>0</v>
      </c>
      <c r="Z209" s="1">
        <f t="shared" si="124"/>
        <v>0</v>
      </c>
      <c r="AA209" s="1">
        <f t="shared" si="125"/>
        <v>0</v>
      </c>
      <c r="AB209" s="1">
        <f t="shared" si="126"/>
        <v>0</v>
      </c>
      <c r="AD209" s="1">
        <f t="shared" si="127"/>
        <v>0</v>
      </c>
      <c r="AE209" s="1">
        <f t="shared" si="128"/>
        <v>1</v>
      </c>
      <c r="AF209" s="1">
        <f t="shared" si="167"/>
        <v>0</v>
      </c>
      <c r="AG209" s="1">
        <f t="shared" si="168"/>
        <v>1</v>
      </c>
      <c r="AH209" s="1">
        <f t="shared" si="169"/>
        <v>0</v>
      </c>
      <c r="AI209" s="1">
        <f t="shared" si="170"/>
        <v>1</v>
      </c>
    </row>
    <row r="210" spans="1:35" ht="14.25" customHeight="1" x14ac:dyDescent="0.25">
      <c r="A210" s="44">
        <v>0</v>
      </c>
      <c r="B210" s="44">
        <v>1</v>
      </c>
      <c r="C210" s="44">
        <v>5</v>
      </c>
      <c r="D210" s="45" t="s">
        <v>1026</v>
      </c>
      <c r="E210" s="45" t="s">
        <v>1087</v>
      </c>
      <c r="F210" s="45" t="s">
        <v>1027</v>
      </c>
      <c r="G210" s="45" t="s">
        <v>194</v>
      </c>
      <c r="H210" s="45" t="s">
        <v>354</v>
      </c>
      <c r="I210" s="44" t="s">
        <v>1028</v>
      </c>
      <c r="J210" s="44">
        <v>9</v>
      </c>
      <c r="K210" s="46" t="s">
        <v>722</v>
      </c>
      <c r="L210" s="46" t="s">
        <v>1704</v>
      </c>
      <c r="M210" s="47" t="s">
        <v>1604</v>
      </c>
      <c r="N210" s="47" t="s">
        <v>1735</v>
      </c>
      <c r="O210" s="48"/>
      <c r="P210" s="48"/>
      <c r="Q210" s="45"/>
      <c r="S210" s="1">
        <f t="shared" si="117"/>
        <v>0</v>
      </c>
      <c r="T210" s="1">
        <f t="shared" si="118"/>
        <v>0</v>
      </c>
      <c r="U210" s="1">
        <f t="shared" si="119"/>
        <v>0</v>
      </c>
      <c r="V210" s="1">
        <f t="shared" si="120"/>
        <v>0</v>
      </c>
      <c r="W210" s="1">
        <f t="shared" si="121"/>
        <v>0</v>
      </c>
      <c r="X210" s="1">
        <f t="shared" si="122"/>
        <v>0</v>
      </c>
      <c r="Y210" s="1">
        <f t="shared" si="123"/>
        <v>0</v>
      </c>
      <c r="Z210" s="1">
        <f t="shared" si="124"/>
        <v>0</v>
      </c>
      <c r="AA210" s="1">
        <f t="shared" si="125"/>
        <v>1</v>
      </c>
      <c r="AB210" s="1">
        <f t="shared" si="126"/>
        <v>0</v>
      </c>
      <c r="AD210" s="1">
        <f t="shared" si="127"/>
        <v>0</v>
      </c>
      <c r="AE210" s="1">
        <f t="shared" si="128"/>
        <v>0</v>
      </c>
      <c r="AF210" s="1">
        <f t="shared" si="167"/>
        <v>0</v>
      </c>
      <c r="AG210" s="1">
        <f t="shared" si="168"/>
        <v>0</v>
      </c>
      <c r="AH210" s="1">
        <f t="shared" si="169"/>
        <v>0</v>
      </c>
      <c r="AI210" s="1">
        <f t="shared" si="170"/>
        <v>1</v>
      </c>
    </row>
    <row r="211" spans="1:35" ht="14.25" customHeight="1" x14ac:dyDescent="0.25">
      <c r="A211" s="44">
        <v>0</v>
      </c>
      <c r="B211" s="44">
        <v>1</v>
      </c>
      <c r="C211" s="44">
        <v>5</v>
      </c>
      <c r="D211" s="45" t="s">
        <v>1614</v>
      </c>
      <c r="E211" s="45" t="s">
        <v>166</v>
      </c>
      <c r="F211" s="45" t="s">
        <v>1615</v>
      </c>
      <c r="G211" s="45" t="s">
        <v>213</v>
      </c>
      <c r="H211" s="45" t="s">
        <v>354</v>
      </c>
      <c r="I211" s="44" t="s">
        <v>1616</v>
      </c>
      <c r="J211" s="44">
        <v>1</v>
      </c>
      <c r="K211" s="46" t="s">
        <v>722</v>
      </c>
      <c r="L211" s="46" t="s">
        <v>694</v>
      </c>
      <c r="M211" s="47" t="s">
        <v>970</v>
      </c>
      <c r="N211" s="47" t="s">
        <v>1736</v>
      </c>
      <c r="O211" s="48"/>
      <c r="P211" s="48"/>
      <c r="Q211" s="45"/>
      <c r="S211" s="1">
        <f t="shared" si="117"/>
        <v>1</v>
      </c>
      <c r="T211" s="1">
        <f t="shared" si="118"/>
        <v>0</v>
      </c>
      <c r="U211" s="1">
        <f t="shared" si="119"/>
        <v>0</v>
      </c>
      <c r="V211" s="1">
        <f t="shared" si="120"/>
        <v>0</v>
      </c>
      <c r="W211" s="1">
        <f t="shared" si="121"/>
        <v>0</v>
      </c>
      <c r="X211" s="1">
        <f t="shared" si="122"/>
        <v>0</v>
      </c>
      <c r="Y211" s="1">
        <f t="shared" si="123"/>
        <v>0</v>
      </c>
      <c r="Z211" s="1">
        <f t="shared" si="124"/>
        <v>0</v>
      </c>
      <c r="AA211" s="1">
        <f t="shared" si="125"/>
        <v>0</v>
      </c>
      <c r="AB211" s="1">
        <f t="shared" si="126"/>
        <v>0</v>
      </c>
      <c r="AD211" s="1">
        <f t="shared" si="127"/>
        <v>0</v>
      </c>
      <c r="AE211" s="1">
        <f t="shared" si="128"/>
        <v>0</v>
      </c>
      <c r="AF211" s="1">
        <f t="shared" si="167"/>
        <v>0</v>
      </c>
      <c r="AG211" s="1">
        <f t="shared" si="168"/>
        <v>0</v>
      </c>
      <c r="AH211" s="1">
        <f t="shared" si="169"/>
        <v>0</v>
      </c>
      <c r="AI211" s="1">
        <f t="shared" si="170"/>
        <v>1</v>
      </c>
    </row>
    <row r="212" spans="1:35" ht="14.25" customHeight="1" x14ac:dyDescent="0.25">
      <c r="A212" s="38">
        <v>0</v>
      </c>
      <c r="B212" s="38">
        <v>1</v>
      </c>
      <c r="C212" s="38">
        <v>5</v>
      </c>
      <c r="D212" s="39" t="s">
        <v>147</v>
      </c>
      <c r="E212" s="39" t="s">
        <v>545</v>
      </c>
      <c r="F212" s="39" t="s">
        <v>1599</v>
      </c>
      <c r="G212" s="39" t="s">
        <v>1673</v>
      </c>
      <c r="H212" s="39" t="s">
        <v>354</v>
      </c>
      <c r="I212" s="38" t="s">
        <v>494</v>
      </c>
      <c r="J212" s="38">
        <v>99</v>
      </c>
      <c r="K212" s="40" t="s">
        <v>702</v>
      </c>
      <c r="L212" s="40" t="s">
        <v>689</v>
      </c>
      <c r="M212" s="41" t="s">
        <v>970</v>
      </c>
      <c r="N212" s="42"/>
      <c r="O212" s="43"/>
      <c r="P212" s="43">
        <v>1</v>
      </c>
      <c r="Q212" s="39"/>
      <c r="S212" s="1">
        <f t="shared" si="117"/>
        <v>0</v>
      </c>
      <c r="T212" s="1">
        <f t="shared" si="118"/>
        <v>0</v>
      </c>
      <c r="U212" s="1">
        <f t="shared" si="119"/>
        <v>0</v>
      </c>
      <c r="V212" s="1">
        <f t="shared" si="120"/>
        <v>0</v>
      </c>
      <c r="W212" s="1">
        <f t="shared" si="121"/>
        <v>0</v>
      </c>
      <c r="X212" s="1">
        <f t="shared" si="122"/>
        <v>0</v>
      </c>
      <c r="Y212" s="1">
        <f t="shared" si="123"/>
        <v>0</v>
      </c>
      <c r="Z212" s="1">
        <f t="shared" si="124"/>
        <v>0</v>
      </c>
      <c r="AA212" s="1">
        <f t="shared" si="125"/>
        <v>0</v>
      </c>
      <c r="AB212" s="1">
        <f t="shared" si="126"/>
        <v>0</v>
      </c>
      <c r="AD212" s="1">
        <f t="shared" si="127"/>
        <v>0</v>
      </c>
      <c r="AE212" s="1">
        <f t="shared" si="128"/>
        <v>0</v>
      </c>
      <c r="AF212" s="1">
        <f t="shared" si="167"/>
        <v>0</v>
      </c>
      <c r="AG212" s="1">
        <f t="shared" si="168"/>
        <v>0</v>
      </c>
      <c r="AH212" s="1">
        <f t="shared" si="169"/>
        <v>1</v>
      </c>
      <c r="AI212" s="1">
        <f t="shared" si="170"/>
        <v>0</v>
      </c>
    </row>
    <row r="213" spans="1:35" ht="14.25" customHeight="1" x14ac:dyDescent="0.25">
      <c r="A213" s="15">
        <v>0</v>
      </c>
      <c r="B213" s="15">
        <v>1</v>
      </c>
      <c r="C213" s="15">
        <v>5</v>
      </c>
      <c r="D213" s="16" t="s">
        <v>1212</v>
      </c>
      <c r="E213" s="16" t="s">
        <v>166</v>
      </c>
      <c r="F213" s="16" t="s">
        <v>1213</v>
      </c>
      <c r="G213" s="16" t="s">
        <v>1214</v>
      </c>
      <c r="H213" s="16" t="s">
        <v>354</v>
      </c>
      <c r="I213" s="15" t="s">
        <v>1215</v>
      </c>
      <c r="J213" s="15">
        <v>99</v>
      </c>
      <c r="K213" s="10" t="s">
        <v>703</v>
      </c>
      <c r="L213" s="10">
        <v>30</v>
      </c>
      <c r="M213" s="19" t="s">
        <v>970</v>
      </c>
      <c r="N213" s="19"/>
      <c r="Q213" s="16"/>
      <c r="S213" s="1">
        <f t="shared" ref="S213:S278" si="171">IF(J213=$S$7,1,0)</f>
        <v>0</v>
      </c>
      <c r="T213" s="1">
        <f t="shared" ref="T213:T278" si="172">IF(J213=$T$7,1,0)</f>
        <v>0</v>
      </c>
      <c r="U213" s="1">
        <f t="shared" ref="U213:U278" si="173">IF(J213=$U$7,1,0)</f>
        <v>0</v>
      </c>
      <c r="V213" s="1">
        <f t="shared" ref="V213:V278" si="174">IF(J213=$V$7,1,0)</f>
        <v>0</v>
      </c>
      <c r="W213" s="1">
        <f t="shared" ref="W213:W278" si="175">IF(J213=$W$7,1,0)</f>
        <v>0</v>
      </c>
      <c r="X213" s="1">
        <f t="shared" ref="X213:X278" si="176">IF(J213=$X$7,1,0)</f>
        <v>0</v>
      </c>
      <c r="Y213" s="1">
        <f t="shared" ref="Y213:Y278" si="177">IF(J213=$Y$7,1,0)</f>
        <v>0</v>
      </c>
      <c r="Z213" s="1">
        <f t="shared" ref="Z213:Z278" si="178">IF(J213=$Z$7,1,0)</f>
        <v>0</v>
      </c>
      <c r="AA213" s="1">
        <f t="shared" ref="AA213:AA278" si="179">IF(J213=$AA$7,1,0)</f>
        <v>0</v>
      </c>
      <c r="AB213" s="1">
        <f t="shared" ref="AB213:AB278" si="180">IF(J213=$AB$7,1,0)</f>
        <v>0</v>
      </c>
      <c r="AD213" s="1">
        <f t="shared" ref="AD213:AD278" si="181">+O213*P213</f>
        <v>0</v>
      </c>
      <c r="AE213" s="1">
        <f t="shared" ref="AE213:AE278" si="182">O213*(1-P213)</f>
        <v>0</v>
      </c>
      <c r="AF213" s="1">
        <f t="shared" si="167"/>
        <v>0</v>
      </c>
      <c r="AG213" s="1">
        <f t="shared" si="168"/>
        <v>0</v>
      </c>
      <c r="AH213" s="1">
        <f t="shared" si="169"/>
        <v>0</v>
      </c>
      <c r="AI213" s="1">
        <f t="shared" si="170"/>
        <v>1</v>
      </c>
    </row>
    <row r="214" spans="1:35" ht="14.25" customHeight="1" x14ac:dyDescent="0.25">
      <c r="A214" s="31">
        <v>0</v>
      </c>
      <c r="B214" s="31">
        <v>1</v>
      </c>
      <c r="C214" s="31">
        <v>5</v>
      </c>
      <c r="D214" s="32" t="s">
        <v>1600</v>
      </c>
      <c r="E214" s="32" t="s">
        <v>172</v>
      </c>
      <c r="F214" s="32" t="s">
        <v>808</v>
      </c>
      <c r="G214" s="32" t="s">
        <v>39</v>
      </c>
      <c r="H214" s="32" t="s">
        <v>809</v>
      </c>
      <c r="I214" s="31" t="s">
        <v>810</v>
      </c>
      <c r="J214" s="31">
        <v>16</v>
      </c>
      <c r="K214" s="33" t="s">
        <v>957</v>
      </c>
      <c r="L214" s="33" t="s">
        <v>1742</v>
      </c>
      <c r="M214" s="34" t="s">
        <v>970</v>
      </c>
      <c r="N214" s="34" t="s">
        <v>1748</v>
      </c>
      <c r="O214" s="35">
        <v>1</v>
      </c>
      <c r="P214" s="35"/>
      <c r="Q214" s="32"/>
      <c r="S214" s="1">
        <f t="shared" si="171"/>
        <v>0</v>
      </c>
      <c r="T214" s="1">
        <f t="shared" si="172"/>
        <v>0</v>
      </c>
      <c r="U214" s="1">
        <f t="shared" si="173"/>
        <v>0</v>
      </c>
      <c r="V214" s="1">
        <f t="shared" si="174"/>
        <v>0</v>
      </c>
      <c r="W214" s="1">
        <f t="shared" si="175"/>
        <v>0</v>
      </c>
      <c r="X214" s="1">
        <f t="shared" si="176"/>
        <v>0</v>
      </c>
      <c r="Y214" s="1">
        <f t="shared" si="177"/>
        <v>0</v>
      </c>
      <c r="Z214" s="1">
        <f t="shared" si="178"/>
        <v>0</v>
      </c>
      <c r="AA214" s="1">
        <f t="shared" si="179"/>
        <v>0</v>
      </c>
      <c r="AB214" s="1">
        <f t="shared" si="180"/>
        <v>0</v>
      </c>
      <c r="AD214" s="1">
        <f t="shared" si="181"/>
        <v>0</v>
      </c>
      <c r="AE214" s="1">
        <f t="shared" si="182"/>
        <v>1</v>
      </c>
      <c r="AF214" s="1">
        <f t="shared" si="167"/>
        <v>0</v>
      </c>
      <c r="AG214" s="1">
        <f t="shared" si="168"/>
        <v>1</v>
      </c>
      <c r="AH214" s="1">
        <f t="shared" si="169"/>
        <v>0</v>
      </c>
      <c r="AI214" s="1">
        <f t="shared" si="170"/>
        <v>1</v>
      </c>
    </row>
    <row r="215" spans="1:35" ht="14.25" customHeight="1" x14ac:dyDescent="0.25">
      <c r="A215" s="31">
        <v>0</v>
      </c>
      <c r="B215" s="31">
        <v>1</v>
      </c>
      <c r="C215" s="31">
        <v>5</v>
      </c>
      <c r="D215" s="32" t="s">
        <v>502</v>
      </c>
      <c r="E215" s="32" t="s">
        <v>166</v>
      </c>
      <c r="F215" s="32" t="s">
        <v>503</v>
      </c>
      <c r="G215" s="32" t="s">
        <v>504</v>
      </c>
      <c r="H215" s="32" t="s">
        <v>354</v>
      </c>
      <c r="I215" s="31" t="s">
        <v>505</v>
      </c>
      <c r="J215" s="31">
        <v>99</v>
      </c>
      <c r="K215" s="33" t="s">
        <v>957</v>
      </c>
      <c r="L215" s="33" t="s">
        <v>694</v>
      </c>
      <c r="M215" s="34" t="s">
        <v>691</v>
      </c>
      <c r="N215" s="34" t="s">
        <v>1727</v>
      </c>
      <c r="O215" s="35">
        <v>1</v>
      </c>
      <c r="P215" s="35">
        <v>1</v>
      </c>
      <c r="Q215" s="32"/>
      <c r="S215" s="1">
        <f t="shared" si="171"/>
        <v>0</v>
      </c>
      <c r="T215" s="1">
        <f t="shared" si="172"/>
        <v>0</v>
      </c>
      <c r="U215" s="1">
        <f t="shared" si="173"/>
        <v>0</v>
      </c>
      <c r="V215" s="1">
        <f t="shared" si="174"/>
        <v>0</v>
      </c>
      <c r="W215" s="1">
        <f t="shared" si="175"/>
        <v>0</v>
      </c>
      <c r="X215" s="1">
        <f t="shared" si="176"/>
        <v>0</v>
      </c>
      <c r="Y215" s="1">
        <f t="shared" si="177"/>
        <v>0</v>
      </c>
      <c r="Z215" s="1">
        <f t="shared" si="178"/>
        <v>0</v>
      </c>
      <c r="AA215" s="1">
        <f t="shared" si="179"/>
        <v>0</v>
      </c>
      <c r="AB215" s="1">
        <f t="shared" si="180"/>
        <v>0</v>
      </c>
      <c r="AD215" s="1">
        <f t="shared" si="181"/>
        <v>1</v>
      </c>
      <c r="AE215" s="1">
        <f t="shared" si="182"/>
        <v>0</v>
      </c>
      <c r="AF215" s="1">
        <f t="shared" si="167"/>
        <v>1</v>
      </c>
      <c r="AG215" s="1">
        <f t="shared" si="168"/>
        <v>0</v>
      </c>
      <c r="AH215" s="1">
        <f t="shared" si="169"/>
        <v>1</v>
      </c>
      <c r="AI215" s="1">
        <f t="shared" si="170"/>
        <v>0</v>
      </c>
    </row>
    <row r="216" spans="1:35" ht="14.25" customHeight="1" x14ac:dyDescent="0.25">
      <c r="A216" s="31">
        <v>0</v>
      </c>
      <c r="B216" s="31">
        <v>1</v>
      </c>
      <c r="C216" s="31">
        <v>6</v>
      </c>
      <c r="D216" s="32" t="s">
        <v>1450</v>
      </c>
      <c r="E216" s="32" t="s">
        <v>167</v>
      </c>
      <c r="F216" s="32" t="s">
        <v>1451</v>
      </c>
      <c r="G216" s="32" t="s">
        <v>179</v>
      </c>
      <c r="H216" s="32" t="s">
        <v>354</v>
      </c>
      <c r="I216" s="31" t="s">
        <v>1452</v>
      </c>
      <c r="J216" s="31">
        <v>99</v>
      </c>
      <c r="K216" s="33" t="s">
        <v>956</v>
      </c>
      <c r="L216" s="33" t="s">
        <v>696</v>
      </c>
      <c r="M216" s="34" t="s">
        <v>1453</v>
      </c>
      <c r="N216" s="34" t="s">
        <v>1749</v>
      </c>
      <c r="O216" s="35">
        <v>1</v>
      </c>
      <c r="P216" s="35"/>
      <c r="Q216" s="36"/>
      <c r="S216" s="1">
        <f t="shared" si="171"/>
        <v>0</v>
      </c>
      <c r="T216" s="1">
        <f t="shared" si="172"/>
        <v>0</v>
      </c>
      <c r="U216" s="1">
        <f t="shared" si="173"/>
        <v>0</v>
      </c>
      <c r="V216" s="1">
        <f t="shared" si="174"/>
        <v>0</v>
      </c>
      <c r="W216" s="1">
        <f t="shared" si="175"/>
        <v>0</v>
      </c>
      <c r="X216" s="1">
        <f t="shared" si="176"/>
        <v>0</v>
      </c>
      <c r="Y216" s="1">
        <f t="shared" si="177"/>
        <v>0</v>
      </c>
      <c r="Z216" s="1">
        <f t="shared" si="178"/>
        <v>0</v>
      </c>
      <c r="AA216" s="1">
        <f t="shared" si="179"/>
        <v>0</v>
      </c>
      <c r="AB216" s="1">
        <f t="shared" si="180"/>
        <v>0</v>
      </c>
      <c r="AD216" s="1">
        <f t="shared" si="181"/>
        <v>0</v>
      </c>
      <c r="AE216" s="1">
        <f t="shared" si="182"/>
        <v>1</v>
      </c>
      <c r="AF216" s="1">
        <f t="shared" si="167"/>
        <v>0</v>
      </c>
      <c r="AG216" s="1">
        <f t="shared" si="168"/>
        <v>1</v>
      </c>
      <c r="AH216" s="1">
        <f t="shared" si="169"/>
        <v>0</v>
      </c>
      <c r="AI216" s="1">
        <f t="shared" si="170"/>
        <v>1</v>
      </c>
    </row>
    <row r="217" spans="1:35" ht="14.25" customHeight="1" x14ac:dyDescent="0.25">
      <c r="A217" s="31">
        <v>0</v>
      </c>
      <c r="B217" s="31">
        <v>1</v>
      </c>
      <c r="C217" s="31">
        <v>6</v>
      </c>
      <c r="D217" s="32" t="s">
        <v>1186</v>
      </c>
      <c r="E217" s="32" t="s">
        <v>1189</v>
      </c>
      <c r="F217" s="32" t="s">
        <v>1187</v>
      </c>
      <c r="G217" s="32" t="s">
        <v>39</v>
      </c>
      <c r="H217" s="32" t="s">
        <v>354</v>
      </c>
      <c r="I217" s="31" t="s">
        <v>1188</v>
      </c>
      <c r="J217" s="31">
        <v>99</v>
      </c>
      <c r="K217" s="33" t="s">
        <v>962</v>
      </c>
      <c r="L217" s="33" t="s">
        <v>39</v>
      </c>
      <c r="M217" s="34" t="s">
        <v>39</v>
      </c>
      <c r="N217" s="34" t="s">
        <v>1733</v>
      </c>
      <c r="O217" s="35">
        <v>1</v>
      </c>
      <c r="P217" s="35">
        <v>1</v>
      </c>
      <c r="Q217" s="36" t="s">
        <v>1908</v>
      </c>
      <c r="S217" s="1">
        <f t="shared" si="171"/>
        <v>0</v>
      </c>
      <c r="T217" s="1">
        <f t="shared" si="172"/>
        <v>0</v>
      </c>
      <c r="U217" s="1">
        <f t="shared" si="173"/>
        <v>0</v>
      </c>
      <c r="V217" s="1">
        <f t="shared" si="174"/>
        <v>0</v>
      </c>
      <c r="W217" s="1">
        <f t="shared" si="175"/>
        <v>0</v>
      </c>
      <c r="X217" s="1">
        <f t="shared" si="176"/>
        <v>0</v>
      </c>
      <c r="Y217" s="1">
        <f t="shared" si="177"/>
        <v>0</v>
      </c>
      <c r="Z217" s="1">
        <f t="shared" si="178"/>
        <v>0</v>
      </c>
      <c r="AA217" s="1">
        <f t="shared" si="179"/>
        <v>0</v>
      </c>
      <c r="AB217" s="1">
        <f t="shared" si="180"/>
        <v>0</v>
      </c>
      <c r="AD217" s="1">
        <f t="shared" si="181"/>
        <v>1</v>
      </c>
      <c r="AE217" s="1">
        <f t="shared" si="182"/>
        <v>0</v>
      </c>
      <c r="AF217" s="1">
        <f t="shared" si="167"/>
        <v>1</v>
      </c>
      <c r="AG217" s="1">
        <f t="shared" si="168"/>
        <v>0</v>
      </c>
      <c r="AH217" s="1">
        <f t="shared" si="169"/>
        <v>1</v>
      </c>
      <c r="AI217" s="1">
        <f t="shared" si="170"/>
        <v>0</v>
      </c>
    </row>
    <row r="218" spans="1:35" ht="14.25" customHeight="1" x14ac:dyDescent="0.25">
      <c r="A218" s="31">
        <v>0</v>
      </c>
      <c r="B218" s="31">
        <v>1</v>
      </c>
      <c r="C218" s="31">
        <v>6</v>
      </c>
      <c r="D218" s="32" t="s">
        <v>1648</v>
      </c>
      <c r="E218" s="32" t="s">
        <v>1656</v>
      </c>
      <c r="F218" s="32" t="s">
        <v>1683</v>
      </c>
      <c r="G218" s="32" t="s">
        <v>1684</v>
      </c>
      <c r="H218" s="32" t="s">
        <v>354</v>
      </c>
      <c r="I218" s="31" t="s">
        <v>1696</v>
      </c>
      <c r="J218" s="31">
        <v>1</v>
      </c>
      <c r="K218" s="33" t="s">
        <v>958</v>
      </c>
      <c r="L218" s="33" t="s">
        <v>39</v>
      </c>
      <c r="M218" s="34" t="s">
        <v>39</v>
      </c>
      <c r="N218" s="34" t="s">
        <v>1727</v>
      </c>
      <c r="O218" s="35">
        <v>1</v>
      </c>
      <c r="P218" s="35">
        <v>1</v>
      </c>
      <c r="Q218" s="32"/>
      <c r="S218" s="1">
        <f t="shared" si="171"/>
        <v>1</v>
      </c>
      <c r="T218" s="1">
        <f t="shared" si="172"/>
        <v>0</v>
      </c>
      <c r="U218" s="1">
        <f t="shared" si="173"/>
        <v>0</v>
      </c>
      <c r="V218" s="1">
        <f t="shared" si="174"/>
        <v>0</v>
      </c>
      <c r="W218" s="1">
        <f t="shared" si="175"/>
        <v>0</v>
      </c>
      <c r="X218" s="1">
        <f t="shared" si="176"/>
        <v>0</v>
      </c>
      <c r="Y218" s="1">
        <f t="shared" si="177"/>
        <v>0</v>
      </c>
      <c r="Z218" s="1">
        <f t="shared" si="178"/>
        <v>0</v>
      </c>
      <c r="AA218" s="1">
        <f t="shared" si="179"/>
        <v>0</v>
      </c>
      <c r="AB218" s="1">
        <f t="shared" si="180"/>
        <v>0</v>
      </c>
      <c r="AD218" s="1">
        <f t="shared" si="181"/>
        <v>1</v>
      </c>
      <c r="AE218" s="1">
        <f t="shared" si="182"/>
        <v>0</v>
      </c>
      <c r="AF218" s="1">
        <f t="shared" si="167"/>
        <v>1</v>
      </c>
      <c r="AG218" s="1">
        <f t="shared" si="168"/>
        <v>0</v>
      </c>
      <c r="AH218" s="1">
        <f t="shared" si="169"/>
        <v>1</v>
      </c>
      <c r="AI218" s="1">
        <f t="shared" si="170"/>
        <v>0</v>
      </c>
    </row>
    <row r="219" spans="1:35" ht="14.25" customHeight="1" x14ac:dyDescent="0.25">
      <c r="A219" s="31">
        <v>0</v>
      </c>
      <c r="B219" s="31">
        <v>1</v>
      </c>
      <c r="C219" s="31">
        <v>6</v>
      </c>
      <c r="D219" s="32" t="s">
        <v>90</v>
      </c>
      <c r="E219" s="32" t="s">
        <v>168</v>
      </c>
      <c r="F219" s="32" t="s">
        <v>284</v>
      </c>
      <c r="G219" s="32" t="s">
        <v>230</v>
      </c>
      <c r="H219" s="32" t="s">
        <v>354</v>
      </c>
      <c r="I219" s="31" t="s">
        <v>438</v>
      </c>
      <c r="J219" s="31">
        <v>7</v>
      </c>
      <c r="K219" s="33" t="s">
        <v>722</v>
      </c>
      <c r="L219" s="33">
        <v>40</v>
      </c>
      <c r="M219" s="34" t="s">
        <v>39</v>
      </c>
      <c r="N219" s="34" t="s">
        <v>1748</v>
      </c>
      <c r="O219" s="35">
        <v>1</v>
      </c>
      <c r="P219" s="35"/>
      <c r="Q219" s="32"/>
      <c r="S219" s="1">
        <f t="shared" si="171"/>
        <v>0</v>
      </c>
      <c r="T219" s="1">
        <f t="shared" si="172"/>
        <v>0</v>
      </c>
      <c r="U219" s="1">
        <f t="shared" si="173"/>
        <v>0</v>
      </c>
      <c r="V219" s="1">
        <f t="shared" si="174"/>
        <v>0</v>
      </c>
      <c r="W219" s="1">
        <f t="shared" si="175"/>
        <v>0</v>
      </c>
      <c r="X219" s="1">
        <f t="shared" si="176"/>
        <v>0</v>
      </c>
      <c r="Y219" s="1">
        <f t="shared" si="177"/>
        <v>1</v>
      </c>
      <c r="Z219" s="1">
        <f t="shared" si="178"/>
        <v>0</v>
      </c>
      <c r="AA219" s="1">
        <f t="shared" si="179"/>
        <v>0</v>
      </c>
      <c r="AB219" s="1">
        <f t="shared" si="180"/>
        <v>0</v>
      </c>
      <c r="AD219" s="1">
        <f t="shared" si="181"/>
        <v>0</v>
      </c>
      <c r="AE219" s="1">
        <f t="shared" si="182"/>
        <v>1</v>
      </c>
      <c r="AF219" s="1">
        <f t="shared" si="167"/>
        <v>0</v>
      </c>
      <c r="AG219" s="1">
        <f t="shared" si="168"/>
        <v>1</v>
      </c>
      <c r="AH219" s="1">
        <f t="shared" si="169"/>
        <v>0</v>
      </c>
      <c r="AI219" s="1">
        <f t="shared" si="170"/>
        <v>1</v>
      </c>
    </row>
    <row r="220" spans="1:35" ht="14.25" customHeight="1" x14ac:dyDescent="0.25">
      <c r="A220" s="31">
        <v>0</v>
      </c>
      <c r="B220" s="31">
        <v>1</v>
      </c>
      <c r="C220" s="31">
        <v>6</v>
      </c>
      <c r="D220" s="32" t="s">
        <v>91</v>
      </c>
      <c r="E220" s="32" t="s">
        <v>165</v>
      </c>
      <c r="F220" s="36" t="s">
        <v>1871</v>
      </c>
      <c r="G220" s="32" t="s">
        <v>240</v>
      </c>
      <c r="H220" s="32" t="s">
        <v>354</v>
      </c>
      <c r="I220" s="31" t="s">
        <v>439</v>
      </c>
      <c r="J220" s="31">
        <v>1</v>
      </c>
      <c r="K220" s="33" t="s">
        <v>964</v>
      </c>
      <c r="L220" s="33" t="s">
        <v>39</v>
      </c>
      <c r="M220" s="34" t="s">
        <v>39</v>
      </c>
      <c r="N220" s="34" t="s">
        <v>1727</v>
      </c>
      <c r="O220" s="35">
        <v>1</v>
      </c>
      <c r="P220" s="35">
        <v>1</v>
      </c>
      <c r="Q220" s="32"/>
      <c r="S220" s="1">
        <f t="shared" si="171"/>
        <v>1</v>
      </c>
      <c r="T220" s="1">
        <f t="shared" si="172"/>
        <v>0</v>
      </c>
      <c r="U220" s="1">
        <f t="shared" si="173"/>
        <v>0</v>
      </c>
      <c r="V220" s="1">
        <f t="shared" si="174"/>
        <v>0</v>
      </c>
      <c r="W220" s="1">
        <f t="shared" si="175"/>
        <v>0</v>
      </c>
      <c r="X220" s="1">
        <f t="shared" si="176"/>
        <v>0</v>
      </c>
      <c r="Y220" s="1">
        <f t="shared" si="177"/>
        <v>0</v>
      </c>
      <c r="Z220" s="1">
        <f t="shared" si="178"/>
        <v>0</v>
      </c>
      <c r="AA220" s="1">
        <f t="shared" si="179"/>
        <v>0</v>
      </c>
      <c r="AB220" s="1">
        <f t="shared" si="180"/>
        <v>0</v>
      </c>
      <c r="AD220" s="1">
        <f t="shared" si="181"/>
        <v>1</v>
      </c>
      <c r="AE220" s="1">
        <f t="shared" si="182"/>
        <v>0</v>
      </c>
      <c r="AF220" s="1">
        <f t="shared" si="167"/>
        <v>1</v>
      </c>
      <c r="AG220" s="1">
        <f t="shared" si="168"/>
        <v>0</v>
      </c>
      <c r="AH220" s="1">
        <f t="shared" si="169"/>
        <v>1</v>
      </c>
      <c r="AI220" s="1">
        <f t="shared" si="170"/>
        <v>0</v>
      </c>
    </row>
    <row r="221" spans="1:35" ht="14.25" customHeight="1" x14ac:dyDescent="0.25">
      <c r="A221" s="31">
        <v>0</v>
      </c>
      <c r="B221" s="31">
        <v>1</v>
      </c>
      <c r="C221" s="31">
        <v>6</v>
      </c>
      <c r="D221" s="32" t="s">
        <v>92</v>
      </c>
      <c r="E221" s="32" t="s">
        <v>167</v>
      </c>
      <c r="F221" s="32" t="s">
        <v>286</v>
      </c>
      <c r="G221" s="32" t="s">
        <v>200</v>
      </c>
      <c r="H221" s="32" t="s">
        <v>354</v>
      </c>
      <c r="I221" s="31" t="s">
        <v>440</v>
      </c>
      <c r="J221" s="31">
        <v>2</v>
      </c>
      <c r="K221" s="33" t="s">
        <v>962</v>
      </c>
      <c r="L221" s="33" t="s">
        <v>39</v>
      </c>
      <c r="M221" s="34" t="s">
        <v>39</v>
      </c>
      <c r="N221" s="34" t="s">
        <v>1727</v>
      </c>
      <c r="O221" s="35">
        <v>1</v>
      </c>
      <c r="P221" s="35">
        <v>1</v>
      </c>
      <c r="Q221" s="32"/>
      <c r="S221" s="1">
        <f t="shared" si="171"/>
        <v>0</v>
      </c>
      <c r="T221" s="1">
        <f t="shared" si="172"/>
        <v>1</v>
      </c>
      <c r="U221" s="1">
        <f t="shared" si="173"/>
        <v>0</v>
      </c>
      <c r="V221" s="1">
        <f t="shared" si="174"/>
        <v>0</v>
      </c>
      <c r="W221" s="1">
        <f t="shared" si="175"/>
        <v>0</v>
      </c>
      <c r="X221" s="1">
        <f t="shared" si="176"/>
        <v>0</v>
      </c>
      <c r="Y221" s="1">
        <f t="shared" si="177"/>
        <v>0</v>
      </c>
      <c r="Z221" s="1">
        <f t="shared" si="178"/>
        <v>0</v>
      </c>
      <c r="AA221" s="1">
        <f t="shared" si="179"/>
        <v>0</v>
      </c>
      <c r="AB221" s="1">
        <f t="shared" si="180"/>
        <v>0</v>
      </c>
      <c r="AD221" s="1">
        <f t="shared" si="181"/>
        <v>1</v>
      </c>
      <c r="AE221" s="1">
        <f t="shared" si="182"/>
        <v>0</v>
      </c>
      <c r="AF221" s="1">
        <f t="shared" si="167"/>
        <v>1</v>
      </c>
      <c r="AG221" s="1">
        <f t="shared" si="168"/>
        <v>0</v>
      </c>
      <c r="AH221" s="1">
        <f t="shared" si="169"/>
        <v>1</v>
      </c>
      <c r="AI221" s="1">
        <f t="shared" si="170"/>
        <v>0</v>
      </c>
    </row>
    <row r="222" spans="1:35" ht="14.25" customHeight="1" x14ac:dyDescent="0.25">
      <c r="A222" s="31">
        <v>0</v>
      </c>
      <c r="B222" s="31">
        <v>1</v>
      </c>
      <c r="C222" s="31">
        <v>6</v>
      </c>
      <c r="D222" s="32" t="s">
        <v>1276</v>
      </c>
      <c r="E222" s="32" t="s">
        <v>167</v>
      </c>
      <c r="F222" s="32" t="s">
        <v>1148</v>
      </c>
      <c r="G222" s="32" t="s">
        <v>1342</v>
      </c>
      <c r="H222" s="32" t="s">
        <v>354</v>
      </c>
      <c r="I222" s="31" t="s">
        <v>1149</v>
      </c>
      <c r="J222" s="31">
        <v>99</v>
      </c>
      <c r="K222" s="33" t="s">
        <v>702</v>
      </c>
      <c r="L222" s="33">
        <v>45</v>
      </c>
      <c r="M222" s="34" t="s">
        <v>39</v>
      </c>
      <c r="N222" s="34" t="s">
        <v>1743</v>
      </c>
      <c r="O222" s="35">
        <v>1</v>
      </c>
      <c r="P222" s="35"/>
      <c r="Q222" s="32"/>
      <c r="S222" s="1">
        <f t="shared" si="171"/>
        <v>0</v>
      </c>
      <c r="T222" s="1">
        <f t="shared" si="172"/>
        <v>0</v>
      </c>
      <c r="U222" s="1">
        <f t="shared" si="173"/>
        <v>0</v>
      </c>
      <c r="V222" s="1">
        <f t="shared" si="174"/>
        <v>0</v>
      </c>
      <c r="W222" s="1">
        <f t="shared" si="175"/>
        <v>0</v>
      </c>
      <c r="X222" s="1">
        <f t="shared" si="176"/>
        <v>0</v>
      </c>
      <c r="Y222" s="1">
        <f t="shared" si="177"/>
        <v>0</v>
      </c>
      <c r="Z222" s="1">
        <f t="shared" si="178"/>
        <v>0</v>
      </c>
      <c r="AA222" s="1">
        <f t="shared" si="179"/>
        <v>0</v>
      </c>
      <c r="AB222" s="1">
        <f t="shared" si="180"/>
        <v>0</v>
      </c>
      <c r="AD222" s="1">
        <f t="shared" si="181"/>
        <v>0</v>
      </c>
      <c r="AE222" s="1">
        <f t="shared" si="182"/>
        <v>1</v>
      </c>
      <c r="AF222" s="1">
        <f t="shared" si="167"/>
        <v>0</v>
      </c>
      <c r="AG222" s="1">
        <f t="shared" si="168"/>
        <v>1</v>
      </c>
      <c r="AH222" s="1">
        <f t="shared" si="169"/>
        <v>0</v>
      </c>
      <c r="AI222" s="1">
        <f t="shared" si="170"/>
        <v>1</v>
      </c>
    </row>
    <row r="223" spans="1:35" ht="14.25" customHeight="1" x14ac:dyDescent="0.25">
      <c r="A223" s="31">
        <v>0</v>
      </c>
      <c r="B223" s="31">
        <v>1</v>
      </c>
      <c r="C223" s="31">
        <v>6</v>
      </c>
      <c r="D223" s="32" t="s">
        <v>1791</v>
      </c>
      <c r="E223" s="32" t="s">
        <v>167</v>
      </c>
      <c r="F223" s="32" t="s">
        <v>1766</v>
      </c>
      <c r="G223" s="32"/>
      <c r="H223" s="32" t="s">
        <v>354</v>
      </c>
      <c r="I223" s="31" t="s">
        <v>1767</v>
      </c>
      <c r="J223" s="31"/>
      <c r="K223" s="33" t="s">
        <v>703</v>
      </c>
      <c r="L223" s="33"/>
      <c r="M223" s="34"/>
      <c r="N223" s="34" t="s">
        <v>1727</v>
      </c>
      <c r="O223" s="35">
        <v>1</v>
      </c>
      <c r="P223" s="35">
        <v>1</v>
      </c>
      <c r="Q223" s="32"/>
      <c r="S223" s="1">
        <f t="shared" si="171"/>
        <v>0</v>
      </c>
      <c r="T223" s="1">
        <f t="shared" si="172"/>
        <v>0</v>
      </c>
      <c r="U223" s="1">
        <f t="shared" si="173"/>
        <v>0</v>
      </c>
      <c r="V223" s="1">
        <f t="shared" si="174"/>
        <v>0</v>
      </c>
      <c r="W223" s="1">
        <f t="shared" si="175"/>
        <v>0</v>
      </c>
      <c r="X223" s="1">
        <f t="shared" si="176"/>
        <v>0</v>
      </c>
      <c r="Y223" s="1">
        <f t="shared" si="177"/>
        <v>0</v>
      </c>
      <c r="Z223" s="1">
        <f t="shared" si="178"/>
        <v>0</v>
      </c>
      <c r="AA223" s="1">
        <f t="shared" si="179"/>
        <v>0</v>
      </c>
      <c r="AB223" s="1">
        <f t="shared" si="180"/>
        <v>0</v>
      </c>
      <c r="AD223" s="1">
        <f t="shared" si="181"/>
        <v>1</v>
      </c>
      <c r="AE223" s="1">
        <f t="shared" si="182"/>
        <v>0</v>
      </c>
      <c r="AF223" s="1">
        <f t="shared" si="167"/>
        <v>1</v>
      </c>
      <c r="AG223" s="1">
        <f t="shared" si="168"/>
        <v>0</v>
      </c>
      <c r="AH223" s="1">
        <f t="shared" si="169"/>
        <v>1</v>
      </c>
      <c r="AI223" s="1">
        <f t="shared" si="170"/>
        <v>0</v>
      </c>
    </row>
    <row r="224" spans="1:35" ht="14.25" customHeight="1" x14ac:dyDescent="0.25">
      <c r="A224" s="31">
        <v>0</v>
      </c>
      <c r="B224" s="31">
        <v>1</v>
      </c>
      <c r="C224" s="31">
        <v>6</v>
      </c>
      <c r="D224" s="32" t="s">
        <v>1790</v>
      </c>
      <c r="E224" s="32" t="s">
        <v>167</v>
      </c>
      <c r="F224" s="32" t="s">
        <v>1768</v>
      </c>
      <c r="G224" s="32"/>
      <c r="H224" s="32" t="s">
        <v>354</v>
      </c>
      <c r="I224" s="31" t="s">
        <v>1769</v>
      </c>
      <c r="J224" s="31"/>
      <c r="K224" s="33" t="s">
        <v>703</v>
      </c>
      <c r="L224" s="33">
        <v>30</v>
      </c>
      <c r="M224" s="34" t="s">
        <v>1770</v>
      </c>
      <c r="N224" s="34" t="s">
        <v>1748</v>
      </c>
      <c r="O224" s="35">
        <v>1</v>
      </c>
      <c r="P224" s="35"/>
      <c r="Q224" s="32"/>
      <c r="S224" s="1">
        <f t="shared" si="171"/>
        <v>0</v>
      </c>
      <c r="T224" s="1">
        <f t="shared" si="172"/>
        <v>0</v>
      </c>
      <c r="U224" s="1">
        <f t="shared" si="173"/>
        <v>0</v>
      </c>
      <c r="V224" s="1">
        <f t="shared" si="174"/>
        <v>0</v>
      </c>
      <c r="W224" s="1">
        <f t="shared" si="175"/>
        <v>0</v>
      </c>
      <c r="X224" s="1">
        <f t="shared" si="176"/>
        <v>0</v>
      </c>
      <c r="Y224" s="1">
        <f t="shared" si="177"/>
        <v>0</v>
      </c>
      <c r="Z224" s="1">
        <f t="shared" si="178"/>
        <v>0</v>
      </c>
      <c r="AA224" s="1">
        <f t="shared" si="179"/>
        <v>0</v>
      </c>
      <c r="AB224" s="1">
        <f t="shared" si="180"/>
        <v>0</v>
      </c>
      <c r="AD224" s="1">
        <f t="shared" si="181"/>
        <v>0</v>
      </c>
      <c r="AE224" s="1">
        <f t="shared" si="182"/>
        <v>1</v>
      </c>
      <c r="AF224" s="1">
        <f t="shared" si="167"/>
        <v>0</v>
      </c>
      <c r="AG224" s="1">
        <f t="shared" si="168"/>
        <v>1</v>
      </c>
      <c r="AH224" s="1">
        <f t="shared" si="169"/>
        <v>0</v>
      </c>
      <c r="AI224" s="1">
        <f t="shared" si="170"/>
        <v>1</v>
      </c>
    </row>
    <row r="225" spans="1:4094 4097:8191 8194:12288 12291:16384" ht="14.25" customHeight="1" x14ac:dyDescent="0.25">
      <c r="A225" s="31">
        <v>0</v>
      </c>
      <c r="B225" s="31">
        <v>1</v>
      </c>
      <c r="C225" s="31">
        <v>6</v>
      </c>
      <c r="D225" s="32" t="s">
        <v>1014</v>
      </c>
      <c r="E225" s="32" t="s">
        <v>167</v>
      </c>
      <c r="F225" s="32" t="s">
        <v>1015</v>
      </c>
      <c r="G225" s="32" t="s">
        <v>1103</v>
      </c>
      <c r="H225" s="32" t="s">
        <v>354</v>
      </c>
      <c r="I225" s="31" t="s">
        <v>1016</v>
      </c>
      <c r="J225" s="31">
        <v>99</v>
      </c>
      <c r="K225" s="33" t="s">
        <v>964</v>
      </c>
      <c r="L225" s="33" t="s">
        <v>39</v>
      </c>
      <c r="M225" s="34" t="s">
        <v>39</v>
      </c>
      <c r="N225" s="34" t="s">
        <v>1727</v>
      </c>
      <c r="O225" s="35">
        <v>1</v>
      </c>
      <c r="P225" s="35">
        <v>1</v>
      </c>
      <c r="Q225" s="32"/>
      <c r="S225" s="1">
        <f t="shared" si="171"/>
        <v>0</v>
      </c>
      <c r="T225" s="1">
        <f t="shared" si="172"/>
        <v>0</v>
      </c>
      <c r="U225" s="1">
        <f t="shared" si="173"/>
        <v>0</v>
      </c>
      <c r="V225" s="1">
        <f t="shared" si="174"/>
        <v>0</v>
      </c>
      <c r="W225" s="1">
        <f t="shared" si="175"/>
        <v>0</v>
      </c>
      <c r="X225" s="1">
        <f t="shared" si="176"/>
        <v>0</v>
      </c>
      <c r="Y225" s="1">
        <f t="shared" si="177"/>
        <v>0</v>
      </c>
      <c r="Z225" s="1">
        <f t="shared" si="178"/>
        <v>0</v>
      </c>
      <c r="AA225" s="1">
        <f t="shared" si="179"/>
        <v>0</v>
      </c>
      <c r="AB225" s="1">
        <f t="shared" si="180"/>
        <v>0</v>
      </c>
      <c r="AD225" s="1">
        <f t="shared" si="181"/>
        <v>1</v>
      </c>
      <c r="AE225" s="1">
        <f t="shared" si="182"/>
        <v>0</v>
      </c>
      <c r="AF225" s="1">
        <f t="shared" si="167"/>
        <v>1</v>
      </c>
      <c r="AG225" s="1">
        <f t="shared" si="168"/>
        <v>0</v>
      </c>
      <c r="AH225" s="1">
        <f t="shared" si="169"/>
        <v>1</v>
      </c>
      <c r="AI225" s="1">
        <f t="shared" si="170"/>
        <v>0</v>
      </c>
    </row>
    <row r="226" spans="1:4094 4097:8191 8194:12288 12291:16384" ht="14.25" customHeight="1" x14ac:dyDescent="0.25">
      <c r="A226" s="31">
        <v>0</v>
      </c>
      <c r="B226" s="31">
        <v>1</v>
      </c>
      <c r="C226" s="31">
        <v>6</v>
      </c>
      <c r="D226" s="32" t="s">
        <v>94</v>
      </c>
      <c r="E226" s="32" t="s">
        <v>169</v>
      </c>
      <c r="F226" s="32" t="s">
        <v>289</v>
      </c>
      <c r="G226" s="32" t="s">
        <v>194</v>
      </c>
      <c r="H226" s="32" t="s">
        <v>354</v>
      </c>
      <c r="I226" s="31" t="s">
        <v>442</v>
      </c>
      <c r="J226" s="31">
        <v>9</v>
      </c>
      <c r="K226" s="33" t="s">
        <v>702</v>
      </c>
      <c r="L226" s="33" t="s">
        <v>694</v>
      </c>
      <c r="M226" s="34" t="s">
        <v>706</v>
      </c>
      <c r="N226" s="34" t="s">
        <v>1748</v>
      </c>
      <c r="O226" s="35">
        <v>1</v>
      </c>
      <c r="P226" s="35"/>
      <c r="Q226" s="32"/>
      <c r="S226" s="1">
        <f t="shared" si="171"/>
        <v>0</v>
      </c>
      <c r="T226" s="1">
        <f t="shared" si="172"/>
        <v>0</v>
      </c>
      <c r="U226" s="1">
        <f t="shared" si="173"/>
        <v>0</v>
      </c>
      <c r="V226" s="1">
        <f t="shared" si="174"/>
        <v>0</v>
      </c>
      <c r="W226" s="1">
        <f t="shared" si="175"/>
        <v>0</v>
      </c>
      <c r="X226" s="1">
        <f t="shared" si="176"/>
        <v>0</v>
      </c>
      <c r="Y226" s="1">
        <f t="shared" si="177"/>
        <v>0</v>
      </c>
      <c r="Z226" s="1">
        <f t="shared" si="178"/>
        <v>0</v>
      </c>
      <c r="AA226" s="1">
        <f t="shared" si="179"/>
        <v>1</v>
      </c>
      <c r="AB226" s="1">
        <f t="shared" si="180"/>
        <v>0</v>
      </c>
      <c r="AD226" s="1">
        <f t="shared" si="181"/>
        <v>0</v>
      </c>
      <c r="AE226" s="1">
        <f t="shared" si="182"/>
        <v>1</v>
      </c>
      <c r="AF226" s="1">
        <f t="shared" si="167"/>
        <v>0</v>
      </c>
      <c r="AG226" s="1">
        <f t="shared" si="168"/>
        <v>1</v>
      </c>
      <c r="AH226" s="1">
        <f t="shared" si="169"/>
        <v>0</v>
      </c>
      <c r="AI226" s="1">
        <f t="shared" si="170"/>
        <v>1</v>
      </c>
    </row>
    <row r="227" spans="1:4094 4097:8191 8194:12288 12291:16384" ht="14.25" customHeight="1" x14ac:dyDescent="0.25">
      <c r="A227" s="38">
        <v>0</v>
      </c>
      <c r="B227" s="38">
        <v>1</v>
      </c>
      <c r="C227" s="38">
        <v>6</v>
      </c>
      <c r="D227" s="54" t="s">
        <v>1609</v>
      </c>
      <c r="E227" s="39" t="s">
        <v>1610</v>
      </c>
      <c r="F227" s="39" t="s">
        <v>1611</v>
      </c>
      <c r="G227" s="39" t="s">
        <v>192</v>
      </c>
      <c r="H227" s="39" t="s">
        <v>354</v>
      </c>
      <c r="I227" s="38" t="s">
        <v>1612</v>
      </c>
      <c r="J227" s="38">
        <v>10</v>
      </c>
      <c r="K227" s="40" t="s">
        <v>956</v>
      </c>
      <c r="L227" s="40" t="s">
        <v>687</v>
      </c>
      <c r="M227" s="41" t="s">
        <v>1613</v>
      </c>
      <c r="N227" s="42"/>
      <c r="O227" s="43"/>
      <c r="P227" s="43">
        <v>1</v>
      </c>
      <c r="Q227" s="39"/>
      <c r="S227" s="1">
        <f t="shared" si="171"/>
        <v>0</v>
      </c>
      <c r="T227" s="1">
        <f t="shared" si="172"/>
        <v>0</v>
      </c>
      <c r="U227" s="1">
        <f t="shared" si="173"/>
        <v>0</v>
      </c>
      <c r="V227" s="1">
        <f t="shared" si="174"/>
        <v>0</v>
      </c>
      <c r="W227" s="1">
        <f t="shared" si="175"/>
        <v>0</v>
      </c>
      <c r="X227" s="1">
        <f t="shared" si="176"/>
        <v>0</v>
      </c>
      <c r="Y227" s="1">
        <f t="shared" si="177"/>
        <v>0</v>
      </c>
      <c r="Z227" s="1">
        <f t="shared" si="178"/>
        <v>0</v>
      </c>
      <c r="AA227" s="1">
        <f t="shared" si="179"/>
        <v>0</v>
      </c>
      <c r="AB227" s="1">
        <f t="shared" si="180"/>
        <v>1</v>
      </c>
      <c r="AD227" s="1">
        <f t="shared" si="181"/>
        <v>0</v>
      </c>
      <c r="AE227" s="1">
        <f t="shared" si="182"/>
        <v>0</v>
      </c>
      <c r="AF227" s="1">
        <f t="shared" si="167"/>
        <v>0</v>
      </c>
      <c r="AG227" s="1">
        <f t="shared" si="168"/>
        <v>0</v>
      </c>
      <c r="AH227" s="1">
        <f t="shared" si="169"/>
        <v>1</v>
      </c>
      <c r="AI227" s="1">
        <f t="shared" si="170"/>
        <v>0</v>
      </c>
    </row>
    <row r="228" spans="1:4094 4097:8191 8194:12288 12291:16384" ht="14.25" customHeight="1" x14ac:dyDescent="0.25">
      <c r="A228" s="44">
        <v>0</v>
      </c>
      <c r="B228" s="44">
        <v>1</v>
      </c>
      <c r="C228" s="44">
        <v>6</v>
      </c>
      <c r="D228" s="45" t="s">
        <v>95</v>
      </c>
      <c r="E228" s="45" t="s">
        <v>165</v>
      </c>
      <c r="F228" s="45" t="s">
        <v>290</v>
      </c>
      <c r="G228" s="45" t="s">
        <v>291</v>
      </c>
      <c r="H228" s="45" t="s">
        <v>354</v>
      </c>
      <c r="I228" s="44" t="s">
        <v>443</v>
      </c>
      <c r="J228" s="44">
        <v>7</v>
      </c>
      <c r="K228" s="46" t="s">
        <v>702</v>
      </c>
      <c r="L228" s="46" t="s">
        <v>694</v>
      </c>
      <c r="M228" s="47" t="s">
        <v>698</v>
      </c>
      <c r="N228" s="47" t="s">
        <v>1734</v>
      </c>
      <c r="O228" s="48"/>
      <c r="P228" s="48"/>
      <c r="Q228" s="45"/>
      <c r="S228" s="1">
        <f t="shared" si="171"/>
        <v>0</v>
      </c>
      <c r="T228" s="1">
        <f t="shared" si="172"/>
        <v>0</v>
      </c>
      <c r="U228" s="1">
        <f t="shared" si="173"/>
        <v>0</v>
      </c>
      <c r="V228" s="1">
        <f t="shared" si="174"/>
        <v>0</v>
      </c>
      <c r="W228" s="1">
        <f t="shared" si="175"/>
        <v>0</v>
      </c>
      <c r="X228" s="1">
        <f t="shared" si="176"/>
        <v>0</v>
      </c>
      <c r="Y228" s="1">
        <f t="shared" si="177"/>
        <v>1</v>
      </c>
      <c r="Z228" s="1">
        <f t="shared" si="178"/>
        <v>0</v>
      </c>
      <c r="AA228" s="1">
        <f t="shared" si="179"/>
        <v>0</v>
      </c>
      <c r="AB228" s="1">
        <f t="shared" si="180"/>
        <v>0</v>
      </c>
      <c r="AD228" s="1">
        <f t="shared" si="181"/>
        <v>0</v>
      </c>
      <c r="AE228" s="1">
        <f t="shared" si="182"/>
        <v>0</v>
      </c>
      <c r="AF228" s="1">
        <f t="shared" si="167"/>
        <v>0</v>
      </c>
      <c r="AG228" s="1">
        <f t="shared" si="168"/>
        <v>0</v>
      </c>
      <c r="AH228" s="1">
        <f t="shared" si="169"/>
        <v>0</v>
      </c>
      <c r="AI228" s="1">
        <f t="shared" si="170"/>
        <v>1</v>
      </c>
    </row>
    <row r="229" spans="1:4094 4097:8191 8194:12288 12291:16384" ht="14.25" customHeight="1" x14ac:dyDescent="0.25">
      <c r="A229" s="31">
        <v>0</v>
      </c>
      <c r="B229" s="31">
        <v>1</v>
      </c>
      <c r="C229" s="31">
        <v>6</v>
      </c>
      <c r="D229" s="32" t="s">
        <v>1085</v>
      </c>
      <c r="E229" s="32" t="s">
        <v>167</v>
      </c>
      <c r="F229" s="32" t="s">
        <v>660</v>
      </c>
      <c r="G229" s="32" t="s">
        <v>179</v>
      </c>
      <c r="H229" s="32" t="s">
        <v>354</v>
      </c>
      <c r="I229" s="31" t="s">
        <v>381</v>
      </c>
      <c r="J229" s="31">
        <v>10</v>
      </c>
      <c r="K229" s="33" t="s">
        <v>722</v>
      </c>
      <c r="L229" s="33" t="s">
        <v>704</v>
      </c>
      <c r="M229" s="34" t="s">
        <v>707</v>
      </c>
      <c r="N229" s="34" t="s">
        <v>1750</v>
      </c>
      <c r="O229" s="35">
        <v>1</v>
      </c>
      <c r="P229" s="35"/>
      <c r="Q229" s="32"/>
      <c r="S229" s="1">
        <f t="shared" si="171"/>
        <v>0</v>
      </c>
      <c r="T229" s="1">
        <f t="shared" si="172"/>
        <v>0</v>
      </c>
      <c r="U229" s="1">
        <f t="shared" si="173"/>
        <v>0</v>
      </c>
      <c r="V229" s="1">
        <f t="shared" si="174"/>
        <v>0</v>
      </c>
      <c r="W229" s="1">
        <f t="shared" si="175"/>
        <v>0</v>
      </c>
      <c r="X229" s="1">
        <f t="shared" si="176"/>
        <v>0</v>
      </c>
      <c r="Y229" s="1">
        <f t="shared" si="177"/>
        <v>0</v>
      </c>
      <c r="Z229" s="1">
        <f t="shared" si="178"/>
        <v>0</v>
      </c>
      <c r="AA229" s="1">
        <f t="shared" si="179"/>
        <v>0</v>
      </c>
      <c r="AB229" s="1">
        <f t="shared" si="180"/>
        <v>1</v>
      </c>
      <c r="AD229" s="1">
        <f t="shared" si="181"/>
        <v>0</v>
      </c>
      <c r="AE229" s="1">
        <f t="shared" si="182"/>
        <v>1</v>
      </c>
      <c r="AF229" s="1">
        <f t="shared" si="167"/>
        <v>0</v>
      </c>
      <c r="AG229" s="1">
        <f t="shared" si="168"/>
        <v>1</v>
      </c>
      <c r="AH229" s="1">
        <f t="shared" si="169"/>
        <v>0</v>
      </c>
      <c r="AI229" s="1">
        <f t="shared" si="170"/>
        <v>1</v>
      </c>
    </row>
    <row r="230" spans="1:4094 4097:8191 8194:12288 12291:16384" ht="14.25" customHeight="1" x14ac:dyDescent="0.25">
      <c r="A230" s="31">
        <v>0</v>
      </c>
      <c r="B230" s="31">
        <v>1</v>
      </c>
      <c r="C230" s="31">
        <v>6</v>
      </c>
      <c r="D230" s="32" t="s">
        <v>1229</v>
      </c>
      <c r="E230" s="32" t="s">
        <v>165</v>
      </c>
      <c r="F230" s="32" t="s">
        <v>1230</v>
      </c>
      <c r="G230" s="32" t="s">
        <v>1232</v>
      </c>
      <c r="H230" s="32" t="s">
        <v>354</v>
      </c>
      <c r="I230" s="31" t="s">
        <v>1231</v>
      </c>
      <c r="J230" s="31">
        <v>99</v>
      </c>
      <c r="K230" s="33" t="s">
        <v>722</v>
      </c>
      <c r="L230" s="33" t="s">
        <v>693</v>
      </c>
      <c r="M230" s="34" t="s">
        <v>1401</v>
      </c>
      <c r="N230" s="34" t="s">
        <v>1743</v>
      </c>
      <c r="O230" s="35">
        <v>1</v>
      </c>
      <c r="P230" s="35"/>
      <c r="Q230" s="32"/>
      <c r="R230" s="15"/>
      <c r="S230" s="15">
        <f t="shared" si="171"/>
        <v>0</v>
      </c>
      <c r="T230" s="15">
        <f t="shared" si="172"/>
        <v>0</v>
      </c>
      <c r="U230" s="15">
        <f t="shared" si="173"/>
        <v>0</v>
      </c>
      <c r="V230" s="15">
        <f t="shared" si="174"/>
        <v>0</v>
      </c>
      <c r="W230" s="15">
        <f t="shared" si="175"/>
        <v>0</v>
      </c>
      <c r="X230" s="15">
        <f t="shared" si="176"/>
        <v>0</v>
      </c>
      <c r="Y230" s="15">
        <f t="shared" si="177"/>
        <v>0</v>
      </c>
      <c r="Z230" s="15">
        <f t="shared" si="178"/>
        <v>0</v>
      </c>
      <c r="AA230" s="15">
        <f t="shared" si="179"/>
        <v>0</v>
      </c>
      <c r="AB230" s="10">
        <f t="shared" si="180"/>
        <v>0</v>
      </c>
      <c r="AC230" s="10"/>
      <c r="AD230" s="21">
        <f t="shared" si="181"/>
        <v>0</v>
      </c>
      <c r="AE230" s="21">
        <f t="shared" si="182"/>
        <v>1</v>
      </c>
      <c r="AF230" s="1">
        <f t="shared" si="167"/>
        <v>0</v>
      </c>
      <c r="AG230" s="1">
        <f t="shared" si="168"/>
        <v>1</v>
      </c>
      <c r="AH230" s="21">
        <f t="shared" si="169"/>
        <v>0</v>
      </c>
      <c r="AI230" s="15">
        <f t="shared" si="170"/>
        <v>1</v>
      </c>
      <c r="AJ230" s="15"/>
      <c r="AK230" s="15"/>
      <c r="AL230" s="15"/>
      <c r="AM230" s="15"/>
      <c r="AN230" s="15"/>
      <c r="AO230" s="15"/>
      <c r="AP230" s="15"/>
      <c r="AQ230" s="15"/>
      <c r="AR230" s="15"/>
      <c r="AS230" s="10"/>
      <c r="AT230" s="10"/>
      <c r="AU230" s="21"/>
      <c r="AV230" s="21"/>
      <c r="AY230" s="21"/>
      <c r="AZ230" s="15"/>
      <c r="BA230" s="15"/>
      <c r="BB230" s="15"/>
      <c r="BC230" s="15"/>
      <c r="BD230" s="15"/>
      <c r="BE230" s="15"/>
      <c r="BF230" s="15"/>
      <c r="BG230" s="15"/>
      <c r="BH230" s="15"/>
      <c r="BI230" s="15"/>
      <c r="BJ230" s="10"/>
      <c r="BK230" s="10"/>
      <c r="BL230" s="21"/>
      <c r="BM230" s="21"/>
      <c r="BP230" s="21"/>
      <c r="BQ230" s="15"/>
      <c r="BR230" s="15"/>
      <c r="BS230" s="15"/>
      <c r="BT230" s="15"/>
      <c r="BU230" s="15"/>
      <c r="BV230" s="15"/>
      <c r="BW230" s="15"/>
      <c r="BX230" s="15"/>
      <c r="BY230" s="15"/>
      <c r="BZ230" s="15"/>
      <c r="CA230" s="10"/>
      <c r="CB230" s="10"/>
      <c r="CC230" s="21"/>
      <c r="CD230" s="21"/>
      <c r="CG230" s="21"/>
      <c r="CH230" s="15"/>
      <c r="CI230" s="15"/>
      <c r="CJ230" s="15"/>
      <c r="CK230" s="15"/>
      <c r="CL230" s="15"/>
      <c r="CM230" s="15"/>
      <c r="CN230" s="15"/>
      <c r="CO230" s="15"/>
      <c r="CP230" s="15"/>
      <c r="CQ230" s="15"/>
      <c r="CR230" s="10"/>
      <c r="CS230" s="10"/>
      <c r="CT230" s="21"/>
      <c r="CU230" s="21"/>
      <c r="CX230" s="21"/>
      <c r="CY230" s="15"/>
      <c r="CZ230" s="15"/>
      <c r="DA230" s="15"/>
      <c r="DB230" s="15"/>
      <c r="DC230" s="15"/>
      <c r="DD230" s="15"/>
      <c r="DE230" s="15"/>
      <c r="DF230" s="15"/>
      <c r="DG230" s="15"/>
      <c r="DH230" s="15"/>
      <c r="DI230" s="10"/>
      <c r="DJ230" s="10"/>
      <c r="DK230" s="21"/>
      <c r="DL230" s="21"/>
      <c r="DO230" s="21"/>
      <c r="DP230" s="15"/>
      <c r="DQ230" s="15"/>
      <c r="DR230" s="15"/>
      <c r="DS230" s="15"/>
      <c r="DT230" s="15"/>
      <c r="DU230" s="15"/>
      <c r="DV230" s="15"/>
      <c r="DW230" s="15"/>
      <c r="DX230" s="15"/>
      <c r="DY230" s="15"/>
      <c r="DZ230" s="10"/>
      <c r="EA230" s="10"/>
      <c r="EB230" s="21"/>
      <c r="EC230" s="21"/>
      <c r="EF230" s="21"/>
      <c r="EG230" s="15"/>
      <c r="EH230" s="15"/>
      <c r="EI230" s="15"/>
      <c r="EJ230" s="15"/>
      <c r="EK230" s="15"/>
      <c r="EL230" s="15"/>
      <c r="EM230" s="15"/>
      <c r="EN230" s="15"/>
      <c r="EO230" s="15"/>
      <c r="EP230" s="15"/>
      <c r="EQ230" s="10"/>
      <c r="ER230" s="10"/>
      <c r="ES230" s="21"/>
      <c r="ET230" s="21"/>
      <c r="EW230" s="21"/>
      <c r="EX230" s="15"/>
      <c r="EY230" s="15"/>
      <c r="EZ230" s="15"/>
      <c r="FA230" s="15"/>
      <c r="FB230" s="15"/>
      <c r="FC230" s="15"/>
      <c r="FD230" s="15"/>
      <c r="FE230" s="15"/>
      <c r="FF230" s="15"/>
      <c r="FG230" s="15"/>
      <c r="FH230" s="10"/>
      <c r="FI230" s="10"/>
      <c r="FJ230" s="21"/>
      <c r="FK230" s="21"/>
      <c r="FN230" s="21"/>
      <c r="FO230" s="15"/>
      <c r="FP230" s="15"/>
      <c r="FQ230" s="15"/>
      <c r="FR230" s="15"/>
      <c r="FS230" s="15"/>
      <c r="FT230" s="15"/>
      <c r="FU230" s="15"/>
      <c r="FV230" s="15"/>
      <c r="FW230" s="15"/>
      <c r="FX230" s="15"/>
      <c r="FY230" s="10"/>
      <c r="FZ230" s="10"/>
      <c r="GA230" s="21"/>
      <c r="GB230" s="21"/>
      <c r="GE230" s="21"/>
      <c r="GF230" s="15"/>
      <c r="GG230" s="15"/>
      <c r="GH230" s="15"/>
      <c r="GI230" s="15"/>
      <c r="GJ230" s="15"/>
      <c r="GK230" s="15"/>
      <c r="GL230" s="15"/>
      <c r="GM230" s="15"/>
      <c r="GN230" s="15"/>
      <c r="GO230" s="15"/>
      <c r="GP230" s="10"/>
      <c r="GQ230" s="10"/>
      <c r="GR230" s="21"/>
      <c r="GS230" s="21"/>
      <c r="GV230" s="21"/>
      <c r="GW230" s="15"/>
      <c r="GX230" s="15"/>
      <c r="GY230" s="15"/>
      <c r="GZ230" s="15"/>
      <c r="HA230" s="15"/>
      <c r="HB230" s="15"/>
      <c r="HC230" s="15"/>
      <c r="HD230" s="15"/>
      <c r="HE230" s="15"/>
      <c r="HF230" s="15"/>
      <c r="HG230" s="10"/>
      <c r="HH230" s="10"/>
      <c r="HI230" s="21"/>
      <c r="HJ230" s="21"/>
      <c r="HM230" s="21"/>
      <c r="HN230" s="15"/>
      <c r="HO230" s="15"/>
      <c r="HP230" s="15"/>
      <c r="HQ230" s="15"/>
      <c r="HR230" s="15"/>
      <c r="HS230" s="15"/>
      <c r="HT230" s="15"/>
      <c r="HU230" s="15"/>
      <c r="HV230" s="15"/>
      <c r="HW230" s="15"/>
      <c r="HX230" s="10"/>
      <c r="HY230" s="10"/>
      <c r="HZ230" s="21"/>
      <c r="IA230" s="21"/>
      <c r="ID230" s="21"/>
      <c r="IE230" s="15"/>
      <c r="IF230" s="15"/>
      <c r="IG230" s="15"/>
      <c r="IH230" s="15"/>
      <c r="II230" s="15"/>
      <c r="IJ230" s="15"/>
      <c r="IK230" s="15"/>
      <c r="IL230" s="15"/>
      <c r="IM230" s="15"/>
      <c r="IN230" s="15"/>
      <c r="IO230" s="10"/>
      <c r="IP230" s="10"/>
      <c r="IQ230" s="21"/>
      <c r="IR230" s="21"/>
      <c r="IU230" s="21"/>
      <c r="IV230" s="15"/>
      <c r="IW230" s="15"/>
      <c r="IX230" s="15"/>
      <c r="IY230" s="15"/>
      <c r="IZ230" s="15"/>
      <c r="JA230" s="15"/>
      <c r="JB230" s="15"/>
      <c r="JC230" s="15"/>
      <c r="JD230" s="15"/>
      <c r="JE230" s="15"/>
      <c r="JF230" s="10"/>
      <c r="JG230" s="10"/>
      <c r="JH230" s="21"/>
      <c r="JI230" s="21"/>
      <c r="JL230" s="21"/>
      <c r="JM230" s="15"/>
      <c r="JN230" s="15"/>
      <c r="JO230" s="15"/>
      <c r="JP230" s="15"/>
      <c r="JQ230" s="15"/>
      <c r="JR230" s="15"/>
      <c r="JS230" s="15"/>
      <c r="JT230" s="15"/>
      <c r="JU230" s="15"/>
      <c r="JV230" s="15"/>
      <c r="JW230" s="10"/>
      <c r="JX230" s="10"/>
      <c r="JY230" s="21"/>
      <c r="JZ230" s="21"/>
      <c r="KC230" s="21"/>
      <c r="KD230" s="15"/>
      <c r="KE230" s="15"/>
      <c r="KF230" s="15"/>
      <c r="KG230" s="15"/>
      <c r="KH230" s="15"/>
      <c r="KI230" s="15"/>
      <c r="KJ230" s="15"/>
      <c r="KK230" s="15"/>
      <c r="KL230" s="15"/>
      <c r="KM230" s="15"/>
      <c r="KN230" s="10"/>
      <c r="KO230" s="10"/>
      <c r="KP230" s="21"/>
      <c r="KQ230" s="21"/>
      <c r="KT230" s="21"/>
      <c r="KU230" s="15"/>
      <c r="KV230" s="15"/>
      <c r="KW230" s="15"/>
      <c r="KX230" s="15"/>
      <c r="KY230" s="15"/>
      <c r="KZ230" s="15"/>
      <c r="LA230" s="15"/>
      <c r="LB230" s="15"/>
      <c r="LC230" s="15"/>
      <c r="LD230" s="15"/>
      <c r="LE230" s="10"/>
      <c r="LF230" s="10"/>
      <c r="LG230" s="21"/>
      <c r="LH230" s="21"/>
      <c r="LK230" s="21"/>
      <c r="LL230" s="15"/>
      <c r="LM230" s="15"/>
      <c r="LN230" s="15"/>
      <c r="LO230" s="15"/>
      <c r="LP230" s="15"/>
      <c r="LQ230" s="15"/>
      <c r="LR230" s="15"/>
      <c r="LS230" s="15"/>
      <c r="LT230" s="15"/>
      <c r="LU230" s="15"/>
      <c r="LV230" s="10"/>
      <c r="LW230" s="10"/>
      <c r="LX230" s="21"/>
      <c r="LY230" s="21"/>
      <c r="MB230" s="21"/>
      <c r="MC230" s="15"/>
      <c r="MD230" s="15"/>
      <c r="ME230" s="15"/>
      <c r="MF230" s="15"/>
      <c r="MG230" s="15"/>
      <c r="MH230" s="15"/>
      <c r="MI230" s="15"/>
      <c r="MJ230" s="15"/>
      <c r="MK230" s="15"/>
      <c r="ML230" s="15"/>
      <c r="MM230" s="10"/>
      <c r="MN230" s="10"/>
      <c r="MO230" s="21"/>
      <c r="MP230" s="21"/>
      <c r="MS230" s="21"/>
      <c r="MT230" s="15"/>
      <c r="MU230" s="15"/>
      <c r="MV230" s="15"/>
      <c r="MW230" s="15"/>
      <c r="MX230" s="15"/>
      <c r="MY230" s="15"/>
      <c r="MZ230" s="15"/>
      <c r="NA230" s="15"/>
      <c r="NB230" s="15"/>
      <c r="NC230" s="15"/>
      <c r="ND230" s="10"/>
      <c r="NE230" s="10"/>
      <c r="NF230" s="21"/>
      <c r="NG230" s="21"/>
      <c r="NJ230" s="21"/>
      <c r="NK230" s="15"/>
      <c r="NL230" s="15"/>
      <c r="NM230" s="15"/>
      <c r="NN230" s="15"/>
      <c r="NO230" s="15"/>
      <c r="NP230" s="15"/>
      <c r="NQ230" s="15"/>
      <c r="NR230" s="15"/>
      <c r="NS230" s="15"/>
      <c r="NT230" s="15"/>
      <c r="NU230" s="10"/>
      <c r="NV230" s="10"/>
      <c r="NW230" s="21"/>
      <c r="NX230" s="21"/>
      <c r="OA230" s="21"/>
      <c r="OB230" s="15"/>
      <c r="OC230" s="15"/>
      <c r="OD230" s="15"/>
      <c r="OE230" s="15"/>
      <c r="OF230" s="15"/>
      <c r="OG230" s="15"/>
      <c r="OH230" s="15"/>
      <c r="OI230" s="15"/>
      <c r="OJ230" s="15"/>
      <c r="OK230" s="15"/>
      <c r="OL230" s="10"/>
      <c r="OM230" s="10"/>
      <c r="ON230" s="21"/>
      <c r="OO230" s="21"/>
      <c r="OR230" s="21"/>
      <c r="OS230" s="15"/>
      <c r="OT230" s="15"/>
      <c r="OU230" s="15"/>
      <c r="OV230" s="15"/>
      <c r="OW230" s="15"/>
      <c r="OX230" s="15"/>
      <c r="OY230" s="15"/>
      <c r="OZ230" s="15"/>
      <c r="PA230" s="15"/>
      <c r="PB230" s="15"/>
      <c r="PC230" s="10"/>
      <c r="PD230" s="10"/>
      <c r="PE230" s="21"/>
      <c r="PF230" s="21"/>
      <c r="PI230" s="21"/>
      <c r="PJ230" s="15"/>
      <c r="PK230" s="15"/>
      <c r="PL230" s="15"/>
      <c r="PM230" s="15"/>
      <c r="PN230" s="15"/>
      <c r="PO230" s="15"/>
      <c r="PP230" s="15"/>
      <c r="PQ230" s="15"/>
      <c r="PR230" s="15"/>
      <c r="PS230" s="15"/>
      <c r="PT230" s="10"/>
      <c r="PU230" s="10"/>
      <c r="PV230" s="21"/>
      <c r="PW230" s="21"/>
      <c r="PZ230" s="21"/>
      <c r="QA230" s="15"/>
      <c r="QB230" s="15"/>
      <c r="QC230" s="15"/>
      <c r="QD230" s="15"/>
      <c r="QE230" s="15"/>
      <c r="QF230" s="15"/>
      <c r="QG230" s="15"/>
      <c r="QH230" s="15"/>
      <c r="QI230" s="15"/>
      <c r="QJ230" s="15"/>
      <c r="QK230" s="10"/>
      <c r="QL230" s="10"/>
      <c r="QM230" s="21"/>
      <c r="QN230" s="21"/>
      <c r="QQ230" s="21"/>
      <c r="QR230" s="15"/>
      <c r="QS230" s="15"/>
      <c r="QT230" s="15"/>
      <c r="QU230" s="15"/>
      <c r="QV230" s="15"/>
      <c r="QW230" s="15"/>
      <c r="QX230" s="15"/>
      <c r="QY230" s="15"/>
      <c r="QZ230" s="15"/>
      <c r="RA230" s="15"/>
      <c r="RB230" s="10"/>
      <c r="RC230" s="10"/>
      <c r="RD230" s="21"/>
      <c r="RE230" s="21"/>
      <c r="RH230" s="21"/>
      <c r="RI230" s="15"/>
      <c r="RJ230" s="15"/>
      <c r="RK230" s="15"/>
      <c r="RL230" s="15"/>
      <c r="RM230" s="15"/>
      <c r="RN230" s="15"/>
      <c r="RO230" s="15"/>
      <c r="RP230" s="15"/>
      <c r="RQ230" s="15"/>
      <c r="RR230" s="15"/>
      <c r="RS230" s="10"/>
      <c r="RT230" s="10"/>
      <c r="RU230" s="21"/>
      <c r="RV230" s="21"/>
      <c r="RY230" s="21"/>
      <c r="RZ230" s="15"/>
      <c r="SA230" s="15"/>
      <c r="SB230" s="15"/>
      <c r="SC230" s="15"/>
      <c r="SD230" s="15"/>
      <c r="SE230" s="15"/>
      <c r="SF230" s="15"/>
      <c r="SG230" s="15"/>
      <c r="SH230" s="15"/>
      <c r="SI230" s="15"/>
      <c r="SJ230" s="10"/>
      <c r="SK230" s="10"/>
      <c r="SL230" s="21"/>
      <c r="SM230" s="21"/>
      <c r="SP230" s="21"/>
      <c r="SQ230" s="15"/>
      <c r="SR230" s="15"/>
      <c r="SS230" s="15"/>
      <c r="ST230" s="15"/>
      <c r="SU230" s="15"/>
      <c r="SV230" s="15"/>
      <c r="SW230" s="15"/>
      <c r="SX230" s="15"/>
      <c r="SY230" s="15"/>
      <c r="SZ230" s="15"/>
      <c r="TA230" s="10"/>
      <c r="TB230" s="10"/>
      <c r="TC230" s="21"/>
      <c r="TD230" s="21"/>
      <c r="TG230" s="21"/>
      <c r="TH230" s="15"/>
      <c r="TI230" s="15"/>
      <c r="TJ230" s="15"/>
      <c r="TK230" s="15"/>
      <c r="TL230" s="15"/>
      <c r="TM230" s="15"/>
      <c r="TN230" s="15"/>
      <c r="TO230" s="15"/>
      <c r="TP230" s="15"/>
      <c r="TQ230" s="15"/>
      <c r="TR230" s="10"/>
      <c r="TS230" s="10"/>
      <c r="TT230" s="21"/>
      <c r="TU230" s="21"/>
      <c r="TX230" s="21"/>
      <c r="TY230" s="15"/>
      <c r="TZ230" s="15"/>
      <c r="UA230" s="15"/>
      <c r="UB230" s="15"/>
      <c r="UC230" s="15"/>
      <c r="UD230" s="15"/>
      <c r="UE230" s="15"/>
      <c r="UF230" s="15"/>
      <c r="UG230" s="15"/>
      <c r="UH230" s="15"/>
      <c r="UI230" s="10"/>
      <c r="UJ230" s="10"/>
      <c r="UK230" s="21"/>
      <c r="UL230" s="21"/>
      <c r="UO230" s="21"/>
      <c r="UP230" s="15"/>
      <c r="UQ230" s="15"/>
      <c r="UR230" s="15"/>
      <c r="US230" s="15"/>
      <c r="UT230" s="15"/>
      <c r="UU230" s="15"/>
      <c r="UV230" s="15"/>
      <c r="UW230" s="15"/>
      <c r="UX230" s="15"/>
      <c r="UY230" s="15"/>
      <c r="UZ230" s="10"/>
      <c r="VA230" s="10"/>
      <c r="VB230" s="21"/>
      <c r="VC230" s="21"/>
      <c r="VF230" s="21"/>
      <c r="VG230" s="15"/>
      <c r="VH230" s="15"/>
      <c r="VI230" s="15"/>
      <c r="VJ230" s="15"/>
      <c r="VK230" s="15"/>
      <c r="VL230" s="15"/>
      <c r="VM230" s="15"/>
      <c r="VN230" s="15"/>
      <c r="VO230" s="15"/>
      <c r="VP230" s="15"/>
      <c r="VQ230" s="10"/>
      <c r="VR230" s="10"/>
      <c r="VS230" s="21"/>
      <c r="VT230" s="21"/>
      <c r="VW230" s="21"/>
      <c r="VX230" s="15"/>
      <c r="VY230" s="15"/>
      <c r="VZ230" s="15"/>
      <c r="WA230" s="15"/>
      <c r="WB230" s="15"/>
      <c r="WC230" s="15"/>
      <c r="WD230" s="15"/>
      <c r="WE230" s="15"/>
      <c r="WF230" s="15"/>
      <c r="WG230" s="15"/>
      <c r="WH230" s="10"/>
      <c r="WI230" s="10"/>
      <c r="WJ230" s="21"/>
      <c r="WK230" s="21"/>
      <c r="WN230" s="21"/>
      <c r="WO230" s="15"/>
      <c r="WP230" s="15"/>
      <c r="WQ230" s="15"/>
      <c r="WR230" s="15"/>
      <c r="WS230" s="15"/>
      <c r="WT230" s="15"/>
      <c r="WU230" s="15"/>
      <c r="WV230" s="15"/>
      <c r="WW230" s="15"/>
      <c r="WX230" s="15"/>
      <c r="WY230" s="10"/>
      <c r="WZ230" s="10"/>
      <c r="XA230" s="21"/>
      <c r="XB230" s="21"/>
      <c r="XE230" s="21"/>
      <c r="XF230" s="15"/>
      <c r="XG230" s="15"/>
      <c r="XH230" s="15"/>
      <c r="XI230" s="15"/>
      <c r="XJ230" s="15"/>
      <c r="XK230" s="15"/>
      <c r="XL230" s="15"/>
      <c r="XM230" s="15"/>
      <c r="XN230" s="15"/>
      <c r="XO230" s="15"/>
      <c r="XP230" s="10"/>
      <c r="XQ230" s="10"/>
      <c r="XR230" s="21"/>
      <c r="XS230" s="21"/>
      <c r="XV230" s="21"/>
      <c r="XW230" s="15"/>
      <c r="XX230" s="15"/>
      <c r="XY230" s="15"/>
      <c r="XZ230" s="15"/>
      <c r="YA230" s="15"/>
      <c r="YB230" s="15"/>
      <c r="YC230" s="15"/>
      <c r="YD230" s="15"/>
      <c r="YE230" s="15"/>
      <c r="YF230" s="15"/>
      <c r="YG230" s="10"/>
      <c r="YH230" s="10"/>
      <c r="YI230" s="21"/>
      <c r="YJ230" s="21"/>
      <c r="YM230" s="21"/>
      <c r="YN230" s="15"/>
      <c r="YO230" s="15"/>
      <c r="YP230" s="15"/>
      <c r="YQ230" s="15"/>
      <c r="YR230" s="15"/>
      <c r="YS230" s="15"/>
      <c r="YT230" s="15"/>
      <c r="YU230" s="15"/>
      <c r="YV230" s="15"/>
      <c r="YW230" s="15"/>
      <c r="YX230" s="10"/>
      <c r="YY230" s="10"/>
      <c r="YZ230" s="21"/>
      <c r="ZA230" s="21"/>
      <c r="ZD230" s="21"/>
      <c r="ZE230" s="15"/>
      <c r="ZF230" s="15"/>
      <c r="ZG230" s="15"/>
      <c r="ZH230" s="15"/>
      <c r="ZI230" s="15"/>
      <c r="ZJ230" s="15"/>
      <c r="ZK230" s="15"/>
      <c r="ZL230" s="15"/>
      <c r="ZM230" s="15"/>
      <c r="ZN230" s="15"/>
      <c r="ZO230" s="10"/>
      <c r="ZP230" s="10"/>
      <c r="ZQ230" s="21"/>
      <c r="ZR230" s="21"/>
      <c r="ZU230" s="21"/>
      <c r="ZV230" s="15"/>
      <c r="ZW230" s="15"/>
      <c r="ZX230" s="15"/>
      <c r="ZY230" s="15"/>
      <c r="ZZ230" s="15"/>
      <c r="AAA230" s="15"/>
      <c r="AAB230" s="15"/>
      <c r="AAC230" s="15"/>
      <c r="AAD230" s="15"/>
      <c r="AAE230" s="15"/>
      <c r="AAF230" s="10"/>
      <c r="AAG230" s="10"/>
      <c r="AAH230" s="21"/>
      <c r="AAI230" s="21"/>
      <c r="AAL230" s="21"/>
      <c r="AAM230" s="15"/>
      <c r="AAN230" s="15"/>
      <c r="AAO230" s="15"/>
      <c r="AAP230" s="15"/>
      <c r="AAQ230" s="15"/>
      <c r="AAR230" s="15"/>
      <c r="AAS230" s="15"/>
      <c r="AAT230" s="15"/>
      <c r="AAU230" s="15"/>
      <c r="AAV230" s="15"/>
      <c r="AAW230" s="10"/>
      <c r="AAX230" s="10"/>
      <c r="AAY230" s="21"/>
      <c r="AAZ230" s="21"/>
      <c r="ABC230" s="21"/>
      <c r="ABD230" s="15"/>
      <c r="ABE230" s="15"/>
      <c r="ABF230" s="15"/>
      <c r="ABG230" s="15"/>
      <c r="ABH230" s="15"/>
      <c r="ABI230" s="15"/>
      <c r="ABJ230" s="15"/>
      <c r="ABK230" s="15"/>
      <c r="ABL230" s="15"/>
      <c r="ABM230" s="15"/>
      <c r="ABN230" s="10"/>
      <c r="ABO230" s="10"/>
      <c r="ABP230" s="21"/>
      <c r="ABQ230" s="21"/>
      <c r="ABT230" s="21"/>
      <c r="ABU230" s="15"/>
      <c r="ABV230" s="15"/>
      <c r="ABW230" s="15"/>
      <c r="ABX230" s="15"/>
      <c r="ABY230" s="15"/>
      <c r="ABZ230" s="15"/>
      <c r="ACA230" s="15"/>
      <c r="ACB230" s="15"/>
      <c r="ACC230" s="15"/>
      <c r="ACD230" s="15"/>
      <c r="ACE230" s="10"/>
      <c r="ACF230" s="10"/>
      <c r="ACG230" s="21"/>
      <c r="ACH230" s="21"/>
      <c r="ACK230" s="21"/>
      <c r="ACL230" s="15"/>
      <c r="ACM230" s="15"/>
      <c r="ACN230" s="15"/>
      <c r="ACO230" s="15"/>
      <c r="ACP230" s="15"/>
      <c r="ACQ230" s="15"/>
      <c r="ACR230" s="15"/>
      <c r="ACS230" s="15"/>
      <c r="ACT230" s="15"/>
      <c r="ACU230" s="15"/>
      <c r="ACV230" s="10"/>
      <c r="ACW230" s="10"/>
      <c r="ACX230" s="21"/>
      <c r="ACY230" s="21"/>
      <c r="ADB230" s="21"/>
      <c r="ADC230" s="15"/>
      <c r="ADD230" s="15"/>
      <c r="ADE230" s="15"/>
      <c r="ADF230" s="15"/>
      <c r="ADG230" s="15"/>
      <c r="ADH230" s="15"/>
      <c r="ADI230" s="15"/>
      <c r="ADJ230" s="15"/>
      <c r="ADK230" s="15"/>
      <c r="ADL230" s="15"/>
      <c r="ADM230" s="10"/>
      <c r="ADN230" s="10"/>
      <c r="ADO230" s="21"/>
      <c r="ADP230" s="21"/>
      <c r="ADS230" s="21"/>
      <c r="ADT230" s="15"/>
      <c r="ADU230" s="15"/>
      <c r="ADV230" s="15"/>
      <c r="ADW230" s="15"/>
      <c r="ADX230" s="15"/>
      <c r="ADY230" s="15"/>
      <c r="ADZ230" s="15"/>
      <c r="AEA230" s="15"/>
      <c r="AEB230" s="15"/>
      <c r="AEC230" s="15"/>
      <c r="AED230" s="10"/>
      <c r="AEE230" s="10"/>
      <c r="AEF230" s="21"/>
      <c r="AEG230" s="21"/>
      <c r="AEJ230" s="21"/>
      <c r="AEK230" s="15"/>
      <c r="AEL230" s="15"/>
      <c r="AEM230" s="15"/>
      <c r="AEN230" s="15"/>
      <c r="AEO230" s="15"/>
      <c r="AEP230" s="15"/>
      <c r="AEQ230" s="15"/>
      <c r="AER230" s="15"/>
      <c r="AES230" s="15"/>
      <c r="AET230" s="15"/>
      <c r="AEU230" s="10"/>
      <c r="AEV230" s="10"/>
      <c r="AEW230" s="21"/>
      <c r="AEX230" s="21"/>
      <c r="AFA230" s="21"/>
      <c r="AFB230" s="15"/>
      <c r="AFC230" s="15"/>
      <c r="AFD230" s="15"/>
      <c r="AFE230" s="15"/>
      <c r="AFF230" s="15"/>
      <c r="AFG230" s="15"/>
      <c r="AFH230" s="15"/>
      <c r="AFI230" s="15"/>
      <c r="AFJ230" s="15"/>
      <c r="AFK230" s="15"/>
      <c r="AFL230" s="10"/>
      <c r="AFM230" s="10"/>
      <c r="AFN230" s="21"/>
      <c r="AFO230" s="21"/>
      <c r="AFR230" s="21"/>
      <c r="AFS230" s="15"/>
      <c r="AFT230" s="15"/>
      <c r="AFU230" s="15"/>
      <c r="AFV230" s="15"/>
      <c r="AFW230" s="15"/>
      <c r="AFX230" s="15"/>
      <c r="AFY230" s="15"/>
      <c r="AFZ230" s="15"/>
      <c r="AGA230" s="15"/>
      <c r="AGB230" s="15"/>
      <c r="AGC230" s="10"/>
      <c r="AGD230" s="10"/>
      <c r="AGE230" s="21"/>
      <c r="AGF230" s="21"/>
      <c r="AGI230" s="21"/>
      <c r="AGJ230" s="15"/>
      <c r="AGK230" s="15"/>
      <c r="AGL230" s="15"/>
      <c r="AGM230" s="15"/>
      <c r="AGN230" s="15"/>
      <c r="AGO230" s="15"/>
      <c r="AGP230" s="15"/>
      <c r="AGQ230" s="15"/>
      <c r="AGR230" s="15"/>
      <c r="AGS230" s="15"/>
      <c r="AGT230" s="10"/>
      <c r="AGU230" s="10"/>
      <c r="AGV230" s="21"/>
      <c r="AGW230" s="21"/>
      <c r="AGZ230" s="21"/>
      <c r="AHA230" s="15"/>
      <c r="AHB230" s="15"/>
      <c r="AHC230" s="15"/>
      <c r="AHD230" s="15"/>
      <c r="AHE230" s="15"/>
      <c r="AHF230" s="15"/>
      <c r="AHG230" s="15"/>
      <c r="AHH230" s="15"/>
      <c r="AHI230" s="15"/>
      <c r="AHJ230" s="15"/>
      <c r="AHK230" s="10"/>
      <c r="AHL230" s="10"/>
      <c r="AHM230" s="21"/>
      <c r="AHN230" s="21"/>
      <c r="AHQ230" s="21"/>
      <c r="AHR230" s="15"/>
      <c r="AHS230" s="15"/>
      <c r="AHT230" s="15"/>
      <c r="AHU230" s="15"/>
      <c r="AHV230" s="15"/>
      <c r="AHW230" s="15"/>
      <c r="AHX230" s="15"/>
      <c r="AHY230" s="15"/>
      <c r="AHZ230" s="15"/>
      <c r="AIA230" s="15"/>
      <c r="AIB230" s="10"/>
      <c r="AIC230" s="10"/>
      <c r="AID230" s="21"/>
      <c r="AIE230" s="21"/>
      <c r="AIH230" s="21"/>
      <c r="AII230" s="15"/>
      <c r="AIJ230" s="15"/>
      <c r="AIK230" s="15"/>
      <c r="AIL230" s="15"/>
      <c r="AIM230" s="15"/>
      <c r="AIN230" s="15"/>
      <c r="AIO230" s="15"/>
      <c r="AIP230" s="15"/>
      <c r="AIQ230" s="15"/>
      <c r="AIR230" s="15"/>
      <c r="AIS230" s="10"/>
      <c r="AIT230" s="10"/>
      <c r="AIU230" s="21"/>
      <c r="AIV230" s="21"/>
      <c r="AIY230" s="21"/>
      <c r="AIZ230" s="15"/>
      <c r="AJA230" s="15"/>
      <c r="AJB230" s="15"/>
      <c r="AJC230" s="15"/>
      <c r="AJD230" s="15"/>
      <c r="AJE230" s="15"/>
      <c r="AJF230" s="15"/>
      <c r="AJG230" s="15"/>
      <c r="AJH230" s="15"/>
      <c r="AJI230" s="15"/>
      <c r="AJJ230" s="10"/>
      <c r="AJK230" s="10"/>
      <c r="AJL230" s="21"/>
      <c r="AJM230" s="21"/>
      <c r="AJP230" s="21"/>
      <c r="AJQ230" s="15"/>
      <c r="AJR230" s="15"/>
      <c r="AJS230" s="15"/>
      <c r="AJT230" s="15"/>
      <c r="AJU230" s="15"/>
      <c r="AJV230" s="15"/>
      <c r="AJW230" s="15"/>
      <c r="AJX230" s="15"/>
      <c r="AJY230" s="15"/>
      <c r="AJZ230" s="15"/>
      <c r="AKA230" s="10"/>
      <c r="AKB230" s="10"/>
      <c r="AKC230" s="21"/>
      <c r="AKD230" s="21"/>
      <c r="AKG230" s="21"/>
      <c r="AKH230" s="15"/>
      <c r="AKI230" s="15"/>
      <c r="AKJ230" s="15"/>
      <c r="AKK230" s="15"/>
      <c r="AKL230" s="15"/>
      <c r="AKM230" s="15"/>
      <c r="AKN230" s="15"/>
      <c r="AKO230" s="15"/>
      <c r="AKP230" s="15"/>
      <c r="AKQ230" s="15"/>
      <c r="AKR230" s="10"/>
      <c r="AKS230" s="10"/>
      <c r="AKT230" s="21"/>
      <c r="AKU230" s="21"/>
      <c r="AKX230" s="21"/>
      <c r="AKY230" s="15"/>
      <c r="AKZ230" s="15"/>
      <c r="ALA230" s="15"/>
      <c r="ALB230" s="15"/>
      <c r="ALC230" s="15"/>
      <c r="ALD230" s="15"/>
      <c r="ALE230" s="15"/>
      <c r="ALF230" s="15"/>
      <c r="ALG230" s="15"/>
      <c r="ALH230" s="15"/>
      <c r="ALI230" s="10"/>
      <c r="ALJ230" s="10"/>
      <c r="ALK230" s="21"/>
      <c r="ALL230" s="21"/>
      <c r="ALO230" s="21"/>
      <c r="ALP230" s="15"/>
      <c r="ALQ230" s="15"/>
      <c r="ALR230" s="15"/>
      <c r="ALS230" s="15"/>
      <c r="ALT230" s="15"/>
      <c r="ALU230" s="15"/>
      <c r="ALV230" s="15"/>
      <c r="ALW230" s="15"/>
      <c r="ALX230" s="15"/>
      <c r="ALY230" s="15"/>
      <c r="ALZ230" s="10"/>
      <c r="AMA230" s="10"/>
      <c r="AMB230" s="21"/>
      <c r="AMC230" s="21"/>
      <c r="AMF230" s="21"/>
      <c r="AMG230" s="15"/>
      <c r="AMH230" s="15"/>
      <c r="AMI230" s="15"/>
      <c r="AMJ230" s="15"/>
      <c r="AMK230" s="15"/>
      <c r="AML230" s="15"/>
      <c r="AMM230" s="15"/>
      <c r="AMN230" s="15"/>
      <c r="AMO230" s="15"/>
      <c r="AMP230" s="15"/>
      <c r="AMQ230" s="10"/>
      <c r="AMR230" s="10"/>
      <c r="AMS230" s="21"/>
      <c r="AMT230" s="21"/>
      <c r="AMW230" s="21"/>
      <c r="AMX230" s="15"/>
      <c r="AMY230" s="15"/>
      <c r="AMZ230" s="15"/>
      <c r="ANA230" s="15"/>
      <c r="ANB230" s="15"/>
      <c r="ANC230" s="15"/>
      <c r="AND230" s="15"/>
      <c r="ANE230" s="15"/>
      <c r="ANF230" s="15"/>
      <c r="ANG230" s="15"/>
      <c r="ANH230" s="10"/>
      <c r="ANI230" s="10"/>
      <c r="ANJ230" s="21"/>
      <c r="ANK230" s="21"/>
      <c r="ANN230" s="21"/>
      <c r="ANO230" s="15"/>
      <c r="ANP230" s="15"/>
      <c r="ANQ230" s="15"/>
      <c r="ANR230" s="15"/>
      <c r="ANS230" s="15"/>
      <c r="ANT230" s="15"/>
      <c r="ANU230" s="15"/>
      <c r="ANV230" s="15"/>
      <c r="ANW230" s="15"/>
      <c r="ANX230" s="15"/>
      <c r="ANY230" s="10"/>
      <c r="ANZ230" s="10"/>
      <c r="AOA230" s="21"/>
      <c r="AOB230" s="21"/>
      <c r="AOE230" s="21"/>
      <c r="AOF230" s="15"/>
      <c r="AOG230" s="15"/>
      <c r="AOH230" s="15"/>
      <c r="AOI230" s="15"/>
      <c r="AOJ230" s="15"/>
      <c r="AOK230" s="15"/>
      <c r="AOL230" s="15"/>
      <c r="AOM230" s="15"/>
      <c r="AON230" s="15"/>
      <c r="AOO230" s="15"/>
      <c r="AOP230" s="10"/>
      <c r="AOQ230" s="10"/>
      <c r="AOR230" s="21"/>
      <c r="AOS230" s="21"/>
      <c r="AOV230" s="21"/>
      <c r="AOW230" s="15"/>
      <c r="AOX230" s="15"/>
      <c r="AOY230" s="15"/>
      <c r="AOZ230" s="15"/>
      <c r="APA230" s="15"/>
      <c r="APB230" s="15"/>
      <c r="APC230" s="15"/>
      <c r="APD230" s="15"/>
      <c r="APE230" s="15"/>
      <c r="APF230" s="15"/>
      <c r="APG230" s="10"/>
      <c r="APH230" s="10"/>
      <c r="API230" s="21"/>
      <c r="APJ230" s="21"/>
      <c r="APM230" s="21"/>
      <c r="APN230" s="15"/>
      <c r="APO230" s="15"/>
      <c r="APP230" s="15"/>
      <c r="APQ230" s="15"/>
      <c r="APR230" s="15"/>
      <c r="APS230" s="15"/>
      <c r="APT230" s="15"/>
      <c r="APU230" s="15"/>
      <c r="APV230" s="15"/>
      <c r="APW230" s="15"/>
      <c r="APX230" s="10"/>
      <c r="APY230" s="10"/>
      <c r="APZ230" s="21"/>
      <c r="AQA230" s="21"/>
      <c r="AQD230" s="21"/>
      <c r="AQE230" s="15"/>
      <c r="AQF230" s="15"/>
      <c r="AQG230" s="15"/>
      <c r="AQH230" s="15"/>
      <c r="AQI230" s="15"/>
      <c r="AQJ230" s="15"/>
      <c r="AQK230" s="15"/>
      <c r="AQL230" s="15"/>
      <c r="AQM230" s="15"/>
      <c r="AQN230" s="15"/>
      <c r="AQO230" s="10"/>
      <c r="AQP230" s="10"/>
      <c r="AQQ230" s="21"/>
      <c r="AQR230" s="21"/>
      <c r="AQU230" s="21"/>
      <c r="AQV230" s="15"/>
      <c r="AQW230" s="15"/>
      <c r="AQX230" s="15"/>
      <c r="AQY230" s="15"/>
      <c r="AQZ230" s="15"/>
      <c r="ARA230" s="15"/>
      <c r="ARB230" s="15"/>
      <c r="ARC230" s="15"/>
      <c r="ARD230" s="15"/>
      <c r="ARE230" s="15"/>
      <c r="ARF230" s="10"/>
      <c r="ARG230" s="10"/>
      <c r="ARH230" s="21"/>
      <c r="ARI230" s="21"/>
      <c r="ARL230" s="21"/>
      <c r="ARM230" s="15"/>
      <c r="ARN230" s="15"/>
      <c r="ARO230" s="15"/>
      <c r="ARP230" s="15"/>
      <c r="ARQ230" s="15"/>
      <c r="ARR230" s="15"/>
      <c r="ARS230" s="15"/>
      <c r="ART230" s="15"/>
      <c r="ARU230" s="15"/>
      <c r="ARV230" s="15"/>
      <c r="ARW230" s="10"/>
      <c r="ARX230" s="10"/>
      <c r="ARY230" s="21"/>
      <c r="ARZ230" s="21"/>
      <c r="ASC230" s="21"/>
      <c r="ASD230" s="15"/>
      <c r="ASE230" s="15"/>
      <c r="ASF230" s="15"/>
      <c r="ASG230" s="15"/>
      <c r="ASH230" s="15"/>
      <c r="ASI230" s="15"/>
      <c r="ASJ230" s="15"/>
      <c r="ASK230" s="15"/>
      <c r="ASL230" s="15"/>
      <c r="ASM230" s="15"/>
      <c r="ASN230" s="10"/>
      <c r="ASO230" s="10"/>
      <c r="ASP230" s="21"/>
      <c r="ASQ230" s="21"/>
      <c r="AST230" s="21"/>
      <c r="ASU230" s="15"/>
      <c r="ASV230" s="15"/>
      <c r="ASW230" s="15"/>
      <c r="ASX230" s="15"/>
      <c r="ASY230" s="15"/>
      <c r="ASZ230" s="15"/>
      <c r="ATA230" s="15"/>
      <c r="ATB230" s="15"/>
      <c r="ATC230" s="15"/>
      <c r="ATD230" s="15"/>
      <c r="ATE230" s="10"/>
      <c r="ATF230" s="10"/>
      <c r="ATG230" s="21"/>
      <c r="ATH230" s="21"/>
      <c r="ATK230" s="21"/>
      <c r="ATL230" s="15"/>
      <c r="ATM230" s="15"/>
      <c r="ATN230" s="15"/>
      <c r="ATO230" s="15"/>
      <c r="ATP230" s="15"/>
      <c r="ATQ230" s="15"/>
      <c r="ATR230" s="15"/>
      <c r="ATS230" s="15"/>
      <c r="ATT230" s="15"/>
      <c r="ATU230" s="15"/>
      <c r="ATV230" s="10"/>
      <c r="ATW230" s="10"/>
      <c r="ATX230" s="21"/>
      <c r="ATY230" s="21"/>
      <c r="AUB230" s="21"/>
      <c r="AUC230" s="15"/>
      <c r="AUD230" s="15"/>
      <c r="AUE230" s="15"/>
      <c r="AUF230" s="15"/>
      <c r="AUG230" s="15"/>
      <c r="AUH230" s="15"/>
      <c r="AUI230" s="15"/>
      <c r="AUJ230" s="15"/>
      <c r="AUK230" s="15"/>
      <c r="AUL230" s="15"/>
      <c r="AUM230" s="10"/>
      <c r="AUN230" s="10"/>
      <c r="AUO230" s="21"/>
      <c r="AUP230" s="21"/>
      <c r="AUS230" s="21"/>
      <c r="AUT230" s="15"/>
      <c r="AUU230" s="15"/>
      <c r="AUV230" s="15"/>
      <c r="AUW230" s="15"/>
      <c r="AUX230" s="15"/>
      <c r="AUY230" s="15"/>
      <c r="AUZ230" s="15"/>
      <c r="AVA230" s="15"/>
      <c r="AVB230" s="15"/>
      <c r="AVC230" s="15"/>
      <c r="AVD230" s="10"/>
      <c r="AVE230" s="10"/>
      <c r="AVF230" s="21"/>
      <c r="AVG230" s="21"/>
      <c r="AVJ230" s="21"/>
      <c r="AVK230" s="15"/>
      <c r="AVL230" s="15"/>
      <c r="AVM230" s="15"/>
      <c r="AVN230" s="15"/>
      <c r="AVO230" s="15"/>
      <c r="AVP230" s="15"/>
      <c r="AVQ230" s="15"/>
      <c r="AVR230" s="15"/>
      <c r="AVS230" s="15"/>
      <c r="AVT230" s="15"/>
      <c r="AVU230" s="10"/>
      <c r="AVV230" s="10"/>
      <c r="AVW230" s="21"/>
      <c r="AVX230" s="21"/>
      <c r="AWA230" s="21"/>
      <c r="AWB230" s="15"/>
      <c r="AWC230" s="15"/>
      <c r="AWD230" s="15"/>
      <c r="AWE230" s="15"/>
      <c r="AWF230" s="15"/>
      <c r="AWG230" s="15"/>
      <c r="AWH230" s="15"/>
      <c r="AWI230" s="15"/>
      <c r="AWJ230" s="15"/>
      <c r="AWK230" s="15"/>
      <c r="AWL230" s="10"/>
      <c r="AWM230" s="10"/>
      <c r="AWN230" s="21"/>
      <c r="AWO230" s="21"/>
      <c r="AWR230" s="21"/>
      <c r="AWS230" s="15"/>
      <c r="AWT230" s="15"/>
      <c r="AWU230" s="15"/>
      <c r="AWV230" s="15"/>
      <c r="AWW230" s="15"/>
      <c r="AWX230" s="15"/>
      <c r="AWY230" s="15"/>
      <c r="AWZ230" s="15"/>
      <c r="AXA230" s="15"/>
      <c r="AXB230" s="15"/>
      <c r="AXC230" s="10"/>
      <c r="AXD230" s="10"/>
      <c r="AXE230" s="21"/>
      <c r="AXF230" s="21"/>
      <c r="AXI230" s="21"/>
      <c r="AXJ230" s="15"/>
      <c r="AXK230" s="15"/>
      <c r="AXL230" s="15"/>
      <c r="AXM230" s="15"/>
      <c r="AXN230" s="15"/>
      <c r="AXO230" s="15"/>
      <c r="AXP230" s="15"/>
      <c r="AXQ230" s="15"/>
      <c r="AXR230" s="15"/>
      <c r="AXS230" s="15"/>
      <c r="AXT230" s="10"/>
      <c r="AXU230" s="10"/>
      <c r="AXV230" s="21"/>
      <c r="AXW230" s="21"/>
      <c r="AXZ230" s="21"/>
      <c r="AYA230" s="15"/>
      <c r="AYB230" s="15"/>
      <c r="AYC230" s="15"/>
      <c r="AYD230" s="15"/>
      <c r="AYE230" s="15"/>
      <c r="AYF230" s="15"/>
      <c r="AYG230" s="15"/>
      <c r="AYH230" s="15"/>
      <c r="AYI230" s="15"/>
      <c r="AYJ230" s="15"/>
      <c r="AYK230" s="10"/>
      <c r="AYL230" s="10"/>
      <c r="AYM230" s="21"/>
      <c r="AYN230" s="21"/>
      <c r="AYQ230" s="21"/>
      <c r="AYR230" s="15"/>
      <c r="AYS230" s="15"/>
      <c r="AYT230" s="15"/>
      <c r="AYU230" s="15"/>
      <c r="AYV230" s="15"/>
      <c r="AYW230" s="15"/>
      <c r="AYX230" s="15"/>
      <c r="AYY230" s="15"/>
      <c r="AYZ230" s="15"/>
      <c r="AZA230" s="15"/>
      <c r="AZB230" s="10"/>
      <c r="AZC230" s="10"/>
      <c r="AZD230" s="21"/>
      <c r="AZE230" s="21"/>
      <c r="AZH230" s="21"/>
      <c r="AZI230" s="15"/>
      <c r="AZJ230" s="15"/>
      <c r="AZK230" s="15"/>
      <c r="AZL230" s="15"/>
      <c r="AZM230" s="15"/>
      <c r="AZN230" s="15"/>
      <c r="AZO230" s="15"/>
      <c r="AZP230" s="15"/>
      <c r="AZQ230" s="15"/>
      <c r="AZR230" s="15"/>
      <c r="AZS230" s="10"/>
      <c r="AZT230" s="10"/>
      <c r="AZU230" s="21"/>
      <c r="AZV230" s="21"/>
      <c r="AZY230" s="21"/>
      <c r="AZZ230" s="15"/>
      <c r="BAA230" s="15"/>
      <c r="BAB230" s="15"/>
      <c r="BAC230" s="15"/>
      <c r="BAD230" s="15"/>
      <c r="BAE230" s="15"/>
      <c r="BAF230" s="15"/>
      <c r="BAG230" s="15"/>
      <c r="BAH230" s="15"/>
      <c r="BAI230" s="15"/>
      <c r="BAJ230" s="10"/>
      <c r="BAK230" s="10"/>
      <c r="BAL230" s="21"/>
      <c r="BAM230" s="21"/>
      <c r="BAP230" s="21"/>
      <c r="BAQ230" s="15"/>
      <c r="BAR230" s="15"/>
      <c r="BAS230" s="15"/>
      <c r="BAT230" s="15"/>
      <c r="BAU230" s="15"/>
      <c r="BAV230" s="15"/>
      <c r="BAW230" s="15"/>
      <c r="BAX230" s="15"/>
      <c r="BAY230" s="15"/>
      <c r="BAZ230" s="15"/>
      <c r="BBA230" s="10"/>
      <c r="BBB230" s="10"/>
      <c r="BBC230" s="21"/>
      <c r="BBD230" s="21"/>
      <c r="BBG230" s="21"/>
      <c r="BBH230" s="15"/>
      <c r="BBI230" s="15"/>
      <c r="BBJ230" s="15"/>
      <c r="BBK230" s="15"/>
      <c r="BBL230" s="15"/>
      <c r="BBM230" s="15"/>
      <c r="BBN230" s="15"/>
      <c r="BBO230" s="15"/>
      <c r="BBP230" s="15"/>
      <c r="BBQ230" s="15"/>
      <c r="BBR230" s="10"/>
      <c r="BBS230" s="10"/>
      <c r="BBT230" s="21"/>
      <c r="BBU230" s="21"/>
      <c r="BBX230" s="21"/>
      <c r="BBY230" s="15"/>
      <c r="BBZ230" s="15"/>
      <c r="BCA230" s="15"/>
      <c r="BCB230" s="15"/>
      <c r="BCC230" s="15"/>
      <c r="BCD230" s="15"/>
      <c r="BCE230" s="15"/>
      <c r="BCF230" s="15"/>
      <c r="BCG230" s="15"/>
      <c r="BCH230" s="15"/>
      <c r="BCI230" s="10"/>
      <c r="BCJ230" s="10"/>
      <c r="BCK230" s="21"/>
      <c r="BCL230" s="21"/>
      <c r="BCO230" s="21"/>
      <c r="BCP230" s="15"/>
      <c r="BCQ230" s="15"/>
      <c r="BCR230" s="15"/>
      <c r="BCS230" s="15"/>
      <c r="BCT230" s="15"/>
      <c r="BCU230" s="15"/>
      <c r="BCV230" s="15"/>
      <c r="BCW230" s="15"/>
      <c r="BCX230" s="15"/>
      <c r="BCY230" s="15"/>
      <c r="BCZ230" s="10"/>
      <c r="BDA230" s="10"/>
      <c r="BDB230" s="21"/>
      <c r="BDC230" s="21"/>
      <c r="BDF230" s="21"/>
      <c r="BDG230" s="15"/>
      <c r="BDH230" s="15"/>
      <c r="BDI230" s="15"/>
      <c r="BDJ230" s="15"/>
      <c r="BDK230" s="15"/>
      <c r="BDL230" s="15"/>
      <c r="BDM230" s="15"/>
      <c r="BDN230" s="15"/>
      <c r="BDO230" s="15"/>
      <c r="BDP230" s="15"/>
      <c r="BDQ230" s="10"/>
      <c r="BDR230" s="10"/>
      <c r="BDS230" s="21"/>
      <c r="BDT230" s="21"/>
      <c r="BDW230" s="21"/>
      <c r="BDX230" s="15"/>
      <c r="BDY230" s="15"/>
      <c r="BDZ230" s="15"/>
      <c r="BEA230" s="15"/>
      <c r="BEB230" s="15"/>
      <c r="BEC230" s="15"/>
      <c r="BED230" s="15"/>
      <c r="BEE230" s="15"/>
      <c r="BEF230" s="15"/>
      <c r="BEG230" s="15"/>
      <c r="BEH230" s="10"/>
      <c r="BEI230" s="10"/>
      <c r="BEJ230" s="21"/>
      <c r="BEK230" s="21"/>
      <c r="BEN230" s="21"/>
      <c r="BEO230" s="15"/>
      <c r="BEP230" s="15"/>
      <c r="BEQ230" s="15"/>
      <c r="BER230" s="15"/>
      <c r="BES230" s="15"/>
      <c r="BET230" s="15"/>
      <c r="BEU230" s="15"/>
      <c r="BEV230" s="15"/>
      <c r="BEW230" s="15"/>
      <c r="BEX230" s="15"/>
      <c r="BEY230" s="10"/>
      <c r="BEZ230" s="10"/>
      <c r="BFA230" s="21"/>
      <c r="BFB230" s="21"/>
      <c r="BFE230" s="21"/>
      <c r="BFF230" s="15"/>
      <c r="BFG230" s="15"/>
      <c r="BFH230" s="15"/>
      <c r="BFI230" s="15"/>
      <c r="BFJ230" s="15"/>
      <c r="BFK230" s="15"/>
      <c r="BFL230" s="15"/>
      <c r="BFM230" s="15"/>
      <c r="BFN230" s="15"/>
      <c r="BFO230" s="15"/>
      <c r="BFP230" s="10"/>
      <c r="BFQ230" s="10"/>
      <c r="BFR230" s="21"/>
      <c r="BFS230" s="21"/>
      <c r="BFV230" s="21"/>
      <c r="BFW230" s="15"/>
      <c r="BFX230" s="15"/>
      <c r="BFY230" s="15"/>
      <c r="BFZ230" s="15"/>
      <c r="BGA230" s="15"/>
      <c r="BGB230" s="15"/>
      <c r="BGC230" s="15"/>
      <c r="BGD230" s="15"/>
      <c r="BGE230" s="15"/>
      <c r="BGF230" s="15"/>
      <c r="BGG230" s="10"/>
      <c r="BGH230" s="10"/>
      <c r="BGI230" s="21"/>
      <c r="BGJ230" s="21"/>
      <c r="BGM230" s="21"/>
      <c r="BGN230" s="15"/>
      <c r="BGO230" s="15"/>
      <c r="BGP230" s="15"/>
      <c r="BGQ230" s="15"/>
      <c r="BGR230" s="15"/>
      <c r="BGS230" s="15"/>
      <c r="BGT230" s="15"/>
      <c r="BGU230" s="15"/>
      <c r="BGV230" s="15"/>
      <c r="BGW230" s="15"/>
      <c r="BGX230" s="10"/>
      <c r="BGY230" s="10"/>
      <c r="BGZ230" s="21"/>
      <c r="BHA230" s="21"/>
      <c r="BHD230" s="21"/>
      <c r="BHE230" s="15"/>
      <c r="BHF230" s="15"/>
      <c r="BHG230" s="15"/>
      <c r="BHH230" s="15"/>
      <c r="BHI230" s="15"/>
      <c r="BHJ230" s="15"/>
      <c r="BHK230" s="15"/>
      <c r="BHL230" s="15"/>
      <c r="BHM230" s="15"/>
      <c r="BHN230" s="15"/>
      <c r="BHO230" s="10"/>
      <c r="BHP230" s="10"/>
      <c r="BHQ230" s="21"/>
      <c r="BHR230" s="21"/>
      <c r="BHU230" s="21"/>
      <c r="BHV230" s="15"/>
      <c r="BHW230" s="15"/>
      <c r="BHX230" s="15"/>
      <c r="BHY230" s="15"/>
      <c r="BHZ230" s="15"/>
      <c r="BIA230" s="15"/>
      <c r="BIB230" s="15"/>
      <c r="BIC230" s="15"/>
      <c r="BID230" s="15"/>
      <c r="BIE230" s="15"/>
      <c r="BIF230" s="10"/>
      <c r="BIG230" s="10"/>
      <c r="BIH230" s="21"/>
      <c r="BII230" s="21"/>
      <c r="BIL230" s="21"/>
      <c r="BIM230" s="15"/>
      <c r="BIN230" s="15"/>
      <c r="BIO230" s="15"/>
      <c r="BIP230" s="15"/>
      <c r="BIQ230" s="15"/>
      <c r="BIR230" s="15"/>
      <c r="BIS230" s="15"/>
      <c r="BIT230" s="15"/>
      <c r="BIU230" s="15"/>
      <c r="BIV230" s="15"/>
      <c r="BIW230" s="10"/>
      <c r="BIX230" s="10"/>
      <c r="BIY230" s="21"/>
      <c r="BIZ230" s="21"/>
      <c r="BJC230" s="21"/>
      <c r="BJD230" s="15"/>
      <c r="BJE230" s="15"/>
      <c r="BJF230" s="15"/>
      <c r="BJG230" s="15"/>
      <c r="BJH230" s="15"/>
      <c r="BJI230" s="15"/>
      <c r="BJJ230" s="15"/>
      <c r="BJK230" s="15"/>
      <c r="BJL230" s="15"/>
      <c r="BJM230" s="15"/>
      <c r="BJN230" s="10"/>
      <c r="BJO230" s="10"/>
      <c r="BJP230" s="21"/>
      <c r="BJQ230" s="21"/>
      <c r="BJT230" s="21"/>
      <c r="BJU230" s="15"/>
      <c r="BJV230" s="15"/>
      <c r="BJW230" s="15"/>
      <c r="BJX230" s="15"/>
      <c r="BJY230" s="15"/>
      <c r="BJZ230" s="15"/>
      <c r="BKA230" s="15"/>
      <c r="BKB230" s="15"/>
      <c r="BKC230" s="15"/>
      <c r="BKD230" s="15"/>
      <c r="BKE230" s="10"/>
      <c r="BKF230" s="10"/>
      <c r="BKG230" s="21"/>
      <c r="BKH230" s="21"/>
      <c r="BKK230" s="21"/>
      <c r="BKL230" s="15"/>
      <c r="BKM230" s="15"/>
      <c r="BKN230" s="15"/>
      <c r="BKO230" s="15"/>
      <c r="BKP230" s="15"/>
      <c r="BKQ230" s="15"/>
      <c r="BKR230" s="15"/>
      <c r="BKS230" s="15"/>
      <c r="BKT230" s="15"/>
      <c r="BKU230" s="15"/>
      <c r="BKV230" s="10"/>
      <c r="BKW230" s="10"/>
      <c r="BKX230" s="21"/>
      <c r="BKY230" s="21"/>
      <c r="BLB230" s="21"/>
      <c r="BLC230" s="15"/>
      <c r="BLD230" s="15"/>
      <c r="BLE230" s="15"/>
      <c r="BLF230" s="15"/>
      <c r="BLG230" s="15"/>
      <c r="BLH230" s="15"/>
      <c r="BLI230" s="15"/>
      <c r="BLJ230" s="15"/>
      <c r="BLK230" s="15"/>
      <c r="BLL230" s="15"/>
      <c r="BLM230" s="10"/>
      <c r="BLN230" s="10"/>
      <c r="BLO230" s="21"/>
      <c r="BLP230" s="21"/>
      <c r="BLS230" s="21"/>
      <c r="BLT230" s="15"/>
      <c r="BLU230" s="15"/>
      <c r="BLV230" s="15"/>
      <c r="BLW230" s="15"/>
      <c r="BLX230" s="15"/>
      <c r="BLY230" s="15"/>
      <c r="BLZ230" s="15"/>
      <c r="BMA230" s="15"/>
      <c r="BMB230" s="15"/>
      <c r="BMC230" s="15"/>
      <c r="BMD230" s="10"/>
      <c r="BME230" s="10"/>
      <c r="BMF230" s="21"/>
      <c r="BMG230" s="21"/>
      <c r="BMJ230" s="21"/>
      <c r="BMK230" s="15"/>
      <c r="BML230" s="15"/>
      <c r="BMM230" s="15"/>
      <c r="BMN230" s="15"/>
      <c r="BMO230" s="15"/>
      <c r="BMP230" s="15"/>
      <c r="BMQ230" s="15"/>
      <c r="BMR230" s="15"/>
      <c r="BMS230" s="15"/>
      <c r="BMT230" s="15"/>
      <c r="BMU230" s="10"/>
      <c r="BMV230" s="10"/>
      <c r="BMW230" s="21"/>
      <c r="BMX230" s="21"/>
      <c r="BNA230" s="21"/>
      <c r="BNB230" s="15"/>
      <c r="BNC230" s="15"/>
      <c r="BND230" s="15"/>
      <c r="BNE230" s="15"/>
      <c r="BNF230" s="15"/>
      <c r="BNG230" s="15"/>
      <c r="BNH230" s="15"/>
      <c r="BNI230" s="15"/>
      <c r="BNJ230" s="15"/>
      <c r="BNK230" s="15"/>
      <c r="BNL230" s="10"/>
      <c r="BNM230" s="10"/>
      <c r="BNN230" s="21"/>
      <c r="BNO230" s="21"/>
      <c r="BNR230" s="21"/>
      <c r="BNS230" s="15"/>
      <c r="BNT230" s="15"/>
      <c r="BNU230" s="15"/>
      <c r="BNV230" s="15"/>
      <c r="BNW230" s="15"/>
      <c r="BNX230" s="15"/>
      <c r="BNY230" s="15"/>
      <c r="BNZ230" s="15"/>
      <c r="BOA230" s="15"/>
      <c r="BOB230" s="15"/>
      <c r="BOC230" s="10"/>
      <c r="BOD230" s="10"/>
      <c r="BOE230" s="21"/>
      <c r="BOF230" s="21"/>
      <c r="BOI230" s="21"/>
      <c r="BOJ230" s="15"/>
      <c r="BOK230" s="15"/>
      <c r="BOL230" s="15"/>
      <c r="BOM230" s="15"/>
      <c r="BON230" s="15"/>
      <c r="BOO230" s="15"/>
      <c r="BOP230" s="15"/>
      <c r="BOQ230" s="15"/>
      <c r="BOR230" s="15"/>
      <c r="BOS230" s="15"/>
      <c r="BOT230" s="10"/>
      <c r="BOU230" s="10"/>
      <c r="BOV230" s="21"/>
      <c r="BOW230" s="21"/>
      <c r="BOZ230" s="21"/>
      <c r="BPA230" s="15"/>
      <c r="BPB230" s="15"/>
      <c r="BPC230" s="15"/>
      <c r="BPD230" s="15"/>
      <c r="BPE230" s="15"/>
      <c r="BPF230" s="15"/>
      <c r="BPG230" s="15"/>
      <c r="BPH230" s="15"/>
      <c r="BPI230" s="15"/>
      <c r="BPJ230" s="15"/>
      <c r="BPK230" s="10"/>
      <c r="BPL230" s="10"/>
      <c r="BPM230" s="21"/>
      <c r="BPN230" s="21"/>
      <c r="BPQ230" s="21"/>
      <c r="BPR230" s="15"/>
      <c r="BPS230" s="15"/>
      <c r="BPT230" s="15"/>
      <c r="BPU230" s="15"/>
      <c r="BPV230" s="15"/>
      <c r="BPW230" s="15"/>
      <c r="BPX230" s="15"/>
      <c r="BPY230" s="15"/>
      <c r="BPZ230" s="15"/>
      <c r="BQA230" s="15"/>
      <c r="BQB230" s="10"/>
      <c r="BQC230" s="10"/>
      <c r="BQD230" s="21"/>
      <c r="BQE230" s="21"/>
      <c r="BQH230" s="21"/>
      <c r="BQI230" s="15"/>
      <c r="BQJ230" s="15"/>
      <c r="BQK230" s="15"/>
      <c r="BQL230" s="15"/>
      <c r="BQM230" s="15"/>
      <c r="BQN230" s="15"/>
      <c r="BQO230" s="15"/>
      <c r="BQP230" s="15"/>
      <c r="BQQ230" s="15"/>
      <c r="BQR230" s="15"/>
      <c r="BQS230" s="10"/>
      <c r="BQT230" s="10"/>
      <c r="BQU230" s="21"/>
      <c r="BQV230" s="21"/>
      <c r="BQY230" s="21"/>
      <c r="BQZ230" s="15"/>
      <c r="BRA230" s="15"/>
      <c r="BRB230" s="15"/>
      <c r="BRC230" s="15"/>
      <c r="BRD230" s="15"/>
      <c r="BRE230" s="15"/>
      <c r="BRF230" s="15"/>
      <c r="BRG230" s="15"/>
      <c r="BRH230" s="15"/>
      <c r="BRI230" s="15"/>
      <c r="BRJ230" s="10"/>
      <c r="BRK230" s="10"/>
      <c r="BRL230" s="21"/>
      <c r="BRM230" s="21"/>
      <c r="BRP230" s="21"/>
      <c r="BRQ230" s="15"/>
      <c r="BRR230" s="15"/>
      <c r="BRS230" s="15"/>
      <c r="BRT230" s="15"/>
      <c r="BRU230" s="15"/>
      <c r="BRV230" s="15"/>
      <c r="BRW230" s="15"/>
      <c r="BRX230" s="15"/>
      <c r="BRY230" s="15"/>
      <c r="BRZ230" s="15"/>
      <c r="BSA230" s="10"/>
      <c r="BSB230" s="10"/>
      <c r="BSC230" s="21"/>
      <c r="BSD230" s="21"/>
      <c r="BSG230" s="21"/>
      <c r="BSH230" s="15"/>
      <c r="BSI230" s="15"/>
      <c r="BSJ230" s="15"/>
      <c r="BSK230" s="15"/>
      <c r="BSL230" s="15"/>
      <c r="BSM230" s="15"/>
      <c r="BSN230" s="15"/>
      <c r="BSO230" s="15"/>
      <c r="BSP230" s="15"/>
      <c r="BSQ230" s="15"/>
      <c r="BSR230" s="10"/>
      <c r="BSS230" s="10"/>
      <c r="BST230" s="21"/>
      <c r="BSU230" s="21"/>
      <c r="BSX230" s="21"/>
      <c r="BSY230" s="15"/>
      <c r="BSZ230" s="15"/>
      <c r="BTA230" s="15"/>
      <c r="BTB230" s="15"/>
      <c r="BTC230" s="15"/>
      <c r="BTD230" s="15"/>
      <c r="BTE230" s="15"/>
      <c r="BTF230" s="15"/>
      <c r="BTG230" s="15"/>
      <c r="BTH230" s="15"/>
      <c r="BTI230" s="10"/>
      <c r="BTJ230" s="10"/>
      <c r="BTK230" s="21"/>
      <c r="BTL230" s="21"/>
      <c r="BTO230" s="21"/>
      <c r="BTP230" s="15"/>
      <c r="BTQ230" s="15"/>
      <c r="BTR230" s="15"/>
      <c r="BTS230" s="15"/>
      <c r="BTT230" s="15"/>
      <c r="BTU230" s="15"/>
      <c r="BTV230" s="15"/>
      <c r="BTW230" s="15"/>
      <c r="BTX230" s="15"/>
      <c r="BTY230" s="15"/>
      <c r="BTZ230" s="10"/>
      <c r="BUA230" s="10"/>
      <c r="BUB230" s="21"/>
      <c r="BUC230" s="21"/>
      <c r="BUF230" s="21"/>
      <c r="BUG230" s="15"/>
      <c r="BUH230" s="15"/>
      <c r="BUI230" s="15"/>
      <c r="BUJ230" s="15"/>
      <c r="BUK230" s="15"/>
      <c r="BUL230" s="15"/>
      <c r="BUM230" s="15"/>
      <c r="BUN230" s="15"/>
      <c r="BUO230" s="15"/>
      <c r="BUP230" s="15"/>
      <c r="BUQ230" s="10"/>
      <c r="BUR230" s="10"/>
      <c r="BUS230" s="21"/>
      <c r="BUT230" s="21"/>
      <c r="BUW230" s="21"/>
      <c r="BUX230" s="15"/>
      <c r="BUY230" s="15"/>
      <c r="BUZ230" s="15"/>
      <c r="BVA230" s="15"/>
      <c r="BVB230" s="15"/>
      <c r="BVC230" s="15"/>
      <c r="BVD230" s="15"/>
      <c r="BVE230" s="15"/>
      <c r="BVF230" s="15"/>
      <c r="BVG230" s="15"/>
      <c r="BVH230" s="10"/>
      <c r="BVI230" s="10"/>
      <c r="BVJ230" s="21"/>
      <c r="BVK230" s="21"/>
      <c r="BVN230" s="21"/>
      <c r="BVO230" s="15"/>
      <c r="BVP230" s="15"/>
      <c r="BVQ230" s="15"/>
      <c r="BVR230" s="15"/>
      <c r="BVS230" s="15"/>
      <c r="BVT230" s="15"/>
      <c r="BVU230" s="15"/>
      <c r="BVV230" s="15"/>
      <c r="BVW230" s="15"/>
      <c r="BVX230" s="15"/>
      <c r="BVY230" s="10"/>
      <c r="BVZ230" s="10"/>
      <c r="BWA230" s="21"/>
      <c r="BWB230" s="21"/>
      <c r="BWE230" s="21"/>
      <c r="BWF230" s="15"/>
      <c r="BWG230" s="15"/>
      <c r="BWH230" s="15"/>
      <c r="BWI230" s="15"/>
      <c r="BWJ230" s="15"/>
      <c r="BWK230" s="15"/>
      <c r="BWL230" s="15"/>
      <c r="BWM230" s="15"/>
      <c r="BWN230" s="15"/>
      <c r="BWO230" s="15"/>
      <c r="BWP230" s="10"/>
      <c r="BWQ230" s="10"/>
      <c r="BWR230" s="21"/>
      <c r="BWS230" s="21"/>
      <c r="BWV230" s="21"/>
      <c r="BWW230" s="15"/>
      <c r="BWX230" s="15"/>
      <c r="BWY230" s="15"/>
      <c r="BWZ230" s="15"/>
      <c r="BXA230" s="15"/>
      <c r="BXB230" s="15"/>
      <c r="BXC230" s="15"/>
      <c r="BXD230" s="15"/>
      <c r="BXE230" s="15"/>
      <c r="BXF230" s="15"/>
      <c r="BXG230" s="10"/>
      <c r="BXH230" s="10"/>
      <c r="BXI230" s="21"/>
      <c r="BXJ230" s="21"/>
      <c r="BXM230" s="21"/>
      <c r="BXN230" s="15"/>
      <c r="BXO230" s="15"/>
      <c r="BXP230" s="15"/>
      <c r="BXQ230" s="15"/>
      <c r="BXR230" s="15"/>
      <c r="BXS230" s="15"/>
      <c r="BXT230" s="15"/>
      <c r="BXU230" s="15"/>
      <c r="BXV230" s="15"/>
      <c r="BXW230" s="15"/>
      <c r="BXX230" s="10"/>
      <c r="BXY230" s="10"/>
      <c r="BXZ230" s="21"/>
      <c r="BYA230" s="21"/>
      <c r="BYD230" s="21"/>
      <c r="BYE230" s="15"/>
      <c r="BYF230" s="15"/>
      <c r="BYG230" s="15"/>
      <c r="BYH230" s="15"/>
      <c r="BYI230" s="15"/>
      <c r="BYJ230" s="15"/>
      <c r="BYK230" s="15"/>
      <c r="BYL230" s="15"/>
      <c r="BYM230" s="15"/>
      <c r="BYN230" s="15"/>
      <c r="BYO230" s="10"/>
      <c r="BYP230" s="10"/>
      <c r="BYQ230" s="21"/>
      <c r="BYR230" s="21"/>
      <c r="BYU230" s="21"/>
      <c r="BYV230" s="15"/>
      <c r="BYW230" s="15"/>
      <c r="BYX230" s="15"/>
      <c r="BYY230" s="15"/>
      <c r="BYZ230" s="15"/>
      <c r="BZA230" s="15"/>
      <c r="BZB230" s="15"/>
      <c r="BZC230" s="15"/>
      <c r="BZD230" s="15"/>
      <c r="BZE230" s="15"/>
      <c r="BZF230" s="10"/>
      <c r="BZG230" s="10"/>
      <c r="BZH230" s="21"/>
      <c r="BZI230" s="21"/>
      <c r="BZL230" s="21"/>
      <c r="BZM230" s="15"/>
      <c r="BZN230" s="15"/>
      <c r="BZO230" s="15"/>
      <c r="BZP230" s="15"/>
      <c r="BZQ230" s="15"/>
      <c r="BZR230" s="15"/>
      <c r="BZS230" s="15"/>
      <c r="BZT230" s="15"/>
      <c r="BZU230" s="15"/>
      <c r="BZV230" s="15"/>
      <c r="BZW230" s="10"/>
      <c r="BZX230" s="10"/>
      <c r="BZY230" s="21"/>
      <c r="BZZ230" s="21"/>
      <c r="CAC230" s="21"/>
      <c r="CAD230" s="15"/>
      <c r="CAE230" s="15"/>
      <c r="CAF230" s="15"/>
      <c r="CAG230" s="15"/>
      <c r="CAH230" s="15"/>
      <c r="CAI230" s="15"/>
      <c r="CAJ230" s="15"/>
      <c r="CAK230" s="15"/>
      <c r="CAL230" s="15"/>
      <c r="CAM230" s="15"/>
      <c r="CAN230" s="10"/>
      <c r="CAO230" s="10"/>
      <c r="CAP230" s="21"/>
      <c r="CAQ230" s="21"/>
      <c r="CAT230" s="21"/>
      <c r="CAU230" s="15"/>
      <c r="CAV230" s="15"/>
      <c r="CAW230" s="15"/>
      <c r="CAX230" s="15"/>
      <c r="CAY230" s="15"/>
      <c r="CAZ230" s="15"/>
      <c r="CBA230" s="15"/>
      <c r="CBB230" s="15"/>
      <c r="CBC230" s="15"/>
      <c r="CBD230" s="15"/>
      <c r="CBE230" s="10"/>
      <c r="CBF230" s="10"/>
      <c r="CBG230" s="21"/>
      <c r="CBH230" s="21"/>
      <c r="CBK230" s="21"/>
      <c r="CBL230" s="15"/>
      <c r="CBM230" s="15"/>
      <c r="CBN230" s="15"/>
      <c r="CBO230" s="15"/>
      <c r="CBP230" s="15"/>
      <c r="CBQ230" s="15"/>
      <c r="CBR230" s="15"/>
      <c r="CBS230" s="15"/>
      <c r="CBT230" s="15"/>
      <c r="CBU230" s="15"/>
      <c r="CBV230" s="10"/>
      <c r="CBW230" s="10"/>
      <c r="CBX230" s="21"/>
      <c r="CBY230" s="21"/>
      <c r="CCB230" s="21"/>
      <c r="CCC230" s="15"/>
      <c r="CCD230" s="15"/>
      <c r="CCE230" s="15"/>
      <c r="CCF230" s="15"/>
      <c r="CCG230" s="15"/>
      <c r="CCH230" s="15"/>
      <c r="CCI230" s="15"/>
      <c r="CCJ230" s="15"/>
      <c r="CCK230" s="15"/>
      <c r="CCL230" s="15"/>
      <c r="CCM230" s="10"/>
      <c r="CCN230" s="10"/>
      <c r="CCO230" s="21"/>
      <c r="CCP230" s="21"/>
      <c r="CCS230" s="21"/>
      <c r="CCT230" s="15"/>
      <c r="CCU230" s="15"/>
      <c r="CCV230" s="15"/>
      <c r="CCW230" s="15"/>
      <c r="CCX230" s="15"/>
      <c r="CCY230" s="15"/>
      <c r="CCZ230" s="15"/>
      <c r="CDA230" s="15"/>
      <c r="CDB230" s="15"/>
      <c r="CDC230" s="15"/>
      <c r="CDD230" s="10"/>
      <c r="CDE230" s="10"/>
      <c r="CDF230" s="21"/>
      <c r="CDG230" s="21"/>
      <c r="CDJ230" s="21"/>
      <c r="CDK230" s="15"/>
      <c r="CDL230" s="15"/>
      <c r="CDM230" s="15"/>
      <c r="CDN230" s="15"/>
      <c r="CDO230" s="15"/>
      <c r="CDP230" s="15"/>
      <c r="CDQ230" s="15"/>
      <c r="CDR230" s="15"/>
      <c r="CDS230" s="15"/>
      <c r="CDT230" s="15"/>
      <c r="CDU230" s="10"/>
      <c r="CDV230" s="10"/>
      <c r="CDW230" s="21"/>
      <c r="CDX230" s="21"/>
      <c r="CEA230" s="21"/>
      <c r="CEB230" s="15"/>
      <c r="CEC230" s="15"/>
      <c r="CED230" s="15"/>
      <c r="CEE230" s="15"/>
      <c r="CEF230" s="15"/>
      <c r="CEG230" s="15"/>
      <c r="CEH230" s="15"/>
      <c r="CEI230" s="15"/>
      <c r="CEJ230" s="15"/>
      <c r="CEK230" s="15"/>
      <c r="CEL230" s="10"/>
      <c r="CEM230" s="10"/>
      <c r="CEN230" s="21"/>
      <c r="CEO230" s="21"/>
      <c r="CER230" s="21"/>
      <c r="CES230" s="15"/>
      <c r="CET230" s="15"/>
      <c r="CEU230" s="15"/>
      <c r="CEV230" s="15"/>
      <c r="CEW230" s="15"/>
      <c r="CEX230" s="15"/>
      <c r="CEY230" s="15"/>
      <c r="CEZ230" s="15"/>
      <c r="CFA230" s="15"/>
      <c r="CFB230" s="15"/>
      <c r="CFC230" s="10"/>
      <c r="CFD230" s="10"/>
      <c r="CFE230" s="21"/>
      <c r="CFF230" s="21"/>
      <c r="CFI230" s="21"/>
      <c r="CFJ230" s="15"/>
      <c r="CFK230" s="15"/>
      <c r="CFL230" s="15"/>
      <c r="CFM230" s="15"/>
      <c r="CFN230" s="15"/>
      <c r="CFO230" s="15"/>
      <c r="CFP230" s="15"/>
      <c r="CFQ230" s="15"/>
      <c r="CFR230" s="15"/>
      <c r="CFS230" s="15"/>
      <c r="CFT230" s="10"/>
      <c r="CFU230" s="10"/>
      <c r="CFV230" s="21"/>
      <c r="CFW230" s="21"/>
      <c r="CFZ230" s="21"/>
      <c r="CGA230" s="15"/>
      <c r="CGB230" s="15"/>
      <c r="CGC230" s="15"/>
      <c r="CGD230" s="15"/>
      <c r="CGE230" s="15"/>
      <c r="CGF230" s="15"/>
      <c r="CGG230" s="15"/>
      <c r="CGH230" s="15"/>
      <c r="CGI230" s="15"/>
      <c r="CGJ230" s="15"/>
      <c r="CGK230" s="10"/>
      <c r="CGL230" s="10"/>
      <c r="CGM230" s="21"/>
      <c r="CGN230" s="21"/>
      <c r="CGQ230" s="21"/>
      <c r="CGR230" s="15"/>
      <c r="CGS230" s="15"/>
      <c r="CGT230" s="15"/>
      <c r="CGU230" s="15"/>
      <c r="CGV230" s="15"/>
      <c r="CGW230" s="15"/>
      <c r="CGX230" s="15"/>
      <c r="CGY230" s="15"/>
      <c r="CGZ230" s="15"/>
      <c r="CHA230" s="15"/>
      <c r="CHB230" s="10"/>
      <c r="CHC230" s="10"/>
      <c r="CHD230" s="21"/>
      <c r="CHE230" s="21"/>
      <c r="CHH230" s="21"/>
      <c r="CHI230" s="15"/>
      <c r="CHJ230" s="15"/>
      <c r="CHK230" s="15"/>
      <c r="CHL230" s="15"/>
      <c r="CHM230" s="15"/>
      <c r="CHN230" s="15"/>
      <c r="CHO230" s="15"/>
      <c r="CHP230" s="15"/>
      <c r="CHQ230" s="15"/>
      <c r="CHR230" s="15"/>
      <c r="CHS230" s="10"/>
      <c r="CHT230" s="10"/>
      <c r="CHU230" s="21"/>
      <c r="CHV230" s="21"/>
      <c r="CHY230" s="21"/>
      <c r="CHZ230" s="15"/>
      <c r="CIA230" s="15"/>
      <c r="CIB230" s="15"/>
      <c r="CIC230" s="15"/>
      <c r="CID230" s="15"/>
      <c r="CIE230" s="15"/>
      <c r="CIF230" s="15"/>
      <c r="CIG230" s="15"/>
      <c r="CIH230" s="15"/>
      <c r="CII230" s="15"/>
      <c r="CIJ230" s="10"/>
      <c r="CIK230" s="10"/>
      <c r="CIL230" s="21"/>
      <c r="CIM230" s="21"/>
      <c r="CIP230" s="21"/>
      <c r="CIQ230" s="15"/>
      <c r="CIR230" s="15"/>
      <c r="CIS230" s="15"/>
      <c r="CIT230" s="15"/>
      <c r="CIU230" s="15"/>
      <c r="CIV230" s="15"/>
      <c r="CIW230" s="15"/>
      <c r="CIX230" s="15"/>
      <c r="CIY230" s="15"/>
      <c r="CIZ230" s="15"/>
      <c r="CJA230" s="10"/>
      <c r="CJB230" s="10"/>
      <c r="CJC230" s="21"/>
      <c r="CJD230" s="21"/>
      <c r="CJG230" s="21"/>
      <c r="CJH230" s="15"/>
      <c r="CJI230" s="15"/>
      <c r="CJJ230" s="15"/>
      <c r="CJK230" s="15"/>
      <c r="CJL230" s="15"/>
      <c r="CJM230" s="15"/>
      <c r="CJN230" s="15"/>
      <c r="CJO230" s="15"/>
      <c r="CJP230" s="15"/>
      <c r="CJQ230" s="15"/>
      <c r="CJR230" s="10"/>
      <c r="CJS230" s="10"/>
      <c r="CJT230" s="21"/>
      <c r="CJU230" s="21"/>
      <c r="CJX230" s="21"/>
      <c r="CJY230" s="15"/>
      <c r="CJZ230" s="15"/>
      <c r="CKA230" s="15"/>
      <c r="CKB230" s="15"/>
      <c r="CKC230" s="15"/>
      <c r="CKD230" s="15"/>
      <c r="CKE230" s="15"/>
      <c r="CKF230" s="15"/>
      <c r="CKG230" s="15"/>
      <c r="CKH230" s="15"/>
      <c r="CKI230" s="10"/>
      <c r="CKJ230" s="10"/>
      <c r="CKK230" s="21"/>
      <c r="CKL230" s="21"/>
      <c r="CKO230" s="21"/>
      <c r="CKP230" s="15"/>
      <c r="CKQ230" s="15"/>
      <c r="CKR230" s="15"/>
      <c r="CKS230" s="15"/>
      <c r="CKT230" s="15"/>
      <c r="CKU230" s="15"/>
      <c r="CKV230" s="15"/>
      <c r="CKW230" s="15"/>
      <c r="CKX230" s="15"/>
      <c r="CKY230" s="15"/>
      <c r="CKZ230" s="10"/>
      <c r="CLA230" s="10"/>
      <c r="CLB230" s="21"/>
      <c r="CLC230" s="21"/>
      <c r="CLF230" s="21"/>
      <c r="CLG230" s="15"/>
      <c r="CLH230" s="15"/>
      <c r="CLI230" s="15"/>
      <c r="CLJ230" s="15"/>
      <c r="CLK230" s="15"/>
      <c r="CLL230" s="15"/>
      <c r="CLM230" s="15"/>
      <c r="CLN230" s="15"/>
      <c r="CLO230" s="15"/>
      <c r="CLP230" s="15"/>
      <c r="CLQ230" s="10"/>
      <c r="CLR230" s="10"/>
      <c r="CLS230" s="21"/>
      <c r="CLT230" s="21"/>
      <c r="CLW230" s="21"/>
      <c r="CLX230" s="15"/>
      <c r="CLY230" s="15"/>
      <c r="CLZ230" s="15"/>
      <c r="CMA230" s="15"/>
      <c r="CMB230" s="15"/>
      <c r="CMC230" s="15"/>
      <c r="CMD230" s="15"/>
      <c r="CME230" s="15"/>
      <c r="CMF230" s="15"/>
      <c r="CMG230" s="15"/>
      <c r="CMH230" s="10"/>
      <c r="CMI230" s="10"/>
      <c r="CMJ230" s="21"/>
      <c r="CMK230" s="21"/>
      <c r="CMN230" s="21"/>
      <c r="CMO230" s="15"/>
      <c r="CMP230" s="15"/>
      <c r="CMQ230" s="15"/>
      <c r="CMR230" s="15"/>
      <c r="CMS230" s="15"/>
      <c r="CMT230" s="15"/>
      <c r="CMU230" s="15"/>
      <c r="CMV230" s="15"/>
      <c r="CMW230" s="15"/>
      <c r="CMX230" s="15"/>
      <c r="CMY230" s="10"/>
      <c r="CMZ230" s="10"/>
      <c r="CNA230" s="21"/>
      <c r="CNB230" s="21"/>
      <c r="CNE230" s="21"/>
      <c r="CNF230" s="15"/>
      <c r="CNG230" s="15"/>
      <c r="CNH230" s="15"/>
      <c r="CNI230" s="15"/>
      <c r="CNJ230" s="15"/>
      <c r="CNK230" s="15"/>
      <c r="CNL230" s="15"/>
      <c r="CNM230" s="15"/>
      <c r="CNN230" s="15"/>
      <c r="CNO230" s="15"/>
      <c r="CNP230" s="10"/>
      <c r="CNQ230" s="10"/>
      <c r="CNR230" s="21"/>
      <c r="CNS230" s="21"/>
      <c r="CNV230" s="21"/>
      <c r="CNW230" s="15"/>
      <c r="CNX230" s="15"/>
      <c r="CNY230" s="15"/>
      <c r="CNZ230" s="15"/>
      <c r="COA230" s="15"/>
      <c r="COB230" s="15"/>
      <c r="COC230" s="15"/>
      <c r="COD230" s="15"/>
      <c r="COE230" s="15"/>
      <c r="COF230" s="15"/>
      <c r="COG230" s="10"/>
      <c r="COH230" s="10"/>
      <c r="COI230" s="21"/>
      <c r="COJ230" s="21"/>
      <c r="COM230" s="21"/>
      <c r="CON230" s="15"/>
      <c r="COO230" s="15"/>
      <c r="COP230" s="15"/>
      <c r="COQ230" s="15"/>
      <c r="COR230" s="15"/>
      <c r="COS230" s="15"/>
      <c r="COT230" s="15"/>
      <c r="COU230" s="15"/>
      <c r="COV230" s="15"/>
      <c r="COW230" s="15"/>
      <c r="COX230" s="10"/>
      <c r="COY230" s="10"/>
      <c r="COZ230" s="21"/>
      <c r="CPA230" s="21"/>
      <c r="CPD230" s="21"/>
      <c r="CPE230" s="15"/>
      <c r="CPF230" s="15"/>
      <c r="CPG230" s="15"/>
      <c r="CPH230" s="15"/>
      <c r="CPI230" s="15"/>
      <c r="CPJ230" s="15"/>
      <c r="CPK230" s="15"/>
      <c r="CPL230" s="15"/>
      <c r="CPM230" s="15"/>
      <c r="CPN230" s="15"/>
      <c r="CPO230" s="10"/>
      <c r="CPP230" s="10"/>
      <c r="CPQ230" s="21"/>
      <c r="CPR230" s="21"/>
      <c r="CPU230" s="21"/>
      <c r="CPV230" s="15"/>
      <c r="CPW230" s="15"/>
      <c r="CPX230" s="15"/>
      <c r="CPY230" s="15"/>
      <c r="CPZ230" s="15"/>
      <c r="CQA230" s="15"/>
      <c r="CQB230" s="15"/>
      <c r="CQC230" s="15"/>
      <c r="CQD230" s="15"/>
      <c r="CQE230" s="15"/>
      <c r="CQF230" s="10"/>
      <c r="CQG230" s="10"/>
      <c r="CQH230" s="21"/>
      <c r="CQI230" s="21"/>
      <c r="CQL230" s="21"/>
      <c r="CQM230" s="15"/>
      <c r="CQN230" s="15"/>
      <c r="CQO230" s="15"/>
      <c r="CQP230" s="15"/>
      <c r="CQQ230" s="15"/>
      <c r="CQR230" s="15"/>
      <c r="CQS230" s="15"/>
      <c r="CQT230" s="15"/>
      <c r="CQU230" s="15"/>
      <c r="CQV230" s="15"/>
      <c r="CQW230" s="10"/>
      <c r="CQX230" s="10"/>
      <c r="CQY230" s="21"/>
      <c r="CQZ230" s="21"/>
      <c r="CRC230" s="21"/>
      <c r="CRD230" s="15"/>
      <c r="CRE230" s="15"/>
      <c r="CRF230" s="15"/>
      <c r="CRG230" s="15"/>
      <c r="CRH230" s="15"/>
      <c r="CRI230" s="15"/>
      <c r="CRJ230" s="15"/>
      <c r="CRK230" s="15"/>
      <c r="CRL230" s="15"/>
      <c r="CRM230" s="15"/>
      <c r="CRN230" s="10"/>
      <c r="CRO230" s="10"/>
      <c r="CRP230" s="21"/>
      <c r="CRQ230" s="21"/>
      <c r="CRT230" s="21"/>
      <c r="CRU230" s="15"/>
      <c r="CRV230" s="15"/>
      <c r="CRW230" s="15"/>
      <c r="CRX230" s="15"/>
      <c r="CRY230" s="15"/>
      <c r="CRZ230" s="15"/>
      <c r="CSA230" s="15"/>
      <c r="CSB230" s="15"/>
      <c r="CSC230" s="15"/>
      <c r="CSD230" s="15"/>
      <c r="CSE230" s="10"/>
      <c r="CSF230" s="10"/>
      <c r="CSG230" s="21"/>
      <c r="CSH230" s="21"/>
      <c r="CSK230" s="21"/>
      <c r="CSL230" s="15"/>
      <c r="CSM230" s="15"/>
      <c r="CSN230" s="15"/>
      <c r="CSO230" s="15"/>
      <c r="CSP230" s="15"/>
      <c r="CSQ230" s="15"/>
      <c r="CSR230" s="15"/>
      <c r="CSS230" s="15"/>
      <c r="CST230" s="15"/>
      <c r="CSU230" s="15"/>
      <c r="CSV230" s="10"/>
      <c r="CSW230" s="10"/>
      <c r="CSX230" s="21"/>
      <c r="CSY230" s="21"/>
      <c r="CTB230" s="21"/>
      <c r="CTC230" s="15"/>
      <c r="CTD230" s="15"/>
      <c r="CTE230" s="15"/>
      <c r="CTF230" s="15"/>
      <c r="CTG230" s="15"/>
      <c r="CTH230" s="15"/>
      <c r="CTI230" s="15"/>
      <c r="CTJ230" s="15"/>
      <c r="CTK230" s="15"/>
      <c r="CTL230" s="15"/>
      <c r="CTM230" s="10"/>
      <c r="CTN230" s="10"/>
      <c r="CTO230" s="21"/>
      <c r="CTP230" s="21"/>
      <c r="CTS230" s="21"/>
      <c r="CTT230" s="15"/>
      <c r="CTU230" s="15"/>
      <c r="CTV230" s="15"/>
      <c r="CTW230" s="15"/>
      <c r="CTX230" s="15"/>
      <c r="CTY230" s="15"/>
      <c r="CTZ230" s="15"/>
      <c r="CUA230" s="15"/>
      <c r="CUB230" s="15"/>
      <c r="CUC230" s="15"/>
      <c r="CUD230" s="10"/>
      <c r="CUE230" s="10"/>
      <c r="CUF230" s="21"/>
      <c r="CUG230" s="21"/>
      <c r="CUJ230" s="21"/>
      <c r="CUK230" s="15"/>
      <c r="CUL230" s="15"/>
      <c r="CUM230" s="15"/>
      <c r="CUN230" s="15"/>
      <c r="CUO230" s="15"/>
      <c r="CUP230" s="15"/>
      <c r="CUQ230" s="15"/>
      <c r="CUR230" s="15"/>
      <c r="CUS230" s="15"/>
      <c r="CUT230" s="15"/>
      <c r="CUU230" s="10"/>
      <c r="CUV230" s="10"/>
      <c r="CUW230" s="21"/>
      <c r="CUX230" s="21"/>
      <c r="CVA230" s="21"/>
      <c r="CVB230" s="15"/>
      <c r="CVC230" s="15"/>
      <c r="CVD230" s="15"/>
      <c r="CVE230" s="15"/>
      <c r="CVF230" s="15"/>
      <c r="CVG230" s="15"/>
      <c r="CVH230" s="15"/>
      <c r="CVI230" s="15"/>
      <c r="CVJ230" s="15"/>
      <c r="CVK230" s="15"/>
      <c r="CVL230" s="10"/>
      <c r="CVM230" s="10"/>
      <c r="CVN230" s="21"/>
      <c r="CVO230" s="21"/>
      <c r="CVR230" s="21"/>
      <c r="CVS230" s="15"/>
      <c r="CVT230" s="15"/>
      <c r="CVU230" s="15"/>
      <c r="CVV230" s="15"/>
      <c r="CVW230" s="15"/>
      <c r="CVX230" s="15"/>
      <c r="CVY230" s="15"/>
      <c r="CVZ230" s="15"/>
      <c r="CWA230" s="15"/>
      <c r="CWB230" s="15"/>
      <c r="CWC230" s="10"/>
      <c r="CWD230" s="10"/>
      <c r="CWE230" s="21"/>
      <c r="CWF230" s="21"/>
      <c r="CWI230" s="21"/>
      <c r="CWJ230" s="15"/>
      <c r="CWK230" s="15"/>
      <c r="CWL230" s="15"/>
      <c r="CWM230" s="15"/>
      <c r="CWN230" s="15"/>
      <c r="CWO230" s="15"/>
      <c r="CWP230" s="15"/>
      <c r="CWQ230" s="15"/>
      <c r="CWR230" s="15"/>
      <c r="CWS230" s="15"/>
      <c r="CWT230" s="10"/>
      <c r="CWU230" s="10"/>
      <c r="CWV230" s="21"/>
      <c r="CWW230" s="21"/>
      <c r="CWZ230" s="21"/>
      <c r="CXA230" s="15"/>
      <c r="CXB230" s="15"/>
      <c r="CXC230" s="15"/>
      <c r="CXD230" s="15"/>
      <c r="CXE230" s="15"/>
      <c r="CXF230" s="15"/>
      <c r="CXG230" s="15"/>
      <c r="CXH230" s="15"/>
      <c r="CXI230" s="15"/>
      <c r="CXJ230" s="15"/>
      <c r="CXK230" s="10"/>
      <c r="CXL230" s="10"/>
      <c r="CXM230" s="21"/>
      <c r="CXN230" s="21"/>
      <c r="CXQ230" s="21"/>
      <c r="CXR230" s="15"/>
      <c r="CXS230" s="15"/>
      <c r="CXT230" s="15"/>
      <c r="CXU230" s="15"/>
      <c r="CXV230" s="15"/>
      <c r="CXW230" s="15"/>
      <c r="CXX230" s="15"/>
      <c r="CXY230" s="15"/>
      <c r="CXZ230" s="15"/>
      <c r="CYA230" s="15"/>
      <c r="CYB230" s="10"/>
      <c r="CYC230" s="10"/>
      <c r="CYD230" s="21"/>
      <c r="CYE230" s="21"/>
      <c r="CYH230" s="21"/>
      <c r="CYI230" s="15"/>
      <c r="CYJ230" s="15"/>
      <c r="CYK230" s="15"/>
      <c r="CYL230" s="15"/>
      <c r="CYM230" s="15"/>
      <c r="CYN230" s="15"/>
      <c r="CYO230" s="15"/>
      <c r="CYP230" s="15"/>
      <c r="CYQ230" s="15"/>
      <c r="CYR230" s="15"/>
      <c r="CYS230" s="10"/>
      <c r="CYT230" s="10"/>
      <c r="CYU230" s="21"/>
      <c r="CYV230" s="21"/>
      <c r="CYY230" s="21"/>
      <c r="CYZ230" s="15"/>
      <c r="CZA230" s="15"/>
      <c r="CZB230" s="15"/>
      <c r="CZC230" s="15"/>
      <c r="CZD230" s="15"/>
      <c r="CZE230" s="15"/>
      <c r="CZF230" s="15"/>
      <c r="CZG230" s="15"/>
      <c r="CZH230" s="15"/>
      <c r="CZI230" s="15"/>
      <c r="CZJ230" s="10"/>
      <c r="CZK230" s="10"/>
      <c r="CZL230" s="21"/>
      <c r="CZM230" s="21"/>
      <c r="CZP230" s="21"/>
      <c r="CZQ230" s="15"/>
      <c r="CZR230" s="15"/>
      <c r="CZS230" s="15"/>
      <c r="CZT230" s="15"/>
      <c r="CZU230" s="15"/>
      <c r="CZV230" s="15"/>
      <c r="CZW230" s="15"/>
      <c r="CZX230" s="15"/>
      <c r="CZY230" s="15"/>
      <c r="CZZ230" s="15"/>
      <c r="DAA230" s="10"/>
      <c r="DAB230" s="10"/>
      <c r="DAC230" s="21"/>
      <c r="DAD230" s="21"/>
      <c r="DAG230" s="21"/>
      <c r="DAH230" s="15"/>
      <c r="DAI230" s="15"/>
      <c r="DAJ230" s="15"/>
      <c r="DAK230" s="15"/>
      <c r="DAL230" s="15"/>
      <c r="DAM230" s="15"/>
      <c r="DAN230" s="15"/>
      <c r="DAO230" s="15"/>
      <c r="DAP230" s="15"/>
      <c r="DAQ230" s="15"/>
      <c r="DAR230" s="10"/>
      <c r="DAS230" s="10"/>
      <c r="DAT230" s="21"/>
      <c r="DAU230" s="21"/>
      <c r="DAX230" s="21"/>
      <c r="DAY230" s="15"/>
      <c r="DAZ230" s="15"/>
      <c r="DBA230" s="15"/>
      <c r="DBB230" s="15"/>
      <c r="DBC230" s="15"/>
      <c r="DBD230" s="15"/>
      <c r="DBE230" s="15"/>
      <c r="DBF230" s="15"/>
      <c r="DBG230" s="15"/>
      <c r="DBH230" s="15"/>
      <c r="DBI230" s="10"/>
      <c r="DBJ230" s="10"/>
      <c r="DBK230" s="21"/>
      <c r="DBL230" s="21"/>
      <c r="DBO230" s="21"/>
      <c r="DBP230" s="15"/>
      <c r="DBQ230" s="15"/>
      <c r="DBR230" s="15"/>
      <c r="DBS230" s="15"/>
      <c r="DBT230" s="15"/>
      <c r="DBU230" s="15"/>
      <c r="DBV230" s="15"/>
      <c r="DBW230" s="15"/>
      <c r="DBX230" s="15"/>
      <c r="DBY230" s="15"/>
      <c r="DBZ230" s="10"/>
      <c r="DCA230" s="10"/>
      <c r="DCB230" s="21"/>
      <c r="DCC230" s="21"/>
      <c r="DCF230" s="21"/>
      <c r="DCG230" s="15"/>
      <c r="DCH230" s="15"/>
      <c r="DCI230" s="15"/>
      <c r="DCJ230" s="15"/>
      <c r="DCK230" s="15"/>
      <c r="DCL230" s="15"/>
      <c r="DCM230" s="15"/>
      <c r="DCN230" s="15"/>
      <c r="DCO230" s="15"/>
      <c r="DCP230" s="15"/>
      <c r="DCQ230" s="10"/>
      <c r="DCR230" s="10"/>
      <c r="DCS230" s="21"/>
      <c r="DCT230" s="21"/>
      <c r="DCW230" s="21"/>
      <c r="DCX230" s="15"/>
      <c r="DCY230" s="15"/>
      <c r="DCZ230" s="15"/>
      <c r="DDA230" s="15"/>
      <c r="DDB230" s="15"/>
      <c r="DDC230" s="15"/>
      <c r="DDD230" s="15"/>
      <c r="DDE230" s="15"/>
      <c r="DDF230" s="15"/>
      <c r="DDG230" s="15"/>
      <c r="DDH230" s="10"/>
      <c r="DDI230" s="10"/>
      <c r="DDJ230" s="21"/>
      <c r="DDK230" s="21"/>
      <c r="DDN230" s="21"/>
      <c r="DDO230" s="15"/>
      <c r="DDP230" s="15"/>
      <c r="DDQ230" s="15"/>
      <c r="DDR230" s="15"/>
      <c r="DDS230" s="15"/>
      <c r="DDT230" s="15"/>
      <c r="DDU230" s="15"/>
      <c r="DDV230" s="15"/>
      <c r="DDW230" s="15"/>
      <c r="DDX230" s="15"/>
      <c r="DDY230" s="10"/>
      <c r="DDZ230" s="10"/>
      <c r="DEA230" s="21"/>
      <c r="DEB230" s="21"/>
      <c r="DEE230" s="21"/>
      <c r="DEF230" s="15"/>
      <c r="DEG230" s="15"/>
      <c r="DEH230" s="15"/>
      <c r="DEI230" s="15"/>
      <c r="DEJ230" s="15"/>
      <c r="DEK230" s="15"/>
      <c r="DEL230" s="15"/>
      <c r="DEM230" s="15"/>
      <c r="DEN230" s="15"/>
      <c r="DEO230" s="15"/>
      <c r="DEP230" s="10"/>
      <c r="DEQ230" s="10"/>
      <c r="DER230" s="21"/>
      <c r="DES230" s="21"/>
      <c r="DEV230" s="21"/>
      <c r="DEW230" s="15"/>
      <c r="DEX230" s="15"/>
      <c r="DEY230" s="15"/>
      <c r="DEZ230" s="15"/>
      <c r="DFA230" s="15"/>
      <c r="DFB230" s="15"/>
      <c r="DFC230" s="15"/>
      <c r="DFD230" s="15"/>
      <c r="DFE230" s="15"/>
      <c r="DFF230" s="15"/>
      <c r="DFG230" s="10"/>
      <c r="DFH230" s="10"/>
      <c r="DFI230" s="21"/>
      <c r="DFJ230" s="21"/>
      <c r="DFM230" s="21"/>
      <c r="DFN230" s="15"/>
      <c r="DFO230" s="15"/>
      <c r="DFP230" s="15"/>
      <c r="DFQ230" s="15"/>
      <c r="DFR230" s="15"/>
      <c r="DFS230" s="15"/>
      <c r="DFT230" s="15"/>
      <c r="DFU230" s="15"/>
      <c r="DFV230" s="15"/>
      <c r="DFW230" s="15"/>
      <c r="DFX230" s="10"/>
      <c r="DFY230" s="10"/>
      <c r="DFZ230" s="21"/>
      <c r="DGA230" s="21"/>
      <c r="DGD230" s="21"/>
      <c r="DGE230" s="15"/>
      <c r="DGF230" s="15"/>
      <c r="DGG230" s="15"/>
      <c r="DGH230" s="15"/>
      <c r="DGI230" s="15"/>
      <c r="DGJ230" s="15"/>
      <c r="DGK230" s="15"/>
      <c r="DGL230" s="15"/>
      <c r="DGM230" s="15"/>
      <c r="DGN230" s="15"/>
      <c r="DGO230" s="10"/>
      <c r="DGP230" s="10"/>
      <c r="DGQ230" s="21"/>
      <c r="DGR230" s="21"/>
      <c r="DGU230" s="21"/>
      <c r="DGV230" s="15"/>
      <c r="DGW230" s="15"/>
      <c r="DGX230" s="15"/>
      <c r="DGY230" s="15"/>
      <c r="DGZ230" s="15"/>
      <c r="DHA230" s="15"/>
      <c r="DHB230" s="15"/>
      <c r="DHC230" s="15"/>
      <c r="DHD230" s="15"/>
      <c r="DHE230" s="15"/>
      <c r="DHF230" s="10"/>
      <c r="DHG230" s="10"/>
      <c r="DHH230" s="21"/>
      <c r="DHI230" s="21"/>
      <c r="DHL230" s="21"/>
      <c r="DHM230" s="15"/>
      <c r="DHN230" s="15"/>
      <c r="DHO230" s="15"/>
      <c r="DHP230" s="15"/>
      <c r="DHQ230" s="15"/>
      <c r="DHR230" s="15"/>
      <c r="DHS230" s="15"/>
      <c r="DHT230" s="15"/>
      <c r="DHU230" s="15"/>
      <c r="DHV230" s="15"/>
      <c r="DHW230" s="10"/>
      <c r="DHX230" s="10"/>
      <c r="DHY230" s="21"/>
      <c r="DHZ230" s="21"/>
      <c r="DIC230" s="21"/>
      <c r="DID230" s="15"/>
      <c r="DIE230" s="15"/>
      <c r="DIF230" s="15"/>
      <c r="DIG230" s="15"/>
      <c r="DIH230" s="15"/>
      <c r="DII230" s="15"/>
      <c r="DIJ230" s="15"/>
      <c r="DIK230" s="15"/>
      <c r="DIL230" s="15"/>
      <c r="DIM230" s="15"/>
      <c r="DIN230" s="10"/>
      <c r="DIO230" s="10"/>
      <c r="DIP230" s="21"/>
      <c r="DIQ230" s="21"/>
      <c r="DIT230" s="21"/>
      <c r="DIU230" s="15"/>
      <c r="DIV230" s="15"/>
      <c r="DIW230" s="15"/>
      <c r="DIX230" s="15"/>
      <c r="DIY230" s="15"/>
      <c r="DIZ230" s="15"/>
      <c r="DJA230" s="15"/>
      <c r="DJB230" s="15"/>
      <c r="DJC230" s="15"/>
      <c r="DJD230" s="15"/>
      <c r="DJE230" s="10"/>
      <c r="DJF230" s="10"/>
      <c r="DJG230" s="21"/>
      <c r="DJH230" s="21"/>
      <c r="DJK230" s="21"/>
      <c r="DJL230" s="15"/>
      <c r="DJM230" s="15"/>
      <c r="DJN230" s="15"/>
      <c r="DJO230" s="15"/>
      <c r="DJP230" s="15"/>
      <c r="DJQ230" s="15"/>
      <c r="DJR230" s="15"/>
      <c r="DJS230" s="15"/>
      <c r="DJT230" s="15"/>
      <c r="DJU230" s="15"/>
      <c r="DJV230" s="10"/>
      <c r="DJW230" s="10"/>
      <c r="DJX230" s="21"/>
      <c r="DJY230" s="21"/>
      <c r="DKB230" s="21"/>
      <c r="DKC230" s="15"/>
      <c r="DKD230" s="15"/>
      <c r="DKE230" s="15"/>
      <c r="DKF230" s="15"/>
      <c r="DKG230" s="15"/>
      <c r="DKH230" s="15"/>
      <c r="DKI230" s="15"/>
      <c r="DKJ230" s="15"/>
      <c r="DKK230" s="15"/>
      <c r="DKL230" s="15"/>
      <c r="DKM230" s="10"/>
      <c r="DKN230" s="10"/>
      <c r="DKO230" s="21"/>
      <c r="DKP230" s="21"/>
      <c r="DKS230" s="21"/>
      <c r="DKT230" s="15"/>
      <c r="DKU230" s="15"/>
      <c r="DKV230" s="15"/>
      <c r="DKW230" s="15"/>
      <c r="DKX230" s="15"/>
      <c r="DKY230" s="15"/>
      <c r="DKZ230" s="15"/>
      <c r="DLA230" s="15"/>
      <c r="DLB230" s="15"/>
      <c r="DLC230" s="15"/>
      <c r="DLD230" s="10"/>
      <c r="DLE230" s="10"/>
      <c r="DLF230" s="21"/>
      <c r="DLG230" s="21"/>
      <c r="DLJ230" s="21"/>
      <c r="DLK230" s="15"/>
      <c r="DLL230" s="15"/>
      <c r="DLM230" s="15"/>
      <c r="DLN230" s="15"/>
      <c r="DLO230" s="15"/>
      <c r="DLP230" s="15"/>
      <c r="DLQ230" s="15"/>
      <c r="DLR230" s="15"/>
      <c r="DLS230" s="15"/>
      <c r="DLT230" s="15"/>
      <c r="DLU230" s="10"/>
      <c r="DLV230" s="10"/>
      <c r="DLW230" s="21"/>
      <c r="DLX230" s="21"/>
      <c r="DMA230" s="21"/>
      <c r="DMB230" s="15"/>
      <c r="DMC230" s="15"/>
      <c r="DMD230" s="15"/>
      <c r="DME230" s="15"/>
      <c r="DMF230" s="15"/>
      <c r="DMG230" s="15"/>
      <c r="DMH230" s="15"/>
      <c r="DMI230" s="15"/>
      <c r="DMJ230" s="15"/>
      <c r="DMK230" s="15"/>
      <c r="DML230" s="10"/>
      <c r="DMM230" s="10"/>
      <c r="DMN230" s="21"/>
      <c r="DMO230" s="21"/>
      <c r="DMR230" s="21"/>
      <c r="DMS230" s="15"/>
      <c r="DMT230" s="15"/>
      <c r="DMU230" s="15"/>
      <c r="DMV230" s="15"/>
      <c r="DMW230" s="15"/>
      <c r="DMX230" s="15"/>
      <c r="DMY230" s="15"/>
      <c r="DMZ230" s="15"/>
      <c r="DNA230" s="15"/>
      <c r="DNB230" s="15"/>
      <c r="DNC230" s="10"/>
      <c r="DND230" s="10"/>
      <c r="DNE230" s="21"/>
      <c r="DNF230" s="21"/>
      <c r="DNI230" s="21"/>
      <c r="DNJ230" s="15"/>
      <c r="DNK230" s="15"/>
      <c r="DNL230" s="15"/>
      <c r="DNM230" s="15"/>
      <c r="DNN230" s="15"/>
      <c r="DNO230" s="15"/>
      <c r="DNP230" s="15"/>
      <c r="DNQ230" s="15"/>
      <c r="DNR230" s="15"/>
      <c r="DNS230" s="15"/>
      <c r="DNT230" s="10"/>
      <c r="DNU230" s="10"/>
      <c r="DNV230" s="21"/>
      <c r="DNW230" s="21"/>
      <c r="DNZ230" s="21"/>
      <c r="DOA230" s="15"/>
      <c r="DOB230" s="15"/>
      <c r="DOC230" s="15"/>
      <c r="DOD230" s="15"/>
      <c r="DOE230" s="15"/>
      <c r="DOF230" s="15"/>
      <c r="DOG230" s="15"/>
      <c r="DOH230" s="15"/>
      <c r="DOI230" s="15"/>
      <c r="DOJ230" s="15"/>
      <c r="DOK230" s="10"/>
      <c r="DOL230" s="10"/>
      <c r="DOM230" s="21"/>
      <c r="DON230" s="21"/>
      <c r="DOQ230" s="21"/>
      <c r="DOR230" s="15"/>
      <c r="DOS230" s="15"/>
      <c r="DOT230" s="15"/>
      <c r="DOU230" s="15"/>
      <c r="DOV230" s="15"/>
      <c r="DOW230" s="15"/>
      <c r="DOX230" s="15"/>
      <c r="DOY230" s="15"/>
      <c r="DOZ230" s="15"/>
      <c r="DPA230" s="15"/>
      <c r="DPB230" s="10"/>
      <c r="DPC230" s="10"/>
      <c r="DPD230" s="21"/>
      <c r="DPE230" s="21"/>
      <c r="DPH230" s="21"/>
      <c r="DPI230" s="15"/>
      <c r="DPJ230" s="15"/>
      <c r="DPK230" s="15"/>
      <c r="DPL230" s="15"/>
      <c r="DPM230" s="15"/>
      <c r="DPN230" s="15"/>
      <c r="DPO230" s="15"/>
      <c r="DPP230" s="15"/>
      <c r="DPQ230" s="15"/>
      <c r="DPR230" s="15"/>
      <c r="DPS230" s="10"/>
      <c r="DPT230" s="10"/>
      <c r="DPU230" s="21"/>
      <c r="DPV230" s="21"/>
      <c r="DPY230" s="21"/>
      <c r="DPZ230" s="15"/>
      <c r="DQA230" s="15"/>
      <c r="DQB230" s="15"/>
      <c r="DQC230" s="15"/>
      <c r="DQD230" s="15"/>
      <c r="DQE230" s="15"/>
      <c r="DQF230" s="15"/>
      <c r="DQG230" s="15"/>
      <c r="DQH230" s="15"/>
      <c r="DQI230" s="15"/>
      <c r="DQJ230" s="10"/>
      <c r="DQK230" s="10"/>
      <c r="DQL230" s="21"/>
      <c r="DQM230" s="21"/>
      <c r="DQP230" s="21"/>
      <c r="DQQ230" s="15"/>
      <c r="DQR230" s="15"/>
      <c r="DQS230" s="15"/>
      <c r="DQT230" s="15"/>
      <c r="DQU230" s="15"/>
      <c r="DQV230" s="15"/>
      <c r="DQW230" s="15"/>
      <c r="DQX230" s="15"/>
      <c r="DQY230" s="15"/>
      <c r="DQZ230" s="15"/>
      <c r="DRA230" s="10"/>
      <c r="DRB230" s="10"/>
      <c r="DRC230" s="21"/>
      <c r="DRD230" s="21"/>
      <c r="DRG230" s="21"/>
      <c r="DRH230" s="15"/>
      <c r="DRI230" s="15"/>
      <c r="DRJ230" s="15"/>
      <c r="DRK230" s="15"/>
      <c r="DRL230" s="15"/>
      <c r="DRM230" s="15"/>
      <c r="DRN230" s="15"/>
      <c r="DRO230" s="15"/>
      <c r="DRP230" s="15"/>
      <c r="DRQ230" s="15"/>
      <c r="DRR230" s="10"/>
      <c r="DRS230" s="10"/>
      <c r="DRT230" s="21"/>
      <c r="DRU230" s="21"/>
      <c r="DRX230" s="21"/>
      <c r="DRY230" s="15"/>
      <c r="DRZ230" s="15"/>
      <c r="DSA230" s="15"/>
      <c r="DSB230" s="15"/>
      <c r="DSC230" s="15"/>
      <c r="DSD230" s="15"/>
      <c r="DSE230" s="15"/>
      <c r="DSF230" s="15"/>
      <c r="DSG230" s="15"/>
      <c r="DSH230" s="15"/>
      <c r="DSI230" s="10"/>
      <c r="DSJ230" s="10"/>
      <c r="DSK230" s="21"/>
      <c r="DSL230" s="21"/>
      <c r="DSO230" s="21"/>
      <c r="DSP230" s="15"/>
      <c r="DSQ230" s="15"/>
      <c r="DSR230" s="15"/>
      <c r="DSS230" s="15"/>
      <c r="DST230" s="15"/>
      <c r="DSU230" s="15"/>
      <c r="DSV230" s="15"/>
      <c r="DSW230" s="15"/>
      <c r="DSX230" s="15"/>
      <c r="DSY230" s="15"/>
      <c r="DSZ230" s="10"/>
      <c r="DTA230" s="10"/>
      <c r="DTB230" s="21"/>
      <c r="DTC230" s="21"/>
      <c r="DTF230" s="21"/>
      <c r="DTG230" s="15"/>
      <c r="DTH230" s="15"/>
      <c r="DTI230" s="15"/>
      <c r="DTJ230" s="15"/>
      <c r="DTK230" s="15"/>
      <c r="DTL230" s="15"/>
      <c r="DTM230" s="15"/>
      <c r="DTN230" s="15"/>
      <c r="DTO230" s="15"/>
      <c r="DTP230" s="15"/>
      <c r="DTQ230" s="10"/>
      <c r="DTR230" s="10"/>
      <c r="DTS230" s="21"/>
      <c r="DTT230" s="21"/>
      <c r="DTW230" s="21"/>
      <c r="DTX230" s="15"/>
      <c r="DTY230" s="15"/>
      <c r="DTZ230" s="15"/>
      <c r="DUA230" s="15"/>
      <c r="DUB230" s="15"/>
      <c r="DUC230" s="15"/>
      <c r="DUD230" s="15"/>
      <c r="DUE230" s="15"/>
      <c r="DUF230" s="15"/>
      <c r="DUG230" s="15"/>
      <c r="DUH230" s="10"/>
      <c r="DUI230" s="10"/>
      <c r="DUJ230" s="21"/>
      <c r="DUK230" s="21"/>
      <c r="DUN230" s="21"/>
      <c r="DUO230" s="15"/>
      <c r="DUP230" s="15"/>
      <c r="DUQ230" s="15"/>
      <c r="DUR230" s="15"/>
      <c r="DUS230" s="15"/>
      <c r="DUT230" s="15"/>
      <c r="DUU230" s="15"/>
      <c r="DUV230" s="15"/>
      <c r="DUW230" s="15"/>
      <c r="DUX230" s="15"/>
      <c r="DUY230" s="10"/>
      <c r="DUZ230" s="10"/>
      <c r="DVA230" s="21"/>
      <c r="DVB230" s="21"/>
      <c r="DVE230" s="21"/>
      <c r="DVF230" s="15"/>
      <c r="DVG230" s="15"/>
      <c r="DVH230" s="15"/>
      <c r="DVI230" s="15"/>
      <c r="DVJ230" s="15"/>
      <c r="DVK230" s="15"/>
      <c r="DVL230" s="15"/>
      <c r="DVM230" s="15"/>
      <c r="DVN230" s="15"/>
      <c r="DVO230" s="15"/>
      <c r="DVP230" s="10"/>
      <c r="DVQ230" s="10"/>
      <c r="DVR230" s="21"/>
      <c r="DVS230" s="21"/>
      <c r="DVV230" s="21"/>
      <c r="DVW230" s="15"/>
      <c r="DVX230" s="15"/>
      <c r="DVY230" s="15"/>
      <c r="DVZ230" s="15"/>
      <c r="DWA230" s="15"/>
      <c r="DWB230" s="15"/>
      <c r="DWC230" s="15"/>
      <c r="DWD230" s="15"/>
      <c r="DWE230" s="15"/>
      <c r="DWF230" s="15"/>
      <c r="DWG230" s="10"/>
      <c r="DWH230" s="10"/>
      <c r="DWI230" s="21"/>
      <c r="DWJ230" s="21"/>
      <c r="DWM230" s="21"/>
      <c r="DWN230" s="15"/>
      <c r="DWO230" s="15"/>
      <c r="DWP230" s="15"/>
      <c r="DWQ230" s="15"/>
      <c r="DWR230" s="15"/>
      <c r="DWS230" s="15"/>
      <c r="DWT230" s="15"/>
      <c r="DWU230" s="15"/>
      <c r="DWV230" s="15"/>
      <c r="DWW230" s="15"/>
      <c r="DWX230" s="10"/>
      <c r="DWY230" s="10"/>
      <c r="DWZ230" s="21"/>
      <c r="DXA230" s="21"/>
      <c r="DXD230" s="21"/>
      <c r="DXE230" s="15"/>
      <c r="DXF230" s="15"/>
      <c r="DXG230" s="15"/>
      <c r="DXH230" s="15"/>
      <c r="DXI230" s="15"/>
      <c r="DXJ230" s="15"/>
      <c r="DXK230" s="15"/>
      <c r="DXL230" s="15"/>
      <c r="DXM230" s="15"/>
      <c r="DXN230" s="15"/>
      <c r="DXO230" s="10"/>
      <c r="DXP230" s="10"/>
      <c r="DXQ230" s="21"/>
      <c r="DXR230" s="21"/>
      <c r="DXU230" s="21"/>
      <c r="DXV230" s="15"/>
      <c r="DXW230" s="15"/>
      <c r="DXX230" s="15"/>
      <c r="DXY230" s="15"/>
      <c r="DXZ230" s="15"/>
      <c r="DYA230" s="15"/>
      <c r="DYB230" s="15"/>
      <c r="DYC230" s="15"/>
      <c r="DYD230" s="15"/>
      <c r="DYE230" s="15"/>
      <c r="DYF230" s="10"/>
      <c r="DYG230" s="10"/>
      <c r="DYH230" s="21"/>
      <c r="DYI230" s="21"/>
      <c r="DYL230" s="21"/>
      <c r="DYM230" s="15"/>
      <c r="DYN230" s="15"/>
      <c r="DYO230" s="15"/>
      <c r="DYP230" s="15"/>
      <c r="DYQ230" s="15"/>
      <c r="DYR230" s="15"/>
      <c r="DYS230" s="15"/>
      <c r="DYT230" s="15"/>
      <c r="DYU230" s="15"/>
      <c r="DYV230" s="15"/>
      <c r="DYW230" s="10"/>
      <c r="DYX230" s="10"/>
      <c r="DYY230" s="21"/>
      <c r="DYZ230" s="21"/>
      <c r="DZC230" s="21"/>
      <c r="DZD230" s="15"/>
      <c r="DZE230" s="15"/>
      <c r="DZF230" s="15"/>
      <c r="DZG230" s="15"/>
      <c r="DZH230" s="15"/>
      <c r="DZI230" s="15"/>
      <c r="DZJ230" s="15"/>
      <c r="DZK230" s="15"/>
      <c r="DZL230" s="15"/>
      <c r="DZM230" s="15"/>
      <c r="DZN230" s="10"/>
      <c r="DZO230" s="10"/>
      <c r="DZP230" s="21"/>
      <c r="DZQ230" s="21"/>
      <c r="DZT230" s="21"/>
      <c r="DZU230" s="15"/>
      <c r="DZV230" s="15"/>
      <c r="DZW230" s="15"/>
      <c r="DZX230" s="15"/>
      <c r="DZY230" s="15"/>
      <c r="DZZ230" s="15"/>
      <c r="EAA230" s="15"/>
      <c r="EAB230" s="15"/>
      <c r="EAC230" s="15"/>
      <c r="EAD230" s="15"/>
      <c r="EAE230" s="10"/>
      <c r="EAF230" s="10"/>
      <c r="EAG230" s="21"/>
      <c r="EAH230" s="21"/>
      <c r="EAK230" s="21"/>
      <c r="EAL230" s="15"/>
      <c r="EAM230" s="15"/>
      <c r="EAN230" s="15"/>
      <c r="EAO230" s="15"/>
      <c r="EAP230" s="15"/>
      <c r="EAQ230" s="15"/>
      <c r="EAR230" s="15"/>
      <c r="EAS230" s="15"/>
      <c r="EAT230" s="15"/>
      <c r="EAU230" s="15"/>
      <c r="EAV230" s="10"/>
      <c r="EAW230" s="10"/>
      <c r="EAX230" s="21"/>
      <c r="EAY230" s="21"/>
      <c r="EBB230" s="21"/>
      <c r="EBC230" s="15"/>
      <c r="EBD230" s="15"/>
      <c r="EBE230" s="15"/>
      <c r="EBF230" s="15"/>
      <c r="EBG230" s="15"/>
      <c r="EBH230" s="15"/>
      <c r="EBI230" s="15"/>
      <c r="EBJ230" s="15"/>
      <c r="EBK230" s="15"/>
      <c r="EBL230" s="15"/>
      <c r="EBM230" s="10"/>
      <c r="EBN230" s="10"/>
      <c r="EBO230" s="21"/>
      <c r="EBP230" s="21"/>
      <c r="EBS230" s="21"/>
      <c r="EBT230" s="15"/>
      <c r="EBU230" s="15"/>
      <c r="EBV230" s="15"/>
      <c r="EBW230" s="15"/>
      <c r="EBX230" s="15"/>
      <c r="EBY230" s="15"/>
      <c r="EBZ230" s="15"/>
      <c r="ECA230" s="15"/>
      <c r="ECB230" s="15"/>
      <c r="ECC230" s="15"/>
      <c r="ECD230" s="10"/>
      <c r="ECE230" s="10"/>
      <c r="ECF230" s="21"/>
      <c r="ECG230" s="21"/>
      <c r="ECJ230" s="21"/>
      <c r="ECK230" s="15"/>
      <c r="ECL230" s="15"/>
      <c r="ECM230" s="15"/>
      <c r="ECN230" s="15"/>
      <c r="ECO230" s="15"/>
      <c r="ECP230" s="15"/>
      <c r="ECQ230" s="15"/>
      <c r="ECR230" s="15"/>
      <c r="ECS230" s="15"/>
      <c r="ECT230" s="15"/>
      <c r="ECU230" s="10"/>
      <c r="ECV230" s="10"/>
      <c r="ECW230" s="21"/>
      <c r="ECX230" s="21"/>
      <c r="EDA230" s="21"/>
      <c r="EDB230" s="15"/>
      <c r="EDC230" s="15"/>
      <c r="EDD230" s="15"/>
      <c r="EDE230" s="15"/>
      <c r="EDF230" s="15"/>
      <c r="EDG230" s="15"/>
      <c r="EDH230" s="15"/>
      <c r="EDI230" s="15"/>
      <c r="EDJ230" s="15"/>
      <c r="EDK230" s="15"/>
      <c r="EDL230" s="10"/>
      <c r="EDM230" s="10"/>
      <c r="EDN230" s="21"/>
      <c r="EDO230" s="21"/>
      <c r="EDR230" s="21"/>
      <c r="EDS230" s="15"/>
      <c r="EDT230" s="15"/>
      <c r="EDU230" s="15"/>
      <c r="EDV230" s="15"/>
      <c r="EDW230" s="15"/>
      <c r="EDX230" s="15"/>
      <c r="EDY230" s="15"/>
      <c r="EDZ230" s="15"/>
      <c r="EEA230" s="15"/>
      <c r="EEB230" s="15"/>
      <c r="EEC230" s="10"/>
      <c r="EED230" s="10"/>
      <c r="EEE230" s="21"/>
      <c r="EEF230" s="21"/>
      <c r="EEI230" s="21"/>
      <c r="EEJ230" s="15"/>
      <c r="EEK230" s="15"/>
      <c r="EEL230" s="15"/>
      <c r="EEM230" s="15"/>
      <c r="EEN230" s="15"/>
      <c r="EEO230" s="15"/>
      <c r="EEP230" s="15"/>
      <c r="EEQ230" s="15"/>
      <c r="EER230" s="15"/>
      <c r="EES230" s="15"/>
      <c r="EET230" s="10"/>
      <c r="EEU230" s="10"/>
      <c r="EEV230" s="21"/>
      <c r="EEW230" s="21"/>
      <c r="EEZ230" s="21"/>
      <c r="EFA230" s="15"/>
      <c r="EFB230" s="15"/>
      <c r="EFC230" s="15"/>
      <c r="EFD230" s="15"/>
      <c r="EFE230" s="15"/>
      <c r="EFF230" s="15"/>
      <c r="EFG230" s="15"/>
      <c r="EFH230" s="15"/>
      <c r="EFI230" s="15"/>
      <c r="EFJ230" s="15"/>
      <c r="EFK230" s="10"/>
      <c r="EFL230" s="10"/>
      <c r="EFM230" s="21"/>
      <c r="EFN230" s="21"/>
      <c r="EFQ230" s="21"/>
      <c r="EFR230" s="15"/>
      <c r="EFS230" s="15"/>
      <c r="EFT230" s="15"/>
      <c r="EFU230" s="15"/>
      <c r="EFV230" s="15"/>
      <c r="EFW230" s="15"/>
      <c r="EFX230" s="15"/>
      <c r="EFY230" s="15"/>
      <c r="EFZ230" s="15"/>
      <c r="EGA230" s="15"/>
      <c r="EGB230" s="10"/>
      <c r="EGC230" s="10"/>
      <c r="EGD230" s="21"/>
      <c r="EGE230" s="21"/>
      <c r="EGH230" s="21"/>
      <c r="EGI230" s="15"/>
      <c r="EGJ230" s="15"/>
      <c r="EGK230" s="15"/>
      <c r="EGL230" s="15"/>
      <c r="EGM230" s="15"/>
      <c r="EGN230" s="15"/>
      <c r="EGO230" s="15"/>
      <c r="EGP230" s="15"/>
      <c r="EGQ230" s="15"/>
      <c r="EGR230" s="15"/>
      <c r="EGS230" s="10"/>
      <c r="EGT230" s="10"/>
      <c r="EGU230" s="21"/>
      <c r="EGV230" s="21"/>
      <c r="EGY230" s="21"/>
      <c r="EGZ230" s="15"/>
      <c r="EHA230" s="15"/>
      <c r="EHB230" s="15"/>
      <c r="EHC230" s="15"/>
      <c r="EHD230" s="15"/>
      <c r="EHE230" s="15"/>
      <c r="EHF230" s="15"/>
      <c r="EHG230" s="15"/>
      <c r="EHH230" s="15"/>
      <c r="EHI230" s="15"/>
      <c r="EHJ230" s="10"/>
      <c r="EHK230" s="10"/>
      <c r="EHL230" s="21"/>
      <c r="EHM230" s="21"/>
      <c r="EHP230" s="21"/>
      <c r="EHQ230" s="15"/>
      <c r="EHR230" s="15"/>
      <c r="EHS230" s="15"/>
      <c r="EHT230" s="15"/>
      <c r="EHU230" s="15"/>
      <c r="EHV230" s="15"/>
      <c r="EHW230" s="15"/>
      <c r="EHX230" s="15"/>
      <c r="EHY230" s="15"/>
      <c r="EHZ230" s="15"/>
      <c r="EIA230" s="10"/>
      <c r="EIB230" s="10"/>
      <c r="EIC230" s="21"/>
      <c r="EID230" s="21"/>
      <c r="EIG230" s="21"/>
      <c r="EIH230" s="15"/>
      <c r="EII230" s="15"/>
      <c r="EIJ230" s="15"/>
      <c r="EIK230" s="15"/>
      <c r="EIL230" s="15"/>
      <c r="EIM230" s="15"/>
      <c r="EIN230" s="15"/>
      <c r="EIO230" s="15"/>
      <c r="EIP230" s="15"/>
      <c r="EIQ230" s="15"/>
      <c r="EIR230" s="10"/>
      <c r="EIS230" s="10"/>
      <c r="EIT230" s="21"/>
      <c r="EIU230" s="21"/>
      <c r="EIX230" s="21"/>
      <c r="EIY230" s="15"/>
      <c r="EIZ230" s="15"/>
      <c r="EJA230" s="15"/>
      <c r="EJB230" s="15"/>
      <c r="EJC230" s="15"/>
      <c r="EJD230" s="15"/>
      <c r="EJE230" s="15"/>
      <c r="EJF230" s="15"/>
      <c r="EJG230" s="15"/>
      <c r="EJH230" s="15"/>
      <c r="EJI230" s="10"/>
      <c r="EJJ230" s="10"/>
      <c r="EJK230" s="21"/>
      <c r="EJL230" s="21"/>
      <c r="EJO230" s="21"/>
      <c r="EJP230" s="15"/>
      <c r="EJQ230" s="15"/>
      <c r="EJR230" s="15"/>
      <c r="EJS230" s="15"/>
      <c r="EJT230" s="15"/>
      <c r="EJU230" s="15"/>
      <c r="EJV230" s="15"/>
      <c r="EJW230" s="15"/>
      <c r="EJX230" s="15"/>
      <c r="EJY230" s="15"/>
      <c r="EJZ230" s="10"/>
      <c r="EKA230" s="10"/>
      <c r="EKB230" s="21"/>
      <c r="EKC230" s="21"/>
      <c r="EKF230" s="21"/>
      <c r="EKG230" s="15"/>
      <c r="EKH230" s="15"/>
      <c r="EKI230" s="15"/>
      <c r="EKJ230" s="15"/>
      <c r="EKK230" s="15"/>
      <c r="EKL230" s="15"/>
      <c r="EKM230" s="15"/>
      <c r="EKN230" s="15"/>
      <c r="EKO230" s="15"/>
      <c r="EKP230" s="15"/>
      <c r="EKQ230" s="10"/>
      <c r="EKR230" s="10"/>
      <c r="EKS230" s="21"/>
      <c r="EKT230" s="21"/>
      <c r="EKW230" s="21"/>
      <c r="EKX230" s="15"/>
      <c r="EKY230" s="15"/>
      <c r="EKZ230" s="15"/>
      <c r="ELA230" s="15"/>
      <c r="ELB230" s="15"/>
      <c r="ELC230" s="15"/>
      <c r="ELD230" s="15"/>
      <c r="ELE230" s="15"/>
      <c r="ELF230" s="15"/>
      <c r="ELG230" s="15"/>
      <c r="ELH230" s="10"/>
      <c r="ELI230" s="10"/>
      <c r="ELJ230" s="21"/>
      <c r="ELK230" s="21"/>
      <c r="ELN230" s="21"/>
      <c r="ELO230" s="15"/>
      <c r="ELP230" s="15"/>
      <c r="ELQ230" s="15"/>
      <c r="ELR230" s="15"/>
      <c r="ELS230" s="15"/>
      <c r="ELT230" s="15"/>
      <c r="ELU230" s="15"/>
      <c r="ELV230" s="15"/>
      <c r="ELW230" s="15"/>
      <c r="ELX230" s="15"/>
      <c r="ELY230" s="10"/>
      <c r="ELZ230" s="10"/>
      <c r="EMA230" s="21"/>
      <c r="EMB230" s="21"/>
      <c r="EME230" s="21"/>
      <c r="EMF230" s="15"/>
      <c r="EMG230" s="15"/>
      <c r="EMH230" s="15"/>
      <c r="EMI230" s="15"/>
      <c r="EMJ230" s="15"/>
      <c r="EMK230" s="15"/>
      <c r="EML230" s="15"/>
      <c r="EMM230" s="15"/>
      <c r="EMN230" s="15"/>
      <c r="EMO230" s="15"/>
      <c r="EMP230" s="10"/>
      <c r="EMQ230" s="10"/>
      <c r="EMR230" s="21"/>
      <c r="EMS230" s="21"/>
      <c r="EMV230" s="21"/>
      <c r="EMW230" s="15"/>
      <c r="EMX230" s="15"/>
      <c r="EMY230" s="15"/>
      <c r="EMZ230" s="15"/>
      <c r="ENA230" s="15"/>
      <c r="ENB230" s="15"/>
      <c r="ENC230" s="15"/>
      <c r="END230" s="15"/>
      <c r="ENE230" s="15"/>
      <c r="ENF230" s="15"/>
      <c r="ENG230" s="10"/>
      <c r="ENH230" s="10"/>
      <c r="ENI230" s="21"/>
      <c r="ENJ230" s="21"/>
      <c r="ENM230" s="21"/>
      <c r="ENN230" s="15"/>
      <c r="ENO230" s="15"/>
      <c r="ENP230" s="15"/>
      <c r="ENQ230" s="15"/>
      <c r="ENR230" s="15"/>
      <c r="ENS230" s="15"/>
      <c r="ENT230" s="15"/>
      <c r="ENU230" s="15"/>
      <c r="ENV230" s="15"/>
      <c r="ENW230" s="15"/>
      <c r="ENX230" s="10"/>
      <c r="ENY230" s="10"/>
      <c r="ENZ230" s="21"/>
      <c r="EOA230" s="21"/>
      <c r="EOD230" s="21"/>
      <c r="EOE230" s="15"/>
      <c r="EOF230" s="15"/>
      <c r="EOG230" s="15"/>
      <c r="EOH230" s="15"/>
      <c r="EOI230" s="15"/>
      <c r="EOJ230" s="15"/>
      <c r="EOK230" s="15"/>
      <c r="EOL230" s="15"/>
      <c r="EOM230" s="15"/>
      <c r="EON230" s="15"/>
      <c r="EOO230" s="10"/>
      <c r="EOP230" s="10"/>
      <c r="EOQ230" s="21"/>
      <c r="EOR230" s="21"/>
      <c r="EOU230" s="21"/>
      <c r="EOV230" s="15"/>
      <c r="EOW230" s="15"/>
      <c r="EOX230" s="15"/>
      <c r="EOY230" s="15"/>
      <c r="EOZ230" s="15"/>
      <c r="EPA230" s="15"/>
      <c r="EPB230" s="15"/>
      <c r="EPC230" s="15"/>
      <c r="EPD230" s="15"/>
      <c r="EPE230" s="15"/>
      <c r="EPF230" s="10"/>
      <c r="EPG230" s="10"/>
      <c r="EPH230" s="21"/>
      <c r="EPI230" s="21"/>
      <c r="EPL230" s="21"/>
      <c r="EPM230" s="15"/>
      <c r="EPN230" s="15"/>
      <c r="EPO230" s="15"/>
      <c r="EPP230" s="15"/>
      <c r="EPQ230" s="15"/>
      <c r="EPR230" s="15"/>
      <c r="EPS230" s="15"/>
      <c r="EPT230" s="15"/>
      <c r="EPU230" s="15"/>
      <c r="EPV230" s="15"/>
      <c r="EPW230" s="10"/>
      <c r="EPX230" s="10"/>
      <c r="EPY230" s="21"/>
      <c r="EPZ230" s="21"/>
      <c r="EQC230" s="21"/>
      <c r="EQD230" s="15"/>
      <c r="EQE230" s="15"/>
      <c r="EQF230" s="15"/>
      <c r="EQG230" s="15"/>
      <c r="EQH230" s="15"/>
      <c r="EQI230" s="15"/>
      <c r="EQJ230" s="15"/>
      <c r="EQK230" s="15"/>
      <c r="EQL230" s="15"/>
      <c r="EQM230" s="15"/>
      <c r="EQN230" s="10"/>
      <c r="EQO230" s="10"/>
      <c r="EQP230" s="21"/>
      <c r="EQQ230" s="21"/>
      <c r="EQT230" s="21"/>
      <c r="EQU230" s="15"/>
      <c r="EQV230" s="15"/>
      <c r="EQW230" s="15"/>
      <c r="EQX230" s="15"/>
      <c r="EQY230" s="15"/>
      <c r="EQZ230" s="15"/>
      <c r="ERA230" s="15"/>
      <c r="ERB230" s="15"/>
      <c r="ERC230" s="15"/>
      <c r="ERD230" s="15"/>
      <c r="ERE230" s="10"/>
      <c r="ERF230" s="10"/>
      <c r="ERG230" s="21"/>
      <c r="ERH230" s="21"/>
      <c r="ERK230" s="21"/>
      <c r="ERL230" s="15"/>
      <c r="ERM230" s="15"/>
      <c r="ERN230" s="15"/>
      <c r="ERO230" s="15"/>
      <c r="ERP230" s="15"/>
      <c r="ERQ230" s="15"/>
      <c r="ERR230" s="15"/>
      <c r="ERS230" s="15"/>
      <c r="ERT230" s="15"/>
      <c r="ERU230" s="15"/>
      <c r="ERV230" s="10"/>
      <c r="ERW230" s="10"/>
      <c r="ERX230" s="21"/>
      <c r="ERY230" s="21"/>
      <c r="ESB230" s="21"/>
      <c r="ESC230" s="15"/>
      <c r="ESD230" s="15"/>
      <c r="ESE230" s="15"/>
      <c r="ESF230" s="15"/>
      <c r="ESG230" s="15"/>
      <c r="ESH230" s="15"/>
      <c r="ESI230" s="15"/>
      <c r="ESJ230" s="15"/>
      <c r="ESK230" s="15"/>
      <c r="ESL230" s="15"/>
      <c r="ESM230" s="10"/>
      <c r="ESN230" s="10"/>
      <c r="ESO230" s="21"/>
      <c r="ESP230" s="21"/>
      <c r="ESS230" s="21"/>
      <c r="EST230" s="15"/>
      <c r="ESU230" s="15"/>
      <c r="ESV230" s="15"/>
      <c r="ESW230" s="15"/>
      <c r="ESX230" s="15"/>
      <c r="ESY230" s="15"/>
      <c r="ESZ230" s="15"/>
      <c r="ETA230" s="15"/>
      <c r="ETB230" s="15"/>
      <c r="ETC230" s="15"/>
      <c r="ETD230" s="10"/>
      <c r="ETE230" s="10"/>
      <c r="ETF230" s="21"/>
      <c r="ETG230" s="21"/>
      <c r="ETJ230" s="21"/>
      <c r="ETK230" s="15"/>
      <c r="ETL230" s="15"/>
      <c r="ETM230" s="15"/>
      <c r="ETN230" s="15"/>
      <c r="ETO230" s="15"/>
      <c r="ETP230" s="15"/>
      <c r="ETQ230" s="15"/>
      <c r="ETR230" s="15"/>
      <c r="ETS230" s="15"/>
      <c r="ETT230" s="15"/>
      <c r="ETU230" s="10"/>
      <c r="ETV230" s="10"/>
      <c r="ETW230" s="21"/>
      <c r="ETX230" s="21"/>
      <c r="EUA230" s="21"/>
      <c r="EUB230" s="15"/>
      <c r="EUC230" s="15"/>
      <c r="EUD230" s="15"/>
      <c r="EUE230" s="15"/>
      <c r="EUF230" s="15"/>
      <c r="EUG230" s="15"/>
      <c r="EUH230" s="15"/>
      <c r="EUI230" s="15"/>
      <c r="EUJ230" s="15"/>
      <c r="EUK230" s="15"/>
      <c r="EUL230" s="10"/>
      <c r="EUM230" s="10"/>
      <c r="EUN230" s="21"/>
      <c r="EUO230" s="21"/>
      <c r="EUR230" s="21"/>
      <c r="EUS230" s="15"/>
      <c r="EUT230" s="15"/>
      <c r="EUU230" s="15"/>
      <c r="EUV230" s="15"/>
      <c r="EUW230" s="15"/>
      <c r="EUX230" s="15"/>
      <c r="EUY230" s="15"/>
      <c r="EUZ230" s="15"/>
      <c r="EVA230" s="15"/>
      <c r="EVB230" s="15"/>
      <c r="EVC230" s="10"/>
      <c r="EVD230" s="10"/>
      <c r="EVE230" s="21"/>
      <c r="EVF230" s="21"/>
      <c r="EVI230" s="21"/>
      <c r="EVJ230" s="15"/>
      <c r="EVK230" s="15"/>
      <c r="EVL230" s="15"/>
      <c r="EVM230" s="15"/>
      <c r="EVN230" s="15"/>
      <c r="EVO230" s="15"/>
      <c r="EVP230" s="15"/>
      <c r="EVQ230" s="15"/>
      <c r="EVR230" s="15"/>
      <c r="EVS230" s="15"/>
      <c r="EVT230" s="10"/>
      <c r="EVU230" s="10"/>
      <c r="EVV230" s="21"/>
      <c r="EVW230" s="21"/>
      <c r="EVZ230" s="21"/>
      <c r="EWA230" s="15"/>
      <c r="EWB230" s="15"/>
      <c r="EWC230" s="15"/>
      <c r="EWD230" s="15"/>
      <c r="EWE230" s="15"/>
      <c r="EWF230" s="15"/>
      <c r="EWG230" s="15"/>
      <c r="EWH230" s="15"/>
      <c r="EWI230" s="15"/>
      <c r="EWJ230" s="15"/>
      <c r="EWK230" s="10"/>
      <c r="EWL230" s="10"/>
      <c r="EWM230" s="21"/>
      <c r="EWN230" s="21"/>
      <c r="EWQ230" s="21"/>
      <c r="EWR230" s="15"/>
      <c r="EWS230" s="15"/>
      <c r="EWT230" s="15"/>
      <c r="EWU230" s="15"/>
      <c r="EWV230" s="15"/>
      <c r="EWW230" s="15"/>
      <c r="EWX230" s="15"/>
      <c r="EWY230" s="15"/>
      <c r="EWZ230" s="15"/>
      <c r="EXA230" s="15"/>
      <c r="EXB230" s="10"/>
      <c r="EXC230" s="10"/>
      <c r="EXD230" s="21"/>
      <c r="EXE230" s="21"/>
      <c r="EXH230" s="21"/>
      <c r="EXI230" s="15"/>
      <c r="EXJ230" s="15"/>
      <c r="EXK230" s="15"/>
      <c r="EXL230" s="15"/>
      <c r="EXM230" s="15"/>
      <c r="EXN230" s="15"/>
      <c r="EXO230" s="15"/>
      <c r="EXP230" s="15"/>
      <c r="EXQ230" s="15"/>
      <c r="EXR230" s="15"/>
      <c r="EXS230" s="10"/>
      <c r="EXT230" s="10"/>
      <c r="EXU230" s="21"/>
      <c r="EXV230" s="21"/>
      <c r="EXY230" s="21"/>
      <c r="EXZ230" s="15"/>
      <c r="EYA230" s="15"/>
      <c r="EYB230" s="15"/>
      <c r="EYC230" s="15"/>
      <c r="EYD230" s="15"/>
      <c r="EYE230" s="15"/>
      <c r="EYF230" s="15"/>
      <c r="EYG230" s="15"/>
      <c r="EYH230" s="15"/>
      <c r="EYI230" s="15"/>
      <c r="EYJ230" s="10"/>
      <c r="EYK230" s="10"/>
      <c r="EYL230" s="21"/>
      <c r="EYM230" s="21"/>
      <c r="EYP230" s="21"/>
      <c r="EYQ230" s="15"/>
      <c r="EYR230" s="15"/>
      <c r="EYS230" s="15"/>
      <c r="EYT230" s="15"/>
      <c r="EYU230" s="15"/>
      <c r="EYV230" s="15"/>
      <c r="EYW230" s="15"/>
      <c r="EYX230" s="15"/>
      <c r="EYY230" s="15"/>
      <c r="EYZ230" s="15"/>
      <c r="EZA230" s="10"/>
      <c r="EZB230" s="10"/>
      <c r="EZC230" s="21"/>
      <c r="EZD230" s="21"/>
      <c r="EZG230" s="21"/>
      <c r="EZH230" s="15"/>
      <c r="EZI230" s="15"/>
      <c r="EZJ230" s="15"/>
      <c r="EZK230" s="15"/>
      <c r="EZL230" s="15"/>
      <c r="EZM230" s="15"/>
      <c r="EZN230" s="15"/>
      <c r="EZO230" s="15"/>
      <c r="EZP230" s="15"/>
      <c r="EZQ230" s="15"/>
      <c r="EZR230" s="10"/>
      <c r="EZS230" s="10"/>
      <c r="EZT230" s="21"/>
      <c r="EZU230" s="21"/>
      <c r="EZX230" s="21"/>
      <c r="EZY230" s="15"/>
      <c r="EZZ230" s="15"/>
      <c r="FAA230" s="15"/>
      <c r="FAB230" s="15"/>
      <c r="FAC230" s="15"/>
      <c r="FAD230" s="15"/>
      <c r="FAE230" s="15"/>
      <c r="FAF230" s="15"/>
      <c r="FAG230" s="15"/>
      <c r="FAH230" s="15"/>
      <c r="FAI230" s="10"/>
      <c r="FAJ230" s="10"/>
      <c r="FAK230" s="21"/>
      <c r="FAL230" s="21"/>
      <c r="FAO230" s="21"/>
      <c r="FAP230" s="15"/>
      <c r="FAQ230" s="15"/>
      <c r="FAR230" s="15"/>
      <c r="FAS230" s="15"/>
      <c r="FAT230" s="15"/>
      <c r="FAU230" s="15"/>
      <c r="FAV230" s="15"/>
      <c r="FAW230" s="15"/>
      <c r="FAX230" s="15"/>
      <c r="FAY230" s="15"/>
      <c r="FAZ230" s="10"/>
      <c r="FBA230" s="10"/>
      <c r="FBB230" s="21"/>
      <c r="FBC230" s="21"/>
      <c r="FBF230" s="21"/>
      <c r="FBG230" s="15"/>
      <c r="FBH230" s="15"/>
      <c r="FBI230" s="15"/>
      <c r="FBJ230" s="15"/>
      <c r="FBK230" s="15"/>
      <c r="FBL230" s="15"/>
      <c r="FBM230" s="15"/>
      <c r="FBN230" s="15"/>
      <c r="FBO230" s="15"/>
      <c r="FBP230" s="15"/>
      <c r="FBQ230" s="10"/>
      <c r="FBR230" s="10"/>
      <c r="FBS230" s="21"/>
      <c r="FBT230" s="21"/>
      <c r="FBW230" s="21"/>
      <c r="FBX230" s="15"/>
      <c r="FBY230" s="15"/>
      <c r="FBZ230" s="15"/>
      <c r="FCA230" s="15"/>
      <c r="FCB230" s="15"/>
      <c r="FCC230" s="15"/>
      <c r="FCD230" s="15"/>
      <c r="FCE230" s="15"/>
      <c r="FCF230" s="15"/>
      <c r="FCG230" s="15"/>
      <c r="FCH230" s="10"/>
      <c r="FCI230" s="10"/>
      <c r="FCJ230" s="21"/>
      <c r="FCK230" s="21"/>
      <c r="FCN230" s="21"/>
      <c r="FCO230" s="15"/>
      <c r="FCP230" s="15"/>
      <c r="FCQ230" s="15"/>
      <c r="FCR230" s="15"/>
      <c r="FCS230" s="15"/>
      <c r="FCT230" s="15"/>
      <c r="FCU230" s="15"/>
      <c r="FCV230" s="15"/>
      <c r="FCW230" s="15"/>
      <c r="FCX230" s="15"/>
      <c r="FCY230" s="10"/>
      <c r="FCZ230" s="10"/>
      <c r="FDA230" s="21"/>
      <c r="FDB230" s="21"/>
      <c r="FDE230" s="21"/>
      <c r="FDF230" s="15"/>
      <c r="FDG230" s="15"/>
      <c r="FDH230" s="15"/>
      <c r="FDI230" s="15"/>
      <c r="FDJ230" s="15"/>
      <c r="FDK230" s="15"/>
      <c r="FDL230" s="15"/>
      <c r="FDM230" s="15"/>
      <c r="FDN230" s="15"/>
      <c r="FDO230" s="15"/>
      <c r="FDP230" s="10"/>
      <c r="FDQ230" s="10"/>
      <c r="FDR230" s="21"/>
      <c r="FDS230" s="21"/>
      <c r="FDV230" s="21"/>
      <c r="FDW230" s="15"/>
      <c r="FDX230" s="15"/>
      <c r="FDY230" s="15"/>
      <c r="FDZ230" s="15"/>
      <c r="FEA230" s="15"/>
      <c r="FEB230" s="15"/>
      <c r="FEC230" s="15"/>
      <c r="FED230" s="15"/>
      <c r="FEE230" s="15"/>
      <c r="FEF230" s="15"/>
      <c r="FEG230" s="10"/>
      <c r="FEH230" s="10"/>
      <c r="FEI230" s="21"/>
      <c r="FEJ230" s="21"/>
      <c r="FEM230" s="21"/>
      <c r="FEN230" s="15"/>
      <c r="FEO230" s="15"/>
      <c r="FEP230" s="15"/>
      <c r="FEQ230" s="15"/>
      <c r="FER230" s="15"/>
      <c r="FES230" s="15"/>
      <c r="FET230" s="15"/>
      <c r="FEU230" s="15"/>
      <c r="FEV230" s="15"/>
      <c r="FEW230" s="15"/>
      <c r="FEX230" s="10"/>
      <c r="FEY230" s="10"/>
      <c r="FEZ230" s="21"/>
      <c r="FFA230" s="21"/>
      <c r="FFD230" s="21"/>
      <c r="FFE230" s="15"/>
      <c r="FFF230" s="15"/>
      <c r="FFG230" s="15"/>
      <c r="FFH230" s="15"/>
      <c r="FFI230" s="15"/>
      <c r="FFJ230" s="15"/>
      <c r="FFK230" s="15"/>
      <c r="FFL230" s="15"/>
      <c r="FFM230" s="15"/>
      <c r="FFN230" s="15"/>
      <c r="FFO230" s="10"/>
      <c r="FFP230" s="10"/>
      <c r="FFQ230" s="21"/>
      <c r="FFR230" s="21"/>
      <c r="FFU230" s="21"/>
      <c r="FFV230" s="15"/>
      <c r="FFW230" s="15"/>
      <c r="FFX230" s="15"/>
      <c r="FFY230" s="15"/>
      <c r="FFZ230" s="15"/>
      <c r="FGA230" s="15"/>
      <c r="FGB230" s="15"/>
      <c r="FGC230" s="15"/>
      <c r="FGD230" s="15"/>
      <c r="FGE230" s="15"/>
      <c r="FGF230" s="10"/>
      <c r="FGG230" s="10"/>
      <c r="FGH230" s="21"/>
      <c r="FGI230" s="21"/>
      <c r="FGL230" s="21"/>
      <c r="FGM230" s="15"/>
      <c r="FGN230" s="15"/>
      <c r="FGO230" s="15"/>
      <c r="FGP230" s="15"/>
      <c r="FGQ230" s="15"/>
      <c r="FGR230" s="15"/>
      <c r="FGS230" s="15"/>
      <c r="FGT230" s="15"/>
      <c r="FGU230" s="15"/>
      <c r="FGV230" s="15"/>
      <c r="FGW230" s="10"/>
      <c r="FGX230" s="10"/>
      <c r="FGY230" s="21"/>
      <c r="FGZ230" s="21"/>
      <c r="FHC230" s="21"/>
      <c r="FHD230" s="15"/>
      <c r="FHE230" s="15"/>
      <c r="FHF230" s="15"/>
      <c r="FHG230" s="15"/>
      <c r="FHH230" s="15"/>
      <c r="FHI230" s="15"/>
      <c r="FHJ230" s="15"/>
      <c r="FHK230" s="15"/>
      <c r="FHL230" s="15"/>
      <c r="FHM230" s="15"/>
      <c r="FHN230" s="10"/>
      <c r="FHO230" s="10"/>
      <c r="FHP230" s="21"/>
      <c r="FHQ230" s="21"/>
      <c r="FHT230" s="21"/>
      <c r="FHU230" s="15"/>
      <c r="FHV230" s="15"/>
      <c r="FHW230" s="15"/>
      <c r="FHX230" s="15"/>
      <c r="FHY230" s="15"/>
      <c r="FHZ230" s="15"/>
      <c r="FIA230" s="15"/>
      <c r="FIB230" s="15"/>
      <c r="FIC230" s="15"/>
      <c r="FID230" s="15"/>
      <c r="FIE230" s="10"/>
      <c r="FIF230" s="10"/>
      <c r="FIG230" s="21"/>
      <c r="FIH230" s="21"/>
      <c r="FIK230" s="21"/>
      <c r="FIL230" s="15"/>
      <c r="FIM230" s="15"/>
      <c r="FIN230" s="15"/>
      <c r="FIO230" s="15"/>
      <c r="FIP230" s="15"/>
      <c r="FIQ230" s="15"/>
      <c r="FIR230" s="15"/>
      <c r="FIS230" s="15"/>
      <c r="FIT230" s="15"/>
      <c r="FIU230" s="15"/>
      <c r="FIV230" s="10"/>
      <c r="FIW230" s="10"/>
      <c r="FIX230" s="21"/>
      <c r="FIY230" s="21"/>
      <c r="FJB230" s="21"/>
      <c r="FJC230" s="15"/>
      <c r="FJD230" s="15"/>
      <c r="FJE230" s="15"/>
      <c r="FJF230" s="15"/>
      <c r="FJG230" s="15"/>
      <c r="FJH230" s="15"/>
      <c r="FJI230" s="15"/>
      <c r="FJJ230" s="15"/>
      <c r="FJK230" s="15"/>
      <c r="FJL230" s="15"/>
      <c r="FJM230" s="10"/>
      <c r="FJN230" s="10"/>
      <c r="FJO230" s="21"/>
      <c r="FJP230" s="21"/>
      <c r="FJS230" s="21"/>
      <c r="FJT230" s="15"/>
      <c r="FJU230" s="15"/>
      <c r="FJV230" s="15"/>
      <c r="FJW230" s="15"/>
      <c r="FJX230" s="15"/>
      <c r="FJY230" s="15"/>
      <c r="FJZ230" s="15"/>
      <c r="FKA230" s="15"/>
      <c r="FKB230" s="15"/>
      <c r="FKC230" s="15"/>
      <c r="FKD230" s="10"/>
      <c r="FKE230" s="10"/>
      <c r="FKF230" s="21"/>
      <c r="FKG230" s="21"/>
      <c r="FKJ230" s="21"/>
      <c r="FKK230" s="15"/>
      <c r="FKL230" s="15"/>
      <c r="FKM230" s="15"/>
      <c r="FKN230" s="15"/>
      <c r="FKO230" s="15"/>
      <c r="FKP230" s="15"/>
      <c r="FKQ230" s="15"/>
      <c r="FKR230" s="15"/>
      <c r="FKS230" s="15"/>
      <c r="FKT230" s="15"/>
      <c r="FKU230" s="10"/>
      <c r="FKV230" s="10"/>
      <c r="FKW230" s="21"/>
      <c r="FKX230" s="21"/>
      <c r="FLA230" s="21"/>
      <c r="FLB230" s="15"/>
      <c r="FLC230" s="15"/>
      <c r="FLD230" s="15"/>
      <c r="FLE230" s="15"/>
      <c r="FLF230" s="15"/>
      <c r="FLG230" s="15"/>
      <c r="FLH230" s="15"/>
      <c r="FLI230" s="15"/>
      <c r="FLJ230" s="15"/>
      <c r="FLK230" s="15"/>
      <c r="FLL230" s="10"/>
      <c r="FLM230" s="10"/>
      <c r="FLN230" s="21"/>
      <c r="FLO230" s="21"/>
      <c r="FLR230" s="21"/>
      <c r="FLS230" s="15"/>
      <c r="FLT230" s="15"/>
      <c r="FLU230" s="15"/>
      <c r="FLV230" s="15"/>
      <c r="FLW230" s="15"/>
      <c r="FLX230" s="15"/>
      <c r="FLY230" s="15"/>
      <c r="FLZ230" s="15"/>
      <c r="FMA230" s="15"/>
      <c r="FMB230" s="15"/>
      <c r="FMC230" s="10"/>
      <c r="FMD230" s="10"/>
      <c r="FME230" s="21"/>
      <c r="FMF230" s="21"/>
      <c r="FMI230" s="21"/>
      <c r="FMJ230" s="15"/>
      <c r="FMK230" s="15"/>
      <c r="FML230" s="15"/>
      <c r="FMM230" s="15"/>
      <c r="FMN230" s="15"/>
      <c r="FMO230" s="15"/>
      <c r="FMP230" s="15"/>
      <c r="FMQ230" s="15"/>
      <c r="FMR230" s="15"/>
      <c r="FMS230" s="15"/>
      <c r="FMT230" s="10"/>
      <c r="FMU230" s="10"/>
      <c r="FMV230" s="21"/>
      <c r="FMW230" s="21"/>
      <c r="FMZ230" s="21"/>
      <c r="FNA230" s="15"/>
      <c r="FNB230" s="15"/>
      <c r="FNC230" s="15"/>
      <c r="FND230" s="15"/>
      <c r="FNE230" s="15"/>
      <c r="FNF230" s="15"/>
      <c r="FNG230" s="15"/>
      <c r="FNH230" s="15"/>
      <c r="FNI230" s="15"/>
      <c r="FNJ230" s="15"/>
      <c r="FNK230" s="10"/>
      <c r="FNL230" s="10"/>
      <c r="FNM230" s="21"/>
      <c r="FNN230" s="21"/>
      <c r="FNQ230" s="21"/>
      <c r="FNR230" s="15"/>
      <c r="FNS230" s="15"/>
      <c r="FNT230" s="15"/>
      <c r="FNU230" s="15"/>
      <c r="FNV230" s="15"/>
      <c r="FNW230" s="15"/>
      <c r="FNX230" s="15"/>
      <c r="FNY230" s="15"/>
      <c r="FNZ230" s="15"/>
      <c r="FOA230" s="15"/>
      <c r="FOB230" s="10"/>
      <c r="FOC230" s="10"/>
      <c r="FOD230" s="21"/>
      <c r="FOE230" s="21"/>
      <c r="FOH230" s="21"/>
      <c r="FOI230" s="15"/>
      <c r="FOJ230" s="15"/>
      <c r="FOK230" s="15"/>
      <c r="FOL230" s="15"/>
      <c r="FOM230" s="15"/>
      <c r="FON230" s="15"/>
      <c r="FOO230" s="15"/>
      <c r="FOP230" s="15"/>
      <c r="FOQ230" s="15"/>
      <c r="FOR230" s="15"/>
      <c r="FOS230" s="10"/>
      <c r="FOT230" s="10"/>
      <c r="FOU230" s="21"/>
      <c r="FOV230" s="21"/>
      <c r="FOY230" s="21"/>
      <c r="FOZ230" s="15"/>
      <c r="FPA230" s="15"/>
      <c r="FPB230" s="15"/>
      <c r="FPC230" s="15"/>
      <c r="FPD230" s="15"/>
      <c r="FPE230" s="15"/>
      <c r="FPF230" s="15"/>
      <c r="FPG230" s="15"/>
      <c r="FPH230" s="15"/>
      <c r="FPI230" s="15"/>
      <c r="FPJ230" s="10"/>
      <c r="FPK230" s="10"/>
      <c r="FPL230" s="21"/>
      <c r="FPM230" s="21"/>
      <c r="FPP230" s="21"/>
      <c r="FPQ230" s="15"/>
      <c r="FPR230" s="15"/>
      <c r="FPS230" s="15"/>
      <c r="FPT230" s="15"/>
      <c r="FPU230" s="15"/>
      <c r="FPV230" s="15"/>
      <c r="FPW230" s="15"/>
      <c r="FPX230" s="15"/>
      <c r="FPY230" s="15"/>
      <c r="FPZ230" s="15"/>
      <c r="FQA230" s="10"/>
      <c r="FQB230" s="10"/>
      <c r="FQC230" s="21"/>
      <c r="FQD230" s="21"/>
      <c r="FQG230" s="21"/>
      <c r="FQH230" s="15"/>
      <c r="FQI230" s="15"/>
      <c r="FQJ230" s="15"/>
      <c r="FQK230" s="15"/>
      <c r="FQL230" s="15"/>
      <c r="FQM230" s="15"/>
      <c r="FQN230" s="15"/>
      <c r="FQO230" s="15"/>
      <c r="FQP230" s="15"/>
      <c r="FQQ230" s="15"/>
      <c r="FQR230" s="10"/>
      <c r="FQS230" s="10"/>
      <c r="FQT230" s="21"/>
      <c r="FQU230" s="21"/>
      <c r="FQX230" s="21"/>
      <c r="FQY230" s="15"/>
      <c r="FQZ230" s="15"/>
      <c r="FRA230" s="15"/>
      <c r="FRB230" s="15"/>
      <c r="FRC230" s="15"/>
      <c r="FRD230" s="15"/>
      <c r="FRE230" s="15"/>
      <c r="FRF230" s="15"/>
      <c r="FRG230" s="15"/>
      <c r="FRH230" s="15"/>
      <c r="FRI230" s="10"/>
      <c r="FRJ230" s="10"/>
      <c r="FRK230" s="21"/>
      <c r="FRL230" s="21"/>
      <c r="FRO230" s="21"/>
      <c r="FRP230" s="15"/>
      <c r="FRQ230" s="15"/>
      <c r="FRR230" s="15"/>
      <c r="FRS230" s="15"/>
      <c r="FRT230" s="15"/>
      <c r="FRU230" s="15"/>
      <c r="FRV230" s="15"/>
      <c r="FRW230" s="15"/>
      <c r="FRX230" s="15"/>
      <c r="FRY230" s="15"/>
      <c r="FRZ230" s="10"/>
      <c r="FSA230" s="10"/>
      <c r="FSB230" s="21"/>
      <c r="FSC230" s="21"/>
      <c r="FSF230" s="21"/>
      <c r="FSG230" s="15"/>
      <c r="FSH230" s="15"/>
      <c r="FSI230" s="15"/>
      <c r="FSJ230" s="15"/>
      <c r="FSK230" s="15"/>
      <c r="FSL230" s="15"/>
      <c r="FSM230" s="15"/>
      <c r="FSN230" s="15"/>
      <c r="FSO230" s="15"/>
      <c r="FSP230" s="15"/>
      <c r="FSQ230" s="10"/>
      <c r="FSR230" s="10"/>
      <c r="FSS230" s="21"/>
      <c r="FST230" s="21"/>
      <c r="FSW230" s="21"/>
      <c r="FSX230" s="15"/>
      <c r="FSY230" s="15"/>
      <c r="FSZ230" s="15"/>
      <c r="FTA230" s="15"/>
      <c r="FTB230" s="15"/>
      <c r="FTC230" s="15"/>
      <c r="FTD230" s="15"/>
      <c r="FTE230" s="15"/>
      <c r="FTF230" s="15"/>
      <c r="FTG230" s="15"/>
      <c r="FTH230" s="10"/>
      <c r="FTI230" s="10"/>
      <c r="FTJ230" s="21"/>
      <c r="FTK230" s="21"/>
      <c r="FTN230" s="21"/>
      <c r="FTO230" s="15"/>
      <c r="FTP230" s="15"/>
      <c r="FTQ230" s="15"/>
      <c r="FTR230" s="15"/>
      <c r="FTS230" s="15"/>
      <c r="FTT230" s="15"/>
      <c r="FTU230" s="15"/>
      <c r="FTV230" s="15"/>
      <c r="FTW230" s="15"/>
      <c r="FTX230" s="15"/>
      <c r="FTY230" s="10"/>
      <c r="FTZ230" s="10"/>
      <c r="FUA230" s="21"/>
      <c r="FUB230" s="21"/>
      <c r="FUE230" s="21"/>
      <c r="FUF230" s="15"/>
      <c r="FUG230" s="15"/>
      <c r="FUH230" s="15"/>
      <c r="FUI230" s="15"/>
      <c r="FUJ230" s="15"/>
      <c r="FUK230" s="15"/>
      <c r="FUL230" s="15"/>
      <c r="FUM230" s="15"/>
      <c r="FUN230" s="15"/>
      <c r="FUO230" s="15"/>
      <c r="FUP230" s="10"/>
      <c r="FUQ230" s="10"/>
      <c r="FUR230" s="21"/>
      <c r="FUS230" s="21"/>
      <c r="FUV230" s="21"/>
      <c r="FUW230" s="15"/>
      <c r="FUX230" s="15"/>
      <c r="FUY230" s="15"/>
      <c r="FUZ230" s="15"/>
      <c r="FVA230" s="15"/>
      <c r="FVB230" s="15"/>
      <c r="FVC230" s="15"/>
      <c r="FVD230" s="15"/>
      <c r="FVE230" s="15"/>
      <c r="FVF230" s="15"/>
      <c r="FVG230" s="10"/>
      <c r="FVH230" s="10"/>
      <c r="FVI230" s="21"/>
      <c r="FVJ230" s="21"/>
      <c r="FVM230" s="21"/>
      <c r="FVN230" s="15"/>
      <c r="FVO230" s="15"/>
      <c r="FVP230" s="15"/>
      <c r="FVQ230" s="15"/>
      <c r="FVR230" s="15"/>
      <c r="FVS230" s="15"/>
      <c r="FVT230" s="15"/>
      <c r="FVU230" s="15"/>
      <c r="FVV230" s="15"/>
      <c r="FVW230" s="15"/>
      <c r="FVX230" s="10"/>
      <c r="FVY230" s="10"/>
      <c r="FVZ230" s="21"/>
      <c r="FWA230" s="21"/>
      <c r="FWD230" s="21"/>
      <c r="FWE230" s="15"/>
      <c r="FWF230" s="15"/>
      <c r="FWG230" s="15"/>
      <c r="FWH230" s="15"/>
      <c r="FWI230" s="15"/>
      <c r="FWJ230" s="15"/>
      <c r="FWK230" s="15"/>
      <c r="FWL230" s="15"/>
      <c r="FWM230" s="15"/>
      <c r="FWN230" s="15"/>
      <c r="FWO230" s="10"/>
      <c r="FWP230" s="10"/>
      <c r="FWQ230" s="21"/>
      <c r="FWR230" s="21"/>
      <c r="FWU230" s="21"/>
      <c r="FWV230" s="15"/>
      <c r="FWW230" s="15"/>
      <c r="FWX230" s="15"/>
      <c r="FWY230" s="15"/>
      <c r="FWZ230" s="15"/>
      <c r="FXA230" s="15"/>
      <c r="FXB230" s="15"/>
      <c r="FXC230" s="15"/>
      <c r="FXD230" s="15"/>
      <c r="FXE230" s="15"/>
      <c r="FXF230" s="10"/>
      <c r="FXG230" s="10"/>
      <c r="FXH230" s="21"/>
      <c r="FXI230" s="21"/>
      <c r="FXL230" s="21"/>
      <c r="FXM230" s="15"/>
      <c r="FXN230" s="15"/>
      <c r="FXO230" s="15"/>
      <c r="FXP230" s="15"/>
      <c r="FXQ230" s="15"/>
      <c r="FXR230" s="15"/>
      <c r="FXS230" s="15"/>
      <c r="FXT230" s="15"/>
      <c r="FXU230" s="15"/>
      <c r="FXV230" s="15"/>
      <c r="FXW230" s="10"/>
      <c r="FXX230" s="10"/>
      <c r="FXY230" s="21"/>
      <c r="FXZ230" s="21"/>
      <c r="FYC230" s="21"/>
      <c r="FYD230" s="15"/>
      <c r="FYE230" s="15"/>
      <c r="FYF230" s="15"/>
      <c r="FYG230" s="15"/>
      <c r="FYH230" s="15"/>
      <c r="FYI230" s="15"/>
      <c r="FYJ230" s="15"/>
      <c r="FYK230" s="15"/>
      <c r="FYL230" s="15"/>
      <c r="FYM230" s="15"/>
      <c r="FYN230" s="10"/>
      <c r="FYO230" s="10"/>
      <c r="FYP230" s="21"/>
      <c r="FYQ230" s="21"/>
      <c r="FYT230" s="21"/>
      <c r="FYU230" s="15"/>
      <c r="FYV230" s="15"/>
      <c r="FYW230" s="15"/>
      <c r="FYX230" s="15"/>
      <c r="FYY230" s="15"/>
      <c r="FYZ230" s="15"/>
      <c r="FZA230" s="15"/>
      <c r="FZB230" s="15"/>
      <c r="FZC230" s="15"/>
      <c r="FZD230" s="15"/>
      <c r="FZE230" s="10"/>
      <c r="FZF230" s="10"/>
      <c r="FZG230" s="21"/>
      <c r="FZH230" s="21"/>
      <c r="FZK230" s="21"/>
      <c r="FZL230" s="15"/>
      <c r="FZM230" s="15"/>
      <c r="FZN230" s="15"/>
      <c r="FZO230" s="15"/>
      <c r="FZP230" s="15"/>
      <c r="FZQ230" s="15"/>
      <c r="FZR230" s="15"/>
      <c r="FZS230" s="15"/>
      <c r="FZT230" s="15"/>
      <c r="FZU230" s="15"/>
      <c r="FZV230" s="10"/>
      <c r="FZW230" s="10"/>
      <c r="FZX230" s="21"/>
      <c r="FZY230" s="21"/>
      <c r="GAB230" s="21"/>
      <c r="GAC230" s="15"/>
      <c r="GAD230" s="15"/>
      <c r="GAE230" s="15"/>
      <c r="GAF230" s="15"/>
      <c r="GAG230" s="15"/>
      <c r="GAH230" s="15"/>
      <c r="GAI230" s="15"/>
      <c r="GAJ230" s="15"/>
      <c r="GAK230" s="15"/>
      <c r="GAL230" s="15"/>
      <c r="GAM230" s="10"/>
      <c r="GAN230" s="10"/>
      <c r="GAO230" s="21"/>
      <c r="GAP230" s="21"/>
      <c r="GAS230" s="21"/>
      <c r="GAT230" s="15"/>
      <c r="GAU230" s="15"/>
      <c r="GAV230" s="15"/>
      <c r="GAW230" s="15"/>
      <c r="GAX230" s="15"/>
      <c r="GAY230" s="15"/>
      <c r="GAZ230" s="15"/>
      <c r="GBA230" s="15"/>
      <c r="GBB230" s="15"/>
      <c r="GBC230" s="15"/>
      <c r="GBD230" s="10"/>
      <c r="GBE230" s="10"/>
      <c r="GBF230" s="21"/>
      <c r="GBG230" s="21"/>
      <c r="GBJ230" s="21"/>
      <c r="GBK230" s="15"/>
      <c r="GBL230" s="15"/>
      <c r="GBM230" s="15"/>
      <c r="GBN230" s="15"/>
      <c r="GBO230" s="15"/>
      <c r="GBP230" s="15"/>
      <c r="GBQ230" s="15"/>
      <c r="GBR230" s="15"/>
      <c r="GBS230" s="15"/>
      <c r="GBT230" s="15"/>
      <c r="GBU230" s="10"/>
      <c r="GBV230" s="10"/>
      <c r="GBW230" s="21"/>
      <c r="GBX230" s="21"/>
      <c r="GCA230" s="21"/>
      <c r="GCB230" s="15"/>
      <c r="GCC230" s="15"/>
      <c r="GCD230" s="15"/>
      <c r="GCE230" s="15"/>
      <c r="GCF230" s="15"/>
      <c r="GCG230" s="15"/>
      <c r="GCH230" s="15"/>
      <c r="GCI230" s="15"/>
      <c r="GCJ230" s="15"/>
      <c r="GCK230" s="15"/>
      <c r="GCL230" s="10"/>
      <c r="GCM230" s="10"/>
      <c r="GCN230" s="21"/>
      <c r="GCO230" s="21"/>
      <c r="GCR230" s="21"/>
      <c r="GCS230" s="15"/>
      <c r="GCT230" s="15"/>
      <c r="GCU230" s="15"/>
      <c r="GCV230" s="15"/>
      <c r="GCW230" s="15"/>
      <c r="GCX230" s="15"/>
      <c r="GCY230" s="15"/>
      <c r="GCZ230" s="15"/>
      <c r="GDA230" s="15"/>
      <c r="GDB230" s="15"/>
      <c r="GDC230" s="10"/>
      <c r="GDD230" s="10"/>
      <c r="GDE230" s="21"/>
      <c r="GDF230" s="21"/>
      <c r="GDI230" s="21"/>
      <c r="GDJ230" s="15"/>
      <c r="GDK230" s="15"/>
      <c r="GDL230" s="15"/>
      <c r="GDM230" s="15"/>
      <c r="GDN230" s="15"/>
      <c r="GDO230" s="15"/>
      <c r="GDP230" s="15"/>
      <c r="GDQ230" s="15"/>
      <c r="GDR230" s="15"/>
      <c r="GDS230" s="15"/>
      <c r="GDT230" s="10"/>
      <c r="GDU230" s="10"/>
      <c r="GDV230" s="21"/>
      <c r="GDW230" s="21"/>
      <c r="GDZ230" s="21"/>
      <c r="GEA230" s="15"/>
      <c r="GEB230" s="15"/>
      <c r="GEC230" s="15"/>
      <c r="GED230" s="15"/>
      <c r="GEE230" s="15"/>
      <c r="GEF230" s="15"/>
      <c r="GEG230" s="15"/>
      <c r="GEH230" s="15"/>
      <c r="GEI230" s="15"/>
      <c r="GEJ230" s="15"/>
      <c r="GEK230" s="10"/>
      <c r="GEL230" s="10"/>
      <c r="GEM230" s="21"/>
      <c r="GEN230" s="21"/>
      <c r="GEQ230" s="21"/>
      <c r="GER230" s="15"/>
      <c r="GES230" s="15"/>
      <c r="GET230" s="15"/>
      <c r="GEU230" s="15"/>
      <c r="GEV230" s="15"/>
      <c r="GEW230" s="15"/>
      <c r="GEX230" s="15"/>
      <c r="GEY230" s="15"/>
      <c r="GEZ230" s="15"/>
      <c r="GFA230" s="15"/>
      <c r="GFB230" s="10"/>
      <c r="GFC230" s="10"/>
      <c r="GFD230" s="21"/>
      <c r="GFE230" s="21"/>
      <c r="GFH230" s="21"/>
      <c r="GFI230" s="15"/>
      <c r="GFJ230" s="15"/>
      <c r="GFK230" s="15"/>
      <c r="GFL230" s="15"/>
      <c r="GFM230" s="15"/>
      <c r="GFN230" s="15"/>
      <c r="GFO230" s="15"/>
      <c r="GFP230" s="15"/>
      <c r="GFQ230" s="15"/>
      <c r="GFR230" s="15"/>
      <c r="GFS230" s="10"/>
      <c r="GFT230" s="10"/>
      <c r="GFU230" s="21"/>
      <c r="GFV230" s="21"/>
      <c r="GFY230" s="21"/>
      <c r="GFZ230" s="15"/>
      <c r="GGA230" s="15"/>
      <c r="GGB230" s="15"/>
      <c r="GGC230" s="15"/>
      <c r="GGD230" s="15"/>
      <c r="GGE230" s="15"/>
      <c r="GGF230" s="15"/>
      <c r="GGG230" s="15"/>
      <c r="GGH230" s="15"/>
      <c r="GGI230" s="15"/>
      <c r="GGJ230" s="10"/>
      <c r="GGK230" s="10"/>
      <c r="GGL230" s="21"/>
      <c r="GGM230" s="21"/>
      <c r="GGP230" s="21"/>
      <c r="GGQ230" s="15"/>
      <c r="GGR230" s="15"/>
      <c r="GGS230" s="15"/>
      <c r="GGT230" s="15"/>
      <c r="GGU230" s="15"/>
      <c r="GGV230" s="15"/>
      <c r="GGW230" s="15"/>
      <c r="GGX230" s="15"/>
      <c r="GGY230" s="15"/>
      <c r="GGZ230" s="15"/>
      <c r="GHA230" s="10"/>
      <c r="GHB230" s="10"/>
      <c r="GHC230" s="21"/>
      <c r="GHD230" s="21"/>
      <c r="GHG230" s="21"/>
      <c r="GHH230" s="15"/>
      <c r="GHI230" s="15"/>
      <c r="GHJ230" s="15"/>
      <c r="GHK230" s="15"/>
      <c r="GHL230" s="15"/>
      <c r="GHM230" s="15"/>
      <c r="GHN230" s="15"/>
      <c r="GHO230" s="15"/>
      <c r="GHP230" s="15"/>
      <c r="GHQ230" s="15"/>
      <c r="GHR230" s="10"/>
      <c r="GHS230" s="10"/>
      <c r="GHT230" s="21"/>
      <c r="GHU230" s="21"/>
      <c r="GHX230" s="21"/>
      <c r="GHY230" s="15"/>
      <c r="GHZ230" s="15"/>
      <c r="GIA230" s="15"/>
      <c r="GIB230" s="15"/>
      <c r="GIC230" s="15"/>
      <c r="GID230" s="15"/>
      <c r="GIE230" s="15"/>
      <c r="GIF230" s="15"/>
      <c r="GIG230" s="15"/>
      <c r="GIH230" s="15"/>
      <c r="GII230" s="10"/>
      <c r="GIJ230" s="10"/>
      <c r="GIK230" s="21"/>
      <c r="GIL230" s="21"/>
      <c r="GIO230" s="21"/>
      <c r="GIP230" s="15"/>
      <c r="GIQ230" s="15"/>
      <c r="GIR230" s="15"/>
      <c r="GIS230" s="15"/>
      <c r="GIT230" s="15"/>
      <c r="GIU230" s="15"/>
      <c r="GIV230" s="15"/>
      <c r="GIW230" s="15"/>
      <c r="GIX230" s="15"/>
      <c r="GIY230" s="15"/>
      <c r="GIZ230" s="10"/>
      <c r="GJA230" s="10"/>
      <c r="GJB230" s="21"/>
      <c r="GJC230" s="21"/>
      <c r="GJF230" s="21"/>
      <c r="GJG230" s="15"/>
      <c r="GJH230" s="15"/>
      <c r="GJI230" s="15"/>
      <c r="GJJ230" s="15"/>
      <c r="GJK230" s="15"/>
      <c r="GJL230" s="15"/>
      <c r="GJM230" s="15"/>
      <c r="GJN230" s="15"/>
      <c r="GJO230" s="15"/>
      <c r="GJP230" s="15"/>
      <c r="GJQ230" s="10"/>
      <c r="GJR230" s="10"/>
      <c r="GJS230" s="21"/>
      <c r="GJT230" s="21"/>
      <c r="GJW230" s="21"/>
      <c r="GJX230" s="15"/>
      <c r="GJY230" s="15"/>
      <c r="GJZ230" s="15"/>
      <c r="GKA230" s="15"/>
      <c r="GKB230" s="15"/>
      <c r="GKC230" s="15"/>
      <c r="GKD230" s="15"/>
      <c r="GKE230" s="15"/>
      <c r="GKF230" s="15"/>
      <c r="GKG230" s="15"/>
      <c r="GKH230" s="10"/>
      <c r="GKI230" s="10"/>
      <c r="GKJ230" s="21"/>
      <c r="GKK230" s="21"/>
      <c r="GKN230" s="21"/>
      <c r="GKO230" s="15"/>
      <c r="GKP230" s="15"/>
      <c r="GKQ230" s="15"/>
      <c r="GKR230" s="15"/>
      <c r="GKS230" s="15"/>
      <c r="GKT230" s="15"/>
      <c r="GKU230" s="15"/>
      <c r="GKV230" s="15"/>
      <c r="GKW230" s="15"/>
      <c r="GKX230" s="15"/>
      <c r="GKY230" s="10"/>
      <c r="GKZ230" s="10"/>
      <c r="GLA230" s="21"/>
      <c r="GLB230" s="21"/>
      <c r="GLE230" s="21"/>
      <c r="GLF230" s="15"/>
      <c r="GLG230" s="15"/>
      <c r="GLH230" s="15"/>
      <c r="GLI230" s="15"/>
      <c r="GLJ230" s="15"/>
      <c r="GLK230" s="15"/>
      <c r="GLL230" s="15"/>
      <c r="GLM230" s="15"/>
      <c r="GLN230" s="15"/>
      <c r="GLO230" s="15"/>
      <c r="GLP230" s="10"/>
      <c r="GLQ230" s="10"/>
      <c r="GLR230" s="21"/>
      <c r="GLS230" s="21"/>
      <c r="GLV230" s="21"/>
      <c r="GLW230" s="15"/>
      <c r="GLX230" s="15"/>
      <c r="GLY230" s="15"/>
      <c r="GLZ230" s="15"/>
      <c r="GMA230" s="15"/>
      <c r="GMB230" s="15"/>
      <c r="GMC230" s="15"/>
      <c r="GMD230" s="15"/>
      <c r="GME230" s="15"/>
      <c r="GMF230" s="15"/>
      <c r="GMG230" s="10"/>
      <c r="GMH230" s="10"/>
      <c r="GMI230" s="21"/>
      <c r="GMJ230" s="21"/>
      <c r="GMM230" s="21"/>
      <c r="GMN230" s="15"/>
      <c r="GMO230" s="15"/>
      <c r="GMP230" s="15"/>
      <c r="GMQ230" s="15"/>
      <c r="GMR230" s="15"/>
      <c r="GMS230" s="15"/>
      <c r="GMT230" s="15"/>
      <c r="GMU230" s="15"/>
      <c r="GMV230" s="15"/>
      <c r="GMW230" s="15"/>
      <c r="GMX230" s="10"/>
      <c r="GMY230" s="10"/>
      <c r="GMZ230" s="21"/>
      <c r="GNA230" s="21"/>
      <c r="GND230" s="21"/>
      <c r="GNE230" s="15"/>
      <c r="GNF230" s="15"/>
      <c r="GNG230" s="15"/>
      <c r="GNH230" s="15"/>
      <c r="GNI230" s="15"/>
      <c r="GNJ230" s="15"/>
      <c r="GNK230" s="15"/>
      <c r="GNL230" s="15"/>
      <c r="GNM230" s="15"/>
      <c r="GNN230" s="15"/>
      <c r="GNO230" s="10"/>
      <c r="GNP230" s="10"/>
      <c r="GNQ230" s="21"/>
      <c r="GNR230" s="21"/>
      <c r="GNU230" s="21"/>
      <c r="GNV230" s="15"/>
      <c r="GNW230" s="15"/>
      <c r="GNX230" s="15"/>
      <c r="GNY230" s="15"/>
      <c r="GNZ230" s="15"/>
      <c r="GOA230" s="15"/>
      <c r="GOB230" s="15"/>
      <c r="GOC230" s="15"/>
      <c r="GOD230" s="15"/>
      <c r="GOE230" s="15"/>
      <c r="GOF230" s="10"/>
      <c r="GOG230" s="10"/>
      <c r="GOH230" s="21"/>
      <c r="GOI230" s="21"/>
      <c r="GOL230" s="21"/>
      <c r="GOM230" s="15"/>
      <c r="GON230" s="15"/>
      <c r="GOO230" s="15"/>
      <c r="GOP230" s="15"/>
      <c r="GOQ230" s="15"/>
      <c r="GOR230" s="15"/>
      <c r="GOS230" s="15"/>
      <c r="GOT230" s="15"/>
      <c r="GOU230" s="15"/>
      <c r="GOV230" s="15"/>
      <c r="GOW230" s="10"/>
      <c r="GOX230" s="10"/>
      <c r="GOY230" s="21"/>
      <c r="GOZ230" s="21"/>
      <c r="GPC230" s="21"/>
      <c r="GPD230" s="15"/>
      <c r="GPE230" s="15"/>
      <c r="GPF230" s="15"/>
      <c r="GPG230" s="15"/>
      <c r="GPH230" s="15"/>
      <c r="GPI230" s="15"/>
      <c r="GPJ230" s="15"/>
      <c r="GPK230" s="15"/>
      <c r="GPL230" s="15"/>
      <c r="GPM230" s="15"/>
      <c r="GPN230" s="10"/>
      <c r="GPO230" s="10"/>
      <c r="GPP230" s="21"/>
      <c r="GPQ230" s="21"/>
      <c r="GPT230" s="21"/>
      <c r="GPU230" s="15"/>
      <c r="GPV230" s="15"/>
      <c r="GPW230" s="15"/>
      <c r="GPX230" s="15"/>
      <c r="GPY230" s="15"/>
      <c r="GPZ230" s="15"/>
      <c r="GQA230" s="15"/>
      <c r="GQB230" s="15"/>
      <c r="GQC230" s="15"/>
      <c r="GQD230" s="15"/>
      <c r="GQE230" s="10"/>
      <c r="GQF230" s="10"/>
      <c r="GQG230" s="21"/>
      <c r="GQH230" s="21"/>
      <c r="GQK230" s="21"/>
      <c r="GQL230" s="15"/>
      <c r="GQM230" s="15"/>
      <c r="GQN230" s="15"/>
      <c r="GQO230" s="15"/>
      <c r="GQP230" s="15"/>
      <c r="GQQ230" s="15"/>
      <c r="GQR230" s="15"/>
      <c r="GQS230" s="15"/>
      <c r="GQT230" s="15"/>
      <c r="GQU230" s="15"/>
      <c r="GQV230" s="10"/>
      <c r="GQW230" s="10"/>
      <c r="GQX230" s="21"/>
      <c r="GQY230" s="21"/>
      <c r="GRB230" s="21"/>
      <c r="GRC230" s="15"/>
      <c r="GRD230" s="15"/>
      <c r="GRE230" s="15"/>
      <c r="GRF230" s="15"/>
      <c r="GRG230" s="15"/>
      <c r="GRH230" s="15"/>
      <c r="GRI230" s="15"/>
      <c r="GRJ230" s="15"/>
      <c r="GRK230" s="15"/>
      <c r="GRL230" s="15"/>
      <c r="GRM230" s="10"/>
      <c r="GRN230" s="10"/>
      <c r="GRO230" s="21"/>
      <c r="GRP230" s="21"/>
      <c r="GRS230" s="21"/>
      <c r="GRT230" s="15"/>
      <c r="GRU230" s="15"/>
      <c r="GRV230" s="15"/>
      <c r="GRW230" s="15"/>
      <c r="GRX230" s="15"/>
      <c r="GRY230" s="15"/>
      <c r="GRZ230" s="15"/>
      <c r="GSA230" s="15"/>
      <c r="GSB230" s="15"/>
      <c r="GSC230" s="15"/>
      <c r="GSD230" s="10"/>
      <c r="GSE230" s="10"/>
      <c r="GSF230" s="21"/>
      <c r="GSG230" s="21"/>
      <c r="GSJ230" s="21"/>
      <c r="GSK230" s="15"/>
      <c r="GSL230" s="15"/>
      <c r="GSM230" s="15"/>
      <c r="GSN230" s="15"/>
      <c r="GSO230" s="15"/>
      <c r="GSP230" s="15"/>
      <c r="GSQ230" s="15"/>
      <c r="GSR230" s="15"/>
      <c r="GSS230" s="15"/>
      <c r="GST230" s="15"/>
      <c r="GSU230" s="10"/>
      <c r="GSV230" s="10"/>
      <c r="GSW230" s="21"/>
      <c r="GSX230" s="21"/>
      <c r="GTA230" s="21"/>
      <c r="GTB230" s="15"/>
      <c r="GTC230" s="15"/>
      <c r="GTD230" s="15"/>
      <c r="GTE230" s="15"/>
      <c r="GTF230" s="15"/>
      <c r="GTG230" s="15"/>
      <c r="GTH230" s="15"/>
      <c r="GTI230" s="15"/>
      <c r="GTJ230" s="15"/>
      <c r="GTK230" s="15"/>
      <c r="GTL230" s="10"/>
      <c r="GTM230" s="10"/>
      <c r="GTN230" s="21"/>
      <c r="GTO230" s="21"/>
      <c r="GTR230" s="21"/>
      <c r="GTS230" s="15"/>
      <c r="GTT230" s="15"/>
      <c r="GTU230" s="15"/>
      <c r="GTV230" s="15"/>
      <c r="GTW230" s="15"/>
      <c r="GTX230" s="15"/>
      <c r="GTY230" s="15"/>
      <c r="GTZ230" s="15"/>
      <c r="GUA230" s="15"/>
      <c r="GUB230" s="15"/>
      <c r="GUC230" s="10"/>
      <c r="GUD230" s="10"/>
      <c r="GUE230" s="21"/>
      <c r="GUF230" s="21"/>
      <c r="GUI230" s="21"/>
      <c r="GUJ230" s="15"/>
      <c r="GUK230" s="15"/>
      <c r="GUL230" s="15"/>
      <c r="GUM230" s="15"/>
      <c r="GUN230" s="15"/>
      <c r="GUO230" s="15"/>
      <c r="GUP230" s="15"/>
      <c r="GUQ230" s="15"/>
      <c r="GUR230" s="15"/>
      <c r="GUS230" s="15"/>
      <c r="GUT230" s="10"/>
      <c r="GUU230" s="10"/>
      <c r="GUV230" s="21"/>
      <c r="GUW230" s="21"/>
      <c r="GUZ230" s="21"/>
      <c r="GVA230" s="15"/>
      <c r="GVB230" s="15"/>
      <c r="GVC230" s="15"/>
      <c r="GVD230" s="15"/>
      <c r="GVE230" s="15"/>
      <c r="GVF230" s="15"/>
      <c r="GVG230" s="15"/>
      <c r="GVH230" s="15"/>
      <c r="GVI230" s="15"/>
      <c r="GVJ230" s="15"/>
      <c r="GVK230" s="10"/>
      <c r="GVL230" s="10"/>
      <c r="GVM230" s="21"/>
      <c r="GVN230" s="21"/>
      <c r="GVQ230" s="21"/>
      <c r="GVR230" s="15"/>
      <c r="GVS230" s="15"/>
      <c r="GVT230" s="15"/>
      <c r="GVU230" s="15"/>
      <c r="GVV230" s="15"/>
      <c r="GVW230" s="15"/>
      <c r="GVX230" s="15"/>
      <c r="GVY230" s="15"/>
      <c r="GVZ230" s="15"/>
      <c r="GWA230" s="15"/>
      <c r="GWB230" s="10"/>
      <c r="GWC230" s="10"/>
      <c r="GWD230" s="21"/>
      <c r="GWE230" s="21"/>
      <c r="GWH230" s="21"/>
      <c r="GWI230" s="15"/>
      <c r="GWJ230" s="15"/>
      <c r="GWK230" s="15"/>
      <c r="GWL230" s="15"/>
      <c r="GWM230" s="15"/>
      <c r="GWN230" s="15"/>
      <c r="GWO230" s="15"/>
      <c r="GWP230" s="15"/>
      <c r="GWQ230" s="15"/>
      <c r="GWR230" s="15"/>
      <c r="GWS230" s="10"/>
      <c r="GWT230" s="10"/>
      <c r="GWU230" s="21"/>
      <c r="GWV230" s="21"/>
      <c r="GWY230" s="21"/>
      <c r="GWZ230" s="15"/>
      <c r="GXA230" s="15"/>
      <c r="GXB230" s="15"/>
      <c r="GXC230" s="15"/>
      <c r="GXD230" s="15"/>
      <c r="GXE230" s="15"/>
      <c r="GXF230" s="15"/>
      <c r="GXG230" s="15"/>
      <c r="GXH230" s="15"/>
      <c r="GXI230" s="15"/>
      <c r="GXJ230" s="10"/>
      <c r="GXK230" s="10"/>
      <c r="GXL230" s="21"/>
      <c r="GXM230" s="21"/>
      <c r="GXP230" s="21"/>
      <c r="GXQ230" s="15"/>
      <c r="GXR230" s="15"/>
      <c r="GXS230" s="15"/>
      <c r="GXT230" s="15"/>
      <c r="GXU230" s="15"/>
      <c r="GXV230" s="15"/>
      <c r="GXW230" s="15"/>
      <c r="GXX230" s="15"/>
      <c r="GXY230" s="15"/>
      <c r="GXZ230" s="15"/>
      <c r="GYA230" s="10"/>
      <c r="GYB230" s="10"/>
      <c r="GYC230" s="21"/>
      <c r="GYD230" s="21"/>
      <c r="GYG230" s="21"/>
      <c r="GYH230" s="15"/>
      <c r="GYI230" s="15"/>
      <c r="GYJ230" s="15"/>
      <c r="GYK230" s="15"/>
      <c r="GYL230" s="15"/>
      <c r="GYM230" s="15"/>
      <c r="GYN230" s="15"/>
      <c r="GYO230" s="15"/>
      <c r="GYP230" s="15"/>
      <c r="GYQ230" s="15"/>
      <c r="GYR230" s="10"/>
      <c r="GYS230" s="10"/>
      <c r="GYT230" s="21"/>
      <c r="GYU230" s="21"/>
      <c r="GYX230" s="21"/>
      <c r="GYY230" s="15"/>
      <c r="GYZ230" s="15"/>
      <c r="GZA230" s="15"/>
      <c r="GZB230" s="15"/>
      <c r="GZC230" s="15"/>
      <c r="GZD230" s="15"/>
      <c r="GZE230" s="15"/>
      <c r="GZF230" s="15"/>
      <c r="GZG230" s="15"/>
      <c r="GZH230" s="15"/>
      <c r="GZI230" s="10"/>
      <c r="GZJ230" s="10"/>
      <c r="GZK230" s="21"/>
      <c r="GZL230" s="21"/>
      <c r="GZO230" s="21"/>
      <c r="GZP230" s="15"/>
      <c r="GZQ230" s="15"/>
      <c r="GZR230" s="15"/>
      <c r="GZS230" s="15"/>
      <c r="GZT230" s="15"/>
      <c r="GZU230" s="15"/>
      <c r="GZV230" s="15"/>
      <c r="GZW230" s="15"/>
      <c r="GZX230" s="15"/>
      <c r="GZY230" s="15"/>
      <c r="GZZ230" s="10"/>
      <c r="HAA230" s="10"/>
      <c r="HAB230" s="21"/>
      <c r="HAC230" s="21"/>
      <c r="HAF230" s="21"/>
      <c r="HAG230" s="15"/>
      <c r="HAH230" s="15"/>
      <c r="HAI230" s="15"/>
      <c r="HAJ230" s="15"/>
      <c r="HAK230" s="15"/>
      <c r="HAL230" s="15"/>
      <c r="HAM230" s="15"/>
      <c r="HAN230" s="15"/>
      <c r="HAO230" s="15"/>
      <c r="HAP230" s="15"/>
      <c r="HAQ230" s="10"/>
      <c r="HAR230" s="10"/>
      <c r="HAS230" s="21"/>
      <c r="HAT230" s="21"/>
      <c r="HAW230" s="21"/>
      <c r="HAX230" s="15"/>
      <c r="HAY230" s="15"/>
      <c r="HAZ230" s="15"/>
      <c r="HBA230" s="15"/>
      <c r="HBB230" s="15"/>
      <c r="HBC230" s="15"/>
      <c r="HBD230" s="15"/>
      <c r="HBE230" s="15"/>
      <c r="HBF230" s="15"/>
      <c r="HBG230" s="15"/>
      <c r="HBH230" s="10"/>
      <c r="HBI230" s="10"/>
      <c r="HBJ230" s="21"/>
      <c r="HBK230" s="21"/>
      <c r="HBN230" s="21"/>
      <c r="HBO230" s="15"/>
      <c r="HBP230" s="15"/>
      <c r="HBQ230" s="15"/>
      <c r="HBR230" s="15"/>
      <c r="HBS230" s="15"/>
      <c r="HBT230" s="15"/>
      <c r="HBU230" s="15"/>
      <c r="HBV230" s="15"/>
      <c r="HBW230" s="15"/>
      <c r="HBX230" s="15"/>
      <c r="HBY230" s="10"/>
      <c r="HBZ230" s="10"/>
      <c r="HCA230" s="21"/>
      <c r="HCB230" s="21"/>
      <c r="HCE230" s="21"/>
      <c r="HCF230" s="15"/>
      <c r="HCG230" s="15"/>
      <c r="HCH230" s="15"/>
      <c r="HCI230" s="15"/>
      <c r="HCJ230" s="15"/>
      <c r="HCK230" s="15"/>
      <c r="HCL230" s="15"/>
      <c r="HCM230" s="15"/>
      <c r="HCN230" s="15"/>
      <c r="HCO230" s="15"/>
      <c r="HCP230" s="10"/>
      <c r="HCQ230" s="10"/>
      <c r="HCR230" s="21"/>
      <c r="HCS230" s="21"/>
      <c r="HCV230" s="21"/>
      <c r="HCW230" s="15"/>
      <c r="HCX230" s="15"/>
      <c r="HCY230" s="15"/>
      <c r="HCZ230" s="15"/>
      <c r="HDA230" s="15"/>
      <c r="HDB230" s="15"/>
      <c r="HDC230" s="15"/>
      <c r="HDD230" s="15"/>
      <c r="HDE230" s="15"/>
      <c r="HDF230" s="15"/>
      <c r="HDG230" s="10"/>
      <c r="HDH230" s="10"/>
      <c r="HDI230" s="21"/>
      <c r="HDJ230" s="21"/>
      <c r="HDM230" s="21"/>
      <c r="HDN230" s="15"/>
      <c r="HDO230" s="15"/>
      <c r="HDP230" s="15"/>
      <c r="HDQ230" s="15"/>
      <c r="HDR230" s="15"/>
      <c r="HDS230" s="15"/>
      <c r="HDT230" s="15"/>
      <c r="HDU230" s="15"/>
      <c r="HDV230" s="15"/>
      <c r="HDW230" s="15"/>
      <c r="HDX230" s="10"/>
      <c r="HDY230" s="10"/>
      <c r="HDZ230" s="21"/>
      <c r="HEA230" s="21"/>
      <c r="HED230" s="21"/>
      <c r="HEE230" s="15"/>
      <c r="HEF230" s="15"/>
      <c r="HEG230" s="15"/>
      <c r="HEH230" s="15"/>
      <c r="HEI230" s="15"/>
      <c r="HEJ230" s="15"/>
      <c r="HEK230" s="15"/>
      <c r="HEL230" s="15"/>
      <c r="HEM230" s="15"/>
      <c r="HEN230" s="15"/>
      <c r="HEO230" s="10"/>
      <c r="HEP230" s="10"/>
      <c r="HEQ230" s="21"/>
      <c r="HER230" s="21"/>
      <c r="HEU230" s="21"/>
      <c r="HEV230" s="15"/>
      <c r="HEW230" s="15"/>
      <c r="HEX230" s="15"/>
      <c r="HEY230" s="15"/>
      <c r="HEZ230" s="15"/>
      <c r="HFA230" s="15"/>
      <c r="HFB230" s="15"/>
      <c r="HFC230" s="15"/>
      <c r="HFD230" s="15"/>
      <c r="HFE230" s="15"/>
      <c r="HFF230" s="10"/>
      <c r="HFG230" s="10"/>
      <c r="HFH230" s="21"/>
      <c r="HFI230" s="21"/>
      <c r="HFL230" s="21"/>
      <c r="HFM230" s="15"/>
      <c r="HFN230" s="15"/>
      <c r="HFO230" s="15"/>
      <c r="HFP230" s="15"/>
      <c r="HFQ230" s="15"/>
      <c r="HFR230" s="15"/>
      <c r="HFS230" s="15"/>
      <c r="HFT230" s="15"/>
      <c r="HFU230" s="15"/>
      <c r="HFV230" s="15"/>
      <c r="HFW230" s="10"/>
      <c r="HFX230" s="10"/>
      <c r="HFY230" s="21"/>
      <c r="HFZ230" s="21"/>
      <c r="HGC230" s="21"/>
      <c r="HGD230" s="15"/>
      <c r="HGE230" s="15"/>
      <c r="HGF230" s="15"/>
      <c r="HGG230" s="15"/>
      <c r="HGH230" s="15"/>
      <c r="HGI230" s="15"/>
      <c r="HGJ230" s="15"/>
      <c r="HGK230" s="15"/>
      <c r="HGL230" s="15"/>
      <c r="HGM230" s="15"/>
      <c r="HGN230" s="10"/>
      <c r="HGO230" s="10"/>
      <c r="HGP230" s="21"/>
      <c r="HGQ230" s="21"/>
      <c r="HGT230" s="21"/>
      <c r="HGU230" s="15"/>
      <c r="HGV230" s="15"/>
      <c r="HGW230" s="15"/>
      <c r="HGX230" s="15"/>
      <c r="HGY230" s="15"/>
      <c r="HGZ230" s="15"/>
      <c r="HHA230" s="15"/>
      <c r="HHB230" s="15"/>
      <c r="HHC230" s="15"/>
      <c r="HHD230" s="15"/>
      <c r="HHE230" s="10"/>
      <c r="HHF230" s="10"/>
      <c r="HHG230" s="21"/>
      <c r="HHH230" s="21"/>
      <c r="HHK230" s="21"/>
      <c r="HHL230" s="15"/>
      <c r="HHM230" s="15"/>
      <c r="HHN230" s="15"/>
      <c r="HHO230" s="15"/>
      <c r="HHP230" s="15"/>
      <c r="HHQ230" s="15"/>
      <c r="HHR230" s="15"/>
      <c r="HHS230" s="15"/>
      <c r="HHT230" s="15"/>
      <c r="HHU230" s="15"/>
      <c r="HHV230" s="10"/>
      <c r="HHW230" s="10"/>
      <c r="HHX230" s="21"/>
      <c r="HHY230" s="21"/>
      <c r="HIB230" s="21"/>
      <c r="HIC230" s="15"/>
      <c r="HID230" s="15"/>
      <c r="HIE230" s="15"/>
      <c r="HIF230" s="15"/>
      <c r="HIG230" s="15"/>
      <c r="HIH230" s="15"/>
      <c r="HII230" s="15"/>
      <c r="HIJ230" s="15"/>
      <c r="HIK230" s="15"/>
      <c r="HIL230" s="15"/>
      <c r="HIM230" s="10"/>
      <c r="HIN230" s="10"/>
      <c r="HIO230" s="21"/>
      <c r="HIP230" s="21"/>
      <c r="HIS230" s="21"/>
      <c r="HIT230" s="15"/>
      <c r="HIU230" s="15"/>
      <c r="HIV230" s="15"/>
      <c r="HIW230" s="15"/>
      <c r="HIX230" s="15"/>
      <c r="HIY230" s="15"/>
      <c r="HIZ230" s="15"/>
      <c r="HJA230" s="15"/>
      <c r="HJB230" s="15"/>
      <c r="HJC230" s="15"/>
      <c r="HJD230" s="10"/>
      <c r="HJE230" s="10"/>
      <c r="HJF230" s="21"/>
      <c r="HJG230" s="21"/>
      <c r="HJJ230" s="21"/>
      <c r="HJK230" s="15"/>
      <c r="HJL230" s="15"/>
      <c r="HJM230" s="15"/>
      <c r="HJN230" s="15"/>
      <c r="HJO230" s="15"/>
      <c r="HJP230" s="15"/>
      <c r="HJQ230" s="15"/>
      <c r="HJR230" s="15"/>
      <c r="HJS230" s="15"/>
      <c r="HJT230" s="15"/>
      <c r="HJU230" s="10"/>
      <c r="HJV230" s="10"/>
      <c r="HJW230" s="21"/>
      <c r="HJX230" s="21"/>
      <c r="HKA230" s="21"/>
      <c r="HKB230" s="15"/>
      <c r="HKC230" s="15"/>
      <c r="HKD230" s="15"/>
      <c r="HKE230" s="15"/>
      <c r="HKF230" s="15"/>
      <c r="HKG230" s="15"/>
      <c r="HKH230" s="15"/>
      <c r="HKI230" s="15"/>
      <c r="HKJ230" s="15"/>
      <c r="HKK230" s="15"/>
      <c r="HKL230" s="10"/>
      <c r="HKM230" s="10"/>
      <c r="HKN230" s="21"/>
      <c r="HKO230" s="21"/>
      <c r="HKR230" s="21"/>
      <c r="HKS230" s="15"/>
      <c r="HKT230" s="15"/>
      <c r="HKU230" s="15"/>
      <c r="HKV230" s="15"/>
      <c r="HKW230" s="15"/>
      <c r="HKX230" s="15"/>
      <c r="HKY230" s="15"/>
      <c r="HKZ230" s="15"/>
      <c r="HLA230" s="15"/>
      <c r="HLB230" s="15"/>
      <c r="HLC230" s="10"/>
      <c r="HLD230" s="10"/>
      <c r="HLE230" s="21"/>
      <c r="HLF230" s="21"/>
      <c r="HLI230" s="21"/>
      <c r="HLJ230" s="15"/>
      <c r="HLK230" s="15"/>
      <c r="HLL230" s="15"/>
      <c r="HLM230" s="15"/>
      <c r="HLN230" s="15"/>
      <c r="HLO230" s="15"/>
      <c r="HLP230" s="15"/>
      <c r="HLQ230" s="15"/>
      <c r="HLR230" s="15"/>
      <c r="HLS230" s="15"/>
      <c r="HLT230" s="10"/>
      <c r="HLU230" s="10"/>
      <c r="HLV230" s="21"/>
      <c r="HLW230" s="21"/>
      <c r="HLZ230" s="21"/>
      <c r="HMA230" s="15"/>
      <c r="HMB230" s="15"/>
      <c r="HMC230" s="15"/>
      <c r="HMD230" s="15"/>
      <c r="HME230" s="15"/>
      <c r="HMF230" s="15"/>
      <c r="HMG230" s="15"/>
      <c r="HMH230" s="15"/>
      <c r="HMI230" s="15"/>
      <c r="HMJ230" s="15"/>
      <c r="HMK230" s="10"/>
      <c r="HML230" s="10"/>
      <c r="HMM230" s="21"/>
      <c r="HMN230" s="21"/>
      <c r="HMQ230" s="21"/>
      <c r="HMR230" s="15"/>
      <c r="HMS230" s="15"/>
      <c r="HMT230" s="15"/>
      <c r="HMU230" s="15"/>
      <c r="HMV230" s="15"/>
      <c r="HMW230" s="15"/>
      <c r="HMX230" s="15"/>
      <c r="HMY230" s="15"/>
      <c r="HMZ230" s="15"/>
      <c r="HNA230" s="15"/>
      <c r="HNB230" s="10"/>
      <c r="HNC230" s="10"/>
      <c r="HND230" s="21"/>
      <c r="HNE230" s="21"/>
      <c r="HNH230" s="21"/>
      <c r="HNI230" s="15"/>
      <c r="HNJ230" s="15"/>
      <c r="HNK230" s="15"/>
      <c r="HNL230" s="15"/>
      <c r="HNM230" s="15"/>
      <c r="HNN230" s="15"/>
      <c r="HNO230" s="15"/>
      <c r="HNP230" s="15"/>
      <c r="HNQ230" s="15"/>
      <c r="HNR230" s="15"/>
      <c r="HNS230" s="10"/>
      <c r="HNT230" s="10"/>
      <c r="HNU230" s="21"/>
      <c r="HNV230" s="21"/>
      <c r="HNY230" s="21"/>
      <c r="HNZ230" s="15"/>
      <c r="HOA230" s="15"/>
      <c r="HOB230" s="15"/>
      <c r="HOC230" s="15"/>
      <c r="HOD230" s="15"/>
      <c r="HOE230" s="15"/>
      <c r="HOF230" s="15"/>
      <c r="HOG230" s="15"/>
      <c r="HOH230" s="15"/>
      <c r="HOI230" s="15"/>
      <c r="HOJ230" s="10"/>
      <c r="HOK230" s="10"/>
      <c r="HOL230" s="21"/>
      <c r="HOM230" s="21"/>
      <c r="HOP230" s="21"/>
      <c r="HOQ230" s="15"/>
      <c r="HOR230" s="15"/>
      <c r="HOS230" s="15"/>
      <c r="HOT230" s="15"/>
      <c r="HOU230" s="15"/>
      <c r="HOV230" s="15"/>
      <c r="HOW230" s="15"/>
      <c r="HOX230" s="15"/>
      <c r="HOY230" s="15"/>
      <c r="HOZ230" s="15"/>
      <c r="HPA230" s="10"/>
      <c r="HPB230" s="10"/>
      <c r="HPC230" s="21"/>
      <c r="HPD230" s="21"/>
      <c r="HPG230" s="21"/>
      <c r="HPH230" s="15"/>
      <c r="HPI230" s="15"/>
      <c r="HPJ230" s="15"/>
      <c r="HPK230" s="15"/>
      <c r="HPL230" s="15"/>
      <c r="HPM230" s="15"/>
      <c r="HPN230" s="15"/>
      <c r="HPO230" s="15"/>
      <c r="HPP230" s="15"/>
      <c r="HPQ230" s="15"/>
      <c r="HPR230" s="10"/>
      <c r="HPS230" s="10"/>
      <c r="HPT230" s="21"/>
      <c r="HPU230" s="21"/>
      <c r="HPX230" s="21"/>
      <c r="HPY230" s="15"/>
      <c r="HPZ230" s="15"/>
      <c r="HQA230" s="15"/>
      <c r="HQB230" s="15"/>
      <c r="HQC230" s="15"/>
      <c r="HQD230" s="15"/>
      <c r="HQE230" s="15"/>
      <c r="HQF230" s="15"/>
      <c r="HQG230" s="15"/>
      <c r="HQH230" s="15"/>
      <c r="HQI230" s="10"/>
      <c r="HQJ230" s="10"/>
      <c r="HQK230" s="21"/>
      <c r="HQL230" s="21"/>
      <c r="HQO230" s="21"/>
      <c r="HQP230" s="15"/>
      <c r="HQQ230" s="15"/>
      <c r="HQR230" s="15"/>
      <c r="HQS230" s="15"/>
      <c r="HQT230" s="15"/>
      <c r="HQU230" s="15"/>
      <c r="HQV230" s="15"/>
      <c r="HQW230" s="15"/>
      <c r="HQX230" s="15"/>
      <c r="HQY230" s="15"/>
      <c r="HQZ230" s="10"/>
      <c r="HRA230" s="10"/>
      <c r="HRB230" s="21"/>
      <c r="HRC230" s="21"/>
      <c r="HRF230" s="21"/>
      <c r="HRG230" s="15"/>
      <c r="HRH230" s="15"/>
      <c r="HRI230" s="15"/>
      <c r="HRJ230" s="15"/>
      <c r="HRK230" s="15"/>
      <c r="HRL230" s="15"/>
      <c r="HRM230" s="15"/>
      <c r="HRN230" s="15"/>
      <c r="HRO230" s="15"/>
      <c r="HRP230" s="15"/>
      <c r="HRQ230" s="10"/>
      <c r="HRR230" s="10"/>
      <c r="HRS230" s="21"/>
      <c r="HRT230" s="21"/>
      <c r="HRW230" s="21"/>
      <c r="HRX230" s="15"/>
      <c r="HRY230" s="15"/>
      <c r="HRZ230" s="15"/>
      <c r="HSA230" s="15"/>
      <c r="HSB230" s="15"/>
      <c r="HSC230" s="15"/>
      <c r="HSD230" s="15"/>
      <c r="HSE230" s="15"/>
      <c r="HSF230" s="15"/>
      <c r="HSG230" s="15"/>
      <c r="HSH230" s="10"/>
      <c r="HSI230" s="10"/>
      <c r="HSJ230" s="21"/>
      <c r="HSK230" s="21"/>
      <c r="HSN230" s="21"/>
      <c r="HSO230" s="15"/>
      <c r="HSP230" s="15"/>
      <c r="HSQ230" s="15"/>
      <c r="HSR230" s="15"/>
      <c r="HSS230" s="15"/>
      <c r="HST230" s="15"/>
      <c r="HSU230" s="15"/>
      <c r="HSV230" s="15"/>
      <c r="HSW230" s="15"/>
      <c r="HSX230" s="15"/>
      <c r="HSY230" s="10"/>
      <c r="HSZ230" s="10"/>
      <c r="HTA230" s="21"/>
      <c r="HTB230" s="21"/>
      <c r="HTE230" s="21"/>
      <c r="HTF230" s="15"/>
      <c r="HTG230" s="15"/>
      <c r="HTH230" s="15"/>
      <c r="HTI230" s="15"/>
      <c r="HTJ230" s="15"/>
      <c r="HTK230" s="15"/>
      <c r="HTL230" s="15"/>
      <c r="HTM230" s="15"/>
      <c r="HTN230" s="15"/>
      <c r="HTO230" s="15"/>
      <c r="HTP230" s="10"/>
      <c r="HTQ230" s="10"/>
      <c r="HTR230" s="21"/>
      <c r="HTS230" s="21"/>
      <c r="HTV230" s="21"/>
      <c r="HTW230" s="15"/>
      <c r="HTX230" s="15"/>
      <c r="HTY230" s="15"/>
      <c r="HTZ230" s="15"/>
      <c r="HUA230" s="15"/>
      <c r="HUB230" s="15"/>
      <c r="HUC230" s="15"/>
      <c r="HUD230" s="15"/>
      <c r="HUE230" s="15"/>
      <c r="HUF230" s="15"/>
      <c r="HUG230" s="10"/>
      <c r="HUH230" s="10"/>
      <c r="HUI230" s="21"/>
      <c r="HUJ230" s="21"/>
      <c r="HUM230" s="21"/>
      <c r="HUN230" s="15"/>
      <c r="HUO230" s="15"/>
      <c r="HUP230" s="15"/>
      <c r="HUQ230" s="15"/>
      <c r="HUR230" s="15"/>
      <c r="HUS230" s="15"/>
      <c r="HUT230" s="15"/>
      <c r="HUU230" s="15"/>
      <c r="HUV230" s="15"/>
      <c r="HUW230" s="15"/>
      <c r="HUX230" s="10"/>
      <c r="HUY230" s="10"/>
      <c r="HUZ230" s="21"/>
      <c r="HVA230" s="21"/>
      <c r="HVD230" s="21"/>
      <c r="HVE230" s="15"/>
      <c r="HVF230" s="15"/>
      <c r="HVG230" s="15"/>
      <c r="HVH230" s="15"/>
      <c r="HVI230" s="15"/>
      <c r="HVJ230" s="15"/>
      <c r="HVK230" s="15"/>
      <c r="HVL230" s="15"/>
      <c r="HVM230" s="15"/>
      <c r="HVN230" s="15"/>
      <c r="HVO230" s="10"/>
      <c r="HVP230" s="10"/>
      <c r="HVQ230" s="21"/>
      <c r="HVR230" s="21"/>
      <c r="HVU230" s="21"/>
      <c r="HVV230" s="15"/>
      <c r="HVW230" s="15"/>
      <c r="HVX230" s="15"/>
      <c r="HVY230" s="15"/>
      <c r="HVZ230" s="15"/>
      <c r="HWA230" s="15"/>
      <c r="HWB230" s="15"/>
      <c r="HWC230" s="15"/>
      <c r="HWD230" s="15"/>
      <c r="HWE230" s="15"/>
      <c r="HWF230" s="10"/>
      <c r="HWG230" s="10"/>
      <c r="HWH230" s="21"/>
      <c r="HWI230" s="21"/>
      <c r="HWL230" s="21"/>
      <c r="HWM230" s="15"/>
      <c r="HWN230" s="15"/>
      <c r="HWO230" s="15"/>
      <c r="HWP230" s="15"/>
      <c r="HWQ230" s="15"/>
      <c r="HWR230" s="15"/>
      <c r="HWS230" s="15"/>
      <c r="HWT230" s="15"/>
      <c r="HWU230" s="15"/>
      <c r="HWV230" s="15"/>
      <c r="HWW230" s="10"/>
      <c r="HWX230" s="10"/>
      <c r="HWY230" s="21"/>
      <c r="HWZ230" s="21"/>
      <c r="HXC230" s="21"/>
      <c r="HXD230" s="15"/>
      <c r="HXE230" s="15"/>
      <c r="HXF230" s="15"/>
      <c r="HXG230" s="15"/>
      <c r="HXH230" s="15"/>
      <c r="HXI230" s="15"/>
      <c r="HXJ230" s="15"/>
      <c r="HXK230" s="15"/>
      <c r="HXL230" s="15"/>
      <c r="HXM230" s="15"/>
      <c r="HXN230" s="10"/>
      <c r="HXO230" s="10"/>
      <c r="HXP230" s="21"/>
      <c r="HXQ230" s="21"/>
      <c r="HXT230" s="21"/>
      <c r="HXU230" s="15"/>
      <c r="HXV230" s="15"/>
      <c r="HXW230" s="15"/>
      <c r="HXX230" s="15"/>
      <c r="HXY230" s="15"/>
      <c r="HXZ230" s="15"/>
      <c r="HYA230" s="15"/>
      <c r="HYB230" s="15"/>
      <c r="HYC230" s="15"/>
      <c r="HYD230" s="15"/>
      <c r="HYE230" s="10"/>
      <c r="HYF230" s="10"/>
      <c r="HYG230" s="21"/>
      <c r="HYH230" s="21"/>
      <c r="HYK230" s="21"/>
      <c r="HYL230" s="15"/>
      <c r="HYM230" s="15"/>
      <c r="HYN230" s="15"/>
      <c r="HYO230" s="15"/>
      <c r="HYP230" s="15"/>
      <c r="HYQ230" s="15"/>
      <c r="HYR230" s="15"/>
      <c r="HYS230" s="15"/>
      <c r="HYT230" s="15"/>
      <c r="HYU230" s="15"/>
      <c r="HYV230" s="10"/>
      <c r="HYW230" s="10"/>
      <c r="HYX230" s="21"/>
      <c r="HYY230" s="21"/>
      <c r="HZB230" s="21"/>
      <c r="HZC230" s="15"/>
      <c r="HZD230" s="15"/>
      <c r="HZE230" s="15"/>
      <c r="HZF230" s="15"/>
      <c r="HZG230" s="15"/>
      <c r="HZH230" s="15"/>
      <c r="HZI230" s="15"/>
      <c r="HZJ230" s="15"/>
      <c r="HZK230" s="15"/>
      <c r="HZL230" s="15"/>
      <c r="HZM230" s="10"/>
      <c r="HZN230" s="10"/>
      <c r="HZO230" s="21"/>
      <c r="HZP230" s="21"/>
      <c r="HZS230" s="21"/>
      <c r="HZT230" s="15"/>
      <c r="HZU230" s="15"/>
      <c r="HZV230" s="15"/>
      <c r="HZW230" s="15"/>
      <c r="HZX230" s="15"/>
      <c r="HZY230" s="15"/>
      <c r="HZZ230" s="15"/>
      <c r="IAA230" s="15"/>
      <c r="IAB230" s="15"/>
      <c r="IAC230" s="15"/>
      <c r="IAD230" s="10"/>
      <c r="IAE230" s="10"/>
      <c r="IAF230" s="21"/>
      <c r="IAG230" s="21"/>
      <c r="IAJ230" s="21"/>
      <c r="IAK230" s="15"/>
      <c r="IAL230" s="15"/>
      <c r="IAM230" s="15"/>
      <c r="IAN230" s="15"/>
      <c r="IAO230" s="15"/>
      <c r="IAP230" s="15"/>
      <c r="IAQ230" s="15"/>
      <c r="IAR230" s="15"/>
      <c r="IAS230" s="15"/>
      <c r="IAT230" s="15"/>
      <c r="IAU230" s="10"/>
      <c r="IAV230" s="10"/>
      <c r="IAW230" s="21"/>
      <c r="IAX230" s="21"/>
      <c r="IBA230" s="21"/>
      <c r="IBB230" s="15"/>
      <c r="IBC230" s="15"/>
      <c r="IBD230" s="15"/>
      <c r="IBE230" s="15"/>
      <c r="IBF230" s="15"/>
      <c r="IBG230" s="15"/>
      <c r="IBH230" s="15"/>
      <c r="IBI230" s="15"/>
      <c r="IBJ230" s="15"/>
      <c r="IBK230" s="15"/>
      <c r="IBL230" s="10"/>
      <c r="IBM230" s="10"/>
      <c r="IBN230" s="21"/>
      <c r="IBO230" s="21"/>
      <c r="IBR230" s="21"/>
      <c r="IBS230" s="15"/>
      <c r="IBT230" s="15"/>
      <c r="IBU230" s="15"/>
      <c r="IBV230" s="15"/>
      <c r="IBW230" s="15"/>
      <c r="IBX230" s="15"/>
      <c r="IBY230" s="15"/>
      <c r="IBZ230" s="15"/>
      <c r="ICA230" s="15"/>
      <c r="ICB230" s="15"/>
      <c r="ICC230" s="10"/>
      <c r="ICD230" s="10"/>
      <c r="ICE230" s="21"/>
      <c r="ICF230" s="21"/>
      <c r="ICI230" s="21"/>
      <c r="ICJ230" s="15"/>
      <c r="ICK230" s="15"/>
      <c r="ICL230" s="15"/>
      <c r="ICM230" s="15"/>
      <c r="ICN230" s="15"/>
      <c r="ICO230" s="15"/>
      <c r="ICP230" s="15"/>
      <c r="ICQ230" s="15"/>
      <c r="ICR230" s="15"/>
      <c r="ICS230" s="15"/>
      <c r="ICT230" s="10"/>
      <c r="ICU230" s="10"/>
      <c r="ICV230" s="21"/>
      <c r="ICW230" s="21"/>
      <c r="ICZ230" s="21"/>
      <c r="IDA230" s="15"/>
      <c r="IDB230" s="15"/>
      <c r="IDC230" s="15"/>
      <c r="IDD230" s="15"/>
      <c r="IDE230" s="15"/>
      <c r="IDF230" s="15"/>
      <c r="IDG230" s="15"/>
      <c r="IDH230" s="15"/>
      <c r="IDI230" s="15"/>
      <c r="IDJ230" s="15"/>
      <c r="IDK230" s="10"/>
      <c r="IDL230" s="10"/>
      <c r="IDM230" s="21"/>
      <c r="IDN230" s="21"/>
      <c r="IDQ230" s="21"/>
      <c r="IDR230" s="15"/>
      <c r="IDS230" s="15"/>
      <c r="IDT230" s="15"/>
      <c r="IDU230" s="15"/>
      <c r="IDV230" s="15"/>
      <c r="IDW230" s="15"/>
      <c r="IDX230" s="15"/>
      <c r="IDY230" s="15"/>
      <c r="IDZ230" s="15"/>
      <c r="IEA230" s="15"/>
      <c r="IEB230" s="10"/>
      <c r="IEC230" s="10"/>
      <c r="IED230" s="21"/>
      <c r="IEE230" s="21"/>
      <c r="IEH230" s="21"/>
      <c r="IEI230" s="15"/>
      <c r="IEJ230" s="15"/>
      <c r="IEK230" s="15"/>
      <c r="IEL230" s="15"/>
      <c r="IEM230" s="15"/>
      <c r="IEN230" s="15"/>
      <c r="IEO230" s="15"/>
      <c r="IEP230" s="15"/>
      <c r="IEQ230" s="15"/>
      <c r="IER230" s="15"/>
      <c r="IES230" s="10"/>
      <c r="IET230" s="10"/>
      <c r="IEU230" s="21"/>
      <c r="IEV230" s="21"/>
      <c r="IEY230" s="21"/>
      <c r="IEZ230" s="15"/>
      <c r="IFA230" s="15"/>
      <c r="IFB230" s="15"/>
      <c r="IFC230" s="15"/>
      <c r="IFD230" s="15"/>
      <c r="IFE230" s="15"/>
      <c r="IFF230" s="15"/>
      <c r="IFG230" s="15"/>
      <c r="IFH230" s="15"/>
      <c r="IFI230" s="15"/>
      <c r="IFJ230" s="10"/>
      <c r="IFK230" s="10"/>
      <c r="IFL230" s="21"/>
      <c r="IFM230" s="21"/>
      <c r="IFP230" s="21"/>
      <c r="IFQ230" s="15"/>
      <c r="IFR230" s="15"/>
      <c r="IFS230" s="15"/>
      <c r="IFT230" s="15"/>
      <c r="IFU230" s="15"/>
      <c r="IFV230" s="15"/>
      <c r="IFW230" s="15"/>
      <c r="IFX230" s="15"/>
      <c r="IFY230" s="15"/>
      <c r="IFZ230" s="15"/>
      <c r="IGA230" s="10"/>
      <c r="IGB230" s="10"/>
      <c r="IGC230" s="21"/>
      <c r="IGD230" s="21"/>
      <c r="IGG230" s="21"/>
      <c r="IGH230" s="15"/>
      <c r="IGI230" s="15"/>
      <c r="IGJ230" s="15"/>
      <c r="IGK230" s="15"/>
      <c r="IGL230" s="15"/>
      <c r="IGM230" s="15"/>
      <c r="IGN230" s="15"/>
      <c r="IGO230" s="15"/>
      <c r="IGP230" s="15"/>
      <c r="IGQ230" s="15"/>
      <c r="IGR230" s="10"/>
      <c r="IGS230" s="10"/>
      <c r="IGT230" s="21"/>
      <c r="IGU230" s="21"/>
      <c r="IGX230" s="21"/>
      <c r="IGY230" s="15"/>
      <c r="IGZ230" s="15"/>
      <c r="IHA230" s="15"/>
      <c r="IHB230" s="15"/>
      <c r="IHC230" s="15"/>
      <c r="IHD230" s="15"/>
      <c r="IHE230" s="15"/>
      <c r="IHF230" s="15"/>
      <c r="IHG230" s="15"/>
      <c r="IHH230" s="15"/>
      <c r="IHI230" s="10"/>
      <c r="IHJ230" s="10"/>
      <c r="IHK230" s="21"/>
      <c r="IHL230" s="21"/>
      <c r="IHO230" s="21"/>
      <c r="IHP230" s="15"/>
      <c r="IHQ230" s="15"/>
      <c r="IHR230" s="15"/>
      <c r="IHS230" s="15"/>
      <c r="IHT230" s="15"/>
      <c r="IHU230" s="15"/>
      <c r="IHV230" s="15"/>
      <c r="IHW230" s="15"/>
      <c r="IHX230" s="15"/>
      <c r="IHY230" s="15"/>
      <c r="IHZ230" s="10"/>
      <c r="IIA230" s="10"/>
      <c r="IIB230" s="21"/>
      <c r="IIC230" s="21"/>
      <c r="IIF230" s="21"/>
      <c r="IIG230" s="15"/>
      <c r="IIH230" s="15"/>
      <c r="III230" s="15"/>
      <c r="IIJ230" s="15"/>
      <c r="IIK230" s="15"/>
      <c r="IIL230" s="15"/>
      <c r="IIM230" s="15"/>
      <c r="IIN230" s="15"/>
      <c r="IIO230" s="15"/>
      <c r="IIP230" s="15"/>
      <c r="IIQ230" s="10"/>
      <c r="IIR230" s="10"/>
      <c r="IIS230" s="21"/>
      <c r="IIT230" s="21"/>
      <c r="IIW230" s="21"/>
      <c r="IIX230" s="15"/>
      <c r="IIY230" s="15"/>
      <c r="IIZ230" s="15"/>
      <c r="IJA230" s="15"/>
      <c r="IJB230" s="15"/>
      <c r="IJC230" s="15"/>
      <c r="IJD230" s="15"/>
      <c r="IJE230" s="15"/>
      <c r="IJF230" s="15"/>
      <c r="IJG230" s="15"/>
      <c r="IJH230" s="10"/>
      <c r="IJI230" s="10"/>
      <c r="IJJ230" s="21"/>
      <c r="IJK230" s="21"/>
      <c r="IJN230" s="21"/>
      <c r="IJO230" s="15"/>
      <c r="IJP230" s="15"/>
      <c r="IJQ230" s="15"/>
      <c r="IJR230" s="15"/>
      <c r="IJS230" s="15"/>
      <c r="IJT230" s="15"/>
      <c r="IJU230" s="15"/>
      <c r="IJV230" s="15"/>
      <c r="IJW230" s="15"/>
      <c r="IJX230" s="15"/>
      <c r="IJY230" s="10"/>
      <c r="IJZ230" s="10"/>
      <c r="IKA230" s="21"/>
      <c r="IKB230" s="21"/>
      <c r="IKE230" s="21"/>
      <c r="IKF230" s="15"/>
      <c r="IKG230" s="15"/>
      <c r="IKH230" s="15"/>
      <c r="IKI230" s="15"/>
      <c r="IKJ230" s="15"/>
      <c r="IKK230" s="15"/>
      <c r="IKL230" s="15"/>
      <c r="IKM230" s="15"/>
      <c r="IKN230" s="15"/>
      <c r="IKO230" s="15"/>
      <c r="IKP230" s="10"/>
      <c r="IKQ230" s="10"/>
      <c r="IKR230" s="21"/>
      <c r="IKS230" s="21"/>
      <c r="IKV230" s="21"/>
      <c r="IKW230" s="15"/>
      <c r="IKX230" s="15"/>
      <c r="IKY230" s="15"/>
      <c r="IKZ230" s="15"/>
      <c r="ILA230" s="15"/>
      <c r="ILB230" s="15"/>
      <c r="ILC230" s="15"/>
      <c r="ILD230" s="15"/>
      <c r="ILE230" s="15"/>
      <c r="ILF230" s="15"/>
      <c r="ILG230" s="10"/>
      <c r="ILH230" s="10"/>
      <c r="ILI230" s="21"/>
      <c r="ILJ230" s="21"/>
      <c r="ILM230" s="21"/>
      <c r="ILN230" s="15"/>
      <c r="ILO230" s="15"/>
      <c r="ILP230" s="15"/>
      <c r="ILQ230" s="15"/>
      <c r="ILR230" s="15"/>
      <c r="ILS230" s="15"/>
      <c r="ILT230" s="15"/>
      <c r="ILU230" s="15"/>
      <c r="ILV230" s="15"/>
      <c r="ILW230" s="15"/>
      <c r="ILX230" s="10"/>
      <c r="ILY230" s="10"/>
      <c r="ILZ230" s="21"/>
      <c r="IMA230" s="21"/>
      <c r="IMD230" s="21"/>
      <c r="IME230" s="15"/>
      <c r="IMF230" s="15"/>
      <c r="IMG230" s="15"/>
      <c r="IMH230" s="15"/>
      <c r="IMI230" s="15"/>
      <c r="IMJ230" s="15"/>
      <c r="IMK230" s="15"/>
      <c r="IML230" s="15"/>
      <c r="IMM230" s="15"/>
      <c r="IMN230" s="15"/>
      <c r="IMO230" s="10"/>
      <c r="IMP230" s="10"/>
      <c r="IMQ230" s="21"/>
      <c r="IMR230" s="21"/>
      <c r="IMU230" s="21"/>
      <c r="IMV230" s="15"/>
      <c r="IMW230" s="15"/>
      <c r="IMX230" s="15"/>
      <c r="IMY230" s="15"/>
      <c r="IMZ230" s="15"/>
      <c r="INA230" s="15"/>
      <c r="INB230" s="15"/>
      <c r="INC230" s="15"/>
      <c r="IND230" s="15"/>
      <c r="INE230" s="15"/>
      <c r="INF230" s="10"/>
      <c r="ING230" s="10"/>
      <c r="INH230" s="21"/>
      <c r="INI230" s="21"/>
      <c r="INL230" s="21"/>
      <c r="INM230" s="15"/>
      <c r="INN230" s="15"/>
      <c r="INO230" s="15"/>
      <c r="INP230" s="15"/>
      <c r="INQ230" s="15"/>
      <c r="INR230" s="15"/>
      <c r="INS230" s="15"/>
      <c r="INT230" s="15"/>
      <c r="INU230" s="15"/>
      <c r="INV230" s="15"/>
      <c r="INW230" s="10"/>
      <c r="INX230" s="10"/>
      <c r="INY230" s="21"/>
      <c r="INZ230" s="21"/>
      <c r="IOC230" s="21"/>
      <c r="IOD230" s="15"/>
      <c r="IOE230" s="15"/>
      <c r="IOF230" s="15"/>
      <c r="IOG230" s="15"/>
      <c r="IOH230" s="15"/>
      <c r="IOI230" s="15"/>
      <c r="IOJ230" s="15"/>
      <c r="IOK230" s="15"/>
      <c r="IOL230" s="15"/>
      <c r="IOM230" s="15"/>
      <c r="ION230" s="10"/>
      <c r="IOO230" s="10"/>
      <c r="IOP230" s="21"/>
      <c r="IOQ230" s="21"/>
      <c r="IOT230" s="21"/>
      <c r="IOU230" s="15"/>
      <c r="IOV230" s="15"/>
      <c r="IOW230" s="15"/>
      <c r="IOX230" s="15"/>
      <c r="IOY230" s="15"/>
      <c r="IOZ230" s="15"/>
      <c r="IPA230" s="15"/>
      <c r="IPB230" s="15"/>
      <c r="IPC230" s="15"/>
      <c r="IPD230" s="15"/>
      <c r="IPE230" s="10"/>
      <c r="IPF230" s="10"/>
      <c r="IPG230" s="21"/>
      <c r="IPH230" s="21"/>
      <c r="IPK230" s="21"/>
      <c r="IPL230" s="15"/>
      <c r="IPM230" s="15"/>
      <c r="IPN230" s="15"/>
      <c r="IPO230" s="15"/>
      <c r="IPP230" s="15"/>
      <c r="IPQ230" s="15"/>
      <c r="IPR230" s="15"/>
      <c r="IPS230" s="15"/>
      <c r="IPT230" s="15"/>
      <c r="IPU230" s="15"/>
      <c r="IPV230" s="10"/>
      <c r="IPW230" s="10"/>
      <c r="IPX230" s="21"/>
      <c r="IPY230" s="21"/>
      <c r="IQB230" s="21"/>
      <c r="IQC230" s="15"/>
      <c r="IQD230" s="15"/>
      <c r="IQE230" s="15"/>
      <c r="IQF230" s="15"/>
      <c r="IQG230" s="15"/>
      <c r="IQH230" s="15"/>
      <c r="IQI230" s="15"/>
      <c r="IQJ230" s="15"/>
      <c r="IQK230" s="15"/>
      <c r="IQL230" s="15"/>
      <c r="IQM230" s="10"/>
      <c r="IQN230" s="10"/>
      <c r="IQO230" s="21"/>
      <c r="IQP230" s="21"/>
      <c r="IQS230" s="21"/>
      <c r="IQT230" s="15"/>
      <c r="IQU230" s="15"/>
      <c r="IQV230" s="15"/>
      <c r="IQW230" s="15"/>
      <c r="IQX230" s="15"/>
      <c r="IQY230" s="15"/>
      <c r="IQZ230" s="15"/>
      <c r="IRA230" s="15"/>
      <c r="IRB230" s="15"/>
      <c r="IRC230" s="15"/>
      <c r="IRD230" s="10"/>
      <c r="IRE230" s="10"/>
      <c r="IRF230" s="21"/>
      <c r="IRG230" s="21"/>
      <c r="IRJ230" s="21"/>
      <c r="IRK230" s="15"/>
      <c r="IRL230" s="15"/>
      <c r="IRM230" s="15"/>
      <c r="IRN230" s="15"/>
      <c r="IRO230" s="15"/>
      <c r="IRP230" s="15"/>
      <c r="IRQ230" s="15"/>
      <c r="IRR230" s="15"/>
      <c r="IRS230" s="15"/>
      <c r="IRT230" s="15"/>
      <c r="IRU230" s="10"/>
      <c r="IRV230" s="10"/>
      <c r="IRW230" s="21"/>
      <c r="IRX230" s="21"/>
      <c r="ISA230" s="21"/>
      <c r="ISB230" s="15"/>
      <c r="ISC230" s="15"/>
      <c r="ISD230" s="15"/>
      <c r="ISE230" s="15"/>
      <c r="ISF230" s="15"/>
      <c r="ISG230" s="15"/>
      <c r="ISH230" s="15"/>
      <c r="ISI230" s="15"/>
      <c r="ISJ230" s="15"/>
      <c r="ISK230" s="15"/>
      <c r="ISL230" s="10"/>
      <c r="ISM230" s="10"/>
      <c r="ISN230" s="21"/>
      <c r="ISO230" s="21"/>
      <c r="ISR230" s="21"/>
      <c r="ISS230" s="15"/>
      <c r="IST230" s="15"/>
      <c r="ISU230" s="15"/>
      <c r="ISV230" s="15"/>
      <c r="ISW230" s="15"/>
      <c r="ISX230" s="15"/>
      <c r="ISY230" s="15"/>
      <c r="ISZ230" s="15"/>
      <c r="ITA230" s="15"/>
      <c r="ITB230" s="15"/>
      <c r="ITC230" s="10"/>
      <c r="ITD230" s="10"/>
      <c r="ITE230" s="21"/>
      <c r="ITF230" s="21"/>
      <c r="ITI230" s="21"/>
      <c r="ITJ230" s="15"/>
      <c r="ITK230" s="15"/>
      <c r="ITL230" s="15"/>
      <c r="ITM230" s="15"/>
      <c r="ITN230" s="15"/>
      <c r="ITO230" s="15"/>
      <c r="ITP230" s="15"/>
      <c r="ITQ230" s="15"/>
      <c r="ITR230" s="15"/>
      <c r="ITS230" s="15"/>
      <c r="ITT230" s="10"/>
      <c r="ITU230" s="10"/>
      <c r="ITV230" s="21"/>
      <c r="ITW230" s="21"/>
      <c r="ITZ230" s="21"/>
      <c r="IUA230" s="15"/>
      <c r="IUB230" s="15"/>
      <c r="IUC230" s="15"/>
      <c r="IUD230" s="15"/>
      <c r="IUE230" s="15"/>
      <c r="IUF230" s="15"/>
      <c r="IUG230" s="15"/>
      <c r="IUH230" s="15"/>
      <c r="IUI230" s="15"/>
      <c r="IUJ230" s="15"/>
      <c r="IUK230" s="10"/>
      <c r="IUL230" s="10"/>
      <c r="IUM230" s="21"/>
      <c r="IUN230" s="21"/>
      <c r="IUQ230" s="21"/>
      <c r="IUR230" s="15"/>
      <c r="IUS230" s="15"/>
      <c r="IUT230" s="15"/>
      <c r="IUU230" s="15"/>
      <c r="IUV230" s="15"/>
      <c r="IUW230" s="15"/>
      <c r="IUX230" s="15"/>
      <c r="IUY230" s="15"/>
      <c r="IUZ230" s="15"/>
      <c r="IVA230" s="15"/>
      <c r="IVB230" s="10"/>
      <c r="IVC230" s="10"/>
      <c r="IVD230" s="21"/>
      <c r="IVE230" s="21"/>
      <c r="IVH230" s="21"/>
      <c r="IVI230" s="15"/>
      <c r="IVJ230" s="15"/>
      <c r="IVK230" s="15"/>
      <c r="IVL230" s="15"/>
      <c r="IVM230" s="15"/>
      <c r="IVN230" s="15"/>
      <c r="IVO230" s="15"/>
      <c r="IVP230" s="15"/>
      <c r="IVQ230" s="15"/>
      <c r="IVR230" s="15"/>
      <c r="IVS230" s="10"/>
      <c r="IVT230" s="10"/>
      <c r="IVU230" s="21"/>
      <c r="IVV230" s="21"/>
      <c r="IVY230" s="21"/>
      <c r="IVZ230" s="15"/>
      <c r="IWA230" s="15"/>
      <c r="IWB230" s="15"/>
      <c r="IWC230" s="15"/>
      <c r="IWD230" s="15"/>
      <c r="IWE230" s="15"/>
      <c r="IWF230" s="15"/>
      <c r="IWG230" s="15"/>
      <c r="IWH230" s="15"/>
      <c r="IWI230" s="15"/>
      <c r="IWJ230" s="10"/>
      <c r="IWK230" s="10"/>
      <c r="IWL230" s="21"/>
      <c r="IWM230" s="21"/>
      <c r="IWP230" s="21"/>
      <c r="IWQ230" s="15"/>
      <c r="IWR230" s="15"/>
      <c r="IWS230" s="15"/>
      <c r="IWT230" s="15"/>
      <c r="IWU230" s="15"/>
      <c r="IWV230" s="15"/>
      <c r="IWW230" s="15"/>
      <c r="IWX230" s="15"/>
      <c r="IWY230" s="15"/>
      <c r="IWZ230" s="15"/>
      <c r="IXA230" s="10"/>
      <c r="IXB230" s="10"/>
      <c r="IXC230" s="21"/>
      <c r="IXD230" s="21"/>
      <c r="IXG230" s="21"/>
      <c r="IXH230" s="15"/>
      <c r="IXI230" s="15"/>
      <c r="IXJ230" s="15"/>
      <c r="IXK230" s="15"/>
      <c r="IXL230" s="15"/>
      <c r="IXM230" s="15"/>
      <c r="IXN230" s="15"/>
      <c r="IXO230" s="15"/>
      <c r="IXP230" s="15"/>
      <c r="IXQ230" s="15"/>
      <c r="IXR230" s="10"/>
      <c r="IXS230" s="10"/>
      <c r="IXT230" s="21"/>
      <c r="IXU230" s="21"/>
      <c r="IXX230" s="21"/>
      <c r="IXY230" s="15"/>
      <c r="IXZ230" s="15"/>
      <c r="IYA230" s="15"/>
      <c r="IYB230" s="15"/>
      <c r="IYC230" s="15"/>
      <c r="IYD230" s="15"/>
      <c r="IYE230" s="15"/>
      <c r="IYF230" s="15"/>
      <c r="IYG230" s="15"/>
      <c r="IYH230" s="15"/>
      <c r="IYI230" s="10"/>
      <c r="IYJ230" s="10"/>
      <c r="IYK230" s="21"/>
      <c r="IYL230" s="21"/>
      <c r="IYO230" s="21"/>
      <c r="IYP230" s="15"/>
      <c r="IYQ230" s="15"/>
      <c r="IYR230" s="15"/>
      <c r="IYS230" s="15"/>
      <c r="IYT230" s="15"/>
      <c r="IYU230" s="15"/>
      <c r="IYV230" s="15"/>
      <c r="IYW230" s="15"/>
      <c r="IYX230" s="15"/>
      <c r="IYY230" s="15"/>
      <c r="IYZ230" s="10"/>
      <c r="IZA230" s="10"/>
      <c r="IZB230" s="21"/>
      <c r="IZC230" s="21"/>
      <c r="IZF230" s="21"/>
      <c r="IZG230" s="15"/>
      <c r="IZH230" s="15"/>
      <c r="IZI230" s="15"/>
      <c r="IZJ230" s="15"/>
      <c r="IZK230" s="15"/>
      <c r="IZL230" s="15"/>
      <c r="IZM230" s="15"/>
      <c r="IZN230" s="15"/>
      <c r="IZO230" s="15"/>
      <c r="IZP230" s="15"/>
      <c r="IZQ230" s="10"/>
      <c r="IZR230" s="10"/>
      <c r="IZS230" s="21"/>
      <c r="IZT230" s="21"/>
      <c r="IZW230" s="21"/>
      <c r="IZX230" s="15"/>
      <c r="IZY230" s="15"/>
      <c r="IZZ230" s="15"/>
      <c r="JAA230" s="15"/>
      <c r="JAB230" s="15"/>
      <c r="JAC230" s="15"/>
      <c r="JAD230" s="15"/>
      <c r="JAE230" s="15"/>
      <c r="JAF230" s="15"/>
      <c r="JAG230" s="15"/>
      <c r="JAH230" s="10"/>
      <c r="JAI230" s="10"/>
      <c r="JAJ230" s="21"/>
      <c r="JAK230" s="21"/>
      <c r="JAN230" s="21"/>
      <c r="JAO230" s="15"/>
      <c r="JAP230" s="15"/>
      <c r="JAQ230" s="15"/>
      <c r="JAR230" s="15"/>
      <c r="JAS230" s="15"/>
      <c r="JAT230" s="15"/>
      <c r="JAU230" s="15"/>
      <c r="JAV230" s="15"/>
      <c r="JAW230" s="15"/>
      <c r="JAX230" s="15"/>
      <c r="JAY230" s="10"/>
      <c r="JAZ230" s="10"/>
      <c r="JBA230" s="21"/>
      <c r="JBB230" s="21"/>
      <c r="JBE230" s="21"/>
      <c r="JBF230" s="15"/>
      <c r="JBG230" s="15"/>
      <c r="JBH230" s="15"/>
      <c r="JBI230" s="15"/>
      <c r="JBJ230" s="15"/>
      <c r="JBK230" s="15"/>
      <c r="JBL230" s="15"/>
      <c r="JBM230" s="15"/>
      <c r="JBN230" s="15"/>
      <c r="JBO230" s="15"/>
      <c r="JBP230" s="10"/>
      <c r="JBQ230" s="10"/>
      <c r="JBR230" s="21"/>
      <c r="JBS230" s="21"/>
      <c r="JBV230" s="21"/>
      <c r="JBW230" s="15"/>
      <c r="JBX230" s="15"/>
      <c r="JBY230" s="15"/>
      <c r="JBZ230" s="15"/>
      <c r="JCA230" s="15"/>
      <c r="JCB230" s="15"/>
      <c r="JCC230" s="15"/>
      <c r="JCD230" s="15"/>
      <c r="JCE230" s="15"/>
      <c r="JCF230" s="15"/>
      <c r="JCG230" s="10"/>
      <c r="JCH230" s="10"/>
      <c r="JCI230" s="21"/>
      <c r="JCJ230" s="21"/>
      <c r="JCM230" s="21"/>
      <c r="JCN230" s="15"/>
      <c r="JCO230" s="15"/>
      <c r="JCP230" s="15"/>
      <c r="JCQ230" s="15"/>
      <c r="JCR230" s="15"/>
      <c r="JCS230" s="15"/>
      <c r="JCT230" s="15"/>
      <c r="JCU230" s="15"/>
      <c r="JCV230" s="15"/>
      <c r="JCW230" s="15"/>
      <c r="JCX230" s="10"/>
      <c r="JCY230" s="10"/>
      <c r="JCZ230" s="21"/>
      <c r="JDA230" s="21"/>
      <c r="JDD230" s="21"/>
      <c r="JDE230" s="15"/>
      <c r="JDF230" s="15"/>
      <c r="JDG230" s="15"/>
      <c r="JDH230" s="15"/>
      <c r="JDI230" s="15"/>
      <c r="JDJ230" s="15"/>
      <c r="JDK230" s="15"/>
      <c r="JDL230" s="15"/>
      <c r="JDM230" s="15"/>
      <c r="JDN230" s="15"/>
      <c r="JDO230" s="10"/>
      <c r="JDP230" s="10"/>
      <c r="JDQ230" s="21"/>
      <c r="JDR230" s="21"/>
      <c r="JDU230" s="21"/>
      <c r="JDV230" s="15"/>
      <c r="JDW230" s="15"/>
      <c r="JDX230" s="15"/>
      <c r="JDY230" s="15"/>
      <c r="JDZ230" s="15"/>
      <c r="JEA230" s="15"/>
      <c r="JEB230" s="15"/>
      <c r="JEC230" s="15"/>
      <c r="JED230" s="15"/>
      <c r="JEE230" s="15"/>
      <c r="JEF230" s="10"/>
      <c r="JEG230" s="10"/>
      <c r="JEH230" s="21"/>
      <c r="JEI230" s="21"/>
      <c r="JEL230" s="21"/>
      <c r="JEM230" s="15"/>
      <c r="JEN230" s="15"/>
      <c r="JEO230" s="15"/>
      <c r="JEP230" s="15"/>
      <c r="JEQ230" s="15"/>
      <c r="JER230" s="15"/>
      <c r="JES230" s="15"/>
      <c r="JET230" s="15"/>
      <c r="JEU230" s="15"/>
      <c r="JEV230" s="15"/>
      <c r="JEW230" s="10"/>
      <c r="JEX230" s="10"/>
      <c r="JEY230" s="21"/>
      <c r="JEZ230" s="21"/>
      <c r="JFC230" s="21"/>
      <c r="JFD230" s="15"/>
      <c r="JFE230" s="15"/>
      <c r="JFF230" s="15"/>
      <c r="JFG230" s="15"/>
      <c r="JFH230" s="15"/>
      <c r="JFI230" s="15"/>
      <c r="JFJ230" s="15"/>
      <c r="JFK230" s="15"/>
      <c r="JFL230" s="15"/>
      <c r="JFM230" s="15"/>
      <c r="JFN230" s="10"/>
      <c r="JFO230" s="10"/>
      <c r="JFP230" s="21"/>
      <c r="JFQ230" s="21"/>
      <c r="JFT230" s="21"/>
      <c r="JFU230" s="15"/>
      <c r="JFV230" s="15"/>
      <c r="JFW230" s="15"/>
      <c r="JFX230" s="15"/>
      <c r="JFY230" s="15"/>
      <c r="JFZ230" s="15"/>
      <c r="JGA230" s="15"/>
      <c r="JGB230" s="15"/>
      <c r="JGC230" s="15"/>
      <c r="JGD230" s="15"/>
      <c r="JGE230" s="10"/>
      <c r="JGF230" s="10"/>
      <c r="JGG230" s="21"/>
      <c r="JGH230" s="21"/>
      <c r="JGK230" s="21"/>
      <c r="JGL230" s="15"/>
      <c r="JGM230" s="15"/>
      <c r="JGN230" s="15"/>
      <c r="JGO230" s="15"/>
      <c r="JGP230" s="15"/>
      <c r="JGQ230" s="15"/>
      <c r="JGR230" s="15"/>
      <c r="JGS230" s="15"/>
      <c r="JGT230" s="15"/>
      <c r="JGU230" s="15"/>
      <c r="JGV230" s="10"/>
      <c r="JGW230" s="10"/>
      <c r="JGX230" s="21"/>
      <c r="JGY230" s="21"/>
      <c r="JHB230" s="21"/>
      <c r="JHC230" s="15"/>
      <c r="JHD230" s="15"/>
      <c r="JHE230" s="15"/>
      <c r="JHF230" s="15"/>
      <c r="JHG230" s="15"/>
      <c r="JHH230" s="15"/>
      <c r="JHI230" s="15"/>
      <c r="JHJ230" s="15"/>
      <c r="JHK230" s="15"/>
      <c r="JHL230" s="15"/>
      <c r="JHM230" s="10"/>
      <c r="JHN230" s="10"/>
      <c r="JHO230" s="21"/>
      <c r="JHP230" s="21"/>
      <c r="JHS230" s="21"/>
      <c r="JHT230" s="15"/>
      <c r="JHU230" s="15"/>
      <c r="JHV230" s="15"/>
      <c r="JHW230" s="15"/>
      <c r="JHX230" s="15"/>
      <c r="JHY230" s="15"/>
      <c r="JHZ230" s="15"/>
      <c r="JIA230" s="15"/>
      <c r="JIB230" s="15"/>
      <c r="JIC230" s="15"/>
      <c r="JID230" s="10"/>
      <c r="JIE230" s="10"/>
      <c r="JIF230" s="21"/>
      <c r="JIG230" s="21"/>
      <c r="JIJ230" s="21"/>
      <c r="JIK230" s="15"/>
      <c r="JIL230" s="15"/>
      <c r="JIM230" s="15"/>
      <c r="JIN230" s="15"/>
      <c r="JIO230" s="15"/>
      <c r="JIP230" s="15"/>
      <c r="JIQ230" s="15"/>
      <c r="JIR230" s="15"/>
      <c r="JIS230" s="15"/>
      <c r="JIT230" s="15"/>
      <c r="JIU230" s="10"/>
      <c r="JIV230" s="10"/>
      <c r="JIW230" s="21"/>
      <c r="JIX230" s="21"/>
      <c r="JJA230" s="21"/>
      <c r="JJB230" s="15"/>
      <c r="JJC230" s="15"/>
      <c r="JJD230" s="15"/>
      <c r="JJE230" s="15"/>
      <c r="JJF230" s="15"/>
      <c r="JJG230" s="15"/>
      <c r="JJH230" s="15"/>
      <c r="JJI230" s="15"/>
      <c r="JJJ230" s="15"/>
      <c r="JJK230" s="15"/>
      <c r="JJL230" s="10"/>
      <c r="JJM230" s="10"/>
      <c r="JJN230" s="21"/>
      <c r="JJO230" s="21"/>
      <c r="JJR230" s="21"/>
      <c r="JJS230" s="15"/>
      <c r="JJT230" s="15"/>
      <c r="JJU230" s="15"/>
      <c r="JJV230" s="15"/>
      <c r="JJW230" s="15"/>
      <c r="JJX230" s="15"/>
      <c r="JJY230" s="15"/>
      <c r="JJZ230" s="15"/>
      <c r="JKA230" s="15"/>
      <c r="JKB230" s="15"/>
      <c r="JKC230" s="10"/>
      <c r="JKD230" s="10"/>
      <c r="JKE230" s="21"/>
      <c r="JKF230" s="21"/>
      <c r="JKI230" s="21"/>
      <c r="JKJ230" s="15"/>
      <c r="JKK230" s="15"/>
      <c r="JKL230" s="15"/>
      <c r="JKM230" s="15"/>
      <c r="JKN230" s="15"/>
      <c r="JKO230" s="15"/>
      <c r="JKP230" s="15"/>
      <c r="JKQ230" s="15"/>
      <c r="JKR230" s="15"/>
      <c r="JKS230" s="15"/>
      <c r="JKT230" s="10"/>
      <c r="JKU230" s="10"/>
      <c r="JKV230" s="21"/>
      <c r="JKW230" s="21"/>
      <c r="JKZ230" s="21"/>
      <c r="JLA230" s="15"/>
      <c r="JLB230" s="15"/>
      <c r="JLC230" s="15"/>
      <c r="JLD230" s="15"/>
      <c r="JLE230" s="15"/>
      <c r="JLF230" s="15"/>
      <c r="JLG230" s="15"/>
      <c r="JLH230" s="15"/>
      <c r="JLI230" s="15"/>
      <c r="JLJ230" s="15"/>
      <c r="JLK230" s="10"/>
      <c r="JLL230" s="10"/>
      <c r="JLM230" s="21"/>
      <c r="JLN230" s="21"/>
      <c r="JLQ230" s="21"/>
      <c r="JLR230" s="15"/>
      <c r="JLS230" s="15"/>
      <c r="JLT230" s="15"/>
      <c r="JLU230" s="15"/>
      <c r="JLV230" s="15"/>
      <c r="JLW230" s="15"/>
      <c r="JLX230" s="15"/>
      <c r="JLY230" s="15"/>
      <c r="JLZ230" s="15"/>
      <c r="JMA230" s="15"/>
      <c r="JMB230" s="10"/>
      <c r="JMC230" s="10"/>
      <c r="JMD230" s="21"/>
      <c r="JME230" s="21"/>
      <c r="JMH230" s="21"/>
      <c r="JMI230" s="15"/>
      <c r="JMJ230" s="15"/>
      <c r="JMK230" s="15"/>
      <c r="JML230" s="15"/>
      <c r="JMM230" s="15"/>
      <c r="JMN230" s="15"/>
      <c r="JMO230" s="15"/>
      <c r="JMP230" s="15"/>
      <c r="JMQ230" s="15"/>
      <c r="JMR230" s="15"/>
      <c r="JMS230" s="10"/>
      <c r="JMT230" s="10"/>
      <c r="JMU230" s="21"/>
      <c r="JMV230" s="21"/>
      <c r="JMY230" s="21"/>
      <c r="JMZ230" s="15"/>
      <c r="JNA230" s="15"/>
      <c r="JNB230" s="15"/>
      <c r="JNC230" s="15"/>
      <c r="JND230" s="15"/>
      <c r="JNE230" s="15"/>
      <c r="JNF230" s="15"/>
      <c r="JNG230" s="15"/>
      <c r="JNH230" s="15"/>
      <c r="JNI230" s="15"/>
      <c r="JNJ230" s="10"/>
      <c r="JNK230" s="10"/>
      <c r="JNL230" s="21"/>
      <c r="JNM230" s="21"/>
      <c r="JNP230" s="21"/>
      <c r="JNQ230" s="15"/>
      <c r="JNR230" s="15"/>
      <c r="JNS230" s="15"/>
      <c r="JNT230" s="15"/>
      <c r="JNU230" s="15"/>
      <c r="JNV230" s="15"/>
      <c r="JNW230" s="15"/>
      <c r="JNX230" s="15"/>
      <c r="JNY230" s="15"/>
      <c r="JNZ230" s="15"/>
      <c r="JOA230" s="10"/>
      <c r="JOB230" s="10"/>
      <c r="JOC230" s="21"/>
      <c r="JOD230" s="21"/>
      <c r="JOG230" s="21"/>
      <c r="JOH230" s="15"/>
      <c r="JOI230" s="15"/>
      <c r="JOJ230" s="15"/>
      <c r="JOK230" s="15"/>
      <c r="JOL230" s="15"/>
      <c r="JOM230" s="15"/>
      <c r="JON230" s="15"/>
      <c r="JOO230" s="15"/>
      <c r="JOP230" s="15"/>
      <c r="JOQ230" s="15"/>
      <c r="JOR230" s="10"/>
      <c r="JOS230" s="10"/>
      <c r="JOT230" s="21"/>
      <c r="JOU230" s="21"/>
      <c r="JOX230" s="21"/>
      <c r="JOY230" s="15"/>
      <c r="JOZ230" s="15"/>
      <c r="JPA230" s="15"/>
      <c r="JPB230" s="15"/>
      <c r="JPC230" s="15"/>
      <c r="JPD230" s="15"/>
      <c r="JPE230" s="15"/>
      <c r="JPF230" s="15"/>
      <c r="JPG230" s="15"/>
      <c r="JPH230" s="15"/>
      <c r="JPI230" s="10"/>
      <c r="JPJ230" s="10"/>
      <c r="JPK230" s="21"/>
      <c r="JPL230" s="21"/>
      <c r="JPO230" s="21"/>
      <c r="JPP230" s="15"/>
      <c r="JPQ230" s="15"/>
      <c r="JPR230" s="15"/>
      <c r="JPS230" s="15"/>
      <c r="JPT230" s="15"/>
      <c r="JPU230" s="15"/>
      <c r="JPV230" s="15"/>
      <c r="JPW230" s="15"/>
      <c r="JPX230" s="15"/>
      <c r="JPY230" s="15"/>
      <c r="JPZ230" s="10"/>
      <c r="JQA230" s="10"/>
      <c r="JQB230" s="21"/>
      <c r="JQC230" s="21"/>
      <c r="JQF230" s="21"/>
      <c r="JQG230" s="15"/>
      <c r="JQH230" s="15"/>
      <c r="JQI230" s="15"/>
      <c r="JQJ230" s="15"/>
      <c r="JQK230" s="15"/>
      <c r="JQL230" s="15"/>
      <c r="JQM230" s="15"/>
      <c r="JQN230" s="15"/>
      <c r="JQO230" s="15"/>
      <c r="JQP230" s="15"/>
      <c r="JQQ230" s="10"/>
      <c r="JQR230" s="10"/>
      <c r="JQS230" s="21"/>
      <c r="JQT230" s="21"/>
      <c r="JQW230" s="21"/>
      <c r="JQX230" s="15"/>
      <c r="JQY230" s="15"/>
      <c r="JQZ230" s="15"/>
      <c r="JRA230" s="15"/>
      <c r="JRB230" s="15"/>
      <c r="JRC230" s="15"/>
      <c r="JRD230" s="15"/>
      <c r="JRE230" s="15"/>
      <c r="JRF230" s="15"/>
      <c r="JRG230" s="15"/>
      <c r="JRH230" s="10"/>
      <c r="JRI230" s="10"/>
      <c r="JRJ230" s="21"/>
      <c r="JRK230" s="21"/>
      <c r="JRN230" s="21"/>
      <c r="JRO230" s="15"/>
      <c r="JRP230" s="15"/>
      <c r="JRQ230" s="15"/>
      <c r="JRR230" s="15"/>
      <c r="JRS230" s="15"/>
      <c r="JRT230" s="15"/>
      <c r="JRU230" s="15"/>
      <c r="JRV230" s="15"/>
      <c r="JRW230" s="15"/>
      <c r="JRX230" s="15"/>
      <c r="JRY230" s="10"/>
      <c r="JRZ230" s="10"/>
      <c r="JSA230" s="21"/>
      <c r="JSB230" s="21"/>
      <c r="JSE230" s="21"/>
      <c r="JSF230" s="15"/>
      <c r="JSG230" s="15"/>
      <c r="JSH230" s="15"/>
      <c r="JSI230" s="15"/>
      <c r="JSJ230" s="15"/>
      <c r="JSK230" s="15"/>
      <c r="JSL230" s="15"/>
      <c r="JSM230" s="15"/>
      <c r="JSN230" s="15"/>
      <c r="JSO230" s="15"/>
      <c r="JSP230" s="10"/>
      <c r="JSQ230" s="10"/>
      <c r="JSR230" s="21"/>
      <c r="JSS230" s="21"/>
      <c r="JSV230" s="21"/>
      <c r="JSW230" s="15"/>
      <c r="JSX230" s="15"/>
      <c r="JSY230" s="15"/>
      <c r="JSZ230" s="15"/>
      <c r="JTA230" s="15"/>
      <c r="JTB230" s="15"/>
      <c r="JTC230" s="15"/>
      <c r="JTD230" s="15"/>
      <c r="JTE230" s="15"/>
      <c r="JTF230" s="15"/>
      <c r="JTG230" s="10"/>
      <c r="JTH230" s="10"/>
      <c r="JTI230" s="21"/>
      <c r="JTJ230" s="21"/>
      <c r="JTM230" s="21"/>
      <c r="JTN230" s="15"/>
      <c r="JTO230" s="15"/>
      <c r="JTP230" s="15"/>
      <c r="JTQ230" s="15"/>
      <c r="JTR230" s="15"/>
      <c r="JTS230" s="15"/>
      <c r="JTT230" s="15"/>
      <c r="JTU230" s="15"/>
      <c r="JTV230" s="15"/>
      <c r="JTW230" s="15"/>
      <c r="JTX230" s="10"/>
      <c r="JTY230" s="10"/>
      <c r="JTZ230" s="21"/>
      <c r="JUA230" s="21"/>
      <c r="JUD230" s="21"/>
      <c r="JUE230" s="15"/>
      <c r="JUF230" s="15"/>
      <c r="JUG230" s="15"/>
      <c r="JUH230" s="15"/>
      <c r="JUI230" s="15"/>
      <c r="JUJ230" s="15"/>
      <c r="JUK230" s="15"/>
      <c r="JUL230" s="15"/>
      <c r="JUM230" s="15"/>
      <c r="JUN230" s="15"/>
      <c r="JUO230" s="10"/>
      <c r="JUP230" s="10"/>
      <c r="JUQ230" s="21"/>
      <c r="JUR230" s="21"/>
      <c r="JUU230" s="21"/>
      <c r="JUV230" s="15"/>
      <c r="JUW230" s="15"/>
      <c r="JUX230" s="15"/>
      <c r="JUY230" s="15"/>
      <c r="JUZ230" s="15"/>
      <c r="JVA230" s="15"/>
      <c r="JVB230" s="15"/>
      <c r="JVC230" s="15"/>
      <c r="JVD230" s="15"/>
      <c r="JVE230" s="15"/>
      <c r="JVF230" s="10"/>
      <c r="JVG230" s="10"/>
      <c r="JVH230" s="21"/>
      <c r="JVI230" s="21"/>
      <c r="JVL230" s="21"/>
      <c r="JVM230" s="15"/>
      <c r="JVN230" s="15"/>
      <c r="JVO230" s="15"/>
      <c r="JVP230" s="15"/>
      <c r="JVQ230" s="15"/>
      <c r="JVR230" s="15"/>
      <c r="JVS230" s="15"/>
      <c r="JVT230" s="15"/>
      <c r="JVU230" s="15"/>
      <c r="JVV230" s="15"/>
      <c r="JVW230" s="10"/>
      <c r="JVX230" s="10"/>
      <c r="JVY230" s="21"/>
      <c r="JVZ230" s="21"/>
      <c r="JWC230" s="21"/>
      <c r="JWD230" s="15"/>
      <c r="JWE230" s="15"/>
      <c r="JWF230" s="15"/>
      <c r="JWG230" s="15"/>
      <c r="JWH230" s="15"/>
      <c r="JWI230" s="15"/>
      <c r="JWJ230" s="15"/>
      <c r="JWK230" s="15"/>
      <c r="JWL230" s="15"/>
      <c r="JWM230" s="15"/>
      <c r="JWN230" s="10"/>
      <c r="JWO230" s="10"/>
      <c r="JWP230" s="21"/>
      <c r="JWQ230" s="21"/>
      <c r="JWT230" s="21"/>
      <c r="JWU230" s="15"/>
      <c r="JWV230" s="15"/>
      <c r="JWW230" s="15"/>
      <c r="JWX230" s="15"/>
      <c r="JWY230" s="15"/>
      <c r="JWZ230" s="15"/>
      <c r="JXA230" s="15"/>
      <c r="JXB230" s="15"/>
      <c r="JXC230" s="15"/>
      <c r="JXD230" s="15"/>
      <c r="JXE230" s="10"/>
      <c r="JXF230" s="10"/>
      <c r="JXG230" s="21"/>
      <c r="JXH230" s="21"/>
      <c r="JXK230" s="21"/>
      <c r="JXL230" s="15"/>
      <c r="JXM230" s="15"/>
      <c r="JXN230" s="15"/>
      <c r="JXO230" s="15"/>
      <c r="JXP230" s="15"/>
      <c r="JXQ230" s="15"/>
      <c r="JXR230" s="15"/>
      <c r="JXS230" s="15"/>
      <c r="JXT230" s="15"/>
      <c r="JXU230" s="15"/>
      <c r="JXV230" s="10"/>
      <c r="JXW230" s="10"/>
      <c r="JXX230" s="21"/>
      <c r="JXY230" s="21"/>
      <c r="JYB230" s="21"/>
      <c r="JYC230" s="15"/>
      <c r="JYD230" s="15"/>
      <c r="JYE230" s="15"/>
      <c r="JYF230" s="15"/>
      <c r="JYG230" s="15"/>
      <c r="JYH230" s="15"/>
      <c r="JYI230" s="15"/>
      <c r="JYJ230" s="15"/>
      <c r="JYK230" s="15"/>
      <c r="JYL230" s="15"/>
      <c r="JYM230" s="10"/>
      <c r="JYN230" s="10"/>
      <c r="JYO230" s="21"/>
      <c r="JYP230" s="21"/>
      <c r="JYS230" s="21"/>
      <c r="JYT230" s="15"/>
      <c r="JYU230" s="15"/>
      <c r="JYV230" s="15"/>
      <c r="JYW230" s="15"/>
      <c r="JYX230" s="15"/>
      <c r="JYY230" s="15"/>
      <c r="JYZ230" s="15"/>
      <c r="JZA230" s="15"/>
      <c r="JZB230" s="15"/>
      <c r="JZC230" s="15"/>
      <c r="JZD230" s="10"/>
      <c r="JZE230" s="10"/>
      <c r="JZF230" s="21"/>
      <c r="JZG230" s="21"/>
      <c r="JZJ230" s="21"/>
      <c r="JZK230" s="15"/>
      <c r="JZL230" s="15"/>
      <c r="JZM230" s="15"/>
      <c r="JZN230" s="15"/>
      <c r="JZO230" s="15"/>
      <c r="JZP230" s="15"/>
      <c r="JZQ230" s="15"/>
      <c r="JZR230" s="15"/>
      <c r="JZS230" s="15"/>
      <c r="JZT230" s="15"/>
      <c r="JZU230" s="10"/>
      <c r="JZV230" s="10"/>
      <c r="JZW230" s="21"/>
      <c r="JZX230" s="21"/>
      <c r="KAA230" s="21"/>
      <c r="KAB230" s="15"/>
      <c r="KAC230" s="15"/>
      <c r="KAD230" s="15"/>
      <c r="KAE230" s="15"/>
      <c r="KAF230" s="15"/>
      <c r="KAG230" s="15"/>
      <c r="KAH230" s="15"/>
      <c r="KAI230" s="15"/>
      <c r="KAJ230" s="15"/>
      <c r="KAK230" s="15"/>
      <c r="KAL230" s="10"/>
      <c r="KAM230" s="10"/>
      <c r="KAN230" s="21"/>
      <c r="KAO230" s="21"/>
      <c r="KAR230" s="21"/>
      <c r="KAS230" s="15"/>
      <c r="KAT230" s="15"/>
      <c r="KAU230" s="15"/>
      <c r="KAV230" s="15"/>
      <c r="KAW230" s="15"/>
      <c r="KAX230" s="15"/>
      <c r="KAY230" s="15"/>
      <c r="KAZ230" s="15"/>
      <c r="KBA230" s="15"/>
      <c r="KBB230" s="15"/>
      <c r="KBC230" s="10"/>
      <c r="KBD230" s="10"/>
      <c r="KBE230" s="21"/>
      <c r="KBF230" s="21"/>
      <c r="KBI230" s="21"/>
      <c r="KBJ230" s="15"/>
      <c r="KBK230" s="15"/>
      <c r="KBL230" s="15"/>
      <c r="KBM230" s="15"/>
      <c r="KBN230" s="15"/>
      <c r="KBO230" s="15"/>
      <c r="KBP230" s="15"/>
      <c r="KBQ230" s="15"/>
      <c r="KBR230" s="15"/>
      <c r="KBS230" s="15"/>
      <c r="KBT230" s="10"/>
      <c r="KBU230" s="10"/>
      <c r="KBV230" s="21"/>
      <c r="KBW230" s="21"/>
      <c r="KBZ230" s="21"/>
      <c r="KCA230" s="15"/>
      <c r="KCB230" s="15"/>
      <c r="KCC230" s="15"/>
      <c r="KCD230" s="15"/>
      <c r="KCE230" s="15"/>
      <c r="KCF230" s="15"/>
      <c r="KCG230" s="15"/>
      <c r="KCH230" s="15"/>
      <c r="KCI230" s="15"/>
      <c r="KCJ230" s="15"/>
      <c r="KCK230" s="10"/>
      <c r="KCL230" s="10"/>
      <c r="KCM230" s="21"/>
      <c r="KCN230" s="21"/>
      <c r="KCQ230" s="21"/>
      <c r="KCR230" s="15"/>
      <c r="KCS230" s="15"/>
      <c r="KCT230" s="15"/>
      <c r="KCU230" s="15"/>
      <c r="KCV230" s="15"/>
      <c r="KCW230" s="15"/>
      <c r="KCX230" s="15"/>
      <c r="KCY230" s="15"/>
      <c r="KCZ230" s="15"/>
      <c r="KDA230" s="15"/>
      <c r="KDB230" s="10"/>
      <c r="KDC230" s="10"/>
      <c r="KDD230" s="21"/>
      <c r="KDE230" s="21"/>
      <c r="KDH230" s="21"/>
      <c r="KDI230" s="15"/>
      <c r="KDJ230" s="15"/>
      <c r="KDK230" s="15"/>
      <c r="KDL230" s="15"/>
      <c r="KDM230" s="15"/>
      <c r="KDN230" s="15"/>
      <c r="KDO230" s="15"/>
      <c r="KDP230" s="15"/>
      <c r="KDQ230" s="15"/>
      <c r="KDR230" s="15"/>
      <c r="KDS230" s="10"/>
      <c r="KDT230" s="10"/>
      <c r="KDU230" s="21"/>
      <c r="KDV230" s="21"/>
      <c r="KDY230" s="21"/>
      <c r="KDZ230" s="15"/>
      <c r="KEA230" s="15"/>
      <c r="KEB230" s="15"/>
      <c r="KEC230" s="15"/>
      <c r="KED230" s="15"/>
      <c r="KEE230" s="15"/>
      <c r="KEF230" s="15"/>
      <c r="KEG230" s="15"/>
      <c r="KEH230" s="15"/>
      <c r="KEI230" s="15"/>
      <c r="KEJ230" s="10"/>
      <c r="KEK230" s="10"/>
      <c r="KEL230" s="21"/>
      <c r="KEM230" s="21"/>
      <c r="KEP230" s="21"/>
      <c r="KEQ230" s="15"/>
      <c r="KER230" s="15"/>
      <c r="KES230" s="15"/>
      <c r="KET230" s="15"/>
      <c r="KEU230" s="15"/>
      <c r="KEV230" s="15"/>
      <c r="KEW230" s="15"/>
      <c r="KEX230" s="15"/>
      <c r="KEY230" s="15"/>
      <c r="KEZ230" s="15"/>
      <c r="KFA230" s="10"/>
      <c r="KFB230" s="10"/>
      <c r="KFC230" s="21"/>
      <c r="KFD230" s="21"/>
      <c r="KFG230" s="21"/>
      <c r="KFH230" s="15"/>
      <c r="KFI230" s="15"/>
      <c r="KFJ230" s="15"/>
      <c r="KFK230" s="15"/>
      <c r="KFL230" s="15"/>
      <c r="KFM230" s="15"/>
      <c r="KFN230" s="15"/>
      <c r="KFO230" s="15"/>
      <c r="KFP230" s="15"/>
      <c r="KFQ230" s="15"/>
      <c r="KFR230" s="10"/>
      <c r="KFS230" s="10"/>
      <c r="KFT230" s="21"/>
      <c r="KFU230" s="21"/>
      <c r="KFX230" s="21"/>
      <c r="KFY230" s="15"/>
      <c r="KFZ230" s="15"/>
      <c r="KGA230" s="15"/>
      <c r="KGB230" s="15"/>
      <c r="KGC230" s="15"/>
      <c r="KGD230" s="15"/>
      <c r="KGE230" s="15"/>
      <c r="KGF230" s="15"/>
      <c r="KGG230" s="15"/>
      <c r="KGH230" s="15"/>
      <c r="KGI230" s="10"/>
      <c r="KGJ230" s="10"/>
      <c r="KGK230" s="21"/>
      <c r="KGL230" s="21"/>
      <c r="KGO230" s="21"/>
      <c r="KGP230" s="15"/>
      <c r="KGQ230" s="15"/>
      <c r="KGR230" s="15"/>
      <c r="KGS230" s="15"/>
      <c r="KGT230" s="15"/>
      <c r="KGU230" s="15"/>
      <c r="KGV230" s="15"/>
      <c r="KGW230" s="15"/>
      <c r="KGX230" s="15"/>
      <c r="KGY230" s="15"/>
      <c r="KGZ230" s="10"/>
      <c r="KHA230" s="10"/>
      <c r="KHB230" s="21"/>
      <c r="KHC230" s="21"/>
      <c r="KHF230" s="21"/>
      <c r="KHG230" s="15"/>
      <c r="KHH230" s="15"/>
      <c r="KHI230" s="15"/>
      <c r="KHJ230" s="15"/>
      <c r="KHK230" s="15"/>
      <c r="KHL230" s="15"/>
      <c r="KHM230" s="15"/>
      <c r="KHN230" s="15"/>
      <c r="KHO230" s="15"/>
      <c r="KHP230" s="15"/>
      <c r="KHQ230" s="10"/>
      <c r="KHR230" s="10"/>
      <c r="KHS230" s="21"/>
      <c r="KHT230" s="21"/>
      <c r="KHW230" s="21"/>
      <c r="KHX230" s="15"/>
      <c r="KHY230" s="15"/>
      <c r="KHZ230" s="15"/>
      <c r="KIA230" s="15"/>
      <c r="KIB230" s="15"/>
      <c r="KIC230" s="15"/>
      <c r="KID230" s="15"/>
      <c r="KIE230" s="15"/>
      <c r="KIF230" s="15"/>
      <c r="KIG230" s="15"/>
      <c r="KIH230" s="10"/>
      <c r="KII230" s="10"/>
      <c r="KIJ230" s="21"/>
      <c r="KIK230" s="21"/>
      <c r="KIN230" s="21"/>
      <c r="KIO230" s="15"/>
      <c r="KIP230" s="15"/>
      <c r="KIQ230" s="15"/>
      <c r="KIR230" s="15"/>
      <c r="KIS230" s="15"/>
      <c r="KIT230" s="15"/>
      <c r="KIU230" s="15"/>
      <c r="KIV230" s="15"/>
      <c r="KIW230" s="15"/>
      <c r="KIX230" s="15"/>
      <c r="KIY230" s="10"/>
      <c r="KIZ230" s="10"/>
      <c r="KJA230" s="21"/>
      <c r="KJB230" s="21"/>
      <c r="KJE230" s="21"/>
      <c r="KJF230" s="15"/>
      <c r="KJG230" s="15"/>
      <c r="KJH230" s="15"/>
      <c r="KJI230" s="15"/>
      <c r="KJJ230" s="15"/>
      <c r="KJK230" s="15"/>
      <c r="KJL230" s="15"/>
      <c r="KJM230" s="15"/>
      <c r="KJN230" s="15"/>
      <c r="KJO230" s="15"/>
      <c r="KJP230" s="10"/>
      <c r="KJQ230" s="10"/>
      <c r="KJR230" s="21"/>
      <c r="KJS230" s="21"/>
      <c r="KJV230" s="21"/>
      <c r="KJW230" s="15"/>
      <c r="KJX230" s="15"/>
      <c r="KJY230" s="15"/>
      <c r="KJZ230" s="15"/>
      <c r="KKA230" s="15"/>
      <c r="KKB230" s="15"/>
      <c r="KKC230" s="15"/>
      <c r="KKD230" s="15"/>
      <c r="KKE230" s="15"/>
      <c r="KKF230" s="15"/>
      <c r="KKG230" s="10"/>
      <c r="KKH230" s="10"/>
      <c r="KKI230" s="21"/>
      <c r="KKJ230" s="21"/>
      <c r="KKM230" s="21"/>
      <c r="KKN230" s="15"/>
      <c r="KKO230" s="15"/>
      <c r="KKP230" s="15"/>
      <c r="KKQ230" s="15"/>
      <c r="KKR230" s="15"/>
      <c r="KKS230" s="15"/>
      <c r="KKT230" s="15"/>
      <c r="KKU230" s="15"/>
      <c r="KKV230" s="15"/>
      <c r="KKW230" s="15"/>
      <c r="KKX230" s="10"/>
      <c r="KKY230" s="10"/>
      <c r="KKZ230" s="21"/>
      <c r="KLA230" s="21"/>
      <c r="KLD230" s="21"/>
      <c r="KLE230" s="15"/>
      <c r="KLF230" s="15"/>
      <c r="KLG230" s="15"/>
      <c r="KLH230" s="15"/>
      <c r="KLI230" s="15"/>
      <c r="KLJ230" s="15"/>
      <c r="KLK230" s="15"/>
      <c r="KLL230" s="15"/>
      <c r="KLM230" s="15"/>
      <c r="KLN230" s="15"/>
      <c r="KLO230" s="10"/>
      <c r="KLP230" s="10"/>
      <c r="KLQ230" s="21"/>
      <c r="KLR230" s="21"/>
      <c r="KLU230" s="21"/>
      <c r="KLV230" s="15"/>
      <c r="KLW230" s="15"/>
      <c r="KLX230" s="15"/>
      <c r="KLY230" s="15"/>
      <c r="KLZ230" s="15"/>
      <c r="KMA230" s="15"/>
      <c r="KMB230" s="15"/>
      <c r="KMC230" s="15"/>
      <c r="KMD230" s="15"/>
      <c r="KME230" s="15"/>
      <c r="KMF230" s="10"/>
      <c r="KMG230" s="10"/>
      <c r="KMH230" s="21"/>
      <c r="KMI230" s="21"/>
      <c r="KML230" s="21"/>
      <c r="KMM230" s="15"/>
      <c r="KMN230" s="15"/>
      <c r="KMO230" s="15"/>
      <c r="KMP230" s="15"/>
      <c r="KMQ230" s="15"/>
      <c r="KMR230" s="15"/>
      <c r="KMS230" s="15"/>
      <c r="KMT230" s="15"/>
      <c r="KMU230" s="15"/>
      <c r="KMV230" s="15"/>
      <c r="KMW230" s="10"/>
      <c r="KMX230" s="10"/>
      <c r="KMY230" s="21"/>
      <c r="KMZ230" s="21"/>
      <c r="KNC230" s="21"/>
      <c r="KND230" s="15"/>
      <c r="KNE230" s="15"/>
      <c r="KNF230" s="15"/>
      <c r="KNG230" s="15"/>
      <c r="KNH230" s="15"/>
      <c r="KNI230" s="15"/>
      <c r="KNJ230" s="15"/>
      <c r="KNK230" s="15"/>
      <c r="KNL230" s="15"/>
      <c r="KNM230" s="15"/>
      <c r="KNN230" s="10"/>
      <c r="KNO230" s="10"/>
      <c r="KNP230" s="21"/>
      <c r="KNQ230" s="21"/>
      <c r="KNT230" s="21"/>
      <c r="KNU230" s="15"/>
      <c r="KNV230" s="15"/>
      <c r="KNW230" s="15"/>
      <c r="KNX230" s="15"/>
      <c r="KNY230" s="15"/>
      <c r="KNZ230" s="15"/>
      <c r="KOA230" s="15"/>
      <c r="KOB230" s="15"/>
      <c r="KOC230" s="15"/>
      <c r="KOD230" s="15"/>
      <c r="KOE230" s="10"/>
      <c r="KOF230" s="10"/>
      <c r="KOG230" s="21"/>
      <c r="KOH230" s="21"/>
      <c r="KOK230" s="21"/>
      <c r="KOL230" s="15"/>
      <c r="KOM230" s="15"/>
      <c r="KON230" s="15"/>
      <c r="KOO230" s="15"/>
      <c r="KOP230" s="15"/>
      <c r="KOQ230" s="15"/>
      <c r="KOR230" s="15"/>
      <c r="KOS230" s="15"/>
      <c r="KOT230" s="15"/>
      <c r="KOU230" s="15"/>
      <c r="KOV230" s="10"/>
      <c r="KOW230" s="10"/>
      <c r="KOX230" s="21"/>
      <c r="KOY230" s="21"/>
      <c r="KPB230" s="21"/>
      <c r="KPC230" s="15"/>
      <c r="KPD230" s="15"/>
      <c r="KPE230" s="15"/>
      <c r="KPF230" s="15"/>
      <c r="KPG230" s="15"/>
      <c r="KPH230" s="15"/>
      <c r="KPI230" s="15"/>
      <c r="KPJ230" s="15"/>
      <c r="KPK230" s="15"/>
      <c r="KPL230" s="15"/>
      <c r="KPM230" s="10"/>
      <c r="KPN230" s="10"/>
      <c r="KPO230" s="21"/>
      <c r="KPP230" s="21"/>
      <c r="KPS230" s="21"/>
      <c r="KPT230" s="15"/>
      <c r="KPU230" s="15"/>
      <c r="KPV230" s="15"/>
      <c r="KPW230" s="15"/>
      <c r="KPX230" s="15"/>
      <c r="KPY230" s="15"/>
      <c r="KPZ230" s="15"/>
      <c r="KQA230" s="15"/>
      <c r="KQB230" s="15"/>
      <c r="KQC230" s="15"/>
      <c r="KQD230" s="10"/>
      <c r="KQE230" s="10"/>
      <c r="KQF230" s="21"/>
      <c r="KQG230" s="21"/>
      <c r="KQJ230" s="21"/>
      <c r="KQK230" s="15"/>
      <c r="KQL230" s="15"/>
      <c r="KQM230" s="15"/>
      <c r="KQN230" s="15"/>
      <c r="KQO230" s="15"/>
      <c r="KQP230" s="15"/>
      <c r="KQQ230" s="15"/>
      <c r="KQR230" s="15"/>
      <c r="KQS230" s="15"/>
      <c r="KQT230" s="15"/>
      <c r="KQU230" s="10"/>
      <c r="KQV230" s="10"/>
      <c r="KQW230" s="21"/>
      <c r="KQX230" s="21"/>
      <c r="KRA230" s="21"/>
      <c r="KRB230" s="15"/>
      <c r="KRC230" s="15"/>
      <c r="KRD230" s="15"/>
      <c r="KRE230" s="15"/>
      <c r="KRF230" s="15"/>
      <c r="KRG230" s="15"/>
      <c r="KRH230" s="15"/>
      <c r="KRI230" s="15"/>
      <c r="KRJ230" s="15"/>
      <c r="KRK230" s="15"/>
      <c r="KRL230" s="10"/>
      <c r="KRM230" s="10"/>
      <c r="KRN230" s="21"/>
      <c r="KRO230" s="21"/>
      <c r="KRR230" s="21"/>
      <c r="KRS230" s="15"/>
      <c r="KRT230" s="15"/>
      <c r="KRU230" s="15"/>
      <c r="KRV230" s="15"/>
      <c r="KRW230" s="15"/>
      <c r="KRX230" s="15"/>
      <c r="KRY230" s="15"/>
      <c r="KRZ230" s="15"/>
      <c r="KSA230" s="15"/>
      <c r="KSB230" s="15"/>
      <c r="KSC230" s="10"/>
      <c r="KSD230" s="10"/>
      <c r="KSE230" s="21"/>
      <c r="KSF230" s="21"/>
      <c r="KSI230" s="21"/>
      <c r="KSJ230" s="15"/>
      <c r="KSK230" s="15"/>
      <c r="KSL230" s="15"/>
      <c r="KSM230" s="15"/>
      <c r="KSN230" s="15"/>
      <c r="KSO230" s="15"/>
      <c r="KSP230" s="15"/>
      <c r="KSQ230" s="15"/>
      <c r="KSR230" s="15"/>
      <c r="KSS230" s="15"/>
      <c r="KST230" s="10"/>
      <c r="KSU230" s="10"/>
      <c r="KSV230" s="21"/>
      <c r="KSW230" s="21"/>
      <c r="KSZ230" s="21"/>
      <c r="KTA230" s="15"/>
      <c r="KTB230" s="15"/>
      <c r="KTC230" s="15"/>
      <c r="KTD230" s="15"/>
      <c r="KTE230" s="15"/>
      <c r="KTF230" s="15"/>
      <c r="KTG230" s="15"/>
      <c r="KTH230" s="15"/>
      <c r="KTI230" s="15"/>
      <c r="KTJ230" s="15"/>
      <c r="KTK230" s="10"/>
      <c r="KTL230" s="10"/>
      <c r="KTM230" s="21"/>
      <c r="KTN230" s="21"/>
      <c r="KTQ230" s="21"/>
      <c r="KTR230" s="15"/>
      <c r="KTS230" s="15"/>
      <c r="KTT230" s="15"/>
      <c r="KTU230" s="15"/>
      <c r="KTV230" s="15"/>
      <c r="KTW230" s="15"/>
      <c r="KTX230" s="15"/>
      <c r="KTY230" s="15"/>
      <c r="KTZ230" s="15"/>
      <c r="KUA230" s="15"/>
      <c r="KUB230" s="10"/>
      <c r="KUC230" s="10"/>
      <c r="KUD230" s="21"/>
      <c r="KUE230" s="21"/>
      <c r="KUH230" s="21"/>
      <c r="KUI230" s="15"/>
      <c r="KUJ230" s="15"/>
      <c r="KUK230" s="15"/>
      <c r="KUL230" s="15"/>
      <c r="KUM230" s="15"/>
      <c r="KUN230" s="15"/>
      <c r="KUO230" s="15"/>
      <c r="KUP230" s="15"/>
      <c r="KUQ230" s="15"/>
      <c r="KUR230" s="15"/>
      <c r="KUS230" s="10"/>
      <c r="KUT230" s="10"/>
      <c r="KUU230" s="21"/>
      <c r="KUV230" s="21"/>
      <c r="KUY230" s="21"/>
      <c r="KUZ230" s="15"/>
      <c r="KVA230" s="15"/>
      <c r="KVB230" s="15"/>
      <c r="KVC230" s="15"/>
      <c r="KVD230" s="15"/>
      <c r="KVE230" s="15"/>
      <c r="KVF230" s="15"/>
      <c r="KVG230" s="15"/>
      <c r="KVH230" s="15"/>
      <c r="KVI230" s="15"/>
      <c r="KVJ230" s="10"/>
      <c r="KVK230" s="10"/>
      <c r="KVL230" s="21"/>
      <c r="KVM230" s="21"/>
      <c r="KVP230" s="21"/>
      <c r="KVQ230" s="15"/>
      <c r="KVR230" s="15"/>
      <c r="KVS230" s="15"/>
      <c r="KVT230" s="15"/>
      <c r="KVU230" s="15"/>
      <c r="KVV230" s="15"/>
      <c r="KVW230" s="15"/>
      <c r="KVX230" s="15"/>
      <c r="KVY230" s="15"/>
      <c r="KVZ230" s="15"/>
      <c r="KWA230" s="10"/>
      <c r="KWB230" s="10"/>
      <c r="KWC230" s="21"/>
      <c r="KWD230" s="21"/>
      <c r="KWG230" s="21"/>
      <c r="KWH230" s="15"/>
      <c r="KWI230" s="15"/>
      <c r="KWJ230" s="15"/>
      <c r="KWK230" s="15"/>
      <c r="KWL230" s="15"/>
      <c r="KWM230" s="15"/>
      <c r="KWN230" s="15"/>
      <c r="KWO230" s="15"/>
      <c r="KWP230" s="15"/>
      <c r="KWQ230" s="15"/>
      <c r="KWR230" s="10"/>
      <c r="KWS230" s="10"/>
      <c r="KWT230" s="21"/>
      <c r="KWU230" s="21"/>
      <c r="KWX230" s="21"/>
      <c r="KWY230" s="15"/>
      <c r="KWZ230" s="15"/>
      <c r="KXA230" s="15"/>
      <c r="KXB230" s="15"/>
      <c r="KXC230" s="15"/>
      <c r="KXD230" s="15"/>
      <c r="KXE230" s="15"/>
      <c r="KXF230" s="15"/>
      <c r="KXG230" s="15"/>
      <c r="KXH230" s="15"/>
      <c r="KXI230" s="10"/>
      <c r="KXJ230" s="10"/>
      <c r="KXK230" s="21"/>
      <c r="KXL230" s="21"/>
      <c r="KXO230" s="21"/>
      <c r="KXP230" s="15"/>
      <c r="KXQ230" s="15"/>
      <c r="KXR230" s="15"/>
      <c r="KXS230" s="15"/>
      <c r="KXT230" s="15"/>
      <c r="KXU230" s="15"/>
      <c r="KXV230" s="15"/>
      <c r="KXW230" s="15"/>
      <c r="KXX230" s="15"/>
      <c r="KXY230" s="15"/>
      <c r="KXZ230" s="10"/>
      <c r="KYA230" s="10"/>
      <c r="KYB230" s="21"/>
      <c r="KYC230" s="21"/>
      <c r="KYF230" s="21"/>
      <c r="KYG230" s="15"/>
      <c r="KYH230" s="15"/>
      <c r="KYI230" s="15"/>
      <c r="KYJ230" s="15"/>
      <c r="KYK230" s="15"/>
      <c r="KYL230" s="15"/>
      <c r="KYM230" s="15"/>
      <c r="KYN230" s="15"/>
      <c r="KYO230" s="15"/>
      <c r="KYP230" s="15"/>
      <c r="KYQ230" s="10"/>
      <c r="KYR230" s="10"/>
      <c r="KYS230" s="21"/>
      <c r="KYT230" s="21"/>
      <c r="KYW230" s="21"/>
      <c r="KYX230" s="15"/>
      <c r="KYY230" s="15"/>
      <c r="KYZ230" s="15"/>
      <c r="KZA230" s="15"/>
      <c r="KZB230" s="15"/>
      <c r="KZC230" s="15"/>
      <c r="KZD230" s="15"/>
      <c r="KZE230" s="15"/>
      <c r="KZF230" s="15"/>
      <c r="KZG230" s="15"/>
      <c r="KZH230" s="10"/>
      <c r="KZI230" s="10"/>
      <c r="KZJ230" s="21"/>
      <c r="KZK230" s="21"/>
      <c r="KZN230" s="21"/>
      <c r="KZO230" s="15"/>
      <c r="KZP230" s="15"/>
      <c r="KZQ230" s="15"/>
      <c r="KZR230" s="15"/>
      <c r="KZS230" s="15"/>
      <c r="KZT230" s="15"/>
      <c r="KZU230" s="15"/>
      <c r="KZV230" s="15"/>
      <c r="KZW230" s="15"/>
      <c r="KZX230" s="15"/>
      <c r="KZY230" s="10"/>
      <c r="KZZ230" s="10"/>
      <c r="LAA230" s="21"/>
      <c r="LAB230" s="21"/>
      <c r="LAE230" s="21"/>
      <c r="LAF230" s="15"/>
      <c r="LAG230" s="15"/>
      <c r="LAH230" s="15"/>
      <c r="LAI230" s="15"/>
      <c r="LAJ230" s="15"/>
      <c r="LAK230" s="15"/>
      <c r="LAL230" s="15"/>
      <c r="LAM230" s="15"/>
      <c r="LAN230" s="15"/>
      <c r="LAO230" s="15"/>
      <c r="LAP230" s="10"/>
      <c r="LAQ230" s="10"/>
      <c r="LAR230" s="21"/>
      <c r="LAS230" s="21"/>
      <c r="LAV230" s="21"/>
      <c r="LAW230" s="15"/>
      <c r="LAX230" s="15"/>
      <c r="LAY230" s="15"/>
      <c r="LAZ230" s="15"/>
      <c r="LBA230" s="15"/>
      <c r="LBB230" s="15"/>
      <c r="LBC230" s="15"/>
      <c r="LBD230" s="15"/>
      <c r="LBE230" s="15"/>
      <c r="LBF230" s="15"/>
      <c r="LBG230" s="10"/>
      <c r="LBH230" s="10"/>
      <c r="LBI230" s="21"/>
      <c r="LBJ230" s="21"/>
      <c r="LBM230" s="21"/>
      <c r="LBN230" s="15"/>
      <c r="LBO230" s="15"/>
      <c r="LBP230" s="15"/>
      <c r="LBQ230" s="15"/>
      <c r="LBR230" s="15"/>
      <c r="LBS230" s="15"/>
      <c r="LBT230" s="15"/>
      <c r="LBU230" s="15"/>
      <c r="LBV230" s="15"/>
      <c r="LBW230" s="15"/>
      <c r="LBX230" s="10"/>
      <c r="LBY230" s="10"/>
      <c r="LBZ230" s="21"/>
      <c r="LCA230" s="21"/>
      <c r="LCD230" s="21"/>
      <c r="LCE230" s="15"/>
      <c r="LCF230" s="15"/>
      <c r="LCG230" s="15"/>
      <c r="LCH230" s="15"/>
      <c r="LCI230" s="15"/>
      <c r="LCJ230" s="15"/>
      <c r="LCK230" s="15"/>
      <c r="LCL230" s="15"/>
      <c r="LCM230" s="15"/>
      <c r="LCN230" s="15"/>
      <c r="LCO230" s="10"/>
      <c r="LCP230" s="10"/>
      <c r="LCQ230" s="21"/>
      <c r="LCR230" s="21"/>
      <c r="LCU230" s="21"/>
      <c r="LCV230" s="15"/>
      <c r="LCW230" s="15"/>
      <c r="LCX230" s="15"/>
      <c r="LCY230" s="15"/>
      <c r="LCZ230" s="15"/>
      <c r="LDA230" s="15"/>
      <c r="LDB230" s="15"/>
      <c r="LDC230" s="15"/>
      <c r="LDD230" s="15"/>
      <c r="LDE230" s="15"/>
      <c r="LDF230" s="10"/>
      <c r="LDG230" s="10"/>
      <c r="LDH230" s="21"/>
      <c r="LDI230" s="21"/>
      <c r="LDL230" s="21"/>
      <c r="LDM230" s="15"/>
      <c r="LDN230" s="15"/>
      <c r="LDO230" s="15"/>
      <c r="LDP230" s="15"/>
      <c r="LDQ230" s="15"/>
      <c r="LDR230" s="15"/>
      <c r="LDS230" s="15"/>
      <c r="LDT230" s="15"/>
      <c r="LDU230" s="15"/>
      <c r="LDV230" s="15"/>
      <c r="LDW230" s="10"/>
      <c r="LDX230" s="10"/>
      <c r="LDY230" s="21"/>
      <c r="LDZ230" s="21"/>
      <c r="LEC230" s="21"/>
      <c r="LED230" s="15"/>
      <c r="LEE230" s="15"/>
      <c r="LEF230" s="15"/>
      <c r="LEG230" s="15"/>
      <c r="LEH230" s="15"/>
      <c r="LEI230" s="15"/>
      <c r="LEJ230" s="15"/>
      <c r="LEK230" s="15"/>
      <c r="LEL230" s="15"/>
      <c r="LEM230" s="15"/>
      <c r="LEN230" s="10"/>
      <c r="LEO230" s="10"/>
      <c r="LEP230" s="21"/>
      <c r="LEQ230" s="21"/>
      <c r="LET230" s="21"/>
      <c r="LEU230" s="15"/>
      <c r="LEV230" s="15"/>
      <c r="LEW230" s="15"/>
      <c r="LEX230" s="15"/>
      <c r="LEY230" s="15"/>
      <c r="LEZ230" s="15"/>
      <c r="LFA230" s="15"/>
      <c r="LFB230" s="15"/>
      <c r="LFC230" s="15"/>
      <c r="LFD230" s="15"/>
      <c r="LFE230" s="10"/>
      <c r="LFF230" s="10"/>
      <c r="LFG230" s="21"/>
      <c r="LFH230" s="21"/>
      <c r="LFK230" s="21"/>
      <c r="LFL230" s="15"/>
      <c r="LFM230" s="15"/>
      <c r="LFN230" s="15"/>
      <c r="LFO230" s="15"/>
      <c r="LFP230" s="15"/>
      <c r="LFQ230" s="15"/>
      <c r="LFR230" s="15"/>
      <c r="LFS230" s="15"/>
      <c r="LFT230" s="15"/>
      <c r="LFU230" s="15"/>
      <c r="LFV230" s="10"/>
      <c r="LFW230" s="10"/>
      <c r="LFX230" s="21"/>
      <c r="LFY230" s="21"/>
      <c r="LGB230" s="21"/>
      <c r="LGC230" s="15"/>
      <c r="LGD230" s="15"/>
      <c r="LGE230" s="15"/>
      <c r="LGF230" s="15"/>
      <c r="LGG230" s="15"/>
      <c r="LGH230" s="15"/>
      <c r="LGI230" s="15"/>
      <c r="LGJ230" s="15"/>
      <c r="LGK230" s="15"/>
      <c r="LGL230" s="15"/>
      <c r="LGM230" s="10"/>
      <c r="LGN230" s="10"/>
      <c r="LGO230" s="21"/>
      <c r="LGP230" s="21"/>
      <c r="LGS230" s="21"/>
      <c r="LGT230" s="15"/>
      <c r="LGU230" s="15"/>
      <c r="LGV230" s="15"/>
      <c r="LGW230" s="15"/>
      <c r="LGX230" s="15"/>
      <c r="LGY230" s="15"/>
      <c r="LGZ230" s="15"/>
      <c r="LHA230" s="15"/>
      <c r="LHB230" s="15"/>
      <c r="LHC230" s="15"/>
      <c r="LHD230" s="10"/>
      <c r="LHE230" s="10"/>
      <c r="LHF230" s="21"/>
      <c r="LHG230" s="21"/>
      <c r="LHJ230" s="21"/>
      <c r="LHK230" s="15"/>
      <c r="LHL230" s="15"/>
      <c r="LHM230" s="15"/>
      <c r="LHN230" s="15"/>
      <c r="LHO230" s="15"/>
      <c r="LHP230" s="15"/>
      <c r="LHQ230" s="15"/>
      <c r="LHR230" s="15"/>
      <c r="LHS230" s="15"/>
      <c r="LHT230" s="15"/>
      <c r="LHU230" s="10"/>
      <c r="LHV230" s="10"/>
      <c r="LHW230" s="21"/>
      <c r="LHX230" s="21"/>
      <c r="LIA230" s="21"/>
      <c r="LIB230" s="15"/>
      <c r="LIC230" s="15"/>
      <c r="LID230" s="15"/>
      <c r="LIE230" s="15"/>
      <c r="LIF230" s="15"/>
      <c r="LIG230" s="15"/>
      <c r="LIH230" s="15"/>
      <c r="LII230" s="15"/>
      <c r="LIJ230" s="15"/>
      <c r="LIK230" s="15"/>
      <c r="LIL230" s="10"/>
      <c r="LIM230" s="10"/>
      <c r="LIN230" s="21"/>
      <c r="LIO230" s="21"/>
      <c r="LIR230" s="21"/>
      <c r="LIS230" s="15"/>
      <c r="LIT230" s="15"/>
      <c r="LIU230" s="15"/>
      <c r="LIV230" s="15"/>
      <c r="LIW230" s="15"/>
      <c r="LIX230" s="15"/>
      <c r="LIY230" s="15"/>
      <c r="LIZ230" s="15"/>
      <c r="LJA230" s="15"/>
      <c r="LJB230" s="15"/>
      <c r="LJC230" s="10"/>
      <c r="LJD230" s="10"/>
      <c r="LJE230" s="21"/>
      <c r="LJF230" s="21"/>
      <c r="LJI230" s="21"/>
      <c r="LJJ230" s="15"/>
      <c r="LJK230" s="15"/>
      <c r="LJL230" s="15"/>
      <c r="LJM230" s="15"/>
      <c r="LJN230" s="15"/>
      <c r="LJO230" s="15"/>
      <c r="LJP230" s="15"/>
      <c r="LJQ230" s="15"/>
      <c r="LJR230" s="15"/>
      <c r="LJS230" s="15"/>
      <c r="LJT230" s="10"/>
      <c r="LJU230" s="10"/>
      <c r="LJV230" s="21"/>
      <c r="LJW230" s="21"/>
      <c r="LJZ230" s="21"/>
      <c r="LKA230" s="15"/>
      <c r="LKB230" s="15"/>
      <c r="LKC230" s="15"/>
      <c r="LKD230" s="15"/>
      <c r="LKE230" s="15"/>
      <c r="LKF230" s="15"/>
      <c r="LKG230" s="15"/>
      <c r="LKH230" s="15"/>
      <c r="LKI230" s="15"/>
      <c r="LKJ230" s="15"/>
      <c r="LKK230" s="10"/>
      <c r="LKL230" s="10"/>
      <c r="LKM230" s="21"/>
      <c r="LKN230" s="21"/>
      <c r="LKQ230" s="21"/>
      <c r="LKR230" s="15"/>
      <c r="LKS230" s="15"/>
      <c r="LKT230" s="15"/>
      <c r="LKU230" s="15"/>
      <c r="LKV230" s="15"/>
      <c r="LKW230" s="15"/>
      <c r="LKX230" s="15"/>
      <c r="LKY230" s="15"/>
      <c r="LKZ230" s="15"/>
      <c r="LLA230" s="15"/>
      <c r="LLB230" s="10"/>
      <c r="LLC230" s="10"/>
      <c r="LLD230" s="21"/>
      <c r="LLE230" s="21"/>
      <c r="LLH230" s="21"/>
      <c r="LLI230" s="15"/>
      <c r="LLJ230" s="15"/>
      <c r="LLK230" s="15"/>
      <c r="LLL230" s="15"/>
      <c r="LLM230" s="15"/>
      <c r="LLN230" s="15"/>
      <c r="LLO230" s="15"/>
      <c r="LLP230" s="15"/>
      <c r="LLQ230" s="15"/>
      <c r="LLR230" s="15"/>
      <c r="LLS230" s="10"/>
      <c r="LLT230" s="10"/>
      <c r="LLU230" s="21"/>
      <c r="LLV230" s="21"/>
      <c r="LLY230" s="21"/>
      <c r="LLZ230" s="15"/>
      <c r="LMA230" s="15"/>
      <c r="LMB230" s="15"/>
      <c r="LMC230" s="15"/>
      <c r="LMD230" s="15"/>
      <c r="LME230" s="15"/>
      <c r="LMF230" s="15"/>
      <c r="LMG230" s="15"/>
      <c r="LMH230" s="15"/>
      <c r="LMI230" s="15"/>
      <c r="LMJ230" s="10"/>
      <c r="LMK230" s="10"/>
      <c r="LML230" s="21"/>
      <c r="LMM230" s="21"/>
      <c r="LMP230" s="21"/>
      <c r="LMQ230" s="15"/>
      <c r="LMR230" s="15"/>
      <c r="LMS230" s="15"/>
      <c r="LMT230" s="15"/>
      <c r="LMU230" s="15"/>
      <c r="LMV230" s="15"/>
      <c r="LMW230" s="15"/>
      <c r="LMX230" s="15"/>
      <c r="LMY230" s="15"/>
      <c r="LMZ230" s="15"/>
      <c r="LNA230" s="10"/>
      <c r="LNB230" s="10"/>
      <c r="LNC230" s="21"/>
      <c r="LND230" s="21"/>
      <c r="LNG230" s="21"/>
      <c r="LNH230" s="15"/>
      <c r="LNI230" s="15"/>
      <c r="LNJ230" s="15"/>
      <c r="LNK230" s="15"/>
      <c r="LNL230" s="15"/>
      <c r="LNM230" s="15"/>
      <c r="LNN230" s="15"/>
      <c r="LNO230" s="15"/>
      <c r="LNP230" s="15"/>
      <c r="LNQ230" s="15"/>
      <c r="LNR230" s="10"/>
      <c r="LNS230" s="10"/>
      <c r="LNT230" s="21"/>
      <c r="LNU230" s="21"/>
      <c r="LNX230" s="21"/>
      <c r="LNY230" s="15"/>
      <c r="LNZ230" s="15"/>
      <c r="LOA230" s="15"/>
      <c r="LOB230" s="15"/>
      <c r="LOC230" s="15"/>
      <c r="LOD230" s="15"/>
      <c r="LOE230" s="15"/>
      <c r="LOF230" s="15"/>
      <c r="LOG230" s="15"/>
      <c r="LOH230" s="15"/>
      <c r="LOI230" s="10"/>
      <c r="LOJ230" s="10"/>
      <c r="LOK230" s="21"/>
      <c r="LOL230" s="21"/>
      <c r="LOO230" s="21"/>
      <c r="LOP230" s="15"/>
      <c r="LOQ230" s="15"/>
      <c r="LOR230" s="15"/>
      <c r="LOS230" s="15"/>
      <c r="LOT230" s="15"/>
      <c r="LOU230" s="15"/>
      <c r="LOV230" s="15"/>
      <c r="LOW230" s="15"/>
      <c r="LOX230" s="15"/>
      <c r="LOY230" s="15"/>
      <c r="LOZ230" s="10"/>
      <c r="LPA230" s="10"/>
      <c r="LPB230" s="21"/>
      <c r="LPC230" s="21"/>
      <c r="LPF230" s="21"/>
      <c r="LPG230" s="15"/>
      <c r="LPH230" s="15"/>
      <c r="LPI230" s="15"/>
      <c r="LPJ230" s="15"/>
      <c r="LPK230" s="15"/>
      <c r="LPL230" s="15"/>
      <c r="LPM230" s="15"/>
      <c r="LPN230" s="15"/>
      <c r="LPO230" s="15"/>
      <c r="LPP230" s="15"/>
      <c r="LPQ230" s="10"/>
      <c r="LPR230" s="10"/>
      <c r="LPS230" s="21"/>
      <c r="LPT230" s="21"/>
      <c r="LPW230" s="21"/>
      <c r="LPX230" s="15"/>
      <c r="LPY230" s="15"/>
      <c r="LPZ230" s="15"/>
      <c r="LQA230" s="15"/>
      <c r="LQB230" s="15"/>
      <c r="LQC230" s="15"/>
      <c r="LQD230" s="15"/>
      <c r="LQE230" s="15"/>
      <c r="LQF230" s="15"/>
      <c r="LQG230" s="15"/>
      <c r="LQH230" s="10"/>
      <c r="LQI230" s="10"/>
      <c r="LQJ230" s="21"/>
      <c r="LQK230" s="21"/>
      <c r="LQN230" s="21"/>
      <c r="LQO230" s="15"/>
      <c r="LQP230" s="15"/>
      <c r="LQQ230" s="15"/>
      <c r="LQR230" s="15"/>
      <c r="LQS230" s="15"/>
      <c r="LQT230" s="15"/>
      <c r="LQU230" s="15"/>
      <c r="LQV230" s="15"/>
      <c r="LQW230" s="15"/>
      <c r="LQX230" s="15"/>
      <c r="LQY230" s="10"/>
      <c r="LQZ230" s="10"/>
      <c r="LRA230" s="21"/>
      <c r="LRB230" s="21"/>
      <c r="LRE230" s="21"/>
      <c r="LRF230" s="15"/>
      <c r="LRG230" s="15"/>
      <c r="LRH230" s="15"/>
      <c r="LRI230" s="15"/>
      <c r="LRJ230" s="15"/>
      <c r="LRK230" s="15"/>
      <c r="LRL230" s="15"/>
      <c r="LRM230" s="15"/>
      <c r="LRN230" s="15"/>
      <c r="LRO230" s="15"/>
      <c r="LRP230" s="10"/>
      <c r="LRQ230" s="10"/>
      <c r="LRR230" s="21"/>
      <c r="LRS230" s="21"/>
      <c r="LRV230" s="21"/>
      <c r="LRW230" s="15"/>
      <c r="LRX230" s="15"/>
      <c r="LRY230" s="15"/>
      <c r="LRZ230" s="15"/>
      <c r="LSA230" s="15"/>
      <c r="LSB230" s="15"/>
      <c r="LSC230" s="15"/>
      <c r="LSD230" s="15"/>
      <c r="LSE230" s="15"/>
      <c r="LSF230" s="15"/>
      <c r="LSG230" s="10"/>
      <c r="LSH230" s="10"/>
      <c r="LSI230" s="21"/>
      <c r="LSJ230" s="21"/>
      <c r="LSM230" s="21"/>
      <c r="LSN230" s="15"/>
      <c r="LSO230" s="15"/>
      <c r="LSP230" s="15"/>
      <c r="LSQ230" s="15"/>
      <c r="LSR230" s="15"/>
      <c r="LSS230" s="15"/>
      <c r="LST230" s="15"/>
      <c r="LSU230" s="15"/>
      <c r="LSV230" s="15"/>
      <c r="LSW230" s="15"/>
      <c r="LSX230" s="10"/>
      <c r="LSY230" s="10"/>
      <c r="LSZ230" s="21"/>
      <c r="LTA230" s="21"/>
      <c r="LTD230" s="21"/>
      <c r="LTE230" s="15"/>
      <c r="LTF230" s="15"/>
      <c r="LTG230" s="15"/>
      <c r="LTH230" s="15"/>
      <c r="LTI230" s="15"/>
      <c r="LTJ230" s="15"/>
      <c r="LTK230" s="15"/>
      <c r="LTL230" s="15"/>
      <c r="LTM230" s="15"/>
      <c r="LTN230" s="15"/>
      <c r="LTO230" s="10"/>
      <c r="LTP230" s="10"/>
      <c r="LTQ230" s="21"/>
      <c r="LTR230" s="21"/>
      <c r="LTU230" s="21"/>
      <c r="LTV230" s="15"/>
      <c r="LTW230" s="15"/>
      <c r="LTX230" s="15"/>
      <c r="LTY230" s="15"/>
      <c r="LTZ230" s="15"/>
      <c r="LUA230" s="15"/>
      <c r="LUB230" s="15"/>
      <c r="LUC230" s="15"/>
      <c r="LUD230" s="15"/>
      <c r="LUE230" s="15"/>
      <c r="LUF230" s="10"/>
      <c r="LUG230" s="10"/>
      <c r="LUH230" s="21"/>
      <c r="LUI230" s="21"/>
      <c r="LUL230" s="21"/>
      <c r="LUM230" s="15"/>
      <c r="LUN230" s="15"/>
      <c r="LUO230" s="15"/>
      <c r="LUP230" s="15"/>
      <c r="LUQ230" s="15"/>
      <c r="LUR230" s="15"/>
      <c r="LUS230" s="15"/>
      <c r="LUT230" s="15"/>
      <c r="LUU230" s="15"/>
      <c r="LUV230" s="15"/>
      <c r="LUW230" s="10"/>
      <c r="LUX230" s="10"/>
      <c r="LUY230" s="21"/>
      <c r="LUZ230" s="21"/>
      <c r="LVC230" s="21"/>
      <c r="LVD230" s="15"/>
      <c r="LVE230" s="15"/>
      <c r="LVF230" s="15"/>
      <c r="LVG230" s="15"/>
      <c r="LVH230" s="15"/>
      <c r="LVI230" s="15"/>
      <c r="LVJ230" s="15"/>
      <c r="LVK230" s="15"/>
      <c r="LVL230" s="15"/>
      <c r="LVM230" s="15"/>
      <c r="LVN230" s="10"/>
      <c r="LVO230" s="10"/>
      <c r="LVP230" s="21"/>
      <c r="LVQ230" s="21"/>
      <c r="LVT230" s="21"/>
      <c r="LVU230" s="15"/>
      <c r="LVV230" s="15"/>
      <c r="LVW230" s="15"/>
      <c r="LVX230" s="15"/>
      <c r="LVY230" s="15"/>
      <c r="LVZ230" s="15"/>
      <c r="LWA230" s="15"/>
      <c r="LWB230" s="15"/>
      <c r="LWC230" s="15"/>
      <c r="LWD230" s="15"/>
      <c r="LWE230" s="10"/>
      <c r="LWF230" s="10"/>
      <c r="LWG230" s="21"/>
      <c r="LWH230" s="21"/>
      <c r="LWK230" s="21"/>
      <c r="LWL230" s="15"/>
      <c r="LWM230" s="15"/>
      <c r="LWN230" s="15"/>
      <c r="LWO230" s="15"/>
      <c r="LWP230" s="15"/>
      <c r="LWQ230" s="15"/>
      <c r="LWR230" s="15"/>
      <c r="LWS230" s="15"/>
      <c r="LWT230" s="15"/>
      <c r="LWU230" s="15"/>
      <c r="LWV230" s="10"/>
      <c r="LWW230" s="10"/>
      <c r="LWX230" s="21"/>
      <c r="LWY230" s="21"/>
      <c r="LXB230" s="21"/>
      <c r="LXC230" s="15"/>
      <c r="LXD230" s="15"/>
      <c r="LXE230" s="15"/>
      <c r="LXF230" s="15"/>
      <c r="LXG230" s="15"/>
      <c r="LXH230" s="15"/>
      <c r="LXI230" s="15"/>
      <c r="LXJ230" s="15"/>
      <c r="LXK230" s="15"/>
      <c r="LXL230" s="15"/>
      <c r="LXM230" s="10"/>
      <c r="LXN230" s="10"/>
      <c r="LXO230" s="21"/>
      <c r="LXP230" s="21"/>
      <c r="LXS230" s="21"/>
      <c r="LXT230" s="15"/>
      <c r="LXU230" s="15"/>
      <c r="LXV230" s="15"/>
      <c r="LXW230" s="15"/>
      <c r="LXX230" s="15"/>
      <c r="LXY230" s="15"/>
      <c r="LXZ230" s="15"/>
      <c r="LYA230" s="15"/>
      <c r="LYB230" s="15"/>
      <c r="LYC230" s="15"/>
      <c r="LYD230" s="10"/>
      <c r="LYE230" s="10"/>
      <c r="LYF230" s="21"/>
      <c r="LYG230" s="21"/>
      <c r="LYJ230" s="21"/>
      <c r="LYK230" s="15"/>
      <c r="LYL230" s="15"/>
      <c r="LYM230" s="15"/>
      <c r="LYN230" s="15"/>
      <c r="LYO230" s="15"/>
      <c r="LYP230" s="15"/>
      <c r="LYQ230" s="15"/>
      <c r="LYR230" s="15"/>
      <c r="LYS230" s="15"/>
      <c r="LYT230" s="15"/>
      <c r="LYU230" s="10"/>
      <c r="LYV230" s="10"/>
      <c r="LYW230" s="21"/>
      <c r="LYX230" s="21"/>
      <c r="LZA230" s="21"/>
      <c r="LZB230" s="15"/>
      <c r="LZC230" s="15"/>
      <c r="LZD230" s="15"/>
      <c r="LZE230" s="15"/>
      <c r="LZF230" s="15"/>
      <c r="LZG230" s="15"/>
      <c r="LZH230" s="15"/>
      <c r="LZI230" s="15"/>
      <c r="LZJ230" s="15"/>
      <c r="LZK230" s="15"/>
      <c r="LZL230" s="10"/>
      <c r="LZM230" s="10"/>
      <c r="LZN230" s="21"/>
      <c r="LZO230" s="21"/>
      <c r="LZR230" s="21"/>
      <c r="LZS230" s="15"/>
      <c r="LZT230" s="15"/>
      <c r="LZU230" s="15"/>
      <c r="LZV230" s="15"/>
      <c r="LZW230" s="15"/>
      <c r="LZX230" s="15"/>
      <c r="LZY230" s="15"/>
      <c r="LZZ230" s="15"/>
      <c r="MAA230" s="15"/>
      <c r="MAB230" s="15"/>
      <c r="MAC230" s="10"/>
      <c r="MAD230" s="10"/>
      <c r="MAE230" s="21"/>
      <c r="MAF230" s="21"/>
      <c r="MAI230" s="21"/>
      <c r="MAJ230" s="15"/>
      <c r="MAK230" s="15"/>
      <c r="MAL230" s="15"/>
      <c r="MAM230" s="15"/>
      <c r="MAN230" s="15"/>
      <c r="MAO230" s="15"/>
      <c r="MAP230" s="15"/>
      <c r="MAQ230" s="15"/>
      <c r="MAR230" s="15"/>
      <c r="MAS230" s="15"/>
      <c r="MAT230" s="10"/>
      <c r="MAU230" s="10"/>
      <c r="MAV230" s="21"/>
      <c r="MAW230" s="21"/>
      <c r="MAZ230" s="21"/>
      <c r="MBA230" s="15"/>
      <c r="MBB230" s="15"/>
      <c r="MBC230" s="15"/>
      <c r="MBD230" s="15"/>
      <c r="MBE230" s="15"/>
      <c r="MBF230" s="15"/>
      <c r="MBG230" s="15"/>
      <c r="MBH230" s="15"/>
      <c r="MBI230" s="15"/>
      <c r="MBJ230" s="15"/>
      <c r="MBK230" s="10"/>
      <c r="MBL230" s="10"/>
      <c r="MBM230" s="21"/>
      <c r="MBN230" s="21"/>
      <c r="MBQ230" s="21"/>
      <c r="MBR230" s="15"/>
      <c r="MBS230" s="15"/>
      <c r="MBT230" s="15"/>
      <c r="MBU230" s="15"/>
      <c r="MBV230" s="15"/>
      <c r="MBW230" s="15"/>
      <c r="MBX230" s="15"/>
      <c r="MBY230" s="15"/>
      <c r="MBZ230" s="15"/>
      <c r="MCA230" s="15"/>
      <c r="MCB230" s="10"/>
      <c r="MCC230" s="10"/>
      <c r="MCD230" s="21"/>
      <c r="MCE230" s="21"/>
      <c r="MCH230" s="21"/>
      <c r="MCI230" s="15"/>
      <c r="MCJ230" s="15"/>
      <c r="MCK230" s="15"/>
      <c r="MCL230" s="15"/>
      <c r="MCM230" s="15"/>
      <c r="MCN230" s="15"/>
      <c r="MCO230" s="15"/>
      <c r="MCP230" s="15"/>
      <c r="MCQ230" s="15"/>
      <c r="MCR230" s="15"/>
      <c r="MCS230" s="10"/>
      <c r="MCT230" s="10"/>
      <c r="MCU230" s="21"/>
      <c r="MCV230" s="21"/>
      <c r="MCY230" s="21"/>
      <c r="MCZ230" s="15"/>
      <c r="MDA230" s="15"/>
      <c r="MDB230" s="15"/>
      <c r="MDC230" s="15"/>
      <c r="MDD230" s="15"/>
      <c r="MDE230" s="15"/>
      <c r="MDF230" s="15"/>
      <c r="MDG230" s="15"/>
      <c r="MDH230" s="15"/>
      <c r="MDI230" s="15"/>
      <c r="MDJ230" s="10"/>
      <c r="MDK230" s="10"/>
      <c r="MDL230" s="21"/>
      <c r="MDM230" s="21"/>
      <c r="MDP230" s="21"/>
      <c r="MDQ230" s="15"/>
      <c r="MDR230" s="15"/>
      <c r="MDS230" s="15"/>
      <c r="MDT230" s="15"/>
      <c r="MDU230" s="15"/>
      <c r="MDV230" s="15"/>
      <c r="MDW230" s="15"/>
      <c r="MDX230" s="15"/>
      <c r="MDY230" s="15"/>
      <c r="MDZ230" s="15"/>
      <c r="MEA230" s="10"/>
      <c r="MEB230" s="10"/>
      <c r="MEC230" s="21"/>
      <c r="MED230" s="21"/>
      <c r="MEG230" s="21"/>
      <c r="MEH230" s="15"/>
      <c r="MEI230" s="15"/>
      <c r="MEJ230" s="15"/>
      <c r="MEK230" s="15"/>
      <c r="MEL230" s="15"/>
      <c r="MEM230" s="15"/>
      <c r="MEN230" s="15"/>
      <c r="MEO230" s="15"/>
      <c r="MEP230" s="15"/>
      <c r="MEQ230" s="15"/>
      <c r="MER230" s="10"/>
      <c r="MES230" s="10"/>
      <c r="MET230" s="21"/>
      <c r="MEU230" s="21"/>
      <c r="MEX230" s="21"/>
      <c r="MEY230" s="15"/>
      <c r="MEZ230" s="15"/>
      <c r="MFA230" s="15"/>
      <c r="MFB230" s="15"/>
      <c r="MFC230" s="15"/>
      <c r="MFD230" s="15"/>
      <c r="MFE230" s="15"/>
      <c r="MFF230" s="15"/>
      <c r="MFG230" s="15"/>
      <c r="MFH230" s="15"/>
      <c r="MFI230" s="10"/>
      <c r="MFJ230" s="10"/>
      <c r="MFK230" s="21"/>
      <c r="MFL230" s="21"/>
      <c r="MFO230" s="21"/>
      <c r="MFP230" s="15"/>
      <c r="MFQ230" s="15"/>
      <c r="MFR230" s="15"/>
      <c r="MFS230" s="15"/>
      <c r="MFT230" s="15"/>
      <c r="MFU230" s="15"/>
      <c r="MFV230" s="15"/>
      <c r="MFW230" s="15"/>
      <c r="MFX230" s="15"/>
      <c r="MFY230" s="15"/>
      <c r="MFZ230" s="10"/>
      <c r="MGA230" s="10"/>
      <c r="MGB230" s="21"/>
      <c r="MGC230" s="21"/>
      <c r="MGF230" s="21"/>
      <c r="MGG230" s="15"/>
      <c r="MGH230" s="15"/>
      <c r="MGI230" s="15"/>
      <c r="MGJ230" s="15"/>
      <c r="MGK230" s="15"/>
      <c r="MGL230" s="15"/>
      <c r="MGM230" s="15"/>
      <c r="MGN230" s="15"/>
      <c r="MGO230" s="15"/>
      <c r="MGP230" s="15"/>
      <c r="MGQ230" s="10"/>
      <c r="MGR230" s="10"/>
      <c r="MGS230" s="21"/>
      <c r="MGT230" s="21"/>
      <c r="MGW230" s="21"/>
      <c r="MGX230" s="15"/>
      <c r="MGY230" s="15"/>
      <c r="MGZ230" s="15"/>
      <c r="MHA230" s="15"/>
      <c r="MHB230" s="15"/>
      <c r="MHC230" s="15"/>
      <c r="MHD230" s="15"/>
      <c r="MHE230" s="15"/>
      <c r="MHF230" s="15"/>
      <c r="MHG230" s="15"/>
      <c r="MHH230" s="10"/>
      <c r="MHI230" s="10"/>
      <c r="MHJ230" s="21"/>
      <c r="MHK230" s="21"/>
      <c r="MHN230" s="21"/>
      <c r="MHO230" s="15"/>
      <c r="MHP230" s="15"/>
      <c r="MHQ230" s="15"/>
      <c r="MHR230" s="15"/>
      <c r="MHS230" s="15"/>
      <c r="MHT230" s="15"/>
      <c r="MHU230" s="15"/>
      <c r="MHV230" s="15"/>
      <c r="MHW230" s="15"/>
      <c r="MHX230" s="15"/>
      <c r="MHY230" s="10"/>
      <c r="MHZ230" s="10"/>
      <c r="MIA230" s="21"/>
      <c r="MIB230" s="21"/>
      <c r="MIE230" s="21"/>
      <c r="MIF230" s="15"/>
      <c r="MIG230" s="15"/>
      <c r="MIH230" s="15"/>
      <c r="MII230" s="15"/>
      <c r="MIJ230" s="15"/>
      <c r="MIK230" s="15"/>
      <c r="MIL230" s="15"/>
      <c r="MIM230" s="15"/>
      <c r="MIN230" s="15"/>
      <c r="MIO230" s="15"/>
      <c r="MIP230" s="10"/>
      <c r="MIQ230" s="10"/>
      <c r="MIR230" s="21"/>
      <c r="MIS230" s="21"/>
      <c r="MIV230" s="21"/>
      <c r="MIW230" s="15"/>
      <c r="MIX230" s="15"/>
      <c r="MIY230" s="15"/>
      <c r="MIZ230" s="15"/>
      <c r="MJA230" s="15"/>
      <c r="MJB230" s="15"/>
      <c r="MJC230" s="15"/>
      <c r="MJD230" s="15"/>
      <c r="MJE230" s="15"/>
      <c r="MJF230" s="15"/>
      <c r="MJG230" s="10"/>
      <c r="MJH230" s="10"/>
      <c r="MJI230" s="21"/>
      <c r="MJJ230" s="21"/>
      <c r="MJM230" s="21"/>
      <c r="MJN230" s="15"/>
      <c r="MJO230" s="15"/>
      <c r="MJP230" s="15"/>
      <c r="MJQ230" s="15"/>
      <c r="MJR230" s="15"/>
      <c r="MJS230" s="15"/>
      <c r="MJT230" s="15"/>
      <c r="MJU230" s="15"/>
      <c r="MJV230" s="15"/>
      <c r="MJW230" s="15"/>
      <c r="MJX230" s="10"/>
      <c r="MJY230" s="10"/>
      <c r="MJZ230" s="21"/>
      <c r="MKA230" s="21"/>
      <c r="MKD230" s="21"/>
      <c r="MKE230" s="15"/>
      <c r="MKF230" s="15"/>
      <c r="MKG230" s="15"/>
      <c r="MKH230" s="15"/>
      <c r="MKI230" s="15"/>
      <c r="MKJ230" s="15"/>
      <c r="MKK230" s="15"/>
      <c r="MKL230" s="15"/>
      <c r="MKM230" s="15"/>
      <c r="MKN230" s="15"/>
      <c r="MKO230" s="10"/>
      <c r="MKP230" s="10"/>
      <c r="MKQ230" s="21"/>
      <c r="MKR230" s="21"/>
      <c r="MKU230" s="21"/>
      <c r="MKV230" s="15"/>
      <c r="MKW230" s="15"/>
      <c r="MKX230" s="15"/>
      <c r="MKY230" s="15"/>
      <c r="MKZ230" s="15"/>
      <c r="MLA230" s="15"/>
      <c r="MLB230" s="15"/>
      <c r="MLC230" s="15"/>
      <c r="MLD230" s="15"/>
      <c r="MLE230" s="15"/>
      <c r="MLF230" s="10"/>
      <c r="MLG230" s="10"/>
      <c r="MLH230" s="21"/>
      <c r="MLI230" s="21"/>
      <c r="MLL230" s="21"/>
      <c r="MLM230" s="15"/>
      <c r="MLN230" s="15"/>
      <c r="MLO230" s="15"/>
      <c r="MLP230" s="15"/>
      <c r="MLQ230" s="15"/>
      <c r="MLR230" s="15"/>
      <c r="MLS230" s="15"/>
      <c r="MLT230" s="15"/>
      <c r="MLU230" s="15"/>
      <c r="MLV230" s="15"/>
      <c r="MLW230" s="10"/>
      <c r="MLX230" s="10"/>
      <c r="MLY230" s="21"/>
      <c r="MLZ230" s="21"/>
      <c r="MMC230" s="21"/>
      <c r="MMD230" s="15"/>
      <c r="MME230" s="15"/>
      <c r="MMF230" s="15"/>
      <c r="MMG230" s="15"/>
      <c r="MMH230" s="15"/>
      <c r="MMI230" s="15"/>
      <c r="MMJ230" s="15"/>
      <c r="MMK230" s="15"/>
      <c r="MML230" s="15"/>
      <c r="MMM230" s="15"/>
      <c r="MMN230" s="10"/>
      <c r="MMO230" s="10"/>
      <c r="MMP230" s="21"/>
      <c r="MMQ230" s="21"/>
      <c r="MMT230" s="21"/>
      <c r="MMU230" s="15"/>
      <c r="MMV230" s="15"/>
      <c r="MMW230" s="15"/>
      <c r="MMX230" s="15"/>
      <c r="MMY230" s="15"/>
      <c r="MMZ230" s="15"/>
      <c r="MNA230" s="15"/>
      <c r="MNB230" s="15"/>
      <c r="MNC230" s="15"/>
      <c r="MND230" s="15"/>
      <c r="MNE230" s="10"/>
      <c r="MNF230" s="10"/>
      <c r="MNG230" s="21"/>
      <c r="MNH230" s="21"/>
      <c r="MNK230" s="21"/>
      <c r="MNL230" s="15"/>
      <c r="MNM230" s="15"/>
      <c r="MNN230" s="15"/>
      <c r="MNO230" s="15"/>
      <c r="MNP230" s="15"/>
      <c r="MNQ230" s="15"/>
      <c r="MNR230" s="15"/>
      <c r="MNS230" s="15"/>
      <c r="MNT230" s="15"/>
      <c r="MNU230" s="15"/>
      <c r="MNV230" s="10"/>
      <c r="MNW230" s="10"/>
      <c r="MNX230" s="21"/>
      <c r="MNY230" s="21"/>
      <c r="MOB230" s="21"/>
      <c r="MOC230" s="15"/>
      <c r="MOD230" s="15"/>
      <c r="MOE230" s="15"/>
      <c r="MOF230" s="15"/>
      <c r="MOG230" s="15"/>
      <c r="MOH230" s="15"/>
      <c r="MOI230" s="15"/>
      <c r="MOJ230" s="15"/>
      <c r="MOK230" s="15"/>
      <c r="MOL230" s="15"/>
      <c r="MOM230" s="10"/>
      <c r="MON230" s="10"/>
      <c r="MOO230" s="21"/>
      <c r="MOP230" s="21"/>
      <c r="MOS230" s="21"/>
      <c r="MOT230" s="15"/>
      <c r="MOU230" s="15"/>
      <c r="MOV230" s="15"/>
      <c r="MOW230" s="15"/>
      <c r="MOX230" s="15"/>
      <c r="MOY230" s="15"/>
      <c r="MOZ230" s="15"/>
      <c r="MPA230" s="15"/>
      <c r="MPB230" s="15"/>
      <c r="MPC230" s="15"/>
      <c r="MPD230" s="10"/>
      <c r="MPE230" s="10"/>
      <c r="MPF230" s="21"/>
      <c r="MPG230" s="21"/>
      <c r="MPJ230" s="21"/>
      <c r="MPK230" s="15"/>
      <c r="MPL230" s="15"/>
      <c r="MPM230" s="15"/>
      <c r="MPN230" s="15"/>
      <c r="MPO230" s="15"/>
      <c r="MPP230" s="15"/>
      <c r="MPQ230" s="15"/>
      <c r="MPR230" s="15"/>
      <c r="MPS230" s="15"/>
      <c r="MPT230" s="15"/>
      <c r="MPU230" s="10"/>
      <c r="MPV230" s="10"/>
      <c r="MPW230" s="21"/>
      <c r="MPX230" s="21"/>
      <c r="MQA230" s="21"/>
      <c r="MQB230" s="15"/>
      <c r="MQC230" s="15"/>
      <c r="MQD230" s="15"/>
      <c r="MQE230" s="15"/>
      <c r="MQF230" s="15"/>
      <c r="MQG230" s="15"/>
      <c r="MQH230" s="15"/>
      <c r="MQI230" s="15"/>
      <c r="MQJ230" s="15"/>
      <c r="MQK230" s="15"/>
      <c r="MQL230" s="10"/>
      <c r="MQM230" s="10"/>
      <c r="MQN230" s="21"/>
      <c r="MQO230" s="21"/>
      <c r="MQR230" s="21"/>
      <c r="MQS230" s="15"/>
      <c r="MQT230" s="15"/>
      <c r="MQU230" s="15"/>
      <c r="MQV230" s="15"/>
      <c r="MQW230" s="15"/>
      <c r="MQX230" s="15"/>
      <c r="MQY230" s="15"/>
      <c r="MQZ230" s="15"/>
      <c r="MRA230" s="15"/>
      <c r="MRB230" s="15"/>
      <c r="MRC230" s="10"/>
      <c r="MRD230" s="10"/>
      <c r="MRE230" s="21"/>
      <c r="MRF230" s="21"/>
      <c r="MRI230" s="21"/>
      <c r="MRJ230" s="15"/>
      <c r="MRK230" s="15"/>
      <c r="MRL230" s="15"/>
      <c r="MRM230" s="15"/>
      <c r="MRN230" s="15"/>
      <c r="MRO230" s="15"/>
      <c r="MRP230" s="15"/>
      <c r="MRQ230" s="15"/>
      <c r="MRR230" s="15"/>
      <c r="MRS230" s="15"/>
      <c r="MRT230" s="10"/>
      <c r="MRU230" s="10"/>
      <c r="MRV230" s="21"/>
      <c r="MRW230" s="21"/>
      <c r="MRZ230" s="21"/>
      <c r="MSA230" s="15"/>
      <c r="MSB230" s="15"/>
      <c r="MSC230" s="15"/>
      <c r="MSD230" s="15"/>
      <c r="MSE230" s="15"/>
      <c r="MSF230" s="15"/>
      <c r="MSG230" s="15"/>
      <c r="MSH230" s="15"/>
      <c r="MSI230" s="15"/>
      <c r="MSJ230" s="15"/>
      <c r="MSK230" s="10"/>
      <c r="MSL230" s="10"/>
      <c r="MSM230" s="21"/>
      <c r="MSN230" s="21"/>
      <c r="MSQ230" s="21"/>
      <c r="MSR230" s="15"/>
      <c r="MSS230" s="15"/>
      <c r="MST230" s="15"/>
      <c r="MSU230" s="15"/>
      <c r="MSV230" s="15"/>
      <c r="MSW230" s="15"/>
      <c r="MSX230" s="15"/>
      <c r="MSY230" s="15"/>
      <c r="MSZ230" s="15"/>
      <c r="MTA230" s="15"/>
      <c r="MTB230" s="10"/>
      <c r="MTC230" s="10"/>
      <c r="MTD230" s="21"/>
      <c r="MTE230" s="21"/>
      <c r="MTH230" s="21"/>
      <c r="MTI230" s="15"/>
      <c r="MTJ230" s="15"/>
      <c r="MTK230" s="15"/>
      <c r="MTL230" s="15"/>
      <c r="MTM230" s="15"/>
      <c r="MTN230" s="15"/>
      <c r="MTO230" s="15"/>
      <c r="MTP230" s="15"/>
      <c r="MTQ230" s="15"/>
      <c r="MTR230" s="15"/>
      <c r="MTS230" s="10"/>
      <c r="MTT230" s="10"/>
      <c r="MTU230" s="21"/>
      <c r="MTV230" s="21"/>
      <c r="MTY230" s="21"/>
      <c r="MTZ230" s="15"/>
      <c r="MUA230" s="15"/>
      <c r="MUB230" s="15"/>
      <c r="MUC230" s="15"/>
      <c r="MUD230" s="15"/>
      <c r="MUE230" s="15"/>
      <c r="MUF230" s="15"/>
      <c r="MUG230" s="15"/>
      <c r="MUH230" s="15"/>
      <c r="MUI230" s="15"/>
      <c r="MUJ230" s="10"/>
      <c r="MUK230" s="10"/>
      <c r="MUL230" s="21"/>
      <c r="MUM230" s="21"/>
      <c r="MUP230" s="21"/>
      <c r="MUQ230" s="15"/>
      <c r="MUR230" s="15"/>
      <c r="MUS230" s="15"/>
      <c r="MUT230" s="15"/>
      <c r="MUU230" s="15"/>
      <c r="MUV230" s="15"/>
      <c r="MUW230" s="15"/>
      <c r="MUX230" s="15"/>
      <c r="MUY230" s="15"/>
      <c r="MUZ230" s="15"/>
      <c r="MVA230" s="10"/>
      <c r="MVB230" s="10"/>
      <c r="MVC230" s="21"/>
      <c r="MVD230" s="21"/>
      <c r="MVG230" s="21"/>
      <c r="MVH230" s="15"/>
      <c r="MVI230" s="15"/>
      <c r="MVJ230" s="15"/>
      <c r="MVK230" s="15"/>
      <c r="MVL230" s="15"/>
      <c r="MVM230" s="15"/>
      <c r="MVN230" s="15"/>
      <c r="MVO230" s="15"/>
      <c r="MVP230" s="15"/>
      <c r="MVQ230" s="15"/>
      <c r="MVR230" s="10"/>
      <c r="MVS230" s="10"/>
      <c r="MVT230" s="21"/>
      <c r="MVU230" s="21"/>
      <c r="MVX230" s="21"/>
      <c r="MVY230" s="15"/>
      <c r="MVZ230" s="15"/>
      <c r="MWA230" s="15"/>
      <c r="MWB230" s="15"/>
      <c r="MWC230" s="15"/>
      <c r="MWD230" s="15"/>
      <c r="MWE230" s="15"/>
      <c r="MWF230" s="15"/>
      <c r="MWG230" s="15"/>
      <c r="MWH230" s="15"/>
      <c r="MWI230" s="10"/>
      <c r="MWJ230" s="10"/>
      <c r="MWK230" s="21"/>
      <c r="MWL230" s="21"/>
      <c r="MWO230" s="21"/>
      <c r="MWP230" s="15"/>
      <c r="MWQ230" s="15"/>
      <c r="MWR230" s="15"/>
      <c r="MWS230" s="15"/>
      <c r="MWT230" s="15"/>
      <c r="MWU230" s="15"/>
      <c r="MWV230" s="15"/>
      <c r="MWW230" s="15"/>
      <c r="MWX230" s="15"/>
      <c r="MWY230" s="15"/>
      <c r="MWZ230" s="10"/>
      <c r="MXA230" s="10"/>
      <c r="MXB230" s="21"/>
      <c r="MXC230" s="21"/>
      <c r="MXF230" s="21"/>
      <c r="MXG230" s="15"/>
      <c r="MXH230" s="15"/>
      <c r="MXI230" s="15"/>
      <c r="MXJ230" s="15"/>
      <c r="MXK230" s="15"/>
      <c r="MXL230" s="15"/>
      <c r="MXM230" s="15"/>
      <c r="MXN230" s="15"/>
      <c r="MXO230" s="15"/>
      <c r="MXP230" s="15"/>
      <c r="MXQ230" s="10"/>
      <c r="MXR230" s="10"/>
      <c r="MXS230" s="21"/>
      <c r="MXT230" s="21"/>
      <c r="MXW230" s="21"/>
      <c r="MXX230" s="15"/>
      <c r="MXY230" s="15"/>
      <c r="MXZ230" s="15"/>
      <c r="MYA230" s="15"/>
      <c r="MYB230" s="15"/>
      <c r="MYC230" s="15"/>
      <c r="MYD230" s="15"/>
      <c r="MYE230" s="15"/>
      <c r="MYF230" s="15"/>
      <c r="MYG230" s="15"/>
      <c r="MYH230" s="10"/>
      <c r="MYI230" s="10"/>
      <c r="MYJ230" s="21"/>
      <c r="MYK230" s="21"/>
      <c r="MYN230" s="21"/>
      <c r="MYO230" s="15"/>
      <c r="MYP230" s="15"/>
      <c r="MYQ230" s="15"/>
      <c r="MYR230" s="15"/>
      <c r="MYS230" s="15"/>
      <c r="MYT230" s="15"/>
      <c r="MYU230" s="15"/>
      <c r="MYV230" s="15"/>
      <c r="MYW230" s="15"/>
      <c r="MYX230" s="15"/>
      <c r="MYY230" s="10"/>
      <c r="MYZ230" s="10"/>
      <c r="MZA230" s="21"/>
      <c r="MZB230" s="21"/>
      <c r="MZE230" s="21"/>
      <c r="MZF230" s="15"/>
      <c r="MZG230" s="15"/>
      <c r="MZH230" s="15"/>
      <c r="MZI230" s="15"/>
      <c r="MZJ230" s="15"/>
      <c r="MZK230" s="15"/>
      <c r="MZL230" s="15"/>
      <c r="MZM230" s="15"/>
      <c r="MZN230" s="15"/>
      <c r="MZO230" s="15"/>
      <c r="MZP230" s="10"/>
      <c r="MZQ230" s="10"/>
      <c r="MZR230" s="21"/>
      <c r="MZS230" s="21"/>
      <c r="MZV230" s="21"/>
      <c r="MZW230" s="15"/>
      <c r="MZX230" s="15"/>
      <c r="MZY230" s="15"/>
      <c r="MZZ230" s="15"/>
      <c r="NAA230" s="15"/>
      <c r="NAB230" s="15"/>
      <c r="NAC230" s="15"/>
      <c r="NAD230" s="15"/>
      <c r="NAE230" s="15"/>
      <c r="NAF230" s="15"/>
      <c r="NAG230" s="10"/>
      <c r="NAH230" s="10"/>
      <c r="NAI230" s="21"/>
      <c r="NAJ230" s="21"/>
      <c r="NAM230" s="21"/>
      <c r="NAN230" s="15"/>
      <c r="NAO230" s="15"/>
      <c r="NAP230" s="15"/>
      <c r="NAQ230" s="15"/>
      <c r="NAR230" s="15"/>
      <c r="NAS230" s="15"/>
      <c r="NAT230" s="15"/>
      <c r="NAU230" s="15"/>
      <c r="NAV230" s="15"/>
      <c r="NAW230" s="15"/>
      <c r="NAX230" s="10"/>
      <c r="NAY230" s="10"/>
      <c r="NAZ230" s="21"/>
      <c r="NBA230" s="21"/>
      <c r="NBD230" s="21"/>
      <c r="NBE230" s="15"/>
      <c r="NBF230" s="15"/>
      <c r="NBG230" s="15"/>
      <c r="NBH230" s="15"/>
      <c r="NBI230" s="15"/>
      <c r="NBJ230" s="15"/>
      <c r="NBK230" s="15"/>
      <c r="NBL230" s="15"/>
      <c r="NBM230" s="15"/>
      <c r="NBN230" s="15"/>
      <c r="NBO230" s="10"/>
      <c r="NBP230" s="10"/>
      <c r="NBQ230" s="21"/>
      <c r="NBR230" s="21"/>
      <c r="NBU230" s="21"/>
      <c r="NBV230" s="15"/>
      <c r="NBW230" s="15"/>
      <c r="NBX230" s="15"/>
      <c r="NBY230" s="15"/>
      <c r="NBZ230" s="15"/>
      <c r="NCA230" s="15"/>
      <c r="NCB230" s="15"/>
      <c r="NCC230" s="15"/>
      <c r="NCD230" s="15"/>
      <c r="NCE230" s="15"/>
      <c r="NCF230" s="10"/>
      <c r="NCG230" s="10"/>
      <c r="NCH230" s="21"/>
      <c r="NCI230" s="21"/>
      <c r="NCL230" s="21"/>
      <c r="NCM230" s="15"/>
      <c r="NCN230" s="15"/>
      <c r="NCO230" s="15"/>
      <c r="NCP230" s="15"/>
      <c r="NCQ230" s="15"/>
      <c r="NCR230" s="15"/>
      <c r="NCS230" s="15"/>
      <c r="NCT230" s="15"/>
      <c r="NCU230" s="15"/>
      <c r="NCV230" s="15"/>
      <c r="NCW230" s="10"/>
      <c r="NCX230" s="10"/>
      <c r="NCY230" s="21"/>
      <c r="NCZ230" s="21"/>
      <c r="NDC230" s="21"/>
      <c r="NDD230" s="15"/>
      <c r="NDE230" s="15"/>
      <c r="NDF230" s="15"/>
      <c r="NDG230" s="15"/>
      <c r="NDH230" s="15"/>
      <c r="NDI230" s="15"/>
      <c r="NDJ230" s="15"/>
      <c r="NDK230" s="15"/>
      <c r="NDL230" s="15"/>
      <c r="NDM230" s="15"/>
      <c r="NDN230" s="10"/>
      <c r="NDO230" s="10"/>
      <c r="NDP230" s="21"/>
      <c r="NDQ230" s="21"/>
      <c r="NDT230" s="21"/>
      <c r="NDU230" s="15"/>
      <c r="NDV230" s="15"/>
      <c r="NDW230" s="15"/>
      <c r="NDX230" s="15"/>
      <c r="NDY230" s="15"/>
      <c r="NDZ230" s="15"/>
      <c r="NEA230" s="15"/>
      <c r="NEB230" s="15"/>
      <c r="NEC230" s="15"/>
      <c r="NED230" s="15"/>
      <c r="NEE230" s="10"/>
      <c r="NEF230" s="10"/>
      <c r="NEG230" s="21"/>
      <c r="NEH230" s="21"/>
      <c r="NEK230" s="21"/>
      <c r="NEL230" s="15"/>
      <c r="NEM230" s="15"/>
      <c r="NEN230" s="15"/>
      <c r="NEO230" s="15"/>
      <c r="NEP230" s="15"/>
      <c r="NEQ230" s="15"/>
      <c r="NER230" s="15"/>
      <c r="NES230" s="15"/>
      <c r="NET230" s="15"/>
      <c r="NEU230" s="15"/>
      <c r="NEV230" s="10"/>
      <c r="NEW230" s="10"/>
      <c r="NEX230" s="21"/>
      <c r="NEY230" s="21"/>
      <c r="NFB230" s="21"/>
      <c r="NFC230" s="15"/>
      <c r="NFD230" s="15"/>
      <c r="NFE230" s="15"/>
      <c r="NFF230" s="15"/>
      <c r="NFG230" s="15"/>
      <c r="NFH230" s="15"/>
      <c r="NFI230" s="15"/>
      <c r="NFJ230" s="15"/>
      <c r="NFK230" s="15"/>
      <c r="NFL230" s="15"/>
      <c r="NFM230" s="10"/>
      <c r="NFN230" s="10"/>
      <c r="NFO230" s="21"/>
      <c r="NFP230" s="21"/>
      <c r="NFS230" s="21"/>
      <c r="NFT230" s="15"/>
      <c r="NFU230" s="15"/>
      <c r="NFV230" s="15"/>
      <c r="NFW230" s="15"/>
      <c r="NFX230" s="15"/>
      <c r="NFY230" s="15"/>
      <c r="NFZ230" s="15"/>
      <c r="NGA230" s="15"/>
      <c r="NGB230" s="15"/>
      <c r="NGC230" s="15"/>
      <c r="NGD230" s="10"/>
      <c r="NGE230" s="10"/>
      <c r="NGF230" s="21"/>
      <c r="NGG230" s="21"/>
      <c r="NGJ230" s="21"/>
      <c r="NGK230" s="15"/>
      <c r="NGL230" s="15"/>
      <c r="NGM230" s="15"/>
      <c r="NGN230" s="15"/>
      <c r="NGO230" s="15"/>
      <c r="NGP230" s="15"/>
      <c r="NGQ230" s="15"/>
      <c r="NGR230" s="15"/>
      <c r="NGS230" s="15"/>
      <c r="NGT230" s="15"/>
      <c r="NGU230" s="10"/>
      <c r="NGV230" s="10"/>
      <c r="NGW230" s="21"/>
      <c r="NGX230" s="21"/>
      <c r="NHA230" s="21"/>
      <c r="NHB230" s="15"/>
      <c r="NHC230" s="15"/>
      <c r="NHD230" s="15"/>
      <c r="NHE230" s="15"/>
      <c r="NHF230" s="15"/>
      <c r="NHG230" s="15"/>
      <c r="NHH230" s="15"/>
      <c r="NHI230" s="15"/>
      <c r="NHJ230" s="15"/>
      <c r="NHK230" s="15"/>
      <c r="NHL230" s="10"/>
      <c r="NHM230" s="10"/>
      <c r="NHN230" s="21"/>
      <c r="NHO230" s="21"/>
      <c r="NHR230" s="21"/>
      <c r="NHS230" s="15"/>
      <c r="NHT230" s="15"/>
      <c r="NHU230" s="15"/>
      <c r="NHV230" s="15"/>
      <c r="NHW230" s="15"/>
      <c r="NHX230" s="15"/>
      <c r="NHY230" s="15"/>
      <c r="NHZ230" s="15"/>
      <c r="NIA230" s="15"/>
      <c r="NIB230" s="15"/>
      <c r="NIC230" s="10"/>
      <c r="NID230" s="10"/>
      <c r="NIE230" s="21"/>
      <c r="NIF230" s="21"/>
      <c r="NII230" s="21"/>
      <c r="NIJ230" s="15"/>
      <c r="NIK230" s="15"/>
      <c r="NIL230" s="15"/>
      <c r="NIM230" s="15"/>
      <c r="NIN230" s="15"/>
      <c r="NIO230" s="15"/>
      <c r="NIP230" s="15"/>
      <c r="NIQ230" s="15"/>
      <c r="NIR230" s="15"/>
      <c r="NIS230" s="15"/>
      <c r="NIT230" s="10"/>
      <c r="NIU230" s="10"/>
      <c r="NIV230" s="21"/>
      <c r="NIW230" s="21"/>
      <c r="NIZ230" s="21"/>
      <c r="NJA230" s="15"/>
      <c r="NJB230" s="15"/>
      <c r="NJC230" s="15"/>
      <c r="NJD230" s="15"/>
      <c r="NJE230" s="15"/>
      <c r="NJF230" s="15"/>
      <c r="NJG230" s="15"/>
      <c r="NJH230" s="15"/>
      <c r="NJI230" s="15"/>
      <c r="NJJ230" s="15"/>
      <c r="NJK230" s="10"/>
      <c r="NJL230" s="10"/>
      <c r="NJM230" s="21"/>
      <c r="NJN230" s="21"/>
      <c r="NJQ230" s="21"/>
      <c r="NJR230" s="15"/>
      <c r="NJS230" s="15"/>
      <c r="NJT230" s="15"/>
      <c r="NJU230" s="15"/>
      <c r="NJV230" s="15"/>
      <c r="NJW230" s="15"/>
      <c r="NJX230" s="15"/>
      <c r="NJY230" s="15"/>
      <c r="NJZ230" s="15"/>
      <c r="NKA230" s="15"/>
      <c r="NKB230" s="10"/>
      <c r="NKC230" s="10"/>
      <c r="NKD230" s="21"/>
      <c r="NKE230" s="21"/>
      <c r="NKH230" s="21"/>
      <c r="NKI230" s="15"/>
      <c r="NKJ230" s="15"/>
      <c r="NKK230" s="15"/>
      <c r="NKL230" s="15"/>
      <c r="NKM230" s="15"/>
      <c r="NKN230" s="15"/>
      <c r="NKO230" s="15"/>
      <c r="NKP230" s="15"/>
      <c r="NKQ230" s="15"/>
      <c r="NKR230" s="15"/>
      <c r="NKS230" s="10"/>
      <c r="NKT230" s="10"/>
      <c r="NKU230" s="21"/>
      <c r="NKV230" s="21"/>
      <c r="NKY230" s="21"/>
      <c r="NKZ230" s="15"/>
      <c r="NLA230" s="15"/>
      <c r="NLB230" s="15"/>
      <c r="NLC230" s="15"/>
      <c r="NLD230" s="15"/>
      <c r="NLE230" s="15"/>
      <c r="NLF230" s="15"/>
      <c r="NLG230" s="15"/>
      <c r="NLH230" s="15"/>
      <c r="NLI230" s="15"/>
      <c r="NLJ230" s="10"/>
      <c r="NLK230" s="10"/>
      <c r="NLL230" s="21"/>
      <c r="NLM230" s="21"/>
      <c r="NLP230" s="21"/>
      <c r="NLQ230" s="15"/>
      <c r="NLR230" s="15"/>
      <c r="NLS230" s="15"/>
      <c r="NLT230" s="15"/>
      <c r="NLU230" s="15"/>
      <c r="NLV230" s="15"/>
      <c r="NLW230" s="15"/>
      <c r="NLX230" s="15"/>
      <c r="NLY230" s="15"/>
      <c r="NLZ230" s="15"/>
      <c r="NMA230" s="10"/>
      <c r="NMB230" s="10"/>
      <c r="NMC230" s="21"/>
      <c r="NMD230" s="21"/>
      <c r="NMG230" s="21"/>
      <c r="NMH230" s="15"/>
      <c r="NMI230" s="15"/>
      <c r="NMJ230" s="15"/>
      <c r="NMK230" s="15"/>
      <c r="NML230" s="15"/>
      <c r="NMM230" s="15"/>
      <c r="NMN230" s="15"/>
      <c r="NMO230" s="15"/>
      <c r="NMP230" s="15"/>
      <c r="NMQ230" s="15"/>
      <c r="NMR230" s="10"/>
      <c r="NMS230" s="10"/>
      <c r="NMT230" s="21"/>
      <c r="NMU230" s="21"/>
      <c r="NMX230" s="21"/>
      <c r="NMY230" s="15"/>
      <c r="NMZ230" s="15"/>
      <c r="NNA230" s="15"/>
      <c r="NNB230" s="15"/>
      <c r="NNC230" s="15"/>
      <c r="NND230" s="15"/>
      <c r="NNE230" s="15"/>
      <c r="NNF230" s="15"/>
      <c r="NNG230" s="15"/>
      <c r="NNH230" s="15"/>
      <c r="NNI230" s="10"/>
      <c r="NNJ230" s="10"/>
      <c r="NNK230" s="21"/>
      <c r="NNL230" s="21"/>
      <c r="NNO230" s="21"/>
      <c r="NNP230" s="15"/>
      <c r="NNQ230" s="15"/>
      <c r="NNR230" s="15"/>
      <c r="NNS230" s="15"/>
      <c r="NNT230" s="15"/>
      <c r="NNU230" s="15"/>
      <c r="NNV230" s="15"/>
      <c r="NNW230" s="15"/>
      <c r="NNX230" s="15"/>
      <c r="NNY230" s="15"/>
      <c r="NNZ230" s="10"/>
      <c r="NOA230" s="10"/>
      <c r="NOB230" s="21"/>
      <c r="NOC230" s="21"/>
      <c r="NOF230" s="21"/>
      <c r="NOG230" s="15"/>
      <c r="NOH230" s="15"/>
      <c r="NOI230" s="15"/>
      <c r="NOJ230" s="15"/>
      <c r="NOK230" s="15"/>
      <c r="NOL230" s="15"/>
      <c r="NOM230" s="15"/>
      <c r="NON230" s="15"/>
      <c r="NOO230" s="15"/>
      <c r="NOP230" s="15"/>
      <c r="NOQ230" s="10"/>
      <c r="NOR230" s="10"/>
      <c r="NOS230" s="21"/>
      <c r="NOT230" s="21"/>
      <c r="NOW230" s="21"/>
      <c r="NOX230" s="15"/>
      <c r="NOY230" s="15"/>
      <c r="NOZ230" s="15"/>
      <c r="NPA230" s="15"/>
      <c r="NPB230" s="15"/>
      <c r="NPC230" s="15"/>
      <c r="NPD230" s="15"/>
      <c r="NPE230" s="15"/>
      <c r="NPF230" s="15"/>
      <c r="NPG230" s="15"/>
      <c r="NPH230" s="10"/>
      <c r="NPI230" s="10"/>
      <c r="NPJ230" s="21"/>
      <c r="NPK230" s="21"/>
      <c r="NPN230" s="21"/>
      <c r="NPO230" s="15"/>
      <c r="NPP230" s="15"/>
      <c r="NPQ230" s="15"/>
      <c r="NPR230" s="15"/>
      <c r="NPS230" s="15"/>
      <c r="NPT230" s="15"/>
      <c r="NPU230" s="15"/>
      <c r="NPV230" s="15"/>
      <c r="NPW230" s="15"/>
      <c r="NPX230" s="15"/>
      <c r="NPY230" s="10"/>
      <c r="NPZ230" s="10"/>
      <c r="NQA230" s="21"/>
      <c r="NQB230" s="21"/>
      <c r="NQE230" s="21"/>
      <c r="NQF230" s="15"/>
      <c r="NQG230" s="15"/>
      <c r="NQH230" s="15"/>
      <c r="NQI230" s="15"/>
      <c r="NQJ230" s="15"/>
      <c r="NQK230" s="15"/>
      <c r="NQL230" s="15"/>
      <c r="NQM230" s="15"/>
      <c r="NQN230" s="15"/>
      <c r="NQO230" s="15"/>
      <c r="NQP230" s="10"/>
      <c r="NQQ230" s="10"/>
      <c r="NQR230" s="21"/>
      <c r="NQS230" s="21"/>
      <c r="NQV230" s="21"/>
      <c r="NQW230" s="15"/>
      <c r="NQX230" s="15"/>
      <c r="NQY230" s="15"/>
      <c r="NQZ230" s="15"/>
      <c r="NRA230" s="15"/>
      <c r="NRB230" s="15"/>
      <c r="NRC230" s="15"/>
      <c r="NRD230" s="15"/>
      <c r="NRE230" s="15"/>
      <c r="NRF230" s="15"/>
      <c r="NRG230" s="10"/>
      <c r="NRH230" s="10"/>
      <c r="NRI230" s="21"/>
      <c r="NRJ230" s="21"/>
      <c r="NRM230" s="21"/>
      <c r="NRN230" s="15"/>
      <c r="NRO230" s="15"/>
      <c r="NRP230" s="15"/>
      <c r="NRQ230" s="15"/>
      <c r="NRR230" s="15"/>
      <c r="NRS230" s="15"/>
      <c r="NRT230" s="15"/>
      <c r="NRU230" s="15"/>
      <c r="NRV230" s="15"/>
      <c r="NRW230" s="15"/>
      <c r="NRX230" s="10"/>
      <c r="NRY230" s="10"/>
      <c r="NRZ230" s="21"/>
      <c r="NSA230" s="21"/>
      <c r="NSD230" s="21"/>
      <c r="NSE230" s="15"/>
      <c r="NSF230" s="15"/>
      <c r="NSG230" s="15"/>
      <c r="NSH230" s="15"/>
      <c r="NSI230" s="15"/>
      <c r="NSJ230" s="15"/>
      <c r="NSK230" s="15"/>
      <c r="NSL230" s="15"/>
      <c r="NSM230" s="15"/>
      <c r="NSN230" s="15"/>
      <c r="NSO230" s="10"/>
      <c r="NSP230" s="10"/>
      <c r="NSQ230" s="21"/>
      <c r="NSR230" s="21"/>
      <c r="NSU230" s="21"/>
      <c r="NSV230" s="15"/>
      <c r="NSW230" s="15"/>
      <c r="NSX230" s="15"/>
      <c r="NSY230" s="15"/>
      <c r="NSZ230" s="15"/>
      <c r="NTA230" s="15"/>
      <c r="NTB230" s="15"/>
      <c r="NTC230" s="15"/>
      <c r="NTD230" s="15"/>
      <c r="NTE230" s="15"/>
      <c r="NTF230" s="10"/>
      <c r="NTG230" s="10"/>
      <c r="NTH230" s="21"/>
      <c r="NTI230" s="21"/>
      <c r="NTL230" s="21"/>
      <c r="NTM230" s="15"/>
      <c r="NTN230" s="15"/>
      <c r="NTO230" s="15"/>
      <c r="NTP230" s="15"/>
      <c r="NTQ230" s="15"/>
      <c r="NTR230" s="15"/>
      <c r="NTS230" s="15"/>
      <c r="NTT230" s="15"/>
      <c r="NTU230" s="15"/>
      <c r="NTV230" s="15"/>
      <c r="NTW230" s="10"/>
      <c r="NTX230" s="10"/>
      <c r="NTY230" s="21"/>
      <c r="NTZ230" s="21"/>
      <c r="NUC230" s="21"/>
      <c r="NUD230" s="15"/>
      <c r="NUE230" s="15"/>
      <c r="NUF230" s="15"/>
      <c r="NUG230" s="15"/>
      <c r="NUH230" s="15"/>
      <c r="NUI230" s="15"/>
      <c r="NUJ230" s="15"/>
      <c r="NUK230" s="15"/>
      <c r="NUL230" s="15"/>
      <c r="NUM230" s="15"/>
      <c r="NUN230" s="10"/>
      <c r="NUO230" s="10"/>
      <c r="NUP230" s="21"/>
      <c r="NUQ230" s="21"/>
      <c r="NUT230" s="21"/>
      <c r="NUU230" s="15"/>
      <c r="NUV230" s="15"/>
      <c r="NUW230" s="15"/>
      <c r="NUX230" s="15"/>
      <c r="NUY230" s="15"/>
      <c r="NUZ230" s="15"/>
      <c r="NVA230" s="15"/>
      <c r="NVB230" s="15"/>
      <c r="NVC230" s="15"/>
      <c r="NVD230" s="15"/>
      <c r="NVE230" s="10"/>
      <c r="NVF230" s="10"/>
      <c r="NVG230" s="21"/>
      <c r="NVH230" s="21"/>
      <c r="NVK230" s="21"/>
      <c r="NVL230" s="15"/>
      <c r="NVM230" s="15"/>
      <c r="NVN230" s="15"/>
      <c r="NVO230" s="15"/>
      <c r="NVP230" s="15"/>
      <c r="NVQ230" s="15"/>
      <c r="NVR230" s="15"/>
      <c r="NVS230" s="15"/>
      <c r="NVT230" s="15"/>
      <c r="NVU230" s="15"/>
      <c r="NVV230" s="10"/>
      <c r="NVW230" s="10"/>
      <c r="NVX230" s="21"/>
      <c r="NVY230" s="21"/>
      <c r="NWB230" s="21"/>
      <c r="NWC230" s="15"/>
      <c r="NWD230" s="15"/>
      <c r="NWE230" s="15"/>
      <c r="NWF230" s="15"/>
      <c r="NWG230" s="15"/>
      <c r="NWH230" s="15"/>
      <c r="NWI230" s="15"/>
      <c r="NWJ230" s="15"/>
      <c r="NWK230" s="15"/>
      <c r="NWL230" s="15"/>
      <c r="NWM230" s="10"/>
      <c r="NWN230" s="10"/>
      <c r="NWO230" s="21"/>
      <c r="NWP230" s="21"/>
      <c r="NWS230" s="21"/>
      <c r="NWT230" s="15"/>
      <c r="NWU230" s="15"/>
      <c r="NWV230" s="15"/>
      <c r="NWW230" s="15"/>
      <c r="NWX230" s="15"/>
      <c r="NWY230" s="15"/>
      <c r="NWZ230" s="15"/>
      <c r="NXA230" s="15"/>
      <c r="NXB230" s="15"/>
      <c r="NXC230" s="15"/>
      <c r="NXD230" s="10"/>
      <c r="NXE230" s="10"/>
      <c r="NXF230" s="21"/>
      <c r="NXG230" s="21"/>
      <c r="NXJ230" s="21"/>
      <c r="NXK230" s="15"/>
      <c r="NXL230" s="15"/>
      <c r="NXM230" s="15"/>
      <c r="NXN230" s="15"/>
      <c r="NXO230" s="15"/>
      <c r="NXP230" s="15"/>
      <c r="NXQ230" s="15"/>
      <c r="NXR230" s="15"/>
      <c r="NXS230" s="15"/>
      <c r="NXT230" s="15"/>
      <c r="NXU230" s="10"/>
      <c r="NXV230" s="10"/>
      <c r="NXW230" s="21"/>
      <c r="NXX230" s="21"/>
      <c r="NYA230" s="21"/>
      <c r="NYB230" s="15"/>
      <c r="NYC230" s="15"/>
      <c r="NYD230" s="15"/>
      <c r="NYE230" s="15"/>
      <c r="NYF230" s="15"/>
      <c r="NYG230" s="15"/>
      <c r="NYH230" s="15"/>
      <c r="NYI230" s="15"/>
      <c r="NYJ230" s="15"/>
      <c r="NYK230" s="15"/>
      <c r="NYL230" s="10"/>
      <c r="NYM230" s="10"/>
      <c r="NYN230" s="21"/>
      <c r="NYO230" s="21"/>
      <c r="NYR230" s="21"/>
      <c r="NYS230" s="15"/>
      <c r="NYT230" s="15"/>
      <c r="NYU230" s="15"/>
      <c r="NYV230" s="15"/>
      <c r="NYW230" s="15"/>
      <c r="NYX230" s="15"/>
      <c r="NYY230" s="15"/>
      <c r="NYZ230" s="15"/>
      <c r="NZA230" s="15"/>
      <c r="NZB230" s="15"/>
      <c r="NZC230" s="10"/>
      <c r="NZD230" s="10"/>
      <c r="NZE230" s="21"/>
      <c r="NZF230" s="21"/>
      <c r="NZI230" s="21"/>
      <c r="NZJ230" s="15"/>
      <c r="NZK230" s="15"/>
      <c r="NZL230" s="15"/>
      <c r="NZM230" s="15"/>
      <c r="NZN230" s="15"/>
      <c r="NZO230" s="15"/>
      <c r="NZP230" s="15"/>
      <c r="NZQ230" s="15"/>
      <c r="NZR230" s="15"/>
      <c r="NZS230" s="15"/>
      <c r="NZT230" s="10"/>
      <c r="NZU230" s="10"/>
      <c r="NZV230" s="21"/>
      <c r="NZW230" s="21"/>
      <c r="NZZ230" s="21"/>
      <c r="OAA230" s="15"/>
      <c r="OAB230" s="15"/>
      <c r="OAC230" s="15"/>
      <c r="OAD230" s="15"/>
      <c r="OAE230" s="15"/>
      <c r="OAF230" s="15"/>
      <c r="OAG230" s="15"/>
      <c r="OAH230" s="15"/>
      <c r="OAI230" s="15"/>
      <c r="OAJ230" s="15"/>
      <c r="OAK230" s="10"/>
      <c r="OAL230" s="10"/>
      <c r="OAM230" s="21"/>
      <c r="OAN230" s="21"/>
      <c r="OAQ230" s="21"/>
      <c r="OAR230" s="15"/>
      <c r="OAS230" s="15"/>
      <c r="OAT230" s="15"/>
      <c r="OAU230" s="15"/>
      <c r="OAV230" s="15"/>
      <c r="OAW230" s="15"/>
      <c r="OAX230" s="15"/>
      <c r="OAY230" s="15"/>
      <c r="OAZ230" s="15"/>
      <c r="OBA230" s="15"/>
      <c r="OBB230" s="10"/>
      <c r="OBC230" s="10"/>
      <c r="OBD230" s="21"/>
      <c r="OBE230" s="21"/>
      <c r="OBH230" s="21"/>
      <c r="OBI230" s="15"/>
      <c r="OBJ230" s="15"/>
      <c r="OBK230" s="15"/>
      <c r="OBL230" s="15"/>
      <c r="OBM230" s="15"/>
      <c r="OBN230" s="15"/>
      <c r="OBO230" s="15"/>
      <c r="OBP230" s="15"/>
      <c r="OBQ230" s="15"/>
      <c r="OBR230" s="15"/>
      <c r="OBS230" s="10"/>
      <c r="OBT230" s="10"/>
      <c r="OBU230" s="21"/>
      <c r="OBV230" s="21"/>
      <c r="OBY230" s="21"/>
      <c r="OBZ230" s="15"/>
      <c r="OCA230" s="15"/>
      <c r="OCB230" s="15"/>
      <c r="OCC230" s="15"/>
      <c r="OCD230" s="15"/>
      <c r="OCE230" s="15"/>
      <c r="OCF230" s="15"/>
      <c r="OCG230" s="15"/>
      <c r="OCH230" s="15"/>
      <c r="OCI230" s="15"/>
      <c r="OCJ230" s="10"/>
      <c r="OCK230" s="10"/>
      <c r="OCL230" s="21"/>
      <c r="OCM230" s="21"/>
      <c r="OCP230" s="21"/>
      <c r="OCQ230" s="15"/>
      <c r="OCR230" s="15"/>
      <c r="OCS230" s="15"/>
      <c r="OCT230" s="15"/>
      <c r="OCU230" s="15"/>
      <c r="OCV230" s="15"/>
      <c r="OCW230" s="15"/>
      <c r="OCX230" s="15"/>
      <c r="OCY230" s="15"/>
      <c r="OCZ230" s="15"/>
      <c r="ODA230" s="10"/>
      <c r="ODB230" s="10"/>
      <c r="ODC230" s="21"/>
      <c r="ODD230" s="21"/>
      <c r="ODG230" s="21"/>
      <c r="ODH230" s="15"/>
      <c r="ODI230" s="15"/>
      <c r="ODJ230" s="15"/>
      <c r="ODK230" s="15"/>
      <c r="ODL230" s="15"/>
      <c r="ODM230" s="15"/>
      <c r="ODN230" s="15"/>
      <c r="ODO230" s="15"/>
      <c r="ODP230" s="15"/>
      <c r="ODQ230" s="15"/>
      <c r="ODR230" s="10"/>
      <c r="ODS230" s="10"/>
      <c r="ODT230" s="21"/>
      <c r="ODU230" s="21"/>
      <c r="ODX230" s="21"/>
      <c r="ODY230" s="15"/>
      <c r="ODZ230" s="15"/>
      <c r="OEA230" s="15"/>
      <c r="OEB230" s="15"/>
      <c r="OEC230" s="15"/>
      <c r="OED230" s="15"/>
      <c r="OEE230" s="15"/>
      <c r="OEF230" s="15"/>
      <c r="OEG230" s="15"/>
      <c r="OEH230" s="15"/>
      <c r="OEI230" s="10"/>
      <c r="OEJ230" s="10"/>
      <c r="OEK230" s="21"/>
      <c r="OEL230" s="21"/>
      <c r="OEO230" s="21"/>
      <c r="OEP230" s="15"/>
      <c r="OEQ230" s="15"/>
      <c r="OER230" s="15"/>
      <c r="OES230" s="15"/>
      <c r="OET230" s="15"/>
      <c r="OEU230" s="15"/>
      <c r="OEV230" s="15"/>
      <c r="OEW230" s="15"/>
      <c r="OEX230" s="15"/>
      <c r="OEY230" s="15"/>
      <c r="OEZ230" s="10"/>
      <c r="OFA230" s="10"/>
      <c r="OFB230" s="21"/>
      <c r="OFC230" s="21"/>
      <c r="OFF230" s="21"/>
      <c r="OFG230" s="15"/>
      <c r="OFH230" s="15"/>
      <c r="OFI230" s="15"/>
      <c r="OFJ230" s="15"/>
      <c r="OFK230" s="15"/>
      <c r="OFL230" s="15"/>
      <c r="OFM230" s="15"/>
      <c r="OFN230" s="15"/>
      <c r="OFO230" s="15"/>
      <c r="OFP230" s="15"/>
      <c r="OFQ230" s="10"/>
      <c r="OFR230" s="10"/>
      <c r="OFS230" s="21"/>
      <c r="OFT230" s="21"/>
      <c r="OFW230" s="21"/>
      <c r="OFX230" s="15"/>
      <c r="OFY230" s="15"/>
      <c r="OFZ230" s="15"/>
      <c r="OGA230" s="15"/>
      <c r="OGB230" s="15"/>
      <c r="OGC230" s="15"/>
      <c r="OGD230" s="15"/>
      <c r="OGE230" s="15"/>
      <c r="OGF230" s="15"/>
      <c r="OGG230" s="15"/>
      <c r="OGH230" s="10"/>
      <c r="OGI230" s="10"/>
      <c r="OGJ230" s="21"/>
      <c r="OGK230" s="21"/>
      <c r="OGN230" s="21"/>
      <c r="OGO230" s="15"/>
      <c r="OGP230" s="15"/>
      <c r="OGQ230" s="15"/>
      <c r="OGR230" s="15"/>
      <c r="OGS230" s="15"/>
      <c r="OGT230" s="15"/>
      <c r="OGU230" s="15"/>
      <c r="OGV230" s="15"/>
      <c r="OGW230" s="15"/>
      <c r="OGX230" s="15"/>
      <c r="OGY230" s="10"/>
      <c r="OGZ230" s="10"/>
      <c r="OHA230" s="21"/>
      <c r="OHB230" s="21"/>
      <c r="OHE230" s="21"/>
      <c r="OHF230" s="15"/>
      <c r="OHG230" s="15"/>
      <c r="OHH230" s="15"/>
      <c r="OHI230" s="15"/>
      <c r="OHJ230" s="15"/>
      <c r="OHK230" s="15"/>
      <c r="OHL230" s="15"/>
      <c r="OHM230" s="15"/>
      <c r="OHN230" s="15"/>
      <c r="OHO230" s="15"/>
      <c r="OHP230" s="10"/>
      <c r="OHQ230" s="10"/>
      <c r="OHR230" s="21"/>
      <c r="OHS230" s="21"/>
      <c r="OHV230" s="21"/>
      <c r="OHW230" s="15"/>
      <c r="OHX230" s="15"/>
      <c r="OHY230" s="15"/>
      <c r="OHZ230" s="15"/>
      <c r="OIA230" s="15"/>
      <c r="OIB230" s="15"/>
      <c r="OIC230" s="15"/>
      <c r="OID230" s="15"/>
      <c r="OIE230" s="15"/>
      <c r="OIF230" s="15"/>
      <c r="OIG230" s="10"/>
      <c r="OIH230" s="10"/>
      <c r="OII230" s="21"/>
      <c r="OIJ230" s="21"/>
      <c r="OIM230" s="21"/>
      <c r="OIN230" s="15"/>
      <c r="OIO230" s="15"/>
      <c r="OIP230" s="15"/>
      <c r="OIQ230" s="15"/>
      <c r="OIR230" s="15"/>
      <c r="OIS230" s="15"/>
      <c r="OIT230" s="15"/>
      <c r="OIU230" s="15"/>
      <c r="OIV230" s="15"/>
      <c r="OIW230" s="15"/>
      <c r="OIX230" s="10"/>
      <c r="OIY230" s="10"/>
      <c r="OIZ230" s="21"/>
      <c r="OJA230" s="21"/>
      <c r="OJD230" s="21"/>
      <c r="OJE230" s="15"/>
      <c r="OJF230" s="15"/>
      <c r="OJG230" s="15"/>
      <c r="OJH230" s="15"/>
      <c r="OJI230" s="15"/>
      <c r="OJJ230" s="15"/>
      <c r="OJK230" s="15"/>
      <c r="OJL230" s="15"/>
      <c r="OJM230" s="15"/>
      <c r="OJN230" s="15"/>
      <c r="OJO230" s="10"/>
      <c r="OJP230" s="10"/>
      <c r="OJQ230" s="21"/>
      <c r="OJR230" s="21"/>
      <c r="OJU230" s="21"/>
      <c r="OJV230" s="15"/>
      <c r="OJW230" s="15"/>
      <c r="OJX230" s="15"/>
      <c r="OJY230" s="15"/>
      <c r="OJZ230" s="15"/>
      <c r="OKA230" s="15"/>
      <c r="OKB230" s="15"/>
      <c r="OKC230" s="15"/>
      <c r="OKD230" s="15"/>
      <c r="OKE230" s="15"/>
      <c r="OKF230" s="10"/>
      <c r="OKG230" s="10"/>
      <c r="OKH230" s="21"/>
      <c r="OKI230" s="21"/>
      <c r="OKL230" s="21"/>
      <c r="OKM230" s="15"/>
      <c r="OKN230" s="15"/>
      <c r="OKO230" s="15"/>
      <c r="OKP230" s="15"/>
      <c r="OKQ230" s="15"/>
      <c r="OKR230" s="15"/>
      <c r="OKS230" s="15"/>
      <c r="OKT230" s="15"/>
      <c r="OKU230" s="15"/>
      <c r="OKV230" s="15"/>
      <c r="OKW230" s="10"/>
      <c r="OKX230" s="10"/>
      <c r="OKY230" s="21"/>
      <c r="OKZ230" s="21"/>
      <c r="OLC230" s="21"/>
      <c r="OLD230" s="15"/>
      <c r="OLE230" s="15"/>
      <c r="OLF230" s="15"/>
      <c r="OLG230" s="15"/>
      <c r="OLH230" s="15"/>
      <c r="OLI230" s="15"/>
      <c r="OLJ230" s="15"/>
      <c r="OLK230" s="15"/>
      <c r="OLL230" s="15"/>
      <c r="OLM230" s="15"/>
      <c r="OLN230" s="10"/>
      <c r="OLO230" s="10"/>
      <c r="OLP230" s="21"/>
      <c r="OLQ230" s="21"/>
      <c r="OLT230" s="21"/>
      <c r="OLU230" s="15"/>
      <c r="OLV230" s="15"/>
      <c r="OLW230" s="15"/>
      <c r="OLX230" s="15"/>
      <c r="OLY230" s="15"/>
      <c r="OLZ230" s="15"/>
      <c r="OMA230" s="15"/>
      <c r="OMB230" s="15"/>
      <c r="OMC230" s="15"/>
      <c r="OMD230" s="15"/>
      <c r="OME230" s="10"/>
      <c r="OMF230" s="10"/>
      <c r="OMG230" s="21"/>
      <c r="OMH230" s="21"/>
      <c r="OMK230" s="21"/>
      <c r="OML230" s="15"/>
      <c r="OMM230" s="15"/>
      <c r="OMN230" s="15"/>
      <c r="OMO230" s="15"/>
      <c r="OMP230" s="15"/>
      <c r="OMQ230" s="15"/>
      <c r="OMR230" s="15"/>
      <c r="OMS230" s="15"/>
      <c r="OMT230" s="15"/>
      <c r="OMU230" s="15"/>
      <c r="OMV230" s="10"/>
      <c r="OMW230" s="10"/>
      <c r="OMX230" s="21"/>
      <c r="OMY230" s="21"/>
      <c r="ONB230" s="21"/>
      <c r="ONC230" s="15"/>
      <c r="OND230" s="15"/>
      <c r="ONE230" s="15"/>
      <c r="ONF230" s="15"/>
      <c r="ONG230" s="15"/>
      <c r="ONH230" s="15"/>
      <c r="ONI230" s="15"/>
      <c r="ONJ230" s="15"/>
      <c r="ONK230" s="15"/>
      <c r="ONL230" s="15"/>
      <c r="ONM230" s="10"/>
      <c r="ONN230" s="10"/>
      <c r="ONO230" s="21"/>
      <c r="ONP230" s="21"/>
      <c r="ONS230" s="21"/>
      <c r="ONT230" s="15"/>
      <c r="ONU230" s="15"/>
      <c r="ONV230" s="15"/>
      <c r="ONW230" s="15"/>
      <c r="ONX230" s="15"/>
      <c r="ONY230" s="15"/>
      <c r="ONZ230" s="15"/>
      <c r="OOA230" s="15"/>
      <c r="OOB230" s="15"/>
      <c r="OOC230" s="15"/>
      <c r="OOD230" s="10"/>
      <c r="OOE230" s="10"/>
      <c r="OOF230" s="21"/>
      <c r="OOG230" s="21"/>
      <c r="OOJ230" s="21"/>
      <c r="OOK230" s="15"/>
      <c r="OOL230" s="15"/>
      <c r="OOM230" s="15"/>
      <c r="OON230" s="15"/>
      <c r="OOO230" s="15"/>
      <c r="OOP230" s="15"/>
      <c r="OOQ230" s="15"/>
      <c r="OOR230" s="15"/>
      <c r="OOS230" s="15"/>
      <c r="OOT230" s="15"/>
      <c r="OOU230" s="10"/>
      <c r="OOV230" s="10"/>
      <c r="OOW230" s="21"/>
      <c r="OOX230" s="21"/>
      <c r="OPA230" s="21"/>
      <c r="OPB230" s="15"/>
      <c r="OPC230" s="15"/>
      <c r="OPD230" s="15"/>
      <c r="OPE230" s="15"/>
      <c r="OPF230" s="15"/>
      <c r="OPG230" s="15"/>
      <c r="OPH230" s="15"/>
      <c r="OPI230" s="15"/>
      <c r="OPJ230" s="15"/>
      <c r="OPK230" s="15"/>
      <c r="OPL230" s="10"/>
      <c r="OPM230" s="10"/>
      <c r="OPN230" s="21"/>
      <c r="OPO230" s="21"/>
      <c r="OPR230" s="21"/>
      <c r="OPS230" s="15"/>
      <c r="OPT230" s="15"/>
      <c r="OPU230" s="15"/>
      <c r="OPV230" s="15"/>
      <c r="OPW230" s="15"/>
      <c r="OPX230" s="15"/>
      <c r="OPY230" s="15"/>
      <c r="OPZ230" s="15"/>
      <c r="OQA230" s="15"/>
      <c r="OQB230" s="15"/>
      <c r="OQC230" s="10"/>
      <c r="OQD230" s="10"/>
      <c r="OQE230" s="21"/>
      <c r="OQF230" s="21"/>
      <c r="OQI230" s="21"/>
      <c r="OQJ230" s="15"/>
      <c r="OQK230" s="15"/>
      <c r="OQL230" s="15"/>
      <c r="OQM230" s="15"/>
      <c r="OQN230" s="15"/>
      <c r="OQO230" s="15"/>
      <c r="OQP230" s="15"/>
      <c r="OQQ230" s="15"/>
      <c r="OQR230" s="15"/>
      <c r="OQS230" s="15"/>
      <c r="OQT230" s="10"/>
      <c r="OQU230" s="10"/>
      <c r="OQV230" s="21"/>
      <c r="OQW230" s="21"/>
      <c r="OQZ230" s="21"/>
      <c r="ORA230" s="15"/>
      <c r="ORB230" s="15"/>
      <c r="ORC230" s="15"/>
      <c r="ORD230" s="15"/>
      <c r="ORE230" s="15"/>
      <c r="ORF230" s="15"/>
      <c r="ORG230" s="15"/>
      <c r="ORH230" s="15"/>
      <c r="ORI230" s="15"/>
      <c r="ORJ230" s="15"/>
      <c r="ORK230" s="10"/>
      <c r="ORL230" s="10"/>
      <c r="ORM230" s="21"/>
      <c r="ORN230" s="21"/>
      <c r="ORQ230" s="21"/>
      <c r="ORR230" s="15"/>
      <c r="ORS230" s="15"/>
      <c r="ORT230" s="15"/>
      <c r="ORU230" s="15"/>
      <c r="ORV230" s="15"/>
      <c r="ORW230" s="15"/>
      <c r="ORX230" s="15"/>
      <c r="ORY230" s="15"/>
      <c r="ORZ230" s="15"/>
      <c r="OSA230" s="15"/>
      <c r="OSB230" s="10"/>
      <c r="OSC230" s="10"/>
      <c r="OSD230" s="21"/>
      <c r="OSE230" s="21"/>
      <c r="OSH230" s="21"/>
      <c r="OSI230" s="15"/>
      <c r="OSJ230" s="15"/>
      <c r="OSK230" s="15"/>
      <c r="OSL230" s="15"/>
      <c r="OSM230" s="15"/>
      <c r="OSN230" s="15"/>
      <c r="OSO230" s="15"/>
      <c r="OSP230" s="15"/>
      <c r="OSQ230" s="15"/>
      <c r="OSR230" s="15"/>
      <c r="OSS230" s="10"/>
      <c r="OST230" s="10"/>
      <c r="OSU230" s="21"/>
      <c r="OSV230" s="21"/>
      <c r="OSY230" s="21"/>
      <c r="OSZ230" s="15"/>
      <c r="OTA230" s="15"/>
      <c r="OTB230" s="15"/>
      <c r="OTC230" s="15"/>
      <c r="OTD230" s="15"/>
      <c r="OTE230" s="15"/>
      <c r="OTF230" s="15"/>
      <c r="OTG230" s="15"/>
      <c r="OTH230" s="15"/>
      <c r="OTI230" s="15"/>
      <c r="OTJ230" s="10"/>
      <c r="OTK230" s="10"/>
      <c r="OTL230" s="21"/>
      <c r="OTM230" s="21"/>
      <c r="OTP230" s="21"/>
      <c r="OTQ230" s="15"/>
      <c r="OTR230" s="15"/>
      <c r="OTS230" s="15"/>
      <c r="OTT230" s="15"/>
      <c r="OTU230" s="15"/>
      <c r="OTV230" s="15"/>
      <c r="OTW230" s="15"/>
      <c r="OTX230" s="15"/>
      <c r="OTY230" s="15"/>
      <c r="OTZ230" s="15"/>
      <c r="OUA230" s="10"/>
      <c r="OUB230" s="10"/>
      <c r="OUC230" s="21"/>
      <c r="OUD230" s="21"/>
      <c r="OUG230" s="21"/>
      <c r="OUH230" s="15"/>
      <c r="OUI230" s="15"/>
      <c r="OUJ230" s="15"/>
      <c r="OUK230" s="15"/>
      <c r="OUL230" s="15"/>
      <c r="OUM230" s="15"/>
      <c r="OUN230" s="15"/>
      <c r="OUO230" s="15"/>
      <c r="OUP230" s="15"/>
      <c r="OUQ230" s="15"/>
      <c r="OUR230" s="10"/>
      <c r="OUS230" s="10"/>
      <c r="OUT230" s="21"/>
      <c r="OUU230" s="21"/>
      <c r="OUX230" s="21"/>
      <c r="OUY230" s="15"/>
      <c r="OUZ230" s="15"/>
      <c r="OVA230" s="15"/>
      <c r="OVB230" s="15"/>
      <c r="OVC230" s="15"/>
      <c r="OVD230" s="15"/>
      <c r="OVE230" s="15"/>
      <c r="OVF230" s="15"/>
      <c r="OVG230" s="15"/>
      <c r="OVH230" s="15"/>
      <c r="OVI230" s="10"/>
      <c r="OVJ230" s="10"/>
      <c r="OVK230" s="21"/>
      <c r="OVL230" s="21"/>
      <c r="OVO230" s="21"/>
      <c r="OVP230" s="15"/>
      <c r="OVQ230" s="15"/>
      <c r="OVR230" s="15"/>
      <c r="OVS230" s="15"/>
      <c r="OVT230" s="15"/>
      <c r="OVU230" s="15"/>
      <c r="OVV230" s="15"/>
      <c r="OVW230" s="15"/>
      <c r="OVX230" s="15"/>
      <c r="OVY230" s="15"/>
      <c r="OVZ230" s="10"/>
      <c r="OWA230" s="10"/>
      <c r="OWB230" s="21"/>
      <c r="OWC230" s="21"/>
      <c r="OWF230" s="21"/>
      <c r="OWG230" s="15"/>
      <c r="OWH230" s="15"/>
      <c r="OWI230" s="15"/>
      <c r="OWJ230" s="15"/>
      <c r="OWK230" s="15"/>
      <c r="OWL230" s="15"/>
      <c r="OWM230" s="15"/>
      <c r="OWN230" s="15"/>
      <c r="OWO230" s="15"/>
      <c r="OWP230" s="15"/>
      <c r="OWQ230" s="10"/>
      <c r="OWR230" s="10"/>
      <c r="OWS230" s="21"/>
      <c r="OWT230" s="21"/>
      <c r="OWW230" s="21"/>
      <c r="OWX230" s="15"/>
      <c r="OWY230" s="15"/>
      <c r="OWZ230" s="15"/>
      <c r="OXA230" s="15"/>
      <c r="OXB230" s="15"/>
      <c r="OXC230" s="15"/>
      <c r="OXD230" s="15"/>
      <c r="OXE230" s="15"/>
      <c r="OXF230" s="15"/>
      <c r="OXG230" s="15"/>
      <c r="OXH230" s="10"/>
      <c r="OXI230" s="10"/>
      <c r="OXJ230" s="21"/>
      <c r="OXK230" s="21"/>
      <c r="OXN230" s="21"/>
      <c r="OXO230" s="15"/>
      <c r="OXP230" s="15"/>
      <c r="OXQ230" s="15"/>
      <c r="OXR230" s="15"/>
      <c r="OXS230" s="15"/>
      <c r="OXT230" s="15"/>
      <c r="OXU230" s="15"/>
      <c r="OXV230" s="15"/>
      <c r="OXW230" s="15"/>
      <c r="OXX230" s="15"/>
      <c r="OXY230" s="10"/>
      <c r="OXZ230" s="10"/>
      <c r="OYA230" s="21"/>
      <c r="OYB230" s="21"/>
      <c r="OYE230" s="21"/>
      <c r="OYF230" s="15"/>
      <c r="OYG230" s="15"/>
      <c r="OYH230" s="15"/>
      <c r="OYI230" s="15"/>
      <c r="OYJ230" s="15"/>
      <c r="OYK230" s="15"/>
      <c r="OYL230" s="15"/>
      <c r="OYM230" s="15"/>
      <c r="OYN230" s="15"/>
      <c r="OYO230" s="15"/>
      <c r="OYP230" s="10"/>
      <c r="OYQ230" s="10"/>
      <c r="OYR230" s="21"/>
      <c r="OYS230" s="21"/>
      <c r="OYV230" s="21"/>
      <c r="OYW230" s="15"/>
      <c r="OYX230" s="15"/>
      <c r="OYY230" s="15"/>
      <c r="OYZ230" s="15"/>
      <c r="OZA230" s="15"/>
      <c r="OZB230" s="15"/>
      <c r="OZC230" s="15"/>
      <c r="OZD230" s="15"/>
      <c r="OZE230" s="15"/>
      <c r="OZF230" s="15"/>
      <c r="OZG230" s="10"/>
      <c r="OZH230" s="10"/>
      <c r="OZI230" s="21"/>
      <c r="OZJ230" s="21"/>
      <c r="OZM230" s="21"/>
      <c r="OZN230" s="15"/>
      <c r="OZO230" s="15"/>
      <c r="OZP230" s="15"/>
      <c r="OZQ230" s="15"/>
      <c r="OZR230" s="15"/>
      <c r="OZS230" s="15"/>
      <c r="OZT230" s="15"/>
      <c r="OZU230" s="15"/>
      <c r="OZV230" s="15"/>
      <c r="OZW230" s="15"/>
      <c r="OZX230" s="10"/>
      <c r="OZY230" s="10"/>
      <c r="OZZ230" s="21"/>
      <c r="PAA230" s="21"/>
      <c r="PAD230" s="21"/>
      <c r="PAE230" s="15"/>
      <c r="PAF230" s="15"/>
      <c r="PAG230" s="15"/>
      <c r="PAH230" s="15"/>
      <c r="PAI230" s="15"/>
      <c r="PAJ230" s="15"/>
      <c r="PAK230" s="15"/>
      <c r="PAL230" s="15"/>
      <c r="PAM230" s="15"/>
      <c r="PAN230" s="15"/>
      <c r="PAO230" s="10"/>
      <c r="PAP230" s="10"/>
      <c r="PAQ230" s="21"/>
      <c r="PAR230" s="21"/>
      <c r="PAU230" s="21"/>
      <c r="PAV230" s="15"/>
      <c r="PAW230" s="15"/>
      <c r="PAX230" s="15"/>
      <c r="PAY230" s="15"/>
      <c r="PAZ230" s="15"/>
      <c r="PBA230" s="15"/>
      <c r="PBB230" s="15"/>
      <c r="PBC230" s="15"/>
      <c r="PBD230" s="15"/>
      <c r="PBE230" s="15"/>
      <c r="PBF230" s="10"/>
      <c r="PBG230" s="10"/>
      <c r="PBH230" s="21"/>
      <c r="PBI230" s="21"/>
      <c r="PBL230" s="21"/>
      <c r="PBM230" s="15"/>
      <c r="PBN230" s="15"/>
      <c r="PBO230" s="15"/>
      <c r="PBP230" s="15"/>
      <c r="PBQ230" s="15"/>
      <c r="PBR230" s="15"/>
      <c r="PBS230" s="15"/>
      <c r="PBT230" s="15"/>
      <c r="PBU230" s="15"/>
      <c r="PBV230" s="15"/>
      <c r="PBW230" s="10"/>
      <c r="PBX230" s="10"/>
      <c r="PBY230" s="21"/>
      <c r="PBZ230" s="21"/>
      <c r="PCC230" s="21"/>
      <c r="PCD230" s="15"/>
      <c r="PCE230" s="15"/>
      <c r="PCF230" s="15"/>
      <c r="PCG230" s="15"/>
      <c r="PCH230" s="15"/>
      <c r="PCI230" s="15"/>
      <c r="PCJ230" s="15"/>
      <c r="PCK230" s="15"/>
      <c r="PCL230" s="15"/>
      <c r="PCM230" s="15"/>
      <c r="PCN230" s="10"/>
      <c r="PCO230" s="10"/>
      <c r="PCP230" s="21"/>
      <c r="PCQ230" s="21"/>
      <c r="PCT230" s="21"/>
      <c r="PCU230" s="15"/>
      <c r="PCV230" s="15"/>
      <c r="PCW230" s="15"/>
      <c r="PCX230" s="15"/>
      <c r="PCY230" s="15"/>
      <c r="PCZ230" s="15"/>
      <c r="PDA230" s="15"/>
      <c r="PDB230" s="15"/>
      <c r="PDC230" s="15"/>
      <c r="PDD230" s="15"/>
      <c r="PDE230" s="10"/>
      <c r="PDF230" s="10"/>
      <c r="PDG230" s="21"/>
      <c r="PDH230" s="21"/>
      <c r="PDK230" s="21"/>
      <c r="PDL230" s="15"/>
      <c r="PDM230" s="15"/>
      <c r="PDN230" s="15"/>
      <c r="PDO230" s="15"/>
      <c r="PDP230" s="15"/>
      <c r="PDQ230" s="15"/>
      <c r="PDR230" s="15"/>
      <c r="PDS230" s="15"/>
      <c r="PDT230" s="15"/>
      <c r="PDU230" s="15"/>
      <c r="PDV230" s="10"/>
      <c r="PDW230" s="10"/>
      <c r="PDX230" s="21"/>
      <c r="PDY230" s="21"/>
      <c r="PEB230" s="21"/>
      <c r="PEC230" s="15"/>
      <c r="PED230" s="15"/>
      <c r="PEE230" s="15"/>
      <c r="PEF230" s="15"/>
      <c r="PEG230" s="15"/>
      <c r="PEH230" s="15"/>
      <c r="PEI230" s="15"/>
      <c r="PEJ230" s="15"/>
      <c r="PEK230" s="15"/>
      <c r="PEL230" s="15"/>
      <c r="PEM230" s="10"/>
      <c r="PEN230" s="10"/>
      <c r="PEO230" s="21"/>
      <c r="PEP230" s="21"/>
      <c r="PES230" s="21"/>
      <c r="PET230" s="15"/>
      <c r="PEU230" s="15"/>
      <c r="PEV230" s="15"/>
      <c r="PEW230" s="15"/>
      <c r="PEX230" s="15"/>
      <c r="PEY230" s="15"/>
      <c r="PEZ230" s="15"/>
      <c r="PFA230" s="15"/>
      <c r="PFB230" s="15"/>
      <c r="PFC230" s="15"/>
      <c r="PFD230" s="10"/>
      <c r="PFE230" s="10"/>
      <c r="PFF230" s="21"/>
      <c r="PFG230" s="21"/>
      <c r="PFJ230" s="21"/>
      <c r="PFK230" s="15"/>
      <c r="PFL230" s="15"/>
      <c r="PFM230" s="15"/>
      <c r="PFN230" s="15"/>
      <c r="PFO230" s="15"/>
      <c r="PFP230" s="15"/>
      <c r="PFQ230" s="15"/>
      <c r="PFR230" s="15"/>
      <c r="PFS230" s="15"/>
      <c r="PFT230" s="15"/>
      <c r="PFU230" s="10"/>
      <c r="PFV230" s="10"/>
      <c r="PFW230" s="21"/>
      <c r="PFX230" s="21"/>
      <c r="PGA230" s="21"/>
      <c r="PGB230" s="15"/>
      <c r="PGC230" s="15"/>
      <c r="PGD230" s="15"/>
      <c r="PGE230" s="15"/>
      <c r="PGF230" s="15"/>
      <c r="PGG230" s="15"/>
      <c r="PGH230" s="15"/>
      <c r="PGI230" s="15"/>
      <c r="PGJ230" s="15"/>
      <c r="PGK230" s="15"/>
      <c r="PGL230" s="10"/>
      <c r="PGM230" s="10"/>
      <c r="PGN230" s="21"/>
      <c r="PGO230" s="21"/>
      <c r="PGR230" s="21"/>
      <c r="PGS230" s="15"/>
      <c r="PGT230" s="15"/>
      <c r="PGU230" s="15"/>
      <c r="PGV230" s="15"/>
      <c r="PGW230" s="15"/>
      <c r="PGX230" s="15"/>
      <c r="PGY230" s="15"/>
      <c r="PGZ230" s="15"/>
      <c r="PHA230" s="15"/>
      <c r="PHB230" s="15"/>
      <c r="PHC230" s="10"/>
      <c r="PHD230" s="10"/>
      <c r="PHE230" s="21"/>
      <c r="PHF230" s="21"/>
      <c r="PHI230" s="21"/>
      <c r="PHJ230" s="15"/>
      <c r="PHK230" s="15"/>
      <c r="PHL230" s="15"/>
      <c r="PHM230" s="15"/>
      <c r="PHN230" s="15"/>
      <c r="PHO230" s="15"/>
      <c r="PHP230" s="15"/>
      <c r="PHQ230" s="15"/>
      <c r="PHR230" s="15"/>
      <c r="PHS230" s="15"/>
      <c r="PHT230" s="10"/>
      <c r="PHU230" s="10"/>
      <c r="PHV230" s="21"/>
      <c r="PHW230" s="21"/>
      <c r="PHZ230" s="21"/>
      <c r="PIA230" s="15"/>
      <c r="PIB230" s="15"/>
      <c r="PIC230" s="15"/>
      <c r="PID230" s="15"/>
      <c r="PIE230" s="15"/>
      <c r="PIF230" s="15"/>
      <c r="PIG230" s="15"/>
      <c r="PIH230" s="15"/>
      <c r="PII230" s="15"/>
      <c r="PIJ230" s="15"/>
      <c r="PIK230" s="10"/>
      <c r="PIL230" s="10"/>
      <c r="PIM230" s="21"/>
      <c r="PIN230" s="21"/>
      <c r="PIQ230" s="21"/>
      <c r="PIR230" s="15"/>
      <c r="PIS230" s="15"/>
      <c r="PIT230" s="15"/>
      <c r="PIU230" s="15"/>
      <c r="PIV230" s="15"/>
      <c r="PIW230" s="15"/>
      <c r="PIX230" s="15"/>
      <c r="PIY230" s="15"/>
      <c r="PIZ230" s="15"/>
      <c r="PJA230" s="15"/>
      <c r="PJB230" s="10"/>
      <c r="PJC230" s="10"/>
      <c r="PJD230" s="21"/>
      <c r="PJE230" s="21"/>
      <c r="PJH230" s="21"/>
      <c r="PJI230" s="15"/>
      <c r="PJJ230" s="15"/>
      <c r="PJK230" s="15"/>
      <c r="PJL230" s="15"/>
      <c r="PJM230" s="15"/>
      <c r="PJN230" s="15"/>
      <c r="PJO230" s="15"/>
      <c r="PJP230" s="15"/>
      <c r="PJQ230" s="15"/>
      <c r="PJR230" s="15"/>
      <c r="PJS230" s="10"/>
      <c r="PJT230" s="10"/>
      <c r="PJU230" s="21"/>
      <c r="PJV230" s="21"/>
      <c r="PJY230" s="21"/>
      <c r="PJZ230" s="15"/>
      <c r="PKA230" s="15"/>
      <c r="PKB230" s="15"/>
      <c r="PKC230" s="15"/>
      <c r="PKD230" s="15"/>
      <c r="PKE230" s="15"/>
      <c r="PKF230" s="15"/>
      <c r="PKG230" s="15"/>
      <c r="PKH230" s="15"/>
      <c r="PKI230" s="15"/>
      <c r="PKJ230" s="10"/>
      <c r="PKK230" s="10"/>
      <c r="PKL230" s="21"/>
      <c r="PKM230" s="21"/>
      <c r="PKP230" s="21"/>
      <c r="PKQ230" s="15"/>
      <c r="PKR230" s="15"/>
      <c r="PKS230" s="15"/>
      <c r="PKT230" s="15"/>
      <c r="PKU230" s="15"/>
      <c r="PKV230" s="15"/>
      <c r="PKW230" s="15"/>
      <c r="PKX230" s="15"/>
      <c r="PKY230" s="15"/>
      <c r="PKZ230" s="15"/>
      <c r="PLA230" s="10"/>
      <c r="PLB230" s="10"/>
      <c r="PLC230" s="21"/>
      <c r="PLD230" s="21"/>
      <c r="PLG230" s="21"/>
      <c r="PLH230" s="15"/>
      <c r="PLI230" s="15"/>
      <c r="PLJ230" s="15"/>
      <c r="PLK230" s="15"/>
      <c r="PLL230" s="15"/>
      <c r="PLM230" s="15"/>
      <c r="PLN230" s="15"/>
      <c r="PLO230" s="15"/>
      <c r="PLP230" s="15"/>
      <c r="PLQ230" s="15"/>
      <c r="PLR230" s="10"/>
      <c r="PLS230" s="10"/>
      <c r="PLT230" s="21"/>
      <c r="PLU230" s="21"/>
      <c r="PLX230" s="21"/>
      <c r="PLY230" s="15"/>
      <c r="PLZ230" s="15"/>
      <c r="PMA230" s="15"/>
      <c r="PMB230" s="15"/>
      <c r="PMC230" s="15"/>
      <c r="PMD230" s="15"/>
      <c r="PME230" s="15"/>
      <c r="PMF230" s="15"/>
      <c r="PMG230" s="15"/>
      <c r="PMH230" s="15"/>
      <c r="PMI230" s="10"/>
      <c r="PMJ230" s="10"/>
      <c r="PMK230" s="21"/>
      <c r="PML230" s="21"/>
      <c r="PMO230" s="21"/>
      <c r="PMP230" s="15"/>
      <c r="PMQ230" s="15"/>
      <c r="PMR230" s="15"/>
      <c r="PMS230" s="15"/>
      <c r="PMT230" s="15"/>
      <c r="PMU230" s="15"/>
      <c r="PMV230" s="15"/>
      <c r="PMW230" s="15"/>
      <c r="PMX230" s="15"/>
      <c r="PMY230" s="15"/>
      <c r="PMZ230" s="10"/>
      <c r="PNA230" s="10"/>
      <c r="PNB230" s="21"/>
      <c r="PNC230" s="21"/>
      <c r="PNF230" s="21"/>
      <c r="PNG230" s="15"/>
      <c r="PNH230" s="15"/>
      <c r="PNI230" s="15"/>
      <c r="PNJ230" s="15"/>
      <c r="PNK230" s="15"/>
      <c r="PNL230" s="15"/>
      <c r="PNM230" s="15"/>
      <c r="PNN230" s="15"/>
      <c r="PNO230" s="15"/>
      <c r="PNP230" s="15"/>
      <c r="PNQ230" s="10"/>
      <c r="PNR230" s="10"/>
      <c r="PNS230" s="21"/>
      <c r="PNT230" s="21"/>
      <c r="PNW230" s="21"/>
      <c r="PNX230" s="15"/>
      <c r="PNY230" s="15"/>
      <c r="PNZ230" s="15"/>
      <c r="POA230" s="15"/>
      <c r="POB230" s="15"/>
      <c r="POC230" s="15"/>
      <c r="POD230" s="15"/>
      <c r="POE230" s="15"/>
      <c r="POF230" s="15"/>
      <c r="POG230" s="15"/>
      <c r="POH230" s="10"/>
      <c r="POI230" s="10"/>
      <c r="POJ230" s="21"/>
      <c r="POK230" s="21"/>
      <c r="PON230" s="21"/>
      <c r="POO230" s="15"/>
      <c r="POP230" s="15"/>
      <c r="POQ230" s="15"/>
      <c r="POR230" s="15"/>
      <c r="POS230" s="15"/>
      <c r="POT230" s="15"/>
      <c r="POU230" s="15"/>
      <c r="POV230" s="15"/>
      <c r="POW230" s="15"/>
      <c r="POX230" s="15"/>
      <c r="POY230" s="10"/>
      <c r="POZ230" s="10"/>
      <c r="PPA230" s="21"/>
      <c r="PPB230" s="21"/>
      <c r="PPE230" s="21"/>
      <c r="PPF230" s="15"/>
      <c r="PPG230" s="15"/>
      <c r="PPH230" s="15"/>
      <c r="PPI230" s="15"/>
      <c r="PPJ230" s="15"/>
      <c r="PPK230" s="15"/>
      <c r="PPL230" s="15"/>
      <c r="PPM230" s="15"/>
      <c r="PPN230" s="15"/>
      <c r="PPO230" s="15"/>
      <c r="PPP230" s="10"/>
      <c r="PPQ230" s="10"/>
      <c r="PPR230" s="21"/>
      <c r="PPS230" s="21"/>
      <c r="PPV230" s="21"/>
      <c r="PPW230" s="15"/>
      <c r="PPX230" s="15"/>
      <c r="PPY230" s="15"/>
      <c r="PPZ230" s="15"/>
      <c r="PQA230" s="15"/>
      <c r="PQB230" s="15"/>
      <c r="PQC230" s="15"/>
      <c r="PQD230" s="15"/>
      <c r="PQE230" s="15"/>
      <c r="PQF230" s="15"/>
      <c r="PQG230" s="10"/>
      <c r="PQH230" s="10"/>
      <c r="PQI230" s="21"/>
      <c r="PQJ230" s="21"/>
      <c r="PQM230" s="21"/>
      <c r="PQN230" s="15"/>
      <c r="PQO230" s="15"/>
      <c r="PQP230" s="15"/>
      <c r="PQQ230" s="15"/>
      <c r="PQR230" s="15"/>
      <c r="PQS230" s="15"/>
      <c r="PQT230" s="15"/>
      <c r="PQU230" s="15"/>
      <c r="PQV230" s="15"/>
      <c r="PQW230" s="15"/>
      <c r="PQX230" s="10"/>
      <c r="PQY230" s="10"/>
      <c r="PQZ230" s="21"/>
      <c r="PRA230" s="21"/>
      <c r="PRD230" s="21"/>
      <c r="PRE230" s="15"/>
      <c r="PRF230" s="15"/>
      <c r="PRG230" s="15"/>
      <c r="PRH230" s="15"/>
      <c r="PRI230" s="15"/>
      <c r="PRJ230" s="15"/>
      <c r="PRK230" s="15"/>
      <c r="PRL230" s="15"/>
      <c r="PRM230" s="15"/>
      <c r="PRN230" s="15"/>
      <c r="PRO230" s="10"/>
      <c r="PRP230" s="10"/>
      <c r="PRQ230" s="21"/>
      <c r="PRR230" s="21"/>
      <c r="PRU230" s="21"/>
      <c r="PRV230" s="15"/>
      <c r="PRW230" s="15"/>
      <c r="PRX230" s="15"/>
      <c r="PRY230" s="15"/>
      <c r="PRZ230" s="15"/>
      <c r="PSA230" s="15"/>
      <c r="PSB230" s="15"/>
      <c r="PSC230" s="15"/>
      <c r="PSD230" s="15"/>
      <c r="PSE230" s="15"/>
      <c r="PSF230" s="10"/>
      <c r="PSG230" s="10"/>
      <c r="PSH230" s="21"/>
      <c r="PSI230" s="21"/>
      <c r="PSL230" s="21"/>
      <c r="PSM230" s="15"/>
      <c r="PSN230" s="15"/>
      <c r="PSO230" s="15"/>
      <c r="PSP230" s="15"/>
      <c r="PSQ230" s="15"/>
      <c r="PSR230" s="15"/>
      <c r="PSS230" s="15"/>
      <c r="PST230" s="15"/>
      <c r="PSU230" s="15"/>
      <c r="PSV230" s="15"/>
      <c r="PSW230" s="10"/>
      <c r="PSX230" s="10"/>
      <c r="PSY230" s="21"/>
      <c r="PSZ230" s="21"/>
      <c r="PTC230" s="21"/>
      <c r="PTD230" s="15"/>
      <c r="PTE230" s="15"/>
      <c r="PTF230" s="15"/>
      <c r="PTG230" s="15"/>
      <c r="PTH230" s="15"/>
      <c r="PTI230" s="15"/>
      <c r="PTJ230" s="15"/>
      <c r="PTK230" s="15"/>
      <c r="PTL230" s="15"/>
      <c r="PTM230" s="15"/>
      <c r="PTN230" s="10"/>
      <c r="PTO230" s="10"/>
      <c r="PTP230" s="21"/>
      <c r="PTQ230" s="21"/>
      <c r="PTT230" s="21"/>
      <c r="PTU230" s="15"/>
      <c r="PTV230" s="15"/>
      <c r="PTW230" s="15"/>
      <c r="PTX230" s="15"/>
      <c r="PTY230" s="15"/>
      <c r="PTZ230" s="15"/>
      <c r="PUA230" s="15"/>
      <c r="PUB230" s="15"/>
      <c r="PUC230" s="15"/>
      <c r="PUD230" s="15"/>
      <c r="PUE230" s="10"/>
      <c r="PUF230" s="10"/>
      <c r="PUG230" s="21"/>
      <c r="PUH230" s="21"/>
      <c r="PUK230" s="21"/>
      <c r="PUL230" s="15"/>
      <c r="PUM230" s="15"/>
      <c r="PUN230" s="15"/>
      <c r="PUO230" s="15"/>
      <c r="PUP230" s="15"/>
      <c r="PUQ230" s="15"/>
      <c r="PUR230" s="15"/>
      <c r="PUS230" s="15"/>
      <c r="PUT230" s="15"/>
      <c r="PUU230" s="15"/>
      <c r="PUV230" s="10"/>
      <c r="PUW230" s="10"/>
      <c r="PUX230" s="21"/>
      <c r="PUY230" s="21"/>
      <c r="PVB230" s="21"/>
      <c r="PVC230" s="15"/>
      <c r="PVD230" s="15"/>
      <c r="PVE230" s="15"/>
      <c r="PVF230" s="15"/>
      <c r="PVG230" s="15"/>
      <c r="PVH230" s="15"/>
      <c r="PVI230" s="15"/>
      <c r="PVJ230" s="15"/>
      <c r="PVK230" s="15"/>
      <c r="PVL230" s="15"/>
      <c r="PVM230" s="10"/>
      <c r="PVN230" s="10"/>
      <c r="PVO230" s="21"/>
      <c r="PVP230" s="21"/>
      <c r="PVS230" s="21"/>
      <c r="PVT230" s="15"/>
      <c r="PVU230" s="15"/>
      <c r="PVV230" s="15"/>
      <c r="PVW230" s="15"/>
      <c r="PVX230" s="15"/>
      <c r="PVY230" s="15"/>
      <c r="PVZ230" s="15"/>
      <c r="PWA230" s="15"/>
      <c r="PWB230" s="15"/>
      <c r="PWC230" s="15"/>
      <c r="PWD230" s="10"/>
      <c r="PWE230" s="10"/>
      <c r="PWF230" s="21"/>
      <c r="PWG230" s="21"/>
      <c r="PWJ230" s="21"/>
      <c r="PWK230" s="15"/>
      <c r="PWL230" s="15"/>
      <c r="PWM230" s="15"/>
      <c r="PWN230" s="15"/>
      <c r="PWO230" s="15"/>
      <c r="PWP230" s="15"/>
      <c r="PWQ230" s="15"/>
      <c r="PWR230" s="15"/>
      <c r="PWS230" s="15"/>
      <c r="PWT230" s="15"/>
      <c r="PWU230" s="10"/>
      <c r="PWV230" s="10"/>
      <c r="PWW230" s="21"/>
      <c r="PWX230" s="21"/>
      <c r="PXA230" s="21"/>
      <c r="PXB230" s="15"/>
      <c r="PXC230" s="15"/>
      <c r="PXD230" s="15"/>
      <c r="PXE230" s="15"/>
      <c r="PXF230" s="15"/>
      <c r="PXG230" s="15"/>
      <c r="PXH230" s="15"/>
      <c r="PXI230" s="15"/>
      <c r="PXJ230" s="15"/>
      <c r="PXK230" s="15"/>
      <c r="PXL230" s="10"/>
      <c r="PXM230" s="10"/>
      <c r="PXN230" s="21"/>
      <c r="PXO230" s="21"/>
      <c r="PXR230" s="21"/>
      <c r="PXS230" s="15"/>
      <c r="PXT230" s="15"/>
      <c r="PXU230" s="15"/>
      <c r="PXV230" s="15"/>
      <c r="PXW230" s="15"/>
      <c r="PXX230" s="15"/>
      <c r="PXY230" s="15"/>
      <c r="PXZ230" s="15"/>
      <c r="PYA230" s="15"/>
      <c r="PYB230" s="15"/>
      <c r="PYC230" s="10"/>
      <c r="PYD230" s="10"/>
      <c r="PYE230" s="21"/>
      <c r="PYF230" s="21"/>
      <c r="PYI230" s="21"/>
      <c r="PYJ230" s="15"/>
      <c r="PYK230" s="15"/>
      <c r="PYL230" s="15"/>
      <c r="PYM230" s="15"/>
      <c r="PYN230" s="15"/>
      <c r="PYO230" s="15"/>
      <c r="PYP230" s="15"/>
      <c r="PYQ230" s="15"/>
      <c r="PYR230" s="15"/>
      <c r="PYS230" s="15"/>
      <c r="PYT230" s="10"/>
      <c r="PYU230" s="10"/>
      <c r="PYV230" s="21"/>
      <c r="PYW230" s="21"/>
      <c r="PYZ230" s="21"/>
      <c r="PZA230" s="15"/>
      <c r="PZB230" s="15"/>
      <c r="PZC230" s="15"/>
      <c r="PZD230" s="15"/>
      <c r="PZE230" s="15"/>
      <c r="PZF230" s="15"/>
      <c r="PZG230" s="15"/>
      <c r="PZH230" s="15"/>
      <c r="PZI230" s="15"/>
      <c r="PZJ230" s="15"/>
      <c r="PZK230" s="10"/>
      <c r="PZL230" s="10"/>
      <c r="PZM230" s="21"/>
      <c r="PZN230" s="21"/>
      <c r="PZQ230" s="21"/>
      <c r="PZR230" s="15"/>
      <c r="PZS230" s="15"/>
      <c r="PZT230" s="15"/>
      <c r="PZU230" s="15"/>
      <c r="PZV230" s="15"/>
      <c r="PZW230" s="15"/>
      <c r="PZX230" s="15"/>
      <c r="PZY230" s="15"/>
      <c r="PZZ230" s="15"/>
      <c r="QAA230" s="15"/>
      <c r="QAB230" s="10"/>
      <c r="QAC230" s="10"/>
      <c r="QAD230" s="21"/>
      <c r="QAE230" s="21"/>
      <c r="QAH230" s="21"/>
      <c r="QAI230" s="15"/>
      <c r="QAJ230" s="15"/>
      <c r="QAK230" s="15"/>
      <c r="QAL230" s="15"/>
      <c r="QAM230" s="15"/>
      <c r="QAN230" s="15"/>
      <c r="QAO230" s="15"/>
      <c r="QAP230" s="15"/>
      <c r="QAQ230" s="15"/>
      <c r="QAR230" s="15"/>
      <c r="QAS230" s="10"/>
      <c r="QAT230" s="10"/>
      <c r="QAU230" s="21"/>
      <c r="QAV230" s="21"/>
      <c r="QAY230" s="21"/>
      <c r="QAZ230" s="15"/>
      <c r="QBA230" s="15"/>
      <c r="QBB230" s="15"/>
      <c r="QBC230" s="15"/>
      <c r="QBD230" s="15"/>
      <c r="QBE230" s="15"/>
      <c r="QBF230" s="15"/>
      <c r="QBG230" s="15"/>
      <c r="QBH230" s="15"/>
      <c r="QBI230" s="15"/>
      <c r="QBJ230" s="10"/>
      <c r="QBK230" s="10"/>
      <c r="QBL230" s="21"/>
      <c r="QBM230" s="21"/>
      <c r="QBP230" s="21"/>
      <c r="QBQ230" s="15"/>
      <c r="QBR230" s="15"/>
      <c r="QBS230" s="15"/>
      <c r="QBT230" s="15"/>
      <c r="QBU230" s="15"/>
      <c r="QBV230" s="15"/>
      <c r="QBW230" s="15"/>
      <c r="QBX230" s="15"/>
      <c r="QBY230" s="15"/>
      <c r="QBZ230" s="15"/>
      <c r="QCA230" s="10"/>
      <c r="QCB230" s="10"/>
      <c r="QCC230" s="21"/>
      <c r="QCD230" s="21"/>
      <c r="QCG230" s="21"/>
      <c r="QCH230" s="15"/>
      <c r="QCI230" s="15"/>
      <c r="QCJ230" s="15"/>
      <c r="QCK230" s="15"/>
      <c r="QCL230" s="15"/>
      <c r="QCM230" s="15"/>
      <c r="QCN230" s="15"/>
      <c r="QCO230" s="15"/>
      <c r="QCP230" s="15"/>
      <c r="QCQ230" s="15"/>
      <c r="QCR230" s="10"/>
      <c r="QCS230" s="10"/>
      <c r="QCT230" s="21"/>
      <c r="QCU230" s="21"/>
      <c r="QCX230" s="21"/>
      <c r="QCY230" s="15"/>
      <c r="QCZ230" s="15"/>
      <c r="QDA230" s="15"/>
      <c r="QDB230" s="15"/>
      <c r="QDC230" s="15"/>
      <c r="QDD230" s="15"/>
      <c r="QDE230" s="15"/>
      <c r="QDF230" s="15"/>
      <c r="QDG230" s="15"/>
      <c r="QDH230" s="15"/>
      <c r="QDI230" s="10"/>
      <c r="QDJ230" s="10"/>
      <c r="QDK230" s="21"/>
      <c r="QDL230" s="21"/>
      <c r="QDO230" s="21"/>
      <c r="QDP230" s="15"/>
      <c r="QDQ230" s="15"/>
      <c r="QDR230" s="15"/>
      <c r="QDS230" s="15"/>
      <c r="QDT230" s="15"/>
      <c r="QDU230" s="15"/>
      <c r="QDV230" s="15"/>
      <c r="QDW230" s="15"/>
      <c r="QDX230" s="15"/>
      <c r="QDY230" s="15"/>
      <c r="QDZ230" s="10"/>
      <c r="QEA230" s="10"/>
      <c r="QEB230" s="21"/>
      <c r="QEC230" s="21"/>
      <c r="QEF230" s="21"/>
      <c r="QEG230" s="15"/>
      <c r="QEH230" s="15"/>
      <c r="QEI230" s="15"/>
      <c r="QEJ230" s="15"/>
      <c r="QEK230" s="15"/>
      <c r="QEL230" s="15"/>
      <c r="QEM230" s="15"/>
      <c r="QEN230" s="15"/>
      <c r="QEO230" s="15"/>
      <c r="QEP230" s="15"/>
      <c r="QEQ230" s="10"/>
      <c r="QER230" s="10"/>
      <c r="QES230" s="21"/>
      <c r="QET230" s="21"/>
      <c r="QEW230" s="21"/>
      <c r="QEX230" s="15"/>
      <c r="QEY230" s="15"/>
      <c r="QEZ230" s="15"/>
      <c r="QFA230" s="15"/>
      <c r="QFB230" s="15"/>
      <c r="QFC230" s="15"/>
      <c r="QFD230" s="15"/>
      <c r="QFE230" s="15"/>
      <c r="QFF230" s="15"/>
      <c r="QFG230" s="15"/>
      <c r="QFH230" s="10"/>
      <c r="QFI230" s="10"/>
      <c r="QFJ230" s="21"/>
      <c r="QFK230" s="21"/>
      <c r="QFN230" s="21"/>
      <c r="QFO230" s="15"/>
      <c r="QFP230" s="15"/>
      <c r="QFQ230" s="15"/>
      <c r="QFR230" s="15"/>
      <c r="QFS230" s="15"/>
      <c r="QFT230" s="15"/>
      <c r="QFU230" s="15"/>
      <c r="QFV230" s="15"/>
      <c r="QFW230" s="15"/>
      <c r="QFX230" s="15"/>
      <c r="QFY230" s="10"/>
      <c r="QFZ230" s="10"/>
      <c r="QGA230" s="21"/>
      <c r="QGB230" s="21"/>
      <c r="QGE230" s="21"/>
      <c r="QGF230" s="15"/>
      <c r="QGG230" s="15"/>
      <c r="QGH230" s="15"/>
      <c r="QGI230" s="15"/>
      <c r="QGJ230" s="15"/>
      <c r="QGK230" s="15"/>
      <c r="QGL230" s="15"/>
      <c r="QGM230" s="15"/>
      <c r="QGN230" s="15"/>
      <c r="QGO230" s="15"/>
      <c r="QGP230" s="10"/>
      <c r="QGQ230" s="10"/>
      <c r="QGR230" s="21"/>
      <c r="QGS230" s="21"/>
      <c r="QGV230" s="21"/>
      <c r="QGW230" s="15"/>
      <c r="QGX230" s="15"/>
      <c r="QGY230" s="15"/>
      <c r="QGZ230" s="15"/>
      <c r="QHA230" s="15"/>
      <c r="QHB230" s="15"/>
      <c r="QHC230" s="15"/>
      <c r="QHD230" s="15"/>
      <c r="QHE230" s="15"/>
      <c r="QHF230" s="15"/>
      <c r="QHG230" s="10"/>
      <c r="QHH230" s="10"/>
      <c r="QHI230" s="21"/>
      <c r="QHJ230" s="21"/>
      <c r="QHM230" s="21"/>
      <c r="QHN230" s="15"/>
      <c r="QHO230" s="15"/>
      <c r="QHP230" s="15"/>
      <c r="QHQ230" s="15"/>
      <c r="QHR230" s="15"/>
      <c r="QHS230" s="15"/>
      <c r="QHT230" s="15"/>
      <c r="QHU230" s="15"/>
      <c r="QHV230" s="15"/>
      <c r="QHW230" s="15"/>
      <c r="QHX230" s="10"/>
      <c r="QHY230" s="10"/>
      <c r="QHZ230" s="21"/>
      <c r="QIA230" s="21"/>
      <c r="QID230" s="21"/>
      <c r="QIE230" s="15"/>
      <c r="QIF230" s="15"/>
      <c r="QIG230" s="15"/>
      <c r="QIH230" s="15"/>
      <c r="QII230" s="15"/>
      <c r="QIJ230" s="15"/>
      <c r="QIK230" s="15"/>
      <c r="QIL230" s="15"/>
      <c r="QIM230" s="15"/>
      <c r="QIN230" s="15"/>
      <c r="QIO230" s="10"/>
      <c r="QIP230" s="10"/>
      <c r="QIQ230" s="21"/>
      <c r="QIR230" s="21"/>
      <c r="QIU230" s="21"/>
      <c r="QIV230" s="15"/>
      <c r="QIW230" s="15"/>
      <c r="QIX230" s="15"/>
      <c r="QIY230" s="15"/>
      <c r="QIZ230" s="15"/>
      <c r="QJA230" s="15"/>
      <c r="QJB230" s="15"/>
      <c r="QJC230" s="15"/>
      <c r="QJD230" s="15"/>
      <c r="QJE230" s="15"/>
      <c r="QJF230" s="10"/>
      <c r="QJG230" s="10"/>
      <c r="QJH230" s="21"/>
      <c r="QJI230" s="21"/>
      <c r="QJL230" s="21"/>
      <c r="QJM230" s="15"/>
      <c r="QJN230" s="15"/>
      <c r="QJO230" s="15"/>
      <c r="QJP230" s="15"/>
      <c r="QJQ230" s="15"/>
      <c r="QJR230" s="15"/>
      <c r="QJS230" s="15"/>
      <c r="QJT230" s="15"/>
      <c r="QJU230" s="15"/>
      <c r="QJV230" s="15"/>
      <c r="QJW230" s="10"/>
      <c r="QJX230" s="10"/>
      <c r="QJY230" s="21"/>
      <c r="QJZ230" s="21"/>
      <c r="QKC230" s="21"/>
      <c r="QKD230" s="15"/>
      <c r="QKE230" s="15"/>
      <c r="QKF230" s="15"/>
      <c r="QKG230" s="15"/>
      <c r="QKH230" s="15"/>
      <c r="QKI230" s="15"/>
      <c r="QKJ230" s="15"/>
      <c r="QKK230" s="15"/>
      <c r="QKL230" s="15"/>
      <c r="QKM230" s="15"/>
      <c r="QKN230" s="10"/>
      <c r="QKO230" s="10"/>
      <c r="QKP230" s="21"/>
      <c r="QKQ230" s="21"/>
      <c r="QKT230" s="21"/>
      <c r="QKU230" s="15"/>
      <c r="QKV230" s="15"/>
      <c r="QKW230" s="15"/>
      <c r="QKX230" s="15"/>
      <c r="QKY230" s="15"/>
      <c r="QKZ230" s="15"/>
      <c r="QLA230" s="15"/>
      <c r="QLB230" s="15"/>
      <c r="QLC230" s="15"/>
      <c r="QLD230" s="15"/>
      <c r="QLE230" s="10"/>
      <c r="QLF230" s="10"/>
      <c r="QLG230" s="21"/>
      <c r="QLH230" s="21"/>
      <c r="QLK230" s="21"/>
      <c r="QLL230" s="15"/>
      <c r="QLM230" s="15"/>
      <c r="QLN230" s="15"/>
      <c r="QLO230" s="15"/>
      <c r="QLP230" s="15"/>
      <c r="QLQ230" s="15"/>
      <c r="QLR230" s="15"/>
      <c r="QLS230" s="15"/>
      <c r="QLT230" s="15"/>
      <c r="QLU230" s="15"/>
      <c r="QLV230" s="10"/>
      <c r="QLW230" s="10"/>
      <c r="QLX230" s="21"/>
      <c r="QLY230" s="21"/>
      <c r="QMB230" s="21"/>
      <c r="QMC230" s="15"/>
      <c r="QMD230" s="15"/>
      <c r="QME230" s="15"/>
      <c r="QMF230" s="15"/>
      <c r="QMG230" s="15"/>
      <c r="QMH230" s="15"/>
      <c r="QMI230" s="15"/>
      <c r="QMJ230" s="15"/>
      <c r="QMK230" s="15"/>
      <c r="QML230" s="15"/>
      <c r="QMM230" s="10"/>
      <c r="QMN230" s="10"/>
      <c r="QMO230" s="21"/>
      <c r="QMP230" s="21"/>
      <c r="QMS230" s="21"/>
      <c r="QMT230" s="15"/>
      <c r="QMU230" s="15"/>
      <c r="QMV230" s="15"/>
      <c r="QMW230" s="15"/>
      <c r="QMX230" s="15"/>
      <c r="QMY230" s="15"/>
      <c r="QMZ230" s="15"/>
      <c r="QNA230" s="15"/>
      <c r="QNB230" s="15"/>
      <c r="QNC230" s="15"/>
      <c r="QND230" s="10"/>
      <c r="QNE230" s="10"/>
      <c r="QNF230" s="21"/>
      <c r="QNG230" s="21"/>
      <c r="QNJ230" s="21"/>
      <c r="QNK230" s="15"/>
      <c r="QNL230" s="15"/>
      <c r="QNM230" s="15"/>
      <c r="QNN230" s="15"/>
      <c r="QNO230" s="15"/>
      <c r="QNP230" s="15"/>
      <c r="QNQ230" s="15"/>
      <c r="QNR230" s="15"/>
      <c r="QNS230" s="15"/>
      <c r="QNT230" s="15"/>
      <c r="QNU230" s="10"/>
      <c r="QNV230" s="10"/>
      <c r="QNW230" s="21"/>
      <c r="QNX230" s="21"/>
      <c r="QOA230" s="21"/>
      <c r="QOB230" s="15"/>
      <c r="QOC230" s="15"/>
      <c r="QOD230" s="15"/>
      <c r="QOE230" s="15"/>
      <c r="QOF230" s="15"/>
      <c r="QOG230" s="15"/>
      <c r="QOH230" s="15"/>
      <c r="QOI230" s="15"/>
      <c r="QOJ230" s="15"/>
      <c r="QOK230" s="15"/>
      <c r="QOL230" s="10"/>
      <c r="QOM230" s="10"/>
      <c r="QON230" s="21"/>
      <c r="QOO230" s="21"/>
      <c r="QOR230" s="21"/>
      <c r="QOS230" s="15"/>
      <c r="QOT230" s="15"/>
      <c r="QOU230" s="15"/>
      <c r="QOV230" s="15"/>
      <c r="QOW230" s="15"/>
      <c r="QOX230" s="15"/>
      <c r="QOY230" s="15"/>
      <c r="QOZ230" s="15"/>
      <c r="QPA230" s="15"/>
      <c r="QPB230" s="15"/>
      <c r="QPC230" s="10"/>
      <c r="QPD230" s="10"/>
      <c r="QPE230" s="21"/>
      <c r="QPF230" s="21"/>
      <c r="QPI230" s="21"/>
      <c r="QPJ230" s="15"/>
      <c r="QPK230" s="15"/>
      <c r="QPL230" s="15"/>
      <c r="QPM230" s="15"/>
      <c r="QPN230" s="15"/>
      <c r="QPO230" s="15"/>
      <c r="QPP230" s="15"/>
      <c r="QPQ230" s="15"/>
      <c r="QPR230" s="15"/>
      <c r="QPS230" s="15"/>
      <c r="QPT230" s="10"/>
      <c r="QPU230" s="10"/>
      <c r="QPV230" s="21"/>
      <c r="QPW230" s="21"/>
      <c r="QPZ230" s="21"/>
      <c r="QQA230" s="15"/>
      <c r="QQB230" s="15"/>
      <c r="QQC230" s="15"/>
      <c r="QQD230" s="15"/>
      <c r="QQE230" s="15"/>
      <c r="QQF230" s="15"/>
      <c r="QQG230" s="15"/>
      <c r="QQH230" s="15"/>
      <c r="QQI230" s="15"/>
      <c r="QQJ230" s="15"/>
      <c r="QQK230" s="10"/>
      <c r="QQL230" s="10"/>
      <c r="QQM230" s="21"/>
      <c r="QQN230" s="21"/>
      <c r="QQQ230" s="21"/>
      <c r="QQR230" s="15"/>
      <c r="QQS230" s="15"/>
      <c r="QQT230" s="15"/>
      <c r="QQU230" s="15"/>
      <c r="QQV230" s="15"/>
      <c r="QQW230" s="15"/>
      <c r="QQX230" s="15"/>
      <c r="QQY230" s="15"/>
      <c r="QQZ230" s="15"/>
      <c r="QRA230" s="15"/>
      <c r="QRB230" s="10"/>
      <c r="QRC230" s="10"/>
      <c r="QRD230" s="21"/>
      <c r="QRE230" s="21"/>
      <c r="QRH230" s="21"/>
      <c r="QRI230" s="15"/>
      <c r="QRJ230" s="15"/>
      <c r="QRK230" s="15"/>
      <c r="QRL230" s="15"/>
      <c r="QRM230" s="15"/>
      <c r="QRN230" s="15"/>
      <c r="QRO230" s="15"/>
      <c r="QRP230" s="15"/>
      <c r="QRQ230" s="15"/>
      <c r="QRR230" s="15"/>
      <c r="QRS230" s="10"/>
      <c r="QRT230" s="10"/>
      <c r="QRU230" s="21"/>
      <c r="QRV230" s="21"/>
      <c r="QRY230" s="21"/>
      <c r="QRZ230" s="15"/>
      <c r="QSA230" s="15"/>
      <c r="QSB230" s="15"/>
      <c r="QSC230" s="15"/>
      <c r="QSD230" s="15"/>
      <c r="QSE230" s="15"/>
      <c r="QSF230" s="15"/>
      <c r="QSG230" s="15"/>
      <c r="QSH230" s="15"/>
      <c r="QSI230" s="15"/>
      <c r="QSJ230" s="10"/>
      <c r="QSK230" s="10"/>
      <c r="QSL230" s="21"/>
      <c r="QSM230" s="21"/>
      <c r="QSP230" s="21"/>
      <c r="QSQ230" s="15"/>
      <c r="QSR230" s="15"/>
      <c r="QSS230" s="15"/>
      <c r="QST230" s="15"/>
      <c r="QSU230" s="15"/>
      <c r="QSV230" s="15"/>
      <c r="QSW230" s="15"/>
      <c r="QSX230" s="15"/>
      <c r="QSY230" s="15"/>
      <c r="QSZ230" s="15"/>
      <c r="QTA230" s="10"/>
      <c r="QTB230" s="10"/>
      <c r="QTC230" s="21"/>
      <c r="QTD230" s="21"/>
      <c r="QTG230" s="21"/>
      <c r="QTH230" s="15"/>
      <c r="QTI230" s="15"/>
      <c r="QTJ230" s="15"/>
      <c r="QTK230" s="15"/>
      <c r="QTL230" s="15"/>
      <c r="QTM230" s="15"/>
      <c r="QTN230" s="15"/>
      <c r="QTO230" s="15"/>
      <c r="QTP230" s="15"/>
      <c r="QTQ230" s="15"/>
      <c r="QTR230" s="10"/>
      <c r="QTS230" s="10"/>
      <c r="QTT230" s="21"/>
      <c r="QTU230" s="21"/>
      <c r="QTX230" s="21"/>
      <c r="QTY230" s="15"/>
      <c r="QTZ230" s="15"/>
      <c r="QUA230" s="15"/>
      <c r="QUB230" s="15"/>
      <c r="QUC230" s="15"/>
      <c r="QUD230" s="15"/>
      <c r="QUE230" s="15"/>
      <c r="QUF230" s="15"/>
      <c r="QUG230" s="15"/>
      <c r="QUH230" s="15"/>
      <c r="QUI230" s="10"/>
      <c r="QUJ230" s="10"/>
      <c r="QUK230" s="21"/>
      <c r="QUL230" s="21"/>
      <c r="QUO230" s="21"/>
      <c r="QUP230" s="15"/>
      <c r="QUQ230" s="15"/>
      <c r="QUR230" s="15"/>
      <c r="QUS230" s="15"/>
      <c r="QUT230" s="15"/>
      <c r="QUU230" s="15"/>
      <c r="QUV230" s="15"/>
      <c r="QUW230" s="15"/>
      <c r="QUX230" s="15"/>
      <c r="QUY230" s="15"/>
      <c r="QUZ230" s="10"/>
      <c r="QVA230" s="10"/>
      <c r="QVB230" s="21"/>
      <c r="QVC230" s="21"/>
      <c r="QVF230" s="21"/>
      <c r="QVG230" s="15"/>
      <c r="QVH230" s="15"/>
      <c r="QVI230" s="15"/>
      <c r="QVJ230" s="15"/>
      <c r="QVK230" s="15"/>
      <c r="QVL230" s="15"/>
      <c r="QVM230" s="15"/>
      <c r="QVN230" s="15"/>
      <c r="QVO230" s="15"/>
      <c r="QVP230" s="15"/>
      <c r="QVQ230" s="10"/>
      <c r="QVR230" s="10"/>
      <c r="QVS230" s="21"/>
      <c r="QVT230" s="21"/>
      <c r="QVW230" s="21"/>
      <c r="QVX230" s="15"/>
      <c r="QVY230" s="15"/>
      <c r="QVZ230" s="15"/>
      <c r="QWA230" s="15"/>
      <c r="QWB230" s="15"/>
      <c r="QWC230" s="15"/>
      <c r="QWD230" s="15"/>
      <c r="QWE230" s="15"/>
      <c r="QWF230" s="15"/>
      <c r="QWG230" s="15"/>
      <c r="QWH230" s="10"/>
      <c r="QWI230" s="10"/>
      <c r="QWJ230" s="21"/>
      <c r="QWK230" s="21"/>
      <c r="QWN230" s="21"/>
      <c r="QWO230" s="15"/>
      <c r="QWP230" s="15"/>
      <c r="QWQ230" s="15"/>
      <c r="QWR230" s="15"/>
      <c r="QWS230" s="15"/>
      <c r="QWT230" s="15"/>
      <c r="QWU230" s="15"/>
      <c r="QWV230" s="15"/>
      <c r="QWW230" s="15"/>
      <c r="QWX230" s="15"/>
      <c r="QWY230" s="10"/>
      <c r="QWZ230" s="10"/>
      <c r="QXA230" s="21"/>
      <c r="QXB230" s="21"/>
      <c r="QXE230" s="21"/>
      <c r="QXF230" s="15"/>
      <c r="QXG230" s="15"/>
      <c r="QXH230" s="15"/>
      <c r="QXI230" s="15"/>
      <c r="QXJ230" s="15"/>
      <c r="QXK230" s="15"/>
      <c r="QXL230" s="15"/>
      <c r="QXM230" s="15"/>
      <c r="QXN230" s="15"/>
      <c r="QXO230" s="15"/>
      <c r="QXP230" s="10"/>
      <c r="QXQ230" s="10"/>
      <c r="QXR230" s="21"/>
      <c r="QXS230" s="21"/>
      <c r="QXV230" s="21"/>
      <c r="QXW230" s="15"/>
      <c r="QXX230" s="15"/>
      <c r="QXY230" s="15"/>
      <c r="QXZ230" s="15"/>
      <c r="QYA230" s="15"/>
      <c r="QYB230" s="15"/>
      <c r="QYC230" s="15"/>
      <c r="QYD230" s="15"/>
      <c r="QYE230" s="15"/>
      <c r="QYF230" s="15"/>
      <c r="QYG230" s="10"/>
      <c r="QYH230" s="10"/>
      <c r="QYI230" s="21"/>
      <c r="QYJ230" s="21"/>
      <c r="QYM230" s="21"/>
      <c r="QYN230" s="15"/>
      <c r="QYO230" s="15"/>
      <c r="QYP230" s="15"/>
      <c r="QYQ230" s="15"/>
      <c r="QYR230" s="15"/>
      <c r="QYS230" s="15"/>
      <c r="QYT230" s="15"/>
      <c r="QYU230" s="15"/>
      <c r="QYV230" s="15"/>
      <c r="QYW230" s="15"/>
      <c r="QYX230" s="10"/>
      <c r="QYY230" s="10"/>
      <c r="QYZ230" s="21"/>
      <c r="QZA230" s="21"/>
      <c r="QZD230" s="21"/>
      <c r="QZE230" s="15"/>
      <c r="QZF230" s="15"/>
      <c r="QZG230" s="15"/>
      <c r="QZH230" s="15"/>
      <c r="QZI230" s="15"/>
      <c r="QZJ230" s="15"/>
      <c r="QZK230" s="15"/>
      <c r="QZL230" s="15"/>
      <c r="QZM230" s="15"/>
      <c r="QZN230" s="15"/>
      <c r="QZO230" s="10"/>
      <c r="QZP230" s="10"/>
      <c r="QZQ230" s="21"/>
      <c r="QZR230" s="21"/>
      <c r="QZU230" s="21"/>
      <c r="QZV230" s="15"/>
      <c r="QZW230" s="15"/>
      <c r="QZX230" s="15"/>
      <c r="QZY230" s="15"/>
      <c r="QZZ230" s="15"/>
      <c r="RAA230" s="15"/>
      <c r="RAB230" s="15"/>
      <c r="RAC230" s="15"/>
      <c r="RAD230" s="15"/>
      <c r="RAE230" s="15"/>
      <c r="RAF230" s="10"/>
      <c r="RAG230" s="10"/>
      <c r="RAH230" s="21"/>
      <c r="RAI230" s="21"/>
      <c r="RAL230" s="21"/>
      <c r="RAM230" s="15"/>
      <c r="RAN230" s="15"/>
      <c r="RAO230" s="15"/>
      <c r="RAP230" s="15"/>
      <c r="RAQ230" s="15"/>
      <c r="RAR230" s="15"/>
      <c r="RAS230" s="15"/>
      <c r="RAT230" s="15"/>
      <c r="RAU230" s="15"/>
      <c r="RAV230" s="15"/>
      <c r="RAW230" s="10"/>
      <c r="RAX230" s="10"/>
      <c r="RAY230" s="21"/>
      <c r="RAZ230" s="21"/>
      <c r="RBC230" s="21"/>
      <c r="RBD230" s="15"/>
      <c r="RBE230" s="15"/>
      <c r="RBF230" s="15"/>
      <c r="RBG230" s="15"/>
      <c r="RBH230" s="15"/>
      <c r="RBI230" s="15"/>
      <c r="RBJ230" s="15"/>
      <c r="RBK230" s="15"/>
      <c r="RBL230" s="15"/>
      <c r="RBM230" s="15"/>
      <c r="RBN230" s="10"/>
      <c r="RBO230" s="10"/>
      <c r="RBP230" s="21"/>
      <c r="RBQ230" s="21"/>
      <c r="RBT230" s="21"/>
      <c r="RBU230" s="15"/>
      <c r="RBV230" s="15"/>
      <c r="RBW230" s="15"/>
      <c r="RBX230" s="15"/>
      <c r="RBY230" s="15"/>
      <c r="RBZ230" s="15"/>
      <c r="RCA230" s="15"/>
      <c r="RCB230" s="15"/>
      <c r="RCC230" s="15"/>
      <c r="RCD230" s="15"/>
      <c r="RCE230" s="10"/>
      <c r="RCF230" s="10"/>
      <c r="RCG230" s="21"/>
      <c r="RCH230" s="21"/>
      <c r="RCK230" s="21"/>
      <c r="RCL230" s="15"/>
      <c r="RCM230" s="15"/>
      <c r="RCN230" s="15"/>
      <c r="RCO230" s="15"/>
      <c r="RCP230" s="15"/>
      <c r="RCQ230" s="15"/>
      <c r="RCR230" s="15"/>
      <c r="RCS230" s="15"/>
      <c r="RCT230" s="15"/>
      <c r="RCU230" s="15"/>
      <c r="RCV230" s="10"/>
      <c r="RCW230" s="10"/>
      <c r="RCX230" s="21"/>
      <c r="RCY230" s="21"/>
      <c r="RDB230" s="21"/>
      <c r="RDC230" s="15"/>
      <c r="RDD230" s="15"/>
      <c r="RDE230" s="15"/>
      <c r="RDF230" s="15"/>
      <c r="RDG230" s="15"/>
      <c r="RDH230" s="15"/>
      <c r="RDI230" s="15"/>
      <c r="RDJ230" s="15"/>
      <c r="RDK230" s="15"/>
      <c r="RDL230" s="15"/>
      <c r="RDM230" s="10"/>
      <c r="RDN230" s="10"/>
      <c r="RDO230" s="21"/>
      <c r="RDP230" s="21"/>
      <c r="RDS230" s="21"/>
      <c r="RDT230" s="15"/>
      <c r="RDU230" s="15"/>
      <c r="RDV230" s="15"/>
      <c r="RDW230" s="15"/>
      <c r="RDX230" s="15"/>
      <c r="RDY230" s="15"/>
      <c r="RDZ230" s="15"/>
      <c r="REA230" s="15"/>
      <c r="REB230" s="15"/>
      <c r="REC230" s="15"/>
      <c r="RED230" s="10"/>
      <c r="REE230" s="10"/>
      <c r="REF230" s="21"/>
      <c r="REG230" s="21"/>
      <c r="REJ230" s="21"/>
      <c r="REK230" s="15"/>
      <c r="REL230" s="15"/>
      <c r="REM230" s="15"/>
      <c r="REN230" s="15"/>
      <c r="REO230" s="15"/>
      <c r="REP230" s="15"/>
      <c r="REQ230" s="15"/>
      <c r="RER230" s="15"/>
      <c r="RES230" s="15"/>
      <c r="RET230" s="15"/>
      <c r="REU230" s="10"/>
      <c r="REV230" s="10"/>
      <c r="REW230" s="21"/>
      <c r="REX230" s="21"/>
      <c r="RFA230" s="21"/>
      <c r="RFB230" s="15"/>
      <c r="RFC230" s="15"/>
      <c r="RFD230" s="15"/>
      <c r="RFE230" s="15"/>
      <c r="RFF230" s="15"/>
      <c r="RFG230" s="15"/>
      <c r="RFH230" s="15"/>
      <c r="RFI230" s="15"/>
      <c r="RFJ230" s="15"/>
      <c r="RFK230" s="15"/>
      <c r="RFL230" s="10"/>
      <c r="RFM230" s="10"/>
      <c r="RFN230" s="21"/>
      <c r="RFO230" s="21"/>
      <c r="RFR230" s="21"/>
      <c r="RFS230" s="15"/>
      <c r="RFT230" s="15"/>
      <c r="RFU230" s="15"/>
      <c r="RFV230" s="15"/>
      <c r="RFW230" s="15"/>
      <c r="RFX230" s="15"/>
      <c r="RFY230" s="15"/>
      <c r="RFZ230" s="15"/>
      <c r="RGA230" s="15"/>
      <c r="RGB230" s="15"/>
      <c r="RGC230" s="10"/>
      <c r="RGD230" s="10"/>
      <c r="RGE230" s="21"/>
      <c r="RGF230" s="21"/>
      <c r="RGI230" s="21"/>
      <c r="RGJ230" s="15"/>
      <c r="RGK230" s="15"/>
      <c r="RGL230" s="15"/>
      <c r="RGM230" s="15"/>
      <c r="RGN230" s="15"/>
      <c r="RGO230" s="15"/>
      <c r="RGP230" s="15"/>
      <c r="RGQ230" s="15"/>
      <c r="RGR230" s="15"/>
      <c r="RGS230" s="15"/>
      <c r="RGT230" s="10"/>
      <c r="RGU230" s="10"/>
      <c r="RGV230" s="21"/>
      <c r="RGW230" s="21"/>
      <c r="RGZ230" s="21"/>
      <c r="RHA230" s="15"/>
      <c r="RHB230" s="15"/>
      <c r="RHC230" s="15"/>
      <c r="RHD230" s="15"/>
      <c r="RHE230" s="15"/>
      <c r="RHF230" s="15"/>
      <c r="RHG230" s="15"/>
      <c r="RHH230" s="15"/>
      <c r="RHI230" s="15"/>
      <c r="RHJ230" s="15"/>
      <c r="RHK230" s="10"/>
      <c r="RHL230" s="10"/>
      <c r="RHM230" s="21"/>
      <c r="RHN230" s="21"/>
      <c r="RHQ230" s="21"/>
      <c r="RHR230" s="15"/>
      <c r="RHS230" s="15"/>
      <c r="RHT230" s="15"/>
      <c r="RHU230" s="15"/>
      <c r="RHV230" s="15"/>
      <c r="RHW230" s="15"/>
      <c r="RHX230" s="15"/>
      <c r="RHY230" s="15"/>
      <c r="RHZ230" s="15"/>
      <c r="RIA230" s="15"/>
      <c r="RIB230" s="10"/>
      <c r="RIC230" s="10"/>
      <c r="RID230" s="21"/>
      <c r="RIE230" s="21"/>
      <c r="RIH230" s="21"/>
      <c r="RII230" s="15"/>
      <c r="RIJ230" s="15"/>
      <c r="RIK230" s="15"/>
      <c r="RIL230" s="15"/>
      <c r="RIM230" s="15"/>
      <c r="RIN230" s="15"/>
      <c r="RIO230" s="15"/>
      <c r="RIP230" s="15"/>
      <c r="RIQ230" s="15"/>
      <c r="RIR230" s="15"/>
      <c r="RIS230" s="10"/>
      <c r="RIT230" s="10"/>
      <c r="RIU230" s="21"/>
      <c r="RIV230" s="21"/>
      <c r="RIY230" s="21"/>
      <c r="RIZ230" s="15"/>
      <c r="RJA230" s="15"/>
      <c r="RJB230" s="15"/>
      <c r="RJC230" s="15"/>
      <c r="RJD230" s="15"/>
      <c r="RJE230" s="15"/>
      <c r="RJF230" s="15"/>
      <c r="RJG230" s="15"/>
      <c r="RJH230" s="15"/>
      <c r="RJI230" s="15"/>
      <c r="RJJ230" s="10"/>
      <c r="RJK230" s="10"/>
      <c r="RJL230" s="21"/>
      <c r="RJM230" s="21"/>
      <c r="RJP230" s="21"/>
      <c r="RJQ230" s="15"/>
      <c r="RJR230" s="15"/>
      <c r="RJS230" s="15"/>
      <c r="RJT230" s="15"/>
      <c r="RJU230" s="15"/>
      <c r="RJV230" s="15"/>
      <c r="RJW230" s="15"/>
      <c r="RJX230" s="15"/>
      <c r="RJY230" s="15"/>
      <c r="RJZ230" s="15"/>
      <c r="RKA230" s="10"/>
      <c r="RKB230" s="10"/>
      <c r="RKC230" s="21"/>
      <c r="RKD230" s="21"/>
      <c r="RKG230" s="21"/>
      <c r="RKH230" s="15"/>
      <c r="RKI230" s="15"/>
      <c r="RKJ230" s="15"/>
      <c r="RKK230" s="15"/>
      <c r="RKL230" s="15"/>
      <c r="RKM230" s="15"/>
      <c r="RKN230" s="15"/>
      <c r="RKO230" s="15"/>
      <c r="RKP230" s="15"/>
      <c r="RKQ230" s="15"/>
      <c r="RKR230" s="10"/>
      <c r="RKS230" s="10"/>
      <c r="RKT230" s="21"/>
      <c r="RKU230" s="21"/>
      <c r="RKX230" s="21"/>
      <c r="RKY230" s="15"/>
      <c r="RKZ230" s="15"/>
      <c r="RLA230" s="15"/>
      <c r="RLB230" s="15"/>
      <c r="RLC230" s="15"/>
      <c r="RLD230" s="15"/>
      <c r="RLE230" s="15"/>
      <c r="RLF230" s="15"/>
      <c r="RLG230" s="15"/>
      <c r="RLH230" s="15"/>
      <c r="RLI230" s="10"/>
      <c r="RLJ230" s="10"/>
      <c r="RLK230" s="21"/>
      <c r="RLL230" s="21"/>
      <c r="RLO230" s="21"/>
      <c r="RLP230" s="15"/>
      <c r="RLQ230" s="15"/>
      <c r="RLR230" s="15"/>
      <c r="RLS230" s="15"/>
      <c r="RLT230" s="15"/>
      <c r="RLU230" s="15"/>
      <c r="RLV230" s="15"/>
      <c r="RLW230" s="15"/>
      <c r="RLX230" s="15"/>
      <c r="RLY230" s="15"/>
      <c r="RLZ230" s="10"/>
      <c r="RMA230" s="10"/>
      <c r="RMB230" s="21"/>
      <c r="RMC230" s="21"/>
      <c r="RMF230" s="21"/>
      <c r="RMG230" s="15"/>
      <c r="RMH230" s="15"/>
      <c r="RMI230" s="15"/>
      <c r="RMJ230" s="15"/>
      <c r="RMK230" s="15"/>
      <c r="RML230" s="15"/>
      <c r="RMM230" s="15"/>
      <c r="RMN230" s="15"/>
      <c r="RMO230" s="15"/>
      <c r="RMP230" s="15"/>
      <c r="RMQ230" s="10"/>
      <c r="RMR230" s="10"/>
      <c r="RMS230" s="21"/>
      <c r="RMT230" s="21"/>
      <c r="RMW230" s="21"/>
      <c r="RMX230" s="15"/>
      <c r="RMY230" s="15"/>
      <c r="RMZ230" s="15"/>
      <c r="RNA230" s="15"/>
      <c r="RNB230" s="15"/>
      <c r="RNC230" s="15"/>
      <c r="RND230" s="15"/>
      <c r="RNE230" s="15"/>
      <c r="RNF230" s="15"/>
      <c r="RNG230" s="15"/>
      <c r="RNH230" s="10"/>
      <c r="RNI230" s="10"/>
      <c r="RNJ230" s="21"/>
      <c r="RNK230" s="21"/>
      <c r="RNN230" s="21"/>
      <c r="RNO230" s="15"/>
      <c r="RNP230" s="15"/>
      <c r="RNQ230" s="15"/>
      <c r="RNR230" s="15"/>
      <c r="RNS230" s="15"/>
      <c r="RNT230" s="15"/>
      <c r="RNU230" s="15"/>
      <c r="RNV230" s="15"/>
      <c r="RNW230" s="15"/>
      <c r="RNX230" s="15"/>
      <c r="RNY230" s="10"/>
      <c r="RNZ230" s="10"/>
      <c r="ROA230" s="21"/>
      <c r="ROB230" s="21"/>
      <c r="ROE230" s="21"/>
      <c r="ROF230" s="15"/>
      <c r="ROG230" s="15"/>
      <c r="ROH230" s="15"/>
      <c r="ROI230" s="15"/>
      <c r="ROJ230" s="15"/>
      <c r="ROK230" s="15"/>
      <c r="ROL230" s="15"/>
      <c r="ROM230" s="15"/>
      <c r="RON230" s="15"/>
      <c r="ROO230" s="15"/>
      <c r="ROP230" s="10"/>
      <c r="ROQ230" s="10"/>
      <c r="ROR230" s="21"/>
      <c r="ROS230" s="21"/>
      <c r="ROV230" s="21"/>
      <c r="ROW230" s="15"/>
      <c r="ROX230" s="15"/>
      <c r="ROY230" s="15"/>
      <c r="ROZ230" s="15"/>
      <c r="RPA230" s="15"/>
      <c r="RPB230" s="15"/>
      <c r="RPC230" s="15"/>
      <c r="RPD230" s="15"/>
      <c r="RPE230" s="15"/>
      <c r="RPF230" s="15"/>
      <c r="RPG230" s="10"/>
      <c r="RPH230" s="10"/>
      <c r="RPI230" s="21"/>
      <c r="RPJ230" s="21"/>
      <c r="RPM230" s="21"/>
      <c r="RPN230" s="15"/>
      <c r="RPO230" s="15"/>
      <c r="RPP230" s="15"/>
      <c r="RPQ230" s="15"/>
      <c r="RPR230" s="15"/>
      <c r="RPS230" s="15"/>
      <c r="RPT230" s="15"/>
      <c r="RPU230" s="15"/>
      <c r="RPV230" s="15"/>
      <c r="RPW230" s="15"/>
      <c r="RPX230" s="10"/>
      <c r="RPY230" s="10"/>
      <c r="RPZ230" s="21"/>
      <c r="RQA230" s="21"/>
      <c r="RQD230" s="21"/>
      <c r="RQE230" s="15"/>
      <c r="RQF230" s="15"/>
      <c r="RQG230" s="15"/>
      <c r="RQH230" s="15"/>
      <c r="RQI230" s="15"/>
      <c r="RQJ230" s="15"/>
      <c r="RQK230" s="15"/>
      <c r="RQL230" s="15"/>
      <c r="RQM230" s="15"/>
      <c r="RQN230" s="15"/>
      <c r="RQO230" s="10"/>
      <c r="RQP230" s="10"/>
      <c r="RQQ230" s="21"/>
      <c r="RQR230" s="21"/>
      <c r="RQU230" s="21"/>
      <c r="RQV230" s="15"/>
      <c r="RQW230" s="15"/>
      <c r="RQX230" s="15"/>
      <c r="RQY230" s="15"/>
      <c r="RQZ230" s="15"/>
      <c r="RRA230" s="15"/>
      <c r="RRB230" s="15"/>
      <c r="RRC230" s="15"/>
      <c r="RRD230" s="15"/>
      <c r="RRE230" s="15"/>
      <c r="RRF230" s="10"/>
      <c r="RRG230" s="10"/>
      <c r="RRH230" s="21"/>
      <c r="RRI230" s="21"/>
      <c r="RRL230" s="21"/>
      <c r="RRM230" s="15"/>
      <c r="RRN230" s="15"/>
      <c r="RRO230" s="15"/>
      <c r="RRP230" s="15"/>
      <c r="RRQ230" s="15"/>
      <c r="RRR230" s="15"/>
      <c r="RRS230" s="15"/>
      <c r="RRT230" s="15"/>
      <c r="RRU230" s="15"/>
      <c r="RRV230" s="15"/>
      <c r="RRW230" s="10"/>
      <c r="RRX230" s="10"/>
      <c r="RRY230" s="21"/>
      <c r="RRZ230" s="21"/>
      <c r="RSC230" s="21"/>
      <c r="RSD230" s="15"/>
      <c r="RSE230" s="15"/>
      <c r="RSF230" s="15"/>
      <c r="RSG230" s="15"/>
      <c r="RSH230" s="15"/>
      <c r="RSI230" s="15"/>
      <c r="RSJ230" s="15"/>
      <c r="RSK230" s="15"/>
      <c r="RSL230" s="15"/>
      <c r="RSM230" s="15"/>
      <c r="RSN230" s="10"/>
      <c r="RSO230" s="10"/>
      <c r="RSP230" s="21"/>
      <c r="RSQ230" s="21"/>
      <c r="RST230" s="21"/>
      <c r="RSU230" s="15"/>
      <c r="RSV230" s="15"/>
      <c r="RSW230" s="15"/>
      <c r="RSX230" s="15"/>
      <c r="RSY230" s="15"/>
      <c r="RSZ230" s="15"/>
      <c r="RTA230" s="15"/>
      <c r="RTB230" s="15"/>
      <c r="RTC230" s="15"/>
      <c r="RTD230" s="15"/>
      <c r="RTE230" s="10"/>
      <c r="RTF230" s="10"/>
      <c r="RTG230" s="21"/>
      <c r="RTH230" s="21"/>
      <c r="RTK230" s="21"/>
      <c r="RTL230" s="15"/>
      <c r="RTM230" s="15"/>
      <c r="RTN230" s="15"/>
      <c r="RTO230" s="15"/>
      <c r="RTP230" s="15"/>
      <c r="RTQ230" s="15"/>
      <c r="RTR230" s="15"/>
      <c r="RTS230" s="15"/>
      <c r="RTT230" s="15"/>
      <c r="RTU230" s="15"/>
      <c r="RTV230" s="10"/>
      <c r="RTW230" s="10"/>
      <c r="RTX230" s="21"/>
      <c r="RTY230" s="21"/>
      <c r="RUB230" s="21"/>
      <c r="RUC230" s="15"/>
      <c r="RUD230" s="15"/>
      <c r="RUE230" s="15"/>
      <c r="RUF230" s="15"/>
      <c r="RUG230" s="15"/>
      <c r="RUH230" s="15"/>
      <c r="RUI230" s="15"/>
      <c r="RUJ230" s="15"/>
      <c r="RUK230" s="15"/>
      <c r="RUL230" s="15"/>
      <c r="RUM230" s="10"/>
      <c r="RUN230" s="10"/>
      <c r="RUO230" s="21"/>
      <c r="RUP230" s="21"/>
      <c r="RUS230" s="21"/>
      <c r="RUT230" s="15"/>
      <c r="RUU230" s="15"/>
      <c r="RUV230" s="15"/>
      <c r="RUW230" s="15"/>
      <c r="RUX230" s="15"/>
      <c r="RUY230" s="15"/>
      <c r="RUZ230" s="15"/>
      <c r="RVA230" s="15"/>
      <c r="RVB230" s="15"/>
      <c r="RVC230" s="15"/>
      <c r="RVD230" s="10"/>
      <c r="RVE230" s="10"/>
      <c r="RVF230" s="21"/>
      <c r="RVG230" s="21"/>
      <c r="RVJ230" s="21"/>
      <c r="RVK230" s="15"/>
      <c r="RVL230" s="15"/>
      <c r="RVM230" s="15"/>
      <c r="RVN230" s="15"/>
      <c r="RVO230" s="15"/>
      <c r="RVP230" s="15"/>
      <c r="RVQ230" s="15"/>
      <c r="RVR230" s="15"/>
      <c r="RVS230" s="15"/>
      <c r="RVT230" s="15"/>
      <c r="RVU230" s="10"/>
      <c r="RVV230" s="10"/>
      <c r="RVW230" s="21"/>
      <c r="RVX230" s="21"/>
      <c r="RWA230" s="21"/>
      <c r="RWB230" s="15"/>
      <c r="RWC230" s="15"/>
      <c r="RWD230" s="15"/>
      <c r="RWE230" s="15"/>
      <c r="RWF230" s="15"/>
      <c r="RWG230" s="15"/>
      <c r="RWH230" s="15"/>
      <c r="RWI230" s="15"/>
      <c r="RWJ230" s="15"/>
      <c r="RWK230" s="15"/>
      <c r="RWL230" s="10"/>
      <c r="RWM230" s="10"/>
      <c r="RWN230" s="21"/>
      <c r="RWO230" s="21"/>
      <c r="RWR230" s="21"/>
      <c r="RWS230" s="15"/>
      <c r="RWT230" s="15"/>
      <c r="RWU230" s="15"/>
      <c r="RWV230" s="15"/>
      <c r="RWW230" s="15"/>
      <c r="RWX230" s="15"/>
      <c r="RWY230" s="15"/>
      <c r="RWZ230" s="15"/>
      <c r="RXA230" s="15"/>
      <c r="RXB230" s="15"/>
      <c r="RXC230" s="10"/>
      <c r="RXD230" s="10"/>
      <c r="RXE230" s="21"/>
      <c r="RXF230" s="21"/>
      <c r="RXI230" s="21"/>
      <c r="RXJ230" s="15"/>
      <c r="RXK230" s="15"/>
      <c r="RXL230" s="15"/>
      <c r="RXM230" s="15"/>
      <c r="RXN230" s="15"/>
      <c r="RXO230" s="15"/>
      <c r="RXP230" s="15"/>
      <c r="RXQ230" s="15"/>
      <c r="RXR230" s="15"/>
      <c r="RXS230" s="15"/>
      <c r="RXT230" s="10"/>
      <c r="RXU230" s="10"/>
      <c r="RXV230" s="21"/>
      <c r="RXW230" s="21"/>
      <c r="RXZ230" s="21"/>
      <c r="RYA230" s="15"/>
      <c r="RYB230" s="15"/>
      <c r="RYC230" s="15"/>
      <c r="RYD230" s="15"/>
      <c r="RYE230" s="15"/>
      <c r="RYF230" s="15"/>
      <c r="RYG230" s="15"/>
      <c r="RYH230" s="15"/>
      <c r="RYI230" s="15"/>
      <c r="RYJ230" s="15"/>
      <c r="RYK230" s="10"/>
      <c r="RYL230" s="10"/>
      <c r="RYM230" s="21"/>
      <c r="RYN230" s="21"/>
      <c r="RYQ230" s="21"/>
      <c r="RYR230" s="15"/>
      <c r="RYS230" s="15"/>
      <c r="RYT230" s="15"/>
      <c r="RYU230" s="15"/>
      <c r="RYV230" s="15"/>
      <c r="RYW230" s="15"/>
      <c r="RYX230" s="15"/>
      <c r="RYY230" s="15"/>
      <c r="RYZ230" s="15"/>
      <c r="RZA230" s="15"/>
      <c r="RZB230" s="10"/>
      <c r="RZC230" s="10"/>
      <c r="RZD230" s="21"/>
      <c r="RZE230" s="21"/>
      <c r="RZH230" s="21"/>
      <c r="RZI230" s="15"/>
      <c r="RZJ230" s="15"/>
      <c r="RZK230" s="15"/>
      <c r="RZL230" s="15"/>
      <c r="RZM230" s="15"/>
      <c r="RZN230" s="15"/>
      <c r="RZO230" s="15"/>
      <c r="RZP230" s="15"/>
      <c r="RZQ230" s="15"/>
      <c r="RZR230" s="15"/>
      <c r="RZS230" s="10"/>
      <c r="RZT230" s="10"/>
      <c r="RZU230" s="21"/>
      <c r="RZV230" s="21"/>
      <c r="RZY230" s="21"/>
      <c r="RZZ230" s="15"/>
      <c r="SAA230" s="15"/>
      <c r="SAB230" s="15"/>
      <c r="SAC230" s="15"/>
      <c r="SAD230" s="15"/>
      <c r="SAE230" s="15"/>
      <c r="SAF230" s="15"/>
      <c r="SAG230" s="15"/>
      <c r="SAH230" s="15"/>
      <c r="SAI230" s="15"/>
      <c r="SAJ230" s="10"/>
      <c r="SAK230" s="10"/>
      <c r="SAL230" s="21"/>
      <c r="SAM230" s="21"/>
      <c r="SAP230" s="21"/>
      <c r="SAQ230" s="15"/>
      <c r="SAR230" s="15"/>
      <c r="SAS230" s="15"/>
      <c r="SAT230" s="15"/>
      <c r="SAU230" s="15"/>
      <c r="SAV230" s="15"/>
      <c r="SAW230" s="15"/>
      <c r="SAX230" s="15"/>
      <c r="SAY230" s="15"/>
      <c r="SAZ230" s="15"/>
      <c r="SBA230" s="10"/>
      <c r="SBB230" s="10"/>
      <c r="SBC230" s="21"/>
      <c r="SBD230" s="21"/>
      <c r="SBG230" s="21"/>
      <c r="SBH230" s="15"/>
      <c r="SBI230" s="15"/>
      <c r="SBJ230" s="15"/>
      <c r="SBK230" s="15"/>
      <c r="SBL230" s="15"/>
      <c r="SBM230" s="15"/>
      <c r="SBN230" s="15"/>
      <c r="SBO230" s="15"/>
      <c r="SBP230" s="15"/>
      <c r="SBQ230" s="15"/>
      <c r="SBR230" s="10"/>
      <c r="SBS230" s="10"/>
      <c r="SBT230" s="21"/>
      <c r="SBU230" s="21"/>
      <c r="SBX230" s="21"/>
      <c r="SBY230" s="15"/>
      <c r="SBZ230" s="15"/>
      <c r="SCA230" s="15"/>
      <c r="SCB230" s="15"/>
      <c r="SCC230" s="15"/>
      <c r="SCD230" s="15"/>
      <c r="SCE230" s="15"/>
      <c r="SCF230" s="15"/>
      <c r="SCG230" s="15"/>
      <c r="SCH230" s="15"/>
      <c r="SCI230" s="10"/>
      <c r="SCJ230" s="10"/>
      <c r="SCK230" s="21"/>
      <c r="SCL230" s="21"/>
      <c r="SCO230" s="21"/>
      <c r="SCP230" s="15"/>
      <c r="SCQ230" s="15"/>
      <c r="SCR230" s="15"/>
      <c r="SCS230" s="15"/>
      <c r="SCT230" s="15"/>
      <c r="SCU230" s="15"/>
      <c r="SCV230" s="15"/>
      <c r="SCW230" s="15"/>
      <c r="SCX230" s="15"/>
      <c r="SCY230" s="15"/>
      <c r="SCZ230" s="10"/>
      <c r="SDA230" s="10"/>
      <c r="SDB230" s="21"/>
      <c r="SDC230" s="21"/>
      <c r="SDF230" s="21"/>
      <c r="SDG230" s="15"/>
      <c r="SDH230" s="15"/>
      <c r="SDI230" s="15"/>
      <c r="SDJ230" s="15"/>
      <c r="SDK230" s="15"/>
      <c r="SDL230" s="15"/>
      <c r="SDM230" s="15"/>
      <c r="SDN230" s="15"/>
      <c r="SDO230" s="15"/>
      <c r="SDP230" s="15"/>
      <c r="SDQ230" s="10"/>
      <c r="SDR230" s="10"/>
      <c r="SDS230" s="21"/>
      <c r="SDT230" s="21"/>
      <c r="SDW230" s="21"/>
      <c r="SDX230" s="15"/>
      <c r="SDY230" s="15"/>
      <c r="SDZ230" s="15"/>
      <c r="SEA230" s="15"/>
      <c r="SEB230" s="15"/>
      <c r="SEC230" s="15"/>
      <c r="SED230" s="15"/>
      <c r="SEE230" s="15"/>
      <c r="SEF230" s="15"/>
      <c r="SEG230" s="15"/>
      <c r="SEH230" s="10"/>
      <c r="SEI230" s="10"/>
      <c r="SEJ230" s="21"/>
      <c r="SEK230" s="21"/>
      <c r="SEN230" s="21"/>
      <c r="SEO230" s="15"/>
      <c r="SEP230" s="15"/>
      <c r="SEQ230" s="15"/>
      <c r="SER230" s="15"/>
      <c r="SES230" s="15"/>
      <c r="SET230" s="15"/>
      <c r="SEU230" s="15"/>
      <c r="SEV230" s="15"/>
      <c r="SEW230" s="15"/>
      <c r="SEX230" s="15"/>
      <c r="SEY230" s="10"/>
      <c r="SEZ230" s="10"/>
      <c r="SFA230" s="21"/>
      <c r="SFB230" s="21"/>
      <c r="SFE230" s="21"/>
      <c r="SFF230" s="15"/>
      <c r="SFG230" s="15"/>
      <c r="SFH230" s="15"/>
      <c r="SFI230" s="15"/>
      <c r="SFJ230" s="15"/>
      <c r="SFK230" s="15"/>
      <c r="SFL230" s="15"/>
      <c r="SFM230" s="15"/>
      <c r="SFN230" s="15"/>
      <c r="SFO230" s="15"/>
      <c r="SFP230" s="10"/>
      <c r="SFQ230" s="10"/>
      <c r="SFR230" s="21"/>
      <c r="SFS230" s="21"/>
      <c r="SFV230" s="21"/>
      <c r="SFW230" s="15"/>
      <c r="SFX230" s="15"/>
      <c r="SFY230" s="15"/>
      <c r="SFZ230" s="15"/>
      <c r="SGA230" s="15"/>
      <c r="SGB230" s="15"/>
      <c r="SGC230" s="15"/>
      <c r="SGD230" s="15"/>
      <c r="SGE230" s="15"/>
      <c r="SGF230" s="15"/>
      <c r="SGG230" s="10"/>
      <c r="SGH230" s="10"/>
      <c r="SGI230" s="21"/>
      <c r="SGJ230" s="21"/>
      <c r="SGM230" s="21"/>
      <c r="SGN230" s="15"/>
      <c r="SGO230" s="15"/>
      <c r="SGP230" s="15"/>
      <c r="SGQ230" s="15"/>
      <c r="SGR230" s="15"/>
      <c r="SGS230" s="15"/>
      <c r="SGT230" s="15"/>
      <c r="SGU230" s="15"/>
      <c r="SGV230" s="15"/>
      <c r="SGW230" s="15"/>
      <c r="SGX230" s="10"/>
      <c r="SGY230" s="10"/>
      <c r="SGZ230" s="21"/>
      <c r="SHA230" s="21"/>
      <c r="SHD230" s="21"/>
      <c r="SHE230" s="15"/>
      <c r="SHF230" s="15"/>
      <c r="SHG230" s="15"/>
      <c r="SHH230" s="15"/>
      <c r="SHI230" s="15"/>
      <c r="SHJ230" s="15"/>
      <c r="SHK230" s="15"/>
      <c r="SHL230" s="15"/>
      <c r="SHM230" s="15"/>
      <c r="SHN230" s="15"/>
      <c r="SHO230" s="10"/>
      <c r="SHP230" s="10"/>
      <c r="SHQ230" s="21"/>
      <c r="SHR230" s="21"/>
      <c r="SHU230" s="21"/>
      <c r="SHV230" s="15"/>
      <c r="SHW230" s="15"/>
      <c r="SHX230" s="15"/>
      <c r="SHY230" s="15"/>
      <c r="SHZ230" s="15"/>
      <c r="SIA230" s="15"/>
      <c r="SIB230" s="15"/>
      <c r="SIC230" s="15"/>
      <c r="SID230" s="15"/>
      <c r="SIE230" s="15"/>
      <c r="SIF230" s="10"/>
      <c r="SIG230" s="10"/>
      <c r="SIH230" s="21"/>
      <c r="SII230" s="21"/>
      <c r="SIL230" s="21"/>
      <c r="SIM230" s="15"/>
      <c r="SIN230" s="15"/>
      <c r="SIO230" s="15"/>
      <c r="SIP230" s="15"/>
      <c r="SIQ230" s="15"/>
      <c r="SIR230" s="15"/>
      <c r="SIS230" s="15"/>
      <c r="SIT230" s="15"/>
      <c r="SIU230" s="15"/>
      <c r="SIV230" s="15"/>
      <c r="SIW230" s="10"/>
      <c r="SIX230" s="10"/>
      <c r="SIY230" s="21"/>
      <c r="SIZ230" s="21"/>
      <c r="SJC230" s="21"/>
      <c r="SJD230" s="15"/>
      <c r="SJE230" s="15"/>
      <c r="SJF230" s="15"/>
      <c r="SJG230" s="15"/>
      <c r="SJH230" s="15"/>
      <c r="SJI230" s="15"/>
      <c r="SJJ230" s="15"/>
      <c r="SJK230" s="15"/>
      <c r="SJL230" s="15"/>
      <c r="SJM230" s="15"/>
      <c r="SJN230" s="10"/>
      <c r="SJO230" s="10"/>
      <c r="SJP230" s="21"/>
      <c r="SJQ230" s="21"/>
      <c r="SJT230" s="21"/>
      <c r="SJU230" s="15"/>
      <c r="SJV230" s="15"/>
      <c r="SJW230" s="15"/>
      <c r="SJX230" s="15"/>
      <c r="SJY230" s="15"/>
      <c r="SJZ230" s="15"/>
      <c r="SKA230" s="15"/>
      <c r="SKB230" s="15"/>
      <c r="SKC230" s="15"/>
      <c r="SKD230" s="15"/>
      <c r="SKE230" s="10"/>
      <c r="SKF230" s="10"/>
      <c r="SKG230" s="21"/>
      <c r="SKH230" s="21"/>
      <c r="SKK230" s="21"/>
      <c r="SKL230" s="15"/>
      <c r="SKM230" s="15"/>
      <c r="SKN230" s="15"/>
      <c r="SKO230" s="15"/>
      <c r="SKP230" s="15"/>
      <c r="SKQ230" s="15"/>
      <c r="SKR230" s="15"/>
      <c r="SKS230" s="15"/>
      <c r="SKT230" s="15"/>
      <c r="SKU230" s="15"/>
      <c r="SKV230" s="10"/>
      <c r="SKW230" s="10"/>
      <c r="SKX230" s="21"/>
      <c r="SKY230" s="21"/>
      <c r="SLB230" s="21"/>
      <c r="SLC230" s="15"/>
      <c r="SLD230" s="15"/>
      <c r="SLE230" s="15"/>
      <c r="SLF230" s="15"/>
      <c r="SLG230" s="15"/>
      <c r="SLH230" s="15"/>
      <c r="SLI230" s="15"/>
      <c r="SLJ230" s="15"/>
      <c r="SLK230" s="15"/>
      <c r="SLL230" s="15"/>
      <c r="SLM230" s="10"/>
      <c r="SLN230" s="10"/>
      <c r="SLO230" s="21"/>
      <c r="SLP230" s="21"/>
      <c r="SLS230" s="21"/>
      <c r="SLT230" s="15"/>
      <c r="SLU230" s="15"/>
      <c r="SLV230" s="15"/>
      <c r="SLW230" s="15"/>
      <c r="SLX230" s="15"/>
      <c r="SLY230" s="15"/>
      <c r="SLZ230" s="15"/>
      <c r="SMA230" s="15"/>
      <c r="SMB230" s="15"/>
      <c r="SMC230" s="15"/>
      <c r="SMD230" s="10"/>
      <c r="SME230" s="10"/>
      <c r="SMF230" s="21"/>
      <c r="SMG230" s="21"/>
      <c r="SMJ230" s="21"/>
      <c r="SMK230" s="15"/>
      <c r="SML230" s="15"/>
      <c r="SMM230" s="15"/>
      <c r="SMN230" s="15"/>
      <c r="SMO230" s="15"/>
      <c r="SMP230" s="15"/>
      <c r="SMQ230" s="15"/>
      <c r="SMR230" s="15"/>
      <c r="SMS230" s="15"/>
      <c r="SMT230" s="15"/>
      <c r="SMU230" s="10"/>
      <c r="SMV230" s="10"/>
      <c r="SMW230" s="21"/>
      <c r="SMX230" s="21"/>
      <c r="SNA230" s="21"/>
      <c r="SNB230" s="15"/>
      <c r="SNC230" s="15"/>
      <c r="SND230" s="15"/>
      <c r="SNE230" s="15"/>
      <c r="SNF230" s="15"/>
      <c r="SNG230" s="15"/>
      <c r="SNH230" s="15"/>
      <c r="SNI230" s="15"/>
      <c r="SNJ230" s="15"/>
      <c r="SNK230" s="15"/>
      <c r="SNL230" s="10"/>
      <c r="SNM230" s="10"/>
      <c r="SNN230" s="21"/>
      <c r="SNO230" s="21"/>
      <c r="SNR230" s="21"/>
      <c r="SNS230" s="15"/>
      <c r="SNT230" s="15"/>
      <c r="SNU230" s="15"/>
      <c r="SNV230" s="15"/>
      <c r="SNW230" s="15"/>
      <c r="SNX230" s="15"/>
      <c r="SNY230" s="15"/>
      <c r="SNZ230" s="15"/>
      <c r="SOA230" s="15"/>
      <c r="SOB230" s="15"/>
      <c r="SOC230" s="10"/>
      <c r="SOD230" s="10"/>
      <c r="SOE230" s="21"/>
      <c r="SOF230" s="21"/>
      <c r="SOI230" s="21"/>
      <c r="SOJ230" s="15"/>
      <c r="SOK230" s="15"/>
      <c r="SOL230" s="15"/>
      <c r="SOM230" s="15"/>
      <c r="SON230" s="15"/>
      <c r="SOO230" s="15"/>
      <c r="SOP230" s="15"/>
      <c r="SOQ230" s="15"/>
      <c r="SOR230" s="15"/>
      <c r="SOS230" s="15"/>
      <c r="SOT230" s="10"/>
      <c r="SOU230" s="10"/>
      <c r="SOV230" s="21"/>
      <c r="SOW230" s="21"/>
      <c r="SOZ230" s="21"/>
      <c r="SPA230" s="15"/>
      <c r="SPB230" s="15"/>
      <c r="SPC230" s="15"/>
      <c r="SPD230" s="15"/>
      <c r="SPE230" s="15"/>
      <c r="SPF230" s="15"/>
      <c r="SPG230" s="15"/>
      <c r="SPH230" s="15"/>
      <c r="SPI230" s="15"/>
      <c r="SPJ230" s="15"/>
      <c r="SPK230" s="10"/>
      <c r="SPL230" s="10"/>
      <c r="SPM230" s="21"/>
      <c r="SPN230" s="21"/>
      <c r="SPQ230" s="21"/>
      <c r="SPR230" s="15"/>
      <c r="SPS230" s="15"/>
      <c r="SPT230" s="15"/>
      <c r="SPU230" s="15"/>
      <c r="SPV230" s="15"/>
      <c r="SPW230" s="15"/>
      <c r="SPX230" s="15"/>
      <c r="SPY230" s="15"/>
      <c r="SPZ230" s="15"/>
      <c r="SQA230" s="15"/>
      <c r="SQB230" s="10"/>
      <c r="SQC230" s="10"/>
      <c r="SQD230" s="21"/>
      <c r="SQE230" s="21"/>
      <c r="SQH230" s="21"/>
      <c r="SQI230" s="15"/>
      <c r="SQJ230" s="15"/>
      <c r="SQK230" s="15"/>
      <c r="SQL230" s="15"/>
      <c r="SQM230" s="15"/>
      <c r="SQN230" s="15"/>
      <c r="SQO230" s="15"/>
      <c r="SQP230" s="15"/>
      <c r="SQQ230" s="15"/>
      <c r="SQR230" s="15"/>
      <c r="SQS230" s="10"/>
      <c r="SQT230" s="10"/>
      <c r="SQU230" s="21"/>
      <c r="SQV230" s="21"/>
      <c r="SQY230" s="21"/>
      <c r="SQZ230" s="15"/>
      <c r="SRA230" s="15"/>
      <c r="SRB230" s="15"/>
      <c r="SRC230" s="15"/>
      <c r="SRD230" s="15"/>
      <c r="SRE230" s="15"/>
      <c r="SRF230" s="15"/>
      <c r="SRG230" s="15"/>
      <c r="SRH230" s="15"/>
      <c r="SRI230" s="15"/>
      <c r="SRJ230" s="10"/>
      <c r="SRK230" s="10"/>
      <c r="SRL230" s="21"/>
      <c r="SRM230" s="21"/>
      <c r="SRP230" s="21"/>
      <c r="SRQ230" s="15"/>
      <c r="SRR230" s="15"/>
      <c r="SRS230" s="15"/>
      <c r="SRT230" s="15"/>
      <c r="SRU230" s="15"/>
      <c r="SRV230" s="15"/>
      <c r="SRW230" s="15"/>
      <c r="SRX230" s="15"/>
      <c r="SRY230" s="15"/>
      <c r="SRZ230" s="15"/>
      <c r="SSA230" s="10"/>
      <c r="SSB230" s="10"/>
      <c r="SSC230" s="21"/>
      <c r="SSD230" s="21"/>
      <c r="SSG230" s="21"/>
      <c r="SSH230" s="15"/>
      <c r="SSI230" s="15"/>
      <c r="SSJ230" s="15"/>
      <c r="SSK230" s="15"/>
      <c r="SSL230" s="15"/>
      <c r="SSM230" s="15"/>
      <c r="SSN230" s="15"/>
      <c r="SSO230" s="15"/>
      <c r="SSP230" s="15"/>
      <c r="SSQ230" s="15"/>
      <c r="SSR230" s="10"/>
      <c r="SSS230" s="10"/>
      <c r="SST230" s="21"/>
      <c r="SSU230" s="21"/>
      <c r="SSX230" s="21"/>
      <c r="SSY230" s="15"/>
      <c r="SSZ230" s="15"/>
      <c r="STA230" s="15"/>
      <c r="STB230" s="15"/>
      <c r="STC230" s="15"/>
      <c r="STD230" s="15"/>
      <c r="STE230" s="15"/>
      <c r="STF230" s="15"/>
      <c r="STG230" s="15"/>
      <c r="STH230" s="15"/>
      <c r="STI230" s="10"/>
      <c r="STJ230" s="10"/>
      <c r="STK230" s="21"/>
      <c r="STL230" s="21"/>
      <c r="STO230" s="21"/>
      <c r="STP230" s="15"/>
      <c r="STQ230" s="15"/>
      <c r="STR230" s="15"/>
      <c r="STS230" s="15"/>
      <c r="STT230" s="15"/>
      <c r="STU230" s="15"/>
      <c r="STV230" s="15"/>
      <c r="STW230" s="15"/>
      <c r="STX230" s="15"/>
      <c r="STY230" s="15"/>
      <c r="STZ230" s="10"/>
      <c r="SUA230" s="10"/>
      <c r="SUB230" s="21"/>
      <c r="SUC230" s="21"/>
      <c r="SUF230" s="21"/>
      <c r="SUG230" s="15"/>
      <c r="SUH230" s="15"/>
      <c r="SUI230" s="15"/>
      <c r="SUJ230" s="15"/>
      <c r="SUK230" s="15"/>
      <c r="SUL230" s="15"/>
      <c r="SUM230" s="15"/>
      <c r="SUN230" s="15"/>
      <c r="SUO230" s="15"/>
      <c r="SUP230" s="15"/>
      <c r="SUQ230" s="10"/>
      <c r="SUR230" s="10"/>
      <c r="SUS230" s="21"/>
      <c r="SUT230" s="21"/>
      <c r="SUW230" s="21"/>
      <c r="SUX230" s="15"/>
      <c r="SUY230" s="15"/>
      <c r="SUZ230" s="15"/>
      <c r="SVA230" s="15"/>
      <c r="SVB230" s="15"/>
      <c r="SVC230" s="15"/>
      <c r="SVD230" s="15"/>
      <c r="SVE230" s="15"/>
      <c r="SVF230" s="15"/>
      <c r="SVG230" s="15"/>
      <c r="SVH230" s="10"/>
      <c r="SVI230" s="10"/>
      <c r="SVJ230" s="21"/>
      <c r="SVK230" s="21"/>
      <c r="SVN230" s="21"/>
      <c r="SVO230" s="15"/>
      <c r="SVP230" s="15"/>
      <c r="SVQ230" s="15"/>
      <c r="SVR230" s="15"/>
      <c r="SVS230" s="15"/>
      <c r="SVT230" s="15"/>
      <c r="SVU230" s="15"/>
      <c r="SVV230" s="15"/>
      <c r="SVW230" s="15"/>
      <c r="SVX230" s="15"/>
      <c r="SVY230" s="10"/>
      <c r="SVZ230" s="10"/>
      <c r="SWA230" s="21"/>
      <c r="SWB230" s="21"/>
      <c r="SWE230" s="21"/>
      <c r="SWF230" s="15"/>
      <c r="SWG230" s="15"/>
      <c r="SWH230" s="15"/>
      <c r="SWI230" s="15"/>
      <c r="SWJ230" s="15"/>
      <c r="SWK230" s="15"/>
      <c r="SWL230" s="15"/>
      <c r="SWM230" s="15"/>
      <c r="SWN230" s="15"/>
      <c r="SWO230" s="15"/>
      <c r="SWP230" s="10"/>
      <c r="SWQ230" s="10"/>
      <c r="SWR230" s="21"/>
      <c r="SWS230" s="21"/>
      <c r="SWV230" s="21"/>
      <c r="SWW230" s="15"/>
      <c r="SWX230" s="15"/>
      <c r="SWY230" s="15"/>
      <c r="SWZ230" s="15"/>
      <c r="SXA230" s="15"/>
      <c r="SXB230" s="15"/>
      <c r="SXC230" s="15"/>
      <c r="SXD230" s="15"/>
      <c r="SXE230" s="15"/>
      <c r="SXF230" s="15"/>
      <c r="SXG230" s="10"/>
      <c r="SXH230" s="10"/>
      <c r="SXI230" s="21"/>
      <c r="SXJ230" s="21"/>
      <c r="SXM230" s="21"/>
      <c r="SXN230" s="15"/>
      <c r="SXO230" s="15"/>
      <c r="SXP230" s="15"/>
      <c r="SXQ230" s="15"/>
      <c r="SXR230" s="15"/>
      <c r="SXS230" s="15"/>
      <c r="SXT230" s="15"/>
      <c r="SXU230" s="15"/>
      <c r="SXV230" s="15"/>
      <c r="SXW230" s="15"/>
      <c r="SXX230" s="10"/>
      <c r="SXY230" s="10"/>
      <c r="SXZ230" s="21"/>
      <c r="SYA230" s="21"/>
      <c r="SYD230" s="21"/>
      <c r="SYE230" s="15"/>
      <c r="SYF230" s="15"/>
      <c r="SYG230" s="15"/>
      <c r="SYH230" s="15"/>
      <c r="SYI230" s="15"/>
      <c r="SYJ230" s="15"/>
      <c r="SYK230" s="15"/>
      <c r="SYL230" s="15"/>
      <c r="SYM230" s="15"/>
      <c r="SYN230" s="15"/>
      <c r="SYO230" s="10"/>
      <c r="SYP230" s="10"/>
      <c r="SYQ230" s="21"/>
      <c r="SYR230" s="21"/>
      <c r="SYU230" s="21"/>
      <c r="SYV230" s="15"/>
      <c r="SYW230" s="15"/>
      <c r="SYX230" s="15"/>
      <c r="SYY230" s="15"/>
      <c r="SYZ230" s="15"/>
      <c r="SZA230" s="15"/>
      <c r="SZB230" s="15"/>
      <c r="SZC230" s="15"/>
      <c r="SZD230" s="15"/>
      <c r="SZE230" s="15"/>
      <c r="SZF230" s="10"/>
      <c r="SZG230" s="10"/>
      <c r="SZH230" s="21"/>
      <c r="SZI230" s="21"/>
      <c r="SZL230" s="21"/>
      <c r="SZM230" s="15"/>
      <c r="SZN230" s="15"/>
      <c r="SZO230" s="15"/>
      <c r="SZP230" s="15"/>
      <c r="SZQ230" s="15"/>
      <c r="SZR230" s="15"/>
      <c r="SZS230" s="15"/>
      <c r="SZT230" s="15"/>
      <c r="SZU230" s="15"/>
      <c r="SZV230" s="15"/>
      <c r="SZW230" s="10"/>
      <c r="SZX230" s="10"/>
      <c r="SZY230" s="21"/>
      <c r="SZZ230" s="21"/>
      <c r="TAC230" s="21"/>
      <c r="TAD230" s="15"/>
      <c r="TAE230" s="15"/>
      <c r="TAF230" s="15"/>
      <c r="TAG230" s="15"/>
      <c r="TAH230" s="15"/>
      <c r="TAI230" s="15"/>
      <c r="TAJ230" s="15"/>
      <c r="TAK230" s="15"/>
      <c r="TAL230" s="15"/>
      <c r="TAM230" s="15"/>
      <c r="TAN230" s="10"/>
      <c r="TAO230" s="10"/>
      <c r="TAP230" s="21"/>
      <c r="TAQ230" s="21"/>
      <c r="TAT230" s="21"/>
      <c r="TAU230" s="15"/>
      <c r="TAV230" s="15"/>
      <c r="TAW230" s="15"/>
      <c r="TAX230" s="15"/>
      <c r="TAY230" s="15"/>
      <c r="TAZ230" s="15"/>
      <c r="TBA230" s="15"/>
      <c r="TBB230" s="15"/>
      <c r="TBC230" s="15"/>
      <c r="TBD230" s="15"/>
      <c r="TBE230" s="10"/>
      <c r="TBF230" s="10"/>
      <c r="TBG230" s="21"/>
      <c r="TBH230" s="21"/>
      <c r="TBK230" s="21"/>
      <c r="TBL230" s="15"/>
      <c r="TBM230" s="15"/>
      <c r="TBN230" s="15"/>
      <c r="TBO230" s="15"/>
      <c r="TBP230" s="15"/>
      <c r="TBQ230" s="15"/>
      <c r="TBR230" s="15"/>
      <c r="TBS230" s="15"/>
      <c r="TBT230" s="15"/>
      <c r="TBU230" s="15"/>
      <c r="TBV230" s="10"/>
      <c r="TBW230" s="10"/>
      <c r="TBX230" s="21"/>
      <c r="TBY230" s="21"/>
      <c r="TCB230" s="21"/>
      <c r="TCC230" s="15"/>
      <c r="TCD230" s="15"/>
      <c r="TCE230" s="15"/>
      <c r="TCF230" s="15"/>
      <c r="TCG230" s="15"/>
      <c r="TCH230" s="15"/>
      <c r="TCI230" s="15"/>
      <c r="TCJ230" s="15"/>
      <c r="TCK230" s="15"/>
      <c r="TCL230" s="15"/>
      <c r="TCM230" s="10"/>
      <c r="TCN230" s="10"/>
      <c r="TCO230" s="21"/>
      <c r="TCP230" s="21"/>
      <c r="TCS230" s="21"/>
      <c r="TCT230" s="15"/>
      <c r="TCU230" s="15"/>
      <c r="TCV230" s="15"/>
      <c r="TCW230" s="15"/>
      <c r="TCX230" s="15"/>
      <c r="TCY230" s="15"/>
      <c r="TCZ230" s="15"/>
      <c r="TDA230" s="15"/>
      <c r="TDB230" s="15"/>
      <c r="TDC230" s="15"/>
      <c r="TDD230" s="10"/>
      <c r="TDE230" s="10"/>
      <c r="TDF230" s="21"/>
      <c r="TDG230" s="21"/>
      <c r="TDJ230" s="21"/>
      <c r="TDK230" s="15"/>
      <c r="TDL230" s="15"/>
      <c r="TDM230" s="15"/>
      <c r="TDN230" s="15"/>
      <c r="TDO230" s="15"/>
      <c r="TDP230" s="15"/>
      <c r="TDQ230" s="15"/>
      <c r="TDR230" s="15"/>
      <c r="TDS230" s="15"/>
      <c r="TDT230" s="15"/>
      <c r="TDU230" s="10"/>
      <c r="TDV230" s="10"/>
      <c r="TDW230" s="21"/>
      <c r="TDX230" s="21"/>
      <c r="TEA230" s="21"/>
      <c r="TEB230" s="15"/>
      <c r="TEC230" s="15"/>
      <c r="TED230" s="15"/>
      <c r="TEE230" s="15"/>
      <c r="TEF230" s="15"/>
      <c r="TEG230" s="15"/>
      <c r="TEH230" s="15"/>
      <c r="TEI230" s="15"/>
      <c r="TEJ230" s="15"/>
      <c r="TEK230" s="15"/>
      <c r="TEL230" s="10"/>
      <c r="TEM230" s="10"/>
      <c r="TEN230" s="21"/>
      <c r="TEO230" s="21"/>
      <c r="TER230" s="21"/>
      <c r="TES230" s="15"/>
      <c r="TET230" s="15"/>
      <c r="TEU230" s="15"/>
      <c r="TEV230" s="15"/>
      <c r="TEW230" s="15"/>
      <c r="TEX230" s="15"/>
      <c r="TEY230" s="15"/>
      <c r="TEZ230" s="15"/>
      <c r="TFA230" s="15"/>
      <c r="TFB230" s="15"/>
      <c r="TFC230" s="10"/>
      <c r="TFD230" s="10"/>
      <c r="TFE230" s="21"/>
      <c r="TFF230" s="21"/>
      <c r="TFI230" s="21"/>
      <c r="TFJ230" s="15"/>
      <c r="TFK230" s="15"/>
      <c r="TFL230" s="15"/>
      <c r="TFM230" s="15"/>
      <c r="TFN230" s="15"/>
      <c r="TFO230" s="15"/>
      <c r="TFP230" s="15"/>
      <c r="TFQ230" s="15"/>
      <c r="TFR230" s="15"/>
      <c r="TFS230" s="15"/>
      <c r="TFT230" s="10"/>
      <c r="TFU230" s="10"/>
      <c r="TFV230" s="21"/>
      <c r="TFW230" s="21"/>
      <c r="TFZ230" s="21"/>
      <c r="TGA230" s="15"/>
      <c r="TGB230" s="15"/>
      <c r="TGC230" s="15"/>
      <c r="TGD230" s="15"/>
      <c r="TGE230" s="15"/>
      <c r="TGF230" s="15"/>
      <c r="TGG230" s="15"/>
      <c r="TGH230" s="15"/>
      <c r="TGI230" s="15"/>
      <c r="TGJ230" s="15"/>
      <c r="TGK230" s="10"/>
      <c r="TGL230" s="10"/>
      <c r="TGM230" s="21"/>
      <c r="TGN230" s="21"/>
      <c r="TGQ230" s="21"/>
      <c r="TGR230" s="15"/>
      <c r="TGS230" s="15"/>
      <c r="TGT230" s="15"/>
      <c r="TGU230" s="15"/>
      <c r="TGV230" s="15"/>
      <c r="TGW230" s="15"/>
      <c r="TGX230" s="15"/>
      <c r="TGY230" s="15"/>
      <c r="TGZ230" s="15"/>
      <c r="THA230" s="15"/>
      <c r="THB230" s="10"/>
      <c r="THC230" s="10"/>
      <c r="THD230" s="21"/>
      <c r="THE230" s="21"/>
      <c r="THH230" s="21"/>
      <c r="THI230" s="15"/>
      <c r="THJ230" s="15"/>
      <c r="THK230" s="15"/>
      <c r="THL230" s="15"/>
      <c r="THM230" s="15"/>
      <c r="THN230" s="15"/>
      <c r="THO230" s="15"/>
      <c r="THP230" s="15"/>
      <c r="THQ230" s="15"/>
      <c r="THR230" s="15"/>
      <c r="THS230" s="10"/>
      <c r="THT230" s="10"/>
      <c r="THU230" s="21"/>
      <c r="THV230" s="21"/>
      <c r="THY230" s="21"/>
      <c r="THZ230" s="15"/>
      <c r="TIA230" s="15"/>
      <c r="TIB230" s="15"/>
      <c r="TIC230" s="15"/>
      <c r="TID230" s="15"/>
      <c r="TIE230" s="15"/>
      <c r="TIF230" s="15"/>
      <c r="TIG230" s="15"/>
      <c r="TIH230" s="15"/>
      <c r="TII230" s="15"/>
      <c r="TIJ230" s="10"/>
      <c r="TIK230" s="10"/>
      <c r="TIL230" s="21"/>
      <c r="TIM230" s="21"/>
      <c r="TIP230" s="21"/>
      <c r="TIQ230" s="15"/>
      <c r="TIR230" s="15"/>
      <c r="TIS230" s="15"/>
      <c r="TIT230" s="15"/>
      <c r="TIU230" s="15"/>
      <c r="TIV230" s="15"/>
      <c r="TIW230" s="15"/>
      <c r="TIX230" s="15"/>
      <c r="TIY230" s="15"/>
      <c r="TIZ230" s="15"/>
      <c r="TJA230" s="10"/>
      <c r="TJB230" s="10"/>
      <c r="TJC230" s="21"/>
      <c r="TJD230" s="21"/>
      <c r="TJG230" s="21"/>
      <c r="TJH230" s="15"/>
      <c r="TJI230" s="15"/>
      <c r="TJJ230" s="15"/>
      <c r="TJK230" s="15"/>
      <c r="TJL230" s="15"/>
      <c r="TJM230" s="15"/>
      <c r="TJN230" s="15"/>
      <c r="TJO230" s="15"/>
      <c r="TJP230" s="15"/>
      <c r="TJQ230" s="15"/>
      <c r="TJR230" s="10"/>
      <c r="TJS230" s="10"/>
      <c r="TJT230" s="21"/>
      <c r="TJU230" s="21"/>
      <c r="TJX230" s="21"/>
      <c r="TJY230" s="15"/>
      <c r="TJZ230" s="15"/>
      <c r="TKA230" s="15"/>
      <c r="TKB230" s="15"/>
      <c r="TKC230" s="15"/>
      <c r="TKD230" s="15"/>
      <c r="TKE230" s="15"/>
      <c r="TKF230" s="15"/>
      <c r="TKG230" s="15"/>
      <c r="TKH230" s="15"/>
      <c r="TKI230" s="10"/>
      <c r="TKJ230" s="10"/>
      <c r="TKK230" s="21"/>
      <c r="TKL230" s="21"/>
      <c r="TKO230" s="21"/>
      <c r="TKP230" s="15"/>
      <c r="TKQ230" s="15"/>
      <c r="TKR230" s="15"/>
      <c r="TKS230" s="15"/>
      <c r="TKT230" s="15"/>
      <c r="TKU230" s="15"/>
      <c r="TKV230" s="15"/>
      <c r="TKW230" s="15"/>
      <c r="TKX230" s="15"/>
      <c r="TKY230" s="15"/>
      <c r="TKZ230" s="10"/>
      <c r="TLA230" s="10"/>
      <c r="TLB230" s="21"/>
      <c r="TLC230" s="21"/>
      <c r="TLF230" s="21"/>
      <c r="TLG230" s="15"/>
      <c r="TLH230" s="15"/>
      <c r="TLI230" s="15"/>
      <c r="TLJ230" s="15"/>
      <c r="TLK230" s="15"/>
      <c r="TLL230" s="15"/>
      <c r="TLM230" s="15"/>
      <c r="TLN230" s="15"/>
      <c r="TLO230" s="15"/>
      <c r="TLP230" s="15"/>
      <c r="TLQ230" s="10"/>
      <c r="TLR230" s="10"/>
      <c r="TLS230" s="21"/>
      <c r="TLT230" s="21"/>
      <c r="TLW230" s="21"/>
      <c r="TLX230" s="15"/>
      <c r="TLY230" s="15"/>
      <c r="TLZ230" s="15"/>
      <c r="TMA230" s="15"/>
      <c r="TMB230" s="15"/>
      <c r="TMC230" s="15"/>
      <c r="TMD230" s="15"/>
      <c r="TME230" s="15"/>
      <c r="TMF230" s="15"/>
      <c r="TMG230" s="15"/>
      <c r="TMH230" s="10"/>
      <c r="TMI230" s="10"/>
      <c r="TMJ230" s="21"/>
      <c r="TMK230" s="21"/>
      <c r="TMN230" s="21"/>
      <c r="TMO230" s="15"/>
      <c r="TMP230" s="15"/>
      <c r="TMQ230" s="15"/>
      <c r="TMR230" s="15"/>
      <c r="TMS230" s="15"/>
      <c r="TMT230" s="15"/>
      <c r="TMU230" s="15"/>
      <c r="TMV230" s="15"/>
      <c r="TMW230" s="15"/>
      <c r="TMX230" s="15"/>
      <c r="TMY230" s="10"/>
      <c r="TMZ230" s="10"/>
      <c r="TNA230" s="21"/>
      <c r="TNB230" s="21"/>
      <c r="TNE230" s="21"/>
      <c r="TNF230" s="15"/>
      <c r="TNG230" s="15"/>
      <c r="TNH230" s="15"/>
      <c r="TNI230" s="15"/>
      <c r="TNJ230" s="15"/>
      <c r="TNK230" s="15"/>
      <c r="TNL230" s="15"/>
      <c r="TNM230" s="15"/>
      <c r="TNN230" s="15"/>
      <c r="TNO230" s="15"/>
      <c r="TNP230" s="10"/>
      <c r="TNQ230" s="10"/>
      <c r="TNR230" s="21"/>
      <c r="TNS230" s="21"/>
      <c r="TNV230" s="21"/>
      <c r="TNW230" s="15"/>
      <c r="TNX230" s="15"/>
      <c r="TNY230" s="15"/>
      <c r="TNZ230" s="15"/>
      <c r="TOA230" s="15"/>
      <c r="TOB230" s="15"/>
      <c r="TOC230" s="15"/>
      <c r="TOD230" s="15"/>
      <c r="TOE230" s="15"/>
      <c r="TOF230" s="15"/>
      <c r="TOG230" s="10"/>
      <c r="TOH230" s="10"/>
      <c r="TOI230" s="21"/>
      <c r="TOJ230" s="21"/>
      <c r="TOM230" s="21"/>
      <c r="TON230" s="15"/>
      <c r="TOO230" s="15"/>
      <c r="TOP230" s="15"/>
      <c r="TOQ230" s="15"/>
      <c r="TOR230" s="15"/>
      <c r="TOS230" s="15"/>
      <c r="TOT230" s="15"/>
      <c r="TOU230" s="15"/>
      <c r="TOV230" s="15"/>
      <c r="TOW230" s="15"/>
      <c r="TOX230" s="10"/>
      <c r="TOY230" s="10"/>
      <c r="TOZ230" s="21"/>
      <c r="TPA230" s="21"/>
      <c r="TPD230" s="21"/>
      <c r="TPE230" s="15"/>
      <c r="TPF230" s="15"/>
      <c r="TPG230" s="15"/>
      <c r="TPH230" s="15"/>
      <c r="TPI230" s="15"/>
      <c r="TPJ230" s="15"/>
      <c r="TPK230" s="15"/>
      <c r="TPL230" s="15"/>
      <c r="TPM230" s="15"/>
      <c r="TPN230" s="15"/>
      <c r="TPO230" s="10"/>
      <c r="TPP230" s="10"/>
      <c r="TPQ230" s="21"/>
      <c r="TPR230" s="21"/>
      <c r="TPU230" s="21"/>
      <c r="TPV230" s="15"/>
      <c r="TPW230" s="15"/>
      <c r="TPX230" s="15"/>
      <c r="TPY230" s="15"/>
      <c r="TPZ230" s="15"/>
      <c r="TQA230" s="15"/>
      <c r="TQB230" s="15"/>
      <c r="TQC230" s="15"/>
      <c r="TQD230" s="15"/>
      <c r="TQE230" s="15"/>
      <c r="TQF230" s="10"/>
      <c r="TQG230" s="10"/>
      <c r="TQH230" s="21"/>
      <c r="TQI230" s="21"/>
      <c r="TQL230" s="21"/>
      <c r="TQM230" s="15"/>
      <c r="TQN230" s="15"/>
      <c r="TQO230" s="15"/>
      <c r="TQP230" s="15"/>
      <c r="TQQ230" s="15"/>
      <c r="TQR230" s="15"/>
      <c r="TQS230" s="15"/>
      <c r="TQT230" s="15"/>
      <c r="TQU230" s="15"/>
      <c r="TQV230" s="15"/>
      <c r="TQW230" s="10"/>
      <c r="TQX230" s="10"/>
      <c r="TQY230" s="21"/>
      <c r="TQZ230" s="21"/>
      <c r="TRC230" s="21"/>
      <c r="TRD230" s="15"/>
      <c r="TRE230" s="15"/>
      <c r="TRF230" s="15"/>
      <c r="TRG230" s="15"/>
      <c r="TRH230" s="15"/>
      <c r="TRI230" s="15"/>
      <c r="TRJ230" s="15"/>
      <c r="TRK230" s="15"/>
      <c r="TRL230" s="15"/>
      <c r="TRM230" s="15"/>
      <c r="TRN230" s="10"/>
      <c r="TRO230" s="10"/>
      <c r="TRP230" s="21"/>
      <c r="TRQ230" s="21"/>
      <c r="TRT230" s="21"/>
      <c r="TRU230" s="15"/>
      <c r="TRV230" s="15"/>
      <c r="TRW230" s="15"/>
      <c r="TRX230" s="15"/>
      <c r="TRY230" s="15"/>
      <c r="TRZ230" s="15"/>
      <c r="TSA230" s="15"/>
      <c r="TSB230" s="15"/>
      <c r="TSC230" s="15"/>
      <c r="TSD230" s="15"/>
      <c r="TSE230" s="10"/>
      <c r="TSF230" s="10"/>
      <c r="TSG230" s="21"/>
      <c r="TSH230" s="21"/>
      <c r="TSK230" s="21"/>
      <c r="TSL230" s="15"/>
      <c r="TSM230" s="15"/>
      <c r="TSN230" s="15"/>
      <c r="TSO230" s="15"/>
      <c r="TSP230" s="15"/>
      <c r="TSQ230" s="15"/>
      <c r="TSR230" s="15"/>
      <c r="TSS230" s="15"/>
      <c r="TST230" s="15"/>
      <c r="TSU230" s="15"/>
      <c r="TSV230" s="10"/>
      <c r="TSW230" s="10"/>
      <c r="TSX230" s="21"/>
      <c r="TSY230" s="21"/>
      <c r="TTB230" s="21"/>
      <c r="TTC230" s="15"/>
      <c r="TTD230" s="15"/>
      <c r="TTE230" s="15"/>
      <c r="TTF230" s="15"/>
      <c r="TTG230" s="15"/>
      <c r="TTH230" s="15"/>
      <c r="TTI230" s="15"/>
      <c r="TTJ230" s="15"/>
      <c r="TTK230" s="15"/>
      <c r="TTL230" s="15"/>
      <c r="TTM230" s="10"/>
      <c r="TTN230" s="10"/>
      <c r="TTO230" s="21"/>
      <c r="TTP230" s="21"/>
      <c r="TTS230" s="21"/>
      <c r="TTT230" s="15"/>
      <c r="TTU230" s="15"/>
      <c r="TTV230" s="15"/>
      <c r="TTW230" s="15"/>
      <c r="TTX230" s="15"/>
      <c r="TTY230" s="15"/>
      <c r="TTZ230" s="15"/>
      <c r="TUA230" s="15"/>
      <c r="TUB230" s="15"/>
      <c r="TUC230" s="15"/>
      <c r="TUD230" s="10"/>
      <c r="TUE230" s="10"/>
      <c r="TUF230" s="21"/>
      <c r="TUG230" s="21"/>
      <c r="TUJ230" s="21"/>
      <c r="TUK230" s="15"/>
      <c r="TUL230" s="15"/>
      <c r="TUM230" s="15"/>
      <c r="TUN230" s="15"/>
      <c r="TUO230" s="15"/>
      <c r="TUP230" s="15"/>
      <c r="TUQ230" s="15"/>
      <c r="TUR230" s="15"/>
      <c r="TUS230" s="15"/>
      <c r="TUT230" s="15"/>
      <c r="TUU230" s="10"/>
      <c r="TUV230" s="10"/>
      <c r="TUW230" s="21"/>
      <c r="TUX230" s="21"/>
      <c r="TVA230" s="21"/>
      <c r="TVB230" s="15"/>
      <c r="TVC230" s="15"/>
      <c r="TVD230" s="15"/>
      <c r="TVE230" s="15"/>
      <c r="TVF230" s="15"/>
      <c r="TVG230" s="15"/>
      <c r="TVH230" s="15"/>
      <c r="TVI230" s="15"/>
      <c r="TVJ230" s="15"/>
      <c r="TVK230" s="15"/>
      <c r="TVL230" s="10"/>
      <c r="TVM230" s="10"/>
      <c r="TVN230" s="21"/>
      <c r="TVO230" s="21"/>
      <c r="TVR230" s="21"/>
      <c r="TVS230" s="15"/>
      <c r="TVT230" s="15"/>
      <c r="TVU230" s="15"/>
      <c r="TVV230" s="15"/>
      <c r="TVW230" s="15"/>
      <c r="TVX230" s="15"/>
      <c r="TVY230" s="15"/>
      <c r="TVZ230" s="15"/>
      <c r="TWA230" s="15"/>
      <c r="TWB230" s="15"/>
      <c r="TWC230" s="10"/>
      <c r="TWD230" s="10"/>
      <c r="TWE230" s="21"/>
      <c r="TWF230" s="21"/>
      <c r="TWI230" s="21"/>
      <c r="TWJ230" s="15"/>
      <c r="TWK230" s="15"/>
      <c r="TWL230" s="15"/>
      <c r="TWM230" s="15"/>
      <c r="TWN230" s="15"/>
      <c r="TWO230" s="15"/>
      <c r="TWP230" s="15"/>
      <c r="TWQ230" s="15"/>
      <c r="TWR230" s="15"/>
      <c r="TWS230" s="15"/>
      <c r="TWT230" s="10"/>
      <c r="TWU230" s="10"/>
      <c r="TWV230" s="21"/>
      <c r="TWW230" s="21"/>
      <c r="TWZ230" s="21"/>
      <c r="TXA230" s="15"/>
      <c r="TXB230" s="15"/>
      <c r="TXC230" s="15"/>
      <c r="TXD230" s="15"/>
      <c r="TXE230" s="15"/>
      <c r="TXF230" s="15"/>
      <c r="TXG230" s="15"/>
      <c r="TXH230" s="15"/>
      <c r="TXI230" s="15"/>
      <c r="TXJ230" s="15"/>
      <c r="TXK230" s="10"/>
      <c r="TXL230" s="10"/>
      <c r="TXM230" s="21"/>
      <c r="TXN230" s="21"/>
      <c r="TXQ230" s="21"/>
      <c r="TXR230" s="15"/>
      <c r="TXS230" s="15"/>
      <c r="TXT230" s="15"/>
      <c r="TXU230" s="15"/>
      <c r="TXV230" s="15"/>
      <c r="TXW230" s="15"/>
      <c r="TXX230" s="15"/>
      <c r="TXY230" s="15"/>
      <c r="TXZ230" s="15"/>
      <c r="TYA230" s="15"/>
      <c r="TYB230" s="10"/>
      <c r="TYC230" s="10"/>
      <c r="TYD230" s="21"/>
      <c r="TYE230" s="21"/>
      <c r="TYH230" s="21"/>
      <c r="TYI230" s="15"/>
      <c r="TYJ230" s="15"/>
      <c r="TYK230" s="15"/>
      <c r="TYL230" s="15"/>
      <c r="TYM230" s="15"/>
      <c r="TYN230" s="15"/>
      <c r="TYO230" s="15"/>
      <c r="TYP230" s="15"/>
      <c r="TYQ230" s="15"/>
      <c r="TYR230" s="15"/>
      <c r="TYS230" s="10"/>
      <c r="TYT230" s="10"/>
      <c r="TYU230" s="21"/>
      <c r="TYV230" s="21"/>
      <c r="TYY230" s="21"/>
      <c r="TYZ230" s="15"/>
      <c r="TZA230" s="15"/>
      <c r="TZB230" s="15"/>
      <c r="TZC230" s="15"/>
      <c r="TZD230" s="15"/>
      <c r="TZE230" s="15"/>
      <c r="TZF230" s="15"/>
      <c r="TZG230" s="15"/>
      <c r="TZH230" s="15"/>
      <c r="TZI230" s="15"/>
      <c r="TZJ230" s="10"/>
      <c r="TZK230" s="10"/>
      <c r="TZL230" s="21"/>
      <c r="TZM230" s="21"/>
      <c r="TZP230" s="21"/>
      <c r="TZQ230" s="15"/>
      <c r="TZR230" s="15"/>
      <c r="TZS230" s="15"/>
      <c r="TZT230" s="15"/>
      <c r="TZU230" s="15"/>
      <c r="TZV230" s="15"/>
      <c r="TZW230" s="15"/>
      <c r="TZX230" s="15"/>
      <c r="TZY230" s="15"/>
      <c r="TZZ230" s="15"/>
      <c r="UAA230" s="10"/>
      <c r="UAB230" s="10"/>
      <c r="UAC230" s="21"/>
      <c r="UAD230" s="21"/>
      <c r="UAG230" s="21"/>
      <c r="UAH230" s="15"/>
      <c r="UAI230" s="15"/>
      <c r="UAJ230" s="15"/>
      <c r="UAK230" s="15"/>
      <c r="UAL230" s="15"/>
      <c r="UAM230" s="15"/>
      <c r="UAN230" s="15"/>
      <c r="UAO230" s="15"/>
      <c r="UAP230" s="15"/>
      <c r="UAQ230" s="15"/>
      <c r="UAR230" s="10"/>
      <c r="UAS230" s="10"/>
      <c r="UAT230" s="21"/>
      <c r="UAU230" s="21"/>
      <c r="UAX230" s="21"/>
      <c r="UAY230" s="15"/>
      <c r="UAZ230" s="15"/>
      <c r="UBA230" s="15"/>
      <c r="UBB230" s="15"/>
      <c r="UBC230" s="15"/>
      <c r="UBD230" s="15"/>
      <c r="UBE230" s="15"/>
      <c r="UBF230" s="15"/>
      <c r="UBG230" s="15"/>
      <c r="UBH230" s="15"/>
      <c r="UBI230" s="10"/>
      <c r="UBJ230" s="10"/>
      <c r="UBK230" s="21"/>
      <c r="UBL230" s="21"/>
      <c r="UBO230" s="21"/>
      <c r="UBP230" s="15"/>
      <c r="UBQ230" s="15"/>
      <c r="UBR230" s="15"/>
      <c r="UBS230" s="15"/>
      <c r="UBT230" s="15"/>
      <c r="UBU230" s="15"/>
      <c r="UBV230" s="15"/>
      <c r="UBW230" s="15"/>
      <c r="UBX230" s="15"/>
      <c r="UBY230" s="15"/>
      <c r="UBZ230" s="10"/>
      <c r="UCA230" s="10"/>
      <c r="UCB230" s="21"/>
      <c r="UCC230" s="21"/>
      <c r="UCF230" s="21"/>
      <c r="UCG230" s="15"/>
      <c r="UCH230" s="15"/>
      <c r="UCI230" s="15"/>
      <c r="UCJ230" s="15"/>
      <c r="UCK230" s="15"/>
      <c r="UCL230" s="15"/>
      <c r="UCM230" s="15"/>
      <c r="UCN230" s="15"/>
      <c r="UCO230" s="15"/>
      <c r="UCP230" s="15"/>
      <c r="UCQ230" s="10"/>
      <c r="UCR230" s="10"/>
      <c r="UCS230" s="21"/>
      <c r="UCT230" s="21"/>
      <c r="UCW230" s="21"/>
      <c r="UCX230" s="15"/>
      <c r="UCY230" s="15"/>
      <c r="UCZ230" s="15"/>
      <c r="UDA230" s="15"/>
      <c r="UDB230" s="15"/>
      <c r="UDC230" s="15"/>
      <c r="UDD230" s="15"/>
      <c r="UDE230" s="15"/>
      <c r="UDF230" s="15"/>
      <c r="UDG230" s="15"/>
      <c r="UDH230" s="10"/>
      <c r="UDI230" s="10"/>
      <c r="UDJ230" s="21"/>
      <c r="UDK230" s="21"/>
      <c r="UDN230" s="21"/>
      <c r="UDO230" s="15"/>
      <c r="UDP230" s="15"/>
      <c r="UDQ230" s="15"/>
      <c r="UDR230" s="15"/>
      <c r="UDS230" s="15"/>
      <c r="UDT230" s="15"/>
      <c r="UDU230" s="15"/>
      <c r="UDV230" s="15"/>
      <c r="UDW230" s="15"/>
      <c r="UDX230" s="15"/>
      <c r="UDY230" s="10"/>
      <c r="UDZ230" s="10"/>
      <c r="UEA230" s="21"/>
      <c r="UEB230" s="21"/>
      <c r="UEE230" s="21"/>
      <c r="UEF230" s="15"/>
      <c r="UEG230" s="15"/>
      <c r="UEH230" s="15"/>
      <c r="UEI230" s="15"/>
      <c r="UEJ230" s="15"/>
      <c r="UEK230" s="15"/>
      <c r="UEL230" s="15"/>
      <c r="UEM230" s="15"/>
      <c r="UEN230" s="15"/>
      <c r="UEO230" s="15"/>
      <c r="UEP230" s="10"/>
      <c r="UEQ230" s="10"/>
      <c r="UER230" s="21"/>
      <c r="UES230" s="21"/>
      <c r="UEV230" s="21"/>
      <c r="UEW230" s="15"/>
      <c r="UEX230" s="15"/>
      <c r="UEY230" s="15"/>
      <c r="UEZ230" s="15"/>
      <c r="UFA230" s="15"/>
      <c r="UFB230" s="15"/>
      <c r="UFC230" s="15"/>
      <c r="UFD230" s="15"/>
      <c r="UFE230" s="15"/>
      <c r="UFF230" s="15"/>
      <c r="UFG230" s="10"/>
      <c r="UFH230" s="10"/>
      <c r="UFI230" s="21"/>
      <c r="UFJ230" s="21"/>
      <c r="UFM230" s="21"/>
      <c r="UFN230" s="15"/>
      <c r="UFO230" s="15"/>
      <c r="UFP230" s="15"/>
      <c r="UFQ230" s="15"/>
      <c r="UFR230" s="15"/>
      <c r="UFS230" s="15"/>
      <c r="UFT230" s="15"/>
      <c r="UFU230" s="15"/>
      <c r="UFV230" s="15"/>
      <c r="UFW230" s="15"/>
      <c r="UFX230" s="10"/>
      <c r="UFY230" s="10"/>
      <c r="UFZ230" s="21"/>
      <c r="UGA230" s="21"/>
      <c r="UGD230" s="21"/>
      <c r="UGE230" s="15"/>
      <c r="UGF230" s="15"/>
      <c r="UGG230" s="15"/>
      <c r="UGH230" s="15"/>
      <c r="UGI230" s="15"/>
      <c r="UGJ230" s="15"/>
      <c r="UGK230" s="15"/>
      <c r="UGL230" s="15"/>
      <c r="UGM230" s="15"/>
      <c r="UGN230" s="15"/>
      <c r="UGO230" s="10"/>
      <c r="UGP230" s="10"/>
      <c r="UGQ230" s="21"/>
      <c r="UGR230" s="21"/>
      <c r="UGU230" s="21"/>
      <c r="UGV230" s="15"/>
      <c r="UGW230" s="15"/>
      <c r="UGX230" s="15"/>
      <c r="UGY230" s="15"/>
      <c r="UGZ230" s="15"/>
      <c r="UHA230" s="15"/>
      <c r="UHB230" s="15"/>
      <c r="UHC230" s="15"/>
      <c r="UHD230" s="15"/>
      <c r="UHE230" s="15"/>
      <c r="UHF230" s="10"/>
      <c r="UHG230" s="10"/>
      <c r="UHH230" s="21"/>
      <c r="UHI230" s="21"/>
      <c r="UHL230" s="21"/>
      <c r="UHM230" s="15"/>
      <c r="UHN230" s="15"/>
      <c r="UHO230" s="15"/>
      <c r="UHP230" s="15"/>
      <c r="UHQ230" s="15"/>
      <c r="UHR230" s="15"/>
      <c r="UHS230" s="15"/>
      <c r="UHT230" s="15"/>
      <c r="UHU230" s="15"/>
      <c r="UHV230" s="15"/>
      <c r="UHW230" s="10"/>
      <c r="UHX230" s="10"/>
      <c r="UHY230" s="21"/>
      <c r="UHZ230" s="21"/>
      <c r="UIC230" s="21"/>
      <c r="UID230" s="15"/>
      <c r="UIE230" s="15"/>
      <c r="UIF230" s="15"/>
      <c r="UIG230" s="15"/>
      <c r="UIH230" s="15"/>
      <c r="UII230" s="15"/>
      <c r="UIJ230" s="15"/>
      <c r="UIK230" s="15"/>
      <c r="UIL230" s="15"/>
      <c r="UIM230" s="15"/>
      <c r="UIN230" s="10"/>
      <c r="UIO230" s="10"/>
      <c r="UIP230" s="21"/>
      <c r="UIQ230" s="21"/>
      <c r="UIT230" s="21"/>
      <c r="UIU230" s="15"/>
      <c r="UIV230" s="15"/>
      <c r="UIW230" s="15"/>
      <c r="UIX230" s="15"/>
      <c r="UIY230" s="15"/>
      <c r="UIZ230" s="15"/>
      <c r="UJA230" s="15"/>
      <c r="UJB230" s="15"/>
      <c r="UJC230" s="15"/>
      <c r="UJD230" s="15"/>
      <c r="UJE230" s="10"/>
      <c r="UJF230" s="10"/>
      <c r="UJG230" s="21"/>
      <c r="UJH230" s="21"/>
      <c r="UJK230" s="21"/>
      <c r="UJL230" s="15"/>
      <c r="UJM230" s="15"/>
      <c r="UJN230" s="15"/>
      <c r="UJO230" s="15"/>
      <c r="UJP230" s="15"/>
      <c r="UJQ230" s="15"/>
      <c r="UJR230" s="15"/>
      <c r="UJS230" s="15"/>
      <c r="UJT230" s="15"/>
      <c r="UJU230" s="15"/>
      <c r="UJV230" s="10"/>
      <c r="UJW230" s="10"/>
      <c r="UJX230" s="21"/>
      <c r="UJY230" s="21"/>
      <c r="UKB230" s="21"/>
      <c r="UKC230" s="15"/>
      <c r="UKD230" s="15"/>
      <c r="UKE230" s="15"/>
      <c r="UKF230" s="15"/>
      <c r="UKG230" s="15"/>
      <c r="UKH230" s="15"/>
      <c r="UKI230" s="15"/>
      <c r="UKJ230" s="15"/>
      <c r="UKK230" s="15"/>
      <c r="UKL230" s="15"/>
      <c r="UKM230" s="10"/>
      <c r="UKN230" s="10"/>
      <c r="UKO230" s="21"/>
      <c r="UKP230" s="21"/>
      <c r="UKS230" s="21"/>
      <c r="UKT230" s="15"/>
      <c r="UKU230" s="15"/>
      <c r="UKV230" s="15"/>
      <c r="UKW230" s="15"/>
      <c r="UKX230" s="15"/>
      <c r="UKY230" s="15"/>
      <c r="UKZ230" s="15"/>
      <c r="ULA230" s="15"/>
      <c r="ULB230" s="15"/>
      <c r="ULC230" s="15"/>
      <c r="ULD230" s="10"/>
      <c r="ULE230" s="10"/>
      <c r="ULF230" s="21"/>
      <c r="ULG230" s="21"/>
      <c r="ULJ230" s="21"/>
      <c r="ULK230" s="15"/>
      <c r="ULL230" s="15"/>
      <c r="ULM230" s="15"/>
      <c r="ULN230" s="15"/>
      <c r="ULO230" s="15"/>
      <c r="ULP230" s="15"/>
      <c r="ULQ230" s="15"/>
      <c r="ULR230" s="15"/>
      <c r="ULS230" s="15"/>
      <c r="ULT230" s="15"/>
      <c r="ULU230" s="10"/>
      <c r="ULV230" s="10"/>
      <c r="ULW230" s="21"/>
      <c r="ULX230" s="21"/>
      <c r="UMA230" s="21"/>
      <c r="UMB230" s="15"/>
      <c r="UMC230" s="15"/>
      <c r="UMD230" s="15"/>
      <c r="UME230" s="15"/>
      <c r="UMF230" s="15"/>
      <c r="UMG230" s="15"/>
      <c r="UMH230" s="15"/>
      <c r="UMI230" s="15"/>
      <c r="UMJ230" s="15"/>
      <c r="UMK230" s="15"/>
      <c r="UML230" s="10"/>
      <c r="UMM230" s="10"/>
      <c r="UMN230" s="21"/>
      <c r="UMO230" s="21"/>
      <c r="UMR230" s="21"/>
      <c r="UMS230" s="15"/>
      <c r="UMT230" s="15"/>
      <c r="UMU230" s="15"/>
      <c r="UMV230" s="15"/>
      <c r="UMW230" s="15"/>
      <c r="UMX230" s="15"/>
      <c r="UMY230" s="15"/>
      <c r="UMZ230" s="15"/>
      <c r="UNA230" s="15"/>
      <c r="UNB230" s="15"/>
      <c r="UNC230" s="10"/>
      <c r="UND230" s="10"/>
      <c r="UNE230" s="21"/>
      <c r="UNF230" s="21"/>
      <c r="UNI230" s="21"/>
      <c r="UNJ230" s="15"/>
      <c r="UNK230" s="15"/>
      <c r="UNL230" s="15"/>
      <c r="UNM230" s="15"/>
      <c r="UNN230" s="15"/>
      <c r="UNO230" s="15"/>
      <c r="UNP230" s="15"/>
      <c r="UNQ230" s="15"/>
      <c r="UNR230" s="15"/>
      <c r="UNS230" s="15"/>
      <c r="UNT230" s="10"/>
      <c r="UNU230" s="10"/>
      <c r="UNV230" s="21"/>
      <c r="UNW230" s="21"/>
      <c r="UNZ230" s="21"/>
      <c r="UOA230" s="15"/>
      <c r="UOB230" s="15"/>
      <c r="UOC230" s="15"/>
      <c r="UOD230" s="15"/>
      <c r="UOE230" s="15"/>
      <c r="UOF230" s="15"/>
      <c r="UOG230" s="15"/>
      <c r="UOH230" s="15"/>
      <c r="UOI230" s="15"/>
      <c r="UOJ230" s="15"/>
      <c r="UOK230" s="10"/>
      <c r="UOL230" s="10"/>
      <c r="UOM230" s="21"/>
      <c r="UON230" s="21"/>
      <c r="UOQ230" s="21"/>
      <c r="UOR230" s="15"/>
      <c r="UOS230" s="15"/>
      <c r="UOT230" s="15"/>
      <c r="UOU230" s="15"/>
      <c r="UOV230" s="15"/>
      <c r="UOW230" s="15"/>
      <c r="UOX230" s="15"/>
      <c r="UOY230" s="15"/>
      <c r="UOZ230" s="15"/>
      <c r="UPA230" s="15"/>
      <c r="UPB230" s="10"/>
      <c r="UPC230" s="10"/>
      <c r="UPD230" s="21"/>
      <c r="UPE230" s="21"/>
      <c r="UPH230" s="21"/>
      <c r="UPI230" s="15"/>
      <c r="UPJ230" s="15"/>
      <c r="UPK230" s="15"/>
      <c r="UPL230" s="15"/>
      <c r="UPM230" s="15"/>
      <c r="UPN230" s="15"/>
      <c r="UPO230" s="15"/>
      <c r="UPP230" s="15"/>
      <c r="UPQ230" s="15"/>
      <c r="UPR230" s="15"/>
      <c r="UPS230" s="10"/>
      <c r="UPT230" s="10"/>
      <c r="UPU230" s="21"/>
      <c r="UPV230" s="21"/>
      <c r="UPY230" s="21"/>
      <c r="UPZ230" s="15"/>
      <c r="UQA230" s="15"/>
      <c r="UQB230" s="15"/>
      <c r="UQC230" s="15"/>
      <c r="UQD230" s="15"/>
      <c r="UQE230" s="15"/>
      <c r="UQF230" s="15"/>
      <c r="UQG230" s="15"/>
      <c r="UQH230" s="15"/>
      <c r="UQI230" s="15"/>
      <c r="UQJ230" s="10"/>
      <c r="UQK230" s="10"/>
      <c r="UQL230" s="21"/>
      <c r="UQM230" s="21"/>
      <c r="UQP230" s="21"/>
      <c r="UQQ230" s="15"/>
      <c r="UQR230" s="15"/>
      <c r="UQS230" s="15"/>
      <c r="UQT230" s="15"/>
      <c r="UQU230" s="15"/>
      <c r="UQV230" s="15"/>
      <c r="UQW230" s="15"/>
      <c r="UQX230" s="15"/>
      <c r="UQY230" s="15"/>
      <c r="UQZ230" s="15"/>
      <c r="URA230" s="10"/>
      <c r="URB230" s="10"/>
      <c r="URC230" s="21"/>
      <c r="URD230" s="21"/>
      <c r="URG230" s="21"/>
      <c r="URH230" s="15"/>
      <c r="URI230" s="15"/>
      <c r="URJ230" s="15"/>
      <c r="URK230" s="15"/>
      <c r="URL230" s="15"/>
      <c r="URM230" s="15"/>
      <c r="URN230" s="15"/>
      <c r="URO230" s="15"/>
      <c r="URP230" s="15"/>
      <c r="URQ230" s="15"/>
      <c r="URR230" s="10"/>
      <c r="URS230" s="10"/>
      <c r="URT230" s="21"/>
      <c r="URU230" s="21"/>
      <c r="URX230" s="21"/>
      <c r="URY230" s="15"/>
      <c r="URZ230" s="15"/>
      <c r="USA230" s="15"/>
      <c r="USB230" s="15"/>
      <c r="USC230" s="15"/>
      <c r="USD230" s="15"/>
      <c r="USE230" s="15"/>
      <c r="USF230" s="15"/>
      <c r="USG230" s="15"/>
      <c r="USH230" s="15"/>
      <c r="USI230" s="10"/>
      <c r="USJ230" s="10"/>
      <c r="USK230" s="21"/>
      <c r="USL230" s="21"/>
      <c r="USO230" s="21"/>
      <c r="USP230" s="15"/>
      <c r="USQ230" s="15"/>
      <c r="USR230" s="15"/>
      <c r="USS230" s="15"/>
      <c r="UST230" s="15"/>
      <c r="USU230" s="15"/>
      <c r="USV230" s="15"/>
      <c r="USW230" s="15"/>
      <c r="USX230" s="15"/>
      <c r="USY230" s="15"/>
      <c r="USZ230" s="10"/>
      <c r="UTA230" s="10"/>
      <c r="UTB230" s="21"/>
      <c r="UTC230" s="21"/>
      <c r="UTF230" s="21"/>
      <c r="UTG230" s="15"/>
      <c r="UTH230" s="15"/>
      <c r="UTI230" s="15"/>
      <c r="UTJ230" s="15"/>
      <c r="UTK230" s="15"/>
      <c r="UTL230" s="15"/>
      <c r="UTM230" s="15"/>
      <c r="UTN230" s="15"/>
      <c r="UTO230" s="15"/>
      <c r="UTP230" s="15"/>
      <c r="UTQ230" s="10"/>
      <c r="UTR230" s="10"/>
      <c r="UTS230" s="21"/>
      <c r="UTT230" s="21"/>
      <c r="UTW230" s="21"/>
      <c r="UTX230" s="15"/>
      <c r="UTY230" s="15"/>
      <c r="UTZ230" s="15"/>
      <c r="UUA230" s="15"/>
      <c r="UUB230" s="15"/>
      <c r="UUC230" s="15"/>
      <c r="UUD230" s="15"/>
      <c r="UUE230" s="15"/>
      <c r="UUF230" s="15"/>
      <c r="UUG230" s="15"/>
      <c r="UUH230" s="10"/>
      <c r="UUI230" s="10"/>
      <c r="UUJ230" s="21"/>
      <c r="UUK230" s="21"/>
      <c r="UUN230" s="21"/>
      <c r="UUO230" s="15"/>
      <c r="UUP230" s="15"/>
      <c r="UUQ230" s="15"/>
      <c r="UUR230" s="15"/>
      <c r="UUS230" s="15"/>
      <c r="UUT230" s="15"/>
      <c r="UUU230" s="15"/>
      <c r="UUV230" s="15"/>
      <c r="UUW230" s="15"/>
      <c r="UUX230" s="15"/>
      <c r="UUY230" s="10"/>
      <c r="UUZ230" s="10"/>
      <c r="UVA230" s="21"/>
      <c r="UVB230" s="21"/>
      <c r="UVE230" s="21"/>
      <c r="UVF230" s="15"/>
      <c r="UVG230" s="15"/>
      <c r="UVH230" s="15"/>
      <c r="UVI230" s="15"/>
      <c r="UVJ230" s="15"/>
      <c r="UVK230" s="15"/>
      <c r="UVL230" s="15"/>
      <c r="UVM230" s="15"/>
      <c r="UVN230" s="15"/>
      <c r="UVO230" s="15"/>
      <c r="UVP230" s="10"/>
      <c r="UVQ230" s="10"/>
      <c r="UVR230" s="21"/>
      <c r="UVS230" s="21"/>
      <c r="UVV230" s="21"/>
      <c r="UVW230" s="15"/>
      <c r="UVX230" s="15"/>
      <c r="UVY230" s="15"/>
      <c r="UVZ230" s="15"/>
      <c r="UWA230" s="15"/>
      <c r="UWB230" s="15"/>
      <c r="UWC230" s="15"/>
      <c r="UWD230" s="15"/>
      <c r="UWE230" s="15"/>
      <c r="UWF230" s="15"/>
      <c r="UWG230" s="10"/>
      <c r="UWH230" s="10"/>
      <c r="UWI230" s="21"/>
      <c r="UWJ230" s="21"/>
      <c r="UWM230" s="21"/>
      <c r="UWN230" s="15"/>
      <c r="UWO230" s="15"/>
      <c r="UWP230" s="15"/>
      <c r="UWQ230" s="15"/>
      <c r="UWR230" s="15"/>
      <c r="UWS230" s="15"/>
      <c r="UWT230" s="15"/>
      <c r="UWU230" s="15"/>
      <c r="UWV230" s="15"/>
      <c r="UWW230" s="15"/>
      <c r="UWX230" s="10"/>
      <c r="UWY230" s="10"/>
      <c r="UWZ230" s="21"/>
      <c r="UXA230" s="21"/>
      <c r="UXD230" s="21"/>
      <c r="UXE230" s="15"/>
      <c r="UXF230" s="15"/>
      <c r="UXG230" s="15"/>
      <c r="UXH230" s="15"/>
      <c r="UXI230" s="15"/>
      <c r="UXJ230" s="15"/>
      <c r="UXK230" s="15"/>
      <c r="UXL230" s="15"/>
      <c r="UXM230" s="15"/>
      <c r="UXN230" s="15"/>
      <c r="UXO230" s="10"/>
      <c r="UXP230" s="10"/>
      <c r="UXQ230" s="21"/>
      <c r="UXR230" s="21"/>
      <c r="UXU230" s="21"/>
      <c r="UXV230" s="15"/>
      <c r="UXW230" s="15"/>
      <c r="UXX230" s="15"/>
      <c r="UXY230" s="15"/>
      <c r="UXZ230" s="15"/>
      <c r="UYA230" s="15"/>
      <c r="UYB230" s="15"/>
      <c r="UYC230" s="15"/>
      <c r="UYD230" s="15"/>
      <c r="UYE230" s="15"/>
      <c r="UYF230" s="10"/>
      <c r="UYG230" s="10"/>
      <c r="UYH230" s="21"/>
      <c r="UYI230" s="21"/>
      <c r="UYL230" s="21"/>
      <c r="UYM230" s="15"/>
      <c r="UYN230" s="15"/>
      <c r="UYO230" s="15"/>
      <c r="UYP230" s="15"/>
      <c r="UYQ230" s="15"/>
      <c r="UYR230" s="15"/>
      <c r="UYS230" s="15"/>
      <c r="UYT230" s="15"/>
      <c r="UYU230" s="15"/>
      <c r="UYV230" s="15"/>
      <c r="UYW230" s="10"/>
      <c r="UYX230" s="10"/>
      <c r="UYY230" s="21"/>
      <c r="UYZ230" s="21"/>
      <c r="UZC230" s="21"/>
      <c r="UZD230" s="15"/>
      <c r="UZE230" s="15"/>
      <c r="UZF230" s="15"/>
      <c r="UZG230" s="15"/>
      <c r="UZH230" s="15"/>
      <c r="UZI230" s="15"/>
      <c r="UZJ230" s="15"/>
      <c r="UZK230" s="15"/>
      <c r="UZL230" s="15"/>
      <c r="UZM230" s="15"/>
      <c r="UZN230" s="10"/>
      <c r="UZO230" s="10"/>
      <c r="UZP230" s="21"/>
      <c r="UZQ230" s="21"/>
      <c r="UZT230" s="21"/>
      <c r="UZU230" s="15"/>
      <c r="UZV230" s="15"/>
      <c r="UZW230" s="15"/>
      <c r="UZX230" s="15"/>
      <c r="UZY230" s="15"/>
      <c r="UZZ230" s="15"/>
      <c r="VAA230" s="15"/>
      <c r="VAB230" s="15"/>
      <c r="VAC230" s="15"/>
      <c r="VAD230" s="15"/>
      <c r="VAE230" s="10"/>
      <c r="VAF230" s="10"/>
      <c r="VAG230" s="21"/>
      <c r="VAH230" s="21"/>
      <c r="VAK230" s="21"/>
      <c r="VAL230" s="15"/>
      <c r="VAM230" s="15"/>
      <c r="VAN230" s="15"/>
      <c r="VAO230" s="15"/>
      <c r="VAP230" s="15"/>
      <c r="VAQ230" s="15"/>
      <c r="VAR230" s="15"/>
      <c r="VAS230" s="15"/>
      <c r="VAT230" s="15"/>
      <c r="VAU230" s="15"/>
      <c r="VAV230" s="10"/>
      <c r="VAW230" s="10"/>
      <c r="VAX230" s="21"/>
      <c r="VAY230" s="21"/>
      <c r="VBB230" s="21"/>
      <c r="VBC230" s="15"/>
      <c r="VBD230" s="15"/>
      <c r="VBE230" s="15"/>
      <c r="VBF230" s="15"/>
      <c r="VBG230" s="15"/>
      <c r="VBH230" s="15"/>
      <c r="VBI230" s="15"/>
      <c r="VBJ230" s="15"/>
      <c r="VBK230" s="15"/>
      <c r="VBL230" s="15"/>
      <c r="VBM230" s="10"/>
      <c r="VBN230" s="10"/>
      <c r="VBO230" s="21"/>
      <c r="VBP230" s="21"/>
      <c r="VBS230" s="21"/>
      <c r="VBT230" s="15"/>
      <c r="VBU230" s="15"/>
      <c r="VBV230" s="15"/>
      <c r="VBW230" s="15"/>
      <c r="VBX230" s="15"/>
      <c r="VBY230" s="15"/>
      <c r="VBZ230" s="15"/>
      <c r="VCA230" s="15"/>
      <c r="VCB230" s="15"/>
      <c r="VCC230" s="15"/>
      <c r="VCD230" s="10"/>
      <c r="VCE230" s="10"/>
      <c r="VCF230" s="21"/>
      <c r="VCG230" s="21"/>
      <c r="VCJ230" s="21"/>
      <c r="VCK230" s="15"/>
      <c r="VCL230" s="15"/>
      <c r="VCM230" s="15"/>
      <c r="VCN230" s="15"/>
      <c r="VCO230" s="15"/>
      <c r="VCP230" s="15"/>
      <c r="VCQ230" s="15"/>
      <c r="VCR230" s="15"/>
      <c r="VCS230" s="15"/>
      <c r="VCT230" s="15"/>
      <c r="VCU230" s="10"/>
      <c r="VCV230" s="10"/>
      <c r="VCW230" s="21"/>
      <c r="VCX230" s="21"/>
      <c r="VDA230" s="21"/>
      <c r="VDB230" s="15"/>
      <c r="VDC230" s="15"/>
      <c r="VDD230" s="15"/>
      <c r="VDE230" s="15"/>
      <c r="VDF230" s="15"/>
      <c r="VDG230" s="15"/>
      <c r="VDH230" s="15"/>
      <c r="VDI230" s="15"/>
      <c r="VDJ230" s="15"/>
      <c r="VDK230" s="15"/>
      <c r="VDL230" s="10"/>
      <c r="VDM230" s="10"/>
      <c r="VDN230" s="21"/>
      <c r="VDO230" s="21"/>
      <c r="VDR230" s="21"/>
      <c r="VDS230" s="15"/>
      <c r="VDT230" s="15"/>
      <c r="VDU230" s="15"/>
      <c r="VDV230" s="15"/>
      <c r="VDW230" s="15"/>
      <c r="VDX230" s="15"/>
      <c r="VDY230" s="15"/>
      <c r="VDZ230" s="15"/>
      <c r="VEA230" s="15"/>
      <c r="VEB230" s="15"/>
      <c r="VEC230" s="10"/>
      <c r="VED230" s="10"/>
      <c r="VEE230" s="21"/>
      <c r="VEF230" s="21"/>
      <c r="VEI230" s="21"/>
      <c r="VEJ230" s="15"/>
      <c r="VEK230" s="15"/>
      <c r="VEL230" s="15"/>
      <c r="VEM230" s="15"/>
      <c r="VEN230" s="15"/>
      <c r="VEO230" s="15"/>
      <c r="VEP230" s="15"/>
      <c r="VEQ230" s="15"/>
      <c r="VER230" s="15"/>
      <c r="VES230" s="15"/>
      <c r="VET230" s="10"/>
      <c r="VEU230" s="10"/>
      <c r="VEV230" s="21"/>
      <c r="VEW230" s="21"/>
      <c r="VEZ230" s="21"/>
      <c r="VFA230" s="15"/>
      <c r="VFB230" s="15"/>
      <c r="VFC230" s="15"/>
      <c r="VFD230" s="15"/>
      <c r="VFE230" s="15"/>
      <c r="VFF230" s="15"/>
      <c r="VFG230" s="15"/>
      <c r="VFH230" s="15"/>
      <c r="VFI230" s="15"/>
      <c r="VFJ230" s="15"/>
      <c r="VFK230" s="10"/>
      <c r="VFL230" s="10"/>
      <c r="VFM230" s="21"/>
      <c r="VFN230" s="21"/>
      <c r="VFQ230" s="21"/>
      <c r="VFR230" s="15"/>
      <c r="VFS230" s="15"/>
      <c r="VFT230" s="15"/>
      <c r="VFU230" s="15"/>
      <c r="VFV230" s="15"/>
      <c r="VFW230" s="15"/>
      <c r="VFX230" s="15"/>
      <c r="VFY230" s="15"/>
      <c r="VFZ230" s="15"/>
      <c r="VGA230" s="15"/>
      <c r="VGB230" s="10"/>
      <c r="VGC230" s="10"/>
      <c r="VGD230" s="21"/>
      <c r="VGE230" s="21"/>
      <c r="VGH230" s="21"/>
      <c r="VGI230" s="15"/>
      <c r="VGJ230" s="15"/>
      <c r="VGK230" s="15"/>
      <c r="VGL230" s="15"/>
      <c r="VGM230" s="15"/>
      <c r="VGN230" s="15"/>
      <c r="VGO230" s="15"/>
      <c r="VGP230" s="15"/>
      <c r="VGQ230" s="15"/>
      <c r="VGR230" s="15"/>
      <c r="VGS230" s="10"/>
      <c r="VGT230" s="10"/>
      <c r="VGU230" s="21"/>
      <c r="VGV230" s="21"/>
      <c r="VGY230" s="21"/>
      <c r="VGZ230" s="15"/>
      <c r="VHA230" s="15"/>
      <c r="VHB230" s="15"/>
      <c r="VHC230" s="15"/>
      <c r="VHD230" s="15"/>
      <c r="VHE230" s="15"/>
      <c r="VHF230" s="15"/>
      <c r="VHG230" s="15"/>
      <c r="VHH230" s="15"/>
      <c r="VHI230" s="15"/>
      <c r="VHJ230" s="10"/>
      <c r="VHK230" s="10"/>
      <c r="VHL230" s="21"/>
      <c r="VHM230" s="21"/>
      <c r="VHP230" s="21"/>
      <c r="VHQ230" s="15"/>
      <c r="VHR230" s="15"/>
      <c r="VHS230" s="15"/>
      <c r="VHT230" s="15"/>
      <c r="VHU230" s="15"/>
      <c r="VHV230" s="15"/>
      <c r="VHW230" s="15"/>
      <c r="VHX230" s="15"/>
      <c r="VHY230" s="15"/>
      <c r="VHZ230" s="15"/>
      <c r="VIA230" s="10"/>
      <c r="VIB230" s="10"/>
      <c r="VIC230" s="21"/>
      <c r="VID230" s="21"/>
      <c r="VIG230" s="21"/>
      <c r="VIH230" s="15"/>
      <c r="VII230" s="15"/>
      <c r="VIJ230" s="15"/>
      <c r="VIK230" s="15"/>
      <c r="VIL230" s="15"/>
      <c r="VIM230" s="15"/>
      <c r="VIN230" s="15"/>
      <c r="VIO230" s="15"/>
      <c r="VIP230" s="15"/>
      <c r="VIQ230" s="15"/>
      <c r="VIR230" s="10"/>
      <c r="VIS230" s="10"/>
      <c r="VIT230" s="21"/>
      <c r="VIU230" s="21"/>
      <c r="VIX230" s="21"/>
      <c r="VIY230" s="15"/>
      <c r="VIZ230" s="15"/>
      <c r="VJA230" s="15"/>
      <c r="VJB230" s="15"/>
      <c r="VJC230" s="15"/>
      <c r="VJD230" s="15"/>
      <c r="VJE230" s="15"/>
      <c r="VJF230" s="15"/>
      <c r="VJG230" s="15"/>
      <c r="VJH230" s="15"/>
      <c r="VJI230" s="10"/>
      <c r="VJJ230" s="10"/>
      <c r="VJK230" s="21"/>
      <c r="VJL230" s="21"/>
      <c r="VJO230" s="21"/>
      <c r="VJP230" s="15"/>
      <c r="VJQ230" s="15"/>
      <c r="VJR230" s="15"/>
      <c r="VJS230" s="15"/>
      <c r="VJT230" s="15"/>
      <c r="VJU230" s="15"/>
      <c r="VJV230" s="15"/>
      <c r="VJW230" s="15"/>
      <c r="VJX230" s="15"/>
      <c r="VJY230" s="15"/>
      <c r="VJZ230" s="10"/>
      <c r="VKA230" s="10"/>
      <c r="VKB230" s="21"/>
      <c r="VKC230" s="21"/>
      <c r="VKF230" s="21"/>
      <c r="VKG230" s="15"/>
      <c r="VKH230" s="15"/>
      <c r="VKI230" s="15"/>
      <c r="VKJ230" s="15"/>
      <c r="VKK230" s="15"/>
      <c r="VKL230" s="15"/>
      <c r="VKM230" s="15"/>
      <c r="VKN230" s="15"/>
      <c r="VKO230" s="15"/>
      <c r="VKP230" s="15"/>
      <c r="VKQ230" s="10"/>
      <c r="VKR230" s="10"/>
      <c r="VKS230" s="21"/>
      <c r="VKT230" s="21"/>
      <c r="VKW230" s="21"/>
      <c r="VKX230" s="15"/>
      <c r="VKY230" s="15"/>
      <c r="VKZ230" s="15"/>
      <c r="VLA230" s="15"/>
      <c r="VLB230" s="15"/>
      <c r="VLC230" s="15"/>
      <c r="VLD230" s="15"/>
      <c r="VLE230" s="15"/>
      <c r="VLF230" s="15"/>
      <c r="VLG230" s="15"/>
      <c r="VLH230" s="10"/>
      <c r="VLI230" s="10"/>
      <c r="VLJ230" s="21"/>
      <c r="VLK230" s="21"/>
      <c r="VLN230" s="21"/>
      <c r="VLO230" s="15"/>
      <c r="VLP230" s="15"/>
      <c r="VLQ230" s="15"/>
      <c r="VLR230" s="15"/>
      <c r="VLS230" s="15"/>
      <c r="VLT230" s="15"/>
      <c r="VLU230" s="15"/>
      <c r="VLV230" s="15"/>
      <c r="VLW230" s="15"/>
      <c r="VLX230" s="15"/>
      <c r="VLY230" s="10"/>
      <c r="VLZ230" s="10"/>
      <c r="VMA230" s="21"/>
      <c r="VMB230" s="21"/>
      <c r="VME230" s="21"/>
      <c r="VMF230" s="15"/>
      <c r="VMG230" s="15"/>
      <c r="VMH230" s="15"/>
      <c r="VMI230" s="15"/>
      <c r="VMJ230" s="15"/>
      <c r="VMK230" s="15"/>
      <c r="VML230" s="15"/>
      <c r="VMM230" s="15"/>
      <c r="VMN230" s="15"/>
      <c r="VMO230" s="15"/>
      <c r="VMP230" s="10"/>
      <c r="VMQ230" s="10"/>
      <c r="VMR230" s="21"/>
      <c r="VMS230" s="21"/>
      <c r="VMV230" s="21"/>
      <c r="VMW230" s="15"/>
      <c r="VMX230" s="15"/>
      <c r="VMY230" s="15"/>
      <c r="VMZ230" s="15"/>
      <c r="VNA230" s="15"/>
      <c r="VNB230" s="15"/>
      <c r="VNC230" s="15"/>
      <c r="VND230" s="15"/>
      <c r="VNE230" s="15"/>
      <c r="VNF230" s="15"/>
      <c r="VNG230" s="10"/>
      <c r="VNH230" s="10"/>
      <c r="VNI230" s="21"/>
      <c r="VNJ230" s="21"/>
      <c r="VNM230" s="21"/>
      <c r="VNN230" s="15"/>
      <c r="VNO230" s="15"/>
      <c r="VNP230" s="15"/>
      <c r="VNQ230" s="15"/>
      <c r="VNR230" s="15"/>
      <c r="VNS230" s="15"/>
      <c r="VNT230" s="15"/>
      <c r="VNU230" s="15"/>
      <c r="VNV230" s="15"/>
      <c r="VNW230" s="15"/>
      <c r="VNX230" s="10"/>
      <c r="VNY230" s="10"/>
      <c r="VNZ230" s="21"/>
      <c r="VOA230" s="21"/>
      <c r="VOD230" s="21"/>
      <c r="VOE230" s="15"/>
      <c r="VOF230" s="15"/>
      <c r="VOG230" s="15"/>
      <c r="VOH230" s="15"/>
      <c r="VOI230" s="15"/>
      <c r="VOJ230" s="15"/>
      <c r="VOK230" s="15"/>
      <c r="VOL230" s="15"/>
      <c r="VOM230" s="15"/>
      <c r="VON230" s="15"/>
      <c r="VOO230" s="10"/>
      <c r="VOP230" s="10"/>
      <c r="VOQ230" s="21"/>
      <c r="VOR230" s="21"/>
      <c r="VOU230" s="21"/>
      <c r="VOV230" s="15"/>
      <c r="VOW230" s="15"/>
      <c r="VOX230" s="15"/>
      <c r="VOY230" s="15"/>
      <c r="VOZ230" s="15"/>
      <c r="VPA230" s="15"/>
      <c r="VPB230" s="15"/>
      <c r="VPC230" s="15"/>
      <c r="VPD230" s="15"/>
      <c r="VPE230" s="15"/>
      <c r="VPF230" s="10"/>
      <c r="VPG230" s="10"/>
      <c r="VPH230" s="21"/>
      <c r="VPI230" s="21"/>
      <c r="VPL230" s="21"/>
      <c r="VPM230" s="15"/>
      <c r="VPN230" s="15"/>
      <c r="VPO230" s="15"/>
      <c r="VPP230" s="15"/>
      <c r="VPQ230" s="15"/>
      <c r="VPR230" s="15"/>
      <c r="VPS230" s="15"/>
      <c r="VPT230" s="15"/>
      <c r="VPU230" s="15"/>
      <c r="VPV230" s="15"/>
      <c r="VPW230" s="10"/>
      <c r="VPX230" s="10"/>
      <c r="VPY230" s="21"/>
      <c r="VPZ230" s="21"/>
      <c r="VQC230" s="21"/>
      <c r="VQD230" s="15"/>
      <c r="VQE230" s="15"/>
      <c r="VQF230" s="15"/>
      <c r="VQG230" s="15"/>
      <c r="VQH230" s="15"/>
      <c r="VQI230" s="15"/>
      <c r="VQJ230" s="15"/>
      <c r="VQK230" s="15"/>
      <c r="VQL230" s="15"/>
      <c r="VQM230" s="15"/>
      <c r="VQN230" s="10"/>
      <c r="VQO230" s="10"/>
      <c r="VQP230" s="21"/>
      <c r="VQQ230" s="21"/>
      <c r="VQT230" s="21"/>
      <c r="VQU230" s="15"/>
      <c r="VQV230" s="15"/>
      <c r="VQW230" s="15"/>
      <c r="VQX230" s="15"/>
      <c r="VQY230" s="15"/>
      <c r="VQZ230" s="15"/>
      <c r="VRA230" s="15"/>
      <c r="VRB230" s="15"/>
      <c r="VRC230" s="15"/>
      <c r="VRD230" s="15"/>
      <c r="VRE230" s="10"/>
      <c r="VRF230" s="10"/>
      <c r="VRG230" s="21"/>
      <c r="VRH230" s="21"/>
      <c r="VRK230" s="21"/>
      <c r="VRL230" s="15"/>
      <c r="VRM230" s="15"/>
      <c r="VRN230" s="15"/>
      <c r="VRO230" s="15"/>
      <c r="VRP230" s="15"/>
      <c r="VRQ230" s="15"/>
      <c r="VRR230" s="15"/>
      <c r="VRS230" s="15"/>
      <c r="VRT230" s="15"/>
      <c r="VRU230" s="15"/>
      <c r="VRV230" s="10"/>
      <c r="VRW230" s="10"/>
      <c r="VRX230" s="21"/>
      <c r="VRY230" s="21"/>
      <c r="VSB230" s="21"/>
      <c r="VSC230" s="15"/>
      <c r="VSD230" s="15"/>
      <c r="VSE230" s="15"/>
      <c r="VSF230" s="15"/>
      <c r="VSG230" s="15"/>
      <c r="VSH230" s="15"/>
      <c r="VSI230" s="15"/>
      <c r="VSJ230" s="15"/>
      <c r="VSK230" s="15"/>
      <c r="VSL230" s="15"/>
      <c r="VSM230" s="10"/>
      <c r="VSN230" s="10"/>
      <c r="VSO230" s="21"/>
      <c r="VSP230" s="21"/>
      <c r="VSS230" s="21"/>
      <c r="VST230" s="15"/>
      <c r="VSU230" s="15"/>
      <c r="VSV230" s="15"/>
      <c r="VSW230" s="15"/>
      <c r="VSX230" s="15"/>
      <c r="VSY230" s="15"/>
      <c r="VSZ230" s="15"/>
      <c r="VTA230" s="15"/>
      <c r="VTB230" s="15"/>
      <c r="VTC230" s="15"/>
      <c r="VTD230" s="10"/>
      <c r="VTE230" s="10"/>
      <c r="VTF230" s="21"/>
      <c r="VTG230" s="21"/>
      <c r="VTJ230" s="21"/>
      <c r="VTK230" s="15"/>
      <c r="VTL230" s="15"/>
      <c r="VTM230" s="15"/>
      <c r="VTN230" s="15"/>
      <c r="VTO230" s="15"/>
      <c r="VTP230" s="15"/>
      <c r="VTQ230" s="15"/>
      <c r="VTR230" s="15"/>
      <c r="VTS230" s="15"/>
      <c r="VTT230" s="15"/>
      <c r="VTU230" s="10"/>
      <c r="VTV230" s="10"/>
      <c r="VTW230" s="21"/>
      <c r="VTX230" s="21"/>
      <c r="VUA230" s="21"/>
      <c r="VUB230" s="15"/>
      <c r="VUC230" s="15"/>
      <c r="VUD230" s="15"/>
      <c r="VUE230" s="15"/>
      <c r="VUF230" s="15"/>
      <c r="VUG230" s="15"/>
      <c r="VUH230" s="15"/>
      <c r="VUI230" s="15"/>
      <c r="VUJ230" s="15"/>
      <c r="VUK230" s="15"/>
      <c r="VUL230" s="10"/>
      <c r="VUM230" s="10"/>
      <c r="VUN230" s="21"/>
      <c r="VUO230" s="21"/>
      <c r="VUR230" s="21"/>
      <c r="VUS230" s="15"/>
      <c r="VUT230" s="15"/>
      <c r="VUU230" s="15"/>
      <c r="VUV230" s="15"/>
      <c r="VUW230" s="15"/>
      <c r="VUX230" s="15"/>
      <c r="VUY230" s="15"/>
      <c r="VUZ230" s="15"/>
      <c r="VVA230" s="15"/>
      <c r="VVB230" s="15"/>
      <c r="VVC230" s="10"/>
      <c r="VVD230" s="10"/>
      <c r="VVE230" s="21"/>
      <c r="VVF230" s="21"/>
      <c r="VVI230" s="21"/>
      <c r="VVJ230" s="15"/>
      <c r="VVK230" s="15"/>
      <c r="VVL230" s="15"/>
      <c r="VVM230" s="15"/>
      <c r="VVN230" s="15"/>
      <c r="VVO230" s="15"/>
      <c r="VVP230" s="15"/>
      <c r="VVQ230" s="15"/>
      <c r="VVR230" s="15"/>
      <c r="VVS230" s="15"/>
      <c r="VVT230" s="10"/>
      <c r="VVU230" s="10"/>
      <c r="VVV230" s="21"/>
      <c r="VVW230" s="21"/>
      <c r="VVZ230" s="21"/>
      <c r="VWA230" s="15"/>
      <c r="VWB230" s="15"/>
      <c r="VWC230" s="15"/>
      <c r="VWD230" s="15"/>
      <c r="VWE230" s="15"/>
      <c r="VWF230" s="15"/>
      <c r="VWG230" s="15"/>
      <c r="VWH230" s="15"/>
      <c r="VWI230" s="15"/>
      <c r="VWJ230" s="15"/>
      <c r="VWK230" s="10"/>
      <c r="VWL230" s="10"/>
      <c r="VWM230" s="21"/>
      <c r="VWN230" s="21"/>
      <c r="VWQ230" s="21"/>
      <c r="VWR230" s="15"/>
      <c r="VWS230" s="15"/>
      <c r="VWT230" s="15"/>
      <c r="VWU230" s="15"/>
      <c r="VWV230" s="15"/>
      <c r="VWW230" s="15"/>
      <c r="VWX230" s="15"/>
      <c r="VWY230" s="15"/>
      <c r="VWZ230" s="15"/>
      <c r="VXA230" s="15"/>
      <c r="VXB230" s="10"/>
      <c r="VXC230" s="10"/>
      <c r="VXD230" s="21"/>
      <c r="VXE230" s="21"/>
      <c r="VXH230" s="21"/>
      <c r="VXI230" s="15"/>
      <c r="VXJ230" s="15"/>
      <c r="VXK230" s="15"/>
      <c r="VXL230" s="15"/>
      <c r="VXM230" s="15"/>
      <c r="VXN230" s="15"/>
      <c r="VXO230" s="15"/>
      <c r="VXP230" s="15"/>
      <c r="VXQ230" s="15"/>
      <c r="VXR230" s="15"/>
      <c r="VXS230" s="10"/>
      <c r="VXT230" s="10"/>
      <c r="VXU230" s="21"/>
      <c r="VXV230" s="21"/>
      <c r="VXY230" s="21"/>
      <c r="VXZ230" s="15"/>
      <c r="VYA230" s="15"/>
      <c r="VYB230" s="15"/>
      <c r="VYC230" s="15"/>
      <c r="VYD230" s="15"/>
      <c r="VYE230" s="15"/>
      <c r="VYF230" s="15"/>
      <c r="VYG230" s="15"/>
      <c r="VYH230" s="15"/>
      <c r="VYI230" s="15"/>
      <c r="VYJ230" s="10"/>
      <c r="VYK230" s="10"/>
      <c r="VYL230" s="21"/>
      <c r="VYM230" s="21"/>
      <c r="VYP230" s="21"/>
      <c r="VYQ230" s="15"/>
      <c r="VYR230" s="15"/>
      <c r="VYS230" s="15"/>
      <c r="VYT230" s="15"/>
      <c r="VYU230" s="15"/>
      <c r="VYV230" s="15"/>
      <c r="VYW230" s="15"/>
      <c r="VYX230" s="15"/>
      <c r="VYY230" s="15"/>
      <c r="VYZ230" s="15"/>
      <c r="VZA230" s="10"/>
      <c r="VZB230" s="10"/>
      <c r="VZC230" s="21"/>
      <c r="VZD230" s="21"/>
      <c r="VZG230" s="21"/>
      <c r="VZH230" s="15"/>
      <c r="VZI230" s="15"/>
      <c r="VZJ230" s="15"/>
      <c r="VZK230" s="15"/>
      <c r="VZL230" s="15"/>
      <c r="VZM230" s="15"/>
      <c r="VZN230" s="15"/>
      <c r="VZO230" s="15"/>
      <c r="VZP230" s="15"/>
      <c r="VZQ230" s="15"/>
      <c r="VZR230" s="10"/>
      <c r="VZS230" s="10"/>
      <c r="VZT230" s="21"/>
      <c r="VZU230" s="21"/>
      <c r="VZX230" s="21"/>
      <c r="VZY230" s="15"/>
      <c r="VZZ230" s="15"/>
      <c r="WAA230" s="15"/>
      <c r="WAB230" s="15"/>
      <c r="WAC230" s="15"/>
      <c r="WAD230" s="15"/>
      <c r="WAE230" s="15"/>
      <c r="WAF230" s="15"/>
      <c r="WAG230" s="15"/>
      <c r="WAH230" s="15"/>
      <c r="WAI230" s="10"/>
      <c r="WAJ230" s="10"/>
      <c r="WAK230" s="21"/>
      <c r="WAL230" s="21"/>
      <c r="WAO230" s="21"/>
      <c r="WAP230" s="15"/>
      <c r="WAQ230" s="15"/>
      <c r="WAR230" s="15"/>
      <c r="WAS230" s="15"/>
      <c r="WAT230" s="15"/>
      <c r="WAU230" s="15"/>
      <c r="WAV230" s="15"/>
      <c r="WAW230" s="15"/>
      <c r="WAX230" s="15"/>
      <c r="WAY230" s="15"/>
      <c r="WAZ230" s="10"/>
      <c r="WBA230" s="10"/>
      <c r="WBB230" s="21"/>
      <c r="WBC230" s="21"/>
      <c r="WBF230" s="21"/>
      <c r="WBG230" s="15"/>
      <c r="WBH230" s="15"/>
      <c r="WBI230" s="15"/>
      <c r="WBJ230" s="15"/>
      <c r="WBK230" s="15"/>
      <c r="WBL230" s="15"/>
      <c r="WBM230" s="15"/>
      <c r="WBN230" s="15"/>
      <c r="WBO230" s="15"/>
      <c r="WBP230" s="15"/>
      <c r="WBQ230" s="10"/>
      <c r="WBR230" s="10"/>
      <c r="WBS230" s="21"/>
      <c r="WBT230" s="21"/>
      <c r="WBW230" s="21"/>
      <c r="WBX230" s="15"/>
      <c r="WBY230" s="15"/>
      <c r="WBZ230" s="15"/>
      <c r="WCA230" s="15"/>
      <c r="WCB230" s="15"/>
      <c r="WCC230" s="15"/>
      <c r="WCD230" s="15"/>
      <c r="WCE230" s="15"/>
      <c r="WCF230" s="15"/>
      <c r="WCG230" s="15"/>
      <c r="WCH230" s="10"/>
      <c r="WCI230" s="10"/>
      <c r="WCJ230" s="21"/>
      <c r="WCK230" s="21"/>
      <c r="WCN230" s="21"/>
      <c r="WCO230" s="15"/>
      <c r="WCP230" s="15"/>
      <c r="WCQ230" s="15"/>
      <c r="WCR230" s="15"/>
      <c r="WCS230" s="15"/>
      <c r="WCT230" s="15"/>
      <c r="WCU230" s="15"/>
      <c r="WCV230" s="15"/>
      <c r="WCW230" s="15"/>
      <c r="WCX230" s="15"/>
      <c r="WCY230" s="10"/>
      <c r="WCZ230" s="10"/>
      <c r="WDA230" s="21"/>
      <c r="WDB230" s="21"/>
      <c r="WDE230" s="21"/>
      <c r="WDF230" s="15"/>
      <c r="WDG230" s="15"/>
      <c r="WDH230" s="15"/>
      <c r="WDI230" s="15"/>
      <c r="WDJ230" s="15"/>
      <c r="WDK230" s="15"/>
      <c r="WDL230" s="15"/>
      <c r="WDM230" s="15"/>
      <c r="WDN230" s="15"/>
      <c r="WDO230" s="15"/>
      <c r="WDP230" s="10"/>
      <c r="WDQ230" s="10"/>
      <c r="WDR230" s="21"/>
      <c r="WDS230" s="21"/>
      <c r="WDV230" s="21"/>
      <c r="WDW230" s="15"/>
      <c r="WDX230" s="15"/>
      <c r="WDY230" s="15"/>
      <c r="WDZ230" s="15"/>
      <c r="WEA230" s="15"/>
      <c r="WEB230" s="15"/>
      <c r="WEC230" s="15"/>
      <c r="WED230" s="15"/>
      <c r="WEE230" s="15"/>
      <c r="WEF230" s="15"/>
      <c r="WEG230" s="10"/>
      <c r="WEH230" s="10"/>
      <c r="WEI230" s="21"/>
      <c r="WEJ230" s="21"/>
      <c r="WEM230" s="21"/>
      <c r="WEN230" s="15"/>
      <c r="WEO230" s="15"/>
      <c r="WEP230" s="15"/>
      <c r="WEQ230" s="15"/>
      <c r="WER230" s="15"/>
      <c r="WES230" s="15"/>
      <c r="WET230" s="15"/>
      <c r="WEU230" s="15"/>
      <c r="WEV230" s="15"/>
      <c r="WEW230" s="15"/>
      <c r="WEX230" s="10"/>
      <c r="WEY230" s="10"/>
      <c r="WEZ230" s="21"/>
      <c r="WFA230" s="21"/>
      <c r="WFD230" s="21"/>
      <c r="WFE230" s="15"/>
      <c r="WFF230" s="15"/>
      <c r="WFG230" s="15"/>
      <c r="WFH230" s="15"/>
      <c r="WFI230" s="15"/>
      <c r="WFJ230" s="15"/>
      <c r="WFK230" s="15"/>
      <c r="WFL230" s="15"/>
      <c r="WFM230" s="15"/>
      <c r="WFN230" s="15"/>
      <c r="WFO230" s="10"/>
      <c r="WFP230" s="10"/>
      <c r="WFQ230" s="21"/>
      <c r="WFR230" s="21"/>
      <c r="WFU230" s="21"/>
      <c r="WFV230" s="15"/>
      <c r="WFW230" s="15"/>
      <c r="WFX230" s="15"/>
      <c r="WFY230" s="15"/>
      <c r="WFZ230" s="15"/>
      <c r="WGA230" s="15"/>
      <c r="WGB230" s="15"/>
      <c r="WGC230" s="15"/>
      <c r="WGD230" s="15"/>
      <c r="WGE230" s="15"/>
      <c r="WGF230" s="10"/>
      <c r="WGG230" s="10"/>
      <c r="WGH230" s="21"/>
      <c r="WGI230" s="21"/>
      <c r="WGL230" s="21"/>
      <c r="WGM230" s="15"/>
      <c r="WGN230" s="15"/>
      <c r="WGO230" s="15"/>
      <c r="WGP230" s="15"/>
      <c r="WGQ230" s="15"/>
      <c r="WGR230" s="15"/>
      <c r="WGS230" s="15"/>
      <c r="WGT230" s="15"/>
      <c r="WGU230" s="15"/>
      <c r="WGV230" s="15"/>
      <c r="WGW230" s="10"/>
      <c r="WGX230" s="10"/>
      <c r="WGY230" s="21"/>
      <c r="WGZ230" s="21"/>
      <c r="WHC230" s="21"/>
      <c r="WHD230" s="15"/>
      <c r="WHE230" s="15"/>
      <c r="WHF230" s="15"/>
      <c r="WHG230" s="15"/>
      <c r="WHH230" s="15"/>
      <c r="WHI230" s="15"/>
      <c r="WHJ230" s="15"/>
      <c r="WHK230" s="15"/>
      <c r="WHL230" s="15"/>
      <c r="WHM230" s="15"/>
      <c r="WHN230" s="10"/>
      <c r="WHO230" s="10"/>
      <c r="WHP230" s="21"/>
      <c r="WHQ230" s="21"/>
      <c r="WHT230" s="21"/>
      <c r="WHU230" s="15"/>
      <c r="WHV230" s="15"/>
      <c r="WHW230" s="15"/>
      <c r="WHX230" s="15"/>
      <c r="WHY230" s="15"/>
      <c r="WHZ230" s="15"/>
      <c r="WIA230" s="15"/>
      <c r="WIB230" s="15"/>
      <c r="WIC230" s="15"/>
      <c r="WID230" s="15"/>
      <c r="WIE230" s="10"/>
      <c r="WIF230" s="10"/>
      <c r="WIG230" s="21"/>
      <c r="WIH230" s="21"/>
      <c r="WIK230" s="21"/>
      <c r="WIL230" s="15"/>
      <c r="WIM230" s="15"/>
      <c r="WIN230" s="15"/>
      <c r="WIO230" s="15"/>
      <c r="WIP230" s="15"/>
      <c r="WIQ230" s="15"/>
      <c r="WIR230" s="15"/>
      <c r="WIS230" s="15"/>
      <c r="WIT230" s="15"/>
      <c r="WIU230" s="15"/>
      <c r="WIV230" s="10"/>
      <c r="WIW230" s="10"/>
      <c r="WIX230" s="21"/>
      <c r="WIY230" s="21"/>
      <c r="WJB230" s="21"/>
      <c r="WJC230" s="15"/>
      <c r="WJD230" s="15"/>
      <c r="WJE230" s="15"/>
      <c r="WJF230" s="15"/>
      <c r="WJG230" s="15"/>
      <c r="WJH230" s="15"/>
      <c r="WJI230" s="15"/>
      <c r="WJJ230" s="15"/>
      <c r="WJK230" s="15"/>
      <c r="WJL230" s="15"/>
      <c r="WJM230" s="10"/>
      <c r="WJN230" s="10"/>
      <c r="WJO230" s="21"/>
      <c r="WJP230" s="21"/>
      <c r="WJS230" s="21"/>
      <c r="WJT230" s="15"/>
      <c r="WJU230" s="15"/>
      <c r="WJV230" s="15"/>
      <c r="WJW230" s="15"/>
      <c r="WJX230" s="15"/>
      <c r="WJY230" s="15"/>
      <c r="WJZ230" s="15"/>
      <c r="WKA230" s="15"/>
      <c r="WKB230" s="15"/>
      <c r="WKC230" s="15"/>
      <c r="WKD230" s="10"/>
      <c r="WKE230" s="10"/>
      <c r="WKF230" s="21"/>
      <c r="WKG230" s="21"/>
      <c r="WKJ230" s="21"/>
      <c r="WKK230" s="15"/>
      <c r="WKL230" s="15"/>
      <c r="WKM230" s="15"/>
      <c r="WKN230" s="15"/>
      <c r="WKO230" s="15"/>
      <c r="WKP230" s="15"/>
      <c r="WKQ230" s="15"/>
      <c r="WKR230" s="15"/>
      <c r="WKS230" s="15"/>
      <c r="WKT230" s="15"/>
      <c r="WKU230" s="10"/>
      <c r="WKV230" s="10"/>
      <c r="WKW230" s="21"/>
      <c r="WKX230" s="21"/>
      <c r="WLA230" s="21"/>
      <c r="WLB230" s="15"/>
      <c r="WLC230" s="15"/>
      <c r="WLD230" s="15"/>
      <c r="WLE230" s="15"/>
      <c r="WLF230" s="15"/>
      <c r="WLG230" s="15"/>
      <c r="WLH230" s="15"/>
      <c r="WLI230" s="15"/>
      <c r="WLJ230" s="15"/>
      <c r="WLK230" s="15"/>
      <c r="WLL230" s="10"/>
      <c r="WLM230" s="10"/>
      <c r="WLN230" s="21"/>
      <c r="WLO230" s="21"/>
      <c r="WLR230" s="21"/>
      <c r="WLS230" s="15"/>
      <c r="WLT230" s="15"/>
      <c r="WLU230" s="15"/>
      <c r="WLV230" s="15"/>
      <c r="WLW230" s="15"/>
      <c r="WLX230" s="15"/>
      <c r="WLY230" s="15"/>
      <c r="WLZ230" s="15"/>
      <c r="WMA230" s="15"/>
      <c r="WMB230" s="15"/>
      <c r="WMC230" s="10"/>
      <c r="WMD230" s="10"/>
      <c r="WME230" s="21"/>
      <c r="WMF230" s="21"/>
      <c r="WMI230" s="21"/>
      <c r="WMJ230" s="15"/>
      <c r="WMK230" s="15"/>
      <c r="WML230" s="15"/>
      <c r="WMM230" s="15"/>
      <c r="WMN230" s="15"/>
      <c r="WMO230" s="15"/>
      <c r="WMP230" s="15"/>
      <c r="WMQ230" s="15"/>
      <c r="WMR230" s="15"/>
      <c r="WMS230" s="15"/>
      <c r="WMT230" s="10"/>
      <c r="WMU230" s="10"/>
      <c r="WMV230" s="21"/>
      <c r="WMW230" s="21"/>
      <c r="WMZ230" s="21"/>
      <c r="WNA230" s="15"/>
      <c r="WNB230" s="15"/>
      <c r="WNC230" s="15"/>
      <c r="WND230" s="15"/>
      <c r="WNE230" s="15"/>
      <c r="WNF230" s="15"/>
      <c r="WNG230" s="15"/>
      <c r="WNH230" s="15"/>
      <c r="WNI230" s="15"/>
      <c r="WNJ230" s="15"/>
      <c r="WNK230" s="10"/>
      <c r="WNL230" s="10"/>
      <c r="WNM230" s="21"/>
      <c r="WNN230" s="21"/>
      <c r="WNQ230" s="21"/>
      <c r="WNR230" s="15"/>
      <c r="WNS230" s="15"/>
      <c r="WNT230" s="15"/>
      <c r="WNU230" s="15"/>
      <c r="WNV230" s="15"/>
      <c r="WNW230" s="15"/>
      <c r="WNX230" s="15"/>
      <c r="WNY230" s="15"/>
      <c r="WNZ230" s="15"/>
      <c r="WOA230" s="15"/>
      <c r="WOB230" s="10"/>
      <c r="WOC230" s="10"/>
      <c r="WOD230" s="21"/>
      <c r="WOE230" s="21"/>
      <c r="WOH230" s="21"/>
      <c r="WOI230" s="15"/>
      <c r="WOJ230" s="15"/>
      <c r="WOK230" s="15"/>
      <c r="WOL230" s="15"/>
      <c r="WOM230" s="15"/>
      <c r="WON230" s="15"/>
      <c r="WOO230" s="15"/>
      <c r="WOP230" s="15"/>
      <c r="WOQ230" s="15"/>
      <c r="WOR230" s="15"/>
      <c r="WOS230" s="10"/>
      <c r="WOT230" s="10"/>
      <c r="WOU230" s="21"/>
      <c r="WOV230" s="21"/>
      <c r="WOY230" s="21"/>
      <c r="WOZ230" s="15"/>
      <c r="WPA230" s="15"/>
      <c r="WPB230" s="15"/>
      <c r="WPC230" s="15"/>
      <c r="WPD230" s="15"/>
      <c r="WPE230" s="15"/>
      <c r="WPF230" s="15"/>
      <c r="WPG230" s="15"/>
      <c r="WPH230" s="15"/>
      <c r="WPI230" s="15"/>
      <c r="WPJ230" s="10"/>
      <c r="WPK230" s="10"/>
      <c r="WPL230" s="21"/>
      <c r="WPM230" s="21"/>
      <c r="WPP230" s="21"/>
      <c r="WPQ230" s="15"/>
      <c r="WPR230" s="15"/>
      <c r="WPS230" s="15"/>
      <c r="WPT230" s="15"/>
      <c r="WPU230" s="15"/>
      <c r="WPV230" s="15"/>
      <c r="WPW230" s="15"/>
      <c r="WPX230" s="15"/>
      <c r="WPY230" s="15"/>
      <c r="WPZ230" s="15"/>
      <c r="WQA230" s="10"/>
      <c r="WQB230" s="10"/>
      <c r="WQC230" s="21"/>
      <c r="WQD230" s="21"/>
      <c r="WQG230" s="21"/>
      <c r="WQH230" s="15"/>
      <c r="WQI230" s="15"/>
      <c r="WQJ230" s="15"/>
      <c r="WQK230" s="15"/>
      <c r="WQL230" s="15"/>
      <c r="WQM230" s="15"/>
      <c r="WQN230" s="15"/>
      <c r="WQO230" s="15"/>
      <c r="WQP230" s="15"/>
      <c r="WQQ230" s="15"/>
      <c r="WQR230" s="10"/>
      <c r="WQS230" s="10"/>
      <c r="WQT230" s="21"/>
      <c r="WQU230" s="21"/>
      <c r="WQX230" s="21"/>
      <c r="WQY230" s="15"/>
      <c r="WQZ230" s="15"/>
      <c r="WRA230" s="15"/>
      <c r="WRB230" s="15"/>
      <c r="WRC230" s="15"/>
      <c r="WRD230" s="15"/>
      <c r="WRE230" s="15"/>
      <c r="WRF230" s="15"/>
      <c r="WRG230" s="15"/>
      <c r="WRH230" s="15"/>
      <c r="WRI230" s="10"/>
      <c r="WRJ230" s="10"/>
      <c r="WRK230" s="21"/>
      <c r="WRL230" s="21"/>
      <c r="WRO230" s="21"/>
      <c r="WRP230" s="15"/>
      <c r="WRQ230" s="15"/>
      <c r="WRR230" s="15"/>
      <c r="WRS230" s="15"/>
      <c r="WRT230" s="15"/>
      <c r="WRU230" s="15"/>
      <c r="WRV230" s="15"/>
      <c r="WRW230" s="15"/>
      <c r="WRX230" s="15"/>
      <c r="WRY230" s="15"/>
      <c r="WRZ230" s="10"/>
      <c r="WSA230" s="10"/>
      <c r="WSB230" s="21"/>
      <c r="WSC230" s="21"/>
      <c r="WSF230" s="21"/>
      <c r="WSG230" s="15"/>
      <c r="WSH230" s="15"/>
      <c r="WSI230" s="15"/>
      <c r="WSJ230" s="15"/>
      <c r="WSK230" s="15"/>
      <c r="WSL230" s="15"/>
      <c r="WSM230" s="15"/>
      <c r="WSN230" s="15"/>
      <c r="WSO230" s="15"/>
      <c r="WSP230" s="15"/>
      <c r="WSQ230" s="10"/>
      <c r="WSR230" s="10"/>
      <c r="WSS230" s="21"/>
      <c r="WST230" s="21"/>
      <c r="WSW230" s="21"/>
      <c r="WSX230" s="15"/>
      <c r="WSY230" s="15"/>
      <c r="WSZ230" s="15"/>
      <c r="WTA230" s="15"/>
      <c r="WTB230" s="15"/>
      <c r="WTC230" s="15"/>
      <c r="WTD230" s="15"/>
      <c r="WTE230" s="15"/>
      <c r="WTF230" s="15"/>
      <c r="WTG230" s="15"/>
      <c r="WTH230" s="10"/>
      <c r="WTI230" s="10"/>
      <c r="WTJ230" s="21"/>
      <c r="WTK230" s="21"/>
      <c r="WTN230" s="21"/>
      <c r="WTO230" s="15"/>
      <c r="WTP230" s="15"/>
      <c r="WTQ230" s="15"/>
      <c r="WTR230" s="15"/>
      <c r="WTS230" s="15"/>
      <c r="WTT230" s="15"/>
      <c r="WTU230" s="15"/>
      <c r="WTV230" s="15"/>
      <c r="WTW230" s="15"/>
      <c r="WTX230" s="15"/>
      <c r="WTY230" s="10"/>
      <c r="WTZ230" s="10"/>
      <c r="WUA230" s="21"/>
      <c r="WUB230" s="21"/>
      <c r="WUE230" s="21"/>
      <c r="WUF230" s="15"/>
      <c r="WUG230" s="15"/>
      <c r="WUH230" s="15"/>
      <c r="WUI230" s="15"/>
      <c r="WUJ230" s="15"/>
      <c r="WUK230" s="15"/>
      <c r="WUL230" s="15"/>
      <c r="WUM230" s="15"/>
      <c r="WUN230" s="15"/>
      <c r="WUO230" s="15"/>
      <c r="WUP230" s="10"/>
      <c r="WUQ230" s="10"/>
      <c r="WUR230" s="21"/>
      <c r="WUS230" s="21"/>
      <c r="WUV230" s="21"/>
      <c r="WUW230" s="15"/>
      <c r="WUX230" s="15"/>
      <c r="WUY230" s="15"/>
      <c r="WUZ230" s="15"/>
      <c r="WVA230" s="15"/>
      <c r="WVB230" s="15"/>
      <c r="WVC230" s="15"/>
      <c r="WVD230" s="15"/>
      <c r="WVE230" s="15"/>
      <c r="WVF230" s="15"/>
      <c r="WVG230" s="10"/>
      <c r="WVH230" s="10"/>
      <c r="WVI230" s="21"/>
      <c r="WVJ230" s="21"/>
      <c r="WVM230" s="21"/>
      <c r="WVN230" s="15"/>
      <c r="WVO230" s="15"/>
      <c r="WVP230" s="15"/>
      <c r="WVQ230" s="15"/>
      <c r="WVR230" s="15"/>
      <c r="WVS230" s="15"/>
      <c r="WVT230" s="15"/>
      <c r="WVU230" s="15"/>
      <c r="WVV230" s="15"/>
      <c r="WVW230" s="15"/>
      <c r="WVX230" s="10"/>
      <c r="WVY230" s="10"/>
      <c r="WVZ230" s="21"/>
      <c r="WWA230" s="21"/>
      <c r="WWD230" s="21"/>
      <c r="WWE230" s="15"/>
      <c r="WWF230" s="15"/>
      <c r="WWG230" s="15"/>
      <c r="WWH230" s="15"/>
      <c r="WWI230" s="15"/>
      <c r="WWJ230" s="15"/>
      <c r="WWK230" s="15"/>
      <c r="WWL230" s="15"/>
      <c r="WWM230" s="15"/>
      <c r="WWN230" s="15"/>
      <c r="WWO230" s="10"/>
      <c r="WWP230" s="10"/>
      <c r="WWQ230" s="21"/>
      <c r="WWR230" s="21"/>
      <c r="WWU230" s="21"/>
      <c r="WWV230" s="15"/>
      <c r="WWW230" s="15"/>
      <c r="WWX230" s="15"/>
      <c r="WWY230" s="15"/>
      <c r="WWZ230" s="15"/>
      <c r="WXA230" s="15"/>
      <c r="WXB230" s="15"/>
      <c r="WXC230" s="15"/>
      <c r="WXD230" s="15"/>
      <c r="WXE230" s="15"/>
      <c r="WXF230" s="10"/>
      <c r="WXG230" s="10"/>
      <c r="WXH230" s="21"/>
      <c r="WXI230" s="21"/>
      <c r="WXL230" s="21"/>
      <c r="WXM230" s="15"/>
      <c r="WXN230" s="15"/>
      <c r="WXO230" s="15"/>
      <c r="WXP230" s="15"/>
      <c r="WXQ230" s="15"/>
      <c r="WXR230" s="15"/>
      <c r="WXS230" s="15"/>
      <c r="WXT230" s="15"/>
      <c r="WXU230" s="15"/>
      <c r="WXV230" s="15"/>
      <c r="WXW230" s="10"/>
      <c r="WXX230" s="10"/>
      <c r="WXY230" s="21"/>
      <c r="WXZ230" s="21"/>
      <c r="WYC230" s="21"/>
      <c r="WYD230" s="15"/>
      <c r="WYE230" s="15"/>
      <c r="WYF230" s="15"/>
      <c r="WYG230" s="15"/>
      <c r="WYH230" s="15"/>
      <c r="WYI230" s="15"/>
      <c r="WYJ230" s="15"/>
      <c r="WYK230" s="15"/>
      <c r="WYL230" s="15"/>
      <c r="WYM230" s="15"/>
      <c r="WYN230" s="10"/>
      <c r="WYO230" s="10"/>
      <c r="WYP230" s="21"/>
      <c r="WYQ230" s="21"/>
      <c r="WYT230" s="21"/>
      <c r="WYU230" s="15"/>
      <c r="WYV230" s="15"/>
      <c r="WYW230" s="15"/>
      <c r="WYX230" s="15"/>
      <c r="WYY230" s="15"/>
      <c r="WYZ230" s="15"/>
      <c r="WZA230" s="15"/>
      <c r="WZB230" s="15"/>
      <c r="WZC230" s="15"/>
      <c r="WZD230" s="15"/>
      <c r="WZE230" s="10"/>
      <c r="WZF230" s="10"/>
      <c r="WZG230" s="21"/>
      <c r="WZH230" s="21"/>
      <c r="WZK230" s="21"/>
      <c r="WZL230" s="15"/>
      <c r="WZM230" s="15"/>
      <c r="WZN230" s="15"/>
      <c r="WZO230" s="15"/>
      <c r="WZP230" s="15"/>
      <c r="WZQ230" s="15"/>
      <c r="WZR230" s="15"/>
      <c r="WZS230" s="15"/>
      <c r="WZT230" s="15"/>
      <c r="WZU230" s="15"/>
      <c r="WZV230" s="10"/>
      <c r="WZW230" s="10"/>
      <c r="WZX230" s="21"/>
      <c r="WZY230" s="21"/>
      <c r="XAB230" s="21"/>
      <c r="XAC230" s="15"/>
      <c r="XAD230" s="15"/>
      <c r="XAE230" s="15"/>
      <c r="XAF230" s="15"/>
      <c r="XAG230" s="15"/>
      <c r="XAH230" s="15"/>
      <c r="XAI230" s="15"/>
      <c r="XAJ230" s="15"/>
      <c r="XAK230" s="15"/>
      <c r="XAL230" s="15"/>
      <c r="XAM230" s="10"/>
      <c r="XAN230" s="10"/>
      <c r="XAO230" s="21"/>
      <c r="XAP230" s="21"/>
      <c r="XAS230" s="21"/>
      <c r="XAT230" s="15"/>
      <c r="XAU230" s="15"/>
      <c r="XAV230" s="15"/>
      <c r="XAW230" s="15"/>
      <c r="XAX230" s="15"/>
      <c r="XAY230" s="15"/>
      <c r="XAZ230" s="15"/>
      <c r="XBA230" s="15"/>
      <c r="XBB230" s="15"/>
      <c r="XBC230" s="15"/>
      <c r="XBD230" s="10"/>
      <c r="XBE230" s="10"/>
      <c r="XBF230" s="21"/>
      <c r="XBG230" s="21"/>
      <c r="XBJ230" s="21"/>
      <c r="XBK230" s="15"/>
      <c r="XBL230" s="15"/>
      <c r="XBM230" s="15"/>
      <c r="XBN230" s="15"/>
      <c r="XBO230" s="15"/>
      <c r="XBP230" s="15"/>
      <c r="XBQ230" s="15"/>
      <c r="XBR230" s="15"/>
      <c r="XBS230" s="15"/>
      <c r="XBT230" s="15"/>
      <c r="XBU230" s="10"/>
      <c r="XBV230" s="10"/>
      <c r="XBW230" s="21"/>
      <c r="XBX230" s="21"/>
      <c r="XCA230" s="21"/>
      <c r="XCB230" s="15"/>
      <c r="XCC230" s="15"/>
      <c r="XCD230" s="15"/>
      <c r="XCE230" s="15"/>
      <c r="XCF230" s="15"/>
      <c r="XCG230" s="15"/>
      <c r="XCH230" s="15"/>
      <c r="XCI230" s="15"/>
      <c r="XCJ230" s="15"/>
      <c r="XCK230" s="15"/>
      <c r="XCL230" s="10"/>
      <c r="XCM230" s="10"/>
      <c r="XCN230" s="21"/>
      <c r="XCO230" s="21"/>
      <c r="XCR230" s="21"/>
      <c r="XCS230" s="15"/>
      <c r="XCT230" s="15"/>
      <c r="XCU230" s="15"/>
      <c r="XCV230" s="15"/>
      <c r="XCW230" s="15"/>
      <c r="XCX230" s="15"/>
      <c r="XCY230" s="15"/>
      <c r="XCZ230" s="15"/>
      <c r="XDA230" s="15"/>
      <c r="XDB230" s="15"/>
      <c r="XDC230" s="10"/>
      <c r="XDD230" s="10"/>
      <c r="XDE230" s="21"/>
      <c r="XDF230" s="21"/>
      <c r="XDI230" s="21"/>
      <c r="XDJ230" s="15"/>
      <c r="XDK230" s="15"/>
      <c r="XDL230" s="15"/>
      <c r="XDM230" s="15"/>
      <c r="XDN230" s="15"/>
      <c r="XDO230" s="15"/>
      <c r="XDP230" s="15"/>
      <c r="XDQ230" s="15"/>
      <c r="XDR230" s="15"/>
      <c r="XDS230" s="15"/>
      <c r="XDT230" s="10"/>
      <c r="XDU230" s="10"/>
      <c r="XDV230" s="21"/>
      <c r="XDW230" s="21"/>
      <c r="XDZ230" s="21"/>
      <c r="XEA230" s="15"/>
      <c r="XEB230" s="15"/>
      <c r="XEC230" s="15"/>
      <c r="XED230" s="15"/>
      <c r="XEE230" s="15"/>
      <c r="XEF230" s="15"/>
      <c r="XEG230" s="15"/>
      <c r="XEH230" s="15"/>
      <c r="XEI230" s="15"/>
      <c r="XEJ230" s="15"/>
      <c r="XEK230" s="10"/>
      <c r="XEL230" s="10"/>
      <c r="XEM230" s="21"/>
      <c r="XEN230" s="21"/>
      <c r="XEQ230" s="21"/>
      <c r="XER230" s="15"/>
      <c r="XES230" s="15"/>
      <c r="XET230" s="15"/>
      <c r="XEU230" s="15"/>
      <c r="XEV230" s="15"/>
      <c r="XEW230" s="15"/>
      <c r="XEX230" s="15"/>
      <c r="XEY230" s="15"/>
      <c r="XEZ230" s="15"/>
      <c r="XFA230" s="15"/>
      <c r="XFB230" s="10"/>
      <c r="XFC230" s="10"/>
      <c r="XFD230" s="21"/>
    </row>
    <row r="231" spans="1:4094 4097:8191 8194:12288 12291:16384" ht="14.25" customHeight="1" x14ac:dyDescent="0.25">
      <c r="A231" s="31">
        <v>0</v>
      </c>
      <c r="B231" s="31">
        <v>1</v>
      </c>
      <c r="C231" s="31">
        <v>6</v>
      </c>
      <c r="D231" s="32" t="s">
        <v>978</v>
      </c>
      <c r="E231" s="32" t="s">
        <v>165</v>
      </c>
      <c r="F231" s="32" t="s">
        <v>976</v>
      </c>
      <c r="G231" s="32" t="s">
        <v>1105</v>
      </c>
      <c r="H231" s="32" t="s">
        <v>354</v>
      </c>
      <c r="I231" s="31" t="s">
        <v>977</v>
      </c>
      <c r="J231" s="31">
        <v>1</v>
      </c>
      <c r="K231" s="33" t="s">
        <v>956</v>
      </c>
      <c r="L231" s="33" t="s">
        <v>689</v>
      </c>
      <c r="M231" s="34" t="s">
        <v>1402</v>
      </c>
      <c r="N231" s="34" t="s">
        <v>1748</v>
      </c>
      <c r="O231" s="35">
        <v>1</v>
      </c>
      <c r="P231" s="35"/>
      <c r="Q231" s="32"/>
      <c r="S231" s="1">
        <f t="shared" si="171"/>
        <v>1</v>
      </c>
      <c r="T231" s="1">
        <f t="shared" si="172"/>
        <v>0</v>
      </c>
      <c r="U231" s="1">
        <f t="shared" si="173"/>
        <v>0</v>
      </c>
      <c r="V231" s="1">
        <f t="shared" si="174"/>
        <v>0</v>
      </c>
      <c r="W231" s="1">
        <f t="shared" si="175"/>
        <v>0</v>
      </c>
      <c r="X231" s="1">
        <f t="shared" si="176"/>
        <v>0</v>
      </c>
      <c r="Y231" s="1">
        <f t="shared" si="177"/>
        <v>0</v>
      </c>
      <c r="Z231" s="1">
        <f t="shared" si="178"/>
        <v>0</v>
      </c>
      <c r="AA231" s="1">
        <f t="shared" si="179"/>
        <v>0</v>
      </c>
      <c r="AB231" s="1">
        <f t="shared" si="180"/>
        <v>0</v>
      </c>
      <c r="AD231" s="1">
        <f t="shared" si="181"/>
        <v>0</v>
      </c>
      <c r="AE231" s="1">
        <f t="shared" si="182"/>
        <v>1</v>
      </c>
      <c r="AF231" s="1">
        <f t="shared" si="167"/>
        <v>0</v>
      </c>
      <c r="AG231" s="1">
        <f t="shared" si="168"/>
        <v>1</v>
      </c>
      <c r="AH231" s="1">
        <f t="shared" si="169"/>
        <v>0</v>
      </c>
      <c r="AI231" s="1">
        <f t="shared" si="170"/>
        <v>1</v>
      </c>
    </row>
    <row r="232" spans="1:4094 4097:8191 8194:12288 12291:16384" ht="14.25" customHeight="1" x14ac:dyDescent="0.25">
      <c r="A232" s="31">
        <v>0</v>
      </c>
      <c r="B232" s="31">
        <v>1</v>
      </c>
      <c r="C232" s="31">
        <v>6</v>
      </c>
      <c r="D232" s="32" t="s">
        <v>521</v>
      </c>
      <c r="E232" s="32" t="s">
        <v>167</v>
      </c>
      <c r="F232" s="32" t="s">
        <v>522</v>
      </c>
      <c r="G232" s="32" t="s">
        <v>523</v>
      </c>
      <c r="H232" s="32" t="s">
        <v>354</v>
      </c>
      <c r="I232" s="31" t="s">
        <v>524</v>
      </c>
      <c r="J232" s="31">
        <v>99</v>
      </c>
      <c r="K232" s="33" t="s">
        <v>702</v>
      </c>
      <c r="L232" s="33">
        <v>40</v>
      </c>
      <c r="M232" s="34" t="s">
        <v>972</v>
      </c>
      <c r="N232" s="34" t="s">
        <v>1849</v>
      </c>
      <c r="O232" s="35">
        <v>1</v>
      </c>
      <c r="P232" s="35"/>
      <c r="Q232" s="32"/>
      <c r="S232" s="1">
        <f t="shared" si="171"/>
        <v>0</v>
      </c>
      <c r="T232" s="1">
        <f t="shared" si="172"/>
        <v>0</v>
      </c>
      <c r="U232" s="1">
        <f t="shared" si="173"/>
        <v>0</v>
      </c>
      <c r="V232" s="1">
        <f t="shared" si="174"/>
        <v>0</v>
      </c>
      <c r="W232" s="1">
        <f t="shared" si="175"/>
        <v>0</v>
      </c>
      <c r="X232" s="1">
        <f t="shared" si="176"/>
        <v>0</v>
      </c>
      <c r="Y232" s="1">
        <f t="shared" si="177"/>
        <v>0</v>
      </c>
      <c r="Z232" s="1">
        <f t="shared" si="178"/>
        <v>0</v>
      </c>
      <c r="AA232" s="1">
        <f t="shared" si="179"/>
        <v>0</v>
      </c>
      <c r="AB232" s="1">
        <f t="shared" si="180"/>
        <v>0</v>
      </c>
      <c r="AD232" s="1">
        <f t="shared" si="181"/>
        <v>0</v>
      </c>
      <c r="AE232" s="1">
        <f t="shared" si="182"/>
        <v>1</v>
      </c>
      <c r="AF232" s="1">
        <f t="shared" si="167"/>
        <v>0</v>
      </c>
      <c r="AG232" s="1">
        <f t="shared" si="168"/>
        <v>1</v>
      </c>
      <c r="AH232" s="1">
        <f t="shared" si="169"/>
        <v>0</v>
      </c>
      <c r="AI232" s="1">
        <f t="shared" si="170"/>
        <v>1</v>
      </c>
    </row>
    <row r="233" spans="1:4094 4097:8191 8194:12288 12291:16384" ht="14.25" customHeight="1" x14ac:dyDescent="0.25">
      <c r="A233" s="38">
        <v>0</v>
      </c>
      <c r="B233" s="38">
        <v>1</v>
      </c>
      <c r="C233" s="38">
        <v>6</v>
      </c>
      <c r="D233" s="39" t="s">
        <v>1837</v>
      </c>
      <c r="E233" s="39" t="s">
        <v>1838</v>
      </c>
      <c r="F233" s="39" t="s">
        <v>1839</v>
      </c>
      <c r="G233" s="39"/>
      <c r="H233" s="39" t="s">
        <v>354</v>
      </c>
      <c r="I233" s="38" t="s">
        <v>1840</v>
      </c>
      <c r="J233" s="38"/>
      <c r="K233" s="40" t="s">
        <v>703</v>
      </c>
      <c r="L233" s="40"/>
      <c r="M233" s="41"/>
      <c r="N233" s="42"/>
      <c r="O233" s="43"/>
      <c r="P233" s="43">
        <v>1</v>
      </c>
      <c r="Q233" s="39"/>
      <c r="S233" s="1">
        <f t="shared" si="171"/>
        <v>0</v>
      </c>
      <c r="T233" s="1">
        <f t="shared" si="172"/>
        <v>0</v>
      </c>
      <c r="U233" s="1">
        <f t="shared" si="173"/>
        <v>0</v>
      </c>
      <c r="V233" s="1">
        <f t="shared" si="174"/>
        <v>0</v>
      </c>
      <c r="W233" s="1">
        <f t="shared" si="175"/>
        <v>0</v>
      </c>
      <c r="X233" s="1">
        <f t="shared" si="176"/>
        <v>0</v>
      </c>
      <c r="Y233" s="1">
        <f t="shared" si="177"/>
        <v>0</v>
      </c>
      <c r="Z233" s="1">
        <f t="shared" si="178"/>
        <v>0</v>
      </c>
      <c r="AA233" s="1">
        <f t="shared" si="179"/>
        <v>0</v>
      </c>
      <c r="AB233" s="1">
        <f t="shared" si="180"/>
        <v>0</v>
      </c>
      <c r="AD233" s="1">
        <f t="shared" si="181"/>
        <v>0</v>
      </c>
      <c r="AE233" s="1">
        <f t="shared" si="182"/>
        <v>0</v>
      </c>
      <c r="AF233" s="1">
        <f t="shared" si="167"/>
        <v>0</v>
      </c>
      <c r="AG233" s="1">
        <f t="shared" si="168"/>
        <v>0</v>
      </c>
      <c r="AH233" s="1">
        <f t="shared" si="169"/>
        <v>1</v>
      </c>
      <c r="AI233" s="1">
        <f t="shared" si="170"/>
        <v>0</v>
      </c>
    </row>
    <row r="234" spans="1:4094 4097:8191 8194:12288 12291:16384" ht="14.25" customHeight="1" x14ac:dyDescent="0.25">
      <c r="A234" s="31">
        <v>0</v>
      </c>
      <c r="B234" s="31">
        <v>1</v>
      </c>
      <c r="C234" s="31">
        <v>6</v>
      </c>
      <c r="D234" s="32" t="s">
        <v>1480</v>
      </c>
      <c r="E234" s="32" t="s">
        <v>167</v>
      </c>
      <c r="F234" s="32" t="s">
        <v>1482</v>
      </c>
      <c r="G234" s="32" t="s">
        <v>1483</v>
      </c>
      <c r="H234" s="32" t="s">
        <v>354</v>
      </c>
      <c r="I234" s="31" t="s">
        <v>1481</v>
      </c>
      <c r="J234" s="31">
        <v>99</v>
      </c>
      <c r="K234" s="33" t="s">
        <v>703</v>
      </c>
      <c r="L234" s="33">
        <v>62</v>
      </c>
      <c r="M234" s="34"/>
      <c r="N234" s="34" t="s">
        <v>1749</v>
      </c>
      <c r="O234" s="35">
        <v>1</v>
      </c>
      <c r="P234" s="35"/>
      <c r="Q234" s="32"/>
      <c r="S234" s="1">
        <f t="shared" si="171"/>
        <v>0</v>
      </c>
      <c r="T234" s="1">
        <f t="shared" si="172"/>
        <v>0</v>
      </c>
      <c r="U234" s="1">
        <f t="shared" si="173"/>
        <v>0</v>
      </c>
      <c r="V234" s="1">
        <f t="shared" si="174"/>
        <v>0</v>
      </c>
      <c r="W234" s="1">
        <f t="shared" si="175"/>
        <v>0</v>
      </c>
      <c r="X234" s="1">
        <f t="shared" si="176"/>
        <v>0</v>
      </c>
      <c r="Y234" s="1">
        <f t="shared" si="177"/>
        <v>0</v>
      </c>
      <c r="Z234" s="1">
        <f t="shared" si="178"/>
        <v>0</v>
      </c>
      <c r="AA234" s="1">
        <f t="shared" si="179"/>
        <v>0</v>
      </c>
      <c r="AB234" s="1">
        <f t="shared" si="180"/>
        <v>0</v>
      </c>
      <c r="AD234" s="1">
        <f t="shared" si="181"/>
        <v>0</v>
      </c>
      <c r="AE234" s="1">
        <f t="shared" si="182"/>
        <v>1</v>
      </c>
      <c r="AF234" s="1">
        <f t="shared" si="167"/>
        <v>0</v>
      </c>
      <c r="AG234" s="1">
        <f t="shared" si="168"/>
        <v>1</v>
      </c>
      <c r="AH234" s="1">
        <f t="shared" si="169"/>
        <v>0</v>
      </c>
      <c r="AI234" s="1">
        <f t="shared" si="170"/>
        <v>1</v>
      </c>
    </row>
    <row r="235" spans="1:4094 4097:8191 8194:12288 12291:16384" ht="14.25" customHeight="1" x14ac:dyDescent="0.25">
      <c r="A235" s="31">
        <v>0</v>
      </c>
      <c r="B235" s="31">
        <v>1</v>
      </c>
      <c r="C235" s="31">
        <v>6</v>
      </c>
      <c r="D235" s="32" t="s">
        <v>1196</v>
      </c>
      <c r="E235" s="32" t="s">
        <v>165</v>
      </c>
      <c r="F235" s="32" t="s">
        <v>1670</v>
      </c>
      <c r="G235" s="32" t="s">
        <v>213</v>
      </c>
      <c r="H235" s="32" t="s">
        <v>354</v>
      </c>
      <c r="I235" s="31" t="s">
        <v>1197</v>
      </c>
      <c r="J235" s="31">
        <v>1</v>
      </c>
      <c r="K235" s="33" t="s">
        <v>962</v>
      </c>
      <c r="L235" s="33" t="s">
        <v>687</v>
      </c>
      <c r="M235" s="34" t="s">
        <v>1572</v>
      </c>
      <c r="N235" s="34" t="s">
        <v>1755</v>
      </c>
      <c r="O235" s="35">
        <v>1</v>
      </c>
      <c r="P235" s="35"/>
      <c r="Q235" s="32"/>
      <c r="S235" s="1">
        <f t="shared" si="171"/>
        <v>1</v>
      </c>
      <c r="T235" s="1">
        <f t="shared" si="172"/>
        <v>0</v>
      </c>
      <c r="U235" s="1">
        <f t="shared" si="173"/>
        <v>0</v>
      </c>
      <c r="V235" s="1">
        <f t="shared" si="174"/>
        <v>0</v>
      </c>
      <c r="W235" s="1">
        <f t="shared" si="175"/>
        <v>0</v>
      </c>
      <c r="X235" s="1">
        <f t="shared" si="176"/>
        <v>0</v>
      </c>
      <c r="Y235" s="1">
        <f t="shared" si="177"/>
        <v>0</v>
      </c>
      <c r="Z235" s="1">
        <f t="shared" si="178"/>
        <v>0</v>
      </c>
      <c r="AA235" s="1">
        <f t="shared" si="179"/>
        <v>0</v>
      </c>
      <c r="AB235" s="1">
        <f t="shared" si="180"/>
        <v>0</v>
      </c>
      <c r="AD235" s="1">
        <f t="shared" si="181"/>
        <v>0</v>
      </c>
      <c r="AE235" s="1">
        <f t="shared" si="182"/>
        <v>1</v>
      </c>
      <c r="AF235" s="1">
        <f t="shared" si="167"/>
        <v>0</v>
      </c>
      <c r="AG235" s="1">
        <f t="shared" si="168"/>
        <v>1</v>
      </c>
      <c r="AH235" s="1">
        <f t="shared" si="169"/>
        <v>0</v>
      </c>
      <c r="AI235" s="1">
        <f t="shared" si="170"/>
        <v>1</v>
      </c>
    </row>
    <row r="236" spans="1:4094 4097:8191 8194:12288 12291:16384" ht="14.25" customHeight="1" x14ac:dyDescent="0.25">
      <c r="A236" s="15">
        <v>0</v>
      </c>
      <c r="B236" s="15">
        <v>1</v>
      </c>
      <c r="C236" s="15">
        <v>6</v>
      </c>
      <c r="D236" s="16" t="s">
        <v>2073</v>
      </c>
      <c r="E236" s="16" t="s">
        <v>2074</v>
      </c>
      <c r="F236" s="16" t="s">
        <v>2075</v>
      </c>
      <c r="G236" s="16" t="s">
        <v>208</v>
      </c>
      <c r="H236" s="16" t="s">
        <v>354</v>
      </c>
      <c r="I236" s="15" t="s">
        <v>2076</v>
      </c>
      <c r="J236" s="15">
        <v>3</v>
      </c>
      <c r="K236" s="10" t="s">
        <v>703</v>
      </c>
      <c r="L236" s="10">
        <v>30</v>
      </c>
      <c r="M236" s="19" t="s">
        <v>2077</v>
      </c>
      <c r="N236" s="19"/>
      <c r="Q236" s="16"/>
      <c r="S236" s="1">
        <f t="shared" si="171"/>
        <v>0</v>
      </c>
      <c r="T236" s="1">
        <f t="shared" si="172"/>
        <v>0</v>
      </c>
      <c r="U236" s="1">
        <f t="shared" si="173"/>
        <v>1</v>
      </c>
      <c r="V236" s="1">
        <f t="shared" si="174"/>
        <v>0</v>
      </c>
      <c r="W236" s="1">
        <f t="shared" si="175"/>
        <v>0</v>
      </c>
      <c r="X236" s="1">
        <f t="shared" si="176"/>
        <v>0</v>
      </c>
      <c r="Y236" s="1">
        <f t="shared" si="177"/>
        <v>0</v>
      </c>
      <c r="Z236" s="1">
        <f t="shared" si="178"/>
        <v>0</v>
      </c>
      <c r="AA236" s="1">
        <f t="shared" si="179"/>
        <v>0</v>
      </c>
      <c r="AB236" s="1">
        <f t="shared" si="180"/>
        <v>0</v>
      </c>
      <c r="AD236" s="1">
        <f t="shared" ref="AD236:AD239" si="183">+O236*P236</f>
        <v>0</v>
      </c>
      <c r="AE236" s="1">
        <f t="shared" ref="AE236:AE239" si="184">O236*(1-P236)</f>
        <v>0</v>
      </c>
      <c r="AF236" s="1">
        <f t="shared" ref="AF236:AF239" si="185">+O236*P236*(1-A236)</f>
        <v>0</v>
      </c>
      <c r="AG236" s="1">
        <f t="shared" ref="AG236:AG239" si="186">O236*(1-P236)*(1-A236)</f>
        <v>0</v>
      </c>
      <c r="AH236" s="1">
        <f t="shared" ref="AH236:AH239" si="187">+P236*(1-A236)</f>
        <v>0</v>
      </c>
      <c r="AI236" s="1">
        <f t="shared" ref="AI236:AI239" si="188">+(1-A236)*(1-P236)</f>
        <v>1</v>
      </c>
    </row>
    <row r="237" spans="1:4094 4097:8191 8194:12288 12291:16384" ht="14.25" customHeight="1" x14ac:dyDescent="0.25">
      <c r="A237" s="31">
        <v>0</v>
      </c>
      <c r="B237" s="31">
        <v>1</v>
      </c>
      <c r="C237" s="31">
        <v>6</v>
      </c>
      <c r="D237" s="32" t="s">
        <v>98</v>
      </c>
      <c r="E237" s="32" t="s">
        <v>167</v>
      </c>
      <c r="F237" s="32" t="s">
        <v>296</v>
      </c>
      <c r="G237" s="32" t="s">
        <v>285</v>
      </c>
      <c r="H237" s="32" t="s">
        <v>354</v>
      </c>
      <c r="I237" s="31" t="s">
        <v>1118</v>
      </c>
      <c r="J237" s="31">
        <v>10</v>
      </c>
      <c r="K237" s="33" t="s">
        <v>956</v>
      </c>
      <c r="L237" s="33" t="s">
        <v>694</v>
      </c>
      <c r="M237" s="34" t="s">
        <v>705</v>
      </c>
      <c r="N237" s="34" t="s">
        <v>1749</v>
      </c>
      <c r="O237" s="35">
        <v>1</v>
      </c>
      <c r="P237" s="35"/>
      <c r="Q237" s="32"/>
      <c r="S237" s="1">
        <f t="shared" si="171"/>
        <v>0</v>
      </c>
      <c r="T237" s="1">
        <f t="shared" si="172"/>
        <v>0</v>
      </c>
      <c r="U237" s="1">
        <f t="shared" si="173"/>
        <v>0</v>
      </c>
      <c r="V237" s="1">
        <f t="shared" si="174"/>
        <v>0</v>
      </c>
      <c r="W237" s="1">
        <f t="shared" si="175"/>
        <v>0</v>
      </c>
      <c r="X237" s="1">
        <f t="shared" si="176"/>
        <v>0</v>
      </c>
      <c r="Y237" s="1">
        <f t="shared" si="177"/>
        <v>0</v>
      </c>
      <c r="Z237" s="1">
        <f t="shared" si="178"/>
        <v>0</v>
      </c>
      <c r="AA237" s="1">
        <f t="shared" si="179"/>
        <v>0</v>
      </c>
      <c r="AB237" s="1">
        <f t="shared" si="180"/>
        <v>1</v>
      </c>
      <c r="AD237" s="1">
        <f t="shared" si="183"/>
        <v>0</v>
      </c>
      <c r="AE237" s="1">
        <f t="shared" si="184"/>
        <v>1</v>
      </c>
      <c r="AF237" s="1">
        <f t="shared" si="185"/>
        <v>0</v>
      </c>
      <c r="AG237" s="1">
        <f t="shared" si="186"/>
        <v>1</v>
      </c>
      <c r="AH237" s="1">
        <f t="shared" si="187"/>
        <v>0</v>
      </c>
      <c r="AI237" s="1">
        <f t="shared" si="188"/>
        <v>1</v>
      </c>
    </row>
    <row r="238" spans="1:4094 4097:8191 8194:12288 12291:16384" ht="14.25" customHeight="1" x14ac:dyDescent="0.25">
      <c r="A238" s="31">
        <v>0</v>
      </c>
      <c r="B238" s="31">
        <v>1</v>
      </c>
      <c r="C238" s="31">
        <v>6</v>
      </c>
      <c r="D238" s="32" t="s">
        <v>603</v>
      </c>
      <c r="E238" s="32" t="s">
        <v>165</v>
      </c>
      <c r="F238" s="32" t="s">
        <v>605</v>
      </c>
      <c r="G238" s="32" t="s">
        <v>39</v>
      </c>
      <c r="H238" s="32" t="s">
        <v>354</v>
      </c>
      <c r="I238" s="31" t="s">
        <v>604</v>
      </c>
      <c r="J238" s="31">
        <v>99</v>
      </c>
      <c r="K238" s="33" t="s">
        <v>956</v>
      </c>
      <c r="L238" s="33" t="s">
        <v>693</v>
      </c>
      <c r="M238" s="34" t="s">
        <v>970</v>
      </c>
      <c r="N238" s="34" t="s">
        <v>1749</v>
      </c>
      <c r="O238" s="35">
        <v>1</v>
      </c>
      <c r="P238" s="35"/>
      <c r="Q238" s="32"/>
      <c r="S238" s="1">
        <f t="shared" si="171"/>
        <v>0</v>
      </c>
      <c r="T238" s="1">
        <f t="shared" si="172"/>
        <v>0</v>
      </c>
      <c r="U238" s="1">
        <f t="shared" si="173"/>
        <v>0</v>
      </c>
      <c r="V238" s="1">
        <f t="shared" si="174"/>
        <v>0</v>
      </c>
      <c r="W238" s="1">
        <f t="shared" si="175"/>
        <v>0</v>
      </c>
      <c r="X238" s="1">
        <f t="shared" si="176"/>
        <v>0</v>
      </c>
      <c r="Y238" s="1">
        <f t="shared" si="177"/>
        <v>0</v>
      </c>
      <c r="Z238" s="1">
        <f t="shared" si="178"/>
        <v>0</v>
      </c>
      <c r="AA238" s="1">
        <f t="shared" si="179"/>
        <v>0</v>
      </c>
      <c r="AB238" s="1">
        <f t="shared" si="180"/>
        <v>0</v>
      </c>
      <c r="AD238" s="1">
        <f t="shared" si="183"/>
        <v>0</v>
      </c>
      <c r="AE238" s="1">
        <f t="shared" si="184"/>
        <v>1</v>
      </c>
      <c r="AF238" s="1">
        <f t="shared" si="185"/>
        <v>0</v>
      </c>
      <c r="AG238" s="1">
        <f t="shared" si="186"/>
        <v>1</v>
      </c>
      <c r="AH238" s="1">
        <f t="shared" si="187"/>
        <v>0</v>
      </c>
      <c r="AI238" s="1">
        <f t="shared" si="188"/>
        <v>1</v>
      </c>
    </row>
    <row r="239" spans="1:4094 4097:8191 8194:12288 12291:16384" ht="14.25" customHeight="1" x14ac:dyDescent="0.25">
      <c r="A239" s="31">
        <v>0</v>
      </c>
      <c r="B239" s="31">
        <v>1</v>
      </c>
      <c r="C239" s="31">
        <v>6</v>
      </c>
      <c r="D239" s="32" t="s">
        <v>1162</v>
      </c>
      <c r="E239" s="32" t="s">
        <v>165</v>
      </c>
      <c r="F239" s="32" t="s">
        <v>1164</v>
      </c>
      <c r="G239" s="32" t="s">
        <v>220</v>
      </c>
      <c r="H239" s="32" t="s">
        <v>354</v>
      </c>
      <c r="I239" s="31" t="s">
        <v>1163</v>
      </c>
      <c r="J239" s="31">
        <v>8</v>
      </c>
      <c r="K239" s="33" t="s">
        <v>702</v>
      </c>
      <c r="L239" s="33" t="s">
        <v>1713</v>
      </c>
      <c r="M239" s="34" t="s">
        <v>1403</v>
      </c>
      <c r="N239" s="34" t="s">
        <v>1748</v>
      </c>
      <c r="O239" s="35">
        <v>1</v>
      </c>
      <c r="P239" s="35"/>
      <c r="Q239" s="32"/>
      <c r="S239" s="1">
        <f t="shared" si="171"/>
        <v>0</v>
      </c>
      <c r="T239" s="1">
        <f t="shared" si="172"/>
        <v>0</v>
      </c>
      <c r="U239" s="1">
        <f t="shared" si="173"/>
        <v>0</v>
      </c>
      <c r="V239" s="1">
        <f t="shared" si="174"/>
        <v>0</v>
      </c>
      <c r="W239" s="1">
        <f t="shared" si="175"/>
        <v>0</v>
      </c>
      <c r="X239" s="1">
        <f t="shared" si="176"/>
        <v>0</v>
      </c>
      <c r="Y239" s="1">
        <f t="shared" si="177"/>
        <v>0</v>
      </c>
      <c r="Z239" s="1">
        <f t="shared" si="178"/>
        <v>1</v>
      </c>
      <c r="AA239" s="1">
        <f t="shared" si="179"/>
        <v>0</v>
      </c>
      <c r="AB239" s="1">
        <f t="shared" si="180"/>
        <v>0</v>
      </c>
      <c r="AD239" s="1">
        <f t="shared" si="183"/>
        <v>0</v>
      </c>
      <c r="AE239" s="1">
        <f t="shared" si="184"/>
        <v>1</v>
      </c>
      <c r="AF239" s="1">
        <f t="shared" si="185"/>
        <v>0</v>
      </c>
      <c r="AG239" s="1">
        <f t="shared" si="186"/>
        <v>1</v>
      </c>
      <c r="AH239" s="1">
        <f t="shared" si="187"/>
        <v>0</v>
      </c>
      <c r="AI239" s="1">
        <f t="shared" si="188"/>
        <v>1</v>
      </c>
    </row>
    <row r="240" spans="1:4094 4097:8191 8194:12288 12291:16384" ht="14.25" customHeight="1" x14ac:dyDescent="0.25">
      <c r="A240" s="31">
        <v>0</v>
      </c>
      <c r="B240" s="31">
        <v>1</v>
      </c>
      <c r="C240" s="31">
        <v>6</v>
      </c>
      <c r="D240" s="32" t="s">
        <v>564</v>
      </c>
      <c r="E240" s="32" t="s">
        <v>167</v>
      </c>
      <c r="F240" s="32" t="s">
        <v>661</v>
      </c>
      <c r="G240" s="32" t="s">
        <v>202</v>
      </c>
      <c r="H240" s="32" t="s">
        <v>354</v>
      </c>
      <c r="I240" s="31" t="s">
        <v>583</v>
      </c>
      <c r="J240" s="31">
        <v>10</v>
      </c>
      <c r="K240" s="33" t="s">
        <v>962</v>
      </c>
      <c r="L240" s="33" t="s">
        <v>693</v>
      </c>
      <c r="M240" s="34" t="s">
        <v>705</v>
      </c>
      <c r="N240" s="34" t="s">
        <v>1748</v>
      </c>
      <c r="O240" s="35">
        <v>1</v>
      </c>
      <c r="P240" s="35"/>
      <c r="Q240" s="36"/>
      <c r="S240" s="1">
        <f t="shared" si="171"/>
        <v>0</v>
      </c>
      <c r="T240" s="1">
        <f t="shared" si="172"/>
        <v>0</v>
      </c>
      <c r="U240" s="1">
        <f t="shared" si="173"/>
        <v>0</v>
      </c>
      <c r="V240" s="1">
        <f t="shared" si="174"/>
        <v>0</v>
      </c>
      <c r="W240" s="1">
        <f t="shared" si="175"/>
        <v>0</v>
      </c>
      <c r="X240" s="1">
        <f t="shared" si="176"/>
        <v>0</v>
      </c>
      <c r="Y240" s="1">
        <f t="shared" si="177"/>
        <v>0</v>
      </c>
      <c r="Z240" s="1">
        <f t="shared" si="178"/>
        <v>0</v>
      </c>
      <c r="AA240" s="1">
        <f t="shared" si="179"/>
        <v>0</v>
      </c>
      <c r="AB240" s="1">
        <f t="shared" si="180"/>
        <v>1</v>
      </c>
      <c r="AD240" s="1">
        <f t="shared" si="181"/>
        <v>0</v>
      </c>
      <c r="AE240" s="1">
        <f t="shared" si="182"/>
        <v>1</v>
      </c>
      <c r="AF240" s="1">
        <f t="shared" si="167"/>
        <v>0</v>
      </c>
      <c r="AG240" s="1">
        <f t="shared" si="168"/>
        <v>1</v>
      </c>
      <c r="AH240" s="1">
        <f t="shared" si="169"/>
        <v>0</v>
      </c>
      <c r="AI240" s="1">
        <f t="shared" si="170"/>
        <v>1</v>
      </c>
    </row>
    <row r="241" spans="1:35" ht="14.25" customHeight="1" x14ac:dyDescent="0.25">
      <c r="A241" s="44">
        <v>0</v>
      </c>
      <c r="B241" s="44">
        <v>1</v>
      </c>
      <c r="C241" s="44">
        <v>6</v>
      </c>
      <c r="D241" s="45" t="s">
        <v>897</v>
      </c>
      <c r="E241" s="45" t="s">
        <v>167</v>
      </c>
      <c r="F241" s="45" t="s">
        <v>938</v>
      </c>
      <c r="G241" s="45" t="s">
        <v>939</v>
      </c>
      <c r="H241" s="45" t="s">
        <v>354</v>
      </c>
      <c r="I241" s="44" t="s">
        <v>953</v>
      </c>
      <c r="J241" s="44">
        <v>99</v>
      </c>
      <c r="K241" s="46" t="s">
        <v>702</v>
      </c>
      <c r="L241" s="46" t="s">
        <v>689</v>
      </c>
      <c r="M241" s="47" t="s">
        <v>1404</v>
      </c>
      <c r="N241" s="47" t="s">
        <v>1738</v>
      </c>
      <c r="O241" s="48"/>
      <c r="P241" s="48"/>
      <c r="Q241" s="45"/>
      <c r="S241" s="1">
        <f t="shared" si="171"/>
        <v>0</v>
      </c>
      <c r="T241" s="1">
        <f t="shared" si="172"/>
        <v>0</v>
      </c>
      <c r="U241" s="1">
        <f t="shared" si="173"/>
        <v>0</v>
      </c>
      <c r="V241" s="1">
        <f t="shared" si="174"/>
        <v>0</v>
      </c>
      <c r="W241" s="1">
        <f t="shared" si="175"/>
        <v>0</v>
      </c>
      <c r="X241" s="1">
        <f t="shared" si="176"/>
        <v>0</v>
      </c>
      <c r="Y241" s="1">
        <f t="shared" si="177"/>
        <v>0</v>
      </c>
      <c r="Z241" s="1">
        <f t="shared" si="178"/>
        <v>0</v>
      </c>
      <c r="AA241" s="1">
        <f t="shared" si="179"/>
        <v>0</v>
      </c>
      <c r="AB241" s="1">
        <f t="shared" si="180"/>
        <v>0</v>
      </c>
      <c r="AD241" s="1">
        <f t="shared" si="181"/>
        <v>0</v>
      </c>
      <c r="AE241" s="1">
        <f t="shared" si="182"/>
        <v>0</v>
      </c>
      <c r="AF241" s="1">
        <f t="shared" si="167"/>
        <v>0</v>
      </c>
      <c r="AG241" s="1">
        <f t="shared" si="168"/>
        <v>0</v>
      </c>
      <c r="AH241" s="1">
        <f t="shared" si="169"/>
        <v>0</v>
      </c>
      <c r="AI241" s="1">
        <f t="shared" si="170"/>
        <v>1</v>
      </c>
    </row>
    <row r="242" spans="1:35" ht="14.25" customHeight="1" x14ac:dyDescent="0.25">
      <c r="A242" s="31">
        <v>0</v>
      </c>
      <c r="B242" s="31">
        <v>1</v>
      </c>
      <c r="C242" s="31">
        <v>6</v>
      </c>
      <c r="D242" s="32" t="s">
        <v>100</v>
      </c>
      <c r="E242" s="32" t="s">
        <v>167</v>
      </c>
      <c r="F242" s="32" t="s">
        <v>662</v>
      </c>
      <c r="G242" s="32" t="s">
        <v>664</v>
      </c>
      <c r="H242" s="32" t="s">
        <v>354</v>
      </c>
      <c r="I242" s="31" t="s">
        <v>447</v>
      </c>
      <c r="J242" s="31">
        <v>99</v>
      </c>
      <c r="K242" s="33" t="s">
        <v>722</v>
      </c>
      <c r="L242" s="33" t="s">
        <v>696</v>
      </c>
      <c r="M242" s="34" t="s">
        <v>707</v>
      </c>
      <c r="N242" s="34" t="s">
        <v>1749</v>
      </c>
      <c r="O242" s="35">
        <v>1</v>
      </c>
      <c r="P242" s="35"/>
      <c r="Q242" s="32"/>
      <c r="S242" s="1">
        <f t="shared" si="171"/>
        <v>0</v>
      </c>
      <c r="T242" s="1">
        <f t="shared" si="172"/>
        <v>0</v>
      </c>
      <c r="U242" s="1">
        <f t="shared" si="173"/>
        <v>0</v>
      </c>
      <c r="V242" s="1">
        <f t="shared" si="174"/>
        <v>0</v>
      </c>
      <c r="W242" s="1">
        <f t="shared" si="175"/>
        <v>0</v>
      </c>
      <c r="X242" s="1">
        <f t="shared" si="176"/>
        <v>0</v>
      </c>
      <c r="Y242" s="1">
        <f t="shared" si="177"/>
        <v>0</v>
      </c>
      <c r="Z242" s="1">
        <f t="shared" si="178"/>
        <v>0</v>
      </c>
      <c r="AA242" s="1">
        <f t="shared" si="179"/>
        <v>0</v>
      </c>
      <c r="AB242" s="1">
        <f t="shared" si="180"/>
        <v>0</v>
      </c>
      <c r="AD242" s="1">
        <f t="shared" si="181"/>
        <v>0</v>
      </c>
      <c r="AE242" s="1">
        <f t="shared" si="182"/>
        <v>1</v>
      </c>
      <c r="AF242" s="1">
        <f t="shared" si="167"/>
        <v>0</v>
      </c>
      <c r="AG242" s="1">
        <f t="shared" si="168"/>
        <v>1</v>
      </c>
      <c r="AH242" s="1">
        <f t="shared" si="169"/>
        <v>0</v>
      </c>
      <c r="AI242" s="1">
        <f t="shared" si="170"/>
        <v>1</v>
      </c>
    </row>
    <row r="243" spans="1:35" ht="14.25" customHeight="1" x14ac:dyDescent="0.25">
      <c r="A243" s="38">
        <v>0</v>
      </c>
      <c r="B243" s="38">
        <v>1</v>
      </c>
      <c r="C243" s="38">
        <v>7</v>
      </c>
      <c r="D243" s="39" t="s">
        <v>86</v>
      </c>
      <c r="E243" s="39" t="s">
        <v>29</v>
      </c>
      <c r="F243" s="39" t="s">
        <v>663</v>
      </c>
      <c r="G243" s="39" t="s">
        <v>664</v>
      </c>
      <c r="H243" s="39" t="s">
        <v>354</v>
      </c>
      <c r="I243" s="38" t="s">
        <v>631</v>
      </c>
      <c r="J243" s="38">
        <v>99</v>
      </c>
      <c r="K243" s="40" t="s">
        <v>954</v>
      </c>
      <c r="L243" s="40" t="s">
        <v>693</v>
      </c>
      <c r="M243" s="41" t="s">
        <v>1405</v>
      </c>
      <c r="N243" s="42"/>
      <c r="O243" s="43"/>
      <c r="P243" s="43">
        <v>1</v>
      </c>
      <c r="Q243" s="39"/>
      <c r="S243" s="1">
        <f t="shared" si="171"/>
        <v>0</v>
      </c>
      <c r="T243" s="1">
        <f t="shared" si="172"/>
        <v>0</v>
      </c>
      <c r="U243" s="1">
        <f t="shared" si="173"/>
        <v>0</v>
      </c>
      <c r="V243" s="1">
        <f t="shared" si="174"/>
        <v>0</v>
      </c>
      <c r="W243" s="1">
        <f t="shared" si="175"/>
        <v>0</v>
      </c>
      <c r="X243" s="1">
        <f t="shared" si="176"/>
        <v>0</v>
      </c>
      <c r="Y243" s="1">
        <f t="shared" si="177"/>
        <v>0</v>
      </c>
      <c r="Z243" s="1">
        <f t="shared" si="178"/>
        <v>0</v>
      </c>
      <c r="AA243" s="1">
        <f t="shared" si="179"/>
        <v>0</v>
      </c>
      <c r="AB243" s="1">
        <f t="shared" si="180"/>
        <v>0</v>
      </c>
      <c r="AD243" s="1">
        <f t="shared" si="181"/>
        <v>0</v>
      </c>
      <c r="AE243" s="1">
        <f t="shared" si="182"/>
        <v>0</v>
      </c>
      <c r="AF243" s="1">
        <f t="shared" si="167"/>
        <v>0</v>
      </c>
      <c r="AG243" s="1">
        <f t="shared" si="168"/>
        <v>0</v>
      </c>
      <c r="AH243" s="1">
        <f t="shared" si="169"/>
        <v>1</v>
      </c>
      <c r="AI243" s="1">
        <f t="shared" si="170"/>
        <v>0</v>
      </c>
    </row>
    <row r="244" spans="1:35" ht="14.25" customHeight="1" x14ac:dyDescent="0.25">
      <c r="A244" s="31">
        <v>0</v>
      </c>
      <c r="B244" s="31">
        <v>1</v>
      </c>
      <c r="C244" s="31">
        <v>7</v>
      </c>
      <c r="D244" s="32" t="s">
        <v>650</v>
      </c>
      <c r="E244" s="32" t="s">
        <v>29</v>
      </c>
      <c r="F244" s="32" t="s">
        <v>626</v>
      </c>
      <c r="G244" s="32" t="s">
        <v>232</v>
      </c>
      <c r="H244" s="32" t="s">
        <v>354</v>
      </c>
      <c r="I244" s="31" t="s">
        <v>627</v>
      </c>
      <c r="J244" s="31">
        <v>99</v>
      </c>
      <c r="K244" s="33" t="s">
        <v>713</v>
      </c>
      <c r="L244" s="33" t="s">
        <v>696</v>
      </c>
      <c r="M244" s="34" t="s">
        <v>973</v>
      </c>
      <c r="N244" s="34" t="s">
        <v>1849</v>
      </c>
      <c r="O244" s="35">
        <v>1</v>
      </c>
      <c r="P244" s="35"/>
      <c r="Q244" s="32"/>
      <c r="S244" s="1">
        <f t="shared" si="171"/>
        <v>0</v>
      </c>
      <c r="T244" s="1">
        <f t="shared" si="172"/>
        <v>0</v>
      </c>
      <c r="U244" s="1">
        <f t="shared" si="173"/>
        <v>0</v>
      </c>
      <c r="V244" s="1">
        <f t="shared" si="174"/>
        <v>0</v>
      </c>
      <c r="W244" s="1">
        <f t="shared" si="175"/>
        <v>0</v>
      </c>
      <c r="X244" s="1">
        <f t="shared" si="176"/>
        <v>0</v>
      </c>
      <c r="Y244" s="1">
        <f t="shared" si="177"/>
        <v>0</v>
      </c>
      <c r="Z244" s="1">
        <f t="shared" si="178"/>
        <v>0</v>
      </c>
      <c r="AA244" s="1">
        <f t="shared" si="179"/>
        <v>0</v>
      </c>
      <c r="AB244" s="1">
        <f t="shared" si="180"/>
        <v>0</v>
      </c>
      <c r="AD244" s="1">
        <f t="shared" si="181"/>
        <v>0</v>
      </c>
      <c r="AE244" s="1">
        <f t="shared" si="182"/>
        <v>1</v>
      </c>
      <c r="AF244" s="1">
        <f t="shared" si="167"/>
        <v>0</v>
      </c>
      <c r="AG244" s="1">
        <f t="shared" si="168"/>
        <v>1</v>
      </c>
      <c r="AH244" s="1">
        <f t="shared" si="169"/>
        <v>0</v>
      </c>
      <c r="AI244" s="1">
        <f t="shared" si="170"/>
        <v>1</v>
      </c>
    </row>
    <row r="245" spans="1:35" ht="14.25" customHeight="1" x14ac:dyDescent="0.25">
      <c r="A245" s="15">
        <v>0</v>
      </c>
      <c r="B245" s="15">
        <v>1</v>
      </c>
      <c r="C245" s="15">
        <v>7</v>
      </c>
      <c r="D245" s="16" t="s">
        <v>983</v>
      </c>
      <c r="E245" s="16" t="s">
        <v>29</v>
      </c>
      <c r="F245" s="16" t="s">
        <v>984</v>
      </c>
      <c r="G245" s="16" t="s">
        <v>985</v>
      </c>
      <c r="H245" s="16" t="s">
        <v>354</v>
      </c>
      <c r="I245" s="15" t="s">
        <v>982</v>
      </c>
      <c r="J245" s="15">
        <v>99</v>
      </c>
      <c r="K245" s="10" t="s">
        <v>703</v>
      </c>
      <c r="L245" s="10">
        <v>20</v>
      </c>
      <c r="M245" s="19" t="s">
        <v>973</v>
      </c>
      <c r="N245" s="19"/>
      <c r="Q245" s="16"/>
      <c r="S245" s="1">
        <f t="shared" si="171"/>
        <v>0</v>
      </c>
      <c r="T245" s="1">
        <f t="shared" si="172"/>
        <v>0</v>
      </c>
      <c r="U245" s="1">
        <f t="shared" si="173"/>
        <v>0</v>
      </c>
      <c r="V245" s="1">
        <f t="shared" si="174"/>
        <v>0</v>
      </c>
      <c r="W245" s="1">
        <f t="shared" si="175"/>
        <v>0</v>
      </c>
      <c r="X245" s="1">
        <f t="shared" si="176"/>
        <v>0</v>
      </c>
      <c r="Y245" s="1">
        <f t="shared" si="177"/>
        <v>0</v>
      </c>
      <c r="Z245" s="1">
        <f t="shared" si="178"/>
        <v>0</v>
      </c>
      <c r="AA245" s="1">
        <f t="shared" si="179"/>
        <v>0</v>
      </c>
      <c r="AB245" s="1">
        <f t="shared" si="180"/>
        <v>0</v>
      </c>
      <c r="AD245" s="1">
        <f t="shared" si="181"/>
        <v>0</v>
      </c>
      <c r="AE245" s="1">
        <f t="shared" si="182"/>
        <v>0</v>
      </c>
      <c r="AF245" s="1">
        <f t="shared" si="167"/>
        <v>0</v>
      </c>
      <c r="AG245" s="1">
        <f t="shared" si="168"/>
        <v>0</v>
      </c>
      <c r="AH245" s="1">
        <f t="shared" si="169"/>
        <v>0</v>
      </c>
      <c r="AI245" s="1">
        <f t="shared" si="170"/>
        <v>1</v>
      </c>
    </row>
    <row r="246" spans="1:35" ht="14.25" customHeight="1" x14ac:dyDescent="0.25">
      <c r="A246" s="38">
        <v>0</v>
      </c>
      <c r="B246" s="38">
        <v>1</v>
      </c>
      <c r="C246" s="38">
        <v>7</v>
      </c>
      <c r="D246" s="39" t="s">
        <v>591</v>
      </c>
      <c r="E246" s="39" t="s">
        <v>29</v>
      </c>
      <c r="F246" s="39" t="s">
        <v>592</v>
      </c>
      <c r="G246" s="39" t="s">
        <v>1073</v>
      </c>
      <c r="H246" s="39" t="s">
        <v>354</v>
      </c>
      <c r="I246" s="38" t="s">
        <v>593</v>
      </c>
      <c r="J246" s="38">
        <v>99</v>
      </c>
      <c r="K246" s="40" t="s">
        <v>703</v>
      </c>
      <c r="L246" s="40">
        <v>35</v>
      </c>
      <c r="M246" s="41" t="s">
        <v>1405</v>
      </c>
      <c r="N246" s="41"/>
      <c r="O246" s="43"/>
      <c r="P246" s="43">
        <v>1</v>
      </c>
      <c r="Q246" s="39"/>
      <c r="S246" s="1">
        <f t="shared" si="171"/>
        <v>0</v>
      </c>
      <c r="T246" s="1">
        <f t="shared" si="172"/>
        <v>0</v>
      </c>
      <c r="U246" s="1">
        <f t="shared" si="173"/>
        <v>0</v>
      </c>
      <c r="V246" s="1">
        <f t="shared" si="174"/>
        <v>0</v>
      </c>
      <c r="W246" s="1">
        <f t="shared" si="175"/>
        <v>0</v>
      </c>
      <c r="X246" s="1">
        <f t="shared" si="176"/>
        <v>0</v>
      </c>
      <c r="Y246" s="1">
        <f t="shared" si="177"/>
        <v>0</v>
      </c>
      <c r="Z246" s="1">
        <f t="shared" si="178"/>
        <v>0</v>
      </c>
      <c r="AA246" s="1">
        <f t="shared" si="179"/>
        <v>0</v>
      </c>
      <c r="AB246" s="1">
        <f t="shared" si="180"/>
        <v>0</v>
      </c>
      <c r="AD246" s="1">
        <f t="shared" si="181"/>
        <v>0</v>
      </c>
      <c r="AE246" s="1">
        <f t="shared" si="182"/>
        <v>0</v>
      </c>
      <c r="AF246" s="1">
        <f t="shared" si="167"/>
        <v>0</v>
      </c>
      <c r="AG246" s="1">
        <f t="shared" si="168"/>
        <v>0</v>
      </c>
      <c r="AH246" s="1">
        <f t="shared" si="169"/>
        <v>1</v>
      </c>
      <c r="AI246" s="1">
        <f t="shared" si="170"/>
        <v>0</v>
      </c>
    </row>
    <row r="247" spans="1:35" ht="14.25" customHeight="1" x14ac:dyDescent="0.25">
      <c r="A247" s="31">
        <v>0</v>
      </c>
      <c r="B247" s="31">
        <v>1</v>
      </c>
      <c r="C247" s="31">
        <v>7</v>
      </c>
      <c r="D247" s="32" t="s">
        <v>1627</v>
      </c>
      <c r="E247" s="32" t="s">
        <v>29</v>
      </c>
      <c r="F247" s="32" t="s">
        <v>1682</v>
      </c>
      <c r="G247" s="32" t="s">
        <v>312</v>
      </c>
      <c r="H247" s="32" t="s">
        <v>354</v>
      </c>
      <c r="I247" s="31" t="s">
        <v>1628</v>
      </c>
      <c r="J247" s="31"/>
      <c r="K247" s="33" t="s">
        <v>713</v>
      </c>
      <c r="L247" s="33">
        <v>45</v>
      </c>
      <c r="M247" s="34" t="s">
        <v>1800</v>
      </c>
      <c r="N247" s="34" t="s">
        <v>1733</v>
      </c>
      <c r="O247" s="35">
        <v>1</v>
      </c>
      <c r="P247" s="35">
        <v>1</v>
      </c>
      <c r="Q247" s="32"/>
      <c r="S247" s="1">
        <f t="shared" si="171"/>
        <v>0</v>
      </c>
      <c r="T247" s="1">
        <f t="shared" si="172"/>
        <v>0</v>
      </c>
      <c r="U247" s="1">
        <f t="shared" si="173"/>
        <v>0</v>
      </c>
      <c r="V247" s="1">
        <f t="shared" si="174"/>
        <v>0</v>
      </c>
      <c r="W247" s="1">
        <f t="shared" si="175"/>
        <v>0</v>
      </c>
      <c r="X247" s="1">
        <f t="shared" si="176"/>
        <v>0</v>
      </c>
      <c r="Y247" s="1">
        <f t="shared" si="177"/>
        <v>0</v>
      </c>
      <c r="Z247" s="1">
        <f t="shared" si="178"/>
        <v>0</v>
      </c>
      <c r="AA247" s="1">
        <f t="shared" si="179"/>
        <v>0</v>
      </c>
      <c r="AB247" s="1">
        <f t="shared" si="180"/>
        <v>0</v>
      </c>
      <c r="AD247" s="1">
        <f t="shared" si="181"/>
        <v>1</v>
      </c>
      <c r="AE247" s="1">
        <f t="shared" si="182"/>
        <v>0</v>
      </c>
      <c r="AF247" s="1">
        <f t="shared" si="167"/>
        <v>1</v>
      </c>
      <c r="AG247" s="1">
        <f t="shared" si="168"/>
        <v>0</v>
      </c>
      <c r="AH247" s="1">
        <f t="shared" si="169"/>
        <v>1</v>
      </c>
      <c r="AI247" s="1">
        <f t="shared" si="170"/>
        <v>0</v>
      </c>
    </row>
    <row r="248" spans="1:35" ht="14.25" customHeight="1" x14ac:dyDescent="0.25">
      <c r="A248" s="31">
        <v>0</v>
      </c>
      <c r="B248" s="31">
        <v>1</v>
      </c>
      <c r="C248" s="31">
        <v>7</v>
      </c>
      <c r="D248" s="32" t="s">
        <v>859</v>
      </c>
      <c r="E248" s="32" t="s">
        <v>29</v>
      </c>
      <c r="F248" s="32" t="s">
        <v>860</v>
      </c>
      <c r="G248" s="32" t="s">
        <v>202</v>
      </c>
      <c r="H248" s="32" t="s">
        <v>354</v>
      </c>
      <c r="I248" s="31" t="s">
        <v>861</v>
      </c>
      <c r="J248" s="31">
        <v>10</v>
      </c>
      <c r="K248" s="33" t="s">
        <v>713</v>
      </c>
      <c r="L248" s="33" t="s">
        <v>693</v>
      </c>
      <c r="M248" s="34" t="s">
        <v>1405</v>
      </c>
      <c r="N248" s="34" t="s">
        <v>1755</v>
      </c>
      <c r="O248" s="35">
        <v>1</v>
      </c>
      <c r="P248" s="35"/>
      <c r="Q248" s="32"/>
      <c r="S248" s="1">
        <f t="shared" si="171"/>
        <v>0</v>
      </c>
      <c r="T248" s="1">
        <f t="shared" si="172"/>
        <v>0</v>
      </c>
      <c r="U248" s="1">
        <f t="shared" si="173"/>
        <v>0</v>
      </c>
      <c r="V248" s="1">
        <f t="shared" si="174"/>
        <v>0</v>
      </c>
      <c r="W248" s="1">
        <f t="shared" si="175"/>
        <v>0</v>
      </c>
      <c r="X248" s="1">
        <f t="shared" si="176"/>
        <v>0</v>
      </c>
      <c r="Y248" s="1">
        <f t="shared" si="177"/>
        <v>0</v>
      </c>
      <c r="Z248" s="1">
        <f t="shared" si="178"/>
        <v>0</v>
      </c>
      <c r="AA248" s="1">
        <f t="shared" si="179"/>
        <v>0</v>
      </c>
      <c r="AB248" s="1">
        <f t="shared" si="180"/>
        <v>1</v>
      </c>
      <c r="AD248" s="1">
        <f t="shared" si="181"/>
        <v>0</v>
      </c>
      <c r="AE248" s="1">
        <f t="shared" si="182"/>
        <v>1</v>
      </c>
      <c r="AF248" s="1">
        <f t="shared" si="167"/>
        <v>0</v>
      </c>
      <c r="AG248" s="1">
        <f t="shared" si="168"/>
        <v>1</v>
      </c>
      <c r="AH248" s="1">
        <f t="shared" si="169"/>
        <v>0</v>
      </c>
      <c r="AI248" s="1">
        <f t="shared" si="170"/>
        <v>1</v>
      </c>
    </row>
    <row r="249" spans="1:35" ht="14.25" customHeight="1" x14ac:dyDescent="0.25">
      <c r="A249" s="31">
        <v>0</v>
      </c>
      <c r="B249" s="31">
        <v>1</v>
      </c>
      <c r="C249" s="31">
        <v>7</v>
      </c>
      <c r="D249" s="32" t="s">
        <v>40</v>
      </c>
      <c r="E249" s="32" t="s">
        <v>29</v>
      </c>
      <c r="F249" s="32" t="s">
        <v>280</v>
      </c>
      <c r="G249" s="32" t="s">
        <v>230</v>
      </c>
      <c r="H249" s="32" t="s">
        <v>354</v>
      </c>
      <c r="I249" s="31" t="s">
        <v>435</v>
      </c>
      <c r="J249" s="31">
        <v>7</v>
      </c>
      <c r="K249" s="33" t="s">
        <v>713</v>
      </c>
      <c r="L249" s="33" t="s">
        <v>696</v>
      </c>
      <c r="M249" s="34" t="s">
        <v>973</v>
      </c>
      <c r="N249" s="34" t="s">
        <v>1727</v>
      </c>
      <c r="O249" s="35">
        <v>1</v>
      </c>
      <c r="P249" s="35">
        <v>1</v>
      </c>
      <c r="Q249" s="32"/>
      <c r="S249" s="1">
        <f t="shared" si="171"/>
        <v>0</v>
      </c>
      <c r="T249" s="1">
        <f t="shared" si="172"/>
        <v>0</v>
      </c>
      <c r="U249" s="1">
        <f t="shared" si="173"/>
        <v>0</v>
      </c>
      <c r="V249" s="1">
        <f t="shared" si="174"/>
        <v>0</v>
      </c>
      <c r="W249" s="1">
        <f t="shared" si="175"/>
        <v>0</v>
      </c>
      <c r="X249" s="1">
        <f t="shared" si="176"/>
        <v>0</v>
      </c>
      <c r="Y249" s="1">
        <f t="shared" si="177"/>
        <v>1</v>
      </c>
      <c r="Z249" s="1">
        <f t="shared" si="178"/>
        <v>0</v>
      </c>
      <c r="AA249" s="1">
        <f t="shared" si="179"/>
        <v>0</v>
      </c>
      <c r="AB249" s="1">
        <f t="shared" si="180"/>
        <v>0</v>
      </c>
      <c r="AD249" s="1">
        <f t="shared" si="181"/>
        <v>1</v>
      </c>
      <c r="AE249" s="1">
        <f t="shared" si="182"/>
        <v>0</v>
      </c>
      <c r="AF249" s="1">
        <f t="shared" si="167"/>
        <v>1</v>
      </c>
      <c r="AG249" s="1">
        <f t="shared" si="168"/>
        <v>0</v>
      </c>
      <c r="AH249" s="1">
        <f t="shared" si="169"/>
        <v>1</v>
      </c>
      <c r="AI249" s="1">
        <f t="shared" si="170"/>
        <v>0</v>
      </c>
    </row>
    <row r="250" spans="1:35" ht="14.25" customHeight="1" x14ac:dyDescent="0.25">
      <c r="A250" s="31">
        <v>1</v>
      </c>
      <c r="B250" s="31">
        <v>1</v>
      </c>
      <c r="C250" s="31">
        <v>7</v>
      </c>
      <c r="D250" s="32" t="s">
        <v>40</v>
      </c>
      <c r="E250" s="32" t="s">
        <v>29</v>
      </c>
      <c r="F250" s="32" t="s">
        <v>1601</v>
      </c>
      <c r="G250" s="32" t="s">
        <v>39</v>
      </c>
      <c r="H250" s="32" t="s">
        <v>354</v>
      </c>
      <c r="I250" s="31" t="s">
        <v>1602</v>
      </c>
      <c r="J250" s="31">
        <v>99</v>
      </c>
      <c r="K250" s="33" t="s">
        <v>713</v>
      </c>
      <c r="L250" s="33" t="s">
        <v>696</v>
      </c>
      <c r="M250" s="34" t="s">
        <v>973</v>
      </c>
      <c r="N250" s="34" t="s">
        <v>1727</v>
      </c>
      <c r="O250" s="35">
        <v>1</v>
      </c>
      <c r="P250" s="35">
        <v>1</v>
      </c>
      <c r="Q250" s="32"/>
      <c r="S250" s="1">
        <f t="shared" si="171"/>
        <v>0</v>
      </c>
      <c r="T250" s="1">
        <f t="shared" si="172"/>
        <v>0</v>
      </c>
      <c r="U250" s="1">
        <f t="shared" si="173"/>
        <v>0</v>
      </c>
      <c r="V250" s="1">
        <f t="shared" si="174"/>
        <v>0</v>
      </c>
      <c r="W250" s="1">
        <f t="shared" si="175"/>
        <v>0</v>
      </c>
      <c r="X250" s="1">
        <f t="shared" si="176"/>
        <v>0</v>
      </c>
      <c r="Y250" s="1">
        <f t="shared" si="177"/>
        <v>0</v>
      </c>
      <c r="Z250" s="1">
        <f t="shared" si="178"/>
        <v>0</v>
      </c>
      <c r="AA250" s="1">
        <f t="shared" si="179"/>
        <v>0</v>
      </c>
      <c r="AB250" s="1">
        <f t="shared" si="180"/>
        <v>0</v>
      </c>
      <c r="AD250" s="1">
        <f t="shared" si="181"/>
        <v>1</v>
      </c>
      <c r="AE250" s="1">
        <f t="shared" si="182"/>
        <v>0</v>
      </c>
      <c r="AF250" s="1">
        <f t="shared" si="167"/>
        <v>0</v>
      </c>
      <c r="AG250" s="1">
        <f t="shared" si="168"/>
        <v>0</v>
      </c>
      <c r="AH250" s="1">
        <f t="shared" si="169"/>
        <v>0</v>
      </c>
      <c r="AI250" s="1">
        <f t="shared" si="170"/>
        <v>0</v>
      </c>
    </row>
    <row r="251" spans="1:35" ht="14.25" customHeight="1" x14ac:dyDescent="0.25">
      <c r="A251" s="49">
        <v>0</v>
      </c>
      <c r="B251" s="49">
        <v>1</v>
      </c>
      <c r="C251" s="49">
        <v>7</v>
      </c>
      <c r="D251" s="55" t="s">
        <v>1484</v>
      </c>
      <c r="E251" s="50" t="s">
        <v>29</v>
      </c>
      <c r="F251" s="55" t="s">
        <v>1004</v>
      </c>
      <c r="G251" s="55" t="s">
        <v>1102</v>
      </c>
      <c r="H251" s="55" t="s">
        <v>354</v>
      </c>
      <c r="I251" s="63" t="s">
        <v>1110</v>
      </c>
      <c r="J251" s="49">
        <v>10</v>
      </c>
      <c r="K251" s="51" t="s">
        <v>713</v>
      </c>
      <c r="L251" s="51" t="s">
        <v>694</v>
      </c>
      <c r="M251" s="52" t="s">
        <v>973</v>
      </c>
      <c r="N251" s="52" t="s">
        <v>1743</v>
      </c>
      <c r="O251" s="53">
        <v>1</v>
      </c>
      <c r="P251" s="53"/>
      <c r="Q251" s="55"/>
      <c r="S251" s="1">
        <f t="shared" si="171"/>
        <v>0</v>
      </c>
      <c r="T251" s="1">
        <f t="shared" si="172"/>
        <v>0</v>
      </c>
      <c r="U251" s="1">
        <f t="shared" si="173"/>
        <v>0</v>
      </c>
      <c r="V251" s="1">
        <f t="shared" si="174"/>
        <v>0</v>
      </c>
      <c r="W251" s="1">
        <f t="shared" si="175"/>
        <v>0</v>
      </c>
      <c r="X251" s="1">
        <f t="shared" si="176"/>
        <v>0</v>
      </c>
      <c r="Y251" s="1">
        <f t="shared" si="177"/>
        <v>0</v>
      </c>
      <c r="Z251" s="1">
        <f t="shared" si="178"/>
        <v>0</v>
      </c>
      <c r="AA251" s="1">
        <f t="shared" si="179"/>
        <v>0</v>
      </c>
      <c r="AB251" s="1">
        <f t="shared" si="180"/>
        <v>1</v>
      </c>
      <c r="AD251" s="1">
        <f t="shared" si="181"/>
        <v>0</v>
      </c>
      <c r="AE251" s="1">
        <f t="shared" si="182"/>
        <v>1</v>
      </c>
      <c r="AF251" s="1">
        <f t="shared" si="167"/>
        <v>0</v>
      </c>
      <c r="AG251" s="1">
        <f t="shared" si="168"/>
        <v>1</v>
      </c>
      <c r="AH251" s="1">
        <f t="shared" si="169"/>
        <v>0</v>
      </c>
      <c r="AI251" s="1">
        <f t="shared" si="170"/>
        <v>1</v>
      </c>
    </row>
    <row r="252" spans="1:35" ht="14.25" customHeight="1" x14ac:dyDescent="0.25">
      <c r="A252" s="31">
        <v>0</v>
      </c>
      <c r="B252" s="31">
        <v>1</v>
      </c>
      <c r="C252" s="31">
        <v>7</v>
      </c>
      <c r="D252" s="36" t="s">
        <v>1485</v>
      </c>
      <c r="E252" s="32" t="s">
        <v>29</v>
      </c>
      <c r="F252" s="36" t="s">
        <v>1002</v>
      </c>
      <c r="G252" s="36" t="s">
        <v>240</v>
      </c>
      <c r="H252" s="36" t="s">
        <v>354</v>
      </c>
      <c r="I252" s="37" t="s">
        <v>1003</v>
      </c>
      <c r="J252" s="31">
        <v>1</v>
      </c>
      <c r="K252" s="33" t="s">
        <v>961</v>
      </c>
      <c r="L252" s="33" t="s">
        <v>694</v>
      </c>
      <c r="M252" s="34" t="s">
        <v>973</v>
      </c>
      <c r="N252" s="34" t="s">
        <v>1801</v>
      </c>
      <c r="O252" s="35">
        <v>1</v>
      </c>
      <c r="P252" s="35"/>
      <c r="Q252" s="36"/>
      <c r="S252" s="1">
        <f t="shared" si="171"/>
        <v>1</v>
      </c>
      <c r="T252" s="1">
        <f t="shared" si="172"/>
        <v>0</v>
      </c>
      <c r="U252" s="1">
        <f t="shared" si="173"/>
        <v>0</v>
      </c>
      <c r="V252" s="1">
        <f t="shared" si="174"/>
        <v>0</v>
      </c>
      <c r="W252" s="1">
        <f t="shared" si="175"/>
        <v>0</v>
      </c>
      <c r="X252" s="1">
        <f t="shared" si="176"/>
        <v>0</v>
      </c>
      <c r="Y252" s="1">
        <f t="shared" si="177"/>
        <v>0</v>
      </c>
      <c r="Z252" s="1">
        <f t="shared" si="178"/>
        <v>0</v>
      </c>
      <c r="AA252" s="1">
        <f t="shared" si="179"/>
        <v>0</v>
      </c>
      <c r="AB252" s="1">
        <f t="shared" si="180"/>
        <v>0</v>
      </c>
      <c r="AD252" s="1">
        <f t="shared" si="181"/>
        <v>0</v>
      </c>
      <c r="AE252" s="1">
        <f t="shared" si="182"/>
        <v>1</v>
      </c>
      <c r="AF252" s="1">
        <f t="shared" si="167"/>
        <v>0</v>
      </c>
      <c r="AG252" s="1">
        <f t="shared" si="168"/>
        <v>1</v>
      </c>
      <c r="AH252" s="1">
        <f t="shared" si="169"/>
        <v>0</v>
      </c>
      <c r="AI252" s="1">
        <f t="shared" si="170"/>
        <v>1</v>
      </c>
    </row>
    <row r="253" spans="1:35" ht="14.25" customHeight="1" x14ac:dyDescent="0.25">
      <c r="A253" s="44">
        <v>0</v>
      </c>
      <c r="B253" s="44">
        <v>1</v>
      </c>
      <c r="C253" s="44">
        <v>7</v>
      </c>
      <c r="D253" s="45" t="s">
        <v>898</v>
      </c>
      <c r="E253" s="45" t="s">
        <v>29</v>
      </c>
      <c r="F253" s="45" t="s">
        <v>899</v>
      </c>
      <c r="G253" s="45" t="s">
        <v>39</v>
      </c>
      <c r="H253" s="45" t="s">
        <v>355</v>
      </c>
      <c r="I253" s="44" t="s">
        <v>900</v>
      </c>
      <c r="J253" s="44">
        <v>11</v>
      </c>
      <c r="K253" s="46" t="s">
        <v>703</v>
      </c>
      <c r="L253" s="46">
        <v>35</v>
      </c>
      <c r="M253" s="47" t="s">
        <v>1405</v>
      </c>
      <c r="N253" s="47" t="s">
        <v>1747</v>
      </c>
      <c r="O253" s="48"/>
      <c r="P253" s="48"/>
      <c r="Q253" s="65" t="s">
        <v>1903</v>
      </c>
      <c r="S253" s="1">
        <f t="shared" si="171"/>
        <v>0</v>
      </c>
      <c r="T253" s="1">
        <f t="shared" si="172"/>
        <v>0</v>
      </c>
      <c r="U253" s="1">
        <f t="shared" si="173"/>
        <v>0</v>
      </c>
      <c r="V253" s="1">
        <f t="shared" si="174"/>
        <v>0</v>
      </c>
      <c r="W253" s="1">
        <f t="shared" si="175"/>
        <v>0</v>
      </c>
      <c r="X253" s="1">
        <f t="shared" si="176"/>
        <v>0</v>
      </c>
      <c r="Y253" s="1">
        <f t="shared" si="177"/>
        <v>0</v>
      </c>
      <c r="Z253" s="1">
        <f t="shared" si="178"/>
        <v>0</v>
      </c>
      <c r="AA253" s="1">
        <f t="shared" si="179"/>
        <v>0</v>
      </c>
      <c r="AB253" s="1">
        <f t="shared" si="180"/>
        <v>0</v>
      </c>
      <c r="AD253" s="1">
        <f t="shared" si="181"/>
        <v>0</v>
      </c>
      <c r="AE253" s="1">
        <f t="shared" si="182"/>
        <v>0</v>
      </c>
      <c r="AF253" s="1">
        <f t="shared" si="167"/>
        <v>0</v>
      </c>
      <c r="AG253" s="1">
        <f t="shared" si="168"/>
        <v>0</v>
      </c>
      <c r="AH253" s="1">
        <f t="shared" si="169"/>
        <v>0</v>
      </c>
      <c r="AI253" s="1">
        <f t="shared" si="170"/>
        <v>1</v>
      </c>
    </row>
    <row r="254" spans="1:35" ht="14.25" customHeight="1" x14ac:dyDescent="0.25">
      <c r="A254" s="31">
        <v>0</v>
      </c>
      <c r="B254" s="31">
        <v>1</v>
      </c>
      <c r="C254" s="31">
        <v>7</v>
      </c>
      <c r="D254" s="36" t="s">
        <v>1084</v>
      </c>
      <c r="E254" s="32" t="s">
        <v>29</v>
      </c>
      <c r="F254" s="36" t="s">
        <v>986</v>
      </c>
      <c r="G254" s="36" t="s">
        <v>203</v>
      </c>
      <c r="H254" s="36" t="s">
        <v>354</v>
      </c>
      <c r="I254" s="37" t="s">
        <v>987</v>
      </c>
      <c r="J254" s="31">
        <v>99</v>
      </c>
      <c r="K254" s="33" t="s">
        <v>713</v>
      </c>
      <c r="L254" s="33" t="s">
        <v>694</v>
      </c>
      <c r="M254" s="34" t="s">
        <v>1442</v>
      </c>
      <c r="N254" s="34" t="s">
        <v>1727</v>
      </c>
      <c r="O254" s="35">
        <v>1</v>
      </c>
      <c r="P254" s="35">
        <v>1</v>
      </c>
      <c r="Q254" s="36"/>
      <c r="S254" s="1">
        <f t="shared" si="171"/>
        <v>0</v>
      </c>
      <c r="T254" s="1">
        <f t="shared" si="172"/>
        <v>0</v>
      </c>
      <c r="U254" s="1">
        <f t="shared" si="173"/>
        <v>0</v>
      </c>
      <c r="V254" s="1">
        <f t="shared" si="174"/>
        <v>0</v>
      </c>
      <c r="W254" s="1">
        <f t="shared" si="175"/>
        <v>0</v>
      </c>
      <c r="X254" s="1">
        <f t="shared" si="176"/>
        <v>0</v>
      </c>
      <c r="Y254" s="1">
        <f t="shared" si="177"/>
        <v>0</v>
      </c>
      <c r="Z254" s="1">
        <f t="shared" si="178"/>
        <v>0</v>
      </c>
      <c r="AA254" s="1">
        <f t="shared" si="179"/>
        <v>0</v>
      </c>
      <c r="AB254" s="1">
        <f t="shared" si="180"/>
        <v>0</v>
      </c>
      <c r="AD254" s="1">
        <f t="shared" si="181"/>
        <v>1</v>
      </c>
      <c r="AE254" s="1">
        <f t="shared" si="182"/>
        <v>0</v>
      </c>
      <c r="AF254" s="1">
        <f t="shared" si="167"/>
        <v>1</v>
      </c>
      <c r="AG254" s="1">
        <f t="shared" si="168"/>
        <v>0</v>
      </c>
      <c r="AH254" s="1">
        <f t="shared" si="169"/>
        <v>1</v>
      </c>
      <c r="AI254" s="1">
        <f t="shared" si="170"/>
        <v>0</v>
      </c>
    </row>
    <row r="255" spans="1:35" ht="14.25" customHeight="1" x14ac:dyDescent="0.25">
      <c r="A255" s="15">
        <v>0</v>
      </c>
      <c r="B255" s="15">
        <v>1</v>
      </c>
      <c r="C255" s="15">
        <v>7</v>
      </c>
      <c r="D255" s="16" t="s">
        <v>751</v>
      </c>
      <c r="E255" s="16" t="s">
        <v>29</v>
      </c>
      <c r="F255" s="16" t="s">
        <v>752</v>
      </c>
      <c r="G255" s="16" t="s">
        <v>753</v>
      </c>
      <c r="H255" s="16" t="s">
        <v>354</v>
      </c>
      <c r="I255" s="15" t="s">
        <v>754</v>
      </c>
      <c r="J255" s="15">
        <v>99</v>
      </c>
      <c r="K255" s="10" t="s">
        <v>703</v>
      </c>
      <c r="L255" s="10">
        <v>20</v>
      </c>
      <c r="M255" s="19" t="s">
        <v>1120</v>
      </c>
      <c r="N255" s="17"/>
      <c r="Q255" s="16"/>
      <c r="S255" s="1">
        <f t="shared" si="171"/>
        <v>0</v>
      </c>
      <c r="T255" s="1">
        <f t="shared" si="172"/>
        <v>0</v>
      </c>
      <c r="U255" s="1">
        <f t="shared" si="173"/>
        <v>0</v>
      </c>
      <c r="V255" s="1">
        <f t="shared" si="174"/>
        <v>0</v>
      </c>
      <c r="W255" s="1">
        <f t="shared" si="175"/>
        <v>0</v>
      </c>
      <c r="X255" s="1">
        <f t="shared" si="176"/>
        <v>0</v>
      </c>
      <c r="Y255" s="1">
        <f t="shared" si="177"/>
        <v>0</v>
      </c>
      <c r="Z255" s="1">
        <f t="shared" si="178"/>
        <v>0</v>
      </c>
      <c r="AA255" s="1">
        <f t="shared" si="179"/>
        <v>0</v>
      </c>
      <c r="AB255" s="1">
        <f t="shared" si="180"/>
        <v>0</v>
      </c>
      <c r="AD255" s="1">
        <f t="shared" si="181"/>
        <v>0</v>
      </c>
      <c r="AE255" s="1">
        <f t="shared" si="182"/>
        <v>0</v>
      </c>
      <c r="AF255" s="1">
        <f t="shared" si="167"/>
        <v>0</v>
      </c>
      <c r="AG255" s="1">
        <f t="shared" si="168"/>
        <v>0</v>
      </c>
      <c r="AH255" s="1">
        <f t="shared" si="169"/>
        <v>0</v>
      </c>
      <c r="AI255" s="1">
        <f t="shared" si="170"/>
        <v>1</v>
      </c>
    </row>
    <row r="256" spans="1:35" ht="14.25" customHeight="1" x14ac:dyDescent="0.25">
      <c r="A256" s="31">
        <v>0</v>
      </c>
      <c r="B256" s="31">
        <v>1</v>
      </c>
      <c r="C256" s="31">
        <v>7</v>
      </c>
      <c r="D256" s="36" t="s">
        <v>828</v>
      </c>
      <c r="E256" s="32" t="s">
        <v>29</v>
      </c>
      <c r="F256" s="36" t="s">
        <v>829</v>
      </c>
      <c r="G256" s="36" t="s">
        <v>928</v>
      </c>
      <c r="H256" s="36" t="s">
        <v>354</v>
      </c>
      <c r="I256" s="37" t="s">
        <v>830</v>
      </c>
      <c r="J256" s="31">
        <v>99</v>
      </c>
      <c r="K256" s="33" t="s">
        <v>955</v>
      </c>
      <c r="L256" s="33" t="s">
        <v>694</v>
      </c>
      <c r="M256" s="34" t="s">
        <v>973</v>
      </c>
      <c r="N256" s="34" t="s">
        <v>1825</v>
      </c>
      <c r="O256" s="35">
        <v>1</v>
      </c>
      <c r="P256" s="35"/>
      <c r="Q256" s="36"/>
      <c r="S256" s="1">
        <f t="shared" si="171"/>
        <v>0</v>
      </c>
      <c r="T256" s="1">
        <f t="shared" si="172"/>
        <v>0</v>
      </c>
      <c r="U256" s="1">
        <f t="shared" si="173"/>
        <v>0</v>
      </c>
      <c r="V256" s="1">
        <f t="shared" si="174"/>
        <v>0</v>
      </c>
      <c r="W256" s="1">
        <f t="shared" si="175"/>
        <v>0</v>
      </c>
      <c r="X256" s="1">
        <f t="shared" si="176"/>
        <v>0</v>
      </c>
      <c r="Y256" s="1">
        <f t="shared" si="177"/>
        <v>0</v>
      </c>
      <c r="Z256" s="1">
        <f t="shared" si="178"/>
        <v>0</v>
      </c>
      <c r="AA256" s="1">
        <f t="shared" si="179"/>
        <v>0</v>
      </c>
      <c r="AB256" s="1">
        <f t="shared" si="180"/>
        <v>0</v>
      </c>
      <c r="AD256" s="1">
        <f t="shared" si="181"/>
        <v>0</v>
      </c>
      <c r="AE256" s="1">
        <f t="shared" si="182"/>
        <v>1</v>
      </c>
      <c r="AF256" s="1">
        <f t="shared" si="167"/>
        <v>0</v>
      </c>
      <c r="AG256" s="1">
        <f t="shared" si="168"/>
        <v>1</v>
      </c>
      <c r="AH256" s="1">
        <f t="shared" si="169"/>
        <v>0</v>
      </c>
      <c r="AI256" s="1">
        <f t="shared" si="170"/>
        <v>1</v>
      </c>
    </row>
    <row r="257" spans="1:35" s="1" customFormat="1" ht="14.25" customHeight="1" x14ac:dyDescent="0.25">
      <c r="A257" s="31">
        <v>0</v>
      </c>
      <c r="B257" s="31">
        <v>1</v>
      </c>
      <c r="C257" s="31">
        <v>7</v>
      </c>
      <c r="D257" s="36" t="s">
        <v>1720</v>
      </c>
      <c r="E257" s="32" t="s">
        <v>29</v>
      </c>
      <c r="F257" s="36" t="s">
        <v>1721</v>
      </c>
      <c r="G257" s="36" t="s">
        <v>249</v>
      </c>
      <c r="H257" s="36" t="s">
        <v>354</v>
      </c>
      <c r="I257" s="37" t="s">
        <v>1722</v>
      </c>
      <c r="J257" s="31"/>
      <c r="K257" s="33" t="s">
        <v>703</v>
      </c>
      <c r="L257" s="33"/>
      <c r="M257" s="34"/>
      <c r="N257" s="34" t="s">
        <v>1727</v>
      </c>
      <c r="O257" s="35">
        <v>1</v>
      </c>
      <c r="P257" s="35">
        <v>1</v>
      </c>
      <c r="Q257" s="36"/>
      <c r="S257" s="1">
        <f t="shared" si="171"/>
        <v>0</v>
      </c>
      <c r="T257" s="1">
        <f t="shared" si="172"/>
        <v>0</v>
      </c>
      <c r="U257" s="1">
        <f t="shared" si="173"/>
        <v>0</v>
      </c>
      <c r="V257" s="1">
        <f t="shared" si="174"/>
        <v>0</v>
      </c>
      <c r="W257" s="1">
        <f t="shared" si="175"/>
        <v>0</v>
      </c>
      <c r="X257" s="1">
        <f t="shared" si="176"/>
        <v>0</v>
      </c>
      <c r="Y257" s="1">
        <f t="shared" si="177"/>
        <v>0</v>
      </c>
      <c r="Z257" s="1">
        <f t="shared" si="178"/>
        <v>0</v>
      </c>
      <c r="AA257" s="1">
        <f t="shared" si="179"/>
        <v>0</v>
      </c>
      <c r="AB257" s="1">
        <f t="shared" si="180"/>
        <v>0</v>
      </c>
      <c r="AD257" s="1">
        <f t="shared" si="181"/>
        <v>1</v>
      </c>
      <c r="AE257" s="1">
        <f t="shared" si="182"/>
        <v>0</v>
      </c>
      <c r="AF257" s="1">
        <f t="shared" si="167"/>
        <v>1</v>
      </c>
      <c r="AG257" s="1">
        <f t="shared" si="168"/>
        <v>0</v>
      </c>
      <c r="AH257" s="1">
        <f t="shared" si="169"/>
        <v>1</v>
      </c>
      <c r="AI257" s="1">
        <f t="shared" si="170"/>
        <v>0</v>
      </c>
    </row>
    <row r="258" spans="1:35" s="1" customFormat="1" ht="14.25" customHeight="1" x14ac:dyDescent="0.25">
      <c r="A258" s="31">
        <v>0</v>
      </c>
      <c r="B258" s="31">
        <v>1</v>
      </c>
      <c r="C258" s="31">
        <v>7</v>
      </c>
      <c r="D258" s="32" t="s">
        <v>901</v>
      </c>
      <c r="E258" s="32" t="s">
        <v>29</v>
      </c>
      <c r="F258" s="32" t="s">
        <v>902</v>
      </c>
      <c r="G258" s="32" t="s">
        <v>228</v>
      </c>
      <c r="H258" s="32" t="s">
        <v>354</v>
      </c>
      <c r="I258" s="31" t="s">
        <v>903</v>
      </c>
      <c r="J258" s="31">
        <v>99</v>
      </c>
      <c r="K258" s="33" t="s">
        <v>713</v>
      </c>
      <c r="L258" s="33" t="s">
        <v>694</v>
      </c>
      <c r="M258" s="34" t="s">
        <v>1406</v>
      </c>
      <c r="N258" s="34" t="s">
        <v>1748</v>
      </c>
      <c r="O258" s="35">
        <v>1</v>
      </c>
      <c r="P258" s="35"/>
      <c r="Q258" s="32"/>
      <c r="S258" s="1">
        <f t="shared" si="171"/>
        <v>0</v>
      </c>
      <c r="T258" s="1">
        <f t="shared" si="172"/>
        <v>0</v>
      </c>
      <c r="U258" s="1">
        <f t="shared" si="173"/>
        <v>0</v>
      </c>
      <c r="V258" s="1">
        <f t="shared" si="174"/>
        <v>0</v>
      </c>
      <c r="W258" s="1">
        <f t="shared" si="175"/>
        <v>0</v>
      </c>
      <c r="X258" s="1">
        <f t="shared" si="176"/>
        <v>0</v>
      </c>
      <c r="Y258" s="1">
        <f t="shared" si="177"/>
        <v>0</v>
      </c>
      <c r="Z258" s="1">
        <f t="shared" si="178"/>
        <v>0</v>
      </c>
      <c r="AA258" s="1">
        <f t="shared" si="179"/>
        <v>0</v>
      </c>
      <c r="AB258" s="1">
        <f t="shared" si="180"/>
        <v>0</v>
      </c>
      <c r="AD258" s="1">
        <f t="shared" si="181"/>
        <v>0</v>
      </c>
      <c r="AE258" s="1">
        <f t="shared" si="182"/>
        <v>1</v>
      </c>
      <c r="AF258" s="1">
        <f t="shared" si="167"/>
        <v>0</v>
      </c>
      <c r="AG258" s="1">
        <f t="shared" si="168"/>
        <v>1</v>
      </c>
      <c r="AH258" s="1">
        <f t="shared" si="169"/>
        <v>0</v>
      </c>
      <c r="AI258" s="1">
        <f t="shared" si="170"/>
        <v>1</v>
      </c>
    </row>
    <row r="259" spans="1:35" s="1" customFormat="1" ht="14.25" customHeight="1" x14ac:dyDescent="0.25">
      <c r="A259" s="31">
        <v>0</v>
      </c>
      <c r="B259" s="31">
        <v>1</v>
      </c>
      <c r="C259" s="31">
        <v>7</v>
      </c>
      <c r="D259" s="32" t="s">
        <v>88</v>
      </c>
      <c r="E259" s="32" t="s">
        <v>29</v>
      </c>
      <c r="F259" s="32" t="s">
        <v>281</v>
      </c>
      <c r="G259" s="32" t="s">
        <v>238</v>
      </c>
      <c r="H259" s="32" t="s">
        <v>354</v>
      </c>
      <c r="I259" s="31" t="s">
        <v>437</v>
      </c>
      <c r="J259" s="31">
        <v>4</v>
      </c>
      <c r="K259" s="33" t="s">
        <v>954</v>
      </c>
      <c r="L259" s="33" t="s">
        <v>39</v>
      </c>
      <c r="M259" s="34" t="s">
        <v>39</v>
      </c>
      <c r="N259" s="34" t="s">
        <v>1727</v>
      </c>
      <c r="O259" s="35">
        <v>1</v>
      </c>
      <c r="P259" s="35">
        <v>1</v>
      </c>
      <c r="Q259" s="32"/>
      <c r="S259" s="1">
        <f t="shared" si="171"/>
        <v>0</v>
      </c>
      <c r="T259" s="1">
        <f t="shared" si="172"/>
        <v>0</v>
      </c>
      <c r="U259" s="1">
        <f t="shared" si="173"/>
        <v>0</v>
      </c>
      <c r="V259" s="1">
        <f t="shared" si="174"/>
        <v>1</v>
      </c>
      <c r="W259" s="1">
        <f t="shared" si="175"/>
        <v>0</v>
      </c>
      <c r="X259" s="1">
        <f t="shared" si="176"/>
        <v>0</v>
      </c>
      <c r="Y259" s="1">
        <f t="shared" si="177"/>
        <v>0</v>
      </c>
      <c r="Z259" s="1">
        <f t="shared" si="178"/>
        <v>0</v>
      </c>
      <c r="AA259" s="1">
        <f t="shared" si="179"/>
        <v>0</v>
      </c>
      <c r="AB259" s="1">
        <f t="shared" si="180"/>
        <v>0</v>
      </c>
      <c r="AD259" s="1">
        <f t="shared" si="181"/>
        <v>1</v>
      </c>
      <c r="AE259" s="1">
        <f t="shared" si="182"/>
        <v>0</v>
      </c>
      <c r="AF259" s="1">
        <f t="shared" si="167"/>
        <v>1</v>
      </c>
      <c r="AG259" s="1">
        <f t="shared" si="168"/>
        <v>0</v>
      </c>
      <c r="AH259" s="1">
        <f t="shared" si="169"/>
        <v>1</v>
      </c>
      <c r="AI259" s="1">
        <f t="shared" si="170"/>
        <v>0</v>
      </c>
    </row>
    <row r="260" spans="1:35" s="1" customFormat="1" ht="14.25" customHeight="1" x14ac:dyDescent="0.25">
      <c r="A260" s="31">
        <v>0</v>
      </c>
      <c r="B260" s="31">
        <v>1</v>
      </c>
      <c r="C260" s="31">
        <v>7</v>
      </c>
      <c r="D260" s="32" t="s">
        <v>89</v>
      </c>
      <c r="E260" s="32" t="s">
        <v>29</v>
      </c>
      <c r="F260" s="32" t="s">
        <v>282</v>
      </c>
      <c r="G260" s="32" t="s">
        <v>283</v>
      </c>
      <c r="H260" s="32" t="s">
        <v>354</v>
      </c>
      <c r="I260" s="31" t="s">
        <v>943</v>
      </c>
      <c r="J260" s="31">
        <v>99</v>
      </c>
      <c r="K260" s="33" t="s">
        <v>955</v>
      </c>
      <c r="L260" s="33" t="s">
        <v>694</v>
      </c>
      <c r="M260" s="34" t="s">
        <v>973</v>
      </c>
      <c r="N260" s="34" t="s">
        <v>1849</v>
      </c>
      <c r="O260" s="35">
        <v>1</v>
      </c>
      <c r="P260" s="35"/>
      <c r="Q260" s="32"/>
      <c r="S260" s="1">
        <f t="shared" si="171"/>
        <v>0</v>
      </c>
      <c r="T260" s="1">
        <f t="shared" si="172"/>
        <v>0</v>
      </c>
      <c r="U260" s="1">
        <f t="shared" si="173"/>
        <v>0</v>
      </c>
      <c r="V260" s="1">
        <f t="shared" si="174"/>
        <v>0</v>
      </c>
      <c r="W260" s="1">
        <f t="shared" si="175"/>
        <v>0</v>
      </c>
      <c r="X260" s="1">
        <f t="shared" si="176"/>
        <v>0</v>
      </c>
      <c r="Y260" s="1">
        <f t="shared" si="177"/>
        <v>0</v>
      </c>
      <c r="Z260" s="1">
        <f t="shared" si="178"/>
        <v>0</v>
      </c>
      <c r="AA260" s="1">
        <f t="shared" si="179"/>
        <v>0</v>
      </c>
      <c r="AB260" s="1">
        <f t="shared" si="180"/>
        <v>0</v>
      </c>
      <c r="AD260" s="1">
        <f t="shared" si="181"/>
        <v>0</v>
      </c>
      <c r="AE260" s="1">
        <f t="shared" si="182"/>
        <v>1</v>
      </c>
      <c r="AF260" s="1">
        <f t="shared" si="167"/>
        <v>0</v>
      </c>
      <c r="AG260" s="1">
        <f t="shared" si="168"/>
        <v>1</v>
      </c>
      <c r="AH260" s="1">
        <f t="shared" si="169"/>
        <v>0</v>
      </c>
      <c r="AI260" s="1">
        <f t="shared" si="170"/>
        <v>1</v>
      </c>
    </row>
    <row r="261" spans="1:35" s="1" customFormat="1" ht="14.25" customHeight="1" x14ac:dyDescent="0.25">
      <c r="A261" s="31">
        <v>0</v>
      </c>
      <c r="B261" s="31">
        <v>1</v>
      </c>
      <c r="C261" s="31">
        <v>7</v>
      </c>
      <c r="D261" s="36" t="s">
        <v>1636</v>
      </c>
      <c r="E261" s="32" t="s">
        <v>29</v>
      </c>
      <c r="F261" s="36" t="s">
        <v>1535</v>
      </c>
      <c r="G261" s="36" t="s">
        <v>39</v>
      </c>
      <c r="H261" s="36" t="s">
        <v>886</v>
      </c>
      <c r="I261" s="37" t="s">
        <v>1536</v>
      </c>
      <c r="J261" s="31">
        <v>17</v>
      </c>
      <c r="K261" s="33" t="s">
        <v>713</v>
      </c>
      <c r="L261" s="33" t="s">
        <v>697</v>
      </c>
      <c r="M261" s="34" t="s">
        <v>1457</v>
      </c>
      <c r="N261" s="34" t="s">
        <v>1727</v>
      </c>
      <c r="O261" s="35">
        <v>1</v>
      </c>
      <c r="P261" s="35">
        <v>1</v>
      </c>
      <c r="Q261" s="36"/>
      <c r="S261" s="1">
        <f t="shared" si="171"/>
        <v>0</v>
      </c>
      <c r="T261" s="1">
        <f t="shared" si="172"/>
        <v>0</v>
      </c>
      <c r="U261" s="1">
        <f t="shared" si="173"/>
        <v>0</v>
      </c>
      <c r="V261" s="1">
        <f t="shared" si="174"/>
        <v>0</v>
      </c>
      <c r="W261" s="1">
        <f t="shared" si="175"/>
        <v>0</v>
      </c>
      <c r="X261" s="1">
        <f t="shared" si="176"/>
        <v>0</v>
      </c>
      <c r="Y261" s="1">
        <f t="shared" si="177"/>
        <v>0</v>
      </c>
      <c r="Z261" s="1">
        <f t="shared" si="178"/>
        <v>0</v>
      </c>
      <c r="AA261" s="1">
        <f t="shared" si="179"/>
        <v>0</v>
      </c>
      <c r="AB261" s="1">
        <f t="shared" si="180"/>
        <v>0</v>
      </c>
      <c r="AD261" s="1">
        <f t="shared" si="181"/>
        <v>1</v>
      </c>
      <c r="AE261" s="1">
        <f t="shared" si="182"/>
        <v>0</v>
      </c>
      <c r="AF261" s="1">
        <f t="shared" si="167"/>
        <v>1</v>
      </c>
      <c r="AG261" s="1">
        <f t="shared" si="168"/>
        <v>0</v>
      </c>
      <c r="AH261" s="1">
        <f t="shared" si="169"/>
        <v>1</v>
      </c>
      <c r="AI261" s="1">
        <f t="shared" si="170"/>
        <v>0</v>
      </c>
    </row>
    <row r="262" spans="1:35" s="1" customFormat="1" ht="14.25" customHeight="1" x14ac:dyDescent="0.25">
      <c r="A262" s="44">
        <v>0</v>
      </c>
      <c r="B262" s="44">
        <v>1</v>
      </c>
      <c r="C262" s="44">
        <v>7</v>
      </c>
      <c r="D262" s="45" t="s">
        <v>1454</v>
      </c>
      <c r="E262" s="45" t="s">
        <v>29</v>
      </c>
      <c r="F262" s="45" t="s">
        <v>1455</v>
      </c>
      <c r="G262" s="45" t="s">
        <v>321</v>
      </c>
      <c r="H262" s="45" t="s">
        <v>354</v>
      </c>
      <c r="I262" s="44" t="s">
        <v>1456</v>
      </c>
      <c r="J262" s="44">
        <v>99</v>
      </c>
      <c r="K262" s="46" t="s">
        <v>703</v>
      </c>
      <c r="L262" s="46">
        <v>30</v>
      </c>
      <c r="M262" s="47" t="s">
        <v>1457</v>
      </c>
      <c r="N262" s="47" t="s">
        <v>1802</v>
      </c>
      <c r="O262" s="48"/>
      <c r="P262" s="48"/>
      <c r="Q262" s="45"/>
      <c r="S262" s="1">
        <f t="shared" si="171"/>
        <v>0</v>
      </c>
      <c r="T262" s="1">
        <f t="shared" si="172"/>
        <v>0</v>
      </c>
      <c r="U262" s="1">
        <f t="shared" si="173"/>
        <v>0</v>
      </c>
      <c r="V262" s="1">
        <f t="shared" si="174"/>
        <v>0</v>
      </c>
      <c r="W262" s="1">
        <f t="shared" si="175"/>
        <v>0</v>
      </c>
      <c r="X262" s="1">
        <f t="shared" si="176"/>
        <v>0</v>
      </c>
      <c r="Y262" s="1">
        <f t="shared" si="177"/>
        <v>0</v>
      </c>
      <c r="Z262" s="1">
        <f t="shared" si="178"/>
        <v>0</v>
      </c>
      <c r="AA262" s="1">
        <f t="shared" si="179"/>
        <v>0</v>
      </c>
      <c r="AB262" s="1">
        <f t="shared" si="180"/>
        <v>0</v>
      </c>
      <c r="AD262" s="1">
        <f t="shared" si="181"/>
        <v>0</v>
      </c>
      <c r="AE262" s="1">
        <f t="shared" si="182"/>
        <v>0</v>
      </c>
      <c r="AF262" s="1">
        <f t="shared" si="167"/>
        <v>0</v>
      </c>
      <c r="AG262" s="1">
        <f t="shared" si="168"/>
        <v>0</v>
      </c>
      <c r="AH262" s="1">
        <f t="shared" si="169"/>
        <v>0</v>
      </c>
      <c r="AI262" s="1">
        <f t="shared" si="170"/>
        <v>1</v>
      </c>
    </row>
    <row r="263" spans="1:35" s="1" customFormat="1" ht="14.25" customHeight="1" x14ac:dyDescent="0.25">
      <c r="A263" s="31">
        <v>0</v>
      </c>
      <c r="B263" s="31">
        <v>1</v>
      </c>
      <c r="C263" s="31">
        <v>7</v>
      </c>
      <c r="D263" s="36" t="s">
        <v>846</v>
      </c>
      <c r="E263" s="32" t="s">
        <v>29</v>
      </c>
      <c r="F263" s="36" t="s">
        <v>847</v>
      </c>
      <c r="G263" s="36" t="s">
        <v>222</v>
      </c>
      <c r="H263" s="36" t="s">
        <v>354</v>
      </c>
      <c r="I263" s="37" t="s">
        <v>848</v>
      </c>
      <c r="J263" s="31">
        <v>99</v>
      </c>
      <c r="K263" s="33" t="s">
        <v>955</v>
      </c>
      <c r="L263" s="33" t="s">
        <v>694</v>
      </c>
      <c r="M263" s="34" t="s">
        <v>973</v>
      </c>
      <c r="N263" s="34" t="s">
        <v>1849</v>
      </c>
      <c r="O263" s="35">
        <v>1</v>
      </c>
      <c r="P263" s="35"/>
      <c r="Q263" s="36"/>
      <c r="S263" s="1">
        <f t="shared" si="171"/>
        <v>0</v>
      </c>
      <c r="T263" s="1">
        <f t="shared" si="172"/>
        <v>0</v>
      </c>
      <c r="U263" s="1">
        <f t="shared" si="173"/>
        <v>0</v>
      </c>
      <c r="V263" s="1">
        <f t="shared" si="174"/>
        <v>0</v>
      </c>
      <c r="W263" s="1">
        <f t="shared" si="175"/>
        <v>0</v>
      </c>
      <c r="X263" s="1">
        <f t="shared" si="176"/>
        <v>0</v>
      </c>
      <c r="Y263" s="1">
        <f t="shared" si="177"/>
        <v>0</v>
      </c>
      <c r="Z263" s="1">
        <f t="shared" si="178"/>
        <v>0</v>
      </c>
      <c r="AA263" s="1">
        <f t="shared" si="179"/>
        <v>0</v>
      </c>
      <c r="AB263" s="1">
        <f t="shared" si="180"/>
        <v>0</v>
      </c>
      <c r="AD263" s="1">
        <f t="shared" si="181"/>
        <v>0</v>
      </c>
      <c r="AE263" s="1">
        <f t="shared" si="182"/>
        <v>1</v>
      </c>
      <c r="AF263" s="1">
        <f t="shared" si="167"/>
        <v>0</v>
      </c>
      <c r="AG263" s="1">
        <f t="shared" si="168"/>
        <v>1</v>
      </c>
      <c r="AH263" s="1">
        <f t="shared" si="169"/>
        <v>0</v>
      </c>
      <c r="AI263" s="1">
        <f t="shared" si="170"/>
        <v>1</v>
      </c>
    </row>
    <row r="264" spans="1:35" s="1" customFormat="1" ht="14.25" customHeight="1" x14ac:dyDescent="0.25">
      <c r="A264" s="31">
        <v>1</v>
      </c>
      <c r="B264" s="31">
        <v>1</v>
      </c>
      <c r="C264" s="31">
        <v>7</v>
      </c>
      <c r="D264" s="36" t="s">
        <v>846</v>
      </c>
      <c r="E264" s="32" t="s">
        <v>29</v>
      </c>
      <c r="F264" s="36" t="s">
        <v>930</v>
      </c>
      <c r="G264" s="36" t="s">
        <v>279</v>
      </c>
      <c r="H264" s="36" t="s">
        <v>354</v>
      </c>
      <c r="I264" s="37" t="s">
        <v>849</v>
      </c>
      <c r="J264" s="31">
        <v>99</v>
      </c>
      <c r="K264" s="33" t="s">
        <v>955</v>
      </c>
      <c r="L264" s="33" t="s">
        <v>694</v>
      </c>
      <c r="M264" s="34" t="s">
        <v>973</v>
      </c>
      <c r="N264" s="34" t="s">
        <v>1849</v>
      </c>
      <c r="O264" s="35">
        <v>1</v>
      </c>
      <c r="P264" s="35"/>
      <c r="Q264" s="36"/>
      <c r="S264" s="1">
        <f t="shared" si="171"/>
        <v>0</v>
      </c>
      <c r="T264" s="1">
        <f t="shared" si="172"/>
        <v>0</v>
      </c>
      <c r="U264" s="1">
        <f t="shared" si="173"/>
        <v>0</v>
      </c>
      <c r="V264" s="1">
        <f t="shared" si="174"/>
        <v>0</v>
      </c>
      <c r="W264" s="1">
        <f t="shared" si="175"/>
        <v>0</v>
      </c>
      <c r="X264" s="1">
        <f t="shared" si="176"/>
        <v>0</v>
      </c>
      <c r="Y264" s="1">
        <f t="shared" si="177"/>
        <v>0</v>
      </c>
      <c r="Z264" s="1">
        <f t="shared" si="178"/>
        <v>0</v>
      </c>
      <c r="AA264" s="1">
        <f t="shared" si="179"/>
        <v>0</v>
      </c>
      <c r="AB264" s="1">
        <f t="shared" si="180"/>
        <v>0</v>
      </c>
      <c r="AD264" s="1">
        <f t="shared" si="181"/>
        <v>0</v>
      </c>
      <c r="AE264" s="1">
        <f t="shared" si="182"/>
        <v>1</v>
      </c>
      <c r="AF264" s="1">
        <f t="shared" si="167"/>
        <v>0</v>
      </c>
      <c r="AG264" s="1">
        <f t="shared" si="168"/>
        <v>0</v>
      </c>
      <c r="AH264" s="1">
        <f t="shared" si="169"/>
        <v>0</v>
      </c>
      <c r="AI264" s="1">
        <f t="shared" si="170"/>
        <v>0</v>
      </c>
    </row>
    <row r="265" spans="1:35" s="1" customFormat="1" ht="14.25" customHeight="1" x14ac:dyDescent="0.25">
      <c r="A265" s="31">
        <v>0</v>
      </c>
      <c r="B265" s="31">
        <v>1</v>
      </c>
      <c r="C265" s="31">
        <v>7</v>
      </c>
      <c r="D265" s="32" t="s">
        <v>1216</v>
      </c>
      <c r="E265" s="32" t="s">
        <v>29</v>
      </c>
      <c r="F265" s="32" t="s">
        <v>1217</v>
      </c>
      <c r="G265" s="32" t="s">
        <v>238</v>
      </c>
      <c r="H265" s="32" t="s">
        <v>354</v>
      </c>
      <c r="I265" s="31" t="s">
        <v>1361</v>
      </c>
      <c r="J265" s="31">
        <v>99</v>
      </c>
      <c r="K265" s="33" t="s">
        <v>713</v>
      </c>
      <c r="L265" s="33" t="s">
        <v>694</v>
      </c>
      <c r="M265" s="34" t="s">
        <v>1407</v>
      </c>
      <c r="N265" s="34" t="s">
        <v>1755</v>
      </c>
      <c r="O265" s="35">
        <v>1</v>
      </c>
      <c r="P265" s="35"/>
      <c r="Q265" s="32"/>
      <c r="S265" s="1">
        <f t="shared" si="171"/>
        <v>0</v>
      </c>
      <c r="T265" s="1">
        <f t="shared" si="172"/>
        <v>0</v>
      </c>
      <c r="U265" s="1">
        <f t="shared" si="173"/>
        <v>0</v>
      </c>
      <c r="V265" s="1">
        <f t="shared" si="174"/>
        <v>0</v>
      </c>
      <c r="W265" s="1">
        <f t="shared" si="175"/>
        <v>0</v>
      </c>
      <c r="X265" s="1">
        <f t="shared" si="176"/>
        <v>0</v>
      </c>
      <c r="Y265" s="1">
        <f t="shared" si="177"/>
        <v>0</v>
      </c>
      <c r="Z265" s="1">
        <f t="shared" si="178"/>
        <v>0</v>
      </c>
      <c r="AA265" s="1">
        <f t="shared" si="179"/>
        <v>0</v>
      </c>
      <c r="AB265" s="1">
        <f t="shared" si="180"/>
        <v>0</v>
      </c>
      <c r="AD265" s="1">
        <f t="shared" ref="AD265:AD266" si="189">+O265*P265</f>
        <v>0</v>
      </c>
      <c r="AE265" s="1">
        <f t="shared" ref="AE265:AE266" si="190">O265*(1-P265)</f>
        <v>1</v>
      </c>
      <c r="AF265" s="1">
        <f t="shared" ref="AF265:AF266" si="191">+O265*P265*(1-A265)</f>
        <v>0</v>
      </c>
      <c r="AG265" s="1">
        <f t="shared" ref="AG265:AG266" si="192">O265*(1-P265)*(1-A265)</f>
        <v>1</v>
      </c>
      <c r="AH265" s="1">
        <f t="shared" ref="AH265:AH266" si="193">+P265*(1-A265)</f>
        <v>0</v>
      </c>
      <c r="AI265" s="1">
        <f t="shared" ref="AI265:AI266" si="194">+(1-A265)*(1-P265)</f>
        <v>1</v>
      </c>
    </row>
    <row r="266" spans="1:35" s="1" customFormat="1" ht="14.25" customHeight="1" x14ac:dyDescent="0.25">
      <c r="A266" s="31">
        <v>0</v>
      </c>
      <c r="B266" s="31">
        <v>1</v>
      </c>
      <c r="C266" s="31">
        <v>7</v>
      </c>
      <c r="D266" s="36" t="s">
        <v>1233</v>
      </c>
      <c r="E266" s="32" t="s">
        <v>29</v>
      </c>
      <c r="F266" s="36" t="s">
        <v>1234</v>
      </c>
      <c r="G266" s="36" t="s">
        <v>238</v>
      </c>
      <c r="H266" s="36" t="s">
        <v>354</v>
      </c>
      <c r="I266" s="37" t="s">
        <v>1235</v>
      </c>
      <c r="J266" s="31">
        <v>99</v>
      </c>
      <c r="K266" s="33" t="s">
        <v>713</v>
      </c>
      <c r="L266" s="33" t="s">
        <v>693</v>
      </c>
      <c r="M266" s="34" t="s">
        <v>1407</v>
      </c>
      <c r="N266" s="34" t="s">
        <v>1825</v>
      </c>
      <c r="O266" s="35">
        <v>1</v>
      </c>
      <c r="P266" s="35"/>
      <c r="Q266" s="36"/>
      <c r="S266" s="1">
        <f t="shared" si="171"/>
        <v>0</v>
      </c>
      <c r="T266" s="1">
        <f t="shared" si="172"/>
        <v>0</v>
      </c>
      <c r="U266" s="1">
        <f t="shared" si="173"/>
        <v>0</v>
      </c>
      <c r="V266" s="1">
        <f t="shared" si="174"/>
        <v>0</v>
      </c>
      <c r="W266" s="1">
        <f t="shared" si="175"/>
        <v>0</v>
      </c>
      <c r="X266" s="1">
        <f t="shared" si="176"/>
        <v>0</v>
      </c>
      <c r="Y266" s="1">
        <f t="shared" si="177"/>
        <v>0</v>
      </c>
      <c r="Z266" s="1">
        <f t="shared" si="178"/>
        <v>0</v>
      </c>
      <c r="AA266" s="1">
        <f t="shared" si="179"/>
        <v>0</v>
      </c>
      <c r="AB266" s="1">
        <f t="shared" si="180"/>
        <v>0</v>
      </c>
      <c r="AD266" s="1">
        <f t="shared" si="189"/>
        <v>0</v>
      </c>
      <c r="AE266" s="1">
        <f t="shared" si="190"/>
        <v>1</v>
      </c>
      <c r="AF266" s="1">
        <f t="shared" si="191"/>
        <v>0</v>
      </c>
      <c r="AG266" s="1">
        <f t="shared" si="192"/>
        <v>1</v>
      </c>
      <c r="AH266" s="1">
        <f t="shared" si="193"/>
        <v>0</v>
      </c>
      <c r="AI266" s="1">
        <f t="shared" si="194"/>
        <v>1</v>
      </c>
    </row>
    <row r="267" spans="1:35" s="1" customFormat="1" ht="14.25" customHeight="1" x14ac:dyDescent="0.25">
      <c r="A267" s="31">
        <v>0</v>
      </c>
      <c r="B267" s="31">
        <v>1</v>
      </c>
      <c r="C267" s="31">
        <v>7</v>
      </c>
      <c r="D267" s="36" t="s">
        <v>93</v>
      </c>
      <c r="E267" s="32" t="s">
        <v>29</v>
      </c>
      <c r="F267" s="36" t="s">
        <v>288</v>
      </c>
      <c r="G267" s="36" t="s">
        <v>190</v>
      </c>
      <c r="H267" s="36" t="s">
        <v>354</v>
      </c>
      <c r="I267" s="37" t="s">
        <v>441</v>
      </c>
      <c r="J267" s="31">
        <v>99</v>
      </c>
      <c r="K267" s="33" t="s">
        <v>713</v>
      </c>
      <c r="L267" s="33" t="s">
        <v>694</v>
      </c>
      <c r="M267" s="34" t="s">
        <v>1408</v>
      </c>
      <c r="N267" s="34" t="s">
        <v>1750</v>
      </c>
      <c r="O267" s="35">
        <v>1</v>
      </c>
      <c r="P267" s="35"/>
      <c r="Q267" s="36"/>
      <c r="S267" s="1">
        <f t="shared" si="171"/>
        <v>0</v>
      </c>
      <c r="T267" s="1">
        <f t="shared" si="172"/>
        <v>0</v>
      </c>
      <c r="U267" s="1">
        <f t="shared" si="173"/>
        <v>0</v>
      </c>
      <c r="V267" s="1">
        <f t="shared" si="174"/>
        <v>0</v>
      </c>
      <c r="W267" s="1">
        <f t="shared" si="175"/>
        <v>0</v>
      </c>
      <c r="X267" s="1">
        <f t="shared" si="176"/>
        <v>0</v>
      </c>
      <c r="Y267" s="1">
        <f t="shared" si="177"/>
        <v>0</v>
      </c>
      <c r="Z267" s="1">
        <f t="shared" si="178"/>
        <v>0</v>
      </c>
      <c r="AA267" s="1">
        <f t="shared" si="179"/>
        <v>0</v>
      </c>
      <c r="AB267" s="1">
        <f t="shared" si="180"/>
        <v>0</v>
      </c>
      <c r="AD267" s="1">
        <f t="shared" si="181"/>
        <v>0</v>
      </c>
      <c r="AE267" s="1">
        <f t="shared" si="182"/>
        <v>1</v>
      </c>
      <c r="AF267" s="1">
        <f t="shared" si="167"/>
        <v>0</v>
      </c>
      <c r="AG267" s="1">
        <f t="shared" si="168"/>
        <v>1</v>
      </c>
      <c r="AH267" s="1">
        <f t="shared" si="169"/>
        <v>0</v>
      </c>
      <c r="AI267" s="1">
        <f t="shared" si="170"/>
        <v>1</v>
      </c>
    </row>
    <row r="268" spans="1:35" s="1" customFormat="1" ht="14.25" customHeight="1" x14ac:dyDescent="0.25">
      <c r="A268" s="44">
        <v>0</v>
      </c>
      <c r="B268" s="44">
        <v>1</v>
      </c>
      <c r="C268" s="44">
        <v>7</v>
      </c>
      <c r="D268" s="45" t="s">
        <v>870</v>
      </c>
      <c r="E268" s="45" t="s">
        <v>29</v>
      </c>
      <c r="F268" s="45" t="s">
        <v>871</v>
      </c>
      <c r="G268" s="45" t="s">
        <v>194</v>
      </c>
      <c r="H268" s="45" t="s">
        <v>354</v>
      </c>
      <c r="I268" s="44" t="s">
        <v>872</v>
      </c>
      <c r="J268" s="44">
        <v>9</v>
      </c>
      <c r="K268" s="46" t="s">
        <v>713</v>
      </c>
      <c r="L268" s="46" t="s">
        <v>696</v>
      </c>
      <c r="M268" s="47" t="s">
        <v>708</v>
      </c>
      <c r="N268" s="47" t="s">
        <v>1735</v>
      </c>
      <c r="O268" s="48"/>
      <c r="P268" s="48"/>
      <c r="Q268" s="45"/>
      <c r="S268" s="1">
        <f t="shared" si="171"/>
        <v>0</v>
      </c>
      <c r="T268" s="1">
        <f t="shared" si="172"/>
        <v>0</v>
      </c>
      <c r="U268" s="1">
        <f t="shared" si="173"/>
        <v>0</v>
      </c>
      <c r="V268" s="1">
        <f t="shared" si="174"/>
        <v>0</v>
      </c>
      <c r="W268" s="1">
        <f t="shared" si="175"/>
        <v>0</v>
      </c>
      <c r="X268" s="1">
        <f t="shared" si="176"/>
        <v>0</v>
      </c>
      <c r="Y268" s="1">
        <f t="shared" si="177"/>
        <v>0</v>
      </c>
      <c r="Z268" s="1">
        <f t="shared" si="178"/>
        <v>0</v>
      </c>
      <c r="AA268" s="1">
        <f t="shared" si="179"/>
        <v>1</v>
      </c>
      <c r="AB268" s="1">
        <f t="shared" si="180"/>
        <v>0</v>
      </c>
      <c r="AD268" s="1">
        <f t="shared" si="181"/>
        <v>0</v>
      </c>
      <c r="AE268" s="1">
        <f t="shared" si="182"/>
        <v>0</v>
      </c>
      <c r="AF268" s="1">
        <f t="shared" si="167"/>
        <v>0</v>
      </c>
      <c r="AG268" s="1">
        <f t="shared" si="168"/>
        <v>0</v>
      </c>
      <c r="AH268" s="1">
        <f t="shared" si="169"/>
        <v>0</v>
      </c>
      <c r="AI268" s="1">
        <f t="shared" si="170"/>
        <v>1</v>
      </c>
    </row>
    <row r="269" spans="1:35" s="1" customFormat="1" ht="14.25" customHeight="1" x14ac:dyDescent="0.25">
      <c r="A269" s="44">
        <v>1</v>
      </c>
      <c r="B269" s="44">
        <v>1</v>
      </c>
      <c r="C269" s="44">
        <v>7</v>
      </c>
      <c r="D269" s="45" t="s">
        <v>870</v>
      </c>
      <c r="E269" s="45" t="s">
        <v>29</v>
      </c>
      <c r="F269" s="45" t="s">
        <v>1068</v>
      </c>
      <c r="G269" s="45" t="s">
        <v>321</v>
      </c>
      <c r="H269" s="45" t="s">
        <v>354</v>
      </c>
      <c r="I269" s="44" t="s">
        <v>1069</v>
      </c>
      <c r="J269" s="44">
        <v>99</v>
      </c>
      <c r="K269" s="46" t="s">
        <v>713</v>
      </c>
      <c r="L269" s="46" t="s">
        <v>696</v>
      </c>
      <c r="M269" s="47" t="s">
        <v>708</v>
      </c>
      <c r="N269" s="47" t="s">
        <v>1735</v>
      </c>
      <c r="O269" s="48"/>
      <c r="P269" s="48"/>
      <c r="Q269" s="45"/>
      <c r="S269" s="1">
        <f t="shared" si="171"/>
        <v>0</v>
      </c>
      <c r="T269" s="1">
        <f t="shared" si="172"/>
        <v>0</v>
      </c>
      <c r="U269" s="1">
        <f t="shared" si="173"/>
        <v>0</v>
      </c>
      <c r="V269" s="1">
        <f t="shared" si="174"/>
        <v>0</v>
      </c>
      <c r="W269" s="1">
        <f t="shared" si="175"/>
        <v>0</v>
      </c>
      <c r="X269" s="1">
        <f t="shared" si="176"/>
        <v>0</v>
      </c>
      <c r="Y269" s="1">
        <f t="shared" si="177"/>
        <v>0</v>
      </c>
      <c r="Z269" s="1">
        <f t="shared" si="178"/>
        <v>0</v>
      </c>
      <c r="AA269" s="1">
        <f t="shared" si="179"/>
        <v>0</v>
      </c>
      <c r="AB269" s="1">
        <f t="shared" si="180"/>
        <v>0</v>
      </c>
      <c r="AD269" s="1">
        <f t="shared" si="181"/>
        <v>0</v>
      </c>
      <c r="AE269" s="1">
        <f t="shared" si="182"/>
        <v>0</v>
      </c>
      <c r="AF269" s="1">
        <f t="shared" si="167"/>
        <v>0</v>
      </c>
      <c r="AG269" s="1">
        <f t="shared" si="168"/>
        <v>0</v>
      </c>
      <c r="AH269" s="1">
        <f t="shared" si="169"/>
        <v>0</v>
      </c>
      <c r="AI269" s="1">
        <f t="shared" si="170"/>
        <v>0</v>
      </c>
    </row>
    <row r="270" spans="1:35" s="1" customFormat="1" ht="14.25" customHeight="1" x14ac:dyDescent="0.25">
      <c r="A270" s="44">
        <v>1</v>
      </c>
      <c r="B270" s="44">
        <v>1</v>
      </c>
      <c r="C270" s="44">
        <v>7</v>
      </c>
      <c r="D270" s="45" t="s">
        <v>870</v>
      </c>
      <c r="E270" s="45" t="s">
        <v>29</v>
      </c>
      <c r="F270" s="65" t="s">
        <v>2025</v>
      </c>
      <c r="G270" s="65" t="s">
        <v>194</v>
      </c>
      <c r="H270" s="45" t="s">
        <v>354</v>
      </c>
      <c r="I270" s="64" t="s">
        <v>872</v>
      </c>
      <c r="J270" s="44">
        <v>9</v>
      </c>
      <c r="K270" s="46" t="s">
        <v>713</v>
      </c>
      <c r="L270" s="46" t="s">
        <v>696</v>
      </c>
      <c r="M270" s="47" t="s">
        <v>708</v>
      </c>
      <c r="N270" s="47" t="s">
        <v>1735</v>
      </c>
      <c r="O270" s="48"/>
      <c r="P270" s="48"/>
      <c r="Q270" s="45"/>
      <c r="S270" s="1">
        <f t="shared" ref="S270:S271" si="195">IF(J270=$S$7,1,0)</f>
        <v>0</v>
      </c>
      <c r="T270" s="1">
        <f t="shared" ref="T270:T271" si="196">IF(J270=$T$7,1,0)</f>
        <v>0</v>
      </c>
      <c r="U270" s="1">
        <f t="shared" ref="U270:U271" si="197">IF(J270=$U$7,1,0)</f>
        <v>0</v>
      </c>
      <c r="V270" s="1">
        <f t="shared" ref="V270:V271" si="198">IF(J270=$V$7,1,0)</f>
        <v>0</v>
      </c>
      <c r="W270" s="1">
        <f t="shared" ref="W270:W271" si="199">IF(J270=$W$7,1,0)</f>
        <v>0</v>
      </c>
      <c r="X270" s="1">
        <f t="shared" ref="X270:X271" si="200">IF(J270=$X$7,1,0)</f>
        <v>0</v>
      </c>
      <c r="Y270" s="1">
        <f t="shared" ref="Y270:Y271" si="201">IF(J270=$Y$7,1,0)</f>
        <v>0</v>
      </c>
      <c r="Z270" s="1">
        <f t="shared" ref="Z270:Z271" si="202">IF(J270=$Z$7,1,0)</f>
        <v>0</v>
      </c>
      <c r="AA270" s="1">
        <f t="shared" ref="AA270:AA271" si="203">IF(J270=$AA$7,1,0)</f>
        <v>1</v>
      </c>
      <c r="AB270" s="1">
        <f t="shared" ref="AB270:AB271" si="204">IF(J270=$AB$7,1,0)</f>
        <v>0</v>
      </c>
      <c r="AD270" s="1">
        <f t="shared" ref="AD270:AD271" si="205">+O270*P270</f>
        <v>0</v>
      </c>
      <c r="AE270" s="1">
        <f t="shared" ref="AE270:AE271" si="206">O270*(1-P270)</f>
        <v>0</v>
      </c>
      <c r="AF270" s="1">
        <f t="shared" ref="AF270:AF271" si="207">+O270*P270*(1-A270)</f>
        <v>0</v>
      </c>
      <c r="AG270" s="1">
        <f t="shared" ref="AG270:AG271" si="208">O270*(1-P270)*(1-A270)</f>
        <v>0</v>
      </c>
      <c r="AH270" s="1">
        <f t="shared" ref="AH270:AH271" si="209">+P270*(1-A270)</f>
        <v>0</v>
      </c>
      <c r="AI270" s="1">
        <f t="shared" ref="AI270:AI271" si="210">+(1-A270)*(1-P270)</f>
        <v>0</v>
      </c>
    </row>
    <row r="271" spans="1:35" s="1" customFormat="1" ht="14.25" customHeight="1" x14ac:dyDescent="0.25">
      <c r="A271" s="44">
        <v>1</v>
      </c>
      <c r="B271" s="44">
        <v>1</v>
      </c>
      <c r="C271" s="44">
        <v>7</v>
      </c>
      <c r="D271" s="45" t="s">
        <v>870</v>
      </c>
      <c r="E271" s="45" t="s">
        <v>29</v>
      </c>
      <c r="F271" s="65" t="s">
        <v>2027</v>
      </c>
      <c r="G271" s="65" t="s">
        <v>209</v>
      </c>
      <c r="H271" s="45" t="s">
        <v>354</v>
      </c>
      <c r="I271" s="64" t="s">
        <v>2026</v>
      </c>
      <c r="J271" s="44">
        <v>99</v>
      </c>
      <c r="K271" s="46" t="s">
        <v>713</v>
      </c>
      <c r="L271" s="46" t="s">
        <v>696</v>
      </c>
      <c r="M271" s="47" t="s">
        <v>708</v>
      </c>
      <c r="N271" s="47" t="s">
        <v>1735</v>
      </c>
      <c r="O271" s="48"/>
      <c r="P271" s="48"/>
      <c r="Q271" s="45"/>
      <c r="S271" s="1">
        <f t="shared" si="195"/>
        <v>0</v>
      </c>
      <c r="T271" s="1">
        <f t="shared" si="196"/>
        <v>0</v>
      </c>
      <c r="U271" s="1">
        <f t="shared" si="197"/>
        <v>0</v>
      </c>
      <c r="V271" s="1">
        <f t="shared" si="198"/>
        <v>0</v>
      </c>
      <c r="W271" s="1">
        <f t="shared" si="199"/>
        <v>0</v>
      </c>
      <c r="X271" s="1">
        <f t="shared" si="200"/>
        <v>0</v>
      </c>
      <c r="Y271" s="1">
        <f t="shared" si="201"/>
        <v>0</v>
      </c>
      <c r="Z271" s="1">
        <f t="shared" si="202"/>
        <v>0</v>
      </c>
      <c r="AA271" s="1">
        <f t="shared" si="203"/>
        <v>0</v>
      </c>
      <c r="AB271" s="1">
        <f t="shared" si="204"/>
        <v>0</v>
      </c>
      <c r="AD271" s="1">
        <f t="shared" si="205"/>
        <v>0</v>
      </c>
      <c r="AE271" s="1">
        <f t="shared" si="206"/>
        <v>0</v>
      </c>
      <c r="AF271" s="1">
        <f t="shared" si="207"/>
        <v>0</v>
      </c>
      <c r="AG271" s="1">
        <f t="shared" si="208"/>
        <v>0</v>
      </c>
      <c r="AH271" s="1">
        <f t="shared" si="209"/>
        <v>0</v>
      </c>
      <c r="AI271" s="1">
        <f t="shared" si="210"/>
        <v>0</v>
      </c>
    </row>
    <row r="272" spans="1:35" s="1" customFormat="1" ht="14.25" customHeight="1" x14ac:dyDescent="0.25">
      <c r="A272" s="31">
        <v>0</v>
      </c>
      <c r="B272" s="31">
        <v>1</v>
      </c>
      <c r="C272" s="31">
        <v>7</v>
      </c>
      <c r="D272" s="36" t="s">
        <v>96</v>
      </c>
      <c r="E272" s="32" t="s">
        <v>29</v>
      </c>
      <c r="F272" s="36" t="s">
        <v>292</v>
      </c>
      <c r="G272" s="36" t="s">
        <v>293</v>
      </c>
      <c r="H272" s="36" t="s">
        <v>354</v>
      </c>
      <c r="I272" s="37" t="s">
        <v>1117</v>
      </c>
      <c r="J272" s="31">
        <v>99</v>
      </c>
      <c r="K272" s="33" t="s">
        <v>713</v>
      </c>
      <c r="L272" s="33" t="s">
        <v>696</v>
      </c>
      <c r="M272" s="34" t="s">
        <v>708</v>
      </c>
      <c r="N272" s="34" t="s">
        <v>1748</v>
      </c>
      <c r="O272" s="35">
        <v>1</v>
      </c>
      <c r="P272" s="35"/>
      <c r="Q272" s="36"/>
      <c r="S272" s="1">
        <f t="shared" si="171"/>
        <v>0</v>
      </c>
      <c r="T272" s="1">
        <f t="shared" si="172"/>
        <v>0</v>
      </c>
      <c r="U272" s="1">
        <f t="shared" si="173"/>
        <v>0</v>
      </c>
      <c r="V272" s="1">
        <f t="shared" si="174"/>
        <v>0</v>
      </c>
      <c r="W272" s="1">
        <f t="shared" si="175"/>
        <v>0</v>
      </c>
      <c r="X272" s="1">
        <f t="shared" si="176"/>
        <v>0</v>
      </c>
      <c r="Y272" s="1">
        <f t="shared" si="177"/>
        <v>0</v>
      </c>
      <c r="Z272" s="1">
        <f t="shared" si="178"/>
        <v>0</v>
      </c>
      <c r="AA272" s="1">
        <f t="shared" si="179"/>
        <v>0</v>
      </c>
      <c r="AB272" s="1">
        <f t="shared" si="180"/>
        <v>0</v>
      </c>
      <c r="AD272" s="1">
        <f t="shared" si="181"/>
        <v>0</v>
      </c>
      <c r="AE272" s="1">
        <f t="shared" si="182"/>
        <v>1</v>
      </c>
      <c r="AF272" s="1">
        <f t="shared" si="167"/>
        <v>0</v>
      </c>
      <c r="AG272" s="1">
        <f t="shared" si="168"/>
        <v>1</v>
      </c>
      <c r="AH272" s="1">
        <f t="shared" si="169"/>
        <v>0</v>
      </c>
      <c r="AI272" s="1">
        <f t="shared" si="170"/>
        <v>1</v>
      </c>
    </row>
    <row r="273" spans="1:35" ht="14.25" customHeight="1" x14ac:dyDescent="0.25">
      <c r="A273" s="44">
        <v>0</v>
      </c>
      <c r="B273" s="44">
        <v>1</v>
      </c>
      <c r="C273" s="44">
        <v>7</v>
      </c>
      <c r="D273" s="45" t="s">
        <v>532</v>
      </c>
      <c r="E273" s="45" t="s">
        <v>29</v>
      </c>
      <c r="F273" s="45" t="s">
        <v>665</v>
      </c>
      <c r="G273" s="45" t="s">
        <v>39</v>
      </c>
      <c r="H273" s="45" t="s">
        <v>533</v>
      </c>
      <c r="I273" s="44" t="s">
        <v>1690</v>
      </c>
      <c r="J273" s="44">
        <v>14</v>
      </c>
      <c r="K273" s="46" t="s">
        <v>954</v>
      </c>
      <c r="L273" s="46">
        <v>40</v>
      </c>
      <c r="M273" s="47" t="s">
        <v>708</v>
      </c>
      <c r="N273" s="47" t="s">
        <v>1735</v>
      </c>
      <c r="O273" s="48"/>
      <c r="P273" s="48"/>
      <c r="Q273" s="45"/>
      <c r="S273" s="1">
        <f t="shared" si="171"/>
        <v>0</v>
      </c>
      <c r="T273" s="1">
        <f t="shared" si="172"/>
        <v>0</v>
      </c>
      <c r="U273" s="1">
        <f t="shared" si="173"/>
        <v>0</v>
      </c>
      <c r="V273" s="1">
        <f t="shared" si="174"/>
        <v>0</v>
      </c>
      <c r="W273" s="1">
        <f t="shared" si="175"/>
        <v>0</v>
      </c>
      <c r="X273" s="1">
        <f t="shared" si="176"/>
        <v>0</v>
      </c>
      <c r="Y273" s="1">
        <f t="shared" si="177"/>
        <v>0</v>
      </c>
      <c r="Z273" s="1">
        <f t="shared" si="178"/>
        <v>0</v>
      </c>
      <c r="AA273" s="1">
        <f t="shared" si="179"/>
        <v>0</v>
      </c>
      <c r="AB273" s="1">
        <f t="shared" si="180"/>
        <v>0</v>
      </c>
      <c r="AD273" s="1">
        <f t="shared" si="181"/>
        <v>0</v>
      </c>
      <c r="AE273" s="1">
        <f t="shared" si="182"/>
        <v>0</v>
      </c>
      <c r="AF273" s="1">
        <f t="shared" si="167"/>
        <v>0</v>
      </c>
      <c r="AG273" s="1">
        <f t="shared" si="168"/>
        <v>0</v>
      </c>
      <c r="AH273" s="1">
        <f t="shared" si="169"/>
        <v>0</v>
      </c>
      <c r="AI273" s="1">
        <f t="shared" si="170"/>
        <v>1</v>
      </c>
    </row>
    <row r="274" spans="1:35" ht="14.25" customHeight="1" x14ac:dyDescent="0.25">
      <c r="A274" s="31">
        <v>0</v>
      </c>
      <c r="B274" s="31">
        <v>1</v>
      </c>
      <c r="C274" s="31">
        <v>7</v>
      </c>
      <c r="D274" s="36" t="s">
        <v>1321</v>
      </c>
      <c r="E274" s="32" t="s">
        <v>29</v>
      </c>
      <c r="F274" s="36" t="s">
        <v>1345</v>
      </c>
      <c r="G274" s="36" t="s">
        <v>39</v>
      </c>
      <c r="H274" s="36" t="s">
        <v>354</v>
      </c>
      <c r="I274" s="37" t="s">
        <v>1150</v>
      </c>
      <c r="J274" s="31">
        <v>99</v>
      </c>
      <c r="K274" s="33" t="s">
        <v>713</v>
      </c>
      <c r="L274" s="33" t="s">
        <v>693</v>
      </c>
      <c r="M274" s="34" t="s">
        <v>1409</v>
      </c>
      <c r="N274" s="34" t="s">
        <v>1733</v>
      </c>
      <c r="O274" s="35">
        <v>1</v>
      </c>
      <c r="P274" s="35">
        <v>1</v>
      </c>
      <c r="Q274" s="36"/>
      <c r="S274" s="1">
        <f t="shared" si="171"/>
        <v>0</v>
      </c>
      <c r="T274" s="1">
        <f t="shared" si="172"/>
        <v>0</v>
      </c>
      <c r="U274" s="1">
        <f t="shared" si="173"/>
        <v>0</v>
      </c>
      <c r="V274" s="1">
        <f t="shared" si="174"/>
        <v>0</v>
      </c>
      <c r="W274" s="1">
        <f t="shared" si="175"/>
        <v>0</v>
      </c>
      <c r="X274" s="1">
        <f t="shared" si="176"/>
        <v>0</v>
      </c>
      <c r="Y274" s="1">
        <f t="shared" si="177"/>
        <v>0</v>
      </c>
      <c r="Z274" s="1">
        <f t="shared" si="178"/>
        <v>0</v>
      </c>
      <c r="AA274" s="1">
        <f t="shared" si="179"/>
        <v>0</v>
      </c>
      <c r="AB274" s="1">
        <f t="shared" si="180"/>
        <v>0</v>
      </c>
      <c r="AD274" s="1">
        <f t="shared" si="181"/>
        <v>1</v>
      </c>
      <c r="AE274" s="1">
        <f t="shared" si="182"/>
        <v>0</v>
      </c>
      <c r="AF274" s="1">
        <f t="shared" si="167"/>
        <v>1</v>
      </c>
      <c r="AG274" s="1">
        <f t="shared" si="168"/>
        <v>0</v>
      </c>
      <c r="AH274" s="1">
        <f t="shared" si="169"/>
        <v>1</v>
      </c>
      <c r="AI274" s="1">
        <f t="shared" si="170"/>
        <v>0</v>
      </c>
    </row>
    <row r="275" spans="1:35" ht="14.25" customHeight="1" x14ac:dyDescent="0.25">
      <c r="A275" s="44">
        <v>0</v>
      </c>
      <c r="B275" s="44">
        <v>1</v>
      </c>
      <c r="C275" s="44">
        <v>7</v>
      </c>
      <c r="D275" s="45" t="s">
        <v>97</v>
      </c>
      <c r="E275" s="45" t="s">
        <v>29</v>
      </c>
      <c r="F275" s="45" t="s">
        <v>295</v>
      </c>
      <c r="G275" s="45" t="s">
        <v>263</v>
      </c>
      <c r="H275" s="45" t="s">
        <v>354</v>
      </c>
      <c r="I275" s="44" t="s">
        <v>445</v>
      </c>
      <c r="J275" s="44">
        <v>1</v>
      </c>
      <c r="K275" s="46" t="s">
        <v>713</v>
      </c>
      <c r="L275" s="46" t="s">
        <v>694</v>
      </c>
      <c r="M275" s="47" t="s">
        <v>708</v>
      </c>
      <c r="N275" s="47" t="s">
        <v>1735</v>
      </c>
      <c r="O275" s="48"/>
      <c r="P275" s="48"/>
      <c r="Q275" s="45"/>
      <c r="S275" s="1">
        <f t="shared" si="171"/>
        <v>1</v>
      </c>
      <c r="T275" s="1">
        <f t="shared" si="172"/>
        <v>0</v>
      </c>
      <c r="U275" s="1">
        <f t="shared" si="173"/>
        <v>0</v>
      </c>
      <c r="V275" s="1">
        <f t="shared" si="174"/>
        <v>0</v>
      </c>
      <c r="W275" s="1">
        <f t="shared" si="175"/>
        <v>0</v>
      </c>
      <c r="X275" s="1">
        <f t="shared" si="176"/>
        <v>0</v>
      </c>
      <c r="Y275" s="1">
        <f t="shared" si="177"/>
        <v>0</v>
      </c>
      <c r="Z275" s="1">
        <f t="shared" si="178"/>
        <v>0</v>
      </c>
      <c r="AA275" s="1">
        <f t="shared" si="179"/>
        <v>0</v>
      </c>
      <c r="AB275" s="1">
        <f t="shared" si="180"/>
        <v>0</v>
      </c>
      <c r="AD275" s="1">
        <f t="shared" si="181"/>
        <v>0</v>
      </c>
      <c r="AE275" s="1">
        <f t="shared" si="182"/>
        <v>0</v>
      </c>
      <c r="AF275" s="1">
        <f t="shared" ref="AF275:AF340" si="211">+O275*P275*(1-A275)</f>
        <v>0</v>
      </c>
      <c r="AG275" s="1">
        <f t="shared" ref="AG275:AG340" si="212">O275*(1-P275)*(1-A275)</f>
        <v>0</v>
      </c>
      <c r="AH275" s="1">
        <f t="shared" ref="AH275:AH340" si="213">+P275*(1-A275)</f>
        <v>0</v>
      </c>
      <c r="AI275" s="1">
        <f t="shared" ref="AI275:AI340" si="214">+(1-A275)*(1-P275)</f>
        <v>1</v>
      </c>
    </row>
    <row r="276" spans="1:35" ht="14.25" customHeight="1" x14ac:dyDescent="0.25">
      <c r="A276" s="15">
        <v>0</v>
      </c>
      <c r="B276" s="15">
        <v>1</v>
      </c>
      <c r="C276" s="15">
        <v>7</v>
      </c>
      <c r="D276" s="16" t="s">
        <v>755</v>
      </c>
      <c r="E276" s="16" t="s">
        <v>29</v>
      </c>
      <c r="F276" s="16" t="s">
        <v>756</v>
      </c>
      <c r="G276" s="16" t="s">
        <v>39</v>
      </c>
      <c r="H276" s="16" t="s">
        <v>757</v>
      </c>
      <c r="I276" s="15" t="s">
        <v>758</v>
      </c>
      <c r="J276" s="15">
        <v>18</v>
      </c>
      <c r="K276" s="10" t="s">
        <v>703</v>
      </c>
      <c r="L276" s="10" t="s">
        <v>697</v>
      </c>
      <c r="M276" s="19" t="s">
        <v>708</v>
      </c>
      <c r="N276" s="17"/>
      <c r="Q276" s="16"/>
      <c r="S276" s="1">
        <f t="shared" si="171"/>
        <v>0</v>
      </c>
      <c r="T276" s="1">
        <f t="shared" si="172"/>
        <v>0</v>
      </c>
      <c r="U276" s="1">
        <f t="shared" si="173"/>
        <v>0</v>
      </c>
      <c r="V276" s="1">
        <f t="shared" si="174"/>
        <v>0</v>
      </c>
      <c r="W276" s="1">
        <f t="shared" si="175"/>
        <v>0</v>
      </c>
      <c r="X276" s="1">
        <f t="shared" si="176"/>
        <v>0</v>
      </c>
      <c r="Y276" s="1">
        <f t="shared" si="177"/>
        <v>0</v>
      </c>
      <c r="Z276" s="1">
        <f t="shared" si="178"/>
        <v>0</v>
      </c>
      <c r="AA276" s="1">
        <f t="shared" si="179"/>
        <v>0</v>
      </c>
      <c r="AB276" s="1">
        <f t="shared" si="180"/>
        <v>0</v>
      </c>
      <c r="AD276" s="1">
        <f t="shared" si="181"/>
        <v>0</v>
      </c>
      <c r="AE276" s="1">
        <f t="shared" si="182"/>
        <v>0</v>
      </c>
      <c r="AF276" s="1">
        <f t="shared" si="211"/>
        <v>0</v>
      </c>
      <c r="AG276" s="1">
        <f t="shared" si="212"/>
        <v>0</v>
      </c>
      <c r="AH276" s="1">
        <f t="shared" si="213"/>
        <v>0</v>
      </c>
      <c r="AI276" s="1">
        <f t="shared" si="214"/>
        <v>1</v>
      </c>
    </row>
    <row r="277" spans="1:35" ht="14.25" customHeight="1" x14ac:dyDescent="0.25">
      <c r="A277" s="15">
        <v>1</v>
      </c>
      <c r="B277" s="15">
        <v>1</v>
      </c>
      <c r="C277" s="15">
        <v>7</v>
      </c>
      <c r="D277" s="16" t="s">
        <v>755</v>
      </c>
      <c r="E277" s="16" t="s">
        <v>29</v>
      </c>
      <c r="F277" s="16" t="s">
        <v>759</v>
      </c>
      <c r="G277" s="16" t="s">
        <v>39</v>
      </c>
      <c r="H277" s="16" t="s">
        <v>745</v>
      </c>
      <c r="I277" s="15" t="s">
        <v>760</v>
      </c>
      <c r="J277" s="15">
        <v>17</v>
      </c>
      <c r="K277" s="10" t="s">
        <v>703</v>
      </c>
      <c r="L277" s="10" t="s">
        <v>697</v>
      </c>
      <c r="M277" s="19" t="s">
        <v>708</v>
      </c>
      <c r="N277" s="17"/>
      <c r="Q277" s="16"/>
      <c r="S277" s="1">
        <f t="shared" si="171"/>
        <v>0</v>
      </c>
      <c r="T277" s="1">
        <f t="shared" si="172"/>
        <v>0</v>
      </c>
      <c r="U277" s="1">
        <f t="shared" si="173"/>
        <v>0</v>
      </c>
      <c r="V277" s="1">
        <f t="shared" si="174"/>
        <v>0</v>
      </c>
      <c r="W277" s="1">
        <f t="shared" si="175"/>
        <v>0</v>
      </c>
      <c r="X277" s="1">
        <f t="shared" si="176"/>
        <v>0</v>
      </c>
      <c r="Y277" s="1">
        <f t="shared" si="177"/>
        <v>0</v>
      </c>
      <c r="Z277" s="1">
        <f t="shared" si="178"/>
        <v>0</v>
      </c>
      <c r="AA277" s="1">
        <f t="shared" si="179"/>
        <v>0</v>
      </c>
      <c r="AB277" s="1">
        <f t="shared" si="180"/>
        <v>0</v>
      </c>
      <c r="AD277" s="1">
        <f t="shared" si="181"/>
        <v>0</v>
      </c>
      <c r="AE277" s="1">
        <f t="shared" si="182"/>
        <v>0</v>
      </c>
      <c r="AF277" s="1">
        <f t="shared" si="211"/>
        <v>0</v>
      </c>
      <c r="AG277" s="1">
        <f t="shared" si="212"/>
        <v>0</v>
      </c>
      <c r="AH277" s="1">
        <f t="shared" si="213"/>
        <v>0</v>
      </c>
      <c r="AI277" s="1">
        <f t="shared" si="214"/>
        <v>0</v>
      </c>
    </row>
    <row r="278" spans="1:35" ht="14.25" customHeight="1" x14ac:dyDescent="0.25">
      <c r="A278" s="31">
        <v>0</v>
      </c>
      <c r="B278" s="31">
        <v>1</v>
      </c>
      <c r="C278" s="31">
        <v>7</v>
      </c>
      <c r="D278" s="36" t="s">
        <v>1518</v>
      </c>
      <c r="E278" s="32" t="s">
        <v>29</v>
      </c>
      <c r="F278" s="36" t="s">
        <v>1671</v>
      </c>
      <c r="G278" s="36" t="s">
        <v>1672</v>
      </c>
      <c r="H278" s="36" t="s">
        <v>354</v>
      </c>
      <c r="I278" s="37" t="s">
        <v>1519</v>
      </c>
      <c r="J278" s="31">
        <v>99</v>
      </c>
      <c r="K278" s="33" t="s">
        <v>713</v>
      </c>
      <c r="L278" s="33" t="s">
        <v>39</v>
      </c>
      <c r="M278" s="34" t="s">
        <v>39</v>
      </c>
      <c r="N278" s="34" t="s">
        <v>1727</v>
      </c>
      <c r="O278" s="35">
        <v>1</v>
      </c>
      <c r="P278" s="35">
        <v>1</v>
      </c>
      <c r="Q278" s="36"/>
      <c r="S278" s="1">
        <f t="shared" si="171"/>
        <v>0</v>
      </c>
      <c r="T278" s="1">
        <f t="shared" si="172"/>
        <v>0</v>
      </c>
      <c r="U278" s="1">
        <f t="shared" si="173"/>
        <v>0</v>
      </c>
      <c r="V278" s="1">
        <f t="shared" si="174"/>
        <v>0</v>
      </c>
      <c r="W278" s="1">
        <f t="shared" si="175"/>
        <v>0</v>
      </c>
      <c r="X278" s="1">
        <f t="shared" si="176"/>
        <v>0</v>
      </c>
      <c r="Y278" s="1">
        <f t="shared" si="177"/>
        <v>0</v>
      </c>
      <c r="Z278" s="1">
        <f t="shared" si="178"/>
        <v>0</v>
      </c>
      <c r="AA278" s="1">
        <f t="shared" si="179"/>
        <v>0</v>
      </c>
      <c r="AB278" s="1">
        <f t="shared" si="180"/>
        <v>0</v>
      </c>
      <c r="AD278" s="1">
        <f t="shared" si="181"/>
        <v>1</v>
      </c>
      <c r="AE278" s="1">
        <f t="shared" si="182"/>
        <v>0</v>
      </c>
      <c r="AF278" s="1">
        <f t="shared" si="211"/>
        <v>1</v>
      </c>
      <c r="AG278" s="1">
        <f t="shared" si="212"/>
        <v>0</v>
      </c>
      <c r="AH278" s="1">
        <f t="shared" si="213"/>
        <v>1</v>
      </c>
      <c r="AI278" s="1">
        <f t="shared" si="214"/>
        <v>0</v>
      </c>
    </row>
    <row r="279" spans="1:35" ht="14.25" customHeight="1" x14ac:dyDescent="0.25">
      <c r="A279" s="15">
        <v>0</v>
      </c>
      <c r="B279" s="15">
        <v>1</v>
      </c>
      <c r="C279" s="15">
        <v>7</v>
      </c>
      <c r="D279" s="16" t="s">
        <v>1144</v>
      </c>
      <c r="E279" s="16" t="s">
        <v>29</v>
      </c>
      <c r="F279" s="16" t="s">
        <v>1145</v>
      </c>
      <c r="G279" s="16" t="s">
        <v>1147</v>
      </c>
      <c r="H279" s="16" t="s">
        <v>354</v>
      </c>
      <c r="I279" s="15" t="s">
        <v>1146</v>
      </c>
      <c r="J279" s="15">
        <v>99</v>
      </c>
      <c r="K279" s="10" t="s">
        <v>703</v>
      </c>
      <c r="L279" s="10">
        <v>30</v>
      </c>
      <c r="M279" s="19" t="s">
        <v>1410</v>
      </c>
      <c r="N279" s="19"/>
      <c r="Q279" s="16"/>
      <c r="S279" s="1">
        <f t="shared" ref="S279:S344" si="215">IF(J279=$S$7,1,0)</f>
        <v>0</v>
      </c>
      <c r="T279" s="1">
        <f t="shared" ref="T279:T344" si="216">IF(J279=$T$7,1,0)</f>
        <v>0</v>
      </c>
      <c r="U279" s="1">
        <f t="shared" ref="U279:U344" si="217">IF(J279=$U$7,1,0)</f>
        <v>0</v>
      </c>
      <c r="V279" s="1">
        <f t="shared" ref="V279:V344" si="218">IF(J279=$V$7,1,0)</f>
        <v>0</v>
      </c>
      <c r="W279" s="1">
        <f t="shared" ref="W279:W344" si="219">IF(J279=$W$7,1,0)</f>
        <v>0</v>
      </c>
      <c r="X279" s="1">
        <f t="shared" ref="X279:X344" si="220">IF(J279=$X$7,1,0)</f>
        <v>0</v>
      </c>
      <c r="Y279" s="1">
        <f t="shared" ref="Y279:Y344" si="221">IF(J279=$Y$7,1,0)</f>
        <v>0</v>
      </c>
      <c r="Z279" s="1">
        <f t="shared" ref="Z279:Z344" si="222">IF(J279=$Z$7,1,0)</f>
        <v>0</v>
      </c>
      <c r="AA279" s="1">
        <f t="shared" ref="AA279:AA344" si="223">IF(J279=$AA$7,1,0)</f>
        <v>0</v>
      </c>
      <c r="AB279" s="1">
        <f t="shared" ref="AB279:AB344" si="224">IF(J279=$AB$7,1,0)</f>
        <v>0</v>
      </c>
      <c r="AD279" s="1">
        <f t="shared" ref="AD279:AD344" si="225">+O279*P279</f>
        <v>0</v>
      </c>
      <c r="AE279" s="1">
        <f t="shared" ref="AE279:AE344" si="226">O279*(1-P279)</f>
        <v>0</v>
      </c>
      <c r="AF279" s="1">
        <f t="shared" si="211"/>
        <v>0</v>
      </c>
      <c r="AG279" s="1">
        <f t="shared" si="212"/>
        <v>0</v>
      </c>
      <c r="AH279" s="1">
        <f t="shared" si="213"/>
        <v>0</v>
      </c>
      <c r="AI279" s="1">
        <f t="shared" si="214"/>
        <v>1</v>
      </c>
    </row>
    <row r="280" spans="1:35" ht="14.25" customHeight="1" x14ac:dyDescent="0.25">
      <c r="A280" s="44">
        <v>0</v>
      </c>
      <c r="B280" s="44">
        <v>1</v>
      </c>
      <c r="C280" s="44">
        <v>7</v>
      </c>
      <c r="D280" s="45" t="s">
        <v>99</v>
      </c>
      <c r="E280" s="45" t="s">
        <v>29</v>
      </c>
      <c r="F280" s="45" t="s">
        <v>297</v>
      </c>
      <c r="G280" s="45" t="s">
        <v>197</v>
      </c>
      <c r="H280" s="45" t="s">
        <v>354</v>
      </c>
      <c r="I280" s="44" t="s">
        <v>446</v>
      </c>
      <c r="J280" s="44">
        <v>9</v>
      </c>
      <c r="K280" s="46" t="s">
        <v>703</v>
      </c>
      <c r="L280" s="46">
        <v>30</v>
      </c>
      <c r="M280" s="47" t="s">
        <v>708</v>
      </c>
      <c r="N280" s="47" t="s">
        <v>1735</v>
      </c>
      <c r="O280" s="48"/>
      <c r="P280" s="48"/>
      <c r="Q280" s="45"/>
      <c r="S280" s="1">
        <f t="shared" si="215"/>
        <v>0</v>
      </c>
      <c r="T280" s="1">
        <f t="shared" si="216"/>
        <v>0</v>
      </c>
      <c r="U280" s="1">
        <f t="shared" si="217"/>
        <v>0</v>
      </c>
      <c r="V280" s="1">
        <f t="shared" si="218"/>
        <v>0</v>
      </c>
      <c r="W280" s="1">
        <f t="shared" si="219"/>
        <v>0</v>
      </c>
      <c r="X280" s="1">
        <f t="shared" si="220"/>
        <v>0</v>
      </c>
      <c r="Y280" s="1">
        <f t="shared" si="221"/>
        <v>0</v>
      </c>
      <c r="Z280" s="1">
        <f t="shared" si="222"/>
        <v>0</v>
      </c>
      <c r="AA280" s="1">
        <f t="shared" si="223"/>
        <v>1</v>
      </c>
      <c r="AB280" s="1">
        <f t="shared" si="224"/>
        <v>0</v>
      </c>
      <c r="AD280" s="1">
        <f t="shared" si="225"/>
        <v>0</v>
      </c>
      <c r="AE280" s="1">
        <f t="shared" si="226"/>
        <v>0</v>
      </c>
      <c r="AF280" s="1">
        <f t="shared" si="211"/>
        <v>0</v>
      </c>
      <c r="AG280" s="1">
        <f t="shared" si="212"/>
        <v>0</v>
      </c>
      <c r="AH280" s="1">
        <f t="shared" si="213"/>
        <v>0</v>
      </c>
      <c r="AI280" s="1">
        <f t="shared" si="214"/>
        <v>1</v>
      </c>
    </row>
    <row r="281" spans="1:35" ht="14.25" customHeight="1" x14ac:dyDescent="0.25">
      <c r="A281" s="44">
        <v>0</v>
      </c>
      <c r="B281" s="44">
        <v>1</v>
      </c>
      <c r="C281" s="44">
        <v>7</v>
      </c>
      <c r="D281" s="45" t="s">
        <v>803</v>
      </c>
      <c r="E281" s="45" t="s">
        <v>29</v>
      </c>
      <c r="F281" s="45" t="s">
        <v>782</v>
      </c>
      <c r="G281" s="45" t="s">
        <v>804</v>
      </c>
      <c r="H281" s="45" t="s">
        <v>354</v>
      </c>
      <c r="I281" s="44" t="s">
        <v>952</v>
      </c>
      <c r="J281" s="44">
        <v>99</v>
      </c>
      <c r="K281" s="46" t="s">
        <v>713</v>
      </c>
      <c r="L281" s="46" t="s">
        <v>694</v>
      </c>
      <c r="M281" s="47" t="s">
        <v>708</v>
      </c>
      <c r="N281" s="47" t="s">
        <v>1802</v>
      </c>
      <c r="O281" s="48"/>
      <c r="P281" s="48"/>
      <c r="Q281" s="45"/>
      <c r="S281" s="1">
        <f t="shared" si="215"/>
        <v>0</v>
      </c>
      <c r="T281" s="1">
        <f t="shared" si="216"/>
        <v>0</v>
      </c>
      <c r="U281" s="1">
        <f t="shared" si="217"/>
        <v>0</v>
      </c>
      <c r="V281" s="1">
        <f t="shared" si="218"/>
        <v>0</v>
      </c>
      <c r="W281" s="1">
        <f t="shared" si="219"/>
        <v>0</v>
      </c>
      <c r="X281" s="1">
        <f t="shared" si="220"/>
        <v>0</v>
      </c>
      <c r="Y281" s="1">
        <f t="shared" si="221"/>
        <v>0</v>
      </c>
      <c r="Z281" s="1">
        <f t="shared" si="222"/>
        <v>0</v>
      </c>
      <c r="AA281" s="1">
        <f t="shared" si="223"/>
        <v>0</v>
      </c>
      <c r="AB281" s="1">
        <f t="shared" si="224"/>
        <v>0</v>
      </c>
      <c r="AD281" s="1">
        <f t="shared" si="225"/>
        <v>0</v>
      </c>
      <c r="AE281" s="1">
        <f t="shared" si="226"/>
        <v>0</v>
      </c>
      <c r="AF281" s="1">
        <f t="shared" si="211"/>
        <v>0</v>
      </c>
      <c r="AG281" s="1">
        <f t="shared" si="212"/>
        <v>0</v>
      </c>
      <c r="AH281" s="1">
        <f t="shared" si="213"/>
        <v>0</v>
      </c>
      <c r="AI281" s="1">
        <f t="shared" si="214"/>
        <v>1</v>
      </c>
    </row>
    <row r="282" spans="1:35" ht="14.25" customHeight="1" x14ac:dyDescent="0.25">
      <c r="A282" s="44">
        <v>0</v>
      </c>
      <c r="B282" s="44">
        <v>1</v>
      </c>
      <c r="C282" s="44">
        <v>7</v>
      </c>
      <c r="D282" s="45" t="s">
        <v>1324</v>
      </c>
      <c r="E282" s="45" t="s">
        <v>29</v>
      </c>
      <c r="F282" s="45" t="s">
        <v>1347</v>
      </c>
      <c r="G282" s="45" t="s">
        <v>1181</v>
      </c>
      <c r="H282" s="45" t="s">
        <v>354</v>
      </c>
      <c r="I282" s="44" t="s">
        <v>1692</v>
      </c>
      <c r="J282" s="44">
        <v>99</v>
      </c>
      <c r="K282" s="46" t="s">
        <v>713</v>
      </c>
      <c r="L282" s="46" t="s">
        <v>694</v>
      </c>
      <c r="M282" s="47" t="s">
        <v>1411</v>
      </c>
      <c r="N282" s="47" t="s">
        <v>1738</v>
      </c>
      <c r="O282" s="48"/>
      <c r="P282" s="48"/>
      <c r="Q282" s="45"/>
      <c r="S282" s="1">
        <f t="shared" si="215"/>
        <v>0</v>
      </c>
      <c r="T282" s="1">
        <f t="shared" si="216"/>
        <v>0</v>
      </c>
      <c r="U282" s="1">
        <f t="shared" si="217"/>
        <v>0</v>
      </c>
      <c r="V282" s="1">
        <f t="shared" si="218"/>
        <v>0</v>
      </c>
      <c r="W282" s="1">
        <f t="shared" si="219"/>
        <v>0</v>
      </c>
      <c r="X282" s="1">
        <f t="shared" si="220"/>
        <v>0</v>
      </c>
      <c r="Y282" s="1">
        <f t="shared" si="221"/>
        <v>0</v>
      </c>
      <c r="Z282" s="1">
        <f t="shared" si="222"/>
        <v>0</v>
      </c>
      <c r="AA282" s="1">
        <f t="shared" si="223"/>
        <v>0</v>
      </c>
      <c r="AB282" s="1">
        <f t="shared" si="224"/>
        <v>0</v>
      </c>
      <c r="AD282" s="1">
        <f t="shared" si="225"/>
        <v>0</v>
      </c>
      <c r="AE282" s="1">
        <f t="shared" si="226"/>
        <v>0</v>
      </c>
      <c r="AF282" s="1">
        <f t="shared" si="211"/>
        <v>0</v>
      </c>
      <c r="AG282" s="1">
        <f t="shared" si="212"/>
        <v>0</v>
      </c>
      <c r="AH282" s="1">
        <f t="shared" si="213"/>
        <v>0</v>
      </c>
      <c r="AI282" s="1">
        <f t="shared" si="214"/>
        <v>1</v>
      </c>
    </row>
    <row r="283" spans="1:35" ht="14.25" customHeight="1" x14ac:dyDescent="0.25">
      <c r="A283" s="15">
        <v>0</v>
      </c>
      <c r="B283" s="15">
        <v>1</v>
      </c>
      <c r="C283" s="15">
        <v>7</v>
      </c>
      <c r="D283" s="16" t="s">
        <v>1279</v>
      </c>
      <c r="E283" s="16" t="s">
        <v>29</v>
      </c>
      <c r="F283" s="16" t="s">
        <v>1280</v>
      </c>
      <c r="G283" s="16" t="s">
        <v>1281</v>
      </c>
      <c r="H283" s="16" t="s">
        <v>354</v>
      </c>
      <c r="I283" s="15" t="s">
        <v>1282</v>
      </c>
      <c r="J283" s="15">
        <v>99</v>
      </c>
      <c r="K283" s="10" t="s">
        <v>713</v>
      </c>
      <c r="L283" s="10" t="s">
        <v>694</v>
      </c>
      <c r="M283" s="19" t="s">
        <v>708</v>
      </c>
      <c r="N283" s="17"/>
      <c r="Q283" s="16"/>
      <c r="S283" s="1">
        <f t="shared" si="215"/>
        <v>0</v>
      </c>
      <c r="T283" s="1">
        <f t="shared" si="216"/>
        <v>0</v>
      </c>
      <c r="U283" s="1">
        <f t="shared" si="217"/>
        <v>0</v>
      </c>
      <c r="V283" s="1">
        <f t="shared" si="218"/>
        <v>0</v>
      </c>
      <c r="W283" s="1">
        <f t="shared" si="219"/>
        <v>0</v>
      </c>
      <c r="X283" s="1">
        <f t="shared" si="220"/>
        <v>0</v>
      </c>
      <c r="Y283" s="1">
        <f t="shared" si="221"/>
        <v>0</v>
      </c>
      <c r="Z283" s="1">
        <f t="shared" si="222"/>
        <v>0</v>
      </c>
      <c r="AA283" s="1">
        <f t="shared" si="223"/>
        <v>0</v>
      </c>
      <c r="AB283" s="1">
        <f t="shared" si="224"/>
        <v>0</v>
      </c>
      <c r="AD283" s="1">
        <f t="shared" si="225"/>
        <v>0</v>
      </c>
      <c r="AE283" s="1">
        <f t="shared" si="226"/>
        <v>0</v>
      </c>
      <c r="AF283" s="1">
        <f t="shared" si="211"/>
        <v>0</v>
      </c>
      <c r="AG283" s="1">
        <f t="shared" si="212"/>
        <v>0</v>
      </c>
      <c r="AH283" s="1">
        <f t="shared" si="213"/>
        <v>0</v>
      </c>
      <c r="AI283" s="1">
        <f t="shared" si="214"/>
        <v>1</v>
      </c>
    </row>
    <row r="284" spans="1:35" ht="14.25" customHeight="1" x14ac:dyDescent="0.25">
      <c r="A284" s="31">
        <v>0</v>
      </c>
      <c r="B284" s="31">
        <v>1</v>
      </c>
      <c r="C284" s="31">
        <v>7</v>
      </c>
      <c r="D284" s="32" t="s">
        <v>709</v>
      </c>
      <c r="E284" s="32" t="s">
        <v>29</v>
      </c>
      <c r="F284" s="32" t="s">
        <v>710</v>
      </c>
      <c r="G284" s="32" t="s">
        <v>184</v>
      </c>
      <c r="H284" s="32" t="s">
        <v>354</v>
      </c>
      <c r="I284" s="31" t="s">
        <v>711</v>
      </c>
      <c r="J284" s="31">
        <v>99</v>
      </c>
      <c r="K284" s="33" t="s">
        <v>955</v>
      </c>
      <c r="L284" s="33" t="s">
        <v>39</v>
      </c>
      <c r="M284" s="34" t="s">
        <v>39</v>
      </c>
      <c r="N284" s="34" t="s">
        <v>1733</v>
      </c>
      <c r="O284" s="35">
        <v>1</v>
      </c>
      <c r="P284" s="35">
        <v>1</v>
      </c>
      <c r="Q284" s="32"/>
      <c r="S284" s="1">
        <f t="shared" si="215"/>
        <v>0</v>
      </c>
      <c r="T284" s="1">
        <f t="shared" si="216"/>
        <v>0</v>
      </c>
      <c r="U284" s="1">
        <f t="shared" si="217"/>
        <v>0</v>
      </c>
      <c r="V284" s="1">
        <f t="shared" si="218"/>
        <v>0</v>
      </c>
      <c r="W284" s="1">
        <f t="shared" si="219"/>
        <v>0</v>
      </c>
      <c r="X284" s="1">
        <f t="shared" si="220"/>
        <v>0</v>
      </c>
      <c r="Y284" s="1">
        <f t="shared" si="221"/>
        <v>0</v>
      </c>
      <c r="Z284" s="1">
        <f t="shared" si="222"/>
        <v>0</v>
      </c>
      <c r="AA284" s="1">
        <f t="shared" si="223"/>
        <v>0</v>
      </c>
      <c r="AB284" s="1">
        <f t="shared" si="224"/>
        <v>0</v>
      </c>
      <c r="AD284" s="1">
        <f t="shared" si="225"/>
        <v>1</v>
      </c>
      <c r="AE284" s="1">
        <f t="shared" si="226"/>
        <v>0</v>
      </c>
      <c r="AF284" s="1">
        <f t="shared" si="211"/>
        <v>1</v>
      </c>
      <c r="AG284" s="1">
        <f t="shared" si="212"/>
        <v>0</v>
      </c>
      <c r="AH284" s="1">
        <f t="shared" si="213"/>
        <v>1</v>
      </c>
      <c r="AI284" s="1">
        <f t="shared" si="214"/>
        <v>0</v>
      </c>
    </row>
    <row r="285" spans="1:35" ht="14.25" customHeight="1" x14ac:dyDescent="0.25">
      <c r="A285" s="31">
        <v>0</v>
      </c>
      <c r="B285" s="31">
        <v>2</v>
      </c>
      <c r="C285" s="31">
        <v>1</v>
      </c>
      <c r="D285" s="32" t="s">
        <v>536</v>
      </c>
      <c r="E285" s="32" t="s">
        <v>34</v>
      </c>
      <c r="F285" s="32" t="s">
        <v>537</v>
      </c>
      <c r="G285" s="32" t="s">
        <v>220</v>
      </c>
      <c r="H285" s="32" t="s">
        <v>354</v>
      </c>
      <c r="I285" s="31" t="s">
        <v>538</v>
      </c>
      <c r="J285" s="31">
        <v>8</v>
      </c>
      <c r="K285" s="33" t="s">
        <v>713</v>
      </c>
      <c r="L285" s="33" t="s">
        <v>713</v>
      </c>
      <c r="M285" s="34" t="s">
        <v>714</v>
      </c>
      <c r="N285" s="34" t="s">
        <v>1748</v>
      </c>
      <c r="O285" s="35">
        <v>1</v>
      </c>
      <c r="P285" s="35"/>
      <c r="Q285" s="32"/>
      <c r="S285" s="1">
        <f t="shared" si="215"/>
        <v>0</v>
      </c>
      <c r="T285" s="1">
        <f t="shared" si="216"/>
        <v>0</v>
      </c>
      <c r="U285" s="1">
        <f t="shared" si="217"/>
        <v>0</v>
      </c>
      <c r="V285" s="1">
        <f t="shared" si="218"/>
        <v>0</v>
      </c>
      <c r="W285" s="1">
        <f t="shared" si="219"/>
        <v>0</v>
      </c>
      <c r="X285" s="1">
        <f t="shared" si="220"/>
        <v>0</v>
      </c>
      <c r="Y285" s="1">
        <f t="shared" si="221"/>
        <v>0</v>
      </c>
      <c r="Z285" s="1">
        <f t="shared" si="222"/>
        <v>1</v>
      </c>
      <c r="AA285" s="1">
        <f t="shared" si="223"/>
        <v>0</v>
      </c>
      <c r="AB285" s="1">
        <f t="shared" si="224"/>
        <v>0</v>
      </c>
      <c r="AD285" s="1">
        <f t="shared" si="225"/>
        <v>0</v>
      </c>
      <c r="AE285" s="1">
        <f t="shared" si="226"/>
        <v>1</v>
      </c>
      <c r="AF285" s="1">
        <f t="shared" si="211"/>
        <v>0</v>
      </c>
      <c r="AG285" s="1">
        <f t="shared" si="212"/>
        <v>1</v>
      </c>
      <c r="AH285" s="1">
        <f t="shared" si="213"/>
        <v>0</v>
      </c>
      <c r="AI285" s="1">
        <f t="shared" si="214"/>
        <v>1</v>
      </c>
    </row>
    <row r="286" spans="1:35" ht="14.25" customHeight="1" x14ac:dyDescent="0.25">
      <c r="A286" s="31">
        <v>0</v>
      </c>
      <c r="B286" s="31">
        <v>2</v>
      </c>
      <c r="C286" s="31">
        <v>1</v>
      </c>
      <c r="D286" s="32" t="s">
        <v>1290</v>
      </c>
      <c r="E286" s="32" t="s">
        <v>561</v>
      </c>
      <c r="F286" s="32" t="s">
        <v>1291</v>
      </c>
      <c r="G286" s="32" t="s">
        <v>230</v>
      </c>
      <c r="H286" s="32" t="s">
        <v>354</v>
      </c>
      <c r="I286" s="31" t="s">
        <v>1292</v>
      </c>
      <c r="J286" s="31">
        <v>7</v>
      </c>
      <c r="K286" s="33" t="s">
        <v>713</v>
      </c>
      <c r="L286" s="33" t="s">
        <v>713</v>
      </c>
      <c r="M286" s="34" t="s">
        <v>714</v>
      </c>
      <c r="N286" s="34" t="s">
        <v>1756</v>
      </c>
      <c r="O286" s="35">
        <v>1</v>
      </c>
      <c r="P286" s="35"/>
      <c r="Q286" s="32"/>
      <c r="S286" s="1">
        <f t="shared" si="215"/>
        <v>0</v>
      </c>
      <c r="T286" s="1">
        <f t="shared" si="216"/>
        <v>0</v>
      </c>
      <c r="U286" s="1">
        <f t="shared" si="217"/>
        <v>0</v>
      </c>
      <c r="V286" s="1">
        <f t="shared" si="218"/>
        <v>0</v>
      </c>
      <c r="W286" s="1">
        <f t="shared" si="219"/>
        <v>0</v>
      </c>
      <c r="X286" s="1">
        <f t="shared" si="220"/>
        <v>0</v>
      </c>
      <c r="Y286" s="1">
        <f t="shared" si="221"/>
        <v>1</v>
      </c>
      <c r="Z286" s="1">
        <f t="shared" si="222"/>
        <v>0</v>
      </c>
      <c r="AA286" s="1">
        <f t="shared" si="223"/>
        <v>0</v>
      </c>
      <c r="AB286" s="1">
        <f t="shared" si="224"/>
        <v>0</v>
      </c>
      <c r="AD286" s="1">
        <f t="shared" si="225"/>
        <v>0</v>
      </c>
      <c r="AE286" s="1">
        <f t="shared" si="226"/>
        <v>1</v>
      </c>
      <c r="AF286" s="1">
        <f t="shared" si="211"/>
        <v>0</v>
      </c>
      <c r="AG286" s="1">
        <f t="shared" si="212"/>
        <v>1</v>
      </c>
      <c r="AH286" s="1">
        <f t="shared" si="213"/>
        <v>0</v>
      </c>
      <c r="AI286" s="1">
        <f t="shared" si="214"/>
        <v>1</v>
      </c>
    </row>
    <row r="287" spans="1:35" ht="14.25" customHeight="1" x14ac:dyDescent="0.25">
      <c r="A287" s="31">
        <v>0</v>
      </c>
      <c r="B287" s="31">
        <v>2</v>
      </c>
      <c r="C287" s="31">
        <v>1</v>
      </c>
      <c r="D287" s="32" t="s">
        <v>1326</v>
      </c>
      <c r="E287" s="32" t="s">
        <v>561</v>
      </c>
      <c r="F287" s="32" t="s">
        <v>1988</v>
      </c>
      <c r="G287" s="32" t="s">
        <v>213</v>
      </c>
      <c r="H287" s="32" t="s">
        <v>354</v>
      </c>
      <c r="I287" s="31" t="s">
        <v>1156</v>
      </c>
      <c r="J287" s="31">
        <v>1</v>
      </c>
      <c r="K287" s="33" t="s">
        <v>954</v>
      </c>
      <c r="L287" s="33" t="s">
        <v>713</v>
      </c>
      <c r="M287" s="34" t="s">
        <v>714</v>
      </c>
      <c r="N287" s="34" t="s">
        <v>1761</v>
      </c>
      <c r="O287" s="35">
        <v>1</v>
      </c>
      <c r="P287" s="35"/>
      <c r="Q287" s="32"/>
      <c r="S287" s="1">
        <f t="shared" si="215"/>
        <v>1</v>
      </c>
      <c r="T287" s="1">
        <f t="shared" si="216"/>
        <v>0</v>
      </c>
      <c r="U287" s="1">
        <f t="shared" si="217"/>
        <v>0</v>
      </c>
      <c r="V287" s="1">
        <f t="shared" si="218"/>
        <v>0</v>
      </c>
      <c r="W287" s="1">
        <f t="shared" si="219"/>
        <v>0</v>
      </c>
      <c r="X287" s="1">
        <f t="shared" si="220"/>
        <v>0</v>
      </c>
      <c r="Y287" s="1">
        <f t="shared" si="221"/>
        <v>0</v>
      </c>
      <c r="Z287" s="1">
        <f t="shared" si="222"/>
        <v>0</v>
      </c>
      <c r="AA287" s="1">
        <f t="shared" si="223"/>
        <v>0</v>
      </c>
      <c r="AB287" s="1">
        <f t="shared" si="224"/>
        <v>0</v>
      </c>
      <c r="AD287" s="1">
        <f t="shared" si="225"/>
        <v>0</v>
      </c>
      <c r="AE287" s="1">
        <f t="shared" si="226"/>
        <v>1</v>
      </c>
      <c r="AF287" s="1">
        <f t="shared" si="211"/>
        <v>0</v>
      </c>
      <c r="AG287" s="1">
        <f t="shared" si="212"/>
        <v>1</v>
      </c>
      <c r="AH287" s="1">
        <f t="shared" si="213"/>
        <v>0</v>
      </c>
      <c r="AI287" s="1">
        <f t="shared" si="214"/>
        <v>1</v>
      </c>
    </row>
    <row r="288" spans="1:35" ht="14.25" customHeight="1" x14ac:dyDescent="0.25">
      <c r="A288" s="31">
        <v>0</v>
      </c>
      <c r="B288" s="31">
        <v>2</v>
      </c>
      <c r="C288" s="31">
        <v>1</v>
      </c>
      <c r="D288" s="32" t="s">
        <v>1327</v>
      </c>
      <c r="E288" s="32" t="s">
        <v>561</v>
      </c>
      <c r="F288" s="32" t="s">
        <v>1151</v>
      </c>
      <c r="G288" s="32" t="s">
        <v>285</v>
      </c>
      <c r="H288" s="32" t="s">
        <v>354</v>
      </c>
      <c r="I288" s="31" t="s">
        <v>1152</v>
      </c>
      <c r="J288" s="31">
        <v>10</v>
      </c>
      <c r="K288" s="33" t="s">
        <v>954</v>
      </c>
      <c r="L288" s="33" t="s">
        <v>713</v>
      </c>
      <c r="M288" s="34" t="s">
        <v>714</v>
      </c>
      <c r="N288" s="34" t="s">
        <v>1761</v>
      </c>
      <c r="O288" s="35">
        <v>1</v>
      </c>
      <c r="P288" s="35"/>
      <c r="Q288" s="32"/>
      <c r="S288" s="1">
        <f t="shared" si="215"/>
        <v>0</v>
      </c>
      <c r="T288" s="1">
        <f t="shared" si="216"/>
        <v>0</v>
      </c>
      <c r="U288" s="1">
        <f t="shared" si="217"/>
        <v>0</v>
      </c>
      <c r="V288" s="1">
        <f t="shared" si="218"/>
        <v>0</v>
      </c>
      <c r="W288" s="1">
        <f t="shared" si="219"/>
        <v>0</v>
      </c>
      <c r="X288" s="1">
        <f t="shared" si="220"/>
        <v>0</v>
      </c>
      <c r="Y288" s="1">
        <f t="shared" si="221"/>
        <v>0</v>
      </c>
      <c r="Z288" s="1">
        <f t="shared" si="222"/>
        <v>0</v>
      </c>
      <c r="AA288" s="1">
        <f t="shared" si="223"/>
        <v>0</v>
      </c>
      <c r="AB288" s="1">
        <f t="shared" si="224"/>
        <v>1</v>
      </c>
      <c r="AD288" s="1">
        <f t="shared" si="225"/>
        <v>0</v>
      </c>
      <c r="AE288" s="1">
        <f t="shared" si="226"/>
        <v>1</v>
      </c>
      <c r="AF288" s="1">
        <f t="shared" si="211"/>
        <v>0</v>
      </c>
      <c r="AG288" s="1">
        <f t="shared" si="212"/>
        <v>1</v>
      </c>
      <c r="AH288" s="1">
        <f t="shared" si="213"/>
        <v>0</v>
      </c>
      <c r="AI288" s="1">
        <f t="shared" si="214"/>
        <v>1</v>
      </c>
    </row>
    <row r="289" spans="1:35" ht="14.25" customHeight="1" x14ac:dyDescent="0.25">
      <c r="A289" s="15">
        <v>0</v>
      </c>
      <c r="B289" s="15">
        <v>2</v>
      </c>
      <c r="C289" s="15">
        <v>1</v>
      </c>
      <c r="D289" s="20" t="s">
        <v>2068</v>
      </c>
      <c r="E289" s="20" t="s">
        <v>36</v>
      </c>
      <c r="F289" s="20" t="s">
        <v>2069</v>
      </c>
      <c r="G289" s="20" t="s">
        <v>1483</v>
      </c>
      <c r="H289" s="20" t="s">
        <v>354</v>
      </c>
      <c r="I289" s="21" t="s">
        <v>2071</v>
      </c>
      <c r="J289" s="15">
        <v>99</v>
      </c>
      <c r="K289" s="10" t="s">
        <v>703</v>
      </c>
      <c r="L289" s="10">
        <v>7</v>
      </c>
      <c r="M289" s="19" t="s">
        <v>2070</v>
      </c>
      <c r="N289" s="19"/>
      <c r="Q289" s="20" t="s">
        <v>2072</v>
      </c>
      <c r="S289" s="1">
        <f t="shared" si="215"/>
        <v>0</v>
      </c>
      <c r="T289" s="1">
        <f t="shared" si="216"/>
        <v>0</v>
      </c>
      <c r="U289" s="1">
        <f t="shared" si="217"/>
        <v>0</v>
      </c>
      <c r="V289" s="1">
        <f t="shared" si="218"/>
        <v>0</v>
      </c>
      <c r="W289" s="1">
        <f t="shared" si="219"/>
        <v>0</v>
      </c>
      <c r="X289" s="1">
        <f t="shared" si="220"/>
        <v>0</v>
      </c>
      <c r="Y289" s="1">
        <f t="shared" si="221"/>
        <v>0</v>
      </c>
      <c r="Z289" s="1">
        <f t="shared" si="222"/>
        <v>0</v>
      </c>
      <c r="AA289" s="1">
        <f t="shared" si="223"/>
        <v>0</v>
      </c>
      <c r="AB289" s="1">
        <f t="shared" si="224"/>
        <v>0</v>
      </c>
      <c r="AD289" s="1">
        <f t="shared" ref="AD289:AD293" si="227">+O289*P289</f>
        <v>0</v>
      </c>
      <c r="AE289" s="1">
        <f t="shared" ref="AE289:AE293" si="228">O289*(1-P289)</f>
        <v>0</v>
      </c>
      <c r="AF289" s="1">
        <f t="shared" ref="AF289:AF293" si="229">+O289*P289*(1-A289)</f>
        <v>0</v>
      </c>
      <c r="AG289" s="1">
        <f t="shared" ref="AG289:AG293" si="230">O289*(1-P289)*(1-A289)</f>
        <v>0</v>
      </c>
      <c r="AH289" s="1">
        <f t="shared" ref="AH289:AH293" si="231">+P289*(1-A289)</f>
        <v>0</v>
      </c>
      <c r="AI289" s="1">
        <f t="shared" ref="AI289:AI293" si="232">+(1-A289)*(1-P289)</f>
        <v>1</v>
      </c>
    </row>
    <row r="290" spans="1:35" ht="14.25" customHeight="1" x14ac:dyDescent="0.25">
      <c r="A290" s="15">
        <v>0</v>
      </c>
      <c r="B290" s="15">
        <v>2</v>
      </c>
      <c r="C290" s="15">
        <v>1</v>
      </c>
      <c r="D290" s="16" t="s">
        <v>512</v>
      </c>
      <c r="E290" s="16" t="s">
        <v>34</v>
      </c>
      <c r="F290" s="16" t="s">
        <v>511</v>
      </c>
      <c r="G290" s="16" t="s">
        <v>546</v>
      </c>
      <c r="H290" s="16" t="s">
        <v>354</v>
      </c>
      <c r="I290" s="15" t="s">
        <v>1364</v>
      </c>
      <c r="J290" s="15">
        <v>99</v>
      </c>
      <c r="K290" s="10" t="s">
        <v>955</v>
      </c>
      <c r="L290" s="10" t="s">
        <v>713</v>
      </c>
      <c r="M290" s="19" t="s">
        <v>714</v>
      </c>
      <c r="N290" s="19"/>
      <c r="Q290" s="20" t="s">
        <v>2012</v>
      </c>
      <c r="S290" s="1">
        <f t="shared" si="215"/>
        <v>0</v>
      </c>
      <c r="T290" s="1">
        <f t="shared" si="216"/>
        <v>0</v>
      </c>
      <c r="U290" s="1">
        <f t="shared" si="217"/>
        <v>0</v>
      </c>
      <c r="V290" s="1">
        <f t="shared" si="218"/>
        <v>0</v>
      </c>
      <c r="W290" s="1">
        <f t="shared" si="219"/>
        <v>0</v>
      </c>
      <c r="X290" s="1">
        <f t="shared" si="220"/>
        <v>0</v>
      </c>
      <c r="Y290" s="1">
        <f t="shared" si="221"/>
        <v>0</v>
      </c>
      <c r="Z290" s="1">
        <f t="shared" si="222"/>
        <v>0</v>
      </c>
      <c r="AA290" s="1">
        <f t="shared" si="223"/>
        <v>0</v>
      </c>
      <c r="AB290" s="1">
        <f t="shared" si="224"/>
        <v>0</v>
      </c>
      <c r="AD290" s="1">
        <f t="shared" si="227"/>
        <v>0</v>
      </c>
      <c r="AE290" s="1">
        <f t="shared" si="228"/>
        <v>0</v>
      </c>
      <c r="AF290" s="1">
        <f t="shared" si="229"/>
        <v>0</v>
      </c>
      <c r="AG290" s="1">
        <f t="shared" si="230"/>
        <v>0</v>
      </c>
      <c r="AH290" s="1">
        <f t="shared" si="231"/>
        <v>0</v>
      </c>
      <c r="AI290" s="1">
        <f t="shared" si="232"/>
        <v>1</v>
      </c>
    </row>
    <row r="291" spans="1:35" ht="14.25" customHeight="1" x14ac:dyDescent="0.25">
      <c r="A291" s="38">
        <v>0</v>
      </c>
      <c r="B291" s="38">
        <v>2</v>
      </c>
      <c r="C291" s="38">
        <v>1</v>
      </c>
      <c r="D291" s="39" t="s">
        <v>1042</v>
      </c>
      <c r="E291" s="39" t="s">
        <v>36</v>
      </c>
      <c r="F291" s="39" t="s">
        <v>1659</v>
      </c>
      <c r="G291" s="39" t="s">
        <v>628</v>
      </c>
      <c r="H291" s="39" t="s">
        <v>354</v>
      </c>
      <c r="I291" s="38" t="s">
        <v>1043</v>
      </c>
      <c r="J291" s="38">
        <v>99</v>
      </c>
      <c r="K291" s="40" t="s">
        <v>959</v>
      </c>
      <c r="L291" s="40" t="s">
        <v>713</v>
      </c>
      <c r="M291" s="41" t="s">
        <v>714</v>
      </c>
      <c r="N291" s="42"/>
      <c r="O291" s="43"/>
      <c r="P291" s="43">
        <v>1</v>
      </c>
      <c r="Q291" s="54" t="s">
        <v>1899</v>
      </c>
      <c r="S291" s="1">
        <f t="shared" si="215"/>
        <v>0</v>
      </c>
      <c r="T291" s="1">
        <f t="shared" si="216"/>
        <v>0</v>
      </c>
      <c r="U291" s="1">
        <f t="shared" si="217"/>
        <v>0</v>
      </c>
      <c r="V291" s="1">
        <f t="shared" si="218"/>
        <v>0</v>
      </c>
      <c r="W291" s="1">
        <f t="shared" si="219"/>
        <v>0</v>
      </c>
      <c r="X291" s="1">
        <f t="shared" si="220"/>
        <v>0</v>
      </c>
      <c r="Y291" s="1">
        <f t="shared" si="221"/>
        <v>0</v>
      </c>
      <c r="Z291" s="1">
        <f t="shared" si="222"/>
        <v>0</v>
      </c>
      <c r="AA291" s="1">
        <f t="shared" si="223"/>
        <v>0</v>
      </c>
      <c r="AB291" s="1">
        <f t="shared" si="224"/>
        <v>0</v>
      </c>
      <c r="AD291" s="1">
        <f t="shared" si="227"/>
        <v>0</v>
      </c>
      <c r="AE291" s="1">
        <f t="shared" si="228"/>
        <v>0</v>
      </c>
      <c r="AF291" s="1">
        <f t="shared" si="229"/>
        <v>0</v>
      </c>
      <c r="AG291" s="1">
        <f t="shared" si="230"/>
        <v>0</v>
      </c>
      <c r="AH291" s="1">
        <f t="shared" si="231"/>
        <v>1</v>
      </c>
      <c r="AI291" s="1">
        <f t="shared" si="232"/>
        <v>0</v>
      </c>
    </row>
    <row r="292" spans="1:35" ht="14.25" customHeight="1" x14ac:dyDescent="0.25">
      <c r="A292" s="31">
        <v>1</v>
      </c>
      <c r="B292" s="31">
        <v>2</v>
      </c>
      <c r="C292" s="31">
        <v>1</v>
      </c>
      <c r="D292" s="32" t="s">
        <v>49</v>
      </c>
      <c r="E292" s="32" t="s">
        <v>1314</v>
      </c>
      <c r="F292" s="32" t="s">
        <v>191</v>
      </c>
      <c r="G292" s="32" t="s">
        <v>192</v>
      </c>
      <c r="H292" s="32" t="s">
        <v>354</v>
      </c>
      <c r="I292" s="31" t="s">
        <v>386</v>
      </c>
      <c r="J292" s="31">
        <v>99</v>
      </c>
      <c r="K292" s="33" t="s">
        <v>712</v>
      </c>
      <c r="L292" s="33" t="s">
        <v>713</v>
      </c>
      <c r="M292" s="34" t="s">
        <v>714</v>
      </c>
      <c r="N292" s="34" t="s">
        <v>1756</v>
      </c>
      <c r="O292" s="35">
        <v>1</v>
      </c>
      <c r="P292" s="35"/>
      <c r="Q292" s="32"/>
      <c r="S292" s="1">
        <f t="shared" si="215"/>
        <v>0</v>
      </c>
      <c r="T292" s="1">
        <f t="shared" si="216"/>
        <v>0</v>
      </c>
      <c r="U292" s="1">
        <f t="shared" si="217"/>
        <v>0</v>
      </c>
      <c r="V292" s="1">
        <f t="shared" si="218"/>
        <v>0</v>
      </c>
      <c r="W292" s="1">
        <f t="shared" si="219"/>
        <v>0</v>
      </c>
      <c r="X292" s="1">
        <f t="shared" si="220"/>
        <v>0</v>
      </c>
      <c r="Y292" s="1">
        <f t="shared" si="221"/>
        <v>0</v>
      </c>
      <c r="Z292" s="1">
        <f t="shared" si="222"/>
        <v>0</v>
      </c>
      <c r="AA292" s="1">
        <f t="shared" si="223"/>
        <v>0</v>
      </c>
      <c r="AB292" s="1">
        <f t="shared" si="224"/>
        <v>0</v>
      </c>
      <c r="AD292" s="1">
        <f t="shared" si="227"/>
        <v>0</v>
      </c>
      <c r="AE292" s="1">
        <f t="shared" si="228"/>
        <v>1</v>
      </c>
      <c r="AF292" s="1">
        <f t="shared" si="229"/>
        <v>0</v>
      </c>
      <c r="AG292" s="1">
        <f t="shared" si="230"/>
        <v>0</v>
      </c>
      <c r="AH292" s="1">
        <f t="shared" si="231"/>
        <v>0</v>
      </c>
      <c r="AI292" s="1">
        <f t="shared" si="232"/>
        <v>0</v>
      </c>
    </row>
    <row r="293" spans="1:35" ht="14.25" customHeight="1" x14ac:dyDescent="0.25">
      <c r="A293" s="31">
        <v>0</v>
      </c>
      <c r="B293" s="31">
        <v>2</v>
      </c>
      <c r="C293" s="31">
        <v>1</v>
      </c>
      <c r="D293" s="32" t="s">
        <v>1074</v>
      </c>
      <c r="E293" s="32" t="s">
        <v>1314</v>
      </c>
      <c r="F293" s="32" t="s">
        <v>1089</v>
      </c>
      <c r="G293" s="32" t="s">
        <v>202</v>
      </c>
      <c r="H293" s="32" t="s">
        <v>354</v>
      </c>
      <c r="I293" s="31" t="s">
        <v>386</v>
      </c>
      <c r="J293" s="31">
        <v>10</v>
      </c>
      <c r="K293" s="33" t="s">
        <v>712</v>
      </c>
      <c r="L293" s="33" t="s">
        <v>713</v>
      </c>
      <c r="M293" s="34" t="s">
        <v>714</v>
      </c>
      <c r="N293" s="34" t="s">
        <v>1756</v>
      </c>
      <c r="O293" s="35">
        <v>1</v>
      </c>
      <c r="P293" s="35"/>
      <c r="Q293" s="32"/>
      <c r="S293" s="1">
        <f t="shared" si="215"/>
        <v>0</v>
      </c>
      <c r="T293" s="1">
        <f t="shared" si="216"/>
        <v>0</v>
      </c>
      <c r="U293" s="1">
        <f t="shared" si="217"/>
        <v>0</v>
      </c>
      <c r="V293" s="1">
        <f t="shared" si="218"/>
        <v>0</v>
      </c>
      <c r="W293" s="1">
        <f t="shared" si="219"/>
        <v>0</v>
      </c>
      <c r="X293" s="1">
        <f t="shared" si="220"/>
        <v>0</v>
      </c>
      <c r="Y293" s="1">
        <f t="shared" si="221"/>
        <v>0</v>
      </c>
      <c r="Z293" s="1">
        <f t="shared" si="222"/>
        <v>0</v>
      </c>
      <c r="AA293" s="1">
        <f t="shared" si="223"/>
        <v>0</v>
      </c>
      <c r="AB293" s="1">
        <f t="shared" si="224"/>
        <v>1</v>
      </c>
      <c r="AD293" s="1">
        <f t="shared" si="227"/>
        <v>0</v>
      </c>
      <c r="AE293" s="1">
        <f t="shared" si="228"/>
        <v>1</v>
      </c>
      <c r="AF293" s="1">
        <f t="shared" si="229"/>
        <v>0</v>
      </c>
      <c r="AG293" s="1">
        <f t="shared" si="230"/>
        <v>1</v>
      </c>
      <c r="AH293" s="1">
        <f t="shared" si="231"/>
        <v>0</v>
      </c>
      <c r="AI293" s="1">
        <f t="shared" si="232"/>
        <v>1</v>
      </c>
    </row>
    <row r="294" spans="1:35" ht="14.25" customHeight="1" x14ac:dyDescent="0.25">
      <c r="A294" s="31">
        <v>0</v>
      </c>
      <c r="B294" s="31">
        <v>2</v>
      </c>
      <c r="C294" s="31">
        <v>1</v>
      </c>
      <c r="D294" s="32" t="s">
        <v>1273</v>
      </c>
      <c r="E294" s="32" t="s">
        <v>561</v>
      </c>
      <c r="F294" s="32" t="s">
        <v>1274</v>
      </c>
      <c r="G294" s="32" t="s">
        <v>258</v>
      </c>
      <c r="H294" s="32" t="s">
        <v>354</v>
      </c>
      <c r="I294" s="31" t="s">
        <v>1275</v>
      </c>
      <c r="J294" s="31">
        <v>8</v>
      </c>
      <c r="K294" s="33" t="s">
        <v>954</v>
      </c>
      <c r="L294" s="33" t="s">
        <v>713</v>
      </c>
      <c r="M294" s="34" t="s">
        <v>714</v>
      </c>
      <c r="N294" s="34" t="s">
        <v>1748</v>
      </c>
      <c r="O294" s="35">
        <v>1</v>
      </c>
      <c r="P294" s="35"/>
      <c r="Q294" s="32"/>
      <c r="S294" s="1">
        <f t="shared" si="215"/>
        <v>0</v>
      </c>
      <c r="T294" s="1">
        <f t="shared" si="216"/>
        <v>0</v>
      </c>
      <c r="U294" s="1">
        <f t="shared" si="217"/>
        <v>0</v>
      </c>
      <c r="V294" s="1">
        <f t="shared" si="218"/>
        <v>0</v>
      </c>
      <c r="W294" s="1">
        <f t="shared" si="219"/>
        <v>0</v>
      </c>
      <c r="X294" s="1">
        <f t="shared" si="220"/>
        <v>0</v>
      </c>
      <c r="Y294" s="1">
        <f t="shared" si="221"/>
        <v>0</v>
      </c>
      <c r="Z294" s="1">
        <f t="shared" si="222"/>
        <v>1</v>
      </c>
      <c r="AA294" s="1">
        <f t="shared" si="223"/>
        <v>0</v>
      </c>
      <c r="AB294" s="1">
        <f t="shared" si="224"/>
        <v>0</v>
      </c>
      <c r="AD294" s="1">
        <f t="shared" si="225"/>
        <v>0</v>
      </c>
      <c r="AE294" s="1">
        <f t="shared" si="226"/>
        <v>1</v>
      </c>
      <c r="AF294" s="1">
        <f t="shared" si="211"/>
        <v>0</v>
      </c>
      <c r="AG294" s="1">
        <f t="shared" si="212"/>
        <v>1</v>
      </c>
      <c r="AH294" s="1">
        <f t="shared" si="213"/>
        <v>0</v>
      </c>
      <c r="AI294" s="1">
        <f t="shared" si="214"/>
        <v>1</v>
      </c>
    </row>
    <row r="295" spans="1:35" ht="14.25" customHeight="1" x14ac:dyDescent="0.25">
      <c r="A295" s="44">
        <v>0</v>
      </c>
      <c r="B295" s="44">
        <v>2</v>
      </c>
      <c r="C295" s="44">
        <v>1</v>
      </c>
      <c r="D295" s="45" t="s">
        <v>48</v>
      </c>
      <c r="E295" s="45" t="s">
        <v>578</v>
      </c>
      <c r="F295" s="45" t="s">
        <v>189</v>
      </c>
      <c r="G295" s="45" t="s">
        <v>300</v>
      </c>
      <c r="H295" s="45" t="s">
        <v>354</v>
      </c>
      <c r="I295" s="44" t="s">
        <v>385</v>
      </c>
      <c r="J295" s="44">
        <v>99</v>
      </c>
      <c r="K295" s="46" t="s">
        <v>713</v>
      </c>
      <c r="L295" s="46" t="s">
        <v>713</v>
      </c>
      <c r="M295" s="47" t="s">
        <v>714</v>
      </c>
      <c r="N295" s="47" t="s">
        <v>1747</v>
      </c>
      <c r="O295" s="48"/>
      <c r="P295" s="48"/>
      <c r="Q295" s="45"/>
      <c r="S295" s="1">
        <f t="shared" si="215"/>
        <v>0</v>
      </c>
      <c r="T295" s="1">
        <f t="shared" si="216"/>
        <v>0</v>
      </c>
      <c r="U295" s="1">
        <f t="shared" si="217"/>
        <v>0</v>
      </c>
      <c r="V295" s="1">
        <f t="shared" si="218"/>
        <v>0</v>
      </c>
      <c r="W295" s="1">
        <f t="shared" si="219"/>
        <v>0</v>
      </c>
      <c r="X295" s="1">
        <f t="shared" si="220"/>
        <v>0</v>
      </c>
      <c r="Y295" s="1">
        <f t="shared" si="221"/>
        <v>0</v>
      </c>
      <c r="Z295" s="1">
        <f t="shared" si="222"/>
        <v>0</v>
      </c>
      <c r="AA295" s="1">
        <f t="shared" si="223"/>
        <v>0</v>
      </c>
      <c r="AB295" s="1">
        <f t="shared" si="224"/>
        <v>0</v>
      </c>
      <c r="AD295" s="1">
        <f t="shared" si="225"/>
        <v>0</v>
      </c>
      <c r="AE295" s="1">
        <f t="shared" si="226"/>
        <v>0</v>
      </c>
      <c r="AF295" s="1">
        <f t="shared" si="211"/>
        <v>0</v>
      </c>
      <c r="AG295" s="1">
        <f t="shared" si="212"/>
        <v>0</v>
      </c>
      <c r="AH295" s="1">
        <f t="shared" si="213"/>
        <v>0</v>
      </c>
      <c r="AI295" s="1">
        <f t="shared" si="214"/>
        <v>1</v>
      </c>
    </row>
    <row r="296" spans="1:35" ht="14.25" customHeight="1" x14ac:dyDescent="0.25">
      <c r="A296" s="31">
        <v>0</v>
      </c>
      <c r="B296" s="31">
        <v>2</v>
      </c>
      <c r="C296" s="31">
        <v>1</v>
      </c>
      <c r="D296" s="32" t="s">
        <v>57</v>
      </c>
      <c r="E296" s="32" t="s">
        <v>162</v>
      </c>
      <c r="F296" s="32" t="s">
        <v>666</v>
      </c>
      <c r="G296" s="32" t="s">
        <v>221</v>
      </c>
      <c r="H296" s="32" t="s">
        <v>354</v>
      </c>
      <c r="I296" s="31" t="s">
        <v>396</v>
      </c>
      <c r="J296" s="31">
        <v>99</v>
      </c>
      <c r="K296" s="33" t="s">
        <v>961</v>
      </c>
      <c r="L296" s="33" t="s">
        <v>713</v>
      </c>
      <c r="M296" s="34" t="s">
        <v>714</v>
      </c>
      <c r="N296" s="34" t="s">
        <v>1743</v>
      </c>
      <c r="O296" s="35">
        <v>1</v>
      </c>
      <c r="P296" s="35"/>
      <c r="Q296" s="32"/>
      <c r="S296" s="1">
        <f t="shared" si="215"/>
        <v>0</v>
      </c>
      <c r="T296" s="1">
        <f t="shared" si="216"/>
        <v>0</v>
      </c>
      <c r="U296" s="1">
        <f t="shared" si="217"/>
        <v>0</v>
      </c>
      <c r="V296" s="1">
        <f t="shared" si="218"/>
        <v>0</v>
      </c>
      <c r="W296" s="1">
        <f t="shared" si="219"/>
        <v>0</v>
      </c>
      <c r="X296" s="1">
        <f t="shared" si="220"/>
        <v>0</v>
      </c>
      <c r="Y296" s="1">
        <f t="shared" si="221"/>
        <v>0</v>
      </c>
      <c r="Z296" s="1">
        <f t="shared" si="222"/>
        <v>0</v>
      </c>
      <c r="AA296" s="1">
        <f t="shared" si="223"/>
        <v>0</v>
      </c>
      <c r="AB296" s="1">
        <f t="shared" si="224"/>
        <v>0</v>
      </c>
      <c r="AD296" s="1">
        <f t="shared" si="225"/>
        <v>0</v>
      </c>
      <c r="AE296" s="1">
        <f t="shared" si="226"/>
        <v>1</v>
      </c>
      <c r="AF296" s="1">
        <f t="shared" si="211"/>
        <v>0</v>
      </c>
      <c r="AG296" s="1">
        <f t="shared" si="212"/>
        <v>1</v>
      </c>
      <c r="AH296" s="1">
        <f t="shared" si="213"/>
        <v>0</v>
      </c>
      <c r="AI296" s="1">
        <f t="shared" si="214"/>
        <v>1</v>
      </c>
    </row>
    <row r="297" spans="1:35" ht="14.25" customHeight="1" x14ac:dyDescent="0.25">
      <c r="A297" s="31">
        <v>0</v>
      </c>
      <c r="B297" s="31">
        <v>2</v>
      </c>
      <c r="C297" s="31">
        <v>1</v>
      </c>
      <c r="D297" s="32" t="s">
        <v>515</v>
      </c>
      <c r="E297" s="32" t="s">
        <v>561</v>
      </c>
      <c r="F297" s="32" t="s">
        <v>229</v>
      </c>
      <c r="G297" s="32" t="s">
        <v>230</v>
      </c>
      <c r="H297" s="32" t="s">
        <v>354</v>
      </c>
      <c r="I297" s="31" t="s">
        <v>400</v>
      </c>
      <c r="J297" s="31">
        <v>7</v>
      </c>
      <c r="K297" s="33" t="s">
        <v>954</v>
      </c>
      <c r="L297" s="33" t="s">
        <v>713</v>
      </c>
      <c r="M297" s="34" t="s">
        <v>714</v>
      </c>
      <c r="N297" s="34" t="s">
        <v>1749</v>
      </c>
      <c r="O297" s="35">
        <v>1</v>
      </c>
      <c r="P297" s="35"/>
      <c r="Q297" s="32"/>
      <c r="S297" s="1">
        <f t="shared" si="215"/>
        <v>0</v>
      </c>
      <c r="T297" s="1">
        <f t="shared" si="216"/>
        <v>0</v>
      </c>
      <c r="U297" s="1">
        <f t="shared" si="217"/>
        <v>0</v>
      </c>
      <c r="V297" s="1">
        <f t="shared" si="218"/>
        <v>0</v>
      </c>
      <c r="W297" s="1">
        <f t="shared" si="219"/>
        <v>0</v>
      </c>
      <c r="X297" s="1">
        <f t="shared" si="220"/>
        <v>0</v>
      </c>
      <c r="Y297" s="1">
        <f t="shared" si="221"/>
        <v>1</v>
      </c>
      <c r="Z297" s="1">
        <f t="shared" si="222"/>
        <v>0</v>
      </c>
      <c r="AA297" s="1">
        <f t="shared" si="223"/>
        <v>0</v>
      </c>
      <c r="AB297" s="1">
        <f t="shared" si="224"/>
        <v>0</v>
      </c>
      <c r="AD297" s="1">
        <f t="shared" si="225"/>
        <v>0</v>
      </c>
      <c r="AE297" s="1">
        <f t="shared" si="226"/>
        <v>1</v>
      </c>
      <c r="AF297" s="1">
        <f t="shared" si="211"/>
        <v>0</v>
      </c>
      <c r="AG297" s="1">
        <f t="shared" si="212"/>
        <v>1</v>
      </c>
      <c r="AH297" s="1">
        <f t="shared" si="213"/>
        <v>0</v>
      </c>
      <c r="AI297" s="1">
        <f t="shared" si="214"/>
        <v>1</v>
      </c>
    </row>
    <row r="298" spans="1:35" ht="14.25" customHeight="1" x14ac:dyDescent="0.25">
      <c r="A298" s="44">
        <v>0</v>
      </c>
      <c r="B298" s="44">
        <v>2</v>
      </c>
      <c r="C298" s="44">
        <v>1</v>
      </c>
      <c r="D298" s="45" t="s">
        <v>560</v>
      </c>
      <c r="E298" s="45" t="s">
        <v>561</v>
      </c>
      <c r="F298" s="45" t="s">
        <v>562</v>
      </c>
      <c r="G298" s="45" t="s">
        <v>208</v>
      </c>
      <c r="H298" s="45" t="s">
        <v>354</v>
      </c>
      <c r="I298" s="44" t="s">
        <v>563</v>
      </c>
      <c r="J298" s="44">
        <v>3</v>
      </c>
      <c r="K298" s="46" t="s">
        <v>712</v>
      </c>
      <c r="L298" s="46" t="s">
        <v>713</v>
      </c>
      <c r="M298" s="47" t="s">
        <v>714</v>
      </c>
      <c r="N298" s="47" t="s">
        <v>1747</v>
      </c>
      <c r="O298" s="48"/>
      <c r="P298" s="48"/>
      <c r="Q298" s="45"/>
      <c r="S298" s="1">
        <f t="shared" si="215"/>
        <v>0</v>
      </c>
      <c r="T298" s="1">
        <f t="shared" si="216"/>
        <v>0</v>
      </c>
      <c r="U298" s="1">
        <f t="shared" si="217"/>
        <v>1</v>
      </c>
      <c r="V298" s="1">
        <f t="shared" si="218"/>
        <v>0</v>
      </c>
      <c r="W298" s="1">
        <f t="shared" si="219"/>
        <v>0</v>
      </c>
      <c r="X298" s="1">
        <f t="shared" si="220"/>
        <v>0</v>
      </c>
      <c r="Y298" s="1">
        <f t="shared" si="221"/>
        <v>0</v>
      </c>
      <c r="Z298" s="1">
        <f t="shared" si="222"/>
        <v>0</v>
      </c>
      <c r="AA298" s="1">
        <f t="shared" si="223"/>
        <v>0</v>
      </c>
      <c r="AB298" s="1">
        <f t="shared" si="224"/>
        <v>0</v>
      </c>
      <c r="AD298" s="1">
        <f t="shared" si="225"/>
        <v>0</v>
      </c>
      <c r="AE298" s="1">
        <f t="shared" si="226"/>
        <v>0</v>
      </c>
      <c r="AF298" s="1">
        <f t="shared" si="211"/>
        <v>0</v>
      </c>
      <c r="AG298" s="1">
        <f t="shared" si="212"/>
        <v>0</v>
      </c>
      <c r="AH298" s="1">
        <f t="shared" si="213"/>
        <v>0</v>
      </c>
      <c r="AI298" s="1">
        <f t="shared" si="214"/>
        <v>1</v>
      </c>
    </row>
    <row r="299" spans="1:35" ht="14.25" customHeight="1" x14ac:dyDescent="0.25">
      <c r="A299" s="37">
        <v>0</v>
      </c>
      <c r="B299" s="37">
        <v>2</v>
      </c>
      <c r="C299" s="37">
        <v>1</v>
      </c>
      <c r="D299" s="36" t="s">
        <v>1053</v>
      </c>
      <c r="E299" s="36" t="s">
        <v>32</v>
      </c>
      <c r="F299" s="36" t="s">
        <v>1277</v>
      </c>
      <c r="G299" s="36" t="s">
        <v>535</v>
      </c>
      <c r="H299" s="36" t="s">
        <v>354</v>
      </c>
      <c r="I299" s="37" t="s">
        <v>1278</v>
      </c>
      <c r="J299" s="37">
        <v>6</v>
      </c>
      <c r="K299" s="56" t="s">
        <v>713</v>
      </c>
      <c r="L299" s="33" t="s">
        <v>713</v>
      </c>
      <c r="M299" s="34" t="s">
        <v>714</v>
      </c>
      <c r="N299" s="34" t="s">
        <v>1748</v>
      </c>
      <c r="O299" s="35">
        <v>1</v>
      </c>
      <c r="P299" s="35"/>
      <c r="Q299" s="36"/>
      <c r="S299" s="1">
        <f t="shared" si="215"/>
        <v>0</v>
      </c>
      <c r="T299" s="1">
        <f t="shared" si="216"/>
        <v>0</v>
      </c>
      <c r="U299" s="1">
        <f t="shared" si="217"/>
        <v>0</v>
      </c>
      <c r="V299" s="1">
        <f t="shared" si="218"/>
        <v>0</v>
      </c>
      <c r="W299" s="1">
        <f t="shared" si="219"/>
        <v>0</v>
      </c>
      <c r="X299" s="1">
        <f t="shared" si="220"/>
        <v>1</v>
      </c>
      <c r="Y299" s="1">
        <f t="shared" si="221"/>
        <v>0</v>
      </c>
      <c r="Z299" s="1">
        <f t="shared" si="222"/>
        <v>0</v>
      </c>
      <c r="AA299" s="1">
        <f t="shared" si="223"/>
        <v>0</v>
      </c>
      <c r="AB299" s="1">
        <f t="shared" si="224"/>
        <v>0</v>
      </c>
      <c r="AD299" s="1">
        <f t="shared" si="225"/>
        <v>0</v>
      </c>
      <c r="AE299" s="1">
        <f t="shared" si="226"/>
        <v>1</v>
      </c>
      <c r="AF299" s="1">
        <f t="shared" si="211"/>
        <v>0</v>
      </c>
      <c r="AG299" s="1">
        <f t="shared" si="212"/>
        <v>1</v>
      </c>
      <c r="AH299" s="1">
        <f t="shared" si="213"/>
        <v>0</v>
      </c>
      <c r="AI299" s="1">
        <f t="shared" si="214"/>
        <v>1</v>
      </c>
    </row>
    <row r="300" spans="1:35" ht="14.25" customHeight="1" x14ac:dyDescent="0.25">
      <c r="A300" s="44">
        <v>0</v>
      </c>
      <c r="B300" s="44">
        <v>2</v>
      </c>
      <c r="C300" s="44">
        <v>1</v>
      </c>
      <c r="D300" s="45" t="s">
        <v>917</v>
      </c>
      <c r="E300" s="45" t="s">
        <v>1333</v>
      </c>
      <c r="F300" s="45" t="s">
        <v>789</v>
      </c>
      <c r="G300" s="45" t="s">
        <v>257</v>
      </c>
      <c r="H300" s="45" t="s">
        <v>354</v>
      </c>
      <c r="I300" s="44" t="s">
        <v>944</v>
      </c>
      <c r="J300" s="44">
        <v>99</v>
      </c>
      <c r="K300" s="46" t="s">
        <v>712</v>
      </c>
      <c r="L300" s="46" t="s">
        <v>713</v>
      </c>
      <c r="M300" s="47" t="s">
        <v>714</v>
      </c>
      <c r="N300" s="47" t="s">
        <v>1734</v>
      </c>
      <c r="O300" s="48"/>
      <c r="P300" s="48"/>
      <c r="Q300" s="45"/>
      <c r="S300" s="1">
        <f t="shared" si="215"/>
        <v>0</v>
      </c>
      <c r="T300" s="1">
        <f t="shared" si="216"/>
        <v>0</v>
      </c>
      <c r="U300" s="1">
        <f t="shared" si="217"/>
        <v>0</v>
      </c>
      <c r="V300" s="1">
        <f t="shared" si="218"/>
        <v>0</v>
      </c>
      <c r="W300" s="1">
        <f t="shared" si="219"/>
        <v>0</v>
      </c>
      <c r="X300" s="1">
        <f t="shared" si="220"/>
        <v>0</v>
      </c>
      <c r="Y300" s="1">
        <f t="shared" si="221"/>
        <v>0</v>
      </c>
      <c r="Z300" s="1">
        <f t="shared" si="222"/>
        <v>0</v>
      </c>
      <c r="AA300" s="1">
        <f t="shared" si="223"/>
        <v>0</v>
      </c>
      <c r="AB300" s="1">
        <f t="shared" si="224"/>
        <v>0</v>
      </c>
      <c r="AD300" s="1">
        <f t="shared" si="225"/>
        <v>0</v>
      </c>
      <c r="AE300" s="1">
        <f t="shared" si="226"/>
        <v>0</v>
      </c>
      <c r="AF300" s="1">
        <f t="shared" si="211"/>
        <v>0</v>
      </c>
      <c r="AG300" s="1">
        <f t="shared" si="212"/>
        <v>0</v>
      </c>
      <c r="AH300" s="1">
        <f t="shared" si="213"/>
        <v>0</v>
      </c>
      <c r="AI300" s="1">
        <f t="shared" si="214"/>
        <v>1</v>
      </c>
    </row>
    <row r="301" spans="1:35" ht="14.25" customHeight="1" x14ac:dyDescent="0.25">
      <c r="A301" s="37">
        <v>0</v>
      </c>
      <c r="B301" s="37">
        <v>2</v>
      </c>
      <c r="C301" s="37">
        <v>1</v>
      </c>
      <c r="D301" s="36" t="s">
        <v>1771</v>
      </c>
      <c r="E301" s="36" t="s">
        <v>1772</v>
      </c>
      <c r="F301" s="36" t="s">
        <v>1773</v>
      </c>
      <c r="G301" s="36" t="s">
        <v>180</v>
      </c>
      <c r="H301" s="36" t="s">
        <v>354</v>
      </c>
      <c r="I301" s="37" t="s">
        <v>1774</v>
      </c>
      <c r="J301" s="37"/>
      <c r="K301" s="56" t="s">
        <v>703</v>
      </c>
      <c r="L301" s="33">
        <v>4</v>
      </c>
      <c r="M301" s="34" t="s">
        <v>714</v>
      </c>
      <c r="N301" s="34" t="s">
        <v>1743</v>
      </c>
      <c r="O301" s="35">
        <v>1</v>
      </c>
      <c r="P301" s="35"/>
      <c r="Q301" s="36"/>
      <c r="S301" s="1">
        <f t="shared" si="215"/>
        <v>0</v>
      </c>
      <c r="T301" s="1">
        <f t="shared" si="216"/>
        <v>0</v>
      </c>
      <c r="U301" s="1">
        <f t="shared" si="217"/>
        <v>0</v>
      </c>
      <c r="V301" s="1">
        <f t="shared" si="218"/>
        <v>0</v>
      </c>
      <c r="W301" s="1">
        <f t="shared" si="219"/>
        <v>0</v>
      </c>
      <c r="X301" s="1">
        <f t="shared" si="220"/>
        <v>0</v>
      </c>
      <c r="Y301" s="1">
        <f t="shared" si="221"/>
        <v>0</v>
      </c>
      <c r="Z301" s="1">
        <f t="shared" si="222"/>
        <v>0</v>
      </c>
      <c r="AA301" s="1">
        <f t="shared" si="223"/>
        <v>0</v>
      </c>
      <c r="AB301" s="1">
        <f t="shared" si="224"/>
        <v>0</v>
      </c>
      <c r="AD301" s="1">
        <f t="shared" si="225"/>
        <v>0</v>
      </c>
      <c r="AE301" s="1">
        <f t="shared" si="226"/>
        <v>1</v>
      </c>
      <c r="AF301" s="1">
        <f t="shared" si="211"/>
        <v>0</v>
      </c>
      <c r="AG301" s="1">
        <f t="shared" si="212"/>
        <v>1</v>
      </c>
      <c r="AH301" s="1">
        <f t="shared" si="213"/>
        <v>0</v>
      </c>
      <c r="AI301" s="1">
        <f t="shared" si="214"/>
        <v>1</v>
      </c>
    </row>
    <row r="302" spans="1:35" ht="14.25" customHeight="1" x14ac:dyDescent="0.25">
      <c r="A302" s="31">
        <v>0</v>
      </c>
      <c r="B302" s="31">
        <v>2</v>
      </c>
      <c r="C302" s="31">
        <v>1</v>
      </c>
      <c r="D302" s="32" t="s">
        <v>619</v>
      </c>
      <c r="E302" s="32" t="s">
        <v>620</v>
      </c>
      <c r="F302" s="32" t="s">
        <v>621</v>
      </c>
      <c r="G302" s="32" t="s">
        <v>622</v>
      </c>
      <c r="H302" s="32" t="s">
        <v>354</v>
      </c>
      <c r="I302" s="31" t="s">
        <v>623</v>
      </c>
      <c r="J302" s="31">
        <v>99</v>
      </c>
      <c r="K302" s="33" t="s">
        <v>712</v>
      </c>
      <c r="L302" s="33" t="s">
        <v>713</v>
      </c>
      <c r="M302" s="34" t="s">
        <v>714</v>
      </c>
      <c r="N302" s="34" t="s">
        <v>1756</v>
      </c>
      <c r="O302" s="35">
        <v>1</v>
      </c>
      <c r="P302" s="35"/>
      <c r="Q302" s="32"/>
      <c r="S302" s="1">
        <f t="shared" si="215"/>
        <v>0</v>
      </c>
      <c r="T302" s="1">
        <f t="shared" si="216"/>
        <v>0</v>
      </c>
      <c r="U302" s="1">
        <f t="shared" si="217"/>
        <v>0</v>
      </c>
      <c r="V302" s="1">
        <f t="shared" si="218"/>
        <v>0</v>
      </c>
      <c r="W302" s="1">
        <f t="shared" si="219"/>
        <v>0</v>
      </c>
      <c r="X302" s="1">
        <f t="shared" si="220"/>
        <v>0</v>
      </c>
      <c r="Y302" s="1">
        <f t="shared" si="221"/>
        <v>0</v>
      </c>
      <c r="Z302" s="1">
        <f t="shared" si="222"/>
        <v>0</v>
      </c>
      <c r="AA302" s="1">
        <f t="shared" si="223"/>
        <v>0</v>
      </c>
      <c r="AB302" s="1">
        <f t="shared" si="224"/>
        <v>0</v>
      </c>
      <c r="AD302" s="1">
        <f t="shared" si="225"/>
        <v>0</v>
      </c>
      <c r="AE302" s="1">
        <f t="shared" si="226"/>
        <v>1</v>
      </c>
      <c r="AF302" s="1">
        <f t="shared" si="211"/>
        <v>0</v>
      </c>
      <c r="AG302" s="1">
        <f t="shared" si="212"/>
        <v>1</v>
      </c>
      <c r="AH302" s="1">
        <f t="shared" si="213"/>
        <v>0</v>
      </c>
      <c r="AI302" s="1">
        <f t="shared" si="214"/>
        <v>1</v>
      </c>
    </row>
    <row r="303" spans="1:35" ht="14.25" customHeight="1" x14ac:dyDescent="0.25">
      <c r="A303" s="31">
        <v>0</v>
      </c>
      <c r="B303" s="31">
        <v>2</v>
      </c>
      <c r="C303" s="31">
        <v>1</v>
      </c>
      <c r="D303" s="32" t="s">
        <v>1080</v>
      </c>
      <c r="E303" s="32" t="s">
        <v>1334</v>
      </c>
      <c r="F303" s="32" t="s">
        <v>1663</v>
      </c>
      <c r="G303" s="32" t="s">
        <v>190</v>
      </c>
      <c r="H303" s="32" t="s">
        <v>354</v>
      </c>
      <c r="I303" s="31" t="s">
        <v>1861</v>
      </c>
      <c r="J303" s="31">
        <v>99</v>
      </c>
      <c r="K303" s="33" t="s">
        <v>712</v>
      </c>
      <c r="L303" s="33" t="s">
        <v>713</v>
      </c>
      <c r="M303" s="34" t="s">
        <v>714</v>
      </c>
      <c r="N303" s="34" t="s">
        <v>1743</v>
      </c>
      <c r="O303" s="35">
        <v>1</v>
      </c>
      <c r="P303" s="35"/>
      <c r="Q303" s="32"/>
      <c r="S303" s="1">
        <f t="shared" si="215"/>
        <v>0</v>
      </c>
      <c r="T303" s="1">
        <f t="shared" si="216"/>
        <v>0</v>
      </c>
      <c r="U303" s="1">
        <f t="shared" si="217"/>
        <v>0</v>
      </c>
      <c r="V303" s="1">
        <f t="shared" si="218"/>
        <v>0</v>
      </c>
      <c r="W303" s="1">
        <f t="shared" si="219"/>
        <v>0</v>
      </c>
      <c r="X303" s="1">
        <f t="shared" si="220"/>
        <v>0</v>
      </c>
      <c r="Y303" s="1">
        <f t="shared" si="221"/>
        <v>0</v>
      </c>
      <c r="Z303" s="1">
        <f t="shared" si="222"/>
        <v>0</v>
      </c>
      <c r="AA303" s="1">
        <f t="shared" si="223"/>
        <v>0</v>
      </c>
      <c r="AB303" s="1">
        <f t="shared" si="224"/>
        <v>0</v>
      </c>
      <c r="AD303" s="1">
        <f t="shared" si="225"/>
        <v>0</v>
      </c>
      <c r="AE303" s="1">
        <f t="shared" si="226"/>
        <v>1</v>
      </c>
      <c r="AF303" s="1">
        <f t="shared" si="211"/>
        <v>0</v>
      </c>
      <c r="AG303" s="1">
        <f t="shared" si="212"/>
        <v>1</v>
      </c>
      <c r="AH303" s="1">
        <f t="shared" si="213"/>
        <v>0</v>
      </c>
      <c r="AI303" s="1">
        <f t="shared" si="214"/>
        <v>1</v>
      </c>
    </row>
    <row r="304" spans="1:35" ht="14.25" customHeight="1" x14ac:dyDescent="0.25">
      <c r="A304" s="15">
        <v>0</v>
      </c>
      <c r="B304" s="15">
        <v>2</v>
      </c>
      <c r="C304" s="15">
        <v>1</v>
      </c>
      <c r="D304" s="16" t="s">
        <v>651</v>
      </c>
      <c r="E304" s="16" t="s">
        <v>36</v>
      </c>
      <c r="F304" s="16" t="s">
        <v>667</v>
      </c>
      <c r="G304" s="16" t="s">
        <v>201</v>
      </c>
      <c r="H304" s="16" t="s">
        <v>354</v>
      </c>
      <c r="I304" s="15" t="s">
        <v>1005</v>
      </c>
      <c r="J304" s="15">
        <v>99</v>
      </c>
      <c r="K304" s="10" t="s">
        <v>703</v>
      </c>
      <c r="L304" s="10">
        <v>4</v>
      </c>
      <c r="M304" s="19" t="s">
        <v>714</v>
      </c>
      <c r="N304" s="17"/>
      <c r="Q304" s="16"/>
      <c r="S304" s="1">
        <f t="shared" si="215"/>
        <v>0</v>
      </c>
      <c r="T304" s="1">
        <f t="shared" si="216"/>
        <v>0</v>
      </c>
      <c r="U304" s="1">
        <f t="shared" si="217"/>
        <v>0</v>
      </c>
      <c r="V304" s="1">
        <f t="shared" si="218"/>
        <v>0</v>
      </c>
      <c r="W304" s="1">
        <f t="shared" si="219"/>
        <v>0</v>
      </c>
      <c r="X304" s="1">
        <f t="shared" si="220"/>
        <v>0</v>
      </c>
      <c r="Y304" s="1">
        <f t="shared" si="221"/>
        <v>0</v>
      </c>
      <c r="Z304" s="1">
        <f t="shared" si="222"/>
        <v>0</v>
      </c>
      <c r="AA304" s="1">
        <f t="shared" si="223"/>
        <v>0</v>
      </c>
      <c r="AB304" s="1">
        <f t="shared" si="224"/>
        <v>0</v>
      </c>
      <c r="AD304" s="1">
        <f t="shared" si="225"/>
        <v>0</v>
      </c>
      <c r="AE304" s="1">
        <f t="shared" si="226"/>
        <v>0</v>
      </c>
      <c r="AF304" s="1">
        <f t="shared" si="211"/>
        <v>0</v>
      </c>
      <c r="AG304" s="1">
        <f t="shared" si="212"/>
        <v>0</v>
      </c>
      <c r="AH304" s="1">
        <f t="shared" si="213"/>
        <v>0</v>
      </c>
      <c r="AI304" s="1">
        <f t="shared" si="214"/>
        <v>1</v>
      </c>
    </row>
    <row r="305" spans="1:35" ht="14.25" customHeight="1" x14ac:dyDescent="0.25">
      <c r="A305" s="44">
        <v>0</v>
      </c>
      <c r="B305" s="44">
        <v>2</v>
      </c>
      <c r="C305" s="44">
        <v>1</v>
      </c>
      <c r="D305" s="45" t="s">
        <v>1264</v>
      </c>
      <c r="E305" s="45" t="s">
        <v>1265</v>
      </c>
      <c r="F305" s="45" t="s">
        <v>1266</v>
      </c>
      <c r="G305" s="45" t="s">
        <v>1165</v>
      </c>
      <c r="H305" s="45" t="s">
        <v>354</v>
      </c>
      <c r="I305" s="44" t="s">
        <v>1267</v>
      </c>
      <c r="J305" s="44">
        <v>11</v>
      </c>
      <c r="K305" s="46" t="s">
        <v>703</v>
      </c>
      <c r="L305" s="46">
        <v>6</v>
      </c>
      <c r="M305" s="47" t="s">
        <v>1728</v>
      </c>
      <c r="N305" s="47" t="s">
        <v>1809</v>
      </c>
      <c r="O305" s="48"/>
      <c r="P305" s="48"/>
      <c r="Q305" s="45"/>
      <c r="S305" s="1">
        <f t="shared" si="215"/>
        <v>0</v>
      </c>
      <c r="T305" s="1">
        <f t="shared" si="216"/>
        <v>0</v>
      </c>
      <c r="U305" s="1">
        <f t="shared" si="217"/>
        <v>0</v>
      </c>
      <c r="V305" s="1">
        <f t="shared" si="218"/>
        <v>0</v>
      </c>
      <c r="W305" s="1">
        <f t="shared" si="219"/>
        <v>0</v>
      </c>
      <c r="X305" s="1">
        <f t="shared" si="220"/>
        <v>0</v>
      </c>
      <c r="Y305" s="1">
        <f t="shared" si="221"/>
        <v>0</v>
      </c>
      <c r="Z305" s="1">
        <f t="shared" si="222"/>
        <v>0</v>
      </c>
      <c r="AA305" s="1">
        <f t="shared" si="223"/>
        <v>0</v>
      </c>
      <c r="AB305" s="1">
        <f t="shared" si="224"/>
        <v>0</v>
      </c>
      <c r="AD305" s="1">
        <f t="shared" si="225"/>
        <v>0</v>
      </c>
      <c r="AE305" s="1">
        <f t="shared" si="226"/>
        <v>0</v>
      </c>
      <c r="AF305" s="1">
        <f t="shared" si="211"/>
        <v>0</v>
      </c>
      <c r="AG305" s="1">
        <f t="shared" si="212"/>
        <v>0</v>
      </c>
      <c r="AH305" s="1">
        <f t="shared" si="213"/>
        <v>0</v>
      </c>
      <c r="AI305" s="1">
        <f t="shared" si="214"/>
        <v>1</v>
      </c>
    </row>
    <row r="306" spans="1:35" ht="14.25" customHeight="1" x14ac:dyDescent="0.25">
      <c r="A306" s="31">
        <v>0</v>
      </c>
      <c r="B306" s="31">
        <v>2</v>
      </c>
      <c r="C306" s="31">
        <v>1</v>
      </c>
      <c r="D306" s="32" t="s">
        <v>1123</v>
      </c>
      <c r="E306" s="32" t="s">
        <v>1314</v>
      </c>
      <c r="F306" s="32" t="s">
        <v>1121</v>
      </c>
      <c r="G306" s="32" t="s">
        <v>230</v>
      </c>
      <c r="H306" s="32" t="s">
        <v>354</v>
      </c>
      <c r="I306" s="31" t="s">
        <v>1122</v>
      </c>
      <c r="J306" s="31">
        <v>7</v>
      </c>
      <c r="K306" s="33" t="s">
        <v>713</v>
      </c>
      <c r="L306" s="33" t="s">
        <v>1709</v>
      </c>
      <c r="M306" s="34" t="s">
        <v>714</v>
      </c>
      <c r="N306" s="34" t="s">
        <v>1756</v>
      </c>
      <c r="O306" s="35">
        <v>1</v>
      </c>
      <c r="P306" s="35"/>
      <c r="Q306" s="32"/>
      <c r="S306" s="1">
        <f t="shared" si="215"/>
        <v>0</v>
      </c>
      <c r="T306" s="1">
        <f t="shared" si="216"/>
        <v>0</v>
      </c>
      <c r="U306" s="1">
        <f t="shared" si="217"/>
        <v>0</v>
      </c>
      <c r="V306" s="1">
        <f t="shared" si="218"/>
        <v>0</v>
      </c>
      <c r="W306" s="1">
        <f t="shared" si="219"/>
        <v>0</v>
      </c>
      <c r="X306" s="1">
        <f t="shared" si="220"/>
        <v>0</v>
      </c>
      <c r="Y306" s="1">
        <f t="shared" si="221"/>
        <v>1</v>
      </c>
      <c r="Z306" s="1">
        <f t="shared" si="222"/>
        <v>0</v>
      </c>
      <c r="AA306" s="1">
        <f t="shared" si="223"/>
        <v>0</v>
      </c>
      <c r="AB306" s="1">
        <f t="shared" si="224"/>
        <v>0</v>
      </c>
      <c r="AD306" s="1">
        <f t="shared" si="225"/>
        <v>0</v>
      </c>
      <c r="AE306" s="1">
        <f t="shared" si="226"/>
        <v>1</v>
      </c>
      <c r="AF306" s="1">
        <f t="shared" si="211"/>
        <v>0</v>
      </c>
      <c r="AG306" s="1">
        <f t="shared" si="212"/>
        <v>1</v>
      </c>
      <c r="AH306" s="1">
        <f t="shared" si="213"/>
        <v>0</v>
      </c>
      <c r="AI306" s="1">
        <f t="shared" si="214"/>
        <v>1</v>
      </c>
    </row>
    <row r="307" spans="1:35" ht="14.25" customHeight="1" x14ac:dyDescent="0.25">
      <c r="A307" s="31">
        <v>0</v>
      </c>
      <c r="B307" s="31">
        <v>2</v>
      </c>
      <c r="C307" s="31">
        <v>1</v>
      </c>
      <c r="D307" s="32" t="s">
        <v>1008</v>
      </c>
      <c r="E307" s="32" t="s">
        <v>1336</v>
      </c>
      <c r="F307" s="32" t="s">
        <v>1009</v>
      </c>
      <c r="G307" s="32" t="s">
        <v>1100</v>
      </c>
      <c r="H307" s="32" t="s">
        <v>354</v>
      </c>
      <c r="I307" s="31" t="s">
        <v>408</v>
      </c>
      <c r="J307" s="31">
        <v>99</v>
      </c>
      <c r="K307" s="33" t="s">
        <v>713</v>
      </c>
      <c r="L307" s="33" t="s">
        <v>713</v>
      </c>
      <c r="M307" s="34" t="s">
        <v>714</v>
      </c>
      <c r="N307" s="34" t="s">
        <v>1743</v>
      </c>
      <c r="O307" s="35">
        <v>1</v>
      </c>
      <c r="P307" s="35"/>
      <c r="Q307" s="32"/>
      <c r="S307" s="1">
        <f t="shared" si="215"/>
        <v>0</v>
      </c>
      <c r="T307" s="1">
        <f t="shared" si="216"/>
        <v>0</v>
      </c>
      <c r="U307" s="1">
        <f t="shared" si="217"/>
        <v>0</v>
      </c>
      <c r="V307" s="1">
        <f t="shared" si="218"/>
        <v>0</v>
      </c>
      <c r="W307" s="1">
        <f t="shared" si="219"/>
        <v>0</v>
      </c>
      <c r="X307" s="1">
        <f t="shared" si="220"/>
        <v>0</v>
      </c>
      <c r="Y307" s="1">
        <f t="shared" si="221"/>
        <v>0</v>
      </c>
      <c r="Z307" s="1">
        <f t="shared" si="222"/>
        <v>0</v>
      </c>
      <c r="AA307" s="1">
        <f t="shared" si="223"/>
        <v>0</v>
      </c>
      <c r="AB307" s="1">
        <f t="shared" si="224"/>
        <v>0</v>
      </c>
      <c r="AD307" s="1">
        <f t="shared" si="225"/>
        <v>0</v>
      </c>
      <c r="AE307" s="1">
        <f t="shared" si="226"/>
        <v>1</v>
      </c>
      <c r="AF307" s="1">
        <f t="shared" si="211"/>
        <v>0</v>
      </c>
      <c r="AG307" s="1">
        <f t="shared" si="212"/>
        <v>1</v>
      </c>
      <c r="AH307" s="1">
        <f t="shared" si="213"/>
        <v>0</v>
      </c>
      <c r="AI307" s="1">
        <f t="shared" si="214"/>
        <v>1</v>
      </c>
    </row>
    <row r="308" spans="1:35" ht="14.25" customHeight="1" x14ac:dyDescent="0.25">
      <c r="A308" s="31">
        <v>0</v>
      </c>
      <c r="B308" s="31">
        <v>2</v>
      </c>
      <c r="C308" s="31">
        <v>1</v>
      </c>
      <c r="D308" s="32" t="s">
        <v>1130</v>
      </c>
      <c r="E308" s="32" t="s">
        <v>561</v>
      </c>
      <c r="F308" s="32" t="s">
        <v>1354</v>
      </c>
      <c r="G308" s="32" t="s">
        <v>265</v>
      </c>
      <c r="H308" s="32" t="s">
        <v>354</v>
      </c>
      <c r="I308" s="31" t="s">
        <v>1131</v>
      </c>
      <c r="J308" s="31">
        <v>8</v>
      </c>
      <c r="K308" s="33" t="s">
        <v>712</v>
      </c>
      <c r="L308" s="33" t="s">
        <v>1709</v>
      </c>
      <c r="M308" s="34" t="s">
        <v>714</v>
      </c>
      <c r="N308" s="34" t="s">
        <v>1748</v>
      </c>
      <c r="O308" s="35">
        <v>1</v>
      </c>
      <c r="P308" s="35"/>
      <c r="Q308" s="32"/>
      <c r="S308" s="1">
        <f t="shared" si="215"/>
        <v>0</v>
      </c>
      <c r="T308" s="1">
        <f t="shared" si="216"/>
        <v>0</v>
      </c>
      <c r="U308" s="1">
        <f t="shared" si="217"/>
        <v>0</v>
      </c>
      <c r="V308" s="1">
        <f t="shared" si="218"/>
        <v>0</v>
      </c>
      <c r="W308" s="1">
        <f t="shared" si="219"/>
        <v>0</v>
      </c>
      <c r="X308" s="1">
        <f t="shared" si="220"/>
        <v>0</v>
      </c>
      <c r="Y308" s="1">
        <f t="shared" si="221"/>
        <v>0</v>
      </c>
      <c r="Z308" s="1">
        <f t="shared" si="222"/>
        <v>1</v>
      </c>
      <c r="AA308" s="1">
        <f t="shared" si="223"/>
        <v>0</v>
      </c>
      <c r="AB308" s="1">
        <f t="shared" si="224"/>
        <v>0</v>
      </c>
      <c r="AD308" s="1">
        <f t="shared" si="225"/>
        <v>0</v>
      </c>
      <c r="AE308" s="1">
        <f t="shared" si="226"/>
        <v>1</v>
      </c>
      <c r="AF308" s="1">
        <f t="shared" si="211"/>
        <v>0</v>
      </c>
      <c r="AG308" s="1">
        <f t="shared" si="212"/>
        <v>1</v>
      </c>
      <c r="AH308" s="1">
        <f t="shared" si="213"/>
        <v>0</v>
      </c>
      <c r="AI308" s="1">
        <f t="shared" si="214"/>
        <v>1</v>
      </c>
    </row>
    <row r="309" spans="1:35" ht="14.25" customHeight="1" x14ac:dyDescent="0.25">
      <c r="A309" s="31">
        <v>0</v>
      </c>
      <c r="B309" s="31">
        <v>2</v>
      </c>
      <c r="C309" s="31">
        <v>1</v>
      </c>
      <c r="D309" s="32" t="s">
        <v>1286</v>
      </c>
      <c r="E309" s="32" t="s">
        <v>1334</v>
      </c>
      <c r="F309" s="32" t="s">
        <v>1283</v>
      </c>
      <c r="G309" s="32" t="s">
        <v>1284</v>
      </c>
      <c r="H309" s="32" t="s">
        <v>354</v>
      </c>
      <c r="I309" s="31" t="s">
        <v>1285</v>
      </c>
      <c r="J309" s="31">
        <v>1</v>
      </c>
      <c r="K309" s="33" t="s">
        <v>712</v>
      </c>
      <c r="L309" s="33" t="s">
        <v>713</v>
      </c>
      <c r="M309" s="34" t="s">
        <v>714</v>
      </c>
      <c r="N309" s="34" t="s">
        <v>1761</v>
      </c>
      <c r="O309" s="35">
        <v>1</v>
      </c>
      <c r="P309" s="35"/>
      <c r="Q309" s="32" t="s">
        <v>1902</v>
      </c>
      <c r="S309" s="1">
        <f t="shared" si="215"/>
        <v>1</v>
      </c>
      <c r="T309" s="1">
        <f t="shared" si="216"/>
        <v>0</v>
      </c>
      <c r="U309" s="1">
        <f t="shared" si="217"/>
        <v>0</v>
      </c>
      <c r="V309" s="1">
        <f t="shared" si="218"/>
        <v>0</v>
      </c>
      <c r="W309" s="1">
        <f t="shared" si="219"/>
        <v>0</v>
      </c>
      <c r="X309" s="1">
        <f t="shared" si="220"/>
        <v>0</v>
      </c>
      <c r="Y309" s="1">
        <f t="shared" si="221"/>
        <v>0</v>
      </c>
      <c r="Z309" s="1">
        <f t="shared" si="222"/>
        <v>0</v>
      </c>
      <c r="AA309" s="1">
        <f t="shared" si="223"/>
        <v>0</v>
      </c>
      <c r="AB309" s="1">
        <f t="shared" si="224"/>
        <v>0</v>
      </c>
      <c r="AD309" s="1">
        <f t="shared" si="225"/>
        <v>0</v>
      </c>
      <c r="AE309" s="1">
        <f t="shared" si="226"/>
        <v>1</v>
      </c>
      <c r="AF309" s="1">
        <f t="shared" si="211"/>
        <v>0</v>
      </c>
      <c r="AG309" s="1">
        <f t="shared" si="212"/>
        <v>1</v>
      </c>
      <c r="AH309" s="1">
        <f t="shared" si="213"/>
        <v>0</v>
      </c>
      <c r="AI309" s="1">
        <f t="shared" si="214"/>
        <v>1</v>
      </c>
    </row>
    <row r="310" spans="1:35" ht="14.25" customHeight="1" x14ac:dyDescent="0.25">
      <c r="A310" s="44">
        <v>0</v>
      </c>
      <c r="B310" s="44">
        <v>2</v>
      </c>
      <c r="C310" s="44">
        <v>1</v>
      </c>
      <c r="D310" s="45" t="s">
        <v>52</v>
      </c>
      <c r="E310" s="45" t="s">
        <v>32</v>
      </c>
      <c r="F310" s="45" t="s">
        <v>206</v>
      </c>
      <c r="G310" s="45" t="s">
        <v>207</v>
      </c>
      <c r="H310" s="45" t="s">
        <v>354</v>
      </c>
      <c r="I310" s="44" t="s">
        <v>391</v>
      </c>
      <c r="J310" s="44">
        <v>99</v>
      </c>
      <c r="K310" s="46" t="s">
        <v>712</v>
      </c>
      <c r="L310" s="46" t="s">
        <v>713</v>
      </c>
      <c r="M310" s="47" t="s">
        <v>714</v>
      </c>
      <c r="N310" s="47" t="s">
        <v>1747</v>
      </c>
      <c r="O310" s="48"/>
      <c r="P310" s="48"/>
      <c r="Q310" s="45"/>
      <c r="S310" s="1">
        <f t="shared" si="215"/>
        <v>0</v>
      </c>
      <c r="T310" s="1">
        <f t="shared" si="216"/>
        <v>0</v>
      </c>
      <c r="U310" s="1">
        <f t="shared" si="217"/>
        <v>0</v>
      </c>
      <c r="V310" s="1">
        <f t="shared" si="218"/>
        <v>0</v>
      </c>
      <c r="W310" s="1">
        <f t="shared" si="219"/>
        <v>0</v>
      </c>
      <c r="X310" s="1">
        <f t="shared" si="220"/>
        <v>0</v>
      </c>
      <c r="Y310" s="1">
        <f t="shared" si="221"/>
        <v>0</v>
      </c>
      <c r="Z310" s="1">
        <f t="shared" si="222"/>
        <v>0</v>
      </c>
      <c r="AA310" s="1">
        <f t="shared" si="223"/>
        <v>0</v>
      </c>
      <c r="AB310" s="1">
        <f t="shared" si="224"/>
        <v>0</v>
      </c>
      <c r="AD310" s="1">
        <f t="shared" si="225"/>
        <v>0</v>
      </c>
      <c r="AE310" s="1">
        <f t="shared" si="226"/>
        <v>0</v>
      </c>
      <c r="AF310" s="1">
        <f t="shared" si="211"/>
        <v>0</v>
      </c>
      <c r="AG310" s="1">
        <f t="shared" si="212"/>
        <v>0</v>
      </c>
      <c r="AH310" s="1">
        <f t="shared" si="213"/>
        <v>0</v>
      </c>
      <c r="AI310" s="1">
        <f t="shared" si="214"/>
        <v>1</v>
      </c>
    </row>
    <row r="311" spans="1:35" ht="14.25" customHeight="1" x14ac:dyDescent="0.25">
      <c r="A311" s="31">
        <v>0</v>
      </c>
      <c r="B311" s="31">
        <v>2</v>
      </c>
      <c r="C311" s="31">
        <v>1</v>
      </c>
      <c r="D311" s="32" t="s">
        <v>73</v>
      </c>
      <c r="E311" s="32" t="s">
        <v>561</v>
      </c>
      <c r="F311" s="32" t="s">
        <v>1050</v>
      </c>
      <c r="G311" s="32" t="s">
        <v>190</v>
      </c>
      <c r="H311" s="32" t="s">
        <v>354</v>
      </c>
      <c r="I311" s="31" t="s">
        <v>421</v>
      </c>
      <c r="J311" s="31">
        <v>99</v>
      </c>
      <c r="K311" s="33" t="s">
        <v>954</v>
      </c>
      <c r="L311" s="33" t="s">
        <v>713</v>
      </c>
      <c r="M311" s="34" t="s">
        <v>714</v>
      </c>
      <c r="N311" s="34" t="s">
        <v>1743</v>
      </c>
      <c r="O311" s="35">
        <v>1</v>
      </c>
      <c r="P311" s="35"/>
      <c r="Q311" s="32"/>
      <c r="S311" s="1">
        <f t="shared" si="215"/>
        <v>0</v>
      </c>
      <c r="T311" s="1">
        <f t="shared" si="216"/>
        <v>0</v>
      </c>
      <c r="U311" s="1">
        <f t="shared" si="217"/>
        <v>0</v>
      </c>
      <c r="V311" s="1">
        <f t="shared" si="218"/>
        <v>0</v>
      </c>
      <c r="W311" s="1">
        <f t="shared" si="219"/>
        <v>0</v>
      </c>
      <c r="X311" s="1">
        <f t="shared" si="220"/>
        <v>0</v>
      </c>
      <c r="Y311" s="1">
        <f t="shared" si="221"/>
        <v>0</v>
      </c>
      <c r="Z311" s="1">
        <f t="shared" si="222"/>
        <v>0</v>
      </c>
      <c r="AA311" s="1">
        <f t="shared" si="223"/>
        <v>0</v>
      </c>
      <c r="AB311" s="1">
        <f t="shared" si="224"/>
        <v>0</v>
      </c>
      <c r="AD311" s="1">
        <f t="shared" si="225"/>
        <v>0</v>
      </c>
      <c r="AE311" s="1">
        <f t="shared" si="226"/>
        <v>1</v>
      </c>
      <c r="AF311" s="1">
        <f t="shared" si="211"/>
        <v>0</v>
      </c>
      <c r="AG311" s="1">
        <f t="shared" si="212"/>
        <v>1</v>
      </c>
      <c r="AH311" s="1">
        <f t="shared" si="213"/>
        <v>0</v>
      </c>
      <c r="AI311" s="1">
        <f t="shared" si="214"/>
        <v>1</v>
      </c>
    </row>
    <row r="312" spans="1:35" ht="14.25" customHeight="1" x14ac:dyDescent="0.25">
      <c r="A312" s="31">
        <v>0</v>
      </c>
      <c r="B312" s="31">
        <v>2</v>
      </c>
      <c r="C312" s="31">
        <v>1</v>
      </c>
      <c r="D312" s="32" t="s">
        <v>47</v>
      </c>
      <c r="E312" s="32" t="s">
        <v>32</v>
      </c>
      <c r="F312" s="32" t="s">
        <v>187</v>
      </c>
      <c r="G312" s="32" t="s">
        <v>180</v>
      </c>
      <c r="H312" s="32" t="s">
        <v>354</v>
      </c>
      <c r="I312" s="31" t="s">
        <v>383</v>
      </c>
      <c r="J312" s="31">
        <v>10</v>
      </c>
      <c r="K312" s="33" t="s">
        <v>955</v>
      </c>
      <c r="L312" s="33" t="s">
        <v>713</v>
      </c>
      <c r="M312" s="34" t="s">
        <v>714</v>
      </c>
      <c r="N312" s="34" t="s">
        <v>1743</v>
      </c>
      <c r="O312" s="35">
        <v>1</v>
      </c>
      <c r="P312" s="35"/>
      <c r="Q312" s="32"/>
      <c r="S312" s="1">
        <f t="shared" si="215"/>
        <v>0</v>
      </c>
      <c r="T312" s="1">
        <f t="shared" si="216"/>
        <v>0</v>
      </c>
      <c r="U312" s="1">
        <f t="shared" si="217"/>
        <v>0</v>
      </c>
      <c r="V312" s="1">
        <f t="shared" si="218"/>
        <v>0</v>
      </c>
      <c r="W312" s="1">
        <f t="shared" si="219"/>
        <v>0</v>
      </c>
      <c r="X312" s="1">
        <f t="shared" si="220"/>
        <v>0</v>
      </c>
      <c r="Y312" s="1">
        <f t="shared" si="221"/>
        <v>0</v>
      </c>
      <c r="Z312" s="1">
        <f t="shared" si="222"/>
        <v>0</v>
      </c>
      <c r="AA312" s="1">
        <f t="shared" si="223"/>
        <v>0</v>
      </c>
      <c r="AB312" s="1">
        <f t="shared" si="224"/>
        <v>1</v>
      </c>
      <c r="AD312" s="1">
        <f t="shared" si="225"/>
        <v>0</v>
      </c>
      <c r="AE312" s="1">
        <f t="shared" si="226"/>
        <v>1</v>
      </c>
      <c r="AF312" s="1">
        <f t="shared" si="211"/>
        <v>0</v>
      </c>
      <c r="AG312" s="1">
        <f t="shared" si="212"/>
        <v>1</v>
      </c>
      <c r="AH312" s="1">
        <f t="shared" si="213"/>
        <v>0</v>
      </c>
      <c r="AI312" s="1">
        <f t="shared" si="214"/>
        <v>1</v>
      </c>
    </row>
    <row r="313" spans="1:35" ht="14.25" customHeight="1" x14ac:dyDescent="0.25">
      <c r="A313" s="44">
        <v>0</v>
      </c>
      <c r="B313" s="44">
        <v>2</v>
      </c>
      <c r="C313" s="44">
        <v>1</v>
      </c>
      <c r="D313" s="45" t="s">
        <v>652</v>
      </c>
      <c r="E313" s="45" t="s">
        <v>160</v>
      </c>
      <c r="F313" s="45" t="s">
        <v>188</v>
      </c>
      <c r="G313" s="45" t="s">
        <v>668</v>
      </c>
      <c r="H313" s="45" t="s">
        <v>354</v>
      </c>
      <c r="I313" s="44" t="s">
        <v>384</v>
      </c>
      <c r="J313" s="44">
        <v>99</v>
      </c>
      <c r="K313" s="46" t="s">
        <v>712</v>
      </c>
      <c r="L313" s="46" t="s">
        <v>713</v>
      </c>
      <c r="M313" s="47" t="s">
        <v>714</v>
      </c>
      <c r="N313" s="47" t="s">
        <v>1737</v>
      </c>
      <c r="O313" s="48"/>
      <c r="P313" s="48"/>
      <c r="Q313" s="45"/>
      <c r="S313" s="1">
        <f t="shared" si="215"/>
        <v>0</v>
      </c>
      <c r="T313" s="1">
        <f t="shared" si="216"/>
        <v>0</v>
      </c>
      <c r="U313" s="1">
        <f t="shared" si="217"/>
        <v>0</v>
      </c>
      <c r="V313" s="1">
        <f t="shared" si="218"/>
        <v>0</v>
      </c>
      <c r="W313" s="1">
        <f t="shared" si="219"/>
        <v>0</v>
      </c>
      <c r="X313" s="1">
        <f t="shared" si="220"/>
        <v>0</v>
      </c>
      <c r="Y313" s="1">
        <f t="shared" si="221"/>
        <v>0</v>
      </c>
      <c r="Z313" s="1">
        <f t="shared" si="222"/>
        <v>0</v>
      </c>
      <c r="AA313" s="1">
        <f t="shared" si="223"/>
        <v>0</v>
      </c>
      <c r="AB313" s="1">
        <f t="shared" si="224"/>
        <v>0</v>
      </c>
      <c r="AD313" s="1">
        <f t="shared" si="225"/>
        <v>0</v>
      </c>
      <c r="AE313" s="1">
        <f t="shared" si="226"/>
        <v>0</v>
      </c>
      <c r="AF313" s="1">
        <f t="shared" si="211"/>
        <v>0</v>
      </c>
      <c r="AG313" s="1">
        <f t="shared" si="212"/>
        <v>0</v>
      </c>
      <c r="AH313" s="1">
        <f t="shared" si="213"/>
        <v>0</v>
      </c>
      <c r="AI313" s="1">
        <f t="shared" si="214"/>
        <v>1</v>
      </c>
    </row>
    <row r="314" spans="1:35" ht="14.25" customHeight="1" x14ac:dyDescent="0.25">
      <c r="A314" s="38">
        <v>0</v>
      </c>
      <c r="B314" s="38">
        <v>2</v>
      </c>
      <c r="C314" s="38">
        <v>1</v>
      </c>
      <c r="D314" s="39" t="s">
        <v>1304</v>
      </c>
      <c r="E314" s="39" t="s">
        <v>36</v>
      </c>
      <c r="F314" s="39" t="s">
        <v>1305</v>
      </c>
      <c r="G314" s="39" t="s">
        <v>258</v>
      </c>
      <c r="H314" s="39" t="s">
        <v>354</v>
      </c>
      <c r="I314" s="38" t="s">
        <v>1306</v>
      </c>
      <c r="J314" s="38">
        <v>8</v>
      </c>
      <c r="K314" s="40" t="s">
        <v>959</v>
      </c>
      <c r="L314" s="40" t="s">
        <v>713</v>
      </c>
      <c r="M314" s="41" t="s">
        <v>714</v>
      </c>
      <c r="N314" s="42"/>
      <c r="O314" s="43"/>
      <c r="P314" s="43">
        <v>1</v>
      </c>
      <c r="Q314" s="39"/>
      <c r="S314" s="1">
        <f t="shared" si="215"/>
        <v>0</v>
      </c>
      <c r="T314" s="1">
        <f t="shared" si="216"/>
        <v>0</v>
      </c>
      <c r="U314" s="1">
        <f t="shared" si="217"/>
        <v>0</v>
      </c>
      <c r="V314" s="1">
        <f t="shared" si="218"/>
        <v>0</v>
      </c>
      <c r="W314" s="1">
        <f t="shared" si="219"/>
        <v>0</v>
      </c>
      <c r="X314" s="1">
        <f t="shared" si="220"/>
        <v>0</v>
      </c>
      <c r="Y314" s="1">
        <f t="shared" si="221"/>
        <v>0</v>
      </c>
      <c r="Z314" s="1">
        <f t="shared" si="222"/>
        <v>1</v>
      </c>
      <c r="AA314" s="1">
        <f t="shared" si="223"/>
        <v>0</v>
      </c>
      <c r="AB314" s="1">
        <f t="shared" si="224"/>
        <v>0</v>
      </c>
      <c r="AD314" s="1">
        <f t="shared" si="225"/>
        <v>0</v>
      </c>
      <c r="AE314" s="1">
        <f t="shared" si="226"/>
        <v>0</v>
      </c>
      <c r="AF314" s="1">
        <f t="shared" si="211"/>
        <v>0</v>
      </c>
      <c r="AG314" s="1">
        <f t="shared" si="212"/>
        <v>0</v>
      </c>
      <c r="AH314" s="1">
        <f t="shared" si="213"/>
        <v>1</v>
      </c>
      <c r="AI314" s="1">
        <f t="shared" si="214"/>
        <v>0</v>
      </c>
    </row>
    <row r="315" spans="1:35" ht="14.25" customHeight="1" x14ac:dyDescent="0.25">
      <c r="A315" s="31">
        <v>0</v>
      </c>
      <c r="B315" s="31">
        <v>2</v>
      </c>
      <c r="C315" s="31">
        <v>1</v>
      </c>
      <c r="D315" s="32" t="s">
        <v>54</v>
      </c>
      <c r="E315" s="32" t="s">
        <v>561</v>
      </c>
      <c r="F315" s="32" t="s">
        <v>212</v>
      </c>
      <c r="G315" s="32" t="s">
        <v>213</v>
      </c>
      <c r="H315" s="32" t="s">
        <v>354</v>
      </c>
      <c r="I315" s="31" t="s">
        <v>393</v>
      </c>
      <c r="J315" s="31">
        <v>1</v>
      </c>
      <c r="K315" s="33" t="s">
        <v>955</v>
      </c>
      <c r="L315" s="33" t="s">
        <v>713</v>
      </c>
      <c r="M315" s="34" t="s">
        <v>39</v>
      </c>
      <c r="N315" s="34" t="s">
        <v>1743</v>
      </c>
      <c r="O315" s="35">
        <v>1</v>
      </c>
      <c r="P315" s="35"/>
      <c r="Q315" s="32"/>
      <c r="S315" s="1">
        <f t="shared" si="215"/>
        <v>1</v>
      </c>
      <c r="T315" s="1">
        <f t="shared" si="216"/>
        <v>0</v>
      </c>
      <c r="U315" s="1">
        <f t="shared" si="217"/>
        <v>0</v>
      </c>
      <c r="V315" s="1">
        <f t="shared" si="218"/>
        <v>0</v>
      </c>
      <c r="W315" s="1">
        <f t="shared" si="219"/>
        <v>0</v>
      </c>
      <c r="X315" s="1">
        <f t="shared" si="220"/>
        <v>0</v>
      </c>
      <c r="Y315" s="1">
        <f t="shared" si="221"/>
        <v>0</v>
      </c>
      <c r="Z315" s="1">
        <f t="shared" si="222"/>
        <v>0</v>
      </c>
      <c r="AA315" s="1">
        <f t="shared" si="223"/>
        <v>0</v>
      </c>
      <c r="AB315" s="1">
        <f t="shared" si="224"/>
        <v>0</v>
      </c>
      <c r="AD315" s="1">
        <f t="shared" si="225"/>
        <v>0</v>
      </c>
      <c r="AE315" s="1">
        <f t="shared" si="226"/>
        <v>1</v>
      </c>
      <c r="AF315" s="1">
        <f t="shared" si="211"/>
        <v>0</v>
      </c>
      <c r="AG315" s="1">
        <f t="shared" si="212"/>
        <v>1</v>
      </c>
      <c r="AH315" s="1">
        <f t="shared" si="213"/>
        <v>0</v>
      </c>
      <c r="AI315" s="1">
        <f t="shared" si="214"/>
        <v>1</v>
      </c>
    </row>
    <row r="316" spans="1:35" ht="14.25" customHeight="1" x14ac:dyDescent="0.25">
      <c r="A316" s="44">
        <v>0</v>
      </c>
      <c r="B316" s="44">
        <v>2</v>
      </c>
      <c r="C316" s="44">
        <v>1</v>
      </c>
      <c r="D316" s="45" t="s">
        <v>61</v>
      </c>
      <c r="E316" s="45" t="s">
        <v>543</v>
      </c>
      <c r="F316" s="45" t="s">
        <v>233</v>
      </c>
      <c r="G316" s="45" t="s">
        <v>204</v>
      </c>
      <c r="H316" s="45" t="s">
        <v>354</v>
      </c>
      <c r="I316" s="44" t="s">
        <v>401</v>
      </c>
      <c r="J316" s="44">
        <v>7</v>
      </c>
      <c r="K316" s="46" t="s">
        <v>712</v>
      </c>
      <c r="L316" s="46" t="s">
        <v>713</v>
      </c>
      <c r="M316" s="47" t="s">
        <v>714</v>
      </c>
      <c r="N316" s="47" t="s">
        <v>1738</v>
      </c>
      <c r="O316" s="48"/>
      <c r="P316" s="48"/>
      <c r="Q316" s="45"/>
      <c r="S316" s="1">
        <f t="shared" si="215"/>
        <v>0</v>
      </c>
      <c r="T316" s="1">
        <f t="shared" si="216"/>
        <v>0</v>
      </c>
      <c r="U316" s="1">
        <f t="shared" si="217"/>
        <v>0</v>
      </c>
      <c r="V316" s="1">
        <f t="shared" si="218"/>
        <v>0</v>
      </c>
      <c r="W316" s="1">
        <f t="shared" si="219"/>
        <v>0</v>
      </c>
      <c r="X316" s="1">
        <f t="shared" si="220"/>
        <v>0</v>
      </c>
      <c r="Y316" s="1">
        <f t="shared" si="221"/>
        <v>1</v>
      </c>
      <c r="Z316" s="1">
        <f t="shared" si="222"/>
        <v>0</v>
      </c>
      <c r="AA316" s="1">
        <f t="shared" si="223"/>
        <v>0</v>
      </c>
      <c r="AB316" s="1">
        <f t="shared" si="224"/>
        <v>0</v>
      </c>
      <c r="AD316" s="1">
        <f t="shared" si="225"/>
        <v>0</v>
      </c>
      <c r="AE316" s="1">
        <f t="shared" si="226"/>
        <v>0</v>
      </c>
      <c r="AF316" s="1">
        <f t="shared" si="211"/>
        <v>0</v>
      </c>
      <c r="AG316" s="1">
        <f t="shared" si="212"/>
        <v>0</v>
      </c>
      <c r="AH316" s="1">
        <f t="shared" si="213"/>
        <v>0</v>
      </c>
      <c r="AI316" s="1">
        <f t="shared" si="214"/>
        <v>1</v>
      </c>
    </row>
    <row r="317" spans="1:35" ht="14.25" customHeight="1" x14ac:dyDescent="0.25">
      <c r="A317" s="31">
        <v>0</v>
      </c>
      <c r="B317" s="31">
        <v>2</v>
      </c>
      <c r="C317" s="31">
        <v>1</v>
      </c>
      <c r="D317" s="32" t="s">
        <v>1647</v>
      </c>
      <c r="E317" s="32" t="s">
        <v>561</v>
      </c>
      <c r="F317" s="32" t="s">
        <v>1358</v>
      </c>
      <c r="G317" s="32" t="s">
        <v>1284</v>
      </c>
      <c r="H317" s="32" t="s">
        <v>354</v>
      </c>
      <c r="I317" s="31" t="s">
        <v>1167</v>
      </c>
      <c r="J317" s="31">
        <v>99</v>
      </c>
      <c r="K317" s="33" t="s">
        <v>712</v>
      </c>
      <c r="L317" s="33" t="s">
        <v>713</v>
      </c>
      <c r="M317" s="34" t="s">
        <v>714</v>
      </c>
      <c r="N317" s="34" t="s">
        <v>1748</v>
      </c>
      <c r="O317" s="35">
        <v>1</v>
      </c>
      <c r="P317" s="35"/>
      <c r="Q317" s="32" t="s">
        <v>1901</v>
      </c>
      <c r="S317" s="1">
        <f t="shared" si="215"/>
        <v>0</v>
      </c>
      <c r="T317" s="1">
        <f t="shared" si="216"/>
        <v>0</v>
      </c>
      <c r="U317" s="1">
        <f t="shared" si="217"/>
        <v>0</v>
      </c>
      <c r="V317" s="1">
        <f t="shared" si="218"/>
        <v>0</v>
      </c>
      <c r="W317" s="1">
        <f t="shared" si="219"/>
        <v>0</v>
      </c>
      <c r="X317" s="1">
        <f t="shared" si="220"/>
        <v>0</v>
      </c>
      <c r="Y317" s="1">
        <f t="shared" si="221"/>
        <v>0</v>
      </c>
      <c r="Z317" s="1">
        <f t="shared" si="222"/>
        <v>0</v>
      </c>
      <c r="AA317" s="1">
        <f t="shared" si="223"/>
        <v>0</v>
      </c>
      <c r="AB317" s="1">
        <f t="shared" si="224"/>
        <v>0</v>
      </c>
      <c r="AD317" s="1">
        <f t="shared" si="225"/>
        <v>0</v>
      </c>
      <c r="AE317" s="1">
        <f t="shared" si="226"/>
        <v>1</v>
      </c>
      <c r="AF317" s="1">
        <f t="shared" si="211"/>
        <v>0</v>
      </c>
      <c r="AG317" s="1">
        <f t="shared" si="212"/>
        <v>1</v>
      </c>
      <c r="AH317" s="1">
        <f t="shared" si="213"/>
        <v>0</v>
      </c>
      <c r="AI317" s="1">
        <f t="shared" si="214"/>
        <v>1</v>
      </c>
    </row>
    <row r="318" spans="1:35" ht="14.25" customHeight="1" x14ac:dyDescent="0.25">
      <c r="A318" s="49">
        <v>0</v>
      </c>
      <c r="B318" s="49">
        <v>2</v>
      </c>
      <c r="C318" s="49">
        <v>1</v>
      </c>
      <c r="D318" s="50" t="s">
        <v>1782</v>
      </c>
      <c r="E318" s="50" t="s">
        <v>1783</v>
      </c>
      <c r="F318" s="50" t="s">
        <v>1784</v>
      </c>
      <c r="G318" s="50" t="s">
        <v>1785</v>
      </c>
      <c r="H318" s="50" t="s">
        <v>354</v>
      </c>
      <c r="I318" s="49"/>
      <c r="J318" s="49">
        <v>1</v>
      </c>
      <c r="K318" s="51" t="s">
        <v>703</v>
      </c>
      <c r="L318" s="51"/>
      <c r="M318" s="52"/>
      <c r="N318" s="52" t="s">
        <v>1743</v>
      </c>
      <c r="O318" s="53">
        <v>1</v>
      </c>
      <c r="P318" s="53"/>
      <c r="Q318" s="55" t="s">
        <v>1909</v>
      </c>
      <c r="S318" s="1">
        <f t="shared" si="215"/>
        <v>1</v>
      </c>
      <c r="T318" s="1">
        <f t="shared" si="216"/>
        <v>0</v>
      </c>
      <c r="U318" s="1">
        <f t="shared" si="217"/>
        <v>0</v>
      </c>
      <c r="V318" s="1">
        <f t="shared" si="218"/>
        <v>0</v>
      </c>
      <c r="W318" s="1">
        <f t="shared" si="219"/>
        <v>0</v>
      </c>
      <c r="X318" s="1">
        <f t="shared" si="220"/>
        <v>0</v>
      </c>
      <c r="Y318" s="1">
        <f t="shared" si="221"/>
        <v>0</v>
      </c>
      <c r="Z318" s="1">
        <f t="shared" si="222"/>
        <v>0</v>
      </c>
      <c r="AA318" s="1">
        <f t="shared" si="223"/>
        <v>0</v>
      </c>
      <c r="AB318" s="1">
        <f t="shared" si="224"/>
        <v>0</v>
      </c>
      <c r="AD318" s="1">
        <f t="shared" si="225"/>
        <v>0</v>
      </c>
      <c r="AE318" s="1">
        <f t="shared" si="226"/>
        <v>1</v>
      </c>
      <c r="AF318" s="1">
        <f t="shared" si="211"/>
        <v>0</v>
      </c>
      <c r="AG318" s="1">
        <f t="shared" si="212"/>
        <v>1</v>
      </c>
      <c r="AH318" s="1">
        <f t="shared" si="213"/>
        <v>0</v>
      </c>
      <c r="AI318" s="1">
        <f t="shared" si="214"/>
        <v>1</v>
      </c>
    </row>
    <row r="319" spans="1:35" ht="14.25" customHeight="1" x14ac:dyDescent="0.25">
      <c r="A319" s="31">
        <v>0</v>
      </c>
      <c r="B319" s="31">
        <v>2</v>
      </c>
      <c r="C319" s="31">
        <v>1</v>
      </c>
      <c r="D319" s="32" t="s">
        <v>1318</v>
      </c>
      <c r="E319" s="32" t="s">
        <v>1338</v>
      </c>
      <c r="F319" s="32" t="s">
        <v>1301</v>
      </c>
      <c r="G319" s="32" t="s">
        <v>1302</v>
      </c>
      <c r="H319" s="32" t="s">
        <v>354</v>
      </c>
      <c r="I319" s="31" t="s">
        <v>1303</v>
      </c>
      <c r="J319" s="31">
        <v>99</v>
      </c>
      <c r="K319" s="33" t="s">
        <v>955</v>
      </c>
      <c r="L319" s="33" t="s">
        <v>713</v>
      </c>
      <c r="M319" s="34" t="s">
        <v>714</v>
      </c>
      <c r="N319" s="34" t="s">
        <v>1919</v>
      </c>
      <c r="O319" s="35">
        <v>1</v>
      </c>
      <c r="P319" s="35"/>
      <c r="Q319" s="32"/>
      <c r="S319" s="1">
        <f t="shared" si="215"/>
        <v>0</v>
      </c>
      <c r="T319" s="1">
        <f t="shared" si="216"/>
        <v>0</v>
      </c>
      <c r="U319" s="1">
        <f t="shared" si="217"/>
        <v>0</v>
      </c>
      <c r="V319" s="1">
        <f t="shared" si="218"/>
        <v>0</v>
      </c>
      <c r="W319" s="1">
        <f t="shared" si="219"/>
        <v>0</v>
      </c>
      <c r="X319" s="1">
        <f t="shared" si="220"/>
        <v>0</v>
      </c>
      <c r="Y319" s="1">
        <f t="shared" si="221"/>
        <v>0</v>
      </c>
      <c r="Z319" s="1">
        <f t="shared" si="222"/>
        <v>0</v>
      </c>
      <c r="AA319" s="1">
        <f t="shared" si="223"/>
        <v>0</v>
      </c>
      <c r="AB319" s="1">
        <f t="shared" si="224"/>
        <v>0</v>
      </c>
      <c r="AD319" s="1">
        <f t="shared" si="225"/>
        <v>0</v>
      </c>
      <c r="AE319" s="1">
        <f t="shared" si="226"/>
        <v>1</v>
      </c>
      <c r="AF319" s="1">
        <f t="shared" si="211"/>
        <v>0</v>
      </c>
      <c r="AG319" s="1">
        <f t="shared" si="212"/>
        <v>1</v>
      </c>
      <c r="AH319" s="1">
        <f t="shared" si="213"/>
        <v>0</v>
      </c>
      <c r="AI319" s="1">
        <f t="shared" si="214"/>
        <v>1</v>
      </c>
    </row>
    <row r="320" spans="1:35" ht="14.25" customHeight="1" x14ac:dyDescent="0.25">
      <c r="A320" s="44">
        <v>0</v>
      </c>
      <c r="B320" s="44">
        <v>2</v>
      </c>
      <c r="C320" s="44">
        <v>1</v>
      </c>
      <c r="D320" s="45" t="s">
        <v>1313</v>
      </c>
      <c r="E320" s="45" t="s">
        <v>160</v>
      </c>
      <c r="F320" s="45" t="s">
        <v>1315</v>
      </c>
      <c r="G320" s="45" t="s">
        <v>1316</v>
      </c>
      <c r="H320" s="45" t="s">
        <v>354</v>
      </c>
      <c r="I320" s="44" t="s">
        <v>1317</v>
      </c>
      <c r="J320" s="44">
        <v>8</v>
      </c>
      <c r="K320" s="46" t="s">
        <v>713</v>
      </c>
      <c r="L320" s="46" t="s">
        <v>713</v>
      </c>
      <c r="M320" s="47" t="s">
        <v>714</v>
      </c>
      <c r="N320" s="47" t="s">
        <v>1747</v>
      </c>
      <c r="O320" s="48"/>
      <c r="P320" s="48"/>
      <c r="Q320" s="45"/>
      <c r="S320" s="1">
        <f t="shared" si="215"/>
        <v>0</v>
      </c>
      <c r="T320" s="1">
        <f t="shared" si="216"/>
        <v>0</v>
      </c>
      <c r="U320" s="1">
        <f t="shared" si="217"/>
        <v>0</v>
      </c>
      <c r="V320" s="1">
        <f t="shared" si="218"/>
        <v>0</v>
      </c>
      <c r="W320" s="1">
        <f t="shared" si="219"/>
        <v>0</v>
      </c>
      <c r="X320" s="1">
        <f t="shared" si="220"/>
        <v>0</v>
      </c>
      <c r="Y320" s="1">
        <f t="shared" si="221"/>
        <v>0</v>
      </c>
      <c r="Z320" s="1">
        <f t="shared" si="222"/>
        <v>1</v>
      </c>
      <c r="AA320" s="1">
        <f t="shared" si="223"/>
        <v>0</v>
      </c>
      <c r="AB320" s="1">
        <f t="shared" si="224"/>
        <v>0</v>
      </c>
      <c r="AD320" s="1">
        <f t="shared" si="225"/>
        <v>0</v>
      </c>
      <c r="AE320" s="1">
        <f t="shared" si="226"/>
        <v>0</v>
      </c>
      <c r="AF320" s="1">
        <f t="shared" si="211"/>
        <v>0</v>
      </c>
      <c r="AG320" s="1">
        <f t="shared" si="212"/>
        <v>0</v>
      </c>
      <c r="AH320" s="1">
        <f t="shared" si="213"/>
        <v>0</v>
      </c>
      <c r="AI320" s="1">
        <f t="shared" si="214"/>
        <v>1</v>
      </c>
    </row>
    <row r="321" spans="1:35" ht="14.25" customHeight="1" x14ac:dyDescent="0.25">
      <c r="A321" s="44">
        <v>0</v>
      </c>
      <c r="B321" s="44">
        <v>2</v>
      </c>
      <c r="C321" s="44">
        <v>2</v>
      </c>
      <c r="D321" s="45" t="s">
        <v>1646</v>
      </c>
      <c r="E321" s="45" t="s">
        <v>1168</v>
      </c>
      <c r="F321" s="45" t="s">
        <v>1680</v>
      </c>
      <c r="G321" s="45" t="s">
        <v>190</v>
      </c>
      <c r="H321" s="45" t="s">
        <v>354</v>
      </c>
      <c r="I321" s="44" t="s">
        <v>1607</v>
      </c>
      <c r="J321" s="44">
        <v>99</v>
      </c>
      <c r="K321" s="46" t="s">
        <v>713</v>
      </c>
      <c r="L321" s="46" t="s">
        <v>696</v>
      </c>
      <c r="M321" s="47" t="s">
        <v>1608</v>
      </c>
      <c r="N321" s="47" t="s">
        <v>1738</v>
      </c>
      <c r="O321" s="48"/>
      <c r="P321" s="48"/>
      <c r="Q321" s="45"/>
      <c r="S321" s="1">
        <f t="shared" si="215"/>
        <v>0</v>
      </c>
      <c r="T321" s="1">
        <f t="shared" si="216"/>
        <v>0</v>
      </c>
      <c r="U321" s="1">
        <f t="shared" si="217"/>
        <v>0</v>
      </c>
      <c r="V321" s="1">
        <f t="shared" si="218"/>
        <v>0</v>
      </c>
      <c r="W321" s="1">
        <f t="shared" si="219"/>
        <v>0</v>
      </c>
      <c r="X321" s="1">
        <f t="shared" si="220"/>
        <v>0</v>
      </c>
      <c r="Y321" s="1">
        <f t="shared" si="221"/>
        <v>0</v>
      </c>
      <c r="Z321" s="1">
        <f t="shared" si="222"/>
        <v>0</v>
      </c>
      <c r="AA321" s="1">
        <f t="shared" si="223"/>
        <v>0</v>
      </c>
      <c r="AB321" s="1">
        <f t="shared" si="224"/>
        <v>0</v>
      </c>
      <c r="AD321" s="1">
        <f t="shared" si="225"/>
        <v>0</v>
      </c>
      <c r="AE321" s="1">
        <f t="shared" si="226"/>
        <v>0</v>
      </c>
      <c r="AF321" s="1">
        <f t="shared" si="211"/>
        <v>0</v>
      </c>
      <c r="AG321" s="1">
        <f t="shared" si="212"/>
        <v>0</v>
      </c>
      <c r="AH321" s="1">
        <f t="shared" si="213"/>
        <v>0</v>
      </c>
      <c r="AI321" s="1">
        <f t="shared" si="214"/>
        <v>1</v>
      </c>
    </row>
    <row r="322" spans="1:35" ht="14.25" customHeight="1" x14ac:dyDescent="0.25">
      <c r="A322" s="49">
        <v>0</v>
      </c>
      <c r="B322" s="49">
        <v>2</v>
      </c>
      <c r="C322" s="49">
        <v>2</v>
      </c>
      <c r="D322" s="50" t="s">
        <v>65</v>
      </c>
      <c r="E322" s="50" t="s">
        <v>164</v>
      </c>
      <c r="F322" s="50" t="s">
        <v>243</v>
      </c>
      <c r="G322" s="50" t="s">
        <v>200</v>
      </c>
      <c r="H322" s="50" t="s">
        <v>354</v>
      </c>
      <c r="I322" s="49" t="s">
        <v>407</v>
      </c>
      <c r="J322" s="49">
        <v>2</v>
      </c>
      <c r="K322" s="51" t="s">
        <v>955</v>
      </c>
      <c r="L322" s="51" t="s">
        <v>696</v>
      </c>
      <c r="M322" s="52" t="s">
        <v>715</v>
      </c>
      <c r="N322" s="52" t="s">
        <v>1743</v>
      </c>
      <c r="O322" s="53">
        <v>1</v>
      </c>
      <c r="P322" s="53"/>
      <c r="Q322" s="50"/>
      <c r="S322" s="1">
        <f t="shared" si="215"/>
        <v>0</v>
      </c>
      <c r="T322" s="1">
        <f t="shared" si="216"/>
        <v>1</v>
      </c>
      <c r="U322" s="1">
        <f t="shared" si="217"/>
        <v>0</v>
      </c>
      <c r="V322" s="1">
        <f t="shared" si="218"/>
        <v>0</v>
      </c>
      <c r="W322" s="1">
        <f t="shared" si="219"/>
        <v>0</v>
      </c>
      <c r="X322" s="1">
        <f t="shared" si="220"/>
        <v>0</v>
      </c>
      <c r="Y322" s="1">
        <f t="shared" si="221"/>
        <v>0</v>
      </c>
      <c r="Z322" s="1">
        <f t="shared" si="222"/>
        <v>0</v>
      </c>
      <c r="AA322" s="1">
        <f t="shared" si="223"/>
        <v>0</v>
      </c>
      <c r="AB322" s="1">
        <f t="shared" si="224"/>
        <v>0</v>
      </c>
      <c r="AD322" s="1">
        <f t="shared" si="225"/>
        <v>0</v>
      </c>
      <c r="AE322" s="1">
        <f t="shared" si="226"/>
        <v>1</v>
      </c>
      <c r="AF322" s="1">
        <f t="shared" si="211"/>
        <v>0</v>
      </c>
      <c r="AG322" s="1">
        <f t="shared" si="212"/>
        <v>1</v>
      </c>
      <c r="AH322" s="1">
        <f t="shared" si="213"/>
        <v>0</v>
      </c>
      <c r="AI322" s="1">
        <f t="shared" si="214"/>
        <v>1</v>
      </c>
    </row>
    <row r="323" spans="1:35" ht="14.25" customHeight="1" x14ac:dyDescent="0.25">
      <c r="A323" s="44">
        <v>0</v>
      </c>
      <c r="B323" s="44">
        <v>2</v>
      </c>
      <c r="C323" s="44">
        <v>2</v>
      </c>
      <c r="D323" s="45" t="s">
        <v>1182</v>
      </c>
      <c r="E323" s="45" t="s">
        <v>1183</v>
      </c>
      <c r="F323" s="45" t="s">
        <v>1348</v>
      </c>
      <c r="G323" s="45" t="s">
        <v>1056</v>
      </c>
      <c r="H323" s="45" t="s">
        <v>354</v>
      </c>
      <c r="I323" s="44" t="s">
        <v>1184</v>
      </c>
      <c r="J323" s="44">
        <v>1</v>
      </c>
      <c r="K323" s="46" t="s">
        <v>712</v>
      </c>
      <c r="L323" s="46" t="s">
        <v>704</v>
      </c>
      <c r="M323" s="47" t="s">
        <v>1412</v>
      </c>
      <c r="N323" s="47" t="s">
        <v>1735</v>
      </c>
      <c r="O323" s="48"/>
      <c r="P323" s="48"/>
      <c r="Q323" s="45"/>
      <c r="S323" s="1">
        <f t="shared" si="215"/>
        <v>1</v>
      </c>
      <c r="T323" s="1">
        <f t="shared" si="216"/>
        <v>0</v>
      </c>
      <c r="U323" s="1">
        <f t="shared" si="217"/>
        <v>0</v>
      </c>
      <c r="V323" s="1">
        <f t="shared" si="218"/>
        <v>0</v>
      </c>
      <c r="W323" s="1">
        <f t="shared" si="219"/>
        <v>0</v>
      </c>
      <c r="X323" s="1">
        <f t="shared" si="220"/>
        <v>0</v>
      </c>
      <c r="Y323" s="1">
        <f t="shared" si="221"/>
        <v>0</v>
      </c>
      <c r="Z323" s="1">
        <f t="shared" si="222"/>
        <v>0</v>
      </c>
      <c r="AA323" s="1">
        <f t="shared" si="223"/>
        <v>0</v>
      </c>
      <c r="AB323" s="1">
        <f t="shared" si="224"/>
        <v>0</v>
      </c>
      <c r="AD323" s="1">
        <f t="shared" si="225"/>
        <v>0</v>
      </c>
      <c r="AE323" s="1">
        <f t="shared" si="226"/>
        <v>0</v>
      </c>
      <c r="AF323" s="1">
        <f t="shared" si="211"/>
        <v>0</v>
      </c>
      <c r="AG323" s="1">
        <f t="shared" si="212"/>
        <v>0</v>
      </c>
      <c r="AH323" s="1">
        <f t="shared" si="213"/>
        <v>0</v>
      </c>
      <c r="AI323" s="1">
        <f t="shared" si="214"/>
        <v>1</v>
      </c>
    </row>
    <row r="324" spans="1:35" ht="14.25" customHeight="1" x14ac:dyDescent="0.25">
      <c r="A324" s="31">
        <v>0</v>
      </c>
      <c r="B324" s="31">
        <v>2</v>
      </c>
      <c r="C324" s="31">
        <v>2</v>
      </c>
      <c r="D324" s="32" t="s">
        <v>1828</v>
      </c>
      <c r="E324" s="32" t="s">
        <v>1829</v>
      </c>
      <c r="F324" s="32" t="s">
        <v>1830</v>
      </c>
      <c r="G324" s="32" t="s">
        <v>196</v>
      </c>
      <c r="H324" s="32" t="s">
        <v>354</v>
      </c>
      <c r="I324" s="31" t="s">
        <v>1831</v>
      </c>
      <c r="J324" s="31"/>
      <c r="K324" s="33" t="s">
        <v>703</v>
      </c>
      <c r="L324" s="33">
        <v>20</v>
      </c>
      <c r="M324" s="34" t="s">
        <v>1832</v>
      </c>
      <c r="N324" s="34" t="s">
        <v>1748</v>
      </c>
      <c r="O324" s="35">
        <v>1</v>
      </c>
      <c r="P324" s="35"/>
      <c r="Q324" s="32"/>
      <c r="S324" s="1">
        <f t="shared" si="215"/>
        <v>0</v>
      </c>
      <c r="T324" s="1">
        <f t="shared" si="216"/>
        <v>0</v>
      </c>
      <c r="U324" s="1">
        <f t="shared" si="217"/>
        <v>0</v>
      </c>
      <c r="V324" s="1">
        <f t="shared" si="218"/>
        <v>0</v>
      </c>
      <c r="W324" s="1">
        <f t="shared" si="219"/>
        <v>0</v>
      </c>
      <c r="X324" s="1">
        <f t="shared" si="220"/>
        <v>0</v>
      </c>
      <c r="Y324" s="1">
        <f t="shared" si="221"/>
        <v>0</v>
      </c>
      <c r="Z324" s="1">
        <f t="shared" si="222"/>
        <v>0</v>
      </c>
      <c r="AA324" s="1">
        <f t="shared" si="223"/>
        <v>0</v>
      </c>
      <c r="AB324" s="1">
        <f t="shared" si="224"/>
        <v>0</v>
      </c>
      <c r="AD324" s="1">
        <f t="shared" si="225"/>
        <v>0</v>
      </c>
      <c r="AE324" s="1">
        <f t="shared" si="226"/>
        <v>1</v>
      </c>
      <c r="AF324" s="1">
        <f t="shared" si="211"/>
        <v>0</v>
      </c>
      <c r="AG324" s="1">
        <f t="shared" si="212"/>
        <v>1</v>
      </c>
      <c r="AH324" s="1">
        <f t="shared" si="213"/>
        <v>0</v>
      </c>
      <c r="AI324" s="1">
        <f t="shared" si="214"/>
        <v>1</v>
      </c>
    </row>
    <row r="325" spans="1:35" ht="14.25" customHeight="1" x14ac:dyDescent="0.25">
      <c r="A325" s="15">
        <v>0</v>
      </c>
      <c r="B325" s="15">
        <v>2</v>
      </c>
      <c r="C325" s="15">
        <v>2</v>
      </c>
      <c r="D325" s="16" t="s">
        <v>1576</v>
      </c>
      <c r="E325" s="16" t="s">
        <v>1577</v>
      </c>
      <c r="F325" s="16" t="s">
        <v>1579</v>
      </c>
      <c r="G325" s="16" t="s">
        <v>1580</v>
      </c>
      <c r="H325" s="16" t="s">
        <v>354</v>
      </c>
      <c r="I325" s="15" t="s">
        <v>1578</v>
      </c>
      <c r="J325" s="15">
        <v>99</v>
      </c>
      <c r="K325" s="10" t="s">
        <v>703</v>
      </c>
      <c r="L325" s="10">
        <v>18</v>
      </c>
      <c r="M325" s="19" t="s">
        <v>1581</v>
      </c>
      <c r="N325" s="17"/>
      <c r="Q325" s="16"/>
      <c r="S325" s="1">
        <f t="shared" si="215"/>
        <v>0</v>
      </c>
      <c r="T325" s="1">
        <f t="shared" si="216"/>
        <v>0</v>
      </c>
      <c r="U325" s="1">
        <f t="shared" si="217"/>
        <v>0</v>
      </c>
      <c r="V325" s="1">
        <f t="shared" si="218"/>
        <v>0</v>
      </c>
      <c r="W325" s="1">
        <f t="shared" si="219"/>
        <v>0</v>
      </c>
      <c r="X325" s="1">
        <f t="shared" si="220"/>
        <v>0</v>
      </c>
      <c r="Y325" s="1">
        <f t="shared" si="221"/>
        <v>0</v>
      </c>
      <c r="Z325" s="1">
        <f t="shared" si="222"/>
        <v>0</v>
      </c>
      <c r="AA325" s="1">
        <f t="shared" si="223"/>
        <v>0</v>
      </c>
      <c r="AB325" s="1">
        <f t="shared" si="224"/>
        <v>0</v>
      </c>
      <c r="AD325" s="1">
        <f t="shared" si="225"/>
        <v>0</v>
      </c>
      <c r="AE325" s="1">
        <f t="shared" si="226"/>
        <v>0</v>
      </c>
      <c r="AF325" s="1">
        <f t="shared" si="211"/>
        <v>0</v>
      </c>
      <c r="AG325" s="1">
        <f t="shared" si="212"/>
        <v>0</v>
      </c>
      <c r="AH325" s="1">
        <f t="shared" si="213"/>
        <v>0</v>
      </c>
      <c r="AI325" s="1">
        <f t="shared" si="214"/>
        <v>1</v>
      </c>
    </row>
    <row r="326" spans="1:35" ht="14.25" customHeight="1" x14ac:dyDescent="0.25">
      <c r="A326" s="49">
        <v>0</v>
      </c>
      <c r="B326" s="49">
        <v>2</v>
      </c>
      <c r="C326" s="49">
        <v>2</v>
      </c>
      <c r="D326" s="50" t="s">
        <v>64</v>
      </c>
      <c r="E326" s="50" t="s">
        <v>33</v>
      </c>
      <c r="F326" s="50" t="s">
        <v>241</v>
      </c>
      <c r="G326" s="50" t="s">
        <v>242</v>
      </c>
      <c r="H326" s="50" t="s">
        <v>354</v>
      </c>
      <c r="I326" s="49" t="s">
        <v>406</v>
      </c>
      <c r="J326" s="49">
        <v>1</v>
      </c>
      <c r="K326" s="51" t="s">
        <v>961</v>
      </c>
      <c r="L326" s="51" t="s">
        <v>716</v>
      </c>
      <c r="M326" s="52" t="s">
        <v>717</v>
      </c>
      <c r="N326" s="52" t="s">
        <v>1743</v>
      </c>
      <c r="O326" s="53">
        <v>1</v>
      </c>
      <c r="P326" s="53"/>
      <c r="Q326" s="50"/>
      <c r="S326" s="1">
        <f t="shared" si="215"/>
        <v>1</v>
      </c>
      <c r="T326" s="1">
        <f t="shared" si="216"/>
        <v>0</v>
      </c>
      <c r="U326" s="1">
        <f t="shared" si="217"/>
        <v>0</v>
      </c>
      <c r="V326" s="1">
        <f t="shared" si="218"/>
        <v>0</v>
      </c>
      <c r="W326" s="1">
        <f t="shared" si="219"/>
        <v>0</v>
      </c>
      <c r="X326" s="1">
        <f t="shared" si="220"/>
        <v>0</v>
      </c>
      <c r="Y326" s="1">
        <f t="shared" si="221"/>
        <v>0</v>
      </c>
      <c r="Z326" s="1">
        <f t="shared" si="222"/>
        <v>0</v>
      </c>
      <c r="AA326" s="1">
        <f t="shared" si="223"/>
        <v>0</v>
      </c>
      <c r="AB326" s="1">
        <f t="shared" si="224"/>
        <v>0</v>
      </c>
      <c r="AD326" s="1">
        <f t="shared" si="225"/>
        <v>0</v>
      </c>
      <c r="AE326" s="1">
        <f t="shared" si="226"/>
        <v>1</v>
      </c>
      <c r="AF326" s="1">
        <f t="shared" si="211"/>
        <v>0</v>
      </c>
      <c r="AG326" s="1">
        <f t="shared" si="212"/>
        <v>1</v>
      </c>
      <c r="AH326" s="1">
        <f t="shared" si="213"/>
        <v>0</v>
      </c>
      <c r="AI326" s="1">
        <f t="shared" si="214"/>
        <v>1</v>
      </c>
    </row>
    <row r="327" spans="1:35" ht="14.25" customHeight="1" x14ac:dyDescent="0.25">
      <c r="A327" s="49">
        <v>0</v>
      </c>
      <c r="B327" s="49">
        <v>2</v>
      </c>
      <c r="C327" s="49">
        <v>2</v>
      </c>
      <c r="D327" s="50" t="s">
        <v>62</v>
      </c>
      <c r="E327" s="50" t="s">
        <v>1086</v>
      </c>
      <c r="F327" s="50" t="s">
        <v>234</v>
      </c>
      <c r="G327" s="50" t="s">
        <v>235</v>
      </c>
      <c r="H327" s="50" t="s">
        <v>354</v>
      </c>
      <c r="I327" s="49" t="s">
        <v>1365</v>
      </c>
      <c r="J327" s="49">
        <v>99</v>
      </c>
      <c r="K327" s="51" t="s">
        <v>955</v>
      </c>
      <c r="L327" s="51" t="s">
        <v>716</v>
      </c>
      <c r="M327" s="52" t="s">
        <v>718</v>
      </c>
      <c r="N327" s="52" t="s">
        <v>1743</v>
      </c>
      <c r="O327" s="53">
        <v>1</v>
      </c>
      <c r="P327" s="53"/>
      <c r="Q327" s="50"/>
      <c r="S327" s="1">
        <f t="shared" si="215"/>
        <v>0</v>
      </c>
      <c r="T327" s="1">
        <f t="shared" si="216"/>
        <v>0</v>
      </c>
      <c r="U327" s="1">
        <f t="shared" si="217"/>
        <v>0</v>
      </c>
      <c r="V327" s="1">
        <f t="shared" si="218"/>
        <v>0</v>
      </c>
      <c r="W327" s="1">
        <f t="shared" si="219"/>
        <v>0</v>
      </c>
      <c r="X327" s="1">
        <f t="shared" si="220"/>
        <v>0</v>
      </c>
      <c r="Y327" s="1">
        <f t="shared" si="221"/>
        <v>0</v>
      </c>
      <c r="Z327" s="1">
        <f t="shared" si="222"/>
        <v>0</v>
      </c>
      <c r="AA327" s="1">
        <f t="shared" si="223"/>
        <v>0</v>
      </c>
      <c r="AB327" s="1">
        <f t="shared" si="224"/>
        <v>0</v>
      </c>
      <c r="AD327" s="1">
        <f t="shared" si="225"/>
        <v>0</v>
      </c>
      <c r="AE327" s="1">
        <f t="shared" si="226"/>
        <v>1</v>
      </c>
      <c r="AF327" s="1">
        <f t="shared" si="211"/>
        <v>0</v>
      </c>
      <c r="AG327" s="1">
        <f t="shared" si="212"/>
        <v>1</v>
      </c>
      <c r="AH327" s="1">
        <f t="shared" si="213"/>
        <v>0</v>
      </c>
      <c r="AI327" s="1">
        <f t="shared" si="214"/>
        <v>1</v>
      </c>
    </row>
    <row r="328" spans="1:35" ht="14.25" customHeight="1" x14ac:dyDescent="0.25">
      <c r="A328" s="31">
        <v>0</v>
      </c>
      <c r="B328" s="31">
        <v>2</v>
      </c>
      <c r="C328" s="31">
        <v>2</v>
      </c>
      <c r="D328" s="32" t="s">
        <v>1716</v>
      </c>
      <c r="E328" s="32" t="s">
        <v>1718</v>
      </c>
      <c r="F328" s="32" t="s">
        <v>1717</v>
      </c>
      <c r="G328" s="32"/>
      <c r="H328" s="32" t="s">
        <v>354</v>
      </c>
      <c r="I328" s="31" t="s">
        <v>1719</v>
      </c>
      <c r="J328" s="31"/>
      <c r="K328" s="33" t="s">
        <v>703</v>
      </c>
      <c r="L328" s="33"/>
      <c r="M328" s="34"/>
      <c r="N328" s="34" t="s">
        <v>1727</v>
      </c>
      <c r="O328" s="35">
        <v>1</v>
      </c>
      <c r="P328" s="35">
        <v>1</v>
      </c>
      <c r="Q328" s="32"/>
      <c r="S328" s="1">
        <f t="shared" si="215"/>
        <v>0</v>
      </c>
      <c r="T328" s="1">
        <f t="shared" si="216"/>
        <v>0</v>
      </c>
      <c r="U328" s="1">
        <f t="shared" si="217"/>
        <v>0</v>
      </c>
      <c r="V328" s="1">
        <f t="shared" si="218"/>
        <v>0</v>
      </c>
      <c r="W328" s="1">
        <f t="shared" si="219"/>
        <v>0</v>
      </c>
      <c r="X328" s="1">
        <f t="shared" si="220"/>
        <v>0</v>
      </c>
      <c r="Y328" s="1">
        <f t="shared" si="221"/>
        <v>0</v>
      </c>
      <c r="Z328" s="1">
        <f t="shared" si="222"/>
        <v>0</v>
      </c>
      <c r="AA328" s="1">
        <f t="shared" si="223"/>
        <v>0</v>
      </c>
      <c r="AB328" s="1">
        <f t="shared" si="224"/>
        <v>0</v>
      </c>
      <c r="AD328" s="1">
        <f t="shared" si="225"/>
        <v>1</v>
      </c>
      <c r="AE328" s="1">
        <f t="shared" si="226"/>
        <v>0</v>
      </c>
      <c r="AF328" s="1">
        <f t="shared" si="211"/>
        <v>1</v>
      </c>
      <c r="AG328" s="1">
        <f t="shared" si="212"/>
        <v>0</v>
      </c>
      <c r="AH328" s="1">
        <f t="shared" si="213"/>
        <v>1</v>
      </c>
      <c r="AI328" s="1">
        <f t="shared" si="214"/>
        <v>0</v>
      </c>
    </row>
    <row r="329" spans="1:35" ht="14.25" customHeight="1" x14ac:dyDescent="0.25">
      <c r="A329" s="44">
        <v>0</v>
      </c>
      <c r="B329" s="44">
        <v>2</v>
      </c>
      <c r="C329" s="44">
        <v>2</v>
      </c>
      <c r="D329" s="45" t="s">
        <v>787</v>
      </c>
      <c r="E329" s="45" t="s">
        <v>909</v>
      </c>
      <c r="F329" s="45" t="s">
        <v>1571</v>
      </c>
      <c r="G329" s="45" t="s">
        <v>230</v>
      </c>
      <c r="H329" s="45" t="s">
        <v>354</v>
      </c>
      <c r="I329" s="44" t="s">
        <v>1694</v>
      </c>
      <c r="J329" s="44">
        <v>7</v>
      </c>
      <c r="K329" s="46" t="s">
        <v>713</v>
      </c>
      <c r="L329" s="46">
        <v>20</v>
      </c>
      <c r="M329" s="47" t="s">
        <v>39</v>
      </c>
      <c r="N329" s="47" t="s">
        <v>1734</v>
      </c>
      <c r="O329" s="48"/>
      <c r="P329" s="48"/>
      <c r="Q329" s="45"/>
      <c r="S329" s="1">
        <f t="shared" si="215"/>
        <v>0</v>
      </c>
      <c r="T329" s="1">
        <f t="shared" si="216"/>
        <v>0</v>
      </c>
      <c r="U329" s="1">
        <f t="shared" si="217"/>
        <v>0</v>
      </c>
      <c r="V329" s="1">
        <f t="shared" si="218"/>
        <v>0</v>
      </c>
      <c r="W329" s="1">
        <f t="shared" si="219"/>
        <v>0</v>
      </c>
      <c r="X329" s="1">
        <f t="shared" si="220"/>
        <v>0</v>
      </c>
      <c r="Y329" s="1">
        <f t="shared" si="221"/>
        <v>1</v>
      </c>
      <c r="Z329" s="1">
        <f t="shared" si="222"/>
        <v>0</v>
      </c>
      <c r="AA329" s="1">
        <f t="shared" si="223"/>
        <v>0</v>
      </c>
      <c r="AB329" s="1">
        <f t="shared" si="224"/>
        <v>0</v>
      </c>
      <c r="AD329" s="1">
        <f t="shared" si="225"/>
        <v>0</v>
      </c>
      <c r="AE329" s="1">
        <f t="shared" si="226"/>
        <v>0</v>
      </c>
      <c r="AF329" s="1">
        <f t="shared" si="211"/>
        <v>0</v>
      </c>
      <c r="AG329" s="1">
        <f t="shared" si="212"/>
        <v>0</v>
      </c>
      <c r="AH329" s="1">
        <f t="shared" si="213"/>
        <v>0</v>
      </c>
      <c r="AI329" s="1">
        <f t="shared" si="214"/>
        <v>1</v>
      </c>
    </row>
    <row r="330" spans="1:35" ht="14.25" customHeight="1" x14ac:dyDescent="0.25">
      <c r="A330" s="31">
        <v>0</v>
      </c>
      <c r="B330" s="31">
        <v>2</v>
      </c>
      <c r="C330" s="31">
        <v>2</v>
      </c>
      <c r="D330" s="32" t="s">
        <v>852</v>
      </c>
      <c r="E330" s="32" t="s">
        <v>541</v>
      </c>
      <c r="F330" s="32" t="s">
        <v>854</v>
      </c>
      <c r="G330" s="32" t="s">
        <v>220</v>
      </c>
      <c r="H330" s="32" t="s">
        <v>354</v>
      </c>
      <c r="I330" s="31" t="s">
        <v>855</v>
      </c>
      <c r="J330" s="31">
        <v>8</v>
      </c>
      <c r="K330" s="33" t="s">
        <v>713</v>
      </c>
      <c r="L330" s="33" t="s">
        <v>716</v>
      </c>
      <c r="M330" s="34" t="s">
        <v>1413</v>
      </c>
      <c r="N330" s="34" t="s">
        <v>1743</v>
      </c>
      <c r="O330" s="35">
        <v>1</v>
      </c>
      <c r="P330" s="35"/>
      <c r="Q330" s="32"/>
      <c r="S330" s="1">
        <f t="shared" si="215"/>
        <v>0</v>
      </c>
      <c r="T330" s="1">
        <f t="shared" si="216"/>
        <v>0</v>
      </c>
      <c r="U330" s="1">
        <f t="shared" si="217"/>
        <v>0</v>
      </c>
      <c r="V330" s="1">
        <f t="shared" si="218"/>
        <v>0</v>
      </c>
      <c r="W330" s="1">
        <f t="shared" si="219"/>
        <v>0</v>
      </c>
      <c r="X330" s="1">
        <f t="shared" si="220"/>
        <v>0</v>
      </c>
      <c r="Y330" s="1">
        <f t="shared" si="221"/>
        <v>0</v>
      </c>
      <c r="Z330" s="1">
        <f t="shared" si="222"/>
        <v>1</v>
      </c>
      <c r="AA330" s="1">
        <f t="shared" si="223"/>
        <v>0</v>
      </c>
      <c r="AB330" s="1">
        <f t="shared" si="224"/>
        <v>0</v>
      </c>
      <c r="AD330" s="1">
        <f t="shared" si="225"/>
        <v>0</v>
      </c>
      <c r="AE330" s="1">
        <f t="shared" si="226"/>
        <v>1</v>
      </c>
      <c r="AF330" s="1">
        <f t="shared" si="211"/>
        <v>0</v>
      </c>
      <c r="AG330" s="1">
        <f t="shared" si="212"/>
        <v>1</v>
      </c>
      <c r="AH330" s="1">
        <f t="shared" si="213"/>
        <v>0</v>
      </c>
      <c r="AI330" s="1">
        <f t="shared" si="214"/>
        <v>1</v>
      </c>
    </row>
    <row r="331" spans="1:35" ht="14.25" customHeight="1" x14ac:dyDescent="0.25">
      <c r="A331" s="31">
        <v>1</v>
      </c>
      <c r="B331" s="31">
        <v>2</v>
      </c>
      <c r="C331" s="31">
        <v>2</v>
      </c>
      <c r="D331" s="32" t="s">
        <v>852</v>
      </c>
      <c r="E331" s="32" t="s">
        <v>541</v>
      </c>
      <c r="F331" s="32" t="s">
        <v>1353</v>
      </c>
      <c r="G331" s="32" t="s">
        <v>194</v>
      </c>
      <c r="H331" s="32" t="s">
        <v>354</v>
      </c>
      <c r="I331" s="31" t="s">
        <v>853</v>
      </c>
      <c r="J331" s="31">
        <v>9</v>
      </c>
      <c r="K331" s="33" t="s">
        <v>713</v>
      </c>
      <c r="L331" s="33" t="s">
        <v>716</v>
      </c>
      <c r="M331" s="34" t="s">
        <v>1413</v>
      </c>
      <c r="N331" s="34" t="s">
        <v>1743</v>
      </c>
      <c r="O331" s="35">
        <v>1</v>
      </c>
      <c r="P331" s="35"/>
      <c r="Q331" s="32"/>
      <c r="S331" s="1">
        <f t="shared" si="215"/>
        <v>0</v>
      </c>
      <c r="T331" s="1">
        <f t="shared" si="216"/>
        <v>0</v>
      </c>
      <c r="U331" s="1">
        <f t="shared" si="217"/>
        <v>0</v>
      </c>
      <c r="V331" s="1">
        <f t="shared" si="218"/>
        <v>0</v>
      </c>
      <c r="W331" s="1">
        <f t="shared" si="219"/>
        <v>0</v>
      </c>
      <c r="X331" s="1">
        <f t="shared" si="220"/>
        <v>0</v>
      </c>
      <c r="Y331" s="1">
        <f t="shared" si="221"/>
        <v>0</v>
      </c>
      <c r="Z331" s="1">
        <f t="shared" si="222"/>
        <v>0</v>
      </c>
      <c r="AA331" s="1">
        <f t="shared" si="223"/>
        <v>1</v>
      </c>
      <c r="AB331" s="1">
        <f t="shared" si="224"/>
        <v>0</v>
      </c>
      <c r="AD331" s="1">
        <f t="shared" si="225"/>
        <v>0</v>
      </c>
      <c r="AE331" s="1">
        <f t="shared" si="226"/>
        <v>1</v>
      </c>
      <c r="AF331" s="1">
        <f t="shared" si="211"/>
        <v>0</v>
      </c>
      <c r="AG331" s="1">
        <f t="shared" si="212"/>
        <v>0</v>
      </c>
      <c r="AH331" s="1">
        <f t="shared" si="213"/>
        <v>0</v>
      </c>
      <c r="AI331" s="1">
        <f t="shared" si="214"/>
        <v>0</v>
      </c>
    </row>
    <row r="332" spans="1:35" ht="14.25" customHeight="1" x14ac:dyDescent="0.25">
      <c r="A332" s="44">
        <v>0</v>
      </c>
      <c r="B332" s="44">
        <v>2</v>
      </c>
      <c r="C332" s="44">
        <v>2</v>
      </c>
      <c r="D332" s="45" t="s">
        <v>918</v>
      </c>
      <c r="E332" s="45" t="s">
        <v>785</v>
      </c>
      <c r="F332" s="45" t="s">
        <v>786</v>
      </c>
      <c r="G332" s="45" t="s">
        <v>230</v>
      </c>
      <c r="H332" s="45" t="s">
        <v>354</v>
      </c>
      <c r="I332" s="44" t="s">
        <v>788</v>
      </c>
      <c r="J332" s="44">
        <v>7</v>
      </c>
      <c r="K332" s="46" t="s">
        <v>712</v>
      </c>
      <c r="L332" s="46">
        <v>15</v>
      </c>
      <c r="M332" s="47" t="s">
        <v>39</v>
      </c>
      <c r="N332" s="47" t="s">
        <v>1735</v>
      </c>
      <c r="O332" s="48"/>
      <c r="P332" s="48"/>
      <c r="Q332" s="45"/>
      <c r="S332" s="1">
        <f t="shared" si="215"/>
        <v>0</v>
      </c>
      <c r="T332" s="1">
        <f t="shared" si="216"/>
        <v>0</v>
      </c>
      <c r="U332" s="1">
        <f t="shared" si="217"/>
        <v>0</v>
      </c>
      <c r="V332" s="1">
        <f t="shared" si="218"/>
        <v>0</v>
      </c>
      <c r="W332" s="1">
        <f t="shared" si="219"/>
        <v>0</v>
      </c>
      <c r="X332" s="1">
        <f t="shared" si="220"/>
        <v>0</v>
      </c>
      <c r="Y332" s="1">
        <f t="shared" si="221"/>
        <v>1</v>
      </c>
      <c r="Z332" s="1">
        <f t="shared" si="222"/>
        <v>0</v>
      </c>
      <c r="AA332" s="1">
        <f t="shared" si="223"/>
        <v>0</v>
      </c>
      <c r="AB332" s="1">
        <f t="shared" si="224"/>
        <v>0</v>
      </c>
      <c r="AD332" s="1">
        <f t="shared" si="225"/>
        <v>0</v>
      </c>
      <c r="AE332" s="1">
        <f t="shared" si="226"/>
        <v>0</v>
      </c>
      <c r="AF332" s="1">
        <f t="shared" si="211"/>
        <v>0</v>
      </c>
      <c r="AG332" s="1">
        <f t="shared" si="212"/>
        <v>0</v>
      </c>
      <c r="AH332" s="1">
        <f t="shared" si="213"/>
        <v>0</v>
      </c>
      <c r="AI332" s="1">
        <f t="shared" si="214"/>
        <v>1</v>
      </c>
    </row>
    <row r="333" spans="1:35" ht="14.25" customHeight="1" x14ac:dyDescent="0.25">
      <c r="A333" s="44">
        <v>0</v>
      </c>
      <c r="B333" s="44">
        <v>2</v>
      </c>
      <c r="C333" s="44">
        <v>2</v>
      </c>
      <c r="D333" s="45" t="s">
        <v>83</v>
      </c>
      <c r="E333" s="45" t="s">
        <v>157</v>
      </c>
      <c r="F333" s="65" t="s">
        <v>1872</v>
      </c>
      <c r="G333" s="45" t="s">
        <v>209</v>
      </c>
      <c r="H333" s="45" t="s">
        <v>354</v>
      </c>
      <c r="I333" s="44" t="s">
        <v>432</v>
      </c>
      <c r="J333" s="44">
        <v>99</v>
      </c>
      <c r="K333" s="46" t="s">
        <v>954</v>
      </c>
      <c r="L333" s="46" t="s">
        <v>704</v>
      </c>
      <c r="M333" s="47" t="s">
        <v>719</v>
      </c>
      <c r="N333" s="47" t="s">
        <v>1735</v>
      </c>
      <c r="O333" s="48"/>
      <c r="P333" s="48"/>
      <c r="Q333" s="45"/>
      <c r="S333" s="1">
        <f t="shared" si="215"/>
        <v>0</v>
      </c>
      <c r="T333" s="1">
        <f t="shared" si="216"/>
        <v>0</v>
      </c>
      <c r="U333" s="1">
        <f t="shared" si="217"/>
        <v>0</v>
      </c>
      <c r="V333" s="1">
        <f t="shared" si="218"/>
        <v>0</v>
      </c>
      <c r="W333" s="1">
        <f t="shared" si="219"/>
        <v>0</v>
      </c>
      <c r="X333" s="1">
        <f t="shared" si="220"/>
        <v>0</v>
      </c>
      <c r="Y333" s="1">
        <f t="shared" si="221"/>
        <v>0</v>
      </c>
      <c r="Z333" s="1">
        <f t="shared" si="222"/>
        <v>0</v>
      </c>
      <c r="AA333" s="1">
        <f t="shared" si="223"/>
        <v>0</v>
      </c>
      <c r="AB333" s="1">
        <f t="shared" si="224"/>
        <v>0</v>
      </c>
      <c r="AD333" s="1">
        <f t="shared" si="225"/>
        <v>0</v>
      </c>
      <c r="AE333" s="1">
        <f t="shared" si="226"/>
        <v>0</v>
      </c>
      <c r="AF333" s="1">
        <f t="shared" si="211"/>
        <v>0</v>
      </c>
      <c r="AG333" s="1">
        <f t="shared" si="212"/>
        <v>0</v>
      </c>
      <c r="AH333" s="1">
        <f t="shared" si="213"/>
        <v>0</v>
      </c>
      <c r="AI333" s="1">
        <f t="shared" si="214"/>
        <v>1</v>
      </c>
    </row>
    <row r="334" spans="1:35" ht="14.25" customHeight="1" x14ac:dyDescent="0.25">
      <c r="A334" s="31">
        <v>0</v>
      </c>
      <c r="B334" s="31">
        <v>2</v>
      </c>
      <c r="C334" s="31">
        <v>2</v>
      </c>
      <c r="D334" s="32" t="s">
        <v>1564</v>
      </c>
      <c r="E334" s="32" t="s">
        <v>1334</v>
      </c>
      <c r="F334" s="32" t="s">
        <v>1565</v>
      </c>
      <c r="G334" s="32" t="s">
        <v>1166</v>
      </c>
      <c r="H334" s="32" t="s">
        <v>354</v>
      </c>
      <c r="I334" s="31" t="s">
        <v>1566</v>
      </c>
      <c r="J334" s="31">
        <v>1</v>
      </c>
      <c r="K334" s="33" t="s">
        <v>713</v>
      </c>
      <c r="L334" s="33" t="s">
        <v>39</v>
      </c>
      <c r="M334" s="34" t="s">
        <v>39</v>
      </c>
      <c r="N334" s="34" t="s">
        <v>1727</v>
      </c>
      <c r="O334" s="35">
        <v>1</v>
      </c>
      <c r="P334" s="35">
        <v>1</v>
      </c>
      <c r="Q334" s="32"/>
      <c r="S334" s="1">
        <f t="shared" si="215"/>
        <v>1</v>
      </c>
      <c r="T334" s="1">
        <f t="shared" si="216"/>
        <v>0</v>
      </c>
      <c r="U334" s="1">
        <f t="shared" si="217"/>
        <v>0</v>
      </c>
      <c r="V334" s="1">
        <f t="shared" si="218"/>
        <v>0</v>
      </c>
      <c r="W334" s="1">
        <f t="shared" si="219"/>
        <v>0</v>
      </c>
      <c r="X334" s="1">
        <f t="shared" si="220"/>
        <v>0</v>
      </c>
      <c r="Y334" s="1">
        <f t="shared" si="221"/>
        <v>0</v>
      </c>
      <c r="Z334" s="1">
        <f t="shared" si="222"/>
        <v>0</v>
      </c>
      <c r="AA334" s="1">
        <f t="shared" si="223"/>
        <v>0</v>
      </c>
      <c r="AB334" s="1">
        <f t="shared" si="224"/>
        <v>0</v>
      </c>
      <c r="AD334" s="1">
        <f t="shared" si="225"/>
        <v>1</v>
      </c>
      <c r="AE334" s="1">
        <f t="shared" si="226"/>
        <v>0</v>
      </c>
      <c r="AF334" s="1">
        <f t="shared" si="211"/>
        <v>1</v>
      </c>
      <c r="AG334" s="1">
        <f t="shared" si="212"/>
        <v>0</v>
      </c>
      <c r="AH334" s="1">
        <f t="shared" si="213"/>
        <v>1</v>
      </c>
      <c r="AI334" s="1">
        <f t="shared" si="214"/>
        <v>0</v>
      </c>
    </row>
    <row r="335" spans="1:35" ht="14.25" customHeight="1" x14ac:dyDescent="0.25">
      <c r="A335" s="31">
        <v>0</v>
      </c>
      <c r="B335" s="31">
        <v>2</v>
      </c>
      <c r="C335" s="31">
        <v>2</v>
      </c>
      <c r="D335" s="32" t="s">
        <v>1744</v>
      </c>
      <c r="E335" s="32" t="s">
        <v>27</v>
      </c>
      <c r="F335" s="32" t="s">
        <v>1044</v>
      </c>
      <c r="G335" s="32" t="s">
        <v>220</v>
      </c>
      <c r="H335" s="32" t="s">
        <v>354</v>
      </c>
      <c r="I335" s="31" t="s">
        <v>1045</v>
      </c>
      <c r="J335" s="31">
        <v>8</v>
      </c>
      <c r="K335" s="33" t="s">
        <v>713</v>
      </c>
      <c r="L335" s="33">
        <v>25</v>
      </c>
      <c r="M335" s="34" t="s">
        <v>1745</v>
      </c>
      <c r="N335" s="34" t="s">
        <v>1727</v>
      </c>
      <c r="O335" s="35">
        <v>1</v>
      </c>
      <c r="P335" s="35">
        <v>1</v>
      </c>
      <c r="Q335" s="32"/>
      <c r="S335" s="1">
        <f t="shared" si="215"/>
        <v>0</v>
      </c>
      <c r="T335" s="1">
        <f t="shared" si="216"/>
        <v>0</v>
      </c>
      <c r="U335" s="1">
        <f t="shared" si="217"/>
        <v>0</v>
      </c>
      <c r="V335" s="1">
        <f t="shared" si="218"/>
        <v>0</v>
      </c>
      <c r="W335" s="1">
        <f t="shared" si="219"/>
        <v>0</v>
      </c>
      <c r="X335" s="1">
        <f t="shared" si="220"/>
        <v>0</v>
      </c>
      <c r="Y335" s="1">
        <f t="shared" si="221"/>
        <v>0</v>
      </c>
      <c r="Z335" s="1">
        <f t="shared" si="222"/>
        <v>1</v>
      </c>
      <c r="AA335" s="1">
        <f t="shared" si="223"/>
        <v>0</v>
      </c>
      <c r="AB335" s="1">
        <f t="shared" si="224"/>
        <v>0</v>
      </c>
      <c r="AD335" s="1">
        <f t="shared" si="225"/>
        <v>1</v>
      </c>
      <c r="AE335" s="1">
        <f t="shared" si="226"/>
        <v>0</v>
      </c>
      <c r="AF335" s="1">
        <f t="shared" si="211"/>
        <v>1</v>
      </c>
      <c r="AG335" s="1">
        <f t="shared" si="212"/>
        <v>0</v>
      </c>
      <c r="AH335" s="1">
        <f t="shared" si="213"/>
        <v>1</v>
      </c>
      <c r="AI335" s="1">
        <f t="shared" si="214"/>
        <v>0</v>
      </c>
    </row>
    <row r="336" spans="1:35" ht="14.25" customHeight="1" x14ac:dyDescent="0.25">
      <c r="A336" s="31">
        <v>0</v>
      </c>
      <c r="B336" s="31">
        <v>2</v>
      </c>
      <c r="C336" s="31">
        <v>2</v>
      </c>
      <c r="D336" s="32" t="s">
        <v>45</v>
      </c>
      <c r="E336" s="32" t="s">
        <v>44</v>
      </c>
      <c r="F336" s="32" t="s">
        <v>669</v>
      </c>
      <c r="G336" s="32" t="s">
        <v>180</v>
      </c>
      <c r="H336" s="32" t="s">
        <v>354</v>
      </c>
      <c r="I336" s="31" t="s">
        <v>949</v>
      </c>
      <c r="J336" s="31">
        <v>10</v>
      </c>
      <c r="K336" s="33" t="s">
        <v>713</v>
      </c>
      <c r="L336" s="33" t="s">
        <v>720</v>
      </c>
      <c r="M336" s="34" t="s">
        <v>721</v>
      </c>
      <c r="N336" s="34" t="s">
        <v>1727</v>
      </c>
      <c r="O336" s="35">
        <v>1</v>
      </c>
      <c r="P336" s="35">
        <v>1</v>
      </c>
      <c r="Q336" s="32"/>
      <c r="S336" s="1">
        <f t="shared" si="215"/>
        <v>0</v>
      </c>
      <c r="T336" s="1">
        <f t="shared" si="216"/>
        <v>0</v>
      </c>
      <c r="U336" s="1">
        <f t="shared" si="217"/>
        <v>0</v>
      </c>
      <c r="V336" s="1">
        <f t="shared" si="218"/>
        <v>0</v>
      </c>
      <c r="W336" s="1">
        <f t="shared" si="219"/>
        <v>0</v>
      </c>
      <c r="X336" s="1">
        <f t="shared" si="220"/>
        <v>0</v>
      </c>
      <c r="Y336" s="1">
        <f t="shared" si="221"/>
        <v>0</v>
      </c>
      <c r="Z336" s="1">
        <f t="shared" si="222"/>
        <v>0</v>
      </c>
      <c r="AA336" s="1">
        <f t="shared" si="223"/>
        <v>0</v>
      </c>
      <c r="AB336" s="1">
        <f t="shared" si="224"/>
        <v>1</v>
      </c>
      <c r="AD336" s="1">
        <f t="shared" si="225"/>
        <v>1</v>
      </c>
      <c r="AE336" s="1">
        <f t="shared" si="226"/>
        <v>0</v>
      </c>
      <c r="AF336" s="1">
        <f t="shared" si="211"/>
        <v>1</v>
      </c>
      <c r="AG336" s="1">
        <f t="shared" si="212"/>
        <v>0</v>
      </c>
      <c r="AH336" s="1">
        <f t="shared" si="213"/>
        <v>1</v>
      </c>
      <c r="AI336" s="1">
        <f t="shared" si="214"/>
        <v>0</v>
      </c>
    </row>
    <row r="337" spans="1:35" ht="14.25" customHeight="1" x14ac:dyDescent="0.25">
      <c r="A337" s="31">
        <v>0</v>
      </c>
      <c r="B337" s="31">
        <v>2</v>
      </c>
      <c r="C337" s="31">
        <v>2</v>
      </c>
      <c r="D337" s="32" t="s">
        <v>1448</v>
      </c>
      <c r="E337" s="32" t="s">
        <v>1653</v>
      </c>
      <c r="F337" s="32" t="s">
        <v>1668</v>
      </c>
      <c r="G337" s="32" t="s">
        <v>230</v>
      </c>
      <c r="H337" s="32" t="s">
        <v>354</v>
      </c>
      <c r="I337" s="31" t="s">
        <v>1449</v>
      </c>
      <c r="J337" s="31">
        <v>99</v>
      </c>
      <c r="K337" s="33" t="s">
        <v>955</v>
      </c>
      <c r="L337" s="33">
        <v>20</v>
      </c>
      <c r="M337" s="34" t="s">
        <v>39</v>
      </c>
      <c r="N337" s="34" t="s">
        <v>1727</v>
      </c>
      <c r="O337" s="35">
        <v>1</v>
      </c>
      <c r="P337" s="35">
        <v>1</v>
      </c>
      <c r="Q337" s="32"/>
      <c r="S337" s="1">
        <f t="shared" si="215"/>
        <v>0</v>
      </c>
      <c r="T337" s="1">
        <f t="shared" si="216"/>
        <v>0</v>
      </c>
      <c r="U337" s="1">
        <f t="shared" si="217"/>
        <v>0</v>
      </c>
      <c r="V337" s="1">
        <f t="shared" si="218"/>
        <v>0</v>
      </c>
      <c r="W337" s="1">
        <f t="shared" si="219"/>
        <v>0</v>
      </c>
      <c r="X337" s="1">
        <f t="shared" si="220"/>
        <v>0</v>
      </c>
      <c r="Y337" s="1">
        <f t="shared" si="221"/>
        <v>0</v>
      </c>
      <c r="Z337" s="1">
        <f t="shared" si="222"/>
        <v>0</v>
      </c>
      <c r="AA337" s="1">
        <f t="shared" si="223"/>
        <v>0</v>
      </c>
      <c r="AB337" s="1">
        <f t="shared" si="224"/>
        <v>0</v>
      </c>
      <c r="AD337" s="1">
        <f t="shared" si="225"/>
        <v>1</v>
      </c>
      <c r="AE337" s="1">
        <f t="shared" si="226"/>
        <v>0</v>
      </c>
      <c r="AF337" s="1">
        <f t="shared" si="211"/>
        <v>1</v>
      </c>
      <c r="AG337" s="1">
        <f t="shared" si="212"/>
        <v>0</v>
      </c>
      <c r="AH337" s="1">
        <f t="shared" si="213"/>
        <v>1</v>
      </c>
      <c r="AI337" s="1">
        <f t="shared" si="214"/>
        <v>0</v>
      </c>
    </row>
    <row r="338" spans="1:35" ht="14.25" customHeight="1" x14ac:dyDescent="0.25">
      <c r="A338" s="67">
        <v>0</v>
      </c>
      <c r="B338" s="67">
        <v>2</v>
      </c>
      <c r="C338" s="67">
        <v>2</v>
      </c>
      <c r="D338" s="54" t="s">
        <v>1993</v>
      </c>
      <c r="E338" s="54" t="s">
        <v>2078</v>
      </c>
      <c r="F338" s="54" t="s">
        <v>1994</v>
      </c>
      <c r="G338" s="54" t="s">
        <v>179</v>
      </c>
      <c r="H338" s="54" t="s">
        <v>354</v>
      </c>
      <c r="I338" s="67" t="s">
        <v>1995</v>
      </c>
      <c r="J338" s="67"/>
      <c r="K338" s="67" t="s">
        <v>703</v>
      </c>
      <c r="L338" s="67"/>
      <c r="M338" s="54"/>
      <c r="N338" s="54"/>
      <c r="O338" s="68"/>
      <c r="P338" s="68">
        <v>1</v>
      </c>
      <c r="Q338" s="54"/>
      <c r="S338" s="1">
        <f t="shared" si="215"/>
        <v>0</v>
      </c>
      <c r="T338" s="1">
        <f t="shared" si="216"/>
        <v>0</v>
      </c>
      <c r="U338" s="1">
        <f t="shared" si="217"/>
        <v>0</v>
      </c>
      <c r="V338" s="1">
        <f t="shared" si="218"/>
        <v>0</v>
      </c>
      <c r="W338" s="1">
        <f t="shared" si="219"/>
        <v>0</v>
      </c>
      <c r="X338" s="1">
        <f t="shared" si="220"/>
        <v>0</v>
      </c>
      <c r="Y338" s="1">
        <f t="shared" si="221"/>
        <v>0</v>
      </c>
      <c r="Z338" s="1">
        <f t="shared" si="222"/>
        <v>0</v>
      </c>
      <c r="AA338" s="1">
        <f t="shared" si="223"/>
        <v>0</v>
      </c>
      <c r="AB338" s="1">
        <f t="shared" si="224"/>
        <v>0</v>
      </c>
      <c r="AD338" s="1">
        <f t="shared" si="225"/>
        <v>0</v>
      </c>
      <c r="AE338" s="1">
        <f t="shared" si="226"/>
        <v>0</v>
      </c>
      <c r="AF338" s="1">
        <f t="shared" si="211"/>
        <v>0</v>
      </c>
      <c r="AG338" s="1">
        <f t="shared" si="212"/>
        <v>0</v>
      </c>
      <c r="AH338" s="1">
        <f t="shared" si="213"/>
        <v>1</v>
      </c>
      <c r="AI338" s="1">
        <f t="shared" si="214"/>
        <v>0</v>
      </c>
    </row>
    <row r="339" spans="1:35" ht="14.25" customHeight="1" x14ac:dyDescent="0.25">
      <c r="A339" s="49">
        <v>0</v>
      </c>
      <c r="B339" s="49">
        <v>2</v>
      </c>
      <c r="C339" s="49">
        <v>2</v>
      </c>
      <c r="D339" s="50" t="s">
        <v>606</v>
      </c>
      <c r="E339" s="50" t="s">
        <v>607</v>
      </c>
      <c r="F339" s="50" t="s">
        <v>608</v>
      </c>
      <c r="G339" s="50" t="s">
        <v>257</v>
      </c>
      <c r="H339" s="50" t="s">
        <v>354</v>
      </c>
      <c r="I339" s="49" t="s">
        <v>609</v>
      </c>
      <c r="J339" s="49">
        <v>99</v>
      </c>
      <c r="K339" s="51" t="s">
        <v>955</v>
      </c>
      <c r="L339" s="51" t="s">
        <v>704</v>
      </c>
      <c r="M339" s="52" t="s">
        <v>1414</v>
      </c>
      <c r="N339" s="52" t="s">
        <v>1743</v>
      </c>
      <c r="O339" s="53">
        <v>1</v>
      </c>
      <c r="P339" s="53"/>
      <c r="Q339" s="50"/>
      <c r="S339" s="1">
        <f t="shared" si="215"/>
        <v>0</v>
      </c>
      <c r="T339" s="1">
        <f t="shared" si="216"/>
        <v>0</v>
      </c>
      <c r="U339" s="1">
        <f t="shared" si="217"/>
        <v>0</v>
      </c>
      <c r="V339" s="1">
        <f t="shared" si="218"/>
        <v>0</v>
      </c>
      <c r="W339" s="1">
        <f t="shared" si="219"/>
        <v>0</v>
      </c>
      <c r="X339" s="1">
        <f t="shared" si="220"/>
        <v>0</v>
      </c>
      <c r="Y339" s="1">
        <f t="shared" si="221"/>
        <v>0</v>
      </c>
      <c r="Z339" s="1">
        <f t="shared" si="222"/>
        <v>0</v>
      </c>
      <c r="AA339" s="1">
        <f t="shared" si="223"/>
        <v>0</v>
      </c>
      <c r="AB339" s="1">
        <f t="shared" si="224"/>
        <v>0</v>
      </c>
      <c r="AD339" s="1">
        <f t="shared" si="225"/>
        <v>0</v>
      </c>
      <c r="AE339" s="1">
        <f t="shared" si="226"/>
        <v>1</v>
      </c>
      <c r="AF339" s="1">
        <f t="shared" si="211"/>
        <v>0</v>
      </c>
      <c r="AG339" s="1">
        <f t="shared" si="212"/>
        <v>1</v>
      </c>
      <c r="AH339" s="1">
        <f t="shared" si="213"/>
        <v>0</v>
      </c>
      <c r="AI339" s="1">
        <f t="shared" si="214"/>
        <v>1</v>
      </c>
    </row>
    <row r="340" spans="1:35" ht="14.25" customHeight="1" x14ac:dyDescent="0.25">
      <c r="A340" s="31">
        <v>0</v>
      </c>
      <c r="B340" s="31">
        <v>2</v>
      </c>
      <c r="C340" s="31">
        <v>2</v>
      </c>
      <c r="D340" s="32" t="s">
        <v>1925</v>
      </c>
      <c r="E340" s="32" t="s">
        <v>1926</v>
      </c>
      <c r="F340" s="32" t="s">
        <v>1927</v>
      </c>
      <c r="G340" s="32" t="s">
        <v>184</v>
      </c>
      <c r="H340" s="32" t="s">
        <v>354</v>
      </c>
      <c r="I340" s="31" t="s">
        <v>1929</v>
      </c>
      <c r="J340" s="31">
        <v>99</v>
      </c>
      <c r="K340" s="33" t="s">
        <v>703</v>
      </c>
      <c r="L340" s="33"/>
      <c r="M340" s="34"/>
      <c r="N340" s="34" t="s">
        <v>1727</v>
      </c>
      <c r="O340" s="35">
        <v>1</v>
      </c>
      <c r="P340" s="35">
        <v>1</v>
      </c>
      <c r="Q340" s="32" t="s">
        <v>1928</v>
      </c>
      <c r="S340" s="1">
        <f t="shared" si="215"/>
        <v>0</v>
      </c>
      <c r="T340" s="1">
        <f t="shared" si="216"/>
        <v>0</v>
      </c>
      <c r="U340" s="1">
        <f t="shared" si="217"/>
        <v>0</v>
      </c>
      <c r="V340" s="1">
        <f t="shared" si="218"/>
        <v>0</v>
      </c>
      <c r="W340" s="1">
        <f t="shared" si="219"/>
        <v>0</v>
      </c>
      <c r="X340" s="1">
        <f t="shared" si="220"/>
        <v>0</v>
      </c>
      <c r="Y340" s="1">
        <f t="shared" si="221"/>
        <v>0</v>
      </c>
      <c r="Z340" s="1">
        <f t="shared" si="222"/>
        <v>0</v>
      </c>
      <c r="AA340" s="1">
        <f t="shared" si="223"/>
        <v>0</v>
      </c>
      <c r="AB340" s="1">
        <f t="shared" si="224"/>
        <v>0</v>
      </c>
      <c r="AD340" s="1">
        <f t="shared" si="225"/>
        <v>1</v>
      </c>
      <c r="AE340" s="1">
        <f t="shared" si="226"/>
        <v>0</v>
      </c>
      <c r="AF340" s="1">
        <f t="shared" si="211"/>
        <v>1</v>
      </c>
      <c r="AG340" s="1">
        <f t="shared" si="212"/>
        <v>0</v>
      </c>
      <c r="AH340" s="1">
        <f t="shared" si="213"/>
        <v>1</v>
      </c>
      <c r="AI340" s="1">
        <f t="shared" si="214"/>
        <v>0</v>
      </c>
    </row>
    <row r="341" spans="1:35" ht="14.25" customHeight="1" x14ac:dyDescent="0.25">
      <c r="A341" s="44">
        <v>0</v>
      </c>
      <c r="B341" s="44">
        <v>2</v>
      </c>
      <c r="C341" s="44">
        <v>2</v>
      </c>
      <c r="D341" s="45" t="s">
        <v>1643</v>
      </c>
      <c r="E341" s="45" t="s">
        <v>1168</v>
      </c>
      <c r="F341" s="45" t="s">
        <v>1674</v>
      </c>
      <c r="G341" s="45" t="s">
        <v>180</v>
      </c>
      <c r="H341" s="45" t="s">
        <v>354</v>
      </c>
      <c r="I341" s="44" t="s">
        <v>1494</v>
      </c>
      <c r="J341" s="44">
        <v>10</v>
      </c>
      <c r="K341" s="46" t="s">
        <v>712</v>
      </c>
      <c r="L341" s="46">
        <v>15</v>
      </c>
      <c r="M341" s="47" t="s">
        <v>39</v>
      </c>
      <c r="N341" s="47" t="s">
        <v>1740</v>
      </c>
      <c r="O341" s="48"/>
      <c r="P341" s="48"/>
      <c r="Q341" s="45"/>
      <c r="S341" s="1">
        <f t="shared" si="215"/>
        <v>0</v>
      </c>
      <c r="T341" s="1">
        <f t="shared" si="216"/>
        <v>0</v>
      </c>
      <c r="U341" s="1">
        <f t="shared" si="217"/>
        <v>0</v>
      </c>
      <c r="V341" s="1">
        <f t="shared" si="218"/>
        <v>0</v>
      </c>
      <c r="W341" s="1">
        <f t="shared" si="219"/>
        <v>0</v>
      </c>
      <c r="X341" s="1">
        <f t="shared" si="220"/>
        <v>0</v>
      </c>
      <c r="Y341" s="1">
        <f t="shared" si="221"/>
        <v>0</v>
      </c>
      <c r="Z341" s="1">
        <f t="shared" si="222"/>
        <v>0</v>
      </c>
      <c r="AA341" s="1">
        <f t="shared" si="223"/>
        <v>0</v>
      </c>
      <c r="AB341" s="1">
        <f t="shared" si="224"/>
        <v>1</v>
      </c>
      <c r="AD341" s="1">
        <f t="shared" si="225"/>
        <v>0</v>
      </c>
      <c r="AE341" s="1">
        <f t="shared" si="226"/>
        <v>0</v>
      </c>
      <c r="AF341" s="1">
        <f t="shared" ref="AF341:AF405" si="233">+O341*P341*(1-A341)</f>
        <v>0</v>
      </c>
      <c r="AG341" s="1">
        <f t="shared" ref="AG341:AG405" si="234">O341*(1-P341)*(1-A341)</f>
        <v>0</v>
      </c>
      <c r="AH341" s="1">
        <f t="shared" ref="AH341:AH405" si="235">+P341*(1-A341)</f>
        <v>0</v>
      </c>
      <c r="AI341" s="1">
        <f t="shared" ref="AI341:AI405" si="236">+(1-A341)*(1-P341)</f>
        <v>1</v>
      </c>
    </row>
    <row r="342" spans="1:35" ht="14.25" customHeight="1" x14ac:dyDescent="0.25">
      <c r="A342" s="44">
        <v>0</v>
      </c>
      <c r="B342" s="44">
        <v>2</v>
      </c>
      <c r="C342" s="44">
        <v>2</v>
      </c>
      <c r="D342" s="45" t="s">
        <v>862</v>
      </c>
      <c r="E342" s="45" t="s">
        <v>544</v>
      </c>
      <c r="F342" s="45" t="s">
        <v>863</v>
      </c>
      <c r="G342" s="45" t="s">
        <v>314</v>
      </c>
      <c r="H342" s="45" t="s">
        <v>354</v>
      </c>
      <c r="I342" s="44" t="s">
        <v>864</v>
      </c>
      <c r="J342" s="44">
        <v>1</v>
      </c>
      <c r="K342" s="46" t="s">
        <v>712</v>
      </c>
      <c r="L342" s="46">
        <v>25</v>
      </c>
      <c r="M342" s="47" t="s">
        <v>39</v>
      </c>
      <c r="N342" s="47" t="s">
        <v>1735</v>
      </c>
      <c r="O342" s="48"/>
      <c r="P342" s="48"/>
      <c r="Q342" s="45"/>
      <c r="S342" s="1">
        <f t="shared" si="215"/>
        <v>1</v>
      </c>
      <c r="T342" s="1">
        <f t="shared" si="216"/>
        <v>0</v>
      </c>
      <c r="U342" s="1">
        <f t="shared" si="217"/>
        <v>0</v>
      </c>
      <c r="V342" s="1">
        <f t="shared" si="218"/>
        <v>0</v>
      </c>
      <c r="W342" s="1">
        <f t="shared" si="219"/>
        <v>0</v>
      </c>
      <c r="X342" s="1">
        <f t="shared" si="220"/>
        <v>0</v>
      </c>
      <c r="Y342" s="1">
        <f t="shared" si="221"/>
        <v>0</v>
      </c>
      <c r="Z342" s="1">
        <f t="shared" si="222"/>
        <v>0</v>
      </c>
      <c r="AA342" s="1">
        <f t="shared" si="223"/>
        <v>0</v>
      </c>
      <c r="AB342" s="1">
        <f t="shared" si="224"/>
        <v>0</v>
      </c>
      <c r="AD342" s="1">
        <f t="shared" si="225"/>
        <v>0</v>
      </c>
      <c r="AE342" s="1">
        <f t="shared" si="226"/>
        <v>0</v>
      </c>
      <c r="AF342" s="1">
        <f t="shared" si="233"/>
        <v>0</v>
      </c>
      <c r="AG342" s="1">
        <f t="shared" si="234"/>
        <v>0</v>
      </c>
      <c r="AH342" s="1">
        <f t="shared" si="235"/>
        <v>0</v>
      </c>
      <c r="AI342" s="1">
        <f t="shared" si="236"/>
        <v>1</v>
      </c>
    </row>
    <row r="343" spans="1:35" ht="14.25" customHeight="1" x14ac:dyDescent="0.25">
      <c r="A343" s="31">
        <v>0</v>
      </c>
      <c r="B343" s="31">
        <v>2</v>
      </c>
      <c r="C343" s="31">
        <v>3</v>
      </c>
      <c r="D343" s="32" t="s">
        <v>568</v>
      </c>
      <c r="E343" s="32" t="s">
        <v>38</v>
      </c>
      <c r="F343" s="32" t="s">
        <v>237</v>
      </c>
      <c r="G343" s="32" t="s">
        <v>539</v>
      </c>
      <c r="H343" s="32" t="s">
        <v>354</v>
      </c>
      <c r="I343" s="31" t="s">
        <v>403</v>
      </c>
      <c r="J343" s="31">
        <v>1</v>
      </c>
      <c r="K343" s="33" t="s">
        <v>712</v>
      </c>
      <c r="L343" s="33" t="s">
        <v>724</v>
      </c>
      <c r="M343" s="34" t="s">
        <v>725</v>
      </c>
      <c r="N343" s="34" t="s">
        <v>1727</v>
      </c>
      <c r="O343" s="35">
        <v>1</v>
      </c>
      <c r="P343" s="35">
        <v>1</v>
      </c>
      <c r="Q343" s="32"/>
      <c r="S343" s="1">
        <f t="shared" si="215"/>
        <v>1</v>
      </c>
      <c r="T343" s="1">
        <f t="shared" si="216"/>
        <v>0</v>
      </c>
      <c r="U343" s="1">
        <f t="shared" si="217"/>
        <v>0</v>
      </c>
      <c r="V343" s="1">
        <f t="shared" si="218"/>
        <v>0</v>
      </c>
      <c r="W343" s="1">
        <f t="shared" si="219"/>
        <v>0</v>
      </c>
      <c r="X343" s="1">
        <f t="shared" si="220"/>
        <v>0</v>
      </c>
      <c r="Y343" s="1">
        <f t="shared" si="221"/>
        <v>0</v>
      </c>
      <c r="Z343" s="1">
        <f t="shared" si="222"/>
        <v>0</v>
      </c>
      <c r="AA343" s="1">
        <f t="shared" si="223"/>
        <v>0</v>
      </c>
      <c r="AB343" s="1">
        <f t="shared" si="224"/>
        <v>0</v>
      </c>
      <c r="AD343" s="1">
        <f t="shared" si="225"/>
        <v>1</v>
      </c>
      <c r="AE343" s="1">
        <f t="shared" si="226"/>
        <v>0</v>
      </c>
      <c r="AF343" s="1">
        <f t="shared" si="233"/>
        <v>1</v>
      </c>
      <c r="AG343" s="1">
        <f t="shared" si="234"/>
        <v>0</v>
      </c>
      <c r="AH343" s="1">
        <f t="shared" si="235"/>
        <v>1</v>
      </c>
      <c r="AI343" s="1">
        <f t="shared" si="236"/>
        <v>0</v>
      </c>
    </row>
    <row r="344" spans="1:35" ht="14.25" customHeight="1" x14ac:dyDescent="0.25">
      <c r="A344" s="44">
        <v>0</v>
      </c>
      <c r="B344" s="44">
        <v>2</v>
      </c>
      <c r="C344" s="44">
        <v>3</v>
      </c>
      <c r="D344" s="45" t="s">
        <v>850</v>
      </c>
      <c r="E344" s="45" t="s">
        <v>34</v>
      </c>
      <c r="F344" s="45" t="s">
        <v>926</v>
      </c>
      <c r="G344" s="45" t="s">
        <v>638</v>
      </c>
      <c r="H344" s="45" t="s">
        <v>354</v>
      </c>
      <c r="I344" s="44" t="s">
        <v>851</v>
      </c>
      <c r="J344" s="44">
        <v>1</v>
      </c>
      <c r="K344" s="46" t="s">
        <v>954</v>
      </c>
      <c r="L344" s="46" t="s">
        <v>729</v>
      </c>
      <c r="M344" s="47" t="s">
        <v>723</v>
      </c>
      <c r="N344" s="47" t="s">
        <v>1735</v>
      </c>
      <c r="O344" s="48"/>
      <c r="P344" s="48"/>
      <c r="Q344" s="45"/>
      <c r="S344" s="1">
        <f t="shared" si="215"/>
        <v>1</v>
      </c>
      <c r="T344" s="1">
        <f t="shared" si="216"/>
        <v>0</v>
      </c>
      <c r="U344" s="1">
        <f t="shared" si="217"/>
        <v>0</v>
      </c>
      <c r="V344" s="1">
        <f t="shared" si="218"/>
        <v>0</v>
      </c>
      <c r="W344" s="1">
        <f t="shared" si="219"/>
        <v>0</v>
      </c>
      <c r="X344" s="1">
        <f t="shared" si="220"/>
        <v>0</v>
      </c>
      <c r="Y344" s="1">
        <f t="shared" si="221"/>
        <v>0</v>
      </c>
      <c r="Z344" s="1">
        <f t="shared" si="222"/>
        <v>0</v>
      </c>
      <c r="AA344" s="1">
        <f t="shared" si="223"/>
        <v>0</v>
      </c>
      <c r="AB344" s="1">
        <f t="shared" si="224"/>
        <v>0</v>
      </c>
      <c r="AD344" s="1">
        <f t="shared" si="225"/>
        <v>0</v>
      </c>
      <c r="AE344" s="1">
        <f t="shared" si="226"/>
        <v>0</v>
      </c>
      <c r="AF344" s="1">
        <f t="shared" si="233"/>
        <v>0</v>
      </c>
      <c r="AG344" s="1">
        <f t="shared" si="234"/>
        <v>0</v>
      </c>
      <c r="AH344" s="1">
        <f t="shared" si="235"/>
        <v>0</v>
      </c>
      <c r="AI344" s="1">
        <f t="shared" si="236"/>
        <v>1</v>
      </c>
    </row>
    <row r="345" spans="1:35" ht="14.25" customHeight="1" x14ac:dyDescent="0.25">
      <c r="A345" s="15">
        <v>0</v>
      </c>
      <c r="B345" s="15">
        <v>2</v>
      </c>
      <c r="C345" s="15">
        <v>3</v>
      </c>
      <c r="D345" s="16" t="s">
        <v>793</v>
      </c>
      <c r="E345" s="16" t="s">
        <v>32</v>
      </c>
      <c r="F345" s="16" t="s">
        <v>794</v>
      </c>
      <c r="G345" s="16" t="s">
        <v>251</v>
      </c>
      <c r="H345" s="16" t="s">
        <v>354</v>
      </c>
      <c r="I345" s="15" t="s">
        <v>795</v>
      </c>
      <c r="J345" s="15">
        <v>99</v>
      </c>
      <c r="K345" s="10" t="s">
        <v>713</v>
      </c>
      <c r="L345" s="10" t="s">
        <v>722</v>
      </c>
      <c r="M345" s="19" t="s">
        <v>723</v>
      </c>
      <c r="N345" s="19"/>
      <c r="Q345" s="16"/>
      <c r="S345" s="1">
        <f t="shared" ref="S345:S409" si="237">IF(J345=$S$7,1,0)</f>
        <v>0</v>
      </c>
      <c r="T345" s="1">
        <f t="shared" ref="T345:T409" si="238">IF(J345=$T$7,1,0)</f>
        <v>0</v>
      </c>
      <c r="U345" s="1">
        <f t="shared" ref="U345:U409" si="239">IF(J345=$U$7,1,0)</f>
        <v>0</v>
      </c>
      <c r="V345" s="1">
        <f t="shared" ref="V345:V409" si="240">IF(J345=$V$7,1,0)</f>
        <v>0</v>
      </c>
      <c r="W345" s="1">
        <f t="shared" ref="W345:W409" si="241">IF(J345=$W$7,1,0)</f>
        <v>0</v>
      </c>
      <c r="X345" s="1">
        <f t="shared" ref="X345:X409" si="242">IF(J345=$X$7,1,0)</f>
        <v>0</v>
      </c>
      <c r="Y345" s="1">
        <f t="shared" ref="Y345:Y409" si="243">IF(J345=$Y$7,1,0)</f>
        <v>0</v>
      </c>
      <c r="Z345" s="1">
        <f t="shared" ref="Z345:Z409" si="244">IF(J345=$Z$7,1,0)</f>
        <v>0</v>
      </c>
      <c r="AA345" s="1">
        <f t="shared" ref="AA345:AA409" si="245">IF(J345=$AA$7,1,0)</f>
        <v>0</v>
      </c>
      <c r="AB345" s="1">
        <f t="shared" ref="AB345:AB409" si="246">IF(J345=$AB$7,1,0)</f>
        <v>0</v>
      </c>
      <c r="AD345" s="1">
        <f t="shared" ref="AD345:AD409" si="247">+O345*P345</f>
        <v>0</v>
      </c>
      <c r="AE345" s="1">
        <f t="shared" ref="AE345:AE409" si="248">O345*(1-P345)</f>
        <v>0</v>
      </c>
      <c r="AF345" s="1">
        <f t="shared" si="233"/>
        <v>0</v>
      </c>
      <c r="AG345" s="1">
        <f t="shared" si="234"/>
        <v>0</v>
      </c>
      <c r="AH345" s="1">
        <f t="shared" si="235"/>
        <v>0</v>
      </c>
      <c r="AI345" s="1">
        <f t="shared" si="236"/>
        <v>1</v>
      </c>
    </row>
    <row r="346" spans="1:35" ht="14.25" customHeight="1" x14ac:dyDescent="0.25">
      <c r="A346" s="44">
        <v>0</v>
      </c>
      <c r="B346" s="44">
        <v>2</v>
      </c>
      <c r="C346" s="44">
        <v>3</v>
      </c>
      <c r="D346" s="45" t="s">
        <v>56</v>
      </c>
      <c r="E346" s="45" t="s">
        <v>161</v>
      </c>
      <c r="F346" s="45" t="s">
        <v>219</v>
      </c>
      <c r="G346" s="45" t="s">
        <v>196</v>
      </c>
      <c r="H346" s="45" t="s">
        <v>354</v>
      </c>
      <c r="I346" s="44" t="s">
        <v>551</v>
      </c>
      <c r="J346" s="44">
        <v>99</v>
      </c>
      <c r="K346" s="46" t="s">
        <v>713</v>
      </c>
      <c r="L346" s="46" t="s">
        <v>722</v>
      </c>
      <c r="M346" s="47" t="s">
        <v>723</v>
      </c>
      <c r="N346" s="47" t="s">
        <v>1802</v>
      </c>
      <c r="O346" s="48"/>
      <c r="P346" s="48"/>
      <c r="Q346" s="45"/>
      <c r="S346" s="1">
        <f t="shared" si="237"/>
        <v>0</v>
      </c>
      <c r="T346" s="1">
        <f t="shared" si="238"/>
        <v>0</v>
      </c>
      <c r="U346" s="1">
        <f t="shared" si="239"/>
        <v>0</v>
      </c>
      <c r="V346" s="1">
        <f t="shared" si="240"/>
        <v>0</v>
      </c>
      <c r="W346" s="1">
        <f t="shared" si="241"/>
        <v>0</v>
      </c>
      <c r="X346" s="1">
        <f t="shared" si="242"/>
        <v>0</v>
      </c>
      <c r="Y346" s="1">
        <f t="shared" si="243"/>
        <v>0</v>
      </c>
      <c r="Z346" s="1">
        <f t="shared" si="244"/>
        <v>0</v>
      </c>
      <c r="AA346" s="1">
        <f t="shared" si="245"/>
        <v>0</v>
      </c>
      <c r="AB346" s="1">
        <f t="shared" si="246"/>
        <v>0</v>
      </c>
      <c r="AD346" s="1">
        <f t="shared" si="247"/>
        <v>0</v>
      </c>
      <c r="AE346" s="1">
        <f t="shared" si="248"/>
        <v>0</v>
      </c>
      <c r="AF346" s="1">
        <f t="shared" si="233"/>
        <v>0</v>
      </c>
      <c r="AG346" s="1">
        <f t="shared" si="234"/>
        <v>0</v>
      </c>
      <c r="AH346" s="1">
        <f t="shared" si="235"/>
        <v>0</v>
      </c>
      <c r="AI346" s="1">
        <f t="shared" si="236"/>
        <v>1</v>
      </c>
    </row>
    <row r="347" spans="1:35" ht="14.25" customHeight="1" x14ac:dyDescent="0.25">
      <c r="A347" s="44">
        <v>0</v>
      </c>
      <c r="B347" s="44">
        <v>2</v>
      </c>
      <c r="C347" s="44">
        <v>3</v>
      </c>
      <c r="D347" s="45" t="s">
        <v>1175</v>
      </c>
      <c r="E347" s="45" t="s">
        <v>1335</v>
      </c>
      <c r="F347" s="45" t="s">
        <v>1176</v>
      </c>
      <c r="G347" s="45" t="s">
        <v>302</v>
      </c>
      <c r="H347" s="45" t="s">
        <v>354</v>
      </c>
      <c r="I347" s="44" t="s">
        <v>1177</v>
      </c>
      <c r="J347" s="44">
        <v>1</v>
      </c>
      <c r="K347" s="46" t="s">
        <v>955</v>
      </c>
      <c r="L347" s="46" t="s">
        <v>693</v>
      </c>
      <c r="M347" s="47" t="s">
        <v>1415</v>
      </c>
      <c r="N347" s="47" t="s">
        <v>1735</v>
      </c>
      <c r="O347" s="48"/>
      <c r="P347" s="48"/>
      <c r="Q347" s="45"/>
      <c r="S347" s="1">
        <f t="shared" si="237"/>
        <v>1</v>
      </c>
      <c r="T347" s="1">
        <f t="shared" si="238"/>
        <v>0</v>
      </c>
      <c r="U347" s="1">
        <f t="shared" si="239"/>
        <v>0</v>
      </c>
      <c r="V347" s="1">
        <f t="shared" si="240"/>
        <v>0</v>
      </c>
      <c r="W347" s="1">
        <f t="shared" si="241"/>
        <v>0</v>
      </c>
      <c r="X347" s="1">
        <f t="shared" si="242"/>
        <v>0</v>
      </c>
      <c r="Y347" s="1">
        <f t="shared" si="243"/>
        <v>0</v>
      </c>
      <c r="Z347" s="1">
        <f t="shared" si="244"/>
        <v>0</v>
      </c>
      <c r="AA347" s="1">
        <f t="shared" si="245"/>
        <v>0</v>
      </c>
      <c r="AB347" s="1">
        <f t="shared" si="246"/>
        <v>0</v>
      </c>
      <c r="AD347" s="1">
        <f t="shared" si="247"/>
        <v>0</v>
      </c>
      <c r="AE347" s="1">
        <f t="shared" si="248"/>
        <v>0</v>
      </c>
      <c r="AF347" s="1">
        <f t="shared" si="233"/>
        <v>0</v>
      </c>
      <c r="AG347" s="1">
        <f t="shared" si="234"/>
        <v>0</v>
      </c>
      <c r="AH347" s="1">
        <f t="shared" si="235"/>
        <v>0</v>
      </c>
      <c r="AI347" s="1">
        <f t="shared" si="236"/>
        <v>1</v>
      </c>
    </row>
    <row r="348" spans="1:35" ht="14.25" customHeight="1" x14ac:dyDescent="0.25">
      <c r="A348" s="44">
        <v>0</v>
      </c>
      <c r="B348" s="44">
        <v>2</v>
      </c>
      <c r="C348" s="44">
        <v>3</v>
      </c>
      <c r="D348" s="45" t="s">
        <v>1172</v>
      </c>
      <c r="E348" s="45" t="s">
        <v>1335</v>
      </c>
      <c r="F348" s="45" t="s">
        <v>1173</v>
      </c>
      <c r="G348" s="45" t="s">
        <v>1056</v>
      </c>
      <c r="H348" s="45" t="s">
        <v>354</v>
      </c>
      <c r="I348" s="44" t="s">
        <v>1174</v>
      </c>
      <c r="J348" s="44">
        <v>1</v>
      </c>
      <c r="K348" s="46" t="s">
        <v>713</v>
      </c>
      <c r="L348" s="46" t="s">
        <v>693</v>
      </c>
      <c r="M348" s="47" t="s">
        <v>1415</v>
      </c>
      <c r="N348" s="47" t="s">
        <v>1735</v>
      </c>
      <c r="O348" s="48"/>
      <c r="P348" s="48"/>
      <c r="Q348" s="45"/>
      <c r="S348" s="1">
        <f t="shared" si="237"/>
        <v>1</v>
      </c>
      <c r="T348" s="1">
        <f t="shared" si="238"/>
        <v>0</v>
      </c>
      <c r="U348" s="1">
        <f t="shared" si="239"/>
        <v>0</v>
      </c>
      <c r="V348" s="1">
        <f t="shared" si="240"/>
        <v>0</v>
      </c>
      <c r="W348" s="1">
        <f t="shared" si="241"/>
        <v>0</v>
      </c>
      <c r="X348" s="1">
        <f t="shared" si="242"/>
        <v>0</v>
      </c>
      <c r="Y348" s="1">
        <f t="shared" si="243"/>
        <v>0</v>
      </c>
      <c r="Z348" s="1">
        <f t="shared" si="244"/>
        <v>0</v>
      </c>
      <c r="AA348" s="1">
        <f t="shared" si="245"/>
        <v>0</v>
      </c>
      <c r="AB348" s="1">
        <f t="shared" si="246"/>
        <v>0</v>
      </c>
      <c r="AD348" s="1">
        <f t="shared" si="247"/>
        <v>0</v>
      </c>
      <c r="AE348" s="1">
        <f t="shared" si="248"/>
        <v>0</v>
      </c>
      <c r="AF348" s="1">
        <f t="shared" si="233"/>
        <v>0</v>
      </c>
      <c r="AG348" s="1">
        <f t="shared" si="234"/>
        <v>0</v>
      </c>
      <c r="AH348" s="1">
        <f t="shared" si="235"/>
        <v>0</v>
      </c>
      <c r="AI348" s="1">
        <f t="shared" si="236"/>
        <v>1</v>
      </c>
    </row>
    <row r="349" spans="1:35" ht="14.25" customHeight="1" x14ac:dyDescent="0.25">
      <c r="A349" s="31">
        <v>0</v>
      </c>
      <c r="B349" s="31">
        <v>2</v>
      </c>
      <c r="C349" s="31">
        <v>3</v>
      </c>
      <c r="D349" s="32" t="s">
        <v>1294</v>
      </c>
      <c r="E349" s="32" t="s">
        <v>32</v>
      </c>
      <c r="F349" s="32" t="s">
        <v>1295</v>
      </c>
      <c r="G349" s="32" t="s">
        <v>222</v>
      </c>
      <c r="H349" s="32" t="s">
        <v>354</v>
      </c>
      <c r="I349" s="31" t="s">
        <v>1689</v>
      </c>
      <c r="J349" s="31">
        <v>99</v>
      </c>
      <c r="K349" s="33" t="s">
        <v>713</v>
      </c>
      <c r="L349" s="33" t="s">
        <v>716</v>
      </c>
      <c r="M349" s="34" t="s">
        <v>1296</v>
      </c>
      <c r="N349" s="34" t="s">
        <v>1727</v>
      </c>
      <c r="O349" s="35">
        <v>1</v>
      </c>
      <c r="P349" s="35">
        <v>1</v>
      </c>
      <c r="Q349" s="32"/>
      <c r="S349" s="1">
        <f t="shared" si="237"/>
        <v>0</v>
      </c>
      <c r="T349" s="1">
        <f t="shared" si="238"/>
        <v>0</v>
      </c>
      <c r="U349" s="1">
        <f t="shared" si="239"/>
        <v>0</v>
      </c>
      <c r="V349" s="1">
        <f t="shared" si="240"/>
        <v>0</v>
      </c>
      <c r="W349" s="1">
        <f t="shared" si="241"/>
        <v>0</v>
      </c>
      <c r="X349" s="1">
        <f t="shared" si="242"/>
        <v>0</v>
      </c>
      <c r="Y349" s="1">
        <f t="shared" si="243"/>
        <v>0</v>
      </c>
      <c r="Z349" s="1">
        <f t="shared" si="244"/>
        <v>0</v>
      </c>
      <c r="AA349" s="1">
        <f t="shared" si="245"/>
        <v>0</v>
      </c>
      <c r="AB349" s="1">
        <f t="shared" si="246"/>
        <v>0</v>
      </c>
      <c r="AD349" s="1">
        <f t="shared" si="247"/>
        <v>1</v>
      </c>
      <c r="AE349" s="1">
        <f t="shared" si="248"/>
        <v>0</v>
      </c>
      <c r="AF349" s="1">
        <f t="shared" si="233"/>
        <v>1</v>
      </c>
      <c r="AG349" s="1">
        <f t="shared" si="234"/>
        <v>0</v>
      </c>
      <c r="AH349" s="1">
        <f t="shared" si="235"/>
        <v>1</v>
      </c>
      <c r="AI349" s="1">
        <f t="shared" si="236"/>
        <v>0</v>
      </c>
    </row>
    <row r="350" spans="1:35" ht="14.25" customHeight="1" x14ac:dyDescent="0.25">
      <c r="A350" s="31">
        <v>0</v>
      </c>
      <c r="B350" s="31">
        <v>2</v>
      </c>
      <c r="C350" s="31">
        <v>3</v>
      </c>
      <c r="D350" s="32" t="s">
        <v>761</v>
      </c>
      <c r="E350" s="32" t="s">
        <v>913</v>
      </c>
      <c r="F350" s="32" t="s">
        <v>762</v>
      </c>
      <c r="G350" s="32" t="s">
        <v>220</v>
      </c>
      <c r="H350" s="32" t="s">
        <v>354</v>
      </c>
      <c r="I350" s="31" t="s">
        <v>763</v>
      </c>
      <c r="J350" s="31">
        <v>8</v>
      </c>
      <c r="K350" s="33" t="s">
        <v>955</v>
      </c>
      <c r="L350" s="33" t="s">
        <v>729</v>
      </c>
      <c r="M350" s="34" t="s">
        <v>723</v>
      </c>
      <c r="N350" s="34" t="s">
        <v>1748</v>
      </c>
      <c r="O350" s="35">
        <v>1</v>
      </c>
      <c r="P350" s="35"/>
      <c r="Q350" s="32"/>
      <c r="S350" s="1">
        <f t="shared" si="237"/>
        <v>0</v>
      </c>
      <c r="T350" s="1">
        <f t="shared" si="238"/>
        <v>0</v>
      </c>
      <c r="U350" s="1">
        <f t="shared" si="239"/>
        <v>0</v>
      </c>
      <c r="V350" s="1">
        <f t="shared" si="240"/>
        <v>0</v>
      </c>
      <c r="W350" s="1">
        <f t="shared" si="241"/>
        <v>0</v>
      </c>
      <c r="X350" s="1">
        <f t="shared" si="242"/>
        <v>0</v>
      </c>
      <c r="Y350" s="1">
        <f t="shared" si="243"/>
        <v>0</v>
      </c>
      <c r="Z350" s="1">
        <f t="shared" si="244"/>
        <v>1</v>
      </c>
      <c r="AA350" s="1">
        <f t="shared" si="245"/>
        <v>0</v>
      </c>
      <c r="AB350" s="1">
        <f t="shared" si="246"/>
        <v>0</v>
      </c>
      <c r="AD350" s="1">
        <f t="shared" si="247"/>
        <v>0</v>
      </c>
      <c r="AE350" s="1">
        <f t="shared" si="248"/>
        <v>1</v>
      </c>
      <c r="AF350" s="1">
        <f t="shared" si="233"/>
        <v>0</v>
      </c>
      <c r="AG350" s="1">
        <f t="shared" si="234"/>
        <v>1</v>
      </c>
      <c r="AH350" s="1">
        <f t="shared" si="235"/>
        <v>0</v>
      </c>
      <c r="AI350" s="1">
        <f t="shared" si="236"/>
        <v>1</v>
      </c>
    </row>
    <row r="351" spans="1:35" ht="14.25" customHeight="1" x14ac:dyDescent="0.25">
      <c r="A351" s="44">
        <v>0</v>
      </c>
      <c r="B351" s="44">
        <v>2</v>
      </c>
      <c r="C351" s="44">
        <v>3</v>
      </c>
      <c r="D351" s="45" t="s">
        <v>1495</v>
      </c>
      <c r="E351" s="45" t="s">
        <v>1496</v>
      </c>
      <c r="F351" s="45" t="s">
        <v>1497</v>
      </c>
      <c r="G351" s="45" t="s">
        <v>238</v>
      </c>
      <c r="H351" s="45" t="s">
        <v>354</v>
      </c>
      <c r="I351" s="44" t="s">
        <v>1498</v>
      </c>
      <c r="J351" s="44">
        <v>4</v>
      </c>
      <c r="K351" s="46" t="s">
        <v>712</v>
      </c>
      <c r="L351" s="46">
        <v>15</v>
      </c>
      <c r="M351" s="47" t="s">
        <v>39</v>
      </c>
      <c r="N351" s="47" t="s">
        <v>1802</v>
      </c>
      <c r="O351" s="48"/>
      <c r="P351" s="48"/>
      <c r="Q351" s="45"/>
      <c r="S351" s="1">
        <f t="shared" si="237"/>
        <v>0</v>
      </c>
      <c r="T351" s="1">
        <f t="shared" si="238"/>
        <v>0</v>
      </c>
      <c r="U351" s="1">
        <f t="shared" si="239"/>
        <v>0</v>
      </c>
      <c r="V351" s="1">
        <f t="shared" si="240"/>
        <v>1</v>
      </c>
      <c r="W351" s="1">
        <f t="shared" si="241"/>
        <v>0</v>
      </c>
      <c r="X351" s="1">
        <f t="shared" si="242"/>
        <v>0</v>
      </c>
      <c r="Y351" s="1">
        <f t="shared" si="243"/>
        <v>0</v>
      </c>
      <c r="Z351" s="1">
        <f t="shared" si="244"/>
        <v>0</v>
      </c>
      <c r="AA351" s="1">
        <f t="shared" si="245"/>
        <v>0</v>
      </c>
      <c r="AB351" s="1">
        <f t="shared" si="246"/>
        <v>0</v>
      </c>
      <c r="AD351" s="1">
        <f t="shared" si="247"/>
        <v>0</v>
      </c>
      <c r="AE351" s="1">
        <f t="shared" si="248"/>
        <v>0</v>
      </c>
      <c r="AF351" s="1">
        <f t="shared" si="233"/>
        <v>0</v>
      </c>
      <c r="AG351" s="1">
        <f t="shared" si="234"/>
        <v>0</v>
      </c>
      <c r="AH351" s="1">
        <f t="shared" si="235"/>
        <v>0</v>
      </c>
      <c r="AI351" s="1">
        <f t="shared" si="236"/>
        <v>1</v>
      </c>
    </row>
    <row r="352" spans="1:35" ht="14.25" customHeight="1" x14ac:dyDescent="0.25">
      <c r="A352" s="31">
        <v>0</v>
      </c>
      <c r="B352" s="31">
        <v>2</v>
      </c>
      <c r="C352" s="31">
        <v>3</v>
      </c>
      <c r="D352" s="32" t="s">
        <v>1553</v>
      </c>
      <c r="E352" s="32" t="s">
        <v>1554</v>
      </c>
      <c r="F352" s="32" t="s">
        <v>1555</v>
      </c>
      <c r="G352" s="32" t="s">
        <v>1556</v>
      </c>
      <c r="H352" s="32" t="s">
        <v>354</v>
      </c>
      <c r="I352" s="31" t="s">
        <v>1557</v>
      </c>
      <c r="J352" s="31">
        <v>7</v>
      </c>
      <c r="K352" s="33" t="s">
        <v>955</v>
      </c>
      <c r="L352" s="33">
        <v>10</v>
      </c>
      <c r="M352" s="34" t="s">
        <v>39</v>
      </c>
      <c r="N352" s="34" t="s">
        <v>1743</v>
      </c>
      <c r="O352" s="35">
        <v>1</v>
      </c>
      <c r="P352" s="35"/>
      <c r="Q352" s="32"/>
      <c r="S352" s="1">
        <f t="shared" si="237"/>
        <v>0</v>
      </c>
      <c r="T352" s="1">
        <f t="shared" si="238"/>
        <v>0</v>
      </c>
      <c r="U352" s="1">
        <f t="shared" si="239"/>
        <v>0</v>
      </c>
      <c r="V352" s="1">
        <f t="shared" si="240"/>
        <v>0</v>
      </c>
      <c r="W352" s="1">
        <f t="shared" si="241"/>
        <v>0</v>
      </c>
      <c r="X352" s="1">
        <f t="shared" si="242"/>
        <v>0</v>
      </c>
      <c r="Y352" s="1">
        <f t="shared" si="243"/>
        <v>1</v>
      </c>
      <c r="Z352" s="1">
        <f t="shared" si="244"/>
        <v>0</v>
      </c>
      <c r="AA352" s="1">
        <f t="shared" si="245"/>
        <v>0</v>
      </c>
      <c r="AB352" s="1">
        <f t="shared" si="246"/>
        <v>0</v>
      </c>
      <c r="AD352" s="1">
        <f t="shared" si="247"/>
        <v>0</v>
      </c>
      <c r="AE352" s="1">
        <f t="shared" si="248"/>
        <v>1</v>
      </c>
      <c r="AF352" s="1">
        <f t="shared" si="233"/>
        <v>0</v>
      </c>
      <c r="AG352" s="1">
        <f t="shared" si="234"/>
        <v>1</v>
      </c>
      <c r="AH352" s="1">
        <f t="shared" si="235"/>
        <v>0</v>
      </c>
      <c r="AI352" s="1">
        <f t="shared" si="236"/>
        <v>1</v>
      </c>
    </row>
    <row r="353" spans="1:35" ht="14.25" customHeight="1" x14ac:dyDescent="0.25">
      <c r="A353" s="44">
        <v>0</v>
      </c>
      <c r="B353" s="44">
        <v>2</v>
      </c>
      <c r="C353" s="44">
        <v>3</v>
      </c>
      <c r="D353" s="45" t="s">
        <v>841</v>
      </c>
      <c r="E353" s="45" t="s">
        <v>32</v>
      </c>
      <c r="F353" s="45" t="s">
        <v>843</v>
      </c>
      <c r="G353" s="45" t="s">
        <v>39</v>
      </c>
      <c r="H353" s="45" t="s">
        <v>354</v>
      </c>
      <c r="I353" s="44" t="s">
        <v>842</v>
      </c>
      <c r="J353" s="44">
        <v>1</v>
      </c>
      <c r="K353" s="46" t="s">
        <v>713</v>
      </c>
      <c r="L353" s="46" t="s">
        <v>694</v>
      </c>
      <c r="M353" s="47" t="s">
        <v>1415</v>
      </c>
      <c r="N353" s="47" t="s">
        <v>1735</v>
      </c>
      <c r="O353" s="48"/>
      <c r="P353" s="48"/>
      <c r="Q353" s="45"/>
      <c r="S353" s="1">
        <f t="shared" si="237"/>
        <v>1</v>
      </c>
      <c r="T353" s="1">
        <f t="shared" si="238"/>
        <v>0</v>
      </c>
      <c r="U353" s="1">
        <f t="shared" si="239"/>
        <v>0</v>
      </c>
      <c r="V353" s="1">
        <f t="shared" si="240"/>
        <v>0</v>
      </c>
      <c r="W353" s="1">
        <f t="shared" si="241"/>
        <v>0</v>
      </c>
      <c r="X353" s="1">
        <f t="shared" si="242"/>
        <v>0</v>
      </c>
      <c r="Y353" s="1">
        <f t="shared" si="243"/>
        <v>0</v>
      </c>
      <c r="Z353" s="1">
        <f t="shared" si="244"/>
        <v>0</v>
      </c>
      <c r="AA353" s="1">
        <f t="shared" si="245"/>
        <v>0</v>
      </c>
      <c r="AB353" s="1">
        <f t="shared" si="246"/>
        <v>0</v>
      </c>
      <c r="AD353" s="1">
        <f t="shared" si="247"/>
        <v>0</v>
      </c>
      <c r="AE353" s="1">
        <f t="shared" si="248"/>
        <v>0</v>
      </c>
      <c r="AF353" s="1">
        <f t="shared" si="233"/>
        <v>0</v>
      </c>
      <c r="AG353" s="1">
        <f t="shared" si="234"/>
        <v>0</v>
      </c>
      <c r="AH353" s="1">
        <f t="shared" si="235"/>
        <v>0</v>
      </c>
      <c r="AI353" s="1">
        <f t="shared" si="236"/>
        <v>1</v>
      </c>
    </row>
    <row r="354" spans="1:35" ht="14.25" customHeight="1" x14ac:dyDescent="0.25">
      <c r="A354" s="15">
        <v>0</v>
      </c>
      <c r="B354" s="15">
        <v>2</v>
      </c>
      <c r="C354" s="15">
        <v>4</v>
      </c>
      <c r="D354" s="16" t="s">
        <v>764</v>
      </c>
      <c r="E354" s="16" t="s">
        <v>765</v>
      </c>
      <c r="F354" s="16" t="s">
        <v>766</v>
      </c>
      <c r="G354" s="16" t="s">
        <v>767</v>
      </c>
      <c r="H354" s="16" t="s">
        <v>354</v>
      </c>
      <c r="I354" s="15" t="s">
        <v>768</v>
      </c>
      <c r="J354" s="15">
        <v>99</v>
      </c>
      <c r="K354" s="10" t="s">
        <v>703</v>
      </c>
      <c r="L354" s="10">
        <v>15</v>
      </c>
      <c r="M354" s="19" t="s">
        <v>769</v>
      </c>
      <c r="N354" s="19"/>
      <c r="Q354" s="16"/>
      <c r="S354" s="1">
        <f t="shared" si="237"/>
        <v>0</v>
      </c>
      <c r="T354" s="1">
        <f t="shared" si="238"/>
        <v>0</v>
      </c>
      <c r="U354" s="1">
        <f t="shared" si="239"/>
        <v>0</v>
      </c>
      <c r="V354" s="1">
        <f t="shared" si="240"/>
        <v>0</v>
      </c>
      <c r="W354" s="1">
        <f t="shared" si="241"/>
        <v>0</v>
      </c>
      <c r="X354" s="1">
        <f t="shared" si="242"/>
        <v>0</v>
      </c>
      <c r="Y354" s="1">
        <f t="shared" si="243"/>
        <v>0</v>
      </c>
      <c r="Z354" s="1">
        <f t="shared" si="244"/>
        <v>0</v>
      </c>
      <c r="AA354" s="1">
        <f t="shared" si="245"/>
        <v>0</v>
      </c>
      <c r="AB354" s="1">
        <f t="shared" si="246"/>
        <v>0</v>
      </c>
      <c r="AD354" s="1">
        <f t="shared" si="247"/>
        <v>0</v>
      </c>
      <c r="AE354" s="1">
        <f t="shared" si="248"/>
        <v>0</v>
      </c>
      <c r="AF354" s="1">
        <f t="shared" si="233"/>
        <v>0</v>
      </c>
      <c r="AG354" s="1">
        <f t="shared" si="234"/>
        <v>0</v>
      </c>
      <c r="AH354" s="1">
        <f t="shared" si="235"/>
        <v>0</v>
      </c>
      <c r="AI354" s="1">
        <f t="shared" si="236"/>
        <v>1</v>
      </c>
    </row>
    <row r="355" spans="1:35" ht="14.25" customHeight="1" x14ac:dyDescent="0.25">
      <c r="A355" s="31">
        <v>0</v>
      </c>
      <c r="B355" s="31">
        <v>2</v>
      </c>
      <c r="C355" s="31">
        <v>4</v>
      </c>
      <c r="D355" s="32" t="s">
        <v>798</v>
      </c>
      <c r="E355" s="32" t="s">
        <v>908</v>
      </c>
      <c r="F355" s="32" t="s">
        <v>925</v>
      </c>
      <c r="G355" s="32" t="s">
        <v>208</v>
      </c>
      <c r="H355" s="32" t="s">
        <v>354</v>
      </c>
      <c r="I355" s="31" t="s">
        <v>1363</v>
      </c>
      <c r="J355" s="31">
        <v>3</v>
      </c>
      <c r="K355" s="33" t="s">
        <v>703</v>
      </c>
      <c r="L355" s="33">
        <v>20</v>
      </c>
      <c r="M355" s="34" t="s">
        <v>1417</v>
      </c>
      <c r="N355" s="34" t="s">
        <v>1825</v>
      </c>
      <c r="O355" s="35">
        <v>1</v>
      </c>
      <c r="P355" s="35"/>
      <c r="Q355" s="32"/>
      <c r="S355" s="1">
        <f t="shared" si="237"/>
        <v>0</v>
      </c>
      <c r="T355" s="1">
        <f t="shared" si="238"/>
        <v>0</v>
      </c>
      <c r="U355" s="1">
        <f t="shared" si="239"/>
        <v>1</v>
      </c>
      <c r="V355" s="1">
        <f t="shared" si="240"/>
        <v>0</v>
      </c>
      <c r="W355" s="1">
        <f t="shared" si="241"/>
        <v>0</v>
      </c>
      <c r="X355" s="1">
        <f t="shared" si="242"/>
        <v>0</v>
      </c>
      <c r="Y355" s="1">
        <f t="shared" si="243"/>
        <v>0</v>
      </c>
      <c r="Z355" s="1">
        <f t="shared" si="244"/>
        <v>0</v>
      </c>
      <c r="AA355" s="1">
        <f t="shared" si="245"/>
        <v>0</v>
      </c>
      <c r="AB355" s="1">
        <f t="shared" si="246"/>
        <v>0</v>
      </c>
      <c r="AD355" s="1">
        <f t="shared" si="247"/>
        <v>0</v>
      </c>
      <c r="AE355" s="1">
        <f t="shared" si="248"/>
        <v>1</v>
      </c>
      <c r="AF355" s="1">
        <f t="shared" si="233"/>
        <v>0</v>
      </c>
      <c r="AG355" s="1">
        <f t="shared" si="234"/>
        <v>1</v>
      </c>
      <c r="AH355" s="1">
        <f t="shared" si="235"/>
        <v>0</v>
      </c>
      <c r="AI355" s="1">
        <f t="shared" si="236"/>
        <v>1</v>
      </c>
    </row>
    <row r="356" spans="1:35" ht="14.25" customHeight="1" x14ac:dyDescent="0.25">
      <c r="A356" s="57">
        <v>0</v>
      </c>
      <c r="B356" s="57">
        <v>2</v>
      </c>
      <c r="C356" s="57">
        <v>4</v>
      </c>
      <c r="D356" s="58" t="s">
        <v>567</v>
      </c>
      <c r="E356" s="58" t="s">
        <v>37</v>
      </c>
      <c r="F356" s="58" t="s">
        <v>205</v>
      </c>
      <c r="G356" s="58" t="s">
        <v>39</v>
      </c>
      <c r="H356" s="58" t="s">
        <v>354</v>
      </c>
      <c r="I356" s="57" t="s">
        <v>389</v>
      </c>
      <c r="J356" s="57">
        <v>6</v>
      </c>
      <c r="K356" s="59" t="s">
        <v>703</v>
      </c>
      <c r="L356" s="59" t="s">
        <v>39</v>
      </c>
      <c r="M356" s="60" t="s">
        <v>39</v>
      </c>
      <c r="N356" s="61"/>
      <c r="O356" s="62"/>
      <c r="P356" s="62"/>
      <c r="Q356" s="58"/>
      <c r="S356" s="1">
        <f t="shared" si="237"/>
        <v>0</v>
      </c>
      <c r="T356" s="1">
        <f t="shared" si="238"/>
        <v>0</v>
      </c>
      <c r="U356" s="1">
        <f t="shared" si="239"/>
        <v>0</v>
      </c>
      <c r="V356" s="1">
        <f t="shared" si="240"/>
        <v>0</v>
      </c>
      <c r="W356" s="1">
        <f t="shared" si="241"/>
        <v>0</v>
      </c>
      <c r="X356" s="1">
        <f t="shared" si="242"/>
        <v>1</v>
      </c>
      <c r="Y356" s="1">
        <f t="shared" si="243"/>
        <v>0</v>
      </c>
      <c r="Z356" s="1">
        <f t="shared" si="244"/>
        <v>0</v>
      </c>
      <c r="AA356" s="1">
        <f t="shared" si="245"/>
        <v>0</v>
      </c>
      <c r="AB356" s="1">
        <f t="shared" si="246"/>
        <v>0</v>
      </c>
      <c r="AD356" s="1">
        <f t="shared" si="247"/>
        <v>0</v>
      </c>
      <c r="AE356" s="1">
        <f t="shared" si="248"/>
        <v>0</v>
      </c>
      <c r="AF356" s="1">
        <f t="shared" si="233"/>
        <v>0</v>
      </c>
      <c r="AG356" s="1">
        <f t="shared" si="234"/>
        <v>0</v>
      </c>
      <c r="AH356" s="1">
        <f t="shared" si="235"/>
        <v>0</v>
      </c>
      <c r="AI356" s="1">
        <f t="shared" si="236"/>
        <v>1</v>
      </c>
    </row>
    <row r="357" spans="1:35" ht="14.25" customHeight="1" x14ac:dyDescent="0.25">
      <c r="A357" s="44">
        <v>0</v>
      </c>
      <c r="B357" s="44">
        <v>2</v>
      </c>
      <c r="C357" s="44">
        <v>4</v>
      </c>
      <c r="D357" s="45" t="s">
        <v>653</v>
      </c>
      <c r="E357" s="45" t="s">
        <v>910</v>
      </c>
      <c r="F357" s="45" t="s">
        <v>624</v>
      </c>
      <c r="G357" s="45" t="s">
        <v>341</v>
      </c>
      <c r="H357" s="45" t="s">
        <v>354</v>
      </c>
      <c r="I357" s="44" t="s">
        <v>625</v>
      </c>
      <c r="J357" s="44">
        <v>10</v>
      </c>
      <c r="K357" s="46" t="s">
        <v>954</v>
      </c>
      <c r="L357" s="46" t="s">
        <v>704</v>
      </c>
      <c r="M357" s="47" t="s">
        <v>1418</v>
      </c>
      <c r="N357" s="47" t="s">
        <v>1734</v>
      </c>
      <c r="O357" s="48"/>
      <c r="P357" s="48"/>
      <c r="Q357" s="45"/>
      <c r="S357" s="1">
        <f t="shared" si="237"/>
        <v>0</v>
      </c>
      <c r="T357" s="1">
        <f t="shared" si="238"/>
        <v>0</v>
      </c>
      <c r="U357" s="1">
        <f t="shared" si="239"/>
        <v>0</v>
      </c>
      <c r="V357" s="1">
        <f t="shared" si="240"/>
        <v>0</v>
      </c>
      <c r="W357" s="1">
        <f t="shared" si="241"/>
        <v>0</v>
      </c>
      <c r="X357" s="1">
        <f t="shared" si="242"/>
        <v>0</v>
      </c>
      <c r="Y357" s="1">
        <f t="shared" si="243"/>
        <v>0</v>
      </c>
      <c r="Z357" s="1">
        <f t="shared" si="244"/>
        <v>0</v>
      </c>
      <c r="AA357" s="1">
        <f t="shared" si="245"/>
        <v>0</v>
      </c>
      <c r="AB357" s="1">
        <f t="shared" si="246"/>
        <v>1</v>
      </c>
      <c r="AD357" s="1">
        <f t="shared" si="247"/>
        <v>0</v>
      </c>
      <c r="AE357" s="1">
        <f t="shared" si="248"/>
        <v>0</v>
      </c>
      <c r="AF357" s="1">
        <f t="shared" si="233"/>
        <v>0</v>
      </c>
      <c r="AG357" s="1">
        <f t="shared" si="234"/>
        <v>0</v>
      </c>
      <c r="AH357" s="1">
        <f t="shared" si="235"/>
        <v>0</v>
      </c>
      <c r="AI357" s="1">
        <f t="shared" si="236"/>
        <v>1</v>
      </c>
    </row>
    <row r="358" spans="1:35" ht="14.25" customHeight="1" x14ac:dyDescent="0.25">
      <c r="A358" s="31">
        <v>0</v>
      </c>
      <c r="B358" s="31">
        <v>2</v>
      </c>
      <c r="C358" s="31">
        <v>4</v>
      </c>
      <c r="D358" s="32" t="s">
        <v>75</v>
      </c>
      <c r="E358" s="32" t="s">
        <v>35</v>
      </c>
      <c r="F358" s="32" t="s">
        <v>266</v>
      </c>
      <c r="G358" s="32" t="s">
        <v>213</v>
      </c>
      <c r="H358" s="32" t="s">
        <v>354</v>
      </c>
      <c r="I358" s="31" t="s">
        <v>945</v>
      </c>
      <c r="J358" s="31">
        <v>1</v>
      </c>
      <c r="K358" s="33" t="s">
        <v>713</v>
      </c>
      <c r="L358" s="33" t="s">
        <v>704</v>
      </c>
      <c r="M358" s="34" t="s">
        <v>1419</v>
      </c>
      <c r="N358" s="34" t="s">
        <v>1743</v>
      </c>
      <c r="O358" s="35">
        <v>1</v>
      </c>
      <c r="P358" s="35"/>
      <c r="Q358" s="32"/>
      <c r="S358" s="1">
        <f t="shared" si="237"/>
        <v>1</v>
      </c>
      <c r="T358" s="1">
        <f t="shared" si="238"/>
        <v>0</v>
      </c>
      <c r="U358" s="1">
        <f t="shared" si="239"/>
        <v>0</v>
      </c>
      <c r="V358" s="1">
        <f t="shared" si="240"/>
        <v>0</v>
      </c>
      <c r="W358" s="1">
        <f t="shared" si="241"/>
        <v>0</v>
      </c>
      <c r="X358" s="1">
        <f t="shared" si="242"/>
        <v>0</v>
      </c>
      <c r="Y358" s="1">
        <f t="shared" si="243"/>
        <v>0</v>
      </c>
      <c r="Z358" s="1">
        <f t="shared" si="244"/>
        <v>0</v>
      </c>
      <c r="AA358" s="1">
        <f t="shared" si="245"/>
        <v>0</v>
      </c>
      <c r="AB358" s="1">
        <f t="shared" si="246"/>
        <v>0</v>
      </c>
      <c r="AD358" s="1">
        <f t="shared" si="247"/>
        <v>0</v>
      </c>
      <c r="AE358" s="1">
        <f t="shared" si="248"/>
        <v>1</v>
      </c>
      <c r="AF358" s="1">
        <f t="shared" si="233"/>
        <v>0</v>
      </c>
      <c r="AG358" s="1">
        <f t="shared" si="234"/>
        <v>1</v>
      </c>
      <c r="AH358" s="1">
        <f t="shared" si="235"/>
        <v>0</v>
      </c>
      <c r="AI358" s="1">
        <f t="shared" si="236"/>
        <v>1</v>
      </c>
    </row>
    <row r="359" spans="1:35" ht="14.25" customHeight="1" x14ac:dyDescent="0.25">
      <c r="A359" s="31">
        <v>0</v>
      </c>
      <c r="B359" s="31">
        <v>2</v>
      </c>
      <c r="C359" s="31">
        <v>4</v>
      </c>
      <c r="D359" s="32" t="s">
        <v>919</v>
      </c>
      <c r="E359" s="32" t="s">
        <v>912</v>
      </c>
      <c r="F359" s="32" t="s">
        <v>782</v>
      </c>
      <c r="G359" s="32" t="s">
        <v>285</v>
      </c>
      <c r="H359" s="32" t="s">
        <v>354</v>
      </c>
      <c r="I359" s="31" t="s">
        <v>946</v>
      </c>
      <c r="J359" s="31">
        <v>4</v>
      </c>
      <c r="K359" s="33" t="s">
        <v>713</v>
      </c>
      <c r="L359" s="33" t="s">
        <v>696</v>
      </c>
      <c r="M359" s="34" t="s">
        <v>1420</v>
      </c>
      <c r="N359" s="34" t="s">
        <v>1749</v>
      </c>
      <c r="O359" s="35">
        <v>1</v>
      </c>
      <c r="P359" s="35"/>
      <c r="Q359" s="32"/>
      <c r="S359" s="1">
        <f t="shared" si="237"/>
        <v>0</v>
      </c>
      <c r="T359" s="1">
        <f t="shared" si="238"/>
        <v>0</v>
      </c>
      <c r="U359" s="1">
        <f t="shared" si="239"/>
        <v>0</v>
      </c>
      <c r="V359" s="1">
        <f t="shared" si="240"/>
        <v>1</v>
      </c>
      <c r="W359" s="1">
        <f t="shared" si="241"/>
        <v>0</v>
      </c>
      <c r="X359" s="1">
        <f t="shared" si="242"/>
        <v>0</v>
      </c>
      <c r="Y359" s="1">
        <f t="shared" si="243"/>
        <v>0</v>
      </c>
      <c r="Z359" s="1">
        <f t="shared" si="244"/>
        <v>0</v>
      </c>
      <c r="AA359" s="1">
        <f t="shared" si="245"/>
        <v>0</v>
      </c>
      <c r="AB359" s="1">
        <f t="shared" si="246"/>
        <v>0</v>
      </c>
      <c r="AD359" s="1">
        <f t="shared" si="247"/>
        <v>0</v>
      </c>
      <c r="AE359" s="1">
        <f t="shared" si="248"/>
        <v>1</v>
      </c>
      <c r="AF359" s="1">
        <f t="shared" si="233"/>
        <v>0</v>
      </c>
      <c r="AG359" s="1">
        <f t="shared" si="234"/>
        <v>1</v>
      </c>
      <c r="AH359" s="1">
        <f t="shared" si="235"/>
        <v>0</v>
      </c>
      <c r="AI359" s="1">
        <f t="shared" si="236"/>
        <v>1</v>
      </c>
    </row>
    <row r="360" spans="1:35" ht="14.25" customHeight="1" x14ac:dyDescent="0.25">
      <c r="A360" s="15">
        <v>0</v>
      </c>
      <c r="B360" s="15">
        <v>2</v>
      </c>
      <c r="C360" s="15">
        <v>4</v>
      </c>
      <c r="D360" s="16" t="s">
        <v>629</v>
      </c>
      <c r="E360" s="16" t="s">
        <v>685</v>
      </c>
      <c r="F360" s="16" t="s">
        <v>670</v>
      </c>
      <c r="G360" s="16" t="s">
        <v>628</v>
      </c>
      <c r="H360" s="16" t="s">
        <v>354</v>
      </c>
      <c r="I360" s="15" t="s">
        <v>630</v>
      </c>
      <c r="J360" s="15">
        <v>99</v>
      </c>
      <c r="K360" s="10" t="s">
        <v>955</v>
      </c>
      <c r="L360" s="10" t="s">
        <v>39</v>
      </c>
      <c r="M360" s="19" t="s">
        <v>39</v>
      </c>
      <c r="N360" s="17"/>
      <c r="Q360" s="20" t="s">
        <v>1897</v>
      </c>
      <c r="S360" s="1">
        <f t="shared" si="237"/>
        <v>0</v>
      </c>
      <c r="T360" s="1">
        <f t="shared" si="238"/>
        <v>0</v>
      </c>
      <c r="U360" s="1">
        <f t="shared" si="239"/>
        <v>0</v>
      </c>
      <c r="V360" s="1">
        <f t="shared" si="240"/>
        <v>0</v>
      </c>
      <c r="W360" s="1">
        <f t="shared" si="241"/>
        <v>0</v>
      </c>
      <c r="X360" s="1">
        <f t="shared" si="242"/>
        <v>0</v>
      </c>
      <c r="Y360" s="1">
        <f t="shared" si="243"/>
        <v>0</v>
      </c>
      <c r="Z360" s="1">
        <f t="shared" si="244"/>
        <v>0</v>
      </c>
      <c r="AA360" s="1">
        <f t="shared" si="245"/>
        <v>0</v>
      </c>
      <c r="AB360" s="1">
        <f t="shared" si="246"/>
        <v>0</v>
      </c>
      <c r="AD360" s="1">
        <f t="shared" si="247"/>
        <v>0</v>
      </c>
      <c r="AE360" s="1">
        <f t="shared" si="248"/>
        <v>0</v>
      </c>
      <c r="AF360" s="1">
        <f t="shared" si="233"/>
        <v>0</v>
      </c>
      <c r="AG360" s="1">
        <f t="shared" si="234"/>
        <v>0</v>
      </c>
      <c r="AH360" s="1">
        <f t="shared" si="235"/>
        <v>0</v>
      </c>
      <c r="AI360" s="1">
        <f t="shared" si="236"/>
        <v>1</v>
      </c>
    </row>
    <row r="361" spans="1:35" ht="14.25" customHeight="1" x14ac:dyDescent="0.25">
      <c r="A361" s="31">
        <v>0</v>
      </c>
      <c r="B361" s="31">
        <v>2</v>
      </c>
      <c r="C361" s="31">
        <v>4</v>
      </c>
      <c r="D361" s="32" t="s">
        <v>84</v>
      </c>
      <c r="E361" s="32" t="s">
        <v>35</v>
      </c>
      <c r="F361" s="32" t="s">
        <v>277</v>
      </c>
      <c r="G361" s="32" t="s">
        <v>224</v>
      </c>
      <c r="H361" s="32" t="s">
        <v>354</v>
      </c>
      <c r="I361" s="31" t="s">
        <v>433</v>
      </c>
      <c r="J361" s="31">
        <v>99</v>
      </c>
      <c r="K361" s="33" t="s">
        <v>954</v>
      </c>
      <c r="L361" s="33" t="s">
        <v>704</v>
      </c>
      <c r="M361" s="34" t="s">
        <v>726</v>
      </c>
      <c r="N361" s="34" t="s">
        <v>1761</v>
      </c>
      <c r="O361" s="35">
        <v>1</v>
      </c>
      <c r="P361" s="35"/>
      <c r="Q361" s="32"/>
      <c r="S361" s="1">
        <f t="shared" si="237"/>
        <v>0</v>
      </c>
      <c r="T361" s="1">
        <f t="shared" si="238"/>
        <v>0</v>
      </c>
      <c r="U361" s="1">
        <f t="shared" si="239"/>
        <v>0</v>
      </c>
      <c r="V361" s="1">
        <f t="shared" si="240"/>
        <v>0</v>
      </c>
      <c r="W361" s="1">
        <f t="shared" si="241"/>
        <v>0</v>
      </c>
      <c r="X361" s="1">
        <f t="shared" si="242"/>
        <v>0</v>
      </c>
      <c r="Y361" s="1">
        <f t="shared" si="243"/>
        <v>0</v>
      </c>
      <c r="Z361" s="1">
        <f t="shared" si="244"/>
        <v>0</v>
      </c>
      <c r="AA361" s="1">
        <f t="shared" si="245"/>
        <v>0</v>
      </c>
      <c r="AB361" s="1">
        <f t="shared" si="246"/>
        <v>0</v>
      </c>
      <c r="AD361" s="1">
        <f t="shared" si="247"/>
        <v>0</v>
      </c>
      <c r="AE361" s="1">
        <f t="shared" si="248"/>
        <v>1</v>
      </c>
      <c r="AF361" s="1">
        <f t="shared" si="233"/>
        <v>0</v>
      </c>
      <c r="AG361" s="1">
        <f t="shared" si="234"/>
        <v>1</v>
      </c>
      <c r="AH361" s="1">
        <f t="shared" si="235"/>
        <v>0</v>
      </c>
      <c r="AI361" s="1">
        <f t="shared" si="236"/>
        <v>1</v>
      </c>
    </row>
    <row r="362" spans="1:35" ht="14.25" customHeight="1" x14ac:dyDescent="0.25">
      <c r="A362" s="15">
        <v>0</v>
      </c>
      <c r="B362" s="15">
        <v>2</v>
      </c>
      <c r="C362" s="15">
        <v>4</v>
      </c>
      <c r="D362" s="16" t="s">
        <v>879</v>
      </c>
      <c r="E362" s="16" t="s">
        <v>772</v>
      </c>
      <c r="F362" s="16" t="s">
        <v>877</v>
      </c>
      <c r="G362" s="16" t="s">
        <v>279</v>
      </c>
      <c r="H362" s="16" t="s">
        <v>354</v>
      </c>
      <c r="I362" s="15" t="s">
        <v>878</v>
      </c>
      <c r="J362" s="15">
        <v>99</v>
      </c>
      <c r="K362" s="10" t="s">
        <v>703</v>
      </c>
      <c r="L362" s="10">
        <v>25</v>
      </c>
      <c r="M362" s="19" t="s">
        <v>1421</v>
      </c>
      <c r="N362" s="19"/>
      <c r="Q362" s="16"/>
      <c r="S362" s="1">
        <f t="shared" si="237"/>
        <v>0</v>
      </c>
      <c r="T362" s="1">
        <f t="shared" si="238"/>
        <v>0</v>
      </c>
      <c r="U362" s="1">
        <f t="shared" si="239"/>
        <v>0</v>
      </c>
      <c r="V362" s="1">
        <f t="shared" si="240"/>
        <v>0</v>
      </c>
      <c r="W362" s="1">
        <f t="shared" si="241"/>
        <v>0</v>
      </c>
      <c r="X362" s="1">
        <f t="shared" si="242"/>
        <v>0</v>
      </c>
      <c r="Y362" s="1">
        <f t="shared" si="243"/>
        <v>0</v>
      </c>
      <c r="Z362" s="1">
        <f t="shared" si="244"/>
        <v>0</v>
      </c>
      <c r="AA362" s="1">
        <f t="shared" si="245"/>
        <v>0</v>
      </c>
      <c r="AB362" s="1">
        <f t="shared" si="246"/>
        <v>0</v>
      </c>
      <c r="AD362" s="1">
        <f t="shared" si="247"/>
        <v>0</v>
      </c>
      <c r="AE362" s="1">
        <f t="shared" si="248"/>
        <v>0</v>
      </c>
      <c r="AF362" s="1">
        <f t="shared" si="233"/>
        <v>0</v>
      </c>
      <c r="AG362" s="1">
        <f t="shared" si="234"/>
        <v>0</v>
      </c>
      <c r="AH362" s="1">
        <f t="shared" si="235"/>
        <v>0</v>
      </c>
      <c r="AI362" s="1">
        <f t="shared" si="236"/>
        <v>1</v>
      </c>
    </row>
    <row r="363" spans="1:35" ht="14.25" customHeight="1" x14ac:dyDescent="0.25">
      <c r="A363" s="31">
        <v>0</v>
      </c>
      <c r="B363" s="31">
        <v>2</v>
      </c>
      <c r="C363" s="31">
        <v>4</v>
      </c>
      <c r="D363" s="32" t="s">
        <v>922</v>
      </c>
      <c r="E363" s="32" t="s">
        <v>772</v>
      </c>
      <c r="F363" s="32" t="s">
        <v>844</v>
      </c>
      <c r="G363" s="32" t="s">
        <v>209</v>
      </c>
      <c r="H363" s="32" t="s">
        <v>354</v>
      </c>
      <c r="I363" s="31" t="s">
        <v>845</v>
      </c>
      <c r="J363" s="31">
        <v>99</v>
      </c>
      <c r="K363" s="33" t="s">
        <v>712</v>
      </c>
      <c r="L363" s="33" t="s">
        <v>704</v>
      </c>
      <c r="M363" s="34" t="s">
        <v>726</v>
      </c>
      <c r="N363" s="34" t="s">
        <v>1756</v>
      </c>
      <c r="O363" s="35">
        <v>1</v>
      </c>
      <c r="P363" s="35"/>
      <c r="Q363" s="32"/>
      <c r="S363" s="1">
        <f t="shared" si="237"/>
        <v>0</v>
      </c>
      <c r="T363" s="1">
        <f t="shared" si="238"/>
        <v>0</v>
      </c>
      <c r="U363" s="1">
        <f t="shared" si="239"/>
        <v>0</v>
      </c>
      <c r="V363" s="1">
        <f t="shared" si="240"/>
        <v>0</v>
      </c>
      <c r="W363" s="1">
        <f t="shared" si="241"/>
        <v>0</v>
      </c>
      <c r="X363" s="1">
        <f t="shared" si="242"/>
        <v>0</v>
      </c>
      <c r="Y363" s="1">
        <f t="shared" si="243"/>
        <v>0</v>
      </c>
      <c r="Z363" s="1">
        <f t="shared" si="244"/>
        <v>0</v>
      </c>
      <c r="AA363" s="1">
        <f t="shared" si="245"/>
        <v>0</v>
      </c>
      <c r="AB363" s="1">
        <f t="shared" si="246"/>
        <v>0</v>
      </c>
      <c r="AD363" s="1">
        <f t="shared" ref="AD363:AD365" si="249">+O363*P363</f>
        <v>0</v>
      </c>
      <c r="AE363" s="1">
        <f t="shared" ref="AE363:AE365" si="250">O363*(1-P363)</f>
        <v>1</v>
      </c>
      <c r="AF363" s="1">
        <f t="shared" ref="AF363:AF365" si="251">+O363*P363*(1-A363)</f>
        <v>0</v>
      </c>
      <c r="AG363" s="1">
        <f t="shared" ref="AG363:AG365" si="252">O363*(1-P363)*(1-A363)</f>
        <v>1</v>
      </c>
      <c r="AH363" s="1">
        <f t="shared" ref="AH363:AH365" si="253">+P363*(1-A363)</f>
        <v>0</v>
      </c>
      <c r="AI363" s="1">
        <f t="shared" ref="AI363:AI365" si="254">+(1-A363)*(1-P363)</f>
        <v>1</v>
      </c>
    </row>
    <row r="364" spans="1:35" ht="14.25" customHeight="1" x14ac:dyDescent="0.25">
      <c r="A364" s="15">
        <v>0</v>
      </c>
      <c r="B364" s="15">
        <v>2</v>
      </c>
      <c r="C364" s="15">
        <v>4</v>
      </c>
      <c r="D364" s="16" t="s">
        <v>2028</v>
      </c>
      <c r="E364" s="16" t="s">
        <v>35</v>
      </c>
      <c r="F364" s="16" t="s">
        <v>2029</v>
      </c>
      <c r="G364" s="20" t="s">
        <v>209</v>
      </c>
      <c r="H364" s="20" t="s">
        <v>354</v>
      </c>
      <c r="I364" s="21" t="s">
        <v>2030</v>
      </c>
      <c r="J364" s="15">
        <v>99</v>
      </c>
      <c r="K364" s="10" t="s">
        <v>703</v>
      </c>
      <c r="L364" s="10">
        <v>25</v>
      </c>
      <c r="M364" s="19" t="s">
        <v>2032</v>
      </c>
      <c r="N364" s="19"/>
      <c r="Q364" s="16" t="s">
        <v>2031</v>
      </c>
      <c r="S364" s="1">
        <f t="shared" si="237"/>
        <v>0</v>
      </c>
      <c r="T364" s="1">
        <f t="shared" si="238"/>
        <v>0</v>
      </c>
      <c r="U364" s="1">
        <f t="shared" si="239"/>
        <v>0</v>
      </c>
      <c r="V364" s="1">
        <f t="shared" si="240"/>
        <v>0</v>
      </c>
      <c r="W364" s="1">
        <f t="shared" si="241"/>
        <v>0</v>
      </c>
      <c r="X364" s="1">
        <f t="shared" si="242"/>
        <v>0</v>
      </c>
      <c r="Y364" s="1">
        <f t="shared" si="243"/>
        <v>0</v>
      </c>
      <c r="Z364" s="1">
        <f t="shared" si="244"/>
        <v>0</v>
      </c>
      <c r="AA364" s="1">
        <f t="shared" si="245"/>
        <v>0</v>
      </c>
      <c r="AB364" s="1">
        <f t="shared" si="246"/>
        <v>0</v>
      </c>
      <c r="AD364" s="1">
        <f t="shared" si="249"/>
        <v>0</v>
      </c>
      <c r="AE364" s="1">
        <f t="shared" si="250"/>
        <v>0</v>
      </c>
      <c r="AF364" s="1">
        <f t="shared" si="251"/>
        <v>0</v>
      </c>
      <c r="AG364" s="1">
        <f t="shared" si="252"/>
        <v>0</v>
      </c>
      <c r="AH364" s="1">
        <f t="shared" si="253"/>
        <v>0</v>
      </c>
      <c r="AI364" s="1">
        <f t="shared" si="254"/>
        <v>1</v>
      </c>
    </row>
    <row r="365" spans="1:35" ht="14.25" customHeight="1" x14ac:dyDescent="0.25">
      <c r="A365" s="44">
        <v>0</v>
      </c>
      <c r="B365" s="44">
        <v>2</v>
      </c>
      <c r="C365" s="44">
        <v>4</v>
      </c>
      <c r="D365" s="45" t="s">
        <v>1223</v>
      </c>
      <c r="E365" s="45" t="s">
        <v>1222</v>
      </c>
      <c r="F365" s="45" t="s">
        <v>1224</v>
      </c>
      <c r="G365" s="45" t="s">
        <v>535</v>
      </c>
      <c r="H365" s="45" t="s">
        <v>354</v>
      </c>
      <c r="I365" s="44" t="s">
        <v>1225</v>
      </c>
      <c r="J365" s="44">
        <v>99</v>
      </c>
      <c r="K365" s="46" t="s">
        <v>713</v>
      </c>
      <c r="L365" s="46" t="s">
        <v>694</v>
      </c>
      <c r="M365" s="47" t="s">
        <v>1422</v>
      </c>
      <c r="N365" s="47" t="s">
        <v>1747</v>
      </c>
      <c r="O365" s="48"/>
      <c r="P365" s="48"/>
      <c r="Q365" s="45"/>
      <c r="S365" s="1">
        <f t="shared" si="237"/>
        <v>0</v>
      </c>
      <c r="T365" s="1">
        <f t="shared" si="238"/>
        <v>0</v>
      </c>
      <c r="U365" s="1">
        <f t="shared" si="239"/>
        <v>0</v>
      </c>
      <c r="V365" s="1">
        <f t="shared" si="240"/>
        <v>0</v>
      </c>
      <c r="W365" s="1">
        <f t="shared" si="241"/>
        <v>0</v>
      </c>
      <c r="X365" s="1">
        <f t="shared" si="242"/>
        <v>0</v>
      </c>
      <c r="Y365" s="1">
        <f t="shared" si="243"/>
        <v>0</v>
      </c>
      <c r="Z365" s="1">
        <f t="shared" si="244"/>
        <v>0</v>
      </c>
      <c r="AA365" s="1">
        <f t="shared" si="245"/>
        <v>0</v>
      </c>
      <c r="AB365" s="1">
        <f t="shared" si="246"/>
        <v>0</v>
      </c>
      <c r="AD365" s="1">
        <f t="shared" si="249"/>
        <v>0</v>
      </c>
      <c r="AE365" s="1">
        <f t="shared" si="250"/>
        <v>0</v>
      </c>
      <c r="AF365" s="1">
        <f t="shared" si="251"/>
        <v>0</v>
      </c>
      <c r="AG365" s="1">
        <f t="shared" si="252"/>
        <v>0</v>
      </c>
      <c r="AH365" s="1">
        <f t="shared" si="253"/>
        <v>0</v>
      </c>
      <c r="AI365" s="1">
        <f t="shared" si="254"/>
        <v>1</v>
      </c>
    </row>
    <row r="366" spans="1:35" ht="14.25" customHeight="1" x14ac:dyDescent="0.25">
      <c r="A366" s="31">
        <v>0</v>
      </c>
      <c r="B366" s="31">
        <v>2</v>
      </c>
      <c r="C366" s="31">
        <v>4</v>
      </c>
      <c r="D366" s="32" t="s">
        <v>823</v>
      </c>
      <c r="E366" s="32" t="s">
        <v>590</v>
      </c>
      <c r="F366" s="32" t="s">
        <v>824</v>
      </c>
      <c r="G366" s="32" t="s">
        <v>937</v>
      </c>
      <c r="H366" s="32" t="s">
        <v>354</v>
      </c>
      <c r="I366" s="31" t="s">
        <v>951</v>
      </c>
      <c r="J366" s="31">
        <v>7</v>
      </c>
      <c r="K366" s="33" t="s">
        <v>712</v>
      </c>
      <c r="L366" s="33" t="s">
        <v>39</v>
      </c>
      <c r="M366" s="34" t="s">
        <v>39</v>
      </c>
      <c r="N366" s="34" t="s">
        <v>1727</v>
      </c>
      <c r="O366" s="35">
        <v>1</v>
      </c>
      <c r="P366" s="35">
        <v>1</v>
      </c>
      <c r="Q366" s="32"/>
      <c r="S366" s="1">
        <f t="shared" si="237"/>
        <v>0</v>
      </c>
      <c r="T366" s="1">
        <f t="shared" si="238"/>
        <v>0</v>
      </c>
      <c r="U366" s="1">
        <f t="shared" si="239"/>
        <v>0</v>
      </c>
      <c r="V366" s="1">
        <f t="shared" si="240"/>
        <v>0</v>
      </c>
      <c r="W366" s="1">
        <f t="shared" si="241"/>
        <v>0</v>
      </c>
      <c r="X366" s="1">
        <f t="shared" si="242"/>
        <v>0</v>
      </c>
      <c r="Y366" s="1">
        <f t="shared" si="243"/>
        <v>1</v>
      </c>
      <c r="Z366" s="1">
        <f t="shared" si="244"/>
        <v>0</v>
      </c>
      <c r="AA366" s="1">
        <f t="shared" si="245"/>
        <v>0</v>
      </c>
      <c r="AB366" s="1">
        <f t="shared" si="246"/>
        <v>0</v>
      </c>
      <c r="AD366" s="1">
        <f t="shared" si="247"/>
        <v>1</v>
      </c>
      <c r="AE366" s="1">
        <f t="shared" si="248"/>
        <v>0</v>
      </c>
      <c r="AF366" s="1">
        <f t="shared" si="233"/>
        <v>1</v>
      </c>
      <c r="AG366" s="1">
        <f t="shared" si="234"/>
        <v>0</v>
      </c>
      <c r="AH366" s="1">
        <f t="shared" si="235"/>
        <v>1</v>
      </c>
      <c r="AI366" s="1">
        <f t="shared" si="236"/>
        <v>0</v>
      </c>
    </row>
    <row r="367" spans="1:35" ht="14.25" customHeight="1" x14ac:dyDescent="0.25">
      <c r="A367" s="44">
        <v>0</v>
      </c>
      <c r="B367" s="44">
        <v>2</v>
      </c>
      <c r="C367" s="44">
        <v>4</v>
      </c>
      <c r="D367" s="45" t="s">
        <v>1605</v>
      </c>
      <c r="E367" s="45" t="s">
        <v>1655</v>
      </c>
      <c r="F367" s="45" t="s">
        <v>1606</v>
      </c>
      <c r="G367" s="45" t="s">
        <v>333</v>
      </c>
      <c r="H367" s="45" t="s">
        <v>354</v>
      </c>
      <c r="I367" s="44" t="s">
        <v>30</v>
      </c>
      <c r="J367" s="44">
        <v>99</v>
      </c>
      <c r="K367" s="46" t="s">
        <v>713</v>
      </c>
      <c r="L367" s="46">
        <v>20</v>
      </c>
      <c r="M367" s="47" t="s">
        <v>39</v>
      </c>
      <c r="N367" s="47" t="s">
        <v>1741</v>
      </c>
      <c r="O367" s="48"/>
      <c r="P367" s="48"/>
      <c r="Q367" s="45"/>
      <c r="S367" s="1">
        <f t="shared" si="237"/>
        <v>0</v>
      </c>
      <c r="T367" s="1">
        <f t="shared" si="238"/>
        <v>0</v>
      </c>
      <c r="U367" s="1">
        <f t="shared" si="239"/>
        <v>0</v>
      </c>
      <c r="V367" s="1">
        <f t="shared" si="240"/>
        <v>0</v>
      </c>
      <c r="W367" s="1">
        <f t="shared" si="241"/>
        <v>0</v>
      </c>
      <c r="X367" s="1">
        <f t="shared" si="242"/>
        <v>0</v>
      </c>
      <c r="Y367" s="1">
        <f t="shared" si="243"/>
        <v>0</v>
      </c>
      <c r="Z367" s="1">
        <f t="shared" si="244"/>
        <v>0</v>
      </c>
      <c r="AA367" s="1">
        <f t="shared" si="245"/>
        <v>0</v>
      </c>
      <c r="AB367" s="1">
        <f t="shared" si="246"/>
        <v>0</v>
      </c>
      <c r="AD367" s="1">
        <f t="shared" ref="AD367:AD370" si="255">+O367*P367</f>
        <v>0</v>
      </c>
      <c r="AE367" s="1">
        <f t="shared" ref="AE367:AE370" si="256">O367*(1-P367)</f>
        <v>0</v>
      </c>
      <c r="AF367" s="1">
        <f t="shared" ref="AF367:AF370" si="257">+O367*P367*(1-A367)</f>
        <v>0</v>
      </c>
      <c r="AG367" s="1">
        <f t="shared" ref="AG367:AG370" si="258">O367*(1-P367)*(1-A367)</f>
        <v>0</v>
      </c>
      <c r="AH367" s="1">
        <f t="shared" ref="AH367:AH370" si="259">+P367*(1-A367)</f>
        <v>0</v>
      </c>
      <c r="AI367" s="1">
        <f t="shared" ref="AI367:AI370" si="260">+(1-A367)*(1-P367)</f>
        <v>1</v>
      </c>
    </row>
    <row r="368" spans="1:35" ht="14.25" customHeight="1" x14ac:dyDescent="0.25">
      <c r="A368" s="31">
        <v>0</v>
      </c>
      <c r="B368" s="31">
        <v>2</v>
      </c>
      <c r="C368" s="31">
        <v>5</v>
      </c>
      <c r="D368" s="32" t="s">
        <v>58</v>
      </c>
      <c r="E368" s="32" t="s">
        <v>44</v>
      </c>
      <c r="F368" s="32" t="s">
        <v>671</v>
      </c>
      <c r="G368" s="32" t="s">
        <v>223</v>
      </c>
      <c r="H368" s="32" t="s">
        <v>354</v>
      </c>
      <c r="I368" s="31" t="s">
        <v>397</v>
      </c>
      <c r="J368" s="31">
        <v>8</v>
      </c>
      <c r="K368" s="33" t="s">
        <v>713</v>
      </c>
      <c r="L368" s="33" t="s">
        <v>716</v>
      </c>
      <c r="M368" s="34" t="s">
        <v>1423</v>
      </c>
      <c r="N368" s="34" t="s">
        <v>1748</v>
      </c>
      <c r="O368" s="35">
        <v>1</v>
      </c>
      <c r="P368" s="35"/>
      <c r="Q368" s="32"/>
      <c r="S368" s="1">
        <f t="shared" si="237"/>
        <v>0</v>
      </c>
      <c r="T368" s="1">
        <f t="shared" si="238"/>
        <v>0</v>
      </c>
      <c r="U368" s="1">
        <f t="shared" si="239"/>
        <v>0</v>
      </c>
      <c r="V368" s="1">
        <f t="shared" si="240"/>
        <v>0</v>
      </c>
      <c r="W368" s="1">
        <f t="shared" si="241"/>
        <v>0</v>
      </c>
      <c r="X368" s="1">
        <f t="shared" si="242"/>
        <v>0</v>
      </c>
      <c r="Y368" s="1">
        <f t="shared" si="243"/>
        <v>0</v>
      </c>
      <c r="Z368" s="1">
        <f t="shared" si="244"/>
        <v>1</v>
      </c>
      <c r="AA368" s="1">
        <f t="shared" si="245"/>
        <v>0</v>
      </c>
      <c r="AB368" s="1">
        <f t="shared" si="246"/>
        <v>0</v>
      </c>
      <c r="AD368" s="1">
        <f t="shared" si="255"/>
        <v>0</v>
      </c>
      <c r="AE368" s="1">
        <f t="shared" si="256"/>
        <v>1</v>
      </c>
      <c r="AF368" s="1">
        <f t="shared" si="257"/>
        <v>0</v>
      </c>
      <c r="AG368" s="1">
        <f t="shared" si="258"/>
        <v>1</v>
      </c>
      <c r="AH368" s="1">
        <f t="shared" si="259"/>
        <v>0</v>
      </c>
      <c r="AI368" s="1">
        <f t="shared" si="260"/>
        <v>1</v>
      </c>
    </row>
    <row r="369" spans="1:4094 4097:8191 8194:12288 12291:16384" ht="14.25" customHeight="1" x14ac:dyDescent="0.25">
      <c r="A369" s="44">
        <v>0</v>
      </c>
      <c r="B369" s="44">
        <v>2</v>
      </c>
      <c r="C369" s="44">
        <v>5</v>
      </c>
      <c r="D369" s="45" t="s">
        <v>832</v>
      </c>
      <c r="E369" s="45" t="s">
        <v>831</v>
      </c>
      <c r="F369" s="45" t="s">
        <v>924</v>
      </c>
      <c r="G369" s="45" t="s">
        <v>213</v>
      </c>
      <c r="H369" s="45" t="s">
        <v>354</v>
      </c>
      <c r="I369" s="44" t="s">
        <v>833</v>
      </c>
      <c r="J369" s="44">
        <v>1</v>
      </c>
      <c r="K369" s="46" t="s">
        <v>712</v>
      </c>
      <c r="L369" s="46" t="s">
        <v>693</v>
      </c>
      <c r="M369" s="47" t="s">
        <v>1424</v>
      </c>
      <c r="N369" s="47" t="s">
        <v>1735</v>
      </c>
      <c r="O369" s="48"/>
      <c r="P369" s="48"/>
      <c r="Q369" s="45"/>
      <c r="S369" s="1">
        <f t="shared" si="237"/>
        <v>1</v>
      </c>
      <c r="T369" s="1">
        <f t="shared" si="238"/>
        <v>0</v>
      </c>
      <c r="U369" s="1">
        <f t="shared" si="239"/>
        <v>0</v>
      </c>
      <c r="V369" s="1">
        <f t="shared" si="240"/>
        <v>0</v>
      </c>
      <c r="W369" s="1">
        <f t="shared" si="241"/>
        <v>0</v>
      </c>
      <c r="X369" s="1">
        <f t="shared" si="242"/>
        <v>0</v>
      </c>
      <c r="Y369" s="1">
        <f t="shared" si="243"/>
        <v>0</v>
      </c>
      <c r="Z369" s="1">
        <f t="shared" si="244"/>
        <v>0</v>
      </c>
      <c r="AA369" s="1">
        <f t="shared" si="245"/>
        <v>0</v>
      </c>
      <c r="AB369" s="1">
        <f t="shared" si="246"/>
        <v>0</v>
      </c>
      <c r="AD369" s="1">
        <f t="shared" si="255"/>
        <v>0</v>
      </c>
      <c r="AE369" s="1">
        <f t="shared" si="256"/>
        <v>0</v>
      </c>
      <c r="AF369" s="1">
        <f t="shared" si="257"/>
        <v>0</v>
      </c>
      <c r="AG369" s="1">
        <f t="shared" si="258"/>
        <v>0</v>
      </c>
      <c r="AH369" s="1">
        <f t="shared" si="259"/>
        <v>0</v>
      </c>
      <c r="AI369" s="1">
        <f t="shared" si="260"/>
        <v>1</v>
      </c>
    </row>
    <row r="370" spans="1:4094 4097:8191 8194:12288 12291:16384" ht="14.25" customHeight="1" x14ac:dyDescent="0.25">
      <c r="A370" s="31">
        <v>0</v>
      </c>
      <c r="B370" s="31">
        <v>2</v>
      </c>
      <c r="C370" s="31">
        <v>5</v>
      </c>
      <c r="D370" s="36" t="s">
        <v>2061</v>
      </c>
      <c r="E370" s="36" t="s">
        <v>170</v>
      </c>
      <c r="F370" s="36" t="s">
        <v>2062</v>
      </c>
      <c r="G370" s="36" t="s">
        <v>1534</v>
      </c>
      <c r="H370" s="36" t="s">
        <v>354</v>
      </c>
      <c r="I370" s="37" t="s">
        <v>2063</v>
      </c>
      <c r="J370" s="31">
        <v>5</v>
      </c>
      <c r="K370" s="33" t="s">
        <v>703</v>
      </c>
      <c r="L370" s="33"/>
      <c r="M370" s="34"/>
      <c r="N370" s="34" t="s">
        <v>1727</v>
      </c>
      <c r="O370" s="35">
        <v>1</v>
      </c>
      <c r="P370" s="35">
        <v>1</v>
      </c>
      <c r="Q370" s="36" t="s">
        <v>2064</v>
      </c>
      <c r="S370" s="1">
        <f t="shared" si="237"/>
        <v>0</v>
      </c>
      <c r="T370" s="1">
        <f t="shared" si="238"/>
        <v>0</v>
      </c>
      <c r="U370" s="1">
        <f t="shared" si="239"/>
        <v>0</v>
      </c>
      <c r="V370" s="1">
        <f t="shared" si="240"/>
        <v>0</v>
      </c>
      <c r="W370" s="1">
        <f t="shared" si="241"/>
        <v>1</v>
      </c>
      <c r="X370" s="1">
        <f t="shared" si="242"/>
        <v>0</v>
      </c>
      <c r="Y370" s="1">
        <f t="shared" si="243"/>
        <v>0</v>
      </c>
      <c r="Z370" s="1">
        <f t="shared" si="244"/>
        <v>0</v>
      </c>
      <c r="AA370" s="1">
        <f t="shared" si="245"/>
        <v>0</v>
      </c>
      <c r="AB370" s="1">
        <f t="shared" si="246"/>
        <v>0</v>
      </c>
      <c r="AD370" s="1">
        <f t="shared" si="255"/>
        <v>1</v>
      </c>
      <c r="AE370" s="1">
        <f t="shared" si="256"/>
        <v>0</v>
      </c>
      <c r="AF370" s="1">
        <f t="shared" si="257"/>
        <v>1</v>
      </c>
      <c r="AG370" s="1">
        <f t="shared" si="258"/>
        <v>0</v>
      </c>
      <c r="AH370" s="1">
        <f t="shared" si="259"/>
        <v>1</v>
      </c>
      <c r="AI370" s="1">
        <f t="shared" si="260"/>
        <v>0</v>
      </c>
    </row>
    <row r="371" spans="1:4094 4097:8191 8194:12288 12291:16384" ht="14.25" customHeight="1" x14ac:dyDescent="0.25">
      <c r="A371" s="31">
        <v>0</v>
      </c>
      <c r="B371" s="31">
        <v>2</v>
      </c>
      <c r="C371" s="31">
        <v>5</v>
      </c>
      <c r="D371" s="32" t="s">
        <v>65</v>
      </c>
      <c r="E371" s="32" t="s">
        <v>164</v>
      </c>
      <c r="F371" s="32" t="s">
        <v>547</v>
      </c>
      <c r="G371" s="32" t="s">
        <v>194</v>
      </c>
      <c r="H371" s="32" t="s">
        <v>354</v>
      </c>
      <c r="I371" s="31" t="s">
        <v>552</v>
      </c>
      <c r="J371" s="31">
        <v>9</v>
      </c>
      <c r="K371" s="33" t="s">
        <v>713</v>
      </c>
      <c r="L371" s="33" t="s">
        <v>687</v>
      </c>
      <c r="M371" s="34" t="s">
        <v>1443</v>
      </c>
      <c r="N371" s="34" t="s">
        <v>1761</v>
      </c>
      <c r="O371" s="35">
        <v>1</v>
      </c>
      <c r="P371" s="35"/>
      <c r="Q371" s="32"/>
      <c r="S371" s="1">
        <f t="shared" si="237"/>
        <v>0</v>
      </c>
      <c r="T371" s="1">
        <f t="shared" si="238"/>
        <v>0</v>
      </c>
      <c r="U371" s="1">
        <f t="shared" si="239"/>
        <v>0</v>
      </c>
      <c r="V371" s="1">
        <f t="shared" si="240"/>
        <v>0</v>
      </c>
      <c r="W371" s="1">
        <f t="shared" si="241"/>
        <v>0</v>
      </c>
      <c r="X371" s="1">
        <f t="shared" si="242"/>
        <v>0</v>
      </c>
      <c r="Y371" s="1">
        <f t="shared" si="243"/>
        <v>0</v>
      </c>
      <c r="Z371" s="1">
        <f t="shared" si="244"/>
        <v>0</v>
      </c>
      <c r="AA371" s="1">
        <f t="shared" si="245"/>
        <v>1</v>
      </c>
      <c r="AB371" s="1">
        <f t="shared" si="246"/>
        <v>0</v>
      </c>
      <c r="AD371" s="1">
        <f t="shared" si="247"/>
        <v>0</v>
      </c>
      <c r="AE371" s="1">
        <f t="shared" si="248"/>
        <v>1</v>
      </c>
      <c r="AF371" s="1">
        <f t="shared" si="233"/>
        <v>0</v>
      </c>
      <c r="AG371" s="1">
        <f t="shared" si="234"/>
        <v>1</v>
      </c>
      <c r="AH371" s="1">
        <f t="shared" si="235"/>
        <v>0</v>
      </c>
      <c r="AI371" s="1">
        <f t="shared" si="236"/>
        <v>1</v>
      </c>
    </row>
    <row r="372" spans="1:4094 4097:8191 8194:12288 12291:16384" ht="14.25" customHeight="1" x14ac:dyDescent="0.25">
      <c r="A372" s="44">
        <v>0</v>
      </c>
      <c r="B372" s="44">
        <v>2</v>
      </c>
      <c r="C372" s="44">
        <v>5</v>
      </c>
      <c r="D372" s="45" t="s">
        <v>1486</v>
      </c>
      <c r="E372" s="45" t="s">
        <v>35</v>
      </c>
      <c r="F372" s="65" t="s">
        <v>1873</v>
      </c>
      <c r="G372" s="45" t="s">
        <v>222</v>
      </c>
      <c r="H372" s="45" t="s">
        <v>354</v>
      </c>
      <c r="I372" s="44" t="s">
        <v>1686</v>
      </c>
      <c r="J372" s="44">
        <v>99</v>
      </c>
      <c r="K372" s="46" t="s">
        <v>713</v>
      </c>
      <c r="L372" s="46">
        <v>25</v>
      </c>
      <c r="M372" s="47" t="s">
        <v>39</v>
      </c>
      <c r="N372" s="47" t="s">
        <v>1737</v>
      </c>
      <c r="O372" s="48"/>
      <c r="P372" s="48"/>
      <c r="Q372" s="45"/>
      <c r="S372" s="1">
        <f t="shared" si="237"/>
        <v>0</v>
      </c>
      <c r="T372" s="1">
        <f t="shared" si="238"/>
        <v>0</v>
      </c>
      <c r="U372" s="1">
        <f t="shared" si="239"/>
        <v>0</v>
      </c>
      <c r="V372" s="1">
        <f t="shared" si="240"/>
        <v>0</v>
      </c>
      <c r="W372" s="1">
        <f t="shared" si="241"/>
        <v>0</v>
      </c>
      <c r="X372" s="1">
        <f t="shared" si="242"/>
        <v>0</v>
      </c>
      <c r="Y372" s="1">
        <f t="shared" si="243"/>
        <v>0</v>
      </c>
      <c r="Z372" s="1">
        <f t="shared" si="244"/>
        <v>0</v>
      </c>
      <c r="AA372" s="1">
        <f t="shared" si="245"/>
        <v>0</v>
      </c>
      <c r="AB372" s="1">
        <f t="shared" si="246"/>
        <v>0</v>
      </c>
      <c r="AD372" s="1">
        <f t="shared" si="247"/>
        <v>0</v>
      </c>
      <c r="AE372" s="1">
        <f t="shared" si="248"/>
        <v>0</v>
      </c>
      <c r="AF372" s="1">
        <f t="shared" si="233"/>
        <v>0</v>
      </c>
      <c r="AG372" s="1">
        <f t="shared" si="234"/>
        <v>0</v>
      </c>
      <c r="AH372" s="1">
        <f t="shared" si="235"/>
        <v>0</v>
      </c>
      <c r="AI372" s="1">
        <f t="shared" si="236"/>
        <v>1</v>
      </c>
    </row>
    <row r="373" spans="1:4094 4097:8191 8194:12288 12291:16384" ht="14.25" customHeight="1" x14ac:dyDescent="0.25">
      <c r="A373" s="44">
        <v>0</v>
      </c>
      <c r="B373" s="44">
        <v>2</v>
      </c>
      <c r="C373" s="44">
        <v>5</v>
      </c>
      <c r="D373" s="45" t="s">
        <v>1819</v>
      </c>
      <c r="E373" s="45" t="s">
        <v>772</v>
      </c>
      <c r="F373" s="45" t="s">
        <v>1820</v>
      </c>
      <c r="G373" s="45" t="s">
        <v>224</v>
      </c>
      <c r="H373" s="45" t="s">
        <v>354</v>
      </c>
      <c r="I373" s="44" t="s">
        <v>1821</v>
      </c>
      <c r="J373" s="44">
        <v>99</v>
      </c>
      <c r="K373" s="46" t="s">
        <v>1822</v>
      </c>
      <c r="L373" s="46">
        <v>40</v>
      </c>
      <c r="M373" s="47" t="s">
        <v>1823</v>
      </c>
      <c r="N373" s="47" t="s">
        <v>1809</v>
      </c>
      <c r="O373" s="48"/>
      <c r="P373" s="48"/>
      <c r="Q373" s="45"/>
      <c r="S373" s="1">
        <f t="shared" si="237"/>
        <v>0</v>
      </c>
      <c r="T373" s="1">
        <f t="shared" si="238"/>
        <v>0</v>
      </c>
      <c r="U373" s="1">
        <f t="shared" si="239"/>
        <v>0</v>
      </c>
      <c r="V373" s="1">
        <f t="shared" si="240"/>
        <v>0</v>
      </c>
      <c r="W373" s="1">
        <f t="shared" si="241"/>
        <v>0</v>
      </c>
      <c r="X373" s="1">
        <f t="shared" si="242"/>
        <v>0</v>
      </c>
      <c r="Y373" s="1">
        <f t="shared" si="243"/>
        <v>0</v>
      </c>
      <c r="Z373" s="1">
        <f t="shared" si="244"/>
        <v>0</v>
      </c>
      <c r="AA373" s="1">
        <f t="shared" si="245"/>
        <v>0</v>
      </c>
      <c r="AB373" s="1">
        <f t="shared" si="246"/>
        <v>0</v>
      </c>
      <c r="AD373" s="1">
        <f t="shared" si="247"/>
        <v>0</v>
      </c>
      <c r="AE373" s="1">
        <f t="shared" si="248"/>
        <v>0</v>
      </c>
      <c r="AF373" s="1">
        <f t="shared" si="233"/>
        <v>0</v>
      </c>
      <c r="AG373" s="1">
        <f t="shared" si="234"/>
        <v>0</v>
      </c>
      <c r="AH373" s="1">
        <f t="shared" si="235"/>
        <v>0</v>
      </c>
      <c r="AI373" s="1">
        <f t="shared" si="236"/>
        <v>1</v>
      </c>
    </row>
    <row r="374" spans="1:4094 4097:8191 8194:12288 12291:16384" ht="14.25" customHeight="1" x14ac:dyDescent="0.25">
      <c r="A374" s="31">
        <v>0</v>
      </c>
      <c r="B374" s="31">
        <v>2</v>
      </c>
      <c r="C374" s="31">
        <v>5</v>
      </c>
      <c r="D374" s="32" t="s">
        <v>616</v>
      </c>
      <c r="E374" s="32" t="s">
        <v>686</v>
      </c>
      <c r="F374" s="32" t="s">
        <v>617</v>
      </c>
      <c r="G374" s="32" t="s">
        <v>287</v>
      </c>
      <c r="H374" s="32" t="s">
        <v>354</v>
      </c>
      <c r="I374" s="31" t="s">
        <v>618</v>
      </c>
      <c r="J374" s="31">
        <v>99</v>
      </c>
      <c r="K374" s="33" t="s">
        <v>712</v>
      </c>
      <c r="L374" s="33" t="s">
        <v>704</v>
      </c>
      <c r="M374" s="34" t="s">
        <v>1425</v>
      </c>
      <c r="N374" s="34" t="s">
        <v>1743</v>
      </c>
      <c r="O374" s="35">
        <v>1</v>
      </c>
      <c r="P374" s="35"/>
      <c r="Q374" s="32"/>
      <c r="S374" s="1">
        <f t="shared" si="237"/>
        <v>0</v>
      </c>
      <c r="T374" s="1">
        <f t="shared" si="238"/>
        <v>0</v>
      </c>
      <c r="U374" s="1">
        <f t="shared" si="239"/>
        <v>0</v>
      </c>
      <c r="V374" s="1">
        <f t="shared" si="240"/>
        <v>0</v>
      </c>
      <c r="W374" s="1">
        <f t="shared" si="241"/>
        <v>0</v>
      </c>
      <c r="X374" s="1">
        <f t="shared" si="242"/>
        <v>0</v>
      </c>
      <c r="Y374" s="1">
        <f t="shared" si="243"/>
        <v>0</v>
      </c>
      <c r="Z374" s="1">
        <f t="shared" si="244"/>
        <v>0</v>
      </c>
      <c r="AA374" s="1">
        <f t="shared" si="245"/>
        <v>0</v>
      </c>
      <c r="AB374" s="1">
        <f t="shared" si="246"/>
        <v>0</v>
      </c>
      <c r="AD374" s="1">
        <f t="shared" si="247"/>
        <v>0</v>
      </c>
      <c r="AE374" s="1">
        <f t="shared" si="248"/>
        <v>1</v>
      </c>
      <c r="AF374" s="1">
        <f t="shared" si="233"/>
        <v>0</v>
      </c>
      <c r="AG374" s="1">
        <f t="shared" si="234"/>
        <v>1</v>
      </c>
      <c r="AH374" s="1">
        <f t="shared" si="235"/>
        <v>0</v>
      </c>
      <c r="AI374" s="1">
        <f t="shared" si="236"/>
        <v>1</v>
      </c>
    </row>
    <row r="375" spans="1:4094 4097:8191 8194:12288 12291:16384" ht="14.25" customHeight="1" x14ac:dyDescent="0.25">
      <c r="A375" s="44">
        <v>0</v>
      </c>
      <c r="B375" s="44">
        <v>2</v>
      </c>
      <c r="C375" s="44">
        <v>5</v>
      </c>
      <c r="D375" s="45" t="s">
        <v>1488</v>
      </c>
      <c r="E375" s="45" t="s">
        <v>772</v>
      </c>
      <c r="F375" s="45" t="s">
        <v>1489</v>
      </c>
      <c r="G375" s="45" t="s">
        <v>196</v>
      </c>
      <c r="H375" s="45" t="s">
        <v>354</v>
      </c>
      <c r="I375" s="44" t="s">
        <v>1490</v>
      </c>
      <c r="J375" s="44">
        <v>99</v>
      </c>
      <c r="K375" s="46" t="s">
        <v>954</v>
      </c>
      <c r="L375" s="46" t="s">
        <v>693</v>
      </c>
      <c r="M375" s="47" t="s">
        <v>1416</v>
      </c>
      <c r="N375" s="47" t="s">
        <v>1735</v>
      </c>
      <c r="O375" s="48"/>
      <c r="P375" s="48"/>
      <c r="Q375" s="45"/>
      <c r="R375" s="15"/>
      <c r="S375" s="15">
        <f t="shared" si="237"/>
        <v>0</v>
      </c>
      <c r="T375" s="15">
        <f t="shared" si="238"/>
        <v>0</v>
      </c>
      <c r="U375" s="15">
        <f t="shared" si="239"/>
        <v>0</v>
      </c>
      <c r="V375" s="15">
        <f t="shared" si="240"/>
        <v>0</v>
      </c>
      <c r="W375" s="15">
        <f t="shared" si="241"/>
        <v>0</v>
      </c>
      <c r="X375" s="15">
        <f t="shared" si="242"/>
        <v>0</v>
      </c>
      <c r="Y375" s="15">
        <f t="shared" si="243"/>
        <v>0</v>
      </c>
      <c r="Z375" s="15">
        <f t="shared" si="244"/>
        <v>0</v>
      </c>
      <c r="AA375" s="15">
        <f t="shared" si="245"/>
        <v>0</v>
      </c>
      <c r="AB375" s="10">
        <f t="shared" si="246"/>
        <v>0</v>
      </c>
      <c r="AC375" s="10"/>
      <c r="AD375" s="21">
        <f t="shared" si="247"/>
        <v>0</v>
      </c>
      <c r="AE375" s="21">
        <f t="shared" si="248"/>
        <v>0</v>
      </c>
      <c r="AF375" s="1">
        <f t="shared" si="233"/>
        <v>0</v>
      </c>
      <c r="AG375" s="1">
        <f t="shared" si="234"/>
        <v>0</v>
      </c>
      <c r="AH375" s="21">
        <f t="shared" si="235"/>
        <v>0</v>
      </c>
      <c r="AI375" s="15">
        <f t="shared" si="236"/>
        <v>1</v>
      </c>
      <c r="AJ375" s="15"/>
      <c r="AK375" s="15"/>
      <c r="AL375" s="15"/>
      <c r="AM375" s="15"/>
      <c r="AN375" s="15"/>
      <c r="AO375" s="15"/>
      <c r="AP375" s="15"/>
      <c r="AQ375" s="15"/>
      <c r="AR375" s="15"/>
      <c r="AS375" s="10"/>
      <c r="AT375" s="10"/>
      <c r="AU375" s="21"/>
      <c r="AV375" s="21"/>
      <c r="AY375" s="21"/>
      <c r="AZ375" s="15"/>
      <c r="BA375" s="15"/>
      <c r="BB375" s="15"/>
      <c r="BC375" s="15"/>
      <c r="BD375" s="15"/>
      <c r="BE375" s="15"/>
      <c r="BF375" s="15"/>
      <c r="BG375" s="15"/>
      <c r="BH375" s="15"/>
      <c r="BI375" s="15"/>
      <c r="BJ375" s="10"/>
      <c r="BK375" s="10"/>
      <c r="BL375" s="21"/>
      <c r="BM375" s="21"/>
      <c r="BP375" s="21"/>
      <c r="BQ375" s="15"/>
      <c r="BR375" s="15"/>
      <c r="BS375" s="15"/>
      <c r="BT375" s="15"/>
      <c r="BU375" s="15"/>
      <c r="BV375" s="15"/>
      <c r="BW375" s="15"/>
      <c r="BX375" s="15"/>
      <c r="BY375" s="15"/>
      <c r="BZ375" s="15"/>
      <c r="CA375" s="10"/>
      <c r="CB375" s="10"/>
      <c r="CC375" s="21"/>
      <c r="CD375" s="21"/>
      <c r="CG375" s="21"/>
      <c r="CH375" s="15"/>
      <c r="CI375" s="15"/>
      <c r="CJ375" s="15"/>
      <c r="CK375" s="15"/>
      <c r="CL375" s="15"/>
      <c r="CM375" s="15"/>
      <c r="CN375" s="15"/>
      <c r="CO375" s="15"/>
      <c r="CP375" s="15"/>
      <c r="CQ375" s="15"/>
      <c r="CR375" s="10"/>
      <c r="CS375" s="10"/>
      <c r="CT375" s="21"/>
      <c r="CU375" s="21"/>
      <c r="CX375" s="21"/>
      <c r="CY375" s="15"/>
      <c r="CZ375" s="15"/>
      <c r="DA375" s="15"/>
      <c r="DB375" s="15"/>
      <c r="DC375" s="15"/>
      <c r="DD375" s="15"/>
      <c r="DE375" s="15"/>
      <c r="DF375" s="15"/>
      <c r="DG375" s="15"/>
      <c r="DH375" s="15"/>
      <c r="DI375" s="10"/>
      <c r="DJ375" s="10"/>
      <c r="DK375" s="21"/>
      <c r="DL375" s="21"/>
      <c r="DO375" s="21"/>
      <c r="DP375" s="15"/>
      <c r="DQ375" s="15"/>
      <c r="DR375" s="15"/>
      <c r="DS375" s="15"/>
      <c r="DT375" s="15"/>
      <c r="DU375" s="15"/>
      <c r="DV375" s="15"/>
      <c r="DW375" s="15"/>
      <c r="DX375" s="15"/>
      <c r="DY375" s="15"/>
      <c r="DZ375" s="10"/>
      <c r="EA375" s="10"/>
      <c r="EB375" s="21"/>
      <c r="EC375" s="21"/>
      <c r="EF375" s="21"/>
      <c r="EG375" s="15"/>
      <c r="EH375" s="15"/>
      <c r="EI375" s="15"/>
      <c r="EJ375" s="15"/>
      <c r="EK375" s="15"/>
      <c r="EL375" s="15"/>
      <c r="EM375" s="15"/>
      <c r="EN375" s="15"/>
      <c r="EO375" s="15"/>
      <c r="EP375" s="15"/>
      <c r="EQ375" s="10"/>
      <c r="ER375" s="10"/>
      <c r="ES375" s="21"/>
      <c r="ET375" s="21"/>
      <c r="EW375" s="21"/>
      <c r="EX375" s="15"/>
      <c r="EY375" s="15"/>
      <c r="EZ375" s="15"/>
      <c r="FA375" s="15"/>
      <c r="FB375" s="15"/>
      <c r="FC375" s="15"/>
      <c r="FD375" s="15"/>
      <c r="FE375" s="15"/>
      <c r="FF375" s="15"/>
      <c r="FG375" s="15"/>
      <c r="FH375" s="10"/>
      <c r="FI375" s="10"/>
      <c r="FJ375" s="21"/>
      <c r="FK375" s="21"/>
      <c r="FN375" s="21"/>
      <c r="FO375" s="15"/>
      <c r="FP375" s="15"/>
      <c r="FQ375" s="15"/>
      <c r="FR375" s="15"/>
      <c r="FS375" s="15"/>
      <c r="FT375" s="15"/>
      <c r="FU375" s="15"/>
      <c r="FV375" s="15"/>
      <c r="FW375" s="15"/>
      <c r="FX375" s="15"/>
      <c r="FY375" s="10"/>
      <c r="FZ375" s="10"/>
      <c r="GA375" s="21"/>
      <c r="GB375" s="21"/>
      <c r="GE375" s="21"/>
      <c r="GF375" s="15"/>
      <c r="GG375" s="15"/>
      <c r="GH375" s="15"/>
      <c r="GI375" s="15"/>
      <c r="GJ375" s="15"/>
      <c r="GK375" s="15"/>
      <c r="GL375" s="15"/>
      <c r="GM375" s="15"/>
      <c r="GN375" s="15"/>
      <c r="GO375" s="15"/>
      <c r="GP375" s="10"/>
      <c r="GQ375" s="10"/>
      <c r="GR375" s="21"/>
      <c r="GS375" s="21"/>
      <c r="GV375" s="21"/>
      <c r="GW375" s="15"/>
      <c r="GX375" s="15"/>
      <c r="GY375" s="15"/>
      <c r="GZ375" s="15"/>
      <c r="HA375" s="15"/>
      <c r="HB375" s="15"/>
      <c r="HC375" s="15"/>
      <c r="HD375" s="15"/>
      <c r="HE375" s="15"/>
      <c r="HF375" s="15"/>
      <c r="HG375" s="10"/>
      <c r="HH375" s="10"/>
      <c r="HI375" s="21"/>
      <c r="HJ375" s="21"/>
      <c r="HM375" s="21"/>
      <c r="HN375" s="15"/>
      <c r="HO375" s="15"/>
      <c r="HP375" s="15"/>
      <c r="HQ375" s="15"/>
      <c r="HR375" s="15"/>
      <c r="HS375" s="15"/>
      <c r="HT375" s="15"/>
      <c r="HU375" s="15"/>
      <c r="HV375" s="15"/>
      <c r="HW375" s="15"/>
      <c r="HX375" s="10"/>
      <c r="HY375" s="10"/>
      <c r="HZ375" s="21"/>
      <c r="IA375" s="21"/>
      <c r="ID375" s="21"/>
      <c r="IE375" s="15"/>
      <c r="IF375" s="15"/>
      <c r="IG375" s="15"/>
      <c r="IH375" s="15"/>
      <c r="II375" s="15"/>
      <c r="IJ375" s="15"/>
      <c r="IK375" s="15"/>
      <c r="IL375" s="15"/>
      <c r="IM375" s="15"/>
      <c r="IN375" s="15"/>
      <c r="IO375" s="10"/>
      <c r="IP375" s="10"/>
      <c r="IQ375" s="21"/>
      <c r="IR375" s="21"/>
      <c r="IU375" s="21"/>
      <c r="IV375" s="15"/>
      <c r="IW375" s="15"/>
      <c r="IX375" s="15"/>
      <c r="IY375" s="15"/>
      <c r="IZ375" s="15"/>
      <c r="JA375" s="15"/>
      <c r="JB375" s="15"/>
      <c r="JC375" s="15"/>
      <c r="JD375" s="15"/>
      <c r="JE375" s="15"/>
      <c r="JF375" s="10"/>
      <c r="JG375" s="10"/>
      <c r="JH375" s="21"/>
      <c r="JI375" s="21"/>
      <c r="JL375" s="21"/>
      <c r="JM375" s="15"/>
      <c r="JN375" s="15"/>
      <c r="JO375" s="15"/>
      <c r="JP375" s="15"/>
      <c r="JQ375" s="15"/>
      <c r="JR375" s="15"/>
      <c r="JS375" s="15"/>
      <c r="JT375" s="15"/>
      <c r="JU375" s="15"/>
      <c r="JV375" s="15"/>
      <c r="JW375" s="10"/>
      <c r="JX375" s="10"/>
      <c r="JY375" s="21"/>
      <c r="JZ375" s="21"/>
      <c r="KC375" s="21"/>
      <c r="KD375" s="15"/>
      <c r="KE375" s="15"/>
      <c r="KF375" s="15"/>
      <c r="KG375" s="15"/>
      <c r="KH375" s="15"/>
      <c r="KI375" s="15"/>
      <c r="KJ375" s="15"/>
      <c r="KK375" s="15"/>
      <c r="KL375" s="15"/>
      <c r="KM375" s="15"/>
      <c r="KN375" s="10"/>
      <c r="KO375" s="10"/>
      <c r="KP375" s="21"/>
      <c r="KQ375" s="21"/>
      <c r="KT375" s="21"/>
      <c r="KU375" s="15"/>
      <c r="KV375" s="15"/>
      <c r="KW375" s="15"/>
      <c r="KX375" s="15"/>
      <c r="KY375" s="15"/>
      <c r="KZ375" s="15"/>
      <c r="LA375" s="15"/>
      <c r="LB375" s="15"/>
      <c r="LC375" s="15"/>
      <c r="LD375" s="15"/>
      <c r="LE375" s="10"/>
      <c r="LF375" s="10"/>
      <c r="LG375" s="21"/>
      <c r="LH375" s="21"/>
      <c r="LK375" s="21"/>
      <c r="LL375" s="15"/>
      <c r="LM375" s="15"/>
      <c r="LN375" s="15"/>
      <c r="LO375" s="15"/>
      <c r="LP375" s="15"/>
      <c r="LQ375" s="15"/>
      <c r="LR375" s="15"/>
      <c r="LS375" s="15"/>
      <c r="LT375" s="15"/>
      <c r="LU375" s="15"/>
      <c r="LV375" s="10"/>
      <c r="LW375" s="10"/>
      <c r="LX375" s="21"/>
      <c r="LY375" s="21"/>
      <c r="MB375" s="21"/>
      <c r="MC375" s="15"/>
      <c r="MD375" s="15"/>
      <c r="ME375" s="15"/>
      <c r="MF375" s="15"/>
      <c r="MG375" s="15"/>
      <c r="MH375" s="15"/>
      <c r="MI375" s="15"/>
      <c r="MJ375" s="15"/>
      <c r="MK375" s="15"/>
      <c r="ML375" s="15"/>
      <c r="MM375" s="10"/>
      <c r="MN375" s="10"/>
      <c r="MO375" s="21"/>
      <c r="MP375" s="21"/>
      <c r="MS375" s="21"/>
      <c r="MT375" s="15"/>
      <c r="MU375" s="15"/>
      <c r="MV375" s="15"/>
      <c r="MW375" s="15"/>
      <c r="MX375" s="15"/>
      <c r="MY375" s="15"/>
      <c r="MZ375" s="15"/>
      <c r="NA375" s="15"/>
      <c r="NB375" s="15"/>
      <c r="NC375" s="15"/>
      <c r="ND375" s="10"/>
      <c r="NE375" s="10"/>
      <c r="NF375" s="21"/>
      <c r="NG375" s="21"/>
      <c r="NJ375" s="21"/>
      <c r="NK375" s="15"/>
      <c r="NL375" s="15"/>
      <c r="NM375" s="15"/>
      <c r="NN375" s="15"/>
      <c r="NO375" s="15"/>
      <c r="NP375" s="15"/>
      <c r="NQ375" s="15"/>
      <c r="NR375" s="15"/>
      <c r="NS375" s="15"/>
      <c r="NT375" s="15"/>
      <c r="NU375" s="10"/>
      <c r="NV375" s="10"/>
      <c r="NW375" s="21"/>
      <c r="NX375" s="21"/>
      <c r="OA375" s="21"/>
      <c r="OB375" s="15"/>
      <c r="OC375" s="15"/>
      <c r="OD375" s="15"/>
      <c r="OE375" s="15"/>
      <c r="OF375" s="15"/>
      <c r="OG375" s="15"/>
      <c r="OH375" s="15"/>
      <c r="OI375" s="15"/>
      <c r="OJ375" s="15"/>
      <c r="OK375" s="15"/>
      <c r="OL375" s="10"/>
      <c r="OM375" s="10"/>
      <c r="ON375" s="21"/>
      <c r="OO375" s="21"/>
      <c r="OR375" s="21"/>
      <c r="OS375" s="15"/>
      <c r="OT375" s="15"/>
      <c r="OU375" s="15"/>
      <c r="OV375" s="15"/>
      <c r="OW375" s="15"/>
      <c r="OX375" s="15"/>
      <c r="OY375" s="15"/>
      <c r="OZ375" s="15"/>
      <c r="PA375" s="15"/>
      <c r="PB375" s="15"/>
      <c r="PC375" s="10"/>
      <c r="PD375" s="10"/>
      <c r="PE375" s="21"/>
      <c r="PF375" s="21"/>
      <c r="PI375" s="21"/>
      <c r="PJ375" s="15"/>
      <c r="PK375" s="15"/>
      <c r="PL375" s="15"/>
      <c r="PM375" s="15"/>
      <c r="PN375" s="15"/>
      <c r="PO375" s="15"/>
      <c r="PP375" s="15"/>
      <c r="PQ375" s="15"/>
      <c r="PR375" s="15"/>
      <c r="PS375" s="15"/>
      <c r="PT375" s="10"/>
      <c r="PU375" s="10"/>
      <c r="PV375" s="21"/>
      <c r="PW375" s="21"/>
      <c r="PZ375" s="21"/>
      <c r="QA375" s="15"/>
      <c r="QB375" s="15"/>
      <c r="QC375" s="15"/>
      <c r="QD375" s="15"/>
      <c r="QE375" s="15"/>
      <c r="QF375" s="15"/>
      <c r="QG375" s="15"/>
      <c r="QH375" s="15"/>
      <c r="QI375" s="15"/>
      <c r="QJ375" s="15"/>
      <c r="QK375" s="10"/>
      <c r="QL375" s="10"/>
      <c r="QM375" s="21"/>
      <c r="QN375" s="21"/>
      <c r="QQ375" s="21"/>
      <c r="QR375" s="15"/>
      <c r="QS375" s="15"/>
      <c r="QT375" s="15"/>
      <c r="QU375" s="15"/>
      <c r="QV375" s="15"/>
      <c r="QW375" s="15"/>
      <c r="QX375" s="15"/>
      <c r="QY375" s="15"/>
      <c r="QZ375" s="15"/>
      <c r="RA375" s="15"/>
      <c r="RB375" s="10"/>
      <c r="RC375" s="10"/>
      <c r="RD375" s="21"/>
      <c r="RE375" s="21"/>
      <c r="RH375" s="21"/>
      <c r="RI375" s="15"/>
      <c r="RJ375" s="15"/>
      <c r="RK375" s="15"/>
      <c r="RL375" s="15"/>
      <c r="RM375" s="15"/>
      <c r="RN375" s="15"/>
      <c r="RO375" s="15"/>
      <c r="RP375" s="15"/>
      <c r="RQ375" s="15"/>
      <c r="RR375" s="15"/>
      <c r="RS375" s="10"/>
      <c r="RT375" s="10"/>
      <c r="RU375" s="21"/>
      <c r="RV375" s="21"/>
      <c r="RY375" s="21"/>
      <c r="RZ375" s="15"/>
      <c r="SA375" s="15"/>
      <c r="SB375" s="15"/>
      <c r="SC375" s="15"/>
      <c r="SD375" s="15"/>
      <c r="SE375" s="15"/>
      <c r="SF375" s="15"/>
      <c r="SG375" s="15"/>
      <c r="SH375" s="15"/>
      <c r="SI375" s="15"/>
      <c r="SJ375" s="10"/>
      <c r="SK375" s="10"/>
      <c r="SL375" s="21"/>
      <c r="SM375" s="21"/>
      <c r="SP375" s="21"/>
      <c r="SQ375" s="15"/>
      <c r="SR375" s="15"/>
      <c r="SS375" s="15"/>
      <c r="ST375" s="15"/>
      <c r="SU375" s="15"/>
      <c r="SV375" s="15"/>
      <c r="SW375" s="15"/>
      <c r="SX375" s="15"/>
      <c r="SY375" s="15"/>
      <c r="SZ375" s="15"/>
      <c r="TA375" s="10"/>
      <c r="TB375" s="10"/>
      <c r="TC375" s="21"/>
      <c r="TD375" s="21"/>
      <c r="TG375" s="21"/>
      <c r="TH375" s="15"/>
      <c r="TI375" s="15"/>
      <c r="TJ375" s="15"/>
      <c r="TK375" s="15"/>
      <c r="TL375" s="15"/>
      <c r="TM375" s="15"/>
      <c r="TN375" s="15"/>
      <c r="TO375" s="15"/>
      <c r="TP375" s="15"/>
      <c r="TQ375" s="15"/>
      <c r="TR375" s="10"/>
      <c r="TS375" s="10"/>
      <c r="TT375" s="21"/>
      <c r="TU375" s="21"/>
      <c r="TX375" s="21"/>
      <c r="TY375" s="15"/>
      <c r="TZ375" s="15"/>
      <c r="UA375" s="15"/>
      <c r="UB375" s="15"/>
      <c r="UC375" s="15"/>
      <c r="UD375" s="15"/>
      <c r="UE375" s="15"/>
      <c r="UF375" s="15"/>
      <c r="UG375" s="15"/>
      <c r="UH375" s="15"/>
      <c r="UI375" s="10"/>
      <c r="UJ375" s="10"/>
      <c r="UK375" s="21"/>
      <c r="UL375" s="21"/>
      <c r="UO375" s="21"/>
      <c r="UP375" s="15"/>
      <c r="UQ375" s="15"/>
      <c r="UR375" s="15"/>
      <c r="US375" s="15"/>
      <c r="UT375" s="15"/>
      <c r="UU375" s="15"/>
      <c r="UV375" s="15"/>
      <c r="UW375" s="15"/>
      <c r="UX375" s="15"/>
      <c r="UY375" s="15"/>
      <c r="UZ375" s="10"/>
      <c r="VA375" s="10"/>
      <c r="VB375" s="21"/>
      <c r="VC375" s="21"/>
      <c r="VF375" s="21"/>
      <c r="VG375" s="15"/>
      <c r="VH375" s="15"/>
      <c r="VI375" s="15"/>
      <c r="VJ375" s="15"/>
      <c r="VK375" s="15"/>
      <c r="VL375" s="15"/>
      <c r="VM375" s="15"/>
      <c r="VN375" s="15"/>
      <c r="VO375" s="15"/>
      <c r="VP375" s="15"/>
      <c r="VQ375" s="10"/>
      <c r="VR375" s="10"/>
      <c r="VS375" s="21"/>
      <c r="VT375" s="21"/>
      <c r="VW375" s="21"/>
      <c r="VX375" s="15"/>
      <c r="VY375" s="15"/>
      <c r="VZ375" s="15"/>
      <c r="WA375" s="15"/>
      <c r="WB375" s="15"/>
      <c r="WC375" s="15"/>
      <c r="WD375" s="15"/>
      <c r="WE375" s="15"/>
      <c r="WF375" s="15"/>
      <c r="WG375" s="15"/>
      <c r="WH375" s="10"/>
      <c r="WI375" s="10"/>
      <c r="WJ375" s="21"/>
      <c r="WK375" s="21"/>
      <c r="WN375" s="21"/>
      <c r="WO375" s="15"/>
      <c r="WP375" s="15"/>
      <c r="WQ375" s="15"/>
      <c r="WR375" s="15"/>
      <c r="WS375" s="15"/>
      <c r="WT375" s="15"/>
      <c r="WU375" s="15"/>
      <c r="WV375" s="15"/>
      <c r="WW375" s="15"/>
      <c r="WX375" s="15"/>
      <c r="WY375" s="10"/>
      <c r="WZ375" s="10"/>
      <c r="XA375" s="21"/>
      <c r="XB375" s="21"/>
      <c r="XE375" s="21"/>
      <c r="XF375" s="15"/>
      <c r="XG375" s="15"/>
      <c r="XH375" s="15"/>
      <c r="XI375" s="15"/>
      <c r="XJ375" s="15"/>
      <c r="XK375" s="15"/>
      <c r="XL375" s="15"/>
      <c r="XM375" s="15"/>
      <c r="XN375" s="15"/>
      <c r="XO375" s="15"/>
      <c r="XP375" s="10"/>
      <c r="XQ375" s="10"/>
      <c r="XR375" s="21"/>
      <c r="XS375" s="21"/>
      <c r="XV375" s="21"/>
      <c r="XW375" s="15"/>
      <c r="XX375" s="15"/>
      <c r="XY375" s="15"/>
      <c r="XZ375" s="15"/>
      <c r="YA375" s="15"/>
      <c r="YB375" s="15"/>
      <c r="YC375" s="15"/>
      <c r="YD375" s="15"/>
      <c r="YE375" s="15"/>
      <c r="YF375" s="15"/>
      <c r="YG375" s="10"/>
      <c r="YH375" s="10"/>
      <c r="YI375" s="21"/>
      <c r="YJ375" s="21"/>
      <c r="YM375" s="21"/>
      <c r="YN375" s="15"/>
      <c r="YO375" s="15"/>
      <c r="YP375" s="15"/>
      <c r="YQ375" s="15"/>
      <c r="YR375" s="15"/>
      <c r="YS375" s="15"/>
      <c r="YT375" s="15"/>
      <c r="YU375" s="15"/>
      <c r="YV375" s="15"/>
      <c r="YW375" s="15"/>
      <c r="YX375" s="10"/>
      <c r="YY375" s="10"/>
      <c r="YZ375" s="21"/>
      <c r="ZA375" s="21"/>
      <c r="ZD375" s="21"/>
      <c r="ZE375" s="15"/>
      <c r="ZF375" s="15"/>
      <c r="ZG375" s="15"/>
      <c r="ZH375" s="15"/>
      <c r="ZI375" s="15"/>
      <c r="ZJ375" s="15"/>
      <c r="ZK375" s="15"/>
      <c r="ZL375" s="15"/>
      <c r="ZM375" s="15"/>
      <c r="ZN375" s="15"/>
      <c r="ZO375" s="10"/>
      <c r="ZP375" s="10"/>
      <c r="ZQ375" s="21"/>
      <c r="ZR375" s="21"/>
      <c r="ZU375" s="21"/>
      <c r="ZV375" s="15"/>
      <c r="ZW375" s="15"/>
      <c r="ZX375" s="15"/>
      <c r="ZY375" s="15"/>
      <c r="ZZ375" s="15"/>
      <c r="AAA375" s="15"/>
      <c r="AAB375" s="15"/>
      <c r="AAC375" s="15"/>
      <c r="AAD375" s="15"/>
      <c r="AAE375" s="15"/>
      <c r="AAF375" s="10"/>
      <c r="AAG375" s="10"/>
      <c r="AAH375" s="21"/>
      <c r="AAI375" s="21"/>
      <c r="AAL375" s="21"/>
      <c r="AAM375" s="15"/>
      <c r="AAN375" s="15"/>
      <c r="AAO375" s="15"/>
      <c r="AAP375" s="15"/>
      <c r="AAQ375" s="15"/>
      <c r="AAR375" s="15"/>
      <c r="AAS375" s="15"/>
      <c r="AAT375" s="15"/>
      <c r="AAU375" s="15"/>
      <c r="AAV375" s="15"/>
      <c r="AAW375" s="10"/>
      <c r="AAX375" s="10"/>
      <c r="AAY375" s="21"/>
      <c r="AAZ375" s="21"/>
      <c r="ABC375" s="21"/>
      <c r="ABD375" s="15"/>
      <c r="ABE375" s="15"/>
      <c r="ABF375" s="15"/>
      <c r="ABG375" s="15"/>
      <c r="ABH375" s="15"/>
      <c r="ABI375" s="15"/>
      <c r="ABJ375" s="15"/>
      <c r="ABK375" s="15"/>
      <c r="ABL375" s="15"/>
      <c r="ABM375" s="15"/>
      <c r="ABN375" s="10"/>
      <c r="ABO375" s="10"/>
      <c r="ABP375" s="21"/>
      <c r="ABQ375" s="21"/>
      <c r="ABT375" s="21"/>
      <c r="ABU375" s="15"/>
      <c r="ABV375" s="15"/>
      <c r="ABW375" s="15"/>
      <c r="ABX375" s="15"/>
      <c r="ABY375" s="15"/>
      <c r="ABZ375" s="15"/>
      <c r="ACA375" s="15"/>
      <c r="ACB375" s="15"/>
      <c r="ACC375" s="15"/>
      <c r="ACD375" s="15"/>
      <c r="ACE375" s="10"/>
      <c r="ACF375" s="10"/>
      <c r="ACG375" s="21"/>
      <c r="ACH375" s="21"/>
      <c r="ACK375" s="21"/>
      <c r="ACL375" s="15"/>
      <c r="ACM375" s="15"/>
      <c r="ACN375" s="15"/>
      <c r="ACO375" s="15"/>
      <c r="ACP375" s="15"/>
      <c r="ACQ375" s="15"/>
      <c r="ACR375" s="15"/>
      <c r="ACS375" s="15"/>
      <c r="ACT375" s="15"/>
      <c r="ACU375" s="15"/>
      <c r="ACV375" s="10"/>
      <c r="ACW375" s="10"/>
      <c r="ACX375" s="21"/>
      <c r="ACY375" s="21"/>
      <c r="ADB375" s="21"/>
      <c r="ADC375" s="15"/>
      <c r="ADD375" s="15"/>
      <c r="ADE375" s="15"/>
      <c r="ADF375" s="15"/>
      <c r="ADG375" s="15"/>
      <c r="ADH375" s="15"/>
      <c r="ADI375" s="15"/>
      <c r="ADJ375" s="15"/>
      <c r="ADK375" s="15"/>
      <c r="ADL375" s="15"/>
      <c r="ADM375" s="10"/>
      <c r="ADN375" s="10"/>
      <c r="ADO375" s="21"/>
      <c r="ADP375" s="21"/>
      <c r="ADS375" s="21"/>
      <c r="ADT375" s="15"/>
      <c r="ADU375" s="15"/>
      <c r="ADV375" s="15"/>
      <c r="ADW375" s="15"/>
      <c r="ADX375" s="15"/>
      <c r="ADY375" s="15"/>
      <c r="ADZ375" s="15"/>
      <c r="AEA375" s="15"/>
      <c r="AEB375" s="15"/>
      <c r="AEC375" s="15"/>
      <c r="AED375" s="10"/>
      <c r="AEE375" s="10"/>
      <c r="AEF375" s="21"/>
      <c r="AEG375" s="21"/>
      <c r="AEJ375" s="21"/>
      <c r="AEK375" s="15"/>
      <c r="AEL375" s="15"/>
      <c r="AEM375" s="15"/>
      <c r="AEN375" s="15"/>
      <c r="AEO375" s="15"/>
      <c r="AEP375" s="15"/>
      <c r="AEQ375" s="15"/>
      <c r="AER375" s="15"/>
      <c r="AES375" s="15"/>
      <c r="AET375" s="15"/>
      <c r="AEU375" s="10"/>
      <c r="AEV375" s="10"/>
      <c r="AEW375" s="21"/>
      <c r="AEX375" s="21"/>
      <c r="AFA375" s="21"/>
      <c r="AFB375" s="15"/>
      <c r="AFC375" s="15"/>
      <c r="AFD375" s="15"/>
      <c r="AFE375" s="15"/>
      <c r="AFF375" s="15"/>
      <c r="AFG375" s="15"/>
      <c r="AFH375" s="15"/>
      <c r="AFI375" s="15"/>
      <c r="AFJ375" s="15"/>
      <c r="AFK375" s="15"/>
      <c r="AFL375" s="10"/>
      <c r="AFM375" s="10"/>
      <c r="AFN375" s="21"/>
      <c r="AFO375" s="21"/>
      <c r="AFR375" s="21"/>
      <c r="AFS375" s="15"/>
      <c r="AFT375" s="15"/>
      <c r="AFU375" s="15"/>
      <c r="AFV375" s="15"/>
      <c r="AFW375" s="15"/>
      <c r="AFX375" s="15"/>
      <c r="AFY375" s="15"/>
      <c r="AFZ375" s="15"/>
      <c r="AGA375" s="15"/>
      <c r="AGB375" s="15"/>
      <c r="AGC375" s="10"/>
      <c r="AGD375" s="10"/>
      <c r="AGE375" s="21"/>
      <c r="AGF375" s="21"/>
      <c r="AGI375" s="21"/>
      <c r="AGJ375" s="15"/>
      <c r="AGK375" s="15"/>
      <c r="AGL375" s="15"/>
      <c r="AGM375" s="15"/>
      <c r="AGN375" s="15"/>
      <c r="AGO375" s="15"/>
      <c r="AGP375" s="15"/>
      <c r="AGQ375" s="15"/>
      <c r="AGR375" s="15"/>
      <c r="AGS375" s="15"/>
      <c r="AGT375" s="10"/>
      <c r="AGU375" s="10"/>
      <c r="AGV375" s="21"/>
      <c r="AGW375" s="21"/>
      <c r="AGZ375" s="21"/>
      <c r="AHA375" s="15"/>
      <c r="AHB375" s="15"/>
      <c r="AHC375" s="15"/>
      <c r="AHD375" s="15"/>
      <c r="AHE375" s="15"/>
      <c r="AHF375" s="15"/>
      <c r="AHG375" s="15"/>
      <c r="AHH375" s="15"/>
      <c r="AHI375" s="15"/>
      <c r="AHJ375" s="15"/>
      <c r="AHK375" s="10"/>
      <c r="AHL375" s="10"/>
      <c r="AHM375" s="21"/>
      <c r="AHN375" s="21"/>
      <c r="AHQ375" s="21"/>
      <c r="AHR375" s="15"/>
      <c r="AHS375" s="15"/>
      <c r="AHT375" s="15"/>
      <c r="AHU375" s="15"/>
      <c r="AHV375" s="15"/>
      <c r="AHW375" s="15"/>
      <c r="AHX375" s="15"/>
      <c r="AHY375" s="15"/>
      <c r="AHZ375" s="15"/>
      <c r="AIA375" s="15"/>
      <c r="AIB375" s="10"/>
      <c r="AIC375" s="10"/>
      <c r="AID375" s="21"/>
      <c r="AIE375" s="21"/>
      <c r="AIH375" s="21"/>
      <c r="AII375" s="15"/>
      <c r="AIJ375" s="15"/>
      <c r="AIK375" s="15"/>
      <c r="AIL375" s="15"/>
      <c r="AIM375" s="15"/>
      <c r="AIN375" s="15"/>
      <c r="AIO375" s="15"/>
      <c r="AIP375" s="15"/>
      <c r="AIQ375" s="15"/>
      <c r="AIR375" s="15"/>
      <c r="AIS375" s="10"/>
      <c r="AIT375" s="10"/>
      <c r="AIU375" s="21"/>
      <c r="AIV375" s="21"/>
      <c r="AIY375" s="21"/>
      <c r="AIZ375" s="15"/>
      <c r="AJA375" s="15"/>
      <c r="AJB375" s="15"/>
      <c r="AJC375" s="15"/>
      <c r="AJD375" s="15"/>
      <c r="AJE375" s="15"/>
      <c r="AJF375" s="15"/>
      <c r="AJG375" s="15"/>
      <c r="AJH375" s="15"/>
      <c r="AJI375" s="15"/>
      <c r="AJJ375" s="10"/>
      <c r="AJK375" s="10"/>
      <c r="AJL375" s="21"/>
      <c r="AJM375" s="21"/>
      <c r="AJP375" s="21"/>
      <c r="AJQ375" s="15"/>
      <c r="AJR375" s="15"/>
      <c r="AJS375" s="15"/>
      <c r="AJT375" s="15"/>
      <c r="AJU375" s="15"/>
      <c r="AJV375" s="15"/>
      <c r="AJW375" s="15"/>
      <c r="AJX375" s="15"/>
      <c r="AJY375" s="15"/>
      <c r="AJZ375" s="15"/>
      <c r="AKA375" s="10"/>
      <c r="AKB375" s="10"/>
      <c r="AKC375" s="21"/>
      <c r="AKD375" s="21"/>
      <c r="AKG375" s="21"/>
      <c r="AKH375" s="15"/>
      <c r="AKI375" s="15"/>
      <c r="AKJ375" s="15"/>
      <c r="AKK375" s="15"/>
      <c r="AKL375" s="15"/>
      <c r="AKM375" s="15"/>
      <c r="AKN375" s="15"/>
      <c r="AKO375" s="15"/>
      <c r="AKP375" s="15"/>
      <c r="AKQ375" s="15"/>
      <c r="AKR375" s="10"/>
      <c r="AKS375" s="10"/>
      <c r="AKT375" s="21"/>
      <c r="AKU375" s="21"/>
      <c r="AKX375" s="21"/>
      <c r="AKY375" s="15"/>
      <c r="AKZ375" s="15"/>
      <c r="ALA375" s="15"/>
      <c r="ALB375" s="15"/>
      <c r="ALC375" s="15"/>
      <c r="ALD375" s="15"/>
      <c r="ALE375" s="15"/>
      <c r="ALF375" s="15"/>
      <c r="ALG375" s="15"/>
      <c r="ALH375" s="15"/>
      <c r="ALI375" s="10"/>
      <c r="ALJ375" s="10"/>
      <c r="ALK375" s="21"/>
      <c r="ALL375" s="21"/>
      <c r="ALO375" s="21"/>
      <c r="ALP375" s="15"/>
      <c r="ALQ375" s="15"/>
      <c r="ALR375" s="15"/>
      <c r="ALS375" s="15"/>
      <c r="ALT375" s="15"/>
      <c r="ALU375" s="15"/>
      <c r="ALV375" s="15"/>
      <c r="ALW375" s="15"/>
      <c r="ALX375" s="15"/>
      <c r="ALY375" s="15"/>
      <c r="ALZ375" s="10"/>
      <c r="AMA375" s="10"/>
      <c r="AMB375" s="21"/>
      <c r="AMC375" s="21"/>
      <c r="AMF375" s="21"/>
      <c r="AMG375" s="15"/>
      <c r="AMH375" s="15"/>
      <c r="AMI375" s="15"/>
      <c r="AMJ375" s="15"/>
      <c r="AMK375" s="15"/>
      <c r="AML375" s="15"/>
      <c r="AMM375" s="15"/>
      <c r="AMN375" s="15"/>
      <c r="AMO375" s="15"/>
      <c r="AMP375" s="15"/>
      <c r="AMQ375" s="10"/>
      <c r="AMR375" s="10"/>
      <c r="AMS375" s="21"/>
      <c r="AMT375" s="21"/>
      <c r="AMW375" s="21"/>
      <c r="AMX375" s="15"/>
      <c r="AMY375" s="15"/>
      <c r="AMZ375" s="15"/>
      <c r="ANA375" s="15"/>
      <c r="ANB375" s="15"/>
      <c r="ANC375" s="15"/>
      <c r="AND375" s="15"/>
      <c r="ANE375" s="15"/>
      <c r="ANF375" s="15"/>
      <c r="ANG375" s="15"/>
      <c r="ANH375" s="10"/>
      <c r="ANI375" s="10"/>
      <c r="ANJ375" s="21"/>
      <c r="ANK375" s="21"/>
      <c r="ANN375" s="21"/>
      <c r="ANO375" s="15"/>
      <c r="ANP375" s="15"/>
      <c r="ANQ375" s="15"/>
      <c r="ANR375" s="15"/>
      <c r="ANS375" s="15"/>
      <c r="ANT375" s="15"/>
      <c r="ANU375" s="15"/>
      <c r="ANV375" s="15"/>
      <c r="ANW375" s="15"/>
      <c r="ANX375" s="15"/>
      <c r="ANY375" s="10"/>
      <c r="ANZ375" s="10"/>
      <c r="AOA375" s="21"/>
      <c r="AOB375" s="21"/>
      <c r="AOE375" s="21"/>
      <c r="AOF375" s="15"/>
      <c r="AOG375" s="15"/>
      <c r="AOH375" s="15"/>
      <c r="AOI375" s="15"/>
      <c r="AOJ375" s="15"/>
      <c r="AOK375" s="15"/>
      <c r="AOL375" s="15"/>
      <c r="AOM375" s="15"/>
      <c r="AON375" s="15"/>
      <c r="AOO375" s="15"/>
      <c r="AOP375" s="10"/>
      <c r="AOQ375" s="10"/>
      <c r="AOR375" s="21"/>
      <c r="AOS375" s="21"/>
      <c r="AOV375" s="21"/>
      <c r="AOW375" s="15"/>
      <c r="AOX375" s="15"/>
      <c r="AOY375" s="15"/>
      <c r="AOZ375" s="15"/>
      <c r="APA375" s="15"/>
      <c r="APB375" s="15"/>
      <c r="APC375" s="15"/>
      <c r="APD375" s="15"/>
      <c r="APE375" s="15"/>
      <c r="APF375" s="15"/>
      <c r="APG375" s="10"/>
      <c r="APH375" s="10"/>
      <c r="API375" s="21"/>
      <c r="APJ375" s="21"/>
      <c r="APM375" s="21"/>
      <c r="APN375" s="15"/>
      <c r="APO375" s="15"/>
      <c r="APP375" s="15"/>
      <c r="APQ375" s="15"/>
      <c r="APR375" s="15"/>
      <c r="APS375" s="15"/>
      <c r="APT375" s="15"/>
      <c r="APU375" s="15"/>
      <c r="APV375" s="15"/>
      <c r="APW375" s="15"/>
      <c r="APX375" s="10"/>
      <c r="APY375" s="10"/>
      <c r="APZ375" s="21"/>
      <c r="AQA375" s="21"/>
      <c r="AQD375" s="21"/>
      <c r="AQE375" s="15"/>
      <c r="AQF375" s="15"/>
      <c r="AQG375" s="15"/>
      <c r="AQH375" s="15"/>
      <c r="AQI375" s="15"/>
      <c r="AQJ375" s="15"/>
      <c r="AQK375" s="15"/>
      <c r="AQL375" s="15"/>
      <c r="AQM375" s="15"/>
      <c r="AQN375" s="15"/>
      <c r="AQO375" s="10"/>
      <c r="AQP375" s="10"/>
      <c r="AQQ375" s="21"/>
      <c r="AQR375" s="21"/>
      <c r="AQU375" s="21"/>
      <c r="AQV375" s="15"/>
      <c r="AQW375" s="15"/>
      <c r="AQX375" s="15"/>
      <c r="AQY375" s="15"/>
      <c r="AQZ375" s="15"/>
      <c r="ARA375" s="15"/>
      <c r="ARB375" s="15"/>
      <c r="ARC375" s="15"/>
      <c r="ARD375" s="15"/>
      <c r="ARE375" s="15"/>
      <c r="ARF375" s="10"/>
      <c r="ARG375" s="10"/>
      <c r="ARH375" s="21"/>
      <c r="ARI375" s="21"/>
      <c r="ARL375" s="21"/>
      <c r="ARM375" s="15"/>
      <c r="ARN375" s="15"/>
      <c r="ARO375" s="15"/>
      <c r="ARP375" s="15"/>
      <c r="ARQ375" s="15"/>
      <c r="ARR375" s="15"/>
      <c r="ARS375" s="15"/>
      <c r="ART375" s="15"/>
      <c r="ARU375" s="15"/>
      <c r="ARV375" s="15"/>
      <c r="ARW375" s="10"/>
      <c r="ARX375" s="10"/>
      <c r="ARY375" s="21"/>
      <c r="ARZ375" s="21"/>
      <c r="ASC375" s="21"/>
      <c r="ASD375" s="15"/>
      <c r="ASE375" s="15"/>
      <c r="ASF375" s="15"/>
      <c r="ASG375" s="15"/>
      <c r="ASH375" s="15"/>
      <c r="ASI375" s="15"/>
      <c r="ASJ375" s="15"/>
      <c r="ASK375" s="15"/>
      <c r="ASL375" s="15"/>
      <c r="ASM375" s="15"/>
      <c r="ASN375" s="10"/>
      <c r="ASO375" s="10"/>
      <c r="ASP375" s="21"/>
      <c r="ASQ375" s="21"/>
      <c r="AST375" s="21"/>
      <c r="ASU375" s="15"/>
      <c r="ASV375" s="15"/>
      <c r="ASW375" s="15"/>
      <c r="ASX375" s="15"/>
      <c r="ASY375" s="15"/>
      <c r="ASZ375" s="15"/>
      <c r="ATA375" s="15"/>
      <c r="ATB375" s="15"/>
      <c r="ATC375" s="15"/>
      <c r="ATD375" s="15"/>
      <c r="ATE375" s="10"/>
      <c r="ATF375" s="10"/>
      <c r="ATG375" s="21"/>
      <c r="ATH375" s="21"/>
      <c r="ATK375" s="21"/>
      <c r="ATL375" s="15"/>
      <c r="ATM375" s="15"/>
      <c r="ATN375" s="15"/>
      <c r="ATO375" s="15"/>
      <c r="ATP375" s="15"/>
      <c r="ATQ375" s="15"/>
      <c r="ATR375" s="15"/>
      <c r="ATS375" s="15"/>
      <c r="ATT375" s="15"/>
      <c r="ATU375" s="15"/>
      <c r="ATV375" s="10"/>
      <c r="ATW375" s="10"/>
      <c r="ATX375" s="21"/>
      <c r="ATY375" s="21"/>
      <c r="AUB375" s="21"/>
      <c r="AUC375" s="15"/>
      <c r="AUD375" s="15"/>
      <c r="AUE375" s="15"/>
      <c r="AUF375" s="15"/>
      <c r="AUG375" s="15"/>
      <c r="AUH375" s="15"/>
      <c r="AUI375" s="15"/>
      <c r="AUJ375" s="15"/>
      <c r="AUK375" s="15"/>
      <c r="AUL375" s="15"/>
      <c r="AUM375" s="10"/>
      <c r="AUN375" s="10"/>
      <c r="AUO375" s="21"/>
      <c r="AUP375" s="21"/>
      <c r="AUS375" s="21"/>
      <c r="AUT375" s="15"/>
      <c r="AUU375" s="15"/>
      <c r="AUV375" s="15"/>
      <c r="AUW375" s="15"/>
      <c r="AUX375" s="15"/>
      <c r="AUY375" s="15"/>
      <c r="AUZ375" s="15"/>
      <c r="AVA375" s="15"/>
      <c r="AVB375" s="15"/>
      <c r="AVC375" s="15"/>
      <c r="AVD375" s="10"/>
      <c r="AVE375" s="10"/>
      <c r="AVF375" s="21"/>
      <c r="AVG375" s="21"/>
      <c r="AVJ375" s="21"/>
      <c r="AVK375" s="15"/>
      <c r="AVL375" s="15"/>
      <c r="AVM375" s="15"/>
      <c r="AVN375" s="15"/>
      <c r="AVO375" s="15"/>
      <c r="AVP375" s="15"/>
      <c r="AVQ375" s="15"/>
      <c r="AVR375" s="15"/>
      <c r="AVS375" s="15"/>
      <c r="AVT375" s="15"/>
      <c r="AVU375" s="10"/>
      <c r="AVV375" s="10"/>
      <c r="AVW375" s="21"/>
      <c r="AVX375" s="21"/>
      <c r="AWA375" s="21"/>
      <c r="AWB375" s="15"/>
      <c r="AWC375" s="15"/>
      <c r="AWD375" s="15"/>
      <c r="AWE375" s="15"/>
      <c r="AWF375" s="15"/>
      <c r="AWG375" s="15"/>
      <c r="AWH375" s="15"/>
      <c r="AWI375" s="15"/>
      <c r="AWJ375" s="15"/>
      <c r="AWK375" s="15"/>
      <c r="AWL375" s="10"/>
      <c r="AWM375" s="10"/>
      <c r="AWN375" s="21"/>
      <c r="AWO375" s="21"/>
      <c r="AWR375" s="21"/>
      <c r="AWS375" s="15"/>
      <c r="AWT375" s="15"/>
      <c r="AWU375" s="15"/>
      <c r="AWV375" s="15"/>
      <c r="AWW375" s="15"/>
      <c r="AWX375" s="15"/>
      <c r="AWY375" s="15"/>
      <c r="AWZ375" s="15"/>
      <c r="AXA375" s="15"/>
      <c r="AXB375" s="15"/>
      <c r="AXC375" s="10"/>
      <c r="AXD375" s="10"/>
      <c r="AXE375" s="21"/>
      <c r="AXF375" s="21"/>
      <c r="AXI375" s="21"/>
      <c r="AXJ375" s="15"/>
      <c r="AXK375" s="15"/>
      <c r="AXL375" s="15"/>
      <c r="AXM375" s="15"/>
      <c r="AXN375" s="15"/>
      <c r="AXO375" s="15"/>
      <c r="AXP375" s="15"/>
      <c r="AXQ375" s="15"/>
      <c r="AXR375" s="15"/>
      <c r="AXS375" s="15"/>
      <c r="AXT375" s="10"/>
      <c r="AXU375" s="10"/>
      <c r="AXV375" s="21"/>
      <c r="AXW375" s="21"/>
      <c r="AXZ375" s="21"/>
      <c r="AYA375" s="15"/>
      <c r="AYB375" s="15"/>
      <c r="AYC375" s="15"/>
      <c r="AYD375" s="15"/>
      <c r="AYE375" s="15"/>
      <c r="AYF375" s="15"/>
      <c r="AYG375" s="15"/>
      <c r="AYH375" s="15"/>
      <c r="AYI375" s="15"/>
      <c r="AYJ375" s="15"/>
      <c r="AYK375" s="10"/>
      <c r="AYL375" s="10"/>
      <c r="AYM375" s="21"/>
      <c r="AYN375" s="21"/>
      <c r="AYQ375" s="21"/>
      <c r="AYR375" s="15"/>
      <c r="AYS375" s="15"/>
      <c r="AYT375" s="15"/>
      <c r="AYU375" s="15"/>
      <c r="AYV375" s="15"/>
      <c r="AYW375" s="15"/>
      <c r="AYX375" s="15"/>
      <c r="AYY375" s="15"/>
      <c r="AYZ375" s="15"/>
      <c r="AZA375" s="15"/>
      <c r="AZB375" s="10"/>
      <c r="AZC375" s="10"/>
      <c r="AZD375" s="21"/>
      <c r="AZE375" s="21"/>
      <c r="AZH375" s="21"/>
      <c r="AZI375" s="15"/>
      <c r="AZJ375" s="15"/>
      <c r="AZK375" s="15"/>
      <c r="AZL375" s="15"/>
      <c r="AZM375" s="15"/>
      <c r="AZN375" s="15"/>
      <c r="AZO375" s="15"/>
      <c r="AZP375" s="15"/>
      <c r="AZQ375" s="15"/>
      <c r="AZR375" s="15"/>
      <c r="AZS375" s="10"/>
      <c r="AZT375" s="10"/>
      <c r="AZU375" s="21"/>
      <c r="AZV375" s="21"/>
      <c r="AZY375" s="21"/>
      <c r="AZZ375" s="15"/>
      <c r="BAA375" s="15"/>
      <c r="BAB375" s="15"/>
      <c r="BAC375" s="15"/>
      <c r="BAD375" s="15"/>
      <c r="BAE375" s="15"/>
      <c r="BAF375" s="15"/>
      <c r="BAG375" s="15"/>
      <c r="BAH375" s="15"/>
      <c r="BAI375" s="15"/>
      <c r="BAJ375" s="10"/>
      <c r="BAK375" s="10"/>
      <c r="BAL375" s="21"/>
      <c r="BAM375" s="21"/>
      <c r="BAP375" s="21"/>
      <c r="BAQ375" s="15"/>
      <c r="BAR375" s="15"/>
      <c r="BAS375" s="15"/>
      <c r="BAT375" s="15"/>
      <c r="BAU375" s="15"/>
      <c r="BAV375" s="15"/>
      <c r="BAW375" s="15"/>
      <c r="BAX375" s="15"/>
      <c r="BAY375" s="15"/>
      <c r="BAZ375" s="15"/>
      <c r="BBA375" s="10"/>
      <c r="BBB375" s="10"/>
      <c r="BBC375" s="21"/>
      <c r="BBD375" s="21"/>
      <c r="BBG375" s="21"/>
      <c r="BBH375" s="15"/>
      <c r="BBI375" s="15"/>
      <c r="BBJ375" s="15"/>
      <c r="BBK375" s="15"/>
      <c r="BBL375" s="15"/>
      <c r="BBM375" s="15"/>
      <c r="BBN375" s="15"/>
      <c r="BBO375" s="15"/>
      <c r="BBP375" s="15"/>
      <c r="BBQ375" s="15"/>
      <c r="BBR375" s="10"/>
      <c r="BBS375" s="10"/>
      <c r="BBT375" s="21"/>
      <c r="BBU375" s="21"/>
      <c r="BBX375" s="21"/>
      <c r="BBY375" s="15"/>
      <c r="BBZ375" s="15"/>
      <c r="BCA375" s="15"/>
      <c r="BCB375" s="15"/>
      <c r="BCC375" s="15"/>
      <c r="BCD375" s="15"/>
      <c r="BCE375" s="15"/>
      <c r="BCF375" s="15"/>
      <c r="BCG375" s="15"/>
      <c r="BCH375" s="15"/>
      <c r="BCI375" s="10"/>
      <c r="BCJ375" s="10"/>
      <c r="BCK375" s="21"/>
      <c r="BCL375" s="21"/>
      <c r="BCO375" s="21"/>
      <c r="BCP375" s="15"/>
      <c r="BCQ375" s="15"/>
      <c r="BCR375" s="15"/>
      <c r="BCS375" s="15"/>
      <c r="BCT375" s="15"/>
      <c r="BCU375" s="15"/>
      <c r="BCV375" s="15"/>
      <c r="BCW375" s="15"/>
      <c r="BCX375" s="15"/>
      <c r="BCY375" s="15"/>
      <c r="BCZ375" s="10"/>
      <c r="BDA375" s="10"/>
      <c r="BDB375" s="21"/>
      <c r="BDC375" s="21"/>
      <c r="BDF375" s="21"/>
      <c r="BDG375" s="15"/>
      <c r="BDH375" s="15"/>
      <c r="BDI375" s="15"/>
      <c r="BDJ375" s="15"/>
      <c r="BDK375" s="15"/>
      <c r="BDL375" s="15"/>
      <c r="BDM375" s="15"/>
      <c r="BDN375" s="15"/>
      <c r="BDO375" s="15"/>
      <c r="BDP375" s="15"/>
      <c r="BDQ375" s="10"/>
      <c r="BDR375" s="10"/>
      <c r="BDS375" s="21"/>
      <c r="BDT375" s="21"/>
      <c r="BDW375" s="21"/>
      <c r="BDX375" s="15"/>
      <c r="BDY375" s="15"/>
      <c r="BDZ375" s="15"/>
      <c r="BEA375" s="15"/>
      <c r="BEB375" s="15"/>
      <c r="BEC375" s="15"/>
      <c r="BED375" s="15"/>
      <c r="BEE375" s="15"/>
      <c r="BEF375" s="15"/>
      <c r="BEG375" s="15"/>
      <c r="BEH375" s="10"/>
      <c r="BEI375" s="10"/>
      <c r="BEJ375" s="21"/>
      <c r="BEK375" s="21"/>
      <c r="BEN375" s="21"/>
      <c r="BEO375" s="15"/>
      <c r="BEP375" s="15"/>
      <c r="BEQ375" s="15"/>
      <c r="BER375" s="15"/>
      <c r="BES375" s="15"/>
      <c r="BET375" s="15"/>
      <c r="BEU375" s="15"/>
      <c r="BEV375" s="15"/>
      <c r="BEW375" s="15"/>
      <c r="BEX375" s="15"/>
      <c r="BEY375" s="10"/>
      <c r="BEZ375" s="10"/>
      <c r="BFA375" s="21"/>
      <c r="BFB375" s="21"/>
      <c r="BFE375" s="21"/>
      <c r="BFF375" s="15"/>
      <c r="BFG375" s="15"/>
      <c r="BFH375" s="15"/>
      <c r="BFI375" s="15"/>
      <c r="BFJ375" s="15"/>
      <c r="BFK375" s="15"/>
      <c r="BFL375" s="15"/>
      <c r="BFM375" s="15"/>
      <c r="BFN375" s="15"/>
      <c r="BFO375" s="15"/>
      <c r="BFP375" s="10"/>
      <c r="BFQ375" s="10"/>
      <c r="BFR375" s="21"/>
      <c r="BFS375" s="21"/>
      <c r="BFV375" s="21"/>
      <c r="BFW375" s="15"/>
      <c r="BFX375" s="15"/>
      <c r="BFY375" s="15"/>
      <c r="BFZ375" s="15"/>
      <c r="BGA375" s="15"/>
      <c r="BGB375" s="15"/>
      <c r="BGC375" s="15"/>
      <c r="BGD375" s="15"/>
      <c r="BGE375" s="15"/>
      <c r="BGF375" s="15"/>
      <c r="BGG375" s="10"/>
      <c r="BGH375" s="10"/>
      <c r="BGI375" s="21"/>
      <c r="BGJ375" s="21"/>
      <c r="BGM375" s="21"/>
      <c r="BGN375" s="15"/>
      <c r="BGO375" s="15"/>
      <c r="BGP375" s="15"/>
      <c r="BGQ375" s="15"/>
      <c r="BGR375" s="15"/>
      <c r="BGS375" s="15"/>
      <c r="BGT375" s="15"/>
      <c r="BGU375" s="15"/>
      <c r="BGV375" s="15"/>
      <c r="BGW375" s="15"/>
      <c r="BGX375" s="10"/>
      <c r="BGY375" s="10"/>
      <c r="BGZ375" s="21"/>
      <c r="BHA375" s="21"/>
      <c r="BHD375" s="21"/>
      <c r="BHE375" s="15"/>
      <c r="BHF375" s="15"/>
      <c r="BHG375" s="15"/>
      <c r="BHH375" s="15"/>
      <c r="BHI375" s="15"/>
      <c r="BHJ375" s="15"/>
      <c r="BHK375" s="15"/>
      <c r="BHL375" s="15"/>
      <c r="BHM375" s="15"/>
      <c r="BHN375" s="15"/>
      <c r="BHO375" s="10"/>
      <c r="BHP375" s="10"/>
      <c r="BHQ375" s="21"/>
      <c r="BHR375" s="21"/>
      <c r="BHU375" s="21"/>
      <c r="BHV375" s="15"/>
      <c r="BHW375" s="15"/>
      <c r="BHX375" s="15"/>
      <c r="BHY375" s="15"/>
      <c r="BHZ375" s="15"/>
      <c r="BIA375" s="15"/>
      <c r="BIB375" s="15"/>
      <c r="BIC375" s="15"/>
      <c r="BID375" s="15"/>
      <c r="BIE375" s="15"/>
      <c r="BIF375" s="10"/>
      <c r="BIG375" s="10"/>
      <c r="BIH375" s="21"/>
      <c r="BII375" s="21"/>
      <c r="BIL375" s="21"/>
      <c r="BIM375" s="15"/>
      <c r="BIN375" s="15"/>
      <c r="BIO375" s="15"/>
      <c r="BIP375" s="15"/>
      <c r="BIQ375" s="15"/>
      <c r="BIR375" s="15"/>
      <c r="BIS375" s="15"/>
      <c r="BIT375" s="15"/>
      <c r="BIU375" s="15"/>
      <c r="BIV375" s="15"/>
      <c r="BIW375" s="10"/>
      <c r="BIX375" s="10"/>
      <c r="BIY375" s="21"/>
      <c r="BIZ375" s="21"/>
      <c r="BJC375" s="21"/>
      <c r="BJD375" s="15"/>
      <c r="BJE375" s="15"/>
      <c r="BJF375" s="15"/>
      <c r="BJG375" s="15"/>
      <c r="BJH375" s="15"/>
      <c r="BJI375" s="15"/>
      <c r="BJJ375" s="15"/>
      <c r="BJK375" s="15"/>
      <c r="BJL375" s="15"/>
      <c r="BJM375" s="15"/>
      <c r="BJN375" s="10"/>
      <c r="BJO375" s="10"/>
      <c r="BJP375" s="21"/>
      <c r="BJQ375" s="21"/>
      <c r="BJT375" s="21"/>
      <c r="BJU375" s="15"/>
      <c r="BJV375" s="15"/>
      <c r="BJW375" s="15"/>
      <c r="BJX375" s="15"/>
      <c r="BJY375" s="15"/>
      <c r="BJZ375" s="15"/>
      <c r="BKA375" s="15"/>
      <c r="BKB375" s="15"/>
      <c r="BKC375" s="15"/>
      <c r="BKD375" s="15"/>
      <c r="BKE375" s="10"/>
      <c r="BKF375" s="10"/>
      <c r="BKG375" s="21"/>
      <c r="BKH375" s="21"/>
      <c r="BKK375" s="21"/>
      <c r="BKL375" s="15"/>
      <c r="BKM375" s="15"/>
      <c r="BKN375" s="15"/>
      <c r="BKO375" s="15"/>
      <c r="BKP375" s="15"/>
      <c r="BKQ375" s="15"/>
      <c r="BKR375" s="15"/>
      <c r="BKS375" s="15"/>
      <c r="BKT375" s="15"/>
      <c r="BKU375" s="15"/>
      <c r="BKV375" s="10"/>
      <c r="BKW375" s="10"/>
      <c r="BKX375" s="21"/>
      <c r="BKY375" s="21"/>
      <c r="BLB375" s="21"/>
      <c r="BLC375" s="15"/>
      <c r="BLD375" s="15"/>
      <c r="BLE375" s="15"/>
      <c r="BLF375" s="15"/>
      <c r="BLG375" s="15"/>
      <c r="BLH375" s="15"/>
      <c r="BLI375" s="15"/>
      <c r="BLJ375" s="15"/>
      <c r="BLK375" s="15"/>
      <c r="BLL375" s="15"/>
      <c r="BLM375" s="10"/>
      <c r="BLN375" s="10"/>
      <c r="BLO375" s="21"/>
      <c r="BLP375" s="21"/>
      <c r="BLS375" s="21"/>
      <c r="BLT375" s="15"/>
      <c r="BLU375" s="15"/>
      <c r="BLV375" s="15"/>
      <c r="BLW375" s="15"/>
      <c r="BLX375" s="15"/>
      <c r="BLY375" s="15"/>
      <c r="BLZ375" s="15"/>
      <c r="BMA375" s="15"/>
      <c r="BMB375" s="15"/>
      <c r="BMC375" s="15"/>
      <c r="BMD375" s="10"/>
      <c r="BME375" s="10"/>
      <c r="BMF375" s="21"/>
      <c r="BMG375" s="21"/>
      <c r="BMJ375" s="21"/>
      <c r="BMK375" s="15"/>
      <c r="BML375" s="15"/>
      <c r="BMM375" s="15"/>
      <c r="BMN375" s="15"/>
      <c r="BMO375" s="15"/>
      <c r="BMP375" s="15"/>
      <c r="BMQ375" s="15"/>
      <c r="BMR375" s="15"/>
      <c r="BMS375" s="15"/>
      <c r="BMT375" s="15"/>
      <c r="BMU375" s="10"/>
      <c r="BMV375" s="10"/>
      <c r="BMW375" s="21"/>
      <c r="BMX375" s="21"/>
      <c r="BNA375" s="21"/>
      <c r="BNB375" s="15"/>
      <c r="BNC375" s="15"/>
      <c r="BND375" s="15"/>
      <c r="BNE375" s="15"/>
      <c r="BNF375" s="15"/>
      <c r="BNG375" s="15"/>
      <c r="BNH375" s="15"/>
      <c r="BNI375" s="15"/>
      <c r="BNJ375" s="15"/>
      <c r="BNK375" s="15"/>
      <c r="BNL375" s="10"/>
      <c r="BNM375" s="10"/>
      <c r="BNN375" s="21"/>
      <c r="BNO375" s="21"/>
      <c r="BNR375" s="21"/>
      <c r="BNS375" s="15"/>
      <c r="BNT375" s="15"/>
      <c r="BNU375" s="15"/>
      <c r="BNV375" s="15"/>
      <c r="BNW375" s="15"/>
      <c r="BNX375" s="15"/>
      <c r="BNY375" s="15"/>
      <c r="BNZ375" s="15"/>
      <c r="BOA375" s="15"/>
      <c r="BOB375" s="15"/>
      <c r="BOC375" s="10"/>
      <c r="BOD375" s="10"/>
      <c r="BOE375" s="21"/>
      <c r="BOF375" s="21"/>
      <c r="BOI375" s="21"/>
      <c r="BOJ375" s="15"/>
      <c r="BOK375" s="15"/>
      <c r="BOL375" s="15"/>
      <c r="BOM375" s="15"/>
      <c r="BON375" s="15"/>
      <c r="BOO375" s="15"/>
      <c r="BOP375" s="15"/>
      <c r="BOQ375" s="15"/>
      <c r="BOR375" s="15"/>
      <c r="BOS375" s="15"/>
      <c r="BOT375" s="10"/>
      <c r="BOU375" s="10"/>
      <c r="BOV375" s="21"/>
      <c r="BOW375" s="21"/>
      <c r="BOZ375" s="21"/>
      <c r="BPA375" s="15"/>
      <c r="BPB375" s="15"/>
      <c r="BPC375" s="15"/>
      <c r="BPD375" s="15"/>
      <c r="BPE375" s="15"/>
      <c r="BPF375" s="15"/>
      <c r="BPG375" s="15"/>
      <c r="BPH375" s="15"/>
      <c r="BPI375" s="15"/>
      <c r="BPJ375" s="15"/>
      <c r="BPK375" s="10"/>
      <c r="BPL375" s="10"/>
      <c r="BPM375" s="21"/>
      <c r="BPN375" s="21"/>
      <c r="BPQ375" s="21"/>
      <c r="BPR375" s="15"/>
      <c r="BPS375" s="15"/>
      <c r="BPT375" s="15"/>
      <c r="BPU375" s="15"/>
      <c r="BPV375" s="15"/>
      <c r="BPW375" s="15"/>
      <c r="BPX375" s="15"/>
      <c r="BPY375" s="15"/>
      <c r="BPZ375" s="15"/>
      <c r="BQA375" s="15"/>
      <c r="BQB375" s="10"/>
      <c r="BQC375" s="10"/>
      <c r="BQD375" s="21"/>
      <c r="BQE375" s="21"/>
      <c r="BQH375" s="21"/>
      <c r="BQI375" s="15"/>
      <c r="BQJ375" s="15"/>
      <c r="BQK375" s="15"/>
      <c r="BQL375" s="15"/>
      <c r="BQM375" s="15"/>
      <c r="BQN375" s="15"/>
      <c r="BQO375" s="15"/>
      <c r="BQP375" s="15"/>
      <c r="BQQ375" s="15"/>
      <c r="BQR375" s="15"/>
      <c r="BQS375" s="10"/>
      <c r="BQT375" s="10"/>
      <c r="BQU375" s="21"/>
      <c r="BQV375" s="21"/>
      <c r="BQY375" s="21"/>
      <c r="BQZ375" s="15"/>
      <c r="BRA375" s="15"/>
      <c r="BRB375" s="15"/>
      <c r="BRC375" s="15"/>
      <c r="BRD375" s="15"/>
      <c r="BRE375" s="15"/>
      <c r="BRF375" s="15"/>
      <c r="BRG375" s="15"/>
      <c r="BRH375" s="15"/>
      <c r="BRI375" s="15"/>
      <c r="BRJ375" s="10"/>
      <c r="BRK375" s="10"/>
      <c r="BRL375" s="21"/>
      <c r="BRM375" s="21"/>
      <c r="BRP375" s="21"/>
      <c r="BRQ375" s="15"/>
      <c r="BRR375" s="15"/>
      <c r="BRS375" s="15"/>
      <c r="BRT375" s="15"/>
      <c r="BRU375" s="15"/>
      <c r="BRV375" s="15"/>
      <c r="BRW375" s="15"/>
      <c r="BRX375" s="15"/>
      <c r="BRY375" s="15"/>
      <c r="BRZ375" s="15"/>
      <c r="BSA375" s="10"/>
      <c r="BSB375" s="10"/>
      <c r="BSC375" s="21"/>
      <c r="BSD375" s="21"/>
      <c r="BSG375" s="21"/>
      <c r="BSH375" s="15"/>
      <c r="BSI375" s="15"/>
      <c r="BSJ375" s="15"/>
      <c r="BSK375" s="15"/>
      <c r="BSL375" s="15"/>
      <c r="BSM375" s="15"/>
      <c r="BSN375" s="15"/>
      <c r="BSO375" s="15"/>
      <c r="BSP375" s="15"/>
      <c r="BSQ375" s="15"/>
      <c r="BSR375" s="10"/>
      <c r="BSS375" s="10"/>
      <c r="BST375" s="21"/>
      <c r="BSU375" s="21"/>
      <c r="BSX375" s="21"/>
      <c r="BSY375" s="15"/>
      <c r="BSZ375" s="15"/>
      <c r="BTA375" s="15"/>
      <c r="BTB375" s="15"/>
      <c r="BTC375" s="15"/>
      <c r="BTD375" s="15"/>
      <c r="BTE375" s="15"/>
      <c r="BTF375" s="15"/>
      <c r="BTG375" s="15"/>
      <c r="BTH375" s="15"/>
      <c r="BTI375" s="10"/>
      <c r="BTJ375" s="10"/>
      <c r="BTK375" s="21"/>
      <c r="BTL375" s="21"/>
      <c r="BTO375" s="21"/>
      <c r="BTP375" s="15"/>
      <c r="BTQ375" s="15"/>
      <c r="BTR375" s="15"/>
      <c r="BTS375" s="15"/>
      <c r="BTT375" s="15"/>
      <c r="BTU375" s="15"/>
      <c r="BTV375" s="15"/>
      <c r="BTW375" s="15"/>
      <c r="BTX375" s="15"/>
      <c r="BTY375" s="15"/>
      <c r="BTZ375" s="10"/>
      <c r="BUA375" s="10"/>
      <c r="BUB375" s="21"/>
      <c r="BUC375" s="21"/>
      <c r="BUF375" s="21"/>
      <c r="BUG375" s="15"/>
      <c r="BUH375" s="15"/>
      <c r="BUI375" s="15"/>
      <c r="BUJ375" s="15"/>
      <c r="BUK375" s="15"/>
      <c r="BUL375" s="15"/>
      <c r="BUM375" s="15"/>
      <c r="BUN375" s="15"/>
      <c r="BUO375" s="15"/>
      <c r="BUP375" s="15"/>
      <c r="BUQ375" s="10"/>
      <c r="BUR375" s="10"/>
      <c r="BUS375" s="21"/>
      <c r="BUT375" s="21"/>
      <c r="BUW375" s="21"/>
      <c r="BUX375" s="15"/>
      <c r="BUY375" s="15"/>
      <c r="BUZ375" s="15"/>
      <c r="BVA375" s="15"/>
      <c r="BVB375" s="15"/>
      <c r="BVC375" s="15"/>
      <c r="BVD375" s="15"/>
      <c r="BVE375" s="15"/>
      <c r="BVF375" s="15"/>
      <c r="BVG375" s="15"/>
      <c r="BVH375" s="10"/>
      <c r="BVI375" s="10"/>
      <c r="BVJ375" s="21"/>
      <c r="BVK375" s="21"/>
      <c r="BVN375" s="21"/>
      <c r="BVO375" s="15"/>
      <c r="BVP375" s="15"/>
      <c r="BVQ375" s="15"/>
      <c r="BVR375" s="15"/>
      <c r="BVS375" s="15"/>
      <c r="BVT375" s="15"/>
      <c r="BVU375" s="15"/>
      <c r="BVV375" s="15"/>
      <c r="BVW375" s="15"/>
      <c r="BVX375" s="15"/>
      <c r="BVY375" s="10"/>
      <c r="BVZ375" s="10"/>
      <c r="BWA375" s="21"/>
      <c r="BWB375" s="21"/>
      <c r="BWE375" s="21"/>
      <c r="BWF375" s="15"/>
      <c r="BWG375" s="15"/>
      <c r="BWH375" s="15"/>
      <c r="BWI375" s="15"/>
      <c r="BWJ375" s="15"/>
      <c r="BWK375" s="15"/>
      <c r="BWL375" s="15"/>
      <c r="BWM375" s="15"/>
      <c r="BWN375" s="15"/>
      <c r="BWO375" s="15"/>
      <c r="BWP375" s="10"/>
      <c r="BWQ375" s="10"/>
      <c r="BWR375" s="21"/>
      <c r="BWS375" s="21"/>
      <c r="BWV375" s="21"/>
      <c r="BWW375" s="15"/>
      <c r="BWX375" s="15"/>
      <c r="BWY375" s="15"/>
      <c r="BWZ375" s="15"/>
      <c r="BXA375" s="15"/>
      <c r="BXB375" s="15"/>
      <c r="BXC375" s="15"/>
      <c r="BXD375" s="15"/>
      <c r="BXE375" s="15"/>
      <c r="BXF375" s="15"/>
      <c r="BXG375" s="10"/>
      <c r="BXH375" s="10"/>
      <c r="BXI375" s="21"/>
      <c r="BXJ375" s="21"/>
      <c r="BXM375" s="21"/>
      <c r="BXN375" s="15"/>
      <c r="BXO375" s="15"/>
      <c r="BXP375" s="15"/>
      <c r="BXQ375" s="15"/>
      <c r="BXR375" s="15"/>
      <c r="BXS375" s="15"/>
      <c r="BXT375" s="15"/>
      <c r="BXU375" s="15"/>
      <c r="BXV375" s="15"/>
      <c r="BXW375" s="15"/>
      <c r="BXX375" s="10"/>
      <c r="BXY375" s="10"/>
      <c r="BXZ375" s="21"/>
      <c r="BYA375" s="21"/>
      <c r="BYD375" s="21"/>
      <c r="BYE375" s="15"/>
      <c r="BYF375" s="15"/>
      <c r="BYG375" s="15"/>
      <c r="BYH375" s="15"/>
      <c r="BYI375" s="15"/>
      <c r="BYJ375" s="15"/>
      <c r="BYK375" s="15"/>
      <c r="BYL375" s="15"/>
      <c r="BYM375" s="15"/>
      <c r="BYN375" s="15"/>
      <c r="BYO375" s="10"/>
      <c r="BYP375" s="10"/>
      <c r="BYQ375" s="21"/>
      <c r="BYR375" s="21"/>
      <c r="BYU375" s="21"/>
      <c r="BYV375" s="15"/>
      <c r="BYW375" s="15"/>
      <c r="BYX375" s="15"/>
      <c r="BYY375" s="15"/>
      <c r="BYZ375" s="15"/>
      <c r="BZA375" s="15"/>
      <c r="BZB375" s="15"/>
      <c r="BZC375" s="15"/>
      <c r="BZD375" s="15"/>
      <c r="BZE375" s="15"/>
      <c r="BZF375" s="10"/>
      <c r="BZG375" s="10"/>
      <c r="BZH375" s="21"/>
      <c r="BZI375" s="21"/>
      <c r="BZL375" s="21"/>
      <c r="BZM375" s="15"/>
      <c r="BZN375" s="15"/>
      <c r="BZO375" s="15"/>
      <c r="BZP375" s="15"/>
      <c r="BZQ375" s="15"/>
      <c r="BZR375" s="15"/>
      <c r="BZS375" s="15"/>
      <c r="BZT375" s="15"/>
      <c r="BZU375" s="15"/>
      <c r="BZV375" s="15"/>
      <c r="BZW375" s="10"/>
      <c r="BZX375" s="10"/>
      <c r="BZY375" s="21"/>
      <c r="BZZ375" s="21"/>
      <c r="CAC375" s="21"/>
      <c r="CAD375" s="15"/>
      <c r="CAE375" s="15"/>
      <c r="CAF375" s="15"/>
      <c r="CAG375" s="15"/>
      <c r="CAH375" s="15"/>
      <c r="CAI375" s="15"/>
      <c r="CAJ375" s="15"/>
      <c r="CAK375" s="15"/>
      <c r="CAL375" s="15"/>
      <c r="CAM375" s="15"/>
      <c r="CAN375" s="10"/>
      <c r="CAO375" s="10"/>
      <c r="CAP375" s="21"/>
      <c r="CAQ375" s="21"/>
      <c r="CAT375" s="21"/>
      <c r="CAU375" s="15"/>
      <c r="CAV375" s="15"/>
      <c r="CAW375" s="15"/>
      <c r="CAX375" s="15"/>
      <c r="CAY375" s="15"/>
      <c r="CAZ375" s="15"/>
      <c r="CBA375" s="15"/>
      <c r="CBB375" s="15"/>
      <c r="CBC375" s="15"/>
      <c r="CBD375" s="15"/>
      <c r="CBE375" s="10"/>
      <c r="CBF375" s="10"/>
      <c r="CBG375" s="21"/>
      <c r="CBH375" s="21"/>
      <c r="CBK375" s="21"/>
      <c r="CBL375" s="15"/>
      <c r="CBM375" s="15"/>
      <c r="CBN375" s="15"/>
      <c r="CBO375" s="15"/>
      <c r="CBP375" s="15"/>
      <c r="CBQ375" s="15"/>
      <c r="CBR375" s="15"/>
      <c r="CBS375" s="15"/>
      <c r="CBT375" s="15"/>
      <c r="CBU375" s="15"/>
      <c r="CBV375" s="10"/>
      <c r="CBW375" s="10"/>
      <c r="CBX375" s="21"/>
      <c r="CBY375" s="21"/>
      <c r="CCB375" s="21"/>
      <c r="CCC375" s="15"/>
      <c r="CCD375" s="15"/>
      <c r="CCE375" s="15"/>
      <c r="CCF375" s="15"/>
      <c r="CCG375" s="15"/>
      <c r="CCH375" s="15"/>
      <c r="CCI375" s="15"/>
      <c r="CCJ375" s="15"/>
      <c r="CCK375" s="15"/>
      <c r="CCL375" s="15"/>
      <c r="CCM375" s="10"/>
      <c r="CCN375" s="10"/>
      <c r="CCO375" s="21"/>
      <c r="CCP375" s="21"/>
      <c r="CCS375" s="21"/>
      <c r="CCT375" s="15"/>
      <c r="CCU375" s="15"/>
      <c r="CCV375" s="15"/>
      <c r="CCW375" s="15"/>
      <c r="CCX375" s="15"/>
      <c r="CCY375" s="15"/>
      <c r="CCZ375" s="15"/>
      <c r="CDA375" s="15"/>
      <c r="CDB375" s="15"/>
      <c r="CDC375" s="15"/>
      <c r="CDD375" s="10"/>
      <c r="CDE375" s="10"/>
      <c r="CDF375" s="21"/>
      <c r="CDG375" s="21"/>
      <c r="CDJ375" s="21"/>
      <c r="CDK375" s="15"/>
      <c r="CDL375" s="15"/>
      <c r="CDM375" s="15"/>
      <c r="CDN375" s="15"/>
      <c r="CDO375" s="15"/>
      <c r="CDP375" s="15"/>
      <c r="CDQ375" s="15"/>
      <c r="CDR375" s="15"/>
      <c r="CDS375" s="15"/>
      <c r="CDT375" s="15"/>
      <c r="CDU375" s="10"/>
      <c r="CDV375" s="10"/>
      <c r="CDW375" s="21"/>
      <c r="CDX375" s="21"/>
      <c r="CEA375" s="21"/>
      <c r="CEB375" s="15"/>
      <c r="CEC375" s="15"/>
      <c r="CED375" s="15"/>
      <c r="CEE375" s="15"/>
      <c r="CEF375" s="15"/>
      <c r="CEG375" s="15"/>
      <c r="CEH375" s="15"/>
      <c r="CEI375" s="15"/>
      <c r="CEJ375" s="15"/>
      <c r="CEK375" s="15"/>
      <c r="CEL375" s="10"/>
      <c r="CEM375" s="10"/>
      <c r="CEN375" s="21"/>
      <c r="CEO375" s="21"/>
      <c r="CER375" s="21"/>
      <c r="CES375" s="15"/>
      <c r="CET375" s="15"/>
      <c r="CEU375" s="15"/>
      <c r="CEV375" s="15"/>
      <c r="CEW375" s="15"/>
      <c r="CEX375" s="15"/>
      <c r="CEY375" s="15"/>
      <c r="CEZ375" s="15"/>
      <c r="CFA375" s="15"/>
      <c r="CFB375" s="15"/>
      <c r="CFC375" s="10"/>
      <c r="CFD375" s="10"/>
      <c r="CFE375" s="21"/>
      <c r="CFF375" s="21"/>
      <c r="CFI375" s="21"/>
      <c r="CFJ375" s="15"/>
      <c r="CFK375" s="15"/>
      <c r="CFL375" s="15"/>
      <c r="CFM375" s="15"/>
      <c r="CFN375" s="15"/>
      <c r="CFO375" s="15"/>
      <c r="CFP375" s="15"/>
      <c r="CFQ375" s="15"/>
      <c r="CFR375" s="15"/>
      <c r="CFS375" s="15"/>
      <c r="CFT375" s="10"/>
      <c r="CFU375" s="10"/>
      <c r="CFV375" s="21"/>
      <c r="CFW375" s="21"/>
      <c r="CFZ375" s="21"/>
      <c r="CGA375" s="15"/>
      <c r="CGB375" s="15"/>
      <c r="CGC375" s="15"/>
      <c r="CGD375" s="15"/>
      <c r="CGE375" s="15"/>
      <c r="CGF375" s="15"/>
      <c r="CGG375" s="15"/>
      <c r="CGH375" s="15"/>
      <c r="CGI375" s="15"/>
      <c r="CGJ375" s="15"/>
      <c r="CGK375" s="10"/>
      <c r="CGL375" s="10"/>
      <c r="CGM375" s="21"/>
      <c r="CGN375" s="21"/>
      <c r="CGQ375" s="21"/>
      <c r="CGR375" s="15"/>
      <c r="CGS375" s="15"/>
      <c r="CGT375" s="15"/>
      <c r="CGU375" s="15"/>
      <c r="CGV375" s="15"/>
      <c r="CGW375" s="15"/>
      <c r="CGX375" s="15"/>
      <c r="CGY375" s="15"/>
      <c r="CGZ375" s="15"/>
      <c r="CHA375" s="15"/>
      <c r="CHB375" s="10"/>
      <c r="CHC375" s="10"/>
      <c r="CHD375" s="21"/>
      <c r="CHE375" s="21"/>
      <c r="CHH375" s="21"/>
      <c r="CHI375" s="15"/>
      <c r="CHJ375" s="15"/>
      <c r="CHK375" s="15"/>
      <c r="CHL375" s="15"/>
      <c r="CHM375" s="15"/>
      <c r="CHN375" s="15"/>
      <c r="CHO375" s="15"/>
      <c r="CHP375" s="15"/>
      <c r="CHQ375" s="15"/>
      <c r="CHR375" s="15"/>
      <c r="CHS375" s="10"/>
      <c r="CHT375" s="10"/>
      <c r="CHU375" s="21"/>
      <c r="CHV375" s="21"/>
      <c r="CHY375" s="21"/>
      <c r="CHZ375" s="15"/>
      <c r="CIA375" s="15"/>
      <c r="CIB375" s="15"/>
      <c r="CIC375" s="15"/>
      <c r="CID375" s="15"/>
      <c r="CIE375" s="15"/>
      <c r="CIF375" s="15"/>
      <c r="CIG375" s="15"/>
      <c r="CIH375" s="15"/>
      <c r="CII375" s="15"/>
      <c r="CIJ375" s="10"/>
      <c r="CIK375" s="10"/>
      <c r="CIL375" s="21"/>
      <c r="CIM375" s="21"/>
      <c r="CIP375" s="21"/>
      <c r="CIQ375" s="15"/>
      <c r="CIR375" s="15"/>
      <c r="CIS375" s="15"/>
      <c r="CIT375" s="15"/>
      <c r="CIU375" s="15"/>
      <c r="CIV375" s="15"/>
      <c r="CIW375" s="15"/>
      <c r="CIX375" s="15"/>
      <c r="CIY375" s="15"/>
      <c r="CIZ375" s="15"/>
      <c r="CJA375" s="10"/>
      <c r="CJB375" s="10"/>
      <c r="CJC375" s="21"/>
      <c r="CJD375" s="21"/>
      <c r="CJG375" s="21"/>
      <c r="CJH375" s="15"/>
      <c r="CJI375" s="15"/>
      <c r="CJJ375" s="15"/>
      <c r="CJK375" s="15"/>
      <c r="CJL375" s="15"/>
      <c r="CJM375" s="15"/>
      <c r="CJN375" s="15"/>
      <c r="CJO375" s="15"/>
      <c r="CJP375" s="15"/>
      <c r="CJQ375" s="15"/>
      <c r="CJR375" s="10"/>
      <c r="CJS375" s="10"/>
      <c r="CJT375" s="21"/>
      <c r="CJU375" s="21"/>
      <c r="CJX375" s="21"/>
      <c r="CJY375" s="15"/>
      <c r="CJZ375" s="15"/>
      <c r="CKA375" s="15"/>
      <c r="CKB375" s="15"/>
      <c r="CKC375" s="15"/>
      <c r="CKD375" s="15"/>
      <c r="CKE375" s="15"/>
      <c r="CKF375" s="15"/>
      <c r="CKG375" s="15"/>
      <c r="CKH375" s="15"/>
      <c r="CKI375" s="10"/>
      <c r="CKJ375" s="10"/>
      <c r="CKK375" s="21"/>
      <c r="CKL375" s="21"/>
      <c r="CKO375" s="21"/>
      <c r="CKP375" s="15"/>
      <c r="CKQ375" s="15"/>
      <c r="CKR375" s="15"/>
      <c r="CKS375" s="15"/>
      <c r="CKT375" s="15"/>
      <c r="CKU375" s="15"/>
      <c r="CKV375" s="15"/>
      <c r="CKW375" s="15"/>
      <c r="CKX375" s="15"/>
      <c r="CKY375" s="15"/>
      <c r="CKZ375" s="10"/>
      <c r="CLA375" s="10"/>
      <c r="CLB375" s="21"/>
      <c r="CLC375" s="21"/>
      <c r="CLF375" s="21"/>
      <c r="CLG375" s="15"/>
      <c r="CLH375" s="15"/>
      <c r="CLI375" s="15"/>
      <c r="CLJ375" s="15"/>
      <c r="CLK375" s="15"/>
      <c r="CLL375" s="15"/>
      <c r="CLM375" s="15"/>
      <c r="CLN375" s="15"/>
      <c r="CLO375" s="15"/>
      <c r="CLP375" s="15"/>
      <c r="CLQ375" s="10"/>
      <c r="CLR375" s="10"/>
      <c r="CLS375" s="21"/>
      <c r="CLT375" s="21"/>
      <c r="CLW375" s="21"/>
      <c r="CLX375" s="15"/>
      <c r="CLY375" s="15"/>
      <c r="CLZ375" s="15"/>
      <c r="CMA375" s="15"/>
      <c r="CMB375" s="15"/>
      <c r="CMC375" s="15"/>
      <c r="CMD375" s="15"/>
      <c r="CME375" s="15"/>
      <c r="CMF375" s="15"/>
      <c r="CMG375" s="15"/>
      <c r="CMH375" s="10"/>
      <c r="CMI375" s="10"/>
      <c r="CMJ375" s="21"/>
      <c r="CMK375" s="21"/>
      <c r="CMN375" s="21"/>
      <c r="CMO375" s="15"/>
      <c r="CMP375" s="15"/>
      <c r="CMQ375" s="15"/>
      <c r="CMR375" s="15"/>
      <c r="CMS375" s="15"/>
      <c r="CMT375" s="15"/>
      <c r="CMU375" s="15"/>
      <c r="CMV375" s="15"/>
      <c r="CMW375" s="15"/>
      <c r="CMX375" s="15"/>
      <c r="CMY375" s="10"/>
      <c r="CMZ375" s="10"/>
      <c r="CNA375" s="21"/>
      <c r="CNB375" s="21"/>
      <c r="CNE375" s="21"/>
      <c r="CNF375" s="15"/>
      <c r="CNG375" s="15"/>
      <c r="CNH375" s="15"/>
      <c r="CNI375" s="15"/>
      <c r="CNJ375" s="15"/>
      <c r="CNK375" s="15"/>
      <c r="CNL375" s="15"/>
      <c r="CNM375" s="15"/>
      <c r="CNN375" s="15"/>
      <c r="CNO375" s="15"/>
      <c r="CNP375" s="10"/>
      <c r="CNQ375" s="10"/>
      <c r="CNR375" s="21"/>
      <c r="CNS375" s="21"/>
      <c r="CNV375" s="21"/>
      <c r="CNW375" s="15"/>
      <c r="CNX375" s="15"/>
      <c r="CNY375" s="15"/>
      <c r="CNZ375" s="15"/>
      <c r="COA375" s="15"/>
      <c r="COB375" s="15"/>
      <c r="COC375" s="15"/>
      <c r="COD375" s="15"/>
      <c r="COE375" s="15"/>
      <c r="COF375" s="15"/>
      <c r="COG375" s="10"/>
      <c r="COH375" s="10"/>
      <c r="COI375" s="21"/>
      <c r="COJ375" s="21"/>
      <c r="COM375" s="21"/>
      <c r="CON375" s="15"/>
      <c r="COO375" s="15"/>
      <c r="COP375" s="15"/>
      <c r="COQ375" s="15"/>
      <c r="COR375" s="15"/>
      <c r="COS375" s="15"/>
      <c r="COT375" s="15"/>
      <c r="COU375" s="15"/>
      <c r="COV375" s="15"/>
      <c r="COW375" s="15"/>
      <c r="COX375" s="10"/>
      <c r="COY375" s="10"/>
      <c r="COZ375" s="21"/>
      <c r="CPA375" s="21"/>
      <c r="CPD375" s="21"/>
      <c r="CPE375" s="15"/>
      <c r="CPF375" s="15"/>
      <c r="CPG375" s="15"/>
      <c r="CPH375" s="15"/>
      <c r="CPI375" s="15"/>
      <c r="CPJ375" s="15"/>
      <c r="CPK375" s="15"/>
      <c r="CPL375" s="15"/>
      <c r="CPM375" s="15"/>
      <c r="CPN375" s="15"/>
      <c r="CPO375" s="10"/>
      <c r="CPP375" s="10"/>
      <c r="CPQ375" s="21"/>
      <c r="CPR375" s="21"/>
      <c r="CPU375" s="21"/>
      <c r="CPV375" s="15"/>
      <c r="CPW375" s="15"/>
      <c r="CPX375" s="15"/>
      <c r="CPY375" s="15"/>
      <c r="CPZ375" s="15"/>
      <c r="CQA375" s="15"/>
      <c r="CQB375" s="15"/>
      <c r="CQC375" s="15"/>
      <c r="CQD375" s="15"/>
      <c r="CQE375" s="15"/>
      <c r="CQF375" s="10"/>
      <c r="CQG375" s="10"/>
      <c r="CQH375" s="21"/>
      <c r="CQI375" s="21"/>
      <c r="CQL375" s="21"/>
      <c r="CQM375" s="15"/>
      <c r="CQN375" s="15"/>
      <c r="CQO375" s="15"/>
      <c r="CQP375" s="15"/>
      <c r="CQQ375" s="15"/>
      <c r="CQR375" s="15"/>
      <c r="CQS375" s="15"/>
      <c r="CQT375" s="15"/>
      <c r="CQU375" s="15"/>
      <c r="CQV375" s="15"/>
      <c r="CQW375" s="10"/>
      <c r="CQX375" s="10"/>
      <c r="CQY375" s="21"/>
      <c r="CQZ375" s="21"/>
      <c r="CRC375" s="21"/>
      <c r="CRD375" s="15"/>
      <c r="CRE375" s="15"/>
      <c r="CRF375" s="15"/>
      <c r="CRG375" s="15"/>
      <c r="CRH375" s="15"/>
      <c r="CRI375" s="15"/>
      <c r="CRJ375" s="15"/>
      <c r="CRK375" s="15"/>
      <c r="CRL375" s="15"/>
      <c r="CRM375" s="15"/>
      <c r="CRN375" s="10"/>
      <c r="CRO375" s="10"/>
      <c r="CRP375" s="21"/>
      <c r="CRQ375" s="21"/>
      <c r="CRT375" s="21"/>
      <c r="CRU375" s="15"/>
      <c r="CRV375" s="15"/>
      <c r="CRW375" s="15"/>
      <c r="CRX375" s="15"/>
      <c r="CRY375" s="15"/>
      <c r="CRZ375" s="15"/>
      <c r="CSA375" s="15"/>
      <c r="CSB375" s="15"/>
      <c r="CSC375" s="15"/>
      <c r="CSD375" s="15"/>
      <c r="CSE375" s="10"/>
      <c r="CSF375" s="10"/>
      <c r="CSG375" s="21"/>
      <c r="CSH375" s="21"/>
      <c r="CSK375" s="21"/>
      <c r="CSL375" s="15"/>
      <c r="CSM375" s="15"/>
      <c r="CSN375" s="15"/>
      <c r="CSO375" s="15"/>
      <c r="CSP375" s="15"/>
      <c r="CSQ375" s="15"/>
      <c r="CSR375" s="15"/>
      <c r="CSS375" s="15"/>
      <c r="CST375" s="15"/>
      <c r="CSU375" s="15"/>
      <c r="CSV375" s="10"/>
      <c r="CSW375" s="10"/>
      <c r="CSX375" s="21"/>
      <c r="CSY375" s="21"/>
      <c r="CTB375" s="21"/>
      <c r="CTC375" s="15"/>
      <c r="CTD375" s="15"/>
      <c r="CTE375" s="15"/>
      <c r="CTF375" s="15"/>
      <c r="CTG375" s="15"/>
      <c r="CTH375" s="15"/>
      <c r="CTI375" s="15"/>
      <c r="CTJ375" s="15"/>
      <c r="CTK375" s="15"/>
      <c r="CTL375" s="15"/>
      <c r="CTM375" s="10"/>
      <c r="CTN375" s="10"/>
      <c r="CTO375" s="21"/>
      <c r="CTP375" s="21"/>
      <c r="CTS375" s="21"/>
      <c r="CTT375" s="15"/>
      <c r="CTU375" s="15"/>
      <c r="CTV375" s="15"/>
      <c r="CTW375" s="15"/>
      <c r="CTX375" s="15"/>
      <c r="CTY375" s="15"/>
      <c r="CTZ375" s="15"/>
      <c r="CUA375" s="15"/>
      <c r="CUB375" s="15"/>
      <c r="CUC375" s="15"/>
      <c r="CUD375" s="10"/>
      <c r="CUE375" s="10"/>
      <c r="CUF375" s="21"/>
      <c r="CUG375" s="21"/>
      <c r="CUJ375" s="21"/>
      <c r="CUK375" s="15"/>
      <c r="CUL375" s="15"/>
      <c r="CUM375" s="15"/>
      <c r="CUN375" s="15"/>
      <c r="CUO375" s="15"/>
      <c r="CUP375" s="15"/>
      <c r="CUQ375" s="15"/>
      <c r="CUR375" s="15"/>
      <c r="CUS375" s="15"/>
      <c r="CUT375" s="15"/>
      <c r="CUU375" s="10"/>
      <c r="CUV375" s="10"/>
      <c r="CUW375" s="21"/>
      <c r="CUX375" s="21"/>
      <c r="CVA375" s="21"/>
      <c r="CVB375" s="15"/>
      <c r="CVC375" s="15"/>
      <c r="CVD375" s="15"/>
      <c r="CVE375" s="15"/>
      <c r="CVF375" s="15"/>
      <c r="CVG375" s="15"/>
      <c r="CVH375" s="15"/>
      <c r="CVI375" s="15"/>
      <c r="CVJ375" s="15"/>
      <c r="CVK375" s="15"/>
      <c r="CVL375" s="10"/>
      <c r="CVM375" s="10"/>
      <c r="CVN375" s="21"/>
      <c r="CVO375" s="21"/>
      <c r="CVR375" s="21"/>
      <c r="CVS375" s="15"/>
      <c r="CVT375" s="15"/>
      <c r="CVU375" s="15"/>
      <c r="CVV375" s="15"/>
      <c r="CVW375" s="15"/>
      <c r="CVX375" s="15"/>
      <c r="CVY375" s="15"/>
      <c r="CVZ375" s="15"/>
      <c r="CWA375" s="15"/>
      <c r="CWB375" s="15"/>
      <c r="CWC375" s="10"/>
      <c r="CWD375" s="10"/>
      <c r="CWE375" s="21"/>
      <c r="CWF375" s="21"/>
      <c r="CWI375" s="21"/>
      <c r="CWJ375" s="15"/>
      <c r="CWK375" s="15"/>
      <c r="CWL375" s="15"/>
      <c r="CWM375" s="15"/>
      <c r="CWN375" s="15"/>
      <c r="CWO375" s="15"/>
      <c r="CWP375" s="15"/>
      <c r="CWQ375" s="15"/>
      <c r="CWR375" s="15"/>
      <c r="CWS375" s="15"/>
      <c r="CWT375" s="10"/>
      <c r="CWU375" s="10"/>
      <c r="CWV375" s="21"/>
      <c r="CWW375" s="21"/>
      <c r="CWZ375" s="21"/>
      <c r="CXA375" s="15"/>
      <c r="CXB375" s="15"/>
      <c r="CXC375" s="15"/>
      <c r="CXD375" s="15"/>
      <c r="CXE375" s="15"/>
      <c r="CXF375" s="15"/>
      <c r="CXG375" s="15"/>
      <c r="CXH375" s="15"/>
      <c r="CXI375" s="15"/>
      <c r="CXJ375" s="15"/>
      <c r="CXK375" s="10"/>
      <c r="CXL375" s="10"/>
      <c r="CXM375" s="21"/>
      <c r="CXN375" s="21"/>
      <c r="CXQ375" s="21"/>
      <c r="CXR375" s="15"/>
      <c r="CXS375" s="15"/>
      <c r="CXT375" s="15"/>
      <c r="CXU375" s="15"/>
      <c r="CXV375" s="15"/>
      <c r="CXW375" s="15"/>
      <c r="CXX375" s="15"/>
      <c r="CXY375" s="15"/>
      <c r="CXZ375" s="15"/>
      <c r="CYA375" s="15"/>
      <c r="CYB375" s="10"/>
      <c r="CYC375" s="10"/>
      <c r="CYD375" s="21"/>
      <c r="CYE375" s="21"/>
      <c r="CYH375" s="21"/>
      <c r="CYI375" s="15"/>
      <c r="CYJ375" s="15"/>
      <c r="CYK375" s="15"/>
      <c r="CYL375" s="15"/>
      <c r="CYM375" s="15"/>
      <c r="CYN375" s="15"/>
      <c r="CYO375" s="15"/>
      <c r="CYP375" s="15"/>
      <c r="CYQ375" s="15"/>
      <c r="CYR375" s="15"/>
      <c r="CYS375" s="10"/>
      <c r="CYT375" s="10"/>
      <c r="CYU375" s="21"/>
      <c r="CYV375" s="21"/>
      <c r="CYY375" s="21"/>
      <c r="CYZ375" s="15"/>
      <c r="CZA375" s="15"/>
      <c r="CZB375" s="15"/>
      <c r="CZC375" s="15"/>
      <c r="CZD375" s="15"/>
      <c r="CZE375" s="15"/>
      <c r="CZF375" s="15"/>
      <c r="CZG375" s="15"/>
      <c r="CZH375" s="15"/>
      <c r="CZI375" s="15"/>
      <c r="CZJ375" s="10"/>
      <c r="CZK375" s="10"/>
      <c r="CZL375" s="21"/>
      <c r="CZM375" s="21"/>
      <c r="CZP375" s="21"/>
      <c r="CZQ375" s="15"/>
      <c r="CZR375" s="15"/>
      <c r="CZS375" s="15"/>
      <c r="CZT375" s="15"/>
      <c r="CZU375" s="15"/>
      <c r="CZV375" s="15"/>
      <c r="CZW375" s="15"/>
      <c r="CZX375" s="15"/>
      <c r="CZY375" s="15"/>
      <c r="CZZ375" s="15"/>
      <c r="DAA375" s="10"/>
      <c r="DAB375" s="10"/>
      <c r="DAC375" s="21"/>
      <c r="DAD375" s="21"/>
      <c r="DAG375" s="21"/>
      <c r="DAH375" s="15"/>
      <c r="DAI375" s="15"/>
      <c r="DAJ375" s="15"/>
      <c r="DAK375" s="15"/>
      <c r="DAL375" s="15"/>
      <c r="DAM375" s="15"/>
      <c r="DAN375" s="15"/>
      <c r="DAO375" s="15"/>
      <c r="DAP375" s="15"/>
      <c r="DAQ375" s="15"/>
      <c r="DAR375" s="10"/>
      <c r="DAS375" s="10"/>
      <c r="DAT375" s="21"/>
      <c r="DAU375" s="21"/>
      <c r="DAX375" s="21"/>
      <c r="DAY375" s="15"/>
      <c r="DAZ375" s="15"/>
      <c r="DBA375" s="15"/>
      <c r="DBB375" s="15"/>
      <c r="DBC375" s="15"/>
      <c r="DBD375" s="15"/>
      <c r="DBE375" s="15"/>
      <c r="DBF375" s="15"/>
      <c r="DBG375" s="15"/>
      <c r="DBH375" s="15"/>
      <c r="DBI375" s="10"/>
      <c r="DBJ375" s="10"/>
      <c r="DBK375" s="21"/>
      <c r="DBL375" s="21"/>
      <c r="DBO375" s="21"/>
      <c r="DBP375" s="15"/>
      <c r="DBQ375" s="15"/>
      <c r="DBR375" s="15"/>
      <c r="DBS375" s="15"/>
      <c r="DBT375" s="15"/>
      <c r="DBU375" s="15"/>
      <c r="DBV375" s="15"/>
      <c r="DBW375" s="15"/>
      <c r="DBX375" s="15"/>
      <c r="DBY375" s="15"/>
      <c r="DBZ375" s="10"/>
      <c r="DCA375" s="10"/>
      <c r="DCB375" s="21"/>
      <c r="DCC375" s="21"/>
      <c r="DCF375" s="21"/>
      <c r="DCG375" s="15"/>
      <c r="DCH375" s="15"/>
      <c r="DCI375" s="15"/>
      <c r="DCJ375" s="15"/>
      <c r="DCK375" s="15"/>
      <c r="DCL375" s="15"/>
      <c r="DCM375" s="15"/>
      <c r="DCN375" s="15"/>
      <c r="DCO375" s="15"/>
      <c r="DCP375" s="15"/>
      <c r="DCQ375" s="10"/>
      <c r="DCR375" s="10"/>
      <c r="DCS375" s="21"/>
      <c r="DCT375" s="21"/>
      <c r="DCW375" s="21"/>
      <c r="DCX375" s="15"/>
      <c r="DCY375" s="15"/>
      <c r="DCZ375" s="15"/>
      <c r="DDA375" s="15"/>
      <c r="DDB375" s="15"/>
      <c r="DDC375" s="15"/>
      <c r="DDD375" s="15"/>
      <c r="DDE375" s="15"/>
      <c r="DDF375" s="15"/>
      <c r="DDG375" s="15"/>
      <c r="DDH375" s="10"/>
      <c r="DDI375" s="10"/>
      <c r="DDJ375" s="21"/>
      <c r="DDK375" s="21"/>
      <c r="DDN375" s="21"/>
      <c r="DDO375" s="15"/>
      <c r="DDP375" s="15"/>
      <c r="DDQ375" s="15"/>
      <c r="DDR375" s="15"/>
      <c r="DDS375" s="15"/>
      <c r="DDT375" s="15"/>
      <c r="DDU375" s="15"/>
      <c r="DDV375" s="15"/>
      <c r="DDW375" s="15"/>
      <c r="DDX375" s="15"/>
      <c r="DDY375" s="10"/>
      <c r="DDZ375" s="10"/>
      <c r="DEA375" s="21"/>
      <c r="DEB375" s="21"/>
      <c r="DEE375" s="21"/>
      <c r="DEF375" s="15"/>
      <c r="DEG375" s="15"/>
      <c r="DEH375" s="15"/>
      <c r="DEI375" s="15"/>
      <c r="DEJ375" s="15"/>
      <c r="DEK375" s="15"/>
      <c r="DEL375" s="15"/>
      <c r="DEM375" s="15"/>
      <c r="DEN375" s="15"/>
      <c r="DEO375" s="15"/>
      <c r="DEP375" s="10"/>
      <c r="DEQ375" s="10"/>
      <c r="DER375" s="21"/>
      <c r="DES375" s="21"/>
      <c r="DEV375" s="21"/>
      <c r="DEW375" s="15"/>
      <c r="DEX375" s="15"/>
      <c r="DEY375" s="15"/>
      <c r="DEZ375" s="15"/>
      <c r="DFA375" s="15"/>
      <c r="DFB375" s="15"/>
      <c r="DFC375" s="15"/>
      <c r="DFD375" s="15"/>
      <c r="DFE375" s="15"/>
      <c r="DFF375" s="15"/>
      <c r="DFG375" s="10"/>
      <c r="DFH375" s="10"/>
      <c r="DFI375" s="21"/>
      <c r="DFJ375" s="21"/>
      <c r="DFM375" s="21"/>
      <c r="DFN375" s="15"/>
      <c r="DFO375" s="15"/>
      <c r="DFP375" s="15"/>
      <c r="DFQ375" s="15"/>
      <c r="DFR375" s="15"/>
      <c r="DFS375" s="15"/>
      <c r="DFT375" s="15"/>
      <c r="DFU375" s="15"/>
      <c r="DFV375" s="15"/>
      <c r="DFW375" s="15"/>
      <c r="DFX375" s="10"/>
      <c r="DFY375" s="10"/>
      <c r="DFZ375" s="21"/>
      <c r="DGA375" s="21"/>
      <c r="DGD375" s="21"/>
      <c r="DGE375" s="15"/>
      <c r="DGF375" s="15"/>
      <c r="DGG375" s="15"/>
      <c r="DGH375" s="15"/>
      <c r="DGI375" s="15"/>
      <c r="DGJ375" s="15"/>
      <c r="DGK375" s="15"/>
      <c r="DGL375" s="15"/>
      <c r="DGM375" s="15"/>
      <c r="DGN375" s="15"/>
      <c r="DGO375" s="10"/>
      <c r="DGP375" s="10"/>
      <c r="DGQ375" s="21"/>
      <c r="DGR375" s="21"/>
      <c r="DGU375" s="21"/>
      <c r="DGV375" s="15"/>
      <c r="DGW375" s="15"/>
      <c r="DGX375" s="15"/>
      <c r="DGY375" s="15"/>
      <c r="DGZ375" s="15"/>
      <c r="DHA375" s="15"/>
      <c r="DHB375" s="15"/>
      <c r="DHC375" s="15"/>
      <c r="DHD375" s="15"/>
      <c r="DHE375" s="15"/>
      <c r="DHF375" s="10"/>
      <c r="DHG375" s="10"/>
      <c r="DHH375" s="21"/>
      <c r="DHI375" s="21"/>
      <c r="DHL375" s="21"/>
      <c r="DHM375" s="15"/>
      <c r="DHN375" s="15"/>
      <c r="DHO375" s="15"/>
      <c r="DHP375" s="15"/>
      <c r="DHQ375" s="15"/>
      <c r="DHR375" s="15"/>
      <c r="DHS375" s="15"/>
      <c r="DHT375" s="15"/>
      <c r="DHU375" s="15"/>
      <c r="DHV375" s="15"/>
      <c r="DHW375" s="10"/>
      <c r="DHX375" s="10"/>
      <c r="DHY375" s="21"/>
      <c r="DHZ375" s="21"/>
      <c r="DIC375" s="21"/>
      <c r="DID375" s="15"/>
      <c r="DIE375" s="15"/>
      <c r="DIF375" s="15"/>
      <c r="DIG375" s="15"/>
      <c r="DIH375" s="15"/>
      <c r="DII375" s="15"/>
      <c r="DIJ375" s="15"/>
      <c r="DIK375" s="15"/>
      <c r="DIL375" s="15"/>
      <c r="DIM375" s="15"/>
      <c r="DIN375" s="10"/>
      <c r="DIO375" s="10"/>
      <c r="DIP375" s="21"/>
      <c r="DIQ375" s="21"/>
      <c r="DIT375" s="21"/>
      <c r="DIU375" s="15"/>
      <c r="DIV375" s="15"/>
      <c r="DIW375" s="15"/>
      <c r="DIX375" s="15"/>
      <c r="DIY375" s="15"/>
      <c r="DIZ375" s="15"/>
      <c r="DJA375" s="15"/>
      <c r="DJB375" s="15"/>
      <c r="DJC375" s="15"/>
      <c r="DJD375" s="15"/>
      <c r="DJE375" s="10"/>
      <c r="DJF375" s="10"/>
      <c r="DJG375" s="21"/>
      <c r="DJH375" s="21"/>
      <c r="DJK375" s="21"/>
      <c r="DJL375" s="15"/>
      <c r="DJM375" s="15"/>
      <c r="DJN375" s="15"/>
      <c r="DJO375" s="15"/>
      <c r="DJP375" s="15"/>
      <c r="DJQ375" s="15"/>
      <c r="DJR375" s="15"/>
      <c r="DJS375" s="15"/>
      <c r="DJT375" s="15"/>
      <c r="DJU375" s="15"/>
      <c r="DJV375" s="10"/>
      <c r="DJW375" s="10"/>
      <c r="DJX375" s="21"/>
      <c r="DJY375" s="21"/>
      <c r="DKB375" s="21"/>
      <c r="DKC375" s="15"/>
      <c r="DKD375" s="15"/>
      <c r="DKE375" s="15"/>
      <c r="DKF375" s="15"/>
      <c r="DKG375" s="15"/>
      <c r="DKH375" s="15"/>
      <c r="DKI375" s="15"/>
      <c r="DKJ375" s="15"/>
      <c r="DKK375" s="15"/>
      <c r="DKL375" s="15"/>
      <c r="DKM375" s="10"/>
      <c r="DKN375" s="10"/>
      <c r="DKO375" s="21"/>
      <c r="DKP375" s="21"/>
      <c r="DKS375" s="21"/>
      <c r="DKT375" s="15"/>
      <c r="DKU375" s="15"/>
      <c r="DKV375" s="15"/>
      <c r="DKW375" s="15"/>
      <c r="DKX375" s="15"/>
      <c r="DKY375" s="15"/>
      <c r="DKZ375" s="15"/>
      <c r="DLA375" s="15"/>
      <c r="DLB375" s="15"/>
      <c r="DLC375" s="15"/>
      <c r="DLD375" s="10"/>
      <c r="DLE375" s="10"/>
      <c r="DLF375" s="21"/>
      <c r="DLG375" s="21"/>
      <c r="DLJ375" s="21"/>
      <c r="DLK375" s="15"/>
      <c r="DLL375" s="15"/>
      <c r="DLM375" s="15"/>
      <c r="DLN375" s="15"/>
      <c r="DLO375" s="15"/>
      <c r="DLP375" s="15"/>
      <c r="DLQ375" s="15"/>
      <c r="DLR375" s="15"/>
      <c r="DLS375" s="15"/>
      <c r="DLT375" s="15"/>
      <c r="DLU375" s="10"/>
      <c r="DLV375" s="10"/>
      <c r="DLW375" s="21"/>
      <c r="DLX375" s="21"/>
      <c r="DMA375" s="21"/>
      <c r="DMB375" s="15"/>
      <c r="DMC375" s="15"/>
      <c r="DMD375" s="15"/>
      <c r="DME375" s="15"/>
      <c r="DMF375" s="15"/>
      <c r="DMG375" s="15"/>
      <c r="DMH375" s="15"/>
      <c r="DMI375" s="15"/>
      <c r="DMJ375" s="15"/>
      <c r="DMK375" s="15"/>
      <c r="DML375" s="10"/>
      <c r="DMM375" s="10"/>
      <c r="DMN375" s="21"/>
      <c r="DMO375" s="21"/>
      <c r="DMR375" s="21"/>
      <c r="DMS375" s="15"/>
      <c r="DMT375" s="15"/>
      <c r="DMU375" s="15"/>
      <c r="DMV375" s="15"/>
      <c r="DMW375" s="15"/>
      <c r="DMX375" s="15"/>
      <c r="DMY375" s="15"/>
      <c r="DMZ375" s="15"/>
      <c r="DNA375" s="15"/>
      <c r="DNB375" s="15"/>
      <c r="DNC375" s="10"/>
      <c r="DND375" s="10"/>
      <c r="DNE375" s="21"/>
      <c r="DNF375" s="21"/>
      <c r="DNI375" s="21"/>
      <c r="DNJ375" s="15"/>
      <c r="DNK375" s="15"/>
      <c r="DNL375" s="15"/>
      <c r="DNM375" s="15"/>
      <c r="DNN375" s="15"/>
      <c r="DNO375" s="15"/>
      <c r="DNP375" s="15"/>
      <c r="DNQ375" s="15"/>
      <c r="DNR375" s="15"/>
      <c r="DNS375" s="15"/>
      <c r="DNT375" s="10"/>
      <c r="DNU375" s="10"/>
      <c r="DNV375" s="21"/>
      <c r="DNW375" s="21"/>
      <c r="DNZ375" s="21"/>
      <c r="DOA375" s="15"/>
      <c r="DOB375" s="15"/>
      <c r="DOC375" s="15"/>
      <c r="DOD375" s="15"/>
      <c r="DOE375" s="15"/>
      <c r="DOF375" s="15"/>
      <c r="DOG375" s="15"/>
      <c r="DOH375" s="15"/>
      <c r="DOI375" s="15"/>
      <c r="DOJ375" s="15"/>
      <c r="DOK375" s="10"/>
      <c r="DOL375" s="10"/>
      <c r="DOM375" s="21"/>
      <c r="DON375" s="21"/>
      <c r="DOQ375" s="21"/>
      <c r="DOR375" s="15"/>
      <c r="DOS375" s="15"/>
      <c r="DOT375" s="15"/>
      <c r="DOU375" s="15"/>
      <c r="DOV375" s="15"/>
      <c r="DOW375" s="15"/>
      <c r="DOX375" s="15"/>
      <c r="DOY375" s="15"/>
      <c r="DOZ375" s="15"/>
      <c r="DPA375" s="15"/>
      <c r="DPB375" s="10"/>
      <c r="DPC375" s="10"/>
      <c r="DPD375" s="21"/>
      <c r="DPE375" s="21"/>
      <c r="DPH375" s="21"/>
      <c r="DPI375" s="15"/>
      <c r="DPJ375" s="15"/>
      <c r="DPK375" s="15"/>
      <c r="DPL375" s="15"/>
      <c r="DPM375" s="15"/>
      <c r="DPN375" s="15"/>
      <c r="DPO375" s="15"/>
      <c r="DPP375" s="15"/>
      <c r="DPQ375" s="15"/>
      <c r="DPR375" s="15"/>
      <c r="DPS375" s="10"/>
      <c r="DPT375" s="10"/>
      <c r="DPU375" s="21"/>
      <c r="DPV375" s="21"/>
      <c r="DPY375" s="21"/>
      <c r="DPZ375" s="15"/>
      <c r="DQA375" s="15"/>
      <c r="DQB375" s="15"/>
      <c r="DQC375" s="15"/>
      <c r="DQD375" s="15"/>
      <c r="DQE375" s="15"/>
      <c r="DQF375" s="15"/>
      <c r="DQG375" s="15"/>
      <c r="DQH375" s="15"/>
      <c r="DQI375" s="15"/>
      <c r="DQJ375" s="10"/>
      <c r="DQK375" s="10"/>
      <c r="DQL375" s="21"/>
      <c r="DQM375" s="21"/>
      <c r="DQP375" s="21"/>
      <c r="DQQ375" s="15"/>
      <c r="DQR375" s="15"/>
      <c r="DQS375" s="15"/>
      <c r="DQT375" s="15"/>
      <c r="DQU375" s="15"/>
      <c r="DQV375" s="15"/>
      <c r="DQW375" s="15"/>
      <c r="DQX375" s="15"/>
      <c r="DQY375" s="15"/>
      <c r="DQZ375" s="15"/>
      <c r="DRA375" s="10"/>
      <c r="DRB375" s="10"/>
      <c r="DRC375" s="21"/>
      <c r="DRD375" s="21"/>
      <c r="DRG375" s="21"/>
      <c r="DRH375" s="15"/>
      <c r="DRI375" s="15"/>
      <c r="DRJ375" s="15"/>
      <c r="DRK375" s="15"/>
      <c r="DRL375" s="15"/>
      <c r="DRM375" s="15"/>
      <c r="DRN375" s="15"/>
      <c r="DRO375" s="15"/>
      <c r="DRP375" s="15"/>
      <c r="DRQ375" s="15"/>
      <c r="DRR375" s="10"/>
      <c r="DRS375" s="10"/>
      <c r="DRT375" s="21"/>
      <c r="DRU375" s="21"/>
      <c r="DRX375" s="21"/>
      <c r="DRY375" s="15"/>
      <c r="DRZ375" s="15"/>
      <c r="DSA375" s="15"/>
      <c r="DSB375" s="15"/>
      <c r="DSC375" s="15"/>
      <c r="DSD375" s="15"/>
      <c r="DSE375" s="15"/>
      <c r="DSF375" s="15"/>
      <c r="DSG375" s="15"/>
      <c r="DSH375" s="15"/>
      <c r="DSI375" s="10"/>
      <c r="DSJ375" s="10"/>
      <c r="DSK375" s="21"/>
      <c r="DSL375" s="21"/>
      <c r="DSO375" s="21"/>
      <c r="DSP375" s="15"/>
      <c r="DSQ375" s="15"/>
      <c r="DSR375" s="15"/>
      <c r="DSS375" s="15"/>
      <c r="DST375" s="15"/>
      <c r="DSU375" s="15"/>
      <c r="DSV375" s="15"/>
      <c r="DSW375" s="15"/>
      <c r="DSX375" s="15"/>
      <c r="DSY375" s="15"/>
      <c r="DSZ375" s="10"/>
      <c r="DTA375" s="10"/>
      <c r="DTB375" s="21"/>
      <c r="DTC375" s="21"/>
      <c r="DTF375" s="21"/>
      <c r="DTG375" s="15"/>
      <c r="DTH375" s="15"/>
      <c r="DTI375" s="15"/>
      <c r="DTJ375" s="15"/>
      <c r="DTK375" s="15"/>
      <c r="DTL375" s="15"/>
      <c r="DTM375" s="15"/>
      <c r="DTN375" s="15"/>
      <c r="DTO375" s="15"/>
      <c r="DTP375" s="15"/>
      <c r="DTQ375" s="10"/>
      <c r="DTR375" s="10"/>
      <c r="DTS375" s="21"/>
      <c r="DTT375" s="21"/>
      <c r="DTW375" s="21"/>
      <c r="DTX375" s="15"/>
      <c r="DTY375" s="15"/>
      <c r="DTZ375" s="15"/>
      <c r="DUA375" s="15"/>
      <c r="DUB375" s="15"/>
      <c r="DUC375" s="15"/>
      <c r="DUD375" s="15"/>
      <c r="DUE375" s="15"/>
      <c r="DUF375" s="15"/>
      <c r="DUG375" s="15"/>
      <c r="DUH375" s="10"/>
      <c r="DUI375" s="10"/>
      <c r="DUJ375" s="21"/>
      <c r="DUK375" s="21"/>
      <c r="DUN375" s="21"/>
      <c r="DUO375" s="15"/>
      <c r="DUP375" s="15"/>
      <c r="DUQ375" s="15"/>
      <c r="DUR375" s="15"/>
      <c r="DUS375" s="15"/>
      <c r="DUT375" s="15"/>
      <c r="DUU375" s="15"/>
      <c r="DUV375" s="15"/>
      <c r="DUW375" s="15"/>
      <c r="DUX375" s="15"/>
      <c r="DUY375" s="10"/>
      <c r="DUZ375" s="10"/>
      <c r="DVA375" s="21"/>
      <c r="DVB375" s="21"/>
      <c r="DVE375" s="21"/>
      <c r="DVF375" s="15"/>
      <c r="DVG375" s="15"/>
      <c r="DVH375" s="15"/>
      <c r="DVI375" s="15"/>
      <c r="DVJ375" s="15"/>
      <c r="DVK375" s="15"/>
      <c r="DVL375" s="15"/>
      <c r="DVM375" s="15"/>
      <c r="DVN375" s="15"/>
      <c r="DVO375" s="15"/>
      <c r="DVP375" s="10"/>
      <c r="DVQ375" s="10"/>
      <c r="DVR375" s="21"/>
      <c r="DVS375" s="21"/>
      <c r="DVV375" s="21"/>
      <c r="DVW375" s="15"/>
      <c r="DVX375" s="15"/>
      <c r="DVY375" s="15"/>
      <c r="DVZ375" s="15"/>
      <c r="DWA375" s="15"/>
      <c r="DWB375" s="15"/>
      <c r="DWC375" s="15"/>
      <c r="DWD375" s="15"/>
      <c r="DWE375" s="15"/>
      <c r="DWF375" s="15"/>
      <c r="DWG375" s="10"/>
      <c r="DWH375" s="10"/>
      <c r="DWI375" s="21"/>
      <c r="DWJ375" s="21"/>
      <c r="DWM375" s="21"/>
      <c r="DWN375" s="15"/>
      <c r="DWO375" s="15"/>
      <c r="DWP375" s="15"/>
      <c r="DWQ375" s="15"/>
      <c r="DWR375" s="15"/>
      <c r="DWS375" s="15"/>
      <c r="DWT375" s="15"/>
      <c r="DWU375" s="15"/>
      <c r="DWV375" s="15"/>
      <c r="DWW375" s="15"/>
      <c r="DWX375" s="10"/>
      <c r="DWY375" s="10"/>
      <c r="DWZ375" s="21"/>
      <c r="DXA375" s="21"/>
      <c r="DXD375" s="21"/>
      <c r="DXE375" s="15"/>
      <c r="DXF375" s="15"/>
      <c r="DXG375" s="15"/>
      <c r="DXH375" s="15"/>
      <c r="DXI375" s="15"/>
      <c r="DXJ375" s="15"/>
      <c r="DXK375" s="15"/>
      <c r="DXL375" s="15"/>
      <c r="DXM375" s="15"/>
      <c r="DXN375" s="15"/>
      <c r="DXO375" s="10"/>
      <c r="DXP375" s="10"/>
      <c r="DXQ375" s="21"/>
      <c r="DXR375" s="21"/>
      <c r="DXU375" s="21"/>
      <c r="DXV375" s="15"/>
      <c r="DXW375" s="15"/>
      <c r="DXX375" s="15"/>
      <c r="DXY375" s="15"/>
      <c r="DXZ375" s="15"/>
      <c r="DYA375" s="15"/>
      <c r="DYB375" s="15"/>
      <c r="DYC375" s="15"/>
      <c r="DYD375" s="15"/>
      <c r="DYE375" s="15"/>
      <c r="DYF375" s="10"/>
      <c r="DYG375" s="10"/>
      <c r="DYH375" s="21"/>
      <c r="DYI375" s="21"/>
      <c r="DYL375" s="21"/>
      <c r="DYM375" s="15"/>
      <c r="DYN375" s="15"/>
      <c r="DYO375" s="15"/>
      <c r="DYP375" s="15"/>
      <c r="DYQ375" s="15"/>
      <c r="DYR375" s="15"/>
      <c r="DYS375" s="15"/>
      <c r="DYT375" s="15"/>
      <c r="DYU375" s="15"/>
      <c r="DYV375" s="15"/>
      <c r="DYW375" s="10"/>
      <c r="DYX375" s="10"/>
      <c r="DYY375" s="21"/>
      <c r="DYZ375" s="21"/>
      <c r="DZC375" s="21"/>
      <c r="DZD375" s="15"/>
      <c r="DZE375" s="15"/>
      <c r="DZF375" s="15"/>
      <c r="DZG375" s="15"/>
      <c r="DZH375" s="15"/>
      <c r="DZI375" s="15"/>
      <c r="DZJ375" s="15"/>
      <c r="DZK375" s="15"/>
      <c r="DZL375" s="15"/>
      <c r="DZM375" s="15"/>
      <c r="DZN375" s="10"/>
      <c r="DZO375" s="10"/>
      <c r="DZP375" s="21"/>
      <c r="DZQ375" s="21"/>
      <c r="DZT375" s="21"/>
      <c r="DZU375" s="15"/>
      <c r="DZV375" s="15"/>
      <c r="DZW375" s="15"/>
      <c r="DZX375" s="15"/>
      <c r="DZY375" s="15"/>
      <c r="DZZ375" s="15"/>
      <c r="EAA375" s="15"/>
      <c r="EAB375" s="15"/>
      <c r="EAC375" s="15"/>
      <c r="EAD375" s="15"/>
      <c r="EAE375" s="10"/>
      <c r="EAF375" s="10"/>
      <c r="EAG375" s="21"/>
      <c r="EAH375" s="21"/>
      <c r="EAK375" s="21"/>
      <c r="EAL375" s="15"/>
      <c r="EAM375" s="15"/>
      <c r="EAN375" s="15"/>
      <c r="EAO375" s="15"/>
      <c r="EAP375" s="15"/>
      <c r="EAQ375" s="15"/>
      <c r="EAR375" s="15"/>
      <c r="EAS375" s="15"/>
      <c r="EAT375" s="15"/>
      <c r="EAU375" s="15"/>
      <c r="EAV375" s="10"/>
      <c r="EAW375" s="10"/>
      <c r="EAX375" s="21"/>
      <c r="EAY375" s="21"/>
      <c r="EBB375" s="21"/>
      <c r="EBC375" s="15"/>
      <c r="EBD375" s="15"/>
      <c r="EBE375" s="15"/>
      <c r="EBF375" s="15"/>
      <c r="EBG375" s="15"/>
      <c r="EBH375" s="15"/>
      <c r="EBI375" s="15"/>
      <c r="EBJ375" s="15"/>
      <c r="EBK375" s="15"/>
      <c r="EBL375" s="15"/>
      <c r="EBM375" s="10"/>
      <c r="EBN375" s="10"/>
      <c r="EBO375" s="21"/>
      <c r="EBP375" s="21"/>
      <c r="EBS375" s="21"/>
      <c r="EBT375" s="15"/>
      <c r="EBU375" s="15"/>
      <c r="EBV375" s="15"/>
      <c r="EBW375" s="15"/>
      <c r="EBX375" s="15"/>
      <c r="EBY375" s="15"/>
      <c r="EBZ375" s="15"/>
      <c r="ECA375" s="15"/>
      <c r="ECB375" s="15"/>
      <c r="ECC375" s="15"/>
      <c r="ECD375" s="10"/>
      <c r="ECE375" s="10"/>
      <c r="ECF375" s="21"/>
      <c r="ECG375" s="21"/>
      <c r="ECJ375" s="21"/>
      <c r="ECK375" s="15"/>
      <c r="ECL375" s="15"/>
      <c r="ECM375" s="15"/>
      <c r="ECN375" s="15"/>
      <c r="ECO375" s="15"/>
      <c r="ECP375" s="15"/>
      <c r="ECQ375" s="15"/>
      <c r="ECR375" s="15"/>
      <c r="ECS375" s="15"/>
      <c r="ECT375" s="15"/>
      <c r="ECU375" s="10"/>
      <c r="ECV375" s="10"/>
      <c r="ECW375" s="21"/>
      <c r="ECX375" s="21"/>
      <c r="EDA375" s="21"/>
      <c r="EDB375" s="15"/>
      <c r="EDC375" s="15"/>
      <c r="EDD375" s="15"/>
      <c r="EDE375" s="15"/>
      <c r="EDF375" s="15"/>
      <c r="EDG375" s="15"/>
      <c r="EDH375" s="15"/>
      <c r="EDI375" s="15"/>
      <c r="EDJ375" s="15"/>
      <c r="EDK375" s="15"/>
      <c r="EDL375" s="10"/>
      <c r="EDM375" s="10"/>
      <c r="EDN375" s="21"/>
      <c r="EDO375" s="21"/>
      <c r="EDR375" s="21"/>
      <c r="EDS375" s="15"/>
      <c r="EDT375" s="15"/>
      <c r="EDU375" s="15"/>
      <c r="EDV375" s="15"/>
      <c r="EDW375" s="15"/>
      <c r="EDX375" s="15"/>
      <c r="EDY375" s="15"/>
      <c r="EDZ375" s="15"/>
      <c r="EEA375" s="15"/>
      <c r="EEB375" s="15"/>
      <c r="EEC375" s="10"/>
      <c r="EED375" s="10"/>
      <c r="EEE375" s="21"/>
      <c r="EEF375" s="21"/>
      <c r="EEI375" s="21"/>
      <c r="EEJ375" s="15"/>
      <c r="EEK375" s="15"/>
      <c r="EEL375" s="15"/>
      <c r="EEM375" s="15"/>
      <c r="EEN375" s="15"/>
      <c r="EEO375" s="15"/>
      <c r="EEP375" s="15"/>
      <c r="EEQ375" s="15"/>
      <c r="EER375" s="15"/>
      <c r="EES375" s="15"/>
      <c r="EET375" s="10"/>
      <c r="EEU375" s="10"/>
      <c r="EEV375" s="21"/>
      <c r="EEW375" s="21"/>
      <c r="EEZ375" s="21"/>
      <c r="EFA375" s="15"/>
      <c r="EFB375" s="15"/>
      <c r="EFC375" s="15"/>
      <c r="EFD375" s="15"/>
      <c r="EFE375" s="15"/>
      <c r="EFF375" s="15"/>
      <c r="EFG375" s="15"/>
      <c r="EFH375" s="15"/>
      <c r="EFI375" s="15"/>
      <c r="EFJ375" s="15"/>
      <c r="EFK375" s="10"/>
      <c r="EFL375" s="10"/>
      <c r="EFM375" s="21"/>
      <c r="EFN375" s="21"/>
      <c r="EFQ375" s="21"/>
      <c r="EFR375" s="15"/>
      <c r="EFS375" s="15"/>
      <c r="EFT375" s="15"/>
      <c r="EFU375" s="15"/>
      <c r="EFV375" s="15"/>
      <c r="EFW375" s="15"/>
      <c r="EFX375" s="15"/>
      <c r="EFY375" s="15"/>
      <c r="EFZ375" s="15"/>
      <c r="EGA375" s="15"/>
      <c r="EGB375" s="10"/>
      <c r="EGC375" s="10"/>
      <c r="EGD375" s="21"/>
      <c r="EGE375" s="21"/>
      <c r="EGH375" s="21"/>
      <c r="EGI375" s="15"/>
      <c r="EGJ375" s="15"/>
      <c r="EGK375" s="15"/>
      <c r="EGL375" s="15"/>
      <c r="EGM375" s="15"/>
      <c r="EGN375" s="15"/>
      <c r="EGO375" s="15"/>
      <c r="EGP375" s="15"/>
      <c r="EGQ375" s="15"/>
      <c r="EGR375" s="15"/>
      <c r="EGS375" s="10"/>
      <c r="EGT375" s="10"/>
      <c r="EGU375" s="21"/>
      <c r="EGV375" s="21"/>
      <c r="EGY375" s="21"/>
      <c r="EGZ375" s="15"/>
      <c r="EHA375" s="15"/>
      <c r="EHB375" s="15"/>
      <c r="EHC375" s="15"/>
      <c r="EHD375" s="15"/>
      <c r="EHE375" s="15"/>
      <c r="EHF375" s="15"/>
      <c r="EHG375" s="15"/>
      <c r="EHH375" s="15"/>
      <c r="EHI375" s="15"/>
      <c r="EHJ375" s="10"/>
      <c r="EHK375" s="10"/>
      <c r="EHL375" s="21"/>
      <c r="EHM375" s="21"/>
      <c r="EHP375" s="21"/>
      <c r="EHQ375" s="15"/>
      <c r="EHR375" s="15"/>
      <c r="EHS375" s="15"/>
      <c r="EHT375" s="15"/>
      <c r="EHU375" s="15"/>
      <c r="EHV375" s="15"/>
      <c r="EHW375" s="15"/>
      <c r="EHX375" s="15"/>
      <c r="EHY375" s="15"/>
      <c r="EHZ375" s="15"/>
      <c r="EIA375" s="10"/>
      <c r="EIB375" s="10"/>
      <c r="EIC375" s="21"/>
      <c r="EID375" s="21"/>
      <c r="EIG375" s="21"/>
      <c r="EIH375" s="15"/>
      <c r="EII375" s="15"/>
      <c r="EIJ375" s="15"/>
      <c r="EIK375" s="15"/>
      <c r="EIL375" s="15"/>
      <c r="EIM375" s="15"/>
      <c r="EIN375" s="15"/>
      <c r="EIO375" s="15"/>
      <c r="EIP375" s="15"/>
      <c r="EIQ375" s="15"/>
      <c r="EIR375" s="10"/>
      <c r="EIS375" s="10"/>
      <c r="EIT375" s="21"/>
      <c r="EIU375" s="21"/>
      <c r="EIX375" s="21"/>
      <c r="EIY375" s="15"/>
      <c r="EIZ375" s="15"/>
      <c r="EJA375" s="15"/>
      <c r="EJB375" s="15"/>
      <c r="EJC375" s="15"/>
      <c r="EJD375" s="15"/>
      <c r="EJE375" s="15"/>
      <c r="EJF375" s="15"/>
      <c r="EJG375" s="15"/>
      <c r="EJH375" s="15"/>
      <c r="EJI375" s="10"/>
      <c r="EJJ375" s="10"/>
      <c r="EJK375" s="21"/>
      <c r="EJL375" s="21"/>
      <c r="EJO375" s="21"/>
      <c r="EJP375" s="15"/>
      <c r="EJQ375" s="15"/>
      <c r="EJR375" s="15"/>
      <c r="EJS375" s="15"/>
      <c r="EJT375" s="15"/>
      <c r="EJU375" s="15"/>
      <c r="EJV375" s="15"/>
      <c r="EJW375" s="15"/>
      <c r="EJX375" s="15"/>
      <c r="EJY375" s="15"/>
      <c r="EJZ375" s="10"/>
      <c r="EKA375" s="10"/>
      <c r="EKB375" s="21"/>
      <c r="EKC375" s="21"/>
      <c r="EKF375" s="21"/>
      <c r="EKG375" s="15"/>
      <c r="EKH375" s="15"/>
      <c r="EKI375" s="15"/>
      <c r="EKJ375" s="15"/>
      <c r="EKK375" s="15"/>
      <c r="EKL375" s="15"/>
      <c r="EKM375" s="15"/>
      <c r="EKN375" s="15"/>
      <c r="EKO375" s="15"/>
      <c r="EKP375" s="15"/>
      <c r="EKQ375" s="10"/>
      <c r="EKR375" s="10"/>
      <c r="EKS375" s="21"/>
      <c r="EKT375" s="21"/>
      <c r="EKW375" s="21"/>
      <c r="EKX375" s="15"/>
      <c r="EKY375" s="15"/>
      <c r="EKZ375" s="15"/>
      <c r="ELA375" s="15"/>
      <c r="ELB375" s="15"/>
      <c r="ELC375" s="15"/>
      <c r="ELD375" s="15"/>
      <c r="ELE375" s="15"/>
      <c r="ELF375" s="15"/>
      <c r="ELG375" s="15"/>
      <c r="ELH375" s="10"/>
      <c r="ELI375" s="10"/>
      <c r="ELJ375" s="21"/>
      <c r="ELK375" s="21"/>
      <c r="ELN375" s="21"/>
      <c r="ELO375" s="15"/>
      <c r="ELP375" s="15"/>
      <c r="ELQ375" s="15"/>
      <c r="ELR375" s="15"/>
      <c r="ELS375" s="15"/>
      <c r="ELT375" s="15"/>
      <c r="ELU375" s="15"/>
      <c r="ELV375" s="15"/>
      <c r="ELW375" s="15"/>
      <c r="ELX375" s="15"/>
      <c r="ELY375" s="10"/>
      <c r="ELZ375" s="10"/>
      <c r="EMA375" s="21"/>
      <c r="EMB375" s="21"/>
      <c r="EME375" s="21"/>
      <c r="EMF375" s="15"/>
      <c r="EMG375" s="15"/>
      <c r="EMH375" s="15"/>
      <c r="EMI375" s="15"/>
      <c r="EMJ375" s="15"/>
      <c r="EMK375" s="15"/>
      <c r="EML375" s="15"/>
      <c r="EMM375" s="15"/>
      <c r="EMN375" s="15"/>
      <c r="EMO375" s="15"/>
      <c r="EMP375" s="10"/>
      <c r="EMQ375" s="10"/>
      <c r="EMR375" s="21"/>
      <c r="EMS375" s="21"/>
      <c r="EMV375" s="21"/>
      <c r="EMW375" s="15"/>
      <c r="EMX375" s="15"/>
      <c r="EMY375" s="15"/>
      <c r="EMZ375" s="15"/>
      <c r="ENA375" s="15"/>
      <c r="ENB375" s="15"/>
      <c r="ENC375" s="15"/>
      <c r="END375" s="15"/>
      <c r="ENE375" s="15"/>
      <c r="ENF375" s="15"/>
      <c r="ENG375" s="10"/>
      <c r="ENH375" s="10"/>
      <c r="ENI375" s="21"/>
      <c r="ENJ375" s="21"/>
      <c r="ENM375" s="21"/>
      <c r="ENN375" s="15"/>
      <c r="ENO375" s="15"/>
      <c r="ENP375" s="15"/>
      <c r="ENQ375" s="15"/>
      <c r="ENR375" s="15"/>
      <c r="ENS375" s="15"/>
      <c r="ENT375" s="15"/>
      <c r="ENU375" s="15"/>
      <c r="ENV375" s="15"/>
      <c r="ENW375" s="15"/>
      <c r="ENX375" s="10"/>
      <c r="ENY375" s="10"/>
      <c r="ENZ375" s="21"/>
      <c r="EOA375" s="21"/>
      <c r="EOD375" s="21"/>
      <c r="EOE375" s="15"/>
      <c r="EOF375" s="15"/>
      <c r="EOG375" s="15"/>
      <c r="EOH375" s="15"/>
      <c r="EOI375" s="15"/>
      <c r="EOJ375" s="15"/>
      <c r="EOK375" s="15"/>
      <c r="EOL375" s="15"/>
      <c r="EOM375" s="15"/>
      <c r="EON375" s="15"/>
      <c r="EOO375" s="10"/>
      <c r="EOP375" s="10"/>
      <c r="EOQ375" s="21"/>
      <c r="EOR375" s="21"/>
      <c r="EOU375" s="21"/>
      <c r="EOV375" s="15"/>
      <c r="EOW375" s="15"/>
      <c r="EOX375" s="15"/>
      <c r="EOY375" s="15"/>
      <c r="EOZ375" s="15"/>
      <c r="EPA375" s="15"/>
      <c r="EPB375" s="15"/>
      <c r="EPC375" s="15"/>
      <c r="EPD375" s="15"/>
      <c r="EPE375" s="15"/>
      <c r="EPF375" s="10"/>
      <c r="EPG375" s="10"/>
      <c r="EPH375" s="21"/>
      <c r="EPI375" s="21"/>
      <c r="EPL375" s="21"/>
      <c r="EPM375" s="15"/>
      <c r="EPN375" s="15"/>
      <c r="EPO375" s="15"/>
      <c r="EPP375" s="15"/>
      <c r="EPQ375" s="15"/>
      <c r="EPR375" s="15"/>
      <c r="EPS375" s="15"/>
      <c r="EPT375" s="15"/>
      <c r="EPU375" s="15"/>
      <c r="EPV375" s="15"/>
      <c r="EPW375" s="10"/>
      <c r="EPX375" s="10"/>
      <c r="EPY375" s="21"/>
      <c r="EPZ375" s="21"/>
      <c r="EQC375" s="21"/>
      <c r="EQD375" s="15"/>
      <c r="EQE375" s="15"/>
      <c r="EQF375" s="15"/>
      <c r="EQG375" s="15"/>
      <c r="EQH375" s="15"/>
      <c r="EQI375" s="15"/>
      <c r="EQJ375" s="15"/>
      <c r="EQK375" s="15"/>
      <c r="EQL375" s="15"/>
      <c r="EQM375" s="15"/>
      <c r="EQN375" s="10"/>
      <c r="EQO375" s="10"/>
      <c r="EQP375" s="21"/>
      <c r="EQQ375" s="21"/>
      <c r="EQT375" s="21"/>
      <c r="EQU375" s="15"/>
      <c r="EQV375" s="15"/>
      <c r="EQW375" s="15"/>
      <c r="EQX375" s="15"/>
      <c r="EQY375" s="15"/>
      <c r="EQZ375" s="15"/>
      <c r="ERA375" s="15"/>
      <c r="ERB375" s="15"/>
      <c r="ERC375" s="15"/>
      <c r="ERD375" s="15"/>
      <c r="ERE375" s="10"/>
      <c r="ERF375" s="10"/>
      <c r="ERG375" s="21"/>
      <c r="ERH375" s="21"/>
      <c r="ERK375" s="21"/>
      <c r="ERL375" s="15"/>
      <c r="ERM375" s="15"/>
      <c r="ERN375" s="15"/>
      <c r="ERO375" s="15"/>
      <c r="ERP375" s="15"/>
      <c r="ERQ375" s="15"/>
      <c r="ERR375" s="15"/>
      <c r="ERS375" s="15"/>
      <c r="ERT375" s="15"/>
      <c r="ERU375" s="15"/>
      <c r="ERV375" s="10"/>
      <c r="ERW375" s="10"/>
      <c r="ERX375" s="21"/>
      <c r="ERY375" s="21"/>
      <c r="ESB375" s="21"/>
      <c r="ESC375" s="15"/>
      <c r="ESD375" s="15"/>
      <c r="ESE375" s="15"/>
      <c r="ESF375" s="15"/>
      <c r="ESG375" s="15"/>
      <c r="ESH375" s="15"/>
      <c r="ESI375" s="15"/>
      <c r="ESJ375" s="15"/>
      <c r="ESK375" s="15"/>
      <c r="ESL375" s="15"/>
      <c r="ESM375" s="10"/>
      <c r="ESN375" s="10"/>
      <c r="ESO375" s="21"/>
      <c r="ESP375" s="21"/>
      <c r="ESS375" s="21"/>
      <c r="EST375" s="15"/>
      <c r="ESU375" s="15"/>
      <c r="ESV375" s="15"/>
      <c r="ESW375" s="15"/>
      <c r="ESX375" s="15"/>
      <c r="ESY375" s="15"/>
      <c r="ESZ375" s="15"/>
      <c r="ETA375" s="15"/>
      <c r="ETB375" s="15"/>
      <c r="ETC375" s="15"/>
      <c r="ETD375" s="10"/>
      <c r="ETE375" s="10"/>
      <c r="ETF375" s="21"/>
      <c r="ETG375" s="21"/>
      <c r="ETJ375" s="21"/>
      <c r="ETK375" s="15"/>
      <c r="ETL375" s="15"/>
      <c r="ETM375" s="15"/>
      <c r="ETN375" s="15"/>
      <c r="ETO375" s="15"/>
      <c r="ETP375" s="15"/>
      <c r="ETQ375" s="15"/>
      <c r="ETR375" s="15"/>
      <c r="ETS375" s="15"/>
      <c r="ETT375" s="15"/>
      <c r="ETU375" s="10"/>
      <c r="ETV375" s="10"/>
      <c r="ETW375" s="21"/>
      <c r="ETX375" s="21"/>
      <c r="EUA375" s="21"/>
      <c r="EUB375" s="15"/>
      <c r="EUC375" s="15"/>
      <c r="EUD375" s="15"/>
      <c r="EUE375" s="15"/>
      <c r="EUF375" s="15"/>
      <c r="EUG375" s="15"/>
      <c r="EUH375" s="15"/>
      <c r="EUI375" s="15"/>
      <c r="EUJ375" s="15"/>
      <c r="EUK375" s="15"/>
      <c r="EUL375" s="10"/>
      <c r="EUM375" s="10"/>
      <c r="EUN375" s="21"/>
      <c r="EUO375" s="21"/>
      <c r="EUR375" s="21"/>
      <c r="EUS375" s="15"/>
      <c r="EUT375" s="15"/>
      <c r="EUU375" s="15"/>
      <c r="EUV375" s="15"/>
      <c r="EUW375" s="15"/>
      <c r="EUX375" s="15"/>
      <c r="EUY375" s="15"/>
      <c r="EUZ375" s="15"/>
      <c r="EVA375" s="15"/>
      <c r="EVB375" s="15"/>
      <c r="EVC375" s="10"/>
      <c r="EVD375" s="10"/>
      <c r="EVE375" s="21"/>
      <c r="EVF375" s="21"/>
      <c r="EVI375" s="21"/>
      <c r="EVJ375" s="15"/>
      <c r="EVK375" s="15"/>
      <c r="EVL375" s="15"/>
      <c r="EVM375" s="15"/>
      <c r="EVN375" s="15"/>
      <c r="EVO375" s="15"/>
      <c r="EVP375" s="15"/>
      <c r="EVQ375" s="15"/>
      <c r="EVR375" s="15"/>
      <c r="EVS375" s="15"/>
      <c r="EVT375" s="10"/>
      <c r="EVU375" s="10"/>
      <c r="EVV375" s="21"/>
      <c r="EVW375" s="21"/>
      <c r="EVZ375" s="21"/>
      <c r="EWA375" s="15"/>
      <c r="EWB375" s="15"/>
      <c r="EWC375" s="15"/>
      <c r="EWD375" s="15"/>
      <c r="EWE375" s="15"/>
      <c r="EWF375" s="15"/>
      <c r="EWG375" s="15"/>
      <c r="EWH375" s="15"/>
      <c r="EWI375" s="15"/>
      <c r="EWJ375" s="15"/>
      <c r="EWK375" s="10"/>
      <c r="EWL375" s="10"/>
      <c r="EWM375" s="21"/>
      <c r="EWN375" s="21"/>
      <c r="EWQ375" s="21"/>
      <c r="EWR375" s="15"/>
      <c r="EWS375" s="15"/>
      <c r="EWT375" s="15"/>
      <c r="EWU375" s="15"/>
      <c r="EWV375" s="15"/>
      <c r="EWW375" s="15"/>
      <c r="EWX375" s="15"/>
      <c r="EWY375" s="15"/>
      <c r="EWZ375" s="15"/>
      <c r="EXA375" s="15"/>
      <c r="EXB375" s="10"/>
      <c r="EXC375" s="10"/>
      <c r="EXD375" s="21"/>
      <c r="EXE375" s="21"/>
      <c r="EXH375" s="21"/>
      <c r="EXI375" s="15"/>
      <c r="EXJ375" s="15"/>
      <c r="EXK375" s="15"/>
      <c r="EXL375" s="15"/>
      <c r="EXM375" s="15"/>
      <c r="EXN375" s="15"/>
      <c r="EXO375" s="15"/>
      <c r="EXP375" s="15"/>
      <c r="EXQ375" s="15"/>
      <c r="EXR375" s="15"/>
      <c r="EXS375" s="10"/>
      <c r="EXT375" s="10"/>
      <c r="EXU375" s="21"/>
      <c r="EXV375" s="21"/>
      <c r="EXY375" s="21"/>
      <c r="EXZ375" s="15"/>
      <c r="EYA375" s="15"/>
      <c r="EYB375" s="15"/>
      <c r="EYC375" s="15"/>
      <c r="EYD375" s="15"/>
      <c r="EYE375" s="15"/>
      <c r="EYF375" s="15"/>
      <c r="EYG375" s="15"/>
      <c r="EYH375" s="15"/>
      <c r="EYI375" s="15"/>
      <c r="EYJ375" s="10"/>
      <c r="EYK375" s="10"/>
      <c r="EYL375" s="21"/>
      <c r="EYM375" s="21"/>
      <c r="EYP375" s="21"/>
      <c r="EYQ375" s="15"/>
      <c r="EYR375" s="15"/>
      <c r="EYS375" s="15"/>
      <c r="EYT375" s="15"/>
      <c r="EYU375" s="15"/>
      <c r="EYV375" s="15"/>
      <c r="EYW375" s="15"/>
      <c r="EYX375" s="15"/>
      <c r="EYY375" s="15"/>
      <c r="EYZ375" s="15"/>
      <c r="EZA375" s="10"/>
      <c r="EZB375" s="10"/>
      <c r="EZC375" s="21"/>
      <c r="EZD375" s="21"/>
      <c r="EZG375" s="21"/>
      <c r="EZH375" s="15"/>
      <c r="EZI375" s="15"/>
      <c r="EZJ375" s="15"/>
      <c r="EZK375" s="15"/>
      <c r="EZL375" s="15"/>
      <c r="EZM375" s="15"/>
      <c r="EZN375" s="15"/>
      <c r="EZO375" s="15"/>
      <c r="EZP375" s="15"/>
      <c r="EZQ375" s="15"/>
      <c r="EZR375" s="10"/>
      <c r="EZS375" s="10"/>
      <c r="EZT375" s="21"/>
      <c r="EZU375" s="21"/>
      <c r="EZX375" s="21"/>
      <c r="EZY375" s="15"/>
      <c r="EZZ375" s="15"/>
      <c r="FAA375" s="15"/>
      <c r="FAB375" s="15"/>
      <c r="FAC375" s="15"/>
      <c r="FAD375" s="15"/>
      <c r="FAE375" s="15"/>
      <c r="FAF375" s="15"/>
      <c r="FAG375" s="15"/>
      <c r="FAH375" s="15"/>
      <c r="FAI375" s="10"/>
      <c r="FAJ375" s="10"/>
      <c r="FAK375" s="21"/>
      <c r="FAL375" s="21"/>
      <c r="FAO375" s="21"/>
      <c r="FAP375" s="15"/>
      <c r="FAQ375" s="15"/>
      <c r="FAR375" s="15"/>
      <c r="FAS375" s="15"/>
      <c r="FAT375" s="15"/>
      <c r="FAU375" s="15"/>
      <c r="FAV375" s="15"/>
      <c r="FAW375" s="15"/>
      <c r="FAX375" s="15"/>
      <c r="FAY375" s="15"/>
      <c r="FAZ375" s="10"/>
      <c r="FBA375" s="10"/>
      <c r="FBB375" s="21"/>
      <c r="FBC375" s="21"/>
      <c r="FBF375" s="21"/>
      <c r="FBG375" s="15"/>
      <c r="FBH375" s="15"/>
      <c r="FBI375" s="15"/>
      <c r="FBJ375" s="15"/>
      <c r="FBK375" s="15"/>
      <c r="FBL375" s="15"/>
      <c r="FBM375" s="15"/>
      <c r="FBN375" s="15"/>
      <c r="FBO375" s="15"/>
      <c r="FBP375" s="15"/>
      <c r="FBQ375" s="10"/>
      <c r="FBR375" s="10"/>
      <c r="FBS375" s="21"/>
      <c r="FBT375" s="21"/>
      <c r="FBW375" s="21"/>
      <c r="FBX375" s="15"/>
      <c r="FBY375" s="15"/>
      <c r="FBZ375" s="15"/>
      <c r="FCA375" s="15"/>
      <c r="FCB375" s="15"/>
      <c r="FCC375" s="15"/>
      <c r="FCD375" s="15"/>
      <c r="FCE375" s="15"/>
      <c r="FCF375" s="15"/>
      <c r="FCG375" s="15"/>
      <c r="FCH375" s="10"/>
      <c r="FCI375" s="10"/>
      <c r="FCJ375" s="21"/>
      <c r="FCK375" s="21"/>
      <c r="FCN375" s="21"/>
      <c r="FCO375" s="15"/>
      <c r="FCP375" s="15"/>
      <c r="FCQ375" s="15"/>
      <c r="FCR375" s="15"/>
      <c r="FCS375" s="15"/>
      <c r="FCT375" s="15"/>
      <c r="FCU375" s="15"/>
      <c r="FCV375" s="15"/>
      <c r="FCW375" s="15"/>
      <c r="FCX375" s="15"/>
      <c r="FCY375" s="10"/>
      <c r="FCZ375" s="10"/>
      <c r="FDA375" s="21"/>
      <c r="FDB375" s="21"/>
      <c r="FDE375" s="21"/>
      <c r="FDF375" s="15"/>
      <c r="FDG375" s="15"/>
      <c r="FDH375" s="15"/>
      <c r="FDI375" s="15"/>
      <c r="FDJ375" s="15"/>
      <c r="FDK375" s="15"/>
      <c r="FDL375" s="15"/>
      <c r="FDM375" s="15"/>
      <c r="FDN375" s="15"/>
      <c r="FDO375" s="15"/>
      <c r="FDP375" s="10"/>
      <c r="FDQ375" s="10"/>
      <c r="FDR375" s="21"/>
      <c r="FDS375" s="21"/>
      <c r="FDV375" s="21"/>
      <c r="FDW375" s="15"/>
      <c r="FDX375" s="15"/>
      <c r="FDY375" s="15"/>
      <c r="FDZ375" s="15"/>
      <c r="FEA375" s="15"/>
      <c r="FEB375" s="15"/>
      <c r="FEC375" s="15"/>
      <c r="FED375" s="15"/>
      <c r="FEE375" s="15"/>
      <c r="FEF375" s="15"/>
      <c r="FEG375" s="10"/>
      <c r="FEH375" s="10"/>
      <c r="FEI375" s="21"/>
      <c r="FEJ375" s="21"/>
      <c r="FEM375" s="21"/>
      <c r="FEN375" s="15"/>
      <c r="FEO375" s="15"/>
      <c r="FEP375" s="15"/>
      <c r="FEQ375" s="15"/>
      <c r="FER375" s="15"/>
      <c r="FES375" s="15"/>
      <c r="FET375" s="15"/>
      <c r="FEU375" s="15"/>
      <c r="FEV375" s="15"/>
      <c r="FEW375" s="15"/>
      <c r="FEX375" s="10"/>
      <c r="FEY375" s="10"/>
      <c r="FEZ375" s="21"/>
      <c r="FFA375" s="21"/>
      <c r="FFD375" s="21"/>
      <c r="FFE375" s="15"/>
      <c r="FFF375" s="15"/>
      <c r="FFG375" s="15"/>
      <c r="FFH375" s="15"/>
      <c r="FFI375" s="15"/>
      <c r="FFJ375" s="15"/>
      <c r="FFK375" s="15"/>
      <c r="FFL375" s="15"/>
      <c r="FFM375" s="15"/>
      <c r="FFN375" s="15"/>
      <c r="FFO375" s="10"/>
      <c r="FFP375" s="10"/>
      <c r="FFQ375" s="21"/>
      <c r="FFR375" s="21"/>
      <c r="FFU375" s="21"/>
      <c r="FFV375" s="15"/>
      <c r="FFW375" s="15"/>
      <c r="FFX375" s="15"/>
      <c r="FFY375" s="15"/>
      <c r="FFZ375" s="15"/>
      <c r="FGA375" s="15"/>
      <c r="FGB375" s="15"/>
      <c r="FGC375" s="15"/>
      <c r="FGD375" s="15"/>
      <c r="FGE375" s="15"/>
      <c r="FGF375" s="10"/>
      <c r="FGG375" s="10"/>
      <c r="FGH375" s="21"/>
      <c r="FGI375" s="21"/>
      <c r="FGL375" s="21"/>
      <c r="FGM375" s="15"/>
      <c r="FGN375" s="15"/>
      <c r="FGO375" s="15"/>
      <c r="FGP375" s="15"/>
      <c r="FGQ375" s="15"/>
      <c r="FGR375" s="15"/>
      <c r="FGS375" s="15"/>
      <c r="FGT375" s="15"/>
      <c r="FGU375" s="15"/>
      <c r="FGV375" s="15"/>
      <c r="FGW375" s="10"/>
      <c r="FGX375" s="10"/>
      <c r="FGY375" s="21"/>
      <c r="FGZ375" s="21"/>
      <c r="FHC375" s="21"/>
      <c r="FHD375" s="15"/>
      <c r="FHE375" s="15"/>
      <c r="FHF375" s="15"/>
      <c r="FHG375" s="15"/>
      <c r="FHH375" s="15"/>
      <c r="FHI375" s="15"/>
      <c r="FHJ375" s="15"/>
      <c r="FHK375" s="15"/>
      <c r="FHL375" s="15"/>
      <c r="FHM375" s="15"/>
      <c r="FHN375" s="10"/>
      <c r="FHO375" s="10"/>
      <c r="FHP375" s="21"/>
      <c r="FHQ375" s="21"/>
      <c r="FHT375" s="21"/>
      <c r="FHU375" s="15"/>
      <c r="FHV375" s="15"/>
      <c r="FHW375" s="15"/>
      <c r="FHX375" s="15"/>
      <c r="FHY375" s="15"/>
      <c r="FHZ375" s="15"/>
      <c r="FIA375" s="15"/>
      <c r="FIB375" s="15"/>
      <c r="FIC375" s="15"/>
      <c r="FID375" s="15"/>
      <c r="FIE375" s="10"/>
      <c r="FIF375" s="10"/>
      <c r="FIG375" s="21"/>
      <c r="FIH375" s="21"/>
      <c r="FIK375" s="21"/>
      <c r="FIL375" s="15"/>
      <c r="FIM375" s="15"/>
      <c r="FIN375" s="15"/>
      <c r="FIO375" s="15"/>
      <c r="FIP375" s="15"/>
      <c r="FIQ375" s="15"/>
      <c r="FIR375" s="15"/>
      <c r="FIS375" s="15"/>
      <c r="FIT375" s="15"/>
      <c r="FIU375" s="15"/>
      <c r="FIV375" s="10"/>
      <c r="FIW375" s="10"/>
      <c r="FIX375" s="21"/>
      <c r="FIY375" s="21"/>
      <c r="FJB375" s="21"/>
      <c r="FJC375" s="15"/>
      <c r="FJD375" s="15"/>
      <c r="FJE375" s="15"/>
      <c r="FJF375" s="15"/>
      <c r="FJG375" s="15"/>
      <c r="FJH375" s="15"/>
      <c r="FJI375" s="15"/>
      <c r="FJJ375" s="15"/>
      <c r="FJK375" s="15"/>
      <c r="FJL375" s="15"/>
      <c r="FJM375" s="10"/>
      <c r="FJN375" s="10"/>
      <c r="FJO375" s="21"/>
      <c r="FJP375" s="21"/>
      <c r="FJS375" s="21"/>
      <c r="FJT375" s="15"/>
      <c r="FJU375" s="15"/>
      <c r="FJV375" s="15"/>
      <c r="FJW375" s="15"/>
      <c r="FJX375" s="15"/>
      <c r="FJY375" s="15"/>
      <c r="FJZ375" s="15"/>
      <c r="FKA375" s="15"/>
      <c r="FKB375" s="15"/>
      <c r="FKC375" s="15"/>
      <c r="FKD375" s="10"/>
      <c r="FKE375" s="10"/>
      <c r="FKF375" s="21"/>
      <c r="FKG375" s="21"/>
      <c r="FKJ375" s="21"/>
      <c r="FKK375" s="15"/>
      <c r="FKL375" s="15"/>
      <c r="FKM375" s="15"/>
      <c r="FKN375" s="15"/>
      <c r="FKO375" s="15"/>
      <c r="FKP375" s="15"/>
      <c r="FKQ375" s="15"/>
      <c r="FKR375" s="15"/>
      <c r="FKS375" s="15"/>
      <c r="FKT375" s="15"/>
      <c r="FKU375" s="10"/>
      <c r="FKV375" s="10"/>
      <c r="FKW375" s="21"/>
      <c r="FKX375" s="21"/>
      <c r="FLA375" s="21"/>
      <c r="FLB375" s="15"/>
      <c r="FLC375" s="15"/>
      <c r="FLD375" s="15"/>
      <c r="FLE375" s="15"/>
      <c r="FLF375" s="15"/>
      <c r="FLG375" s="15"/>
      <c r="FLH375" s="15"/>
      <c r="FLI375" s="15"/>
      <c r="FLJ375" s="15"/>
      <c r="FLK375" s="15"/>
      <c r="FLL375" s="10"/>
      <c r="FLM375" s="10"/>
      <c r="FLN375" s="21"/>
      <c r="FLO375" s="21"/>
      <c r="FLR375" s="21"/>
      <c r="FLS375" s="15"/>
      <c r="FLT375" s="15"/>
      <c r="FLU375" s="15"/>
      <c r="FLV375" s="15"/>
      <c r="FLW375" s="15"/>
      <c r="FLX375" s="15"/>
      <c r="FLY375" s="15"/>
      <c r="FLZ375" s="15"/>
      <c r="FMA375" s="15"/>
      <c r="FMB375" s="15"/>
      <c r="FMC375" s="10"/>
      <c r="FMD375" s="10"/>
      <c r="FME375" s="21"/>
      <c r="FMF375" s="21"/>
      <c r="FMI375" s="21"/>
      <c r="FMJ375" s="15"/>
      <c r="FMK375" s="15"/>
      <c r="FML375" s="15"/>
      <c r="FMM375" s="15"/>
      <c r="FMN375" s="15"/>
      <c r="FMO375" s="15"/>
      <c r="FMP375" s="15"/>
      <c r="FMQ375" s="15"/>
      <c r="FMR375" s="15"/>
      <c r="FMS375" s="15"/>
      <c r="FMT375" s="10"/>
      <c r="FMU375" s="10"/>
      <c r="FMV375" s="21"/>
      <c r="FMW375" s="21"/>
      <c r="FMZ375" s="21"/>
      <c r="FNA375" s="15"/>
      <c r="FNB375" s="15"/>
      <c r="FNC375" s="15"/>
      <c r="FND375" s="15"/>
      <c r="FNE375" s="15"/>
      <c r="FNF375" s="15"/>
      <c r="FNG375" s="15"/>
      <c r="FNH375" s="15"/>
      <c r="FNI375" s="15"/>
      <c r="FNJ375" s="15"/>
      <c r="FNK375" s="10"/>
      <c r="FNL375" s="10"/>
      <c r="FNM375" s="21"/>
      <c r="FNN375" s="21"/>
      <c r="FNQ375" s="21"/>
      <c r="FNR375" s="15"/>
      <c r="FNS375" s="15"/>
      <c r="FNT375" s="15"/>
      <c r="FNU375" s="15"/>
      <c r="FNV375" s="15"/>
      <c r="FNW375" s="15"/>
      <c r="FNX375" s="15"/>
      <c r="FNY375" s="15"/>
      <c r="FNZ375" s="15"/>
      <c r="FOA375" s="15"/>
      <c r="FOB375" s="10"/>
      <c r="FOC375" s="10"/>
      <c r="FOD375" s="21"/>
      <c r="FOE375" s="21"/>
      <c r="FOH375" s="21"/>
      <c r="FOI375" s="15"/>
      <c r="FOJ375" s="15"/>
      <c r="FOK375" s="15"/>
      <c r="FOL375" s="15"/>
      <c r="FOM375" s="15"/>
      <c r="FON375" s="15"/>
      <c r="FOO375" s="15"/>
      <c r="FOP375" s="15"/>
      <c r="FOQ375" s="15"/>
      <c r="FOR375" s="15"/>
      <c r="FOS375" s="10"/>
      <c r="FOT375" s="10"/>
      <c r="FOU375" s="21"/>
      <c r="FOV375" s="21"/>
      <c r="FOY375" s="21"/>
      <c r="FOZ375" s="15"/>
      <c r="FPA375" s="15"/>
      <c r="FPB375" s="15"/>
      <c r="FPC375" s="15"/>
      <c r="FPD375" s="15"/>
      <c r="FPE375" s="15"/>
      <c r="FPF375" s="15"/>
      <c r="FPG375" s="15"/>
      <c r="FPH375" s="15"/>
      <c r="FPI375" s="15"/>
      <c r="FPJ375" s="10"/>
      <c r="FPK375" s="10"/>
      <c r="FPL375" s="21"/>
      <c r="FPM375" s="21"/>
      <c r="FPP375" s="21"/>
      <c r="FPQ375" s="15"/>
      <c r="FPR375" s="15"/>
      <c r="FPS375" s="15"/>
      <c r="FPT375" s="15"/>
      <c r="FPU375" s="15"/>
      <c r="FPV375" s="15"/>
      <c r="FPW375" s="15"/>
      <c r="FPX375" s="15"/>
      <c r="FPY375" s="15"/>
      <c r="FPZ375" s="15"/>
      <c r="FQA375" s="10"/>
      <c r="FQB375" s="10"/>
      <c r="FQC375" s="21"/>
      <c r="FQD375" s="21"/>
      <c r="FQG375" s="21"/>
      <c r="FQH375" s="15"/>
      <c r="FQI375" s="15"/>
      <c r="FQJ375" s="15"/>
      <c r="FQK375" s="15"/>
      <c r="FQL375" s="15"/>
      <c r="FQM375" s="15"/>
      <c r="FQN375" s="15"/>
      <c r="FQO375" s="15"/>
      <c r="FQP375" s="15"/>
      <c r="FQQ375" s="15"/>
      <c r="FQR375" s="10"/>
      <c r="FQS375" s="10"/>
      <c r="FQT375" s="21"/>
      <c r="FQU375" s="21"/>
      <c r="FQX375" s="21"/>
      <c r="FQY375" s="15"/>
      <c r="FQZ375" s="15"/>
      <c r="FRA375" s="15"/>
      <c r="FRB375" s="15"/>
      <c r="FRC375" s="15"/>
      <c r="FRD375" s="15"/>
      <c r="FRE375" s="15"/>
      <c r="FRF375" s="15"/>
      <c r="FRG375" s="15"/>
      <c r="FRH375" s="15"/>
      <c r="FRI375" s="10"/>
      <c r="FRJ375" s="10"/>
      <c r="FRK375" s="21"/>
      <c r="FRL375" s="21"/>
      <c r="FRO375" s="21"/>
      <c r="FRP375" s="15"/>
      <c r="FRQ375" s="15"/>
      <c r="FRR375" s="15"/>
      <c r="FRS375" s="15"/>
      <c r="FRT375" s="15"/>
      <c r="FRU375" s="15"/>
      <c r="FRV375" s="15"/>
      <c r="FRW375" s="15"/>
      <c r="FRX375" s="15"/>
      <c r="FRY375" s="15"/>
      <c r="FRZ375" s="10"/>
      <c r="FSA375" s="10"/>
      <c r="FSB375" s="21"/>
      <c r="FSC375" s="21"/>
      <c r="FSF375" s="21"/>
      <c r="FSG375" s="15"/>
      <c r="FSH375" s="15"/>
      <c r="FSI375" s="15"/>
      <c r="FSJ375" s="15"/>
      <c r="FSK375" s="15"/>
      <c r="FSL375" s="15"/>
      <c r="FSM375" s="15"/>
      <c r="FSN375" s="15"/>
      <c r="FSO375" s="15"/>
      <c r="FSP375" s="15"/>
      <c r="FSQ375" s="10"/>
      <c r="FSR375" s="10"/>
      <c r="FSS375" s="21"/>
      <c r="FST375" s="21"/>
      <c r="FSW375" s="21"/>
      <c r="FSX375" s="15"/>
      <c r="FSY375" s="15"/>
      <c r="FSZ375" s="15"/>
      <c r="FTA375" s="15"/>
      <c r="FTB375" s="15"/>
      <c r="FTC375" s="15"/>
      <c r="FTD375" s="15"/>
      <c r="FTE375" s="15"/>
      <c r="FTF375" s="15"/>
      <c r="FTG375" s="15"/>
      <c r="FTH375" s="10"/>
      <c r="FTI375" s="10"/>
      <c r="FTJ375" s="21"/>
      <c r="FTK375" s="21"/>
      <c r="FTN375" s="21"/>
      <c r="FTO375" s="15"/>
      <c r="FTP375" s="15"/>
      <c r="FTQ375" s="15"/>
      <c r="FTR375" s="15"/>
      <c r="FTS375" s="15"/>
      <c r="FTT375" s="15"/>
      <c r="FTU375" s="15"/>
      <c r="FTV375" s="15"/>
      <c r="FTW375" s="15"/>
      <c r="FTX375" s="15"/>
      <c r="FTY375" s="10"/>
      <c r="FTZ375" s="10"/>
      <c r="FUA375" s="21"/>
      <c r="FUB375" s="21"/>
      <c r="FUE375" s="21"/>
      <c r="FUF375" s="15"/>
      <c r="FUG375" s="15"/>
      <c r="FUH375" s="15"/>
      <c r="FUI375" s="15"/>
      <c r="FUJ375" s="15"/>
      <c r="FUK375" s="15"/>
      <c r="FUL375" s="15"/>
      <c r="FUM375" s="15"/>
      <c r="FUN375" s="15"/>
      <c r="FUO375" s="15"/>
      <c r="FUP375" s="10"/>
      <c r="FUQ375" s="10"/>
      <c r="FUR375" s="21"/>
      <c r="FUS375" s="21"/>
      <c r="FUV375" s="21"/>
      <c r="FUW375" s="15"/>
      <c r="FUX375" s="15"/>
      <c r="FUY375" s="15"/>
      <c r="FUZ375" s="15"/>
      <c r="FVA375" s="15"/>
      <c r="FVB375" s="15"/>
      <c r="FVC375" s="15"/>
      <c r="FVD375" s="15"/>
      <c r="FVE375" s="15"/>
      <c r="FVF375" s="15"/>
      <c r="FVG375" s="10"/>
      <c r="FVH375" s="10"/>
      <c r="FVI375" s="21"/>
      <c r="FVJ375" s="21"/>
      <c r="FVM375" s="21"/>
      <c r="FVN375" s="15"/>
      <c r="FVO375" s="15"/>
      <c r="FVP375" s="15"/>
      <c r="FVQ375" s="15"/>
      <c r="FVR375" s="15"/>
      <c r="FVS375" s="15"/>
      <c r="FVT375" s="15"/>
      <c r="FVU375" s="15"/>
      <c r="FVV375" s="15"/>
      <c r="FVW375" s="15"/>
      <c r="FVX375" s="10"/>
      <c r="FVY375" s="10"/>
      <c r="FVZ375" s="21"/>
      <c r="FWA375" s="21"/>
      <c r="FWD375" s="21"/>
      <c r="FWE375" s="15"/>
      <c r="FWF375" s="15"/>
      <c r="FWG375" s="15"/>
      <c r="FWH375" s="15"/>
      <c r="FWI375" s="15"/>
      <c r="FWJ375" s="15"/>
      <c r="FWK375" s="15"/>
      <c r="FWL375" s="15"/>
      <c r="FWM375" s="15"/>
      <c r="FWN375" s="15"/>
      <c r="FWO375" s="10"/>
      <c r="FWP375" s="10"/>
      <c r="FWQ375" s="21"/>
      <c r="FWR375" s="21"/>
      <c r="FWU375" s="21"/>
      <c r="FWV375" s="15"/>
      <c r="FWW375" s="15"/>
      <c r="FWX375" s="15"/>
      <c r="FWY375" s="15"/>
      <c r="FWZ375" s="15"/>
      <c r="FXA375" s="15"/>
      <c r="FXB375" s="15"/>
      <c r="FXC375" s="15"/>
      <c r="FXD375" s="15"/>
      <c r="FXE375" s="15"/>
      <c r="FXF375" s="10"/>
      <c r="FXG375" s="10"/>
      <c r="FXH375" s="21"/>
      <c r="FXI375" s="21"/>
      <c r="FXL375" s="21"/>
      <c r="FXM375" s="15"/>
      <c r="FXN375" s="15"/>
      <c r="FXO375" s="15"/>
      <c r="FXP375" s="15"/>
      <c r="FXQ375" s="15"/>
      <c r="FXR375" s="15"/>
      <c r="FXS375" s="15"/>
      <c r="FXT375" s="15"/>
      <c r="FXU375" s="15"/>
      <c r="FXV375" s="15"/>
      <c r="FXW375" s="10"/>
      <c r="FXX375" s="10"/>
      <c r="FXY375" s="21"/>
      <c r="FXZ375" s="21"/>
      <c r="FYC375" s="21"/>
      <c r="FYD375" s="15"/>
      <c r="FYE375" s="15"/>
      <c r="FYF375" s="15"/>
      <c r="FYG375" s="15"/>
      <c r="FYH375" s="15"/>
      <c r="FYI375" s="15"/>
      <c r="FYJ375" s="15"/>
      <c r="FYK375" s="15"/>
      <c r="FYL375" s="15"/>
      <c r="FYM375" s="15"/>
      <c r="FYN375" s="10"/>
      <c r="FYO375" s="10"/>
      <c r="FYP375" s="21"/>
      <c r="FYQ375" s="21"/>
      <c r="FYT375" s="21"/>
      <c r="FYU375" s="15"/>
      <c r="FYV375" s="15"/>
      <c r="FYW375" s="15"/>
      <c r="FYX375" s="15"/>
      <c r="FYY375" s="15"/>
      <c r="FYZ375" s="15"/>
      <c r="FZA375" s="15"/>
      <c r="FZB375" s="15"/>
      <c r="FZC375" s="15"/>
      <c r="FZD375" s="15"/>
      <c r="FZE375" s="10"/>
      <c r="FZF375" s="10"/>
      <c r="FZG375" s="21"/>
      <c r="FZH375" s="21"/>
      <c r="FZK375" s="21"/>
      <c r="FZL375" s="15"/>
      <c r="FZM375" s="15"/>
      <c r="FZN375" s="15"/>
      <c r="FZO375" s="15"/>
      <c r="FZP375" s="15"/>
      <c r="FZQ375" s="15"/>
      <c r="FZR375" s="15"/>
      <c r="FZS375" s="15"/>
      <c r="FZT375" s="15"/>
      <c r="FZU375" s="15"/>
      <c r="FZV375" s="10"/>
      <c r="FZW375" s="10"/>
      <c r="FZX375" s="21"/>
      <c r="FZY375" s="21"/>
      <c r="GAB375" s="21"/>
      <c r="GAC375" s="15"/>
      <c r="GAD375" s="15"/>
      <c r="GAE375" s="15"/>
      <c r="GAF375" s="15"/>
      <c r="GAG375" s="15"/>
      <c r="GAH375" s="15"/>
      <c r="GAI375" s="15"/>
      <c r="GAJ375" s="15"/>
      <c r="GAK375" s="15"/>
      <c r="GAL375" s="15"/>
      <c r="GAM375" s="10"/>
      <c r="GAN375" s="10"/>
      <c r="GAO375" s="21"/>
      <c r="GAP375" s="21"/>
      <c r="GAS375" s="21"/>
      <c r="GAT375" s="15"/>
      <c r="GAU375" s="15"/>
      <c r="GAV375" s="15"/>
      <c r="GAW375" s="15"/>
      <c r="GAX375" s="15"/>
      <c r="GAY375" s="15"/>
      <c r="GAZ375" s="15"/>
      <c r="GBA375" s="15"/>
      <c r="GBB375" s="15"/>
      <c r="GBC375" s="15"/>
      <c r="GBD375" s="10"/>
      <c r="GBE375" s="10"/>
      <c r="GBF375" s="21"/>
      <c r="GBG375" s="21"/>
      <c r="GBJ375" s="21"/>
      <c r="GBK375" s="15"/>
      <c r="GBL375" s="15"/>
      <c r="GBM375" s="15"/>
      <c r="GBN375" s="15"/>
      <c r="GBO375" s="15"/>
      <c r="GBP375" s="15"/>
      <c r="GBQ375" s="15"/>
      <c r="GBR375" s="15"/>
      <c r="GBS375" s="15"/>
      <c r="GBT375" s="15"/>
      <c r="GBU375" s="10"/>
      <c r="GBV375" s="10"/>
      <c r="GBW375" s="21"/>
      <c r="GBX375" s="21"/>
      <c r="GCA375" s="21"/>
      <c r="GCB375" s="15"/>
      <c r="GCC375" s="15"/>
      <c r="GCD375" s="15"/>
      <c r="GCE375" s="15"/>
      <c r="GCF375" s="15"/>
      <c r="GCG375" s="15"/>
      <c r="GCH375" s="15"/>
      <c r="GCI375" s="15"/>
      <c r="GCJ375" s="15"/>
      <c r="GCK375" s="15"/>
      <c r="GCL375" s="10"/>
      <c r="GCM375" s="10"/>
      <c r="GCN375" s="21"/>
      <c r="GCO375" s="21"/>
      <c r="GCR375" s="21"/>
      <c r="GCS375" s="15"/>
      <c r="GCT375" s="15"/>
      <c r="GCU375" s="15"/>
      <c r="GCV375" s="15"/>
      <c r="GCW375" s="15"/>
      <c r="GCX375" s="15"/>
      <c r="GCY375" s="15"/>
      <c r="GCZ375" s="15"/>
      <c r="GDA375" s="15"/>
      <c r="GDB375" s="15"/>
      <c r="GDC375" s="10"/>
      <c r="GDD375" s="10"/>
      <c r="GDE375" s="21"/>
      <c r="GDF375" s="21"/>
      <c r="GDI375" s="21"/>
      <c r="GDJ375" s="15"/>
      <c r="GDK375" s="15"/>
      <c r="GDL375" s="15"/>
      <c r="GDM375" s="15"/>
      <c r="GDN375" s="15"/>
      <c r="GDO375" s="15"/>
      <c r="GDP375" s="15"/>
      <c r="GDQ375" s="15"/>
      <c r="GDR375" s="15"/>
      <c r="GDS375" s="15"/>
      <c r="GDT375" s="10"/>
      <c r="GDU375" s="10"/>
      <c r="GDV375" s="21"/>
      <c r="GDW375" s="21"/>
      <c r="GDZ375" s="21"/>
      <c r="GEA375" s="15"/>
      <c r="GEB375" s="15"/>
      <c r="GEC375" s="15"/>
      <c r="GED375" s="15"/>
      <c r="GEE375" s="15"/>
      <c r="GEF375" s="15"/>
      <c r="GEG375" s="15"/>
      <c r="GEH375" s="15"/>
      <c r="GEI375" s="15"/>
      <c r="GEJ375" s="15"/>
      <c r="GEK375" s="10"/>
      <c r="GEL375" s="10"/>
      <c r="GEM375" s="21"/>
      <c r="GEN375" s="21"/>
      <c r="GEQ375" s="21"/>
      <c r="GER375" s="15"/>
      <c r="GES375" s="15"/>
      <c r="GET375" s="15"/>
      <c r="GEU375" s="15"/>
      <c r="GEV375" s="15"/>
      <c r="GEW375" s="15"/>
      <c r="GEX375" s="15"/>
      <c r="GEY375" s="15"/>
      <c r="GEZ375" s="15"/>
      <c r="GFA375" s="15"/>
      <c r="GFB375" s="10"/>
      <c r="GFC375" s="10"/>
      <c r="GFD375" s="21"/>
      <c r="GFE375" s="21"/>
      <c r="GFH375" s="21"/>
      <c r="GFI375" s="15"/>
      <c r="GFJ375" s="15"/>
      <c r="GFK375" s="15"/>
      <c r="GFL375" s="15"/>
      <c r="GFM375" s="15"/>
      <c r="GFN375" s="15"/>
      <c r="GFO375" s="15"/>
      <c r="GFP375" s="15"/>
      <c r="GFQ375" s="15"/>
      <c r="GFR375" s="15"/>
      <c r="GFS375" s="10"/>
      <c r="GFT375" s="10"/>
      <c r="GFU375" s="21"/>
      <c r="GFV375" s="21"/>
      <c r="GFY375" s="21"/>
      <c r="GFZ375" s="15"/>
      <c r="GGA375" s="15"/>
      <c r="GGB375" s="15"/>
      <c r="GGC375" s="15"/>
      <c r="GGD375" s="15"/>
      <c r="GGE375" s="15"/>
      <c r="GGF375" s="15"/>
      <c r="GGG375" s="15"/>
      <c r="GGH375" s="15"/>
      <c r="GGI375" s="15"/>
      <c r="GGJ375" s="10"/>
      <c r="GGK375" s="10"/>
      <c r="GGL375" s="21"/>
      <c r="GGM375" s="21"/>
      <c r="GGP375" s="21"/>
      <c r="GGQ375" s="15"/>
      <c r="GGR375" s="15"/>
      <c r="GGS375" s="15"/>
      <c r="GGT375" s="15"/>
      <c r="GGU375" s="15"/>
      <c r="GGV375" s="15"/>
      <c r="GGW375" s="15"/>
      <c r="GGX375" s="15"/>
      <c r="GGY375" s="15"/>
      <c r="GGZ375" s="15"/>
      <c r="GHA375" s="10"/>
      <c r="GHB375" s="10"/>
      <c r="GHC375" s="21"/>
      <c r="GHD375" s="21"/>
      <c r="GHG375" s="21"/>
      <c r="GHH375" s="15"/>
      <c r="GHI375" s="15"/>
      <c r="GHJ375" s="15"/>
      <c r="GHK375" s="15"/>
      <c r="GHL375" s="15"/>
      <c r="GHM375" s="15"/>
      <c r="GHN375" s="15"/>
      <c r="GHO375" s="15"/>
      <c r="GHP375" s="15"/>
      <c r="GHQ375" s="15"/>
      <c r="GHR375" s="10"/>
      <c r="GHS375" s="10"/>
      <c r="GHT375" s="21"/>
      <c r="GHU375" s="21"/>
      <c r="GHX375" s="21"/>
      <c r="GHY375" s="15"/>
      <c r="GHZ375" s="15"/>
      <c r="GIA375" s="15"/>
      <c r="GIB375" s="15"/>
      <c r="GIC375" s="15"/>
      <c r="GID375" s="15"/>
      <c r="GIE375" s="15"/>
      <c r="GIF375" s="15"/>
      <c r="GIG375" s="15"/>
      <c r="GIH375" s="15"/>
      <c r="GII375" s="10"/>
      <c r="GIJ375" s="10"/>
      <c r="GIK375" s="21"/>
      <c r="GIL375" s="21"/>
      <c r="GIO375" s="21"/>
      <c r="GIP375" s="15"/>
      <c r="GIQ375" s="15"/>
      <c r="GIR375" s="15"/>
      <c r="GIS375" s="15"/>
      <c r="GIT375" s="15"/>
      <c r="GIU375" s="15"/>
      <c r="GIV375" s="15"/>
      <c r="GIW375" s="15"/>
      <c r="GIX375" s="15"/>
      <c r="GIY375" s="15"/>
      <c r="GIZ375" s="10"/>
      <c r="GJA375" s="10"/>
      <c r="GJB375" s="21"/>
      <c r="GJC375" s="21"/>
      <c r="GJF375" s="21"/>
      <c r="GJG375" s="15"/>
      <c r="GJH375" s="15"/>
      <c r="GJI375" s="15"/>
      <c r="GJJ375" s="15"/>
      <c r="GJK375" s="15"/>
      <c r="GJL375" s="15"/>
      <c r="GJM375" s="15"/>
      <c r="GJN375" s="15"/>
      <c r="GJO375" s="15"/>
      <c r="GJP375" s="15"/>
      <c r="GJQ375" s="10"/>
      <c r="GJR375" s="10"/>
      <c r="GJS375" s="21"/>
      <c r="GJT375" s="21"/>
      <c r="GJW375" s="21"/>
      <c r="GJX375" s="15"/>
      <c r="GJY375" s="15"/>
      <c r="GJZ375" s="15"/>
      <c r="GKA375" s="15"/>
      <c r="GKB375" s="15"/>
      <c r="GKC375" s="15"/>
      <c r="GKD375" s="15"/>
      <c r="GKE375" s="15"/>
      <c r="GKF375" s="15"/>
      <c r="GKG375" s="15"/>
      <c r="GKH375" s="10"/>
      <c r="GKI375" s="10"/>
      <c r="GKJ375" s="21"/>
      <c r="GKK375" s="21"/>
      <c r="GKN375" s="21"/>
      <c r="GKO375" s="15"/>
      <c r="GKP375" s="15"/>
      <c r="GKQ375" s="15"/>
      <c r="GKR375" s="15"/>
      <c r="GKS375" s="15"/>
      <c r="GKT375" s="15"/>
      <c r="GKU375" s="15"/>
      <c r="GKV375" s="15"/>
      <c r="GKW375" s="15"/>
      <c r="GKX375" s="15"/>
      <c r="GKY375" s="10"/>
      <c r="GKZ375" s="10"/>
      <c r="GLA375" s="21"/>
      <c r="GLB375" s="21"/>
      <c r="GLE375" s="21"/>
      <c r="GLF375" s="15"/>
      <c r="GLG375" s="15"/>
      <c r="GLH375" s="15"/>
      <c r="GLI375" s="15"/>
      <c r="GLJ375" s="15"/>
      <c r="GLK375" s="15"/>
      <c r="GLL375" s="15"/>
      <c r="GLM375" s="15"/>
      <c r="GLN375" s="15"/>
      <c r="GLO375" s="15"/>
      <c r="GLP375" s="10"/>
      <c r="GLQ375" s="10"/>
      <c r="GLR375" s="21"/>
      <c r="GLS375" s="21"/>
      <c r="GLV375" s="21"/>
      <c r="GLW375" s="15"/>
      <c r="GLX375" s="15"/>
      <c r="GLY375" s="15"/>
      <c r="GLZ375" s="15"/>
      <c r="GMA375" s="15"/>
      <c r="GMB375" s="15"/>
      <c r="GMC375" s="15"/>
      <c r="GMD375" s="15"/>
      <c r="GME375" s="15"/>
      <c r="GMF375" s="15"/>
      <c r="GMG375" s="10"/>
      <c r="GMH375" s="10"/>
      <c r="GMI375" s="21"/>
      <c r="GMJ375" s="21"/>
      <c r="GMM375" s="21"/>
      <c r="GMN375" s="15"/>
      <c r="GMO375" s="15"/>
      <c r="GMP375" s="15"/>
      <c r="GMQ375" s="15"/>
      <c r="GMR375" s="15"/>
      <c r="GMS375" s="15"/>
      <c r="GMT375" s="15"/>
      <c r="GMU375" s="15"/>
      <c r="GMV375" s="15"/>
      <c r="GMW375" s="15"/>
      <c r="GMX375" s="10"/>
      <c r="GMY375" s="10"/>
      <c r="GMZ375" s="21"/>
      <c r="GNA375" s="21"/>
      <c r="GND375" s="21"/>
      <c r="GNE375" s="15"/>
      <c r="GNF375" s="15"/>
      <c r="GNG375" s="15"/>
      <c r="GNH375" s="15"/>
      <c r="GNI375" s="15"/>
      <c r="GNJ375" s="15"/>
      <c r="GNK375" s="15"/>
      <c r="GNL375" s="15"/>
      <c r="GNM375" s="15"/>
      <c r="GNN375" s="15"/>
      <c r="GNO375" s="10"/>
      <c r="GNP375" s="10"/>
      <c r="GNQ375" s="21"/>
      <c r="GNR375" s="21"/>
      <c r="GNU375" s="21"/>
      <c r="GNV375" s="15"/>
      <c r="GNW375" s="15"/>
      <c r="GNX375" s="15"/>
      <c r="GNY375" s="15"/>
      <c r="GNZ375" s="15"/>
      <c r="GOA375" s="15"/>
      <c r="GOB375" s="15"/>
      <c r="GOC375" s="15"/>
      <c r="GOD375" s="15"/>
      <c r="GOE375" s="15"/>
      <c r="GOF375" s="10"/>
      <c r="GOG375" s="10"/>
      <c r="GOH375" s="21"/>
      <c r="GOI375" s="21"/>
      <c r="GOL375" s="21"/>
      <c r="GOM375" s="15"/>
      <c r="GON375" s="15"/>
      <c r="GOO375" s="15"/>
      <c r="GOP375" s="15"/>
      <c r="GOQ375" s="15"/>
      <c r="GOR375" s="15"/>
      <c r="GOS375" s="15"/>
      <c r="GOT375" s="15"/>
      <c r="GOU375" s="15"/>
      <c r="GOV375" s="15"/>
      <c r="GOW375" s="10"/>
      <c r="GOX375" s="10"/>
      <c r="GOY375" s="21"/>
      <c r="GOZ375" s="21"/>
      <c r="GPC375" s="21"/>
      <c r="GPD375" s="15"/>
      <c r="GPE375" s="15"/>
      <c r="GPF375" s="15"/>
      <c r="GPG375" s="15"/>
      <c r="GPH375" s="15"/>
      <c r="GPI375" s="15"/>
      <c r="GPJ375" s="15"/>
      <c r="GPK375" s="15"/>
      <c r="GPL375" s="15"/>
      <c r="GPM375" s="15"/>
      <c r="GPN375" s="10"/>
      <c r="GPO375" s="10"/>
      <c r="GPP375" s="21"/>
      <c r="GPQ375" s="21"/>
      <c r="GPT375" s="21"/>
      <c r="GPU375" s="15"/>
      <c r="GPV375" s="15"/>
      <c r="GPW375" s="15"/>
      <c r="GPX375" s="15"/>
      <c r="GPY375" s="15"/>
      <c r="GPZ375" s="15"/>
      <c r="GQA375" s="15"/>
      <c r="GQB375" s="15"/>
      <c r="GQC375" s="15"/>
      <c r="GQD375" s="15"/>
      <c r="GQE375" s="10"/>
      <c r="GQF375" s="10"/>
      <c r="GQG375" s="21"/>
      <c r="GQH375" s="21"/>
      <c r="GQK375" s="21"/>
      <c r="GQL375" s="15"/>
      <c r="GQM375" s="15"/>
      <c r="GQN375" s="15"/>
      <c r="GQO375" s="15"/>
      <c r="GQP375" s="15"/>
      <c r="GQQ375" s="15"/>
      <c r="GQR375" s="15"/>
      <c r="GQS375" s="15"/>
      <c r="GQT375" s="15"/>
      <c r="GQU375" s="15"/>
      <c r="GQV375" s="10"/>
      <c r="GQW375" s="10"/>
      <c r="GQX375" s="21"/>
      <c r="GQY375" s="21"/>
      <c r="GRB375" s="21"/>
      <c r="GRC375" s="15"/>
      <c r="GRD375" s="15"/>
      <c r="GRE375" s="15"/>
      <c r="GRF375" s="15"/>
      <c r="GRG375" s="15"/>
      <c r="GRH375" s="15"/>
      <c r="GRI375" s="15"/>
      <c r="GRJ375" s="15"/>
      <c r="GRK375" s="15"/>
      <c r="GRL375" s="15"/>
      <c r="GRM375" s="10"/>
      <c r="GRN375" s="10"/>
      <c r="GRO375" s="21"/>
      <c r="GRP375" s="21"/>
      <c r="GRS375" s="21"/>
      <c r="GRT375" s="15"/>
      <c r="GRU375" s="15"/>
      <c r="GRV375" s="15"/>
      <c r="GRW375" s="15"/>
      <c r="GRX375" s="15"/>
      <c r="GRY375" s="15"/>
      <c r="GRZ375" s="15"/>
      <c r="GSA375" s="15"/>
      <c r="GSB375" s="15"/>
      <c r="GSC375" s="15"/>
      <c r="GSD375" s="10"/>
      <c r="GSE375" s="10"/>
      <c r="GSF375" s="21"/>
      <c r="GSG375" s="21"/>
      <c r="GSJ375" s="21"/>
      <c r="GSK375" s="15"/>
      <c r="GSL375" s="15"/>
      <c r="GSM375" s="15"/>
      <c r="GSN375" s="15"/>
      <c r="GSO375" s="15"/>
      <c r="GSP375" s="15"/>
      <c r="GSQ375" s="15"/>
      <c r="GSR375" s="15"/>
      <c r="GSS375" s="15"/>
      <c r="GST375" s="15"/>
      <c r="GSU375" s="10"/>
      <c r="GSV375" s="10"/>
      <c r="GSW375" s="21"/>
      <c r="GSX375" s="21"/>
      <c r="GTA375" s="21"/>
      <c r="GTB375" s="15"/>
      <c r="GTC375" s="15"/>
      <c r="GTD375" s="15"/>
      <c r="GTE375" s="15"/>
      <c r="GTF375" s="15"/>
      <c r="GTG375" s="15"/>
      <c r="GTH375" s="15"/>
      <c r="GTI375" s="15"/>
      <c r="GTJ375" s="15"/>
      <c r="GTK375" s="15"/>
      <c r="GTL375" s="10"/>
      <c r="GTM375" s="10"/>
      <c r="GTN375" s="21"/>
      <c r="GTO375" s="21"/>
      <c r="GTR375" s="21"/>
      <c r="GTS375" s="15"/>
      <c r="GTT375" s="15"/>
      <c r="GTU375" s="15"/>
      <c r="GTV375" s="15"/>
      <c r="GTW375" s="15"/>
      <c r="GTX375" s="15"/>
      <c r="GTY375" s="15"/>
      <c r="GTZ375" s="15"/>
      <c r="GUA375" s="15"/>
      <c r="GUB375" s="15"/>
      <c r="GUC375" s="10"/>
      <c r="GUD375" s="10"/>
      <c r="GUE375" s="21"/>
      <c r="GUF375" s="21"/>
      <c r="GUI375" s="21"/>
      <c r="GUJ375" s="15"/>
      <c r="GUK375" s="15"/>
      <c r="GUL375" s="15"/>
      <c r="GUM375" s="15"/>
      <c r="GUN375" s="15"/>
      <c r="GUO375" s="15"/>
      <c r="GUP375" s="15"/>
      <c r="GUQ375" s="15"/>
      <c r="GUR375" s="15"/>
      <c r="GUS375" s="15"/>
      <c r="GUT375" s="10"/>
      <c r="GUU375" s="10"/>
      <c r="GUV375" s="21"/>
      <c r="GUW375" s="21"/>
      <c r="GUZ375" s="21"/>
      <c r="GVA375" s="15"/>
      <c r="GVB375" s="15"/>
      <c r="GVC375" s="15"/>
      <c r="GVD375" s="15"/>
      <c r="GVE375" s="15"/>
      <c r="GVF375" s="15"/>
      <c r="GVG375" s="15"/>
      <c r="GVH375" s="15"/>
      <c r="GVI375" s="15"/>
      <c r="GVJ375" s="15"/>
      <c r="GVK375" s="10"/>
      <c r="GVL375" s="10"/>
      <c r="GVM375" s="21"/>
      <c r="GVN375" s="21"/>
      <c r="GVQ375" s="21"/>
      <c r="GVR375" s="15"/>
      <c r="GVS375" s="15"/>
      <c r="GVT375" s="15"/>
      <c r="GVU375" s="15"/>
      <c r="GVV375" s="15"/>
      <c r="GVW375" s="15"/>
      <c r="GVX375" s="15"/>
      <c r="GVY375" s="15"/>
      <c r="GVZ375" s="15"/>
      <c r="GWA375" s="15"/>
      <c r="GWB375" s="10"/>
      <c r="GWC375" s="10"/>
      <c r="GWD375" s="21"/>
      <c r="GWE375" s="21"/>
      <c r="GWH375" s="21"/>
      <c r="GWI375" s="15"/>
      <c r="GWJ375" s="15"/>
      <c r="GWK375" s="15"/>
      <c r="GWL375" s="15"/>
      <c r="GWM375" s="15"/>
      <c r="GWN375" s="15"/>
      <c r="GWO375" s="15"/>
      <c r="GWP375" s="15"/>
      <c r="GWQ375" s="15"/>
      <c r="GWR375" s="15"/>
      <c r="GWS375" s="10"/>
      <c r="GWT375" s="10"/>
      <c r="GWU375" s="21"/>
      <c r="GWV375" s="21"/>
      <c r="GWY375" s="21"/>
      <c r="GWZ375" s="15"/>
      <c r="GXA375" s="15"/>
      <c r="GXB375" s="15"/>
      <c r="GXC375" s="15"/>
      <c r="GXD375" s="15"/>
      <c r="GXE375" s="15"/>
      <c r="GXF375" s="15"/>
      <c r="GXG375" s="15"/>
      <c r="GXH375" s="15"/>
      <c r="GXI375" s="15"/>
      <c r="GXJ375" s="10"/>
      <c r="GXK375" s="10"/>
      <c r="GXL375" s="21"/>
      <c r="GXM375" s="21"/>
      <c r="GXP375" s="21"/>
      <c r="GXQ375" s="15"/>
      <c r="GXR375" s="15"/>
      <c r="GXS375" s="15"/>
      <c r="GXT375" s="15"/>
      <c r="GXU375" s="15"/>
      <c r="GXV375" s="15"/>
      <c r="GXW375" s="15"/>
      <c r="GXX375" s="15"/>
      <c r="GXY375" s="15"/>
      <c r="GXZ375" s="15"/>
      <c r="GYA375" s="10"/>
      <c r="GYB375" s="10"/>
      <c r="GYC375" s="21"/>
      <c r="GYD375" s="21"/>
      <c r="GYG375" s="21"/>
      <c r="GYH375" s="15"/>
      <c r="GYI375" s="15"/>
      <c r="GYJ375" s="15"/>
      <c r="GYK375" s="15"/>
      <c r="GYL375" s="15"/>
      <c r="GYM375" s="15"/>
      <c r="GYN375" s="15"/>
      <c r="GYO375" s="15"/>
      <c r="GYP375" s="15"/>
      <c r="GYQ375" s="15"/>
      <c r="GYR375" s="10"/>
      <c r="GYS375" s="10"/>
      <c r="GYT375" s="21"/>
      <c r="GYU375" s="21"/>
      <c r="GYX375" s="21"/>
      <c r="GYY375" s="15"/>
      <c r="GYZ375" s="15"/>
      <c r="GZA375" s="15"/>
      <c r="GZB375" s="15"/>
      <c r="GZC375" s="15"/>
      <c r="GZD375" s="15"/>
      <c r="GZE375" s="15"/>
      <c r="GZF375" s="15"/>
      <c r="GZG375" s="15"/>
      <c r="GZH375" s="15"/>
      <c r="GZI375" s="10"/>
      <c r="GZJ375" s="10"/>
      <c r="GZK375" s="21"/>
      <c r="GZL375" s="21"/>
      <c r="GZO375" s="21"/>
      <c r="GZP375" s="15"/>
      <c r="GZQ375" s="15"/>
      <c r="GZR375" s="15"/>
      <c r="GZS375" s="15"/>
      <c r="GZT375" s="15"/>
      <c r="GZU375" s="15"/>
      <c r="GZV375" s="15"/>
      <c r="GZW375" s="15"/>
      <c r="GZX375" s="15"/>
      <c r="GZY375" s="15"/>
      <c r="GZZ375" s="10"/>
      <c r="HAA375" s="10"/>
      <c r="HAB375" s="21"/>
      <c r="HAC375" s="21"/>
      <c r="HAF375" s="21"/>
      <c r="HAG375" s="15"/>
      <c r="HAH375" s="15"/>
      <c r="HAI375" s="15"/>
      <c r="HAJ375" s="15"/>
      <c r="HAK375" s="15"/>
      <c r="HAL375" s="15"/>
      <c r="HAM375" s="15"/>
      <c r="HAN375" s="15"/>
      <c r="HAO375" s="15"/>
      <c r="HAP375" s="15"/>
      <c r="HAQ375" s="10"/>
      <c r="HAR375" s="10"/>
      <c r="HAS375" s="21"/>
      <c r="HAT375" s="21"/>
      <c r="HAW375" s="21"/>
      <c r="HAX375" s="15"/>
      <c r="HAY375" s="15"/>
      <c r="HAZ375" s="15"/>
      <c r="HBA375" s="15"/>
      <c r="HBB375" s="15"/>
      <c r="HBC375" s="15"/>
      <c r="HBD375" s="15"/>
      <c r="HBE375" s="15"/>
      <c r="HBF375" s="15"/>
      <c r="HBG375" s="15"/>
      <c r="HBH375" s="10"/>
      <c r="HBI375" s="10"/>
      <c r="HBJ375" s="21"/>
      <c r="HBK375" s="21"/>
      <c r="HBN375" s="21"/>
      <c r="HBO375" s="15"/>
      <c r="HBP375" s="15"/>
      <c r="HBQ375" s="15"/>
      <c r="HBR375" s="15"/>
      <c r="HBS375" s="15"/>
      <c r="HBT375" s="15"/>
      <c r="HBU375" s="15"/>
      <c r="HBV375" s="15"/>
      <c r="HBW375" s="15"/>
      <c r="HBX375" s="15"/>
      <c r="HBY375" s="10"/>
      <c r="HBZ375" s="10"/>
      <c r="HCA375" s="21"/>
      <c r="HCB375" s="21"/>
      <c r="HCE375" s="21"/>
      <c r="HCF375" s="15"/>
      <c r="HCG375" s="15"/>
      <c r="HCH375" s="15"/>
      <c r="HCI375" s="15"/>
      <c r="HCJ375" s="15"/>
      <c r="HCK375" s="15"/>
      <c r="HCL375" s="15"/>
      <c r="HCM375" s="15"/>
      <c r="HCN375" s="15"/>
      <c r="HCO375" s="15"/>
      <c r="HCP375" s="10"/>
      <c r="HCQ375" s="10"/>
      <c r="HCR375" s="21"/>
      <c r="HCS375" s="21"/>
      <c r="HCV375" s="21"/>
      <c r="HCW375" s="15"/>
      <c r="HCX375" s="15"/>
      <c r="HCY375" s="15"/>
      <c r="HCZ375" s="15"/>
      <c r="HDA375" s="15"/>
      <c r="HDB375" s="15"/>
      <c r="HDC375" s="15"/>
      <c r="HDD375" s="15"/>
      <c r="HDE375" s="15"/>
      <c r="HDF375" s="15"/>
      <c r="HDG375" s="10"/>
      <c r="HDH375" s="10"/>
      <c r="HDI375" s="21"/>
      <c r="HDJ375" s="21"/>
      <c r="HDM375" s="21"/>
      <c r="HDN375" s="15"/>
      <c r="HDO375" s="15"/>
      <c r="HDP375" s="15"/>
      <c r="HDQ375" s="15"/>
      <c r="HDR375" s="15"/>
      <c r="HDS375" s="15"/>
      <c r="HDT375" s="15"/>
      <c r="HDU375" s="15"/>
      <c r="HDV375" s="15"/>
      <c r="HDW375" s="15"/>
      <c r="HDX375" s="10"/>
      <c r="HDY375" s="10"/>
      <c r="HDZ375" s="21"/>
      <c r="HEA375" s="21"/>
      <c r="HED375" s="21"/>
      <c r="HEE375" s="15"/>
      <c r="HEF375" s="15"/>
      <c r="HEG375" s="15"/>
      <c r="HEH375" s="15"/>
      <c r="HEI375" s="15"/>
      <c r="HEJ375" s="15"/>
      <c r="HEK375" s="15"/>
      <c r="HEL375" s="15"/>
      <c r="HEM375" s="15"/>
      <c r="HEN375" s="15"/>
      <c r="HEO375" s="10"/>
      <c r="HEP375" s="10"/>
      <c r="HEQ375" s="21"/>
      <c r="HER375" s="21"/>
      <c r="HEU375" s="21"/>
      <c r="HEV375" s="15"/>
      <c r="HEW375" s="15"/>
      <c r="HEX375" s="15"/>
      <c r="HEY375" s="15"/>
      <c r="HEZ375" s="15"/>
      <c r="HFA375" s="15"/>
      <c r="HFB375" s="15"/>
      <c r="HFC375" s="15"/>
      <c r="HFD375" s="15"/>
      <c r="HFE375" s="15"/>
      <c r="HFF375" s="10"/>
      <c r="HFG375" s="10"/>
      <c r="HFH375" s="21"/>
      <c r="HFI375" s="21"/>
      <c r="HFL375" s="21"/>
      <c r="HFM375" s="15"/>
      <c r="HFN375" s="15"/>
      <c r="HFO375" s="15"/>
      <c r="HFP375" s="15"/>
      <c r="HFQ375" s="15"/>
      <c r="HFR375" s="15"/>
      <c r="HFS375" s="15"/>
      <c r="HFT375" s="15"/>
      <c r="HFU375" s="15"/>
      <c r="HFV375" s="15"/>
      <c r="HFW375" s="10"/>
      <c r="HFX375" s="10"/>
      <c r="HFY375" s="21"/>
      <c r="HFZ375" s="21"/>
      <c r="HGC375" s="21"/>
      <c r="HGD375" s="15"/>
      <c r="HGE375" s="15"/>
      <c r="HGF375" s="15"/>
      <c r="HGG375" s="15"/>
      <c r="HGH375" s="15"/>
      <c r="HGI375" s="15"/>
      <c r="HGJ375" s="15"/>
      <c r="HGK375" s="15"/>
      <c r="HGL375" s="15"/>
      <c r="HGM375" s="15"/>
      <c r="HGN375" s="10"/>
      <c r="HGO375" s="10"/>
      <c r="HGP375" s="21"/>
      <c r="HGQ375" s="21"/>
      <c r="HGT375" s="21"/>
      <c r="HGU375" s="15"/>
      <c r="HGV375" s="15"/>
      <c r="HGW375" s="15"/>
      <c r="HGX375" s="15"/>
      <c r="HGY375" s="15"/>
      <c r="HGZ375" s="15"/>
      <c r="HHA375" s="15"/>
      <c r="HHB375" s="15"/>
      <c r="HHC375" s="15"/>
      <c r="HHD375" s="15"/>
      <c r="HHE375" s="10"/>
      <c r="HHF375" s="10"/>
      <c r="HHG375" s="21"/>
      <c r="HHH375" s="21"/>
      <c r="HHK375" s="21"/>
      <c r="HHL375" s="15"/>
      <c r="HHM375" s="15"/>
      <c r="HHN375" s="15"/>
      <c r="HHO375" s="15"/>
      <c r="HHP375" s="15"/>
      <c r="HHQ375" s="15"/>
      <c r="HHR375" s="15"/>
      <c r="HHS375" s="15"/>
      <c r="HHT375" s="15"/>
      <c r="HHU375" s="15"/>
      <c r="HHV375" s="10"/>
      <c r="HHW375" s="10"/>
      <c r="HHX375" s="21"/>
      <c r="HHY375" s="21"/>
      <c r="HIB375" s="21"/>
      <c r="HIC375" s="15"/>
      <c r="HID375" s="15"/>
      <c r="HIE375" s="15"/>
      <c r="HIF375" s="15"/>
      <c r="HIG375" s="15"/>
      <c r="HIH375" s="15"/>
      <c r="HII375" s="15"/>
      <c r="HIJ375" s="15"/>
      <c r="HIK375" s="15"/>
      <c r="HIL375" s="15"/>
      <c r="HIM375" s="10"/>
      <c r="HIN375" s="10"/>
      <c r="HIO375" s="21"/>
      <c r="HIP375" s="21"/>
      <c r="HIS375" s="21"/>
      <c r="HIT375" s="15"/>
      <c r="HIU375" s="15"/>
      <c r="HIV375" s="15"/>
      <c r="HIW375" s="15"/>
      <c r="HIX375" s="15"/>
      <c r="HIY375" s="15"/>
      <c r="HIZ375" s="15"/>
      <c r="HJA375" s="15"/>
      <c r="HJB375" s="15"/>
      <c r="HJC375" s="15"/>
      <c r="HJD375" s="10"/>
      <c r="HJE375" s="10"/>
      <c r="HJF375" s="21"/>
      <c r="HJG375" s="21"/>
      <c r="HJJ375" s="21"/>
      <c r="HJK375" s="15"/>
      <c r="HJL375" s="15"/>
      <c r="HJM375" s="15"/>
      <c r="HJN375" s="15"/>
      <c r="HJO375" s="15"/>
      <c r="HJP375" s="15"/>
      <c r="HJQ375" s="15"/>
      <c r="HJR375" s="15"/>
      <c r="HJS375" s="15"/>
      <c r="HJT375" s="15"/>
      <c r="HJU375" s="10"/>
      <c r="HJV375" s="10"/>
      <c r="HJW375" s="21"/>
      <c r="HJX375" s="21"/>
      <c r="HKA375" s="21"/>
      <c r="HKB375" s="15"/>
      <c r="HKC375" s="15"/>
      <c r="HKD375" s="15"/>
      <c r="HKE375" s="15"/>
      <c r="HKF375" s="15"/>
      <c r="HKG375" s="15"/>
      <c r="HKH375" s="15"/>
      <c r="HKI375" s="15"/>
      <c r="HKJ375" s="15"/>
      <c r="HKK375" s="15"/>
      <c r="HKL375" s="10"/>
      <c r="HKM375" s="10"/>
      <c r="HKN375" s="21"/>
      <c r="HKO375" s="21"/>
      <c r="HKR375" s="21"/>
      <c r="HKS375" s="15"/>
      <c r="HKT375" s="15"/>
      <c r="HKU375" s="15"/>
      <c r="HKV375" s="15"/>
      <c r="HKW375" s="15"/>
      <c r="HKX375" s="15"/>
      <c r="HKY375" s="15"/>
      <c r="HKZ375" s="15"/>
      <c r="HLA375" s="15"/>
      <c r="HLB375" s="15"/>
      <c r="HLC375" s="10"/>
      <c r="HLD375" s="10"/>
      <c r="HLE375" s="21"/>
      <c r="HLF375" s="21"/>
      <c r="HLI375" s="21"/>
      <c r="HLJ375" s="15"/>
      <c r="HLK375" s="15"/>
      <c r="HLL375" s="15"/>
      <c r="HLM375" s="15"/>
      <c r="HLN375" s="15"/>
      <c r="HLO375" s="15"/>
      <c r="HLP375" s="15"/>
      <c r="HLQ375" s="15"/>
      <c r="HLR375" s="15"/>
      <c r="HLS375" s="15"/>
      <c r="HLT375" s="10"/>
      <c r="HLU375" s="10"/>
      <c r="HLV375" s="21"/>
      <c r="HLW375" s="21"/>
      <c r="HLZ375" s="21"/>
      <c r="HMA375" s="15"/>
      <c r="HMB375" s="15"/>
      <c r="HMC375" s="15"/>
      <c r="HMD375" s="15"/>
      <c r="HME375" s="15"/>
      <c r="HMF375" s="15"/>
      <c r="HMG375" s="15"/>
      <c r="HMH375" s="15"/>
      <c r="HMI375" s="15"/>
      <c r="HMJ375" s="15"/>
      <c r="HMK375" s="10"/>
      <c r="HML375" s="10"/>
      <c r="HMM375" s="21"/>
      <c r="HMN375" s="21"/>
      <c r="HMQ375" s="21"/>
      <c r="HMR375" s="15"/>
      <c r="HMS375" s="15"/>
      <c r="HMT375" s="15"/>
      <c r="HMU375" s="15"/>
      <c r="HMV375" s="15"/>
      <c r="HMW375" s="15"/>
      <c r="HMX375" s="15"/>
      <c r="HMY375" s="15"/>
      <c r="HMZ375" s="15"/>
      <c r="HNA375" s="15"/>
      <c r="HNB375" s="10"/>
      <c r="HNC375" s="10"/>
      <c r="HND375" s="21"/>
      <c r="HNE375" s="21"/>
      <c r="HNH375" s="21"/>
      <c r="HNI375" s="15"/>
      <c r="HNJ375" s="15"/>
      <c r="HNK375" s="15"/>
      <c r="HNL375" s="15"/>
      <c r="HNM375" s="15"/>
      <c r="HNN375" s="15"/>
      <c r="HNO375" s="15"/>
      <c r="HNP375" s="15"/>
      <c r="HNQ375" s="15"/>
      <c r="HNR375" s="15"/>
      <c r="HNS375" s="10"/>
      <c r="HNT375" s="10"/>
      <c r="HNU375" s="21"/>
      <c r="HNV375" s="21"/>
      <c r="HNY375" s="21"/>
      <c r="HNZ375" s="15"/>
      <c r="HOA375" s="15"/>
      <c r="HOB375" s="15"/>
      <c r="HOC375" s="15"/>
      <c r="HOD375" s="15"/>
      <c r="HOE375" s="15"/>
      <c r="HOF375" s="15"/>
      <c r="HOG375" s="15"/>
      <c r="HOH375" s="15"/>
      <c r="HOI375" s="15"/>
      <c r="HOJ375" s="10"/>
      <c r="HOK375" s="10"/>
      <c r="HOL375" s="21"/>
      <c r="HOM375" s="21"/>
      <c r="HOP375" s="21"/>
      <c r="HOQ375" s="15"/>
      <c r="HOR375" s="15"/>
      <c r="HOS375" s="15"/>
      <c r="HOT375" s="15"/>
      <c r="HOU375" s="15"/>
      <c r="HOV375" s="15"/>
      <c r="HOW375" s="15"/>
      <c r="HOX375" s="15"/>
      <c r="HOY375" s="15"/>
      <c r="HOZ375" s="15"/>
      <c r="HPA375" s="10"/>
      <c r="HPB375" s="10"/>
      <c r="HPC375" s="21"/>
      <c r="HPD375" s="21"/>
      <c r="HPG375" s="21"/>
      <c r="HPH375" s="15"/>
      <c r="HPI375" s="15"/>
      <c r="HPJ375" s="15"/>
      <c r="HPK375" s="15"/>
      <c r="HPL375" s="15"/>
      <c r="HPM375" s="15"/>
      <c r="HPN375" s="15"/>
      <c r="HPO375" s="15"/>
      <c r="HPP375" s="15"/>
      <c r="HPQ375" s="15"/>
      <c r="HPR375" s="10"/>
      <c r="HPS375" s="10"/>
      <c r="HPT375" s="21"/>
      <c r="HPU375" s="21"/>
      <c r="HPX375" s="21"/>
      <c r="HPY375" s="15"/>
      <c r="HPZ375" s="15"/>
      <c r="HQA375" s="15"/>
      <c r="HQB375" s="15"/>
      <c r="HQC375" s="15"/>
      <c r="HQD375" s="15"/>
      <c r="HQE375" s="15"/>
      <c r="HQF375" s="15"/>
      <c r="HQG375" s="15"/>
      <c r="HQH375" s="15"/>
      <c r="HQI375" s="10"/>
      <c r="HQJ375" s="10"/>
      <c r="HQK375" s="21"/>
      <c r="HQL375" s="21"/>
      <c r="HQO375" s="21"/>
      <c r="HQP375" s="15"/>
      <c r="HQQ375" s="15"/>
      <c r="HQR375" s="15"/>
      <c r="HQS375" s="15"/>
      <c r="HQT375" s="15"/>
      <c r="HQU375" s="15"/>
      <c r="HQV375" s="15"/>
      <c r="HQW375" s="15"/>
      <c r="HQX375" s="15"/>
      <c r="HQY375" s="15"/>
      <c r="HQZ375" s="10"/>
      <c r="HRA375" s="10"/>
      <c r="HRB375" s="21"/>
      <c r="HRC375" s="21"/>
      <c r="HRF375" s="21"/>
      <c r="HRG375" s="15"/>
      <c r="HRH375" s="15"/>
      <c r="HRI375" s="15"/>
      <c r="HRJ375" s="15"/>
      <c r="HRK375" s="15"/>
      <c r="HRL375" s="15"/>
      <c r="HRM375" s="15"/>
      <c r="HRN375" s="15"/>
      <c r="HRO375" s="15"/>
      <c r="HRP375" s="15"/>
      <c r="HRQ375" s="10"/>
      <c r="HRR375" s="10"/>
      <c r="HRS375" s="21"/>
      <c r="HRT375" s="21"/>
      <c r="HRW375" s="21"/>
      <c r="HRX375" s="15"/>
      <c r="HRY375" s="15"/>
      <c r="HRZ375" s="15"/>
      <c r="HSA375" s="15"/>
      <c r="HSB375" s="15"/>
      <c r="HSC375" s="15"/>
      <c r="HSD375" s="15"/>
      <c r="HSE375" s="15"/>
      <c r="HSF375" s="15"/>
      <c r="HSG375" s="15"/>
      <c r="HSH375" s="10"/>
      <c r="HSI375" s="10"/>
      <c r="HSJ375" s="21"/>
      <c r="HSK375" s="21"/>
      <c r="HSN375" s="21"/>
      <c r="HSO375" s="15"/>
      <c r="HSP375" s="15"/>
      <c r="HSQ375" s="15"/>
      <c r="HSR375" s="15"/>
      <c r="HSS375" s="15"/>
      <c r="HST375" s="15"/>
      <c r="HSU375" s="15"/>
      <c r="HSV375" s="15"/>
      <c r="HSW375" s="15"/>
      <c r="HSX375" s="15"/>
      <c r="HSY375" s="10"/>
      <c r="HSZ375" s="10"/>
      <c r="HTA375" s="21"/>
      <c r="HTB375" s="21"/>
      <c r="HTE375" s="21"/>
      <c r="HTF375" s="15"/>
      <c r="HTG375" s="15"/>
      <c r="HTH375" s="15"/>
      <c r="HTI375" s="15"/>
      <c r="HTJ375" s="15"/>
      <c r="HTK375" s="15"/>
      <c r="HTL375" s="15"/>
      <c r="HTM375" s="15"/>
      <c r="HTN375" s="15"/>
      <c r="HTO375" s="15"/>
      <c r="HTP375" s="10"/>
      <c r="HTQ375" s="10"/>
      <c r="HTR375" s="21"/>
      <c r="HTS375" s="21"/>
      <c r="HTV375" s="21"/>
      <c r="HTW375" s="15"/>
      <c r="HTX375" s="15"/>
      <c r="HTY375" s="15"/>
      <c r="HTZ375" s="15"/>
      <c r="HUA375" s="15"/>
      <c r="HUB375" s="15"/>
      <c r="HUC375" s="15"/>
      <c r="HUD375" s="15"/>
      <c r="HUE375" s="15"/>
      <c r="HUF375" s="15"/>
      <c r="HUG375" s="10"/>
      <c r="HUH375" s="10"/>
      <c r="HUI375" s="21"/>
      <c r="HUJ375" s="21"/>
      <c r="HUM375" s="21"/>
      <c r="HUN375" s="15"/>
      <c r="HUO375" s="15"/>
      <c r="HUP375" s="15"/>
      <c r="HUQ375" s="15"/>
      <c r="HUR375" s="15"/>
      <c r="HUS375" s="15"/>
      <c r="HUT375" s="15"/>
      <c r="HUU375" s="15"/>
      <c r="HUV375" s="15"/>
      <c r="HUW375" s="15"/>
      <c r="HUX375" s="10"/>
      <c r="HUY375" s="10"/>
      <c r="HUZ375" s="21"/>
      <c r="HVA375" s="21"/>
      <c r="HVD375" s="21"/>
      <c r="HVE375" s="15"/>
      <c r="HVF375" s="15"/>
      <c r="HVG375" s="15"/>
      <c r="HVH375" s="15"/>
      <c r="HVI375" s="15"/>
      <c r="HVJ375" s="15"/>
      <c r="HVK375" s="15"/>
      <c r="HVL375" s="15"/>
      <c r="HVM375" s="15"/>
      <c r="HVN375" s="15"/>
      <c r="HVO375" s="10"/>
      <c r="HVP375" s="10"/>
      <c r="HVQ375" s="21"/>
      <c r="HVR375" s="21"/>
      <c r="HVU375" s="21"/>
      <c r="HVV375" s="15"/>
      <c r="HVW375" s="15"/>
      <c r="HVX375" s="15"/>
      <c r="HVY375" s="15"/>
      <c r="HVZ375" s="15"/>
      <c r="HWA375" s="15"/>
      <c r="HWB375" s="15"/>
      <c r="HWC375" s="15"/>
      <c r="HWD375" s="15"/>
      <c r="HWE375" s="15"/>
      <c r="HWF375" s="10"/>
      <c r="HWG375" s="10"/>
      <c r="HWH375" s="21"/>
      <c r="HWI375" s="21"/>
      <c r="HWL375" s="21"/>
      <c r="HWM375" s="15"/>
      <c r="HWN375" s="15"/>
      <c r="HWO375" s="15"/>
      <c r="HWP375" s="15"/>
      <c r="HWQ375" s="15"/>
      <c r="HWR375" s="15"/>
      <c r="HWS375" s="15"/>
      <c r="HWT375" s="15"/>
      <c r="HWU375" s="15"/>
      <c r="HWV375" s="15"/>
      <c r="HWW375" s="10"/>
      <c r="HWX375" s="10"/>
      <c r="HWY375" s="21"/>
      <c r="HWZ375" s="21"/>
      <c r="HXC375" s="21"/>
      <c r="HXD375" s="15"/>
      <c r="HXE375" s="15"/>
      <c r="HXF375" s="15"/>
      <c r="HXG375" s="15"/>
      <c r="HXH375" s="15"/>
      <c r="HXI375" s="15"/>
      <c r="HXJ375" s="15"/>
      <c r="HXK375" s="15"/>
      <c r="HXL375" s="15"/>
      <c r="HXM375" s="15"/>
      <c r="HXN375" s="10"/>
      <c r="HXO375" s="10"/>
      <c r="HXP375" s="21"/>
      <c r="HXQ375" s="21"/>
      <c r="HXT375" s="21"/>
      <c r="HXU375" s="15"/>
      <c r="HXV375" s="15"/>
      <c r="HXW375" s="15"/>
      <c r="HXX375" s="15"/>
      <c r="HXY375" s="15"/>
      <c r="HXZ375" s="15"/>
      <c r="HYA375" s="15"/>
      <c r="HYB375" s="15"/>
      <c r="HYC375" s="15"/>
      <c r="HYD375" s="15"/>
      <c r="HYE375" s="10"/>
      <c r="HYF375" s="10"/>
      <c r="HYG375" s="21"/>
      <c r="HYH375" s="21"/>
      <c r="HYK375" s="21"/>
      <c r="HYL375" s="15"/>
      <c r="HYM375" s="15"/>
      <c r="HYN375" s="15"/>
      <c r="HYO375" s="15"/>
      <c r="HYP375" s="15"/>
      <c r="HYQ375" s="15"/>
      <c r="HYR375" s="15"/>
      <c r="HYS375" s="15"/>
      <c r="HYT375" s="15"/>
      <c r="HYU375" s="15"/>
      <c r="HYV375" s="10"/>
      <c r="HYW375" s="10"/>
      <c r="HYX375" s="21"/>
      <c r="HYY375" s="21"/>
      <c r="HZB375" s="21"/>
      <c r="HZC375" s="15"/>
      <c r="HZD375" s="15"/>
      <c r="HZE375" s="15"/>
      <c r="HZF375" s="15"/>
      <c r="HZG375" s="15"/>
      <c r="HZH375" s="15"/>
      <c r="HZI375" s="15"/>
      <c r="HZJ375" s="15"/>
      <c r="HZK375" s="15"/>
      <c r="HZL375" s="15"/>
      <c r="HZM375" s="10"/>
      <c r="HZN375" s="10"/>
      <c r="HZO375" s="21"/>
      <c r="HZP375" s="21"/>
      <c r="HZS375" s="21"/>
      <c r="HZT375" s="15"/>
      <c r="HZU375" s="15"/>
      <c r="HZV375" s="15"/>
      <c r="HZW375" s="15"/>
      <c r="HZX375" s="15"/>
      <c r="HZY375" s="15"/>
      <c r="HZZ375" s="15"/>
      <c r="IAA375" s="15"/>
      <c r="IAB375" s="15"/>
      <c r="IAC375" s="15"/>
      <c r="IAD375" s="10"/>
      <c r="IAE375" s="10"/>
      <c r="IAF375" s="21"/>
      <c r="IAG375" s="21"/>
      <c r="IAJ375" s="21"/>
      <c r="IAK375" s="15"/>
      <c r="IAL375" s="15"/>
      <c r="IAM375" s="15"/>
      <c r="IAN375" s="15"/>
      <c r="IAO375" s="15"/>
      <c r="IAP375" s="15"/>
      <c r="IAQ375" s="15"/>
      <c r="IAR375" s="15"/>
      <c r="IAS375" s="15"/>
      <c r="IAT375" s="15"/>
      <c r="IAU375" s="10"/>
      <c r="IAV375" s="10"/>
      <c r="IAW375" s="21"/>
      <c r="IAX375" s="21"/>
      <c r="IBA375" s="21"/>
      <c r="IBB375" s="15"/>
      <c r="IBC375" s="15"/>
      <c r="IBD375" s="15"/>
      <c r="IBE375" s="15"/>
      <c r="IBF375" s="15"/>
      <c r="IBG375" s="15"/>
      <c r="IBH375" s="15"/>
      <c r="IBI375" s="15"/>
      <c r="IBJ375" s="15"/>
      <c r="IBK375" s="15"/>
      <c r="IBL375" s="10"/>
      <c r="IBM375" s="10"/>
      <c r="IBN375" s="21"/>
      <c r="IBO375" s="21"/>
      <c r="IBR375" s="21"/>
      <c r="IBS375" s="15"/>
      <c r="IBT375" s="15"/>
      <c r="IBU375" s="15"/>
      <c r="IBV375" s="15"/>
      <c r="IBW375" s="15"/>
      <c r="IBX375" s="15"/>
      <c r="IBY375" s="15"/>
      <c r="IBZ375" s="15"/>
      <c r="ICA375" s="15"/>
      <c r="ICB375" s="15"/>
      <c r="ICC375" s="10"/>
      <c r="ICD375" s="10"/>
      <c r="ICE375" s="21"/>
      <c r="ICF375" s="21"/>
      <c r="ICI375" s="21"/>
      <c r="ICJ375" s="15"/>
      <c r="ICK375" s="15"/>
      <c r="ICL375" s="15"/>
      <c r="ICM375" s="15"/>
      <c r="ICN375" s="15"/>
      <c r="ICO375" s="15"/>
      <c r="ICP375" s="15"/>
      <c r="ICQ375" s="15"/>
      <c r="ICR375" s="15"/>
      <c r="ICS375" s="15"/>
      <c r="ICT375" s="10"/>
      <c r="ICU375" s="10"/>
      <c r="ICV375" s="21"/>
      <c r="ICW375" s="21"/>
      <c r="ICZ375" s="21"/>
      <c r="IDA375" s="15"/>
      <c r="IDB375" s="15"/>
      <c r="IDC375" s="15"/>
      <c r="IDD375" s="15"/>
      <c r="IDE375" s="15"/>
      <c r="IDF375" s="15"/>
      <c r="IDG375" s="15"/>
      <c r="IDH375" s="15"/>
      <c r="IDI375" s="15"/>
      <c r="IDJ375" s="15"/>
      <c r="IDK375" s="10"/>
      <c r="IDL375" s="10"/>
      <c r="IDM375" s="21"/>
      <c r="IDN375" s="21"/>
      <c r="IDQ375" s="21"/>
      <c r="IDR375" s="15"/>
      <c r="IDS375" s="15"/>
      <c r="IDT375" s="15"/>
      <c r="IDU375" s="15"/>
      <c r="IDV375" s="15"/>
      <c r="IDW375" s="15"/>
      <c r="IDX375" s="15"/>
      <c r="IDY375" s="15"/>
      <c r="IDZ375" s="15"/>
      <c r="IEA375" s="15"/>
      <c r="IEB375" s="10"/>
      <c r="IEC375" s="10"/>
      <c r="IED375" s="21"/>
      <c r="IEE375" s="21"/>
      <c r="IEH375" s="21"/>
      <c r="IEI375" s="15"/>
      <c r="IEJ375" s="15"/>
      <c r="IEK375" s="15"/>
      <c r="IEL375" s="15"/>
      <c r="IEM375" s="15"/>
      <c r="IEN375" s="15"/>
      <c r="IEO375" s="15"/>
      <c r="IEP375" s="15"/>
      <c r="IEQ375" s="15"/>
      <c r="IER375" s="15"/>
      <c r="IES375" s="10"/>
      <c r="IET375" s="10"/>
      <c r="IEU375" s="21"/>
      <c r="IEV375" s="21"/>
      <c r="IEY375" s="21"/>
      <c r="IEZ375" s="15"/>
      <c r="IFA375" s="15"/>
      <c r="IFB375" s="15"/>
      <c r="IFC375" s="15"/>
      <c r="IFD375" s="15"/>
      <c r="IFE375" s="15"/>
      <c r="IFF375" s="15"/>
      <c r="IFG375" s="15"/>
      <c r="IFH375" s="15"/>
      <c r="IFI375" s="15"/>
      <c r="IFJ375" s="10"/>
      <c r="IFK375" s="10"/>
      <c r="IFL375" s="21"/>
      <c r="IFM375" s="21"/>
      <c r="IFP375" s="21"/>
      <c r="IFQ375" s="15"/>
      <c r="IFR375" s="15"/>
      <c r="IFS375" s="15"/>
      <c r="IFT375" s="15"/>
      <c r="IFU375" s="15"/>
      <c r="IFV375" s="15"/>
      <c r="IFW375" s="15"/>
      <c r="IFX375" s="15"/>
      <c r="IFY375" s="15"/>
      <c r="IFZ375" s="15"/>
      <c r="IGA375" s="10"/>
      <c r="IGB375" s="10"/>
      <c r="IGC375" s="21"/>
      <c r="IGD375" s="21"/>
      <c r="IGG375" s="21"/>
      <c r="IGH375" s="15"/>
      <c r="IGI375" s="15"/>
      <c r="IGJ375" s="15"/>
      <c r="IGK375" s="15"/>
      <c r="IGL375" s="15"/>
      <c r="IGM375" s="15"/>
      <c r="IGN375" s="15"/>
      <c r="IGO375" s="15"/>
      <c r="IGP375" s="15"/>
      <c r="IGQ375" s="15"/>
      <c r="IGR375" s="10"/>
      <c r="IGS375" s="10"/>
      <c r="IGT375" s="21"/>
      <c r="IGU375" s="21"/>
      <c r="IGX375" s="21"/>
      <c r="IGY375" s="15"/>
      <c r="IGZ375" s="15"/>
      <c r="IHA375" s="15"/>
      <c r="IHB375" s="15"/>
      <c r="IHC375" s="15"/>
      <c r="IHD375" s="15"/>
      <c r="IHE375" s="15"/>
      <c r="IHF375" s="15"/>
      <c r="IHG375" s="15"/>
      <c r="IHH375" s="15"/>
      <c r="IHI375" s="10"/>
      <c r="IHJ375" s="10"/>
      <c r="IHK375" s="21"/>
      <c r="IHL375" s="21"/>
      <c r="IHO375" s="21"/>
      <c r="IHP375" s="15"/>
      <c r="IHQ375" s="15"/>
      <c r="IHR375" s="15"/>
      <c r="IHS375" s="15"/>
      <c r="IHT375" s="15"/>
      <c r="IHU375" s="15"/>
      <c r="IHV375" s="15"/>
      <c r="IHW375" s="15"/>
      <c r="IHX375" s="15"/>
      <c r="IHY375" s="15"/>
      <c r="IHZ375" s="10"/>
      <c r="IIA375" s="10"/>
      <c r="IIB375" s="21"/>
      <c r="IIC375" s="21"/>
      <c r="IIF375" s="21"/>
      <c r="IIG375" s="15"/>
      <c r="IIH375" s="15"/>
      <c r="III375" s="15"/>
      <c r="IIJ375" s="15"/>
      <c r="IIK375" s="15"/>
      <c r="IIL375" s="15"/>
      <c r="IIM375" s="15"/>
      <c r="IIN375" s="15"/>
      <c r="IIO375" s="15"/>
      <c r="IIP375" s="15"/>
      <c r="IIQ375" s="10"/>
      <c r="IIR375" s="10"/>
      <c r="IIS375" s="21"/>
      <c r="IIT375" s="21"/>
      <c r="IIW375" s="21"/>
      <c r="IIX375" s="15"/>
      <c r="IIY375" s="15"/>
      <c r="IIZ375" s="15"/>
      <c r="IJA375" s="15"/>
      <c r="IJB375" s="15"/>
      <c r="IJC375" s="15"/>
      <c r="IJD375" s="15"/>
      <c r="IJE375" s="15"/>
      <c r="IJF375" s="15"/>
      <c r="IJG375" s="15"/>
      <c r="IJH375" s="10"/>
      <c r="IJI375" s="10"/>
      <c r="IJJ375" s="21"/>
      <c r="IJK375" s="21"/>
      <c r="IJN375" s="21"/>
      <c r="IJO375" s="15"/>
      <c r="IJP375" s="15"/>
      <c r="IJQ375" s="15"/>
      <c r="IJR375" s="15"/>
      <c r="IJS375" s="15"/>
      <c r="IJT375" s="15"/>
      <c r="IJU375" s="15"/>
      <c r="IJV375" s="15"/>
      <c r="IJW375" s="15"/>
      <c r="IJX375" s="15"/>
      <c r="IJY375" s="10"/>
      <c r="IJZ375" s="10"/>
      <c r="IKA375" s="21"/>
      <c r="IKB375" s="21"/>
      <c r="IKE375" s="21"/>
      <c r="IKF375" s="15"/>
      <c r="IKG375" s="15"/>
      <c r="IKH375" s="15"/>
      <c r="IKI375" s="15"/>
      <c r="IKJ375" s="15"/>
      <c r="IKK375" s="15"/>
      <c r="IKL375" s="15"/>
      <c r="IKM375" s="15"/>
      <c r="IKN375" s="15"/>
      <c r="IKO375" s="15"/>
      <c r="IKP375" s="10"/>
      <c r="IKQ375" s="10"/>
      <c r="IKR375" s="21"/>
      <c r="IKS375" s="21"/>
      <c r="IKV375" s="21"/>
      <c r="IKW375" s="15"/>
      <c r="IKX375" s="15"/>
      <c r="IKY375" s="15"/>
      <c r="IKZ375" s="15"/>
      <c r="ILA375" s="15"/>
      <c r="ILB375" s="15"/>
      <c r="ILC375" s="15"/>
      <c r="ILD375" s="15"/>
      <c r="ILE375" s="15"/>
      <c r="ILF375" s="15"/>
      <c r="ILG375" s="10"/>
      <c r="ILH375" s="10"/>
      <c r="ILI375" s="21"/>
      <c r="ILJ375" s="21"/>
      <c r="ILM375" s="21"/>
      <c r="ILN375" s="15"/>
      <c r="ILO375" s="15"/>
      <c r="ILP375" s="15"/>
      <c r="ILQ375" s="15"/>
      <c r="ILR375" s="15"/>
      <c r="ILS375" s="15"/>
      <c r="ILT375" s="15"/>
      <c r="ILU375" s="15"/>
      <c r="ILV375" s="15"/>
      <c r="ILW375" s="15"/>
      <c r="ILX375" s="10"/>
      <c r="ILY375" s="10"/>
      <c r="ILZ375" s="21"/>
      <c r="IMA375" s="21"/>
      <c r="IMD375" s="21"/>
      <c r="IME375" s="15"/>
      <c r="IMF375" s="15"/>
      <c r="IMG375" s="15"/>
      <c r="IMH375" s="15"/>
      <c r="IMI375" s="15"/>
      <c r="IMJ375" s="15"/>
      <c r="IMK375" s="15"/>
      <c r="IML375" s="15"/>
      <c r="IMM375" s="15"/>
      <c r="IMN375" s="15"/>
      <c r="IMO375" s="10"/>
      <c r="IMP375" s="10"/>
      <c r="IMQ375" s="21"/>
      <c r="IMR375" s="21"/>
      <c r="IMU375" s="21"/>
      <c r="IMV375" s="15"/>
      <c r="IMW375" s="15"/>
      <c r="IMX375" s="15"/>
      <c r="IMY375" s="15"/>
      <c r="IMZ375" s="15"/>
      <c r="INA375" s="15"/>
      <c r="INB375" s="15"/>
      <c r="INC375" s="15"/>
      <c r="IND375" s="15"/>
      <c r="INE375" s="15"/>
      <c r="INF375" s="10"/>
      <c r="ING375" s="10"/>
      <c r="INH375" s="21"/>
      <c r="INI375" s="21"/>
      <c r="INL375" s="21"/>
      <c r="INM375" s="15"/>
      <c r="INN375" s="15"/>
      <c r="INO375" s="15"/>
      <c r="INP375" s="15"/>
      <c r="INQ375" s="15"/>
      <c r="INR375" s="15"/>
      <c r="INS375" s="15"/>
      <c r="INT375" s="15"/>
      <c r="INU375" s="15"/>
      <c r="INV375" s="15"/>
      <c r="INW375" s="10"/>
      <c r="INX375" s="10"/>
      <c r="INY375" s="21"/>
      <c r="INZ375" s="21"/>
      <c r="IOC375" s="21"/>
      <c r="IOD375" s="15"/>
      <c r="IOE375" s="15"/>
      <c r="IOF375" s="15"/>
      <c r="IOG375" s="15"/>
      <c r="IOH375" s="15"/>
      <c r="IOI375" s="15"/>
      <c r="IOJ375" s="15"/>
      <c r="IOK375" s="15"/>
      <c r="IOL375" s="15"/>
      <c r="IOM375" s="15"/>
      <c r="ION375" s="10"/>
      <c r="IOO375" s="10"/>
      <c r="IOP375" s="21"/>
      <c r="IOQ375" s="21"/>
      <c r="IOT375" s="21"/>
      <c r="IOU375" s="15"/>
      <c r="IOV375" s="15"/>
      <c r="IOW375" s="15"/>
      <c r="IOX375" s="15"/>
      <c r="IOY375" s="15"/>
      <c r="IOZ375" s="15"/>
      <c r="IPA375" s="15"/>
      <c r="IPB375" s="15"/>
      <c r="IPC375" s="15"/>
      <c r="IPD375" s="15"/>
      <c r="IPE375" s="10"/>
      <c r="IPF375" s="10"/>
      <c r="IPG375" s="21"/>
      <c r="IPH375" s="21"/>
      <c r="IPK375" s="21"/>
      <c r="IPL375" s="15"/>
      <c r="IPM375" s="15"/>
      <c r="IPN375" s="15"/>
      <c r="IPO375" s="15"/>
      <c r="IPP375" s="15"/>
      <c r="IPQ375" s="15"/>
      <c r="IPR375" s="15"/>
      <c r="IPS375" s="15"/>
      <c r="IPT375" s="15"/>
      <c r="IPU375" s="15"/>
      <c r="IPV375" s="10"/>
      <c r="IPW375" s="10"/>
      <c r="IPX375" s="21"/>
      <c r="IPY375" s="21"/>
      <c r="IQB375" s="21"/>
      <c r="IQC375" s="15"/>
      <c r="IQD375" s="15"/>
      <c r="IQE375" s="15"/>
      <c r="IQF375" s="15"/>
      <c r="IQG375" s="15"/>
      <c r="IQH375" s="15"/>
      <c r="IQI375" s="15"/>
      <c r="IQJ375" s="15"/>
      <c r="IQK375" s="15"/>
      <c r="IQL375" s="15"/>
      <c r="IQM375" s="10"/>
      <c r="IQN375" s="10"/>
      <c r="IQO375" s="21"/>
      <c r="IQP375" s="21"/>
      <c r="IQS375" s="21"/>
      <c r="IQT375" s="15"/>
      <c r="IQU375" s="15"/>
      <c r="IQV375" s="15"/>
      <c r="IQW375" s="15"/>
      <c r="IQX375" s="15"/>
      <c r="IQY375" s="15"/>
      <c r="IQZ375" s="15"/>
      <c r="IRA375" s="15"/>
      <c r="IRB375" s="15"/>
      <c r="IRC375" s="15"/>
      <c r="IRD375" s="10"/>
      <c r="IRE375" s="10"/>
      <c r="IRF375" s="21"/>
      <c r="IRG375" s="21"/>
      <c r="IRJ375" s="21"/>
      <c r="IRK375" s="15"/>
      <c r="IRL375" s="15"/>
      <c r="IRM375" s="15"/>
      <c r="IRN375" s="15"/>
      <c r="IRO375" s="15"/>
      <c r="IRP375" s="15"/>
      <c r="IRQ375" s="15"/>
      <c r="IRR375" s="15"/>
      <c r="IRS375" s="15"/>
      <c r="IRT375" s="15"/>
      <c r="IRU375" s="10"/>
      <c r="IRV375" s="10"/>
      <c r="IRW375" s="21"/>
      <c r="IRX375" s="21"/>
      <c r="ISA375" s="21"/>
      <c r="ISB375" s="15"/>
      <c r="ISC375" s="15"/>
      <c r="ISD375" s="15"/>
      <c r="ISE375" s="15"/>
      <c r="ISF375" s="15"/>
      <c r="ISG375" s="15"/>
      <c r="ISH375" s="15"/>
      <c r="ISI375" s="15"/>
      <c r="ISJ375" s="15"/>
      <c r="ISK375" s="15"/>
      <c r="ISL375" s="10"/>
      <c r="ISM375" s="10"/>
      <c r="ISN375" s="21"/>
      <c r="ISO375" s="21"/>
      <c r="ISR375" s="21"/>
      <c r="ISS375" s="15"/>
      <c r="IST375" s="15"/>
      <c r="ISU375" s="15"/>
      <c r="ISV375" s="15"/>
      <c r="ISW375" s="15"/>
      <c r="ISX375" s="15"/>
      <c r="ISY375" s="15"/>
      <c r="ISZ375" s="15"/>
      <c r="ITA375" s="15"/>
      <c r="ITB375" s="15"/>
      <c r="ITC375" s="10"/>
      <c r="ITD375" s="10"/>
      <c r="ITE375" s="21"/>
      <c r="ITF375" s="21"/>
      <c r="ITI375" s="21"/>
      <c r="ITJ375" s="15"/>
      <c r="ITK375" s="15"/>
      <c r="ITL375" s="15"/>
      <c r="ITM375" s="15"/>
      <c r="ITN375" s="15"/>
      <c r="ITO375" s="15"/>
      <c r="ITP375" s="15"/>
      <c r="ITQ375" s="15"/>
      <c r="ITR375" s="15"/>
      <c r="ITS375" s="15"/>
      <c r="ITT375" s="10"/>
      <c r="ITU375" s="10"/>
      <c r="ITV375" s="21"/>
      <c r="ITW375" s="21"/>
      <c r="ITZ375" s="21"/>
      <c r="IUA375" s="15"/>
      <c r="IUB375" s="15"/>
      <c r="IUC375" s="15"/>
      <c r="IUD375" s="15"/>
      <c r="IUE375" s="15"/>
      <c r="IUF375" s="15"/>
      <c r="IUG375" s="15"/>
      <c r="IUH375" s="15"/>
      <c r="IUI375" s="15"/>
      <c r="IUJ375" s="15"/>
      <c r="IUK375" s="10"/>
      <c r="IUL375" s="10"/>
      <c r="IUM375" s="21"/>
      <c r="IUN375" s="21"/>
      <c r="IUQ375" s="21"/>
      <c r="IUR375" s="15"/>
      <c r="IUS375" s="15"/>
      <c r="IUT375" s="15"/>
      <c r="IUU375" s="15"/>
      <c r="IUV375" s="15"/>
      <c r="IUW375" s="15"/>
      <c r="IUX375" s="15"/>
      <c r="IUY375" s="15"/>
      <c r="IUZ375" s="15"/>
      <c r="IVA375" s="15"/>
      <c r="IVB375" s="10"/>
      <c r="IVC375" s="10"/>
      <c r="IVD375" s="21"/>
      <c r="IVE375" s="21"/>
      <c r="IVH375" s="21"/>
      <c r="IVI375" s="15"/>
      <c r="IVJ375" s="15"/>
      <c r="IVK375" s="15"/>
      <c r="IVL375" s="15"/>
      <c r="IVM375" s="15"/>
      <c r="IVN375" s="15"/>
      <c r="IVO375" s="15"/>
      <c r="IVP375" s="15"/>
      <c r="IVQ375" s="15"/>
      <c r="IVR375" s="15"/>
      <c r="IVS375" s="10"/>
      <c r="IVT375" s="10"/>
      <c r="IVU375" s="21"/>
      <c r="IVV375" s="21"/>
      <c r="IVY375" s="21"/>
      <c r="IVZ375" s="15"/>
      <c r="IWA375" s="15"/>
      <c r="IWB375" s="15"/>
      <c r="IWC375" s="15"/>
      <c r="IWD375" s="15"/>
      <c r="IWE375" s="15"/>
      <c r="IWF375" s="15"/>
      <c r="IWG375" s="15"/>
      <c r="IWH375" s="15"/>
      <c r="IWI375" s="15"/>
      <c r="IWJ375" s="10"/>
      <c r="IWK375" s="10"/>
      <c r="IWL375" s="21"/>
      <c r="IWM375" s="21"/>
      <c r="IWP375" s="21"/>
      <c r="IWQ375" s="15"/>
      <c r="IWR375" s="15"/>
      <c r="IWS375" s="15"/>
      <c r="IWT375" s="15"/>
      <c r="IWU375" s="15"/>
      <c r="IWV375" s="15"/>
      <c r="IWW375" s="15"/>
      <c r="IWX375" s="15"/>
      <c r="IWY375" s="15"/>
      <c r="IWZ375" s="15"/>
      <c r="IXA375" s="10"/>
      <c r="IXB375" s="10"/>
      <c r="IXC375" s="21"/>
      <c r="IXD375" s="21"/>
      <c r="IXG375" s="21"/>
      <c r="IXH375" s="15"/>
      <c r="IXI375" s="15"/>
      <c r="IXJ375" s="15"/>
      <c r="IXK375" s="15"/>
      <c r="IXL375" s="15"/>
      <c r="IXM375" s="15"/>
      <c r="IXN375" s="15"/>
      <c r="IXO375" s="15"/>
      <c r="IXP375" s="15"/>
      <c r="IXQ375" s="15"/>
      <c r="IXR375" s="10"/>
      <c r="IXS375" s="10"/>
      <c r="IXT375" s="21"/>
      <c r="IXU375" s="21"/>
      <c r="IXX375" s="21"/>
      <c r="IXY375" s="15"/>
      <c r="IXZ375" s="15"/>
      <c r="IYA375" s="15"/>
      <c r="IYB375" s="15"/>
      <c r="IYC375" s="15"/>
      <c r="IYD375" s="15"/>
      <c r="IYE375" s="15"/>
      <c r="IYF375" s="15"/>
      <c r="IYG375" s="15"/>
      <c r="IYH375" s="15"/>
      <c r="IYI375" s="10"/>
      <c r="IYJ375" s="10"/>
      <c r="IYK375" s="21"/>
      <c r="IYL375" s="21"/>
      <c r="IYO375" s="21"/>
      <c r="IYP375" s="15"/>
      <c r="IYQ375" s="15"/>
      <c r="IYR375" s="15"/>
      <c r="IYS375" s="15"/>
      <c r="IYT375" s="15"/>
      <c r="IYU375" s="15"/>
      <c r="IYV375" s="15"/>
      <c r="IYW375" s="15"/>
      <c r="IYX375" s="15"/>
      <c r="IYY375" s="15"/>
      <c r="IYZ375" s="10"/>
      <c r="IZA375" s="10"/>
      <c r="IZB375" s="21"/>
      <c r="IZC375" s="21"/>
      <c r="IZF375" s="21"/>
      <c r="IZG375" s="15"/>
      <c r="IZH375" s="15"/>
      <c r="IZI375" s="15"/>
      <c r="IZJ375" s="15"/>
      <c r="IZK375" s="15"/>
      <c r="IZL375" s="15"/>
      <c r="IZM375" s="15"/>
      <c r="IZN375" s="15"/>
      <c r="IZO375" s="15"/>
      <c r="IZP375" s="15"/>
      <c r="IZQ375" s="10"/>
      <c r="IZR375" s="10"/>
      <c r="IZS375" s="21"/>
      <c r="IZT375" s="21"/>
      <c r="IZW375" s="21"/>
      <c r="IZX375" s="15"/>
      <c r="IZY375" s="15"/>
      <c r="IZZ375" s="15"/>
      <c r="JAA375" s="15"/>
      <c r="JAB375" s="15"/>
      <c r="JAC375" s="15"/>
      <c r="JAD375" s="15"/>
      <c r="JAE375" s="15"/>
      <c r="JAF375" s="15"/>
      <c r="JAG375" s="15"/>
      <c r="JAH375" s="10"/>
      <c r="JAI375" s="10"/>
      <c r="JAJ375" s="21"/>
      <c r="JAK375" s="21"/>
      <c r="JAN375" s="21"/>
      <c r="JAO375" s="15"/>
      <c r="JAP375" s="15"/>
      <c r="JAQ375" s="15"/>
      <c r="JAR375" s="15"/>
      <c r="JAS375" s="15"/>
      <c r="JAT375" s="15"/>
      <c r="JAU375" s="15"/>
      <c r="JAV375" s="15"/>
      <c r="JAW375" s="15"/>
      <c r="JAX375" s="15"/>
      <c r="JAY375" s="10"/>
      <c r="JAZ375" s="10"/>
      <c r="JBA375" s="21"/>
      <c r="JBB375" s="21"/>
      <c r="JBE375" s="21"/>
      <c r="JBF375" s="15"/>
      <c r="JBG375" s="15"/>
      <c r="JBH375" s="15"/>
      <c r="JBI375" s="15"/>
      <c r="JBJ375" s="15"/>
      <c r="JBK375" s="15"/>
      <c r="JBL375" s="15"/>
      <c r="JBM375" s="15"/>
      <c r="JBN375" s="15"/>
      <c r="JBO375" s="15"/>
      <c r="JBP375" s="10"/>
      <c r="JBQ375" s="10"/>
      <c r="JBR375" s="21"/>
      <c r="JBS375" s="21"/>
      <c r="JBV375" s="21"/>
      <c r="JBW375" s="15"/>
      <c r="JBX375" s="15"/>
      <c r="JBY375" s="15"/>
      <c r="JBZ375" s="15"/>
      <c r="JCA375" s="15"/>
      <c r="JCB375" s="15"/>
      <c r="JCC375" s="15"/>
      <c r="JCD375" s="15"/>
      <c r="JCE375" s="15"/>
      <c r="JCF375" s="15"/>
      <c r="JCG375" s="10"/>
      <c r="JCH375" s="10"/>
      <c r="JCI375" s="21"/>
      <c r="JCJ375" s="21"/>
      <c r="JCM375" s="21"/>
      <c r="JCN375" s="15"/>
      <c r="JCO375" s="15"/>
      <c r="JCP375" s="15"/>
      <c r="JCQ375" s="15"/>
      <c r="JCR375" s="15"/>
      <c r="JCS375" s="15"/>
      <c r="JCT375" s="15"/>
      <c r="JCU375" s="15"/>
      <c r="JCV375" s="15"/>
      <c r="JCW375" s="15"/>
      <c r="JCX375" s="10"/>
      <c r="JCY375" s="10"/>
      <c r="JCZ375" s="21"/>
      <c r="JDA375" s="21"/>
      <c r="JDD375" s="21"/>
      <c r="JDE375" s="15"/>
      <c r="JDF375" s="15"/>
      <c r="JDG375" s="15"/>
      <c r="JDH375" s="15"/>
      <c r="JDI375" s="15"/>
      <c r="JDJ375" s="15"/>
      <c r="JDK375" s="15"/>
      <c r="JDL375" s="15"/>
      <c r="JDM375" s="15"/>
      <c r="JDN375" s="15"/>
      <c r="JDO375" s="10"/>
      <c r="JDP375" s="10"/>
      <c r="JDQ375" s="21"/>
      <c r="JDR375" s="21"/>
      <c r="JDU375" s="21"/>
      <c r="JDV375" s="15"/>
      <c r="JDW375" s="15"/>
      <c r="JDX375" s="15"/>
      <c r="JDY375" s="15"/>
      <c r="JDZ375" s="15"/>
      <c r="JEA375" s="15"/>
      <c r="JEB375" s="15"/>
      <c r="JEC375" s="15"/>
      <c r="JED375" s="15"/>
      <c r="JEE375" s="15"/>
      <c r="JEF375" s="10"/>
      <c r="JEG375" s="10"/>
      <c r="JEH375" s="21"/>
      <c r="JEI375" s="21"/>
      <c r="JEL375" s="21"/>
      <c r="JEM375" s="15"/>
      <c r="JEN375" s="15"/>
      <c r="JEO375" s="15"/>
      <c r="JEP375" s="15"/>
      <c r="JEQ375" s="15"/>
      <c r="JER375" s="15"/>
      <c r="JES375" s="15"/>
      <c r="JET375" s="15"/>
      <c r="JEU375" s="15"/>
      <c r="JEV375" s="15"/>
      <c r="JEW375" s="10"/>
      <c r="JEX375" s="10"/>
      <c r="JEY375" s="21"/>
      <c r="JEZ375" s="21"/>
      <c r="JFC375" s="21"/>
      <c r="JFD375" s="15"/>
      <c r="JFE375" s="15"/>
      <c r="JFF375" s="15"/>
      <c r="JFG375" s="15"/>
      <c r="JFH375" s="15"/>
      <c r="JFI375" s="15"/>
      <c r="JFJ375" s="15"/>
      <c r="JFK375" s="15"/>
      <c r="JFL375" s="15"/>
      <c r="JFM375" s="15"/>
      <c r="JFN375" s="10"/>
      <c r="JFO375" s="10"/>
      <c r="JFP375" s="21"/>
      <c r="JFQ375" s="21"/>
      <c r="JFT375" s="21"/>
      <c r="JFU375" s="15"/>
      <c r="JFV375" s="15"/>
      <c r="JFW375" s="15"/>
      <c r="JFX375" s="15"/>
      <c r="JFY375" s="15"/>
      <c r="JFZ375" s="15"/>
      <c r="JGA375" s="15"/>
      <c r="JGB375" s="15"/>
      <c r="JGC375" s="15"/>
      <c r="JGD375" s="15"/>
      <c r="JGE375" s="10"/>
      <c r="JGF375" s="10"/>
      <c r="JGG375" s="21"/>
      <c r="JGH375" s="21"/>
      <c r="JGK375" s="21"/>
      <c r="JGL375" s="15"/>
      <c r="JGM375" s="15"/>
      <c r="JGN375" s="15"/>
      <c r="JGO375" s="15"/>
      <c r="JGP375" s="15"/>
      <c r="JGQ375" s="15"/>
      <c r="JGR375" s="15"/>
      <c r="JGS375" s="15"/>
      <c r="JGT375" s="15"/>
      <c r="JGU375" s="15"/>
      <c r="JGV375" s="10"/>
      <c r="JGW375" s="10"/>
      <c r="JGX375" s="21"/>
      <c r="JGY375" s="21"/>
      <c r="JHB375" s="21"/>
      <c r="JHC375" s="15"/>
      <c r="JHD375" s="15"/>
      <c r="JHE375" s="15"/>
      <c r="JHF375" s="15"/>
      <c r="JHG375" s="15"/>
      <c r="JHH375" s="15"/>
      <c r="JHI375" s="15"/>
      <c r="JHJ375" s="15"/>
      <c r="JHK375" s="15"/>
      <c r="JHL375" s="15"/>
      <c r="JHM375" s="10"/>
      <c r="JHN375" s="10"/>
      <c r="JHO375" s="21"/>
      <c r="JHP375" s="21"/>
      <c r="JHS375" s="21"/>
      <c r="JHT375" s="15"/>
      <c r="JHU375" s="15"/>
      <c r="JHV375" s="15"/>
      <c r="JHW375" s="15"/>
      <c r="JHX375" s="15"/>
      <c r="JHY375" s="15"/>
      <c r="JHZ375" s="15"/>
      <c r="JIA375" s="15"/>
      <c r="JIB375" s="15"/>
      <c r="JIC375" s="15"/>
      <c r="JID375" s="10"/>
      <c r="JIE375" s="10"/>
      <c r="JIF375" s="21"/>
      <c r="JIG375" s="21"/>
      <c r="JIJ375" s="21"/>
      <c r="JIK375" s="15"/>
      <c r="JIL375" s="15"/>
      <c r="JIM375" s="15"/>
      <c r="JIN375" s="15"/>
      <c r="JIO375" s="15"/>
      <c r="JIP375" s="15"/>
      <c r="JIQ375" s="15"/>
      <c r="JIR375" s="15"/>
      <c r="JIS375" s="15"/>
      <c r="JIT375" s="15"/>
      <c r="JIU375" s="10"/>
      <c r="JIV375" s="10"/>
      <c r="JIW375" s="21"/>
      <c r="JIX375" s="21"/>
      <c r="JJA375" s="21"/>
      <c r="JJB375" s="15"/>
      <c r="JJC375" s="15"/>
      <c r="JJD375" s="15"/>
      <c r="JJE375" s="15"/>
      <c r="JJF375" s="15"/>
      <c r="JJG375" s="15"/>
      <c r="JJH375" s="15"/>
      <c r="JJI375" s="15"/>
      <c r="JJJ375" s="15"/>
      <c r="JJK375" s="15"/>
      <c r="JJL375" s="10"/>
      <c r="JJM375" s="10"/>
      <c r="JJN375" s="21"/>
      <c r="JJO375" s="21"/>
      <c r="JJR375" s="21"/>
      <c r="JJS375" s="15"/>
      <c r="JJT375" s="15"/>
      <c r="JJU375" s="15"/>
      <c r="JJV375" s="15"/>
      <c r="JJW375" s="15"/>
      <c r="JJX375" s="15"/>
      <c r="JJY375" s="15"/>
      <c r="JJZ375" s="15"/>
      <c r="JKA375" s="15"/>
      <c r="JKB375" s="15"/>
      <c r="JKC375" s="10"/>
      <c r="JKD375" s="10"/>
      <c r="JKE375" s="21"/>
      <c r="JKF375" s="21"/>
      <c r="JKI375" s="21"/>
      <c r="JKJ375" s="15"/>
      <c r="JKK375" s="15"/>
      <c r="JKL375" s="15"/>
      <c r="JKM375" s="15"/>
      <c r="JKN375" s="15"/>
      <c r="JKO375" s="15"/>
      <c r="JKP375" s="15"/>
      <c r="JKQ375" s="15"/>
      <c r="JKR375" s="15"/>
      <c r="JKS375" s="15"/>
      <c r="JKT375" s="10"/>
      <c r="JKU375" s="10"/>
      <c r="JKV375" s="21"/>
      <c r="JKW375" s="21"/>
      <c r="JKZ375" s="21"/>
      <c r="JLA375" s="15"/>
      <c r="JLB375" s="15"/>
      <c r="JLC375" s="15"/>
      <c r="JLD375" s="15"/>
      <c r="JLE375" s="15"/>
      <c r="JLF375" s="15"/>
      <c r="JLG375" s="15"/>
      <c r="JLH375" s="15"/>
      <c r="JLI375" s="15"/>
      <c r="JLJ375" s="15"/>
      <c r="JLK375" s="10"/>
      <c r="JLL375" s="10"/>
      <c r="JLM375" s="21"/>
      <c r="JLN375" s="21"/>
      <c r="JLQ375" s="21"/>
      <c r="JLR375" s="15"/>
      <c r="JLS375" s="15"/>
      <c r="JLT375" s="15"/>
      <c r="JLU375" s="15"/>
      <c r="JLV375" s="15"/>
      <c r="JLW375" s="15"/>
      <c r="JLX375" s="15"/>
      <c r="JLY375" s="15"/>
      <c r="JLZ375" s="15"/>
      <c r="JMA375" s="15"/>
      <c r="JMB375" s="10"/>
      <c r="JMC375" s="10"/>
      <c r="JMD375" s="21"/>
      <c r="JME375" s="21"/>
      <c r="JMH375" s="21"/>
      <c r="JMI375" s="15"/>
      <c r="JMJ375" s="15"/>
      <c r="JMK375" s="15"/>
      <c r="JML375" s="15"/>
      <c r="JMM375" s="15"/>
      <c r="JMN375" s="15"/>
      <c r="JMO375" s="15"/>
      <c r="JMP375" s="15"/>
      <c r="JMQ375" s="15"/>
      <c r="JMR375" s="15"/>
      <c r="JMS375" s="10"/>
      <c r="JMT375" s="10"/>
      <c r="JMU375" s="21"/>
      <c r="JMV375" s="21"/>
      <c r="JMY375" s="21"/>
      <c r="JMZ375" s="15"/>
      <c r="JNA375" s="15"/>
      <c r="JNB375" s="15"/>
      <c r="JNC375" s="15"/>
      <c r="JND375" s="15"/>
      <c r="JNE375" s="15"/>
      <c r="JNF375" s="15"/>
      <c r="JNG375" s="15"/>
      <c r="JNH375" s="15"/>
      <c r="JNI375" s="15"/>
      <c r="JNJ375" s="10"/>
      <c r="JNK375" s="10"/>
      <c r="JNL375" s="21"/>
      <c r="JNM375" s="21"/>
      <c r="JNP375" s="21"/>
      <c r="JNQ375" s="15"/>
      <c r="JNR375" s="15"/>
      <c r="JNS375" s="15"/>
      <c r="JNT375" s="15"/>
      <c r="JNU375" s="15"/>
      <c r="JNV375" s="15"/>
      <c r="JNW375" s="15"/>
      <c r="JNX375" s="15"/>
      <c r="JNY375" s="15"/>
      <c r="JNZ375" s="15"/>
      <c r="JOA375" s="10"/>
      <c r="JOB375" s="10"/>
      <c r="JOC375" s="21"/>
      <c r="JOD375" s="21"/>
      <c r="JOG375" s="21"/>
      <c r="JOH375" s="15"/>
      <c r="JOI375" s="15"/>
      <c r="JOJ375" s="15"/>
      <c r="JOK375" s="15"/>
      <c r="JOL375" s="15"/>
      <c r="JOM375" s="15"/>
      <c r="JON375" s="15"/>
      <c r="JOO375" s="15"/>
      <c r="JOP375" s="15"/>
      <c r="JOQ375" s="15"/>
      <c r="JOR375" s="10"/>
      <c r="JOS375" s="10"/>
      <c r="JOT375" s="21"/>
      <c r="JOU375" s="21"/>
      <c r="JOX375" s="21"/>
      <c r="JOY375" s="15"/>
      <c r="JOZ375" s="15"/>
      <c r="JPA375" s="15"/>
      <c r="JPB375" s="15"/>
      <c r="JPC375" s="15"/>
      <c r="JPD375" s="15"/>
      <c r="JPE375" s="15"/>
      <c r="JPF375" s="15"/>
      <c r="JPG375" s="15"/>
      <c r="JPH375" s="15"/>
      <c r="JPI375" s="10"/>
      <c r="JPJ375" s="10"/>
      <c r="JPK375" s="21"/>
      <c r="JPL375" s="21"/>
      <c r="JPO375" s="21"/>
      <c r="JPP375" s="15"/>
      <c r="JPQ375" s="15"/>
      <c r="JPR375" s="15"/>
      <c r="JPS375" s="15"/>
      <c r="JPT375" s="15"/>
      <c r="JPU375" s="15"/>
      <c r="JPV375" s="15"/>
      <c r="JPW375" s="15"/>
      <c r="JPX375" s="15"/>
      <c r="JPY375" s="15"/>
      <c r="JPZ375" s="10"/>
      <c r="JQA375" s="10"/>
      <c r="JQB375" s="21"/>
      <c r="JQC375" s="21"/>
      <c r="JQF375" s="21"/>
      <c r="JQG375" s="15"/>
      <c r="JQH375" s="15"/>
      <c r="JQI375" s="15"/>
      <c r="JQJ375" s="15"/>
      <c r="JQK375" s="15"/>
      <c r="JQL375" s="15"/>
      <c r="JQM375" s="15"/>
      <c r="JQN375" s="15"/>
      <c r="JQO375" s="15"/>
      <c r="JQP375" s="15"/>
      <c r="JQQ375" s="10"/>
      <c r="JQR375" s="10"/>
      <c r="JQS375" s="21"/>
      <c r="JQT375" s="21"/>
      <c r="JQW375" s="21"/>
      <c r="JQX375" s="15"/>
      <c r="JQY375" s="15"/>
      <c r="JQZ375" s="15"/>
      <c r="JRA375" s="15"/>
      <c r="JRB375" s="15"/>
      <c r="JRC375" s="15"/>
      <c r="JRD375" s="15"/>
      <c r="JRE375" s="15"/>
      <c r="JRF375" s="15"/>
      <c r="JRG375" s="15"/>
      <c r="JRH375" s="10"/>
      <c r="JRI375" s="10"/>
      <c r="JRJ375" s="21"/>
      <c r="JRK375" s="21"/>
      <c r="JRN375" s="21"/>
      <c r="JRO375" s="15"/>
      <c r="JRP375" s="15"/>
      <c r="JRQ375" s="15"/>
      <c r="JRR375" s="15"/>
      <c r="JRS375" s="15"/>
      <c r="JRT375" s="15"/>
      <c r="JRU375" s="15"/>
      <c r="JRV375" s="15"/>
      <c r="JRW375" s="15"/>
      <c r="JRX375" s="15"/>
      <c r="JRY375" s="10"/>
      <c r="JRZ375" s="10"/>
      <c r="JSA375" s="21"/>
      <c r="JSB375" s="21"/>
      <c r="JSE375" s="21"/>
      <c r="JSF375" s="15"/>
      <c r="JSG375" s="15"/>
      <c r="JSH375" s="15"/>
      <c r="JSI375" s="15"/>
      <c r="JSJ375" s="15"/>
      <c r="JSK375" s="15"/>
      <c r="JSL375" s="15"/>
      <c r="JSM375" s="15"/>
      <c r="JSN375" s="15"/>
      <c r="JSO375" s="15"/>
      <c r="JSP375" s="10"/>
      <c r="JSQ375" s="10"/>
      <c r="JSR375" s="21"/>
      <c r="JSS375" s="21"/>
      <c r="JSV375" s="21"/>
      <c r="JSW375" s="15"/>
      <c r="JSX375" s="15"/>
      <c r="JSY375" s="15"/>
      <c r="JSZ375" s="15"/>
      <c r="JTA375" s="15"/>
      <c r="JTB375" s="15"/>
      <c r="JTC375" s="15"/>
      <c r="JTD375" s="15"/>
      <c r="JTE375" s="15"/>
      <c r="JTF375" s="15"/>
      <c r="JTG375" s="10"/>
      <c r="JTH375" s="10"/>
      <c r="JTI375" s="21"/>
      <c r="JTJ375" s="21"/>
      <c r="JTM375" s="21"/>
      <c r="JTN375" s="15"/>
      <c r="JTO375" s="15"/>
      <c r="JTP375" s="15"/>
      <c r="JTQ375" s="15"/>
      <c r="JTR375" s="15"/>
      <c r="JTS375" s="15"/>
      <c r="JTT375" s="15"/>
      <c r="JTU375" s="15"/>
      <c r="JTV375" s="15"/>
      <c r="JTW375" s="15"/>
      <c r="JTX375" s="10"/>
      <c r="JTY375" s="10"/>
      <c r="JTZ375" s="21"/>
      <c r="JUA375" s="21"/>
      <c r="JUD375" s="21"/>
      <c r="JUE375" s="15"/>
      <c r="JUF375" s="15"/>
      <c r="JUG375" s="15"/>
      <c r="JUH375" s="15"/>
      <c r="JUI375" s="15"/>
      <c r="JUJ375" s="15"/>
      <c r="JUK375" s="15"/>
      <c r="JUL375" s="15"/>
      <c r="JUM375" s="15"/>
      <c r="JUN375" s="15"/>
      <c r="JUO375" s="10"/>
      <c r="JUP375" s="10"/>
      <c r="JUQ375" s="21"/>
      <c r="JUR375" s="21"/>
      <c r="JUU375" s="21"/>
      <c r="JUV375" s="15"/>
      <c r="JUW375" s="15"/>
      <c r="JUX375" s="15"/>
      <c r="JUY375" s="15"/>
      <c r="JUZ375" s="15"/>
      <c r="JVA375" s="15"/>
      <c r="JVB375" s="15"/>
      <c r="JVC375" s="15"/>
      <c r="JVD375" s="15"/>
      <c r="JVE375" s="15"/>
      <c r="JVF375" s="10"/>
      <c r="JVG375" s="10"/>
      <c r="JVH375" s="21"/>
      <c r="JVI375" s="21"/>
      <c r="JVL375" s="21"/>
      <c r="JVM375" s="15"/>
      <c r="JVN375" s="15"/>
      <c r="JVO375" s="15"/>
      <c r="JVP375" s="15"/>
      <c r="JVQ375" s="15"/>
      <c r="JVR375" s="15"/>
      <c r="JVS375" s="15"/>
      <c r="JVT375" s="15"/>
      <c r="JVU375" s="15"/>
      <c r="JVV375" s="15"/>
      <c r="JVW375" s="10"/>
      <c r="JVX375" s="10"/>
      <c r="JVY375" s="21"/>
      <c r="JVZ375" s="21"/>
      <c r="JWC375" s="21"/>
      <c r="JWD375" s="15"/>
      <c r="JWE375" s="15"/>
      <c r="JWF375" s="15"/>
      <c r="JWG375" s="15"/>
      <c r="JWH375" s="15"/>
      <c r="JWI375" s="15"/>
      <c r="JWJ375" s="15"/>
      <c r="JWK375" s="15"/>
      <c r="JWL375" s="15"/>
      <c r="JWM375" s="15"/>
      <c r="JWN375" s="10"/>
      <c r="JWO375" s="10"/>
      <c r="JWP375" s="21"/>
      <c r="JWQ375" s="21"/>
      <c r="JWT375" s="21"/>
      <c r="JWU375" s="15"/>
      <c r="JWV375" s="15"/>
      <c r="JWW375" s="15"/>
      <c r="JWX375" s="15"/>
      <c r="JWY375" s="15"/>
      <c r="JWZ375" s="15"/>
      <c r="JXA375" s="15"/>
      <c r="JXB375" s="15"/>
      <c r="JXC375" s="15"/>
      <c r="JXD375" s="15"/>
      <c r="JXE375" s="10"/>
      <c r="JXF375" s="10"/>
      <c r="JXG375" s="21"/>
      <c r="JXH375" s="21"/>
      <c r="JXK375" s="21"/>
      <c r="JXL375" s="15"/>
      <c r="JXM375" s="15"/>
      <c r="JXN375" s="15"/>
      <c r="JXO375" s="15"/>
      <c r="JXP375" s="15"/>
      <c r="JXQ375" s="15"/>
      <c r="JXR375" s="15"/>
      <c r="JXS375" s="15"/>
      <c r="JXT375" s="15"/>
      <c r="JXU375" s="15"/>
      <c r="JXV375" s="10"/>
      <c r="JXW375" s="10"/>
      <c r="JXX375" s="21"/>
      <c r="JXY375" s="21"/>
      <c r="JYB375" s="21"/>
      <c r="JYC375" s="15"/>
      <c r="JYD375" s="15"/>
      <c r="JYE375" s="15"/>
      <c r="JYF375" s="15"/>
      <c r="JYG375" s="15"/>
      <c r="JYH375" s="15"/>
      <c r="JYI375" s="15"/>
      <c r="JYJ375" s="15"/>
      <c r="JYK375" s="15"/>
      <c r="JYL375" s="15"/>
      <c r="JYM375" s="10"/>
      <c r="JYN375" s="10"/>
      <c r="JYO375" s="21"/>
      <c r="JYP375" s="21"/>
      <c r="JYS375" s="21"/>
      <c r="JYT375" s="15"/>
      <c r="JYU375" s="15"/>
      <c r="JYV375" s="15"/>
      <c r="JYW375" s="15"/>
      <c r="JYX375" s="15"/>
      <c r="JYY375" s="15"/>
      <c r="JYZ375" s="15"/>
      <c r="JZA375" s="15"/>
      <c r="JZB375" s="15"/>
      <c r="JZC375" s="15"/>
      <c r="JZD375" s="10"/>
      <c r="JZE375" s="10"/>
      <c r="JZF375" s="21"/>
      <c r="JZG375" s="21"/>
      <c r="JZJ375" s="21"/>
      <c r="JZK375" s="15"/>
      <c r="JZL375" s="15"/>
      <c r="JZM375" s="15"/>
      <c r="JZN375" s="15"/>
      <c r="JZO375" s="15"/>
      <c r="JZP375" s="15"/>
      <c r="JZQ375" s="15"/>
      <c r="JZR375" s="15"/>
      <c r="JZS375" s="15"/>
      <c r="JZT375" s="15"/>
      <c r="JZU375" s="10"/>
      <c r="JZV375" s="10"/>
      <c r="JZW375" s="21"/>
      <c r="JZX375" s="21"/>
      <c r="KAA375" s="21"/>
      <c r="KAB375" s="15"/>
      <c r="KAC375" s="15"/>
      <c r="KAD375" s="15"/>
      <c r="KAE375" s="15"/>
      <c r="KAF375" s="15"/>
      <c r="KAG375" s="15"/>
      <c r="KAH375" s="15"/>
      <c r="KAI375" s="15"/>
      <c r="KAJ375" s="15"/>
      <c r="KAK375" s="15"/>
      <c r="KAL375" s="10"/>
      <c r="KAM375" s="10"/>
      <c r="KAN375" s="21"/>
      <c r="KAO375" s="21"/>
      <c r="KAR375" s="21"/>
      <c r="KAS375" s="15"/>
      <c r="KAT375" s="15"/>
      <c r="KAU375" s="15"/>
      <c r="KAV375" s="15"/>
      <c r="KAW375" s="15"/>
      <c r="KAX375" s="15"/>
      <c r="KAY375" s="15"/>
      <c r="KAZ375" s="15"/>
      <c r="KBA375" s="15"/>
      <c r="KBB375" s="15"/>
      <c r="KBC375" s="10"/>
      <c r="KBD375" s="10"/>
      <c r="KBE375" s="21"/>
      <c r="KBF375" s="21"/>
      <c r="KBI375" s="21"/>
      <c r="KBJ375" s="15"/>
      <c r="KBK375" s="15"/>
      <c r="KBL375" s="15"/>
      <c r="KBM375" s="15"/>
      <c r="KBN375" s="15"/>
      <c r="KBO375" s="15"/>
      <c r="KBP375" s="15"/>
      <c r="KBQ375" s="15"/>
      <c r="KBR375" s="15"/>
      <c r="KBS375" s="15"/>
      <c r="KBT375" s="10"/>
      <c r="KBU375" s="10"/>
      <c r="KBV375" s="21"/>
      <c r="KBW375" s="21"/>
      <c r="KBZ375" s="21"/>
      <c r="KCA375" s="15"/>
      <c r="KCB375" s="15"/>
      <c r="KCC375" s="15"/>
      <c r="KCD375" s="15"/>
      <c r="KCE375" s="15"/>
      <c r="KCF375" s="15"/>
      <c r="KCG375" s="15"/>
      <c r="KCH375" s="15"/>
      <c r="KCI375" s="15"/>
      <c r="KCJ375" s="15"/>
      <c r="KCK375" s="10"/>
      <c r="KCL375" s="10"/>
      <c r="KCM375" s="21"/>
      <c r="KCN375" s="21"/>
      <c r="KCQ375" s="21"/>
      <c r="KCR375" s="15"/>
      <c r="KCS375" s="15"/>
      <c r="KCT375" s="15"/>
      <c r="KCU375" s="15"/>
      <c r="KCV375" s="15"/>
      <c r="KCW375" s="15"/>
      <c r="KCX375" s="15"/>
      <c r="KCY375" s="15"/>
      <c r="KCZ375" s="15"/>
      <c r="KDA375" s="15"/>
      <c r="KDB375" s="10"/>
      <c r="KDC375" s="10"/>
      <c r="KDD375" s="21"/>
      <c r="KDE375" s="21"/>
      <c r="KDH375" s="21"/>
      <c r="KDI375" s="15"/>
      <c r="KDJ375" s="15"/>
      <c r="KDK375" s="15"/>
      <c r="KDL375" s="15"/>
      <c r="KDM375" s="15"/>
      <c r="KDN375" s="15"/>
      <c r="KDO375" s="15"/>
      <c r="KDP375" s="15"/>
      <c r="KDQ375" s="15"/>
      <c r="KDR375" s="15"/>
      <c r="KDS375" s="10"/>
      <c r="KDT375" s="10"/>
      <c r="KDU375" s="21"/>
      <c r="KDV375" s="21"/>
      <c r="KDY375" s="21"/>
      <c r="KDZ375" s="15"/>
      <c r="KEA375" s="15"/>
      <c r="KEB375" s="15"/>
      <c r="KEC375" s="15"/>
      <c r="KED375" s="15"/>
      <c r="KEE375" s="15"/>
      <c r="KEF375" s="15"/>
      <c r="KEG375" s="15"/>
      <c r="KEH375" s="15"/>
      <c r="KEI375" s="15"/>
      <c r="KEJ375" s="10"/>
      <c r="KEK375" s="10"/>
      <c r="KEL375" s="21"/>
      <c r="KEM375" s="21"/>
      <c r="KEP375" s="21"/>
      <c r="KEQ375" s="15"/>
      <c r="KER375" s="15"/>
      <c r="KES375" s="15"/>
      <c r="KET375" s="15"/>
      <c r="KEU375" s="15"/>
      <c r="KEV375" s="15"/>
      <c r="KEW375" s="15"/>
      <c r="KEX375" s="15"/>
      <c r="KEY375" s="15"/>
      <c r="KEZ375" s="15"/>
      <c r="KFA375" s="10"/>
      <c r="KFB375" s="10"/>
      <c r="KFC375" s="21"/>
      <c r="KFD375" s="21"/>
      <c r="KFG375" s="21"/>
      <c r="KFH375" s="15"/>
      <c r="KFI375" s="15"/>
      <c r="KFJ375" s="15"/>
      <c r="KFK375" s="15"/>
      <c r="KFL375" s="15"/>
      <c r="KFM375" s="15"/>
      <c r="KFN375" s="15"/>
      <c r="KFO375" s="15"/>
      <c r="KFP375" s="15"/>
      <c r="KFQ375" s="15"/>
      <c r="KFR375" s="10"/>
      <c r="KFS375" s="10"/>
      <c r="KFT375" s="21"/>
      <c r="KFU375" s="21"/>
      <c r="KFX375" s="21"/>
      <c r="KFY375" s="15"/>
      <c r="KFZ375" s="15"/>
      <c r="KGA375" s="15"/>
      <c r="KGB375" s="15"/>
      <c r="KGC375" s="15"/>
      <c r="KGD375" s="15"/>
      <c r="KGE375" s="15"/>
      <c r="KGF375" s="15"/>
      <c r="KGG375" s="15"/>
      <c r="KGH375" s="15"/>
      <c r="KGI375" s="10"/>
      <c r="KGJ375" s="10"/>
      <c r="KGK375" s="21"/>
      <c r="KGL375" s="21"/>
      <c r="KGO375" s="21"/>
      <c r="KGP375" s="15"/>
      <c r="KGQ375" s="15"/>
      <c r="KGR375" s="15"/>
      <c r="KGS375" s="15"/>
      <c r="KGT375" s="15"/>
      <c r="KGU375" s="15"/>
      <c r="KGV375" s="15"/>
      <c r="KGW375" s="15"/>
      <c r="KGX375" s="15"/>
      <c r="KGY375" s="15"/>
      <c r="KGZ375" s="10"/>
      <c r="KHA375" s="10"/>
      <c r="KHB375" s="21"/>
      <c r="KHC375" s="21"/>
      <c r="KHF375" s="21"/>
      <c r="KHG375" s="15"/>
      <c r="KHH375" s="15"/>
      <c r="KHI375" s="15"/>
      <c r="KHJ375" s="15"/>
      <c r="KHK375" s="15"/>
      <c r="KHL375" s="15"/>
      <c r="KHM375" s="15"/>
      <c r="KHN375" s="15"/>
      <c r="KHO375" s="15"/>
      <c r="KHP375" s="15"/>
      <c r="KHQ375" s="10"/>
      <c r="KHR375" s="10"/>
      <c r="KHS375" s="21"/>
      <c r="KHT375" s="21"/>
      <c r="KHW375" s="21"/>
      <c r="KHX375" s="15"/>
      <c r="KHY375" s="15"/>
      <c r="KHZ375" s="15"/>
      <c r="KIA375" s="15"/>
      <c r="KIB375" s="15"/>
      <c r="KIC375" s="15"/>
      <c r="KID375" s="15"/>
      <c r="KIE375" s="15"/>
      <c r="KIF375" s="15"/>
      <c r="KIG375" s="15"/>
      <c r="KIH375" s="10"/>
      <c r="KII375" s="10"/>
      <c r="KIJ375" s="21"/>
      <c r="KIK375" s="21"/>
      <c r="KIN375" s="21"/>
      <c r="KIO375" s="15"/>
      <c r="KIP375" s="15"/>
      <c r="KIQ375" s="15"/>
      <c r="KIR375" s="15"/>
      <c r="KIS375" s="15"/>
      <c r="KIT375" s="15"/>
      <c r="KIU375" s="15"/>
      <c r="KIV375" s="15"/>
      <c r="KIW375" s="15"/>
      <c r="KIX375" s="15"/>
      <c r="KIY375" s="10"/>
      <c r="KIZ375" s="10"/>
      <c r="KJA375" s="21"/>
      <c r="KJB375" s="21"/>
      <c r="KJE375" s="21"/>
      <c r="KJF375" s="15"/>
      <c r="KJG375" s="15"/>
      <c r="KJH375" s="15"/>
      <c r="KJI375" s="15"/>
      <c r="KJJ375" s="15"/>
      <c r="KJK375" s="15"/>
      <c r="KJL375" s="15"/>
      <c r="KJM375" s="15"/>
      <c r="KJN375" s="15"/>
      <c r="KJO375" s="15"/>
      <c r="KJP375" s="10"/>
      <c r="KJQ375" s="10"/>
      <c r="KJR375" s="21"/>
      <c r="KJS375" s="21"/>
      <c r="KJV375" s="21"/>
      <c r="KJW375" s="15"/>
      <c r="KJX375" s="15"/>
      <c r="KJY375" s="15"/>
      <c r="KJZ375" s="15"/>
      <c r="KKA375" s="15"/>
      <c r="KKB375" s="15"/>
      <c r="KKC375" s="15"/>
      <c r="KKD375" s="15"/>
      <c r="KKE375" s="15"/>
      <c r="KKF375" s="15"/>
      <c r="KKG375" s="10"/>
      <c r="KKH375" s="10"/>
      <c r="KKI375" s="21"/>
      <c r="KKJ375" s="21"/>
      <c r="KKM375" s="21"/>
      <c r="KKN375" s="15"/>
      <c r="KKO375" s="15"/>
      <c r="KKP375" s="15"/>
      <c r="KKQ375" s="15"/>
      <c r="KKR375" s="15"/>
      <c r="KKS375" s="15"/>
      <c r="KKT375" s="15"/>
      <c r="KKU375" s="15"/>
      <c r="KKV375" s="15"/>
      <c r="KKW375" s="15"/>
      <c r="KKX375" s="10"/>
      <c r="KKY375" s="10"/>
      <c r="KKZ375" s="21"/>
      <c r="KLA375" s="21"/>
      <c r="KLD375" s="21"/>
      <c r="KLE375" s="15"/>
      <c r="KLF375" s="15"/>
      <c r="KLG375" s="15"/>
      <c r="KLH375" s="15"/>
      <c r="KLI375" s="15"/>
      <c r="KLJ375" s="15"/>
      <c r="KLK375" s="15"/>
      <c r="KLL375" s="15"/>
      <c r="KLM375" s="15"/>
      <c r="KLN375" s="15"/>
      <c r="KLO375" s="10"/>
      <c r="KLP375" s="10"/>
      <c r="KLQ375" s="21"/>
      <c r="KLR375" s="21"/>
      <c r="KLU375" s="21"/>
      <c r="KLV375" s="15"/>
      <c r="KLW375" s="15"/>
      <c r="KLX375" s="15"/>
      <c r="KLY375" s="15"/>
      <c r="KLZ375" s="15"/>
      <c r="KMA375" s="15"/>
      <c r="KMB375" s="15"/>
      <c r="KMC375" s="15"/>
      <c r="KMD375" s="15"/>
      <c r="KME375" s="15"/>
      <c r="KMF375" s="10"/>
      <c r="KMG375" s="10"/>
      <c r="KMH375" s="21"/>
      <c r="KMI375" s="21"/>
      <c r="KML375" s="21"/>
      <c r="KMM375" s="15"/>
      <c r="KMN375" s="15"/>
      <c r="KMO375" s="15"/>
      <c r="KMP375" s="15"/>
      <c r="KMQ375" s="15"/>
      <c r="KMR375" s="15"/>
      <c r="KMS375" s="15"/>
      <c r="KMT375" s="15"/>
      <c r="KMU375" s="15"/>
      <c r="KMV375" s="15"/>
      <c r="KMW375" s="10"/>
      <c r="KMX375" s="10"/>
      <c r="KMY375" s="21"/>
      <c r="KMZ375" s="21"/>
      <c r="KNC375" s="21"/>
      <c r="KND375" s="15"/>
      <c r="KNE375" s="15"/>
      <c r="KNF375" s="15"/>
      <c r="KNG375" s="15"/>
      <c r="KNH375" s="15"/>
      <c r="KNI375" s="15"/>
      <c r="KNJ375" s="15"/>
      <c r="KNK375" s="15"/>
      <c r="KNL375" s="15"/>
      <c r="KNM375" s="15"/>
      <c r="KNN375" s="10"/>
      <c r="KNO375" s="10"/>
      <c r="KNP375" s="21"/>
      <c r="KNQ375" s="21"/>
      <c r="KNT375" s="21"/>
      <c r="KNU375" s="15"/>
      <c r="KNV375" s="15"/>
      <c r="KNW375" s="15"/>
      <c r="KNX375" s="15"/>
      <c r="KNY375" s="15"/>
      <c r="KNZ375" s="15"/>
      <c r="KOA375" s="15"/>
      <c r="KOB375" s="15"/>
      <c r="KOC375" s="15"/>
      <c r="KOD375" s="15"/>
      <c r="KOE375" s="10"/>
      <c r="KOF375" s="10"/>
      <c r="KOG375" s="21"/>
      <c r="KOH375" s="21"/>
      <c r="KOK375" s="21"/>
      <c r="KOL375" s="15"/>
      <c r="KOM375" s="15"/>
      <c r="KON375" s="15"/>
      <c r="KOO375" s="15"/>
      <c r="KOP375" s="15"/>
      <c r="KOQ375" s="15"/>
      <c r="KOR375" s="15"/>
      <c r="KOS375" s="15"/>
      <c r="KOT375" s="15"/>
      <c r="KOU375" s="15"/>
      <c r="KOV375" s="10"/>
      <c r="KOW375" s="10"/>
      <c r="KOX375" s="21"/>
      <c r="KOY375" s="21"/>
      <c r="KPB375" s="21"/>
      <c r="KPC375" s="15"/>
      <c r="KPD375" s="15"/>
      <c r="KPE375" s="15"/>
      <c r="KPF375" s="15"/>
      <c r="KPG375" s="15"/>
      <c r="KPH375" s="15"/>
      <c r="KPI375" s="15"/>
      <c r="KPJ375" s="15"/>
      <c r="KPK375" s="15"/>
      <c r="KPL375" s="15"/>
      <c r="KPM375" s="10"/>
      <c r="KPN375" s="10"/>
      <c r="KPO375" s="21"/>
      <c r="KPP375" s="21"/>
      <c r="KPS375" s="21"/>
      <c r="KPT375" s="15"/>
      <c r="KPU375" s="15"/>
      <c r="KPV375" s="15"/>
      <c r="KPW375" s="15"/>
      <c r="KPX375" s="15"/>
      <c r="KPY375" s="15"/>
      <c r="KPZ375" s="15"/>
      <c r="KQA375" s="15"/>
      <c r="KQB375" s="15"/>
      <c r="KQC375" s="15"/>
      <c r="KQD375" s="10"/>
      <c r="KQE375" s="10"/>
      <c r="KQF375" s="21"/>
      <c r="KQG375" s="21"/>
      <c r="KQJ375" s="21"/>
      <c r="KQK375" s="15"/>
      <c r="KQL375" s="15"/>
      <c r="KQM375" s="15"/>
      <c r="KQN375" s="15"/>
      <c r="KQO375" s="15"/>
      <c r="KQP375" s="15"/>
      <c r="KQQ375" s="15"/>
      <c r="KQR375" s="15"/>
      <c r="KQS375" s="15"/>
      <c r="KQT375" s="15"/>
      <c r="KQU375" s="10"/>
      <c r="KQV375" s="10"/>
      <c r="KQW375" s="21"/>
      <c r="KQX375" s="21"/>
      <c r="KRA375" s="21"/>
      <c r="KRB375" s="15"/>
      <c r="KRC375" s="15"/>
      <c r="KRD375" s="15"/>
      <c r="KRE375" s="15"/>
      <c r="KRF375" s="15"/>
      <c r="KRG375" s="15"/>
      <c r="KRH375" s="15"/>
      <c r="KRI375" s="15"/>
      <c r="KRJ375" s="15"/>
      <c r="KRK375" s="15"/>
      <c r="KRL375" s="10"/>
      <c r="KRM375" s="10"/>
      <c r="KRN375" s="21"/>
      <c r="KRO375" s="21"/>
      <c r="KRR375" s="21"/>
      <c r="KRS375" s="15"/>
      <c r="KRT375" s="15"/>
      <c r="KRU375" s="15"/>
      <c r="KRV375" s="15"/>
      <c r="KRW375" s="15"/>
      <c r="KRX375" s="15"/>
      <c r="KRY375" s="15"/>
      <c r="KRZ375" s="15"/>
      <c r="KSA375" s="15"/>
      <c r="KSB375" s="15"/>
      <c r="KSC375" s="10"/>
      <c r="KSD375" s="10"/>
      <c r="KSE375" s="21"/>
      <c r="KSF375" s="21"/>
      <c r="KSI375" s="21"/>
      <c r="KSJ375" s="15"/>
      <c r="KSK375" s="15"/>
      <c r="KSL375" s="15"/>
      <c r="KSM375" s="15"/>
      <c r="KSN375" s="15"/>
      <c r="KSO375" s="15"/>
      <c r="KSP375" s="15"/>
      <c r="KSQ375" s="15"/>
      <c r="KSR375" s="15"/>
      <c r="KSS375" s="15"/>
      <c r="KST375" s="10"/>
      <c r="KSU375" s="10"/>
      <c r="KSV375" s="21"/>
      <c r="KSW375" s="21"/>
      <c r="KSZ375" s="21"/>
      <c r="KTA375" s="15"/>
      <c r="KTB375" s="15"/>
      <c r="KTC375" s="15"/>
      <c r="KTD375" s="15"/>
      <c r="KTE375" s="15"/>
      <c r="KTF375" s="15"/>
      <c r="KTG375" s="15"/>
      <c r="KTH375" s="15"/>
      <c r="KTI375" s="15"/>
      <c r="KTJ375" s="15"/>
      <c r="KTK375" s="10"/>
      <c r="KTL375" s="10"/>
      <c r="KTM375" s="21"/>
      <c r="KTN375" s="21"/>
      <c r="KTQ375" s="21"/>
      <c r="KTR375" s="15"/>
      <c r="KTS375" s="15"/>
      <c r="KTT375" s="15"/>
      <c r="KTU375" s="15"/>
      <c r="KTV375" s="15"/>
      <c r="KTW375" s="15"/>
      <c r="KTX375" s="15"/>
      <c r="KTY375" s="15"/>
      <c r="KTZ375" s="15"/>
      <c r="KUA375" s="15"/>
      <c r="KUB375" s="10"/>
      <c r="KUC375" s="10"/>
      <c r="KUD375" s="21"/>
      <c r="KUE375" s="21"/>
      <c r="KUH375" s="21"/>
      <c r="KUI375" s="15"/>
      <c r="KUJ375" s="15"/>
      <c r="KUK375" s="15"/>
      <c r="KUL375" s="15"/>
      <c r="KUM375" s="15"/>
      <c r="KUN375" s="15"/>
      <c r="KUO375" s="15"/>
      <c r="KUP375" s="15"/>
      <c r="KUQ375" s="15"/>
      <c r="KUR375" s="15"/>
      <c r="KUS375" s="10"/>
      <c r="KUT375" s="10"/>
      <c r="KUU375" s="21"/>
      <c r="KUV375" s="21"/>
      <c r="KUY375" s="21"/>
      <c r="KUZ375" s="15"/>
      <c r="KVA375" s="15"/>
      <c r="KVB375" s="15"/>
      <c r="KVC375" s="15"/>
      <c r="KVD375" s="15"/>
      <c r="KVE375" s="15"/>
      <c r="KVF375" s="15"/>
      <c r="KVG375" s="15"/>
      <c r="KVH375" s="15"/>
      <c r="KVI375" s="15"/>
      <c r="KVJ375" s="10"/>
      <c r="KVK375" s="10"/>
      <c r="KVL375" s="21"/>
      <c r="KVM375" s="21"/>
      <c r="KVP375" s="21"/>
      <c r="KVQ375" s="15"/>
      <c r="KVR375" s="15"/>
      <c r="KVS375" s="15"/>
      <c r="KVT375" s="15"/>
      <c r="KVU375" s="15"/>
      <c r="KVV375" s="15"/>
      <c r="KVW375" s="15"/>
      <c r="KVX375" s="15"/>
      <c r="KVY375" s="15"/>
      <c r="KVZ375" s="15"/>
      <c r="KWA375" s="10"/>
      <c r="KWB375" s="10"/>
      <c r="KWC375" s="21"/>
      <c r="KWD375" s="21"/>
      <c r="KWG375" s="21"/>
      <c r="KWH375" s="15"/>
      <c r="KWI375" s="15"/>
      <c r="KWJ375" s="15"/>
      <c r="KWK375" s="15"/>
      <c r="KWL375" s="15"/>
      <c r="KWM375" s="15"/>
      <c r="KWN375" s="15"/>
      <c r="KWO375" s="15"/>
      <c r="KWP375" s="15"/>
      <c r="KWQ375" s="15"/>
      <c r="KWR375" s="10"/>
      <c r="KWS375" s="10"/>
      <c r="KWT375" s="21"/>
      <c r="KWU375" s="21"/>
      <c r="KWX375" s="21"/>
      <c r="KWY375" s="15"/>
      <c r="KWZ375" s="15"/>
      <c r="KXA375" s="15"/>
      <c r="KXB375" s="15"/>
      <c r="KXC375" s="15"/>
      <c r="KXD375" s="15"/>
      <c r="KXE375" s="15"/>
      <c r="KXF375" s="15"/>
      <c r="KXG375" s="15"/>
      <c r="KXH375" s="15"/>
      <c r="KXI375" s="10"/>
      <c r="KXJ375" s="10"/>
      <c r="KXK375" s="21"/>
      <c r="KXL375" s="21"/>
      <c r="KXO375" s="21"/>
      <c r="KXP375" s="15"/>
      <c r="KXQ375" s="15"/>
      <c r="KXR375" s="15"/>
      <c r="KXS375" s="15"/>
      <c r="KXT375" s="15"/>
      <c r="KXU375" s="15"/>
      <c r="KXV375" s="15"/>
      <c r="KXW375" s="15"/>
      <c r="KXX375" s="15"/>
      <c r="KXY375" s="15"/>
      <c r="KXZ375" s="10"/>
      <c r="KYA375" s="10"/>
      <c r="KYB375" s="21"/>
      <c r="KYC375" s="21"/>
      <c r="KYF375" s="21"/>
      <c r="KYG375" s="15"/>
      <c r="KYH375" s="15"/>
      <c r="KYI375" s="15"/>
      <c r="KYJ375" s="15"/>
      <c r="KYK375" s="15"/>
      <c r="KYL375" s="15"/>
      <c r="KYM375" s="15"/>
      <c r="KYN375" s="15"/>
      <c r="KYO375" s="15"/>
      <c r="KYP375" s="15"/>
      <c r="KYQ375" s="10"/>
      <c r="KYR375" s="10"/>
      <c r="KYS375" s="21"/>
      <c r="KYT375" s="21"/>
      <c r="KYW375" s="21"/>
      <c r="KYX375" s="15"/>
      <c r="KYY375" s="15"/>
      <c r="KYZ375" s="15"/>
      <c r="KZA375" s="15"/>
      <c r="KZB375" s="15"/>
      <c r="KZC375" s="15"/>
      <c r="KZD375" s="15"/>
      <c r="KZE375" s="15"/>
      <c r="KZF375" s="15"/>
      <c r="KZG375" s="15"/>
      <c r="KZH375" s="10"/>
      <c r="KZI375" s="10"/>
      <c r="KZJ375" s="21"/>
      <c r="KZK375" s="21"/>
      <c r="KZN375" s="21"/>
      <c r="KZO375" s="15"/>
      <c r="KZP375" s="15"/>
      <c r="KZQ375" s="15"/>
      <c r="KZR375" s="15"/>
      <c r="KZS375" s="15"/>
      <c r="KZT375" s="15"/>
      <c r="KZU375" s="15"/>
      <c r="KZV375" s="15"/>
      <c r="KZW375" s="15"/>
      <c r="KZX375" s="15"/>
      <c r="KZY375" s="10"/>
      <c r="KZZ375" s="10"/>
      <c r="LAA375" s="21"/>
      <c r="LAB375" s="21"/>
      <c r="LAE375" s="21"/>
      <c r="LAF375" s="15"/>
      <c r="LAG375" s="15"/>
      <c r="LAH375" s="15"/>
      <c r="LAI375" s="15"/>
      <c r="LAJ375" s="15"/>
      <c r="LAK375" s="15"/>
      <c r="LAL375" s="15"/>
      <c r="LAM375" s="15"/>
      <c r="LAN375" s="15"/>
      <c r="LAO375" s="15"/>
      <c r="LAP375" s="10"/>
      <c r="LAQ375" s="10"/>
      <c r="LAR375" s="21"/>
      <c r="LAS375" s="21"/>
      <c r="LAV375" s="21"/>
      <c r="LAW375" s="15"/>
      <c r="LAX375" s="15"/>
      <c r="LAY375" s="15"/>
      <c r="LAZ375" s="15"/>
      <c r="LBA375" s="15"/>
      <c r="LBB375" s="15"/>
      <c r="LBC375" s="15"/>
      <c r="LBD375" s="15"/>
      <c r="LBE375" s="15"/>
      <c r="LBF375" s="15"/>
      <c r="LBG375" s="10"/>
      <c r="LBH375" s="10"/>
      <c r="LBI375" s="21"/>
      <c r="LBJ375" s="21"/>
      <c r="LBM375" s="21"/>
      <c r="LBN375" s="15"/>
      <c r="LBO375" s="15"/>
      <c r="LBP375" s="15"/>
      <c r="LBQ375" s="15"/>
      <c r="LBR375" s="15"/>
      <c r="LBS375" s="15"/>
      <c r="LBT375" s="15"/>
      <c r="LBU375" s="15"/>
      <c r="LBV375" s="15"/>
      <c r="LBW375" s="15"/>
      <c r="LBX375" s="10"/>
      <c r="LBY375" s="10"/>
      <c r="LBZ375" s="21"/>
      <c r="LCA375" s="21"/>
      <c r="LCD375" s="21"/>
      <c r="LCE375" s="15"/>
      <c r="LCF375" s="15"/>
      <c r="LCG375" s="15"/>
      <c r="LCH375" s="15"/>
      <c r="LCI375" s="15"/>
      <c r="LCJ375" s="15"/>
      <c r="LCK375" s="15"/>
      <c r="LCL375" s="15"/>
      <c r="LCM375" s="15"/>
      <c r="LCN375" s="15"/>
      <c r="LCO375" s="10"/>
      <c r="LCP375" s="10"/>
      <c r="LCQ375" s="21"/>
      <c r="LCR375" s="21"/>
      <c r="LCU375" s="21"/>
      <c r="LCV375" s="15"/>
      <c r="LCW375" s="15"/>
      <c r="LCX375" s="15"/>
      <c r="LCY375" s="15"/>
      <c r="LCZ375" s="15"/>
      <c r="LDA375" s="15"/>
      <c r="LDB375" s="15"/>
      <c r="LDC375" s="15"/>
      <c r="LDD375" s="15"/>
      <c r="LDE375" s="15"/>
      <c r="LDF375" s="10"/>
      <c r="LDG375" s="10"/>
      <c r="LDH375" s="21"/>
      <c r="LDI375" s="21"/>
      <c r="LDL375" s="21"/>
      <c r="LDM375" s="15"/>
      <c r="LDN375" s="15"/>
      <c r="LDO375" s="15"/>
      <c r="LDP375" s="15"/>
      <c r="LDQ375" s="15"/>
      <c r="LDR375" s="15"/>
      <c r="LDS375" s="15"/>
      <c r="LDT375" s="15"/>
      <c r="LDU375" s="15"/>
      <c r="LDV375" s="15"/>
      <c r="LDW375" s="10"/>
      <c r="LDX375" s="10"/>
      <c r="LDY375" s="21"/>
      <c r="LDZ375" s="21"/>
      <c r="LEC375" s="21"/>
      <c r="LED375" s="15"/>
      <c r="LEE375" s="15"/>
      <c r="LEF375" s="15"/>
      <c r="LEG375" s="15"/>
      <c r="LEH375" s="15"/>
      <c r="LEI375" s="15"/>
      <c r="LEJ375" s="15"/>
      <c r="LEK375" s="15"/>
      <c r="LEL375" s="15"/>
      <c r="LEM375" s="15"/>
      <c r="LEN375" s="10"/>
      <c r="LEO375" s="10"/>
      <c r="LEP375" s="21"/>
      <c r="LEQ375" s="21"/>
      <c r="LET375" s="21"/>
      <c r="LEU375" s="15"/>
      <c r="LEV375" s="15"/>
      <c r="LEW375" s="15"/>
      <c r="LEX375" s="15"/>
      <c r="LEY375" s="15"/>
      <c r="LEZ375" s="15"/>
      <c r="LFA375" s="15"/>
      <c r="LFB375" s="15"/>
      <c r="LFC375" s="15"/>
      <c r="LFD375" s="15"/>
      <c r="LFE375" s="10"/>
      <c r="LFF375" s="10"/>
      <c r="LFG375" s="21"/>
      <c r="LFH375" s="21"/>
      <c r="LFK375" s="21"/>
      <c r="LFL375" s="15"/>
      <c r="LFM375" s="15"/>
      <c r="LFN375" s="15"/>
      <c r="LFO375" s="15"/>
      <c r="LFP375" s="15"/>
      <c r="LFQ375" s="15"/>
      <c r="LFR375" s="15"/>
      <c r="LFS375" s="15"/>
      <c r="LFT375" s="15"/>
      <c r="LFU375" s="15"/>
      <c r="LFV375" s="10"/>
      <c r="LFW375" s="10"/>
      <c r="LFX375" s="21"/>
      <c r="LFY375" s="21"/>
      <c r="LGB375" s="21"/>
      <c r="LGC375" s="15"/>
      <c r="LGD375" s="15"/>
      <c r="LGE375" s="15"/>
      <c r="LGF375" s="15"/>
      <c r="LGG375" s="15"/>
      <c r="LGH375" s="15"/>
      <c r="LGI375" s="15"/>
      <c r="LGJ375" s="15"/>
      <c r="LGK375" s="15"/>
      <c r="LGL375" s="15"/>
      <c r="LGM375" s="10"/>
      <c r="LGN375" s="10"/>
      <c r="LGO375" s="21"/>
      <c r="LGP375" s="21"/>
      <c r="LGS375" s="21"/>
      <c r="LGT375" s="15"/>
      <c r="LGU375" s="15"/>
      <c r="LGV375" s="15"/>
      <c r="LGW375" s="15"/>
      <c r="LGX375" s="15"/>
      <c r="LGY375" s="15"/>
      <c r="LGZ375" s="15"/>
      <c r="LHA375" s="15"/>
      <c r="LHB375" s="15"/>
      <c r="LHC375" s="15"/>
      <c r="LHD375" s="10"/>
      <c r="LHE375" s="10"/>
      <c r="LHF375" s="21"/>
      <c r="LHG375" s="21"/>
      <c r="LHJ375" s="21"/>
      <c r="LHK375" s="15"/>
      <c r="LHL375" s="15"/>
      <c r="LHM375" s="15"/>
      <c r="LHN375" s="15"/>
      <c r="LHO375" s="15"/>
      <c r="LHP375" s="15"/>
      <c r="LHQ375" s="15"/>
      <c r="LHR375" s="15"/>
      <c r="LHS375" s="15"/>
      <c r="LHT375" s="15"/>
      <c r="LHU375" s="10"/>
      <c r="LHV375" s="10"/>
      <c r="LHW375" s="21"/>
      <c r="LHX375" s="21"/>
      <c r="LIA375" s="21"/>
      <c r="LIB375" s="15"/>
      <c r="LIC375" s="15"/>
      <c r="LID375" s="15"/>
      <c r="LIE375" s="15"/>
      <c r="LIF375" s="15"/>
      <c r="LIG375" s="15"/>
      <c r="LIH375" s="15"/>
      <c r="LII375" s="15"/>
      <c r="LIJ375" s="15"/>
      <c r="LIK375" s="15"/>
      <c r="LIL375" s="10"/>
      <c r="LIM375" s="10"/>
      <c r="LIN375" s="21"/>
      <c r="LIO375" s="21"/>
      <c r="LIR375" s="21"/>
      <c r="LIS375" s="15"/>
      <c r="LIT375" s="15"/>
      <c r="LIU375" s="15"/>
      <c r="LIV375" s="15"/>
      <c r="LIW375" s="15"/>
      <c r="LIX375" s="15"/>
      <c r="LIY375" s="15"/>
      <c r="LIZ375" s="15"/>
      <c r="LJA375" s="15"/>
      <c r="LJB375" s="15"/>
      <c r="LJC375" s="10"/>
      <c r="LJD375" s="10"/>
      <c r="LJE375" s="21"/>
      <c r="LJF375" s="21"/>
      <c r="LJI375" s="21"/>
      <c r="LJJ375" s="15"/>
      <c r="LJK375" s="15"/>
      <c r="LJL375" s="15"/>
      <c r="LJM375" s="15"/>
      <c r="LJN375" s="15"/>
      <c r="LJO375" s="15"/>
      <c r="LJP375" s="15"/>
      <c r="LJQ375" s="15"/>
      <c r="LJR375" s="15"/>
      <c r="LJS375" s="15"/>
      <c r="LJT375" s="10"/>
      <c r="LJU375" s="10"/>
      <c r="LJV375" s="21"/>
      <c r="LJW375" s="21"/>
      <c r="LJZ375" s="21"/>
      <c r="LKA375" s="15"/>
      <c r="LKB375" s="15"/>
      <c r="LKC375" s="15"/>
      <c r="LKD375" s="15"/>
      <c r="LKE375" s="15"/>
      <c r="LKF375" s="15"/>
      <c r="LKG375" s="15"/>
      <c r="LKH375" s="15"/>
      <c r="LKI375" s="15"/>
      <c r="LKJ375" s="15"/>
      <c r="LKK375" s="10"/>
      <c r="LKL375" s="10"/>
      <c r="LKM375" s="21"/>
      <c r="LKN375" s="21"/>
      <c r="LKQ375" s="21"/>
      <c r="LKR375" s="15"/>
      <c r="LKS375" s="15"/>
      <c r="LKT375" s="15"/>
      <c r="LKU375" s="15"/>
      <c r="LKV375" s="15"/>
      <c r="LKW375" s="15"/>
      <c r="LKX375" s="15"/>
      <c r="LKY375" s="15"/>
      <c r="LKZ375" s="15"/>
      <c r="LLA375" s="15"/>
      <c r="LLB375" s="10"/>
      <c r="LLC375" s="10"/>
      <c r="LLD375" s="21"/>
      <c r="LLE375" s="21"/>
      <c r="LLH375" s="21"/>
      <c r="LLI375" s="15"/>
      <c r="LLJ375" s="15"/>
      <c r="LLK375" s="15"/>
      <c r="LLL375" s="15"/>
      <c r="LLM375" s="15"/>
      <c r="LLN375" s="15"/>
      <c r="LLO375" s="15"/>
      <c r="LLP375" s="15"/>
      <c r="LLQ375" s="15"/>
      <c r="LLR375" s="15"/>
      <c r="LLS375" s="10"/>
      <c r="LLT375" s="10"/>
      <c r="LLU375" s="21"/>
      <c r="LLV375" s="21"/>
      <c r="LLY375" s="21"/>
      <c r="LLZ375" s="15"/>
      <c r="LMA375" s="15"/>
      <c r="LMB375" s="15"/>
      <c r="LMC375" s="15"/>
      <c r="LMD375" s="15"/>
      <c r="LME375" s="15"/>
      <c r="LMF375" s="15"/>
      <c r="LMG375" s="15"/>
      <c r="LMH375" s="15"/>
      <c r="LMI375" s="15"/>
      <c r="LMJ375" s="10"/>
      <c r="LMK375" s="10"/>
      <c r="LML375" s="21"/>
      <c r="LMM375" s="21"/>
      <c r="LMP375" s="21"/>
      <c r="LMQ375" s="15"/>
      <c r="LMR375" s="15"/>
      <c r="LMS375" s="15"/>
      <c r="LMT375" s="15"/>
      <c r="LMU375" s="15"/>
      <c r="LMV375" s="15"/>
      <c r="LMW375" s="15"/>
      <c r="LMX375" s="15"/>
      <c r="LMY375" s="15"/>
      <c r="LMZ375" s="15"/>
      <c r="LNA375" s="10"/>
      <c r="LNB375" s="10"/>
      <c r="LNC375" s="21"/>
      <c r="LND375" s="21"/>
      <c r="LNG375" s="21"/>
      <c r="LNH375" s="15"/>
      <c r="LNI375" s="15"/>
      <c r="LNJ375" s="15"/>
      <c r="LNK375" s="15"/>
      <c r="LNL375" s="15"/>
      <c r="LNM375" s="15"/>
      <c r="LNN375" s="15"/>
      <c r="LNO375" s="15"/>
      <c r="LNP375" s="15"/>
      <c r="LNQ375" s="15"/>
      <c r="LNR375" s="10"/>
      <c r="LNS375" s="10"/>
      <c r="LNT375" s="21"/>
      <c r="LNU375" s="21"/>
      <c r="LNX375" s="21"/>
      <c r="LNY375" s="15"/>
      <c r="LNZ375" s="15"/>
      <c r="LOA375" s="15"/>
      <c r="LOB375" s="15"/>
      <c r="LOC375" s="15"/>
      <c r="LOD375" s="15"/>
      <c r="LOE375" s="15"/>
      <c r="LOF375" s="15"/>
      <c r="LOG375" s="15"/>
      <c r="LOH375" s="15"/>
      <c r="LOI375" s="10"/>
      <c r="LOJ375" s="10"/>
      <c r="LOK375" s="21"/>
      <c r="LOL375" s="21"/>
      <c r="LOO375" s="21"/>
      <c r="LOP375" s="15"/>
      <c r="LOQ375" s="15"/>
      <c r="LOR375" s="15"/>
      <c r="LOS375" s="15"/>
      <c r="LOT375" s="15"/>
      <c r="LOU375" s="15"/>
      <c r="LOV375" s="15"/>
      <c r="LOW375" s="15"/>
      <c r="LOX375" s="15"/>
      <c r="LOY375" s="15"/>
      <c r="LOZ375" s="10"/>
      <c r="LPA375" s="10"/>
      <c r="LPB375" s="21"/>
      <c r="LPC375" s="21"/>
      <c r="LPF375" s="21"/>
      <c r="LPG375" s="15"/>
      <c r="LPH375" s="15"/>
      <c r="LPI375" s="15"/>
      <c r="LPJ375" s="15"/>
      <c r="LPK375" s="15"/>
      <c r="LPL375" s="15"/>
      <c r="LPM375" s="15"/>
      <c r="LPN375" s="15"/>
      <c r="LPO375" s="15"/>
      <c r="LPP375" s="15"/>
      <c r="LPQ375" s="10"/>
      <c r="LPR375" s="10"/>
      <c r="LPS375" s="21"/>
      <c r="LPT375" s="21"/>
      <c r="LPW375" s="21"/>
      <c r="LPX375" s="15"/>
      <c r="LPY375" s="15"/>
      <c r="LPZ375" s="15"/>
      <c r="LQA375" s="15"/>
      <c r="LQB375" s="15"/>
      <c r="LQC375" s="15"/>
      <c r="LQD375" s="15"/>
      <c r="LQE375" s="15"/>
      <c r="LQF375" s="15"/>
      <c r="LQG375" s="15"/>
      <c r="LQH375" s="10"/>
      <c r="LQI375" s="10"/>
      <c r="LQJ375" s="21"/>
      <c r="LQK375" s="21"/>
      <c r="LQN375" s="21"/>
      <c r="LQO375" s="15"/>
      <c r="LQP375" s="15"/>
      <c r="LQQ375" s="15"/>
      <c r="LQR375" s="15"/>
      <c r="LQS375" s="15"/>
      <c r="LQT375" s="15"/>
      <c r="LQU375" s="15"/>
      <c r="LQV375" s="15"/>
      <c r="LQW375" s="15"/>
      <c r="LQX375" s="15"/>
      <c r="LQY375" s="10"/>
      <c r="LQZ375" s="10"/>
      <c r="LRA375" s="21"/>
      <c r="LRB375" s="21"/>
      <c r="LRE375" s="21"/>
      <c r="LRF375" s="15"/>
      <c r="LRG375" s="15"/>
      <c r="LRH375" s="15"/>
      <c r="LRI375" s="15"/>
      <c r="LRJ375" s="15"/>
      <c r="LRK375" s="15"/>
      <c r="LRL375" s="15"/>
      <c r="LRM375" s="15"/>
      <c r="LRN375" s="15"/>
      <c r="LRO375" s="15"/>
      <c r="LRP375" s="10"/>
      <c r="LRQ375" s="10"/>
      <c r="LRR375" s="21"/>
      <c r="LRS375" s="21"/>
      <c r="LRV375" s="21"/>
      <c r="LRW375" s="15"/>
      <c r="LRX375" s="15"/>
      <c r="LRY375" s="15"/>
      <c r="LRZ375" s="15"/>
      <c r="LSA375" s="15"/>
      <c r="LSB375" s="15"/>
      <c r="LSC375" s="15"/>
      <c r="LSD375" s="15"/>
      <c r="LSE375" s="15"/>
      <c r="LSF375" s="15"/>
      <c r="LSG375" s="10"/>
      <c r="LSH375" s="10"/>
      <c r="LSI375" s="21"/>
      <c r="LSJ375" s="21"/>
      <c r="LSM375" s="21"/>
      <c r="LSN375" s="15"/>
      <c r="LSO375" s="15"/>
      <c r="LSP375" s="15"/>
      <c r="LSQ375" s="15"/>
      <c r="LSR375" s="15"/>
      <c r="LSS375" s="15"/>
      <c r="LST375" s="15"/>
      <c r="LSU375" s="15"/>
      <c r="LSV375" s="15"/>
      <c r="LSW375" s="15"/>
      <c r="LSX375" s="10"/>
      <c r="LSY375" s="10"/>
      <c r="LSZ375" s="21"/>
      <c r="LTA375" s="21"/>
      <c r="LTD375" s="21"/>
      <c r="LTE375" s="15"/>
      <c r="LTF375" s="15"/>
      <c r="LTG375" s="15"/>
      <c r="LTH375" s="15"/>
      <c r="LTI375" s="15"/>
      <c r="LTJ375" s="15"/>
      <c r="LTK375" s="15"/>
      <c r="LTL375" s="15"/>
      <c r="LTM375" s="15"/>
      <c r="LTN375" s="15"/>
      <c r="LTO375" s="10"/>
      <c r="LTP375" s="10"/>
      <c r="LTQ375" s="21"/>
      <c r="LTR375" s="21"/>
      <c r="LTU375" s="21"/>
      <c r="LTV375" s="15"/>
      <c r="LTW375" s="15"/>
      <c r="LTX375" s="15"/>
      <c r="LTY375" s="15"/>
      <c r="LTZ375" s="15"/>
      <c r="LUA375" s="15"/>
      <c r="LUB375" s="15"/>
      <c r="LUC375" s="15"/>
      <c r="LUD375" s="15"/>
      <c r="LUE375" s="15"/>
      <c r="LUF375" s="10"/>
      <c r="LUG375" s="10"/>
      <c r="LUH375" s="21"/>
      <c r="LUI375" s="21"/>
      <c r="LUL375" s="21"/>
      <c r="LUM375" s="15"/>
      <c r="LUN375" s="15"/>
      <c r="LUO375" s="15"/>
      <c r="LUP375" s="15"/>
      <c r="LUQ375" s="15"/>
      <c r="LUR375" s="15"/>
      <c r="LUS375" s="15"/>
      <c r="LUT375" s="15"/>
      <c r="LUU375" s="15"/>
      <c r="LUV375" s="15"/>
      <c r="LUW375" s="10"/>
      <c r="LUX375" s="10"/>
      <c r="LUY375" s="21"/>
      <c r="LUZ375" s="21"/>
      <c r="LVC375" s="21"/>
      <c r="LVD375" s="15"/>
      <c r="LVE375" s="15"/>
      <c r="LVF375" s="15"/>
      <c r="LVG375" s="15"/>
      <c r="LVH375" s="15"/>
      <c r="LVI375" s="15"/>
      <c r="LVJ375" s="15"/>
      <c r="LVK375" s="15"/>
      <c r="LVL375" s="15"/>
      <c r="LVM375" s="15"/>
      <c r="LVN375" s="10"/>
      <c r="LVO375" s="10"/>
      <c r="LVP375" s="21"/>
      <c r="LVQ375" s="21"/>
      <c r="LVT375" s="21"/>
      <c r="LVU375" s="15"/>
      <c r="LVV375" s="15"/>
      <c r="LVW375" s="15"/>
      <c r="LVX375" s="15"/>
      <c r="LVY375" s="15"/>
      <c r="LVZ375" s="15"/>
      <c r="LWA375" s="15"/>
      <c r="LWB375" s="15"/>
      <c r="LWC375" s="15"/>
      <c r="LWD375" s="15"/>
      <c r="LWE375" s="10"/>
      <c r="LWF375" s="10"/>
      <c r="LWG375" s="21"/>
      <c r="LWH375" s="21"/>
      <c r="LWK375" s="21"/>
      <c r="LWL375" s="15"/>
      <c r="LWM375" s="15"/>
      <c r="LWN375" s="15"/>
      <c r="LWO375" s="15"/>
      <c r="LWP375" s="15"/>
      <c r="LWQ375" s="15"/>
      <c r="LWR375" s="15"/>
      <c r="LWS375" s="15"/>
      <c r="LWT375" s="15"/>
      <c r="LWU375" s="15"/>
      <c r="LWV375" s="10"/>
      <c r="LWW375" s="10"/>
      <c r="LWX375" s="21"/>
      <c r="LWY375" s="21"/>
      <c r="LXB375" s="21"/>
      <c r="LXC375" s="15"/>
      <c r="LXD375" s="15"/>
      <c r="LXE375" s="15"/>
      <c r="LXF375" s="15"/>
      <c r="LXG375" s="15"/>
      <c r="LXH375" s="15"/>
      <c r="LXI375" s="15"/>
      <c r="LXJ375" s="15"/>
      <c r="LXK375" s="15"/>
      <c r="LXL375" s="15"/>
      <c r="LXM375" s="10"/>
      <c r="LXN375" s="10"/>
      <c r="LXO375" s="21"/>
      <c r="LXP375" s="21"/>
      <c r="LXS375" s="21"/>
      <c r="LXT375" s="15"/>
      <c r="LXU375" s="15"/>
      <c r="LXV375" s="15"/>
      <c r="LXW375" s="15"/>
      <c r="LXX375" s="15"/>
      <c r="LXY375" s="15"/>
      <c r="LXZ375" s="15"/>
      <c r="LYA375" s="15"/>
      <c r="LYB375" s="15"/>
      <c r="LYC375" s="15"/>
      <c r="LYD375" s="10"/>
      <c r="LYE375" s="10"/>
      <c r="LYF375" s="21"/>
      <c r="LYG375" s="21"/>
      <c r="LYJ375" s="21"/>
      <c r="LYK375" s="15"/>
      <c r="LYL375" s="15"/>
      <c r="LYM375" s="15"/>
      <c r="LYN375" s="15"/>
      <c r="LYO375" s="15"/>
      <c r="LYP375" s="15"/>
      <c r="LYQ375" s="15"/>
      <c r="LYR375" s="15"/>
      <c r="LYS375" s="15"/>
      <c r="LYT375" s="15"/>
      <c r="LYU375" s="10"/>
      <c r="LYV375" s="10"/>
      <c r="LYW375" s="21"/>
      <c r="LYX375" s="21"/>
      <c r="LZA375" s="21"/>
      <c r="LZB375" s="15"/>
      <c r="LZC375" s="15"/>
      <c r="LZD375" s="15"/>
      <c r="LZE375" s="15"/>
      <c r="LZF375" s="15"/>
      <c r="LZG375" s="15"/>
      <c r="LZH375" s="15"/>
      <c r="LZI375" s="15"/>
      <c r="LZJ375" s="15"/>
      <c r="LZK375" s="15"/>
      <c r="LZL375" s="10"/>
      <c r="LZM375" s="10"/>
      <c r="LZN375" s="21"/>
      <c r="LZO375" s="21"/>
      <c r="LZR375" s="21"/>
      <c r="LZS375" s="15"/>
      <c r="LZT375" s="15"/>
      <c r="LZU375" s="15"/>
      <c r="LZV375" s="15"/>
      <c r="LZW375" s="15"/>
      <c r="LZX375" s="15"/>
      <c r="LZY375" s="15"/>
      <c r="LZZ375" s="15"/>
      <c r="MAA375" s="15"/>
      <c r="MAB375" s="15"/>
      <c r="MAC375" s="10"/>
      <c r="MAD375" s="10"/>
      <c r="MAE375" s="21"/>
      <c r="MAF375" s="21"/>
      <c r="MAI375" s="21"/>
      <c r="MAJ375" s="15"/>
      <c r="MAK375" s="15"/>
      <c r="MAL375" s="15"/>
      <c r="MAM375" s="15"/>
      <c r="MAN375" s="15"/>
      <c r="MAO375" s="15"/>
      <c r="MAP375" s="15"/>
      <c r="MAQ375" s="15"/>
      <c r="MAR375" s="15"/>
      <c r="MAS375" s="15"/>
      <c r="MAT375" s="10"/>
      <c r="MAU375" s="10"/>
      <c r="MAV375" s="21"/>
      <c r="MAW375" s="21"/>
      <c r="MAZ375" s="21"/>
      <c r="MBA375" s="15"/>
      <c r="MBB375" s="15"/>
      <c r="MBC375" s="15"/>
      <c r="MBD375" s="15"/>
      <c r="MBE375" s="15"/>
      <c r="MBF375" s="15"/>
      <c r="MBG375" s="15"/>
      <c r="MBH375" s="15"/>
      <c r="MBI375" s="15"/>
      <c r="MBJ375" s="15"/>
      <c r="MBK375" s="10"/>
      <c r="MBL375" s="10"/>
      <c r="MBM375" s="21"/>
      <c r="MBN375" s="21"/>
      <c r="MBQ375" s="21"/>
      <c r="MBR375" s="15"/>
      <c r="MBS375" s="15"/>
      <c r="MBT375" s="15"/>
      <c r="MBU375" s="15"/>
      <c r="MBV375" s="15"/>
      <c r="MBW375" s="15"/>
      <c r="MBX375" s="15"/>
      <c r="MBY375" s="15"/>
      <c r="MBZ375" s="15"/>
      <c r="MCA375" s="15"/>
      <c r="MCB375" s="10"/>
      <c r="MCC375" s="10"/>
      <c r="MCD375" s="21"/>
      <c r="MCE375" s="21"/>
      <c r="MCH375" s="21"/>
      <c r="MCI375" s="15"/>
      <c r="MCJ375" s="15"/>
      <c r="MCK375" s="15"/>
      <c r="MCL375" s="15"/>
      <c r="MCM375" s="15"/>
      <c r="MCN375" s="15"/>
      <c r="MCO375" s="15"/>
      <c r="MCP375" s="15"/>
      <c r="MCQ375" s="15"/>
      <c r="MCR375" s="15"/>
      <c r="MCS375" s="10"/>
      <c r="MCT375" s="10"/>
      <c r="MCU375" s="21"/>
      <c r="MCV375" s="21"/>
      <c r="MCY375" s="21"/>
      <c r="MCZ375" s="15"/>
      <c r="MDA375" s="15"/>
      <c r="MDB375" s="15"/>
      <c r="MDC375" s="15"/>
      <c r="MDD375" s="15"/>
      <c r="MDE375" s="15"/>
      <c r="MDF375" s="15"/>
      <c r="MDG375" s="15"/>
      <c r="MDH375" s="15"/>
      <c r="MDI375" s="15"/>
      <c r="MDJ375" s="10"/>
      <c r="MDK375" s="10"/>
      <c r="MDL375" s="21"/>
      <c r="MDM375" s="21"/>
      <c r="MDP375" s="21"/>
      <c r="MDQ375" s="15"/>
      <c r="MDR375" s="15"/>
      <c r="MDS375" s="15"/>
      <c r="MDT375" s="15"/>
      <c r="MDU375" s="15"/>
      <c r="MDV375" s="15"/>
      <c r="MDW375" s="15"/>
      <c r="MDX375" s="15"/>
      <c r="MDY375" s="15"/>
      <c r="MDZ375" s="15"/>
      <c r="MEA375" s="10"/>
      <c r="MEB375" s="10"/>
      <c r="MEC375" s="21"/>
      <c r="MED375" s="21"/>
      <c r="MEG375" s="21"/>
      <c r="MEH375" s="15"/>
      <c r="MEI375" s="15"/>
      <c r="MEJ375" s="15"/>
      <c r="MEK375" s="15"/>
      <c r="MEL375" s="15"/>
      <c r="MEM375" s="15"/>
      <c r="MEN375" s="15"/>
      <c r="MEO375" s="15"/>
      <c r="MEP375" s="15"/>
      <c r="MEQ375" s="15"/>
      <c r="MER375" s="10"/>
      <c r="MES375" s="10"/>
      <c r="MET375" s="21"/>
      <c r="MEU375" s="21"/>
      <c r="MEX375" s="21"/>
      <c r="MEY375" s="15"/>
      <c r="MEZ375" s="15"/>
      <c r="MFA375" s="15"/>
      <c r="MFB375" s="15"/>
      <c r="MFC375" s="15"/>
      <c r="MFD375" s="15"/>
      <c r="MFE375" s="15"/>
      <c r="MFF375" s="15"/>
      <c r="MFG375" s="15"/>
      <c r="MFH375" s="15"/>
      <c r="MFI375" s="10"/>
      <c r="MFJ375" s="10"/>
      <c r="MFK375" s="21"/>
      <c r="MFL375" s="21"/>
      <c r="MFO375" s="21"/>
      <c r="MFP375" s="15"/>
      <c r="MFQ375" s="15"/>
      <c r="MFR375" s="15"/>
      <c r="MFS375" s="15"/>
      <c r="MFT375" s="15"/>
      <c r="MFU375" s="15"/>
      <c r="MFV375" s="15"/>
      <c r="MFW375" s="15"/>
      <c r="MFX375" s="15"/>
      <c r="MFY375" s="15"/>
      <c r="MFZ375" s="10"/>
      <c r="MGA375" s="10"/>
      <c r="MGB375" s="21"/>
      <c r="MGC375" s="21"/>
      <c r="MGF375" s="21"/>
      <c r="MGG375" s="15"/>
      <c r="MGH375" s="15"/>
      <c r="MGI375" s="15"/>
      <c r="MGJ375" s="15"/>
      <c r="MGK375" s="15"/>
      <c r="MGL375" s="15"/>
      <c r="MGM375" s="15"/>
      <c r="MGN375" s="15"/>
      <c r="MGO375" s="15"/>
      <c r="MGP375" s="15"/>
      <c r="MGQ375" s="10"/>
      <c r="MGR375" s="10"/>
      <c r="MGS375" s="21"/>
      <c r="MGT375" s="21"/>
      <c r="MGW375" s="21"/>
      <c r="MGX375" s="15"/>
      <c r="MGY375" s="15"/>
      <c r="MGZ375" s="15"/>
      <c r="MHA375" s="15"/>
      <c r="MHB375" s="15"/>
      <c r="MHC375" s="15"/>
      <c r="MHD375" s="15"/>
      <c r="MHE375" s="15"/>
      <c r="MHF375" s="15"/>
      <c r="MHG375" s="15"/>
      <c r="MHH375" s="10"/>
      <c r="MHI375" s="10"/>
      <c r="MHJ375" s="21"/>
      <c r="MHK375" s="21"/>
      <c r="MHN375" s="21"/>
      <c r="MHO375" s="15"/>
      <c r="MHP375" s="15"/>
      <c r="MHQ375" s="15"/>
      <c r="MHR375" s="15"/>
      <c r="MHS375" s="15"/>
      <c r="MHT375" s="15"/>
      <c r="MHU375" s="15"/>
      <c r="MHV375" s="15"/>
      <c r="MHW375" s="15"/>
      <c r="MHX375" s="15"/>
      <c r="MHY375" s="10"/>
      <c r="MHZ375" s="10"/>
      <c r="MIA375" s="21"/>
      <c r="MIB375" s="21"/>
      <c r="MIE375" s="21"/>
      <c r="MIF375" s="15"/>
      <c r="MIG375" s="15"/>
      <c r="MIH375" s="15"/>
      <c r="MII375" s="15"/>
      <c r="MIJ375" s="15"/>
      <c r="MIK375" s="15"/>
      <c r="MIL375" s="15"/>
      <c r="MIM375" s="15"/>
      <c r="MIN375" s="15"/>
      <c r="MIO375" s="15"/>
      <c r="MIP375" s="10"/>
      <c r="MIQ375" s="10"/>
      <c r="MIR375" s="21"/>
      <c r="MIS375" s="21"/>
      <c r="MIV375" s="21"/>
      <c r="MIW375" s="15"/>
      <c r="MIX375" s="15"/>
      <c r="MIY375" s="15"/>
      <c r="MIZ375" s="15"/>
      <c r="MJA375" s="15"/>
      <c r="MJB375" s="15"/>
      <c r="MJC375" s="15"/>
      <c r="MJD375" s="15"/>
      <c r="MJE375" s="15"/>
      <c r="MJF375" s="15"/>
      <c r="MJG375" s="10"/>
      <c r="MJH375" s="10"/>
      <c r="MJI375" s="21"/>
      <c r="MJJ375" s="21"/>
      <c r="MJM375" s="21"/>
      <c r="MJN375" s="15"/>
      <c r="MJO375" s="15"/>
      <c r="MJP375" s="15"/>
      <c r="MJQ375" s="15"/>
      <c r="MJR375" s="15"/>
      <c r="MJS375" s="15"/>
      <c r="MJT375" s="15"/>
      <c r="MJU375" s="15"/>
      <c r="MJV375" s="15"/>
      <c r="MJW375" s="15"/>
      <c r="MJX375" s="10"/>
      <c r="MJY375" s="10"/>
      <c r="MJZ375" s="21"/>
      <c r="MKA375" s="21"/>
      <c r="MKD375" s="21"/>
      <c r="MKE375" s="15"/>
      <c r="MKF375" s="15"/>
      <c r="MKG375" s="15"/>
      <c r="MKH375" s="15"/>
      <c r="MKI375" s="15"/>
      <c r="MKJ375" s="15"/>
      <c r="MKK375" s="15"/>
      <c r="MKL375" s="15"/>
      <c r="MKM375" s="15"/>
      <c r="MKN375" s="15"/>
      <c r="MKO375" s="10"/>
      <c r="MKP375" s="10"/>
      <c r="MKQ375" s="21"/>
      <c r="MKR375" s="21"/>
      <c r="MKU375" s="21"/>
      <c r="MKV375" s="15"/>
      <c r="MKW375" s="15"/>
      <c r="MKX375" s="15"/>
      <c r="MKY375" s="15"/>
      <c r="MKZ375" s="15"/>
      <c r="MLA375" s="15"/>
      <c r="MLB375" s="15"/>
      <c r="MLC375" s="15"/>
      <c r="MLD375" s="15"/>
      <c r="MLE375" s="15"/>
      <c r="MLF375" s="10"/>
      <c r="MLG375" s="10"/>
      <c r="MLH375" s="21"/>
      <c r="MLI375" s="21"/>
      <c r="MLL375" s="21"/>
      <c r="MLM375" s="15"/>
      <c r="MLN375" s="15"/>
      <c r="MLO375" s="15"/>
      <c r="MLP375" s="15"/>
      <c r="MLQ375" s="15"/>
      <c r="MLR375" s="15"/>
      <c r="MLS375" s="15"/>
      <c r="MLT375" s="15"/>
      <c r="MLU375" s="15"/>
      <c r="MLV375" s="15"/>
      <c r="MLW375" s="10"/>
      <c r="MLX375" s="10"/>
      <c r="MLY375" s="21"/>
      <c r="MLZ375" s="21"/>
      <c r="MMC375" s="21"/>
      <c r="MMD375" s="15"/>
      <c r="MME375" s="15"/>
      <c r="MMF375" s="15"/>
      <c r="MMG375" s="15"/>
      <c r="MMH375" s="15"/>
      <c r="MMI375" s="15"/>
      <c r="MMJ375" s="15"/>
      <c r="MMK375" s="15"/>
      <c r="MML375" s="15"/>
      <c r="MMM375" s="15"/>
      <c r="MMN375" s="10"/>
      <c r="MMO375" s="10"/>
      <c r="MMP375" s="21"/>
      <c r="MMQ375" s="21"/>
      <c r="MMT375" s="21"/>
      <c r="MMU375" s="15"/>
      <c r="MMV375" s="15"/>
      <c r="MMW375" s="15"/>
      <c r="MMX375" s="15"/>
      <c r="MMY375" s="15"/>
      <c r="MMZ375" s="15"/>
      <c r="MNA375" s="15"/>
      <c r="MNB375" s="15"/>
      <c r="MNC375" s="15"/>
      <c r="MND375" s="15"/>
      <c r="MNE375" s="10"/>
      <c r="MNF375" s="10"/>
      <c r="MNG375" s="21"/>
      <c r="MNH375" s="21"/>
      <c r="MNK375" s="21"/>
      <c r="MNL375" s="15"/>
      <c r="MNM375" s="15"/>
      <c r="MNN375" s="15"/>
      <c r="MNO375" s="15"/>
      <c r="MNP375" s="15"/>
      <c r="MNQ375" s="15"/>
      <c r="MNR375" s="15"/>
      <c r="MNS375" s="15"/>
      <c r="MNT375" s="15"/>
      <c r="MNU375" s="15"/>
      <c r="MNV375" s="10"/>
      <c r="MNW375" s="10"/>
      <c r="MNX375" s="21"/>
      <c r="MNY375" s="21"/>
      <c r="MOB375" s="21"/>
      <c r="MOC375" s="15"/>
      <c r="MOD375" s="15"/>
      <c r="MOE375" s="15"/>
      <c r="MOF375" s="15"/>
      <c r="MOG375" s="15"/>
      <c r="MOH375" s="15"/>
      <c r="MOI375" s="15"/>
      <c r="MOJ375" s="15"/>
      <c r="MOK375" s="15"/>
      <c r="MOL375" s="15"/>
      <c r="MOM375" s="10"/>
      <c r="MON375" s="10"/>
      <c r="MOO375" s="21"/>
      <c r="MOP375" s="21"/>
      <c r="MOS375" s="21"/>
      <c r="MOT375" s="15"/>
      <c r="MOU375" s="15"/>
      <c r="MOV375" s="15"/>
      <c r="MOW375" s="15"/>
      <c r="MOX375" s="15"/>
      <c r="MOY375" s="15"/>
      <c r="MOZ375" s="15"/>
      <c r="MPA375" s="15"/>
      <c r="MPB375" s="15"/>
      <c r="MPC375" s="15"/>
      <c r="MPD375" s="10"/>
      <c r="MPE375" s="10"/>
      <c r="MPF375" s="21"/>
      <c r="MPG375" s="21"/>
      <c r="MPJ375" s="21"/>
      <c r="MPK375" s="15"/>
      <c r="MPL375" s="15"/>
      <c r="MPM375" s="15"/>
      <c r="MPN375" s="15"/>
      <c r="MPO375" s="15"/>
      <c r="MPP375" s="15"/>
      <c r="MPQ375" s="15"/>
      <c r="MPR375" s="15"/>
      <c r="MPS375" s="15"/>
      <c r="MPT375" s="15"/>
      <c r="MPU375" s="10"/>
      <c r="MPV375" s="10"/>
      <c r="MPW375" s="21"/>
      <c r="MPX375" s="21"/>
      <c r="MQA375" s="21"/>
      <c r="MQB375" s="15"/>
      <c r="MQC375" s="15"/>
      <c r="MQD375" s="15"/>
      <c r="MQE375" s="15"/>
      <c r="MQF375" s="15"/>
      <c r="MQG375" s="15"/>
      <c r="MQH375" s="15"/>
      <c r="MQI375" s="15"/>
      <c r="MQJ375" s="15"/>
      <c r="MQK375" s="15"/>
      <c r="MQL375" s="10"/>
      <c r="MQM375" s="10"/>
      <c r="MQN375" s="21"/>
      <c r="MQO375" s="21"/>
      <c r="MQR375" s="21"/>
      <c r="MQS375" s="15"/>
      <c r="MQT375" s="15"/>
      <c r="MQU375" s="15"/>
      <c r="MQV375" s="15"/>
      <c r="MQW375" s="15"/>
      <c r="MQX375" s="15"/>
      <c r="MQY375" s="15"/>
      <c r="MQZ375" s="15"/>
      <c r="MRA375" s="15"/>
      <c r="MRB375" s="15"/>
      <c r="MRC375" s="10"/>
      <c r="MRD375" s="10"/>
      <c r="MRE375" s="21"/>
      <c r="MRF375" s="21"/>
      <c r="MRI375" s="21"/>
      <c r="MRJ375" s="15"/>
      <c r="MRK375" s="15"/>
      <c r="MRL375" s="15"/>
      <c r="MRM375" s="15"/>
      <c r="MRN375" s="15"/>
      <c r="MRO375" s="15"/>
      <c r="MRP375" s="15"/>
      <c r="MRQ375" s="15"/>
      <c r="MRR375" s="15"/>
      <c r="MRS375" s="15"/>
      <c r="MRT375" s="10"/>
      <c r="MRU375" s="10"/>
      <c r="MRV375" s="21"/>
      <c r="MRW375" s="21"/>
      <c r="MRZ375" s="21"/>
      <c r="MSA375" s="15"/>
      <c r="MSB375" s="15"/>
      <c r="MSC375" s="15"/>
      <c r="MSD375" s="15"/>
      <c r="MSE375" s="15"/>
      <c r="MSF375" s="15"/>
      <c r="MSG375" s="15"/>
      <c r="MSH375" s="15"/>
      <c r="MSI375" s="15"/>
      <c r="MSJ375" s="15"/>
      <c r="MSK375" s="10"/>
      <c r="MSL375" s="10"/>
      <c r="MSM375" s="21"/>
      <c r="MSN375" s="21"/>
      <c r="MSQ375" s="21"/>
      <c r="MSR375" s="15"/>
      <c r="MSS375" s="15"/>
      <c r="MST375" s="15"/>
      <c r="MSU375" s="15"/>
      <c r="MSV375" s="15"/>
      <c r="MSW375" s="15"/>
      <c r="MSX375" s="15"/>
      <c r="MSY375" s="15"/>
      <c r="MSZ375" s="15"/>
      <c r="MTA375" s="15"/>
      <c r="MTB375" s="10"/>
      <c r="MTC375" s="10"/>
      <c r="MTD375" s="21"/>
      <c r="MTE375" s="21"/>
      <c r="MTH375" s="21"/>
      <c r="MTI375" s="15"/>
      <c r="MTJ375" s="15"/>
      <c r="MTK375" s="15"/>
      <c r="MTL375" s="15"/>
      <c r="MTM375" s="15"/>
      <c r="MTN375" s="15"/>
      <c r="MTO375" s="15"/>
      <c r="MTP375" s="15"/>
      <c r="MTQ375" s="15"/>
      <c r="MTR375" s="15"/>
      <c r="MTS375" s="10"/>
      <c r="MTT375" s="10"/>
      <c r="MTU375" s="21"/>
      <c r="MTV375" s="21"/>
      <c r="MTY375" s="21"/>
      <c r="MTZ375" s="15"/>
      <c r="MUA375" s="15"/>
      <c r="MUB375" s="15"/>
      <c r="MUC375" s="15"/>
      <c r="MUD375" s="15"/>
      <c r="MUE375" s="15"/>
      <c r="MUF375" s="15"/>
      <c r="MUG375" s="15"/>
      <c r="MUH375" s="15"/>
      <c r="MUI375" s="15"/>
      <c r="MUJ375" s="10"/>
      <c r="MUK375" s="10"/>
      <c r="MUL375" s="21"/>
      <c r="MUM375" s="21"/>
      <c r="MUP375" s="21"/>
      <c r="MUQ375" s="15"/>
      <c r="MUR375" s="15"/>
      <c r="MUS375" s="15"/>
      <c r="MUT375" s="15"/>
      <c r="MUU375" s="15"/>
      <c r="MUV375" s="15"/>
      <c r="MUW375" s="15"/>
      <c r="MUX375" s="15"/>
      <c r="MUY375" s="15"/>
      <c r="MUZ375" s="15"/>
      <c r="MVA375" s="10"/>
      <c r="MVB375" s="10"/>
      <c r="MVC375" s="21"/>
      <c r="MVD375" s="21"/>
      <c r="MVG375" s="21"/>
      <c r="MVH375" s="15"/>
      <c r="MVI375" s="15"/>
      <c r="MVJ375" s="15"/>
      <c r="MVK375" s="15"/>
      <c r="MVL375" s="15"/>
      <c r="MVM375" s="15"/>
      <c r="MVN375" s="15"/>
      <c r="MVO375" s="15"/>
      <c r="MVP375" s="15"/>
      <c r="MVQ375" s="15"/>
      <c r="MVR375" s="10"/>
      <c r="MVS375" s="10"/>
      <c r="MVT375" s="21"/>
      <c r="MVU375" s="21"/>
      <c r="MVX375" s="21"/>
      <c r="MVY375" s="15"/>
      <c r="MVZ375" s="15"/>
      <c r="MWA375" s="15"/>
      <c r="MWB375" s="15"/>
      <c r="MWC375" s="15"/>
      <c r="MWD375" s="15"/>
      <c r="MWE375" s="15"/>
      <c r="MWF375" s="15"/>
      <c r="MWG375" s="15"/>
      <c r="MWH375" s="15"/>
      <c r="MWI375" s="10"/>
      <c r="MWJ375" s="10"/>
      <c r="MWK375" s="21"/>
      <c r="MWL375" s="21"/>
      <c r="MWO375" s="21"/>
      <c r="MWP375" s="15"/>
      <c r="MWQ375" s="15"/>
      <c r="MWR375" s="15"/>
      <c r="MWS375" s="15"/>
      <c r="MWT375" s="15"/>
      <c r="MWU375" s="15"/>
      <c r="MWV375" s="15"/>
      <c r="MWW375" s="15"/>
      <c r="MWX375" s="15"/>
      <c r="MWY375" s="15"/>
      <c r="MWZ375" s="10"/>
      <c r="MXA375" s="10"/>
      <c r="MXB375" s="21"/>
      <c r="MXC375" s="21"/>
      <c r="MXF375" s="21"/>
      <c r="MXG375" s="15"/>
      <c r="MXH375" s="15"/>
      <c r="MXI375" s="15"/>
      <c r="MXJ375" s="15"/>
      <c r="MXK375" s="15"/>
      <c r="MXL375" s="15"/>
      <c r="MXM375" s="15"/>
      <c r="MXN375" s="15"/>
      <c r="MXO375" s="15"/>
      <c r="MXP375" s="15"/>
      <c r="MXQ375" s="10"/>
      <c r="MXR375" s="10"/>
      <c r="MXS375" s="21"/>
      <c r="MXT375" s="21"/>
      <c r="MXW375" s="21"/>
      <c r="MXX375" s="15"/>
      <c r="MXY375" s="15"/>
      <c r="MXZ375" s="15"/>
      <c r="MYA375" s="15"/>
      <c r="MYB375" s="15"/>
      <c r="MYC375" s="15"/>
      <c r="MYD375" s="15"/>
      <c r="MYE375" s="15"/>
      <c r="MYF375" s="15"/>
      <c r="MYG375" s="15"/>
      <c r="MYH375" s="10"/>
      <c r="MYI375" s="10"/>
      <c r="MYJ375" s="21"/>
      <c r="MYK375" s="21"/>
      <c r="MYN375" s="21"/>
      <c r="MYO375" s="15"/>
      <c r="MYP375" s="15"/>
      <c r="MYQ375" s="15"/>
      <c r="MYR375" s="15"/>
      <c r="MYS375" s="15"/>
      <c r="MYT375" s="15"/>
      <c r="MYU375" s="15"/>
      <c r="MYV375" s="15"/>
      <c r="MYW375" s="15"/>
      <c r="MYX375" s="15"/>
      <c r="MYY375" s="10"/>
      <c r="MYZ375" s="10"/>
      <c r="MZA375" s="21"/>
      <c r="MZB375" s="21"/>
      <c r="MZE375" s="21"/>
      <c r="MZF375" s="15"/>
      <c r="MZG375" s="15"/>
      <c r="MZH375" s="15"/>
      <c r="MZI375" s="15"/>
      <c r="MZJ375" s="15"/>
      <c r="MZK375" s="15"/>
      <c r="MZL375" s="15"/>
      <c r="MZM375" s="15"/>
      <c r="MZN375" s="15"/>
      <c r="MZO375" s="15"/>
      <c r="MZP375" s="10"/>
      <c r="MZQ375" s="10"/>
      <c r="MZR375" s="21"/>
      <c r="MZS375" s="21"/>
      <c r="MZV375" s="21"/>
      <c r="MZW375" s="15"/>
      <c r="MZX375" s="15"/>
      <c r="MZY375" s="15"/>
      <c r="MZZ375" s="15"/>
      <c r="NAA375" s="15"/>
      <c r="NAB375" s="15"/>
      <c r="NAC375" s="15"/>
      <c r="NAD375" s="15"/>
      <c r="NAE375" s="15"/>
      <c r="NAF375" s="15"/>
      <c r="NAG375" s="10"/>
      <c r="NAH375" s="10"/>
      <c r="NAI375" s="21"/>
      <c r="NAJ375" s="21"/>
      <c r="NAM375" s="21"/>
      <c r="NAN375" s="15"/>
      <c r="NAO375" s="15"/>
      <c r="NAP375" s="15"/>
      <c r="NAQ375" s="15"/>
      <c r="NAR375" s="15"/>
      <c r="NAS375" s="15"/>
      <c r="NAT375" s="15"/>
      <c r="NAU375" s="15"/>
      <c r="NAV375" s="15"/>
      <c r="NAW375" s="15"/>
      <c r="NAX375" s="10"/>
      <c r="NAY375" s="10"/>
      <c r="NAZ375" s="21"/>
      <c r="NBA375" s="21"/>
      <c r="NBD375" s="21"/>
      <c r="NBE375" s="15"/>
      <c r="NBF375" s="15"/>
      <c r="NBG375" s="15"/>
      <c r="NBH375" s="15"/>
      <c r="NBI375" s="15"/>
      <c r="NBJ375" s="15"/>
      <c r="NBK375" s="15"/>
      <c r="NBL375" s="15"/>
      <c r="NBM375" s="15"/>
      <c r="NBN375" s="15"/>
      <c r="NBO375" s="10"/>
      <c r="NBP375" s="10"/>
      <c r="NBQ375" s="21"/>
      <c r="NBR375" s="21"/>
      <c r="NBU375" s="21"/>
      <c r="NBV375" s="15"/>
      <c r="NBW375" s="15"/>
      <c r="NBX375" s="15"/>
      <c r="NBY375" s="15"/>
      <c r="NBZ375" s="15"/>
      <c r="NCA375" s="15"/>
      <c r="NCB375" s="15"/>
      <c r="NCC375" s="15"/>
      <c r="NCD375" s="15"/>
      <c r="NCE375" s="15"/>
      <c r="NCF375" s="10"/>
      <c r="NCG375" s="10"/>
      <c r="NCH375" s="21"/>
      <c r="NCI375" s="21"/>
      <c r="NCL375" s="21"/>
      <c r="NCM375" s="15"/>
      <c r="NCN375" s="15"/>
      <c r="NCO375" s="15"/>
      <c r="NCP375" s="15"/>
      <c r="NCQ375" s="15"/>
      <c r="NCR375" s="15"/>
      <c r="NCS375" s="15"/>
      <c r="NCT375" s="15"/>
      <c r="NCU375" s="15"/>
      <c r="NCV375" s="15"/>
      <c r="NCW375" s="10"/>
      <c r="NCX375" s="10"/>
      <c r="NCY375" s="21"/>
      <c r="NCZ375" s="21"/>
      <c r="NDC375" s="21"/>
      <c r="NDD375" s="15"/>
      <c r="NDE375" s="15"/>
      <c r="NDF375" s="15"/>
      <c r="NDG375" s="15"/>
      <c r="NDH375" s="15"/>
      <c r="NDI375" s="15"/>
      <c r="NDJ375" s="15"/>
      <c r="NDK375" s="15"/>
      <c r="NDL375" s="15"/>
      <c r="NDM375" s="15"/>
      <c r="NDN375" s="10"/>
      <c r="NDO375" s="10"/>
      <c r="NDP375" s="21"/>
      <c r="NDQ375" s="21"/>
      <c r="NDT375" s="21"/>
      <c r="NDU375" s="15"/>
      <c r="NDV375" s="15"/>
      <c r="NDW375" s="15"/>
      <c r="NDX375" s="15"/>
      <c r="NDY375" s="15"/>
      <c r="NDZ375" s="15"/>
      <c r="NEA375" s="15"/>
      <c r="NEB375" s="15"/>
      <c r="NEC375" s="15"/>
      <c r="NED375" s="15"/>
      <c r="NEE375" s="10"/>
      <c r="NEF375" s="10"/>
      <c r="NEG375" s="21"/>
      <c r="NEH375" s="21"/>
      <c r="NEK375" s="21"/>
      <c r="NEL375" s="15"/>
      <c r="NEM375" s="15"/>
      <c r="NEN375" s="15"/>
      <c r="NEO375" s="15"/>
      <c r="NEP375" s="15"/>
      <c r="NEQ375" s="15"/>
      <c r="NER375" s="15"/>
      <c r="NES375" s="15"/>
      <c r="NET375" s="15"/>
      <c r="NEU375" s="15"/>
      <c r="NEV375" s="10"/>
      <c r="NEW375" s="10"/>
      <c r="NEX375" s="21"/>
      <c r="NEY375" s="21"/>
      <c r="NFB375" s="21"/>
      <c r="NFC375" s="15"/>
      <c r="NFD375" s="15"/>
      <c r="NFE375" s="15"/>
      <c r="NFF375" s="15"/>
      <c r="NFG375" s="15"/>
      <c r="NFH375" s="15"/>
      <c r="NFI375" s="15"/>
      <c r="NFJ375" s="15"/>
      <c r="NFK375" s="15"/>
      <c r="NFL375" s="15"/>
      <c r="NFM375" s="10"/>
      <c r="NFN375" s="10"/>
      <c r="NFO375" s="21"/>
      <c r="NFP375" s="21"/>
      <c r="NFS375" s="21"/>
      <c r="NFT375" s="15"/>
      <c r="NFU375" s="15"/>
      <c r="NFV375" s="15"/>
      <c r="NFW375" s="15"/>
      <c r="NFX375" s="15"/>
      <c r="NFY375" s="15"/>
      <c r="NFZ375" s="15"/>
      <c r="NGA375" s="15"/>
      <c r="NGB375" s="15"/>
      <c r="NGC375" s="15"/>
      <c r="NGD375" s="10"/>
      <c r="NGE375" s="10"/>
      <c r="NGF375" s="21"/>
      <c r="NGG375" s="21"/>
      <c r="NGJ375" s="21"/>
      <c r="NGK375" s="15"/>
      <c r="NGL375" s="15"/>
      <c r="NGM375" s="15"/>
      <c r="NGN375" s="15"/>
      <c r="NGO375" s="15"/>
      <c r="NGP375" s="15"/>
      <c r="NGQ375" s="15"/>
      <c r="NGR375" s="15"/>
      <c r="NGS375" s="15"/>
      <c r="NGT375" s="15"/>
      <c r="NGU375" s="10"/>
      <c r="NGV375" s="10"/>
      <c r="NGW375" s="21"/>
      <c r="NGX375" s="21"/>
      <c r="NHA375" s="21"/>
      <c r="NHB375" s="15"/>
      <c r="NHC375" s="15"/>
      <c r="NHD375" s="15"/>
      <c r="NHE375" s="15"/>
      <c r="NHF375" s="15"/>
      <c r="NHG375" s="15"/>
      <c r="NHH375" s="15"/>
      <c r="NHI375" s="15"/>
      <c r="NHJ375" s="15"/>
      <c r="NHK375" s="15"/>
      <c r="NHL375" s="10"/>
      <c r="NHM375" s="10"/>
      <c r="NHN375" s="21"/>
      <c r="NHO375" s="21"/>
      <c r="NHR375" s="21"/>
      <c r="NHS375" s="15"/>
      <c r="NHT375" s="15"/>
      <c r="NHU375" s="15"/>
      <c r="NHV375" s="15"/>
      <c r="NHW375" s="15"/>
      <c r="NHX375" s="15"/>
      <c r="NHY375" s="15"/>
      <c r="NHZ375" s="15"/>
      <c r="NIA375" s="15"/>
      <c r="NIB375" s="15"/>
      <c r="NIC375" s="10"/>
      <c r="NID375" s="10"/>
      <c r="NIE375" s="21"/>
      <c r="NIF375" s="21"/>
      <c r="NII375" s="21"/>
      <c r="NIJ375" s="15"/>
      <c r="NIK375" s="15"/>
      <c r="NIL375" s="15"/>
      <c r="NIM375" s="15"/>
      <c r="NIN375" s="15"/>
      <c r="NIO375" s="15"/>
      <c r="NIP375" s="15"/>
      <c r="NIQ375" s="15"/>
      <c r="NIR375" s="15"/>
      <c r="NIS375" s="15"/>
      <c r="NIT375" s="10"/>
      <c r="NIU375" s="10"/>
      <c r="NIV375" s="21"/>
      <c r="NIW375" s="21"/>
      <c r="NIZ375" s="21"/>
      <c r="NJA375" s="15"/>
      <c r="NJB375" s="15"/>
      <c r="NJC375" s="15"/>
      <c r="NJD375" s="15"/>
      <c r="NJE375" s="15"/>
      <c r="NJF375" s="15"/>
      <c r="NJG375" s="15"/>
      <c r="NJH375" s="15"/>
      <c r="NJI375" s="15"/>
      <c r="NJJ375" s="15"/>
      <c r="NJK375" s="10"/>
      <c r="NJL375" s="10"/>
      <c r="NJM375" s="21"/>
      <c r="NJN375" s="21"/>
      <c r="NJQ375" s="21"/>
      <c r="NJR375" s="15"/>
      <c r="NJS375" s="15"/>
      <c r="NJT375" s="15"/>
      <c r="NJU375" s="15"/>
      <c r="NJV375" s="15"/>
      <c r="NJW375" s="15"/>
      <c r="NJX375" s="15"/>
      <c r="NJY375" s="15"/>
      <c r="NJZ375" s="15"/>
      <c r="NKA375" s="15"/>
      <c r="NKB375" s="10"/>
      <c r="NKC375" s="10"/>
      <c r="NKD375" s="21"/>
      <c r="NKE375" s="21"/>
      <c r="NKH375" s="21"/>
      <c r="NKI375" s="15"/>
      <c r="NKJ375" s="15"/>
      <c r="NKK375" s="15"/>
      <c r="NKL375" s="15"/>
      <c r="NKM375" s="15"/>
      <c r="NKN375" s="15"/>
      <c r="NKO375" s="15"/>
      <c r="NKP375" s="15"/>
      <c r="NKQ375" s="15"/>
      <c r="NKR375" s="15"/>
      <c r="NKS375" s="10"/>
      <c r="NKT375" s="10"/>
      <c r="NKU375" s="21"/>
      <c r="NKV375" s="21"/>
      <c r="NKY375" s="21"/>
      <c r="NKZ375" s="15"/>
      <c r="NLA375" s="15"/>
      <c r="NLB375" s="15"/>
      <c r="NLC375" s="15"/>
      <c r="NLD375" s="15"/>
      <c r="NLE375" s="15"/>
      <c r="NLF375" s="15"/>
      <c r="NLG375" s="15"/>
      <c r="NLH375" s="15"/>
      <c r="NLI375" s="15"/>
      <c r="NLJ375" s="10"/>
      <c r="NLK375" s="10"/>
      <c r="NLL375" s="21"/>
      <c r="NLM375" s="21"/>
      <c r="NLP375" s="21"/>
      <c r="NLQ375" s="15"/>
      <c r="NLR375" s="15"/>
      <c r="NLS375" s="15"/>
      <c r="NLT375" s="15"/>
      <c r="NLU375" s="15"/>
      <c r="NLV375" s="15"/>
      <c r="NLW375" s="15"/>
      <c r="NLX375" s="15"/>
      <c r="NLY375" s="15"/>
      <c r="NLZ375" s="15"/>
      <c r="NMA375" s="10"/>
      <c r="NMB375" s="10"/>
      <c r="NMC375" s="21"/>
      <c r="NMD375" s="21"/>
      <c r="NMG375" s="21"/>
      <c r="NMH375" s="15"/>
      <c r="NMI375" s="15"/>
      <c r="NMJ375" s="15"/>
      <c r="NMK375" s="15"/>
      <c r="NML375" s="15"/>
      <c r="NMM375" s="15"/>
      <c r="NMN375" s="15"/>
      <c r="NMO375" s="15"/>
      <c r="NMP375" s="15"/>
      <c r="NMQ375" s="15"/>
      <c r="NMR375" s="10"/>
      <c r="NMS375" s="10"/>
      <c r="NMT375" s="21"/>
      <c r="NMU375" s="21"/>
      <c r="NMX375" s="21"/>
      <c r="NMY375" s="15"/>
      <c r="NMZ375" s="15"/>
      <c r="NNA375" s="15"/>
      <c r="NNB375" s="15"/>
      <c r="NNC375" s="15"/>
      <c r="NND375" s="15"/>
      <c r="NNE375" s="15"/>
      <c r="NNF375" s="15"/>
      <c r="NNG375" s="15"/>
      <c r="NNH375" s="15"/>
      <c r="NNI375" s="10"/>
      <c r="NNJ375" s="10"/>
      <c r="NNK375" s="21"/>
      <c r="NNL375" s="21"/>
      <c r="NNO375" s="21"/>
      <c r="NNP375" s="15"/>
      <c r="NNQ375" s="15"/>
      <c r="NNR375" s="15"/>
      <c r="NNS375" s="15"/>
      <c r="NNT375" s="15"/>
      <c r="NNU375" s="15"/>
      <c r="NNV375" s="15"/>
      <c r="NNW375" s="15"/>
      <c r="NNX375" s="15"/>
      <c r="NNY375" s="15"/>
      <c r="NNZ375" s="10"/>
      <c r="NOA375" s="10"/>
      <c r="NOB375" s="21"/>
      <c r="NOC375" s="21"/>
      <c r="NOF375" s="21"/>
      <c r="NOG375" s="15"/>
      <c r="NOH375" s="15"/>
      <c r="NOI375" s="15"/>
      <c r="NOJ375" s="15"/>
      <c r="NOK375" s="15"/>
      <c r="NOL375" s="15"/>
      <c r="NOM375" s="15"/>
      <c r="NON375" s="15"/>
      <c r="NOO375" s="15"/>
      <c r="NOP375" s="15"/>
      <c r="NOQ375" s="10"/>
      <c r="NOR375" s="10"/>
      <c r="NOS375" s="21"/>
      <c r="NOT375" s="21"/>
      <c r="NOW375" s="21"/>
      <c r="NOX375" s="15"/>
      <c r="NOY375" s="15"/>
      <c r="NOZ375" s="15"/>
      <c r="NPA375" s="15"/>
      <c r="NPB375" s="15"/>
      <c r="NPC375" s="15"/>
      <c r="NPD375" s="15"/>
      <c r="NPE375" s="15"/>
      <c r="NPF375" s="15"/>
      <c r="NPG375" s="15"/>
      <c r="NPH375" s="10"/>
      <c r="NPI375" s="10"/>
      <c r="NPJ375" s="21"/>
      <c r="NPK375" s="21"/>
      <c r="NPN375" s="21"/>
      <c r="NPO375" s="15"/>
      <c r="NPP375" s="15"/>
      <c r="NPQ375" s="15"/>
      <c r="NPR375" s="15"/>
      <c r="NPS375" s="15"/>
      <c r="NPT375" s="15"/>
      <c r="NPU375" s="15"/>
      <c r="NPV375" s="15"/>
      <c r="NPW375" s="15"/>
      <c r="NPX375" s="15"/>
      <c r="NPY375" s="10"/>
      <c r="NPZ375" s="10"/>
      <c r="NQA375" s="21"/>
      <c r="NQB375" s="21"/>
      <c r="NQE375" s="21"/>
      <c r="NQF375" s="15"/>
      <c r="NQG375" s="15"/>
      <c r="NQH375" s="15"/>
      <c r="NQI375" s="15"/>
      <c r="NQJ375" s="15"/>
      <c r="NQK375" s="15"/>
      <c r="NQL375" s="15"/>
      <c r="NQM375" s="15"/>
      <c r="NQN375" s="15"/>
      <c r="NQO375" s="15"/>
      <c r="NQP375" s="10"/>
      <c r="NQQ375" s="10"/>
      <c r="NQR375" s="21"/>
      <c r="NQS375" s="21"/>
      <c r="NQV375" s="21"/>
      <c r="NQW375" s="15"/>
      <c r="NQX375" s="15"/>
      <c r="NQY375" s="15"/>
      <c r="NQZ375" s="15"/>
      <c r="NRA375" s="15"/>
      <c r="NRB375" s="15"/>
      <c r="NRC375" s="15"/>
      <c r="NRD375" s="15"/>
      <c r="NRE375" s="15"/>
      <c r="NRF375" s="15"/>
      <c r="NRG375" s="10"/>
      <c r="NRH375" s="10"/>
      <c r="NRI375" s="21"/>
      <c r="NRJ375" s="21"/>
      <c r="NRM375" s="21"/>
      <c r="NRN375" s="15"/>
      <c r="NRO375" s="15"/>
      <c r="NRP375" s="15"/>
      <c r="NRQ375" s="15"/>
      <c r="NRR375" s="15"/>
      <c r="NRS375" s="15"/>
      <c r="NRT375" s="15"/>
      <c r="NRU375" s="15"/>
      <c r="NRV375" s="15"/>
      <c r="NRW375" s="15"/>
      <c r="NRX375" s="10"/>
      <c r="NRY375" s="10"/>
      <c r="NRZ375" s="21"/>
      <c r="NSA375" s="21"/>
      <c r="NSD375" s="21"/>
      <c r="NSE375" s="15"/>
      <c r="NSF375" s="15"/>
      <c r="NSG375" s="15"/>
      <c r="NSH375" s="15"/>
      <c r="NSI375" s="15"/>
      <c r="NSJ375" s="15"/>
      <c r="NSK375" s="15"/>
      <c r="NSL375" s="15"/>
      <c r="NSM375" s="15"/>
      <c r="NSN375" s="15"/>
      <c r="NSO375" s="10"/>
      <c r="NSP375" s="10"/>
      <c r="NSQ375" s="21"/>
      <c r="NSR375" s="21"/>
      <c r="NSU375" s="21"/>
      <c r="NSV375" s="15"/>
      <c r="NSW375" s="15"/>
      <c r="NSX375" s="15"/>
      <c r="NSY375" s="15"/>
      <c r="NSZ375" s="15"/>
      <c r="NTA375" s="15"/>
      <c r="NTB375" s="15"/>
      <c r="NTC375" s="15"/>
      <c r="NTD375" s="15"/>
      <c r="NTE375" s="15"/>
      <c r="NTF375" s="10"/>
      <c r="NTG375" s="10"/>
      <c r="NTH375" s="21"/>
      <c r="NTI375" s="21"/>
      <c r="NTL375" s="21"/>
      <c r="NTM375" s="15"/>
      <c r="NTN375" s="15"/>
      <c r="NTO375" s="15"/>
      <c r="NTP375" s="15"/>
      <c r="NTQ375" s="15"/>
      <c r="NTR375" s="15"/>
      <c r="NTS375" s="15"/>
      <c r="NTT375" s="15"/>
      <c r="NTU375" s="15"/>
      <c r="NTV375" s="15"/>
      <c r="NTW375" s="10"/>
      <c r="NTX375" s="10"/>
      <c r="NTY375" s="21"/>
      <c r="NTZ375" s="21"/>
      <c r="NUC375" s="21"/>
      <c r="NUD375" s="15"/>
      <c r="NUE375" s="15"/>
      <c r="NUF375" s="15"/>
      <c r="NUG375" s="15"/>
      <c r="NUH375" s="15"/>
      <c r="NUI375" s="15"/>
      <c r="NUJ375" s="15"/>
      <c r="NUK375" s="15"/>
      <c r="NUL375" s="15"/>
      <c r="NUM375" s="15"/>
      <c r="NUN375" s="10"/>
      <c r="NUO375" s="10"/>
      <c r="NUP375" s="21"/>
      <c r="NUQ375" s="21"/>
      <c r="NUT375" s="21"/>
      <c r="NUU375" s="15"/>
      <c r="NUV375" s="15"/>
      <c r="NUW375" s="15"/>
      <c r="NUX375" s="15"/>
      <c r="NUY375" s="15"/>
      <c r="NUZ375" s="15"/>
      <c r="NVA375" s="15"/>
      <c r="NVB375" s="15"/>
      <c r="NVC375" s="15"/>
      <c r="NVD375" s="15"/>
      <c r="NVE375" s="10"/>
      <c r="NVF375" s="10"/>
      <c r="NVG375" s="21"/>
      <c r="NVH375" s="21"/>
      <c r="NVK375" s="21"/>
      <c r="NVL375" s="15"/>
      <c r="NVM375" s="15"/>
      <c r="NVN375" s="15"/>
      <c r="NVO375" s="15"/>
      <c r="NVP375" s="15"/>
      <c r="NVQ375" s="15"/>
      <c r="NVR375" s="15"/>
      <c r="NVS375" s="15"/>
      <c r="NVT375" s="15"/>
      <c r="NVU375" s="15"/>
      <c r="NVV375" s="10"/>
      <c r="NVW375" s="10"/>
      <c r="NVX375" s="21"/>
      <c r="NVY375" s="21"/>
      <c r="NWB375" s="21"/>
      <c r="NWC375" s="15"/>
      <c r="NWD375" s="15"/>
      <c r="NWE375" s="15"/>
      <c r="NWF375" s="15"/>
      <c r="NWG375" s="15"/>
      <c r="NWH375" s="15"/>
      <c r="NWI375" s="15"/>
      <c r="NWJ375" s="15"/>
      <c r="NWK375" s="15"/>
      <c r="NWL375" s="15"/>
      <c r="NWM375" s="10"/>
      <c r="NWN375" s="10"/>
      <c r="NWO375" s="21"/>
      <c r="NWP375" s="21"/>
      <c r="NWS375" s="21"/>
      <c r="NWT375" s="15"/>
      <c r="NWU375" s="15"/>
      <c r="NWV375" s="15"/>
      <c r="NWW375" s="15"/>
      <c r="NWX375" s="15"/>
      <c r="NWY375" s="15"/>
      <c r="NWZ375" s="15"/>
      <c r="NXA375" s="15"/>
      <c r="NXB375" s="15"/>
      <c r="NXC375" s="15"/>
      <c r="NXD375" s="10"/>
      <c r="NXE375" s="10"/>
      <c r="NXF375" s="21"/>
      <c r="NXG375" s="21"/>
      <c r="NXJ375" s="21"/>
      <c r="NXK375" s="15"/>
      <c r="NXL375" s="15"/>
      <c r="NXM375" s="15"/>
      <c r="NXN375" s="15"/>
      <c r="NXO375" s="15"/>
      <c r="NXP375" s="15"/>
      <c r="NXQ375" s="15"/>
      <c r="NXR375" s="15"/>
      <c r="NXS375" s="15"/>
      <c r="NXT375" s="15"/>
      <c r="NXU375" s="10"/>
      <c r="NXV375" s="10"/>
      <c r="NXW375" s="21"/>
      <c r="NXX375" s="21"/>
      <c r="NYA375" s="21"/>
      <c r="NYB375" s="15"/>
      <c r="NYC375" s="15"/>
      <c r="NYD375" s="15"/>
      <c r="NYE375" s="15"/>
      <c r="NYF375" s="15"/>
      <c r="NYG375" s="15"/>
      <c r="NYH375" s="15"/>
      <c r="NYI375" s="15"/>
      <c r="NYJ375" s="15"/>
      <c r="NYK375" s="15"/>
      <c r="NYL375" s="10"/>
      <c r="NYM375" s="10"/>
      <c r="NYN375" s="21"/>
      <c r="NYO375" s="21"/>
      <c r="NYR375" s="21"/>
      <c r="NYS375" s="15"/>
      <c r="NYT375" s="15"/>
      <c r="NYU375" s="15"/>
      <c r="NYV375" s="15"/>
      <c r="NYW375" s="15"/>
      <c r="NYX375" s="15"/>
      <c r="NYY375" s="15"/>
      <c r="NYZ375" s="15"/>
      <c r="NZA375" s="15"/>
      <c r="NZB375" s="15"/>
      <c r="NZC375" s="10"/>
      <c r="NZD375" s="10"/>
      <c r="NZE375" s="21"/>
      <c r="NZF375" s="21"/>
      <c r="NZI375" s="21"/>
      <c r="NZJ375" s="15"/>
      <c r="NZK375" s="15"/>
      <c r="NZL375" s="15"/>
      <c r="NZM375" s="15"/>
      <c r="NZN375" s="15"/>
      <c r="NZO375" s="15"/>
      <c r="NZP375" s="15"/>
      <c r="NZQ375" s="15"/>
      <c r="NZR375" s="15"/>
      <c r="NZS375" s="15"/>
      <c r="NZT375" s="10"/>
      <c r="NZU375" s="10"/>
      <c r="NZV375" s="21"/>
      <c r="NZW375" s="21"/>
      <c r="NZZ375" s="21"/>
      <c r="OAA375" s="15"/>
      <c r="OAB375" s="15"/>
      <c r="OAC375" s="15"/>
      <c r="OAD375" s="15"/>
      <c r="OAE375" s="15"/>
      <c r="OAF375" s="15"/>
      <c r="OAG375" s="15"/>
      <c r="OAH375" s="15"/>
      <c r="OAI375" s="15"/>
      <c r="OAJ375" s="15"/>
      <c r="OAK375" s="10"/>
      <c r="OAL375" s="10"/>
      <c r="OAM375" s="21"/>
      <c r="OAN375" s="21"/>
      <c r="OAQ375" s="21"/>
      <c r="OAR375" s="15"/>
      <c r="OAS375" s="15"/>
      <c r="OAT375" s="15"/>
      <c r="OAU375" s="15"/>
      <c r="OAV375" s="15"/>
      <c r="OAW375" s="15"/>
      <c r="OAX375" s="15"/>
      <c r="OAY375" s="15"/>
      <c r="OAZ375" s="15"/>
      <c r="OBA375" s="15"/>
      <c r="OBB375" s="10"/>
      <c r="OBC375" s="10"/>
      <c r="OBD375" s="21"/>
      <c r="OBE375" s="21"/>
      <c r="OBH375" s="21"/>
      <c r="OBI375" s="15"/>
      <c r="OBJ375" s="15"/>
      <c r="OBK375" s="15"/>
      <c r="OBL375" s="15"/>
      <c r="OBM375" s="15"/>
      <c r="OBN375" s="15"/>
      <c r="OBO375" s="15"/>
      <c r="OBP375" s="15"/>
      <c r="OBQ375" s="15"/>
      <c r="OBR375" s="15"/>
      <c r="OBS375" s="10"/>
      <c r="OBT375" s="10"/>
      <c r="OBU375" s="21"/>
      <c r="OBV375" s="21"/>
      <c r="OBY375" s="21"/>
      <c r="OBZ375" s="15"/>
      <c r="OCA375" s="15"/>
      <c r="OCB375" s="15"/>
      <c r="OCC375" s="15"/>
      <c r="OCD375" s="15"/>
      <c r="OCE375" s="15"/>
      <c r="OCF375" s="15"/>
      <c r="OCG375" s="15"/>
      <c r="OCH375" s="15"/>
      <c r="OCI375" s="15"/>
      <c r="OCJ375" s="10"/>
      <c r="OCK375" s="10"/>
      <c r="OCL375" s="21"/>
      <c r="OCM375" s="21"/>
      <c r="OCP375" s="21"/>
      <c r="OCQ375" s="15"/>
      <c r="OCR375" s="15"/>
      <c r="OCS375" s="15"/>
      <c r="OCT375" s="15"/>
      <c r="OCU375" s="15"/>
      <c r="OCV375" s="15"/>
      <c r="OCW375" s="15"/>
      <c r="OCX375" s="15"/>
      <c r="OCY375" s="15"/>
      <c r="OCZ375" s="15"/>
      <c r="ODA375" s="10"/>
      <c r="ODB375" s="10"/>
      <c r="ODC375" s="21"/>
      <c r="ODD375" s="21"/>
      <c r="ODG375" s="21"/>
      <c r="ODH375" s="15"/>
      <c r="ODI375" s="15"/>
      <c r="ODJ375" s="15"/>
      <c r="ODK375" s="15"/>
      <c r="ODL375" s="15"/>
      <c r="ODM375" s="15"/>
      <c r="ODN375" s="15"/>
      <c r="ODO375" s="15"/>
      <c r="ODP375" s="15"/>
      <c r="ODQ375" s="15"/>
      <c r="ODR375" s="10"/>
      <c r="ODS375" s="10"/>
      <c r="ODT375" s="21"/>
      <c r="ODU375" s="21"/>
      <c r="ODX375" s="21"/>
      <c r="ODY375" s="15"/>
      <c r="ODZ375" s="15"/>
      <c r="OEA375" s="15"/>
      <c r="OEB375" s="15"/>
      <c r="OEC375" s="15"/>
      <c r="OED375" s="15"/>
      <c r="OEE375" s="15"/>
      <c r="OEF375" s="15"/>
      <c r="OEG375" s="15"/>
      <c r="OEH375" s="15"/>
      <c r="OEI375" s="10"/>
      <c r="OEJ375" s="10"/>
      <c r="OEK375" s="21"/>
      <c r="OEL375" s="21"/>
      <c r="OEO375" s="21"/>
      <c r="OEP375" s="15"/>
      <c r="OEQ375" s="15"/>
      <c r="OER375" s="15"/>
      <c r="OES375" s="15"/>
      <c r="OET375" s="15"/>
      <c r="OEU375" s="15"/>
      <c r="OEV375" s="15"/>
      <c r="OEW375" s="15"/>
      <c r="OEX375" s="15"/>
      <c r="OEY375" s="15"/>
      <c r="OEZ375" s="10"/>
      <c r="OFA375" s="10"/>
      <c r="OFB375" s="21"/>
      <c r="OFC375" s="21"/>
      <c r="OFF375" s="21"/>
      <c r="OFG375" s="15"/>
      <c r="OFH375" s="15"/>
      <c r="OFI375" s="15"/>
      <c r="OFJ375" s="15"/>
      <c r="OFK375" s="15"/>
      <c r="OFL375" s="15"/>
      <c r="OFM375" s="15"/>
      <c r="OFN375" s="15"/>
      <c r="OFO375" s="15"/>
      <c r="OFP375" s="15"/>
      <c r="OFQ375" s="10"/>
      <c r="OFR375" s="10"/>
      <c r="OFS375" s="21"/>
      <c r="OFT375" s="21"/>
      <c r="OFW375" s="21"/>
      <c r="OFX375" s="15"/>
      <c r="OFY375" s="15"/>
      <c r="OFZ375" s="15"/>
      <c r="OGA375" s="15"/>
      <c r="OGB375" s="15"/>
      <c r="OGC375" s="15"/>
      <c r="OGD375" s="15"/>
      <c r="OGE375" s="15"/>
      <c r="OGF375" s="15"/>
      <c r="OGG375" s="15"/>
      <c r="OGH375" s="10"/>
      <c r="OGI375" s="10"/>
      <c r="OGJ375" s="21"/>
      <c r="OGK375" s="21"/>
      <c r="OGN375" s="21"/>
      <c r="OGO375" s="15"/>
      <c r="OGP375" s="15"/>
      <c r="OGQ375" s="15"/>
      <c r="OGR375" s="15"/>
      <c r="OGS375" s="15"/>
      <c r="OGT375" s="15"/>
      <c r="OGU375" s="15"/>
      <c r="OGV375" s="15"/>
      <c r="OGW375" s="15"/>
      <c r="OGX375" s="15"/>
      <c r="OGY375" s="10"/>
      <c r="OGZ375" s="10"/>
      <c r="OHA375" s="21"/>
      <c r="OHB375" s="21"/>
      <c r="OHE375" s="21"/>
      <c r="OHF375" s="15"/>
      <c r="OHG375" s="15"/>
      <c r="OHH375" s="15"/>
      <c r="OHI375" s="15"/>
      <c r="OHJ375" s="15"/>
      <c r="OHK375" s="15"/>
      <c r="OHL375" s="15"/>
      <c r="OHM375" s="15"/>
      <c r="OHN375" s="15"/>
      <c r="OHO375" s="15"/>
      <c r="OHP375" s="10"/>
      <c r="OHQ375" s="10"/>
      <c r="OHR375" s="21"/>
      <c r="OHS375" s="21"/>
      <c r="OHV375" s="21"/>
      <c r="OHW375" s="15"/>
      <c r="OHX375" s="15"/>
      <c r="OHY375" s="15"/>
      <c r="OHZ375" s="15"/>
      <c r="OIA375" s="15"/>
      <c r="OIB375" s="15"/>
      <c r="OIC375" s="15"/>
      <c r="OID375" s="15"/>
      <c r="OIE375" s="15"/>
      <c r="OIF375" s="15"/>
      <c r="OIG375" s="10"/>
      <c r="OIH375" s="10"/>
      <c r="OII375" s="21"/>
      <c r="OIJ375" s="21"/>
      <c r="OIM375" s="21"/>
      <c r="OIN375" s="15"/>
      <c r="OIO375" s="15"/>
      <c r="OIP375" s="15"/>
      <c r="OIQ375" s="15"/>
      <c r="OIR375" s="15"/>
      <c r="OIS375" s="15"/>
      <c r="OIT375" s="15"/>
      <c r="OIU375" s="15"/>
      <c r="OIV375" s="15"/>
      <c r="OIW375" s="15"/>
      <c r="OIX375" s="10"/>
      <c r="OIY375" s="10"/>
      <c r="OIZ375" s="21"/>
      <c r="OJA375" s="21"/>
      <c r="OJD375" s="21"/>
      <c r="OJE375" s="15"/>
      <c r="OJF375" s="15"/>
      <c r="OJG375" s="15"/>
      <c r="OJH375" s="15"/>
      <c r="OJI375" s="15"/>
      <c r="OJJ375" s="15"/>
      <c r="OJK375" s="15"/>
      <c r="OJL375" s="15"/>
      <c r="OJM375" s="15"/>
      <c r="OJN375" s="15"/>
      <c r="OJO375" s="10"/>
      <c r="OJP375" s="10"/>
      <c r="OJQ375" s="21"/>
      <c r="OJR375" s="21"/>
      <c r="OJU375" s="21"/>
      <c r="OJV375" s="15"/>
      <c r="OJW375" s="15"/>
      <c r="OJX375" s="15"/>
      <c r="OJY375" s="15"/>
      <c r="OJZ375" s="15"/>
      <c r="OKA375" s="15"/>
      <c r="OKB375" s="15"/>
      <c r="OKC375" s="15"/>
      <c r="OKD375" s="15"/>
      <c r="OKE375" s="15"/>
      <c r="OKF375" s="10"/>
      <c r="OKG375" s="10"/>
      <c r="OKH375" s="21"/>
      <c r="OKI375" s="21"/>
      <c r="OKL375" s="21"/>
      <c r="OKM375" s="15"/>
      <c r="OKN375" s="15"/>
      <c r="OKO375" s="15"/>
      <c r="OKP375" s="15"/>
      <c r="OKQ375" s="15"/>
      <c r="OKR375" s="15"/>
      <c r="OKS375" s="15"/>
      <c r="OKT375" s="15"/>
      <c r="OKU375" s="15"/>
      <c r="OKV375" s="15"/>
      <c r="OKW375" s="10"/>
      <c r="OKX375" s="10"/>
      <c r="OKY375" s="21"/>
      <c r="OKZ375" s="21"/>
      <c r="OLC375" s="21"/>
      <c r="OLD375" s="15"/>
      <c r="OLE375" s="15"/>
      <c r="OLF375" s="15"/>
      <c r="OLG375" s="15"/>
      <c r="OLH375" s="15"/>
      <c r="OLI375" s="15"/>
      <c r="OLJ375" s="15"/>
      <c r="OLK375" s="15"/>
      <c r="OLL375" s="15"/>
      <c r="OLM375" s="15"/>
      <c r="OLN375" s="10"/>
      <c r="OLO375" s="10"/>
      <c r="OLP375" s="21"/>
      <c r="OLQ375" s="21"/>
      <c r="OLT375" s="21"/>
      <c r="OLU375" s="15"/>
      <c r="OLV375" s="15"/>
      <c r="OLW375" s="15"/>
      <c r="OLX375" s="15"/>
      <c r="OLY375" s="15"/>
      <c r="OLZ375" s="15"/>
      <c r="OMA375" s="15"/>
      <c r="OMB375" s="15"/>
      <c r="OMC375" s="15"/>
      <c r="OMD375" s="15"/>
      <c r="OME375" s="10"/>
      <c r="OMF375" s="10"/>
      <c r="OMG375" s="21"/>
      <c r="OMH375" s="21"/>
      <c r="OMK375" s="21"/>
      <c r="OML375" s="15"/>
      <c r="OMM375" s="15"/>
      <c r="OMN375" s="15"/>
      <c r="OMO375" s="15"/>
      <c r="OMP375" s="15"/>
      <c r="OMQ375" s="15"/>
      <c r="OMR375" s="15"/>
      <c r="OMS375" s="15"/>
      <c r="OMT375" s="15"/>
      <c r="OMU375" s="15"/>
      <c r="OMV375" s="10"/>
      <c r="OMW375" s="10"/>
      <c r="OMX375" s="21"/>
      <c r="OMY375" s="21"/>
      <c r="ONB375" s="21"/>
      <c r="ONC375" s="15"/>
      <c r="OND375" s="15"/>
      <c r="ONE375" s="15"/>
      <c r="ONF375" s="15"/>
      <c r="ONG375" s="15"/>
      <c r="ONH375" s="15"/>
      <c r="ONI375" s="15"/>
      <c r="ONJ375" s="15"/>
      <c r="ONK375" s="15"/>
      <c r="ONL375" s="15"/>
      <c r="ONM375" s="10"/>
      <c r="ONN375" s="10"/>
      <c r="ONO375" s="21"/>
      <c r="ONP375" s="21"/>
      <c r="ONS375" s="21"/>
      <c r="ONT375" s="15"/>
      <c r="ONU375" s="15"/>
      <c r="ONV375" s="15"/>
      <c r="ONW375" s="15"/>
      <c r="ONX375" s="15"/>
      <c r="ONY375" s="15"/>
      <c r="ONZ375" s="15"/>
      <c r="OOA375" s="15"/>
      <c r="OOB375" s="15"/>
      <c r="OOC375" s="15"/>
      <c r="OOD375" s="10"/>
      <c r="OOE375" s="10"/>
      <c r="OOF375" s="21"/>
      <c r="OOG375" s="21"/>
      <c r="OOJ375" s="21"/>
      <c r="OOK375" s="15"/>
      <c r="OOL375" s="15"/>
      <c r="OOM375" s="15"/>
      <c r="OON375" s="15"/>
      <c r="OOO375" s="15"/>
      <c r="OOP375" s="15"/>
      <c r="OOQ375" s="15"/>
      <c r="OOR375" s="15"/>
      <c r="OOS375" s="15"/>
      <c r="OOT375" s="15"/>
      <c r="OOU375" s="10"/>
      <c r="OOV375" s="10"/>
      <c r="OOW375" s="21"/>
      <c r="OOX375" s="21"/>
      <c r="OPA375" s="21"/>
      <c r="OPB375" s="15"/>
      <c r="OPC375" s="15"/>
      <c r="OPD375" s="15"/>
      <c r="OPE375" s="15"/>
      <c r="OPF375" s="15"/>
      <c r="OPG375" s="15"/>
      <c r="OPH375" s="15"/>
      <c r="OPI375" s="15"/>
      <c r="OPJ375" s="15"/>
      <c r="OPK375" s="15"/>
      <c r="OPL375" s="10"/>
      <c r="OPM375" s="10"/>
      <c r="OPN375" s="21"/>
      <c r="OPO375" s="21"/>
      <c r="OPR375" s="21"/>
      <c r="OPS375" s="15"/>
      <c r="OPT375" s="15"/>
      <c r="OPU375" s="15"/>
      <c r="OPV375" s="15"/>
      <c r="OPW375" s="15"/>
      <c r="OPX375" s="15"/>
      <c r="OPY375" s="15"/>
      <c r="OPZ375" s="15"/>
      <c r="OQA375" s="15"/>
      <c r="OQB375" s="15"/>
      <c r="OQC375" s="10"/>
      <c r="OQD375" s="10"/>
      <c r="OQE375" s="21"/>
      <c r="OQF375" s="21"/>
      <c r="OQI375" s="21"/>
      <c r="OQJ375" s="15"/>
      <c r="OQK375" s="15"/>
      <c r="OQL375" s="15"/>
      <c r="OQM375" s="15"/>
      <c r="OQN375" s="15"/>
      <c r="OQO375" s="15"/>
      <c r="OQP375" s="15"/>
      <c r="OQQ375" s="15"/>
      <c r="OQR375" s="15"/>
      <c r="OQS375" s="15"/>
      <c r="OQT375" s="10"/>
      <c r="OQU375" s="10"/>
      <c r="OQV375" s="21"/>
      <c r="OQW375" s="21"/>
      <c r="OQZ375" s="21"/>
      <c r="ORA375" s="15"/>
      <c r="ORB375" s="15"/>
      <c r="ORC375" s="15"/>
      <c r="ORD375" s="15"/>
      <c r="ORE375" s="15"/>
      <c r="ORF375" s="15"/>
      <c r="ORG375" s="15"/>
      <c r="ORH375" s="15"/>
      <c r="ORI375" s="15"/>
      <c r="ORJ375" s="15"/>
      <c r="ORK375" s="10"/>
      <c r="ORL375" s="10"/>
      <c r="ORM375" s="21"/>
      <c r="ORN375" s="21"/>
      <c r="ORQ375" s="21"/>
      <c r="ORR375" s="15"/>
      <c r="ORS375" s="15"/>
      <c r="ORT375" s="15"/>
      <c r="ORU375" s="15"/>
      <c r="ORV375" s="15"/>
      <c r="ORW375" s="15"/>
      <c r="ORX375" s="15"/>
      <c r="ORY375" s="15"/>
      <c r="ORZ375" s="15"/>
      <c r="OSA375" s="15"/>
      <c r="OSB375" s="10"/>
      <c r="OSC375" s="10"/>
      <c r="OSD375" s="21"/>
      <c r="OSE375" s="21"/>
      <c r="OSH375" s="21"/>
      <c r="OSI375" s="15"/>
      <c r="OSJ375" s="15"/>
      <c r="OSK375" s="15"/>
      <c r="OSL375" s="15"/>
      <c r="OSM375" s="15"/>
      <c r="OSN375" s="15"/>
      <c r="OSO375" s="15"/>
      <c r="OSP375" s="15"/>
      <c r="OSQ375" s="15"/>
      <c r="OSR375" s="15"/>
      <c r="OSS375" s="10"/>
      <c r="OST375" s="10"/>
      <c r="OSU375" s="21"/>
      <c r="OSV375" s="21"/>
      <c r="OSY375" s="21"/>
      <c r="OSZ375" s="15"/>
      <c r="OTA375" s="15"/>
      <c r="OTB375" s="15"/>
      <c r="OTC375" s="15"/>
      <c r="OTD375" s="15"/>
      <c r="OTE375" s="15"/>
      <c r="OTF375" s="15"/>
      <c r="OTG375" s="15"/>
      <c r="OTH375" s="15"/>
      <c r="OTI375" s="15"/>
      <c r="OTJ375" s="10"/>
      <c r="OTK375" s="10"/>
      <c r="OTL375" s="21"/>
      <c r="OTM375" s="21"/>
      <c r="OTP375" s="21"/>
      <c r="OTQ375" s="15"/>
      <c r="OTR375" s="15"/>
      <c r="OTS375" s="15"/>
      <c r="OTT375" s="15"/>
      <c r="OTU375" s="15"/>
      <c r="OTV375" s="15"/>
      <c r="OTW375" s="15"/>
      <c r="OTX375" s="15"/>
      <c r="OTY375" s="15"/>
      <c r="OTZ375" s="15"/>
      <c r="OUA375" s="10"/>
      <c r="OUB375" s="10"/>
      <c r="OUC375" s="21"/>
      <c r="OUD375" s="21"/>
      <c r="OUG375" s="21"/>
      <c r="OUH375" s="15"/>
      <c r="OUI375" s="15"/>
      <c r="OUJ375" s="15"/>
      <c r="OUK375" s="15"/>
      <c r="OUL375" s="15"/>
      <c r="OUM375" s="15"/>
      <c r="OUN375" s="15"/>
      <c r="OUO375" s="15"/>
      <c r="OUP375" s="15"/>
      <c r="OUQ375" s="15"/>
      <c r="OUR375" s="10"/>
      <c r="OUS375" s="10"/>
      <c r="OUT375" s="21"/>
      <c r="OUU375" s="21"/>
      <c r="OUX375" s="21"/>
      <c r="OUY375" s="15"/>
      <c r="OUZ375" s="15"/>
      <c r="OVA375" s="15"/>
      <c r="OVB375" s="15"/>
      <c r="OVC375" s="15"/>
      <c r="OVD375" s="15"/>
      <c r="OVE375" s="15"/>
      <c r="OVF375" s="15"/>
      <c r="OVG375" s="15"/>
      <c r="OVH375" s="15"/>
      <c r="OVI375" s="10"/>
      <c r="OVJ375" s="10"/>
      <c r="OVK375" s="21"/>
      <c r="OVL375" s="21"/>
      <c r="OVO375" s="21"/>
      <c r="OVP375" s="15"/>
      <c r="OVQ375" s="15"/>
      <c r="OVR375" s="15"/>
      <c r="OVS375" s="15"/>
      <c r="OVT375" s="15"/>
      <c r="OVU375" s="15"/>
      <c r="OVV375" s="15"/>
      <c r="OVW375" s="15"/>
      <c r="OVX375" s="15"/>
      <c r="OVY375" s="15"/>
      <c r="OVZ375" s="10"/>
      <c r="OWA375" s="10"/>
      <c r="OWB375" s="21"/>
      <c r="OWC375" s="21"/>
      <c r="OWF375" s="21"/>
      <c r="OWG375" s="15"/>
      <c r="OWH375" s="15"/>
      <c r="OWI375" s="15"/>
      <c r="OWJ375" s="15"/>
      <c r="OWK375" s="15"/>
      <c r="OWL375" s="15"/>
      <c r="OWM375" s="15"/>
      <c r="OWN375" s="15"/>
      <c r="OWO375" s="15"/>
      <c r="OWP375" s="15"/>
      <c r="OWQ375" s="10"/>
      <c r="OWR375" s="10"/>
      <c r="OWS375" s="21"/>
      <c r="OWT375" s="21"/>
      <c r="OWW375" s="21"/>
      <c r="OWX375" s="15"/>
      <c r="OWY375" s="15"/>
      <c r="OWZ375" s="15"/>
      <c r="OXA375" s="15"/>
      <c r="OXB375" s="15"/>
      <c r="OXC375" s="15"/>
      <c r="OXD375" s="15"/>
      <c r="OXE375" s="15"/>
      <c r="OXF375" s="15"/>
      <c r="OXG375" s="15"/>
      <c r="OXH375" s="10"/>
      <c r="OXI375" s="10"/>
      <c r="OXJ375" s="21"/>
      <c r="OXK375" s="21"/>
      <c r="OXN375" s="21"/>
      <c r="OXO375" s="15"/>
      <c r="OXP375" s="15"/>
      <c r="OXQ375" s="15"/>
      <c r="OXR375" s="15"/>
      <c r="OXS375" s="15"/>
      <c r="OXT375" s="15"/>
      <c r="OXU375" s="15"/>
      <c r="OXV375" s="15"/>
      <c r="OXW375" s="15"/>
      <c r="OXX375" s="15"/>
      <c r="OXY375" s="10"/>
      <c r="OXZ375" s="10"/>
      <c r="OYA375" s="21"/>
      <c r="OYB375" s="21"/>
      <c r="OYE375" s="21"/>
      <c r="OYF375" s="15"/>
      <c r="OYG375" s="15"/>
      <c r="OYH375" s="15"/>
      <c r="OYI375" s="15"/>
      <c r="OYJ375" s="15"/>
      <c r="OYK375" s="15"/>
      <c r="OYL375" s="15"/>
      <c r="OYM375" s="15"/>
      <c r="OYN375" s="15"/>
      <c r="OYO375" s="15"/>
      <c r="OYP375" s="10"/>
      <c r="OYQ375" s="10"/>
      <c r="OYR375" s="21"/>
      <c r="OYS375" s="21"/>
      <c r="OYV375" s="21"/>
      <c r="OYW375" s="15"/>
      <c r="OYX375" s="15"/>
      <c r="OYY375" s="15"/>
      <c r="OYZ375" s="15"/>
      <c r="OZA375" s="15"/>
      <c r="OZB375" s="15"/>
      <c r="OZC375" s="15"/>
      <c r="OZD375" s="15"/>
      <c r="OZE375" s="15"/>
      <c r="OZF375" s="15"/>
      <c r="OZG375" s="10"/>
      <c r="OZH375" s="10"/>
      <c r="OZI375" s="21"/>
      <c r="OZJ375" s="21"/>
      <c r="OZM375" s="21"/>
      <c r="OZN375" s="15"/>
      <c r="OZO375" s="15"/>
      <c r="OZP375" s="15"/>
      <c r="OZQ375" s="15"/>
      <c r="OZR375" s="15"/>
      <c r="OZS375" s="15"/>
      <c r="OZT375" s="15"/>
      <c r="OZU375" s="15"/>
      <c r="OZV375" s="15"/>
      <c r="OZW375" s="15"/>
      <c r="OZX375" s="10"/>
      <c r="OZY375" s="10"/>
      <c r="OZZ375" s="21"/>
      <c r="PAA375" s="21"/>
      <c r="PAD375" s="21"/>
      <c r="PAE375" s="15"/>
      <c r="PAF375" s="15"/>
      <c r="PAG375" s="15"/>
      <c r="PAH375" s="15"/>
      <c r="PAI375" s="15"/>
      <c r="PAJ375" s="15"/>
      <c r="PAK375" s="15"/>
      <c r="PAL375" s="15"/>
      <c r="PAM375" s="15"/>
      <c r="PAN375" s="15"/>
      <c r="PAO375" s="10"/>
      <c r="PAP375" s="10"/>
      <c r="PAQ375" s="21"/>
      <c r="PAR375" s="21"/>
      <c r="PAU375" s="21"/>
      <c r="PAV375" s="15"/>
      <c r="PAW375" s="15"/>
      <c r="PAX375" s="15"/>
      <c r="PAY375" s="15"/>
      <c r="PAZ375" s="15"/>
      <c r="PBA375" s="15"/>
      <c r="PBB375" s="15"/>
      <c r="PBC375" s="15"/>
      <c r="PBD375" s="15"/>
      <c r="PBE375" s="15"/>
      <c r="PBF375" s="10"/>
      <c r="PBG375" s="10"/>
      <c r="PBH375" s="21"/>
      <c r="PBI375" s="21"/>
      <c r="PBL375" s="21"/>
      <c r="PBM375" s="15"/>
      <c r="PBN375" s="15"/>
      <c r="PBO375" s="15"/>
      <c r="PBP375" s="15"/>
      <c r="PBQ375" s="15"/>
      <c r="PBR375" s="15"/>
      <c r="PBS375" s="15"/>
      <c r="PBT375" s="15"/>
      <c r="PBU375" s="15"/>
      <c r="PBV375" s="15"/>
      <c r="PBW375" s="10"/>
      <c r="PBX375" s="10"/>
      <c r="PBY375" s="21"/>
      <c r="PBZ375" s="21"/>
      <c r="PCC375" s="21"/>
      <c r="PCD375" s="15"/>
      <c r="PCE375" s="15"/>
      <c r="PCF375" s="15"/>
      <c r="PCG375" s="15"/>
      <c r="PCH375" s="15"/>
      <c r="PCI375" s="15"/>
      <c r="PCJ375" s="15"/>
      <c r="PCK375" s="15"/>
      <c r="PCL375" s="15"/>
      <c r="PCM375" s="15"/>
      <c r="PCN375" s="10"/>
      <c r="PCO375" s="10"/>
      <c r="PCP375" s="21"/>
      <c r="PCQ375" s="21"/>
      <c r="PCT375" s="21"/>
      <c r="PCU375" s="15"/>
      <c r="PCV375" s="15"/>
      <c r="PCW375" s="15"/>
      <c r="PCX375" s="15"/>
      <c r="PCY375" s="15"/>
      <c r="PCZ375" s="15"/>
      <c r="PDA375" s="15"/>
      <c r="PDB375" s="15"/>
      <c r="PDC375" s="15"/>
      <c r="PDD375" s="15"/>
      <c r="PDE375" s="10"/>
      <c r="PDF375" s="10"/>
      <c r="PDG375" s="21"/>
      <c r="PDH375" s="21"/>
      <c r="PDK375" s="21"/>
      <c r="PDL375" s="15"/>
      <c r="PDM375" s="15"/>
      <c r="PDN375" s="15"/>
      <c r="PDO375" s="15"/>
      <c r="PDP375" s="15"/>
      <c r="PDQ375" s="15"/>
      <c r="PDR375" s="15"/>
      <c r="PDS375" s="15"/>
      <c r="PDT375" s="15"/>
      <c r="PDU375" s="15"/>
      <c r="PDV375" s="10"/>
      <c r="PDW375" s="10"/>
      <c r="PDX375" s="21"/>
      <c r="PDY375" s="21"/>
      <c r="PEB375" s="21"/>
      <c r="PEC375" s="15"/>
      <c r="PED375" s="15"/>
      <c r="PEE375" s="15"/>
      <c r="PEF375" s="15"/>
      <c r="PEG375" s="15"/>
      <c r="PEH375" s="15"/>
      <c r="PEI375" s="15"/>
      <c r="PEJ375" s="15"/>
      <c r="PEK375" s="15"/>
      <c r="PEL375" s="15"/>
      <c r="PEM375" s="10"/>
      <c r="PEN375" s="10"/>
      <c r="PEO375" s="21"/>
      <c r="PEP375" s="21"/>
      <c r="PES375" s="21"/>
      <c r="PET375" s="15"/>
      <c r="PEU375" s="15"/>
      <c r="PEV375" s="15"/>
      <c r="PEW375" s="15"/>
      <c r="PEX375" s="15"/>
      <c r="PEY375" s="15"/>
      <c r="PEZ375" s="15"/>
      <c r="PFA375" s="15"/>
      <c r="PFB375" s="15"/>
      <c r="PFC375" s="15"/>
      <c r="PFD375" s="10"/>
      <c r="PFE375" s="10"/>
      <c r="PFF375" s="21"/>
      <c r="PFG375" s="21"/>
      <c r="PFJ375" s="21"/>
      <c r="PFK375" s="15"/>
      <c r="PFL375" s="15"/>
      <c r="PFM375" s="15"/>
      <c r="PFN375" s="15"/>
      <c r="PFO375" s="15"/>
      <c r="PFP375" s="15"/>
      <c r="PFQ375" s="15"/>
      <c r="PFR375" s="15"/>
      <c r="PFS375" s="15"/>
      <c r="PFT375" s="15"/>
      <c r="PFU375" s="10"/>
      <c r="PFV375" s="10"/>
      <c r="PFW375" s="21"/>
      <c r="PFX375" s="21"/>
      <c r="PGA375" s="21"/>
      <c r="PGB375" s="15"/>
      <c r="PGC375" s="15"/>
      <c r="PGD375" s="15"/>
      <c r="PGE375" s="15"/>
      <c r="PGF375" s="15"/>
      <c r="PGG375" s="15"/>
      <c r="PGH375" s="15"/>
      <c r="PGI375" s="15"/>
      <c r="PGJ375" s="15"/>
      <c r="PGK375" s="15"/>
      <c r="PGL375" s="10"/>
      <c r="PGM375" s="10"/>
      <c r="PGN375" s="21"/>
      <c r="PGO375" s="21"/>
      <c r="PGR375" s="21"/>
      <c r="PGS375" s="15"/>
      <c r="PGT375" s="15"/>
      <c r="PGU375" s="15"/>
      <c r="PGV375" s="15"/>
      <c r="PGW375" s="15"/>
      <c r="PGX375" s="15"/>
      <c r="PGY375" s="15"/>
      <c r="PGZ375" s="15"/>
      <c r="PHA375" s="15"/>
      <c r="PHB375" s="15"/>
      <c r="PHC375" s="10"/>
      <c r="PHD375" s="10"/>
      <c r="PHE375" s="21"/>
      <c r="PHF375" s="21"/>
      <c r="PHI375" s="21"/>
      <c r="PHJ375" s="15"/>
      <c r="PHK375" s="15"/>
      <c r="PHL375" s="15"/>
      <c r="PHM375" s="15"/>
      <c r="PHN375" s="15"/>
      <c r="PHO375" s="15"/>
      <c r="PHP375" s="15"/>
      <c r="PHQ375" s="15"/>
      <c r="PHR375" s="15"/>
      <c r="PHS375" s="15"/>
      <c r="PHT375" s="10"/>
      <c r="PHU375" s="10"/>
      <c r="PHV375" s="21"/>
      <c r="PHW375" s="21"/>
      <c r="PHZ375" s="21"/>
      <c r="PIA375" s="15"/>
      <c r="PIB375" s="15"/>
      <c r="PIC375" s="15"/>
      <c r="PID375" s="15"/>
      <c r="PIE375" s="15"/>
      <c r="PIF375" s="15"/>
      <c r="PIG375" s="15"/>
      <c r="PIH375" s="15"/>
      <c r="PII375" s="15"/>
      <c r="PIJ375" s="15"/>
      <c r="PIK375" s="10"/>
      <c r="PIL375" s="10"/>
      <c r="PIM375" s="21"/>
      <c r="PIN375" s="21"/>
      <c r="PIQ375" s="21"/>
      <c r="PIR375" s="15"/>
      <c r="PIS375" s="15"/>
      <c r="PIT375" s="15"/>
      <c r="PIU375" s="15"/>
      <c r="PIV375" s="15"/>
      <c r="PIW375" s="15"/>
      <c r="PIX375" s="15"/>
      <c r="PIY375" s="15"/>
      <c r="PIZ375" s="15"/>
      <c r="PJA375" s="15"/>
      <c r="PJB375" s="10"/>
      <c r="PJC375" s="10"/>
      <c r="PJD375" s="21"/>
      <c r="PJE375" s="21"/>
      <c r="PJH375" s="21"/>
      <c r="PJI375" s="15"/>
      <c r="PJJ375" s="15"/>
      <c r="PJK375" s="15"/>
      <c r="PJL375" s="15"/>
      <c r="PJM375" s="15"/>
      <c r="PJN375" s="15"/>
      <c r="PJO375" s="15"/>
      <c r="PJP375" s="15"/>
      <c r="PJQ375" s="15"/>
      <c r="PJR375" s="15"/>
      <c r="PJS375" s="10"/>
      <c r="PJT375" s="10"/>
      <c r="PJU375" s="21"/>
      <c r="PJV375" s="21"/>
      <c r="PJY375" s="21"/>
      <c r="PJZ375" s="15"/>
      <c r="PKA375" s="15"/>
      <c r="PKB375" s="15"/>
      <c r="PKC375" s="15"/>
      <c r="PKD375" s="15"/>
      <c r="PKE375" s="15"/>
      <c r="PKF375" s="15"/>
      <c r="PKG375" s="15"/>
      <c r="PKH375" s="15"/>
      <c r="PKI375" s="15"/>
      <c r="PKJ375" s="10"/>
      <c r="PKK375" s="10"/>
      <c r="PKL375" s="21"/>
      <c r="PKM375" s="21"/>
      <c r="PKP375" s="21"/>
      <c r="PKQ375" s="15"/>
      <c r="PKR375" s="15"/>
      <c r="PKS375" s="15"/>
      <c r="PKT375" s="15"/>
      <c r="PKU375" s="15"/>
      <c r="PKV375" s="15"/>
      <c r="PKW375" s="15"/>
      <c r="PKX375" s="15"/>
      <c r="PKY375" s="15"/>
      <c r="PKZ375" s="15"/>
      <c r="PLA375" s="10"/>
      <c r="PLB375" s="10"/>
      <c r="PLC375" s="21"/>
      <c r="PLD375" s="21"/>
      <c r="PLG375" s="21"/>
      <c r="PLH375" s="15"/>
      <c r="PLI375" s="15"/>
      <c r="PLJ375" s="15"/>
      <c r="PLK375" s="15"/>
      <c r="PLL375" s="15"/>
      <c r="PLM375" s="15"/>
      <c r="PLN375" s="15"/>
      <c r="PLO375" s="15"/>
      <c r="PLP375" s="15"/>
      <c r="PLQ375" s="15"/>
      <c r="PLR375" s="10"/>
      <c r="PLS375" s="10"/>
      <c r="PLT375" s="21"/>
      <c r="PLU375" s="21"/>
      <c r="PLX375" s="21"/>
      <c r="PLY375" s="15"/>
      <c r="PLZ375" s="15"/>
      <c r="PMA375" s="15"/>
      <c r="PMB375" s="15"/>
      <c r="PMC375" s="15"/>
      <c r="PMD375" s="15"/>
      <c r="PME375" s="15"/>
      <c r="PMF375" s="15"/>
      <c r="PMG375" s="15"/>
      <c r="PMH375" s="15"/>
      <c r="PMI375" s="10"/>
      <c r="PMJ375" s="10"/>
      <c r="PMK375" s="21"/>
      <c r="PML375" s="21"/>
      <c r="PMO375" s="21"/>
      <c r="PMP375" s="15"/>
      <c r="PMQ375" s="15"/>
      <c r="PMR375" s="15"/>
      <c r="PMS375" s="15"/>
      <c r="PMT375" s="15"/>
      <c r="PMU375" s="15"/>
      <c r="PMV375" s="15"/>
      <c r="PMW375" s="15"/>
      <c r="PMX375" s="15"/>
      <c r="PMY375" s="15"/>
      <c r="PMZ375" s="10"/>
      <c r="PNA375" s="10"/>
      <c r="PNB375" s="21"/>
      <c r="PNC375" s="21"/>
      <c r="PNF375" s="21"/>
      <c r="PNG375" s="15"/>
      <c r="PNH375" s="15"/>
      <c r="PNI375" s="15"/>
      <c r="PNJ375" s="15"/>
      <c r="PNK375" s="15"/>
      <c r="PNL375" s="15"/>
      <c r="PNM375" s="15"/>
      <c r="PNN375" s="15"/>
      <c r="PNO375" s="15"/>
      <c r="PNP375" s="15"/>
      <c r="PNQ375" s="10"/>
      <c r="PNR375" s="10"/>
      <c r="PNS375" s="21"/>
      <c r="PNT375" s="21"/>
      <c r="PNW375" s="21"/>
      <c r="PNX375" s="15"/>
      <c r="PNY375" s="15"/>
      <c r="PNZ375" s="15"/>
      <c r="POA375" s="15"/>
      <c r="POB375" s="15"/>
      <c r="POC375" s="15"/>
      <c r="POD375" s="15"/>
      <c r="POE375" s="15"/>
      <c r="POF375" s="15"/>
      <c r="POG375" s="15"/>
      <c r="POH375" s="10"/>
      <c r="POI375" s="10"/>
      <c r="POJ375" s="21"/>
      <c r="POK375" s="21"/>
      <c r="PON375" s="21"/>
      <c r="POO375" s="15"/>
      <c r="POP375" s="15"/>
      <c r="POQ375" s="15"/>
      <c r="POR375" s="15"/>
      <c r="POS375" s="15"/>
      <c r="POT375" s="15"/>
      <c r="POU375" s="15"/>
      <c r="POV375" s="15"/>
      <c r="POW375" s="15"/>
      <c r="POX375" s="15"/>
      <c r="POY375" s="10"/>
      <c r="POZ375" s="10"/>
      <c r="PPA375" s="21"/>
      <c r="PPB375" s="21"/>
      <c r="PPE375" s="21"/>
      <c r="PPF375" s="15"/>
      <c r="PPG375" s="15"/>
      <c r="PPH375" s="15"/>
      <c r="PPI375" s="15"/>
      <c r="PPJ375" s="15"/>
      <c r="PPK375" s="15"/>
      <c r="PPL375" s="15"/>
      <c r="PPM375" s="15"/>
      <c r="PPN375" s="15"/>
      <c r="PPO375" s="15"/>
      <c r="PPP375" s="10"/>
      <c r="PPQ375" s="10"/>
      <c r="PPR375" s="21"/>
      <c r="PPS375" s="21"/>
      <c r="PPV375" s="21"/>
      <c r="PPW375" s="15"/>
      <c r="PPX375" s="15"/>
      <c r="PPY375" s="15"/>
      <c r="PPZ375" s="15"/>
      <c r="PQA375" s="15"/>
      <c r="PQB375" s="15"/>
      <c r="PQC375" s="15"/>
      <c r="PQD375" s="15"/>
      <c r="PQE375" s="15"/>
      <c r="PQF375" s="15"/>
      <c r="PQG375" s="10"/>
      <c r="PQH375" s="10"/>
      <c r="PQI375" s="21"/>
      <c r="PQJ375" s="21"/>
      <c r="PQM375" s="21"/>
      <c r="PQN375" s="15"/>
      <c r="PQO375" s="15"/>
      <c r="PQP375" s="15"/>
      <c r="PQQ375" s="15"/>
      <c r="PQR375" s="15"/>
      <c r="PQS375" s="15"/>
      <c r="PQT375" s="15"/>
      <c r="PQU375" s="15"/>
      <c r="PQV375" s="15"/>
      <c r="PQW375" s="15"/>
      <c r="PQX375" s="10"/>
      <c r="PQY375" s="10"/>
      <c r="PQZ375" s="21"/>
      <c r="PRA375" s="21"/>
      <c r="PRD375" s="21"/>
      <c r="PRE375" s="15"/>
      <c r="PRF375" s="15"/>
      <c r="PRG375" s="15"/>
      <c r="PRH375" s="15"/>
      <c r="PRI375" s="15"/>
      <c r="PRJ375" s="15"/>
      <c r="PRK375" s="15"/>
      <c r="PRL375" s="15"/>
      <c r="PRM375" s="15"/>
      <c r="PRN375" s="15"/>
      <c r="PRO375" s="10"/>
      <c r="PRP375" s="10"/>
      <c r="PRQ375" s="21"/>
      <c r="PRR375" s="21"/>
      <c r="PRU375" s="21"/>
      <c r="PRV375" s="15"/>
      <c r="PRW375" s="15"/>
      <c r="PRX375" s="15"/>
      <c r="PRY375" s="15"/>
      <c r="PRZ375" s="15"/>
      <c r="PSA375" s="15"/>
      <c r="PSB375" s="15"/>
      <c r="PSC375" s="15"/>
      <c r="PSD375" s="15"/>
      <c r="PSE375" s="15"/>
      <c r="PSF375" s="10"/>
      <c r="PSG375" s="10"/>
      <c r="PSH375" s="21"/>
      <c r="PSI375" s="21"/>
      <c r="PSL375" s="21"/>
      <c r="PSM375" s="15"/>
      <c r="PSN375" s="15"/>
      <c r="PSO375" s="15"/>
      <c r="PSP375" s="15"/>
      <c r="PSQ375" s="15"/>
      <c r="PSR375" s="15"/>
      <c r="PSS375" s="15"/>
      <c r="PST375" s="15"/>
      <c r="PSU375" s="15"/>
      <c r="PSV375" s="15"/>
      <c r="PSW375" s="10"/>
      <c r="PSX375" s="10"/>
      <c r="PSY375" s="21"/>
      <c r="PSZ375" s="21"/>
      <c r="PTC375" s="21"/>
      <c r="PTD375" s="15"/>
      <c r="PTE375" s="15"/>
      <c r="PTF375" s="15"/>
      <c r="PTG375" s="15"/>
      <c r="PTH375" s="15"/>
      <c r="PTI375" s="15"/>
      <c r="PTJ375" s="15"/>
      <c r="PTK375" s="15"/>
      <c r="PTL375" s="15"/>
      <c r="PTM375" s="15"/>
      <c r="PTN375" s="10"/>
      <c r="PTO375" s="10"/>
      <c r="PTP375" s="21"/>
      <c r="PTQ375" s="21"/>
      <c r="PTT375" s="21"/>
      <c r="PTU375" s="15"/>
      <c r="PTV375" s="15"/>
      <c r="PTW375" s="15"/>
      <c r="PTX375" s="15"/>
      <c r="PTY375" s="15"/>
      <c r="PTZ375" s="15"/>
      <c r="PUA375" s="15"/>
      <c r="PUB375" s="15"/>
      <c r="PUC375" s="15"/>
      <c r="PUD375" s="15"/>
      <c r="PUE375" s="10"/>
      <c r="PUF375" s="10"/>
      <c r="PUG375" s="21"/>
      <c r="PUH375" s="21"/>
      <c r="PUK375" s="21"/>
      <c r="PUL375" s="15"/>
      <c r="PUM375" s="15"/>
      <c r="PUN375" s="15"/>
      <c r="PUO375" s="15"/>
      <c r="PUP375" s="15"/>
      <c r="PUQ375" s="15"/>
      <c r="PUR375" s="15"/>
      <c r="PUS375" s="15"/>
      <c r="PUT375" s="15"/>
      <c r="PUU375" s="15"/>
      <c r="PUV375" s="10"/>
      <c r="PUW375" s="10"/>
      <c r="PUX375" s="21"/>
      <c r="PUY375" s="21"/>
      <c r="PVB375" s="21"/>
      <c r="PVC375" s="15"/>
      <c r="PVD375" s="15"/>
      <c r="PVE375" s="15"/>
      <c r="PVF375" s="15"/>
      <c r="PVG375" s="15"/>
      <c r="PVH375" s="15"/>
      <c r="PVI375" s="15"/>
      <c r="PVJ375" s="15"/>
      <c r="PVK375" s="15"/>
      <c r="PVL375" s="15"/>
      <c r="PVM375" s="10"/>
      <c r="PVN375" s="10"/>
      <c r="PVO375" s="21"/>
      <c r="PVP375" s="21"/>
      <c r="PVS375" s="21"/>
      <c r="PVT375" s="15"/>
      <c r="PVU375" s="15"/>
      <c r="PVV375" s="15"/>
      <c r="PVW375" s="15"/>
      <c r="PVX375" s="15"/>
      <c r="PVY375" s="15"/>
      <c r="PVZ375" s="15"/>
      <c r="PWA375" s="15"/>
      <c r="PWB375" s="15"/>
      <c r="PWC375" s="15"/>
      <c r="PWD375" s="10"/>
      <c r="PWE375" s="10"/>
      <c r="PWF375" s="21"/>
      <c r="PWG375" s="21"/>
      <c r="PWJ375" s="21"/>
      <c r="PWK375" s="15"/>
      <c r="PWL375" s="15"/>
      <c r="PWM375" s="15"/>
      <c r="PWN375" s="15"/>
      <c r="PWO375" s="15"/>
      <c r="PWP375" s="15"/>
      <c r="PWQ375" s="15"/>
      <c r="PWR375" s="15"/>
      <c r="PWS375" s="15"/>
      <c r="PWT375" s="15"/>
      <c r="PWU375" s="10"/>
      <c r="PWV375" s="10"/>
      <c r="PWW375" s="21"/>
      <c r="PWX375" s="21"/>
      <c r="PXA375" s="21"/>
      <c r="PXB375" s="15"/>
      <c r="PXC375" s="15"/>
      <c r="PXD375" s="15"/>
      <c r="PXE375" s="15"/>
      <c r="PXF375" s="15"/>
      <c r="PXG375" s="15"/>
      <c r="PXH375" s="15"/>
      <c r="PXI375" s="15"/>
      <c r="PXJ375" s="15"/>
      <c r="PXK375" s="15"/>
      <c r="PXL375" s="10"/>
      <c r="PXM375" s="10"/>
      <c r="PXN375" s="21"/>
      <c r="PXO375" s="21"/>
      <c r="PXR375" s="21"/>
      <c r="PXS375" s="15"/>
      <c r="PXT375" s="15"/>
      <c r="PXU375" s="15"/>
      <c r="PXV375" s="15"/>
      <c r="PXW375" s="15"/>
      <c r="PXX375" s="15"/>
      <c r="PXY375" s="15"/>
      <c r="PXZ375" s="15"/>
      <c r="PYA375" s="15"/>
      <c r="PYB375" s="15"/>
      <c r="PYC375" s="10"/>
      <c r="PYD375" s="10"/>
      <c r="PYE375" s="21"/>
      <c r="PYF375" s="21"/>
      <c r="PYI375" s="21"/>
      <c r="PYJ375" s="15"/>
      <c r="PYK375" s="15"/>
      <c r="PYL375" s="15"/>
      <c r="PYM375" s="15"/>
      <c r="PYN375" s="15"/>
      <c r="PYO375" s="15"/>
      <c r="PYP375" s="15"/>
      <c r="PYQ375" s="15"/>
      <c r="PYR375" s="15"/>
      <c r="PYS375" s="15"/>
      <c r="PYT375" s="10"/>
      <c r="PYU375" s="10"/>
      <c r="PYV375" s="21"/>
      <c r="PYW375" s="21"/>
      <c r="PYZ375" s="21"/>
      <c r="PZA375" s="15"/>
      <c r="PZB375" s="15"/>
      <c r="PZC375" s="15"/>
      <c r="PZD375" s="15"/>
      <c r="PZE375" s="15"/>
      <c r="PZF375" s="15"/>
      <c r="PZG375" s="15"/>
      <c r="PZH375" s="15"/>
      <c r="PZI375" s="15"/>
      <c r="PZJ375" s="15"/>
      <c r="PZK375" s="10"/>
      <c r="PZL375" s="10"/>
      <c r="PZM375" s="21"/>
      <c r="PZN375" s="21"/>
      <c r="PZQ375" s="21"/>
      <c r="PZR375" s="15"/>
      <c r="PZS375" s="15"/>
      <c r="PZT375" s="15"/>
      <c r="PZU375" s="15"/>
      <c r="PZV375" s="15"/>
      <c r="PZW375" s="15"/>
      <c r="PZX375" s="15"/>
      <c r="PZY375" s="15"/>
      <c r="PZZ375" s="15"/>
      <c r="QAA375" s="15"/>
      <c r="QAB375" s="10"/>
      <c r="QAC375" s="10"/>
      <c r="QAD375" s="21"/>
      <c r="QAE375" s="21"/>
      <c r="QAH375" s="21"/>
      <c r="QAI375" s="15"/>
      <c r="QAJ375" s="15"/>
      <c r="QAK375" s="15"/>
      <c r="QAL375" s="15"/>
      <c r="QAM375" s="15"/>
      <c r="QAN375" s="15"/>
      <c r="QAO375" s="15"/>
      <c r="QAP375" s="15"/>
      <c r="QAQ375" s="15"/>
      <c r="QAR375" s="15"/>
      <c r="QAS375" s="10"/>
      <c r="QAT375" s="10"/>
      <c r="QAU375" s="21"/>
      <c r="QAV375" s="21"/>
      <c r="QAY375" s="21"/>
      <c r="QAZ375" s="15"/>
      <c r="QBA375" s="15"/>
      <c r="QBB375" s="15"/>
      <c r="QBC375" s="15"/>
      <c r="QBD375" s="15"/>
      <c r="QBE375" s="15"/>
      <c r="QBF375" s="15"/>
      <c r="QBG375" s="15"/>
      <c r="QBH375" s="15"/>
      <c r="QBI375" s="15"/>
      <c r="QBJ375" s="10"/>
      <c r="QBK375" s="10"/>
      <c r="QBL375" s="21"/>
      <c r="QBM375" s="21"/>
      <c r="QBP375" s="21"/>
      <c r="QBQ375" s="15"/>
      <c r="QBR375" s="15"/>
      <c r="QBS375" s="15"/>
      <c r="QBT375" s="15"/>
      <c r="QBU375" s="15"/>
      <c r="QBV375" s="15"/>
      <c r="QBW375" s="15"/>
      <c r="QBX375" s="15"/>
      <c r="QBY375" s="15"/>
      <c r="QBZ375" s="15"/>
      <c r="QCA375" s="10"/>
      <c r="QCB375" s="10"/>
      <c r="QCC375" s="21"/>
      <c r="QCD375" s="21"/>
      <c r="QCG375" s="21"/>
      <c r="QCH375" s="15"/>
      <c r="QCI375" s="15"/>
      <c r="QCJ375" s="15"/>
      <c r="QCK375" s="15"/>
      <c r="QCL375" s="15"/>
      <c r="QCM375" s="15"/>
      <c r="QCN375" s="15"/>
      <c r="QCO375" s="15"/>
      <c r="QCP375" s="15"/>
      <c r="QCQ375" s="15"/>
      <c r="QCR375" s="10"/>
      <c r="QCS375" s="10"/>
      <c r="QCT375" s="21"/>
      <c r="QCU375" s="21"/>
      <c r="QCX375" s="21"/>
      <c r="QCY375" s="15"/>
      <c r="QCZ375" s="15"/>
      <c r="QDA375" s="15"/>
      <c r="QDB375" s="15"/>
      <c r="QDC375" s="15"/>
      <c r="QDD375" s="15"/>
      <c r="QDE375" s="15"/>
      <c r="QDF375" s="15"/>
      <c r="QDG375" s="15"/>
      <c r="QDH375" s="15"/>
      <c r="QDI375" s="10"/>
      <c r="QDJ375" s="10"/>
      <c r="QDK375" s="21"/>
      <c r="QDL375" s="21"/>
      <c r="QDO375" s="21"/>
      <c r="QDP375" s="15"/>
      <c r="QDQ375" s="15"/>
      <c r="QDR375" s="15"/>
      <c r="QDS375" s="15"/>
      <c r="QDT375" s="15"/>
      <c r="QDU375" s="15"/>
      <c r="QDV375" s="15"/>
      <c r="QDW375" s="15"/>
      <c r="QDX375" s="15"/>
      <c r="QDY375" s="15"/>
      <c r="QDZ375" s="10"/>
      <c r="QEA375" s="10"/>
      <c r="QEB375" s="21"/>
      <c r="QEC375" s="21"/>
      <c r="QEF375" s="21"/>
      <c r="QEG375" s="15"/>
      <c r="QEH375" s="15"/>
      <c r="QEI375" s="15"/>
      <c r="QEJ375" s="15"/>
      <c r="QEK375" s="15"/>
      <c r="QEL375" s="15"/>
      <c r="QEM375" s="15"/>
      <c r="QEN375" s="15"/>
      <c r="QEO375" s="15"/>
      <c r="QEP375" s="15"/>
      <c r="QEQ375" s="10"/>
      <c r="QER375" s="10"/>
      <c r="QES375" s="21"/>
      <c r="QET375" s="21"/>
      <c r="QEW375" s="21"/>
      <c r="QEX375" s="15"/>
      <c r="QEY375" s="15"/>
      <c r="QEZ375" s="15"/>
      <c r="QFA375" s="15"/>
      <c r="QFB375" s="15"/>
      <c r="QFC375" s="15"/>
      <c r="QFD375" s="15"/>
      <c r="QFE375" s="15"/>
      <c r="QFF375" s="15"/>
      <c r="QFG375" s="15"/>
      <c r="QFH375" s="10"/>
      <c r="QFI375" s="10"/>
      <c r="QFJ375" s="21"/>
      <c r="QFK375" s="21"/>
      <c r="QFN375" s="21"/>
      <c r="QFO375" s="15"/>
      <c r="QFP375" s="15"/>
      <c r="QFQ375" s="15"/>
      <c r="QFR375" s="15"/>
      <c r="QFS375" s="15"/>
      <c r="QFT375" s="15"/>
      <c r="QFU375" s="15"/>
      <c r="QFV375" s="15"/>
      <c r="QFW375" s="15"/>
      <c r="QFX375" s="15"/>
      <c r="QFY375" s="10"/>
      <c r="QFZ375" s="10"/>
      <c r="QGA375" s="21"/>
      <c r="QGB375" s="21"/>
      <c r="QGE375" s="21"/>
      <c r="QGF375" s="15"/>
      <c r="QGG375" s="15"/>
      <c r="QGH375" s="15"/>
      <c r="QGI375" s="15"/>
      <c r="QGJ375" s="15"/>
      <c r="QGK375" s="15"/>
      <c r="QGL375" s="15"/>
      <c r="QGM375" s="15"/>
      <c r="QGN375" s="15"/>
      <c r="QGO375" s="15"/>
      <c r="QGP375" s="10"/>
      <c r="QGQ375" s="10"/>
      <c r="QGR375" s="21"/>
      <c r="QGS375" s="21"/>
      <c r="QGV375" s="21"/>
      <c r="QGW375" s="15"/>
      <c r="QGX375" s="15"/>
      <c r="QGY375" s="15"/>
      <c r="QGZ375" s="15"/>
      <c r="QHA375" s="15"/>
      <c r="QHB375" s="15"/>
      <c r="QHC375" s="15"/>
      <c r="QHD375" s="15"/>
      <c r="QHE375" s="15"/>
      <c r="QHF375" s="15"/>
      <c r="QHG375" s="10"/>
      <c r="QHH375" s="10"/>
      <c r="QHI375" s="21"/>
      <c r="QHJ375" s="21"/>
      <c r="QHM375" s="21"/>
      <c r="QHN375" s="15"/>
      <c r="QHO375" s="15"/>
      <c r="QHP375" s="15"/>
      <c r="QHQ375" s="15"/>
      <c r="QHR375" s="15"/>
      <c r="QHS375" s="15"/>
      <c r="QHT375" s="15"/>
      <c r="QHU375" s="15"/>
      <c r="QHV375" s="15"/>
      <c r="QHW375" s="15"/>
      <c r="QHX375" s="10"/>
      <c r="QHY375" s="10"/>
      <c r="QHZ375" s="21"/>
      <c r="QIA375" s="21"/>
      <c r="QID375" s="21"/>
      <c r="QIE375" s="15"/>
      <c r="QIF375" s="15"/>
      <c r="QIG375" s="15"/>
      <c r="QIH375" s="15"/>
      <c r="QII375" s="15"/>
      <c r="QIJ375" s="15"/>
      <c r="QIK375" s="15"/>
      <c r="QIL375" s="15"/>
      <c r="QIM375" s="15"/>
      <c r="QIN375" s="15"/>
      <c r="QIO375" s="10"/>
      <c r="QIP375" s="10"/>
      <c r="QIQ375" s="21"/>
      <c r="QIR375" s="21"/>
      <c r="QIU375" s="21"/>
      <c r="QIV375" s="15"/>
      <c r="QIW375" s="15"/>
      <c r="QIX375" s="15"/>
      <c r="QIY375" s="15"/>
      <c r="QIZ375" s="15"/>
      <c r="QJA375" s="15"/>
      <c r="QJB375" s="15"/>
      <c r="QJC375" s="15"/>
      <c r="QJD375" s="15"/>
      <c r="QJE375" s="15"/>
      <c r="QJF375" s="10"/>
      <c r="QJG375" s="10"/>
      <c r="QJH375" s="21"/>
      <c r="QJI375" s="21"/>
      <c r="QJL375" s="21"/>
      <c r="QJM375" s="15"/>
      <c r="QJN375" s="15"/>
      <c r="QJO375" s="15"/>
      <c r="QJP375" s="15"/>
      <c r="QJQ375" s="15"/>
      <c r="QJR375" s="15"/>
      <c r="QJS375" s="15"/>
      <c r="QJT375" s="15"/>
      <c r="QJU375" s="15"/>
      <c r="QJV375" s="15"/>
      <c r="QJW375" s="10"/>
      <c r="QJX375" s="10"/>
      <c r="QJY375" s="21"/>
      <c r="QJZ375" s="21"/>
      <c r="QKC375" s="21"/>
      <c r="QKD375" s="15"/>
      <c r="QKE375" s="15"/>
      <c r="QKF375" s="15"/>
      <c r="QKG375" s="15"/>
      <c r="QKH375" s="15"/>
      <c r="QKI375" s="15"/>
      <c r="QKJ375" s="15"/>
      <c r="QKK375" s="15"/>
      <c r="QKL375" s="15"/>
      <c r="QKM375" s="15"/>
      <c r="QKN375" s="10"/>
      <c r="QKO375" s="10"/>
      <c r="QKP375" s="21"/>
      <c r="QKQ375" s="21"/>
      <c r="QKT375" s="21"/>
      <c r="QKU375" s="15"/>
      <c r="QKV375" s="15"/>
      <c r="QKW375" s="15"/>
      <c r="QKX375" s="15"/>
      <c r="QKY375" s="15"/>
      <c r="QKZ375" s="15"/>
      <c r="QLA375" s="15"/>
      <c r="QLB375" s="15"/>
      <c r="QLC375" s="15"/>
      <c r="QLD375" s="15"/>
      <c r="QLE375" s="10"/>
      <c r="QLF375" s="10"/>
      <c r="QLG375" s="21"/>
      <c r="QLH375" s="21"/>
      <c r="QLK375" s="21"/>
      <c r="QLL375" s="15"/>
      <c r="QLM375" s="15"/>
      <c r="QLN375" s="15"/>
      <c r="QLO375" s="15"/>
      <c r="QLP375" s="15"/>
      <c r="QLQ375" s="15"/>
      <c r="QLR375" s="15"/>
      <c r="QLS375" s="15"/>
      <c r="QLT375" s="15"/>
      <c r="QLU375" s="15"/>
      <c r="QLV375" s="10"/>
      <c r="QLW375" s="10"/>
      <c r="QLX375" s="21"/>
      <c r="QLY375" s="21"/>
      <c r="QMB375" s="21"/>
      <c r="QMC375" s="15"/>
      <c r="QMD375" s="15"/>
      <c r="QME375" s="15"/>
      <c r="QMF375" s="15"/>
      <c r="QMG375" s="15"/>
      <c r="QMH375" s="15"/>
      <c r="QMI375" s="15"/>
      <c r="QMJ375" s="15"/>
      <c r="QMK375" s="15"/>
      <c r="QML375" s="15"/>
      <c r="QMM375" s="10"/>
      <c r="QMN375" s="10"/>
      <c r="QMO375" s="21"/>
      <c r="QMP375" s="21"/>
      <c r="QMS375" s="21"/>
      <c r="QMT375" s="15"/>
      <c r="QMU375" s="15"/>
      <c r="QMV375" s="15"/>
      <c r="QMW375" s="15"/>
      <c r="QMX375" s="15"/>
      <c r="QMY375" s="15"/>
      <c r="QMZ375" s="15"/>
      <c r="QNA375" s="15"/>
      <c r="QNB375" s="15"/>
      <c r="QNC375" s="15"/>
      <c r="QND375" s="10"/>
      <c r="QNE375" s="10"/>
      <c r="QNF375" s="21"/>
      <c r="QNG375" s="21"/>
      <c r="QNJ375" s="21"/>
      <c r="QNK375" s="15"/>
      <c r="QNL375" s="15"/>
      <c r="QNM375" s="15"/>
      <c r="QNN375" s="15"/>
      <c r="QNO375" s="15"/>
      <c r="QNP375" s="15"/>
      <c r="QNQ375" s="15"/>
      <c r="QNR375" s="15"/>
      <c r="QNS375" s="15"/>
      <c r="QNT375" s="15"/>
      <c r="QNU375" s="10"/>
      <c r="QNV375" s="10"/>
      <c r="QNW375" s="21"/>
      <c r="QNX375" s="21"/>
      <c r="QOA375" s="21"/>
      <c r="QOB375" s="15"/>
      <c r="QOC375" s="15"/>
      <c r="QOD375" s="15"/>
      <c r="QOE375" s="15"/>
      <c r="QOF375" s="15"/>
      <c r="QOG375" s="15"/>
      <c r="QOH375" s="15"/>
      <c r="QOI375" s="15"/>
      <c r="QOJ375" s="15"/>
      <c r="QOK375" s="15"/>
      <c r="QOL375" s="10"/>
      <c r="QOM375" s="10"/>
      <c r="QON375" s="21"/>
      <c r="QOO375" s="21"/>
      <c r="QOR375" s="21"/>
      <c r="QOS375" s="15"/>
      <c r="QOT375" s="15"/>
      <c r="QOU375" s="15"/>
      <c r="QOV375" s="15"/>
      <c r="QOW375" s="15"/>
      <c r="QOX375" s="15"/>
      <c r="QOY375" s="15"/>
      <c r="QOZ375" s="15"/>
      <c r="QPA375" s="15"/>
      <c r="QPB375" s="15"/>
      <c r="QPC375" s="10"/>
      <c r="QPD375" s="10"/>
      <c r="QPE375" s="21"/>
      <c r="QPF375" s="21"/>
      <c r="QPI375" s="21"/>
      <c r="QPJ375" s="15"/>
      <c r="QPK375" s="15"/>
      <c r="QPL375" s="15"/>
      <c r="QPM375" s="15"/>
      <c r="QPN375" s="15"/>
      <c r="QPO375" s="15"/>
      <c r="QPP375" s="15"/>
      <c r="QPQ375" s="15"/>
      <c r="QPR375" s="15"/>
      <c r="QPS375" s="15"/>
      <c r="QPT375" s="10"/>
      <c r="QPU375" s="10"/>
      <c r="QPV375" s="21"/>
      <c r="QPW375" s="21"/>
      <c r="QPZ375" s="21"/>
      <c r="QQA375" s="15"/>
      <c r="QQB375" s="15"/>
      <c r="QQC375" s="15"/>
      <c r="QQD375" s="15"/>
      <c r="QQE375" s="15"/>
      <c r="QQF375" s="15"/>
      <c r="QQG375" s="15"/>
      <c r="QQH375" s="15"/>
      <c r="QQI375" s="15"/>
      <c r="QQJ375" s="15"/>
      <c r="QQK375" s="10"/>
      <c r="QQL375" s="10"/>
      <c r="QQM375" s="21"/>
      <c r="QQN375" s="21"/>
      <c r="QQQ375" s="21"/>
      <c r="QQR375" s="15"/>
      <c r="QQS375" s="15"/>
      <c r="QQT375" s="15"/>
      <c r="QQU375" s="15"/>
      <c r="QQV375" s="15"/>
      <c r="QQW375" s="15"/>
      <c r="QQX375" s="15"/>
      <c r="QQY375" s="15"/>
      <c r="QQZ375" s="15"/>
      <c r="QRA375" s="15"/>
      <c r="QRB375" s="10"/>
      <c r="QRC375" s="10"/>
      <c r="QRD375" s="21"/>
      <c r="QRE375" s="21"/>
      <c r="QRH375" s="21"/>
      <c r="QRI375" s="15"/>
      <c r="QRJ375" s="15"/>
      <c r="QRK375" s="15"/>
      <c r="QRL375" s="15"/>
      <c r="QRM375" s="15"/>
      <c r="QRN375" s="15"/>
      <c r="QRO375" s="15"/>
      <c r="QRP375" s="15"/>
      <c r="QRQ375" s="15"/>
      <c r="QRR375" s="15"/>
      <c r="QRS375" s="10"/>
      <c r="QRT375" s="10"/>
      <c r="QRU375" s="21"/>
      <c r="QRV375" s="21"/>
      <c r="QRY375" s="21"/>
      <c r="QRZ375" s="15"/>
      <c r="QSA375" s="15"/>
      <c r="QSB375" s="15"/>
      <c r="QSC375" s="15"/>
      <c r="QSD375" s="15"/>
      <c r="QSE375" s="15"/>
      <c r="QSF375" s="15"/>
      <c r="QSG375" s="15"/>
      <c r="QSH375" s="15"/>
      <c r="QSI375" s="15"/>
      <c r="QSJ375" s="10"/>
      <c r="QSK375" s="10"/>
      <c r="QSL375" s="21"/>
      <c r="QSM375" s="21"/>
      <c r="QSP375" s="21"/>
      <c r="QSQ375" s="15"/>
      <c r="QSR375" s="15"/>
      <c r="QSS375" s="15"/>
      <c r="QST375" s="15"/>
      <c r="QSU375" s="15"/>
      <c r="QSV375" s="15"/>
      <c r="QSW375" s="15"/>
      <c r="QSX375" s="15"/>
      <c r="QSY375" s="15"/>
      <c r="QSZ375" s="15"/>
      <c r="QTA375" s="10"/>
      <c r="QTB375" s="10"/>
      <c r="QTC375" s="21"/>
      <c r="QTD375" s="21"/>
      <c r="QTG375" s="21"/>
      <c r="QTH375" s="15"/>
      <c r="QTI375" s="15"/>
      <c r="QTJ375" s="15"/>
      <c r="QTK375" s="15"/>
      <c r="QTL375" s="15"/>
      <c r="QTM375" s="15"/>
      <c r="QTN375" s="15"/>
      <c r="QTO375" s="15"/>
      <c r="QTP375" s="15"/>
      <c r="QTQ375" s="15"/>
      <c r="QTR375" s="10"/>
      <c r="QTS375" s="10"/>
      <c r="QTT375" s="21"/>
      <c r="QTU375" s="21"/>
      <c r="QTX375" s="21"/>
      <c r="QTY375" s="15"/>
      <c r="QTZ375" s="15"/>
      <c r="QUA375" s="15"/>
      <c r="QUB375" s="15"/>
      <c r="QUC375" s="15"/>
      <c r="QUD375" s="15"/>
      <c r="QUE375" s="15"/>
      <c r="QUF375" s="15"/>
      <c r="QUG375" s="15"/>
      <c r="QUH375" s="15"/>
      <c r="QUI375" s="10"/>
      <c r="QUJ375" s="10"/>
      <c r="QUK375" s="21"/>
      <c r="QUL375" s="21"/>
      <c r="QUO375" s="21"/>
      <c r="QUP375" s="15"/>
      <c r="QUQ375" s="15"/>
      <c r="QUR375" s="15"/>
      <c r="QUS375" s="15"/>
      <c r="QUT375" s="15"/>
      <c r="QUU375" s="15"/>
      <c r="QUV375" s="15"/>
      <c r="QUW375" s="15"/>
      <c r="QUX375" s="15"/>
      <c r="QUY375" s="15"/>
      <c r="QUZ375" s="10"/>
      <c r="QVA375" s="10"/>
      <c r="QVB375" s="21"/>
      <c r="QVC375" s="21"/>
      <c r="QVF375" s="21"/>
      <c r="QVG375" s="15"/>
      <c r="QVH375" s="15"/>
      <c r="QVI375" s="15"/>
      <c r="QVJ375" s="15"/>
      <c r="QVK375" s="15"/>
      <c r="QVL375" s="15"/>
      <c r="QVM375" s="15"/>
      <c r="QVN375" s="15"/>
      <c r="QVO375" s="15"/>
      <c r="QVP375" s="15"/>
      <c r="QVQ375" s="10"/>
      <c r="QVR375" s="10"/>
      <c r="QVS375" s="21"/>
      <c r="QVT375" s="21"/>
      <c r="QVW375" s="21"/>
      <c r="QVX375" s="15"/>
      <c r="QVY375" s="15"/>
      <c r="QVZ375" s="15"/>
      <c r="QWA375" s="15"/>
      <c r="QWB375" s="15"/>
      <c r="QWC375" s="15"/>
      <c r="QWD375" s="15"/>
      <c r="QWE375" s="15"/>
      <c r="QWF375" s="15"/>
      <c r="QWG375" s="15"/>
      <c r="QWH375" s="10"/>
      <c r="QWI375" s="10"/>
      <c r="QWJ375" s="21"/>
      <c r="QWK375" s="21"/>
      <c r="QWN375" s="21"/>
      <c r="QWO375" s="15"/>
      <c r="QWP375" s="15"/>
      <c r="QWQ375" s="15"/>
      <c r="QWR375" s="15"/>
      <c r="QWS375" s="15"/>
      <c r="QWT375" s="15"/>
      <c r="QWU375" s="15"/>
      <c r="QWV375" s="15"/>
      <c r="QWW375" s="15"/>
      <c r="QWX375" s="15"/>
      <c r="QWY375" s="10"/>
      <c r="QWZ375" s="10"/>
      <c r="QXA375" s="21"/>
      <c r="QXB375" s="21"/>
      <c r="QXE375" s="21"/>
      <c r="QXF375" s="15"/>
      <c r="QXG375" s="15"/>
      <c r="QXH375" s="15"/>
      <c r="QXI375" s="15"/>
      <c r="QXJ375" s="15"/>
      <c r="QXK375" s="15"/>
      <c r="QXL375" s="15"/>
      <c r="QXM375" s="15"/>
      <c r="QXN375" s="15"/>
      <c r="QXO375" s="15"/>
      <c r="QXP375" s="10"/>
      <c r="QXQ375" s="10"/>
      <c r="QXR375" s="21"/>
      <c r="QXS375" s="21"/>
      <c r="QXV375" s="21"/>
      <c r="QXW375" s="15"/>
      <c r="QXX375" s="15"/>
      <c r="QXY375" s="15"/>
      <c r="QXZ375" s="15"/>
      <c r="QYA375" s="15"/>
      <c r="QYB375" s="15"/>
      <c r="QYC375" s="15"/>
      <c r="QYD375" s="15"/>
      <c r="QYE375" s="15"/>
      <c r="QYF375" s="15"/>
      <c r="QYG375" s="10"/>
      <c r="QYH375" s="10"/>
      <c r="QYI375" s="21"/>
      <c r="QYJ375" s="21"/>
      <c r="QYM375" s="21"/>
      <c r="QYN375" s="15"/>
      <c r="QYO375" s="15"/>
      <c r="QYP375" s="15"/>
      <c r="QYQ375" s="15"/>
      <c r="QYR375" s="15"/>
      <c r="QYS375" s="15"/>
      <c r="QYT375" s="15"/>
      <c r="QYU375" s="15"/>
      <c r="QYV375" s="15"/>
      <c r="QYW375" s="15"/>
      <c r="QYX375" s="10"/>
      <c r="QYY375" s="10"/>
      <c r="QYZ375" s="21"/>
      <c r="QZA375" s="21"/>
      <c r="QZD375" s="21"/>
      <c r="QZE375" s="15"/>
      <c r="QZF375" s="15"/>
      <c r="QZG375" s="15"/>
      <c r="QZH375" s="15"/>
      <c r="QZI375" s="15"/>
      <c r="QZJ375" s="15"/>
      <c r="QZK375" s="15"/>
      <c r="QZL375" s="15"/>
      <c r="QZM375" s="15"/>
      <c r="QZN375" s="15"/>
      <c r="QZO375" s="10"/>
      <c r="QZP375" s="10"/>
      <c r="QZQ375" s="21"/>
      <c r="QZR375" s="21"/>
      <c r="QZU375" s="21"/>
      <c r="QZV375" s="15"/>
      <c r="QZW375" s="15"/>
      <c r="QZX375" s="15"/>
      <c r="QZY375" s="15"/>
      <c r="QZZ375" s="15"/>
      <c r="RAA375" s="15"/>
      <c r="RAB375" s="15"/>
      <c r="RAC375" s="15"/>
      <c r="RAD375" s="15"/>
      <c r="RAE375" s="15"/>
      <c r="RAF375" s="10"/>
      <c r="RAG375" s="10"/>
      <c r="RAH375" s="21"/>
      <c r="RAI375" s="21"/>
      <c r="RAL375" s="21"/>
      <c r="RAM375" s="15"/>
      <c r="RAN375" s="15"/>
      <c r="RAO375" s="15"/>
      <c r="RAP375" s="15"/>
      <c r="RAQ375" s="15"/>
      <c r="RAR375" s="15"/>
      <c r="RAS375" s="15"/>
      <c r="RAT375" s="15"/>
      <c r="RAU375" s="15"/>
      <c r="RAV375" s="15"/>
      <c r="RAW375" s="10"/>
      <c r="RAX375" s="10"/>
      <c r="RAY375" s="21"/>
      <c r="RAZ375" s="21"/>
      <c r="RBC375" s="21"/>
      <c r="RBD375" s="15"/>
      <c r="RBE375" s="15"/>
      <c r="RBF375" s="15"/>
      <c r="RBG375" s="15"/>
      <c r="RBH375" s="15"/>
      <c r="RBI375" s="15"/>
      <c r="RBJ375" s="15"/>
      <c r="RBK375" s="15"/>
      <c r="RBL375" s="15"/>
      <c r="RBM375" s="15"/>
      <c r="RBN375" s="10"/>
      <c r="RBO375" s="10"/>
      <c r="RBP375" s="21"/>
      <c r="RBQ375" s="21"/>
      <c r="RBT375" s="21"/>
      <c r="RBU375" s="15"/>
      <c r="RBV375" s="15"/>
      <c r="RBW375" s="15"/>
      <c r="RBX375" s="15"/>
      <c r="RBY375" s="15"/>
      <c r="RBZ375" s="15"/>
      <c r="RCA375" s="15"/>
      <c r="RCB375" s="15"/>
      <c r="RCC375" s="15"/>
      <c r="RCD375" s="15"/>
      <c r="RCE375" s="10"/>
      <c r="RCF375" s="10"/>
      <c r="RCG375" s="21"/>
      <c r="RCH375" s="21"/>
      <c r="RCK375" s="21"/>
      <c r="RCL375" s="15"/>
      <c r="RCM375" s="15"/>
      <c r="RCN375" s="15"/>
      <c r="RCO375" s="15"/>
      <c r="RCP375" s="15"/>
      <c r="RCQ375" s="15"/>
      <c r="RCR375" s="15"/>
      <c r="RCS375" s="15"/>
      <c r="RCT375" s="15"/>
      <c r="RCU375" s="15"/>
      <c r="RCV375" s="10"/>
      <c r="RCW375" s="10"/>
      <c r="RCX375" s="21"/>
      <c r="RCY375" s="21"/>
      <c r="RDB375" s="21"/>
      <c r="RDC375" s="15"/>
      <c r="RDD375" s="15"/>
      <c r="RDE375" s="15"/>
      <c r="RDF375" s="15"/>
      <c r="RDG375" s="15"/>
      <c r="RDH375" s="15"/>
      <c r="RDI375" s="15"/>
      <c r="RDJ375" s="15"/>
      <c r="RDK375" s="15"/>
      <c r="RDL375" s="15"/>
      <c r="RDM375" s="10"/>
      <c r="RDN375" s="10"/>
      <c r="RDO375" s="21"/>
      <c r="RDP375" s="21"/>
      <c r="RDS375" s="21"/>
      <c r="RDT375" s="15"/>
      <c r="RDU375" s="15"/>
      <c r="RDV375" s="15"/>
      <c r="RDW375" s="15"/>
      <c r="RDX375" s="15"/>
      <c r="RDY375" s="15"/>
      <c r="RDZ375" s="15"/>
      <c r="REA375" s="15"/>
      <c r="REB375" s="15"/>
      <c r="REC375" s="15"/>
      <c r="RED375" s="10"/>
      <c r="REE375" s="10"/>
      <c r="REF375" s="21"/>
      <c r="REG375" s="21"/>
      <c r="REJ375" s="21"/>
      <c r="REK375" s="15"/>
      <c r="REL375" s="15"/>
      <c r="REM375" s="15"/>
      <c r="REN375" s="15"/>
      <c r="REO375" s="15"/>
      <c r="REP375" s="15"/>
      <c r="REQ375" s="15"/>
      <c r="RER375" s="15"/>
      <c r="RES375" s="15"/>
      <c r="RET375" s="15"/>
      <c r="REU375" s="10"/>
      <c r="REV375" s="10"/>
      <c r="REW375" s="21"/>
      <c r="REX375" s="21"/>
      <c r="RFA375" s="21"/>
      <c r="RFB375" s="15"/>
      <c r="RFC375" s="15"/>
      <c r="RFD375" s="15"/>
      <c r="RFE375" s="15"/>
      <c r="RFF375" s="15"/>
      <c r="RFG375" s="15"/>
      <c r="RFH375" s="15"/>
      <c r="RFI375" s="15"/>
      <c r="RFJ375" s="15"/>
      <c r="RFK375" s="15"/>
      <c r="RFL375" s="10"/>
      <c r="RFM375" s="10"/>
      <c r="RFN375" s="21"/>
      <c r="RFO375" s="21"/>
      <c r="RFR375" s="21"/>
      <c r="RFS375" s="15"/>
      <c r="RFT375" s="15"/>
      <c r="RFU375" s="15"/>
      <c r="RFV375" s="15"/>
      <c r="RFW375" s="15"/>
      <c r="RFX375" s="15"/>
      <c r="RFY375" s="15"/>
      <c r="RFZ375" s="15"/>
      <c r="RGA375" s="15"/>
      <c r="RGB375" s="15"/>
      <c r="RGC375" s="10"/>
      <c r="RGD375" s="10"/>
      <c r="RGE375" s="21"/>
      <c r="RGF375" s="21"/>
      <c r="RGI375" s="21"/>
      <c r="RGJ375" s="15"/>
      <c r="RGK375" s="15"/>
      <c r="RGL375" s="15"/>
      <c r="RGM375" s="15"/>
      <c r="RGN375" s="15"/>
      <c r="RGO375" s="15"/>
      <c r="RGP375" s="15"/>
      <c r="RGQ375" s="15"/>
      <c r="RGR375" s="15"/>
      <c r="RGS375" s="15"/>
      <c r="RGT375" s="10"/>
      <c r="RGU375" s="10"/>
      <c r="RGV375" s="21"/>
      <c r="RGW375" s="21"/>
      <c r="RGZ375" s="21"/>
      <c r="RHA375" s="15"/>
      <c r="RHB375" s="15"/>
      <c r="RHC375" s="15"/>
      <c r="RHD375" s="15"/>
      <c r="RHE375" s="15"/>
      <c r="RHF375" s="15"/>
      <c r="RHG375" s="15"/>
      <c r="RHH375" s="15"/>
      <c r="RHI375" s="15"/>
      <c r="RHJ375" s="15"/>
      <c r="RHK375" s="10"/>
      <c r="RHL375" s="10"/>
      <c r="RHM375" s="21"/>
      <c r="RHN375" s="21"/>
      <c r="RHQ375" s="21"/>
      <c r="RHR375" s="15"/>
      <c r="RHS375" s="15"/>
      <c r="RHT375" s="15"/>
      <c r="RHU375" s="15"/>
      <c r="RHV375" s="15"/>
      <c r="RHW375" s="15"/>
      <c r="RHX375" s="15"/>
      <c r="RHY375" s="15"/>
      <c r="RHZ375" s="15"/>
      <c r="RIA375" s="15"/>
      <c r="RIB375" s="10"/>
      <c r="RIC375" s="10"/>
      <c r="RID375" s="21"/>
      <c r="RIE375" s="21"/>
      <c r="RIH375" s="21"/>
      <c r="RII375" s="15"/>
      <c r="RIJ375" s="15"/>
      <c r="RIK375" s="15"/>
      <c r="RIL375" s="15"/>
      <c r="RIM375" s="15"/>
      <c r="RIN375" s="15"/>
      <c r="RIO375" s="15"/>
      <c r="RIP375" s="15"/>
      <c r="RIQ375" s="15"/>
      <c r="RIR375" s="15"/>
      <c r="RIS375" s="10"/>
      <c r="RIT375" s="10"/>
      <c r="RIU375" s="21"/>
      <c r="RIV375" s="21"/>
      <c r="RIY375" s="21"/>
      <c r="RIZ375" s="15"/>
      <c r="RJA375" s="15"/>
      <c r="RJB375" s="15"/>
      <c r="RJC375" s="15"/>
      <c r="RJD375" s="15"/>
      <c r="RJE375" s="15"/>
      <c r="RJF375" s="15"/>
      <c r="RJG375" s="15"/>
      <c r="RJH375" s="15"/>
      <c r="RJI375" s="15"/>
      <c r="RJJ375" s="10"/>
      <c r="RJK375" s="10"/>
      <c r="RJL375" s="21"/>
      <c r="RJM375" s="21"/>
      <c r="RJP375" s="21"/>
      <c r="RJQ375" s="15"/>
      <c r="RJR375" s="15"/>
      <c r="RJS375" s="15"/>
      <c r="RJT375" s="15"/>
      <c r="RJU375" s="15"/>
      <c r="RJV375" s="15"/>
      <c r="RJW375" s="15"/>
      <c r="RJX375" s="15"/>
      <c r="RJY375" s="15"/>
      <c r="RJZ375" s="15"/>
      <c r="RKA375" s="10"/>
      <c r="RKB375" s="10"/>
      <c r="RKC375" s="21"/>
      <c r="RKD375" s="21"/>
      <c r="RKG375" s="21"/>
      <c r="RKH375" s="15"/>
      <c r="RKI375" s="15"/>
      <c r="RKJ375" s="15"/>
      <c r="RKK375" s="15"/>
      <c r="RKL375" s="15"/>
      <c r="RKM375" s="15"/>
      <c r="RKN375" s="15"/>
      <c r="RKO375" s="15"/>
      <c r="RKP375" s="15"/>
      <c r="RKQ375" s="15"/>
      <c r="RKR375" s="10"/>
      <c r="RKS375" s="10"/>
      <c r="RKT375" s="21"/>
      <c r="RKU375" s="21"/>
      <c r="RKX375" s="21"/>
      <c r="RKY375" s="15"/>
      <c r="RKZ375" s="15"/>
      <c r="RLA375" s="15"/>
      <c r="RLB375" s="15"/>
      <c r="RLC375" s="15"/>
      <c r="RLD375" s="15"/>
      <c r="RLE375" s="15"/>
      <c r="RLF375" s="15"/>
      <c r="RLG375" s="15"/>
      <c r="RLH375" s="15"/>
      <c r="RLI375" s="10"/>
      <c r="RLJ375" s="10"/>
      <c r="RLK375" s="21"/>
      <c r="RLL375" s="21"/>
      <c r="RLO375" s="21"/>
      <c r="RLP375" s="15"/>
      <c r="RLQ375" s="15"/>
      <c r="RLR375" s="15"/>
      <c r="RLS375" s="15"/>
      <c r="RLT375" s="15"/>
      <c r="RLU375" s="15"/>
      <c r="RLV375" s="15"/>
      <c r="RLW375" s="15"/>
      <c r="RLX375" s="15"/>
      <c r="RLY375" s="15"/>
      <c r="RLZ375" s="10"/>
      <c r="RMA375" s="10"/>
      <c r="RMB375" s="21"/>
      <c r="RMC375" s="21"/>
      <c r="RMF375" s="21"/>
      <c r="RMG375" s="15"/>
      <c r="RMH375" s="15"/>
      <c r="RMI375" s="15"/>
      <c r="RMJ375" s="15"/>
      <c r="RMK375" s="15"/>
      <c r="RML375" s="15"/>
      <c r="RMM375" s="15"/>
      <c r="RMN375" s="15"/>
      <c r="RMO375" s="15"/>
      <c r="RMP375" s="15"/>
      <c r="RMQ375" s="10"/>
      <c r="RMR375" s="10"/>
      <c r="RMS375" s="21"/>
      <c r="RMT375" s="21"/>
      <c r="RMW375" s="21"/>
      <c r="RMX375" s="15"/>
      <c r="RMY375" s="15"/>
      <c r="RMZ375" s="15"/>
      <c r="RNA375" s="15"/>
      <c r="RNB375" s="15"/>
      <c r="RNC375" s="15"/>
      <c r="RND375" s="15"/>
      <c r="RNE375" s="15"/>
      <c r="RNF375" s="15"/>
      <c r="RNG375" s="15"/>
      <c r="RNH375" s="10"/>
      <c r="RNI375" s="10"/>
      <c r="RNJ375" s="21"/>
      <c r="RNK375" s="21"/>
      <c r="RNN375" s="21"/>
      <c r="RNO375" s="15"/>
      <c r="RNP375" s="15"/>
      <c r="RNQ375" s="15"/>
      <c r="RNR375" s="15"/>
      <c r="RNS375" s="15"/>
      <c r="RNT375" s="15"/>
      <c r="RNU375" s="15"/>
      <c r="RNV375" s="15"/>
      <c r="RNW375" s="15"/>
      <c r="RNX375" s="15"/>
      <c r="RNY375" s="10"/>
      <c r="RNZ375" s="10"/>
      <c r="ROA375" s="21"/>
      <c r="ROB375" s="21"/>
      <c r="ROE375" s="21"/>
      <c r="ROF375" s="15"/>
      <c r="ROG375" s="15"/>
      <c r="ROH375" s="15"/>
      <c r="ROI375" s="15"/>
      <c r="ROJ375" s="15"/>
      <c r="ROK375" s="15"/>
      <c r="ROL375" s="15"/>
      <c r="ROM375" s="15"/>
      <c r="RON375" s="15"/>
      <c r="ROO375" s="15"/>
      <c r="ROP375" s="10"/>
      <c r="ROQ375" s="10"/>
      <c r="ROR375" s="21"/>
      <c r="ROS375" s="21"/>
      <c r="ROV375" s="21"/>
      <c r="ROW375" s="15"/>
      <c r="ROX375" s="15"/>
      <c r="ROY375" s="15"/>
      <c r="ROZ375" s="15"/>
      <c r="RPA375" s="15"/>
      <c r="RPB375" s="15"/>
      <c r="RPC375" s="15"/>
      <c r="RPD375" s="15"/>
      <c r="RPE375" s="15"/>
      <c r="RPF375" s="15"/>
      <c r="RPG375" s="10"/>
      <c r="RPH375" s="10"/>
      <c r="RPI375" s="21"/>
      <c r="RPJ375" s="21"/>
      <c r="RPM375" s="21"/>
      <c r="RPN375" s="15"/>
      <c r="RPO375" s="15"/>
      <c r="RPP375" s="15"/>
      <c r="RPQ375" s="15"/>
      <c r="RPR375" s="15"/>
      <c r="RPS375" s="15"/>
      <c r="RPT375" s="15"/>
      <c r="RPU375" s="15"/>
      <c r="RPV375" s="15"/>
      <c r="RPW375" s="15"/>
      <c r="RPX375" s="10"/>
      <c r="RPY375" s="10"/>
      <c r="RPZ375" s="21"/>
      <c r="RQA375" s="21"/>
      <c r="RQD375" s="21"/>
      <c r="RQE375" s="15"/>
      <c r="RQF375" s="15"/>
      <c r="RQG375" s="15"/>
      <c r="RQH375" s="15"/>
      <c r="RQI375" s="15"/>
      <c r="RQJ375" s="15"/>
      <c r="RQK375" s="15"/>
      <c r="RQL375" s="15"/>
      <c r="RQM375" s="15"/>
      <c r="RQN375" s="15"/>
      <c r="RQO375" s="10"/>
      <c r="RQP375" s="10"/>
      <c r="RQQ375" s="21"/>
      <c r="RQR375" s="21"/>
      <c r="RQU375" s="21"/>
      <c r="RQV375" s="15"/>
      <c r="RQW375" s="15"/>
      <c r="RQX375" s="15"/>
      <c r="RQY375" s="15"/>
      <c r="RQZ375" s="15"/>
      <c r="RRA375" s="15"/>
      <c r="RRB375" s="15"/>
      <c r="RRC375" s="15"/>
      <c r="RRD375" s="15"/>
      <c r="RRE375" s="15"/>
      <c r="RRF375" s="10"/>
      <c r="RRG375" s="10"/>
      <c r="RRH375" s="21"/>
      <c r="RRI375" s="21"/>
      <c r="RRL375" s="21"/>
      <c r="RRM375" s="15"/>
      <c r="RRN375" s="15"/>
      <c r="RRO375" s="15"/>
      <c r="RRP375" s="15"/>
      <c r="RRQ375" s="15"/>
      <c r="RRR375" s="15"/>
      <c r="RRS375" s="15"/>
      <c r="RRT375" s="15"/>
      <c r="RRU375" s="15"/>
      <c r="RRV375" s="15"/>
      <c r="RRW375" s="10"/>
      <c r="RRX375" s="10"/>
      <c r="RRY375" s="21"/>
      <c r="RRZ375" s="21"/>
      <c r="RSC375" s="21"/>
      <c r="RSD375" s="15"/>
      <c r="RSE375" s="15"/>
      <c r="RSF375" s="15"/>
      <c r="RSG375" s="15"/>
      <c r="RSH375" s="15"/>
      <c r="RSI375" s="15"/>
      <c r="RSJ375" s="15"/>
      <c r="RSK375" s="15"/>
      <c r="RSL375" s="15"/>
      <c r="RSM375" s="15"/>
      <c r="RSN375" s="10"/>
      <c r="RSO375" s="10"/>
      <c r="RSP375" s="21"/>
      <c r="RSQ375" s="21"/>
      <c r="RST375" s="21"/>
      <c r="RSU375" s="15"/>
      <c r="RSV375" s="15"/>
      <c r="RSW375" s="15"/>
      <c r="RSX375" s="15"/>
      <c r="RSY375" s="15"/>
      <c r="RSZ375" s="15"/>
      <c r="RTA375" s="15"/>
      <c r="RTB375" s="15"/>
      <c r="RTC375" s="15"/>
      <c r="RTD375" s="15"/>
      <c r="RTE375" s="10"/>
      <c r="RTF375" s="10"/>
      <c r="RTG375" s="21"/>
      <c r="RTH375" s="21"/>
      <c r="RTK375" s="21"/>
      <c r="RTL375" s="15"/>
      <c r="RTM375" s="15"/>
      <c r="RTN375" s="15"/>
      <c r="RTO375" s="15"/>
      <c r="RTP375" s="15"/>
      <c r="RTQ375" s="15"/>
      <c r="RTR375" s="15"/>
      <c r="RTS375" s="15"/>
      <c r="RTT375" s="15"/>
      <c r="RTU375" s="15"/>
      <c r="RTV375" s="10"/>
      <c r="RTW375" s="10"/>
      <c r="RTX375" s="21"/>
      <c r="RTY375" s="21"/>
      <c r="RUB375" s="21"/>
      <c r="RUC375" s="15"/>
      <c r="RUD375" s="15"/>
      <c r="RUE375" s="15"/>
      <c r="RUF375" s="15"/>
      <c r="RUG375" s="15"/>
      <c r="RUH375" s="15"/>
      <c r="RUI375" s="15"/>
      <c r="RUJ375" s="15"/>
      <c r="RUK375" s="15"/>
      <c r="RUL375" s="15"/>
      <c r="RUM375" s="10"/>
      <c r="RUN375" s="10"/>
      <c r="RUO375" s="21"/>
      <c r="RUP375" s="21"/>
      <c r="RUS375" s="21"/>
      <c r="RUT375" s="15"/>
      <c r="RUU375" s="15"/>
      <c r="RUV375" s="15"/>
      <c r="RUW375" s="15"/>
      <c r="RUX375" s="15"/>
      <c r="RUY375" s="15"/>
      <c r="RUZ375" s="15"/>
      <c r="RVA375" s="15"/>
      <c r="RVB375" s="15"/>
      <c r="RVC375" s="15"/>
      <c r="RVD375" s="10"/>
      <c r="RVE375" s="10"/>
      <c r="RVF375" s="21"/>
      <c r="RVG375" s="21"/>
      <c r="RVJ375" s="21"/>
      <c r="RVK375" s="15"/>
      <c r="RVL375" s="15"/>
      <c r="RVM375" s="15"/>
      <c r="RVN375" s="15"/>
      <c r="RVO375" s="15"/>
      <c r="RVP375" s="15"/>
      <c r="RVQ375" s="15"/>
      <c r="RVR375" s="15"/>
      <c r="RVS375" s="15"/>
      <c r="RVT375" s="15"/>
      <c r="RVU375" s="10"/>
      <c r="RVV375" s="10"/>
      <c r="RVW375" s="21"/>
      <c r="RVX375" s="21"/>
      <c r="RWA375" s="21"/>
      <c r="RWB375" s="15"/>
      <c r="RWC375" s="15"/>
      <c r="RWD375" s="15"/>
      <c r="RWE375" s="15"/>
      <c r="RWF375" s="15"/>
      <c r="RWG375" s="15"/>
      <c r="RWH375" s="15"/>
      <c r="RWI375" s="15"/>
      <c r="RWJ375" s="15"/>
      <c r="RWK375" s="15"/>
      <c r="RWL375" s="10"/>
      <c r="RWM375" s="10"/>
      <c r="RWN375" s="21"/>
      <c r="RWO375" s="21"/>
      <c r="RWR375" s="21"/>
      <c r="RWS375" s="15"/>
      <c r="RWT375" s="15"/>
      <c r="RWU375" s="15"/>
      <c r="RWV375" s="15"/>
      <c r="RWW375" s="15"/>
      <c r="RWX375" s="15"/>
      <c r="RWY375" s="15"/>
      <c r="RWZ375" s="15"/>
      <c r="RXA375" s="15"/>
      <c r="RXB375" s="15"/>
      <c r="RXC375" s="10"/>
      <c r="RXD375" s="10"/>
      <c r="RXE375" s="21"/>
      <c r="RXF375" s="21"/>
      <c r="RXI375" s="21"/>
      <c r="RXJ375" s="15"/>
      <c r="RXK375" s="15"/>
      <c r="RXL375" s="15"/>
      <c r="RXM375" s="15"/>
      <c r="RXN375" s="15"/>
      <c r="RXO375" s="15"/>
      <c r="RXP375" s="15"/>
      <c r="RXQ375" s="15"/>
      <c r="RXR375" s="15"/>
      <c r="RXS375" s="15"/>
      <c r="RXT375" s="10"/>
      <c r="RXU375" s="10"/>
      <c r="RXV375" s="21"/>
      <c r="RXW375" s="21"/>
      <c r="RXZ375" s="21"/>
      <c r="RYA375" s="15"/>
      <c r="RYB375" s="15"/>
      <c r="RYC375" s="15"/>
      <c r="RYD375" s="15"/>
      <c r="RYE375" s="15"/>
      <c r="RYF375" s="15"/>
      <c r="RYG375" s="15"/>
      <c r="RYH375" s="15"/>
      <c r="RYI375" s="15"/>
      <c r="RYJ375" s="15"/>
      <c r="RYK375" s="10"/>
      <c r="RYL375" s="10"/>
      <c r="RYM375" s="21"/>
      <c r="RYN375" s="21"/>
      <c r="RYQ375" s="21"/>
      <c r="RYR375" s="15"/>
      <c r="RYS375" s="15"/>
      <c r="RYT375" s="15"/>
      <c r="RYU375" s="15"/>
      <c r="RYV375" s="15"/>
      <c r="RYW375" s="15"/>
      <c r="RYX375" s="15"/>
      <c r="RYY375" s="15"/>
      <c r="RYZ375" s="15"/>
      <c r="RZA375" s="15"/>
      <c r="RZB375" s="10"/>
      <c r="RZC375" s="10"/>
      <c r="RZD375" s="21"/>
      <c r="RZE375" s="21"/>
      <c r="RZH375" s="21"/>
      <c r="RZI375" s="15"/>
      <c r="RZJ375" s="15"/>
      <c r="RZK375" s="15"/>
      <c r="RZL375" s="15"/>
      <c r="RZM375" s="15"/>
      <c r="RZN375" s="15"/>
      <c r="RZO375" s="15"/>
      <c r="RZP375" s="15"/>
      <c r="RZQ375" s="15"/>
      <c r="RZR375" s="15"/>
      <c r="RZS375" s="10"/>
      <c r="RZT375" s="10"/>
      <c r="RZU375" s="21"/>
      <c r="RZV375" s="21"/>
      <c r="RZY375" s="21"/>
      <c r="RZZ375" s="15"/>
      <c r="SAA375" s="15"/>
      <c r="SAB375" s="15"/>
      <c r="SAC375" s="15"/>
      <c r="SAD375" s="15"/>
      <c r="SAE375" s="15"/>
      <c r="SAF375" s="15"/>
      <c r="SAG375" s="15"/>
      <c r="SAH375" s="15"/>
      <c r="SAI375" s="15"/>
      <c r="SAJ375" s="10"/>
      <c r="SAK375" s="10"/>
      <c r="SAL375" s="21"/>
      <c r="SAM375" s="21"/>
      <c r="SAP375" s="21"/>
      <c r="SAQ375" s="15"/>
      <c r="SAR375" s="15"/>
      <c r="SAS375" s="15"/>
      <c r="SAT375" s="15"/>
      <c r="SAU375" s="15"/>
      <c r="SAV375" s="15"/>
      <c r="SAW375" s="15"/>
      <c r="SAX375" s="15"/>
      <c r="SAY375" s="15"/>
      <c r="SAZ375" s="15"/>
      <c r="SBA375" s="10"/>
      <c r="SBB375" s="10"/>
      <c r="SBC375" s="21"/>
      <c r="SBD375" s="21"/>
      <c r="SBG375" s="21"/>
      <c r="SBH375" s="15"/>
      <c r="SBI375" s="15"/>
      <c r="SBJ375" s="15"/>
      <c r="SBK375" s="15"/>
      <c r="SBL375" s="15"/>
      <c r="SBM375" s="15"/>
      <c r="SBN375" s="15"/>
      <c r="SBO375" s="15"/>
      <c r="SBP375" s="15"/>
      <c r="SBQ375" s="15"/>
      <c r="SBR375" s="10"/>
      <c r="SBS375" s="10"/>
      <c r="SBT375" s="21"/>
      <c r="SBU375" s="21"/>
      <c r="SBX375" s="21"/>
      <c r="SBY375" s="15"/>
      <c r="SBZ375" s="15"/>
      <c r="SCA375" s="15"/>
      <c r="SCB375" s="15"/>
      <c r="SCC375" s="15"/>
      <c r="SCD375" s="15"/>
      <c r="SCE375" s="15"/>
      <c r="SCF375" s="15"/>
      <c r="SCG375" s="15"/>
      <c r="SCH375" s="15"/>
      <c r="SCI375" s="10"/>
      <c r="SCJ375" s="10"/>
      <c r="SCK375" s="21"/>
      <c r="SCL375" s="21"/>
      <c r="SCO375" s="21"/>
      <c r="SCP375" s="15"/>
      <c r="SCQ375" s="15"/>
      <c r="SCR375" s="15"/>
      <c r="SCS375" s="15"/>
      <c r="SCT375" s="15"/>
      <c r="SCU375" s="15"/>
      <c r="SCV375" s="15"/>
      <c r="SCW375" s="15"/>
      <c r="SCX375" s="15"/>
      <c r="SCY375" s="15"/>
      <c r="SCZ375" s="10"/>
      <c r="SDA375" s="10"/>
      <c r="SDB375" s="21"/>
      <c r="SDC375" s="21"/>
      <c r="SDF375" s="21"/>
      <c r="SDG375" s="15"/>
      <c r="SDH375" s="15"/>
      <c r="SDI375" s="15"/>
      <c r="SDJ375" s="15"/>
      <c r="SDK375" s="15"/>
      <c r="SDL375" s="15"/>
      <c r="SDM375" s="15"/>
      <c r="SDN375" s="15"/>
      <c r="SDO375" s="15"/>
      <c r="SDP375" s="15"/>
      <c r="SDQ375" s="10"/>
      <c r="SDR375" s="10"/>
      <c r="SDS375" s="21"/>
      <c r="SDT375" s="21"/>
      <c r="SDW375" s="21"/>
      <c r="SDX375" s="15"/>
      <c r="SDY375" s="15"/>
      <c r="SDZ375" s="15"/>
      <c r="SEA375" s="15"/>
      <c r="SEB375" s="15"/>
      <c r="SEC375" s="15"/>
      <c r="SED375" s="15"/>
      <c r="SEE375" s="15"/>
      <c r="SEF375" s="15"/>
      <c r="SEG375" s="15"/>
      <c r="SEH375" s="10"/>
      <c r="SEI375" s="10"/>
      <c r="SEJ375" s="21"/>
      <c r="SEK375" s="21"/>
      <c r="SEN375" s="21"/>
      <c r="SEO375" s="15"/>
      <c r="SEP375" s="15"/>
      <c r="SEQ375" s="15"/>
      <c r="SER375" s="15"/>
      <c r="SES375" s="15"/>
      <c r="SET375" s="15"/>
      <c r="SEU375" s="15"/>
      <c r="SEV375" s="15"/>
      <c r="SEW375" s="15"/>
      <c r="SEX375" s="15"/>
      <c r="SEY375" s="10"/>
      <c r="SEZ375" s="10"/>
      <c r="SFA375" s="21"/>
      <c r="SFB375" s="21"/>
      <c r="SFE375" s="21"/>
      <c r="SFF375" s="15"/>
      <c r="SFG375" s="15"/>
      <c r="SFH375" s="15"/>
      <c r="SFI375" s="15"/>
      <c r="SFJ375" s="15"/>
      <c r="SFK375" s="15"/>
      <c r="SFL375" s="15"/>
      <c r="SFM375" s="15"/>
      <c r="SFN375" s="15"/>
      <c r="SFO375" s="15"/>
      <c r="SFP375" s="10"/>
      <c r="SFQ375" s="10"/>
      <c r="SFR375" s="21"/>
      <c r="SFS375" s="21"/>
      <c r="SFV375" s="21"/>
      <c r="SFW375" s="15"/>
      <c r="SFX375" s="15"/>
      <c r="SFY375" s="15"/>
      <c r="SFZ375" s="15"/>
      <c r="SGA375" s="15"/>
      <c r="SGB375" s="15"/>
      <c r="SGC375" s="15"/>
      <c r="SGD375" s="15"/>
      <c r="SGE375" s="15"/>
      <c r="SGF375" s="15"/>
      <c r="SGG375" s="10"/>
      <c r="SGH375" s="10"/>
      <c r="SGI375" s="21"/>
      <c r="SGJ375" s="21"/>
      <c r="SGM375" s="21"/>
      <c r="SGN375" s="15"/>
      <c r="SGO375" s="15"/>
      <c r="SGP375" s="15"/>
      <c r="SGQ375" s="15"/>
      <c r="SGR375" s="15"/>
      <c r="SGS375" s="15"/>
      <c r="SGT375" s="15"/>
      <c r="SGU375" s="15"/>
      <c r="SGV375" s="15"/>
      <c r="SGW375" s="15"/>
      <c r="SGX375" s="10"/>
      <c r="SGY375" s="10"/>
      <c r="SGZ375" s="21"/>
      <c r="SHA375" s="21"/>
      <c r="SHD375" s="21"/>
      <c r="SHE375" s="15"/>
      <c r="SHF375" s="15"/>
      <c r="SHG375" s="15"/>
      <c r="SHH375" s="15"/>
      <c r="SHI375" s="15"/>
      <c r="SHJ375" s="15"/>
      <c r="SHK375" s="15"/>
      <c r="SHL375" s="15"/>
      <c r="SHM375" s="15"/>
      <c r="SHN375" s="15"/>
      <c r="SHO375" s="10"/>
      <c r="SHP375" s="10"/>
      <c r="SHQ375" s="21"/>
      <c r="SHR375" s="21"/>
      <c r="SHU375" s="21"/>
      <c r="SHV375" s="15"/>
      <c r="SHW375" s="15"/>
      <c r="SHX375" s="15"/>
      <c r="SHY375" s="15"/>
      <c r="SHZ375" s="15"/>
      <c r="SIA375" s="15"/>
      <c r="SIB375" s="15"/>
      <c r="SIC375" s="15"/>
      <c r="SID375" s="15"/>
      <c r="SIE375" s="15"/>
      <c r="SIF375" s="10"/>
      <c r="SIG375" s="10"/>
      <c r="SIH375" s="21"/>
      <c r="SII375" s="21"/>
      <c r="SIL375" s="21"/>
      <c r="SIM375" s="15"/>
      <c r="SIN375" s="15"/>
      <c r="SIO375" s="15"/>
      <c r="SIP375" s="15"/>
      <c r="SIQ375" s="15"/>
      <c r="SIR375" s="15"/>
      <c r="SIS375" s="15"/>
      <c r="SIT375" s="15"/>
      <c r="SIU375" s="15"/>
      <c r="SIV375" s="15"/>
      <c r="SIW375" s="10"/>
      <c r="SIX375" s="10"/>
      <c r="SIY375" s="21"/>
      <c r="SIZ375" s="21"/>
      <c r="SJC375" s="21"/>
      <c r="SJD375" s="15"/>
      <c r="SJE375" s="15"/>
      <c r="SJF375" s="15"/>
      <c r="SJG375" s="15"/>
      <c r="SJH375" s="15"/>
      <c r="SJI375" s="15"/>
      <c r="SJJ375" s="15"/>
      <c r="SJK375" s="15"/>
      <c r="SJL375" s="15"/>
      <c r="SJM375" s="15"/>
      <c r="SJN375" s="10"/>
      <c r="SJO375" s="10"/>
      <c r="SJP375" s="21"/>
      <c r="SJQ375" s="21"/>
      <c r="SJT375" s="21"/>
      <c r="SJU375" s="15"/>
      <c r="SJV375" s="15"/>
      <c r="SJW375" s="15"/>
      <c r="SJX375" s="15"/>
      <c r="SJY375" s="15"/>
      <c r="SJZ375" s="15"/>
      <c r="SKA375" s="15"/>
      <c r="SKB375" s="15"/>
      <c r="SKC375" s="15"/>
      <c r="SKD375" s="15"/>
      <c r="SKE375" s="10"/>
      <c r="SKF375" s="10"/>
      <c r="SKG375" s="21"/>
      <c r="SKH375" s="21"/>
      <c r="SKK375" s="21"/>
      <c r="SKL375" s="15"/>
      <c r="SKM375" s="15"/>
      <c r="SKN375" s="15"/>
      <c r="SKO375" s="15"/>
      <c r="SKP375" s="15"/>
      <c r="SKQ375" s="15"/>
      <c r="SKR375" s="15"/>
      <c r="SKS375" s="15"/>
      <c r="SKT375" s="15"/>
      <c r="SKU375" s="15"/>
      <c r="SKV375" s="10"/>
      <c r="SKW375" s="10"/>
      <c r="SKX375" s="21"/>
      <c r="SKY375" s="21"/>
      <c r="SLB375" s="21"/>
      <c r="SLC375" s="15"/>
      <c r="SLD375" s="15"/>
      <c r="SLE375" s="15"/>
      <c r="SLF375" s="15"/>
      <c r="SLG375" s="15"/>
      <c r="SLH375" s="15"/>
      <c r="SLI375" s="15"/>
      <c r="SLJ375" s="15"/>
      <c r="SLK375" s="15"/>
      <c r="SLL375" s="15"/>
      <c r="SLM375" s="10"/>
      <c r="SLN375" s="10"/>
      <c r="SLO375" s="21"/>
      <c r="SLP375" s="21"/>
      <c r="SLS375" s="21"/>
      <c r="SLT375" s="15"/>
      <c r="SLU375" s="15"/>
      <c r="SLV375" s="15"/>
      <c r="SLW375" s="15"/>
      <c r="SLX375" s="15"/>
      <c r="SLY375" s="15"/>
      <c r="SLZ375" s="15"/>
      <c r="SMA375" s="15"/>
      <c r="SMB375" s="15"/>
      <c r="SMC375" s="15"/>
      <c r="SMD375" s="10"/>
      <c r="SME375" s="10"/>
      <c r="SMF375" s="21"/>
      <c r="SMG375" s="21"/>
      <c r="SMJ375" s="21"/>
      <c r="SMK375" s="15"/>
      <c r="SML375" s="15"/>
      <c r="SMM375" s="15"/>
      <c r="SMN375" s="15"/>
      <c r="SMO375" s="15"/>
      <c r="SMP375" s="15"/>
      <c r="SMQ375" s="15"/>
      <c r="SMR375" s="15"/>
      <c r="SMS375" s="15"/>
      <c r="SMT375" s="15"/>
      <c r="SMU375" s="10"/>
      <c r="SMV375" s="10"/>
      <c r="SMW375" s="21"/>
      <c r="SMX375" s="21"/>
      <c r="SNA375" s="21"/>
      <c r="SNB375" s="15"/>
      <c r="SNC375" s="15"/>
      <c r="SND375" s="15"/>
      <c r="SNE375" s="15"/>
      <c r="SNF375" s="15"/>
      <c r="SNG375" s="15"/>
      <c r="SNH375" s="15"/>
      <c r="SNI375" s="15"/>
      <c r="SNJ375" s="15"/>
      <c r="SNK375" s="15"/>
      <c r="SNL375" s="10"/>
      <c r="SNM375" s="10"/>
      <c r="SNN375" s="21"/>
      <c r="SNO375" s="21"/>
      <c r="SNR375" s="21"/>
      <c r="SNS375" s="15"/>
      <c r="SNT375" s="15"/>
      <c r="SNU375" s="15"/>
      <c r="SNV375" s="15"/>
      <c r="SNW375" s="15"/>
      <c r="SNX375" s="15"/>
      <c r="SNY375" s="15"/>
      <c r="SNZ375" s="15"/>
      <c r="SOA375" s="15"/>
      <c r="SOB375" s="15"/>
      <c r="SOC375" s="10"/>
      <c r="SOD375" s="10"/>
      <c r="SOE375" s="21"/>
      <c r="SOF375" s="21"/>
      <c r="SOI375" s="21"/>
      <c r="SOJ375" s="15"/>
      <c r="SOK375" s="15"/>
      <c r="SOL375" s="15"/>
      <c r="SOM375" s="15"/>
      <c r="SON375" s="15"/>
      <c r="SOO375" s="15"/>
      <c r="SOP375" s="15"/>
      <c r="SOQ375" s="15"/>
      <c r="SOR375" s="15"/>
      <c r="SOS375" s="15"/>
      <c r="SOT375" s="10"/>
      <c r="SOU375" s="10"/>
      <c r="SOV375" s="21"/>
      <c r="SOW375" s="21"/>
      <c r="SOZ375" s="21"/>
      <c r="SPA375" s="15"/>
      <c r="SPB375" s="15"/>
      <c r="SPC375" s="15"/>
      <c r="SPD375" s="15"/>
      <c r="SPE375" s="15"/>
      <c r="SPF375" s="15"/>
      <c r="SPG375" s="15"/>
      <c r="SPH375" s="15"/>
      <c r="SPI375" s="15"/>
      <c r="SPJ375" s="15"/>
      <c r="SPK375" s="10"/>
      <c r="SPL375" s="10"/>
      <c r="SPM375" s="21"/>
      <c r="SPN375" s="21"/>
      <c r="SPQ375" s="21"/>
      <c r="SPR375" s="15"/>
      <c r="SPS375" s="15"/>
      <c r="SPT375" s="15"/>
      <c r="SPU375" s="15"/>
      <c r="SPV375" s="15"/>
      <c r="SPW375" s="15"/>
      <c r="SPX375" s="15"/>
      <c r="SPY375" s="15"/>
      <c r="SPZ375" s="15"/>
      <c r="SQA375" s="15"/>
      <c r="SQB375" s="10"/>
      <c r="SQC375" s="10"/>
      <c r="SQD375" s="21"/>
      <c r="SQE375" s="21"/>
      <c r="SQH375" s="21"/>
      <c r="SQI375" s="15"/>
      <c r="SQJ375" s="15"/>
      <c r="SQK375" s="15"/>
      <c r="SQL375" s="15"/>
      <c r="SQM375" s="15"/>
      <c r="SQN375" s="15"/>
      <c r="SQO375" s="15"/>
      <c r="SQP375" s="15"/>
      <c r="SQQ375" s="15"/>
      <c r="SQR375" s="15"/>
      <c r="SQS375" s="10"/>
      <c r="SQT375" s="10"/>
      <c r="SQU375" s="21"/>
      <c r="SQV375" s="21"/>
      <c r="SQY375" s="21"/>
      <c r="SQZ375" s="15"/>
      <c r="SRA375" s="15"/>
      <c r="SRB375" s="15"/>
      <c r="SRC375" s="15"/>
      <c r="SRD375" s="15"/>
      <c r="SRE375" s="15"/>
      <c r="SRF375" s="15"/>
      <c r="SRG375" s="15"/>
      <c r="SRH375" s="15"/>
      <c r="SRI375" s="15"/>
      <c r="SRJ375" s="10"/>
      <c r="SRK375" s="10"/>
      <c r="SRL375" s="21"/>
      <c r="SRM375" s="21"/>
      <c r="SRP375" s="21"/>
      <c r="SRQ375" s="15"/>
      <c r="SRR375" s="15"/>
      <c r="SRS375" s="15"/>
      <c r="SRT375" s="15"/>
      <c r="SRU375" s="15"/>
      <c r="SRV375" s="15"/>
      <c r="SRW375" s="15"/>
      <c r="SRX375" s="15"/>
      <c r="SRY375" s="15"/>
      <c r="SRZ375" s="15"/>
      <c r="SSA375" s="10"/>
      <c r="SSB375" s="10"/>
      <c r="SSC375" s="21"/>
      <c r="SSD375" s="21"/>
      <c r="SSG375" s="21"/>
      <c r="SSH375" s="15"/>
      <c r="SSI375" s="15"/>
      <c r="SSJ375" s="15"/>
      <c r="SSK375" s="15"/>
      <c r="SSL375" s="15"/>
      <c r="SSM375" s="15"/>
      <c r="SSN375" s="15"/>
      <c r="SSO375" s="15"/>
      <c r="SSP375" s="15"/>
      <c r="SSQ375" s="15"/>
      <c r="SSR375" s="10"/>
      <c r="SSS375" s="10"/>
      <c r="SST375" s="21"/>
      <c r="SSU375" s="21"/>
      <c r="SSX375" s="21"/>
      <c r="SSY375" s="15"/>
      <c r="SSZ375" s="15"/>
      <c r="STA375" s="15"/>
      <c r="STB375" s="15"/>
      <c r="STC375" s="15"/>
      <c r="STD375" s="15"/>
      <c r="STE375" s="15"/>
      <c r="STF375" s="15"/>
      <c r="STG375" s="15"/>
      <c r="STH375" s="15"/>
      <c r="STI375" s="10"/>
      <c r="STJ375" s="10"/>
      <c r="STK375" s="21"/>
      <c r="STL375" s="21"/>
      <c r="STO375" s="21"/>
      <c r="STP375" s="15"/>
      <c r="STQ375" s="15"/>
      <c r="STR375" s="15"/>
      <c r="STS375" s="15"/>
      <c r="STT375" s="15"/>
      <c r="STU375" s="15"/>
      <c r="STV375" s="15"/>
      <c r="STW375" s="15"/>
      <c r="STX375" s="15"/>
      <c r="STY375" s="15"/>
      <c r="STZ375" s="10"/>
      <c r="SUA375" s="10"/>
      <c r="SUB375" s="21"/>
      <c r="SUC375" s="21"/>
      <c r="SUF375" s="21"/>
      <c r="SUG375" s="15"/>
      <c r="SUH375" s="15"/>
      <c r="SUI375" s="15"/>
      <c r="SUJ375" s="15"/>
      <c r="SUK375" s="15"/>
      <c r="SUL375" s="15"/>
      <c r="SUM375" s="15"/>
      <c r="SUN375" s="15"/>
      <c r="SUO375" s="15"/>
      <c r="SUP375" s="15"/>
      <c r="SUQ375" s="10"/>
      <c r="SUR375" s="10"/>
      <c r="SUS375" s="21"/>
      <c r="SUT375" s="21"/>
      <c r="SUW375" s="21"/>
      <c r="SUX375" s="15"/>
      <c r="SUY375" s="15"/>
      <c r="SUZ375" s="15"/>
      <c r="SVA375" s="15"/>
      <c r="SVB375" s="15"/>
      <c r="SVC375" s="15"/>
      <c r="SVD375" s="15"/>
      <c r="SVE375" s="15"/>
      <c r="SVF375" s="15"/>
      <c r="SVG375" s="15"/>
      <c r="SVH375" s="10"/>
      <c r="SVI375" s="10"/>
      <c r="SVJ375" s="21"/>
      <c r="SVK375" s="21"/>
      <c r="SVN375" s="21"/>
      <c r="SVO375" s="15"/>
      <c r="SVP375" s="15"/>
      <c r="SVQ375" s="15"/>
      <c r="SVR375" s="15"/>
      <c r="SVS375" s="15"/>
      <c r="SVT375" s="15"/>
      <c r="SVU375" s="15"/>
      <c r="SVV375" s="15"/>
      <c r="SVW375" s="15"/>
      <c r="SVX375" s="15"/>
      <c r="SVY375" s="10"/>
      <c r="SVZ375" s="10"/>
      <c r="SWA375" s="21"/>
      <c r="SWB375" s="21"/>
      <c r="SWE375" s="21"/>
      <c r="SWF375" s="15"/>
      <c r="SWG375" s="15"/>
      <c r="SWH375" s="15"/>
      <c r="SWI375" s="15"/>
      <c r="SWJ375" s="15"/>
      <c r="SWK375" s="15"/>
      <c r="SWL375" s="15"/>
      <c r="SWM375" s="15"/>
      <c r="SWN375" s="15"/>
      <c r="SWO375" s="15"/>
      <c r="SWP375" s="10"/>
      <c r="SWQ375" s="10"/>
      <c r="SWR375" s="21"/>
      <c r="SWS375" s="21"/>
      <c r="SWV375" s="21"/>
      <c r="SWW375" s="15"/>
      <c r="SWX375" s="15"/>
      <c r="SWY375" s="15"/>
      <c r="SWZ375" s="15"/>
      <c r="SXA375" s="15"/>
      <c r="SXB375" s="15"/>
      <c r="SXC375" s="15"/>
      <c r="SXD375" s="15"/>
      <c r="SXE375" s="15"/>
      <c r="SXF375" s="15"/>
      <c r="SXG375" s="10"/>
      <c r="SXH375" s="10"/>
      <c r="SXI375" s="21"/>
      <c r="SXJ375" s="21"/>
      <c r="SXM375" s="21"/>
      <c r="SXN375" s="15"/>
      <c r="SXO375" s="15"/>
      <c r="SXP375" s="15"/>
      <c r="SXQ375" s="15"/>
      <c r="SXR375" s="15"/>
      <c r="SXS375" s="15"/>
      <c r="SXT375" s="15"/>
      <c r="SXU375" s="15"/>
      <c r="SXV375" s="15"/>
      <c r="SXW375" s="15"/>
      <c r="SXX375" s="10"/>
      <c r="SXY375" s="10"/>
      <c r="SXZ375" s="21"/>
      <c r="SYA375" s="21"/>
      <c r="SYD375" s="21"/>
      <c r="SYE375" s="15"/>
      <c r="SYF375" s="15"/>
      <c r="SYG375" s="15"/>
      <c r="SYH375" s="15"/>
      <c r="SYI375" s="15"/>
      <c r="SYJ375" s="15"/>
      <c r="SYK375" s="15"/>
      <c r="SYL375" s="15"/>
      <c r="SYM375" s="15"/>
      <c r="SYN375" s="15"/>
      <c r="SYO375" s="10"/>
      <c r="SYP375" s="10"/>
      <c r="SYQ375" s="21"/>
      <c r="SYR375" s="21"/>
      <c r="SYU375" s="21"/>
      <c r="SYV375" s="15"/>
      <c r="SYW375" s="15"/>
      <c r="SYX375" s="15"/>
      <c r="SYY375" s="15"/>
      <c r="SYZ375" s="15"/>
      <c r="SZA375" s="15"/>
      <c r="SZB375" s="15"/>
      <c r="SZC375" s="15"/>
      <c r="SZD375" s="15"/>
      <c r="SZE375" s="15"/>
      <c r="SZF375" s="10"/>
      <c r="SZG375" s="10"/>
      <c r="SZH375" s="21"/>
      <c r="SZI375" s="21"/>
      <c r="SZL375" s="21"/>
      <c r="SZM375" s="15"/>
      <c r="SZN375" s="15"/>
      <c r="SZO375" s="15"/>
      <c r="SZP375" s="15"/>
      <c r="SZQ375" s="15"/>
      <c r="SZR375" s="15"/>
      <c r="SZS375" s="15"/>
      <c r="SZT375" s="15"/>
      <c r="SZU375" s="15"/>
      <c r="SZV375" s="15"/>
      <c r="SZW375" s="10"/>
      <c r="SZX375" s="10"/>
      <c r="SZY375" s="21"/>
      <c r="SZZ375" s="21"/>
      <c r="TAC375" s="21"/>
      <c r="TAD375" s="15"/>
      <c r="TAE375" s="15"/>
      <c r="TAF375" s="15"/>
      <c r="TAG375" s="15"/>
      <c r="TAH375" s="15"/>
      <c r="TAI375" s="15"/>
      <c r="TAJ375" s="15"/>
      <c r="TAK375" s="15"/>
      <c r="TAL375" s="15"/>
      <c r="TAM375" s="15"/>
      <c r="TAN375" s="10"/>
      <c r="TAO375" s="10"/>
      <c r="TAP375" s="21"/>
      <c r="TAQ375" s="21"/>
      <c r="TAT375" s="21"/>
      <c r="TAU375" s="15"/>
      <c r="TAV375" s="15"/>
      <c r="TAW375" s="15"/>
      <c r="TAX375" s="15"/>
      <c r="TAY375" s="15"/>
      <c r="TAZ375" s="15"/>
      <c r="TBA375" s="15"/>
      <c r="TBB375" s="15"/>
      <c r="TBC375" s="15"/>
      <c r="TBD375" s="15"/>
      <c r="TBE375" s="10"/>
      <c r="TBF375" s="10"/>
      <c r="TBG375" s="21"/>
      <c r="TBH375" s="21"/>
      <c r="TBK375" s="21"/>
      <c r="TBL375" s="15"/>
      <c r="TBM375" s="15"/>
      <c r="TBN375" s="15"/>
      <c r="TBO375" s="15"/>
      <c r="TBP375" s="15"/>
      <c r="TBQ375" s="15"/>
      <c r="TBR375" s="15"/>
      <c r="TBS375" s="15"/>
      <c r="TBT375" s="15"/>
      <c r="TBU375" s="15"/>
      <c r="TBV375" s="10"/>
      <c r="TBW375" s="10"/>
      <c r="TBX375" s="21"/>
      <c r="TBY375" s="21"/>
      <c r="TCB375" s="21"/>
      <c r="TCC375" s="15"/>
      <c r="TCD375" s="15"/>
      <c r="TCE375" s="15"/>
      <c r="TCF375" s="15"/>
      <c r="TCG375" s="15"/>
      <c r="TCH375" s="15"/>
      <c r="TCI375" s="15"/>
      <c r="TCJ375" s="15"/>
      <c r="TCK375" s="15"/>
      <c r="TCL375" s="15"/>
      <c r="TCM375" s="10"/>
      <c r="TCN375" s="10"/>
      <c r="TCO375" s="21"/>
      <c r="TCP375" s="21"/>
      <c r="TCS375" s="21"/>
      <c r="TCT375" s="15"/>
      <c r="TCU375" s="15"/>
      <c r="TCV375" s="15"/>
      <c r="TCW375" s="15"/>
      <c r="TCX375" s="15"/>
      <c r="TCY375" s="15"/>
      <c r="TCZ375" s="15"/>
      <c r="TDA375" s="15"/>
      <c r="TDB375" s="15"/>
      <c r="TDC375" s="15"/>
      <c r="TDD375" s="10"/>
      <c r="TDE375" s="10"/>
      <c r="TDF375" s="21"/>
      <c r="TDG375" s="21"/>
      <c r="TDJ375" s="21"/>
      <c r="TDK375" s="15"/>
      <c r="TDL375" s="15"/>
      <c r="TDM375" s="15"/>
      <c r="TDN375" s="15"/>
      <c r="TDO375" s="15"/>
      <c r="TDP375" s="15"/>
      <c r="TDQ375" s="15"/>
      <c r="TDR375" s="15"/>
      <c r="TDS375" s="15"/>
      <c r="TDT375" s="15"/>
      <c r="TDU375" s="10"/>
      <c r="TDV375" s="10"/>
      <c r="TDW375" s="21"/>
      <c r="TDX375" s="21"/>
      <c r="TEA375" s="21"/>
      <c r="TEB375" s="15"/>
      <c r="TEC375" s="15"/>
      <c r="TED375" s="15"/>
      <c r="TEE375" s="15"/>
      <c r="TEF375" s="15"/>
      <c r="TEG375" s="15"/>
      <c r="TEH375" s="15"/>
      <c r="TEI375" s="15"/>
      <c r="TEJ375" s="15"/>
      <c r="TEK375" s="15"/>
      <c r="TEL375" s="10"/>
      <c r="TEM375" s="10"/>
      <c r="TEN375" s="21"/>
      <c r="TEO375" s="21"/>
      <c r="TER375" s="21"/>
      <c r="TES375" s="15"/>
      <c r="TET375" s="15"/>
      <c r="TEU375" s="15"/>
      <c r="TEV375" s="15"/>
      <c r="TEW375" s="15"/>
      <c r="TEX375" s="15"/>
      <c r="TEY375" s="15"/>
      <c r="TEZ375" s="15"/>
      <c r="TFA375" s="15"/>
      <c r="TFB375" s="15"/>
      <c r="TFC375" s="10"/>
      <c r="TFD375" s="10"/>
      <c r="TFE375" s="21"/>
      <c r="TFF375" s="21"/>
      <c r="TFI375" s="21"/>
      <c r="TFJ375" s="15"/>
      <c r="TFK375" s="15"/>
      <c r="TFL375" s="15"/>
      <c r="TFM375" s="15"/>
      <c r="TFN375" s="15"/>
      <c r="TFO375" s="15"/>
      <c r="TFP375" s="15"/>
      <c r="TFQ375" s="15"/>
      <c r="TFR375" s="15"/>
      <c r="TFS375" s="15"/>
      <c r="TFT375" s="10"/>
      <c r="TFU375" s="10"/>
      <c r="TFV375" s="21"/>
      <c r="TFW375" s="21"/>
      <c r="TFZ375" s="21"/>
      <c r="TGA375" s="15"/>
      <c r="TGB375" s="15"/>
      <c r="TGC375" s="15"/>
      <c r="TGD375" s="15"/>
      <c r="TGE375" s="15"/>
      <c r="TGF375" s="15"/>
      <c r="TGG375" s="15"/>
      <c r="TGH375" s="15"/>
      <c r="TGI375" s="15"/>
      <c r="TGJ375" s="15"/>
      <c r="TGK375" s="10"/>
      <c r="TGL375" s="10"/>
      <c r="TGM375" s="21"/>
      <c r="TGN375" s="21"/>
      <c r="TGQ375" s="21"/>
      <c r="TGR375" s="15"/>
      <c r="TGS375" s="15"/>
      <c r="TGT375" s="15"/>
      <c r="TGU375" s="15"/>
      <c r="TGV375" s="15"/>
      <c r="TGW375" s="15"/>
      <c r="TGX375" s="15"/>
      <c r="TGY375" s="15"/>
      <c r="TGZ375" s="15"/>
      <c r="THA375" s="15"/>
      <c r="THB375" s="10"/>
      <c r="THC375" s="10"/>
      <c r="THD375" s="21"/>
      <c r="THE375" s="21"/>
      <c r="THH375" s="21"/>
      <c r="THI375" s="15"/>
      <c r="THJ375" s="15"/>
      <c r="THK375" s="15"/>
      <c r="THL375" s="15"/>
      <c r="THM375" s="15"/>
      <c r="THN375" s="15"/>
      <c r="THO375" s="15"/>
      <c r="THP375" s="15"/>
      <c r="THQ375" s="15"/>
      <c r="THR375" s="15"/>
      <c r="THS375" s="10"/>
      <c r="THT375" s="10"/>
      <c r="THU375" s="21"/>
      <c r="THV375" s="21"/>
      <c r="THY375" s="21"/>
      <c r="THZ375" s="15"/>
      <c r="TIA375" s="15"/>
      <c r="TIB375" s="15"/>
      <c r="TIC375" s="15"/>
      <c r="TID375" s="15"/>
      <c r="TIE375" s="15"/>
      <c r="TIF375" s="15"/>
      <c r="TIG375" s="15"/>
      <c r="TIH375" s="15"/>
      <c r="TII375" s="15"/>
      <c r="TIJ375" s="10"/>
      <c r="TIK375" s="10"/>
      <c r="TIL375" s="21"/>
      <c r="TIM375" s="21"/>
      <c r="TIP375" s="21"/>
      <c r="TIQ375" s="15"/>
      <c r="TIR375" s="15"/>
      <c r="TIS375" s="15"/>
      <c r="TIT375" s="15"/>
      <c r="TIU375" s="15"/>
      <c r="TIV375" s="15"/>
      <c r="TIW375" s="15"/>
      <c r="TIX375" s="15"/>
      <c r="TIY375" s="15"/>
      <c r="TIZ375" s="15"/>
      <c r="TJA375" s="10"/>
      <c r="TJB375" s="10"/>
      <c r="TJC375" s="21"/>
      <c r="TJD375" s="21"/>
      <c r="TJG375" s="21"/>
      <c r="TJH375" s="15"/>
      <c r="TJI375" s="15"/>
      <c r="TJJ375" s="15"/>
      <c r="TJK375" s="15"/>
      <c r="TJL375" s="15"/>
      <c r="TJM375" s="15"/>
      <c r="TJN375" s="15"/>
      <c r="TJO375" s="15"/>
      <c r="TJP375" s="15"/>
      <c r="TJQ375" s="15"/>
      <c r="TJR375" s="10"/>
      <c r="TJS375" s="10"/>
      <c r="TJT375" s="21"/>
      <c r="TJU375" s="21"/>
      <c r="TJX375" s="21"/>
      <c r="TJY375" s="15"/>
      <c r="TJZ375" s="15"/>
      <c r="TKA375" s="15"/>
      <c r="TKB375" s="15"/>
      <c r="TKC375" s="15"/>
      <c r="TKD375" s="15"/>
      <c r="TKE375" s="15"/>
      <c r="TKF375" s="15"/>
      <c r="TKG375" s="15"/>
      <c r="TKH375" s="15"/>
      <c r="TKI375" s="10"/>
      <c r="TKJ375" s="10"/>
      <c r="TKK375" s="21"/>
      <c r="TKL375" s="21"/>
      <c r="TKO375" s="21"/>
      <c r="TKP375" s="15"/>
      <c r="TKQ375" s="15"/>
      <c r="TKR375" s="15"/>
      <c r="TKS375" s="15"/>
      <c r="TKT375" s="15"/>
      <c r="TKU375" s="15"/>
      <c r="TKV375" s="15"/>
      <c r="TKW375" s="15"/>
      <c r="TKX375" s="15"/>
      <c r="TKY375" s="15"/>
      <c r="TKZ375" s="10"/>
      <c r="TLA375" s="10"/>
      <c r="TLB375" s="21"/>
      <c r="TLC375" s="21"/>
      <c r="TLF375" s="21"/>
      <c r="TLG375" s="15"/>
      <c r="TLH375" s="15"/>
      <c r="TLI375" s="15"/>
      <c r="TLJ375" s="15"/>
      <c r="TLK375" s="15"/>
      <c r="TLL375" s="15"/>
      <c r="TLM375" s="15"/>
      <c r="TLN375" s="15"/>
      <c r="TLO375" s="15"/>
      <c r="TLP375" s="15"/>
      <c r="TLQ375" s="10"/>
      <c r="TLR375" s="10"/>
      <c r="TLS375" s="21"/>
      <c r="TLT375" s="21"/>
      <c r="TLW375" s="21"/>
      <c r="TLX375" s="15"/>
      <c r="TLY375" s="15"/>
      <c r="TLZ375" s="15"/>
      <c r="TMA375" s="15"/>
      <c r="TMB375" s="15"/>
      <c r="TMC375" s="15"/>
      <c r="TMD375" s="15"/>
      <c r="TME375" s="15"/>
      <c r="TMF375" s="15"/>
      <c r="TMG375" s="15"/>
      <c r="TMH375" s="10"/>
      <c r="TMI375" s="10"/>
      <c r="TMJ375" s="21"/>
      <c r="TMK375" s="21"/>
      <c r="TMN375" s="21"/>
      <c r="TMO375" s="15"/>
      <c r="TMP375" s="15"/>
      <c r="TMQ375" s="15"/>
      <c r="TMR375" s="15"/>
      <c r="TMS375" s="15"/>
      <c r="TMT375" s="15"/>
      <c r="TMU375" s="15"/>
      <c r="TMV375" s="15"/>
      <c r="TMW375" s="15"/>
      <c r="TMX375" s="15"/>
      <c r="TMY375" s="10"/>
      <c r="TMZ375" s="10"/>
      <c r="TNA375" s="21"/>
      <c r="TNB375" s="21"/>
      <c r="TNE375" s="21"/>
      <c r="TNF375" s="15"/>
      <c r="TNG375" s="15"/>
      <c r="TNH375" s="15"/>
      <c r="TNI375" s="15"/>
      <c r="TNJ375" s="15"/>
      <c r="TNK375" s="15"/>
      <c r="TNL375" s="15"/>
      <c r="TNM375" s="15"/>
      <c r="TNN375" s="15"/>
      <c r="TNO375" s="15"/>
      <c r="TNP375" s="10"/>
      <c r="TNQ375" s="10"/>
      <c r="TNR375" s="21"/>
      <c r="TNS375" s="21"/>
      <c r="TNV375" s="21"/>
      <c r="TNW375" s="15"/>
      <c r="TNX375" s="15"/>
      <c r="TNY375" s="15"/>
      <c r="TNZ375" s="15"/>
      <c r="TOA375" s="15"/>
      <c r="TOB375" s="15"/>
      <c r="TOC375" s="15"/>
      <c r="TOD375" s="15"/>
      <c r="TOE375" s="15"/>
      <c r="TOF375" s="15"/>
      <c r="TOG375" s="10"/>
      <c r="TOH375" s="10"/>
      <c r="TOI375" s="21"/>
      <c r="TOJ375" s="21"/>
      <c r="TOM375" s="21"/>
      <c r="TON375" s="15"/>
      <c r="TOO375" s="15"/>
      <c r="TOP375" s="15"/>
      <c r="TOQ375" s="15"/>
      <c r="TOR375" s="15"/>
      <c r="TOS375" s="15"/>
      <c r="TOT375" s="15"/>
      <c r="TOU375" s="15"/>
      <c r="TOV375" s="15"/>
      <c r="TOW375" s="15"/>
      <c r="TOX375" s="10"/>
      <c r="TOY375" s="10"/>
      <c r="TOZ375" s="21"/>
      <c r="TPA375" s="21"/>
      <c r="TPD375" s="21"/>
      <c r="TPE375" s="15"/>
      <c r="TPF375" s="15"/>
      <c r="TPG375" s="15"/>
      <c r="TPH375" s="15"/>
      <c r="TPI375" s="15"/>
      <c r="TPJ375" s="15"/>
      <c r="TPK375" s="15"/>
      <c r="TPL375" s="15"/>
      <c r="TPM375" s="15"/>
      <c r="TPN375" s="15"/>
      <c r="TPO375" s="10"/>
      <c r="TPP375" s="10"/>
      <c r="TPQ375" s="21"/>
      <c r="TPR375" s="21"/>
      <c r="TPU375" s="21"/>
      <c r="TPV375" s="15"/>
      <c r="TPW375" s="15"/>
      <c r="TPX375" s="15"/>
      <c r="TPY375" s="15"/>
      <c r="TPZ375" s="15"/>
      <c r="TQA375" s="15"/>
      <c r="TQB375" s="15"/>
      <c r="TQC375" s="15"/>
      <c r="TQD375" s="15"/>
      <c r="TQE375" s="15"/>
      <c r="TQF375" s="10"/>
      <c r="TQG375" s="10"/>
      <c r="TQH375" s="21"/>
      <c r="TQI375" s="21"/>
      <c r="TQL375" s="21"/>
      <c r="TQM375" s="15"/>
      <c r="TQN375" s="15"/>
      <c r="TQO375" s="15"/>
      <c r="TQP375" s="15"/>
      <c r="TQQ375" s="15"/>
      <c r="TQR375" s="15"/>
      <c r="TQS375" s="15"/>
      <c r="TQT375" s="15"/>
      <c r="TQU375" s="15"/>
      <c r="TQV375" s="15"/>
      <c r="TQW375" s="10"/>
      <c r="TQX375" s="10"/>
      <c r="TQY375" s="21"/>
      <c r="TQZ375" s="21"/>
      <c r="TRC375" s="21"/>
      <c r="TRD375" s="15"/>
      <c r="TRE375" s="15"/>
      <c r="TRF375" s="15"/>
      <c r="TRG375" s="15"/>
      <c r="TRH375" s="15"/>
      <c r="TRI375" s="15"/>
      <c r="TRJ375" s="15"/>
      <c r="TRK375" s="15"/>
      <c r="TRL375" s="15"/>
      <c r="TRM375" s="15"/>
      <c r="TRN375" s="10"/>
      <c r="TRO375" s="10"/>
      <c r="TRP375" s="21"/>
      <c r="TRQ375" s="21"/>
      <c r="TRT375" s="21"/>
      <c r="TRU375" s="15"/>
      <c r="TRV375" s="15"/>
      <c r="TRW375" s="15"/>
      <c r="TRX375" s="15"/>
      <c r="TRY375" s="15"/>
      <c r="TRZ375" s="15"/>
      <c r="TSA375" s="15"/>
      <c r="TSB375" s="15"/>
      <c r="TSC375" s="15"/>
      <c r="TSD375" s="15"/>
      <c r="TSE375" s="10"/>
      <c r="TSF375" s="10"/>
      <c r="TSG375" s="21"/>
      <c r="TSH375" s="21"/>
      <c r="TSK375" s="21"/>
      <c r="TSL375" s="15"/>
      <c r="TSM375" s="15"/>
      <c r="TSN375" s="15"/>
      <c r="TSO375" s="15"/>
      <c r="TSP375" s="15"/>
      <c r="TSQ375" s="15"/>
      <c r="TSR375" s="15"/>
      <c r="TSS375" s="15"/>
      <c r="TST375" s="15"/>
      <c r="TSU375" s="15"/>
      <c r="TSV375" s="10"/>
      <c r="TSW375" s="10"/>
      <c r="TSX375" s="21"/>
      <c r="TSY375" s="21"/>
      <c r="TTB375" s="21"/>
      <c r="TTC375" s="15"/>
      <c r="TTD375" s="15"/>
      <c r="TTE375" s="15"/>
      <c r="TTF375" s="15"/>
      <c r="TTG375" s="15"/>
      <c r="TTH375" s="15"/>
      <c r="TTI375" s="15"/>
      <c r="TTJ375" s="15"/>
      <c r="TTK375" s="15"/>
      <c r="TTL375" s="15"/>
      <c r="TTM375" s="10"/>
      <c r="TTN375" s="10"/>
      <c r="TTO375" s="21"/>
      <c r="TTP375" s="21"/>
      <c r="TTS375" s="21"/>
      <c r="TTT375" s="15"/>
      <c r="TTU375" s="15"/>
      <c r="TTV375" s="15"/>
      <c r="TTW375" s="15"/>
      <c r="TTX375" s="15"/>
      <c r="TTY375" s="15"/>
      <c r="TTZ375" s="15"/>
      <c r="TUA375" s="15"/>
      <c r="TUB375" s="15"/>
      <c r="TUC375" s="15"/>
      <c r="TUD375" s="10"/>
      <c r="TUE375" s="10"/>
      <c r="TUF375" s="21"/>
      <c r="TUG375" s="21"/>
      <c r="TUJ375" s="21"/>
      <c r="TUK375" s="15"/>
      <c r="TUL375" s="15"/>
      <c r="TUM375" s="15"/>
      <c r="TUN375" s="15"/>
      <c r="TUO375" s="15"/>
      <c r="TUP375" s="15"/>
      <c r="TUQ375" s="15"/>
      <c r="TUR375" s="15"/>
      <c r="TUS375" s="15"/>
      <c r="TUT375" s="15"/>
      <c r="TUU375" s="10"/>
      <c r="TUV375" s="10"/>
      <c r="TUW375" s="21"/>
      <c r="TUX375" s="21"/>
      <c r="TVA375" s="21"/>
      <c r="TVB375" s="15"/>
      <c r="TVC375" s="15"/>
      <c r="TVD375" s="15"/>
      <c r="TVE375" s="15"/>
      <c r="TVF375" s="15"/>
      <c r="TVG375" s="15"/>
      <c r="TVH375" s="15"/>
      <c r="TVI375" s="15"/>
      <c r="TVJ375" s="15"/>
      <c r="TVK375" s="15"/>
      <c r="TVL375" s="10"/>
      <c r="TVM375" s="10"/>
      <c r="TVN375" s="21"/>
      <c r="TVO375" s="21"/>
      <c r="TVR375" s="21"/>
      <c r="TVS375" s="15"/>
      <c r="TVT375" s="15"/>
      <c r="TVU375" s="15"/>
      <c r="TVV375" s="15"/>
      <c r="TVW375" s="15"/>
      <c r="TVX375" s="15"/>
      <c r="TVY375" s="15"/>
      <c r="TVZ375" s="15"/>
      <c r="TWA375" s="15"/>
      <c r="TWB375" s="15"/>
      <c r="TWC375" s="10"/>
      <c r="TWD375" s="10"/>
      <c r="TWE375" s="21"/>
      <c r="TWF375" s="21"/>
      <c r="TWI375" s="21"/>
      <c r="TWJ375" s="15"/>
      <c r="TWK375" s="15"/>
      <c r="TWL375" s="15"/>
      <c r="TWM375" s="15"/>
      <c r="TWN375" s="15"/>
      <c r="TWO375" s="15"/>
      <c r="TWP375" s="15"/>
      <c r="TWQ375" s="15"/>
      <c r="TWR375" s="15"/>
      <c r="TWS375" s="15"/>
      <c r="TWT375" s="10"/>
      <c r="TWU375" s="10"/>
      <c r="TWV375" s="21"/>
      <c r="TWW375" s="21"/>
      <c r="TWZ375" s="21"/>
      <c r="TXA375" s="15"/>
      <c r="TXB375" s="15"/>
      <c r="TXC375" s="15"/>
      <c r="TXD375" s="15"/>
      <c r="TXE375" s="15"/>
      <c r="TXF375" s="15"/>
      <c r="TXG375" s="15"/>
      <c r="TXH375" s="15"/>
      <c r="TXI375" s="15"/>
      <c r="TXJ375" s="15"/>
      <c r="TXK375" s="10"/>
      <c r="TXL375" s="10"/>
      <c r="TXM375" s="21"/>
      <c r="TXN375" s="21"/>
      <c r="TXQ375" s="21"/>
      <c r="TXR375" s="15"/>
      <c r="TXS375" s="15"/>
      <c r="TXT375" s="15"/>
      <c r="TXU375" s="15"/>
      <c r="TXV375" s="15"/>
      <c r="TXW375" s="15"/>
      <c r="TXX375" s="15"/>
      <c r="TXY375" s="15"/>
      <c r="TXZ375" s="15"/>
      <c r="TYA375" s="15"/>
      <c r="TYB375" s="10"/>
      <c r="TYC375" s="10"/>
      <c r="TYD375" s="21"/>
      <c r="TYE375" s="21"/>
      <c r="TYH375" s="21"/>
      <c r="TYI375" s="15"/>
      <c r="TYJ375" s="15"/>
      <c r="TYK375" s="15"/>
      <c r="TYL375" s="15"/>
      <c r="TYM375" s="15"/>
      <c r="TYN375" s="15"/>
      <c r="TYO375" s="15"/>
      <c r="TYP375" s="15"/>
      <c r="TYQ375" s="15"/>
      <c r="TYR375" s="15"/>
      <c r="TYS375" s="10"/>
      <c r="TYT375" s="10"/>
      <c r="TYU375" s="21"/>
      <c r="TYV375" s="21"/>
      <c r="TYY375" s="21"/>
      <c r="TYZ375" s="15"/>
      <c r="TZA375" s="15"/>
      <c r="TZB375" s="15"/>
      <c r="TZC375" s="15"/>
      <c r="TZD375" s="15"/>
      <c r="TZE375" s="15"/>
      <c r="TZF375" s="15"/>
      <c r="TZG375" s="15"/>
      <c r="TZH375" s="15"/>
      <c r="TZI375" s="15"/>
      <c r="TZJ375" s="10"/>
      <c r="TZK375" s="10"/>
      <c r="TZL375" s="21"/>
      <c r="TZM375" s="21"/>
      <c r="TZP375" s="21"/>
      <c r="TZQ375" s="15"/>
      <c r="TZR375" s="15"/>
      <c r="TZS375" s="15"/>
      <c r="TZT375" s="15"/>
      <c r="TZU375" s="15"/>
      <c r="TZV375" s="15"/>
      <c r="TZW375" s="15"/>
      <c r="TZX375" s="15"/>
      <c r="TZY375" s="15"/>
      <c r="TZZ375" s="15"/>
      <c r="UAA375" s="10"/>
      <c r="UAB375" s="10"/>
      <c r="UAC375" s="21"/>
      <c r="UAD375" s="21"/>
      <c r="UAG375" s="21"/>
      <c r="UAH375" s="15"/>
      <c r="UAI375" s="15"/>
      <c r="UAJ375" s="15"/>
      <c r="UAK375" s="15"/>
      <c r="UAL375" s="15"/>
      <c r="UAM375" s="15"/>
      <c r="UAN375" s="15"/>
      <c r="UAO375" s="15"/>
      <c r="UAP375" s="15"/>
      <c r="UAQ375" s="15"/>
      <c r="UAR375" s="10"/>
      <c r="UAS375" s="10"/>
      <c r="UAT375" s="21"/>
      <c r="UAU375" s="21"/>
      <c r="UAX375" s="21"/>
      <c r="UAY375" s="15"/>
      <c r="UAZ375" s="15"/>
      <c r="UBA375" s="15"/>
      <c r="UBB375" s="15"/>
      <c r="UBC375" s="15"/>
      <c r="UBD375" s="15"/>
      <c r="UBE375" s="15"/>
      <c r="UBF375" s="15"/>
      <c r="UBG375" s="15"/>
      <c r="UBH375" s="15"/>
      <c r="UBI375" s="10"/>
      <c r="UBJ375" s="10"/>
      <c r="UBK375" s="21"/>
      <c r="UBL375" s="21"/>
      <c r="UBO375" s="21"/>
      <c r="UBP375" s="15"/>
      <c r="UBQ375" s="15"/>
      <c r="UBR375" s="15"/>
      <c r="UBS375" s="15"/>
      <c r="UBT375" s="15"/>
      <c r="UBU375" s="15"/>
      <c r="UBV375" s="15"/>
      <c r="UBW375" s="15"/>
      <c r="UBX375" s="15"/>
      <c r="UBY375" s="15"/>
      <c r="UBZ375" s="10"/>
      <c r="UCA375" s="10"/>
      <c r="UCB375" s="21"/>
      <c r="UCC375" s="21"/>
      <c r="UCF375" s="21"/>
      <c r="UCG375" s="15"/>
      <c r="UCH375" s="15"/>
      <c r="UCI375" s="15"/>
      <c r="UCJ375" s="15"/>
      <c r="UCK375" s="15"/>
      <c r="UCL375" s="15"/>
      <c r="UCM375" s="15"/>
      <c r="UCN375" s="15"/>
      <c r="UCO375" s="15"/>
      <c r="UCP375" s="15"/>
      <c r="UCQ375" s="10"/>
      <c r="UCR375" s="10"/>
      <c r="UCS375" s="21"/>
      <c r="UCT375" s="21"/>
      <c r="UCW375" s="21"/>
      <c r="UCX375" s="15"/>
      <c r="UCY375" s="15"/>
      <c r="UCZ375" s="15"/>
      <c r="UDA375" s="15"/>
      <c r="UDB375" s="15"/>
      <c r="UDC375" s="15"/>
      <c r="UDD375" s="15"/>
      <c r="UDE375" s="15"/>
      <c r="UDF375" s="15"/>
      <c r="UDG375" s="15"/>
      <c r="UDH375" s="10"/>
      <c r="UDI375" s="10"/>
      <c r="UDJ375" s="21"/>
      <c r="UDK375" s="21"/>
      <c r="UDN375" s="21"/>
      <c r="UDO375" s="15"/>
      <c r="UDP375" s="15"/>
      <c r="UDQ375" s="15"/>
      <c r="UDR375" s="15"/>
      <c r="UDS375" s="15"/>
      <c r="UDT375" s="15"/>
      <c r="UDU375" s="15"/>
      <c r="UDV375" s="15"/>
      <c r="UDW375" s="15"/>
      <c r="UDX375" s="15"/>
      <c r="UDY375" s="10"/>
      <c r="UDZ375" s="10"/>
      <c r="UEA375" s="21"/>
      <c r="UEB375" s="21"/>
      <c r="UEE375" s="21"/>
      <c r="UEF375" s="15"/>
      <c r="UEG375" s="15"/>
      <c r="UEH375" s="15"/>
      <c r="UEI375" s="15"/>
      <c r="UEJ375" s="15"/>
      <c r="UEK375" s="15"/>
      <c r="UEL375" s="15"/>
      <c r="UEM375" s="15"/>
      <c r="UEN375" s="15"/>
      <c r="UEO375" s="15"/>
      <c r="UEP375" s="10"/>
      <c r="UEQ375" s="10"/>
      <c r="UER375" s="21"/>
      <c r="UES375" s="21"/>
      <c r="UEV375" s="21"/>
      <c r="UEW375" s="15"/>
      <c r="UEX375" s="15"/>
      <c r="UEY375" s="15"/>
      <c r="UEZ375" s="15"/>
      <c r="UFA375" s="15"/>
      <c r="UFB375" s="15"/>
      <c r="UFC375" s="15"/>
      <c r="UFD375" s="15"/>
      <c r="UFE375" s="15"/>
      <c r="UFF375" s="15"/>
      <c r="UFG375" s="10"/>
      <c r="UFH375" s="10"/>
      <c r="UFI375" s="21"/>
      <c r="UFJ375" s="21"/>
      <c r="UFM375" s="21"/>
      <c r="UFN375" s="15"/>
      <c r="UFO375" s="15"/>
      <c r="UFP375" s="15"/>
      <c r="UFQ375" s="15"/>
      <c r="UFR375" s="15"/>
      <c r="UFS375" s="15"/>
      <c r="UFT375" s="15"/>
      <c r="UFU375" s="15"/>
      <c r="UFV375" s="15"/>
      <c r="UFW375" s="15"/>
      <c r="UFX375" s="10"/>
      <c r="UFY375" s="10"/>
      <c r="UFZ375" s="21"/>
      <c r="UGA375" s="21"/>
      <c r="UGD375" s="21"/>
      <c r="UGE375" s="15"/>
      <c r="UGF375" s="15"/>
      <c r="UGG375" s="15"/>
      <c r="UGH375" s="15"/>
      <c r="UGI375" s="15"/>
      <c r="UGJ375" s="15"/>
      <c r="UGK375" s="15"/>
      <c r="UGL375" s="15"/>
      <c r="UGM375" s="15"/>
      <c r="UGN375" s="15"/>
      <c r="UGO375" s="10"/>
      <c r="UGP375" s="10"/>
      <c r="UGQ375" s="21"/>
      <c r="UGR375" s="21"/>
      <c r="UGU375" s="21"/>
      <c r="UGV375" s="15"/>
      <c r="UGW375" s="15"/>
      <c r="UGX375" s="15"/>
      <c r="UGY375" s="15"/>
      <c r="UGZ375" s="15"/>
      <c r="UHA375" s="15"/>
      <c r="UHB375" s="15"/>
      <c r="UHC375" s="15"/>
      <c r="UHD375" s="15"/>
      <c r="UHE375" s="15"/>
      <c r="UHF375" s="10"/>
      <c r="UHG375" s="10"/>
      <c r="UHH375" s="21"/>
      <c r="UHI375" s="21"/>
      <c r="UHL375" s="21"/>
      <c r="UHM375" s="15"/>
      <c r="UHN375" s="15"/>
      <c r="UHO375" s="15"/>
      <c r="UHP375" s="15"/>
      <c r="UHQ375" s="15"/>
      <c r="UHR375" s="15"/>
      <c r="UHS375" s="15"/>
      <c r="UHT375" s="15"/>
      <c r="UHU375" s="15"/>
      <c r="UHV375" s="15"/>
      <c r="UHW375" s="10"/>
      <c r="UHX375" s="10"/>
      <c r="UHY375" s="21"/>
      <c r="UHZ375" s="21"/>
      <c r="UIC375" s="21"/>
      <c r="UID375" s="15"/>
      <c r="UIE375" s="15"/>
      <c r="UIF375" s="15"/>
      <c r="UIG375" s="15"/>
      <c r="UIH375" s="15"/>
      <c r="UII375" s="15"/>
      <c r="UIJ375" s="15"/>
      <c r="UIK375" s="15"/>
      <c r="UIL375" s="15"/>
      <c r="UIM375" s="15"/>
      <c r="UIN375" s="10"/>
      <c r="UIO375" s="10"/>
      <c r="UIP375" s="21"/>
      <c r="UIQ375" s="21"/>
      <c r="UIT375" s="21"/>
      <c r="UIU375" s="15"/>
      <c r="UIV375" s="15"/>
      <c r="UIW375" s="15"/>
      <c r="UIX375" s="15"/>
      <c r="UIY375" s="15"/>
      <c r="UIZ375" s="15"/>
      <c r="UJA375" s="15"/>
      <c r="UJB375" s="15"/>
      <c r="UJC375" s="15"/>
      <c r="UJD375" s="15"/>
      <c r="UJE375" s="10"/>
      <c r="UJF375" s="10"/>
      <c r="UJG375" s="21"/>
      <c r="UJH375" s="21"/>
      <c r="UJK375" s="21"/>
      <c r="UJL375" s="15"/>
      <c r="UJM375" s="15"/>
      <c r="UJN375" s="15"/>
      <c r="UJO375" s="15"/>
      <c r="UJP375" s="15"/>
      <c r="UJQ375" s="15"/>
      <c r="UJR375" s="15"/>
      <c r="UJS375" s="15"/>
      <c r="UJT375" s="15"/>
      <c r="UJU375" s="15"/>
      <c r="UJV375" s="10"/>
      <c r="UJW375" s="10"/>
      <c r="UJX375" s="21"/>
      <c r="UJY375" s="21"/>
      <c r="UKB375" s="21"/>
      <c r="UKC375" s="15"/>
      <c r="UKD375" s="15"/>
      <c r="UKE375" s="15"/>
      <c r="UKF375" s="15"/>
      <c r="UKG375" s="15"/>
      <c r="UKH375" s="15"/>
      <c r="UKI375" s="15"/>
      <c r="UKJ375" s="15"/>
      <c r="UKK375" s="15"/>
      <c r="UKL375" s="15"/>
      <c r="UKM375" s="10"/>
      <c r="UKN375" s="10"/>
      <c r="UKO375" s="21"/>
      <c r="UKP375" s="21"/>
      <c r="UKS375" s="21"/>
      <c r="UKT375" s="15"/>
      <c r="UKU375" s="15"/>
      <c r="UKV375" s="15"/>
      <c r="UKW375" s="15"/>
      <c r="UKX375" s="15"/>
      <c r="UKY375" s="15"/>
      <c r="UKZ375" s="15"/>
      <c r="ULA375" s="15"/>
      <c r="ULB375" s="15"/>
      <c r="ULC375" s="15"/>
      <c r="ULD375" s="10"/>
      <c r="ULE375" s="10"/>
      <c r="ULF375" s="21"/>
      <c r="ULG375" s="21"/>
      <c r="ULJ375" s="21"/>
      <c r="ULK375" s="15"/>
      <c r="ULL375" s="15"/>
      <c r="ULM375" s="15"/>
      <c r="ULN375" s="15"/>
      <c r="ULO375" s="15"/>
      <c r="ULP375" s="15"/>
      <c r="ULQ375" s="15"/>
      <c r="ULR375" s="15"/>
      <c r="ULS375" s="15"/>
      <c r="ULT375" s="15"/>
      <c r="ULU375" s="10"/>
      <c r="ULV375" s="10"/>
      <c r="ULW375" s="21"/>
      <c r="ULX375" s="21"/>
      <c r="UMA375" s="21"/>
      <c r="UMB375" s="15"/>
      <c r="UMC375" s="15"/>
      <c r="UMD375" s="15"/>
      <c r="UME375" s="15"/>
      <c r="UMF375" s="15"/>
      <c r="UMG375" s="15"/>
      <c r="UMH375" s="15"/>
      <c r="UMI375" s="15"/>
      <c r="UMJ375" s="15"/>
      <c r="UMK375" s="15"/>
      <c r="UML375" s="10"/>
      <c r="UMM375" s="10"/>
      <c r="UMN375" s="21"/>
      <c r="UMO375" s="21"/>
      <c r="UMR375" s="21"/>
      <c r="UMS375" s="15"/>
      <c r="UMT375" s="15"/>
      <c r="UMU375" s="15"/>
      <c r="UMV375" s="15"/>
      <c r="UMW375" s="15"/>
      <c r="UMX375" s="15"/>
      <c r="UMY375" s="15"/>
      <c r="UMZ375" s="15"/>
      <c r="UNA375" s="15"/>
      <c r="UNB375" s="15"/>
      <c r="UNC375" s="10"/>
      <c r="UND375" s="10"/>
      <c r="UNE375" s="21"/>
      <c r="UNF375" s="21"/>
      <c r="UNI375" s="21"/>
      <c r="UNJ375" s="15"/>
      <c r="UNK375" s="15"/>
      <c r="UNL375" s="15"/>
      <c r="UNM375" s="15"/>
      <c r="UNN375" s="15"/>
      <c r="UNO375" s="15"/>
      <c r="UNP375" s="15"/>
      <c r="UNQ375" s="15"/>
      <c r="UNR375" s="15"/>
      <c r="UNS375" s="15"/>
      <c r="UNT375" s="10"/>
      <c r="UNU375" s="10"/>
      <c r="UNV375" s="21"/>
      <c r="UNW375" s="21"/>
      <c r="UNZ375" s="21"/>
      <c r="UOA375" s="15"/>
      <c r="UOB375" s="15"/>
      <c r="UOC375" s="15"/>
      <c r="UOD375" s="15"/>
      <c r="UOE375" s="15"/>
      <c r="UOF375" s="15"/>
      <c r="UOG375" s="15"/>
      <c r="UOH375" s="15"/>
      <c r="UOI375" s="15"/>
      <c r="UOJ375" s="15"/>
      <c r="UOK375" s="10"/>
      <c r="UOL375" s="10"/>
      <c r="UOM375" s="21"/>
      <c r="UON375" s="21"/>
      <c r="UOQ375" s="21"/>
      <c r="UOR375" s="15"/>
      <c r="UOS375" s="15"/>
      <c r="UOT375" s="15"/>
      <c r="UOU375" s="15"/>
      <c r="UOV375" s="15"/>
      <c r="UOW375" s="15"/>
      <c r="UOX375" s="15"/>
      <c r="UOY375" s="15"/>
      <c r="UOZ375" s="15"/>
      <c r="UPA375" s="15"/>
      <c r="UPB375" s="10"/>
      <c r="UPC375" s="10"/>
      <c r="UPD375" s="21"/>
      <c r="UPE375" s="21"/>
      <c r="UPH375" s="21"/>
      <c r="UPI375" s="15"/>
      <c r="UPJ375" s="15"/>
      <c r="UPK375" s="15"/>
      <c r="UPL375" s="15"/>
      <c r="UPM375" s="15"/>
      <c r="UPN375" s="15"/>
      <c r="UPO375" s="15"/>
      <c r="UPP375" s="15"/>
      <c r="UPQ375" s="15"/>
      <c r="UPR375" s="15"/>
      <c r="UPS375" s="10"/>
      <c r="UPT375" s="10"/>
      <c r="UPU375" s="21"/>
      <c r="UPV375" s="21"/>
      <c r="UPY375" s="21"/>
      <c r="UPZ375" s="15"/>
      <c r="UQA375" s="15"/>
      <c r="UQB375" s="15"/>
      <c r="UQC375" s="15"/>
      <c r="UQD375" s="15"/>
      <c r="UQE375" s="15"/>
      <c r="UQF375" s="15"/>
      <c r="UQG375" s="15"/>
      <c r="UQH375" s="15"/>
      <c r="UQI375" s="15"/>
      <c r="UQJ375" s="10"/>
      <c r="UQK375" s="10"/>
      <c r="UQL375" s="21"/>
      <c r="UQM375" s="21"/>
      <c r="UQP375" s="21"/>
      <c r="UQQ375" s="15"/>
      <c r="UQR375" s="15"/>
      <c r="UQS375" s="15"/>
      <c r="UQT375" s="15"/>
      <c r="UQU375" s="15"/>
      <c r="UQV375" s="15"/>
      <c r="UQW375" s="15"/>
      <c r="UQX375" s="15"/>
      <c r="UQY375" s="15"/>
      <c r="UQZ375" s="15"/>
      <c r="URA375" s="10"/>
      <c r="URB375" s="10"/>
      <c r="URC375" s="21"/>
      <c r="URD375" s="21"/>
      <c r="URG375" s="21"/>
      <c r="URH375" s="15"/>
      <c r="URI375" s="15"/>
      <c r="URJ375" s="15"/>
      <c r="URK375" s="15"/>
      <c r="URL375" s="15"/>
      <c r="URM375" s="15"/>
      <c r="URN375" s="15"/>
      <c r="URO375" s="15"/>
      <c r="URP375" s="15"/>
      <c r="URQ375" s="15"/>
      <c r="URR375" s="10"/>
      <c r="URS375" s="10"/>
      <c r="URT375" s="21"/>
      <c r="URU375" s="21"/>
      <c r="URX375" s="21"/>
      <c r="URY375" s="15"/>
      <c r="URZ375" s="15"/>
      <c r="USA375" s="15"/>
      <c r="USB375" s="15"/>
      <c r="USC375" s="15"/>
      <c r="USD375" s="15"/>
      <c r="USE375" s="15"/>
      <c r="USF375" s="15"/>
      <c r="USG375" s="15"/>
      <c r="USH375" s="15"/>
      <c r="USI375" s="10"/>
      <c r="USJ375" s="10"/>
      <c r="USK375" s="21"/>
      <c r="USL375" s="21"/>
      <c r="USO375" s="21"/>
      <c r="USP375" s="15"/>
      <c r="USQ375" s="15"/>
      <c r="USR375" s="15"/>
      <c r="USS375" s="15"/>
      <c r="UST375" s="15"/>
      <c r="USU375" s="15"/>
      <c r="USV375" s="15"/>
      <c r="USW375" s="15"/>
      <c r="USX375" s="15"/>
      <c r="USY375" s="15"/>
      <c r="USZ375" s="10"/>
      <c r="UTA375" s="10"/>
      <c r="UTB375" s="21"/>
      <c r="UTC375" s="21"/>
      <c r="UTF375" s="21"/>
      <c r="UTG375" s="15"/>
      <c r="UTH375" s="15"/>
      <c r="UTI375" s="15"/>
      <c r="UTJ375" s="15"/>
      <c r="UTK375" s="15"/>
      <c r="UTL375" s="15"/>
      <c r="UTM375" s="15"/>
      <c r="UTN375" s="15"/>
      <c r="UTO375" s="15"/>
      <c r="UTP375" s="15"/>
      <c r="UTQ375" s="10"/>
      <c r="UTR375" s="10"/>
      <c r="UTS375" s="21"/>
      <c r="UTT375" s="21"/>
      <c r="UTW375" s="21"/>
      <c r="UTX375" s="15"/>
      <c r="UTY375" s="15"/>
      <c r="UTZ375" s="15"/>
      <c r="UUA375" s="15"/>
      <c r="UUB375" s="15"/>
      <c r="UUC375" s="15"/>
      <c r="UUD375" s="15"/>
      <c r="UUE375" s="15"/>
      <c r="UUF375" s="15"/>
      <c r="UUG375" s="15"/>
      <c r="UUH375" s="10"/>
      <c r="UUI375" s="10"/>
      <c r="UUJ375" s="21"/>
      <c r="UUK375" s="21"/>
      <c r="UUN375" s="21"/>
      <c r="UUO375" s="15"/>
      <c r="UUP375" s="15"/>
      <c r="UUQ375" s="15"/>
      <c r="UUR375" s="15"/>
      <c r="UUS375" s="15"/>
      <c r="UUT375" s="15"/>
      <c r="UUU375" s="15"/>
      <c r="UUV375" s="15"/>
      <c r="UUW375" s="15"/>
      <c r="UUX375" s="15"/>
      <c r="UUY375" s="10"/>
      <c r="UUZ375" s="10"/>
      <c r="UVA375" s="21"/>
      <c r="UVB375" s="21"/>
      <c r="UVE375" s="21"/>
      <c r="UVF375" s="15"/>
      <c r="UVG375" s="15"/>
      <c r="UVH375" s="15"/>
      <c r="UVI375" s="15"/>
      <c r="UVJ375" s="15"/>
      <c r="UVK375" s="15"/>
      <c r="UVL375" s="15"/>
      <c r="UVM375" s="15"/>
      <c r="UVN375" s="15"/>
      <c r="UVO375" s="15"/>
      <c r="UVP375" s="10"/>
      <c r="UVQ375" s="10"/>
      <c r="UVR375" s="21"/>
      <c r="UVS375" s="21"/>
      <c r="UVV375" s="21"/>
      <c r="UVW375" s="15"/>
      <c r="UVX375" s="15"/>
      <c r="UVY375" s="15"/>
      <c r="UVZ375" s="15"/>
      <c r="UWA375" s="15"/>
      <c r="UWB375" s="15"/>
      <c r="UWC375" s="15"/>
      <c r="UWD375" s="15"/>
      <c r="UWE375" s="15"/>
      <c r="UWF375" s="15"/>
      <c r="UWG375" s="10"/>
      <c r="UWH375" s="10"/>
      <c r="UWI375" s="21"/>
      <c r="UWJ375" s="21"/>
      <c r="UWM375" s="21"/>
      <c r="UWN375" s="15"/>
      <c r="UWO375" s="15"/>
      <c r="UWP375" s="15"/>
      <c r="UWQ375" s="15"/>
      <c r="UWR375" s="15"/>
      <c r="UWS375" s="15"/>
      <c r="UWT375" s="15"/>
      <c r="UWU375" s="15"/>
      <c r="UWV375" s="15"/>
      <c r="UWW375" s="15"/>
      <c r="UWX375" s="10"/>
      <c r="UWY375" s="10"/>
      <c r="UWZ375" s="21"/>
      <c r="UXA375" s="21"/>
      <c r="UXD375" s="21"/>
      <c r="UXE375" s="15"/>
      <c r="UXF375" s="15"/>
      <c r="UXG375" s="15"/>
      <c r="UXH375" s="15"/>
      <c r="UXI375" s="15"/>
      <c r="UXJ375" s="15"/>
      <c r="UXK375" s="15"/>
      <c r="UXL375" s="15"/>
      <c r="UXM375" s="15"/>
      <c r="UXN375" s="15"/>
      <c r="UXO375" s="10"/>
      <c r="UXP375" s="10"/>
      <c r="UXQ375" s="21"/>
      <c r="UXR375" s="21"/>
      <c r="UXU375" s="21"/>
      <c r="UXV375" s="15"/>
      <c r="UXW375" s="15"/>
      <c r="UXX375" s="15"/>
      <c r="UXY375" s="15"/>
      <c r="UXZ375" s="15"/>
      <c r="UYA375" s="15"/>
      <c r="UYB375" s="15"/>
      <c r="UYC375" s="15"/>
      <c r="UYD375" s="15"/>
      <c r="UYE375" s="15"/>
      <c r="UYF375" s="10"/>
      <c r="UYG375" s="10"/>
      <c r="UYH375" s="21"/>
      <c r="UYI375" s="21"/>
      <c r="UYL375" s="21"/>
      <c r="UYM375" s="15"/>
      <c r="UYN375" s="15"/>
      <c r="UYO375" s="15"/>
      <c r="UYP375" s="15"/>
      <c r="UYQ375" s="15"/>
      <c r="UYR375" s="15"/>
      <c r="UYS375" s="15"/>
      <c r="UYT375" s="15"/>
      <c r="UYU375" s="15"/>
      <c r="UYV375" s="15"/>
      <c r="UYW375" s="10"/>
      <c r="UYX375" s="10"/>
      <c r="UYY375" s="21"/>
      <c r="UYZ375" s="21"/>
      <c r="UZC375" s="21"/>
      <c r="UZD375" s="15"/>
      <c r="UZE375" s="15"/>
      <c r="UZF375" s="15"/>
      <c r="UZG375" s="15"/>
      <c r="UZH375" s="15"/>
      <c r="UZI375" s="15"/>
      <c r="UZJ375" s="15"/>
      <c r="UZK375" s="15"/>
      <c r="UZL375" s="15"/>
      <c r="UZM375" s="15"/>
      <c r="UZN375" s="10"/>
      <c r="UZO375" s="10"/>
      <c r="UZP375" s="21"/>
      <c r="UZQ375" s="21"/>
      <c r="UZT375" s="21"/>
      <c r="UZU375" s="15"/>
      <c r="UZV375" s="15"/>
      <c r="UZW375" s="15"/>
      <c r="UZX375" s="15"/>
      <c r="UZY375" s="15"/>
      <c r="UZZ375" s="15"/>
      <c r="VAA375" s="15"/>
      <c r="VAB375" s="15"/>
      <c r="VAC375" s="15"/>
      <c r="VAD375" s="15"/>
      <c r="VAE375" s="10"/>
      <c r="VAF375" s="10"/>
      <c r="VAG375" s="21"/>
      <c r="VAH375" s="21"/>
      <c r="VAK375" s="21"/>
      <c r="VAL375" s="15"/>
      <c r="VAM375" s="15"/>
      <c r="VAN375" s="15"/>
      <c r="VAO375" s="15"/>
      <c r="VAP375" s="15"/>
      <c r="VAQ375" s="15"/>
      <c r="VAR375" s="15"/>
      <c r="VAS375" s="15"/>
      <c r="VAT375" s="15"/>
      <c r="VAU375" s="15"/>
      <c r="VAV375" s="10"/>
      <c r="VAW375" s="10"/>
      <c r="VAX375" s="21"/>
      <c r="VAY375" s="21"/>
      <c r="VBB375" s="21"/>
      <c r="VBC375" s="15"/>
      <c r="VBD375" s="15"/>
      <c r="VBE375" s="15"/>
      <c r="VBF375" s="15"/>
      <c r="VBG375" s="15"/>
      <c r="VBH375" s="15"/>
      <c r="VBI375" s="15"/>
      <c r="VBJ375" s="15"/>
      <c r="VBK375" s="15"/>
      <c r="VBL375" s="15"/>
      <c r="VBM375" s="10"/>
      <c r="VBN375" s="10"/>
      <c r="VBO375" s="21"/>
      <c r="VBP375" s="21"/>
      <c r="VBS375" s="21"/>
      <c r="VBT375" s="15"/>
      <c r="VBU375" s="15"/>
      <c r="VBV375" s="15"/>
      <c r="VBW375" s="15"/>
      <c r="VBX375" s="15"/>
      <c r="VBY375" s="15"/>
      <c r="VBZ375" s="15"/>
      <c r="VCA375" s="15"/>
      <c r="VCB375" s="15"/>
      <c r="VCC375" s="15"/>
      <c r="VCD375" s="10"/>
      <c r="VCE375" s="10"/>
      <c r="VCF375" s="21"/>
      <c r="VCG375" s="21"/>
      <c r="VCJ375" s="21"/>
      <c r="VCK375" s="15"/>
      <c r="VCL375" s="15"/>
      <c r="VCM375" s="15"/>
      <c r="VCN375" s="15"/>
      <c r="VCO375" s="15"/>
      <c r="VCP375" s="15"/>
      <c r="VCQ375" s="15"/>
      <c r="VCR375" s="15"/>
      <c r="VCS375" s="15"/>
      <c r="VCT375" s="15"/>
      <c r="VCU375" s="10"/>
      <c r="VCV375" s="10"/>
      <c r="VCW375" s="21"/>
      <c r="VCX375" s="21"/>
      <c r="VDA375" s="21"/>
      <c r="VDB375" s="15"/>
      <c r="VDC375" s="15"/>
      <c r="VDD375" s="15"/>
      <c r="VDE375" s="15"/>
      <c r="VDF375" s="15"/>
      <c r="VDG375" s="15"/>
      <c r="VDH375" s="15"/>
      <c r="VDI375" s="15"/>
      <c r="VDJ375" s="15"/>
      <c r="VDK375" s="15"/>
      <c r="VDL375" s="10"/>
      <c r="VDM375" s="10"/>
      <c r="VDN375" s="21"/>
      <c r="VDO375" s="21"/>
      <c r="VDR375" s="21"/>
      <c r="VDS375" s="15"/>
      <c r="VDT375" s="15"/>
      <c r="VDU375" s="15"/>
      <c r="VDV375" s="15"/>
      <c r="VDW375" s="15"/>
      <c r="VDX375" s="15"/>
      <c r="VDY375" s="15"/>
      <c r="VDZ375" s="15"/>
      <c r="VEA375" s="15"/>
      <c r="VEB375" s="15"/>
      <c r="VEC375" s="10"/>
      <c r="VED375" s="10"/>
      <c r="VEE375" s="21"/>
      <c r="VEF375" s="21"/>
      <c r="VEI375" s="21"/>
      <c r="VEJ375" s="15"/>
      <c r="VEK375" s="15"/>
      <c r="VEL375" s="15"/>
      <c r="VEM375" s="15"/>
      <c r="VEN375" s="15"/>
      <c r="VEO375" s="15"/>
      <c r="VEP375" s="15"/>
      <c r="VEQ375" s="15"/>
      <c r="VER375" s="15"/>
      <c r="VES375" s="15"/>
      <c r="VET375" s="10"/>
      <c r="VEU375" s="10"/>
      <c r="VEV375" s="21"/>
      <c r="VEW375" s="21"/>
      <c r="VEZ375" s="21"/>
      <c r="VFA375" s="15"/>
      <c r="VFB375" s="15"/>
      <c r="VFC375" s="15"/>
      <c r="VFD375" s="15"/>
      <c r="VFE375" s="15"/>
      <c r="VFF375" s="15"/>
      <c r="VFG375" s="15"/>
      <c r="VFH375" s="15"/>
      <c r="VFI375" s="15"/>
      <c r="VFJ375" s="15"/>
      <c r="VFK375" s="10"/>
      <c r="VFL375" s="10"/>
      <c r="VFM375" s="21"/>
      <c r="VFN375" s="21"/>
      <c r="VFQ375" s="21"/>
      <c r="VFR375" s="15"/>
      <c r="VFS375" s="15"/>
      <c r="VFT375" s="15"/>
      <c r="VFU375" s="15"/>
      <c r="VFV375" s="15"/>
      <c r="VFW375" s="15"/>
      <c r="VFX375" s="15"/>
      <c r="VFY375" s="15"/>
      <c r="VFZ375" s="15"/>
      <c r="VGA375" s="15"/>
      <c r="VGB375" s="10"/>
      <c r="VGC375" s="10"/>
      <c r="VGD375" s="21"/>
      <c r="VGE375" s="21"/>
      <c r="VGH375" s="21"/>
      <c r="VGI375" s="15"/>
      <c r="VGJ375" s="15"/>
      <c r="VGK375" s="15"/>
      <c r="VGL375" s="15"/>
      <c r="VGM375" s="15"/>
      <c r="VGN375" s="15"/>
      <c r="VGO375" s="15"/>
      <c r="VGP375" s="15"/>
      <c r="VGQ375" s="15"/>
      <c r="VGR375" s="15"/>
      <c r="VGS375" s="10"/>
      <c r="VGT375" s="10"/>
      <c r="VGU375" s="21"/>
      <c r="VGV375" s="21"/>
      <c r="VGY375" s="21"/>
      <c r="VGZ375" s="15"/>
      <c r="VHA375" s="15"/>
      <c r="VHB375" s="15"/>
      <c r="VHC375" s="15"/>
      <c r="VHD375" s="15"/>
      <c r="VHE375" s="15"/>
      <c r="VHF375" s="15"/>
      <c r="VHG375" s="15"/>
      <c r="VHH375" s="15"/>
      <c r="VHI375" s="15"/>
      <c r="VHJ375" s="10"/>
      <c r="VHK375" s="10"/>
      <c r="VHL375" s="21"/>
      <c r="VHM375" s="21"/>
      <c r="VHP375" s="21"/>
      <c r="VHQ375" s="15"/>
      <c r="VHR375" s="15"/>
      <c r="VHS375" s="15"/>
      <c r="VHT375" s="15"/>
      <c r="VHU375" s="15"/>
      <c r="VHV375" s="15"/>
      <c r="VHW375" s="15"/>
      <c r="VHX375" s="15"/>
      <c r="VHY375" s="15"/>
      <c r="VHZ375" s="15"/>
      <c r="VIA375" s="10"/>
      <c r="VIB375" s="10"/>
      <c r="VIC375" s="21"/>
      <c r="VID375" s="21"/>
      <c r="VIG375" s="21"/>
      <c r="VIH375" s="15"/>
      <c r="VII375" s="15"/>
      <c r="VIJ375" s="15"/>
      <c r="VIK375" s="15"/>
      <c r="VIL375" s="15"/>
      <c r="VIM375" s="15"/>
      <c r="VIN375" s="15"/>
      <c r="VIO375" s="15"/>
      <c r="VIP375" s="15"/>
      <c r="VIQ375" s="15"/>
      <c r="VIR375" s="10"/>
      <c r="VIS375" s="10"/>
      <c r="VIT375" s="21"/>
      <c r="VIU375" s="21"/>
      <c r="VIX375" s="21"/>
      <c r="VIY375" s="15"/>
      <c r="VIZ375" s="15"/>
      <c r="VJA375" s="15"/>
      <c r="VJB375" s="15"/>
      <c r="VJC375" s="15"/>
      <c r="VJD375" s="15"/>
      <c r="VJE375" s="15"/>
      <c r="VJF375" s="15"/>
      <c r="VJG375" s="15"/>
      <c r="VJH375" s="15"/>
      <c r="VJI375" s="10"/>
      <c r="VJJ375" s="10"/>
      <c r="VJK375" s="21"/>
      <c r="VJL375" s="21"/>
      <c r="VJO375" s="21"/>
      <c r="VJP375" s="15"/>
      <c r="VJQ375" s="15"/>
      <c r="VJR375" s="15"/>
      <c r="VJS375" s="15"/>
      <c r="VJT375" s="15"/>
      <c r="VJU375" s="15"/>
      <c r="VJV375" s="15"/>
      <c r="VJW375" s="15"/>
      <c r="VJX375" s="15"/>
      <c r="VJY375" s="15"/>
      <c r="VJZ375" s="10"/>
      <c r="VKA375" s="10"/>
      <c r="VKB375" s="21"/>
      <c r="VKC375" s="21"/>
      <c r="VKF375" s="21"/>
      <c r="VKG375" s="15"/>
      <c r="VKH375" s="15"/>
      <c r="VKI375" s="15"/>
      <c r="VKJ375" s="15"/>
      <c r="VKK375" s="15"/>
      <c r="VKL375" s="15"/>
      <c r="VKM375" s="15"/>
      <c r="VKN375" s="15"/>
      <c r="VKO375" s="15"/>
      <c r="VKP375" s="15"/>
      <c r="VKQ375" s="10"/>
      <c r="VKR375" s="10"/>
      <c r="VKS375" s="21"/>
      <c r="VKT375" s="21"/>
      <c r="VKW375" s="21"/>
      <c r="VKX375" s="15"/>
      <c r="VKY375" s="15"/>
      <c r="VKZ375" s="15"/>
      <c r="VLA375" s="15"/>
      <c r="VLB375" s="15"/>
      <c r="VLC375" s="15"/>
      <c r="VLD375" s="15"/>
      <c r="VLE375" s="15"/>
      <c r="VLF375" s="15"/>
      <c r="VLG375" s="15"/>
      <c r="VLH375" s="10"/>
      <c r="VLI375" s="10"/>
      <c r="VLJ375" s="21"/>
      <c r="VLK375" s="21"/>
      <c r="VLN375" s="21"/>
      <c r="VLO375" s="15"/>
      <c r="VLP375" s="15"/>
      <c r="VLQ375" s="15"/>
      <c r="VLR375" s="15"/>
      <c r="VLS375" s="15"/>
      <c r="VLT375" s="15"/>
      <c r="VLU375" s="15"/>
      <c r="VLV375" s="15"/>
      <c r="VLW375" s="15"/>
      <c r="VLX375" s="15"/>
      <c r="VLY375" s="10"/>
      <c r="VLZ375" s="10"/>
      <c r="VMA375" s="21"/>
      <c r="VMB375" s="21"/>
      <c r="VME375" s="21"/>
      <c r="VMF375" s="15"/>
      <c r="VMG375" s="15"/>
      <c r="VMH375" s="15"/>
      <c r="VMI375" s="15"/>
      <c r="VMJ375" s="15"/>
      <c r="VMK375" s="15"/>
      <c r="VML375" s="15"/>
      <c r="VMM375" s="15"/>
      <c r="VMN375" s="15"/>
      <c r="VMO375" s="15"/>
      <c r="VMP375" s="10"/>
      <c r="VMQ375" s="10"/>
      <c r="VMR375" s="21"/>
      <c r="VMS375" s="21"/>
      <c r="VMV375" s="21"/>
      <c r="VMW375" s="15"/>
      <c r="VMX375" s="15"/>
      <c r="VMY375" s="15"/>
      <c r="VMZ375" s="15"/>
      <c r="VNA375" s="15"/>
      <c r="VNB375" s="15"/>
      <c r="VNC375" s="15"/>
      <c r="VND375" s="15"/>
      <c r="VNE375" s="15"/>
      <c r="VNF375" s="15"/>
      <c r="VNG375" s="10"/>
      <c r="VNH375" s="10"/>
      <c r="VNI375" s="21"/>
      <c r="VNJ375" s="21"/>
      <c r="VNM375" s="21"/>
      <c r="VNN375" s="15"/>
      <c r="VNO375" s="15"/>
      <c r="VNP375" s="15"/>
      <c r="VNQ375" s="15"/>
      <c r="VNR375" s="15"/>
      <c r="VNS375" s="15"/>
      <c r="VNT375" s="15"/>
      <c r="VNU375" s="15"/>
      <c r="VNV375" s="15"/>
      <c r="VNW375" s="15"/>
      <c r="VNX375" s="10"/>
      <c r="VNY375" s="10"/>
      <c r="VNZ375" s="21"/>
      <c r="VOA375" s="21"/>
      <c r="VOD375" s="21"/>
      <c r="VOE375" s="15"/>
      <c r="VOF375" s="15"/>
      <c r="VOG375" s="15"/>
      <c r="VOH375" s="15"/>
      <c r="VOI375" s="15"/>
      <c r="VOJ375" s="15"/>
      <c r="VOK375" s="15"/>
      <c r="VOL375" s="15"/>
      <c r="VOM375" s="15"/>
      <c r="VON375" s="15"/>
      <c r="VOO375" s="10"/>
      <c r="VOP375" s="10"/>
      <c r="VOQ375" s="21"/>
      <c r="VOR375" s="21"/>
      <c r="VOU375" s="21"/>
      <c r="VOV375" s="15"/>
      <c r="VOW375" s="15"/>
      <c r="VOX375" s="15"/>
      <c r="VOY375" s="15"/>
      <c r="VOZ375" s="15"/>
      <c r="VPA375" s="15"/>
      <c r="VPB375" s="15"/>
      <c r="VPC375" s="15"/>
      <c r="VPD375" s="15"/>
      <c r="VPE375" s="15"/>
      <c r="VPF375" s="10"/>
      <c r="VPG375" s="10"/>
      <c r="VPH375" s="21"/>
      <c r="VPI375" s="21"/>
      <c r="VPL375" s="21"/>
      <c r="VPM375" s="15"/>
      <c r="VPN375" s="15"/>
      <c r="VPO375" s="15"/>
      <c r="VPP375" s="15"/>
      <c r="VPQ375" s="15"/>
      <c r="VPR375" s="15"/>
      <c r="VPS375" s="15"/>
      <c r="VPT375" s="15"/>
      <c r="VPU375" s="15"/>
      <c r="VPV375" s="15"/>
      <c r="VPW375" s="10"/>
      <c r="VPX375" s="10"/>
      <c r="VPY375" s="21"/>
      <c r="VPZ375" s="21"/>
      <c r="VQC375" s="21"/>
      <c r="VQD375" s="15"/>
      <c r="VQE375" s="15"/>
      <c r="VQF375" s="15"/>
      <c r="VQG375" s="15"/>
      <c r="VQH375" s="15"/>
      <c r="VQI375" s="15"/>
      <c r="VQJ375" s="15"/>
      <c r="VQK375" s="15"/>
      <c r="VQL375" s="15"/>
      <c r="VQM375" s="15"/>
      <c r="VQN375" s="10"/>
      <c r="VQO375" s="10"/>
      <c r="VQP375" s="21"/>
      <c r="VQQ375" s="21"/>
      <c r="VQT375" s="21"/>
      <c r="VQU375" s="15"/>
      <c r="VQV375" s="15"/>
      <c r="VQW375" s="15"/>
      <c r="VQX375" s="15"/>
      <c r="VQY375" s="15"/>
      <c r="VQZ375" s="15"/>
      <c r="VRA375" s="15"/>
      <c r="VRB375" s="15"/>
      <c r="VRC375" s="15"/>
      <c r="VRD375" s="15"/>
      <c r="VRE375" s="10"/>
      <c r="VRF375" s="10"/>
      <c r="VRG375" s="21"/>
      <c r="VRH375" s="21"/>
      <c r="VRK375" s="21"/>
      <c r="VRL375" s="15"/>
      <c r="VRM375" s="15"/>
      <c r="VRN375" s="15"/>
      <c r="VRO375" s="15"/>
      <c r="VRP375" s="15"/>
      <c r="VRQ375" s="15"/>
      <c r="VRR375" s="15"/>
      <c r="VRS375" s="15"/>
      <c r="VRT375" s="15"/>
      <c r="VRU375" s="15"/>
      <c r="VRV375" s="10"/>
      <c r="VRW375" s="10"/>
      <c r="VRX375" s="21"/>
      <c r="VRY375" s="21"/>
      <c r="VSB375" s="21"/>
      <c r="VSC375" s="15"/>
      <c r="VSD375" s="15"/>
      <c r="VSE375" s="15"/>
      <c r="VSF375" s="15"/>
      <c r="VSG375" s="15"/>
      <c r="VSH375" s="15"/>
      <c r="VSI375" s="15"/>
      <c r="VSJ375" s="15"/>
      <c r="VSK375" s="15"/>
      <c r="VSL375" s="15"/>
      <c r="VSM375" s="10"/>
      <c r="VSN375" s="10"/>
      <c r="VSO375" s="21"/>
      <c r="VSP375" s="21"/>
      <c r="VSS375" s="21"/>
      <c r="VST375" s="15"/>
      <c r="VSU375" s="15"/>
      <c r="VSV375" s="15"/>
      <c r="VSW375" s="15"/>
      <c r="VSX375" s="15"/>
      <c r="VSY375" s="15"/>
      <c r="VSZ375" s="15"/>
      <c r="VTA375" s="15"/>
      <c r="VTB375" s="15"/>
      <c r="VTC375" s="15"/>
      <c r="VTD375" s="10"/>
      <c r="VTE375" s="10"/>
      <c r="VTF375" s="21"/>
      <c r="VTG375" s="21"/>
      <c r="VTJ375" s="21"/>
      <c r="VTK375" s="15"/>
      <c r="VTL375" s="15"/>
      <c r="VTM375" s="15"/>
      <c r="VTN375" s="15"/>
      <c r="VTO375" s="15"/>
      <c r="VTP375" s="15"/>
      <c r="VTQ375" s="15"/>
      <c r="VTR375" s="15"/>
      <c r="VTS375" s="15"/>
      <c r="VTT375" s="15"/>
      <c r="VTU375" s="10"/>
      <c r="VTV375" s="10"/>
      <c r="VTW375" s="21"/>
      <c r="VTX375" s="21"/>
      <c r="VUA375" s="21"/>
      <c r="VUB375" s="15"/>
      <c r="VUC375" s="15"/>
      <c r="VUD375" s="15"/>
      <c r="VUE375" s="15"/>
      <c r="VUF375" s="15"/>
      <c r="VUG375" s="15"/>
      <c r="VUH375" s="15"/>
      <c r="VUI375" s="15"/>
      <c r="VUJ375" s="15"/>
      <c r="VUK375" s="15"/>
      <c r="VUL375" s="10"/>
      <c r="VUM375" s="10"/>
      <c r="VUN375" s="21"/>
      <c r="VUO375" s="21"/>
      <c r="VUR375" s="21"/>
      <c r="VUS375" s="15"/>
      <c r="VUT375" s="15"/>
      <c r="VUU375" s="15"/>
      <c r="VUV375" s="15"/>
      <c r="VUW375" s="15"/>
      <c r="VUX375" s="15"/>
      <c r="VUY375" s="15"/>
      <c r="VUZ375" s="15"/>
      <c r="VVA375" s="15"/>
      <c r="VVB375" s="15"/>
      <c r="VVC375" s="10"/>
      <c r="VVD375" s="10"/>
      <c r="VVE375" s="21"/>
      <c r="VVF375" s="21"/>
      <c r="VVI375" s="21"/>
      <c r="VVJ375" s="15"/>
      <c r="VVK375" s="15"/>
      <c r="VVL375" s="15"/>
      <c r="VVM375" s="15"/>
      <c r="VVN375" s="15"/>
      <c r="VVO375" s="15"/>
      <c r="VVP375" s="15"/>
      <c r="VVQ375" s="15"/>
      <c r="VVR375" s="15"/>
      <c r="VVS375" s="15"/>
      <c r="VVT375" s="10"/>
      <c r="VVU375" s="10"/>
      <c r="VVV375" s="21"/>
      <c r="VVW375" s="21"/>
      <c r="VVZ375" s="21"/>
      <c r="VWA375" s="15"/>
      <c r="VWB375" s="15"/>
      <c r="VWC375" s="15"/>
      <c r="VWD375" s="15"/>
      <c r="VWE375" s="15"/>
      <c r="VWF375" s="15"/>
      <c r="VWG375" s="15"/>
      <c r="VWH375" s="15"/>
      <c r="VWI375" s="15"/>
      <c r="VWJ375" s="15"/>
      <c r="VWK375" s="10"/>
      <c r="VWL375" s="10"/>
      <c r="VWM375" s="21"/>
      <c r="VWN375" s="21"/>
      <c r="VWQ375" s="21"/>
      <c r="VWR375" s="15"/>
      <c r="VWS375" s="15"/>
      <c r="VWT375" s="15"/>
      <c r="VWU375" s="15"/>
      <c r="VWV375" s="15"/>
      <c r="VWW375" s="15"/>
      <c r="VWX375" s="15"/>
      <c r="VWY375" s="15"/>
      <c r="VWZ375" s="15"/>
      <c r="VXA375" s="15"/>
      <c r="VXB375" s="10"/>
      <c r="VXC375" s="10"/>
      <c r="VXD375" s="21"/>
      <c r="VXE375" s="21"/>
      <c r="VXH375" s="21"/>
      <c r="VXI375" s="15"/>
      <c r="VXJ375" s="15"/>
      <c r="VXK375" s="15"/>
      <c r="VXL375" s="15"/>
      <c r="VXM375" s="15"/>
      <c r="VXN375" s="15"/>
      <c r="VXO375" s="15"/>
      <c r="VXP375" s="15"/>
      <c r="VXQ375" s="15"/>
      <c r="VXR375" s="15"/>
      <c r="VXS375" s="10"/>
      <c r="VXT375" s="10"/>
      <c r="VXU375" s="21"/>
      <c r="VXV375" s="21"/>
      <c r="VXY375" s="21"/>
      <c r="VXZ375" s="15"/>
      <c r="VYA375" s="15"/>
      <c r="VYB375" s="15"/>
      <c r="VYC375" s="15"/>
      <c r="VYD375" s="15"/>
      <c r="VYE375" s="15"/>
      <c r="VYF375" s="15"/>
      <c r="VYG375" s="15"/>
      <c r="VYH375" s="15"/>
      <c r="VYI375" s="15"/>
      <c r="VYJ375" s="10"/>
      <c r="VYK375" s="10"/>
      <c r="VYL375" s="21"/>
      <c r="VYM375" s="21"/>
      <c r="VYP375" s="21"/>
      <c r="VYQ375" s="15"/>
      <c r="VYR375" s="15"/>
      <c r="VYS375" s="15"/>
      <c r="VYT375" s="15"/>
      <c r="VYU375" s="15"/>
      <c r="VYV375" s="15"/>
      <c r="VYW375" s="15"/>
      <c r="VYX375" s="15"/>
      <c r="VYY375" s="15"/>
      <c r="VYZ375" s="15"/>
      <c r="VZA375" s="10"/>
      <c r="VZB375" s="10"/>
      <c r="VZC375" s="21"/>
      <c r="VZD375" s="21"/>
      <c r="VZG375" s="21"/>
      <c r="VZH375" s="15"/>
      <c r="VZI375" s="15"/>
      <c r="VZJ375" s="15"/>
      <c r="VZK375" s="15"/>
      <c r="VZL375" s="15"/>
      <c r="VZM375" s="15"/>
      <c r="VZN375" s="15"/>
      <c r="VZO375" s="15"/>
      <c r="VZP375" s="15"/>
      <c r="VZQ375" s="15"/>
      <c r="VZR375" s="10"/>
      <c r="VZS375" s="10"/>
      <c r="VZT375" s="21"/>
      <c r="VZU375" s="21"/>
      <c r="VZX375" s="21"/>
      <c r="VZY375" s="15"/>
      <c r="VZZ375" s="15"/>
      <c r="WAA375" s="15"/>
      <c r="WAB375" s="15"/>
      <c r="WAC375" s="15"/>
      <c r="WAD375" s="15"/>
      <c r="WAE375" s="15"/>
      <c r="WAF375" s="15"/>
      <c r="WAG375" s="15"/>
      <c r="WAH375" s="15"/>
      <c r="WAI375" s="10"/>
      <c r="WAJ375" s="10"/>
      <c r="WAK375" s="21"/>
      <c r="WAL375" s="21"/>
      <c r="WAO375" s="21"/>
      <c r="WAP375" s="15"/>
      <c r="WAQ375" s="15"/>
      <c r="WAR375" s="15"/>
      <c r="WAS375" s="15"/>
      <c r="WAT375" s="15"/>
      <c r="WAU375" s="15"/>
      <c r="WAV375" s="15"/>
      <c r="WAW375" s="15"/>
      <c r="WAX375" s="15"/>
      <c r="WAY375" s="15"/>
      <c r="WAZ375" s="10"/>
      <c r="WBA375" s="10"/>
      <c r="WBB375" s="21"/>
      <c r="WBC375" s="21"/>
      <c r="WBF375" s="21"/>
      <c r="WBG375" s="15"/>
      <c r="WBH375" s="15"/>
      <c r="WBI375" s="15"/>
      <c r="WBJ375" s="15"/>
      <c r="WBK375" s="15"/>
      <c r="WBL375" s="15"/>
      <c r="WBM375" s="15"/>
      <c r="WBN375" s="15"/>
      <c r="WBO375" s="15"/>
      <c r="WBP375" s="15"/>
      <c r="WBQ375" s="10"/>
      <c r="WBR375" s="10"/>
      <c r="WBS375" s="21"/>
      <c r="WBT375" s="21"/>
      <c r="WBW375" s="21"/>
      <c r="WBX375" s="15"/>
      <c r="WBY375" s="15"/>
      <c r="WBZ375" s="15"/>
      <c r="WCA375" s="15"/>
      <c r="WCB375" s="15"/>
      <c r="WCC375" s="15"/>
      <c r="WCD375" s="15"/>
      <c r="WCE375" s="15"/>
      <c r="WCF375" s="15"/>
      <c r="WCG375" s="15"/>
      <c r="WCH375" s="10"/>
      <c r="WCI375" s="10"/>
      <c r="WCJ375" s="21"/>
      <c r="WCK375" s="21"/>
      <c r="WCN375" s="21"/>
      <c r="WCO375" s="15"/>
      <c r="WCP375" s="15"/>
      <c r="WCQ375" s="15"/>
      <c r="WCR375" s="15"/>
      <c r="WCS375" s="15"/>
      <c r="WCT375" s="15"/>
      <c r="WCU375" s="15"/>
      <c r="WCV375" s="15"/>
      <c r="WCW375" s="15"/>
      <c r="WCX375" s="15"/>
      <c r="WCY375" s="10"/>
      <c r="WCZ375" s="10"/>
      <c r="WDA375" s="21"/>
      <c r="WDB375" s="21"/>
      <c r="WDE375" s="21"/>
      <c r="WDF375" s="15"/>
      <c r="WDG375" s="15"/>
      <c r="WDH375" s="15"/>
      <c r="WDI375" s="15"/>
      <c r="WDJ375" s="15"/>
      <c r="WDK375" s="15"/>
      <c r="WDL375" s="15"/>
      <c r="WDM375" s="15"/>
      <c r="WDN375" s="15"/>
      <c r="WDO375" s="15"/>
      <c r="WDP375" s="10"/>
      <c r="WDQ375" s="10"/>
      <c r="WDR375" s="21"/>
      <c r="WDS375" s="21"/>
      <c r="WDV375" s="21"/>
      <c r="WDW375" s="15"/>
      <c r="WDX375" s="15"/>
      <c r="WDY375" s="15"/>
      <c r="WDZ375" s="15"/>
      <c r="WEA375" s="15"/>
      <c r="WEB375" s="15"/>
      <c r="WEC375" s="15"/>
      <c r="WED375" s="15"/>
      <c r="WEE375" s="15"/>
      <c r="WEF375" s="15"/>
      <c r="WEG375" s="10"/>
      <c r="WEH375" s="10"/>
      <c r="WEI375" s="21"/>
      <c r="WEJ375" s="21"/>
      <c r="WEM375" s="21"/>
      <c r="WEN375" s="15"/>
      <c r="WEO375" s="15"/>
      <c r="WEP375" s="15"/>
      <c r="WEQ375" s="15"/>
      <c r="WER375" s="15"/>
      <c r="WES375" s="15"/>
      <c r="WET375" s="15"/>
      <c r="WEU375" s="15"/>
      <c r="WEV375" s="15"/>
      <c r="WEW375" s="15"/>
      <c r="WEX375" s="10"/>
      <c r="WEY375" s="10"/>
      <c r="WEZ375" s="21"/>
      <c r="WFA375" s="21"/>
      <c r="WFD375" s="21"/>
      <c r="WFE375" s="15"/>
      <c r="WFF375" s="15"/>
      <c r="WFG375" s="15"/>
      <c r="WFH375" s="15"/>
      <c r="WFI375" s="15"/>
      <c r="WFJ375" s="15"/>
      <c r="WFK375" s="15"/>
      <c r="WFL375" s="15"/>
      <c r="WFM375" s="15"/>
      <c r="WFN375" s="15"/>
      <c r="WFO375" s="10"/>
      <c r="WFP375" s="10"/>
      <c r="WFQ375" s="21"/>
      <c r="WFR375" s="21"/>
      <c r="WFU375" s="21"/>
      <c r="WFV375" s="15"/>
      <c r="WFW375" s="15"/>
      <c r="WFX375" s="15"/>
      <c r="WFY375" s="15"/>
      <c r="WFZ375" s="15"/>
      <c r="WGA375" s="15"/>
      <c r="WGB375" s="15"/>
      <c r="WGC375" s="15"/>
      <c r="WGD375" s="15"/>
      <c r="WGE375" s="15"/>
      <c r="WGF375" s="10"/>
      <c r="WGG375" s="10"/>
      <c r="WGH375" s="21"/>
      <c r="WGI375" s="21"/>
      <c r="WGL375" s="21"/>
      <c r="WGM375" s="15"/>
      <c r="WGN375" s="15"/>
      <c r="WGO375" s="15"/>
      <c r="WGP375" s="15"/>
      <c r="WGQ375" s="15"/>
      <c r="WGR375" s="15"/>
      <c r="WGS375" s="15"/>
      <c r="WGT375" s="15"/>
      <c r="WGU375" s="15"/>
      <c r="WGV375" s="15"/>
      <c r="WGW375" s="10"/>
      <c r="WGX375" s="10"/>
      <c r="WGY375" s="21"/>
      <c r="WGZ375" s="21"/>
      <c r="WHC375" s="21"/>
      <c r="WHD375" s="15"/>
      <c r="WHE375" s="15"/>
      <c r="WHF375" s="15"/>
      <c r="WHG375" s="15"/>
      <c r="WHH375" s="15"/>
      <c r="WHI375" s="15"/>
      <c r="WHJ375" s="15"/>
      <c r="WHK375" s="15"/>
      <c r="WHL375" s="15"/>
      <c r="WHM375" s="15"/>
      <c r="WHN375" s="10"/>
      <c r="WHO375" s="10"/>
      <c r="WHP375" s="21"/>
      <c r="WHQ375" s="21"/>
      <c r="WHT375" s="21"/>
      <c r="WHU375" s="15"/>
      <c r="WHV375" s="15"/>
      <c r="WHW375" s="15"/>
      <c r="WHX375" s="15"/>
      <c r="WHY375" s="15"/>
      <c r="WHZ375" s="15"/>
      <c r="WIA375" s="15"/>
      <c r="WIB375" s="15"/>
      <c r="WIC375" s="15"/>
      <c r="WID375" s="15"/>
      <c r="WIE375" s="10"/>
      <c r="WIF375" s="10"/>
      <c r="WIG375" s="21"/>
      <c r="WIH375" s="21"/>
      <c r="WIK375" s="21"/>
      <c r="WIL375" s="15"/>
      <c r="WIM375" s="15"/>
      <c r="WIN375" s="15"/>
      <c r="WIO375" s="15"/>
      <c r="WIP375" s="15"/>
      <c r="WIQ375" s="15"/>
      <c r="WIR375" s="15"/>
      <c r="WIS375" s="15"/>
      <c r="WIT375" s="15"/>
      <c r="WIU375" s="15"/>
      <c r="WIV375" s="10"/>
      <c r="WIW375" s="10"/>
      <c r="WIX375" s="21"/>
      <c r="WIY375" s="21"/>
      <c r="WJB375" s="21"/>
      <c r="WJC375" s="15"/>
      <c r="WJD375" s="15"/>
      <c r="WJE375" s="15"/>
      <c r="WJF375" s="15"/>
      <c r="WJG375" s="15"/>
      <c r="WJH375" s="15"/>
      <c r="WJI375" s="15"/>
      <c r="WJJ375" s="15"/>
      <c r="WJK375" s="15"/>
      <c r="WJL375" s="15"/>
      <c r="WJM375" s="10"/>
      <c r="WJN375" s="10"/>
      <c r="WJO375" s="21"/>
      <c r="WJP375" s="21"/>
      <c r="WJS375" s="21"/>
      <c r="WJT375" s="15"/>
      <c r="WJU375" s="15"/>
      <c r="WJV375" s="15"/>
      <c r="WJW375" s="15"/>
      <c r="WJX375" s="15"/>
      <c r="WJY375" s="15"/>
      <c r="WJZ375" s="15"/>
      <c r="WKA375" s="15"/>
      <c r="WKB375" s="15"/>
      <c r="WKC375" s="15"/>
      <c r="WKD375" s="10"/>
      <c r="WKE375" s="10"/>
      <c r="WKF375" s="21"/>
      <c r="WKG375" s="21"/>
      <c r="WKJ375" s="21"/>
      <c r="WKK375" s="15"/>
      <c r="WKL375" s="15"/>
      <c r="WKM375" s="15"/>
      <c r="WKN375" s="15"/>
      <c r="WKO375" s="15"/>
      <c r="WKP375" s="15"/>
      <c r="WKQ375" s="15"/>
      <c r="WKR375" s="15"/>
      <c r="WKS375" s="15"/>
      <c r="WKT375" s="15"/>
      <c r="WKU375" s="10"/>
      <c r="WKV375" s="10"/>
      <c r="WKW375" s="21"/>
      <c r="WKX375" s="21"/>
      <c r="WLA375" s="21"/>
      <c r="WLB375" s="15"/>
      <c r="WLC375" s="15"/>
      <c r="WLD375" s="15"/>
      <c r="WLE375" s="15"/>
      <c r="WLF375" s="15"/>
      <c r="WLG375" s="15"/>
      <c r="WLH375" s="15"/>
      <c r="WLI375" s="15"/>
      <c r="WLJ375" s="15"/>
      <c r="WLK375" s="15"/>
      <c r="WLL375" s="10"/>
      <c r="WLM375" s="10"/>
      <c r="WLN375" s="21"/>
      <c r="WLO375" s="21"/>
      <c r="WLR375" s="21"/>
      <c r="WLS375" s="15"/>
      <c r="WLT375" s="15"/>
      <c r="WLU375" s="15"/>
      <c r="WLV375" s="15"/>
      <c r="WLW375" s="15"/>
      <c r="WLX375" s="15"/>
      <c r="WLY375" s="15"/>
      <c r="WLZ375" s="15"/>
      <c r="WMA375" s="15"/>
      <c r="WMB375" s="15"/>
      <c r="WMC375" s="10"/>
      <c r="WMD375" s="10"/>
      <c r="WME375" s="21"/>
      <c r="WMF375" s="21"/>
      <c r="WMI375" s="21"/>
      <c r="WMJ375" s="15"/>
      <c r="WMK375" s="15"/>
      <c r="WML375" s="15"/>
      <c r="WMM375" s="15"/>
      <c r="WMN375" s="15"/>
      <c r="WMO375" s="15"/>
      <c r="WMP375" s="15"/>
      <c r="WMQ375" s="15"/>
      <c r="WMR375" s="15"/>
      <c r="WMS375" s="15"/>
      <c r="WMT375" s="10"/>
      <c r="WMU375" s="10"/>
      <c r="WMV375" s="21"/>
      <c r="WMW375" s="21"/>
      <c r="WMZ375" s="21"/>
      <c r="WNA375" s="15"/>
      <c r="WNB375" s="15"/>
      <c r="WNC375" s="15"/>
      <c r="WND375" s="15"/>
      <c r="WNE375" s="15"/>
      <c r="WNF375" s="15"/>
      <c r="WNG375" s="15"/>
      <c r="WNH375" s="15"/>
      <c r="WNI375" s="15"/>
      <c r="WNJ375" s="15"/>
      <c r="WNK375" s="10"/>
      <c r="WNL375" s="10"/>
      <c r="WNM375" s="21"/>
      <c r="WNN375" s="21"/>
      <c r="WNQ375" s="21"/>
      <c r="WNR375" s="15"/>
      <c r="WNS375" s="15"/>
      <c r="WNT375" s="15"/>
      <c r="WNU375" s="15"/>
      <c r="WNV375" s="15"/>
      <c r="WNW375" s="15"/>
      <c r="WNX375" s="15"/>
      <c r="WNY375" s="15"/>
      <c r="WNZ375" s="15"/>
      <c r="WOA375" s="15"/>
      <c r="WOB375" s="10"/>
      <c r="WOC375" s="10"/>
      <c r="WOD375" s="21"/>
      <c r="WOE375" s="21"/>
      <c r="WOH375" s="21"/>
      <c r="WOI375" s="15"/>
      <c r="WOJ375" s="15"/>
      <c r="WOK375" s="15"/>
      <c r="WOL375" s="15"/>
      <c r="WOM375" s="15"/>
      <c r="WON375" s="15"/>
      <c r="WOO375" s="15"/>
      <c r="WOP375" s="15"/>
      <c r="WOQ375" s="15"/>
      <c r="WOR375" s="15"/>
      <c r="WOS375" s="10"/>
      <c r="WOT375" s="10"/>
      <c r="WOU375" s="21"/>
      <c r="WOV375" s="21"/>
      <c r="WOY375" s="21"/>
      <c r="WOZ375" s="15"/>
      <c r="WPA375" s="15"/>
      <c r="WPB375" s="15"/>
      <c r="WPC375" s="15"/>
      <c r="WPD375" s="15"/>
      <c r="WPE375" s="15"/>
      <c r="WPF375" s="15"/>
      <c r="WPG375" s="15"/>
      <c r="WPH375" s="15"/>
      <c r="WPI375" s="15"/>
      <c r="WPJ375" s="10"/>
      <c r="WPK375" s="10"/>
      <c r="WPL375" s="21"/>
      <c r="WPM375" s="21"/>
      <c r="WPP375" s="21"/>
      <c r="WPQ375" s="15"/>
      <c r="WPR375" s="15"/>
      <c r="WPS375" s="15"/>
      <c r="WPT375" s="15"/>
      <c r="WPU375" s="15"/>
      <c r="WPV375" s="15"/>
      <c r="WPW375" s="15"/>
      <c r="WPX375" s="15"/>
      <c r="WPY375" s="15"/>
      <c r="WPZ375" s="15"/>
      <c r="WQA375" s="10"/>
      <c r="WQB375" s="10"/>
      <c r="WQC375" s="21"/>
      <c r="WQD375" s="21"/>
      <c r="WQG375" s="21"/>
      <c r="WQH375" s="15"/>
      <c r="WQI375" s="15"/>
      <c r="WQJ375" s="15"/>
      <c r="WQK375" s="15"/>
      <c r="WQL375" s="15"/>
      <c r="WQM375" s="15"/>
      <c r="WQN375" s="15"/>
      <c r="WQO375" s="15"/>
      <c r="WQP375" s="15"/>
      <c r="WQQ375" s="15"/>
      <c r="WQR375" s="10"/>
      <c r="WQS375" s="10"/>
      <c r="WQT375" s="21"/>
      <c r="WQU375" s="21"/>
      <c r="WQX375" s="21"/>
      <c r="WQY375" s="15"/>
      <c r="WQZ375" s="15"/>
      <c r="WRA375" s="15"/>
      <c r="WRB375" s="15"/>
      <c r="WRC375" s="15"/>
      <c r="WRD375" s="15"/>
      <c r="WRE375" s="15"/>
      <c r="WRF375" s="15"/>
      <c r="WRG375" s="15"/>
      <c r="WRH375" s="15"/>
      <c r="WRI375" s="10"/>
      <c r="WRJ375" s="10"/>
      <c r="WRK375" s="21"/>
      <c r="WRL375" s="21"/>
      <c r="WRO375" s="21"/>
      <c r="WRP375" s="15"/>
      <c r="WRQ375" s="15"/>
      <c r="WRR375" s="15"/>
      <c r="WRS375" s="15"/>
      <c r="WRT375" s="15"/>
      <c r="WRU375" s="15"/>
      <c r="WRV375" s="15"/>
      <c r="WRW375" s="15"/>
      <c r="WRX375" s="15"/>
      <c r="WRY375" s="15"/>
      <c r="WRZ375" s="10"/>
      <c r="WSA375" s="10"/>
      <c r="WSB375" s="21"/>
      <c r="WSC375" s="21"/>
      <c r="WSF375" s="21"/>
      <c r="WSG375" s="15"/>
      <c r="WSH375" s="15"/>
      <c r="WSI375" s="15"/>
      <c r="WSJ375" s="15"/>
      <c r="WSK375" s="15"/>
      <c r="WSL375" s="15"/>
      <c r="WSM375" s="15"/>
      <c r="WSN375" s="15"/>
      <c r="WSO375" s="15"/>
      <c r="WSP375" s="15"/>
      <c r="WSQ375" s="10"/>
      <c r="WSR375" s="10"/>
      <c r="WSS375" s="21"/>
      <c r="WST375" s="21"/>
      <c r="WSW375" s="21"/>
      <c r="WSX375" s="15"/>
      <c r="WSY375" s="15"/>
      <c r="WSZ375" s="15"/>
      <c r="WTA375" s="15"/>
      <c r="WTB375" s="15"/>
      <c r="WTC375" s="15"/>
      <c r="WTD375" s="15"/>
      <c r="WTE375" s="15"/>
      <c r="WTF375" s="15"/>
      <c r="WTG375" s="15"/>
      <c r="WTH375" s="10"/>
      <c r="WTI375" s="10"/>
      <c r="WTJ375" s="21"/>
      <c r="WTK375" s="21"/>
      <c r="WTN375" s="21"/>
      <c r="WTO375" s="15"/>
      <c r="WTP375" s="15"/>
      <c r="WTQ375" s="15"/>
      <c r="WTR375" s="15"/>
      <c r="WTS375" s="15"/>
      <c r="WTT375" s="15"/>
      <c r="WTU375" s="15"/>
      <c r="WTV375" s="15"/>
      <c r="WTW375" s="15"/>
      <c r="WTX375" s="15"/>
      <c r="WTY375" s="10"/>
      <c r="WTZ375" s="10"/>
      <c r="WUA375" s="21"/>
      <c r="WUB375" s="21"/>
      <c r="WUE375" s="21"/>
      <c r="WUF375" s="15"/>
      <c r="WUG375" s="15"/>
      <c r="WUH375" s="15"/>
      <c r="WUI375" s="15"/>
      <c r="WUJ375" s="15"/>
      <c r="WUK375" s="15"/>
      <c r="WUL375" s="15"/>
      <c r="WUM375" s="15"/>
      <c r="WUN375" s="15"/>
      <c r="WUO375" s="15"/>
      <c r="WUP375" s="10"/>
      <c r="WUQ375" s="10"/>
      <c r="WUR375" s="21"/>
      <c r="WUS375" s="21"/>
      <c r="WUV375" s="21"/>
      <c r="WUW375" s="15"/>
      <c r="WUX375" s="15"/>
      <c r="WUY375" s="15"/>
      <c r="WUZ375" s="15"/>
      <c r="WVA375" s="15"/>
      <c r="WVB375" s="15"/>
      <c r="WVC375" s="15"/>
      <c r="WVD375" s="15"/>
      <c r="WVE375" s="15"/>
      <c r="WVF375" s="15"/>
      <c r="WVG375" s="10"/>
      <c r="WVH375" s="10"/>
      <c r="WVI375" s="21"/>
      <c r="WVJ375" s="21"/>
      <c r="WVM375" s="21"/>
      <c r="WVN375" s="15"/>
      <c r="WVO375" s="15"/>
      <c r="WVP375" s="15"/>
      <c r="WVQ375" s="15"/>
      <c r="WVR375" s="15"/>
      <c r="WVS375" s="15"/>
      <c r="WVT375" s="15"/>
      <c r="WVU375" s="15"/>
      <c r="WVV375" s="15"/>
      <c r="WVW375" s="15"/>
      <c r="WVX375" s="10"/>
      <c r="WVY375" s="10"/>
      <c r="WVZ375" s="21"/>
      <c r="WWA375" s="21"/>
      <c r="WWD375" s="21"/>
      <c r="WWE375" s="15"/>
      <c r="WWF375" s="15"/>
      <c r="WWG375" s="15"/>
      <c r="WWH375" s="15"/>
      <c r="WWI375" s="15"/>
      <c r="WWJ375" s="15"/>
      <c r="WWK375" s="15"/>
      <c r="WWL375" s="15"/>
      <c r="WWM375" s="15"/>
      <c r="WWN375" s="15"/>
      <c r="WWO375" s="10"/>
      <c r="WWP375" s="10"/>
      <c r="WWQ375" s="21"/>
      <c r="WWR375" s="21"/>
      <c r="WWU375" s="21"/>
      <c r="WWV375" s="15"/>
      <c r="WWW375" s="15"/>
      <c r="WWX375" s="15"/>
      <c r="WWY375" s="15"/>
      <c r="WWZ375" s="15"/>
      <c r="WXA375" s="15"/>
      <c r="WXB375" s="15"/>
      <c r="WXC375" s="15"/>
      <c r="WXD375" s="15"/>
      <c r="WXE375" s="15"/>
      <c r="WXF375" s="10"/>
      <c r="WXG375" s="10"/>
      <c r="WXH375" s="21"/>
      <c r="WXI375" s="21"/>
      <c r="WXL375" s="21"/>
      <c r="WXM375" s="15"/>
      <c r="WXN375" s="15"/>
      <c r="WXO375" s="15"/>
      <c r="WXP375" s="15"/>
      <c r="WXQ375" s="15"/>
      <c r="WXR375" s="15"/>
      <c r="WXS375" s="15"/>
      <c r="WXT375" s="15"/>
      <c r="WXU375" s="15"/>
      <c r="WXV375" s="15"/>
      <c r="WXW375" s="10"/>
      <c r="WXX375" s="10"/>
      <c r="WXY375" s="21"/>
      <c r="WXZ375" s="21"/>
      <c r="WYC375" s="21"/>
      <c r="WYD375" s="15"/>
      <c r="WYE375" s="15"/>
      <c r="WYF375" s="15"/>
      <c r="WYG375" s="15"/>
      <c r="WYH375" s="15"/>
      <c r="WYI375" s="15"/>
      <c r="WYJ375" s="15"/>
      <c r="WYK375" s="15"/>
      <c r="WYL375" s="15"/>
      <c r="WYM375" s="15"/>
      <c r="WYN375" s="10"/>
      <c r="WYO375" s="10"/>
      <c r="WYP375" s="21"/>
      <c r="WYQ375" s="21"/>
      <c r="WYT375" s="21"/>
      <c r="WYU375" s="15"/>
      <c r="WYV375" s="15"/>
      <c r="WYW375" s="15"/>
      <c r="WYX375" s="15"/>
      <c r="WYY375" s="15"/>
      <c r="WYZ375" s="15"/>
      <c r="WZA375" s="15"/>
      <c r="WZB375" s="15"/>
      <c r="WZC375" s="15"/>
      <c r="WZD375" s="15"/>
      <c r="WZE375" s="10"/>
      <c r="WZF375" s="10"/>
      <c r="WZG375" s="21"/>
      <c r="WZH375" s="21"/>
      <c r="WZK375" s="21"/>
      <c r="WZL375" s="15"/>
      <c r="WZM375" s="15"/>
      <c r="WZN375" s="15"/>
      <c r="WZO375" s="15"/>
      <c r="WZP375" s="15"/>
      <c r="WZQ375" s="15"/>
      <c r="WZR375" s="15"/>
      <c r="WZS375" s="15"/>
      <c r="WZT375" s="15"/>
      <c r="WZU375" s="15"/>
      <c r="WZV375" s="10"/>
      <c r="WZW375" s="10"/>
      <c r="WZX375" s="21"/>
      <c r="WZY375" s="21"/>
      <c r="XAB375" s="21"/>
      <c r="XAC375" s="15"/>
      <c r="XAD375" s="15"/>
      <c r="XAE375" s="15"/>
      <c r="XAF375" s="15"/>
      <c r="XAG375" s="15"/>
      <c r="XAH375" s="15"/>
      <c r="XAI375" s="15"/>
      <c r="XAJ375" s="15"/>
      <c r="XAK375" s="15"/>
      <c r="XAL375" s="15"/>
      <c r="XAM375" s="10"/>
      <c r="XAN375" s="10"/>
      <c r="XAO375" s="21"/>
      <c r="XAP375" s="21"/>
      <c r="XAS375" s="21"/>
      <c r="XAT375" s="15"/>
      <c r="XAU375" s="15"/>
      <c r="XAV375" s="15"/>
      <c r="XAW375" s="15"/>
      <c r="XAX375" s="15"/>
      <c r="XAY375" s="15"/>
      <c r="XAZ375" s="15"/>
      <c r="XBA375" s="15"/>
      <c r="XBB375" s="15"/>
      <c r="XBC375" s="15"/>
      <c r="XBD375" s="10"/>
      <c r="XBE375" s="10"/>
      <c r="XBF375" s="21"/>
      <c r="XBG375" s="21"/>
      <c r="XBJ375" s="21"/>
      <c r="XBK375" s="15"/>
      <c r="XBL375" s="15"/>
      <c r="XBM375" s="15"/>
      <c r="XBN375" s="15"/>
      <c r="XBO375" s="15"/>
      <c r="XBP375" s="15"/>
      <c r="XBQ375" s="15"/>
      <c r="XBR375" s="15"/>
      <c r="XBS375" s="15"/>
      <c r="XBT375" s="15"/>
      <c r="XBU375" s="10"/>
      <c r="XBV375" s="10"/>
      <c r="XBW375" s="21"/>
      <c r="XBX375" s="21"/>
      <c r="XCA375" s="21"/>
      <c r="XCB375" s="15"/>
      <c r="XCC375" s="15"/>
      <c r="XCD375" s="15"/>
      <c r="XCE375" s="15"/>
      <c r="XCF375" s="15"/>
      <c r="XCG375" s="15"/>
      <c r="XCH375" s="15"/>
      <c r="XCI375" s="15"/>
      <c r="XCJ375" s="15"/>
      <c r="XCK375" s="15"/>
      <c r="XCL375" s="10"/>
      <c r="XCM375" s="10"/>
      <c r="XCN375" s="21"/>
      <c r="XCO375" s="21"/>
      <c r="XCR375" s="21"/>
      <c r="XCS375" s="15"/>
      <c r="XCT375" s="15"/>
      <c r="XCU375" s="15"/>
      <c r="XCV375" s="15"/>
      <c r="XCW375" s="15"/>
      <c r="XCX375" s="15"/>
      <c r="XCY375" s="15"/>
      <c r="XCZ375" s="15"/>
      <c r="XDA375" s="15"/>
      <c r="XDB375" s="15"/>
      <c r="XDC375" s="10"/>
      <c r="XDD375" s="10"/>
      <c r="XDE375" s="21"/>
      <c r="XDF375" s="21"/>
      <c r="XDI375" s="21"/>
      <c r="XDJ375" s="15"/>
      <c r="XDK375" s="15"/>
      <c r="XDL375" s="15"/>
      <c r="XDM375" s="15"/>
      <c r="XDN375" s="15"/>
      <c r="XDO375" s="15"/>
      <c r="XDP375" s="15"/>
      <c r="XDQ375" s="15"/>
      <c r="XDR375" s="15"/>
      <c r="XDS375" s="15"/>
      <c r="XDT375" s="10"/>
      <c r="XDU375" s="10"/>
      <c r="XDV375" s="21"/>
      <c r="XDW375" s="21"/>
      <c r="XDZ375" s="21"/>
      <c r="XEA375" s="15"/>
      <c r="XEB375" s="15"/>
      <c r="XEC375" s="15"/>
      <c r="XED375" s="15"/>
      <c r="XEE375" s="15"/>
      <c r="XEF375" s="15"/>
      <c r="XEG375" s="15"/>
      <c r="XEH375" s="15"/>
      <c r="XEI375" s="15"/>
      <c r="XEJ375" s="15"/>
      <c r="XEK375" s="10"/>
      <c r="XEL375" s="10"/>
      <c r="XEM375" s="21"/>
      <c r="XEN375" s="21"/>
      <c r="XEQ375" s="21"/>
      <c r="XER375" s="15"/>
      <c r="XES375" s="15"/>
      <c r="XET375" s="15"/>
      <c r="XEU375" s="15"/>
      <c r="XEV375" s="15"/>
      <c r="XEW375" s="15"/>
      <c r="XEX375" s="15"/>
      <c r="XEY375" s="15"/>
      <c r="XEZ375" s="15"/>
      <c r="XFA375" s="15"/>
      <c r="XFB375" s="10"/>
      <c r="XFC375" s="10"/>
      <c r="XFD375" s="21"/>
    </row>
    <row r="376" spans="1:4094 4097:8191 8194:12288 12291:16384" ht="14.25" customHeight="1" x14ac:dyDescent="0.25">
      <c r="A376" s="44">
        <v>0</v>
      </c>
      <c r="B376" s="44">
        <v>2</v>
      </c>
      <c r="C376" s="44">
        <v>5</v>
      </c>
      <c r="D376" s="45" t="s">
        <v>775</v>
      </c>
      <c r="E376" s="45" t="s">
        <v>772</v>
      </c>
      <c r="F376" s="45" t="s">
        <v>777</v>
      </c>
      <c r="G376" s="45" t="s">
        <v>207</v>
      </c>
      <c r="H376" s="45" t="s">
        <v>354</v>
      </c>
      <c r="I376" s="44" t="s">
        <v>776</v>
      </c>
      <c r="J376" s="44">
        <v>99</v>
      </c>
      <c r="K376" s="46" t="s">
        <v>712</v>
      </c>
      <c r="L376" s="46" t="s">
        <v>694</v>
      </c>
      <c r="M376" s="47" t="s">
        <v>1426</v>
      </c>
      <c r="N376" s="47" t="s">
        <v>1735</v>
      </c>
      <c r="O376" s="48"/>
      <c r="P376" s="48"/>
      <c r="Q376" s="45"/>
      <c r="S376" s="1">
        <f t="shared" si="237"/>
        <v>0</v>
      </c>
      <c r="T376" s="1">
        <f t="shared" si="238"/>
        <v>0</v>
      </c>
      <c r="U376" s="1">
        <f t="shared" si="239"/>
        <v>0</v>
      </c>
      <c r="V376" s="1">
        <f t="shared" si="240"/>
        <v>0</v>
      </c>
      <c r="W376" s="1">
        <f t="shared" si="241"/>
        <v>0</v>
      </c>
      <c r="X376" s="1">
        <f t="shared" si="242"/>
        <v>0</v>
      </c>
      <c r="Y376" s="1">
        <f t="shared" si="243"/>
        <v>0</v>
      </c>
      <c r="Z376" s="1">
        <f t="shared" si="244"/>
        <v>0</v>
      </c>
      <c r="AA376" s="1">
        <f t="shared" si="245"/>
        <v>0</v>
      </c>
      <c r="AB376" s="1">
        <f t="shared" si="246"/>
        <v>0</v>
      </c>
      <c r="AD376" s="1">
        <f t="shared" si="247"/>
        <v>0</v>
      </c>
      <c r="AE376" s="1">
        <f t="shared" si="248"/>
        <v>0</v>
      </c>
      <c r="AF376" s="1">
        <f t="shared" si="233"/>
        <v>0</v>
      </c>
      <c r="AG376" s="1">
        <f t="shared" si="234"/>
        <v>0</v>
      </c>
      <c r="AH376" s="1">
        <f t="shared" si="235"/>
        <v>0</v>
      </c>
      <c r="AI376" s="1">
        <f t="shared" si="236"/>
        <v>1</v>
      </c>
    </row>
    <row r="377" spans="1:4094 4097:8191 8194:12288 12291:16384" ht="14.25" customHeight="1" x14ac:dyDescent="0.25">
      <c r="A377" s="44">
        <v>1</v>
      </c>
      <c r="B377" s="44">
        <v>2</v>
      </c>
      <c r="C377" s="44">
        <v>5</v>
      </c>
      <c r="D377" s="45" t="s">
        <v>775</v>
      </c>
      <c r="E377" s="45" t="s">
        <v>772</v>
      </c>
      <c r="F377" s="45" t="s">
        <v>1006</v>
      </c>
      <c r="G377" s="45" t="s">
        <v>190</v>
      </c>
      <c r="H377" s="45" t="s">
        <v>354</v>
      </c>
      <c r="I377" s="44" t="s">
        <v>1007</v>
      </c>
      <c r="J377" s="44">
        <v>99</v>
      </c>
      <c r="K377" s="46" t="s">
        <v>712</v>
      </c>
      <c r="L377" s="46" t="s">
        <v>694</v>
      </c>
      <c r="M377" s="47" t="s">
        <v>1426</v>
      </c>
      <c r="N377" s="47" t="s">
        <v>1735</v>
      </c>
      <c r="O377" s="48"/>
      <c r="P377" s="48"/>
      <c r="Q377" s="45"/>
      <c r="S377" s="1">
        <f t="shared" si="237"/>
        <v>0</v>
      </c>
      <c r="T377" s="1">
        <f t="shared" si="238"/>
        <v>0</v>
      </c>
      <c r="U377" s="1">
        <f t="shared" si="239"/>
        <v>0</v>
      </c>
      <c r="V377" s="1">
        <f t="shared" si="240"/>
        <v>0</v>
      </c>
      <c r="W377" s="1">
        <f t="shared" si="241"/>
        <v>0</v>
      </c>
      <c r="X377" s="1">
        <f t="shared" si="242"/>
        <v>0</v>
      </c>
      <c r="Y377" s="1">
        <f t="shared" si="243"/>
        <v>0</v>
      </c>
      <c r="Z377" s="1">
        <f t="shared" si="244"/>
        <v>0</v>
      </c>
      <c r="AA377" s="1">
        <f t="shared" si="245"/>
        <v>0</v>
      </c>
      <c r="AB377" s="1">
        <f t="shared" si="246"/>
        <v>0</v>
      </c>
      <c r="AD377" s="1">
        <f t="shared" si="247"/>
        <v>0</v>
      </c>
      <c r="AE377" s="1">
        <f t="shared" si="248"/>
        <v>0</v>
      </c>
      <c r="AF377" s="1">
        <f t="shared" si="233"/>
        <v>0</v>
      </c>
      <c r="AG377" s="1">
        <f t="shared" si="234"/>
        <v>0</v>
      </c>
      <c r="AH377" s="1">
        <f t="shared" si="235"/>
        <v>0</v>
      </c>
      <c r="AI377" s="1">
        <f t="shared" si="236"/>
        <v>0</v>
      </c>
    </row>
    <row r="378" spans="1:4094 4097:8191 8194:12288 12291:16384" ht="14.25" customHeight="1" x14ac:dyDescent="0.25">
      <c r="A378" s="15">
        <v>0</v>
      </c>
      <c r="B378" s="15">
        <v>2</v>
      </c>
      <c r="C378" s="15">
        <v>5</v>
      </c>
      <c r="D378" s="16" t="s">
        <v>916</v>
      </c>
      <c r="E378" s="16" t="s">
        <v>911</v>
      </c>
      <c r="F378" s="16" t="s">
        <v>929</v>
      </c>
      <c r="G378" s="16" t="s">
        <v>1350</v>
      </c>
      <c r="H378" s="16" t="s">
        <v>354</v>
      </c>
      <c r="I378" s="15" t="s">
        <v>770</v>
      </c>
      <c r="J378" s="15">
        <v>99</v>
      </c>
      <c r="K378" s="10" t="s">
        <v>703</v>
      </c>
      <c r="L378" s="10">
        <v>20</v>
      </c>
      <c r="M378" s="19" t="s">
        <v>1427</v>
      </c>
      <c r="N378" s="19"/>
      <c r="Q378" s="16"/>
      <c r="S378" s="1">
        <f t="shared" si="237"/>
        <v>0</v>
      </c>
      <c r="T378" s="1">
        <f t="shared" si="238"/>
        <v>0</v>
      </c>
      <c r="U378" s="1">
        <f t="shared" si="239"/>
        <v>0</v>
      </c>
      <c r="V378" s="1">
        <f t="shared" si="240"/>
        <v>0</v>
      </c>
      <c r="W378" s="1">
        <f t="shared" si="241"/>
        <v>0</v>
      </c>
      <c r="X378" s="1">
        <f t="shared" si="242"/>
        <v>0</v>
      </c>
      <c r="Y378" s="1">
        <f t="shared" si="243"/>
        <v>0</v>
      </c>
      <c r="Z378" s="1">
        <f t="shared" si="244"/>
        <v>0</v>
      </c>
      <c r="AA378" s="1">
        <f t="shared" si="245"/>
        <v>0</v>
      </c>
      <c r="AB378" s="1">
        <f t="shared" si="246"/>
        <v>0</v>
      </c>
      <c r="AD378" s="1">
        <f t="shared" si="247"/>
        <v>0</v>
      </c>
      <c r="AE378" s="1">
        <f t="shared" si="248"/>
        <v>0</v>
      </c>
      <c r="AF378" s="1">
        <f t="shared" si="233"/>
        <v>0</v>
      </c>
      <c r="AG378" s="1">
        <f t="shared" si="234"/>
        <v>0</v>
      </c>
      <c r="AH378" s="1">
        <f t="shared" si="235"/>
        <v>0</v>
      </c>
      <c r="AI378" s="1">
        <f t="shared" si="236"/>
        <v>1</v>
      </c>
    </row>
    <row r="379" spans="1:4094 4097:8191 8194:12288 12291:16384" ht="14.25" customHeight="1" x14ac:dyDescent="0.25">
      <c r="A379" s="31">
        <v>0</v>
      </c>
      <c r="B379" s="31">
        <v>2</v>
      </c>
      <c r="C379" s="31">
        <v>5</v>
      </c>
      <c r="D379" s="32" t="s">
        <v>1921</v>
      </c>
      <c r="E379" s="32"/>
      <c r="F379" s="32" t="s">
        <v>1922</v>
      </c>
      <c r="G379" s="32" t="s">
        <v>208</v>
      </c>
      <c r="H379" s="32" t="s">
        <v>354</v>
      </c>
      <c r="I379" s="31" t="s">
        <v>1923</v>
      </c>
      <c r="J379" s="31">
        <v>3</v>
      </c>
      <c r="K379" s="33" t="s">
        <v>703</v>
      </c>
      <c r="L379" s="33"/>
      <c r="M379" s="34"/>
      <c r="N379" s="34" t="s">
        <v>1727</v>
      </c>
      <c r="O379" s="35">
        <v>1</v>
      </c>
      <c r="P379" s="35">
        <v>1</v>
      </c>
      <c r="Q379" s="32" t="s">
        <v>1924</v>
      </c>
      <c r="S379" s="1">
        <f t="shared" si="237"/>
        <v>0</v>
      </c>
      <c r="T379" s="1">
        <f t="shared" si="238"/>
        <v>0</v>
      </c>
      <c r="U379" s="1">
        <f t="shared" si="239"/>
        <v>1</v>
      </c>
      <c r="V379" s="1">
        <f t="shared" si="240"/>
        <v>0</v>
      </c>
      <c r="W379" s="1">
        <f t="shared" si="241"/>
        <v>0</v>
      </c>
      <c r="X379" s="1">
        <f t="shared" si="242"/>
        <v>0</v>
      </c>
      <c r="Y379" s="1">
        <f t="shared" si="243"/>
        <v>0</v>
      </c>
      <c r="Z379" s="1">
        <f t="shared" si="244"/>
        <v>0</v>
      </c>
      <c r="AA379" s="1">
        <f t="shared" si="245"/>
        <v>0</v>
      </c>
      <c r="AB379" s="1">
        <f t="shared" si="246"/>
        <v>0</v>
      </c>
      <c r="AD379" s="1">
        <f t="shared" si="247"/>
        <v>1</v>
      </c>
      <c r="AE379" s="1">
        <f t="shared" si="248"/>
        <v>0</v>
      </c>
      <c r="AF379" s="1">
        <f t="shared" si="233"/>
        <v>1</v>
      </c>
      <c r="AG379" s="1">
        <f t="shared" si="234"/>
        <v>0</v>
      </c>
      <c r="AH379" s="1">
        <f t="shared" si="235"/>
        <v>1</v>
      </c>
      <c r="AI379" s="1">
        <f t="shared" si="236"/>
        <v>0</v>
      </c>
    </row>
    <row r="380" spans="1:4094 4097:8191 8194:12288 12291:16384" ht="14.25" customHeight="1" x14ac:dyDescent="0.25">
      <c r="A380" s="31">
        <v>0</v>
      </c>
      <c r="B380" s="31">
        <v>2</v>
      </c>
      <c r="C380" s="31">
        <v>5</v>
      </c>
      <c r="D380" s="32" t="s">
        <v>1270</v>
      </c>
      <c r="E380" s="32" t="s">
        <v>1271</v>
      </c>
      <c r="F380" s="32" t="s">
        <v>1272</v>
      </c>
      <c r="G380" s="32" t="s">
        <v>220</v>
      </c>
      <c r="H380" s="32" t="s">
        <v>354</v>
      </c>
      <c r="I380" s="31" t="s">
        <v>1723</v>
      </c>
      <c r="J380" s="31">
        <v>8</v>
      </c>
      <c r="K380" s="33" t="s">
        <v>713</v>
      </c>
      <c r="L380" s="33" t="s">
        <v>39</v>
      </c>
      <c r="M380" s="34" t="s">
        <v>39</v>
      </c>
      <c r="N380" s="34" t="s">
        <v>1727</v>
      </c>
      <c r="O380" s="35">
        <v>1</v>
      </c>
      <c r="P380" s="35">
        <v>1</v>
      </c>
      <c r="Q380" s="32"/>
      <c r="S380" s="1">
        <f t="shared" si="237"/>
        <v>0</v>
      </c>
      <c r="T380" s="1">
        <f t="shared" si="238"/>
        <v>0</v>
      </c>
      <c r="U380" s="1">
        <f t="shared" si="239"/>
        <v>0</v>
      </c>
      <c r="V380" s="1">
        <f t="shared" si="240"/>
        <v>0</v>
      </c>
      <c r="W380" s="1">
        <f t="shared" si="241"/>
        <v>0</v>
      </c>
      <c r="X380" s="1">
        <f t="shared" si="242"/>
        <v>0</v>
      </c>
      <c r="Y380" s="1">
        <f t="shared" si="243"/>
        <v>0</v>
      </c>
      <c r="Z380" s="1">
        <f t="shared" si="244"/>
        <v>1</v>
      </c>
      <c r="AA380" s="1">
        <f t="shared" si="245"/>
        <v>0</v>
      </c>
      <c r="AB380" s="1">
        <f t="shared" si="246"/>
        <v>0</v>
      </c>
      <c r="AD380" s="1">
        <f t="shared" si="247"/>
        <v>1</v>
      </c>
      <c r="AE380" s="1">
        <f t="shared" si="248"/>
        <v>0</v>
      </c>
      <c r="AF380" s="1">
        <f t="shared" si="233"/>
        <v>1</v>
      </c>
      <c r="AG380" s="1">
        <f t="shared" si="234"/>
        <v>0</v>
      </c>
      <c r="AH380" s="1">
        <f t="shared" si="235"/>
        <v>1</v>
      </c>
      <c r="AI380" s="1">
        <f t="shared" si="236"/>
        <v>0</v>
      </c>
    </row>
    <row r="381" spans="1:4094 4097:8191 8194:12288 12291:16384" ht="14.25" customHeight="1" x14ac:dyDescent="0.25">
      <c r="A381" s="31">
        <v>0</v>
      </c>
      <c r="B381" s="31">
        <v>2</v>
      </c>
      <c r="C381" s="31">
        <v>5</v>
      </c>
      <c r="D381" s="32" t="s">
        <v>1082</v>
      </c>
      <c r="E381" s="32" t="s">
        <v>155</v>
      </c>
      <c r="F381" s="32" t="s">
        <v>1066</v>
      </c>
      <c r="G381" s="32" t="s">
        <v>321</v>
      </c>
      <c r="H381" s="32" t="s">
        <v>354</v>
      </c>
      <c r="I381" s="31" t="s">
        <v>1067</v>
      </c>
      <c r="J381" s="31">
        <v>99</v>
      </c>
      <c r="K381" s="33" t="s">
        <v>713</v>
      </c>
      <c r="L381" s="33" t="s">
        <v>694</v>
      </c>
      <c r="M381" s="34" t="s">
        <v>1428</v>
      </c>
      <c r="N381" s="34" t="s">
        <v>1756</v>
      </c>
      <c r="O381" s="35">
        <v>1</v>
      </c>
      <c r="P381" s="35"/>
      <c r="Q381" s="32"/>
      <c r="S381" s="1">
        <f t="shared" si="237"/>
        <v>0</v>
      </c>
      <c r="T381" s="1">
        <f t="shared" si="238"/>
        <v>0</v>
      </c>
      <c r="U381" s="1">
        <f t="shared" si="239"/>
        <v>0</v>
      </c>
      <c r="V381" s="1">
        <f t="shared" si="240"/>
        <v>0</v>
      </c>
      <c r="W381" s="1">
        <f t="shared" si="241"/>
        <v>0</v>
      </c>
      <c r="X381" s="1">
        <f t="shared" si="242"/>
        <v>0</v>
      </c>
      <c r="Y381" s="1">
        <f t="shared" si="243"/>
        <v>0</v>
      </c>
      <c r="Z381" s="1">
        <f t="shared" si="244"/>
        <v>0</v>
      </c>
      <c r="AA381" s="1">
        <f t="shared" si="245"/>
        <v>0</v>
      </c>
      <c r="AB381" s="1">
        <f t="shared" si="246"/>
        <v>0</v>
      </c>
      <c r="AD381" s="1">
        <f t="shared" si="247"/>
        <v>0</v>
      </c>
      <c r="AE381" s="1">
        <f t="shared" si="248"/>
        <v>1</v>
      </c>
      <c r="AF381" s="1">
        <f t="shared" si="233"/>
        <v>0</v>
      </c>
      <c r="AG381" s="1">
        <f t="shared" si="234"/>
        <v>1</v>
      </c>
      <c r="AH381" s="1">
        <f t="shared" si="235"/>
        <v>0</v>
      </c>
      <c r="AI381" s="1">
        <f t="shared" si="236"/>
        <v>1</v>
      </c>
    </row>
    <row r="382" spans="1:4094 4097:8191 8194:12288 12291:16384" ht="14.25" customHeight="1" x14ac:dyDescent="0.25">
      <c r="A382" s="31">
        <v>0</v>
      </c>
      <c r="B382" s="31">
        <v>2</v>
      </c>
      <c r="C382" s="31">
        <v>5</v>
      </c>
      <c r="D382" s="32" t="s">
        <v>796</v>
      </c>
      <c r="E382" s="32" t="s">
        <v>772</v>
      </c>
      <c r="F382" s="32" t="s">
        <v>932</v>
      </c>
      <c r="G382" s="32" t="s">
        <v>220</v>
      </c>
      <c r="H382" s="32" t="s">
        <v>354</v>
      </c>
      <c r="I382" s="31" t="s">
        <v>797</v>
      </c>
      <c r="J382" s="31">
        <v>8</v>
      </c>
      <c r="K382" s="33" t="s">
        <v>703</v>
      </c>
      <c r="L382" s="33">
        <v>20</v>
      </c>
      <c r="M382" s="34" t="s">
        <v>1419</v>
      </c>
      <c r="N382" s="34" t="s">
        <v>1825</v>
      </c>
      <c r="O382" s="35">
        <v>1</v>
      </c>
      <c r="P382" s="35"/>
      <c r="Q382" s="32"/>
      <c r="S382" s="1">
        <f t="shared" ref="S382:S384" si="261">IF(J382=$S$7,1,0)</f>
        <v>0</v>
      </c>
      <c r="T382" s="1">
        <f t="shared" ref="T382:T384" si="262">IF(J382=$T$7,1,0)</f>
        <v>0</v>
      </c>
      <c r="U382" s="1">
        <f t="shared" ref="U382:U384" si="263">IF(J382=$U$7,1,0)</f>
        <v>0</v>
      </c>
      <c r="V382" s="1">
        <f t="shared" ref="V382:V384" si="264">IF(J382=$V$7,1,0)</f>
        <v>0</v>
      </c>
      <c r="W382" s="1">
        <f t="shared" ref="W382:W384" si="265">IF(J382=$W$7,1,0)</f>
        <v>0</v>
      </c>
      <c r="X382" s="1">
        <f t="shared" ref="X382:X384" si="266">IF(J382=$X$7,1,0)</f>
        <v>0</v>
      </c>
      <c r="Y382" s="1">
        <f t="shared" ref="Y382:Y384" si="267">IF(J382=$Y$7,1,0)</f>
        <v>0</v>
      </c>
      <c r="Z382" s="1">
        <f t="shared" ref="Z382:Z384" si="268">IF(J382=$Z$7,1,0)</f>
        <v>1</v>
      </c>
      <c r="AA382" s="1">
        <f t="shared" ref="AA382:AA384" si="269">IF(J382=$AA$7,1,0)</f>
        <v>0</v>
      </c>
      <c r="AB382" s="1">
        <f t="shared" ref="AB382:AB384" si="270">IF(J382=$AB$7,1,0)</f>
        <v>0</v>
      </c>
      <c r="AD382" s="1">
        <f t="shared" ref="AD382:AD384" si="271">+O382*P382</f>
        <v>0</v>
      </c>
      <c r="AE382" s="1">
        <f t="shared" ref="AE382:AE384" si="272">O382*(1-P382)</f>
        <v>1</v>
      </c>
      <c r="AF382" s="1">
        <f t="shared" si="233"/>
        <v>0</v>
      </c>
      <c r="AG382" s="1">
        <f t="shared" si="234"/>
        <v>1</v>
      </c>
      <c r="AH382" s="1">
        <f t="shared" si="235"/>
        <v>0</v>
      </c>
      <c r="AI382" s="1">
        <f t="shared" si="236"/>
        <v>1</v>
      </c>
    </row>
    <row r="383" spans="1:4094 4097:8191 8194:12288 12291:16384" ht="14.25" customHeight="1" x14ac:dyDescent="0.25">
      <c r="A383" s="49">
        <v>0</v>
      </c>
      <c r="B383" s="49">
        <v>2</v>
      </c>
      <c r="C383" s="49">
        <v>5</v>
      </c>
      <c r="D383" s="50" t="s">
        <v>79</v>
      </c>
      <c r="E383" s="50" t="s">
        <v>159</v>
      </c>
      <c r="F383" s="50" t="s">
        <v>268</v>
      </c>
      <c r="G383" s="50" t="s">
        <v>213</v>
      </c>
      <c r="H383" s="50" t="s">
        <v>354</v>
      </c>
      <c r="I383" s="49" t="s">
        <v>425</v>
      </c>
      <c r="J383" s="49">
        <v>1</v>
      </c>
      <c r="K383" s="51" t="s">
        <v>955</v>
      </c>
      <c r="L383" s="51" t="s">
        <v>704</v>
      </c>
      <c r="M383" s="52" t="s">
        <v>727</v>
      </c>
      <c r="N383" s="52" t="s">
        <v>1743</v>
      </c>
      <c r="O383" s="53">
        <v>1</v>
      </c>
      <c r="P383" s="53"/>
      <c r="Q383" s="50"/>
      <c r="S383" s="1">
        <f t="shared" si="261"/>
        <v>1</v>
      </c>
      <c r="T383" s="1">
        <f t="shared" si="262"/>
        <v>0</v>
      </c>
      <c r="U383" s="1">
        <f t="shared" si="263"/>
        <v>0</v>
      </c>
      <c r="V383" s="1">
        <f t="shared" si="264"/>
        <v>0</v>
      </c>
      <c r="W383" s="1">
        <f t="shared" si="265"/>
        <v>0</v>
      </c>
      <c r="X383" s="1">
        <f t="shared" si="266"/>
        <v>0</v>
      </c>
      <c r="Y383" s="1">
        <f t="shared" si="267"/>
        <v>0</v>
      </c>
      <c r="Z383" s="1">
        <f t="shared" si="268"/>
        <v>0</v>
      </c>
      <c r="AA383" s="1">
        <f t="shared" si="269"/>
        <v>0</v>
      </c>
      <c r="AB383" s="1">
        <f t="shared" si="270"/>
        <v>0</v>
      </c>
      <c r="AD383" s="1">
        <f t="shared" si="271"/>
        <v>0</v>
      </c>
      <c r="AE383" s="1">
        <f t="shared" si="272"/>
        <v>1</v>
      </c>
      <c r="AF383" s="1">
        <f t="shared" si="233"/>
        <v>0</v>
      </c>
      <c r="AG383" s="1">
        <f t="shared" si="234"/>
        <v>1</v>
      </c>
      <c r="AH383" s="1">
        <f t="shared" si="235"/>
        <v>0</v>
      </c>
      <c r="AI383" s="1">
        <f t="shared" si="236"/>
        <v>1</v>
      </c>
    </row>
    <row r="384" spans="1:4094 4097:8191 8194:12288 12291:16384" ht="14.25" customHeight="1" x14ac:dyDescent="0.25">
      <c r="A384" s="31">
        <v>0</v>
      </c>
      <c r="B384" s="31">
        <v>2</v>
      </c>
      <c r="C384" s="31">
        <v>5</v>
      </c>
      <c r="D384" s="32" t="s">
        <v>1642</v>
      </c>
      <c r="E384" s="32" t="s">
        <v>1654</v>
      </c>
      <c r="F384" s="32" t="s">
        <v>1551</v>
      </c>
      <c r="G384" s="32" t="s">
        <v>262</v>
      </c>
      <c r="H384" s="32" t="s">
        <v>354</v>
      </c>
      <c r="I384" s="31" t="s">
        <v>1552</v>
      </c>
      <c r="J384" s="31">
        <v>99</v>
      </c>
      <c r="K384" s="33" t="s">
        <v>955</v>
      </c>
      <c r="L384" s="33">
        <v>40</v>
      </c>
      <c r="M384" s="34" t="s">
        <v>39</v>
      </c>
      <c r="N384" s="34" t="s">
        <v>1825</v>
      </c>
      <c r="O384" s="35">
        <v>1</v>
      </c>
      <c r="P384" s="35"/>
      <c r="Q384" s="32"/>
      <c r="S384" s="1">
        <f t="shared" si="261"/>
        <v>0</v>
      </c>
      <c r="T384" s="1">
        <f t="shared" si="262"/>
        <v>0</v>
      </c>
      <c r="U384" s="1">
        <f t="shared" si="263"/>
        <v>0</v>
      </c>
      <c r="V384" s="1">
        <f t="shared" si="264"/>
        <v>0</v>
      </c>
      <c r="W384" s="1">
        <f t="shared" si="265"/>
        <v>0</v>
      </c>
      <c r="X384" s="1">
        <f t="shared" si="266"/>
        <v>0</v>
      </c>
      <c r="Y384" s="1">
        <f t="shared" si="267"/>
        <v>0</v>
      </c>
      <c r="Z384" s="1">
        <f t="shared" si="268"/>
        <v>0</v>
      </c>
      <c r="AA384" s="1">
        <f t="shared" si="269"/>
        <v>0</v>
      </c>
      <c r="AB384" s="1">
        <f t="shared" si="270"/>
        <v>0</v>
      </c>
      <c r="AD384" s="1">
        <f t="shared" si="271"/>
        <v>0</v>
      </c>
      <c r="AE384" s="1">
        <f t="shared" si="272"/>
        <v>1</v>
      </c>
      <c r="AF384" s="1">
        <f t="shared" si="233"/>
        <v>0</v>
      </c>
      <c r="AG384" s="1">
        <f t="shared" si="234"/>
        <v>1</v>
      </c>
      <c r="AH384" s="1">
        <f t="shared" si="235"/>
        <v>0</v>
      </c>
      <c r="AI384" s="1">
        <f t="shared" si="236"/>
        <v>1</v>
      </c>
    </row>
    <row r="385" spans="1:35" ht="14.25" customHeight="1" x14ac:dyDescent="0.25">
      <c r="A385" s="31">
        <v>0</v>
      </c>
      <c r="B385" s="31">
        <v>2</v>
      </c>
      <c r="C385" s="31">
        <v>5</v>
      </c>
      <c r="D385" s="32" t="s">
        <v>1297</v>
      </c>
      <c r="E385" s="32" t="s">
        <v>27</v>
      </c>
      <c r="F385" s="32" t="s">
        <v>1298</v>
      </c>
      <c r="G385" s="32" t="s">
        <v>1299</v>
      </c>
      <c r="H385" s="32" t="s">
        <v>354</v>
      </c>
      <c r="I385" s="31" t="s">
        <v>1300</v>
      </c>
      <c r="J385" s="31">
        <v>99</v>
      </c>
      <c r="K385" s="33" t="s">
        <v>955</v>
      </c>
      <c r="L385" s="33" t="s">
        <v>39</v>
      </c>
      <c r="M385" s="34" t="s">
        <v>39</v>
      </c>
      <c r="N385" s="34" t="s">
        <v>1727</v>
      </c>
      <c r="O385" s="35">
        <v>1</v>
      </c>
      <c r="P385" s="35">
        <v>1</v>
      </c>
      <c r="Q385" s="36"/>
      <c r="S385" s="1">
        <f t="shared" si="237"/>
        <v>0</v>
      </c>
      <c r="T385" s="1">
        <f t="shared" si="238"/>
        <v>0</v>
      </c>
      <c r="U385" s="1">
        <f t="shared" si="239"/>
        <v>0</v>
      </c>
      <c r="V385" s="1">
        <f t="shared" si="240"/>
        <v>0</v>
      </c>
      <c r="W385" s="1">
        <f t="shared" si="241"/>
        <v>0</v>
      </c>
      <c r="X385" s="1">
        <f t="shared" si="242"/>
        <v>0</v>
      </c>
      <c r="Y385" s="1">
        <f t="shared" si="243"/>
        <v>0</v>
      </c>
      <c r="Z385" s="1">
        <f t="shared" si="244"/>
        <v>0</v>
      </c>
      <c r="AA385" s="1">
        <f t="shared" si="245"/>
        <v>0</v>
      </c>
      <c r="AB385" s="1">
        <f t="shared" si="246"/>
        <v>0</v>
      </c>
      <c r="AD385" s="1">
        <f t="shared" si="247"/>
        <v>1</v>
      </c>
      <c r="AE385" s="1">
        <f t="shared" si="248"/>
        <v>0</v>
      </c>
      <c r="AF385" s="1">
        <f t="shared" si="233"/>
        <v>1</v>
      </c>
      <c r="AG385" s="1">
        <f t="shared" si="234"/>
        <v>0</v>
      </c>
      <c r="AH385" s="1">
        <f t="shared" si="235"/>
        <v>1</v>
      </c>
      <c r="AI385" s="1">
        <f t="shared" si="236"/>
        <v>0</v>
      </c>
    </row>
    <row r="386" spans="1:35" ht="14.25" customHeight="1" x14ac:dyDescent="0.25">
      <c r="A386" s="44">
        <v>0</v>
      </c>
      <c r="B386" s="44">
        <v>2</v>
      </c>
      <c r="C386" s="44">
        <v>5</v>
      </c>
      <c r="D386" s="45" t="s">
        <v>1603</v>
      </c>
      <c r="E386" s="45" t="s">
        <v>159</v>
      </c>
      <c r="F386" s="45" t="s">
        <v>1675</v>
      </c>
      <c r="G386" s="45" t="s">
        <v>1468</v>
      </c>
      <c r="H386" s="45" t="s">
        <v>354</v>
      </c>
      <c r="I386" s="44" t="s">
        <v>1469</v>
      </c>
      <c r="J386" s="44">
        <v>99</v>
      </c>
      <c r="K386" s="46" t="s">
        <v>713</v>
      </c>
      <c r="L386" s="46" t="s">
        <v>696</v>
      </c>
      <c r="M386" s="47" t="s">
        <v>1470</v>
      </c>
      <c r="N386" s="47" t="s">
        <v>1747</v>
      </c>
      <c r="O386" s="48"/>
      <c r="P386" s="48"/>
      <c r="Q386" s="45"/>
      <c r="S386" s="1">
        <f t="shared" si="237"/>
        <v>0</v>
      </c>
      <c r="T386" s="1">
        <f t="shared" si="238"/>
        <v>0</v>
      </c>
      <c r="U386" s="1">
        <f t="shared" si="239"/>
        <v>0</v>
      </c>
      <c r="V386" s="1">
        <f t="shared" si="240"/>
        <v>0</v>
      </c>
      <c r="W386" s="1">
        <f t="shared" si="241"/>
        <v>0</v>
      </c>
      <c r="X386" s="1">
        <f t="shared" si="242"/>
        <v>0</v>
      </c>
      <c r="Y386" s="1">
        <f t="shared" si="243"/>
        <v>0</v>
      </c>
      <c r="Z386" s="1">
        <f t="shared" si="244"/>
        <v>0</v>
      </c>
      <c r="AA386" s="1">
        <f t="shared" si="245"/>
        <v>0</v>
      </c>
      <c r="AB386" s="1">
        <f t="shared" si="246"/>
        <v>0</v>
      </c>
      <c r="AD386" s="1">
        <f t="shared" si="247"/>
        <v>0</v>
      </c>
      <c r="AE386" s="1">
        <f t="shared" si="248"/>
        <v>0</v>
      </c>
      <c r="AF386" s="1">
        <f t="shared" ref="AF386:AF389" si="273">+O386*P386*(1-A386)</f>
        <v>0</v>
      </c>
      <c r="AG386" s="1">
        <f t="shared" ref="AG386:AG389" si="274">O386*(1-P386)*(1-A386)</f>
        <v>0</v>
      </c>
      <c r="AH386" s="1">
        <f t="shared" ref="AH386:AH389" si="275">+P386*(1-A386)</f>
        <v>0</v>
      </c>
      <c r="AI386" s="1">
        <f t="shared" ref="AI386:AI389" si="276">+(1-A386)*(1-P386)</f>
        <v>1</v>
      </c>
    </row>
    <row r="387" spans="1:35" ht="14.25" customHeight="1" x14ac:dyDescent="0.25">
      <c r="A387" s="31">
        <v>0</v>
      </c>
      <c r="B387" s="31">
        <v>2</v>
      </c>
      <c r="C387" s="31">
        <v>5</v>
      </c>
      <c r="D387" s="32" t="s">
        <v>2045</v>
      </c>
      <c r="E387" s="32" t="s">
        <v>2046</v>
      </c>
      <c r="F387" s="32" t="s">
        <v>2047</v>
      </c>
      <c r="G387" s="32" t="s">
        <v>2050</v>
      </c>
      <c r="H387" s="32" t="s">
        <v>354</v>
      </c>
      <c r="I387" s="31" t="s">
        <v>2048</v>
      </c>
      <c r="J387" s="31"/>
      <c r="K387" s="33" t="s">
        <v>1822</v>
      </c>
      <c r="L387" s="33"/>
      <c r="M387" s="34"/>
      <c r="N387" s="34" t="s">
        <v>1727</v>
      </c>
      <c r="O387" s="35">
        <v>1</v>
      </c>
      <c r="P387" s="35">
        <v>1</v>
      </c>
      <c r="Q387" s="32" t="s">
        <v>2049</v>
      </c>
      <c r="S387" s="1">
        <f t="shared" si="237"/>
        <v>0</v>
      </c>
      <c r="T387" s="1">
        <f t="shared" si="238"/>
        <v>0</v>
      </c>
      <c r="U387" s="1">
        <f t="shared" si="239"/>
        <v>0</v>
      </c>
      <c r="V387" s="1">
        <f t="shared" si="240"/>
        <v>0</v>
      </c>
      <c r="W387" s="1">
        <f t="shared" si="241"/>
        <v>0</v>
      </c>
      <c r="X387" s="1">
        <f t="shared" si="242"/>
        <v>0</v>
      </c>
      <c r="Y387" s="1">
        <f t="shared" si="243"/>
        <v>0</v>
      </c>
      <c r="Z387" s="1">
        <f t="shared" si="244"/>
        <v>0</v>
      </c>
      <c r="AA387" s="1">
        <f t="shared" si="245"/>
        <v>0</v>
      </c>
      <c r="AB387" s="1">
        <f t="shared" si="246"/>
        <v>0</v>
      </c>
      <c r="AD387" s="1">
        <f t="shared" si="247"/>
        <v>1</v>
      </c>
      <c r="AE387" s="1">
        <f t="shared" si="248"/>
        <v>0</v>
      </c>
      <c r="AF387" s="1">
        <f t="shared" si="273"/>
        <v>1</v>
      </c>
      <c r="AG387" s="1">
        <f t="shared" si="274"/>
        <v>0</v>
      </c>
      <c r="AH387" s="1">
        <f t="shared" si="275"/>
        <v>1</v>
      </c>
      <c r="AI387" s="1">
        <f t="shared" si="276"/>
        <v>0</v>
      </c>
    </row>
    <row r="388" spans="1:35" ht="14.25" customHeight="1" x14ac:dyDescent="0.25">
      <c r="A388" s="31">
        <v>0</v>
      </c>
      <c r="B388" s="31">
        <v>2</v>
      </c>
      <c r="C388" s="31">
        <v>5</v>
      </c>
      <c r="D388" s="32" t="s">
        <v>1778</v>
      </c>
      <c r="E388" s="32" t="s">
        <v>155</v>
      </c>
      <c r="F388" s="32" t="s">
        <v>1779</v>
      </c>
      <c r="G388" s="32" t="s">
        <v>656</v>
      </c>
      <c r="H388" s="32" t="s">
        <v>354</v>
      </c>
      <c r="I388" s="31" t="s">
        <v>1780</v>
      </c>
      <c r="J388" s="31"/>
      <c r="K388" s="33" t="s">
        <v>703</v>
      </c>
      <c r="L388" s="33">
        <v>40</v>
      </c>
      <c r="M388" s="34" t="s">
        <v>1781</v>
      </c>
      <c r="N388" s="34" t="s">
        <v>1743</v>
      </c>
      <c r="O388" s="35">
        <v>1</v>
      </c>
      <c r="P388" s="35"/>
      <c r="Q388" s="32"/>
      <c r="S388" s="1">
        <f t="shared" si="237"/>
        <v>0</v>
      </c>
      <c r="T388" s="1">
        <f t="shared" si="238"/>
        <v>0</v>
      </c>
      <c r="U388" s="1">
        <f t="shared" si="239"/>
        <v>0</v>
      </c>
      <c r="V388" s="1">
        <f t="shared" si="240"/>
        <v>0</v>
      </c>
      <c r="W388" s="1">
        <f t="shared" si="241"/>
        <v>0</v>
      </c>
      <c r="X388" s="1">
        <f t="shared" si="242"/>
        <v>0</v>
      </c>
      <c r="Y388" s="1">
        <f t="shared" si="243"/>
        <v>0</v>
      </c>
      <c r="Z388" s="1">
        <f t="shared" si="244"/>
        <v>0</v>
      </c>
      <c r="AA388" s="1">
        <f t="shared" si="245"/>
        <v>0</v>
      </c>
      <c r="AB388" s="1">
        <f t="shared" si="246"/>
        <v>0</v>
      </c>
      <c r="AD388" s="1">
        <f t="shared" si="247"/>
        <v>0</v>
      </c>
      <c r="AE388" s="1">
        <f t="shared" si="248"/>
        <v>1</v>
      </c>
      <c r="AF388" s="1">
        <f t="shared" si="273"/>
        <v>0</v>
      </c>
      <c r="AG388" s="1">
        <f t="shared" si="274"/>
        <v>1</v>
      </c>
      <c r="AH388" s="1">
        <f t="shared" si="275"/>
        <v>0</v>
      </c>
      <c r="AI388" s="1">
        <f t="shared" si="276"/>
        <v>1</v>
      </c>
    </row>
    <row r="389" spans="1:35" ht="14.25" customHeight="1" x14ac:dyDescent="0.25">
      <c r="A389" s="44">
        <v>0</v>
      </c>
      <c r="B389" s="44">
        <v>2</v>
      </c>
      <c r="C389" s="44">
        <v>5</v>
      </c>
      <c r="D389" s="45" t="s">
        <v>837</v>
      </c>
      <c r="E389" s="45" t="s">
        <v>831</v>
      </c>
      <c r="F389" s="45" t="s">
        <v>941</v>
      </c>
      <c r="G389" s="45" t="s">
        <v>180</v>
      </c>
      <c r="H389" s="45" t="s">
        <v>354</v>
      </c>
      <c r="I389" s="44" t="s">
        <v>1109</v>
      </c>
      <c r="J389" s="44">
        <v>10</v>
      </c>
      <c r="K389" s="46" t="s">
        <v>712</v>
      </c>
      <c r="L389" s="46" t="s">
        <v>693</v>
      </c>
      <c r="M389" s="47" t="s">
        <v>1429</v>
      </c>
      <c r="N389" s="47" t="s">
        <v>1741</v>
      </c>
      <c r="O389" s="48"/>
      <c r="P389" s="48"/>
      <c r="Q389" s="45"/>
      <c r="S389" s="1">
        <f t="shared" ref="S389" si="277">IF(J389=$S$7,1,0)</f>
        <v>0</v>
      </c>
      <c r="T389" s="1">
        <f t="shared" ref="T389" si="278">IF(J389=$T$7,1,0)</f>
        <v>0</v>
      </c>
      <c r="U389" s="1">
        <f t="shared" ref="U389" si="279">IF(J389=$U$7,1,0)</f>
        <v>0</v>
      </c>
      <c r="V389" s="1">
        <f t="shared" ref="V389" si="280">IF(J389=$V$7,1,0)</f>
        <v>0</v>
      </c>
      <c r="W389" s="1">
        <f t="shared" ref="W389" si="281">IF(J389=$W$7,1,0)</f>
        <v>0</v>
      </c>
      <c r="X389" s="1">
        <f t="shared" ref="X389" si="282">IF(J389=$X$7,1,0)</f>
        <v>0</v>
      </c>
      <c r="Y389" s="1">
        <f t="shared" ref="Y389" si="283">IF(J389=$Y$7,1,0)</f>
        <v>0</v>
      </c>
      <c r="Z389" s="1">
        <f t="shared" ref="Z389" si="284">IF(J389=$Z$7,1,0)</f>
        <v>0</v>
      </c>
      <c r="AA389" s="1">
        <f t="shared" ref="AA389" si="285">IF(J389=$AA$7,1,0)</f>
        <v>0</v>
      </c>
      <c r="AB389" s="1">
        <f t="shared" ref="AB389" si="286">IF(J389=$AB$7,1,0)</f>
        <v>1</v>
      </c>
      <c r="AD389" s="1">
        <f t="shared" ref="AD389" si="287">+O389*P389</f>
        <v>0</v>
      </c>
      <c r="AE389" s="1">
        <f t="shared" ref="AE389" si="288">O389*(1-P389)</f>
        <v>0</v>
      </c>
      <c r="AF389" s="1">
        <f t="shared" si="273"/>
        <v>0</v>
      </c>
      <c r="AG389" s="1">
        <f t="shared" si="274"/>
        <v>0</v>
      </c>
      <c r="AH389" s="1">
        <f t="shared" si="275"/>
        <v>0</v>
      </c>
      <c r="AI389" s="1">
        <f t="shared" si="276"/>
        <v>1</v>
      </c>
    </row>
    <row r="390" spans="1:35" ht="14.25" customHeight="1" x14ac:dyDescent="0.25">
      <c r="A390" s="57">
        <v>0</v>
      </c>
      <c r="B390" s="57">
        <v>2</v>
      </c>
      <c r="C390" s="57">
        <v>6</v>
      </c>
      <c r="D390" s="58" t="s">
        <v>1543</v>
      </c>
      <c r="E390" s="58" t="s">
        <v>27</v>
      </c>
      <c r="F390" s="58" t="s">
        <v>1545</v>
      </c>
      <c r="G390" s="58" t="s">
        <v>1534</v>
      </c>
      <c r="H390" s="58" t="s">
        <v>354</v>
      </c>
      <c r="I390" s="57" t="s">
        <v>1544</v>
      </c>
      <c r="J390" s="57">
        <v>5</v>
      </c>
      <c r="K390" s="59" t="s">
        <v>955</v>
      </c>
      <c r="L390" s="59" t="s">
        <v>39</v>
      </c>
      <c r="M390" s="60" t="s">
        <v>39</v>
      </c>
      <c r="N390" s="61"/>
      <c r="O390" s="62"/>
      <c r="P390" s="62"/>
      <c r="Q390" s="66" t="s">
        <v>1900</v>
      </c>
      <c r="S390" s="1">
        <f t="shared" si="237"/>
        <v>0</v>
      </c>
      <c r="T390" s="1">
        <f t="shared" si="238"/>
        <v>0</v>
      </c>
      <c r="U390" s="1">
        <f t="shared" si="239"/>
        <v>0</v>
      </c>
      <c r="V390" s="1">
        <f t="shared" si="240"/>
        <v>0</v>
      </c>
      <c r="W390" s="1">
        <f t="shared" si="241"/>
        <v>1</v>
      </c>
      <c r="X390" s="1">
        <f t="shared" si="242"/>
        <v>0</v>
      </c>
      <c r="Y390" s="1">
        <f t="shared" si="243"/>
        <v>0</v>
      </c>
      <c r="Z390" s="1">
        <f t="shared" si="244"/>
        <v>0</v>
      </c>
      <c r="AA390" s="1">
        <f t="shared" si="245"/>
        <v>0</v>
      </c>
      <c r="AB390" s="1">
        <f t="shared" si="246"/>
        <v>0</v>
      </c>
      <c r="AD390" s="1">
        <f t="shared" si="247"/>
        <v>0</v>
      </c>
      <c r="AE390" s="1">
        <f t="shared" si="248"/>
        <v>0</v>
      </c>
      <c r="AF390" s="1">
        <f t="shared" si="233"/>
        <v>0</v>
      </c>
      <c r="AG390" s="1">
        <f t="shared" si="234"/>
        <v>0</v>
      </c>
      <c r="AH390" s="1">
        <f t="shared" si="235"/>
        <v>0</v>
      </c>
      <c r="AI390" s="1">
        <f t="shared" si="236"/>
        <v>1</v>
      </c>
    </row>
    <row r="391" spans="1:35" ht="14.25" customHeight="1" x14ac:dyDescent="0.25">
      <c r="A391" s="44">
        <v>0</v>
      </c>
      <c r="B391" s="44">
        <v>2</v>
      </c>
      <c r="C391" s="44">
        <v>6</v>
      </c>
      <c r="D391" s="45" t="s">
        <v>519</v>
      </c>
      <c r="E391" s="45" t="s">
        <v>31</v>
      </c>
      <c r="F391" s="45" t="s">
        <v>672</v>
      </c>
      <c r="G391" s="45" t="s">
        <v>200</v>
      </c>
      <c r="H391" s="45" t="s">
        <v>354</v>
      </c>
      <c r="I391" s="44" t="s">
        <v>520</v>
      </c>
      <c r="J391" s="44">
        <v>2</v>
      </c>
      <c r="K391" s="46" t="s">
        <v>954</v>
      </c>
      <c r="L391" s="46" t="s">
        <v>694</v>
      </c>
      <c r="M391" s="47" t="s">
        <v>1430</v>
      </c>
      <c r="N391" s="47" t="s">
        <v>1735</v>
      </c>
      <c r="O391" s="48"/>
      <c r="P391" s="48"/>
      <c r="Q391" s="45"/>
      <c r="S391" s="1">
        <f t="shared" si="237"/>
        <v>0</v>
      </c>
      <c r="T391" s="1">
        <f t="shared" si="238"/>
        <v>1</v>
      </c>
      <c r="U391" s="1">
        <f t="shared" si="239"/>
        <v>0</v>
      </c>
      <c r="V391" s="1">
        <f t="shared" si="240"/>
        <v>0</v>
      </c>
      <c r="W391" s="1">
        <f t="shared" si="241"/>
        <v>0</v>
      </c>
      <c r="X391" s="1">
        <f t="shared" si="242"/>
        <v>0</v>
      </c>
      <c r="Y391" s="1">
        <f t="shared" si="243"/>
        <v>0</v>
      </c>
      <c r="Z391" s="1">
        <f t="shared" si="244"/>
        <v>0</v>
      </c>
      <c r="AA391" s="1">
        <f t="shared" si="245"/>
        <v>0</v>
      </c>
      <c r="AB391" s="1">
        <f t="shared" si="246"/>
        <v>0</v>
      </c>
      <c r="AD391" s="1">
        <f t="shared" si="247"/>
        <v>0</v>
      </c>
      <c r="AE391" s="1">
        <f t="shared" si="248"/>
        <v>0</v>
      </c>
      <c r="AF391" s="1">
        <f t="shared" si="233"/>
        <v>0</v>
      </c>
      <c r="AG391" s="1">
        <f t="shared" si="234"/>
        <v>0</v>
      </c>
      <c r="AH391" s="1">
        <f t="shared" si="235"/>
        <v>0</v>
      </c>
      <c r="AI391" s="1">
        <f t="shared" si="236"/>
        <v>1</v>
      </c>
    </row>
    <row r="392" spans="1:35" ht="14.25" customHeight="1" x14ac:dyDescent="0.25">
      <c r="A392" s="31">
        <v>0</v>
      </c>
      <c r="B392" s="31">
        <v>2</v>
      </c>
      <c r="C392" s="31">
        <v>6</v>
      </c>
      <c r="D392" s="32" t="s">
        <v>53</v>
      </c>
      <c r="E392" s="32" t="s">
        <v>31</v>
      </c>
      <c r="F392" s="32" t="s">
        <v>210</v>
      </c>
      <c r="G392" s="32" t="s">
        <v>211</v>
      </c>
      <c r="H392" s="32" t="s">
        <v>354</v>
      </c>
      <c r="I392" s="31" t="s">
        <v>392</v>
      </c>
      <c r="J392" s="31">
        <v>1</v>
      </c>
      <c r="K392" s="33" t="s">
        <v>712</v>
      </c>
      <c r="L392" s="33" t="s">
        <v>704</v>
      </c>
      <c r="M392" s="34" t="s">
        <v>728</v>
      </c>
      <c r="N392" s="34" t="s">
        <v>1743</v>
      </c>
      <c r="O392" s="35">
        <v>1</v>
      </c>
      <c r="P392" s="35"/>
      <c r="Q392" s="32"/>
      <c r="S392" s="1">
        <f t="shared" si="237"/>
        <v>1</v>
      </c>
      <c r="T392" s="1">
        <f t="shared" si="238"/>
        <v>0</v>
      </c>
      <c r="U392" s="1">
        <f t="shared" si="239"/>
        <v>0</v>
      </c>
      <c r="V392" s="1">
        <f t="shared" si="240"/>
        <v>0</v>
      </c>
      <c r="W392" s="1">
        <f t="shared" si="241"/>
        <v>0</v>
      </c>
      <c r="X392" s="1">
        <f t="shared" si="242"/>
        <v>0</v>
      </c>
      <c r="Y392" s="1">
        <f t="shared" si="243"/>
        <v>0</v>
      </c>
      <c r="Z392" s="1">
        <f t="shared" si="244"/>
        <v>0</v>
      </c>
      <c r="AA392" s="1">
        <f t="shared" si="245"/>
        <v>0</v>
      </c>
      <c r="AB392" s="1">
        <f t="shared" si="246"/>
        <v>0</v>
      </c>
      <c r="AD392" s="1">
        <f t="shared" si="247"/>
        <v>0</v>
      </c>
      <c r="AE392" s="1">
        <f t="shared" si="248"/>
        <v>1</v>
      </c>
      <c r="AF392" s="1">
        <f t="shared" si="233"/>
        <v>0</v>
      </c>
      <c r="AG392" s="1">
        <f t="shared" si="234"/>
        <v>1</v>
      </c>
      <c r="AH392" s="1">
        <f t="shared" si="235"/>
        <v>0</v>
      </c>
      <c r="AI392" s="1">
        <f t="shared" si="236"/>
        <v>1</v>
      </c>
    </row>
    <row r="393" spans="1:35" ht="14.25" customHeight="1" x14ac:dyDescent="0.25">
      <c r="A393" s="31">
        <v>0</v>
      </c>
      <c r="B393" s="31">
        <v>2</v>
      </c>
      <c r="C393" s="31">
        <v>6</v>
      </c>
      <c r="D393" s="32" t="s">
        <v>1862</v>
      </c>
      <c r="E393" s="32" t="s">
        <v>1863</v>
      </c>
      <c r="F393" s="32" t="s">
        <v>1864</v>
      </c>
      <c r="G393" s="32"/>
      <c r="H393" s="32" t="s">
        <v>354</v>
      </c>
      <c r="I393" s="31" t="s">
        <v>1865</v>
      </c>
      <c r="J393" s="31">
        <v>99</v>
      </c>
      <c r="K393" s="33" t="s">
        <v>703</v>
      </c>
      <c r="L393" s="33">
        <v>25</v>
      </c>
      <c r="M393" s="34" t="s">
        <v>1866</v>
      </c>
      <c r="N393" s="34" t="s">
        <v>1743</v>
      </c>
      <c r="O393" s="35">
        <v>1</v>
      </c>
      <c r="P393" s="35"/>
      <c r="Q393" s="32" t="s">
        <v>2051</v>
      </c>
      <c r="S393" s="1">
        <f t="shared" si="237"/>
        <v>0</v>
      </c>
      <c r="T393" s="1">
        <f t="shared" si="238"/>
        <v>0</v>
      </c>
      <c r="U393" s="1">
        <f t="shared" si="239"/>
        <v>0</v>
      </c>
      <c r="V393" s="1">
        <f t="shared" si="240"/>
        <v>0</v>
      </c>
      <c r="W393" s="1">
        <f t="shared" si="241"/>
        <v>0</v>
      </c>
      <c r="X393" s="1">
        <f t="shared" si="242"/>
        <v>0</v>
      </c>
      <c r="Y393" s="1">
        <f t="shared" si="243"/>
        <v>0</v>
      </c>
      <c r="Z393" s="1">
        <f t="shared" si="244"/>
        <v>0</v>
      </c>
      <c r="AA393" s="1">
        <f t="shared" si="245"/>
        <v>0</v>
      </c>
      <c r="AB393" s="1">
        <f t="shared" si="246"/>
        <v>0</v>
      </c>
      <c r="AD393" s="1">
        <f t="shared" si="247"/>
        <v>0</v>
      </c>
      <c r="AE393" s="1">
        <f t="shared" si="248"/>
        <v>1</v>
      </c>
      <c r="AF393" s="1">
        <f t="shared" si="233"/>
        <v>0</v>
      </c>
      <c r="AG393" s="1">
        <f t="shared" si="234"/>
        <v>1</v>
      </c>
      <c r="AH393" s="1">
        <f t="shared" si="235"/>
        <v>0</v>
      </c>
      <c r="AI393" s="1">
        <f t="shared" si="236"/>
        <v>1</v>
      </c>
    </row>
    <row r="394" spans="1:35" ht="14.25" customHeight="1" x14ac:dyDescent="0.25">
      <c r="A394" s="15">
        <v>0</v>
      </c>
      <c r="B394" s="15">
        <v>2</v>
      </c>
      <c r="C394" s="15">
        <v>6</v>
      </c>
      <c r="D394" s="16" t="s">
        <v>80</v>
      </c>
      <c r="E394" s="16" t="s">
        <v>31</v>
      </c>
      <c r="F394" s="16" t="s">
        <v>270</v>
      </c>
      <c r="G394" s="16" t="s">
        <v>224</v>
      </c>
      <c r="H394" s="16" t="s">
        <v>354</v>
      </c>
      <c r="I394" s="15" t="s">
        <v>678</v>
      </c>
      <c r="J394" s="15">
        <v>99</v>
      </c>
      <c r="K394" s="10" t="s">
        <v>955</v>
      </c>
      <c r="L394" s="10" t="s">
        <v>694</v>
      </c>
      <c r="M394" s="19" t="s">
        <v>1431</v>
      </c>
      <c r="N394" s="19"/>
      <c r="Q394" s="16"/>
      <c r="S394" s="1">
        <f t="shared" si="237"/>
        <v>0</v>
      </c>
      <c r="T394" s="1">
        <f t="shared" si="238"/>
        <v>0</v>
      </c>
      <c r="U394" s="1">
        <f t="shared" si="239"/>
        <v>0</v>
      </c>
      <c r="V394" s="1">
        <f t="shared" si="240"/>
        <v>0</v>
      </c>
      <c r="W394" s="1">
        <f t="shared" si="241"/>
        <v>0</v>
      </c>
      <c r="X394" s="1">
        <f t="shared" si="242"/>
        <v>0</v>
      </c>
      <c r="Y394" s="1">
        <f t="shared" si="243"/>
        <v>0</v>
      </c>
      <c r="Z394" s="1">
        <f t="shared" si="244"/>
        <v>0</v>
      </c>
      <c r="AA394" s="1">
        <f t="shared" si="245"/>
        <v>0</v>
      </c>
      <c r="AB394" s="1">
        <f t="shared" si="246"/>
        <v>0</v>
      </c>
      <c r="AD394" s="1">
        <f t="shared" si="247"/>
        <v>0</v>
      </c>
      <c r="AE394" s="1">
        <f t="shared" si="248"/>
        <v>0</v>
      </c>
      <c r="AF394" s="1">
        <f t="shared" si="233"/>
        <v>0</v>
      </c>
      <c r="AG394" s="1">
        <f t="shared" si="234"/>
        <v>0</v>
      </c>
      <c r="AH394" s="1">
        <f t="shared" si="235"/>
        <v>0</v>
      </c>
      <c r="AI394" s="1">
        <f t="shared" si="236"/>
        <v>1</v>
      </c>
    </row>
    <row r="395" spans="1:35" ht="14.25" customHeight="1" x14ac:dyDescent="0.25">
      <c r="A395" s="44">
        <v>0</v>
      </c>
      <c r="B395" s="44">
        <v>2</v>
      </c>
      <c r="C395" s="44">
        <v>6</v>
      </c>
      <c r="D395" s="45" t="s">
        <v>639</v>
      </c>
      <c r="E395" s="45" t="s">
        <v>31</v>
      </c>
      <c r="F395" s="45" t="s">
        <v>640</v>
      </c>
      <c r="G395" s="45" t="s">
        <v>240</v>
      </c>
      <c r="H395" s="45" t="s">
        <v>354</v>
      </c>
      <c r="I395" s="44" t="s">
        <v>641</v>
      </c>
      <c r="J395" s="44">
        <v>1</v>
      </c>
      <c r="K395" s="46" t="s">
        <v>713</v>
      </c>
      <c r="L395" s="46" t="s">
        <v>694</v>
      </c>
      <c r="M395" s="47" t="s">
        <v>1432</v>
      </c>
      <c r="N395" s="47" t="s">
        <v>1735</v>
      </c>
      <c r="O395" s="48"/>
      <c r="P395" s="48"/>
      <c r="Q395" s="45"/>
      <c r="S395" s="1">
        <f t="shared" si="237"/>
        <v>1</v>
      </c>
      <c r="T395" s="1">
        <f t="shared" si="238"/>
        <v>0</v>
      </c>
      <c r="U395" s="1">
        <f t="shared" si="239"/>
        <v>0</v>
      </c>
      <c r="V395" s="1">
        <f t="shared" si="240"/>
        <v>0</v>
      </c>
      <c r="W395" s="1">
        <f t="shared" si="241"/>
        <v>0</v>
      </c>
      <c r="X395" s="1">
        <f t="shared" si="242"/>
        <v>0</v>
      </c>
      <c r="Y395" s="1">
        <f t="shared" si="243"/>
        <v>0</v>
      </c>
      <c r="Z395" s="1">
        <f t="shared" si="244"/>
        <v>0</v>
      </c>
      <c r="AA395" s="1">
        <f t="shared" si="245"/>
        <v>0</v>
      </c>
      <c r="AB395" s="1">
        <f t="shared" si="246"/>
        <v>0</v>
      </c>
      <c r="AD395" s="1">
        <f t="shared" si="247"/>
        <v>0</v>
      </c>
      <c r="AE395" s="1">
        <f t="shared" si="248"/>
        <v>0</v>
      </c>
      <c r="AF395" s="1">
        <f t="shared" si="233"/>
        <v>0</v>
      </c>
      <c r="AG395" s="1">
        <f t="shared" si="234"/>
        <v>0</v>
      </c>
      <c r="AH395" s="1">
        <f t="shared" si="235"/>
        <v>0</v>
      </c>
      <c r="AI395" s="1">
        <f t="shared" si="236"/>
        <v>1</v>
      </c>
    </row>
    <row r="396" spans="1:35" ht="14.25" customHeight="1" x14ac:dyDescent="0.25">
      <c r="A396" s="44">
        <v>0</v>
      </c>
      <c r="B396" s="44">
        <v>2</v>
      </c>
      <c r="C396" s="44">
        <v>6</v>
      </c>
      <c r="D396" s="45" t="s">
        <v>1135</v>
      </c>
      <c r="E396" s="45" t="s">
        <v>31</v>
      </c>
      <c r="F396" s="45" t="s">
        <v>672</v>
      </c>
      <c r="G396" s="45" t="s">
        <v>200</v>
      </c>
      <c r="H396" s="45" t="s">
        <v>354</v>
      </c>
      <c r="I396" s="44" t="s">
        <v>520</v>
      </c>
      <c r="J396" s="44">
        <v>2</v>
      </c>
      <c r="K396" s="46" t="s">
        <v>712</v>
      </c>
      <c r="L396" s="46" t="s">
        <v>694</v>
      </c>
      <c r="M396" s="47" t="s">
        <v>728</v>
      </c>
      <c r="N396" s="47" t="s">
        <v>1735</v>
      </c>
      <c r="O396" s="48"/>
      <c r="P396" s="48"/>
      <c r="Q396" s="45"/>
      <c r="S396" s="1">
        <f t="shared" si="237"/>
        <v>0</v>
      </c>
      <c r="T396" s="1">
        <f t="shared" si="238"/>
        <v>1</v>
      </c>
      <c r="U396" s="1">
        <f t="shared" si="239"/>
        <v>0</v>
      </c>
      <c r="V396" s="1">
        <f t="shared" si="240"/>
        <v>0</v>
      </c>
      <c r="W396" s="1">
        <f t="shared" si="241"/>
        <v>0</v>
      </c>
      <c r="X396" s="1">
        <f t="shared" si="242"/>
        <v>0</v>
      </c>
      <c r="Y396" s="1">
        <f t="shared" si="243"/>
        <v>0</v>
      </c>
      <c r="Z396" s="1">
        <f t="shared" si="244"/>
        <v>0</v>
      </c>
      <c r="AA396" s="1">
        <f t="shared" si="245"/>
        <v>0</v>
      </c>
      <c r="AB396" s="1">
        <f t="shared" si="246"/>
        <v>0</v>
      </c>
      <c r="AD396" s="1">
        <f t="shared" si="247"/>
        <v>0</v>
      </c>
      <c r="AE396" s="1">
        <f t="shared" si="248"/>
        <v>0</v>
      </c>
      <c r="AF396" s="1">
        <f t="shared" si="233"/>
        <v>0</v>
      </c>
      <c r="AG396" s="1">
        <f t="shared" si="234"/>
        <v>0</v>
      </c>
      <c r="AH396" s="1">
        <f t="shared" si="235"/>
        <v>0</v>
      </c>
      <c r="AI396" s="1">
        <f t="shared" si="236"/>
        <v>1</v>
      </c>
    </row>
    <row r="397" spans="1:35" ht="14.25" customHeight="1" x14ac:dyDescent="0.25">
      <c r="A397" s="44">
        <v>0</v>
      </c>
      <c r="B397" s="44">
        <v>2</v>
      </c>
      <c r="C397" s="44">
        <v>6</v>
      </c>
      <c r="D397" s="45" t="s">
        <v>1083</v>
      </c>
      <c r="E397" s="45" t="s">
        <v>159</v>
      </c>
      <c r="F397" s="45" t="s">
        <v>198</v>
      </c>
      <c r="G397" s="45" t="s">
        <v>199</v>
      </c>
      <c r="H397" s="45" t="s">
        <v>354</v>
      </c>
      <c r="I397" s="44" t="s">
        <v>388</v>
      </c>
      <c r="J397" s="44">
        <v>99</v>
      </c>
      <c r="K397" s="46" t="s">
        <v>712</v>
      </c>
      <c r="L397" s="46" t="s">
        <v>716</v>
      </c>
      <c r="M397" s="47" t="s">
        <v>730</v>
      </c>
      <c r="N397" s="47" t="s">
        <v>1734</v>
      </c>
      <c r="O397" s="48"/>
      <c r="P397" s="48"/>
      <c r="Q397" s="45"/>
      <c r="S397" s="1">
        <f t="shared" si="237"/>
        <v>0</v>
      </c>
      <c r="T397" s="1">
        <f t="shared" si="238"/>
        <v>0</v>
      </c>
      <c r="U397" s="1">
        <f t="shared" si="239"/>
        <v>0</v>
      </c>
      <c r="V397" s="1">
        <f t="shared" si="240"/>
        <v>0</v>
      </c>
      <c r="W397" s="1">
        <f t="shared" si="241"/>
        <v>0</v>
      </c>
      <c r="X397" s="1">
        <f t="shared" si="242"/>
        <v>0</v>
      </c>
      <c r="Y397" s="1">
        <f t="shared" si="243"/>
        <v>0</v>
      </c>
      <c r="Z397" s="1">
        <f t="shared" si="244"/>
        <v>0</v>
      </c>
      <c r="AA397" s="1">
        <f t="shared" si="245"/>
        <v>0</v>
      </c>
      <c r="AB397" s="1">
        <f t="shared" si="246"/>
        <v>0</v>
      </c>
      <c r="AD397" s="1">
        <f t="shared" si="247"/>
        <v>0</v>
      </c>
      <c r="AE397" s="1">
        <f t="shared" si="248"/>
        <v>0</v>
      </c>
      <c r="AF397" s="1">
        <f t="shared" si="233"/>
        <v>0</v>
      </c>
      <c r="AG397" s="1">
        <f t="shared" si="234"/>
        <v>0</v>
      </c>
      <c r="AH397" s="1">
        <f t="shared" si="235"/>
        <v>0</v>
      </c>
      <c r="AI397" s="1">
        <f t="shared" si="236"/>
        <v>1</v>
      </c>
    </row>
    <row r="398" spans="1:35" ht="14.25" customHeight="1" x14ac:dyDescent="0.25">
      <c r="A398" s="31">
        <v>0</v>
      </c>
      <c r="B398" s="31">
        <v>2</v>
      </c>
      <c r="C398" s="31">
        <v>7</v>
      </c>
      <c r="D398" s="32" t="s">
        <v>509</v>
      </c>
      <c r="E398" s="32" t="s">
        <v>156</v>
      </c>
      <c r="F398" s="32" t="s">
        <v>510</v>
      </c>
      <c r="G398" s="32" t="s">
        <v>39</v>
      </c>
      <c r="H398" s="32" t="s">
        <v>354</v>
      </c>
      <c r="I398" s="31" t="s">
        <v>942</v>
      </c>
      <c r="J398" s="31">
        <v>7</v>
      </c>
      <c r="K398" s="33" t="s">
        <v>955</v>
      </c>
      <c r="L398" s="33" t="s">
        <v>39</v>
      </c>
      <c r="M398" s="34" t="s">
        <v>39</v>
      </c>
      <c r="N398" s="34" t="s">
        <v>1727</v>
      </c>
      <c r="O398" s="35">
        <v>1</v>
      </c>
      <c r="P398" s="35">
        <v>1</v>
      </c>
      <c r="Q398" s="32"/>
      <c r="S398" s="1">
        <f t="shared" si="237"/>
        <v>0</v>
      </c>
      <c r="T398" s="1">
        <f t="shared" si="238"/>
        <v>0</v>
      </c>
      <c r="U398" s="1">
        <f t="shared" si="239"/>
        <v>0</v>
      </c>
      <c r="V398" s="1">
        <f t="shared" si="240"/>
        <v>0</v>
      </c>
      <c r="W398" s="1">
        <f t="shared" si="241"/>
        <v>0</v>
      </c>
      <c r="X398" s="1">
        <f t="shared" si="242"/>
        <v>0</v>
      </c>
      <c r="Y398" s="1">
        <f t="shared" si="243"/>
        <v>1</v>
      </c>
      <c r="Z398" s="1">
        <f t="shared" si="244"/>
        <v>0</v>
      </c>
      <c r="AA398" s="1">
        <f t="shared" si="245"/>
        <v>0</v>
      </c>
      <c r="AB398" s="1">
        <f t="shared" si="246"/>
        <v>0</v>
      </c>
      <c r="AD398" s="1">
        <f t="shared" si="247"/>
        <v>1</v>
      </c>
      <c r="AE398" s="1">
        <f t="shared" si="248"/>
        <v>0</v>
      </c>
      <c r="AF398" s="1">
        <f t="shared" si="233"/>
        <v>1</v>
      </c>
      <c r="AG398" s="1">
        <f t="shared" si="234"/>
        <v>0</v>
      </c>
      <c r="AH398" s="1">
        <f t="shared" si="235"/>
        <v>1</v>
      </c>
      <c r="AI398" s="1">
        <f t="shared" si="236"/>
        <v>0</v>
      </c>
    </row>
    <row r="399" spans="1:35" ht="14.25" customHeight="1" x14ac:dyDescent="0.25">
      <c r="A399" s="31">
        <v>0</v>
      </c>
      <c r="B399" s="31">
        <v>2</v>
      </c>
      <c r="C399" s="31">
        <v>7</v>
      </c>
      <c r="D399" s="32" t="s">
        <v>70</v>
      </c>
      <c r="E399" s="32" t="s">
        <v>28</v>
      </c>
      <c r="F399" s="32" t="s">
        <v>673</v>
      </c>
      <c r="G399" s="32" t="s">
        <v>258</v>
      </c>
      <c r="H399" s="32" t="s">
        <v>354</v>
      </c>
      <c r="I399" s="31" t="s">
        <v>417</v>
      </c>
      <c r="J399" s="31">
        <v>8</v>
      </c>
      <c r="K399" s="33" t="s">
        <v>713</v>
      </c>
      <c r="L399" s="33" t="s">
        <v>713</v>
      </c>
      <c r="M399" s="34" t="s">
        <v>731</v>
      </c>
      <c r="N399" s="34" t="s">
        <v>1743</v>
      </c>
      <c r="O399" s="35">
        <v>1</v>
      </c>
      <c r="P399" s="35"/>
      <c r="Q399" s="32"/>
      <c r="S399" s="1">
        <f t="shared" si="237"/>
        <v>0</v>
      </c>
      <c r="T399" s="1">
        <f t="shared" si="238"/>
        <v>0</v>
      </c>
      <c r="U399" s="1">
        <f t="shared" si="239"/>
        <v>0</v>
      </c>
      <c r="V399" s="1">
        <f t="shared" si="240"/>
        <v>0</v>
      </c>
      <c r="W399" s="1">
        <f t="shared" si="241"/>
        <v>0</v>
      </c>
      <c r="X399" s="1">
        <f t="shared" si="242"/>
        <v>0</v>
      </c>
      <c r="Y399" s="1">
        <f t="shared" si="243"/>
        <v>0</v>
      </c>
      <c r="Z399" s="1">
        <f t="shared" si="244"/>
        <v>1</v>
      </c>
      <c r="AA399" s="1">
        <f t="shared" si="245"/>
        <v>0</v>
      </c>
      <c r="AB399" s="1">
        <f t="shared" si="246"/>
        <v>0</v>
      </c>
      <c r="AD399" s="1">
        <f t="shared" si="247"/>
        <v>0</v>
      </c>
      <c r="AE399" s="1">
        <f t="shared" si="248"/>
        <v>1</v>
      </c>
      <c r="AF399" s="1">
        <f t="shared" si="233"/>
        <v>0</v>
      </c>
      <c r="AG399" s="1">
        <f t="shared" si="234"/>
        <v>1</v>
      </c>
      <c r="AH399" s="1">
        <f t="shared" si="235"/>
        <v>0</v>
      </c>
      <c r="AI399" s="1">
        <f t="shared" si="236"/>
        <v>1</v>
      </c>
    </row>
    <row r="400" spans="1:35" ht="14.25" customHeight="1" x14ac:dyDescent="0.25">
      <c r="A400" s="31">
        <v>0</v>
      </c>
      <c r="B400" s="31">
        <v>2</v>
      </c>
      <c r="C400" s="31">
        <v>7</v>
      </c>
      <c r="D400" s="32" t="s">
        <v>654</v>
      </c>
      <c r="E400" s="32" t="s">
        <v>156</v>
      </c>
      <c r="F400" s="32" t="s">
        <v>585</v>
      </c>
      <c r="G400" s="32" t="s">
        <v>249</v>
      </c>
      <c r="H400" s="32" t="s">
        <v>354</v>
      </c>
      <c r="I400" s="31" t="s">
        <v>679</v>
      </c>
      <c r="J400" s="31">
        <v>7</v>
      </c>
      <c r="K400" s="33" t="s">
        <v>955</v>
      </c>
      <c r="L400" s="33" t="s">
        <v>39</v>
      </c>
      <c r="M400" s="34" t="s">
        <v>39</v>
      </c>
      <c r="N400" s="34" t="s">
        <v>1727</v>
      </c>
      <c r="O400" s="35">
        <v>1</v>
      </c>
      <c r="P400" s="35">
        <v>1</v>
      </c>
      <c r="Q400" s="32"/>
      <c r="S400" s="1">
        <f t="shared" si="237"/>
        <v>0</v>
      </c>
      <c r="T400" s="1">
        <f t="shared" si="238"/>
        <v>0</v>
      </c>
      <c r="U400" s="1">
        <f t="shared" si="239"/>
        <v>0</v>
      </c>
      <c r="V400" s="1">
        <f t="shared" si="240"/>
        <v>0</v>
      </c>
      <c r="W400" s="1">
        <f t="shared" si="241"/>
        <v>0</v>
      </c>
      <c r="X400" s="1">
        <f t="shared" si="242"/>
        <v>0</v>
      </c>
      <c r="Y400" s="1">
        <f t="shared" si="243"/>
        <v>1</v>
      </c>
      <c r="Z400" s="1">
        <f t="shared" si="244"/>
        <v>0</v>
      </c>
      <c r="AA400" s="1">
        <f t="shared" si="245"/>
        <v>0</v>
      </c>
      <c r="AB400" s="1">
        <f t="shared" si="246"/>
        <v>0</v>
      </c>
      <c r="AD400" s="1">
        <f t="shared" si="247"/>
        <v>1</v>
      </c>
      <c r="AE400" s="1">
        <f t="shared" si="248"/>
        <v>0</v>
      </c>
      <c r="AF400" s="1">
        <f t="shared" si="233"/>
        <v>1</v>
      </c>
      <c r="AG400" s="1">
        <f t="shared" si="234"/>
        <v>0</v>
      </c>
      <c r="AH400" s="1">
        <f t="shared" si="235"/>
        <v>1</v>
      </c>
      <c r="AI400" s="1">
        <f t="shared" si="236"/>
        <v>0</v>
      </c>
    </row>
    <row r="401" spans="1:35" ht="14.25" customHeight="1" x14ac:dyDescent="0.25">
      <c r="A401" s="44">
        <v>0</v>
      </c>
      <c r="B401" s="44">
        <v>2</v>
      </c>
      <c r="C401" s="44">
        <v>7</v>
      </c>
      <c r="D401" s="45" t="s">
        <v>1634</v>
      </c>
      <c r="E401" s="45" t="s">
        <v>156</v>
      </c>
      <c r="F401" s="45" t="s">
        <v>1657</v>
      </c>
      <c r="G401" s="45" t="s">
        <v>213</v>
      </c>
      <c r="H401" s="45" t="s">
        <v>354</v>
      </c>
      <c r="I401" s="44" t="s">
        <v>594</v>
      </c>
      <c r="J401" s="44">
        <v>1</v>
      </c>
      <c r="K401" s="46" t="s">
        <v>712</v>
      </c>
      <c r="L401" s="46" t="s">
        <v>722</v>
      </c>
      <c r="M401" s="47" t="s">
        <v>1433</v>
      </c>
      <c r="N401" s="47" t="s">
        <v>1735</v>
      </c>
      <c r="O401" s="48"/>
      <c r="P401" s="48"/>
      <c r="Q401" s="45"/>
      <c r="S401" s="1">
        <f t="shared" si="237"/>
        <v>1</v>
      </c>
      <c r="T401" s="1">
        <f t="shared" si="238"/>
        <v>0</v>
      </c>
      <c r="U401" s="1">
        <f t="shared" si="239"/>
        <v>0</v>
      </c>
      <c r="V401" s="1">
        <f t="shared" si="240"/>
        <v>0</v>
      </c>
      <c r="W401" s="1">
        <f t="shared" si="241"/>
        <v>0</v>
      </c>
      <c r="X401" s="1">
        <f t="shared" si="242"/>
        <v>0</v>
      </c>
      <c r="Y401" s="1">
        <f t="shared" si="243"/>
        <v>0</v>
      </c>
      <c r="Z401" s="1">
        <f t="shared" si="244"/>
        <v>0</v>
      </c>
      <c r="AA401" s="1">
        <f t="shared" si="245"/>
        <v>0</v>
      </c>
      <c r="AB401" s="1">
        <f t="shared" si="246"/>
        <v>0</v>
      </c>
      <c r="AD401" s="1">
        <f t="shared" si="247"/>
        <v>0</v>
      </c>
      <c r="AE401" s="1">
        <f t="shared" si="248"/>
        <v>0</v>
      </c>
      <c r="AF401" s="1">
        <f t="shared" si="233"/>
        <v>0</v>
      </c>
      <c r="AG401" s="1">
        <f t="shared" si="234"/>
        <v>0</v>
      </c>
      <c r="AH401" s="1">
        <f t="shared" si="235"/>
        <v>0</v>
      </c>
      <c r="AI401" s="1">
        <f t="shared" si="236"/>
        <v>1</v>
      </c>
    </row>
    <row r="402" spans="1:35" ht="14.25" customHeight="1" x14ac:dyDescent="0.25">
      <c r="A402" s="44">
        <v>0</v>
      </c>
      <c r="B402" s="44">
        <v>2</v>
      </c>
      <c r="C402" s="44">
        <v>7</v>
      </c>
      <c r="D402" s="45" t="s">
        <v>1070</v>
      </c>
      <c r="E402" s="45" t="s">
        <v>1046</v>
      </c>
      <c r="F402" s="45" t="s">
        <v>1071</v>
      </c>
      <c r="G402" s="45" t="s">
        <v>213</v>
      </c>
      <c r="H402" s="45" t="s">
        <v>354</v>
      </c>
      <c r="I402" s="44" t="s">
        <v>1072</v>
      </c>
      <c r="J402" s="44">
        <v>1</v>
      </c>
      <c r="K402" s="46" t="s">
        <v>955</v>
      </c>
      <c r="L402" s="46" t="s">
        <v>722</v>
      </c>
      <c r="M402" s="47" t="s">
        <v>1434</v>
      </c>
      <c r="N402" s="47" t="s">
        <v>1735</v>
      </c>
      <c r="O402" s="48"/>
      <c r="P402" s="48"/>
      <c r="Q402" s="45" t="s">
        <v>1918</v>
      </c>
      <c r="S402" s="1">
        <f t="shared" si="237"/>
        <v>1</v>
      </c>
      <c r="T402" s="1">
        <f t="shared" si="238"/>
        <v>0</v>
      </c>
      <c r="U402" s="1">
        <f t="shared" si="239"/>
        <v>0</v>
      </c>
      <c r="V402" s="1">
        <f t="shared" si="240"/>
        <v>0</v>
      </c>
      <c r="W402" s="1">
        <f t="shared" si="241"/>
        <v>0</v>
      </c>
      <c r="X402" s="1">
        <f t="shared" si="242"/>
        <v>0</v>
      </c>
      <c r="Y402" s="1">
        <f t="shared" si="243"/>
        <v>0</v>
      </c>
      <c r="Z402" s="1">
        <f t="shared" si="244"/>
        <v>0</v>
      </c>
      <c r="AA402" s="1">
        <f t="shared" si="245"/>
        <v>0</v>
      </c>
      <c r="AB402" s="1">
        <f t="shared" si="246"/>
        <v>0</v>
      </c>
      <c r="AD402" s="1">
        <f t="shared" si="247"/>
        <v>0</v>
      </c>
      <c r="AE402" s="1">
        <f t="shared" si="248"/>
        <v>0</v>
      </c>
      <c r="AF402" s="1">
        <f t="shared" si="233"/>
        <v>0</v>
      </c>
      <c r="AG402" s="1">
        <f t="shared" si="234"/>
        <v>0</v>
      </c>
      <c r="AH402" s="1">
        <f t="shared" si="235"/>
        <v>0</v>
      </c>
      <c r="AI402" s="1">
        <f t="shared" si="236"/>
        <v>1</v>
      </c>
    </row>
    <row r="403" spans="1:35" ht="14.25" customHeight="1" x14ac:dyDescent="0.25">
      <c r="A403" s="31">
        <v>0</v>
      </c>
      <c r="B403" s="31">
        <v>2</v>
      </c>
      <c r="C403" s="31">
        <v>7</v>
      </c>
      <c r="D403" s="32" t="s">
        <v>1017</v>
      </c>
      <c r="E403" s="32" t="s">
        <v>156</v>
      </c>
      <c r="F403" s="32" t="s">
        <v>1088</v>
      </c>
      <c r="G403" s="32" t="s">
        <v>1098</v>
      </c>
      <c r="H403" s="32" t="s">
        <v>354</v>
      </c>
      <c r="I403" s="31" t="s">
        <v>1018</v>
      </c>
      <c r="J403" s="31">
        <v>99</v>
      </c>
      <c r="K403" s="33" t="s">
        <v>713</v>
      </c>
      <c r="L403" s="33" t="s">
        <v>722</v>
      </c>
      <c r="M403" s="34" t="s">
        <v>1434</v>
      </c>
      <c r="N403" s="34" t="s">
        <v>1748</v>
      </c>
      <c r="O403" s="35">
        <v>1</v>
      </c>
      <c r="P403" s="35"/>
      <c r="Q403" s="32"/>
      <c r="S403" s="1">
        <f t="shared" si="237"/>
        <v>0</v>
      </c>
      <c r="T403" s="1">
        <f t="shared" si="238"/>
        <v>0</v>
      </c>
      <c r="U403" s="1">
        <f t="shared" si="239"/>
        <v>0</v>
      </c>
      <c r="V403" s="1">
        <f t="shared" si="240"/>
        <v>0</v>
      </c>
      <c r="W403" s="1">
        <f t="shared" si="241"/>
        <v>0</v>
      </c>
      <c r="X403" s="1">
        <f t="shared" si="242"/>
        <v>0</v>
      </c>
      <c r="Y403" s="1">
        <f t="shared" si="243"/>
        <v>0</v>
      </c>
      <c r="Z403" s="1">
        <f t="shared" si="244"/>
        <v>0</v>
      </c>
      <c r="AA403" s="1">
        <f t="shared" si="245"/>
        <v>0</v>
      </c>
      <c r="AB403" s="1">
        <f t="shared" si="246"/>
        <v>0</v>
      </c>
      <c r="AD403" s="1">
        <f t="shared" si="247"/>
        <v>0</v>
      </c>
      <c r="AE403" s="1">
        <f t="shared" si="248"/>
        <v>1</v>
      </c>
      <c r="AF403" s="1">
        <f t="shared" si="233"/>
        <v>0</v>
      </c>
      <c r="AG403" s="1">
        <f t="shared" si="234"/>
        <v>1</v>
      </c>
      <c r="AH403" s="1">
        <f t="shared" si="235"/>
        <v>0</v>
      </c>
      <c r="AI403" s="1">
        <f t="shared" si="236"/>
        <v>1</v>
      </c>
    </row>
    <row r="404" spans="1:35" ht="14.25" customHeight="1" x14ac:dyDescent="0.25">
      <c r="A404" s="31">
        <v>0</v>
      </c>
      <c r="B404" s="31">
        <v>2</v>
      </c>
      <c r="C404" s="31">
        <v>7</v>
      </c>
      <c r="D404" s="32" t="s">
        <v>1205</v>
      </c>
      <c r="E404" s="32" t="s">
        <v>1332</v>
      </c>
      <c r="F404" s="32" t="s">
        <v>1206</v>
      </c>
      <c r="G404" s="32" t="s">
        <v>39</v>
      </c>
      <c r="H404" s="32" t="s">
        <v>354</v>
      </c>
      <c r="I404" s="31" t="s">
        <v>1685</v>
      </c>
      <c r="J404" s="31">
        <v>99</v>
      </c>
      <c r="K404" s="33" t="s">
        <v>955</v>
      </c>
      <c r="L404" s="33" t="s">
        <v>729</v>
      </c>
      <c r="M404" s="34" t="s">
        <v>1435</v>
      </c>
      <c r="N404" s="34" t="s">
        <v>1748</v>
      </c>
      <c r="O404" s="35">
        <v>1</v>
      </c>
      <c r="P404" s="35"/>
      <c r="Q404" s="32"/>
      <c r="S404" s="1">
        <f t="shared" si="237"/>
        <v>0</v>
      </c>
      <c r="T404" s="1">
        <f t="shared" si="238"/>
        <v>0</v>
      </c>
      <c r="U404" s="1">
        <f t="shared" si="239"/>
        <v>0</v>
      </c>
      <c r="V404" s="1">
        <f t="shared" si="240"/>
        <v>0</v>
      </c>
      <c r="W404" s="1">
        <f t="shared" si="241"/>
        <v>0</v>
      </c>
      <c r="X404" s="1">
        <f t="shared" si="242"/>
        <v>0</v>
      </c>
      <c r="Y404" s="1">
        <f t="shared" si="243"/>
        <v>0</v>
      </c>
      <c r="Z404" s="1">
        <f t="shared" si="244"/>
        <v>0</v>
      </c>
      <c r="AA404" s="1">
        <f t="shared" si="245"/>
        <v>0</v>
      </c>
      <c r="AB404" s="1">
        <f t="shared" si="246"/>
        <v>0</v>
      </c>
      <c r="AD404" s="1">
        <f t="shared" si="247"/>
        <v>0</v>
      </c>
      <c r="AE404" s="1">
        <f t="shared" si="248"/>
        <v>1</v>
      </c>
      <c r="AF404" s="1">
        <f t="shared" si="233"/>
        <v>0</v>
      </c>
      <c r="AG404" s="1">
        <f t="shared" si="234"/>
        <v>1</v>
      </c>
      <c r="AH404" s="1">
        <f t="shared" si="235"/>
        <v>0</v>
      </c>
      <c r="AI404" s="1">
        <f t="shared" si="236"/>
        <v>1</v>
      </c>
    </row>
    <row r="405" spans="1:35" ht="14.25" customHeight="1" x14ac:dyDescent="0.25">
      <c r="A405" s="31">
        <v>0</v>
      </c>
      <c r="B405" s="31">
        <v>2</v>
      </c>
      <c r="C405" s="31">
        <v>7</v>
      </c>
      <c r="D405" s="32" t="s">
        <v>55</v>
      </c>
      <c r="E405" s="32" t="s">
        <v>28</v>
      </c>
      <c r="F405" s="32" t="s">
        <v>644</v>
      </c>
      <c r="G405" s="32" t="s">
        <v>535</v>
      </c>
      <c r="H405" s="32" t="s">
        <v>354</v>
      </c>
      <c r="I405" s="31" t="s">
        <v>394</v>
      </c>
      <c r="J405" s="31">
        <v>6</v>
      </c>
      <c r="K405" s="33" t="s">
        <v>712</v>
      </c>
      <c r="L405" s="33" t="s">
        <v>713</v>
      </c>
      <c r="M405" s="34" t="s">
        <v>731</v>
      </c>
      <c r="N405" s="34" t="s">
        <v>1761</v>
      </c>
      <c r="O405" s="35">
        <v>1</v>
      </c>
      <c r="P405" s="35"/>
      <c r="Q405" s="32"/>
      <c r="S405" s="1">
        <f t="shared" si="237"/>
        <v>0</v>
      </c>
      <c r="T405" s="1">
        <f t="shared" si="238"/>
        <v>0</v>
      </c>
      <c r="U405" s="1">
        <f t="shared" si="239"/>
        <v>0</v>
      </c>
      <c r="V405" s="1">
        <f t="shared" si="240"/>
        <v>0</v>
      </c>
      <c r="W405" s="1">
        <f t="shared" si="241"/>
        <v>0</v>
      </c>
      <c r="X405" s="1">
        <f t="shared" si="242"/>
        <v>1</v>
      </c>
      <c r="Y405" s="1">
        <f t="shared" si="243"/>
        <v>0</v>
      </c>
      <c r="Z405" s="1">
        <f t="shared" si="244"/>
        <v>0</v>
      </c>
      <c r="AA405" s="1">
        <f t="shared" si="245"/>
        <v>0</v>
      </c>
      <c r="AB405" s="1">
        <f t="shared" si="246"/>
        <v>0</v>
      </c>
      <c r="AD405" s="1">
        <f t="shared" si="247"/>
        <v>0</v>
      </c>
      <c r="AE405" s="1">
        <f t="shared" si="248"/>
        <v>1</v>
      </c>
      <c r="AF405" s="1">
        <f t="shared" si="233"/>
        <v>0</v>
      </c>
      <c r="AG405" s="1">
        <f t="shared" si="234"/>
        <v>1</v>
      </c>
      <c r="AH405" s="1">
        <f t="shared" si="235"/>
        <v>0</v>
      </c>
      <c r="AI405" s="1">
        <f t="shared" si="236"/>
        <v>1</v>
      </c>
    </row>
    <row r="406" spans="1:35" ht="14.25" customHeight="1" x14ac:dyDescent="0.25">
      <c r="A406" s="31">
        <v>1</v>
      </c>
      <c r="B406" s="31">
        <v>2</v>
      </c>
      <c r="C406" s="31">
        <v>7</v>
      </c>
      <c r="D406" s="32" t="s">
        <v>55</v>
      </c>
      <c r="E406" s="32" t="s">
        <v>28</v>
      </c>
      <c r="F406" s="32" t="s">
        <v>216</v>
      </c>
      <c r="G406" s="32" t="s">
        <v>39</v>
      </c>
      <c r="H406" s="32" t="s">
        <v>354</v>
      </c>
      <c r="I406" s="31" t="s">
        <v>30</v>
      </c>
      <c r="J406" s="31">
        <v>99</v>
      </c>
      <c r="K406" s="33" t="s">
        <v>712</v>
      </c>
      <c r="L406" s="33" t="s">
        <v>713</v>
      </c>
      <c r="M406" s="34" t="s">
        <v>731</v>
      </c>
      <c r="N406" s="34" t="s">
        <v>1761</v>
      </c>
      <c r="O406" s="35">
        <v>1</v>
      </c>
      <c r="P406" s="35"/>
      <c r="Q406" s="32"/>
      <c r="S406" s="1">
        <f t="shared" si="237"/>
        <v>0</v>
      </c>
      <c r="T406" s="1">
        <f t="shared" si="238"/>
        <v>0</v>
      </c>
      <c r="U406" s="1">
        <f t="shared" si="239"/>
        <v>0</v>
      </c>
      <c r="V406" s="1">
        <f t="shared" si="240"/>
        <v>0</v>
      </c>
      <c r="W406" s="1">
        <f t="shared" si="241"/>
        <v>0</v>
      </c>
      <c r="X406" s="1">
        <f t="shared" si="242"/>
        <v>0</v>
      </c>
      <c r="Y406" s="1">
        <f t="shared" si="243"/>
        <v>0</v>
      </c>
      <c r="Z406" s="1">
        <f t="shared" si="244"/>
        <v>0</v>
      </c>
      <c r="AA406" s="1">
        <f t="shared" si="245"/>
        <v>0</v>
      </c>
      <c r="AB406" s="1">
        <f t="shared" si="246"/>
        <v>0</v>
      </c>
      <c r="AD406" s="1">
        <f t="shared" si="247"/>
        <v>0</v>
      </c>
      <c r="AE406" s="1">
        <f t="shared" si="248"/>
        <v>1</v>
      </c>
      <c r="AF406" s="1">
        <f t="shared" ref="AF406:AF471" si="289">+O406*P406*(1-A406)</f>
        <v>0</v>
      </c>
      <c r="AG406" s="1">
        <f t="shared" ref="AG406:AG471" si="290">O406*(1-P406)*(1-A406)</f>
        <v>0</v>
      </c>
      <c r="AH406" s="1">
        <f t="shared" ref="AH406:AH471" si="291">+P406*(1-A406)</f>
        <v>0</v>
      </c>
      <c r="AI406" s="1">
        <f t="shared" ref="AI406:AI471" si="292">+(1-A406)*(1-P406)</f>
        <v>0</v>
      </c>
    </row>
    <row r="407" spans="1:35" ht="14.25" customHeight="1" x14ac:dyDescent="0.25">
      <c r="A407" s="31">
        <v>1</v>
      </c>
      <c r="B407" s="31">
        <v>2</v>
      </c>
      <c r="C407" s="31">
        <v>7</v>
      </c>
      <c r="D407" s="32" t="s">
        <v>55</v>
      </c>
      <c r="E407" s="32" t="s">
        <v>28</v>
      </c>
      <c r="F407" s="32" t="s">
        <v>215</v>
      </c>
      <c r="G407" s="32" t="s">
        <v>39</v>
      </c>
      <c r="H407" s="32" t="s">
        <v>354</v>
      </c>
      <c r="I407" s="31" t="s">
        <v>394</v>
      </c>
      <c r="J407" s="31">
        <v>99</v>
      </c>
      <c r="K407" s="33" t="s">
        <v>712</v>
      </c>
      <c r="L407" s="33" t="s">
        <v>713</v>
      </c>
      <c r="M407" s="34" t="s">
        <v>731</v>
      </c>
      <c r="N407" s="34" t="s">
        <v>1761</v>
      </c>
      <c r="O407" s="35">
        <v>1</v>
      </c>
      <c r="P407" s="35"/>
      <c r="Q407" s="32"/>
      <c r="S407" s="1">
        <f t="shared" si="237"/>
        <v>0</v>
      </c>
      <c r="T407" s="1">
        <f t="shared" si="238"/>
        <v>0</v>
      </c>
      <c r="U407" s="1">
        <f t="shared" si="239"/>
        <v>0</v>
      </c>
      <c r="V407" s="1">
        <f t="shared" si="240"/>
        <v>0</v>
      </c>
      <c r="W407" s="1">
        <f t="shared" si="241"/>
        <v>0</v>
      </c>
      <c r="X407" s="1">
        <f t="shared" si="242"/>
        <v>0</v>
      </c>
      <c r="Y407" s="1">
        <f t="shared" si="243"/>
        <v>0</v>
      </c>
      <c r="Z407" s="1">
        <f t="shared" si="244"/>
        <v>0</v>
      </c>
      <c r="AA407" s="1">
        <f t="shared" si="245"/>
        <v>0</v>
      </c>
      <c r="AB407" s="1">
        <f t="shared" si="246"/>
        <v>0</v>
      </c>
      <c r="AD407" s="1">
        <f t="shared" si="247"/>
        <v>0</v>
      </c>
      <c r="AE407" s="1">
        <f t="shared" si="248"/>
        <v>1</v>
      </c>
      <c r="AF407" s="1">
        <f t="shared" si="289"/>
        <v>0</v>
      </c>
      <c r="AG407" s="1">
        <f t="shared" si="290"/>
        <v>0</v>
      </c>
      <c r="AH407" s="1">
        <f t="shared" si="291"/>
        <v>0</v>
      </c>
      <c r="AI407" s="1">
        <f t="shared" si="292"/>
        <v>0</v>
      </c>
    </row>
    <row r="408" spans="1:35" ht="14.25" customHeight="1" x14ac:dyDescent="0.25">
      <c r="A408" s="31">
        <v>1</v>
      </c>
      <c r="B408" s="31">
        <v>2</v>
      </c>
      <c r="C408" s="31">
        <v>7</v>
      </c>
      <c r="D408" s="32" t="s">
        <v>55</v>
      </c>
      <c r="E408" s="32" t="s">
        <v>28</v>
      </c>
      <c r="F408" s="32" t="s">
        <v>217</v>
      </c>
      <c r="G408" s="32" t="s">
        <v>218</v>
      </c>
      <c r="H408" s="32" t="s">
        <v>354</v>
      </c>
      <c r="I408" s="31" t="s">
        <v>395</v>
      </c>
      <c r="J408" s="31">
        <v>99</v>
      </c>
      <c r="K408" s="33" t="s">
        <v>712</v>
      </c>
      <c r="L408" s="33" t="s">
        <v>713</v>
      </c>
      <c r="M408" s="34" t="s">
        <v>731</v>
      </c>
      <c r="N408" s="34" t="s">
        <v>1761</v>
      </c>
      <c r="O408" s="35">
        <v>1</v>
      </c>
      <c r="P408" s="35"/>
      <c r="Q408" s="32"/>
      <c r="S408" s="1">
        <f t="shared" si="237"/>
        <v>0</v>
      </c>
      <c r="T408" s="1">
        <f t="shared" si="238"/>
        <v>0</v>
      </c>
      <c r="U408" s="1">
        <f t="shared" si="239"/>
        <v>0</v>
      </c>
      <c r="V408" s="1">
        <f t="shared" si="240"/>
        <v>0</v>
      </c>
      <c r="W408" s="1">
        <f t="shared" si="241"/>
        <v>0</v>
      </c>
      <c r="X408" s="1">
        <f t="shared" si="242"/>
        <v>0</v>
      </c>
      <c r="Y408" s="1">
        <f t="shared" si="243"/>
        <v>0</v>
      </c>
      <c r="Z408" s="1">
        <f t="shared" si="244"/>
        <v>0</v>
      </c>
      <c r="AA408" s="1">
        <f t="shared" si="245"/>
        <v>0</v>
      </c>
      <c r="AB408" s="1">
        <f t="shared" si="246"/>
        <v>0</v>
      </c>
      <c r="AD408" s="1">
        <f t="shared" si="247"/>
        <v>0</v>
      </c>
      <c r="AE408" s="1">
        <f t="shared" si="248"/>
        <v>1</v>
      </c>
      <c r="AF408" s="1">
        <f t="shared" si="289"/>
        <v>0</v>
      </c>
      <c r="AG408" s="1">
        <f t="shared" si="290"/>
        <v>0</v>
      </c>
      <c r="AH408" s="1">
        <f t="shared" si="291"/>
        <v>0</v>
      </c>
      <c r="AI408" s="1">
        <f t="shared" si="292"/>
        <v>0</v>
      </c>
    </row>
    <row r="409" spans="1:35" ht="14.25" customHeight="1" x14ac:dyDescent="0.25">
      <c r="A409" s="31">
        <v>0</v>
      </c>
      <c r="B409" s="31">
        <v>2</v>
      </c>
      <c r="C409" s="31">
        <v>7</v>
      </c>
      <c r="D409" s="36" t="s">
        <v>2053</v>
      </c>
      <c r="E409" s="36" t="s">
        <v>156</v>
      </c>
      <c r="F409" s="36" t="s">
        <v>2054</v>
      </c>
      <c r="G409" s="36" t="s">
        <v>220</v>
      </c>
      <c r="H409" s="36" t="s">
        <v>354</v>
      </c>
      <c r="I409" s="37" t="s">
        <v>2055</v>
      </c>
      <c r="J409" s="31">
        <v>99</v>
      </c>
      <c r="K409" s="33" t="s">
        <v>703</v>
      </c>
      <c r="L409" s="33">
        <v>10</v>
      </c>
      <c r="M409" s="34" t="s">
        <v>2056</v>
      </c>
      <c r="N409" s="34" t="s">
        <v>1748</v>
      </c>
      <c r="O409" s="35">
        <v>1</v>
      </c>
      <c r="P409" s="35"/>
      <c r="Q409" s="32"/>
      <c r="S409" s="1">
        <f t="shared" si="237"/>
        <v>0</v>
      </c>
      <c r="T409" s="1">
        <f t="shared" si="238"/>
        <v>0</v>
      </c>
      <c r="U409" s="1">
        <f t="shared" si="239"/>
        <v>0</v>
      </c>
      <c r="V409" s="1">
        <f t="shared" si="240"/>
        <v>0</v>
      </c>
      <c r="W409" s="1">
        <f t="shared" si="241"/>
        <v>0</v>
      </c>
      <c r="X409" s="1">
        <f t="shared" si="242"/>
        <v>0</v>
      </c>
      <c r="Y409" s="1">
        <f t="shared" si="243"/>
        <v>0</v>
      </c>
      <c r="Z409" s="1">
        <f t="shared" si="244"/>
        <v>0</v>
      </c>
      <c r="AA409" s="1">
        <f t="shared" si="245"/>
        <v>0</v>
      </c>
      <c r="AB409" s="1">
        <f t="shared" si="246"/>
        <v>0</v>
      </c>
      <c r="AD409" s="1">
        <f t="shared" si="247"/>
        <v>0</v>
      </c>
      <c r="AE409" s="1">
        <f t="shared" si="248"/>
        <v>1</v>
      </c>
      <c r="AF409" s="1">
        <f t="shared" si="289"/>
        <v>0</v>
      </c>
      <c r="AG409" s="1">
        <f t="shared" si="290"/>
        <v>1</v>
      </c>
      <c r="AH409" s="1">
        <f t="shared" si="291"/>
        <v>0</v>
      </c>
      <c r="AI409" s="1">
        <f t="shared" si="292"/>
        <v>1</v>
      </c>
    </row>
    <row r="410" spans="1:35" ht="14.25" customHeight="1" x14ac:dyDescent="0.25">
      <c r="A410" s="44">
        <v>0</v>
      </c>
      <c r="B410" s="44">
        <v>2</v>
      </c>
      <c r="C410" s="44">
        <v>7</v>
      </c>
      <c r="D410" s="45" t="s">
        <v>68</v>
      </c>
      <c r="E410" s="45" t="s">
        <v>28</v>
      </c>
      <c r="F410" s="45" t="s">
        <v>253</v>
      </c>
      <c r="G410" s="45" t="s">
        <v>254</v>
      </c>
      <c r="H410" s="45" t="s">
        <v>354</v>
      </c>
      <c r="I410" s="44" t="s">
        <v>414</v>
      </c>
      <c r="J410" s="44">
        <v>99</v>
      </c>
      <c r="K410" s="46" t="s">
        <v>713</v>
      </c>
      <c r="L410" s="46" t="s">
        <v>713</v>
      </c>
      <c r="M410" s="47" t="s">
        <v>731</v>
      </c>
      <c r="N410" s="47" t="s">
        <v>1802</v>
      </c>
      <c r="O410" s="48"/>
      <c r="P410" s="48"/>
      <c r="Q410" s="45"/>
      <c r="S410" s="1">
        <f t="shared" ref="S410:S416" si="293">IF(J410=$S$7,1,0)</f>
        <v>0</v>
      </c>
      <c r="T410" s="1">
        <f t="shared" ref="T410:T416" si="294">IF(J410=$T$7,1,0)</f>
        <v>0</v>
      </c>
      <c r="U410" s="1">
        <f t="shared" ref="U410:U416" si="295">IF(J410=$U$7,1,0)</f>
        <v>0</v>
      </c>
      <c r="V410" s="1">
        <f t="shared" ref="V410:V416" si="296">IF(J410=$V$7,1,0)</f>
        <v>0</v>
      </c>
      <c r="W410" s="1">
        <f t="shared" ref="W410:W416" si="297">IF(J410=$W$7,1,0)</f>
        <v>0</v>
      </c>
      <c r="X410" s="1">
        <f t="shared" ref="X410:X416" si="298">IF(J410=$X$7,1,0)</f>
        <v>0</v>
      </c>
      <c r="Y410" s="1">
        <f t="shared" ref="Y410:Y416" si="299">IF(J410=$Y$7,1,0)</f>
        <v>0</v>
      </c>
      <c r="Z410" s="1">
        <f t="shared" ref="Z410:Z416" si="300">IF(J410=$Z$7,1,0)</f>
        <v>0</v>
      </c>
      <c r="AA410" s="1">
        <f t="shared" ref="AA410:AA416" si="301">IF(J410=$AA$7,1,0)</f>
        <v>0</v>
      </c>
      <c r="AB410" s="1">
        <f t="shared" ref="AB410:AB416" si="302">IF(J410=$AB$7,1,0)</f>
        <v>0</v>
      </c>
      <c r="AD410" s="1">
        <f t="shared" ref="AD410:AD416" si="303">+O410*P410</f>
        <v>0</v>
      </c>
      <c r="AE410" s="1">
        <f t="shared" ref="AE410:AE416" si="304">O410*(1-P410)</f>
        <v>0</v>
      </c>
      <c r="AF410" s="1">
        <f t="shared" ref="AF410:AF416" si="305">+O410*P410*(1-A410)</f>
        <v>0</v>
      </c>
      <c r="AG410" s="1">
        <f t="shared" ref="AG410:AG416" si="306">O410*(1-P410)*(1-A410)</f>
        <v>0</v>
      </c>
      <c r="AH410" s="1">
        <f t="shared" ref="AH410:AH416" si="307">+P410*(1-A410)</f>
        <v>0</v>
      </c>
      <c r="AI410" s="1">
        <f t="shared" ref="AI410:AI416" si="308">+(1-A410)*(1-P410)</f>
        <v>1</v>
      </c>
    </row>
    <row r="411" spans="1:35" ht="14.25" customHeight="1" x14ac:dyDescent="0.25">
      <c r="A411" s="31">
        <v>0</v>
      </c>
      <c r="B411" s="31">
        <v>2</v>
      </c>
      <c r="C411" s="31">
        <v>7</v>
      </c>
      <c r="D411" s="32" t="s">
        <v>2017</v>
      </c>
      <c r="E411" s="32" t="s">
        <v>28</v>
      </c>
      <c r="F411" s="32" t="s">
        <v>2019</v>
      </c>
      <c r="G411" s="32" t="s">
        <v>1104</v>
      </c>
      <c r="H411" s="32" t="s">
        <v>354</v>
      </c>
      <c r="I411" s="31" t="s">
        <v>2020</v>
      </c>
      <c r="J411" s="31">
        <v>1</v>
      </c>
      <c r="K411" s="33" t="s">
        <v>703</v>
      </c>
      <c r="L411" s="33"/>
      <c r="M411" s="34"/>
      <c r="N411" s="34" t="s">
        <v>1727</v>
      </c>
      <c r="O411" s="35">
        <v>1</v>
      </c>
      <c r="P411" s="35">
        <v>1</v>
      </c>
      <c r="Q411" s="32" t="s">
        <v>2022</v>
      </c>
      <c r="S411" s="1">
        <f t="shared" si="293"/>
        <v>1</v>
      </c>
      <c r="T411" s="1">
        <f t="shared" si="294"/>
        <v>0</v>
      </c>
      <c r="U411" s="1">
        <f t="shared" si="295"/>
        <v>0</v>
      </c>
      <c r="V411" s="1">
        <f t="shared" si="296"/>
        <v>0</v>
      </c>
      <c r="W411" s="1">
        <f t="shared" si="297"/>
        <v>0</v>
      </c>
      <c r="X411" s="1">
        <f t="shared" si="298"/>
        <v>0</v>
      </c>
      <c r="Y411" s="1">
        <f t="shared" si="299"/>
        <v>0</v>
      </c>
      <c r="Z411" s="1">
        <f t="shared" si="300"/>
        <v>0</v>
      </c>
      <c r="AA411" s="1">
        <f t="shared" si="301"/>
        <v>0</v>
      </c>
      <c r="AB411" s="1">
        <f t="shared" si="302"/>
        <v>0</v>
      </c>
      <c r="AD411" s="1">
        <f t="shared" si="303"/>
        <v>1</v>
      </c>
      <c r="AE411" s="1">
        <f t="shared" si="304"/>
        <v>0</v>
      </c>
      <c r="AF411" s="1">
        <f t="shared" si="305"/>
        <v>1</v>
      </c>
      <c r="AG411" s="1">
        <f t="shared" si="306"/>
        <v>0</v>
      </c>
      <c r="AH411" s="1">
        <f t="shared" si="307"/>
        <v>1</v>
      </c>
      <c r="AI411" s="1">
        <f t="shared" si="308"/>
        <v>0</v>
      </c>
    </row>
    <row r="412" spans="1:35" ht="14.25" customHeight="1" x14ac:dyDescent="0.25">
      <c r="A412" s="31">
        <v>1</v>
      </c>
      <c r="B412" s="31">
        <v>2</v>
      </c>
      <c r="C412" s="31">
        <v>7</v>
      </c>
      <c r="D412" s="32" t="s">
        <v>2017</v>
      </c>
      <c r="E412" s="32" t="s">
        <v>28</v>
      </c>
      <c r="F412" s="32" t="s">
        <v>2018</v>
      </c>
      <c r="G412" s="36" t="s">
        <v>2024</v>
      </c>
      <c r="H412" s="32" t="s">
        <v>354</v>
      </c>
      <c r="I412" s="31" t="s">
        <v>2021</v>
      </c>
      <c r="J412" s="31">
        <v>8</v>
      </c>
      <c r="K412" s="33" t="s">
        <v>703</v>
      </c>
      <c r="L412" s="33"/>
      <c r="M412" s="34"/>
      <c r="N412" s="34" t="s">
        <v>1727</v>
      </c>
      <c r="O412" s="35">
        <v>1</v>
      </c>
      <c r="P412" s="35">
        <v>1</v>
      </c>
      <c r="Q412" s="32" t="s">
        <v>2023</v>
      </c>
      <c r="S412" s="1">
        <f t="shared" si="293"/>
        <v>0</v>
      </c>
      <c r="T412" s="1">
        <f t="shared" si="294"/>
        <v>0</v>
      </c>
      <c r="U412" s="1">
        <f t="shared" si="295"/>
        <v>0</v>
      </c>
      <c r="V412" s="1">
        <f t="shared" si="296"/>
        <v>0</v>
      </c>
      <c r="W412" s="1">
        <f t="shared" si="297"/>
        <v>0</v>
      </c>
      <c r="X412" s="1">
        <f t="shared" si="298"/>
        <v>0</v>
      </c>
      <c r="Y412" s="1">
        <f t="shared" si="299"/>
        <v>0</v>
      </c>
      <c r="Z412" s="1">
        <f t="shared" si="300"/>
        <v>1</v>
      </c>
      <c r="AA412" s="1">
        <f t="shared" si="301"/>
        <v>0</v>
      </c>
      <c r="AB412" s="1">
        <f t="shared" si="302"/>
        <v>0</v>
      </c>
      <c r="AD412" s="1">
        <f t="shared" si="303"/>
        <v>1</v>
      </c>
      <c r="AE412" s="1">
        <f t="shared" si="304"/>
        <v>0</v>
      </c>
      <c r="AF412" s="1">
        <f t="shared" si="305"/>
        <v>0</v>
      </c>
      <c r="AG412" s="1">
        <f t="shared" si="306"/>
        <v>0</v>
      </c>
      <c r="AH412" s="1">
        <f t="shared" si="307"/>
        <v>0</v>
      </c>
      <c r="AI412" s="1">
        <f t="shared" si="308"/>
        <v>0</v>
      </c>
    </row>
    <row r="413" spans="1:35" ht="14.25" customHeight="1" x14ac:dyDescent="0.25">
      <c r="A413" s="31">
        <v>0</v>
      </c>
      <c r="B413" s="31">
        <v>2</v>
      </c>
      <c r="C413" s="31">
        <v>7</v>
      </c>
      <c r="D413" s="32" t="s">
        <v>69</v>
      </c>
      <c r="E413" s="32" t="s">
        <v>28</v>
      </c>
      <c r="F413" s="32" t="s">
        <v>255</v>
      </c>
      <c r="G413" s="36" t="s">
        <v>207</v>
      </c>
      <c r="H413" s="32" t="s">
        <v>354</v>
      </c>
      <c r="I413" s="31" t="s">
        <v>415</v>
      </c>
      <c r="J413" s="31">
        <v>99</v>
      </c>
      <c r="K413" s="33" t="s">
        <v>955</v>
      </c>
      <c r="L413" s="33" t="s">
        <v>713</v>
      </c>
      <c r="M413" s="34" t="s">
        <v>731</v>
      </c>
      <c r="N413" s="34" t="s">
        <v>1733</v>
      </c>
      <c r="O413" s="35">
        <v>1</v>
      </c>
      <c r="P413" s="35">
        <v>1</v>
      </c>
      <c r="Q413" s="32"/>
      <c r="S413" s="1">
        <f t="shared" si="293"/>
        <v>0</v>
      </c>
      <c r="T413" s="1">
        <f t="shared" si="294"/>
        <v>0</v>
      </c>
      <c r="U413" s="1">
        <f t="shared" si="295"/>
        <v>0</v>
      </c>
      <c r="V413" s="1">
        <f t="shared" si="296"/>
        <v>0</v>
      </c>
      <c r="W413" s="1">
        <f t="shared" si="297"/>
        <v>0</v>
      </c>
      <c r="X413" s="1">
        <f t="shared" si="298"/>
        <v>0</v>
      </c>
      <c r="Y413" s="1">
        <f t="shared" si="299"/>
        <v>0</v>
      </c>
      <c r="Z413" s="1">
        <f t="shared" si="300"/>
        <v>0</v>
      </c>
      <c r="AA413" s="1">
        <f t="shared" si="301"/>
        <v>0</v>
      </c>
      <c r="AB413" s="1">
        <f t="shared" si="302"/>
        <v>0</v>
      </c>
      <c r="AD413" s="1">
        <f t="shared" si="303"/>
        <v>1</v>
      </c>
      <c r="AE413" s="1">
        <f t="shared" si="304"/>
        <v>0</v>
      </c>
      <c r="AF413" s="1">
        <f t="shared" si="305"/>
        <v>1</v>
      </c>
      <c r="AG413" s="1">
        <f t="shared" si="306"/>
        <v>0</v>
      </c>
      <c r="AH413" s="1">
        <f t="shared" si="307"/>
        <v>1</v>
      </c>
      <c r="AI413" s="1">
        <f t="shared" si="308"/>
        <v>0</v>
      </c>
    </row>
    <row r="414" spans="1:35" ht="14.25" customHeight="1" x14ac:dyDescent="0.25">
      <c r="A414" s="31">
        <v>1</v>
      </c>
      <c r="B414" s="31">
        <v>2</v>
      </c>
      <c r="C414" s="31">
        <v>7</v>
      </c>
      <c r="D414" s="32" t="s">
        <v>69</v>
      </c>
      <c r="E414" s="32" t="s">
        <v>28</v>
      </c>
      <c r="F414" s="32" t="s">
        <v>1874</v>
      </c>
      <c r="G414" s="36" t="s">
        <v>256</v>
      </c>
      <c r="H414" s="32" t="s">
        <v>354</v>
      </c>
      <c r="I414" s="31" t="s">
        <v>416</v>
      </c>
      <c r="J414" s="31">
        <v>99</v>
      </c>
      <c r="K414" s="33" t="s">
        <v>955</v>
      </c>
      <c r="L414" s="33" t="s">
        <v>713</v>
      </c>
      <c r="M414" s="34" t="s">
        <v>731</v>
      </c>
      <c r="N414" s="34" t="s">
        <v>1733</v>
      </c>
      <c r="O414" s="35">
        <v>1</v>
      </c>
      <c r="P414" s="35">
        <v>1</v>
      </c>
      <c r="Q414" s="32"/>
      <c r="S414" s="1">
        <f t="shared" si="293"/>
        <v>0</v>
      </c>
      <c r="T414" s="1">
        <f t="shared" si="294"/>
        <v>0</v>
      </c>
      <c r="U414" s="1">
        <f t="shared" si="295"/>
        <v>0</v>
      </c>
      <c r="V414" s="1">
        <f t="shared" si="296"/>
        <v>0</v>
      </c>
      <c r="W414" s="1">
        <f t="shared" si="297"/>
        <v>0</v>
      </c>
      <c r="X414" s="1">
        <f t="shared" si="298"/>
        <v>0</v>
      </c>
      <c r="Y414" s="1">
        <f t="shared" si="299"/>
        <v>0</v>
      </c>
      <c r="Z414" s="1">
        <f t="shared" si="300"/>
        <v>0</v>
      </c>
      <c r="AA414" s="1">
        <f t="shared" si="301"/>
        <v>0</v>
      </c>
      <c r="AB414" s="1">
        <f t="shared" si="302"/>
        <v>0</v>
      </c>
      <c r="AD414" s="1">
        <f t="shared" si="303"/>
        <v>1</v>
      </c>
      <c r="AE414" s="1">
        <f t="shared" si="304"/>
        <v>0</v>
      </c>
      <c r="AF414" s="1">
        <f t="shared" si="305"/>
        <v>0</v>
      </c>
      <c r="AG414" s="1">
        <f t="shared" si="306"/>
        <v>0</v>
      </c>
      <c r="AH414" s="1">
        <f t="shared" si="307"/>
        <v>0</v>
      </c>
      <c r="AI414" s="1">
        <f t="shared" si="308"/>
        <v>0</v>
      </c>
    </row>
    <row r="415" spans="1:35" ht="14.25" customHeight="1" x14ac:dyDescent="0.25">
      <c r="A415" s="31">
        <v>1</v>
      </c>
      <c r="B415" s="31">
        <v>2</v>
      </c>
      <c r="C415" s="31">
        <v>7</v>
      </c>
      <c r="D415" s="32" t="s">
        <v>69</v>
      </c>
      <c r="E415" s="32" t="s">
        <v>28</v>
      </c>
      <c r="F415" s="32" t="s">
        <v>570</v>
      </c>
      <c r="G415" s="36" t="s">
        <v>571</v>
      </c>
      <c r="H415" s="32" t="s">
        <v>354</v>
      </c>
      <c r="I415" s="31" t="s">
        <v>580</v>
      </c>
      <c r="J415" s="31">
        <v>99</v>
      </c>
      <c r="K415" s="33" t="s">
        <v>955</v>
      </c>
      <c r="L415" s="33" t="s">
        <v>713</v>
      </c>
      <c r="M415" s="34" t="s">
        <v>731</v>
      </c>
      <c r="N415" s="34" t="s">
        <v>1733</v>
      </c>
      <c r="O415" s="35">
        <v>1</v>
      </c>
      <c r="P415" s="35">
        <v>1</v>
      </c>
      <c r="Q415" s="32"/>
      <c r="S415" s="1">
        <f t="shared" si="293"/>
        <v>0</v>
      </c>
      <c r="T415" s="1">
        <f t="shared" si="294"/>
        <v>0</v>
      </c>
      <c r="U415" s="1">
        <f t="shared" si="295"/>
        <v>0</v>
      </c>
      <c r="V415" s="1">
        <f t="shared" si="296"/>
        <v>0</v>
      </c>
      <c r="W415" s="1">
        <f t="shared" si="297"/>
        <v>0</v>
      </c>
      <c r="X415" s="1">
        <f t="shared" si="298"/>
        <v>0</v>
      </c>
      <c r="Y415" s="1">
        <f t="shared" si="299"/>
        <v>0</v>
      </c>
      <c r="Z415" s="1">
        <f t="shared" si="300"/>
        <v>0</v>
      </c>
      <c r="AA415" s="1">
        <f t="shared" si="301"/>
        <v>0</v>
      </c>
      <c r="AB415" s="1">
        <f t="shared" si="302"/>
        <v>0</v>
      </c>
      <c r="AD415" s="1">
        <f t="shared" si="303"/>
        <v>1</v>
      </c>
      <c r="AE415" s="1">
        <f t="shared" si="304"/>
        <v>0</v>
      </c>
      <c r="AF415" s="1">
        <f t="shared" si="305"/>
        <v>0</v>
      </c>
      <c r="AG415" s="1">
        <f t="shared" si="306"/>
        <v>0</v>
      </c>
      <c r="AH415" s="1">
        <f t="shared" si="307"/>
        <v>0</v>
      </c>
      <c r="AI415" s="1">
        <f t="shared" si="308"/>
        <v>0</v>
      </c>
    </row>
    <row r="416" spans="1:35" ht="14.25" customHeight="1" x14ac:dyDescent="0.25">
      <c r="A416" s="44">
        <v>0</v>
      </c>
      <c r="B416" s="44">
        <v>2</v>
      </c>
      <c r="C416" s="44">
        <v>7</v>
      </c>
      <c r="D416" s="45" t="s">
        <v>71</v>
      </c>
      <c r="E416" s="45" t="s">
        <v>28</v>
      </c>
      <c r="F416" s="45" t="s">
        <v>1349</v>
      </c>
      <c r="G416" s="45" t="s">
        <v>259</v>
      </c>
      <c r="H416" s="45" t="s">
        <v>354</v>
      </c>
      <c r="I416" s="44" t="s">
        <v>418</v>
      </c>
      <c r="J416" s="44">
        <v>99</v>
      </c>
      <c r="K416" s="46" t="s">
        <v>713</v>
      </c>
      <c r="L416" s="46" t="s">
        <v>713</v>
      </c>
      <c r="M416" s="47" t="s">
        <v>731</v>
      </c>
      <c r="N416" s="47" t="s">
        <v>1802</v>
      </c>
      <c r="O416" s="48"/>
      <c r="P416" s="48"/>
      <c r="Q416" s="45"/>
      <c r="S416" s="1">
        <f t="shared" si="293"/>
        <v>0</v>
      </c>
      <c r="T416" s="1">
        <f t="shared" si="294"/>
        <v>0</v>
      </c>
      <c r="U416" s="1">
        <f t="shared" si="295"/>
        <v>0</v>
      </c>
      <c r="V416" s="1">
        <f t="shared" si="296"/>
        <v>0</v>
      </c>
      <c r="W416" s="1">
        <f t="shared" si="297"/>
        <v>0</v>
      </c>
      <c r="X416" s="1">
        <f t="shared" si="298"/>
        <v>0</v>
      </c>
      <c r="Y416" s="1">
        <f t="shared" si="299"/>
        <v>0</v>
      </c>
      <c r="Z416" s="1">
        <f t="shared" si="300"/>
        <v>0</v>
      </c>
      <c r="AA416" s="1">
        <f t="shared" si="301"/>
        <v>0</v>
      </c>
      <c r="AB416" s="1">
        <f t="shared" si="302"/>
        <v>0</v>
      </c>
      <c r="AD416" s="1">
        <f t="shared" si="303"/>
        <v>0</v>
      </c>
      <c r="AE416" s="1">
        <f t="shared" si="304"/>
        <v>0</v>
      </c>
      <c r="AF416" s="1">
        <f t="shared" si="305"/>
        <v>0</v>
      </c>
      <c r="AG416" s="1">
        <f t="shared" si="306"/>
        <v>0</v>
      </c>
      <c r="AH416" s="1">
        <f t="shared" si="307"/>
        <v>0</v>
      </c>
      <c r="AI416" s="1">
        <f t="shared" si="308"/>
        <v>1</v>
      </c>
    </row>
    <row r="417" spans="1:35" ht="14.25" customHeight="1" x14ac:dyDescent="0.25">
      <c r="A417" s="44">
        <v>0</v>
      </c>
      <c r="B417" s="44">
        <v>2</v>
      </c>
      <c r="C417" s="44">
        <v>7</v>
      </c>
      <c r="D417" s="45" t="s">
        <v>1062</v>
      </c>
      <c r="E417" s="45" t="s">
        <v>28</v>
      </c>
      <c r="F417" s="45" t="s">
        <v>1063</v>
      </c>
      <c r="G417" s="45" t="s">
        <v>1064</v>
      </c>
      <c r="H417" s="45" t="s">
        <v>354</v>
      </c>
      <c r="I417" s="44" t="s">
        <v>1065</v>
      </c>
      <c r="J417" s="44">
        <v>99</v>
      </c>
      <c r="K417" s="46" t="s">
        <v>713</v>
      </c>
      <c r="L417" s="46" t="s">
        <v>713</v>
      </c>
      <c r="M417" s="47" t="s">
        <v>731</v>
      </c>
      <c r="N417" s="47" t="s">
        <v>1802</v>
      </c>
      <c r="O417" s="48"/>
      <c r="P417" s="48"/>
      <c r="Q417" s="45"/>
      <c r="S417" s="1">
        <f t="shared" ref="S417:S482" si="309">IF(J417=$S$7,1,0)</f>
        <v>0</v>
      </c>
      <c r="T417" s="1">
        <f t="shared" ref="T417:T482" si="310">IF(J417=$T$7,1,0)</f>
        <v>0</v>
      </c>
      <c r="U417" s="1">
        <f t="shared" ref="U417:U482" si="311">IF(J417=$U$7,1,0)</f>
        <v>0</v>
      </c>
      <c r="V417" s="1">
        <f t="shared" ref="V417:V482" si="312">IF(J417=$V$7,1,0)</f>
        <v>0</v>
      </c>
      <c r="W417" s="1">
        <f t="shared" ref="W417:W482" si="313">IF(J417=$W$7,1,0)</f>
        <v>0</v>
      </c>
      <c r="X417" s="1">
        <f t="shared" ref="X417:X482" si="314">IF(J417=$X$7,1,0)</f>
        <v>0</v>
      </c>
      <c r="Y417" s="1">
        <f t="shared" ref="Y417:Y482" si="315">IF(J417=$Y$7,1,0)</f>
        <v>0</v>
      </c>
      <c r="Z417" s="1">
        <f t="shared" ref="Z417:Z482" si="316">IF(J417=$Z$7,1,0)</f>
        <v>0</v>
      </c>
      <c r="AA417" s="1">
        <f t="shared" ref="AA417:AA482" si="317">IF(J417=$AA$7,1,0)</f>
        <v>0</v>
      </c>
      <c r="AB417" s="1">
        <f t="shared" ref="AB417:AB482" si="318">IF(J417=$AB$7,1,0)</f>
        <v>0</v>
      </c>
      <c r="AD417" s="1">
        <f t="shared" ref="AD417:AD482" si="319">+O417*P417</f>
        <v>0</v>
      </c>
      <c r="AE417" s="1">
        <f t="shared" ref="AE417:AE482" si="320">O417*(1-P417)</f>
        <v>0</v>
      </c>
      <c r="AF417" s="1">
        <f t="shared" si="289"/>
        <v>0</v>
      </c>
      <c r="AG417" s="1">
        <f t="shared" si="290"/>
        <v>0</v>
      </c>
      <c r="AH417" s="1">
        <f t="shared" si="291"/>
        <v>0</v>
      </c>
      <c r="AI417" s="1">
        <f t="shared" si="292"/>
        <v>1</v>
      </c>
    </row>
    <row r="418" spans="1:35" ht="14.25" customHeight="1" x14ac:dyDescent="0.25">
      <c r="A418" s="31">
        <v>0</v>
      </c>
      <c r="B418" s="31">
        <v>2</v>
      </c>
      <c r="C418" s="31">
        <v>7</v>
      </c>
      <c r="D418" s="32" t="s">
        <v>1806</v>
      </c>
      <c r="E418" s="32" t="s">
        <v>156</v>
      </c>
      <c r="F418" s="32" t="s">
        <v>1807</v>
      </c>
      <c r="G418" s="32"/>
      <c r="H418" s="32" t="s">
        <v>354</v>
      </c>
      <c r="I418" s="31" t="s">
        <v>1808</v>
      </c>
      <c r="J418" s="31">
        <v>99</v>
      </c>
      <c r="K418" s="33" t="s">
        <v>703</v>
      </c>
      <c r="L418" s="33"/>
      <c r="M418" s="34"/>
      <c r="N418" s="34" t="s">
        <v>1727</v>
      </c>
      <c r="O418" s="35">
        <v>1</v>
      </c>
      <c r="P418" s="35">
        <v>1</v>
      </c>
      <c r="Q418" s="32"/>
      <c r="S418" s="1">
        <f t="shared" si="309"/>
        <v>0</v>
      </c>
      <c r="T418" s="1">
        <f t="shared" si="310"/>
        <v>0</v>
      </c>
      <c r="U418" s="1">
        <f t="shared" si="311"/>
        <v>0</v>
      </c>
      <c r="V418" s="1">
        <f t="shared" si="312"/>
        <v>0</v>
      </c>
      <c r="W418" s="1">
        <f t="shared" si="313"/>
        <v>0</v>
      </c>
      <c r="X418" s="1">
        <f t="shared" si="314"/>
        <v>0</v>
      </c>
      <c r="Y418" s="1">
        <f t="shared" si="315"/>
        <v>0</v>
      </c>
      <c r="Z418" s="1">
        <f t="shared" si="316"/>
        <v>0</v>
      </c>
      <c r="AA418" s="1">
        <f t="shared" si="317"/>
        <v>0</v>
      </c>
      <c r="AB418" s="1">
        <f t="shared" si="318"/>
        <v>0</v>
      </c>
      <c r="AD418" s="1">
        <f t="shared" si="319"/>
        <v>1</v>
      </c>
      <c r="AE418" s="1">
        <f t="shared" si="320"/>
        <v>0</v>
      </c>
      <c r="AF418" s="1">
        <f t="shared" si="289"/>
        <v>1</v>
      </c>
      <c r="AG418" s="1">
        <f t="shared" si="290"/>
        <v>0</v>
      </c>
      <c r="AH418" s="1">
        <f t="shared" si="291"/>
        <v>1</v>
      </c>
      <c r="AI418" s="1">
        <f t="shared" si="292"/>
        <v>0</v>
      </c>
    </row>
    <row r="419" spans="1:35" ht="14.25" customHeight="1" x14ac:dyDescent="0.25">
      <c r="A419" s="31">
        <v>0</v>
      </c>
      <c r="B419" s="31">
        <v>2</v>
      </c>
      <c r="C419" s="31">
        <v>7</v>
      </c>
      <c r="D419" s="32" t="s">
        <v>1178</v>
      </c>
      <c r="E419" s="32" t="s">
        <v>156</v>
      </c>
      <c r="F419" s="32" t="s">
        <v>1179</v>
      </c>
      <c r="G419" s="32" t="s">
        <v>293</v>
      </c>
      <c r="H419" s="32" t="s">
        <v>354</v>
      </c>
      <c r="I419" s="31" t="s">
        <v>1180</v>
      </c>
      <c r="J419" s="31">
        <v>99</v>
      </c>
      <c r="K419" s="33" t="s">
        <v>713</v>
      </c>
      <c r="L419" s="33" t="s">
        <v>722</v>
      </c>
      <c r="M419" s="34" t="s">
        <v>1434</v>
      </c>
      <c r="N419" s="34" t="s">
        <v>1748</v>
      </c>
      <c r="O419" s="35">
        <v>1</v>
      </c>
      <c r="P419" s="35"/>
      <c r="Q419" s="32"/>
      <c r="S419" s="1">
        <f t="shared" si="309"/>
        <v>0</v>
      </c>
      <c r="T419" s="1">
        <f t="shared" si="310"/>
        <v>0</v>
      </c>
      <c r="U419" s="1">
        <f t="shared" si="311"/>
        <v>0</v>
      </c>
      <c r="V419" s="1">
        <f t="shared" si="312"/>
        <v>0</v>
      </c>
      <c r="W419" s="1">
        <f t="shared" si="313"/>
        <v>0</v>
      </c>
      <c r="X419" s="1">
        <f t="shared" si="314"/>
        <v>0</v>
      </c>
      <c r="Y419" s="1">
        <f t="shared" si="315"/>
        <v>0</v>
      </c>
      <c r="Z419" s="1">
        <f t="shared" si="316"/>
        <v>0</v>
      </c>
      <c r="AA419" s="1">
        <f t="shared" si="317"/>
        <v>0</v>
      </c>
      <c r="AB419" s="1">
        <f t="shared" si="318"/>
        <v>0</v>
      </c>
      <c r="AD419" s="1">
        <f t="shared" si="319"/>
        <v>0</v>
      </c>
      <c r="AE419" s="1">
        <f t="shared" si="320"/>
        <v>1</v>
      </c>
      <c r="AF419" s="1">
        <f t="shared" si="289"/>
        <v>0</v>
      </c>
      <c r="AG419" s="1">
        <f t="shared" si="290"/>
        <v>1</v>
      </c>
      <c r="AH419" s="1">
        <f t="shared" si="291"/>
        <v>0</v>
      </c>
      <c r="AI419" s="1">
        <f t="shared" si="292"/>
        <v>1</v>
      </c>
    </row>
    <row r="420" spans="1:35" ht="14.25" customHeight="1" x14ac:dyDescent="0.25">
      <c r="A420" s="31">
        <v>0</v>
      </c>
      <c r="B420" s="31">
        <v>2</v>
      </c>
      <c r="C420" s="31">
        <v>7</v>
      </c>
      <c r="D420" s="32" t="s">
        <v>1153</v>
      </c>
      <c r="E420" s="32" t="s">
        <v>1154</v>
      </c>
      <c r="F420" s="36" t="s">
        <v>1878</v>
      </c>
      <c r="G420" s="32" t="s">
        <v>628</v>
      </c>
      <c r="H420" s="32" t="s">
        <v>354</v>
      </c>
      <c r="I420" s="31" t="s">
        <v>1155</v>
      </c>
      <c r="J420" s="31">
        <v>99</v>
      </c>
      <c r="K420" s="33" t="s">
        <v>713</v>
      </c>
      <c r="L420" s="33" t="s">
        <v>713</v>
      </c>
      <c r="M420" s="34" t="s">
        <v>731</v>
      </c>
      <c r="N420" s="34" t="s">
        <v>1743</v>
      </c>
      <c r="O420" s="35">
        <v>1</v>
      </c>
      <c r="P420" s="35"/>
      <c r="Q420" s="36" t="s">
        <v>1898</v>
      </c>
      <c r="S420" s="1">
        <f t="shared" si="309"/>
        <v>0</v>
      </c>
      <c r="T420" s="1">
        <f t="shared" si="310"/>
        <v>0</v>
      </c>
      <c r="U420" s="1">
        <f t="shared" si="311"/>
        <v>0</v>
      </c>
      <c r="V420" s="1">
        <f t="shared" si="312"/>
        <v>0</v>
      </c>
      <c r="W420" s="1">
        <f t="shared" si="313"/>
        <v>0</v>
      </c>
      <c r="X420" s="1">
        <f t="shared" si="314"/>
        <v>0</v>
      </c>
      <c r="Y420" s="1">
        <f t="shared" si="315"/>
        <v>0</v>
      </c>
      <c r="Z420" s="1">
        <f t="shared" si="316"/>
        <v>0</v>
      </c>
      <c r="AA420" s="1">
        <f t="shared" si="317"/>
        <v>0</v>
      </c>
      <c r="AB420" s="1">
        <f t="shared" si="318"/>
        <v>0</v>
      </c>
      <c r="AD420" s="1">
        <f t="shared" si="319"/>
        <v>0</v>
      </c>
      <c r="AE420" s="1">
        <f t="shared" si="320"/>
        <v>1</v>
      </c>
      <c r="AF420" s="1">
        <f t="shared" si="289"/>
        <v>0</v>
      </c>
      <c r="AG420" s="1">
        <f t="shared" si="290"/>
        <v>1</v>
      </c>
      <c r="AH420" s="1">
        <f t="shared" si="291"/>
        <v>0</v>
      </c>
      <c r="AI420" s="1">
        <f t="shared" si="292"/>
        <v>1</v>
      </c>
    </row>
    <row r="421" spans="1:35" ht="14.25" customHeight="1" x14ac:dyDescent="0.25">
      <c r="A421" s="31">
        <v>0</v>
      </c>
      <c r="B421" s="31">
        <v>2</v>
      </c>
      <c r="C421" s="31">
        <v>7</v>
      </c>
      <c r="D421" s="32" t="s">
        <v>542</v>
      </c>
      <c r="E421" s="32" t="s">
        <v>158</v>
      </c>
      <c r="F421" s="32" t="s">
        <v>195</v>
      </c>
      <c r="G421" s="32" t="s">
        <v>196</v>
      </c>
      <c r="H421" s="32" t="s">
        <v>354</v>
      </c>
      <c r="I421" s="31" t="s">
        <v>550</v>
      </c>
      <c r="J421" s="31">
        <v>99</v>
      </c>
      <c r="K421" s="33" t="s">
        <v>955</v>
      </c>
      <c r="L421" s="33" t="s">
        <v>696</v>
      </c>
      <c r="M421" s="34" t="s">
        <v>1436</v>
      </c>
      <c r="N421" s="34" t="s">
        <v>1748</v>
      </c>
      <c r="O421" s="35">
        <v>1</v>
      </c>
      <c r="P421" s="35"/>
      <c r="Q421" s="32"/>
      <c r="S421" s="1">
        <f t="shared" si="309"/>
        <v>0</v>
      </c>
      <c r="T421" s="1">
        <f t="shared" si="310"/>
        <v>0</v>
      </c>
      <c r="U421" s="1">
        <f t="shared" si="311"/>
        <v>0</v>
      </c>
      <c r="V421" s="1">
        <f t="shared" si="312"/>
        <v>0</v>
      </c>
      <c r="W421" s="1">
        <f t="shared" si="313"/>
        <v>0</v>
      </c>
      <c r="X421" s="1">
        <f t="shared" si="314"/>
        <v>0</v>
      </c>
      <c r="Y421" s="1">
        <f t="shared" si="315"/>
        <v>0</v>
      </c>
      <c r="Z421" s="1">
        <f t="shared" si="316"/>
        <v>0</v>
      </c>
      <c r="AA421" s="1">
        <f t="shared" si="317"/>
        <v>0</v>
      </c>
      <c r="AB421" s="1">
        <f t="shared" si="318"/>
        <v>0</v>
      </c>
      <c r="AD421" s="1">
        <f t="shared" si="319"/>
        <v>0</v>
      </c>
      <c r="AE421" s="1">
        <f t="shared" si="320"/>
        <v>1</v>
      </c>
      <c r="AF421" s="1">
        <f t="shared" si="289"/>
        <v>0</v>
      </c>
      <c r="AG421" s="1">
        <f t="shared" si="290"/>
        <v>1</v>
      </c>
      <c r="AH421" s="1">
        <f t="shared" si="291"/>
        <v>0</v>
      </c>
      <c r="AI421" s="1">
        <f t="shared" si="292"/>
        <v>1</v>
      </c>
    </row>
    <row r="422" spans="1:35" ht="14.25" customHeight="1" x14ac:dyDescent="0.25">
      <c r="A422" s="15">
        <v>0</v>
      </c>
      <c r="B422" s="15">
        <v>2</v>
      </c>
      <c r="C422" s="15">
        <v>7</v>
      </c>
      <c r="D422" s="16" t="s">
        <v>46</v>
      </c>
      <c r="E422" s="16" t="s">
        <v>156</v>
      </c>
      <c r="F422" s="16" t="s">
        <v>183</v>
      </c>
      <c r="G422" s="16" t="s">
        <v>179</v>
      </c>
      <c r="H422" s="16" t="s">
        <v>354</v>
      </c>
      <c r="I422" s="15" t="s">
        <v>382</v>
      </c>
      <c r="J422" s="15">
        <v>10</v>
      </c>
      <c r="K422" s="10" t="s">
        <v>955</v>
      </c>
      <c r="L422" s="10" t="s">
        <v>722</v>
      </c>
      <c r="M422" s="19" t="s">
        <v>1434</v>
      </c>
      <c r="N422" s="19"/>
      <c r="Q422" s="16"/>
      <c r="S422" s="1">
        <f t="shared" si="309"/>
        <v>0</v>
      </c>
      <c r="T422" s="1">
        <f t="shared" si="310"/>
        <v>0</v>
      </c>
      <c r="U422" s="1">
        <f t="shared" si="311"/>
        <v>0</v>
      </c>
      <c r="V422" s="1">
        <f t="shared" si="312"/>
        <v>0</v>
      </c>
      <c r="W422" s="1">
        <f t="shared" si="313"/>
        <v>0</v>
      </c>
      <c r="X422" s="1">
        <f t="shared" si="314"/>
        <v>0</v>
      </c>
      <c r="Y422" s="1">
        <f t="shared" si="315"/>
        <v>0</v>
      </c>
      <c r="Z422" s="1">
        <f t="shared" si="316"/>
        <v>0</v>
      </c>
      <c r="AA422" s="1">
        <f t="shared" si="317"/>
        <v>0</v>
      </c>
      <c r="AB422" s="1">
        <f t="shared" si="318"/>
        <v>1</v>
      </c>
      <c r="AD422" s="1">
        <f t="shared" si="319"/>
        <v>0</v>
      </c>
      <c r="AE422" s="1">
        <f t="shared" si="320"/>
        <v>0</v>
      </c>
      <c r="AF422" s="1">
        <f t="shared" si="289"/>
        <v>0</v>
      </c>
      <c r="AG422" s="1">
        <f t="shared" si="290"/>
        <v>0</v>
      </c>
      <c r="AH422" s="1">
        <f t="shared" si="291"/>
        <v>0</v>
      </c>
      <c r="AI422" s="1">
        <f t="shared" si="292"/>
        <v>1</v>
      </c>
    </row>
    <row r="423" spans="1:35" ht="14.25" customHeight="1" x14ac:dyDescent="0.25">
      <c r="A423" s="44">
        <v>0</v>
      </c>
      <c r="B423" s="44">
        <v>2</v>
      </c>
      <c r="C423" s="44">
        <v>7</v>
      </c>
      <c r="D423" s="45" t="s">
        <v>67</v>
      </c>
      <c r="E423" s="45" t="s">
        <v>28</v>
      </c>
      <c r="F423" s="45" t="s">
        <v>248</v>
      </c>
      <c r="G423" s="45" t="s">
        <v>249</v>
      </c>
      <c r="H423" s="45" t="s">
        <v>354</v>
      </c>
      <c r="I423" s="44" t="s">
        <v>411</v>
      </c>
      <c r="J423" s="44">
        <v>7</v>
      </c>
      <c r="K423" s="46" t="s">
        <v>713</v>
      </c>
      <c r="L423" s="46" t="s">
        <v>713</v>
      </c>
      <c r="M423" s="47" t="s">
        <v>731</v>
      </c>
      <c r="N423" s="47" t="s">
        <v>1734</v>
      </c>
      <c r="O423" s="48"/>
      <c r="P423" s="48"/>
      <c r="Q423" s="45"/>
      <c r="S423" s="1">
        <f t="shared" si="309"/>
        <v>0</v>
      </c>
      <c r="T423" s="1">
        <f t="shared" si="310"/>
        <v>0</v>
      </c>
      <c r="U423" s="1">
        <f t="shared" si="311"/>
        <v>0</v>
      </c>
      <c r="V423" s="1">
        <f t="shared" si="312"/>
        <v>0</v>
      </c>
      <c r="W423" s="1">
        <f t="shared" si="313"/>
        <v>0</v>
      </c>
      <c r="X423" s="1">
        <f t="shared" si="314"/>
        <v>0</v>
      </c>
      <c r="Y423" s="1">
        <f t="shared" si="315"/>
        <v>1</v>
      </c>
      <c r="Z423" s="1">
        <f t="shared" si="316"/>
        <v>0</v>
      </c>
      <c r="AA423" s="1">
        <f t="shared" si="317"/>
        <v>0</v>
      </c>
      <c r="AB423" s="1">
        <f t="shared" si="318"/>
        <v>0</v>
      </c>
      <c r="AD423" s="1">
        <f t="shared" si="319"/>
        <v>0</v>
      </c>
      <c r="AE423" s="1">
        <f t="shared" si="320"/>
        <v>0</v>
      </c>
      <c r="AF423" s="1">
        <f t="shared" si="289"/>
        <v>0</v>
      </c>
      <c r="AG423" s="1">
        <f t="shared" si="290"/>
        <v>0</v>
      </c>
      <c r="AH423" s="1">
        <f t="shared" si="291"/>
        <v>0</v>
      </c>
      <c r="AI423" s="1">
        <f t="shared" si="292"/>
        <v>1</v>
      </c>
    </row>
    <row r="424" spans="1:35" ht="14.25" customHeight="1" x14ac:dyDescent="0.25">
      <c r="A424" s="44">
        <v>1</v>
      </c>
      <c r="B424" s="44">
        <v>2</v>
      </c>
      <c r="C424" s="44">
        <v>7</v>
      </c>
      <c r="D424" s="45" t="s">
        <v>67</v>
      </c>
      <c r="E424" s="45" t="s">
        <v>28</v>
      </c>
      <c r="F424" s="45" t="s">
        <v>1039</v>
      </c>
      <c r="G424" s="45" t="s">
        <v>539</v>
      </c>
      <c r="H424" s="45" t="s">
        <v>354</v>
      </c>
      <c r="I424" s="44" t="s">
        <v>30</v>
      </c>
      <c r="J424" s="44">
        <v>1</v>
      </c>
      <c r="K424" s="46" t="s">
        <v>713</v>
      </c>
      <c r="L424" s="46" t="s">
        <v>713</v>
      </c>
      <c r="M424" s="47" t="s">
        <v>731</v>
      </c>
      <c r="N424" s="47" t="s">
        <v>1734</v>
      </c>
      <c r="O424" s="48"/>
      <c r="P424" s="48"/>
      <c r="Q424" s="45"/>
      <c r="S424" s="1">
        <f t="shared" si="309"/>
        <v>1</v>
      </c>
      <c r="T424" s="1">
        <f t="shared" si="310"/>
        <v>0</v>
      </c>
      <c r="U424" s="1">
        <f t="shared" si="311"/>
        <v>0</v>
      </c>
      <c r="V424" s="1">
        <f t="shared" si="312"/>
        <v>0</v>
      </c>
      <c r="W424" s="1">
        <f t="shared" si="313"/>
        <v>0</v>
      </c>
      <c r="X424" s="1">
        <f t="shared" si="314"/>
        <v>0</v>
      </c>
      <c r="Y424" s="1">
        <f t="shared" si="315"/>
        <v>0</v>
      </c>
      <c r="Z424" s="1">
        <f t="shared" si="316"/>
        <v>0</v>
      </c>
      <c r="AA424" s="1">
        <f t="shared" si="317"/>
        <v>0</v>
      </c>
      <c r="AB424" s="1">
        <f t="shared" si="318"/>
        <v>0</v>
      </c>
      <c r="AD424" s="1">
        <f t="shared" si="319"/>
        <v>0</v>
      </c>
      <c r="AE424" s="1">
        <f t="shared" si="320"/>
        <v>0</v>
      </c>
      <c r="AF424" s="1">
        <f t="shared" si="289"/>
        <v>0</v>
      </c>
      <c r="AG424" s="1">
        <f t="shared" si="290"/>
        <v>0</v>
      </c>
      <c r="AH424" s="1">
        <f t="shared" si="291"/>
        <v>0</v>
      </c>
      <c r="AI424" s="1">
        <f t="shared" si="292"/>
        <v>0</v>
      </c>
    </row>
    <row r="425" spans="1:35" ht="14.25" customHeight="1" x14ac:dyDescent="0.25">
      <c r="A425" s="44">
        <v>1</v>
      </c>
      <c r="B425" s="44">
        <v>2</v>
      </c>
      <c r="C425" s="44">
        <v>7</v>
      </c>
      <c r="D425" s="45" t="s">
        <v>67</v>
      </c>
      <c r="E425" s="45" t="s">
        <v>28</v>
      </c>
      <c r="F425" s="45" t="s">
        <v>250</v>
      </c>
      <c r="G425" s="45" t="s">
        <v>200</v>
      </c>
      <c r="H425" s="45" t="s">
        <v>354</v>
      </c>
      <c r="I425" s="44" t="s">
        <v>412</v>
      </c>
      <c r="J425" s="44">
        <v>2</v>
      </c>
      <c r="K425" s="46" t="s">
        <v>713</v>
      </c>
      <c r="L425" s="46" t="s">
        <v>713</v>
      </c>
      <c r="M425" s="47" t="s">
        <v>731</v>
      </c>
      <c r="N425" s="47" t="s">
        <v>1734</v>
      </c>
      <c r="O425" s="48"/>
      <c r="P425" s="48"/>
      <c r="Q425" s="45"/>
      <c r="S425" s="1">
        <f t="shared" si="309"/>
        <v>0</v>
      </c>
      <c r="T425" s="1">
        <f t="shared" si="310"/>
        <v>1</v>
      </c>
      <c r="U425" s="1">
        <f t="shared" si="311"/>
        <v>0</v>
      </c>
      <c r="V425" s="1">
        <f t="shared" si="312"/>
        <v>0</v>
      </c>
      <c r="W425" s="1">
        <f t="shared" si="313"/>
        <v>0</v>
      </c>
      <c r="X425" s="1">
        <f t="shared" si="314"/>
        <v>0</v>
      </c>
      <c r="Y425" s="1">
        <f t="shared" si="315"/>
        <v>0</v>
      </c>
      <c r="Z425" s="1">
        <f t="shared" si="316"/>
        <v>0</v>
      </c>
      <c r="AA425" s="1">
        <f t="shared" si="317"/>
        <v>0</v>
      </c>
      <c r="AB425" s="1">
        <f t="shared" si="318"/>
        <v>0</v>
      </c>
      <c r="AD425" s="1">
        <f t="shared" si="319"/>
        <v>0</v>
      </c>
      <c r="AE425" s="1">
        <f t="shared" si="320"/>
        <v>0</v>
      </c>
      <c r="AF425" s="1">
        <f t="shared" si="289"/>
        <v>0</v>
      </c>
      <c r="AG425" s="1">
        <f t="shared" si="290"/>
        <v>0</v>
      </c>
      <c r="AH425" s="1">
        <f t="shared" si="291"/>
        <v>0</v>
      </c>
      <c r="AI425" s="1">
        <f t="shared" si="292"/>
        <v>0</v>
      </c>
    </row>
    <row r="426" spans="1:35" ht="14.25" customHeight="1" x14ac:dyDescent="0.25">
      <c r="A426" s="44">
        <v>1</v>
      </c>
      <c r="B426" s="44">
        <v>2</v>
      </c>
      <c r="C426" s="44">
        <v>7</v>
      </c>
      <c r="D426" s="45" t="s">
        <v>67</v>
      </c>
      <c r="E426" s="45" t="s">
        <v>28</v>
      </c>
      <c r="F426" s="45" t="s">
        <v>247</v>
      </c>
      <c r="G426" s="45" t="s">
        <v>1351</v>
      </c>
      <c r="H426" s="45" t="s">
        <v>354</v>
      </c>
      <c r="I426" s="44" t="s">
        <v>30</v>
      </c>
      <c r="J426" s="44">
        <v>1</v>
      </c>
      <c r="K426" s="46" t="s">
        <v>713</v>
      </c>
      <c r="L426" s="46" t="s">
        <v>713</v>
      </c>
      <c r="M426" s="47" t="s">
        <v>731</v>
      </c>
      <c r="N426" s="47" t="s">
        <v>1734</v>
      </c>
      <c r="O426" s="48"/>
      <c r="P426" s="48"/>
      <c r="Q426" s="45" t="s">
        <v>1917</v>
      </c>
      <c r="S426" s="1">
        <f t="shared" si="309"/>
        <v>1</v>
      </c>
      <c r="T426" s="1">
        <f t="shared" si="310"/>
        <v>0</v>
      </c>
      <c r="U426" s="1">
        <f t="shared" si="311"/>
        <v>0</v>
      </c>
      <c r="V426" s="1">
        <f t="shared" si="312"/>
        <v>0</v>
      </c>
      <c r="W426" s="1">
        <f t="shared" si="313"/>
        <v>0</v>
      </c>
      <c r="X426" s="1">
        <f t="shared" si="314"/>
        <v>0</v>
      </c>
      <c r="Y426" s="1">
        <f t="shared" si="315"/>
        <v>0</v>
      </c>
      <c r="Z426" s="1">
        <f t="shared" si="316"/>
        <v>0</v>
      </c>
      <c r="AA426" s="1">
        <f t="shared" si="317"/>
        <v>0</v>
      </c>
      <c r="AB426" s="1">
        <f t="shared" si="318"/>
        <v>0</v>
      </c>
      <c r="AD426" s="1">
        <f t="shared" si="319"/>
        <v>0</v>
      </c>
      <c r="AE426" s="1">
        <f t="shared" si="320"/>
        <v>0</v>
      </c>
      <c r="AF426" s="1">
        <f t="shared" si="289"/>
        <v>0</v>
      </c>
      <c r="AG426" s="1">
        <f t="shared" si="290"/>
        <v>0</v>
      </c>
      <c r="AH426" s="1">
        <f t="shared" si="291"/>
        <v>0</v>
      </c>
      <c r="AI426" s="1">
        <f t="shared" si="292"/>
        <v>0</v>
      </c>
    </row>
    <row r="427" spans="1:35" ht="14.25" customHeight="1" x14ac:dyDescent="0.25">
      <c r="A427" s="44">
        <v>1</v>
      </c>
      <c r="B427" s="44">
        <v>2</v>
      </c>
      <c r="C427" s="44">
        <v>7</v>
      </c>
      <c r="D427" s="45" t="s">
        <v>67</v>
      </c>
      <c r="E427" s="45" t="s">
        <v>28</v>
      </c>
      <c r="F427" s="45" t="s">
        <v>252</v>
      </c>
      <c r="G427" s="45" t="s">
        <v>194</v>
      </c>
      <c r="H427" s="45" t="s">
        <v>354</v>
      </c>
      <c r="I427" s="44" t="s">
        <v>413</v>
      </c>
      <c r="J427" s="44">
        <v>9</v>
      </c>
      <c r="K427" s="46" t="s">
        <v>713</v>
      </c>
      <c r="L427" s="46" t="s">
        <v>713</v>
      </c>
      <c r="M427" s="47" t="s">
        <v>731</v>
      </c>
      <c r="N427" s="47" t="s">
        <v>1734</v>
      </c>
      <c r="O427" s="48"/>
      <c r="P427" s="48"/>
      <c r="Q427" s="45"/>
      <c r="S427" s="1">
        <f t="shared" si="309"/>
        <v>0</v>
      </c>
      <c r="T427" s="1">
        <f t="shared" si="310"/>
        <v>0</v>
      </c>
      <c r="U427" s="1">
        <f t="shared" si="311"/>
        <v>0</v>
      </c>
      <c r="V427" s="1">
        <f t="shared" si="312"/>
        <v>0</v>
      </c>
      <c r="W427" s="1">
        <f t="shared" si="313"/>
        <v>0</v>
      </c>
      <c r="X427" s="1">
        <f t="shared" si="314"/>
        <v>0</v>
      </c>
      <c r="Y427" s="1">
        <f t="shared" si="315"/>
        <v>0</v>
      </c>
      <c r="Z427" s="1">
        <f t="shared" si="316"/>
        <v>0</v>
      </c>
      <c r="AA427" s="1">
        <f t="shared" si="317"/>
        <v>1</v>
      </c>
      <c r="AB427" s="1">
        <f t="shared" si="318"/>
        <v>0</v>
      </c>
      <c r="AD427" s="1">
        <f t="shared" si="319"/>
        <v>0</v>
      </c>
      <c r="AE427" s="1">
        <f t="shared" si="320"/>
        <v>0</v>
      </c>
      <c r="AF427" s="1">
        <f t="shared" si="289"/>
        <v>0</v>
      </c>
      <c r="AG427" s="1">
        <f t="shared" si="290"/>
        <v>0</v>
      </c>
      <c r="AH427" s="1">
        <f t="shared" si="291"/>
        <v>0</v>
      </c>
      <c r="AI427" s="1">
        <f t="shared" si="292"/>
        <v>0</v>
      </c>
    </row>
    <row r="428" spans="1:35" ht="14.25" customHeight="1" x14ac:dyDescent="0.25">
      <c r="A428" s="44">
        <v>0</v>
      </c>
      <c r="B428" s="44">
        <v>2</v>
      </c>
      <c r="C428" s="44">
        <v>7</v>
      </c>
      <c r="D428" s="45" t="s">
        <v>1023</v>
      </c>
      <c r="E428" s="45" t="s">
        <v>28</v>
      </c>
      <c r="F428" s="45" t="s">
        <v>1024</v>
      </c>
      <c r="G428" s="45" t="s">
        <v>194</v>
      </c>
      <c r="H428" s="45" t="s">
        <v>354</v>
      </c>
      <c r="I428" s="44" t="s">
        <v>1025</v>
      </c>
      <c r="J428" s="44">
        <v>9</v>
      </c>
      <c r="K428" s="46" t="s">
        <v>712</v>
      </c>
      <c r="L428" s="46" t="s">
        <v>713</v>
      </c>
      <c r="M428" s="47" t="s">
        <v>731</v>
      </c>
      <c r="N428" s="47" t="s">
        <v>1735</v>
      </c>
      <c r="O428" s="48"/>
      <c r="P428" s="48"/>
      <c r="Q428" s="45"/>
      <c r="S428" s="1">
        <f t="shared" si="309"/>
        <v>0</v>
      </c>
      <c r="T428" s="1">
        <f t="shared" si="310"/>
        <v>0</v>
      </c>
      <c r="U428" s="1">
        <f t="shared" si="311"/>
        <v>0</v>
      </c>
      <c r="V428" s="1">
        <f t="shared" si="312"/>
        <v>0</v>
      </c>
      <c r="W428" s="1">
        <f t="shared" si="313"/>
        <v>0</v>
      </c>
      <c r="X428" s="1">
        <f t="shared" si="314"/>
        <v>0</v>
      </c>
      <c r="Y428" s="1">
        <f t="shared" si="315"/>
        <v>0</v>
      </c>
      <c r="Z428" s="1">
        <f t="shared" si="316"/>
        <v>0</v>
      </c>
      <c r="AA428" s="1">
        <f t="shared" si="317"/>
        <v>1</v>
      </c>
      <c r="AB428" s="1">
        <f t="shared" si="318"/>
        <v>0</v>
      </c>
      <c r="AD428" s="1">
        <f t="shared" si="319"/>
        <v>0</v>
      </c>
      <c r="AE428" s="1">
        <f t="shared" si="320"/>
        <v>0</v>
      </c>
      <c r="AF428" s="1">
        <f t="shared" si="289"/>
        <v>0</v>
      </c>
      <c r="AG428" s="1">
        <f t="shared" si="290"/>
        <v>0</v>
      </c>
      <c r="AH428" s="1">
        <f t="shared" si="291"/>
        <v>0</v>
      </c>
      <c r="AI428" s="1">
        <f t="shared" si="292"/>
        <v>1</v>
      </c>
    </row>
    <row r="429" spans="1:35" ht="14.25" customHeight="1" x14ac:dyDescent="0.25">
      <c r="A429" s="31">
        <v>0</v>
      </c>
      <c r="B429" s="31">
        <v>2</v>
      </c>
      <c r="C429" s="31">
        <v>7</v>
      </c>
      <c r="D429" s="32" t="s">
        <v>1833</v>
      </c>
      <c r="E429" s="32" t="s">
        <v>1834</v>
      </c>
      <c r="F429" s="32" t="s">
        <v>1835</v>
      </c>
      <c r="G429" s="32" t="s">
        <v>207</v>
      </c>
      <c r="H429" s="32" t="s">
        <v>354</v>
      </c>
      <c r="I429" s="31" t="s">
        <v>30</v>
      </c>
      <c r="J429" s="31"/>
      <c r="K429" s="33" t="s">
        <v>703</v>
      </c>
      <c r="L429" s="33">
        <v>20</v>
      </c>
      <c r="M429" s="34" t="s">
        <v>1836</v>
      </c>
      <c r="N429" s="34" t="s">
        <v>1743</v>
      </c>
      <c r="O429" s="35">
        <v>1</v>
      </c>
      <c r="P429" s="35"/>
      <c r="Q429" s="32"/>
      <c r="S429" s="1">
        <f t="shared" si="309"/>
        <v>0</v>
      </c>
      <c r="T429" s="1">
        <f t="shared" si="310"/>
        <v>0</v>
      </c>
      <c r="U429" s="1">
        <f t="shared" si="311"/>
        <v>0</v>
      </c>
      <c r="V429" s="1">
        <f t="shared" si="312"/>
        <v>0</v>
      </c>
      <c r="W429" s="1">
        <f t="shared" si="313"/>
        <v>0</v>
      </c>
      <c r="X429" s="1">
        <f t="shared" si="314"/>
        <v>0</v>
      </c>
      <c r="Y429" s="1">
        <f t="shared" si="315"/>
        <v>0</v>
      </c>
      <c r="Z429" s="1">
        <f t="shared" si="316"/>
        <v>0</v>
      </c>
      <c r="AA429" s="1">
        <f t="shared" si="317"/>
        <v>0</v>
      </c>
      <c r="AB429" s="1">
        <f t="shared" si="318"/>
        <v>0</v>
      </c>
      <c r="AD429" s="1">
        <f t="shared" si="319"/>
        <v>0</v>
      </c>
      <c r="AE429" s="1">
        <f t="shared" si="320"/>
        <v>1</v>
      </c>
      <c r="AF429" s="1">
        <f t="shared" si="289"/>
        <v>0</v>
      </c>
      <c r="AG429" s="1">
        <f t="shared" si="290"/>
        <v>1</v>
      </c>
      <c r="AH429" s="1">
        <f t="shared" si="291"/>
        <v>0</v>
      </c>
      <c r="AI429" s="1">
        <f t="shared" si="292"/>
        <v>1</v>
      </c>
    </row>
    <row r="430" spans="1:35" ht="14.25" customHeight="1" x14ac:dyDescent="0.25">
      <c r="A430" s="49">
        <v>0</v>
      </c>
      <c r="B430" s="49">
        <v>2</v>
      </c>
      <c r="C430" s="49">
        <v>7</v>
      </c>
      <c r="D430" s="50" t="s">
        <v>1079</v>
      </c>
      <c r="E430" s="50" t="s">
        <v>544</v>
      </c>
      <c r="F430" s="50" t="s">
        <v>1060</v>
      </c>
      <c r="G430" s="50" t="s">
        <v>238</v>
      </c>
      <c r="H430" s="50" t="s">
        <v>354</v>
      </c>
      <c r="I430" s="49" t="s">
        <v>1061</v>
      </c>
      <c r="J430" s="49">
        <v>99</v>
      </c>
      <c r="K430" s="51" t="s">
        <v>955</v>
      </c>
      <c r="L430" s="51" t="s">
        <v>722</v>
      </c>
      <c r="M430" s="52" t="s">
        <v>1437</v>
      </c>
      <c r="N430" s="52" t="s">
        <v>1743</v>
      </c>
      <c r="O430" s="53">
        <v>1</v>
      </c>
      <c r="P430" s="53"/>
      <c r="Q430" s="50"/>
      <c r="S430" s="1">
        <f t="shared" ref="S430:S434" si="321">IF(J430=$S$7,1,0)</f>
        <v>0</v>
      </c>
      <c r="T430" s="1">
        <f t="shared" ref="T430:T434" si="322">IF(J430=$T$7,1,0)</f>
        <v>0</v>
      </c>
      <c r="U430" s="1">
        <f t="shared" ref="U430:U434" si="323">IF(J430=$U$7,1,0)</f>
        <v>0</v>
      </c>
      <c r="V430" s="1">
        <f t="shared" ref="V430:V434" si="324">IF(J430=$V$7,1,0)</f>
        <v>0</v>
      </c>
      <c r="W430" s="1">
        <f t="shared" ref="W430:W434" si="325">IF(J430=$W$7,1,0)</f>
        <v>0</v>
      </c>
      <c r="X430" s="1">
        <f t="shared" ref="X430:X434" si="326">IF(J430=$X$7,1,0)</f>
        <v>0</v>
      </c>
      <c r="Y430" s="1">
        <f t="shared" ref="Y430:Y434" si="327">IF(J430=$Y$7,1,0)</f>
        <v>0</v>
      </c>
      <c r="Z430" s="1">
        <f t="shared" ref="Z430:Z434" si="328">IF(J430=$Z$7,1,0)</f>
        <v>0</v>
      </c>
      <c r="AA430" s="1">
        <f t="shared" ref="AA430:AA434" si="329">IF(J430=$AA$7,1,0)</f>
        <v>0</v>
      </c>
      <c r="AB430" s="1">
        <f t="shared" ref="AB430:AB434" si="330">IF(J430=$AB$7,1,0)</f>
        <v>0</v>
      </c>
      <c r="AD430" s="1">
        <f t="shared" ref="AD430:AD434" si="331">+O430*P430</f>
        <v>0</v>
      </c>
      <c r="AE430" s="1">
        <f t="shared" ref="AE430:AE434" si="332">O430*(1-P430)</f>
        <v>1</v>
      </c>
      <c r="AF430" s="1">
        <f t="shared" ref="AF430:AF434" si="333">+O430*P430*(1-A430)</f>
        <v>0</v>
      </c>
      <c r="AG430" s="1">
        <f t="shared" ref="AG430:AG434" si="334">O430*(1-P430)*(1-A430)</f>
        <v>1</v>
      </c>
      <c r="AH430" s="1">
        <f t="shared" ref="AH430:AH434" si="335">+P430*(1-A430)</f>
        <v>0</v>
      </c>
      <c r="AI430" s="1">
        <f t="shared" ref="AI430:AI434" si="336">+(1-A430)*(1-P430)</f>
        <v>1</v>
      </c>
    </row>
    <row r="431" spans="1:35" ht="14.25" customHeight="1" x14ac:dyDescent="0.25">
      <c r="A431" s="31">
        <v>0</v>
      </c>
      <c r="B431" s="31">
        <v>2</v>
      </c>
      <c r="C431" s="31">
        <v>7</v>
      </c>
      <c r="D431" s="32" t="s">
        <v>1226</v>
      </c>
      <c r="E431" s="32" t="s">
        <v>156</v>
      </c>
      <c r="F431" s="32" t="s">
        <v>1227</v>
      </c>
      <c r="G431" s="32" t="s">
        <v>251</v>
      </c>
      <c r="H431" s="32" t="s">
        <v>354</v>
      </c>
      <c r="I431" s="31" t="s">
        <v>1228</v>
      </c>
      <c r="J431" s="31">
        <v>99</v>
      </c>
      <c r="K431" s="33" t="s">
        <v>713</v>
      </c>
      <c r="L431" s="33">
        <v>10</v>
      </c>
      <c r="M431" s="34" t="s">
        <v>1746</v>
      </c>
      <c r="N431" s="34" t="s">
        <v>1727</v>
      </c>
      <c r="O431" s="35">
        <v>1</v>
      </c>
      <c r="P431" s="35">
        <v>1</v>
      </c>
      <c r="Q431" s="32"/>
      <c r="S431" s="1">
        <f t="shared" si="321"/>
        <v>0</v>
      </c>
      <c r="T431" s="1">
        <f t="shared" si="322"/>
        <v>0</v>
      </c>
      <c r="U431" s="1">
        <f t="shared" si="323"/>
        <v>0</v>
      </c>
      <c r="V431" s="1">
        <f t="shared" si="324"/>
        <v>0</v>
      </c>
      <c r="W431" s="1">
        <f t="shared" si="325"/>
        <v>0</v>
      </c>
      <c r="X431" s="1">
        <f t="shared" si="326"/>
        <v>0</v>
      </c>
      <c r="Y431" s="1">
        <f t="shared" si="327"/>
        <v>0</v>
      </c>
      <c r="Z431" s="1">
        <f t="shared" si="328"/>
        <v>0</v>
      </c>
      <c r="AA431" s="1">
        <f t="shared" si="329"/>
        <v>0</v>
      </c>
      <c r="AB431" s="1">
        <f t="shared" si="330"/>
        <v>0</v>
      </c>
      <c r="AD431" s="1">
        <f t="shared" si="331"/>
        <v>1</v>
      </c>
      <c r="AE431" s="1">
        <f t="shared" si="332"/>
        <v>0</v>
      </c>
      <c r="AF431" s="1">
        <f t="shared" si="333"/>
        <v>1</v>
      </c>
      <c r="AG431" s="1">
        <f t="shared" si="334"/>
        <v>0</v>
      </c>
      <c r="AH431" s="1">
        <f t="shared" si="335"/>
        <v>1</v>
      </c>
      <c r="AI431" s="1">
        <f t="shared" si="336"/>
        <v>0</v>
      </c>
    </row>
    <row r="432" spans="1:35" ht="14.25" customHeight="1" x14ac:dyDescent="0.25">
      <c r="A432" s="31">
        <v>0</v>
      </c>
      <c r="B432" s="31">
        <v>2</v>
      </c>
      <c r="C432" s="31">
        <v>7</v>
      </c>
      <c r="D432" s="36" t="s">
        <v>1803</v>
      </c>
      <c r="E432" s="36" t="s">
        <v>28</v>
      </c>
      <c r="F432" s="36" t="s">
        <v>1804</v>
      </c>
      <c r="G432" s="36" t="s">
        <v>180</v>
      </c>
      <c r="H432" s="36" t="s">
        <v>354</v>
      </c>
      <c r="I432" s="37" t="s">
        <v>1805</v>
      </c>
      <c r="J432" s="31">
        <v>10</v>
      </c>
      <c r="K432" s="33" t="s">
        <v>703</v>
      </c>
      <c r="L432" s="33">
        <v>10</v>
      </c>
      <c r="M432" s="34"/>
      <c r="N432" s="34" t="s">
        <v>1727</v>
      </c>
      <c r="O432" s="35">
        <v>1</v>
      </c>
      <c r="P432" s="35">
        <v>1</v>
      </c>
      <c r="Q432" s="36"/>
      <c r="S432" s="1">
        <f t="shared" si="321"/>
        <v>0</v>
      </c>
      <c r="T432" s="1">
        <f t="shared" si="322"/>
        <v>0</v>
      </c>
      <c r="U432" s="1">
        <f t="shared" si="323"/>
        <v>0</v>
      </c>
      <c r="V432" s="1">
        <f t="shared" si="324"/>
        <v>0</v>
      </c>
      <c r="W432" s="1">
        <f t="shared" si="325"/>
        <v>0</v>
      </c>
      <c r="X432" s="1">
        <f t="shared" si="326"/>
        <v>0</v>
      </c>
      <c r="Y432" s="1">
        <f t="shared" si="327"/>
        <v>0</v>
      </c>
      <c r="Z432" s="1">
        <f t="shared" si="328"/>
        <v>0</v>
      </c>
      <c r="AA432" s="1">
        <f t="shared" si="329"/>
        <v>0</v>
      </c>
      <c r="AB432" s="1">
        <f t="shared" si="330"/>
        <v>1</v>
      </c>
      <c r="AD432" s="1">
        <f t="shared" si="331"/>
        <v>1</v>
      </c>
      <c r="AE432" s="1">
        <f t="shared" si="332"/>
        <v>0</v>
      </c>
      <c r="AF432" s="1">
        <f t="shared" si="333"/>
        <v>1</v>
      </c>
      <c r="AG432" s="1">
        <f t="shared" si="334"/>
        <v>0</v>
      </c>
      <c r="AH432" s="1">
        <f t="shared" si="335"/>
        <v>1</v>
      </c>
      <c r="AI432" s="1">
        <f t="shared" si="336"/>
        <v>0</v>
      </c>
    </row>
    <row r="433" spans="1:35" ht="14.25" customHeight="1" x14ac:dyDescent="0.25">
      <c r="A433" s="37">
        <v>0</v>
      </c>
      <c r="B433" s="37">
        <v>2</v>
      </c>
      <c r="C433" s="37">
        <v>7</v>
      </c>
      <c r="D433" s="36" t="s">
        <v>1585</v>
      </c>
      <c r="E433" s="36" t="s">
        <v>1651</v>
      </c>
      <c r="F433" s="36" t="s">
        <v>1586</v>
      </c>
      <c r="G433" s="36" t="s">
        <v>656</v>
      </c>
      <c r="H433" s="36" t="s">
        <v>354</v>
      </c>
      <c r="I433" s="37" t="s">
        <v>1587</v>
      </c>
      <c r="J433" s="37">
        <v>99</v>
      </c>
      <c r="K433" s="33" t="s">
        <v>713</v>
      </c>
      <c r="L433" s="33" t="s">
        <v>39</v>
      </c>
      <c r="M433" s="34" t="s">
        <v>39</v>
      </c>
      <c r="N433" s="34" t="s">
        <v>1727</v>
      </c>
      <c r="O433" s="35">
        <v>1</v>
      </c>
      <c r="P433" s="35">
        <v>1</v>
      </c>
      <c r="Q433" s="36"/>
      <c r="S433" s="1">
        <f t="shared" si="321"/>
        <v>0</v>
      </c>
      <c r="T433" s="1">
        <f t="shared" si="322"/>
        <v>0</v>
      </c>
      <c r="U433" s="1">
        <f t="shared" si="323"/>
        <v>0</v>
      </c>
      <c r="V433" s="1">
        <f t="shared" si="324"/>
        <v>0</v>
      </c>
      <c r="W433" s="1">
        <f t="shared" si="325"/>
        <v>0</v>
      </c>
      <c r="X433" s="1">
        <f t="shared" si="326"/>
        <v>0</v>
      </c>
      <c r="Y433" s="1">
        <f t="shared" si="327"/>
        <v>0</v>
      </c>
      <c r="Z433" s="1">
        <f t="shared" si="328"/>
        <v>0</v>
      </c>
      <c r="AA433" s="1">
        <f t="shared" si="329"/>
        <v>0</v>
      </c>
      <c r="AB433" s="1">
        <f t="shared" si="330"/>
        <v>0</v>
      </c>
      <c r="AD433" s="1">
        <f t="shared" si="331"/>
        <v>1</v>
      </c>
      <c r="AE433" s="1">
        <f t="shared" si="332"/>
        <v>0</v>
      </c>
      <c r="AF433" s="1">
        <f t="shared" si="333"/>
        <v>1</v>
      </c>
      <c r="AG433" s="1">
        <f t="shared" si="334"/>
        <v>0</v>
      </c>
      <c r="AH433" s="1">
        <f t="shared" si="335"/>
        <v>1</v>
      </c>
      <c r="AI433" s="1">
        <f t="shared" si="336"/>
        <v>0</v>
      </c>
    </row>
    <row r="434" spans="1:35" ht="14.25" customHeight="1" x14ac:dyDescent="0.25">
      <c r="A434" s="44">
        <v>0</v>
      </c>
      <c r="B434" s="44">
        <v>2</v>
      </c>
      <c r="C434" s="44">
        <v>7</v>
      </c>
      <c r="D434" s="45" t="s">
        <v>1537</v>
      </c>
      <c r="E434" s="45" t="s">
        <v>28</v>
      </c>
      <c r="F434" s="45" t="s">
        <v>1662</v>
      </c>
      <c r="G434" s="45" t="s">
        <v>287</v>
      </c>
      <c r="H434" s="45" t="s">
        <v>354</v>
      </c>
      <c r="I434" s="44" t="s">
        <v>1688</v>
      </c>
      <c r="J434" s="44">
        <v>99</v>
      </c>
      <c r="K434" s="46" t="s">
        <v>713</v>
      </c>
      <c r="L434" s="46" t="s">
        <v>713</v>
      </c>
      <c r="M434" s="47" t="s">
        <v>731</v>
      </c>
      <c r="N434" s="47" t="s">
        <v>1735</v>
      </c>
      <c r="O434" s="48"/>
      <c r="P434" s="48"/>
      <c r="Q434" s="45"/>
      <c r="S434" s="1">
        <f t="shared" si="321"/>
        <v>0</v>
      </c>
      <c r="T434" s="1">
        <f t="shared" si="322"/>
        <v>0</v>
      </c>
      <c r="U434" s="1">
        <f t="shared" si="323"/>
        <v>0</v>
      </c>
      <c r="V434" s="1">
        <f t="shared" si="324"/>
        <v>0</v>
      </c>
      <c r="W434" s="1">
        <f t="shared" si="325"/>
        <v>0</v>
      </c>
      <c r="X434" s="1">
        <f t="shared" si="326"/>
        <v>0</v>
      </c>
      <c r="Y434" s="1">
        <f t="shared" si="327"/>
        <v>0</v>
      </c>
      <c r="Z434" s="1">
        <f t="shared" si="328"/>
        <v>0</v>
      </c>
      <c r="AA434" s="1">
        <f t="shared" si="329"/>
        <v>0</v>
      </c>
      <c r="AB434" s="1">
        <f t="shared" si="330"/>
        <v>0</v>
      </c>
      <c r="AD434" s="1">
        <f t="shared" si="331"/>
        <v>0</v>
      </c>
      <c r="AE434" s="1">
        <f t="shared" si="332"/>
        <v>0</v>
      </c>
      <c r="AF434" s="1">
        <f t="shared" si="333"/>
        <v>0</v>
      </c>
      <c r="AG434" s="1">
        <f t="shared" si="334"/>
        <v>0</v>
      </c>
      <c r="AH434" s="1">
        <f t="shared" si="335"/>
        <v>0</v>
      </c>
      <c r="AI434" s="1">
        <f t="shared" si="336"/>
        <v>1</v>
      </c>
    </row>
    <row r="435" spans="1:35" ht="14.25" customHeight="1" x14ac:dyDescent="0.25">
      <c r="A435" s="44">
        <v>0</v>
      </c>
      <c r="B435" s="44">
        <v>2</v>
      </c>
      <c r="C435" s="44">
        <v>7</v>
      </c>
      <c r="D435" s="45" t="s">
        <v>1328</v>
      </c>
      <c r="E435" s="45" t="s">
        <v>28</v>
      </c>
      <c r="F435" s="45" t="s">
        <v>572</v>
      </c>
      <c r="G435" s="45" t="s">
        <v>181</v>
      </c>
      <c r="H435" s="45" t="s">
        <v>354</v>
      </c>
      <c r="I435" s="44" t="s">
        <v>430</v>
      </c>
      <c r="J435" s="44">
        <v>7</v>
      </c>
      <c r="K435" s="46" t="s">
        <v>712</v>
      </c>
      <c r="L435" s="46" t="s">
        <v>713</v>
      </c>
      <c r="M435" s="47" t="s">
        <v>731</v>
      </c>
      <c r="N435" s="47" t="s">
        <v>1735</v>
      </c>
      <c r="O435" s="48"/>
      <c r="P435" s="48"/>
      <c r="Q435" s="45"/>
      <c r="S435" s="1">
        <f t="shared" si="309"/>
        <v>0</v>
      </c>
      <c r="T435" s="1">
        <f t="shared" si="310"/>
        <v>0</v>
      </c>
      <c r="U435" s="1">
        <f t="shared" si="311"/>
        <v>0</v>
      </c>
      <c r="V435" s="1">
        <f t="shared" si="312"/>
        <v>0</v>
      </c>
      <c r="W435" s="1">
        <f t="shared" si="313"/>
        <v>0</v>
      </c>
      <c r="X435" s="1">
        <f t="shared" si="314"/>
        <v>0</v>
      </c>
      <c r="Y435" s="1">
        <f t="shared" si="315"/>
        <v>1</v>
      </c>
      <c r="Z435" s="1">
        <f t="shared" si="316"/>
        <v>0</v>
      </c>
      <c r="AA435" s="1">
        <f t="shared" si="317"/>
        <v>0</v>
      </c>
      <c r="AB435" s="1">
        <f t="shared" si="318"/>
        <v>0</v>
      </c>
      <c r="AD435" s="1">
        <f t="shared" si="319"/>
        <v>0</v>
      </c>
      <c r="AE435" s="1">
        <f t="shared" si="320"/>
        <v>0</v>
      </c>
      <c r="AF435" s="1">
        <f t="shared" si="289"/>
        <v>0</v>
      </c>
      <c r="AG435" s="1">
        <f t="shared" si="290"/>
        <v>0</v>
      </c>
      <c r="AH435" s="1">
        <f t="shared" si="291"/>
        <v>0</v>
      </c>
      <c r="AI435" s="1">
        <f t="shared" si="292"/>
        <v>1</v>
      </c>
    </row>
    <row r="436" spans="1:35" ht="14.25" customHeight="1" x14ac:dyDescent="0.25">
      <c r="A436" s="44">
        <v>0</v>
      </c>
      <c r="B436" s="44">
        <v>2</v>
      </c>
      <c r="C436" s="44">
        <v>7</v>
      </c>
      <c r="D436" s="45" t="s">
        <v>72</v>
      </c>
      <c r="E436" s="45" t="s">
        <v>28</v>
      </c>
      <c r="F436" s="65" t="s">
        <v>1875</v>
      </c>
      <c r="G436" s="45" t="s">
        <v>235</v>
      </c>
      <c r="H436" s="45" t="s">
        <v>354</v>
      </c>
      <c r="I436" s="44" t="s">
        <v>680</v>
      </c>
      <c r="J436" s="44">
        <v>99</v>
      </c>
      <c r="K436" s="46" t="s">
        <v>713</v>
      </c>
      <c r="L436" s="46" t="s">
        <v>713</v>
      </c>
      <c r="M436" s="47" t="s">
        <v>731</v>
      </c>
      <c r="N436" s="47" t="s">
        <v>1735</v>
      </c>
      <c r="O436" s="48"/>
      <c r="P436" s="48"/>
      <c r="Q436" s="45"/>
      <c r="S436" s="1">
        <f t="shared" si="309"/>
        <v>0</v>
      </c>
      <c r="T436" s="1">
        <f t="shared" si="310"/>
        <v>0</v>
      </c>
      <c r="U436" s="1">
        <f t="shared" si="311"/>
        <v>0</v>
      </c>
      <c r="V436" s="1">
        <f t="shared" si="312"/>
        <v>0</v>
      </c>
      <c r="W436" s="1">
        <f t="shared" si="313"/>
        <v>0</v>
      </c>
      <c r="X436" s="1">
        <f t="shared" si="314"/>
        <v>0</v>
      </c>
      <c r="Y436" s="1">
        <f t="shared" si="315"/>
        <v>0</v>
      </c>
      <c r="Z436" s="1">
        <f t="shared" si="316"/>
        <v>0</v>
      </c>
      <c r="AA436" s="1">
        <f t="shared" si="317"/>
        <v>0</v>
      </c>
      <c r="AB436" s="1">
        <f t="shared" si="318"/>
        <v>0</v>
      </c>
      <c r="AD436" s="1">
        <f t="shared" si="319"/>
        <v>0</v>
      </c>
      <c r="AE436" s="1">
        <f t="shared" si="320"/>
        <v>0</v>
      </c>
      <c r="AF436" s="1">
        <f t="shared" si="289"/>
        <v>0</v>
      </c>
      <c r="AG436" s="1">
        <f t="shared" si="290"/>
        <v>0</v>
      </c>
      <c r="AH436" s="1">
        <f t="shared" si="291"/>
        <v>0</v>
      </c>
      <c r="AI436" s="1">
        <f t="shared" si="292"/>
        <v>1</v>
      </c>
    </row>
    <row r="437" spans="1:35" ht="14.25" customHeight="1" x14ac:dyDescent="0.25">
      <c r="A437" s="44">
        <v>1</v>
      </c>
      <c r="B437" s="44">
        <v>2</v>
      </c>
      <c r="C437" s="44">
        <v>7</v>
      </c>
      <c r="D437" s="45" t="s">
        <v>72</v>
      </c>
      <c r="E437" s="45" t="s">
        <v>28</v>
      </c>
      <c r="F437" s="45" t="s">
        <v>261</v>
      </c>
      <c r="G437" s="45" t="s">
        <v>220</v>
      </c>
      <c r="H437" s="45" t="s">
        <v>354</v>
      </c>
      <c r="I437" s="44" t="s">
        <v>420</v>
      </c>
      <c r="J437" s="44">
        <v>8</v>
      </c>
      <c r="K437" s="46" t="s">
        <v>713</v>
      </c>
      <c r="L437" s="46" t="s">
        <v>713</v>
      </c>
      <c r="M437" s="47" t="s">
        <v>731</v>
      </c>
      <c r="N437" s="47" t="s">
        <v>1735</v>
      </c>
      <c r="O437" s="48"/>
      <c r="P437" s="48"/>
      <c r="Q437" s="45"/>
      <c r="S437" s="1">
        <f t="shared" si="309"/>
        <v>0</v>
      </c>
      <c r="T437" s="1">
        <f t="shared" si="310"/>
        <v>0</v>
      </c>
      <c r="U437" s="1">
        <f t="shared" si="311"/>
        <v>0</v>
      </c>
      <c r="V437" s="1">
        <f t="shared" si="312"/>
        <v>0</v>
      </c>
      <c r="W437" s="1">
        <f t="shared" si="313"/>
        <v>0</v>
      </c>
      <c r="X437" s="1">
        <f t="shared" si="314"/>
        <v>0</v>
      </c>
      <c r="Y437" s="1">
        <f t="shared" si="315"/>
        <v>0</v>
      </c>
      <c r="Z437" s="1">
        <f t="shared" si="316"/>
        <v>1</v>
      </c>
      <c r="AA437" s="1">
        <f t="shared" si="317"/>
        <v>0</v>
      </c>
      <c r="AB437" s="1">
        <f t="shared" si="318"/>
        <v>0</v>
      </c>
      <c r="AD437" s="1">
        <f t="shared" si="319"/>
        <v>0</v>
      </c>
      <c r="AE437" s="1">
        <f t="shared" si="320"/>
        <v>0</v>
      </c>
      <c r="AF437" s="1">
        <f t="shared" si="289"/>
        <v>0</v>
      </c>
      <c r="AG437" s="1">
        <f t="shared" si="290"/>
        <v>0</v>
      </c>
      <c r="AH437" s="1">
        <f t="shared" si="291"/>
        <v>0</v>
      </c>
      <c r="AI437" s="1">
        <f t="shared" si="292"/>
        <v>0</v>
      </c>
    </row>
    <row r="438" spans="1:35" ht="14.25" customHeight="1" x14ac:dyDescent="0.25">
      <c r="A438" s="44">
        <v>1</v>
      </c>
      <c r="B438" s="44">
        <v>2</v>
      </c>
      <c r="C438" s="44">
        <v>7</v>
      </c>
      <c r="D438" s="45" t="s">
        <v>72</v>
      </c>
      <c r="E438" s="45" t="s">
        <v>28</v>
      </c>
      <c r="F438" s="45" t="s">
        <v>260</v>
      </c>
      <c r="G438" s="45" t="s">
        <v>178</v>
      </c>
      <c r="H438" s="45" t="s">
        <v>354</v>
      </c>
      <c r="I438" s="44" t="s">
        <v>419</v>
      </c>
      <c r="J438" s="44">
        <v>1</v>
      </c>
      <c r="K438" s="46" t="s">
        <v>713</v>
      </c>
      <c r="L438" s="46" t="s">
        <v>713</v>
      </c>
      <c r="M438" s="47" t="s">
        <v>731</v>
      </c>
      <c r="N438" s="47" t="s">
        <v>1735</v>
      </c>
      <c r="O438" s="48"/>
      <c r="P438" s="48"/>
      <c r="Q438" s="45"/>
      <c r="S438" s="1">
        <f t="shared" si="309"/>
        <v>1</v>
      </c>
      <c r="T438" s="1">
        <f t="shared" si="310"/>
        <v>0</v>
      </c>
      <c r="U438" s="1">
        <f t="shared" si="311"/>
        <v>0</v>
      </c>
      <c r="V438" s="1">
        <f t="shared" si="312"/>
        <v>0</v>
      </c>
      <c r="W438" s="1">
        <f t="shared" si="313"/>
        <v>0</v>
      </c>
      <c r="X438" s="1">
        <f t="shared" si="314"/>
        <v>0</v>
      </c>
      <c r="Y438" s="1">
        <f t="shared" si="315"/>
        <v>0</v>
      </c>
      <c r="Z438" s="1">
        <f t="shared" si="316"/>
        <v>0</v>
      </c>
      <c r="AA438" s="1">
        <f t="shared" si="317"/>
        <v>0</v>
      </c>
      <c r="AB438" s="1">
        <f t="shared" si="318"/>
        <v>0</v>
      </c>
      <c r="AD438" s="1">
        <f t="shared" si="319"/>
        <v>0</v>
      </c>
      <c r="AE438" s="1">
        <f t="shared" si="320"/>
        <v>0</v>
      </c>
      <c r="AF438" s="1">
        <f t="shared" si="289"/>
        <v>0</v>
      </c>
      <c r="AG438" s="1">
        <f t="shared" si="290"/>
        <v>0</v>
      </c>
      <c r="AH438" s="1">
        <f t="shared" si="291"/>
        <v>0</v>
      </c>
      <c r="AI438" s="1">
        <f t="shared" si="292"/>
        <v>0</v>
      </c>
    </row>
    <row r="439" spans="1:35" ht="14.25" customHeight="1" x14ac:dyDescent="0.25">
      <c r="A439" s="15">
        <v>0</v>
      </c>
      <c r="B439" s="15">
        <v>2</v>
      </c>
      <c r="C439" s="15">
        <v>7</v>
      </c>
      <c r="D439" s="16" t="s">
        <v>778</v>
      </c>
      <c r="E439" s="16" t="s">
        <v>28</v>
      </c>
      <c r="F439" s="16" t="s">
        <v>779</v>
      </c>
      <c r="G439" s="16" t="s">
        <v>279</v>
      </c>
      <c r="H439" s="16" t="s">
        <v>354</v>
      </c>
      <c r="I439" s="15" t="s">
        <v>780</v>
      </c>
      <c r="J439" s="15">
        <v>99</v>
      </c>
      <c r="K439" s="10" t="s">
        <v>713</v>
      </c>
      <c r="L439" s="10" t="s">
        <v>713</v>
      </c>
      <c r="M439" s="19" t="s">
        <v>731</v>
      </c>
      <c r="N439" s="17"/>
      <c r="Q439" s="16"/>
      <c r="S439" s="1">
        <f t="shared" si="309"/>
        <v>0</v>
      </c>
      <c r="T439" s="1">
        <f t="shared" si="310"/>
        <v>0</v>
      </c>
      <c r="U439" s="1">
        <f t="shared" si="311"/>
        <v>0</v>
      </c>
      <c r="V439" s="1">
        <f t="shared" si="312"/>
        <v>0</v>
      </c>
      <c r="W439" s="1">
        <f t="shared" si="313"/>
        <v>0</v>
      </c>
      <c r="X439" s="1">
        <f t="shared" si="314"/>
        <v>0</v>
      </c>
      <c r="Y439" s="1">
        <f t="shared" si="315"/>
        <v>0</v>
      </c>
      <c r="Z439" s="1">
        <f t="shared" si="316"/>
        <v>0</v>
      </c>
      <c r="AA439" s="1">
        <f t="shared" si="317"/>
        <v>0</v>
      </c>
      <c r="AB439" s="1">
        <f t="shared" si="318"/>
        <v>0</v>
      </c>
      <c r="AD439" s="1">
        <f t="shared" si="319"/>
        <v>0</v>
      </c>
      <c r="AE439" s="1">
        <f t="shared" si="320"/>
        <v>0</v>
      </c>
      <c r="AF439" s="1">
        <f t="shared" si="289"/>
        <v>0</v>
      </c>
      <c r="AG439" s="1">
        <f t="shared" si="290"/>
        <v>0</v>
      </c>
      <c r="AH439" s="1">
        <f t="shared" si="291"/>
        <v>0</v>
      </c>
      <c r="AI439" s="1">
        <f t="shared" si="292"/>
        <v>1</v>
      </c>
    </row>
    <row r="440" spans="1:35" ht="14.25" customHeight="1" x14ac:dyDescent="0.25">
      <c r="A440" s="15">
        <v>0</v>
      </c>
      <c r="B440" s="15">
        <v>2</v>
      </c>
      <c r="C440" s="15">
        <v>7</v>
      </c>
      <c r="D440" s="16" t="s">
        <v>85</v>
      </c>
      <c r="E440" s="16" t="s">
        <v>28</v>
      </c>
      <c r="F440" s="16" t="s">
        <v>278</v>
      </c>
      <c r="G440" s="16" t="s">
        <v>279</v>
      </c>
      <c r="H440" s="16" t="s">
        <v>354</v>
      </c>
      <c r="I440" s="15" t="s">
        <v>434</v>
      </c>
      <c r="J440" s="15">
        <v>99</v>
      </c>
      <c r="K440" s="10" t="s">
        <v>713</v>
      </c>
      <c r="L440" s="10" t="s">
        <v>713</v>
      </c>
      <c r="M440" s="19" t="s">
        <v>731</v>
      </c>
      <c r="N440" s="17"/>
      <c r="Q440" s="16"/>
      <c r="S440" s="1">
        <f t="shared" si="309"/>
        <v>0</v>
      </c>
      <c r="T440" s="1">
        <f t="shared" si="310"/>
        <v>0</v>
      </c>
      <c r="U440" s="1">
        <f t="shared" si="311"/>
        <v>0</v>
      </c>
      <c r="V440" s="1">
        <f t="shared" si="312"/>
        <v>0</v>
      </c>
      <c r="W440" s="1">
        <f t="shared" si="313"/>
        <v>0</v>
      </c>
      <c r="X440" s="1">
        <f t="shared" si="314"/>
        <v>0</v>
      </c>
      <c r="Y440" s="1">
        <f t="shared" si="315"/>
        <v>0</v>
      </c>
      <c r="Z440" s="1">
        <f t="shared" si="316"/>
        <v>0</v>
      </c>
      <c r="AA440" s="1">
        <f t="shared" si="317"/>
        <v>0</v>
      </c>
      <c r="AB440" s="1">
        <f t="shared" si="318"/>
        <v>0</v>
      </c>
      <c r="AD440" s="1">
        <f t="shared" si="319"/>
        <v>0</v>
      </c>
      <c r="AE440" s="1">
        <f t="shared" si="320"/>
        <v>0</v>
      </c>
      <c r="AF440" s="1">
        <f t="shared" si="289"/>
        <v>0</v>
      </c>
      <c r="AG440" s="1">
        <f t="shared" si="290"/>
        <v>0</v>
      </c>
      <c r="AH440" s="1">
        <f t="shared" si="291"/>
        <v>0</v>
      </c>
      <c r="AI440" s="1">
        <f t="shared" si="292"/>
        <v>1</v>
      </c>
    </row>
    <row r="441" spans="1:35" ht="14.25" customHeight="1" x14ac:dyDescent="0.25">
      <c r="A441" s="37">
        <v>0</v>
      </c>
      <c r="B441" s="37">
        <v>2</v>
      </c>
      <c r="C441" s="37">
        <v>7</v>
      </c>
      <c r="D441" s="36" t="s">
        <v>1937</v>
      </c>
      <c r="E441" s="36" t="s">
        <v>28</v>
      </c>
      <c r="F441" s="36" t="s">
        <v>1938</v>
      </c>
      <c r="G441" s="36" t="s">
        <v>185</v>
      </c>
      <c r="H441" s="36" t="s">
        <v>354</v>
      </c>
      <c r="I441" s="37" t="s">
        <v>1939</v>
      </c>
      <c r="J441" s="37">
        <v>99</v>
      </c>
      <c r="K441" s="33" t="s">
        <v>703</v>
      </c>
      <c r="L441" s="33">
        <v>4</v>
      </c>
      <c r="M441" s="34" t="s">
        <v>731</v>
      </c>
      <c r="N441" s="34" t="s">
        <v>1743</v>
      </c>
      <c r="O441" s="35">
        <v>1</v>
      </c>
      <c r="P441" s="35"/>
      <c r="Q441" s="36" t="s">
        <v>1940</v>
      </c>
      <c r="S441" s="1">
        <f t="shared" si="309"/>
        <v>0</v>
      </c>
      <c r="T441" s="1">
        <f t="shared" si="310"/>
        <v>0</v>
      </c>
      <c r="U441" s="1">
        <f t="shared" si="311"/>
        <v>0</v>
      </c>
      <c r="V441" s="1">
        <f t="shared" si="312"/>
        <v>0</v>
      </c>
      <c r="W441" s="1">
        <f t="shared" si="313"/>
        <v>0</v>
      </c>
      <c r="X441" s="1">
        <f t="shared" si="314"/>
        <v>0</v>
      </c>
      <c r="Y441" s="1">
        <f t="shared" si="315"/>
        <v>0</v>
      </c>
      <c r="Z441" s="1">
        <f t="shared" si="316"/>
        <v>0</v>
      </c>
      <c r="AA441" s="1">
        <f t="shared" si="317"/>
        <v>0</v>
      </c>
      <c r="AB441" s="1">
        <f t="shared" si="318"/>
        <v>0</v>
      </c>
      <c r="AD441" s="1">
        <f t="shared" si="319"/>
        <v>0</v>
      </c>
      <c r="AE441" s="1">
        <f t="shared" si="320"/>
        <v>1</v>
      </c>
      <c r="AF441" s="1">
        <f t="shared" si="289"/>
        <v>0</v>
      </c>
      <c r="AG441" s="1">
        <f t="shared" si="290"/>
        <v>1</v>
      </c>
      <c r="AH441" s="1">
        <f t="shared" si="291"/>
        <v>0</v>
      </c>
      <c r="AI441" s="1">
        <f t="shared" si="292"/>
        <v>1</v>
      </c>
    </row>
    <row r="442" spans="1:35" ht="14.25" customHeight="1" x14ac:dyDescent="0.25">
      <c r="A442" s="44">
        <v>0</v>
      </c>
      <c r="B442" s="44">
        <v>2</v>
      </c>
      <c r="C442" s="44">
        <v>7</v>
      </c>
      <c r="D442" s="45" t="s">
        <v>553</v>
      </c>
      <c r="E442" s="45" t="s">
        <v>28</v>
      </c>
      <c r="F442" s="65" t="s">
        <v>1876</v>
      </c>
      <c r="G442" s="45" t="s">
        <v>556</v>
      </c>
      <c r="H442" s="45" t="s">
        <v>354</v>
      </c>
      <c r="I442" s="44" t="s">
        <v>557</v>
      </c>
      <c r="J442" s="44">
        <v>99</v>
      </c>
      <c r="K442" s="46" t="s">
        <v>713</v>
      </c>
      <c r="L442" s="46" t="s">
        <v>713</v>
      </c>
      <c r="M442" s="47" t="s">
        <v>731</v>
      </c>
      <c r="N442" s="47" t="s">
        <v>1802</v>
      </c>
      <c r="O442" s="48"/>
      <c r="P442" s="48"/>
      <c r="Q442" s="45"/>
      <c r="S442" s="1">
        <f t="shared" si="309"/>
        <v>0</v>
      </c>
      <c r="T442" s="1">
        <f t="shared" si="310"/>
        <v>0</v>
      </c>
      <c r="U442" s="1">
        <f t="shared" si="311"/>
        <v>0</v>
      </c>
      <c r="V442" s="1">
        <f t="shared" si="312"/>
        <v>0</v>
      </c>
      <c r="W442" s="1">
        <f t="shared" si="313"/>
        <v>0</v>
      </c>
      <c r="X442" s="1">
        <f t="shared" si="314"/>
        <v>0</v>
      </c>
      <c r="Y442" s="1">
        <f t="shared" si="315"/>
        <v>0</v>
      </c>
      <c r="Z442" s="1">
        <f t="shared" si="316"/>
        <v>0</v>
      </c>
      <c r="AA442" s="1">
        <f t="shared" si="317"/>
        <v>0</v>
      </c>
      <c r="AB442" s="1">
        <f t="shared" si="318"/>
        <v>0</v>
      </c>
      <c r="AD442" s="1">
        <f t="shared" si="319"/>
        <v>0</v>
      </c>
      <c r="AE442" s="1">
        <f t="shared" si="320"/>
        <v>0</v>
      </c>
      <c r="AF442" s="1">
        <f t="shared" si="289"/>
        <v>0</v>
      </c>
      <c r="AG442" s="1">
        <f t="shared" si="290"/>
        <v>0</v>
      </c>
      <c r="AH442" s="1">
        <f t="shared" si="291"/>
        <v>0</v>
      </c>
      <c r="AI442" s="1">
        <f t="shared" si="292"/>
        <v>1</v>
      </c>
    </row>
    <row r="443" spans="1:35" ht="14.25" customHeight="1" x14ac:dyDescent="0.25">
      <c r="A443" s="44">
        <v>1</v>
      </c>
      <c r="B443" s="44">
        <v>2</v>
      </c>
      <c r="C443" s="44">
        <v>7</v>
      </c>
      <c r="D443" s="45" t="s">
        <v>553</v>
      </c>
      <c r="E443" s="45" t="s">
        <v>28</v>
      </c>
      <c r="F443" s="65" t="s">
        <v>1877</v>
      </c>
      <c r="G443" s="45" t="s">
        <v>554</v>
      </c>
      <c r="H443" s="45" t="s">
        <v>354</v>
      </c>
      <c r="I443" s="44" t="s">
        <v>555</v>
      </c>
      <c r="J443" s="44">
        <v>99</v>
      </c>
      <c r="K443" s="46" t="s">
        <v>713</v>
      </c>
      <c r="L443" s="46" t="s">
        <v>713</v>
      </c>
      <c r="M443" s="47" t="s">
        <v>731</v>
      </c>
      <c r="N443" s="47" t="s">
        <v>1802</v>
      </c>
      <c r="O443" s="48"/>
      <c r="P443" s="48"/>
      <c r="Q443" s="45"/>
      <c r="S443" s="1">
        <f t="shared" si="309"/>
        <v>0</v>
      </c>
      <c r="T443" s="1">
        <f t="shared" si="310"/>
        <v>0</v>
      </c>
      <c r="U443" s="1">
        <f t="shared" si="311"/>
        <v>0</v>
      </c>
      <c r="V443" s="1">
        <f t="shared" si="312"/>
        <v>0</v>
      </c>
      <c r="W443" s="1">
        <f t="shared" si="313"/>
        <v>0</v>
      </c>
      <c r="X443" s="1">
        <f t="shared" si="314"/>
        <v>0</v>
      </c>
      <c r="Y443" s="1">
        <f t="shared" si="315"/>
        <v>0</v>
      </c>
      <c r="Z443" s="1">
        <f t="shared" si="316"/>
        <v>0</v>
      </c>
      <c r="AA443" s="1">
        <f t="shared" si="317"/>
        <v>0</v>
      </c>
      <c r="AB443" s="1">
        <f t="shared" si="318"/>
        <v>0</v>
      </c>
      <c r="AD443" s="1">
        <f t="shared" si="319"/>
        <v>0</v>
      </c>
      <c r="AE443" s="1">
        <f t="shared" si="320"/>
        <v>0</v>
      </c>
      <c r="AF443" s="1">
        <f t="shared" si="289"/>
        <v>0</v>
      </c>
      <c r="AG443" s="1">
        <f t="shared" si="290"/>
        <v>0</v>
      </c>
      <c r="AH443" s="1">
        <f t="shared" si="291"/>
        <v>0</v>
      </c>
      <c r="AI443" s="1">
        <f t="shared" si="292"/>
        <v>0</v>
      </c>
    </row>
    <row r="444" spans="1:35" ht="14.25" customHeight="1" x14ac:dyDescent="0.25">
      <c r="A444" s="44">
        <v>0</v>
      </c>
      <c r="B444" s="44">
        <v>2</v>
      </c>
      <c r="C444" s="44">
        <v>7</v>
      </c>
      <c r="D444" s="45" t="s">
        <v>1185</v>
      </c>
      <c r="E444" s="45" t="s">
        <v>28</v>
      </c>
      <c r="F444" s="45" t="s">
        <v>1678</v>
      </c>
      <c r="G444" s="45" t="s">
        <v>235</v>
      </c>
      <c r="H444" s="45" t="s">
        <v>354</v>
      </c>
      <c r="I444" s="44" t="s">
        <v>1366</v>
      </c>
      <c r="J444" s="44">
        <v>99</v>
      </c>
      <c r="K444" s="46" t="s">
        <v>712</v>
      </c>
      <c r="L444" s="46" t="s">
        <v>713</v>
      </c>
      <c r="M444" s="47" t="s">
        <v>731</v>
      </c>
      <c r="N444" s="47" t="s">
        <v>1735</v>
      </c>
      <c r="O444" s="48"/>
      <c r="P444" s="48"/>
      <c r="Q444" s="45"/>
      <c r="S444" s="1">
        <f t="shared" si="309"/>
        <v>0</v>
      </c>
      <c r="T444" s="1">
        <f t="shared" si="310"/>
        <v>0</v>
      </c>
      <c r="U444" s="1">
        <f t="shared" si="311"/>
        <v>0</v>
      </c>
      <c r="V444" s="1">
        <f t="shared" si="312"/>
        <v>0</v>
      </c>
      <c r="W444" s="1">
        <f t="shared" si="313"/>
        <v>0</v>
      </c>
      <c r="X444" s="1">
        <f t="shared" si="314"/>
        <v>0</v>
      </c>
      <c r="Y444" s="1">
        <f t="shared" si="315"/>
        <v>0</v>
      </c>
      <c r="Z444" s="1">
        <f t="shared" si="316"/>
        <v>0</v>
      </c>
      <c r="AA444" s="1">
        <f t="shared" si="317"/>
        <v>0</v>
      </c>
      <c r="AB444" s="1">
        <f t="shared" si="318"/>
        <v>0</v>
      </c>
      <c r="AD444" s="1">
        <f t="shared" si="319"/>
        <v>0</v>
      </c>
      <c r="AE444" s="1">
        <f t="shared" si="320"/>
        <v>0</v>
      </c>
      <c r="AF444" s="1">
        <f t="shared" si="289"/>
        <v>0</v>
      </c>
      <c r="AG444" s="1">
        <f t="shared" si="290"/>
        <v>0</v>
      </c>
      <c r="AH444" s="1">
        <f t="shared" si="291"/>
        <v>0</v>
      </c>
      <c r="AI444" s="1">
        <f t="shared" si="292"/>
        <v>1</v>
      </c>
    </row>
    <row r="445" spans="1:35" ht="14.25" customHeight="1" x14ac:dyDescent="0.25">
      <c r="A445" s="44">
        <v>1</v>
      </c>
      <c r="B445" s="44">
        <v>2</v>
      </c>
      <c r="C445" s="44">
        <v>7</v>
      </c>
      <c r="D445" s="45" t="s">
        <v>1185</v>
      </c>
      <c r="E445" s="45" t="s">
        <v>28</v>
      </c>
      <c r="F445" s="45" t="s">
        <v>1679</v>
      </c>
      <c r="G445" s="45" t="s">
        <v>1352</v>
      </c>
      <c r="H445" s="45" t="s">
        <v>354</v>
      </c>
      <c r="I445" s="44" t="s">
        <v>1367</v>
      </c>
      <c r="J445" s="44">
        <v>99</v>
      </c>
      <c r="K445" s="46" t="s">
        <v>712</v>
      </c>
      <c r="L445" s="46" t="s">
        <v>713</v>
      </c>
      <c r="M445" s="47" t="s">
        <v>731</v>
      </c>
      <c r="N445" s="47" t="s">
        <v>1735</v>
      </c>
      <c r="O445" s="48"/>
      <c r="P445" s="48"/>
      <c r="Q445" s="45"/>
      <c r="S445" s="1">
        <f t="shared" si="309"/>
        <v>0</v>
      </c>
      <c r="T445" s="1">
        <f t="shared" si="310"/>
        <v>0</v>
      </c>
      <c r="U445" s="1">
        <f t="shared" si="311"/>
        <v>0</v>
      </c>
      <c r="V445" s="1">
        <f t="shared" si="312"/>
        <v>0</v>
      </c>
      <c r="W445" s="1">
        <f t="shared" si="313"/>
        <v>0</v>
      </c>
      <c r="X445" s="1">
        <f t="shared" si="314"/>
        <v>0</v>
      </c>
      <c r="Y445" s="1">
        <f t="shared" si="315"/>
        <v>0</v>
      </c>
      <c r="Z445" s="1">
        <f t="shared" si="316"/>
        <v>0</v>
      </c>
      <c r="AA445" s="1">
        <f t="shared" si="317"/>
        <v>0</v>
      </c>
      <c r="AB445" s="1">
        <f t="shared" si="318"/>
        <v>0</v>
      </c>
      <c r="AD445" s="1">
        <f t="shared" si="319"/>
        <v>0</v>
      </c>
      <c r="AE445" s="1">
        <f t="shared" si="320"/>
        <v>0</v>
      </c>
      <c r="AF445" s="1">
        <f t="shared" si="289"/>
        <v>0</v>
      </c>
      <c r="AG445" s="1">
        <f t="shared" si="290"/>
        <v>0</v>
      </c>
      <c r="AH445" s="1">
        <f t="shared" si="291"/>
        <v>0</v>
      </c>
      <c r="AI445" s="1">
        <f t="shared" si="292"/>
        <v>0</v>
      </c>
    </row>
    <row r="446" spans="1:35" ht="14.25" customHeight="1" x14ac:dyDescent="0.25">
      <c r="A446" s="31">
        <v>0</v>
      </c>
      <c r="B446" s="31">
        <v>2</v>
      </c>
      <c r="C446" s="31">
        <v>7</v>
      </c>
      <c r="D446" s="32" t="s">
        <v>1253</v>
      </c>
      <c r="E446" s="32" t="s">
        <v>28</v>
      </c>
      <c r="F446" s="32" t="s">
        <v>1252</v>
      </c>
      <c r="G446" s="32" t="s">
        <v>1237</v>
      </c>
      <c r="H446" s="32" t="s">
        <v>354</v>
      </c>
      <c r="I446" s="31" t="s">
        <v>1254</v>
      </c>
      <c r="J446" s="31">
        <v>99</v>
      </c>
      <c r="K446" s="33" t="s">
        <v>703</v>
      </c>
      <c r="L446" s="33" t="s">
        <v>713</v>
      </c>
      <c r="M446" s="34" t="s">
        <v>731</v>
      </c>
      <c r="N446" s="34" t="s">
        <v>1743</v>
      </c>
      <c r="O446" s="35">
        <v>1</v>
      </c>
      <c r="P446" s="35"/>
      <c r="Q446" s="32"/>
      <c r="S446" s="1">
        <f t="shared" si="309"/>
        <v>0</v>
      </c>
      <c r="T446" s="1">
        <f t="shared" si="310"/>
        <v>0</v>
      </c>
      <c r="U446" s="1">
        <f t="shared" si="311"/>
        <v>0</v>
      </c>
      <c r="V446" s="1">
        <f t="shared" si="312"/>
        <v>0</v>
      </c>
      <c r="W446" s="1">
        <f t="shared" si="313"/>
        <v>0</v>
      </c>
      <c r="X446" s="1">
        <f t="shared" si="314"/>
        <v>0</v>
      </c>
      <c r="Y446" s="1">
        <f t="shared" si="315"/>
        <v>0</v>
      </c>
      <c r="Z446" s="1">
        <f t="shared" si="316"/>
        <v>0</v>
      </c>
      <c r="AA446" s="1">
        <f t="shared" si="317"/>
        <v>0</v>
      </c>
      <c r="AB446" s="1">
        <f t="shared" si="318"/>
        <v>0</v>
      </c>
      <c r="AD446" s="1">
        <f t="shared" si="319"/>
        <v>0</v>
      </c>
      <c r="AE446" s="1">
        <f t="shared" si="320"/>
        <v>1</v>
      </c>
      <c r="AF446" s="1">
        <f t="shared" si="289"/>
        <v>0</v>
      </c>
      <c r="AG446" s="1">
        <f t="shared" si="290"/>
        <v>1</v>
      </c>
      <c r="AH446" s="1">
        <f t="shared" si="291"/>
        <v>0</v>
      </c>
      <c r="AI446" s="1">
        <f t="shared" si="292"/>
        <v>1</v>
      </c>
    </row>
    <row r="447" spans="1:35" ht="14.25" customHeight="1" x14ac:dyDescent="0.25">
      <c r="A447" s="31">
        <v>1</v>
      </c>
      <c r="B447" s="31">
        <v>2</v>
      </c>
      <c r="C447" s="31">
        <v>7</v>
      </c>
      <c r="D447" s="32" t="s">
        <v>1253</v>
      </c>
      <c r="E447" s="32" t="s">
        <v>28</v>
      </c>
      <c r="F447" s="32" t="s">
        <v>1251</v>
      </c>
      <c r="G447" s="32" t="s">
        <v>39</v>
      </c>
      <c r="H447" s="32" t="s">
        <v>354</v>
      </c>
      <c r="I447" s="31" t="s">
        <v>1255</v>
      </c>
      <c r="J447" s="31">
        <v>9</v>
      </c>
      <c r="K447" s="33" t="s">
        <v>703</v>
      </c>
      <c r="L447" s="33" t="s">
        <v>713</v>
      </c>
      <c r="M447" s="34" t="s">
        <v>731</v>
      </c>
      <c r="N447" s="34" t="s">
        <v>1743</v>
      </c>
      <c r="O447" s="35">
        <v>1</v>
      </c>
      <c r="P447" s="35"/>
      <c r="Q447" s="32"/>
      <c r="S447" s="1">
        <f t="shared" si="309"/>
        <v>0</v>
      </c>
      <c r="T447" s="1">
        <f t="shared" si="310"/>
        <v>0</v>
      </c>
      <c r="U447" s="1">
        <f t="shared" si="311"/>
        <v>0</v>
      </c>
      <c r="V447" s="1">
        <f t="shared" si="312"/>
        <v>0</v>
      </c>
      <c r="W447" s="1">
        <f t="shared" si="313"/>
        <v>0</v>
      </c>
      <c r="X447" s="1">
        <f t="shared" si="314"/>
        <v>0</v>
      </c>
      <c r="Y447" s="1">
        <f t="shared" si="315"/>
        <v>0</v>
      </c>
      <c r="Z447" s="1">
        <f t="shared" si="316"/>
        <v>0</v>
      </c>
      <c r="AA447" s="1">
        <f t="shared" si="317"/>
        <v>1</v>
      </c>
      <c r="AB447" s="1">
        <f t="shared" si="318"/>
        <v>0</v>
      </c>
      <c r="AD447" s="1">
        <f t="shared" si="319"/>
        <v>0</v>
      </c>
      <c r="AE447" s="1">
        <f t="shared" si="320"/>
        <v>1</v>
      </c>
      <c r="AF447" s="1">
        <f t="shared" si="289"/>
        <v>0</v>
      </c>
      <c r="AG447" s="1">
        <f t="shared" si="290"/>
        <v>0</v>
      </c>
      <c r="AH447" s="1">
        <f t="shared" si="291"/>
        <v>0</v>
      </c>
      <c r="AI447" s="1">
        <f t="shared" si="292"/>
        <v>0</v>
      </c>
    </row>
    <row r="448" spans="1:35" ht="14.25" customHeight="1" x14ac:dyDescent="0.25">
      <c r="A448" s="31">
        <v>1</v>
      </c>
      <c r="B448" s="31">
        <v>2</v>
      </c>
      <c r="C448" s="31">
        <v>7</v>
      </c>
      <c r="D448" s="32" t="s">
        <v>1253</v>
      </c>
      <c r="E448" s="32" t="s">
        <v>28</v>
      </c>
      <c r="F448" s="36" t="s">
        <v>1824</v>
      </c>
      <c r="G448" s="36" t="s">
        <v>258</v>
      </c>
      <c r="H448" s="32" t="s">
        <v>354</v>
      </c>
      <c r="I448" s="37" t="s">
        <v>30</v>
      </c>
      <c r="J448" s="31">
        <v>8</v>
      </c>
      <c r="K448" s="33" t="s">
        <v>703</v>
      </c>
      <c r="L448" s="33" t="s">
        <v>713</v>
      </c>
      <c r="M448" s="34" t="s">
        <v>731</v>
      </c>
      <c r="N448" s="34" t="s">
        <v>1743</v>
      </c>
      <c r="O448" s="35">
        <v>1</v>
      </c>
      <c r="P448" s="35"/>
      <c r="Q448" s="32"/>
      <c r="S448" s="1">
        <f t="shared" si="309"/>
        <v>0</v>
      </c>
      <c r="T448" s="1">
        <f t="shared" si="310"/>
        <v>0</v>
      </c>
      <c r="U448" s="1">
        <f t="shared" si="311"/>
        <v>0</v>
      </c>
      <c r="V448" s="1">
        <f t="shared" si="312"/>
        <v>0</v>
      </c>
      <c r="W448" s="1">
        <f t="shared" si="313"/>
        <v>0</v>
      </c>
      <c r="X448" s="1">
        <f t="shared" si="314"/>
        <v>0</v>
      </c>
      <c r="Y448" s="1">
        <f t="shared" si="315"/>
        <v>0</v>
      </c>
      <c r="Z448" s="1">
        <f t="shared" si="316"/>
        <v>1</v>
      </c>
      <c r="AA448" s="1">
        <f t="shared" si="317"/>
        <v>0</v>
      </c>
      <c r="AB448" s="1">
        <f t="shared" si="318"/>
        <v>0</v>
      </c>
      <c r="AD448" s="1">
        <f t="shared" si="319"/>
        <v>0</v>
      </c>
      <c r="AE448" s="1">
        <f t="shared" si="320"/>
        <v>1</v>
      </c>
      <c r="AF448" s="1">
        <f t="shared" si="289"/>
        <v>0</v>
      </c>
      <c r="AG448" s="1">
        <f t="shared" si="290"/>
        <v>0</v>
      </c>
      <c r="AH448" s="1">
        <f t="shared" si="291"/>
        <v>0</v>
      </c>
      <c r="AI448" s="1">
        <f t="shared" si="292"/>
        <v>0</v>
      </c>
    </row>
    <row r="449" spans="1:35" ht="14.25" customHeight="1" x14ac:dyDescent="0.25">
      <c r="A449" s="31">
        <v>0</v>
      </c>
      <c r="B449" s="31">
        <v>2</v>
      </c>
      <c r="C449" s="31">
        <v>7</v>
      </c>
      <c r="D449" s="32" t="s">
        <v>51</v>
      </c>
      <c r="E449" s="32" t="s">
        <v>28</v>
      </c>
      <c r="F449" s="32" t="s">
        <v>674</v>
      </c>
      <c r="G449" s="32" t="s">
        <v>185</v>
      </c>
      <c r="H449" s="32" t="s">
        <v>354</v>
      </c>
      <c r="I449" s="31" t="s">
        <v>390</v>
      </c>
      <c r="J449" s="31">
        <v>99</v>
      </c>
      <c r="K449" s="33" t="s">
        <v>712</v>
      </c>
      <c r="L449" s="33" t="s">
        <v>713</v>
      </c>
      <c r="M449" s="34" t="s">
        <v>731</v>
      </c>
      <c r="N449" s="34" t="s">
        <v>1749</v>
      </c>
      <c r="O449" s="35">
        <v>1</v>
      </c>
      <c r="P449" s="35"/>
      <c r="Q449" s="32"/>
      <c r="S449" s="1">
        <f t="shared" si="309"/>
        <v>0</v>
      </c>
      <c r="T449" s="1">
        <f t="shared" si="310"/>
        <v>0</v>
      </c>
      <c r="U449" s="1">
        <f t="shared" si="311"/>
        <v>0</v>
      </c>
      <c r="V449" s="1">
        <f t="shared" si="312"/>
        <v>0</v>
      </c>
      <c r="W449" s="1">
        <f t="shared" si="313"/>
        <v>0</v>
      </c>
      <c r="X449" s="1">
        <f t="shared" si="314"/>
        <v>0</v>
      </c>
      <c r="Y449" s="1">
        <f t="shared" si="315"/>
        <v>0</v>
      </c>
      <c r="Z449" s="1">
        <f t="shared" si="316"/>
        <v>0</v>
      </c>
      <c r="AA449" s="1">
        <f t="shared" si="317"/>
        <v>0</v>
      </c>
      <c r="AB449" s="1">
        <f t="shared" si="318"/>
        <v>0</v>
      </c>
      <c r="AD449" s="1">
        <f t="shared" si="319"/>
        <v>0</v>
      </c>
      <c r="AE449" s="1">
        <f t="shared" si="320"/>
        <v>1</v>
      </c>
      <c r="AF449" s="1">
        <f t="shared" si="289"/>
        <v>0</v>
      </c>
      <c r="AG449" s="1">
        <f t="shared" si="290"/>
        <v>1</v>
      </c>
      <c r="AH449" s="1">
        <f t="shared" si="291"/>
        <v>0</v>
      </c>
      <c r="AI449" s="1">
        <f t="shared" si="292"/>
        <v>1</v>
      </c>
    </row>
    <row r="450" spans="1:35" ht="14.25" customHeight="1" x14ac:dyDescent="0.25">
      <c r="A450" s="44">
        <v>0</v>
      </c>
      <c r="B450" s="44">
        <v>2</v>
      </c>
      <c r="C450" s="44">
        <v>7</v>
      </c>
      <c r="D450" s="45" t="s">
        <v>1081</v>
      </c>
      <c r="E450" s="45" t="s">
        <v>28</v>
      </c>
      <c r="F450" s="45" t="s">
        <v>998</v>
      </c>
      <c r="G450" s="45" t="s">
        <v>240</v>
      </c>
      <c r="H450" s="45" t="s">
        <v>354</v>
      </c>
      <c r="I450" s="44" t="s">
        <v>1106</v>
      </c>
      <c r="J450" s="44">
        <v>1</v>
      </c>
      <c r="K450" s="46" t="s">
        <v>712</v>
      </c>
      <c r="L450" s="46" t="s">
        <v>713</v>
      </c>
      <c r="M450" s="47" t="s">
        <v>731</v>
      </c>
      <c r="N450" s="47" t="s">
        <v>1735</v>
      </c>
      <c r="O450" s="48"/>
      <c r="P450" s="48"/>
      <c r="Q450" s="45"/>
      <c r="S450" s="1">
        <f t="shared" si="309"/>
        <v>1</v>
      </c>
      <c r="T450" s="1">
        <f t="shared" si="310"/>
        <v>0</v>
      </c>
      <c r="U450" s="1">
        <f t="shared" si="311"/>
        <v>0</v>
      </c>
      <c r="V450" s="1">
        <f t="shared" si="312"/>
        <v>0</v>
      </c>
      <c r="W450" s="1">
        <f t="shared" si="313"/>
        <v>0</v>
      </c>
      <c r="X450" s="1">
        <f t="shared" si="314"/>
        <v>0</v>
      </c>
      <c r="Y450" s="1">
        <f t="shared" si="315"/>
        <v>0</v>
      </c>
      <c r="Z450" s="1">
        <f t="shared" si="316"/>
        <v>0</v>
      </c>
      <c r="AA450" s="1">
        <f t="shared" si="317"/>
        <v>0</v>
      </c>
      <c r="AB450" s="1">
        <f t="shared" si="318"/>
        <v>0</v>
      </c>
      <c r="AD450" s="1">
        <f t="shared" si="319"/>
        <v>0</v>
      </c>
      <c r="AE450" s="1">
        <f t="shared" si="320"/>
        <v>0</v>
      </c>
      <c r="AF450" s="1">
        <f t="shared" si="289"/>
        <v>0</v>
      </c>
      <c r="AG450" s="1">
        <f t="shared" si="290"/>
        <v>0</v>
      </c>
      <c r="AH450" s="1">
        <f t="shared" si="291"/>
        <v>0</v>
      </c>
      <c r="AI450" s="1">
        <f t="shared" si="292"/>
        <v>1</v>
      </c>
    </row>
    <row r="451" spans="1:35" ht="14.25" customHeight="1" x14ac:dyDescent="0.25">
      <c r="A451" s="44">
        <v>1</v>
      </c>
      <c r="B451" s="44">
        <v>2</v>
      </c>
      <c r="C451" s="44">
        <v>7</v>
      </c>
      <c r="D451" s="45" t="s">
        <v>1081</v>
      </c>
      <c r="E451" s="45" t="s">
        <v>28</v>
      </c>
      <c r="F451" s="45" t="s">
        <v>999</v>
      </c>
      <c r="G451" s="45" t="s">
        <v>1099</v>
      </c>
      <c r="H451" s="45" t="s">
        <v>354</v>
      </c>
      <c r="I451" s="44" t="s">
        <v>1107</v>
      </c>
      <c r="J451" s="44">
        <v>1</v>
      </c>
      <c r="K451" s="46" t="s">
        <v>712</v>
      </c>
      <c r="L451" s="46" t="s">
        <v>713</v>
      </c>
      <c r="M451" s="47" t="s">
        <v>731</v>
      </c>
      <c r="N451" s="47" t="s">
        <v>1735</v>
      </c>
      <c r="O451" s="48"/>
      <c r="P451" s="48"/>
      <c r="Q451" s="45"/>
      <c r="S451" s="1">
        <f t="shared" si="309"/>
        <v>1</v>
      </c>
      <c r="T451" s="1">
        <f t="shared" si="310"/>
        <v>0</v>
      </c>
      <c r="U451" s="1">
        <f t="shared" si="311"/>
        <v>0</v>
      </c>
      <c r="V451" s="1">
        <f t="shared" si="312"/>
        <v>0</v>
      </c>
      <c r="W451" s="1">
        <f t="shared" si="313"/>
        <v>0</v>
      </c>
      <c r="X451" s="1">
        <f t="shared" si="314"/>
        <v>0</v>
      </c>
      <c r="Y451" s="1">
        <f t="shared" si="315"/>
        <v>0</v>
      </c>
      <c r="Z451" s="1">
        <f t="shared" si="316"/>
        <v>0</v>
      </c>
      <c r="AA451" s="1">
        <f t="shared" si="317"/>
        <v>0</v>
      </c>
      <c r="AB451" s="1">
        <f t="shared" si="318"/>
        <v>0</v>
      </c>
      <c r="AD451" s="1">
        <f t="shared" si="319"/>
        <v>0</v>
      </c>
      <c r="AE451" s="1">
        <f t="shared" si="320"/>
        <v>0</v>
      </c>
      <c r="AF451" s="1">
        <f t="shared" si="289"/>
        <v>0</v>
      </c>
      <c r="AG451" s="1">
        <f t="shared" si="290"/>
        <v>0</v>
      </c>
      <c r="AH451" s="1">
        <f t="shared" si="291"/>
        <v>0</v>
      </c>
      <c r="AI451" s="1">
        <f t="shared" si="292"/>
        <v>0</v>
      </c>
    </row>
    <row r="452" spans="1:35" ht="14.25" customHeight="1" x14ac:dyDescent="0.25">
      <c r="A452" s="31">
        <v>0</v>
      </c>
      <c r="B452" s="31">
        <v>2</v>
      </c>
      <c r="C452" s="31">
        <v>7</v>
      </c>
      <c r="D452" s="32" t="s">
        <v>1638</v>
      </c>
      <c r="E452" s="32" t="s">
        <v>156</v>
      </c>
      <c r="F452" s="32" t="s">
        <v>1491</v>
      </c>
      <c r="G452" s="32" t="s">
        <v>1492</v>
      </c>
      <c r="H452" s="32" t="s">
        <v>354</v>
      </c>
      <c r="I452" s="31" t="s">
        <v>1493</v>
      </c>
      <c r="J452" s="31">
        <v>99</v>
      </c>
      <c r="K452" s="33" t="s">
        <v>955</v>
      </c>
      <c r="L452" s="33" t="s">
        <v>722</v>
      </c>
      <c r="M452" s="34" t="s">
        <v>732</v>
      </c>
      <c r="N452" s="34" t="s">
        <v>1748</v>
      </c>
      <c r="O452" s="35">
        <v>1</v>
      </c>
      <c r="P452" s="35"/>
      <c r="Q452" s="32"/>
      <c r="S452" s="1">
        <f t="shared" si="309"/>
        <v>0</v>
      </c>
      <c r="T452" s="1">
        <f t="shared" si="310"/>
        <v>0</v>
      </c>
      <c r="U452" s="1">
        <f t="shared" si="311"/>
        <v>0</v>
      </c>
      <c r="V452" s="1">
        <f t="shared" si="312"/>
        <v>0</v>
      </c>
      <c r="W452" s="1">
        <f t="shared" si="313"/>
        <v>0</v>
      </c>
      <c r="X452" s="1">
        <f t="shared" si="314"/>
        <v>0</v>
      </c>
      <c r="Y452" s="1">
        <f t="shared" si="315"/>
        <v>0</v>
      </c>
      <c r="Z452" s="1">
        <f t="shared" si="316"/>
        <v>0</v>
      </c>
      <c r="AA452" s="1">
        <f t="shared" si="317"/>
        <v>0</v>
      </c>
      <c r="AB452" s="1">
        <f t="shared" si="318"/>
        <v>0</v>
      </c>
      <c r="AD452" s="1">
        <f t="shared" si="319"/>
        <v>0</v>
      </c>
      <c r="AE452" s="1">
        <f t="shared" si="320"/>
        <v>1</v>
      </c>
      <c r="AF452" s="1">
        <f t="shared" si="289"/>
        <v>0</v>
      </c>
      <c r="AG452" s="1">
        <f t="shared" si="290"/>
        <v>1</v>
      </c>
      <c r="AH452" s="1">
        <f t="shared" si="291"/>
        <v>0</v>
      </c>
      <c r="AI452" s="1">
        <f t="shared" si="292"/>
        <v>1</v>
      </c>
    </row>
    <row r="453" spans="1:35" ht="14.25" customHeight="1" x14ac:dyDescent="0.25">
      <c r="A453" s="44">
        <v>0</v>
      </c>
      <c r="B453" s="44">
        <v>2</v>
      </c>
      <c r="C453" s="44">
        <v>7</v>
      </c>
      <c r="D453" s="45" t="s">
        <v>82</v>
      </c>
      <c r="E453" s="45" t="s">
        <v>28</v>
      </c>
      <c r="F453" s="45" t="s">
        <v>274</v>
      </c>
      <c r="G453" s="45" t="s">
        <v>275</v>
      </c>
      <c r="H453" s="45" t="s">
        <v>354</v>
      </c>
      <c r="I453" s="44" t="s">
        <v>429</v>
      </c>
      <c r="J453" s="44">
        <v>7</v>
      </c>
      <c r="K453" s="46" t="s">
        <v>955</v>
      </c>
      <c r="L453" s="46" t="s">
        <v>954</v>
      </c>
      <c r="M453" s="47" t="s">
        <v>968</v>
      </c>
      <c r="N453" s="47" t="s">
        <v>1809</v>
      </c>
      <c r="O453" s="48"/>
      <c r="P453" s="48"/>
      <c r="Q453" s="45"/>
      <c r="S453" s="1">
        <f t="shared" si="309"/>
        <v>0</v>
      </c>
      <c r="T453" s="1">
        <f t="shared" si="310"/>
        <v>0</v>
      </c>
      <c r="U453" s="1">
        <f t="shared" si="311"/>
        <v>0</v>
      </c>
      <c r="V453" s="1">
        <f t="shared" si="312"/>
        <v>0</v>
      </c>
      <c r="W453" s="1">
        <f t="shared" si="313"/>
        <v>0</v>
      </c>
      <c r="X453" s="1">
        <f t="shared" si="314"/>
        <v>0</v>
      </c>
      <c r="Y453" s="1">
        <f t="shared" si="315"/>
        <v>1</v>
      </c>
      <c r="Z453" s="1">
        <f t="shared" si="316"/>
        <v>0</v>
      </c>
      <c r="AA453" s="1">
        <f t="shared" si="317"/>
        <v>0</v>
      </c>
      <c r="AB453" s="1">
        <f t="shared" si="318"/>
        <v>0</v>
      </c>
      <c r="AD453" s="1">
        <f t="shared" si="319"/>
        <v>0</v>
      </c>
      <c r="AE453" s="1">
        <f t="shared" si="320"/>
        <v>0</v>
      </c>
      <c r="AF453" s="1">
        <f t="shared" si="289"/>
        <v>0</v>
      </c>
      <c r="AG453" s="1">
        <f t="shared" si="290"/>
        <v>0</v>
      </c>
      <c r="AH453" s="1">
        <f t="shared" si="291"/>
        <v>0</v>
      </c>
      <c r="AI453" s="1">
        <f t="shared" si="292"/>
        <v>1</v>
      </c>
    </row>
    <row r="454" spans="1:35" ht="14.25" customHeight="1" x14ac:dyDescent="0.25">
      <c r="A454" s="44">
        <v>0</v>
      </c>
      <c r="B454" s="44">
        <v>2</v>
      </c>
      <c r="C454" s="44">
        <v>7</v>
      </c>
      <c r="D454" s="45" t="s">
        <v>76</v>
      </c>
      <c r="E454" s="45" t="s">
        <v>28</v>
      </c>
      <c r="F454" s="45" t="s">
        <v>1681</v>
      </c>
      <c r="G454" s="45" t="s">
        <v>190</v>
      </c>
      <c r="H454" s="45" t="s">
        <v>354</v>
      </c>
      <c r="I454" s="44" t="s">
        <v>423</v>
      </c>
      <c r="J454" s="44">
        <v>99</v>
      </c>
      <c r="K454" s="46" t="s">
        <v>954</v>
      </c>
      <c r="L454" s="46" t="s">
        <v>713</v>
      </c>
      <c r="M454" s="47" t="s">
        <v>731</v>
      </c>
      <c r="N454" s="47" t="s">
        <v>1735</v>
      </c>
      <c r="O454" s="48"/>
      <c r="P454" s="48"/>
      <c r="Q454" s="45"/>
      <c r="S454" s="1">
        <f t="shared" si="309"/>
        <v>0</v>
      </c>
      <c r="T454" s="1">
        <f t="shared" si="310"/>
        <v>0</v>
      </c>
      <c r="U454" s="1">
        <f t="shared" si="311"/>
        <v>0</v>
      </c>
      <c r="V454" s="1">
        <f t="shared" si="312"/>
        <v>0</v>
      </c>
      <c r="W454" s="1">
        <f t="shared" si="313"/>
        <v>0</v>
      </c>
      <c r="X454" s="1">
        <f t="shared" si="314"/>
        <v>0</v>
      </c>
      <c r="Y454" s="1">
        <f t="shared" si="315"/>
        <v>0</v>
      </c>
      <c r="Z454" s="1">
        <f t="shared" si="316"/>
        <v>0</v>
      </c>
      <c r="AA454" s="1">
        <f t="shared" si="317"/>
        <v>0</v>
      </c>
      <c r="AB454" s="1">
        <f t="shared" si="318"/>
        <v>0</v>
      </c>
      <c r="AD454" s="1">
        <f t="shared" si="319"/>
        <v>0</v>
      </c>
      <c r="AE454" s="1">
        <f t="shared" si="320"/>
        <v>0</v>
      </c>
      <c r="AF454" s="1">
        <f t="shared" si="289"/>
        <v>0</v>
      </c>
      <c r="AG454" s="1">
        <f t="shared" si="290"/>
        <v>0</v>
      </c>
      <c r="AH454" s="1">
        <f t="shared" si="291"/>
        <v>0</v>
      </c>
      <c r="AI454" s="1">
        <f t="shared" si="292"/>
        <v>1</v>
      </c>
    </row>
    <row r="455" spans="1:35" ht="14.25" customHeight="1" x14ac:dyDescent="0.25">
      <c r="A455" s="15">
        <v>0</v>
      </c>
      <c r="B455" s="15">
        <v>2</v>
      </c>
      <c r="C455" s="15">
        <v>7</v>
      </c>
      <c r="D455" s="20" t="s">
        <v>2033</v>
      </c>
      <c r="E455" s="16" t="s">
        <v>2037</v>
      </c>
      <c r="F455" s="20" t="s">
        <v>2034</v>
      </c>
      <c r="G455" s="20" t="s">
        <v>2035</v>
      </c>
      <c r="H455" s="20" t="s">
        <v>354</v>
      </c>
      <c r="I455" s="21" t="s">
        <v>2036</v>
      </c>
      <c r="J455" s="15">
        <v>99</v>
      </c>
      <c r="K455" s="10" t="s">
        <v>703</v>
      </c>
      <c r="L455" s="10">
        <v>20</v>
      </c>
      <c r="M455" s="19" t="s">
        <v>2039</v>
      </c>
      <c r="N455" s="19"/>
      <c r="Q455" s="20" t="s">
        <v>2038</v>
      </c>
      <c r="S455" s="1">
        <f t="shared" si="309"/>
        <v>0</v>
      </c>
      <c r="T455" s="1">
        <f t="shared" si="310"/>
        <v>0</v>
      </c>
      <c r="U455" s="1">
        <f t="shared" si="311"/>
        <v>0</v>
      </c>
      <c r="V455" s="1">
        <f t="shared" si="312"/>
        <v>0</v>
      </c>
      <c r="W455" s="1">
        <f t="shared" si="313"/>
        <v>0</v>
      </c>
      <c r="X455" s="1">
        <f t="shared" si="314"/>
        <v>0</v>
      </c>
      <c r="Y455" s="1">
        <f t="shared" si="315"/>
        <v>0</v>
      </c>
      <c r="Z455" s="1">
        <f t="shared" si="316"/>
        <v>0</v>
      </c>
      <c r="AA455" s="1">
        <f t="shared" si="317"/>
        <v>0</v>
      </c>
      <c r="AB455" s="1">
        <f t="shared" si="318"/>
        <v>0</v>
      </c>
      <c r="AD455" s="1">
        <f t="shared" ref="AD455:AD458" si="337">+O455*P455</f>
        <v>0</v>
      </c>
      <c r="AE455" s="1">
        <f t="shared" ref="AE455:AE458" si="338">O455*(1-P455)</f>
        <v>0</v>
      </c>
      <c r="AF455" s="1">
        <f t="shared" ref="AF455:AF458" si="339">+O455*P455*(1-A455)</f>
        <v>0</v>
      </c>
      <c r="AG455" s="1">
        <f t="shared" ref="AG455:AG458" si="340">O455*(1-P455)*(1-A455)</f>
        <v>0</v>
      </c>
      <c r="AH455" s="1">
        <f t="shared" ref="AH455:AH458" si="341">+P455*(1-A455)</f>
        <v>0</v>
      </c>
      <c r="AI455" s="1">
        <f t="shared" ref="AI455:AI458" si="342">+(1-A455)*(1-P455)</f>
        <v>1</v>
      </c>
    </row>
    <row r="456" spans="1:35" ht="14.25" customHeight="1" x14ac:dyDescent="0.25">
      <c r="A456" s="31">
        <v>0</v>
      </c>
      <c r="B456" s="31">
        <v>2</v>
      </c>
      <c r="C456" s="31">
        <v>7</v>
      </c>
      <c r="D456" s="32" t="s">
        <v>1640</v>
      </c>
      <c r="E456" s="32" t="s">
        <v>163</v>
      </c>
      <c r="F456" s="32" t="s">
        <v>244</v>
      </c>
      <c r="G456" s="32" t="s">
        <v>218</v>
      </c>
      <c r="H456" s="32" t="s">
        <v>354</v>
      </c>
      <c r="I456" s="31" t="s">
        <v>408</v>
      </c>
      <c r="J456" s="31">
        <v>99</v>
      </c>
      <c r="K456" s="33" t="s">
        <v>713</v>
      </c>
      <c r="L456" s="33" t="s">
        <v>722</v>
      </c>
      <c r="M456" s="34" t="s">
        <v>732</v>
      </c>
      <c r="N456" s="34" t="s">
        <v>1727</v>
      </c>
      <c r="O456" s="35">
        <v>1</v>
      </c>
      <c r="P456" s="35">
        <v>1</v>
      </c>
      <c r="Q456" s="32"/>
      <c r="S456" s="1">
        <f t="shared" si="309"/>
        <v>0</v>
      </c>
      <c r="T456" s="1">
        <f t="shared" si="310"/>
        <v>0</v>
      </c>
      <c r="U456" s="1">
        <f t="shared" si="311"/>
        <v>0</v>
      </c>
      <c r="V456" s="1">
        <f t="shared" si="312"/>
        <v>0</v>
      </c>
      <c r="W456" s="1">
        <f t="shared" si="313"/>
        <v>0</v>
      </c>
      <c r="X456" s="1">
        <f t="shared" si="314"/>
        <v>0</v>
      </c>
      <c r="Y456" s="1">
        <f t="shared" si="315"/>
        <v>0</v>
      </c>
      <c r="Z456" s="1">
        <f t="shared" si="316"/>
        <v>0</v>
      </c>
      <c r="AA456" s="1">
        <f t="shared" si="317"/>
        <v>0</v>
      </c>
      <c r="AB456" s="1">
        <f t="shared" si="318"/>
        <v>0</v>
      </c>
      <c r="AD456" s="1">
        <f t="shared" si="337"/>
        <v>1</v>
      </c>
      <c r="AE456" s="1">
        <f t="shared" si="338"/>
        <v>0</v>
      </c>
      <c r="AF456" s="1">
        <f t="shared" si="339"/>
        <v>1</v>
      </c>
      <c r="AG456" s="1">
        <f t="shared" si="340"/>
        <v>0</v>
      </c>
      <c r="AH456" s="1">
        <f t="shared" si="341"/>
        <v>1</v>
      </c>
      <c r="AI456" s="1">
        <f t="shared" si="342"/>
        <v>0</v>
      </c>
    </row>
    <row r="457" spans="1:35" ht="14.25" customHeight="1" x14ac:dyDescent="0.25">
      <c r="A457" s="31">
        <v>0</v>
      </c>
      <c r="B457" s="31">
        <v>2</v>
      </c>
      <c r="C457" s="31">
        <v>7</v>
      </c>
      <c r="D457" s="32" t="s">
        <v>1538</v>
      </c>
      <c r="E457" s="32" t="s">
        <v>156</v>
      </c>
      <c r="F457" s="32" t="s">
        <v>1539</v>
      </c>
      <c r="G457" s="32" t="s">
        <v>39</v>
      </c>
      <c r="H457" s="32" t="s">
        <v>354</v>
      </c>
      <c r="I457" s="31" t="s">
        <v>1540</v>
      </c>
      <c r="J457" s="31">
        <v>99</v>
      </c>
      <c r="K457" s="33" t="s">
        <v>713</v>
      </c>
      <c r="L457" s="33" t="s">
        <v>722</v>
      </c>
      <c r="M457" s="34" t="s">
        <v>732</v>
      </c>
      <c r="N457" s="34" t="s">
        <v>1748</v>
      </c>
      <c r="O457" s="35">
        <v>1</v>
      </c>
      <c r="P457" s="35"/>
      <c r="Q457" s="32"/>
      <c r="S457" s="1">
        <f t="shared" si="309"/>
        <v>0</v>
      </c>
      <c r="T457" s="1">
        <f t="shared" si="310"/>
        <v>0</v>
      </c>
      <c r="U457" s="1">
        <f t="shared" si="311"/>
        <v>0</v>
      </c>
      <c r="V457" s="1">
        <f t="shared" si="312"/>
        <v>0</v>
      </c>
      <c r="W457" s="1">
        <f t="shared" si="313"/>
        <v>0</v>
      </c>
      <c r="X457" s="1">
        <f t="shared" si="314"/>
        <v>0</v>
      </c>
      <c r="Y457" s="1">
        <f t="shared" si="315"/>
        <v>0</v>
      </c>
      <c r="Z457" s="1">
        <f t="shared" si="316"/>
        <v>0</v>
      </c>
      <c r="AA457" s="1">
        <f t="shared" si="317"/>
        <v>0</v>
      </c>
      <c r="AB457" s="1">
        <f t="shared" si="318"/>
        <v>0</v>
      </c>
      <c r="AD457" s="1">
        <f t="shared" si="337"/>
        <v>0</v>
      </c>
      <c r="AE457" s="1">
        <f t="shared" si="338"/>
        <v>1</v>
      </c>
      <c r="AF457" s="1">
        <f t="shared" si="339"/>
        <v>0</v>
      </c>
      <c r="AG457" s="1">
        <f t="shared" si="340"/>
        <v>1</v>
      </c>
      <c r="AH457" s="1">
        <f t="shared" si="341"/>
        <v>0</v>
      </c>
      <c r="AI457" s="1">
        <f t="shared" si="342"/>
        <v>1</v>
      </c>
    </row>
    <row r="458" spans="1:35" ht="14.25" customHeight="1" x14ac:dyDescent="0.25">
      <c r="A458" s="44">
        <v>0</v>
      </c>
      <c r="B458" s="44">
        <v>2</v>
      </c>
      <c r="C458" s="44">
        <v>7</v>
      </c>
      <c r="D458" s="45" t="s">
        <v>1262</v>
      </c>
      <c r="E458" s="45" t="s">
        <v>1524</v>
      </c>
      <c r="F458" s="45" t="s">
        <v>1355</v>
      </c>
      <c r="G458" s="45" t="s">
        <v>186</v>
      </c>
      <c r="H458" s="45" t="s">
        <v>354</v>
      </c>
      <c r="I458" s="44" t="s">
        <v>1368</v>
      </c>
      <c r="J458" s="44">
        <v>1</v>
      </c>
      <c r="K458" s="46" t="s">
        <v>713</v>
      </c>
      <c r="L458" s="46" t="s">
        <v>716</v>
      </c>
      <c r="M458" s="47" t="s">
        <v>1438</v>
      </c>
      <c r="N458" s="47" t="s">
        <v>1735</v>
      </c>
      <c r="O458" s="48"/>
      <c r="P458" s="48"/>
      <c r="Q458" s="45"/>
      <c r="S458" s="1">
        <f t="shared" si="309"/>
        <v>1</v>
      </c>
      <c r="T458" s="1">
        <f t="shared" si="310"/>
        <v>0</v>
      </c>
      <c r="U458" s="1">
        <f t="shared" si="311"/>
        <v>0</v>
      </c>
      <c r="V458" s="1">
        <f t="shared" si="312"/>
        <v>0</v>
      </c>
      <c r="W458" s="1">
        <f t="shared" si="313"/>
        <v>0</v>
      </c>
      <c r="X458" s="1">
        <f t="shared" si="314"/>
        <v>0</v>
      </c>
      <c r="Y458" s="1">
        <f t="shared" si="315"/>
        <v>0</v>
      </c>
      <c r="Z458" s="1">
        <f t="shared" si="316"/>
        <v>0</v>
      </c>
      <c r="AA458" s="1">
        <f t="shared" si="317"/>
        <v>0</v>
      </c>
      <c r="AB458" s="1">
        <f t="shared" si="318"/>
        <v>0</v>
      </c>
      <c r="AD458" s="1">
        <f t="shared" si="337"/>
        <v>0</v>
      </c>
      <c r="AE458" s="1">
        <f t="shared" si="338"/>
        <v>0</v>
      </c>
      <c r="AF458" s="1">
        <f t="shared" si="339"/>
        <v>0</v>
      </c>
      <c r="AG458" s="1">
        <f t="shared" si="340"/>
        <v>0</v>
      </c>
      <c r="AH458" s="1">
        <f t="shared" si="341"/>
        <v>0</v>
      </c>
      <c r="AI458" s="1">
        <f t="shared" si="342"/>
        <v>1</v>
      </c>
    </row>
    <row r="459" spans="1:35" ht="14.25" customHeight="1" x14ac:dyDescent="0.25">
      <c r="A459" s="31">
        <v>0</v>
      </c>
      <c r="B459" s="31">
        <v>2</v>
      </c>
      <c r="C459" s="31">
        <v>7</v>
      </c>
      <c r="D459" s="32" t="s">
        <v>66</v>
      </c>
      <c r="E459" s="32" t="s">
        <v>28</v>
      </c>
      <c r="F459" s="32" t="s">
        <v>974</v>
      </c>
      <c r="G459" s="32" t="s">
        <v>1101</v>
      </c>
      <c r="H459" s="32" t="s">
        <v>354</v>
      </c>
      <c r="I459" s="31" t="s">
        <v>1108</v>
      </c>
      <c r="J459" s="31">
        <v>99</v>
      </c>
      <c r="K459" s="33" t="s">
        <v>713</v>
      </c>
      <c r="L459" s="33" t="s">
        <v>713</v>
      </c>
      <c r="M459" s="34" t="s">
        <v>731</v>
      </c>
      <c r="N459" s="34" t="s">
        <v>1743</v>
      </c>
      <c r="O459" s="35">
        <v>1</v>
      </c>
      <c r="P459" s="35"/>
      <c r="Q459" s="32"/>
      <c r="S459" s="1">
        <f t="shared" si="309"/>
        <v>0</v>
      </c>
      <c r="T459" s="1">
        <f t="shared" si="310"/>
        <v>0</v>
      </c>
      <c r="U459" s="1">
        <f t="shared" si="311"/>
        <v>0</v>
      </c>
      <c r="V459" s="1">
        <f t="shared" si="312"/>
        <v>0</v>
      </c>
      <c r="W459" s="1">
        <f t="shared" si="313"/>
        <v>0</v>
      </c>
      <c r="X459" s="1">
        <f t="shared" si="314"/>
        <v>0</v>
      </c>
      <c r="Y459" s="1">
        <f t="shared" si="315"/>
        <v>0</v>
      </c>
      <c r="Z459" s="1">
        <f t="shared" si="316"/>
        <v>0</v>
      </c>
      <c r="AA459" s="1">
        <f t="shared" si="317"/>
        <v>0</v>
      </c>
      <c r="AB459" s="1">
        <f t="shared" si="318"/>
        <v>0</v>
      </c>
      <c r="AD459" s="1">
        <f t="shared" si="319"/>
        <v>0</v>
      </c>
      <c r="AE459" s="1">
        <f t="shared" si="320"/>
        <v>1</v>
      </c>
      <c r="AF459" s="1">
        <f t="shared" si="289"/>
        <v>0</v>
      </c>
      <c r="AG459" s="1">
        <f t="shared" si="290"/>
        <v>1</v>
      </c>
      <c r="AH459" s="1">
        <f t="shared" si="291"/>
        <v>0</v>
      </c>
      <c r="AI459" s="1">
        <f t="shared" si="292"/>
        <v>1</v>
      </c>
    </row>
    <row r="460" spans="1:35" ht="14.25" customHeight="1" x14ac:dyDescent="0.25">
      <c r="A460" s="31">
        <v>1</v>
      </c>
      <c r="B460" s="31">
        <v>2</v>
      </c>
      <c r="C460" s="31">
        <v>7</v>
      </c>
      <c r="D460" s="32" t="s">
        <v>66</v>
      </c>
      <c r="E460" s="32" t="s">
        <v>28</v>
      </c>
      <c r="F460" s="32" t="s">
        <v>245</v>
      </c>
      <c r="G460" s="32" t="s">
        <v>224</v>
      </c>
      <c r="H460" s="32" t="s">
        <v>354</v>
      </c>
      <c r="I460" s="31" t="s">
        <v>409</v>
      </c>
      <c r="J460" s="31">
        <v>99</v>
      </c>
      <c r="K460" s="33" t="s">
        <v>713</v>
      </c>
      <c r="L460" s="33" t="s">
        <v>713</v>
      </c>
      <c r="M460" s="34" t="s">
        <v>731</v>
      </c>
      <c r="N460" s="34" t="s">
        <v>1743</v>
      </c>
      <c r="O460" s="35">
        <v>1</v>
      </c>
      <c r="P460" s="35"/>
      <c r="Q460" s="32"/>
      <c r="S460" s="1">
        <f t="shared" si="309"/>
        <v>0</v>
      </c>
      <c r="T460" s="1">
        <f t="shared" si="310"/>
        <v>0</v>
      </c>
      <c r="U460" s="1">
        <f t="shared" si="311"/>
        <v>0</v>
      </c>
      <c r="V460" s="1">
        <f t="shared" si="312"/>
        <v>0</v>
      </c>
      <c r="W460" s="1">
        <f t="shared" si="313"/>
        <v>0</v>
      </c>
      <c r="X460" s="1">
        <f t="shared" si="314"/>
        <v>0</v>
      </c>
      <c r="Y460" s="1">
        <f t="shared" si="315"/>
        <v>0</v>
      </c>
      <c r="Z460" s="1">
        <f t="shared" si="316"/>
        <v>0</v>
      </c>
      <c r="AA460" s="1">
        <f t="shared" si="317"/>
        <v>0</v>
      </c>
      <c r="AB460" s="1">
        <f t="shared" si="318"/>
        <v>0</v>
      </c>
      <c r="AD460" s="1">
        <f t="shared" si="319"/>
        <v>0</v>
      </c>
      <c r="AE460" s="1">
        <f t="shared" si="320"/>
        <v>1</v>
      </c>
      <c r="AF460" s="1">
        <f t="shared" si="289"/>
        <v>0</v>
      </c>
      <c r="AG460" s="1">
        <f t="shared" si="290"/>
        <v>0</v>
      </c>
      <c r="AH460" s="1">
        <f t="shared" si="291"/>
        <v>0</v>
      </c>
      <c r="AI460" s="1">
        <f t="shared" si="292"/>
        <v>0</v>
      </c>
    </row>
    <row r="461" spans="1:35" ht="14.25" customHeight="1" x14ac:dyDescent="0.25">
      <c r="A461" s="31">
        <v>1</v>
      </c>
      <c r="B461" s="31">
        <v>2</v>
      </c>
      <c r="C461" s="31">
        <v>7</v>
      </c>
      <c r="D461" s="32" t="s">
        <v>66</v>
      </c>
      <c r="E461" s="32" t="s">
        <v>28</v>
      </c>
      <c r="F461" s="32" t="s">
        <v>246</v>
      </c>
      <c r="G461" s="32" t="s">
        <v>220</v>
      </c>
      <c r="H461" s="32" t="s">
        <v>354</v>
      </c>
      <c r="I461" s="31" t="s">
        <v>410</v>
      </c>
      <c r="J461" s="31">
        <v>8</v>
      </c>
      <c r="K461" s="33" t="s">
        <v>713</v>
      </c>
      <c r="L461" s="33" t="s">
        <v>713</v>
      </c>
      <c r="M461" s="34" t="s">
        <v>731</v>
      </c>
      <c r="N461" s="34" t="s">
        <v>1743</v>
      </c>
      <c r="O461" s="35">
        <v>1</v>
      </c>
      <c r="P461" s="35"/>
      <c r="Q461" s="32" t="s">
        <v>2016</v>
      </c>
      <c r="S461" s="1">
        <f t="shared" si="309"/>
        <v>0</v>
      </c>
      <c r="T461" s="1">
        <f t="shared" si="310"/>
        <v>0</v>
      </c>
      <c r="U461" s="1">
        <f t="shared" si="311"/>
        <v>0</v>
      </c>
      <c r="V461" s="1">
        <f t="shared" si="312"/>
        <v>0</v>
      </c>
      <c r="W461" s="1">
        <f t="shared" si="313"/>
        <v>0</v>
      </c>
      <c r="X461" s="1">
        <f t="shared" si="314"/>
        <v>0</v>
      </c>
      <c r="Y461" s="1">
        <f t="shared" si="315"/>
        <v>0</v>
      </c>
      <c r="Z461" s="1">
        <f t="shared" si="316"/>
        <v>1</v>
      </c>
      <c r="AA461" s="1">
        <f t="shared" si="317"/>
        <v>0</v>
      </c>
      <c r="AB461" s="1">
        <f t="shared" si="318"/>
        <v>0</v>
      </c>
      <c r="AD461" s="1">
        <f t="shared" si="319"/>
        <v>0</v>
      </c>
      <c r="AE461" s="1">
        <f t="shared" si="320"/>
        <v>1</v>
      </c>
      <c r="AF461" s="1">
        <f t="shared" si="289"/>
        <v>0</v>
      </c>
      <c r="AG461" s="1">
        <f t="shared" si="290"/>
        <v>0</v>
      </c>
      <c r="AH461" s="1">
        <f t="shared" si="291"/>
        <v>0</v>
      </c>
      <c r="AI461" s="1">
        <f t="shared" si="292"/>
        <v>0</v>
      </c>
    </row>
    <row r="462" spans="1:35" ht="14.25" customHeight="1" x14ac:dyDescent="0.25">
      <c r="A462" s="31">
        <v>1</v>
      </c>
      <c r="B462" s="31">
        <v>2</v>
      </c>
      <c r="C462" s="31">
        <v>7</v>
      </c>
      <c r="D462" s="32" t="s">
        <v>66</v>
      </c>
      <c r="E462" s="32" t="s">
        <v>28</v>
      </c>
      <c r="F462" s="32" t="s">
        <v>1034</v>
      </c>
      <c r="G462" s="32" t="s">
        <v>39</v>
      </c>
      <c r="H462" s="32" t="s">
        <v>354</v>
      </c>
      <c r="I462" s="31" t="s">
        <v>1035</v>
      </c>
      <c r="J462" s="31">
        <v>1</v>
      </c>
      <c r="K462" s="33" t="s">
        <v>713</v>
      </c>
      <c r="L462" s="33" t="s">
        <v>713</v>
      </c>
      <c r="M462" s="34" t="s">
        <v>731</v>
      </c>
      <c r="N462" s="34" t="s">
        <v>1743</v>
      </c>
      <c r="O462" s="35">
        <v>1</v>
      </c>
      <c r="P462" s="35"/>
      <c r="Q462" s="32"/>
      <c r="S462" s="1">
        <f t="shared" si="309"/>
        <v>1</v>
      </c>
      <c r="T462" s="1">
        <f t="shared" si="310"/>
        <v>0</v>
      </c>
      <c r="U462" s="1">
        <f t="shared" si="311"/>
        <v>0</v>
      </c>
      <c r="V462" s="1">
        <f t="shared" si="312"/>
        <v>0</v>
      </c>
      <c r="W462" s="1">
        <f t="shared" si="313"/>
        <v>0</v>
      </c>
      <c r="X462" s="1">
        <f t="shared" si="314"/>
        <v>0</v>
      </c>
      <c r="Y462" s="1">
        <f t="shared" si="315"/>
        <v>0</v>
      </c>
      <c r="Z462" s="1">
        <f t="shared" si="316"/>
        <v>0</v>
      </c>
      <c r="AA462" s="1">
        <f t="shared" si="317"/>
        <v>0</v>
      </c>
      <c r="AB462" s="1">
        <f t="shared" si="318"/>
        <v>0</v>
      </c>
      <c r="AD462" s="1">
        <f t="shared" si="319"/>
        <v>0</v>
      </c>
      <c r="AE462" s="1">
        <f t="shared" si="320"/>
        <v>1</v>
      </c>
      <c r="AF462" s="1">
        <f t="shared" si="289"/>
        <v>0</v>
      </c>
      <c r="AG462" s="1">
        <f t="shared" si="290"/>
        <v>0</v>
      </c>
      <c r="AH462" s="1">
        <f t="shared" si="291"/>
        <v>0</v>
      </c>
      <c r="AI462" s="1">
        <f t="shared" si="292"/>
        <v>0</v>
      </c>
    </row>
    <row r="463" spans="1:35" ht="14.25" customHeight="1" x14ac:dyDescent="0.25">
      <c r="A463" s="31">
        <v>1</v>
      </c>
      <c r="B463" s="31">
        <v>2</v>
      </c>
      <c r="C463" s="31">
        <v>7</v>
      </c>
      <c r="D463" s="32" t="s">
        <v>66</v>
      </c>
      <c r="E463" s="32" t="s">
        <v>28</v>
      </c>
      <c r="F463" s="32" t="s">
        <v>1036</v>
      </c>
      <c r="G463" s="32" t="s">
        <v>302</v>
      </c>
      <c r="H463" s="32" t="s">
        <v>354</v>
      </c>
      <c r="I463" s="31" t="s">
        <v>1037</v>
      </c>
      <c r="J463" s="31">
        <v>1</v>
      </c>
      <c r="K463" s="33" t="s">
        <v>713</v>
      </c>
      <c r="L463" s="33" t="s">
        <v>713</v>
      </c>
      <c r="M463" s="34" t="s">
        <v>731</v>
      </c>
      <c r="N463" s="34" t="s">
        <v>1743</v>
      </c>
      <c r="O463" s="35">
        <v>1</v>
      </c>
      <c r="P463" s="35"/>
      <c r="Q463" s="32"/>
      <c r="S463" s="1">
        <f t="shared" si="309"/>
        <v>1</v>
      </c>
      <c r="T463" s="1">
        <f t="shared" si="310"/>
        <v>0</v>
      </c>
      <c r="U463" s="1">
        <f t="shared" si="311"/>
        <v>0</v>
      </c>
      <c r="V463" s="1">
        <f t="shared" si="312"/>
        <v>0</v>
      </c>
      <c r="W463" s="1">
        <f t="shared" si="313"/>
        <v>0</v>
      </c>
      <c r="X463" s="1">
        <f t="shared" si="314"/>
        <v>0</v>
      </c>
      <c r="Y463" s="1">
        <f t="shared" si="315"/>
        <v>0</v>
      </c>
      <c r="Z463" s="1">
        <f t="shared" si="316"/>
        <v>0</v>
      </c>
      <c r="AA463" s="1">
        <f t="shared" si="317"/>
        <v>0</v>
      </c>
      <c r="AB463" s="1">
        <f t="shared" si="318"/>
        <v>0</v>
      </c>
      <c r="AD463" s="1">
        <f t="shared" ref="AD463:AD464" si="343">+O463*P463</f>
        <v>0</v>
      </c>
      <c r="AE463" s="1">
        <f t="shared" ref="AE463:AE464" si="344">O463*(1-P463)</f>
        <v>1</v>
      </c>
      <c r="AF463" s="1">
        <f t="shared" si="289"/>
        <v>0</v>
      </c>
      <c r="AG463" s="1">
        <f t="shared" si="290"/>
        <v>0</v>
      </c>
      <c r="AH463" s="1">
        <f t="shared" si="291"/>
        <v>0</v>
      </c>
      <c r="AI463" s="1">
        <f t="shared" si="292"/>
        <v>0</v>
      </c>
    </row>
    <row r="464" spans="1:35" ht="14.25" customHeight="1" x14ac:dyDescent="0.25">
      <c r="A464" s="31">
        <v>0</v>
      </c>
      <c r="B464" s="31">
        <v>2</v>
      </c>
      <c r="C464" s="31">
        <v>7</v>
      </c>
      <c r="D464" s="32" t="s">
        <v>1573</v>
      </c>
      <c r="E464" s="32" t="s">
        <v>156</v>
      </c>
      <c r="F464" s="32" t="s">
        <v>1574</v>
      </c>
      <c r="G464" s="32" t="s">
        <v>207</v>
      </c>
      <c r="H464" s="32" t="s">
        <v>354</v>
      </c>
      <c r="I464" s="31" t="s">
        <v>1575</v>
      </c>
      <c r="J464" s="31">
        <v>99</v>
      </c>
      <c r="K464" s="33" t="s">
        <v>712</v>
      </c>
      <c r="L464" s="33" t="s">
        <v>722</v>
      </c>
      <c r="M464" s="34" t="s">
        <v>732</v>
      </c>
      <c r="N464" s="34" t="s">
        <v>1946</v>
      </c>
      <c r="O464" s="35">
        <v>1</v>
      </c>
      <c r="P464" s="35"/>
      <c r="Q464" s="32"/>
      <c r="S464" s="1">
        <f t="shared" si="309"/>
        <v>0</v>
      </c>
      <c r="T464" s="1">
        <f t="shared" si="310"/>
        <v>0</v>
      </c>
      <c r="U464" s="1">
        <f t="shared" si="311"/>
        <v>0</v>
      </c>
      <c r="V464" s="1">
        <f t="shared" si="312"/>
        <v>0</v>
      </c>
      <c r="W464" s="1">
        <f t="shared" si="313"/>
        <v>0</v>
      </c>
      <c r="X464" s="1">
        <f t="shared" si="314"/>
        <v>0</v>
      </c>
      <c r="Y464" s="1">
        <f t="shared" si="315"/>
        <v>0</v>
      </c>
      <c r="Z464" s="1">
        <f t="shared" si="316"/>
        <v>0</v>
      </c>
      <c r="AA464" s="1">
        <f t="shared" si="317"/>
        <v>0</v>
      </c>
      <c r="AB464" s="1">
        <f t="shared" si="318"/>
        <v>0</v>
      </c>
      <c r="AD464" s="1">
        <f t="shared" si="343"/>
        <v>0</v>
      </c>
      <c r="AE464" s="1">
        <f t="shared" si="344"/>
        <v>1</v>
      </c>
      <c r="AF464" s="1">
        <f t="shared" si="289"/>
        <v>0</v>
      </c>
      <c r="AG464" s="1">
        <f t="shared" si="290"/>
        <v>1</v>
      </c>
      <c r="AH464" s="1">
        <f t="shared" si="291"/>
        <v>0</v>
      </c>
      <c r="AI464" s="1">
        <f t="shared" si="292"/>
        <v>1</v>
      </c>
    </row>
    <row r="465" spans="1:35" ht="14.25" customHeight="1" x14ac:dyDescent="0.25">
      <c r="A465" s="44">
        <v>0</v>
      </c>
      <c r="B465" s="44">
        <v>2</v>
      </c>
      <c r="C465" s="44">
        <v>7</v>
      </c>
      <c r="D465" s="45" t="s">
        <v>1132</v>
      </c>
      <c r="E465" s="45" t="s">
        <v>28</v>
      </c>
      <c r="F465" s="45" t="s">
        <v>1133</v>
      </c>
      <c r="G465" s="45" t="s">
        <v>220</v>
      </c>
      <c r="H465" s="45" t="s">
        <v>354</v>
      </c>
      <c r="I465" s="44" t="s">
        <v>1134</v>
      </c>
      <c r="J465" s="44">
        <v>8</v>
      </c>
      <c r="K465" s="46" t="s">
        <v>955</v>
      </c>
      <c r="L465" s="46" t="s">
        <v>713</v>
      </c>
      <c r="M465" s="47" t="s">
        <v>731</v>
      </c>
      <c r="N465" s="47" t="s">
        <v>1802</v>
      </c>
      <c r="O465" s="48"/>
      <c r="P465" s="48"/>
      <c r="Q465" s="45"/>
      <c r="S465" s="1">
        <f t="shared" si="309"/>
        <v>0</v>
      </c>
      <c r="T465" s="1">
        <f t="shared" si="310"/>
        <v>0</v>
      </c>
      <c r="U465" s="1">
        <f t="shared" si="311"/>
        <v>0</v>
      </c>
      <c r="V465" s="1">
        <f t="shared" si="312"/>
        <v>0</v>
      </c>
      <c r="W465" s="1">
        <f t="shared" si="313"/>
        <v>0</v>
      </c>
      <c r="X465" s="1">
        <f t="shared" si="314"/>
        <v>0</v>
      </c>
      <c r="Y465" s="1">
        <f t="shared" si="315"/>
        <v>0</v>
      </c>
      <c r="Z465" s="1">
        <f t="shared" si="316"/>
        <v>1</v>
      </c>
      <c r="AA465" s="1">
        <f t="shared" si="317"/>
        <v>0</v>
      </c>
      <c r="AB465" s="1">
        <f t="shared" si="318"/>
        <v>0</v>
      </c>
      <c r="AD465" s="1">
        <f t="shared" si="319"/>
        <v>0</v>
      </c>
      <c r="AE465" s="1">
        <f t="shared" si="320"/>
        <v>0</v>
      </c>
      <c r="AF465" s="1">
        <f t="shared" si="289"/>
        <v>0</v>
      </c>
      <c r="AG465" s="1">
        <f t="shared" si="290"/>
        <v>0</v>
      </c>
      <c r="AH465" s="1">
        <f t="shared" si="291"/>
        <v>0</v>
      </c>
      <c r="AI465" s="1">
        <f t="shared" si="292"/>
        <v>1</v>
      </c>
    </row>
    <row r="466" spans="1:35" ht="14.25" customHeight="1" x14ac:dyDescent="0.25">
      <c r="A466" s="44">
        <v>0</v>
      </c>
      <c r="B466" s="44">
        <v>2</v>
      </c>
      <c r="C466" s="44">
        <v>7</v>
      </c>
      <c r="D466" s="45" t="s">
        <v>73</v>
      </c>
      <c r="E466" s="45" t="s">
        <v>28</v>
      </c>
      <c r="F466" s="45" t="s">
        <v>264</v>
      </c>
      <c r="G466" s="45" t="s">
        <v>194</v>
      </c>
      <c r="H466" s="45" t="s">
        <v>354</v>
      </c>
      <c r="I466" s="44" t="s">
        <v>421</v>
      </c>
      <c r="J466" s="44">
        <v>9</v>
      </c>
      <c r="K466" s="46" t="s">
        <v>712</v>
      </c>
      <c r="L466" s="46" t="s">
        <v>713</v>
      </c>
      <c r="M466" s="47" t="s">
        <v>731</v>
      </c>
      <c r="N466" s="47" t="s">
        <v>1735</v>
      </c>
      <c r="O466" s="48"/>
      <c r="P466" s="48"/>
      <c r="Q466" s="45"/>
      <c r="S466" s="1">
        <f t="shared" si="309"/>
        <v>0</v>
      </c>
      <c r="T466" s="1">
        <f t="shared" si="310"/>
        <v>0</v>
      </c>
      <c r="U466" s="1">
        <f t="shared" si="311"/>
        <v>0</v>
      </c>
      <c r="V466" s="1">
        <f t="shared" si="312"/>
        <v>0</v>
      </c>
      <c r="W466" s="1">
        <f t="shared" si="313"/>
        <v>0</v>
      </c>
      <c r="X466" s="1">
        <f t="shared" si="314"/>
        <v>0</v>
      </c>
      <c r="Y466" s="1">
        <f t="shared" si="315"/>
        <v>0</v>
      </c>
      <c r="Z466" s="1">
        <f t="shared" si="316"/>
        <v>0</v>
      </c>
      <c r="AA466" s="1">
        <f t="shared" si="317"/>
        <v>1</v>
      </c>
      <c r="AB466" s="1">
        <f t="shared" si="318"/>
        <v>0</v>
      </c>
      <c r="AD466" s="1">
        <f t="shared" si="319"/>
        <v>0</v>
      </c>
      <c r="AE466" s="1">
        <f t="shared" si="320"/>
        <v>0</v>
      </c>
      <c r="AF466" s="1">
        <f t="shared" si="289"/>
        <v>0</v>
      </c>
      <c r="AG466" s="1">
        <f t="shared" si="290"/>
        <v>0</v>
      </c>
      <c r="AH466" s="1">
        <f t="shared" si="291"/>
        <v>0</v>
      </c>
      <c r="AI466" s="1">
        <f t="shared" si="292"/>
        <v>1</v>
      </c>
    </row>
    <row r="467" spans="1:35" ht="14.25" customHeight="1" x14ac:dyDescent="0.25">
      <c r="A467" s="31">
        <v>0</v>
      </c>
      <c r="B467" s="31">
        <v>2</v>
      </c>
      <c r="C467" s="31">
        <v>7</v>
      </c>
      <c r="D467" s="32" t="s">
        <v>59</v>
      </c>
      <c r="E467" s="32" t="s">
        <v>163</v>
      </c>
      <c r="F467" s="32" t="s">
        <v>225</v>
      </c>
      <c r="G467" s="32" t="s">
        <v>226</v>
      </c>
      <c r="H467" s="32" t="s">
        <v>354</v>
      </c>
      <c r="I467" s="31" t="s">
        <v>398</v>
      </c>
      <c r="J467" s="31">
        <v>99</v>
      </c>
      <c r="K467" s="33" t="s">
        <v>713</v>
      </c>
      <c r="L467" s="33" t="s">
        <v>722</v>
      </c>
      <c r="M467" s="34" t="s">
        <v>732</v>
      </c>
      <c r="N467" s="34" t="s">
        <v>1750</v>
      </c>
      <c r="O467" s="35">
        <v>1</v>
      </c>
      <c r="P467" s="35"/>
      <c r="Q467" s="32"/>
      <c r="S467" s="1">
        <f t="shared" si="309"/>
        <v>0</v>
      </c>
      <c r="T467" s="1">
        <f t="shared" si="310"/>
        <v>0</v>
      </c>
      <c r="U467" s="1">
        <f t="shared" si="311"/>
        <v>0</v>
      </c>
      <c r="V467" s="1">
        <f t="shared" si="312"/>
        <v>0</v>
      </c>
      <c r="W467" s="1">
        <f t="shared" si="313"/>
        <v>0</v>
      </c>
      <c r="X467" s="1">
        <f t="shared" si="314"/>
        <v>0</v>
      </c>
      <c r="Y467" s="1">
        <f t="shared" si="315"/>
        <v>0</v>
      </c>
      <c r="Z467" s="1">
        <f t="shared" si="316"/>
        <v>0</v>
      </c>
      <c r="AA467" s="1">
        <f t="shared" si="317"/>
        <v>0</v>
      </c>
      <c r="AB467" s="1">
        <f t="shared" si="318"/>
        <v>0</v>
      </c>
      <c r="AD467" s="1">
        <f t="shared" si="319"/>
        <v>0</v>
      </c>
      <c r="AE467" s="1">
        <f t="shared" si="320"/>
        <v>1</v>
      </c>
      <c r="AF467" s="1">
        <f t="shared" si="289"/>
        <v>0</v>
      </c>
      <c r="AG467" s="1">
        <f t="shared" si="290"/>
        <v>1</v>
      </c>
      <c r="AH467" s="1">
        <f t="shared" si="291"/>
        <v>0</v>
      </c>
      <c r="AI467" s="1">
        <f t="shared" si="292"/>
        <v>1</v>
      </c>
    </row>
    <row r="468" spans="1:35" ht="14.25" customHeight="1" x14ac:dyDescent="0.25">
      <c r="A468" s="31">
        <v>0</v>
      </c>
      <c r="B468" s="31">
        <v>2</v>
      </c>
      <c r="C468" s="31">
        <v>7</v>
      </c>
      <c r="D468" s="32" t="s">
        <v>1075</v>
      </c>
      <c r="E468" s="32" t="s">
        <v>156</v>
      </c>
      <c r="F468" s="32" t="s">
        <v>1076</v>
      </c>
      <c r="G468" s="32" t="s">
        <v>220</v>
      </c>
      <c r="H468" s="32" t="s">
        <v>354</v>
      </c>
      <c r="I468" s="31" t="s">
        <v>1077</v>
      </c>
      <c r="J468" s="31">
        <v>8</v>
      </c>
      <c r="K468" s="33" t="s">
        <v>712</v>
      </c>
      <c r="L468" s="33" t="s">
        <v>722</v>
      </c>
      <c r="M468" s="34" t="s">
        <v>732</v>
      </c>
      <c r="N468" s="34" t="s">
        <v>1748</v>
      </c>
      <c r="O468" s="35">
        <v>1</v>
      </c>
      <c r="P468" s="35"/>
      <c r="Q468" s="32"/>
      <c r="S468" s="1">
        <f t="shared" si="309"/>
        <v>0</v>
      </c>
      <c r="T468" s="1">
        <f t="shared" si="310"/>
        <v>0</v>
      </c>
      <c r="U468" s="1">
        <f t="shared" si="311"/>
        <v>0</v>
      </c>
      <c r="V468" s="1">
        <f t="shared" si="312"/>
        <v>0</v>
      </c>
      <c r="W468" s="1">
        <f t="shared" si="313"/>
        <v>0</v>
      </c>
      <c r="X468" s="1">
        <f t="shared" si="314"/>
        <v>0</v>
      </c>
      <c r="Y468" s="1">
        <f t="shared" si="315"/>
        <v>0</v>
      </c>
      <c r="Z468" s="1">
        <f t="shared" si="316"/>
        <v>1</v>
      </c>
      <c r="AA468" s="1">
        <f t="shared" si="317"/>
        <v>0</v>
      </c>
      <c r="AB468" s="1">
        <f t="shared" si="318"/>
        <v>0</v>
      </c>
      <c r="AD468" s="1">
        <f t="shared" si="319"/>
        <v>0</v>
      </c>
      <c r="AE468" s="1">
        <f t="shared" si="320"/>
        <v>1</v>
      </c>
      <c r="AF468" s="1">
        <f t="shared" si="289"/>
        <v>0</v>
      </c>
      <c r="AG468" s="1">
        <f t="shared" si="290"/>
        <v>1</v>
      </c>
      <c r="AH468" s="1">
        <f t="shared" si="291"/>
        <v>0</v>
      </c>
      <c r="AI468" s="1">
        <f t="shared" si="292"/>
        <v>1</v>
      </c>
    </row>
    <row r="469" spans="1:35" ht="14.25" customHeight="1" x14ac:dyDescent="0.25">
      <c r="A469" s="31">
        <v>0</v>
      </c>
      <c r="B469" s="31">
        <v>2</v>
      </c>
      <c r="C469" s="31">
        <v>7</v>
      </c>
      <c r="D469" s="32" t="s">
        <v>81</v>
      </c>
      <c r="E469" s="32" t="s">
        <v>156</v>
      </c>
      <c r="F469" s="32" t="s">
        <v>273</v>
      </c>
      <c r="G469" s="32" t="s">
        <v>254</v>
      </c>
      <c r="H469" s="32" t="s">
        <v>354</v>
      </c>
      <c r="I469" s="31" t="s">
        <v>428</v>
      </c>
      <c r="J469" s="31">
        <v>99</v>
      </c>
      <c r="K469" s="33" t="s">
        <v>713</v>
      </c>
      <c r="L469" s="33" t="s">
        <v>733</v>
      </c>
      <c r="M469" s="34" t="s">
        <v>734</v>
      </c>
      <c r="N469" s="34" t="s">
        <v>1756</v>
      </c>
      <c r="O469" s="35">
        <v>1</v>
      </c>
      <c r="P469" s="35"/>
      <c r="Q469" s="32"/>
      <c r="S469" s="1">
        <f t="shared" si="309"/>
        <v>0</v>
      </c>
      <c r="T469" s="1">
        <f t="shared" si="310"/>
        <v>0</v>
      </c>
      <c r="U469" s="1">
        <f t="shared" si="311"/>
        <v>0</v>
      </c>
      <c r="V469" s="1">
        <f t="shared" si="312"/>
        <v>0</v>
      </c>
      <c r="W469" s="1">
        <f t="shared" si="313"/>
        <v>0</v>
      </c>
      <c r="X469" s="1">
        <f t="shared" si="314"/>
        <v>0</v>
      </c>
      <c r="Y469" s="1">
        <f t="shared" si="315"/>
        <v>0</v>
      </c>
      <c r="Z469" s="1">
        <f t="shared" si="316"/>
        <v>0</v>
      </c>
      <c r="AA469" s="1">
        <f t="shared" si="317"/>
        <v>0</v>
      </c>
      <c r="AB469" s="1">
        <f t="shared" si="318"/>
        <v>0</v>
      </c>
      <c r="AD469" s="1">
        <f t="shared" si="319"/>
        <v>0</v>
      </c>
      <c r="AE469" s="1">
        <f t="shared" si="320"/>
        <v>1</v>
      </c>
      <c r="AF469" s="1">
        <f t="shared" si="289"/>
        <v>0</v>
      </c>
      <c r="AG469" s="1">
        <f t="shared" si="290"/>
        <v>1</v>
      </c>
      <c r="AH469" s="1">
        <f t="shared" si="291"/>
        <v>0</v>
      </c>
      <c r="AI469" s="1">
        <f t="shared" si="292"/>
        <v>1</v>
      </c>
    </row>
    <row r="470" spans="1:35" ht="14.25" customHeight="1" x14ac:dyDescent="0.25">
      <c r="A470" s="37">
        <v>0</v>
      </c>
      <c r="B470" s="37">
        <v>2</v>
      </c>
      <c r="C470" s="37">
        <v>7</v>
      </c>
      <c r="D470" s="36" t="s">
        <v>1775</v>
      </c>
      <c r="E470" s="36" t="s">
        <v>1776</v>
      </c>
      <c r="F470" s="36" t="s">
        <v>1777</v>
      </c>
      <c r="G470" s="36" t="s">
        <v>190</v>
      </c>
      <c r="H470" s="36" t="s">
        <v>354</v>
      </c>
      <c r="I470" s="37"/>
      <c r="J470" s="37"/>
      <c r="K470" s="33" t="s">
        <v>703</v>
      </c>
      <c r="L470" s="33"/>
      <c r="M470" s="34"/>
      <c r="N470" s="34" t="s">
        <v>1727</v>
      </c>
      <c r="O470" s="35">
        <v>1</v>
      </c>
      <c r="P470" s="35">
        <v>1</v>
      </c>
      <c r="Q470" s="36"/>
      <c r="S470" s="1">
        <f t="shared" si="309"/>
        <v>0</v>
      </c>
      <c r="T470" s="1">
        <f t="shared" si="310"/>
        <v>0</v>
      </c>
      <c r="U470" s="1">
        <f t="shared" si="311"/>
        <v>0</v>
      </c>
      <c r="V470" s="1">
        <f t="shared" si="312"/>
        <v>0</v>
      </c>
      <c r="W470" s="1">
        <f t="shared" si="313"/>
        <v>0</v>
      </c>
      <c r="X470" s="1">
        <f t="shared" si="314"/>
        <v>0</v>
      </c>
      <c r="Y470" s="1">
        <f t="shared" si="315"/>
        <v>0</v>
      </c>
      <c r="Z470" s="1">
        <f t="shared" si="316"/>
        <v>0</v>
      </c>
      <c r="AA470" s="1">
        <f t="shared" si="317"/>
        <v>0</v>
      </c>
      <c r="AB470" s="1">
        <f t="shared" si="318"/>
        <v>0</v>
      </c>
      <c r="AD470" s="1">
        <f t="shared" si="319"/>
        <v>1</v>
      </c>
      <c r="AE470" s="1">
        <f t="shared" si="320"/>
        <v>0</v>
      </c>
      <c r="AF470" s="1">
        <f t="shared" si="289"/>
        <v>1</v>
      </c>
      <c r="AG470" s="1">
        <f t="shared" si="290"/>
        <v>0</v>
      </c>
      <c r="AH470" s="1">
        <f t="shared" si="291"/>
        <v>1</v>
      </c>
      <c r="AI470" s="1">
        <f t="shared" si="292"/>
        <v>0</v>
      </c>
    </row>
    <row r="471" spans="1:35" ht="14.25" customHeight="1" x14ac:dyDescent="0.25">
      <c r="A471" s="44">
        <v>0</v>
      </c>
      <c r="B471" s="44">
        <v>2</v>
      </c>
      <c r="C471" s="44">
        <v>7</v>
      </c>
      <c r="D471" s="45" t="s">
        <v>514</v>
      </c>
      <c r="E471" s="45" t="s">
        <v>156</v>
      </c>
      <c r="F471" s="45" t="s">
        <v>574</v>
      </c>
      <c r="G471" s="45" t="s">
        <v>321</v>
      </c>
      <c r="H471" s="45" t="s">
        <v>354</v>
      </c>
      <c r="I471" s="44" t="s">
        <v>581</v>
      </c>
      <c r="J471" s="44">
        <v>99</v>
      </c>
      <c r="K471" s="46" t="s">
        <v>954</v>
      </c>
      <c r="L471" s="46" t="s">
        <v>722</v>
      </c>
      <c r="M471" s="47" t="s">
        <v>732</v>
      </c>
      <c r="N471" s="47" t="s">
        <v>1738</v>
      </c>
      <c r="O471" s="48"/>
      <c r="P471" s="48"/>
      <c r="Q471" s="45"/>
      <c r="S471" s="1">
        <f t="shared" si="309"/>
        <v>0</v>
      </c>
      <c r="T471" s="1">
        <f t="shared" si="310"/>
        <v>0</v>
      </c>
      <c r="U471" s="1">
        <f t="shared" si="311"/>
        <v>0</v>
      </c>
      <c r="V471" s="1">
        <f t="shared" si="312"/>
        <v>0</v>
      </c>
      <c r="W471" s="1">
        <f t="shared" si="313"/>
        <v>0</v>
      </c>
      <c r="X471" s="1">
        <f t="shared" si="314"/>
        <v>0</v>
      </c>
      <c r="Y471" s="1">
        <f t="shared" si="315"/>
        <v>0</v>
      </c>
      <c r="Z471" s="1">
        <f t="shared" si="316"/>
        <v>0</v>
      </c>
      <c r="AA471" s="1">
        <f t="shared" si="317"/>
        <v>0</v>
      </c>
      <c r="AB471" s="1">
        <f t="shared" si="318"/>
        <v>0</v>
      </c>
      <c r="AD471" s="1">
        <f t="shared" si="319"/>
        <v>0</v>
      </c>
      <c r="AE471" s="1">
        <f t="shared" si="320"/>
        <v>0</v>
      </c>
      <c r="AF471" s="1">
        <f t="shared" si="289"/>
        <v>0</v>
      </c>
      <c r="AG471" s="1">
        <f t="shared" si="290"/>
        <v>0</v>
      </c>
      <c r="AH471" s="1">
        <f t="shared" si="291"/>
        <v>0</v>
      </c>
      <c r="AI471" s="1">
        <f t="shared" si="292"/>
        <v>1</v>
      </c>
    </row>
    <row r="472" spans="1:35" ht="14.25" customHeight="1" x14ac:dyDescent="0.25">
      <c r="A472" s="44">
        <v>0</v>
      </c>
      <c r="B472" s="44">
        <v>2</v>
      </c>
      <c r="C472" s="44">
        <v>7</v>
      </c>
      <c r="D472" s="45" t="s">
        <v>74</v>
      </c>
      <c r="E472" s="45" t="s">
        <v>156</v>
      </c>
      <c r="F472" s="45" t="s">
        <v>675</v>
      </c>
      <c r="G472" s="45" t="s">
        <v>265</v>
      </c>
      <c r="H472" s="45" t="s">
        <v>354</v>
      </c>
      <c r="I472" s="44" t="s">
        <v>422</v>
      </c>
      <c r="J472" s="44">
        <v>99</v>
      </c>
      <c r="K472" s="46" t="s">
        <v>712</v>
      </c>
      <c r="L472" s="46" t="s">
        <v>729</v>
      </c>
      <c r="M472" s="47" t="s">
        <v>732</v>
      </c>
      <c r="N472" s="47" t="s">
        <v>1735</v>
      </c>
      <c r="O472" s="48"/>
      <c r="P472" s="48"/>
      <c r="Q472" s="45"/>
      <c r="S472" s="1">
        <f t="shared" ref="S472:S477" si="345">IF(J472=$S$7,1,0)</f>
        <v>0</v>
      </c>
      <c r="T472" s="1">
        <f t="shared" ref="T472:T477" si="346">IF(J472=$T$7,1,0)</f>
        <v>0</v>
      </c>
      <c r="U472" s="1">
        <f t="shared" ref="U472:U477" si="347">IF(J472=$U$7,1,0)</f>
        <v>0</v>
      </c>
      <c r="V472" s="1">
        <f t="shared" ref="V472:V477" si="348">IF(J472=$V$7,1,0)</f>
        <v>0</v>
      </c>
      <c r="W472" s="1">
        <f t="shared" ref="W472:W477" si="349">IF(J472=$W$7,1,0)</f>
        <v>0</v>
      </c>
      <c r="X472" s="1">
        <f t="shared" ref="X472:X477" si="350">IF(J472=$X$7,1,0)</f>
        <v>0</v>
      </c>
      <c r="Y472" s="1">
        <f t="shared" ref="Y472:Y477" si="351">IF(J472=$Y$7,1,0)</f>
        <v>0</v>
      </c>
      <c r="Z472" s="1">
        <f t="shared" ref="Z472:Z477" si="352">IF(J472=$Z$7,1,0)</f>
        <v>0</v>
      </c>
      <c r="AA472" s="1">
        <f t="shared" ref="AA472:AA477" si="353">IF(J472=$AA$7,1,0)</f>
        <v>0</v>
      </c>
      <c r="AB472" s="1">
        <f t="shared" ref="AB472:AB477" si="354">IF(J472=$AB$7,1,0)</f>
        <v>0</v>
      </c>
      <c r="AD472" s="1">
        <f t="shared" ref="AD472:AD477" si="355">+O472*P472</f>
        <v>0</v>
      </c>
      <c r="AE472" s="1">
        <f t="shared" ref="AE472:AE477" si="356">O472*(1-P472)</f>
        <v>0</v>
      </c>
      <c r="AF472" s="1">
        <f t="shared" ref="AF472:AF477" si="357">+O472*P472*(1-A472)</f>
        <v>0</v>
      </c>
      <c r="AG472" s="1">
        <f t="shared" ref="AG472:AG477" si="358">O472*(1-P472)*(1-A472)</f>
        <v>0</v>
      </c>
      <c r="AH472" s="1">
        <f t="shared" ref="AH472:AH477" si="359">+P472*(1-A472)</f>
        <v>0</v>
      </c>
      <c r="AI472" s="1">
        <f t="shared" ref="AI472:AI477" si="360">+(1-A472)*(1-P472)</f>
        <v>1</v>
      </c>
    </row>
    <row r="473" spans="1:35" ht="14.25" customHeight="1" x14ac:dyDescent="0.25">
      <c r="A473" s="31">
        <v>0</v>
      </c>
      <c r="B473" s="31">
        <v>2</v>
      </c>
      <c r="C473" s="31">
        <v>7</v>
      </c>
      <c r="D473" s="32" t="s">
        <v>2006</v>
      </c>
      <c r="E473" s="32" t="s">
        <v>156</v>
      </c>
      <c r="F473" s="32" t="s">
        <v>2007</v>
      </c>
      <c r="G473" s="32" t="s">
        <v>283</v>
      </c>
      <c r="H473" s="32" t="s">
        <v>354</v>
      </c>
      <c r="I473" s="31" t="s">
        <v>2008</v>
      </c>
      <c r="J473" s="31">
        <v>99</v>
      </c>
      <c r="K473" s="33" t="s">
        <v>703</v>
      </c>
      <c r="L473" s="33" t="s">
        <v>722</v>
      </c>
      <c r="M473" s="34" t="s">
        <v>732</v>
      </c>
      <c r="N473" s="34" t="s">
        <v>1727</v>
      </c>
      <c r="O473" s="35">
        <v>1</v>
      </c>
      <c r="P473" s="35">
        <v>1</v>
      </c>
      <c r="Q473" s="32"/>
      <c r="S473" s="1">
        <f t="shared" si="345"/>
        <v>0</v>
      </c>
      <c r="T473" s="1">
        <f t="shared" si="346"/>
        <v>0</v>
      </c>
      <c r="U473" s="1">
        <f t="shared" si="347"/>
        <v>0</v>
      </c>
      <c r="V473" s="1">
        <f t="shared" si="348"/>
        <v>0</v>
      </c>
      <c r="W473" s="1">
        <f t="shared" si="349"/>
        <v>0</v>
      </c>
      <c r="X473" s="1">
        <f t="shared" si="350"/>
        <v>0</v>
      </c>
      <c r="Y473" s="1">
        <f t="shared" si="351"/>
        <v>0</v>
      </c>
      <c r="Z473" s="1">
        <f t="shared" si="352"/>
        <v>0</v>
      </c>
      <c r="AA473" s="1">
        <f t="shared" si="353"/>
        <v>0</v>
      </c>
      <c r="AB473" s="1">
        <f t="shared" si="354"/>
        <v>0</v>
      </c>
      <c r="AD473" s="1">
        <f t="shared" si="355"/>
        <v>1</v>
      </c>
      <c r="AE473" s="1">
        <f t="shared" si="356"/>
        <v>0</v>
      </c>
      <c r="AF473" s="1">
        <f t="shared" si="357"/>
        <v>1</v>
      </c>
      <c r="AG473" s="1">
        <f t="shared" si="358"/>
        <v>0</v>
      </c>
      <c r="AH473" s="1">
        <f t="shared" si="359"/>
        <v>1</v>
      </c>
      <c r="AI473" s="1">
        <f t="shared" si="360"/>
        <v>0</v>
      </c>
    </row>
    <row r="474" spans="1:35" ht="14.25" customHeight="1" x14ac:dyDescent="0.25">
      <c r="A474" s="31">
        <v>1</v>
      </c>
      <c r="B474" s="31">
        <v>2</v>
      </c>
      <c r="C474" s="31">
        <v>7</v>
      </c>
      <c r="D474" s="32" t="s">
        <v>2006</v>
      </c>
      <c r="E474" s="32" t="s">
        <v>156</v>
      </c>
      <c r="F474" s="32" t="s">
        <v>2009</v>
      </c>
      <c r="G474" s="32" t="s">
        <v>2010</v>
      </c>
      <c r="H474" s="32" t="s">
        <v>354</v>
      </c>
      <c r="I474" s="31" t="s">
        <v>2011</v>
      </c>
      <c r="J474" s="31">
        <v>99</v>
      </c>
      <c r="K474" s="33" t="s">
        <v>703</v>
      </c>
      <c r="L474" s="33" t="s">
        <v>722</v>
      </c>
      <c r="M474" s="34" t="s">
        <v>732</v>
      </c>
      <c r="N474" s="34" t="s">
        <v>1727</v>
      </c>
      <c r="O474" s="35">
        <v>1</v>
      </c>
      <c r="P474" s="35">
        <v>1</v>
      </c>
      <c r="Q474" s="32"/>
      <c r="S474" s="1">
        <f t="shared" si="345"/>
        <v>0</v>
      </c>
      <c r="T474" s="1">
        <f t="shared" si="346"/>
        <v>0</v>
      </c>
      <c r="U474" s="1">
        <f t="shared" si="347"/>
        <v>0</v>
      </c>
      <c r="V474" s="1">
        <f t="shared" si="348"/>
        <v>0</v>
      </c>
      <c r="W474" s="1">
        <f t="shared" si="349"/>
        <v>0</v>
      </c>
      <c r="X474" s="1">
        <f t="shared" si="350"/>
        <v>0</v>
      </c>
      <c r="Y474" s="1">
        <f t="shared" si="351"/>
        <v>0</v>
      </c>
      <c r="Z474" s="1">
        <f t="shared" si="352"/>
        <v>0</v>
      </c>
      <c r="AA474" s="1">
        <f t="shared" si="353"/>
        <v>0</v>
      </c>
      <c r="AB474" s="1">
        <f t="shared" si="354"/>
        <v>0</v>
      </c>
      <c r="AD474" s="1">
        <f t="shared" si="355"/>
        <v>1</v>
      </c>
      <c r="AE474" s="1">
        <f t="shared" si="356"/>
        <v>0</v>
      </c>
      <c r="AF474" s="1">
        <f t="shared" si="357"/>
        <v>0</v>
      </c>
      <c r="AG474" s="1">
        <f t="shared" si="358"/>
        <v>0</v>
      </c>
      <c r="AH474" s="1">
        <f t="shared" si="359"/>
        <v>0</v>
      </c>
      <c r="AI474" s="1">
        <f t="shared" si="360"/>
        <v>0</v>
      </c>
    </row>
    <row r="475" spans="1:35" ht="14.25" customHeight="1" x14ac:dyDescent="0.25">
      <c r="A475" s="15">
        <v>0</v>
      </c>
      <c r="B475" s="15">
        <v>2</v>
      </c>
      <c r="C475" s="15">
        <v>7</v>
      </c>
      <c r="D475" s="20" t="s">
        <v>1858</v>
      </c>
      <c r="E475" s="16" t="s">
        <v>156</v>
      </c>
      <c r="F475" s="20" t="s">
        <v>1859</v>
      </c>
      <c r="G475" s="20" t="s">
        <v>283</v>
      </c>
      <c r="H475" s="20" t="s">
        <v>354</v>
      </c>
      <c r="I475" s="21" t="s">
        <v>1860</v>
      </c>
      <c r="J475" s="15">
        <v>99</v>
      </c>
      <c r="K475" s="10" t="s">
        <v>703</v>
      </c>
      <c r="L475" s="10" t="s">
        <v>722</v>
      </c>
      <c r="M475" s="19" t="s">
        <v>732</v>
      </c>
      <c r="N475" s="19"/>
      <c r="Q475" s="20"/>
      <c r="S475" s="1">
        <f t="shared" si="345"/>
        <v>0</v>
      </c>
      <c r="T475" s="1">
        <f t="shared" si="346"/>
        <v>0</v>
      </c>
      <c r="U475" s="1">
        <f t="shared" si="347"/>
        <v>0</v>
      </c>
      <c r="V475" s="1">
        <f t="shared" si="348"/>
        <v>0</v>
      </c>
      <c r="W475" s="1">
        <f t="shared" si="349"/>
        <v>0</v>
      </c>
      <c r="X475" s="1">
        <f t="shared" si="350"/>
        <v>0</v>
      </c>
      <c r="Y475" s="1">
        <f t="shared" si="351"/>
        <v>0</v>
      </c>
      <c r="Z475" s="1">
        <f t="shared" si="352"/>
        <v>0</v>
      </c>
      <c r="AA475" s="1">
        <f t="shared" si="353"/>
        <v>0</v>
      </c>
      <c r="AB475" s="1">
        <f t="shared" si="354"/>
        <v>0</v>
      </c>
      <c r="AD475" s="1">
        <f t="shared" si="355"/>
        <v>0</v>
      </c>
      <c r="AE475" s="1">
        <f t="shared" si="356"/>
        <v>0</v>
      </c>
      <c r="AF475" s="1">
        <f t="shared" si="357"/>
        <v>0</v>
      </c>
      <c r="AG475" s="1">
        <f t="shared" si="358"/>
        <v>0</v>
      </c>
      <c r="AH475" s="1">
        <f t="shared" si="359"/>
        <v>0</v>
      </c>
      <c r="AI475" s="1">
        <f t="shared" si="360"/>
        <v>1</v>
      </c>
    </row>
    <row r="476" spans="1:35" ht="14.25" customHeight="1" x14ac:dyDescent="0.25">
      <c r="A476" s="31">
        <v>0</v>
      </c>
      <c r="B476" s="31">
        <v>2</v>
      </c>
      <c r="C476" s="31">
        <v>7</v>
      </c>
      <c r="D476" s="32" t="s">
        <v>60</v>
      </c>
      <c r="E476" s="32" t="s">
        <v>163</v>
      </c>
      <c r="F476" s="32" t="s">
        <v>227</v>
      </c>
      <c r="G476" s="32" t="s">
        <v>190</v>
      </c>
      <c r="H476" s="32" t="s">
        <v>354</v>
      </c>
      <c r="I476" s="31" t="s">
        <v>399</v>
      </c>
      <c r="J476" s="31">
        <v>99</v>
      </c>
      <c r="K476" s="33" t="s">
        <v>713</v>
      </c>
      <c r="L476" s="33" t="s">
        <v>722</v>
      </c>
      <c r="M476" s="34" t="s">
        <v>732</v>
      </c>
      <c r="N476" s="34" t="s">
        <v>1748</v>
      </c>
      <c r="O476" s="35">
        <v>1</v>
      </c>
      <c r="P476" s="35"/>
      <c r="Q476" s="32"/>
      <c r="S476" s="1">
        <f t="shared" si="345"/>
        <v>0</v>
      </c>
      <c r="T476" s="1">
        <f t="shared" si="346"/>
        <v>0</v>
      </c>
      <c r="U476" s="1">
        <f t="shared" si="347"/>
        <v>0</v>
      </c>
      <c r="V476" s="1">
        <f t="shared" si="348"/>
        <v>0</v>
      </c>
      <c r="W476" s="1">
        <f t="shared" si="349"/>
        <v>0</v>
      </c>
      <c r="X476" s="1">
        <f t="shared" si="350"/>
        <v>0</v>
      </c>
      <c r="Y476" s="1">
        <f t="shared" si="351"/>
        <v>0</v>
      </c>
      <c r="Z476" s="1">
        <f t="shared" si="352"/>
        <v>0</v>
      </c>
      <c r="AA476" s="1">
        <f t="shared" si="353"/>
        <v>0</v>
      </c>
      <c r="AB476" s="1">
        <f t="shared" si="354"/>
        <v>0</v>
      </c>
      <c r="AD476" s="1">
        <f t="shared" si="355"/>
        <v>0</v>
      </c>
      <c r="AE476" s="1">
        <f t="shared" si="356"/>
        <v>1</v>
      </c>
      <c r="AF476" s="1">
        <f t="shared" si="357"/>
        <v>0</v>
      </c>
      <c r="AG476" s="1">
        <f t="shared" si="358"/>
        <v>1</v>
      </c>
      <c r="AH476" s="1">
        <f t="shared" si="359"/>
        <v>0</v>
      </c>
      <c r="AI476" s="1">
        <f t="shared" si="360"/>
        <v>1</v>
      </c>
    </row>
    <row r="477" spans="1:35" ht="14.25" customHeight="1" x14ac:dyDescent="0.25">
      <c r="A477" s="31">
        <v>0</v>
      </c>
      <c r="B477" s="31">
        <v>2</v>
      </c>
      <c r="C477" s="31">
        <v>7</v>
      </c>
      <c r="D477" s="32" t="s">
        <v>1329</v>
      </c>
      <c r="E477" s="32" t="s">
        <v>156</v>
      </c>
      <c r="F477" s="32" t="s">
        <v>1143</v>
      </c>
      <c r="G477" s="32" t="s">
        <v>192</v>
      </c>
      <c r="H477" s="32" t="s">
        <v>354</v>
      </c>
      <c r="I477" s="31" t="s">
        <v>1369</v>
      </c>
      <c r="J477" s="31">
        <v>99</v>
      </c>
      <c r="K477" s="33" t="s">
        <v>712</v>
      </c>
      <c r="L477" s="33" t="s">
        <v>39</v>
      </c>
      <c r="M477" s="34" t="s">
        <v>39</v>
      </c>
      <c r="N477" s="34" t="s">
        <v>1727</v>
      </c>
      <c r="O477" s="35">
        <v>1</v>
      </c>
      <c r="P477" s="35">
        <v>1</v>
      </c>
      <c r="Q477" s="32"/>
      <c r="S477" s="1">
        <f t="shared" si="345"/>
        <v>0</v>
      </c>
      <c r="T477" s="1">
        <f t="shared" si="346"/>
        <v>0</v>
      </c>
      <c r="U477" s="1">
        <f t="shared" si="347"/>
        <v>0</v>
      </c>
      <c r="V477" s="1">
        <f t="shared" si="348"/>
        <v>0</v>
      </c>
      <c r="W477" s="1">
        <f t="shared" si="349"/>
        <v>0</v>
      </c>
      <c r="X477" s="1">
        <f t="shared" si="350"/>
        <v>0</v>
      </c>
      <c r="Y477" s="1">
        <f t="shared" si="351"/>
        <v>0</v>
      </c>
      <c r="Z477" s="1">
        <f t="shared" si="352"/>
        <v>0</v>
      </c>
      <c r="AA477" s="1">
        <f t="shared" si="353"/>
        <v>0</v>
      </c>
      <c r="AB477" s="1">
        <f t="shared" si="354"/>
        <v>0</v>
      </c>
      <c r="AD477" s="1">
        <f t="shared" si="355"/>
        <v>1</v>
      </c>
      <c r="AE477" s="1">
        <f t="shared" si="356"/>
        <v>0</v>
      </c>
      <c r="AF477" s="1">
        <f t="shared" si="357"/>
        <v>1</v>
      </c>
      <c r="AG477" s="1">
        <f t="shared" si="358"/>
        <v>0</v>
      </c>
      <c r="AH477" s="1">
        <f t="shared" si="359"/>
        <v>1</v>
      </c>
      <c r="AI477" s="1">
        <f t="shared" si="360"/>
        <v>0</v>
      </c>
    </row>
    <row r="478" spans="1:35" ht="14.25" customHeight="1" x14ac:dyDescent="0.25">
      <c r="A478" s="31">
        <v>0</v>
      </c>
      <c r="B478" s="31">
        <v>2</v>
      </c>
      <c r="C478" s="31">
        <v>7</v>
      </c>
      <c r="D478" s="32" t="s">
        <v>589</v>
      </c>
      <c r="E478" s="32" t="s">
        <v>1337</v>
      </c>
      <c r="F478" s="32" t="s">
        <v>676</v>
      </c>
      <c r="G478" s="32" t="s">
        <v>240</v>
      </c>
      <c r="H478" s="32" t="s">
        <v>354</v>
      </c>
      <c r="I478" s="31" t="s">
        <v>405</v>
      </c>
      <c r="J478" s="31">
        <v>1</v>
      </c>
      <c r="K478" s="33" t="s">
        <v>713</v>
      </c>
      <c r="L478" s="33" t="s">
        <v>1711</v>
      </c>
      <c r="M478" s="34" t="s">
        <v>1439</v>
      </c>
      <c r="N478" s="34" t="s">
        <v>1748</v>
      </c>
      <c r="O478" s="35">
        <v>1</v>
      </c>
      <c r="P478" s="35"/>
      <c r="Q478" s="32"/>
      <c r="S478" s="1">
        <f t="shared" si="309"/>
        <v>1</v>
      </c>
      <c r="T478" s="1">
        <f t="shared" si="310"/>
        <v>0</v>
      </c>
      <c r="U478" s="1">
        <f t="shared" si="311"/>
        <v>0</v>
      </c>
      <c r="V478" s="1">
        <f t="shared" si="312"/>
        <v>0</v>
      </c>
      <c r="W478" s="1">
        <f t="shared" si="313"/>
        <v>0</v>
      </c>
      <c r="X478" s="1">
        <f t="shared" si="314"/>
        <v>0</v>
      </c>
      <c r="Y478" s="1">
        <f t="shared" si="315"/>
        <v>0</v>
      </c>
      <c r="Z478" s="1">
        <f t="shared" si="316"/>
        <v>0</v>
      </c>
      <c r="AA478" s="1">
        <f t="shared" si="317"/>
        <v>0</v>
      </c>
      <c r="AB478" s="1">
        <f t="shared" si="318"/>
        <v>0</v>
      </c>
      <c r="AD478" s="1">
        <f t="shared" ref="AD478" si="361">+O478*P478</f>
        <v>0</v>
      </c>
      <c r="AE478" s="1">
        <f t="shared" ref="AE478" si="362">O478*(1-P478)</f>
        <v>1</v>
      </c>
      <c r="AF478" s="1">
        <f t="shared" ref="AF478:AF493" si="363">+O478*P478*(1-A478)</f>
        <v>0</v>
      </c>
      <c r="AG478" s="1">
        <f t="shared" ref="AG478:AG493" si="364">O478*(1-P478)*(1-A478)</f>
        <v>1</v>
      </c>
      <c r="AH478" s="1">
        <f t="shared" ref="AH478:AH493" si="365">+P478*(1-A478)</f>
        <v>0</v>
      </c>
      <c r="AI478" s="1">
        <f t="shared" ref="AI478:AI493" si="366">+(1-A478)*(1-P478)</f>
        <v>1</v>
      </c>
    </row>
    <row r="479" spans="1:35" ht="14.25" customHeight="1" x14ac:dyDescent="0.25">
      <c r="A479" s="31">
        <v>1</v>
      </c>
      <c r="B479" s="31">
        <v>2</v>
      </c>
      <c r="C479" s="31">
        <v>7</v>
      </c>
      <c r="D479" s="32" t="s">
        <v>589</v>
      </c>
      <c r="E479" s="32" t="s">
        <v>1337</v>
      </c>
      <c r="F479" s="32" t="s">
        <v>239</v>
      </c>
      <c r="G479" s="32" t="s">
        <v>178</v>
      </c>
      <c r="H479" s="32" t="s">
        <v>354</v>
      </c>
      <c r="I479" s="31" t="s">
        <v>404</v>
      </c>
      <c r="J479" s="31">
        <v>1</v>
      </c>
      <c r="K479" s="33" t="s">
        <v>713</v>
      </c>
      <c r="L479" s="33" t="s">
        <v>1711</v>
      </c>
      <c r="M479" s="34" t="s">
        <v>1439</v>
      </c>
      <c r="N479" s="34" t="s">
        <v>1748</v>
      </c>
      <c r="O479" s="35">
        <v>1</v>
      </c>
      <c r="P479" s="35"/>
      <c r="Q479" s="36" t="s">
        <v>1911</v>
      </c>
      <c r="S479" s="1">
        <f t="shared" si="309"/>
        <v>1</v>
      </c>
      <c r="T479" s="1">
        <f t="shared" si="310"/>
        <v>0</v>
      </c>
      <c r="U479" s="1">
        <f t="shared" si="311"/>
        <v>0</v>
      </c>
      <c r="V479" s="1">
        <f t="shared" si="312"/>
        <v>0</v>
      </c>
      <c r="W479" s="1">
        <f t="shared" si="313"/>
        <v>0</v>
      </c>
      <c r="X479" s="1">
        <f t="shared" si="314"/>
        <v>0</v>
      </c>
      <c r="Y479" s="1">
        <f t="shared" si="315"/>
        <v>0</v>
      </c>
      <c r="Z479" s="1">
        <f t="shared" si="316"/>
        <v>0</v>
      </c>
      <c r="AA479" s="1">
        <f t="shared" si="317"/>
        <v>0</v>
      </c>
      <c r="AB479" s="1">
        <f t="shared" si="318"/>
        <v>0</v>
      </c>
      <c r="AD479" s="1">
        <f t="shared" si="319"/>
        <v>0</v>
      </c>
      <c r="AE479" s="1">
        <f t="shared" si="320"/>
        <v>1</v>
      </c>
      <c r="AF479" s="1">
        <f t="shared" si="363"/>
        <v>0</v>
      </c>
      <c r="AG479" s="1">
        <f t="shared" si="364"/>
        <v>0</v>
      </c>
      <c r="AH479" s="1">
        <f t="shared" si="365"/>
        <v>0</v>
      </c>
      <c r="AI479" s="1">
        <f t="shared" si="366"/>
        <v>0</v>
      </c>
    </row>
    <row r="480" spans="1:35" ht="14.25" customHeight="1" x14ac:dyDescent="0.25">
      <c r="A480" s="31">
        <v>0</v>
      </c>
      <c r="B480" s="31">
        <v>2</v>
      </c>
      <c r="C480" s="31">
        <v>7</v>
      </c>
      <c r="D480" s="32" t="s">
        <v>1330</v>
      </c>
      <c r="E480" s="32" t="s">
        <v>156</v>
      </c>
      <c r="F480" s="32" t="s">
        <v>1356</v>
      </c>
      <c r="G480" s="32" t="s">
        <v>258</v>
      </c>
      <c r="H480" s="32" t="s">
        <v>354</v>
      </c>
      <c r="I480" s="31" t="s">
        <v>1239</v>
      </c>
      <c r="J480" s="31">
        <v>8</v>
      </c>
      <c r="K480" s="33" t="s">
        <v>955</v>
      </c>
      <c r="L480" s="33" t="s">
        <v>722</v>
      </c>
      <c r="M480" s="34" t="s">
        <v>732</v>
      </c>
      <c r="N480" s="34" t="s">
        <v>1748</v>
      </c>
      <c r="O480" s="35">
        <v>1</v>
      </c>
      <c r="P480" s="35"/>
      <c r="Q480" s="32"/>
      <c r="S480" s="1">
        <f t="shared" si="309"/>
        <v>0</v>
      </c>
      <c r="T480" s="1">
        <f t="shared" si="310"/>
        <v>0</v>
      </c>
      <c r="U480" s="1">
        <f t="shared" si="311"/>
        <v>0</v>
      </c>
      <c r="V480" s="1">
        <f t="shared" si="312"/>
        <v>0</v>
      </c>
      <c r="W480" s="1">
        <f t="shared" si="313"/>
        <v>0</v>
      </c>
      <c r="X480" s="1">
        <f t="shared" si="314"/>
        <v>0</v>
      </c>
      <c r="Y480" s="1">
        <f t="shared" si="315"/>
        <v>0</v>
      </c>
      <c r="Z480" s="1">
        <f t="shared" si="316"/>
        <v>1</v>
      </c>
      <c r="AA480" s="1">
        <f t="shared" si="317"/>
        <v>0</v>
      </c>
      <c r="AB480" s="1">
        <f t="shared" si="318"/>
        <v>0</v>
      </c>
      <c r="AD480" s="1">
        <f t="shared" si="319"/>
        <v>0</v>
      </c>
      <c r="AE480" s="1">
        <f t="shared" si="320"/>
        <v>1</v>
      </c>
      <c r="AF480" s="1">
        <f t="shared" si="363"/>
        <v>0</v>
      </c>
      <c r="AG480" s="1">
        <f t="shared" si="364"/>
        <v>1</v>
      </c>
      <c r="AH480" s="1">
        <f t="shared" si="365"/>
        <v>0</v>
      </c>
      <c r="AI480" s="1">
        <f t="shared" si="366"/>
        <v>1</v>
      </c>
    </row>
    <row r="481" spans="1:35" ht="14.25" customHeight="1" x14ac:dyDescent="0.25">
      <c r="A481" s="31">
        <v>1</v>
      </c>
      <c r="B481" s="31">
        <v>2</v>
      </c>
      <c r="C481" s="31">
        <v>7</v>
      </c>
      <c r="D481" s="32" t="s">
        <v>1330</v>
      </c>
      <c r="E481" s="32" t="s">
        <v>156</v>
      </c>
      <c r="F481" s="32" t="s">
        <v>1218</v>
      </c>
      <c r="G481" s="32" t="s">
        <v>218</v>
      </c>
      <c r="H481" s="32" t="s">
        <v>354</v>
      </c>
      <c r="I481" s="31" t="s">
        <v>1239</v>
      </c>
      <c r="J481" s="31">
        <v>99</v>
      </c>
      <c r="K481" s="33" t="s">
        <v>955</v>
      </c>
      <c r="L481" s="33" t="s">
        <v>722</v>
      </c>
      <c r="M481" s="34" t="s">
        <v>732</v>
      </c>
      <c r="N481" s="34" t="s">
        <v>1748</v>
      </c>
      <c r="O481" s="35">
        <v>1</v>
      </c>
      <c r="P481" s="35"/>
      <c r="Q481" s="32"/>
      <c r="S481" s="1">
        <f t="shared" si="309"/>
        <v>0</v>
      </c>
      <c r="T481" s="1">
        <f t="shared" si="310"/>
        <v>0</v>
      </c>
      <c r="U481" s="1">
        <f t="shared" si="311"/>
        <v>0</v>
      </c>
      <c r="V481" s="1">
        <f t="shared" si="312"/>
        <v>0</v>
      </c>
      <c r="W481" s="1">
        <f t="shared" si="313"/>
        <v>0</v>
      </c>
      <c r="X481" s="1">
        <f t="shared" si="314"/>
        <v>0</v>
      </c>
      <c r="Y481" s="1">
        <f t="shared" si="315"/>
        <v>0</v>
      </c>
      <c r="Z481" s="1">
        <f t="shared" si="316"/>
        <v>0</v>
      </c>
      <c r="AA481" s="1">
        <f t="shared" si="317"/>
        <v>0</v>
      </c>
      <c r="AB481" s="1">
        <f t="shared" si="318"/>
        <v>0</v>
      </c>
      <c r="AD481" s="1">
        <f t="shared" si="319"/>
        <v>0</v>
      </c>
      <c r="AE481" s="1">
        <f t="shared" si="320"/>
        <v>1</v>
      </c>
      <c r="AF481" s="1">
        <f t="shared" si="363"/>
        <v>0</v>
      </c>
      <c r="AG481" s="1">
        <f t="shared" si="364"/>
        <v>0</v>
      </c>
      <c r="AH481" s="1">
        <f t="shared" si="365"/>
        <v>0</v>
      </c>
      <c r="AI481" s="1">
        <f t="shared" si="366"/>
        <v>0</v>
      </c>
    </row>
    <row r="482" spans="1:35" ht="14.25" customHeight="1" x14ac:dyDescent="0.25">
      <c r="A482" s="44">
        <v>0</v>
      </c>
      <c r="B482" s="44">
        <v>2</v>
      </c>
      <c r="C482" s="44">
        <v>7</v>
      </c>
      <c r="D482" s="45" t="s">
        <v>1248</v>
      </c>
      <c r="E482" s="45" t="s">
        <v>156</v>
      </c>
      <c r="F482" s="45" t="s">
        <v>1250</v>
      </c>
      <c r="G482" s="45" t="s">
        <v>220</v>
      </c>
      <c r="H482" s="45" t="s">
        <v>354</v>
      </c>
      <c r="I482" s="44" t="s">
        <v>1370</v>
      </c>
      <c r="J482" s="44">
        <v>8</v>
      </c>
      <c r="K482" s="46" t="s">
        <v>954</v>
      </c>
      <c r="L482" s="46" t="s">
        <v>722</v>
      </c>
      <c r="M482" s="47" t="s">
        <v>732</v>
      </c>
      <c r="N482" s="47" t="s">
        <v>1735</v>
      </c>
      <c r="O482" s="48"/>
      <c r="P482" s="48"/>
      <c r="Q482" s="45"/>
      <c r="S482" s="1">
        <f t="shared" si="309"/>
        <v>0</v>
      </c>
      <c r="T482" s="1">
        <f t="shared" si="310"/>
        <v>0</v>
      </c>
      <c r="U482" s="1">
        <f t="shared" si="311"/>
        <v>0</v>
      </c>
      <c r="V482" s="1">
        <f t="shared" si="312"/>
        <v>0</v>
      </c>
      <c r="W482" s="1">
        <f t="shared" si="313"/>
        <v>0</v>
      </c>
      <c r="X482" s="1">
        <f t="shared" si="314"/>
        <v>0</v>
      </c>
      <c r="Y482" s="1">
        <f t="shared" si="315"/>
        <v>0</v>
      </c>
      <c r="Z482" s="1">
        <f t="shared" si="316"/>
        <v>1</v>
      </c>
      <c r="AA482" s="1">
        <f t="shared" si="317"/>
        <v>0</v>
      </c>
      <c r="AB482" s="1">
        <f t="shared" si="318"/>
        <v>0</v>
      </c>
      <c r="AD482" s="1">
        <f t="shared" si="319"/>
        <v>0</v>
      </c>
      <c r="AE482" s="1">
        <f t="shared" si="320"/>
        <v>0</v>
      </c>
      <c r="AF482" s="1">
        <f t="shared" si="363"/>
        <v>0</v>
      </c>
      <c r="AG482" s="1">
        <f t="shared" si="364"/>
        <v>0</v>
      </c>
      <c r="AH482" s="1">
        <f t="shared" si="365"/>
        <v>0</v>
      </c>
      <c r="AI482" s="1">
        <f t="shared" si="366"/>
        <v>1</v>
      </c>
    </row>
    <row r="483" spans="1:35" ht="14.25" customHeight="1" x14ac:dyDescent="0.25">
      <c r="A483" s="44">
        <v>1</v>
      </c>
      <c r="B483" s="44">
        <v>2</v>
      </c>
      <c r="C483" s="44">
        <v>7</v>
      </c>
      <c r="D483" s="45" t="s">
        <v>1248</v>
      </c>
      <c r="E483" s="45" t="s">
        <v>156</v>
      </c>
      <c r="F483" s="45" t="s">
        <v>1357</v>
      </c>
      <c r="G483" s="45" t="s">
        <v>39</v>
      </c>
      <c r="H483" s="45" t="s">
        <v>355</v>
      </c>
      <c r="I483" s="44" t="s">
        <v>1249</v>
      </c>
      <c r="J483" s="44">
        <v>99</v>
      </c>
      <c r="K483" s="46" t="s">
        <v>954</v>
      </c>
      <c r="L483" s="46" t="s">
        <v>722</v>
      </c>
      <c r="M483" s="47" t="s">
        <v>732</v>
      </c>
      <c r="N483" s="47" t="s">
        <v>1735</v>
      </c>
      <c r="O483" s="48"/>
      <c r="P483" s="48"/>
      <c r="Q483" s="65" t="s">
        <v>1904</v>
      </c>
      <c r="S483" s="1">
        <f t="shared" ref="S483:S493" si="367">IF(J483=$S$7,1,0)</f>
        <v>0</v>
      </c>
      <c r="T483" s="1">
        <f t="shared" ref="T483:T493" si="368">IF(J483=$T$7,1,0)</f>
        <v>0</v>
      </c>
      <c r="U483" s="1">
        <f t="shared" ref="U483:U493" si="369">IF(J483=$U$7,1,0)</f>
        <v>0</v>
      </c>
      <c r="V483" s="1">
        <f t="shared" ref="V483:V493" si="370">IF(J483=$V$7,1,0)</f>
        <v>0</v>
      </c>
      <c r="W483" s="1">
        <f t="shared" ref="W483:W493" si="371">IF(J483=$W$7,1,0)</f>
        <v>0</v>
      </c>
      <c r="X483" s="1">
        <f t="shared" ref="X483:X493" si="372">IF(J483=$X$7,1,0)</f>
        <v>0</v>
      </c>
      <c r="Y483" s="1">
        <f t="shared" ref="Y483:Y493" si="373">IF(J483=$Y$7,1,0)</f>
        <v>0</v>
      </c>
      <c r="Z483" s="1">
        <f t="shared" ref="Z483:Z493" si="374">IF(J483=$Z$7,1,0)</f>
        <v>0</v>
      </c>
      <c r="AA483" s="1">
        <f t="shared" ref="AA483:AA493" si="375">IF(J483=$AA$7,1,0)</f>
        <v>0</v>
      </c>
      <c r="AB483" s="1">
        <f t="shared" ref="AB483:AB493" si="376">IF(J483=$AB$7,1,0)</f>
        <v>0</v>
      </c>
      <c r="AD483" s="1">
        <f>+O483*P483</f>
        <v>0</v>
      </c>
      <c r="AE483" s="1">
        <f>O483*(1-P483)</f>
        <v>0</v>
      </c>
      <c r="AF483" s="1">
        <f t="shared" si="363"/>
        <v>0</v>
      </c>
      <c r="AG483" s="1">
        <f t="shared" si="364"/>
        <v>0</v>
      </c>
      <c r="AH483" s="1">
        <f t="shared" si="365"/>
        <v>0</v>
      </c>
      <c r="AI483" s="1">
        <f t="shared" si="366"/>
        <v>0</v>
      </c>
    </row>
    <row r="484" spans="1:35" ht="14.25" customHeight="1" x14ac:dyDescent="0.25">
      <c r="A484" s="44">
        <v>1</v>
      </c>
      <c r="B484" s="44">
        <v>2</v>
      </c>
      <c r="C484" s="44">
        <v>7</v>
      </c>
      <c r="D484" s="45" t="s">
        <v>1248</v>
      </c>
      <c r="E484" s="45" t="s">
        <v>156</v>
      </c>
      <c r="F484" s="45" t="s">
        <v>1523</v>
      </c>
      <c r="G484" s="45" t="s">
        <v>235</v>
      </c>
      <c r="H484" s="45" t="s">
        <v>354</v>
      </c>
      <c r="I484" s="44" t="s">
        <v>1691</v>
      </c>
      <c r="J484" s="44">
        <v>99</v>
      </c>
      <c r="K484" s="46" t="s">
        <v>954</v>
      </c>
      <c r="L484" s="46" t="s">
        <v>722</v>
      </c>
      <c r="M484" s="47" t="s">
        <v>732</v>
      </c>
      <c r="N484" s="47" t="s">
        <v>1735</v>
      </c>
      <c r="O484" s="48"/>
      <c r="P484" s="48"/>
      <c r="Q484" s="45"/>
      <c r="S484" s="1">
        <f t="shared" si="367"/>
        <v>0</v>
      </c>
      <c r="T484" s="1">
        <f t="shared" si="368"/>
        <v>0</v>
      </c>
      <c r="U484" s="1">
        <f t="shared" si="369"/>
        <v>0</v>
      </c>
      <c r="V484" s="1">
        <f t="shared" si="370"/>
        <v>0</v>
      </c>
      <c r="W484" s="1">
        <f t="shared" si="371"/>
        <v>0</v>
      </c>
      <c r="X484" s="1">
        <f t="shared" si="372"/>
        <v>0</v>
      </c>
      <c r="Y484" s="1">
        <f t="shared" si="373"/>
        <v>0</v>
      </c>
      <c r="Z484" s="1">
        <f t="shared" si="374"/>
        <v>0</v>
      </c>
      <c r="AA484" s="1">
        <f t="shared" si="375"/>
        <v>0</v>
      </c>
      <c r="AB484" s="1">
        <f t="shared" si="376"/>
        <v>0</v>
      </c>
      <c r="AD484" s="1">
        <f>+O484*P484</f>
        <v>0</v>
      </c>
      <c r="AE484" s="1">
        <f>O484*(1-P484)</f>
        <v>0</v>
      </c>
      <c r="AF484" s="1">
        <f t="shared" si="363"/>
        <v>0</v>
      </c>
      <c r="AG484" s="1">
        <f t="shared" si="364"/>
        <v>0</v>
      </c>
      <c r="AH484" s="1">
        <f t="shared" si="365"/>
        <v>0</v>
      </c>
      <c r="AI484" s="1">
        <f t="shared" si="366"/>
        <v>0</v>
      </c>
    </row>
    <row r="485" spans="1:35" ht="14.25" customHeight="1" x14ac:dyDescent="0.25">
      <c r="A485" s="31">
        <v>0</v>
      </c>
      <c r="B485" s="31">
        <v>2</v>
      </c>
      <c r="C485" s="31">
        <v>7</v>
      </c>
      <c r="D485" s="32" t="s">
        <v>1850</v>
      </c>
      <c r="E485" s="32" t="s">
        <v>1851</v>
      </c>
      <c r="F485" s="32" t="s">
        <v>1852</v>
      </c>
      <c r="G485" s="32" t="s">
        <v>265</v>
      </c>
      <c r="H485" s="32" t="s">
        <v>354</v>
      </c>
      <c r="I485" s="31" t="s">
        <v>1853</v>
      </c>
      <c r="J485" s="31">
        <v>99</v>
      </c>
      <c r="K485" s="33" t="s">
        <v>703</v>
      </c>
      <c r="L485" s="33"/>
      <c r="M485" s="34"/>
      <c r="N485" s="34" t="s">
        <v>1727</v>
      </c>
      <c r="O485" s="35">
        <v>1</v>
      </c>
      <c r="P485" s="35">
        <v>1</v>
      </c>
      <c r="Q485" s="32"/>
      <c r="S485" s="1">
        <f t="shared" si="367"/>
        <v>0</v>
      </c>
      <c r="T485" s="1">
        <f t="shared" si="368"/>
        <v>0</v>
      </c>
      <c r="U485" s="1">
        <f t="shared" si="369"/>
        <v>0</v>
      </c>
      <c r="V485" s="1">
        <f t="shared" si="370"/>
        <v>0</v>
      </c>
      <c r="W485" s="1">
        <f t="shared" si="371"/>
        <v>0</v>
      </c>
      <c r="X485" s="1">
        <f t="shared" si="372"/>
        <v>0</v>
      </c>
      <c r="Y485" s="1">
        <f t="shared" si="373"/>
        <v>0</v>
      </c>
      <c r="Z485" s="1">
        <f t="shared" si="374"/>
        <v>0</v>
      </c>
      <c r="AA485" s="1">
        <f t="shared" si="375"/>
        <v>0</v>
      </c>
      <c r="AB485" s="1">
        <f t="shared" si="376"/>
        <v>0</v>
      </c>
      <c r="AD485" s="1">
        <f>+O485*P485</f>
        <v>1</v>
      </c>
      <c r="AE485" s="1">
        <f>O485*(1-P485)</f>
        <v>0</v>
      </c>
      <c r="AF485" s="1">
        <f t="shared" si="363"/>
        <v>1</v>
      </c>
      <c r="AG485" s="1">
        <f t="shared" si="364"/>
        <v>0</v>
      </c>
      <c r="AH485" s="1">
        <f t="shared" si="365"/>
        <v>1</v>
      </c>
      <c r="AI485" s="1">
        <f t="shared" si="366"/>
        <v>0</v>
      </c>
    </row>
    <row r="486" spans="1:35" ht="14.25" customHeight="1" x14ac:dyDescent="0.25">
      <c r="A486" s="44">
        <v>0</v>
      </c>
      <c r="B486" s="44">
        <v>2</v>
      </c>
      <c r="C486" s="44">
        <v>7</v>
      </c>
      <c r="D486" s="45" t="s">
        <v>1243</v>
      </c>
      <c r="E486" s="45" t="s">
        <v>28</v>
      </c>
      <c r="F486" s="45" t="s">
        <v>1236</v>
      </c>
      <c r="G486" s="45" t="s">
        <v>1237</v>
      </c>
      <c r="H486" s="45" t="s">
        <v>354</v>
      </c>
      <c r="I486" s="44" t="s">
        <v>1238</v>
      </c>
      <c r="J486" s="44">
        <v>99</v>
      </c>
      <c r="K486" s="46" t="s">
        <v>712</v>
      </c>
      <c r="L486" s="46" t="s">
        <v>713</v>
      </c>
      <c r="M486" s="47" t="s">
        <v>731</v>
      </c>
      <c r="N486" s="47" t="s">
        <v>1735</v>
      </c>
      <c r="O486" s="48"/>
      <c r="P486" s="48"/>
      <c r="Q486" s="45"/>
      <c r="S486" s="1">
        <f t="shared" si="367"/>
        <v>0</v>
      </c>
      <c r="T486" s="1">
        <f t="shared" si="368"/>
        <v>0</v>
      </c>
      <c r="U486" s="1">
        <f t="shared" si="369"/>
        <v>0</v>
      </c>
      <c r="V486" s="1">
        <f t="shared" si="370"/>
        <v>0</v>
      </c>
      <c r="W486" s="1">
        <f t="shared" si="371"/>
        <v>0</v>
      </c>
      <c r="X486" s="1">
        <f t="shared" si="372"/>
        <v>0</v>
      </c>
      <c r="Y486" s="1">
        <f t="shared" si="373"/>
        <v>0</v>
      </c>
      <c r="Z486" s="1">
        <f t="shared" si="374"/>
        <v>0</v>
      </c>
      <c r="AA486" s="1">
        <f t="shared" si="375"/>
        <v>0</v>
      </c>
      <c r="AB486" s="1">
        <f t="shared" si="376"/>
        <v>0</v>
      </c>
      <c r="AD486" s="1">
        <f t="shared" ref="AD486:AD493" si="377">+O486*P486</f>
        <v>0</v>
      </c>
      <c r="AE486" s="1">
        <f t="shared" ref="AE486:AE493" si="378">O486*(1-P486)</f>
        <v>0</v>
      </c>
      <c r="AF486" s="1">
        <f t="shared" si="363"/>
        <v>0</v>
      </c>
      <c r="AG486" s="1">
        <f t="shared" si="364"/>
        <v>0</v>
      </c>
      <c r="AH486" s="1">
        <f t="shared" si="365"/>
        <v>0</v>
      </c>
      <c r="AI486" s="1">
        <f t="shared" si="366"/>
        <v>1</v>
      </c>
    </row>
    <row r="487" spans="1:35" ht="14.25" customHeight="1" x14ac:dyDescent="0.25">
      <c r="A487" s="44">
        <v>1</v>
      </c>
      <c r="B487" s="44">
        <v>2</v>
      </c>
      <c r="C487" s="44">
        <v>7</v>
      </c>
      <c r="D487" s="45" t="s">
        <v>1240</v>
      </c>
      <c r="E487" s="45" t="s">
        <v>28</v>
      </c>
      <c r="F487" s="45" t="s">
        <v>1241</v>
      </c>
      <c r="G487" s="45" t="s">
        <v>523</v>
      </c>
      <c r="H487" s="45" t="s">
        <v>354</v>
      </c>
      <c r="I487" s="44" t="s">
        <v>1242</v>
      </c>
      <c r="J487" s="44">
        <v>99</v>
      </c>
      <c r="K487" s="46" t="s">
        <v>712</v>
      </c>
      <c r="L487" s="46" t="s">
        <v>713</v>
      </c>
      <c r="M487" s="47" t="s">
        <v>731</v>
      </c>
      <c r="N487" s="47" t="s">
        <v>1735</v>
      </c>
      <c r="O487" s="48"/>
      <c r="P487" s="48"/>
      <c r="Q487" s="45"/>
      <c r="S487" s="1">
        <f t="shared" si="367"/>
        <v>0</v>
      </c>
      <c r="T487" s="1">
        <f t="shared" si="368"/>
        <v>0</v>
      </c>
      <c r="U487" s="1">
        <f t="shared" si="369"/>
        <v>0</v>
      </c>
      <c r="V487" s="1">
        <f t="shared" si="370"/>
        <v>0</v>
      </c>
      <c r="W487" s="1">
        <f t="shared" si="371"/>
        <v>0</v>
      </c>
      <c r="X487" s="1">
        <f t="shared" si="372"/>
        <v>0</v>
      </c>
      <c r="Y487" s="1">
        <f t="shared" si="373"/>
        <v>0</v>
      </c>
      <c r="Z487" s="1">
        <f t="shared" si="374"/>
        <v>0</v>
      </c>
      <c r="AA487" s="1">
        <f t="shared" si="375"/>
        <v>0</v>
      </c>
      <c r="AB487" s="1">
        <f t="shared" si="376"/>
        <v>0</v>
      </c>
      <c r="AD487" s="1">
        <f t="shared" si="377"/>
        <v>0</v>
      </c>
      <c r="AE487" s="1">
        <f t="shared" si="378"/>
        <v>0</v>
      </c>
      <c r="AF487" s="1">
        <f t="shared" si="363"/>
        <v>0</v>
      </c>
      <c r="AG487" s="1">
        <f t="shared" si="364"/>
        <v>0</v>
      </c>
      <c r="AH487" s="1">
        <f t="shared" si="365"/>
        <v>0</v>
      </c>
      <c r="AI487" s="1">
        <f t="shared" si="366"/>
        <v>0</v>
      </c>
    </row>
    <row r="488" spans="1:35" ht="14.25" customHeight="1" x14ac:dyDescent="0.25">
      <c r="A488" s="31">
        <v>0</v>
      </c>
      <c r="B488" s="31">
        <v>2</v>
      </c>
      <c r="C488" s="31">
        <v>7</v>
      </c>
      <c r="D488" s="32" t="s">
        <v>1846</v>
      </c>
      <c r="E488" s="32" t="s">
        <v>1168</v>
      </c>
      <c r="F488" s="32" t="s">
        <v>1847</v>
      </c>
      <c r="G488" s="32"/>
      <c r="H488" s="32" t="s">
        <v>354</v>
      </c>
      <c r="I488" s="31" t="s">
        <v>1848</v>
      </c>
      <c r="J488" s="31">
        <v>6</v>
      </c>
      <c r="K488" s="33" t="s">
        <v>703</v>
      </c>
      <c r="L488" s="33"/>
      <c r="M488" s="34"/>
      <c r="N488" s="34" t="s">
        <v>1748</v>
      </c>
      <c r="O488" s="35">
        <v>1</v>
      </c>
      <c r="P488" s="35"/>
      <c r="Q488" s="32"/>
      <c r="S488" s="1">
        <f t="shared" si="367"/>
        <v>0</v>
      </c>
      <c r="T488" s="1">
        <f t="shared" si="368"/>
        <v>0</v>
      </c>
      <c r="U488" s="1">
        <f t="shared" si="369"/>
        <v>0</v>
      </c>
      <c r="V488" s="1">
        <f t="shared" si="370"/>
        <v>0</v>
      </c>
      <c r="W488" s="1">
        <f t="shared" si="371"/>
        <v>0</v>
      </c>
      <c r="X488" s="1">
        <f t="shared" si="372"/>
        <v>1</v>
      </c>
      <c r="Y488" s="1">
        <f t="shared" si="373"/>
        <v>0</v>
      </c>
      <c r="Z488" s="1">
        <f t="shared" si="374"/>
        <v>0</v>
      </c>
      <c r="AA488" s="1">
        <f t="shared" si="375"/>
        <v>0</v>
      </c>
      <c r="AB488" s="1">
        <f t="shared" si="376"/>
        <v>0</v>
      </c>
      <c r="AD488" s="1">
        <f t="shared" si="377"/>
        <v>0</v>
      </c>
      <c r="AE488" s="1">
        <f t="shared" si="378"/>
        <v>1</v>
      </c>
      <c r="AF488" s="1">
        <f t="shared" si="363"/>
        <v>0</v>
      </c>
      <c r="AG488" s="1">
        <f t="shared" si="364"/>
        <v>1</v>
      </c>
      <c r="AH488" s="1">
        <f t="shared" si="365"/>
        <v>0</v>
      </c>
      <c r="AI488" s="1">
        <f t="shared" si="366"/>
        <v>1</v>
      </c>
    </row>
    <row r="489" spans="1:35" ht="14.25" customHeight="1" x14ac:dyDescent="0.25">
      <c r="A489" s="44">
        <v>0</v>
      </c>
      <c r="B489" s="44">
        <v>2</v>
      </c>
      <c r="C489" s="44">
        <v>7</v>
      </c>
      <c r="D489" s="45" t="s">
        <v>1458</v>
      </c>
      <c r="E489" s="45" t="s">
        <v>28</v>
      </c>
      <c r="F489" s="45" t="s">
        <v>1459</v>
      </c>
      <c r="G489" s="45" t="s">
        <v>1460</v>
      </c>
      <c r="H489" s="45" t="s">
        <v>354</v>
      </c>
      <c r="I489" s="44" t="s">
        <v>1461</v>
      </c>
      <c r="J489" s="44">
        <v>99</v>
      </c>
      <c r="K489" s="46" t="s">
        <v>712</v>
      </c>
      <c r="L489" s="46" t="s">
        <v>713</v>
      </c>
      <c r="M489" s="47" t="s">
        <v>731</v>
      </c>
      <c r="N489" s="47" t="s">
        <v>1735</v>
      </c>
      <c r="O489" s="48"/>
      <c r="P489" s="48"/>
      <c r="Q489" s="45" t="s">
        <v>1931</v>
      </c>
      <c r="S489" s="1">
        <f t="shared" si="367"/>
        <v>0</v>
      </c>
      <c r="T489" s="1">
        <f t="shared" si="368"/>
        <v>0</v>
      </c>
      <c r="U489" s="1">
        <f t="shared" si="369"/>
        <v>0</v>
      </c>
      <c r="V489" s="1">
        <f t="shared" si="370"/>
        <v>0</v>
      </c>
      <c r="W489" s="1">
        <f t="shared" si="371"/>
        <v>0</v>
      </c>
      <c r="X489" s="1">
        <f t="shared" si="372"/>
        <v>0</v>
      </c>
      <c r="Y489" s="1">
        <f t="shared" si="373"/>
        <v>0</v>
      </c>
      <c r="Z489" s="1">
        <f t="shared" si="374"/>
        <v>0</v>
      </c>
      <c r="AA489" s="1">
        <f t="shared" si="375"/>
        <v>0</v>
      </c>
      <c r="AB489" s="1">
        <f t="shared" si="376"/>
        <v>0</v>
      </c>
      <c r="AD489" s="1">
        <f t="shared" si="377"/>
        <v>0</v>
      </c>
      <c r="AE489" s="1">
        <f t="shared" si="378"/>
        <v>0</v>
      </c>
      <c r="AF489" s="1">
        <f t="shared" si="363"/>
        <v>0</v>
      </c>
      <c r="AG489" s="1">
        <f t="shared" si="364"/>
        <v>0</v>
      </c>
      <c r="AH489" s="1">
        <f t="shared" si="365"/>
        <v>0</v>
      </c>
      <c r="AI489" s="1">
        <f t="shared" si="366"/>
        <v>1</v>
      </c>
    </row>
    <row r="490" spans="1:35" ht="14.25" customHeight="1" x14ac:dyDescent="0.25">
      <c r="A490" s="31">
        <v>0</v>
      </c>
      <c r="B490" s="31">
        <v>2</v>
      </c>
      <c r="C490" s="31">
        <v>7</v>
      </c>
      <c r="D490" s="32" t="s">
        <v>43</v>
      </c>
      <c r="E490" s="32" t="s">
        <v>541</v>
      </c>
      <c r="F490" s="32" t="s">
        <v>575</v>
      </c>
      <c r="G490" s="32" t="s">
        <v>235</v>
      </c>
      <c r="H490" s="32" t="s">
        <v>354</v>
      </c>
      <c r="I490" s="31" t="s">
        <v>582</v>
      </c>
      <c r="J490" s="31">
        <v>99</v>
      </c>
      <c r="K490" s="33" t="s">
        <v>712</v>
      </c>
      <c r="L490" s="33" t="s">
        <v>729</v>
      </c>
      <c r="M490" s="34" t="s">
        <v>1440</v>
      </c>
      <c r="N490" s="34" t="s">
        <v>1748</v>
      </c>
      <c r="O490" s="35">
        <v>1</v>
      </c>
      <c r="P490" s="35"/>
      <c r="Q490" s="32"/>
      <c r="S490" s="1">
        <f t="shared" si="367"/>
        <v>0</v>
      </c>
      <c r="T490" s="1">
        <f t="shared" si="368"/>
        <v>0</v>
      </c>
      <c r="U490" s="1">
        <f t="shared" si="369"/>
        <v>0</v>
      </c>
      <c r="V490" s="1">
        <f t="shared" si="370"/>
        <v>0</v>
      </c>
      <c r="W490" s="1">
        <f t="shared" si="371"/>
        <v>0</v>
      </c>
      <c r="X490" s="1">
        <f t="shared" si="372"/>
        <v>0</v>
      </c>
      <c r="Y490" s="1">
        <f t="shared" si="373"/>
        <v>0</v>
      </c>
      <c r="Z490" s="1">
        <f t="shared" si="374"/>
        <v>0</v>
      </c>
      <c r="AA490" s="1">
        <f t="shared" si="375"/>
        <v>0</v>
      </c>
      <c r="AB490" s="1">
        <f t="shared" si="376"/>
        <v>0</v>
      </c>
      <c r="AD490" s="1">
        <f t="shared" si="377"/>
        <v>0</v>
      </c>
      <c r="AE490" s="1">
        <f t="shared" si="378"/>
        <v>1</v>
      </c>
      <c r="AF490" s="1">
        <f t="shared" si="363"/>
        <v>0</v>
      </c>
      <c r="AG490" s="1">
        <f t="shared" si="364"/>
        <v>1</v>
      </c>
      <c r="AH490" s="1">
        <f t="shared" si="365"/>
        <v>0</v>
      </c>
      <c r="AI490" s="1">
        <f t="shared" si="366"/>
        <v>1</v>
      </c>
    </row>
    <row r="491" spans="1:35" ht="14.25" customHeight="1" x14ac:dyDescent="0.25">
      <c r="A491" s="31">
        <v>1</v>
      </c>
      <c r="B491" s="31">
        <v>2</v>
      </c>
      <c r="C491" s="31">
        <v>7</v>
      </c>
      <c r="D491" s="32" t="s">
        <v>43</v>
      </c>
      <c r="E491" s="32" t="s">
        <v>541</v>
      </c>
      <c r="F491" s="32" t="s">
        <v>271</v>
      </c>
      <c r="G491" s="32" t="s">
        <v>180</v>
      </c>
      <c r="H491" s="32" t="s">
        <v>354</v>
      </c>
      <c r="I491" s="31" t="s">
        <v>426</v>
      </c>
      <c r="J491" s="31">
        <v>10</v>
      </c>
      <c r="K491" s="33" t="s">
        <v>712</v>
      </c>
      <c r="L491" s="33" t="s">
        <v>729</v>
      </c>
      <c r="M491" s="34" t="s">
        <v>1440</v>
      </c>
      <c r="N491" s="34" t="s">
        <v>1748</v>
      </c>
      <c r="O491" s="35">
        <v>1</v>
      </c>
      <c r="P491" s="35"/>
      <c r="Q491" s="32"/>
      <c r="S491" s="1">
        <f t="shared" si="367"/>
        <v>0</v>
      </c>
      <c r="T491" s="1">
        <f t="shared" si="368"/>
        <v>0</v>
      </c>
      <c r="U491" s="1">
        <f t="shared" si="369"/>
        <v>0</v>
      </c>
      <c r="V491" s="1">
        <f t="shared" si="370"/>
        <v>0</v>
      </c>
      <c r="W491" s="1">
        <f t="shared" si="371"/>
        <v>0</v>
      </c>
      <c r="X491" s="1">
        <f t="shared" si="372"/>
        <v>0</v>
      </c>
      <c r="Y491" s="1">
        <f t="shared" si="373"/>
        <v>0</v>
      </c>
      <c r="Z491" s="1">
        <f t="shared" si="374"/>
        <v>0</v>
      </c>
      <c r="AA491" s="1">
        <f t="shared" si="375"/>
        <v>0</v>
      </c>
      <c r="AB491" s="1">
        <f t="shared" si="376"/>
        <v>1</v>
      </c>
      <c r="AD491" s="1">
        <f t="shared" si="377"/>
        <v>0</v>
      </c>
      <c r="AE491" s="1">
        <f t="shared" si="378"/>
        <v>1</v>
      </c>
      <c r="AF491" s="1">
        <f t="shared" si="363"/>
        <v>0</v>
      </c>
      <c r="AG491" s="1">
        <f t="shared" si="364"/>
        <v>0</v>
      </c>
      <c r="AH491" s="1">
        <f t="shared" si="365"/>
        <v>0</v>
      </c>
      <c r="AI491" s="1">
        <f t="shared" si="366"/>
        <v>0</v>
      </c>
    </row>
    <row r="492" spans="1:35" ht="14.25" customHeight="1" x14ac:dyDescent="0.25">
      <c r="A492" s="31">
        <v>1</v>
      </c>
      <c r="B492" s="31">
        <v>2</v>
      </c>
      <c r="C492" s="31">
        <v>7</v>
      </c>
      <c r="D492" s="32" t="s">
        <v>43</v>
      </c>
      <c r="E492" s="32" t="s">
        <v>541</v>
      </c>
      <c r="F492" s="32" t="s">
        <v>272</v>
      </c>
      <c r="G492" s="32" t="s">
        <v>39</v>
      </c>
      <c r="H492" s="32" t="s">
        <v>354</v>
      </c>
      <c r="I492" s="31" t="s">
        <v>427</v>
      </c>
      <c r="J492" s="31">
        <v>5</v>
      </c>
      <c r="K492" s="33" t="s">
        <v>712</v>
      </c>
      <c r="L492" s="33" t="s">
        <v>729</v>
      </c>
      <c r="M492" s="34" t="s">
        <v>1440</v>
      </c>
      <c r="N492" s="34" t="s">
        <v>1748</v>
      </c>
      <c r="O492" s="35">
        <v>1</v>
      </c>
      <c r="P492" s="35"/>
      <c r="Q492" s="32"/>
      <c r="S492" s="1">
        <f t="shared" si="367"/>
        <v>0</v>
      </c>
      <c r="T492" s="1">
        <f t="shared" si="368"/>
        <v>0</v>
      </c>
      <c r="U492" s="1">
        <f t="shared" si="369"/>
        <v>0</v>
      </c>
      <c r="V492" s="1">
        <f t="shared" si="370"/>
        <v>0</v>
      </c>
      <c r="W492" s="1">
        <f t="shared" si="371"/>
        <v>1</v>
      </c>
      <c r="X492" s="1">
        <f t="shared" si="372"/>
        <v>0</v>
      </c>
      <c r="Y492" s="1">
        <f t="shared" si="373"/>
        <v>0</v>
      </c>
      <c r="Z492" s="1">
        <f t="shared" si="374"/>
        <v>0</v>
      </c>
      <c r="AA492" s="1">
        <f t="shared" si="375"/>
        <v>0</v>
      </c>
      <c r="AB492" s="1">
        <f t="shared" si="376"/>
        <v>0</v>
      </c>
      <c r="AD492" s="1">
        <f t="shared" si="377"/>
        <v>0</v>
      </c>
      <c r="AE492" s="1">
        <f t="shared" si="378"/>
        <v>1</v>
      </c>
      <c r="AF492" s="1">
        <f t="shared" si="363"/>
        <v>0</v>
      </c>
      <c r="AG492" s="1">
        <f t="shared" si="364"/>
        <v>0</v>
      </c>
      <c r="AH492" s="1">
        <f t="shared" si="365"/>
        <v>0</v>
      </c>
      <c r="AI492" s="1">
        <f t="shared" si="366"/>
        <v>0</v>
      </c>
    </row>
    <row r="493" spans="1:35" ht="14.25" customHeight="1" x14ac:dyDescent="0.25">
      <c r="A493" s="31">
        <v>1</v>
      </c>
      <c r="B493" s="31">
        <v>2</v>
      </c>
      <c r="C493" s="31">
        <v>7</v>
      </c>
      <c r="D493" s="32" t="s">
        <v>43</v>
      </c>
      <c r="E493" s="32" t="s">
        <v>541</v>
      </c>
      <c r="F493" s="32" t="s">
        <v>276</v>
      </c>
      <c r="G493" s="32" t="s">
        <v>194</v>
      </c>
      <c r="H493" s="32" t="s">
        <v>354</v>
      </c>
      <c r="I493" s="31" t="s">
        <v>431</v>
      </c>
      <c r="J493" s="31">
        <v>9</v>
      </c>
      <c r="K493" s="33" t="s">
        <v>712</v>
      </c>
      <c r="L493" s="33" t="s">
        <v>729</v>
      </c>
      <c r="M493" s="34" t="s">
        <v>1440</v>
      </c>
      <c r="N493" s="34" t="s">
        <v>1748</v>
      </c>
      <c r="O493" s="35">
        <v>1</v>
      </c>
      <c r="P493" s="35"/>
      <c r="Q493" s="32"/>
      <c r="S493" s="1">
        <f t="shared" si="367"/>
        <v>0</v>
      </c>
      <c r="T493" s="1">
        <f t="shared" si="368"/>
        <v>0</v>
      </c>
      <c r="U493" s="1">
        <f t="shared" si="369"/>
        <v>0</v>
      </c>
      <c r="V493" s="1">
        <f t="shared" si="370"/>
        <v>0</v>
      </c>
      <c r="W493" s="1">
        <f t="shared" si="371"/>
        <v>0</v>
      </c>
      <c r="X493" s="1">
        <f t="shared" si="372"/>
        <v>0</v>
      </c>
      <c r="Y493" s="1">
        <f t="shared" si="373"/>
        <v>0</v>
      </c>
      <c r="Z493" s="1">
        <f t="shared" si="374"/>
        <v>0</v>
      </c>
      <c r="AA493" s="1">
        <f t="shared" si="375"/>
        <v>1</v>
      </c>
      <c r="AB493" s="1">
        <f t="shared" si="376"/>
        <v>0</v>
      </c>
      <c r="AD493" s="1">
        <f t="shared" si="377"/>
        <v>0</v>
      </c>
      <c r="AE493" s="1">
        <f t="shared" si="378"/>
        <v>1</v>
      </c>
      <c r="AF493" s="1">
        <f t="shared" si="363"/>
        <v>0</v>
      </c>
      <c r="AG493" s="1">
        <f t="shared" si="364"/>
        <v>0</v>
      </c>
      <c r="AH493" s="1">
        <f t="shared" si="365"/>
        <v>0</v>
      </c>
      <c r="AI493" s="1">
        <f t="shared" si="366"/>
        <v>0</v>
      </c>
    </row>
    <row r="494" spans="1:35" ht="14.25" customHeight="1" x14ac:dyDescent="0.25">
      <c r="A494" s="44">
        <v>0</v>
      </c>
      <c r="B494" s="44">
        <v>2</v>
      </c>
      <c r="C494" s="44">
        <v>7</v>
      </c>
      <c r="D494" s="45" t="s">
        <v>1561</v>
      </c>
      <c r="E494" s="45" t="s">
        <v>28</v>
      </c>
      <c r="F494" s="45" t="s">
        <v>1562</v>
      </c>
      <c r="G494" s="45" t="s">
        <v>238</v>
      </c>
      <c r="H494" s="45" t="s">
        <v>354</v>
      </c>
      <c r="I494" s="44" t="s">
        <v>1695</v>
      </c>
      <c r="J494" s="44">
        <v>4</v>
      </c>
      <c r="K494" s="46" t="s">
        <v>713</v>
      </c>
      <c r="L494" s="46" t="s">
        <v>713</v>
      </c>
      <c r="M494" s="47" t="s">
        <v>731</v>
      </c>
      <c r="N494" s="47" t="s">
        <v>1735</v>
      </c>
      <c r="O494" s="48"/>
      <c r="P494" s="48"/>
      <c r="Q494" s="45"/>
      <c r="S494" s="1">
        <f t="shared" ref="S494:S495" si="379">IF(J494=$S$7,1,0)</f>
        <v>0</v>
      </c>
      <c r="T494" s="1">
        <f t="shared" ref="T494:T495" si="380">IF(J494=$T$7,1,0)</f>
        <v>0</v>
      </c>
      <c r="U494" s="1">
        <f t="shared" ref="U494:U495" si="381">IF(J494=$U$7,1,0)</f>
        <v>0</v>
      </c>
      <c r="V494" s="1">
        <f t="shared" ref="V494:V495" si="382">IF(J494=$V$7,1,0)</f>
        <v>1</v>
      </c>
      <c r="W494" s="1">
        <f t="shared" ref="W494:W495" si="383">IF(J494=$W$7,1,0)</f>
        <v>0</v>
      </c>
      <c r="X494" s="1">
        <f t="shared" ref="X494:X495" si="384">IF(J494=$X$7,1,0)</f>
        <v>0</v>
      </c>
      <c r="Y494" s="1">
        <f t="shared" ref="Y494:Y495" si="385">IF(J494=$Y$7,1,0)</f>
        <v>0</v>
      </c>
      <c r="Z494" s="1">
        <f t="shared" ref="Z494:Z495" si="386">IF(J494=$Z$7,1,0)</f>
        <v>0</v>
      </c>
      <c r="AA494" s="1">
        <f t="shared" ref="AA494:AA495" si="387">IF(J494=$AA$7,1,0)</f>
        <v>0</v>
      </c>
      <c r="AB494" s="1">
        <f t="shared" ref="AB494:AB495" si="388">IF(J494=$AB$7,1,0)</f>
        <v>0</v>
      </c>
      <c r="AD494" s="1">
        <f t="shared" ref="AD494:AD495" si="389">+O494*P494</f>
        <v>0</v>
      </c>
      <c r="AE494" s="1">
        <f t="shared" ref="AE494:AE495" si="390">O494*(1-P494)</f>
        <v>0</v>
      </c>
      <c r="AF494" s="1">
        <f t="shared" ref="AF494:AF495" si="391">+O494*P494*(1-A494)</f>
        <v>0</v>
      </c>
      <c r="AG494" s="1">
        <f t="shared" ref="AG494:AG495" si="392">O494*(1-P494)*(1-A494)</f>
        <v>0</v>
      </c>
      <c r="AH494" s="1">
        <f t="shared" ref="AH494:AH495" si="393">+P494*(1-A494)</f>
        <v>0</v>
      </c>
      <c r="AI494" s="1">
        <f t="shared" ref="AI494:AI495" si="394">+(1-A494)*(1-P494)</f>
        <v>1</v>
      </c>
    </row>
    <row r="495" spans="1:35" ht="14.25" customHeight="1" x14ac:dyDescent="0.25">
      <c r="A495" s="44">
        <v>0</v>
      </c>
      <c r="B495" s="44">
        <v>2</v>
      </c>
      <c r="C495" s="44">
        <v>7</v>
      </c>
      <c r="D495" s="45" t="s">
        <v>63</v>
      </c>
      <c r="E495" s="45" t="s">
        <v>44</v>
      </c>
      <c r="F495" s="45" t="s">
        <v>236</v>
      </c>
      <c r="G495" s="45" t="s">
        <v>200</v>
      </c>
      <c r="H495" s="45" t="s">
        <v>354</v>
      </c>
      <c r="I495" s="44" t="s">
        <v>402</v>
      </c>
      <c r="J495" s="44">
        <v>2</v>
      </c>
      <c r="K495" s="46" t="s">
        <v>713</v>
      </c>
      <c r="L495" s="46" t="s">
        <v>722</v>
      </c>
      <c r="M495" s="47" t="s">
        <v>735</v>
      </c>
      <c r="N495" s="47" t="s">
        <v>1735</v>
      </c>
      <c r="O495" s="48"/>
      <c r="P495" s="48"/>
      <c r="Q495" s="45"/>
      <c r="S495" s="1">
        <f t="shared" si="379"/>
        <v>0</v>
      </c>
      <c r="T495" s="1">
        <f t="shared" si="380"/>
        <v>1</v>
      </c>
      <c r="U495" s="1">
        <f t="shared" si="381"/>
        <v>0</v>
      </c>
      <c r="V495" s="1">
        <f t="shared" si="382"/>
        <v>0</v>
      </c>
      <c r="W495" s="1">
        <f t="shared" si="383"/>
        <v>0</v>
      </c>
      <c r="X495" s="1">
        <f t="shared" si="384"/>
        <v>0</v>
      </c>
      <c r="Y495" s="1">
        <f t="shared" si="385"/>
        <v>0</v>
      </c>
      <c r="Z495" s="1">
        <f t="shared" si="386"/>
        <v>0</v>
      </c>
      <c r="AA495" s="1">
        <f t="shared" si="387"/>
        <v>0</v>
      </c>
      <c r="AB495" s="1">
        <f t="shared" si="388"/>
        <v>0</v>
      </c>
      <c r="AD495" s="1">
        <f t="shared" si="389"/>
        <v>0</v>
      </c>
      <c r="AE495" s="1">
        <f t="shared" si="390"/>
        <v>0</v>
      </c>
      <c r="AF495" s="1">
        <f t="shared" si="391"/>
        <v>0</v>
      </c>
      <c r="AG495" s="1">
        <f t="shared" si="392"/>
        <v>0</v>
      </c>
      <c r="AH495" s="1">
        <f t="shared" si="393"/>
        <v>0</v>
      </c>
      <c r="AI495" s="1">
        <f t="shared" si="394"/>
        <v>1</v>
      </c>
    </row>
    <row r="496" spans="1:35" ht="14.25" customHeight="1" x14ac:dyDescent="0.25">
      <c r="A496" s="15"/>
      <c r="B496" s="15"/>
      <c r="C496" s="15"/>
      <c r="D496" s="20"/>
      <c r="E496" s="20"/>
      <c r="F496" s="20"/>
      <c r="G496" s="20"/>
      <c r="H496" s="20"/>
      <c r="I496" s="21"/>
      <c r="J496" s="15"/>
      <c r="K496" s="21"/>
      <c r="M496" s="19"/>
      <c r="N496" s="17"/>
      <c r="Q496" s="20"/>
    </row>
    <row r="497" spans="1:17" ht="14.25" customHeight="1" x14ac:dyDescent="0.25">
      <c r="A497" s="15"/>
      <c r="B497" s="15"/>
      <c r="C497" s="15"/>
      <c r="D497" s="20"/>
      <c r="E497" s="20"/>
      <c r="F497" s="20"/>
      <c r="G497" s="20"/>
      <c r="H497" s="20"/>
      <c r="I497" s="21"/>
      <c r="J497" s="15"/>
      <c r="K497" s="21"/>
      <c r="M497" s="19"/>
      <c r="N497" s="17"/>
      <c r="Q497" s="20"/>
    </row>
    <row r="498" spans="1:17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M498" s="19"/>
      <c r="N498" s="17"/>
      <c r="Q498" s="20"/>
    </row>
    <row r="499" spans="1:17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M499" s="19"/>
      <c r="N499" s="17"/>
      <c r="Q499" s="20"/>
    </row>
    <row r="500" spans="1:17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M500" s="19"/>
      <c r="N500" s="17"/>
      <c r="Q500" s="20"/>
    </row>
    <row r="501" spans="1:17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17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17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17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17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17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17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17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17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17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17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17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M783" s="19"/>
      <c r="N783" s="17"/>
      <c r="Q783" s="20"/>
    </row>
    <row r="784" spans="1:17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M784" s="19"/>
      <c r="N784" s="17"/>
      <c r="Q784" s="20"/>
    </row>
    <row r="785" spans="1:17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M785" s="19"/>
      <c r="N785" s="17"/>
      <c r="Q785" s="20"/>
    </row>
    <row r="786" spans="1:17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M786" s="19"/>
      <c r="N786" s="17"/>
      <c r="Q786" s="20"/>
    </row>
    <row r="787" spans="1:17" ht="14.25" customHeight="1" x14ac:dyDescent="0.25">
      <c r="A787" s="15"/>
      <c r="B787" s="15"/>
      <c r="C787" s="15"/>
      <c r="D787" s="16"/>
      <c r="E787" s="16"/>
      <c r="F787" s="16"/>
      <c r="G787" s="16"/>
      <c r="H787" s="16"/>
      <c r="I787" s="15"/>
      <c r="J787" s="15"/>
      <c r="K787" s="10"/>
      <c r="M787" s="19"/>
      <c r="N787" s="17"/>
      <c r="Q787" s="16"/>
    </row>
    <row r="788" spans="1:17" ht="14.25" customHeight="1" x14ac:dyDescent="0.25">
      <c r="A788" s="15"/>
      <c r="B788" s="15"/>
      <c r="C788" s="15"/>
      <c r="D788" s="16"/>
      <c r="E788" s="16"/>
      <c r="F788" s="16"/>
      <c r="G788" s="16"/>
      <c r="H788" s="16"/>
      <c r="I788" s="15"/>
      <c r="J788" s="15"/>
      <c r="K788" s="10"/>
      <c r="M788" s="19"/>
      <c r="N788" s="17"/>
      <c r="Q788" s="16"/>
    </row>
    <row r="789" spans="1:17" ht="14.25" customHeight="1" x14ac:dyDescent="0.25">
      <c r="A789" s="15"/>
      <c r="B789" s="15"/>
      <c r="C789" s="15"/>
      <c r="D789" s="16"/>
      <c r="E789" s="16"/>
      <c r="F789" s="16"/>
      <c r="G789" s="16"/>
      <c r="H789" s="16"/>
      <c r="I789" s="15"/>
      <c r="J789" s="15"/>
      <c r="K789" s="10"/>
      <c r="M789" s="19"/>
      <c r="N789" s="17"/>
      <c r="Q789" s="16"/>
    </row>
    <row r="790" spans="1:17" ht="14.25" customHeight="1" x14ac:dyDescent="0.25">
      <c r="A790" s="15"/>
      <c r="B790" s="15"/>
      <c r="C790" s="15"/>
      <c r="D790" s="16"/>
      <c r="E790" s="16"/>
      <c r="F790" s="16"/>
      <c r="G790" s="16"/>
      <c r="H790" s="16"/>
      <c r="I790" s="15"/>
      <c r="J790" s="15"/>
      <c r="K790" s="10"/>
      <c r="M790" s="19"/>
      <c r="N790" s="17"/>
      <c r="Q790" s="16"/>
    </row>
    <row r="791" spans="1:17" ht="14.25" customHeight="1" x14ac:dyDescent="0.25">
      <c r="A791" s="15"/>
      <c r="B791" s="15"/>
      <c r="C791" s="15"/>
      <c r="D791" s="16"/>
      <c r="E791" s="16"/>
      <c r="F791" s="16"/>
      <c r="G791" s="16"/>
      <c r="H791" s="16"/>
      <c r="I791" s="15"/>
      <c r="J791" s="15"/>
      <c r="K791" s="10"/>
      <c r="M791" s="17"/>
      <c r="N791" s="17"/>
      <c r="Q791" s="16"/>
    </row>
    <row r="792" spans="1:17" ht="14.25" customHeight="1" x14ac:dyDescent="0.25">
      <c r="A792" s="15"/>
      <c r="B792" s="15"/>
      <c r="C792" s="15"/>
      <c r="D792" s="16"/>
      <c r="E792" s="16"/>
      <c r="F792" s="16"/>
      <c r="G792" s="16"/>
      <c r="H792" s="16"/>
      <c r="I792" s="15"/>
      <c r="J792" s="15"/>
      <c r="K792" s="10"/>
      <c r="M792" s="17"/>
      <c r="N792" s="17"/>
      <c r="Q792" s="16"/>
    </row>
    <row r="793" spans="1:17" ht="14.25" customHeight="1" x14ac:dyDescent="0.25">
      <c r="A793" s="15"/>
      <c r="B793" s="15"/>
      <c r="C793" s="15"/>
      <c r="D793" s="16"/>
      <c r="E793" s="16"/>
      <c r="F793" s="16"/>
      <c r="G793" s="16"/>
      <c r="H793" s="16"/>
      <c r="I793" s="15"/>
      <c r="J793" s="15"/>
      <c r="K793" s="10"/>
      <c r="M793" s="17"/>
      <c r="N793" s="17"/>
      <c r="Q793" s="16"/>
    </row>
    <row r="794" spans="1:17" ht="14.25" customHeight="1" x14ac:dyDescent="0.25">
      <c r="A794" s="15"/>
      <c r="B794" s="15"/>
      <c r="C794" s="15"/>
      <c r="D794" s="16"/>
      <c r="E794" s="16"/>
      <c r="F794" s="16"/>
      <c r="G794" s="16"/>
      <c r="H794" s="16"/>
      <c r="I794" s="15"/>
      <c r="J794" s="15"/>
      <c r="K794" s="10"/>
      <c r="M794" s="17"/>
      <c r="N794" s="17"/>
      <c r="Q794" s="16"/>
    </row>
  </sheetData>
  <autoFilter ref="A7:Q495" xr:uid="{AEE30112-88BB-441D-AEFC-A7A733AB1798}">
    <sortState xmlns:xlrd2="http://schemas.microsoft.com/office/spreadsheetml/2017/richdata2" ref="A8:Q495">
      <sortCondition ref="B8:B495"/>
      <sortCondition ref="C8:C495"/>
      <sortCondition ref="D8:D495"/>
      <sortCondition ref="A8:A495"/>
    </sortState>
  </autoFilter>
  <sortState xmlns:xlrd2="http://schemas.microsoft.com/office/spreadsheetml/2017/richdata2" ref="A8:Q495">
    <sortCondition ref="B8:B495"/>
    <sortCondition ref="C8:C495"/>
    <sortCondition ref="D8:D495"/>
    <sortCondition ref="A8:A495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2026-07-14T18:51:27Z</dcterms:modified>
</cp:coreProperties>
</file>