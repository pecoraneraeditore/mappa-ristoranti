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8B1FB0D-D5F5-4645-BFC6-85B5A25E34B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golose'!$A$7:$Q$505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92" i="6" l="1"/>
  <c r="AE392" i="6"/>
  <c r="AF392" i="6"/>
  <c r="AG392" i="6"/>
  <c r="S392" i="6"/>
  <c r="T392" i="6"/>
  <c r="U392" i="6"/>
  <c r="V392" i="6"/>
  <c r="W392" i="6"/>
  <c r="X392" i="6"/>
  <c r="Y392" i="6"/>
  <c r="Z392" i="6"/>
  <c r="AA392" i="6"/>
  <c r="AB392" i="6"/>
  <c r="AH392" i="6"/>
  <c r="AI392" i="6"/>
  <c r="AD121" i="6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9" i="6" l="1"/>
  <c r="S498" i="6"/>
  <c r="AI499" i="6"/>
  <c r="AH499" i="6"/>
  <c r="AG499" i="6"/>
  <c r="AF499" i="6"/>
  <c r="AE499" i="6"/>
  <c r="AD499" i="6"/>
  <c r="AD498" i="6"/>
  <c r="AE498" i="6"/>
  <c r="AF498" i="6"/>
  <c r="AG498" i="6"/>
  <c r="AH498" i="6"/>
  <c r="AI498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22" i="6" s="1"/>
  <c r="T167" i="6" l="1"/>
  <c r="T331" i="6"/>
  <c r="T332" i="6"/>
  <c r="T333" i="6"/>
  <c r="T334" i="6"/>
  <c r="T335" i="6"/>
  <c r="T498" i="6"/>
  <c r="T499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5" i="6"/>
  <c r="T504" i="6"/>
  <c r="T503" i="6"/>
  <c r="T502" i="6"/>
  <c r="T501" i="6"/>
  <c r="T500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9" i="6"/>
  <c r="T11" i="6"/>
  <c r="U7" i="6"/>
  <c r="U12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9" i="6"/>
  <c r="U498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354" i="6"/>
  <c r="U372" i="6"/>
  <c r="U357" i="6"/>
  <c r="U361" i="6"/>
  <c r="U377" i="6"/>
  <c r="U366" i="6"/>
  <c r="U371" i="6"/>
  <c r="U360" i="6"/>
  <c r="U376" i="6"/>
  <c r="U365" i="6"/>
  <c r="U356" i="6"/>
  <c r="U488" i="6"/>
  <c r="U492" i="6"/>
  <c r="U494" i="6"/>
  <c r="U496" i="6"/>
  <c r="U500" i="6"/>
  <c r="U501" i="6"/>
  <c r="U502" i="6"/>
  <c r="U504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9" i="6"/>
  <c r="U490" i="6"/>
  <c r="U491" i="6"/>
  <c r="U493" i="6"/>
  <c r="U495" i="6"/>
  <c r="U497" i="6"/>
  <c r="U503" i="6"/>
  <c r="U505" i="6"/>
  <c r="V7" i="6"/>
  <c r="V122" i="6" s="1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9" i="6"/>
  <c r="V498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166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500" i="6"/>
  <c r="V501" i="6"/>
  <c r="V502" i="6"/>
  <c r="V503" i="6"/>
  <c r="V504" i="6"/>
  <c r="V505" i="6"/>
  <c r="V12" i="6"/>
  <c r="V9" i="6"/>
  <c r="W7" i="6"/>
  <c r="W122" i="6" s="1"/>
  <c r="V10" i="6"/>
  <c r="V11" i="6"/>
  <c r="V8" i="6"/>
  <c r="U5" i="6"/>
  <c r="H5" i="6"/>
  <c r="W331" i="6" l="1"/>
  <c r="W332" i="6"/>
  <c r="W333" i="6"/>
  <c r="W334" i="6"/>
  <c r="W335" i="6"/>
  <c r="W292" i="6"/>
  <c r="W499" i="6"/>
  <c r="W498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357" i="6"/>
  <c r="W361" i="6"/>
  <c r="W377" i="6"/>
  <c r="W366" i="6"/>
  <c r="W371" i="6"/>
  <c r="W360" i="6"/>
  <c r="W376" i="6"/>
  <c r="W365" i="6"/>
  <c r="W488" i="6"/>
  <c r="W491" i="6"/>
  <c r="W493" i="6"/>
  <c r="W495" i="6"/>
  <c r="W496" i="6"/>
  <c r="W500" i="6"/>
  <c r="W502" i="6"/>
  <c r="W503" i="6"/>
  <c r="W505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9" i="6"/>
  <c r="W490" i="6"/>
  <c r="W492" i="6"/>
  <c r="W494" i="6"/>
  <c r="W497" i="6"/>
  <c r="W501" i="6"/>
  <c r="W504" i="6"/>
  <c r="W12" i="6"/>
  <c r="W8" i="6"/>
  <c r="V5" i="6"/>
  <c r="X7" i="6"/>
  <c r="X122" i="6" s="1"/>
  <c r="W10" i="6"/>
  <c r="W9" i="6"/>
  <c r="W11" i="6"/>
  <c r="X331" i="6" l="1"/>
  <c r="X332" i="6"/>
  <c r="X333" i="6"/>
  <c r="X334" i="6"/>
  <c r="X335" i="6"/>
  <c r="X292" i="6"/>
  <c r="X498" i="6"/>
  <c r="X499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361" i="6"/>
  <c r="X377" i="6"/>
  <c r="X366" i="6"/>
  <c r="X371" i="6"/>
  <c r="X360" i="6"/>
  <c r="X376" i="6"/>
  <c r="X503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0" i="6"/>
  <c r="X501" i="6"/>
  <c r="X502" i="6"/>
  <c r="X504" i="6"/>
  <c r="X505" i="6"/>
  <c r="W5" i="6"/>
  <c r="X10" i="6"/>
  <c r="Y7" i="6"/>
  <c r="Y122" i="6" s="1"/>
  <c r="X9" i="6"/>
  <c r="X11" i="6"/>
  <c r="X12" i="6"/>
  <c r="X8" i="6"/>
  <c r="Y335" i="6" l="1"/>
  <c r="Y331" i="6"/>
  <c r="Y332" i="6"/>
  <c r="Y333" i="6"/>
  <c r="Y334" i="6"/>
  <c r="Y292" i="6"/>
  <c r="Y498" i="6"/>
  <c r="Y499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361" i="6"/>
  <c r="Y377" i="6"/>
  <c r="Y366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500" i="6"/>
  <c r="Y501" i="6"/>
  <c r="Y502" i="6"/>
  <c r="Y503" i="6"/>
  <c r="Y504" i="6"/>
  <c r="Y505" i="6"/>
  <c r="Y12" i="6"/>
  <c r="Y9" i="6"/>
  <c r="Y8" i="6"/>
  <c r="Y10" i="6"/>
  <c r="Y11" i="6"/>
  <c r="Z7" i="6"/>
  <c r="Z122" i="6" s="1"/>
  <c r="X5" i="6"/>
  <c r="Z331" i="6" l="1"/>
  <c r="Z332" i="6"/>
  <c r="Z333" i="6"/>
  <c r="Z334" i="6"/>
  <c r="Z335" i="6"/>
  <c r="Z292" i="6"/>
  <c r="Z498" i="6"/>
  <c r="Z499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1" i="6"/>
  <c r="Z358" i="6"/>
  <c r="Z374" i="6"/>
  <c r="Z414" i="6"/>
  <c r="Z363" i="6"/>
  <c r="Z409" i="6"/>
  <c r="Z300" i="6"/>
  <c r="Z368" i="6"/>
  <c r="Z412" i="6"/>
  <c r="Z373" i="6"/>
  <c r="Z408" i="6"/>
  <c r="Z294" i="6"/>
  <c r="Z354" i="6"/>
  <c r="Z362" i="6"/>
  <c r="Z405" i="6"/>
  <c r="Z289" i="6"/>
  <c r="Z357" i="6"/>
  <c r="Z367" i="6"/>
  <c r="Z406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3" i="6"/>
  <c r="Z394" i="6"/>
  <c r="Z395" i="6"/>
  <c r="Z396" i="6"/>
  <c r="Z397" i="6"/>
  <c r="Z398" i="6"/>
  <c r="Z399" i="6"/>
  <c r="Z400" i="6"/>
  <c r="Z401" i="6"/>
  <c r="Z402" i="6"/>
  <c r="Z403" i="6"/>
  <c r="Z404" i="6"/>
  <c r="Z407" i="6"/>
  <c r="Z410" i="6"/>
  <c r="Z413" i="6"/>
  <c r="Z415" i="6"/>
  <c r="Z416" i="6"/>
  <c r="Z417" i="6"/>
  <c r="Z418" i="6"/>
  <c r="Z419" i="6"/>
  <c r="Z420" i="6"/>
  <c r="Z421" i="6"/>
  <c r="Z422" i="6"/>
  <c r="Z361" i="6"/>
  <c r="Z377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500" i="6"/>
  <c r="Z501" i="6"/>
  <c r="Z502" i="6"/>
  <c r="Z503" i="6"/>
  <c r="Z504" i="6"/>
  <c r="Z505" i="6"/>
  <c r="Z12" i="6"/>
  <c r="Z8" i="6"/>
  <c r="Y5" i="6"/>
  <c r="AA7" i="6"/>
  <c r="AA122" i="6" s="1"/>
  <c r="Z10" i="6"/>
  <c r="Z9" i="6"/>
  <c r="Z11" i="6"/>
  <c r="AA332" i="6" l="1"/>
  <c r="AA334" i="6"/>
  <c r="AA333" i="6"/>
  <c r="AA335" i="6"/>
  <c r="AA331" i="6"/>
  <c r="AA292" i="6"/>
  <c r="AA498" i="6"/>
  <c r="AA499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87" i="6"/>
  <c r="AA491" i="6"/>
  <c r="AA495" i="6"/>
  <c r="AA497" i="6"/>
  <c r="AA501" i="6"/>
  <c r="AA503" i="6"/>
  <c r="AA505" i="6"/>
  <c r="AA488" i="6"/>
  <c r="AA492" i="6"/>
  <c r="AA494" i="6"/>
  <c r="AA496" i="6"/>
  <c r="AA500" i="6"/>
  <c r="AA504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9" i="6"/>
  <c r="AA490" i="6"/>
  <c r="AA493" i="6"/>
  <c r="AA502" i="6"/>
  <c r="AA11" i="6"/>
  <c r="Z5" i="6"/>
  <c r="AA8" i="6"/>
  <c r="AA10" i="6"/>
  <c r="AA12" i="6"/>
  <c r="AA9" i="6"/>
  <c r="AB7" i="6"/>
  <c r="AB122" i="6" s="1"/>
  <c r="AB331" i="6" l="1"/>
  <c r="AB332" i="6"/>
  <c r="AB333" i="6"/>
  <c r="AB334" i="6"/>
  <c r="AB335" i="6"/>
  <c r="AB292" i="6"/>
  <c r="AB498" i="6"/>
  <c r="AB499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7" i="6"/>
  <c r="AB401" i="6"/>
  <c r="AB405" i="6"/>
  <c r="AB409" i="6"/>
  <c r="AB414" i="6"/>
  <c r="AB419" i="6"/>
  <c r="AB422" i="6"/>
  <c r="AB389" i="6"/>
  <c r="AB416" i="6"/>
  <c r="AB380" i="6"/>
  <c r="AB383" i="6"/>
  <c r="AB386" i="6"/>
  <c r="AB388" i="6"/>
  <c r="AB393" i="6"/>
  <c r="AB398" i="6"/>
  <c r="AB402" i="6"/>
  <c r="AB406" i="6"/>
  <c r="AB410" i="6"/>
  <c r="AB415" i="6"/>
  <c r="AB420" i="6"/>
  <c r="AB381" i="6"/>
  <c r="AB400" i="6"/>
  <c r="AB408" i="6"/>
  <c r="AB412" i="6"/>
  <c r="AB417" i="6"/>
  <c r="AB379" i="6"/>
  <c r="AB396" i="6"/>
  <c r="AB404" i="6"/>
  <c r="AB411" i="6"/>
  <c r="AB418" i="6"/>
  <c r="AB394" i="6"/>
  <c r="AB378" i="6"/>
  <c r="AB382" i="6"/>
  <c r="AB385" i="6"/>
  <c r="AB387" i="6"/>
  <c r="AB390" i="6"/>
  <c r="AB395" i="6"/>
  <c r="AB399" i="6"/>
  <c r="AB403" i="6"/>
  <c r="AB407" i="6"/>
  <c r="AB413" i="6"/>
  <c r="AB421" i="6"/>
  <c r="AB497" i="6"/>
  <c r="AB503" i="6"/>
  <c r="AB495" i="6"/>
  <c r="AB501" i="6"/>
  <c r="AB504" i="6"/>
  <c r="AB505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6" i="6"/>
  <c r="AB500" i="6"/>
  <c r="AB502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<sst xmlns="http://schemas.openxmlformats.org/spreadsheetml/2006/main" count="4848" uniqueCount="2121">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</sst>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4"/>
  <sheetViews>
    <sheetView tabSelected="1" zoomScaleNormal="100" workbookViewId="0">
      <pane ySplit="7" topLeftCell="A223" activePane="bottomLeft" state="frozen"/>
      <selection pane="bottomLeft" activeCell="P235" sqref="P23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125</v>
      </c>
      <c r="G3" s="5">
        <f>+AF6</f>
        <v>120</v>
      </c>
      <c r="H3" s="5">
        <f>+E3-G3</f>
        <v>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266</v>
      </c>
      <c r="G4" s="7">
        <f>+AG6</f>
        <v>233</v>
      </c>
      <c r="H4" s="5">
        <f>+E4-G4</f>
        <v>99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458</v>
      </c>
      <c r="F5" s="8">
        <f>+F3+F4</f>
        <v>391</v>
      </c>
      <c r="G5" s="8">
        <f>+G3+G4</f>
        <v>353</v>
      </c>
      <c r="H5" s="8">
        <f>+H3+H4</f>
        <v>105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SUM(S8:S2447)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SUM(AD8:AD1716)</f>
        <v>125</v>
      </c>
      <c r="AE6" s="1">
        <f t="shared" si="1"/>
        <v>266</v>
      </c>
      <c r="AF6" s="1">
        <f t="shared" si="1"/>
        <v>120</v>
      </c>
      <c r="AG6" s="1">
        <f t="shared" si="1"/>
        <v>233</v>
      </c>
      <c r="AH6" s="1">
        <f t="shared" si="1"/>
        <v>126</v>
      </c>
      <c r="AI6" s="1">
        <f t="shared" si="1"/>
        <v>332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1852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1718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1718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1726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1773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1820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1864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1883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1877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1891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1917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1733</v>
      </c>
      <c r="E37" s="36" t="s">
        <v>154</v>
      </c>
      <c r="F37" s="36" t="s">
        <v>1734</v>
      </c>
      <c r="G37" s="36"/>
      <c r="H37" s="36" t="s">
        <v>1735</v>
      </c>
      <c r="I37" s="37" t="s">
        <v>1736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1722</v>
      </c>
      <c r="E39" s="36" t="s">
        <v>1723</v>
      </c>
      <c r="F39" s="36" t="s">
        <v>1724</v>
      </c>
      <c r="G39" s="36" t="s">
        <v>319</v>
      </c>
      <c r="H39" s="36" t="s">
        <v>352</v>
      </c>
      <c r="I39" s="37" t="s">
        <v>1725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1780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1786</v>
      </c>
      <c r="E43" s="45" t="s">
        <v>174</v>
      </c>
      <c r="F43" s="45" t="s">
        <v>1787</v>
      </c>
      <c r="G43" s="45" t="s">
        <v>193</v>
      </c>
      <c r="H43" s="45" t="s">
        <v>352</v>
      </c>
      <c r="I43" s="44" t="s">
        <v>1788</v>
      </c>
      <c r="J43" s="44">
        <v>9</v>
      </c>
      <c r="K43" s="46" t="s">
        <v>699</v>
      </c>
      <c r="L43" s="46">
        <v>60</v>
      </c>
      <c r="M43" s="47" t="s">
        <v>1789</v>
      </c>
      <c r="N43" s="47" t="s">
        <v>1780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57" t="s">
        <v>1850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57" t="s">
        <v>1878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1773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1760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1917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1719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1968</v>
      </c>
      <c r="E52" s="32" t="s">
        <v>174</v>
      </c>
      <c r="F52" s="32" t="s">
        <v>1969</v>
      </c>
      <c r="G52" s="32" t="s">
        <v>1970</v>
      </c>
      <c r="H52" s="32" t="s">
        <v>352</v>
      </c>
      <c r="I52" s="31" t="s">
        <v>1971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1972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1773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1760</v>
      </c>
      <c r="O54" s="35">
        <v>1</v>
      </c>
      <c r="P54" s="35"/>
      <c r="Q54" s="32" t="s">
        <v>1881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2096</v>
      </c>
      <c r="E55" s="16" t="s">
        <v>171</v>
      </c>
      <c r="F55" s="16" t="s">
        <v>2097</v>
      </c>
      <c r="G55" s="16"/>
      <c r="H55" s="16" t="s">
        <v>2098</v>
      </c>
      <c r="I55" s="15" t="s">
        <v>2099</v>
      </c>
      <c r="J55" s="15">
        <v>15</v>
      </c>
      <c r="K55" s="10" t="s">
        <v>699</v>
      </c>
      <c r="L55" s="10" t="s">
        <v>1713</v>
      </c>
      <c r="M55" s="19" t="s">
        <v>1106</v>
      </c>
      <c r="N55" s="17"/>
      <c r="Q55" s="16" t="s">
        <v>2100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1726</v>
      </c>
      <c r="O56" s="35">
        <v>1</v>
      </c>
      <c r="P56" s="35"/>
      <c r="Q56" s="32" t="s">
        <v>2019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1714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1857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1876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1780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2058</v>
      </c>
      <c r="G69" s="32" t="s">
        <v>2059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2060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806</v>
      </c>
      <c r="E71" s="16" t="s">
        <v>174</v>
      </c>
      <c r="F71" s="16" t="s">
        <v>924</v>
      </c>
      <c r="G71" s="16" t="s">
        <v>212</v>
      </c>
      <c r="H71" s="16" t="s">
        <v>352</v>
      </c>
      <c r="I71" s="15" t="s">
        <v>807</v>
      </c>
      <c r="J71" s="15">
        <v>1</v>
      </c>
      <c r="K71" s="10" t="s">
        <v>943</v>
      </c>
      <c r="L71" s="10" t="s">
        <v>685</v>
      </c>
      <c r="M71" s="19" t="s">
        <v>687</v>
      </c>
      <c r="N71" s="17"/>
      <c r="Q71" s="16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0</v>
      </c>
      <c r="AI71" s="1">
        <f t="shared" si="22"/>
        <v>1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1954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2024</v>
      </c>
      <c r="E74" s="32" t="s">
        <v>1950</v>
      </c>
      <c r="F74" s="32" t="s">
        <v>2025</v>
      </c>
      <c r="G74" s="32" t="s">
        <v>283</v>
      </c>
      <c r="H74" s="32" t="s">
        <v>352</v>
      </c>
      <c r="I74" s="31" t="s">
        <v>2026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2027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1980</v>
      </c>
      <c r="E75" s="32" t="s">
        <v>174</v>
      </c>
      <c r="F75" s="36" t="s">
        <v>1981</v>
      </c>
      <c r="G75" s="36" t="s">
        <v>219</v>
      </c>
      <c r="H75" s="36" t="s">
        <v>352</v>
      </c>
      <c r="I75" s="37" t="s">
        <v>1982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1813</v>
      </c>
      <c r="E77" s="32" t="s">
        <v>173</v>
      </c>
      <c r="F77" s="32" t="s">
        <v>1814</v>
      </c>
      <c r="G77" s="32"/>
      <c r="H77" s="32" t="s">
        <v>1815</v>
      </c>
      <c r="I77" s="31" t="s">
        <v>1816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1714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1720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1770</v>
      </c>
      <c r="E82" s="32" t="s">
        <v>169</v>
      </c>
      <c r="F82" s="36" t="s">
        <v>1768</v>
      </c>
      <c r="G82" s="36" t="s">
        <v>231</v>
      </c>
      <c r="H82" s="36" t="s">
        <v>352</v>
      </c>
      <c r="I82" s="37" t="s">
        <v>1769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1720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1796</v>
      </c>
      <c r="O84" s="35">
        <v>1</v>
      </c>
      <c r="P84" s="35"/>
      <c r="Q84" s="36" t="s">
        <v>1853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1714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2077</v>
      </c>
      <c r="E87" s="32" t="s">
        <v>169</v>
      </c>
      <c r="F87" s="36" t="s">
        <v>2078</v>
      </c>
      <c r="G87" s="36" t="s">
        <v>206</v>
      </c>
      <c r="H87" s="36" t="s">
        <v>352</v>
      </c>
      <c r="I87" s="37" t="s">
        <v>2079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2080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1757</v>
      </c>
      <c r="E88" s="16" t="s">
        <v>171</v>
      </c>
      <c r="F88" s="16" t="s">
        <v>1759</v>
      </c>
      <c r="G88" s="16"/>
      <c r="H88" s="16" t="s">
        <v>362</v>
      </c>
      <c r="I88" s="15" t="s">
        <v>1758</v>
      </c>
      <c r="J88" s="15">
        <v>17</v>
      </c>
      <c r="K88" s="10" t="s">
        <v>699</v>
      </c>
      <c r="L88" s="10" t="s">
        <v>1713</v>
      </c>
      <c r="M88" s="19" t="s">
        <v>687</v>
      </c>
      <c r="N88" s="17"/>
      <c r="Q88" s="20" t="s">
        <v>1885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1781</v>
      </c>
      <c r="E89" s="32" t="s">
        <v>171</v>
      </c>
      <c r="F89" s="32" t="s">
        <v>1782</v>
      </c>
      <c r="G89" s="32" t="s">
        <v>1783</v>
      </c>
      <c r="H89" s="32" t="s">
        <v>352</v>
      </c>
      <c r="I89" s="31" t="s">
        <v>1784</v>
      </c>
      <c r="J89" s="31">
        <v>1</v>
      </c>
      <c r="K89" s="33" t="s">
        <v>699</v>
      </c>
      <c r="L89" s="33">
        <v>60</v>
      </c>
      <c r="M89" s="34" t="s">
        <v>1785</v>
      </c>
      <c r="N89" s="34" t="s">
        <v>1820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2034</v>
      </c>
      <c r="E90" s="36" t="s">
        <v>175</v>
      </c>
      <c r="F90" s="36" t="s">
        <v>2032</v>
      </c>
      <c r="G90" s="36" t="s">
        <v>219</v>
      </c>
      <c r="H90" s="36" t="s">
        <v>352</v>
      </c>
      <c r="I90" s="37" t="s">
        <v>2033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1726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135</v>
      </c>
      <c r="E92" s="16" t="s">
        <v>171</v>
      </c>
      <c r="F92" s="16" t="s">
        <v>1851</v>
      </c>
      <c r="G92" s="16" t="s">
        <v>239</v>
      </c>
      <c r="H92" s="16" t="s">
        <v>352</v>
      </c>
      <c r="I92" s="15" t="s">
        <v>481</v>
      </c>
      <c r="J92" s="15">
        <v>1</v>
      </c>
      <c r="K92" s="10" t="s">
        <v>943</v>
      </c>
      <c r="L92" s="10" t="s">
        <v>685</v>
      </c>
      <c r="M92" s="19" t="s">
        <v>687</v>
      </c>
      <c r="N92" s="17"/>
      <c r="Q92" s="20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0</v>
      </c>
      <c r="AI92" s="1">
        <f t="shared" si="4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1718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1714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1922</v>
      </c>
      <c r="E95" s="20" t="s">
        <v>1950</v>
      </c>
      <c r="F95" s="20" t="s">
        <v>1951</v>
      </c>
      <c r="G95" s="20"/>
      <c r="H95" s="20" t="s">
        <v>1949</v>
      </c>
      <c r="I95" s="21" t="s">
        <v>1952</v>
      </c>
      <c r="J95" s="15">
        <v>18</v>
      </c>
      <c r="K95" s="10" t="s">
        <v>699</v>
      </c>
      <c r="L95" s="10" t="s">
        <v>1713</v>
      </c>
      <c r="M95" s="19" t="s">
        <v>958</v>
      </c>
      <c r="N95" s="17"/>
      <c r="Q95" s="20" t="s">
        <v>1953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1825</v>
      </c>
      <c r="E97" s="36" t="s">
        <v>171</v>
      </c>
      <c r="F97" s="36" t="s">
        <v>1826</v>
      </c>
      <c r="G97" s="36"/>
      <c r="H97" s="36" t="s">
        <v>1827</v>
      </c>
      <c r="I97" s="37" t="s">
        <v>1828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1863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1820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1887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1719</v>
      </c>
      <c r="O100" s="35">
        <v>1</v>
      </c>
      <c r="P100" s="35"/>
      <c r="Q100" s="36" t="s">
        <v>1860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1903</v>
      </c>
      <c r="E102" s="32" t="s">
        <v>1904</v>
      </c>
      <c r="F102" s="36" t="s">
        <v>1905</v>
      </c>
      <c r="G102" s="36"/>
      <c r="H102" s="36" t="s">
        <v>364</v>
      </c>
      <c r="I102" s="37" t="s">
        <v>1907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1906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1773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1714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1718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1855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1714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1720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1772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2090</v>
      </c>
      <c r="E112" s="16" t="s">
        <v>171</v>
      </c>
      <c r="F112" s="16" t="s">
        <v>2091</v>
      </c>
      <c r="G112" s="16"/>
      <c r="H112" s="16" t="s">
        <v>2092</v>
      </c>
      <c r="I112" s="15" t="s">
        <v>2093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2094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1719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1854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1720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1720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1917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2007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1714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2112</v>
      </c>
      <c r="E122" s="16" t="s">
        <v>169</v>
      </c>
      <c r="F122" s="16" t="s">
        <v>2114</v>
      </c>
      <c r="G122" s="16"/>
      <c r="H122" s="16" t="s">
        <v>372</v>
      </c>
      <c r="I122" s="15" t="s">
        <v>2115</v>
      </c>
      <c r="J122" s="15">
        <v>11</v>
      </c>
      <c r="K122" s="10" t="s">
        <v>699</v>
      </c>
      <c r="L122" s="10">
        <v>50</v>
      </c>
      <c r="M122" s="19" t="s">
        <v>2113</v>
      </c>
      <c r="N122" s="17"/>
      <c r="Q122" s="16" t="s">
        <v>2116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1796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1948</v>
      </c>
      <c r="E126" s="20" t="s">
        <v>171</v>
      </c>
      <c r="F126" s="20" t="s">
        <v>1945</v>
      </c>
      <c r="G126" s="20"/>
      <c r="H126" s="20" t="s">
        <v>1946</v>
      </c>
      <c r="I126" s="21" t="s">
        <v>1944</v>
      </c>
      <c r="J126" s="15">
        <v>17</v>
      </c>
      <c r="K126" s="10" t="s">
        <v>699</v>
      </c>
      <c r="L126" s="10" t="s">
        <v>1713</v>
      </c>
      <c r="M126" s="19" t="s">
        <v>958</v>
      </c>
      <c r="N126" s="17"/>
      <c r="Q126" s="20" t="s">
        <v>1947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57" t="s">
        <v>1838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1713</v>
      </c>
      <c r="M127" s="47" t="s">
        <v>1371</v>
      </c>
      <c r="N127" s="47" t="s">
        <v>1773</v>
      </c>
      <c r="O127" s="48"/>
      <c r="P127" s="48"/>
      <c r="Q127" s="57" t="s">
        <v>1861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2095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1726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2065</v>
      </c>
      <c r="E130" s="36" t="s">
        <v>171</v>
      </c>
      <c r="F130" s="36" t="s">
        <v>2066</v>
      </c>
      <c r="G130" s="32"/>
      <c r="H130" s="36" t="s">
        <v>2067</v>
      </c>
      <c r="I130" s="37" t="s">
        <v>2068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1719</v>
      </c>
      <c r="O131" s="35">
        <v>1</v>
      </c>
      <c r="P131" s="35"/>
      <c r="Q131" s="36" t="s">
        <v>1866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1713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2072</v>
      </c>
      <c r="E133" s="20" t="s">
        <v>865</v>
      </c>
      <c r="F133" s="20" t="s">
        <v>2073</v>
      </c>
      <c r="G133" s="16"/>
      <c r="H133" s="20" t="s">
        <v>2074</v>
      </c>
      <c r="I133" s="21" t="s">
        <v>2075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1921</v>
      </c>
      <c r="E134" s="20" t="s">
        <v>171</v>
      </c>
      <c r="F134" s="20" t="s">
        <v>1941</v>
      </c>
      <c r="G134" s="20"/>
      <c r="H134" s="20" t="s">
        <v>1940</v>
      </c>
      <c r="I134" s="21" t="s">
        <v>1942</v>
      </c>
      <c r="J134" s="15">
        <v>15</v>
      </c>
      <c r="K134" s="10" t="s">
        <v>699</v>
      </c>
      <c r="L134" s="10" t="s">
        <v>1713</v>
      </c>
      <c r="M134" s="19" t="s">
        <v>958</v>
      </c>
      <c r="N134" s="17"/>
      <c r="Q134" s="20" t="s">
        <v>1943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1859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1796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1713</v>
      </c>
      <c r="M139" s="34" t="s">
        <v>39</v>
      </c>
      <c r="N139" s="34" t="s">
        <v>1719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1772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1773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1726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1917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1763</v>
      </c>
      <c r="E152" s="36" t="s">
        <v>1764</v>
      </c>
      <c r="F152" s="36" t="s">
        <v>1765</v>
      </c>
      <c r="G152" s="36" t="s">
        <v>1766</v>
      </c>
      <c r="H152" s="36" t="s">
        <v>352</v>
      </c>
      <c r="I152" s="37" t="s">
        <v>1767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1713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1719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1720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2046</v>
      </c>
      <c r="E157" s="36" t="s">
        <v>171</v>
      </c>
      <c r="F157" s="36" t="s">
        <v>2047</v>
      </c>
      <c r="G157" s="32"/>
      <c r="H157" s="36" t="s">
        <v>607</v>
      </c>
      <c r="I157" s="37" t="s">
        <v>2048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2049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1919</v>
      </c>
      <c r="E158" s="20" t="s">
        <v>171</v>
      </c>
      <c r="F158" s="20" t="s">
        <v>1934</v>
      </c>
      <c r="G158" s="20"/>
      <c r="H158" s="20" t="s">
        <v>1933</v>
      </c>
      <c r="I158" s="21" t="s">
        <v>1932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1935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1719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1884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1840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1719</v>
      </c>
      <c r="O161" s="35">
        <v>1</v>
      </c>
      <c r="P161" s="35"/>
      <c r="Q161" s="32" t="s">
        <v>1867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1858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1820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1796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2008</v>
      </c>
      <c r="E166" s="32" t="s">
        <v>171</v>
      </c>
      <c r="F166" s="32" t="s">
        <v>2009</v>
      </c>
      <c r="G166" s="32"/>
      <c r="H166" s="32" t="s">
        <v>352</v>
      </c>
      <c r="I166" s="31" t="s">
        <v>2010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2011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1918</v>
      </c>
      <c r="E168" s="20" t="s">
        <v>171</v>
      </c>
      <c r="F168" s="20" t="s">
        <v>1928</v>
      </c>
      <c r="G168" s="20"/>
      <c r="H168" s="20" t="s">
        <v>1929</v>
      </c>
      <c r="I168" s="21" t="s">
        <v>1930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1927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825</v>
      </c>
      <c r="E169" s="32" t="s">
        <v>903</v>
      </c>
      <c r="F169" s="32" t="s">
        <v>826</v>
      </c>
      <c r="G169" s="32" t="s">
        <v>207</v>
      </c>
      <c r="H169" s="32" t="s">
        <v>352</v>
      </c>
      <c r="I169" s="37" t="s">
        <v>827</v>
      </c>
      <c r="J169" s="31">
        <v>3</v>
      </c>
      <c r="K169" s="33" t="s">
        <v>718</v>
      </c>
      <c r="L169" s="33" t="s">
        <v>689</v>
      </c>
      <c r="M169" s="34" t="s">
        <v>694</v>
      </c>
      <c r="N169" s="34" t="s">
        <v>1760</v>
      </c>
      <c r="O169" s="35">
        <v>1</v>
      </c>
      <c r="P169" s="35"/>
      <c r="Q169" s="36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1</v>
      </c>
      <c r="AF169" s="1">
        <f t="shared" si="97"/>
        <v>0</v>
      </c>
      <c r="AG169" s="1">
        <f t="shared" si="98"/>
        <v>1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2085</v>
      </c>
      <c r="E170" s="32" t="s">
        <v>174</v>
      </c>
      <c r="F170" s="32" t="s">
        <v>2086</v>
      </c>
      <c r="G170" s="32"/>
      <c r="H170" s="32" t="s">
        <v>2087</v>
      </c>
      <c r="I170" s="37" t="s">
        <v>2088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2089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1923</v>
      </c>
      <c r="E171" s="20" t="s">
        <v>171</v>
      </c>
      <c r="F171" s="20" t="s">
        <v>1925</v>
      </c>
      <c r="G171" s="20"/>
      <c r="H171" s="20" t="s">
        <v>1926</v>
      </c>
      <c r="I171" s="21" t="s">
        <v>1924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1931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1720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1773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1862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1820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1812</v>
      </c>
      <c r="E178" s="32" t="s">
        <v>1074</v>
      </c>
      <c r="F178" s="32" t="s">
        <v>1797</v>
      </c>
      <c r="G178" s="32"/>
      <c r="H178" s="32" t="s">
        <v>370</v>
      </c>
      <c r="I178" s="31" t="s">
        <v>1798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1956</v>
      </c>
      <c r="E181" s="32" t="s">
        <v>1957</v>
      </c>
      <c r="F181" s="32" t="s">
        <v>1958</v>
      </c>
      <c r="G181" s="32" t="s">
        <v>531</v>
      </c>
      <c r="H181" s="32" t="s">
        <v>352</v>
      </c>
      <c r="I181" s="31" t="s">
        <v>1959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1714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1714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1">
        <v>0</v>
      </c>
      <c r="B186" s="51">
        <v>1</v>
      </c>
      <c r="C186" s="51">
        <v>3</v>
      </c>
      <c r="D186" s="52" t="s">
        <v>1618</v>
      </c>
      <c r="E186" s="52" t="s">
        <v>171</v>
      </c>
      <c r="F186" s="52" t="s">
        <v>764</v>
      </c>
      <c r="G186" s="52" t="s">
        <v>39</v>
      </c>
      <c r="H186" s="52" t="s">
        <v>365</v>
      </c>
      <c r="I186" s="51" t="s">
        <v>772</v>
      </c>
      <c r="J186" s="51">
        <v>18</v>
      </c>
      <c r="K186" s="53" t="s">
        <v>1670</v>
      </c>
      <c r="L186" s="53" t="s">
        <v>39</v>
      </c>
      <c r="M186" s="54" t="s">
        <v>765</v>
      </c>
      <c r="N186" s="55"/>
      <c r="O186" s="56"/>
      <c r="P186" s="56"/>
      <c r="Q186" s="52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134</v>
      </c>
      <c r="E187" s="32" t="s">
        <v>171</v>
      </c>
      <c r="F187" s="32" t="s">
        <v>655</v>
      </c>
      <c r="G187" s="32" t="s">
        <v>256</v>
      </c>
      <c r="H187" s="32" t="s">
        <v>352</v>
      </c>
      <c r="I187" s="31" t="s">
        <v>1666</v>
      </c>
      <c r="J187" s="31">
        <v>99</v>
      </c>
      <c r="K187" s="33" t="s">
        <v>718</v>
      </c>
      <c r="L187" s="33" t="s">
        <v>683</v>
      </c>
      <c r="M187" s="34" t="s">
        <v>1374</v>
      </c>
      <c r="N187" s="34" t="s">
        <v>1714</v>
      </c>
      <c r="O187" s="35">
        <v>1</v>
      </c>
      <c r="P187" s="35"/>
      <c r="Q187" s="32" t="s">
        <v>1901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1719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1720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1772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2050</v>
      </c>
      <c r="E192" s="32" t="s">
        <v>763</v>
      </c>
      <c r="F192" s="36" t="s">
        <v>2051</v>
      </c>
      <c r="G192" s="36" t="s">
        <v>212</v>
      </c>
      <c r="H192" s="36" t="s">
        <v>352</v>
      </c>
      <c r="I192" s="37" t="s">
        <v>2052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2053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1714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1714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1714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1963</v>
      </c>
      <c r="E197" s="32" t="s">
        <v>165</v>
      </c>
      <c r="F197" s="32" t="s">
        <v>1964</v>
      </c>
      <c r="G197" s="32" t="s">
        <v>1967</v>
      </c>
      <c r="H197" s="32" t="s">
        <v>352</v>
      </c>
      <c r="I197" s="31" t="s">
        <v>1965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1714</v>
      </c>
      <c r="O197" s="35">
        <v>1</v>
      </c>
      <c r="P197" s="35"/>
      <c r="Q197" s="32" t="s">
        <v>1966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1760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1714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1714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2081</v>
      </c>
      <c r="E202" s="32" t="s">
        <v>165</v>
      </c>
      <c r="F202" s="32" t="s">
        <v>2082</v>
      </c>
      <c r="G202" s="32" t="s">
        <v>193</v>
      </c>
      <c r="H202" s="32" t="s">
        <v>352</v>
      </c>
      <c r="I202" s="31" t="s">
        <v>2083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2084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1920</v>
      </c>
      <c r="E203" s="20" t="s">
        <v>882</v>
      </c>
      <c r="F203" s="20" t="s">
        <v>1937</v>
      </c>
      <c r="G203" s="20"/>
      <c r="H203" s="20" t="s">
        <v>1938</v>
      </c>
      <c r="I203" s="21" t="s">
        <v>1936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1939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1714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1773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1841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1719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1720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1726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1912</v>
      </c>
      <c r="E211" s="16" t="s">
        <v>882</v>
      </c>
      <c r="F211" s="16" t="s">
        <v>1914</v>
      </c>
      <c r="G211" s="16"/>
      <c r="H211" s="16" t="s">
        <v>1913</v>
      </c>
      <c r="I211" s="15" t="s">
        <v>1915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1916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1718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1714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1886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1728</v>
      </c>
      <c r="E217" s="32" t="s">
        <v>165</v>
      </c>
      <c r="F217" s="32" t="s">
        <v>1729</v>
      </c>
      <c r="G217" s="32" t="s">
        <v>1730</v>
      </c>
      <c r="H217" s="32" t="s">
        <v>352</v>
      </c>
      <c r="I217" s="31" t="s">
        <v>1731</v>
      </c>
      <c r="J217" s="31">
        <v>1</v>
      </c>
      <c r="K217" s="33" t="s">
        <v>699</v>
      </c>
      <c r="L217" s="33"/>
      <c r="M217" s="34"/>
      <c r="N217" s="34" t="s">
        <v>1719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1796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1713</v>
      </c>
      <c r="M222" s="34" t="s">
        <v>957</v>
      </c>
      <c r="N222" s="34" t="s">
        <v>1719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1720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1879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1719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1842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1714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1762</v>
      </c>
      <c r="E231" s="32" t="s">
        <v>166</v>
      </c>
      <c r="F231" s="32" t="s">
        <v>1737</v>
      </c>
      <c r="G231" s="32"/>
      <c r="H231" s="32" t="s">
        <v>352</v>
      </c>
      <c r="I231" s="31" t="s">
        <v>1738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1761</v>
      </c>
      <c r="E232" s="32" t="s">
        <v>166</v>
      </c>
      <c r="F232" s="32" t="s">
        <v>1739</v>
      </c>
      <c r="G232" s="32"/>
      <c r="H232" s="32" t="s">
        <v>352</v>
      </c>
      <c r="I232" s="31" t="s">
        <v>1740</v>
      </c>
      <c r="J232" s="31"/>
      <c r="K232" s="33" t="s">
        <v>699</v>
      </c>
      <c r="L232" s="33">
        <v>30</v>
      </c>
      <c r="M232" s="34" t="s">
        <v>1741</v>
      </c>
      <c r="N232" s="34" t="s">
        <v>1719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1719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1583</v>
      </c>
      <c r="E235" s="32" t="s">
        <v>1584</v>
      </c>
      <c r="F235" s="32" t="s">
        <v>1585</v>
      </c>
      <c r="G235" s="32" t="s">
        <v>191</v>
      </c>
      <c r="H235" s="32" t="s">
        <v>352</v>
      </c>
      <c r="I235" s="31" t="s">
        <v>1586</v>
      </c>
      <c r="J235" s="31">
        <v>10</v>
      </c>
      <c r="K235" s="33" t="s">
        <v>943</v>
      </c>
      <c r="L235" s="33" t="s">
        <v>683</v>
      </c>
      <c r="M235" s="34" t="s">
        <v>1587</v>
      </c>
      <c r="N235" s="34" t="s">
        <v>1714</v>
      </c>
      <c r="O235" s="35">
        <v>1</v>
      </c>
      <c r="P235" s="35"/>
      <c r="Q235" s="32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1</v>
      </c>
      <c r="AF235" s="1">
        <f t="shared" si="117"/>
        <v>0</v>
      </c>
      <c r="AG235" s="1">
        <f t="shared" si="118"/>
        <v>1</v>
      </c>
      <c r="AH235" s="1">
        <f t="shared" si="119"/>
        <v>0</v>
      </c>
      <c r="AI235" s="1">
        <f t="shared" si="12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1720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1721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1714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1719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1820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1808</v>
      </c>
      <c r="E241" s="39" t="s">
        <v>1809</v>
      </c>
      <c r="F241" s="39" t="s">
        <v>1810</v>
      </c>
      <c r="G241" s="39"/>
      <c r="H241" s="39" t="s">
        <v>352</v>
      </c>
      <c r="I241" s="38" t="s">
        <v>1811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2061</v>
      </c>
      <c r="E242" s="32" t="s">
        <v>166</v>
      </c>
      <c r="F242" s="32" t="s">
        <v>2062</v>
      </c>
      <c r="G242" s="32"/>
      <c r="H242" s="32" t="s">
        <v>352</v>
      </c>
      <c r="I242" s="31" t="s">
        <v>2063</v>
      </c>
      <c r="J242" s="31"/>
      <c r="K242" s="33" t="s">
        <v>699</v>
      </c>
      <c r="L242" s="33"/>
      <c r="M242" s="34"/>
      <c r="N242" s="34" t="s">
        <v>1719</v>
      </c>
      <c r="O242" s="35">
        <v>1</v>
      </c>
      <c r="P242" s="35"/>
      <c r="Q242" s="32" t="s">
        <v>2064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1720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1726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2040</v>
      </c>
      <c r="E245" s="32" t="s">
        <v>2041</v>
      </c>
      <c r="F245" s="32" t="s">
        <v>2042</v>
      </c>
      <c r="G245" s="32" t="s">
        <v>207</v>
      </c>
      <c r="H245" s="32" t="s">
        <v>352</v>
      </c>
      <c r="I245" s="31" t="s">
        <v>2043</v>
      </c>
      <c r="J245" s="31">
        <v>3</v>
      </c>
      <c r="K245" s="33" t="s">
        <v>699</v>
      </c>
      <c r="L245" s="33">
        <v>30</v>
      </c>
      <c r="M245" s="34" t="s">
        <v>2044</v>
      </c>
      <c r="N245" s="34" t="s">
        <v>1820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1720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1720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1719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1719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1720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1820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1771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1726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1459</v>
      </c>
      <c r="E260" s="32" t="s">
        <v>29</v>
      </c>
      <c r="F260" s="32" t="s">
        <v>991</v>
      </c>
      <c r="G260" s="32" t="s">
        <v>1089</v>
      </c>
      <c r="H260" s="32" t="s">
        <v>352</v>
      </c>
      <c r="I260" s="31" t="s">
        <v>1097</v>
      </c>
      <c r="J260" s="31">
        <v>10</v>
      </c>
      <c r="K260" s="33" t="s">
        <v>709</v>
      </c>
      <c r="L260" s="33" t="s">
        <v>690</v>
      </c>
      <c r="M260" s="34" t="s">
        <v>960</v>
      </c>
      <c r="N260" s="34" t="s">
        <v>1714</v>
      </c>
      <c r="O260" s="35">
        <v>1</v>
      </c>
      <c r="P260" s="35"/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1772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1917</v>
      </c>
      <c r="O262" s="35">
        <v>1</v>
      </c>
      <c r="P262" s="35"/>
      <c r="Q262" s="36" t="s">
        <v>1874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1796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1719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1820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1796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1820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1820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1726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1796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1721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1714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1714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1992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1714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1994</v>
      </c>
      <c r="G279" s="32" t="s">
        <v>208</v>
      </c>
      <c r="H279" s="32" t="s">
        <v>352</v>
      </c>
      <c r="I279" s="31" t="s">
        <v>1993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1714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1719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528</v>
      </c>
      <c r="E281" s="32" t="s">
        <v>29</v>
      </c>
      <c r="F281" s="36" t="s">
        <v>661</v>
      </c>
      <c r="G281" s="36" t="s">
        <v>39</v>
      </c>
      <c r="H281" s="36" t="s">
        <v>529</v>
      </c>
      <c r="I281" s="37" t="s">
        <v>1663</v>
      </c>
      <c r="J281" s="31">
        <v>14</v>
      </c>
      <c r="K281" s="33" t="s">
        <v>941</v>
      </c>
      <c r="L281" s="33">
        <v>40</v>
      </c>
      <c r="M281" s="34" t="s">
        <v>704</v>
      </c>
      <c r="N281" s="34" t="s">
        <v>1708</v>
      </c>
      <c r="O281" s="35"/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2070</v>
      </c>
      <c r="G284" s="16" t="s">
        <v>39</v>
      </c>
      <c r="H284" s="20" t="s">
        <v>365</v>
      </c>
      <c r="I284" s="21" t="s">
        <v>2071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1128</v>
      </c>
      <c r="E286" s="32" t="s">
        <v>29</v>
      </c>
      <c r="F286" s="32" t="s">
        <v>1129</v>
      </c>
      <c r="G286" s="32" t="s">
        <v>1131</v>
      </c>
      <c r="H286" s="32" t="s">
        <v>352</v>
      </c>
      <c r="I286" s="31" t="s">
        <v>1130</v>
      </c>
      <c r="J286" s="31">
        <v>99</v>
      </c>
      <c r="K286" s="33" t="s">
        <v>699</v>
      </c>
      <c r="L286" s="33">
        <v>30</v>
      </c>
      <c r="M286" s="34" t="s">
        <v>1387</v>
      </c>
      <c r="N286" s="34" t="s">
        <v>1820</v>
      </c>
      <c r="O286" s="35">
        <v>1</v>
      </c>
      <c r="P286" s="35"/>
      <c r="Q286" s="32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1</v>
      </c>
      <c r="AF286" s="1">
        <f t="shared" si="133"/>
        <v>0</v>
      </c>
      <c r="AG286" s="1">
        <f t="shared" si="134"/>
        <v>1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1796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1732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2101</v>
      </c>
      <c r="E292" s="36" t="s">
        <v>29</v>
      </c>
      <c r="F292" s="36" t="s">
        <v>2102</v>
      </c>
      <c r="G292" s="36" t="s">
        <v>239</v>
      </c>
      <c r="H292" s="36" t="s">
        <v>352</v>
      </c>
      <c r="I292" s="37" t="s">
        <v>2103</v>
      </c>
      <c r="J292" s="31">
        <v>1</v>
      </c>
      <c r="K292" s="33" t="s">
        <v>699</v>
      </c>
      <c r="L292" s="33"/>
      <c r="M292" s="34"/>
      <c r="N292" s="34" t="s">
        <v>1719</v>
      </c>
      <c r="O292" s="35">
        <v>1</v>
      </c>
      <c r="P292" s="35"/>
      <c r="Q292" s="32" t="s">
        <v>2104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1719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1727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1955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1732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2035</v>
      </c>
      <c r="E297" s="32" t="s">
        <v>36</v>
      </c>
      <c r="F297" s="32" t="s">
        <v>2036</v>
      </c>
      <c r="G297" s="32" t="s">
        <v>1458</v>
      </c>
      <c r="H297" s="32" t="s">
        <v>352</v>
      </c>
      <c r="I297" s="31" t="s">
        <v>2038</v>
      </c>
      <c r="J297" s="31">
        <v>99</v>
      </c>
      <c r="K297" s="33" t="s">
        <v>699</v>
      </c>
      <c r="L297" s="33">
        <v>7</v>
      </c>
      <c r="M297" s="34" t="s">
        <v>2037</v>
      </c>
      <c r="N297" s="34" t="s">
        <v>1706</v>
      </c>
      <c r="O297" s="35">
        <v>1</v>
      </c>
      <c r="P297" s="35">
        <v>1</v>
      </c>
      <c r="Q297" s="32" t="s">
        <v>2039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1</v>
      </c>
      <c r="AE297" s="1">
        <f t="shared" si="148"/>
        <v>0</v>
      </c>
      <c r="AF297" s="1">
        <f t="shared" si="133"/>
        <v>1</v>
      </c>
      <c r="AG297" s="1">
        <f t="shared" si="134"/>
        <v>0</v>
      </c>
      <c r="AH297" s="1">
        <f t="shared" si="135"/>
        <v>1</v>
      </c>
      <c r="AI297" s="1">
        <f t="shared" si="136"/>
        <v>0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1979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1870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1727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1727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1719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1718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1714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1720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1718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0" t="s">
        <v>709</v>
      </c>
      <c r="L307" s="33" t="s">
        <v>709</v>
      </c>
      <c r="M307" s="34" t="s">
        <v>710</v>
      </c>
      <c r="N307" s="34" t="s">
        <v>1719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57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1742</v>
      </c>
      <c r="E309" s="36" t="s">
        <v>1743</v>
      </c>
      <c r="F309" s="36" t="s">
        <v>1744</v>
      </c>
      <c r="G309" s="36" t="s">
        <v>179</v>
      </c>
      <c r="H309" s="36" t="s">
        <v>352</v>
      </c>
      <c r="I309" s="37" t="s">
        <v>1745</v>
      </c>
      <c r="J309" s="37"/>
      <c r="K309" s="50" t="s">
        <v>699</v>
      </c>
      <c r="L309" s="33">
        <v>4</v>
      </c>
      <c r="M309" s="34" t="s">
        <v>710</v>
      </c>
      <c r="N309" s="34" t="s">
        <v>1714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1727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1832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1714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1780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1727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1719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1732</v>
      </c>
      <c r="O317" s="35">
        <v>1</v>
      </c>
      <c r="P317" s="35"/>
      <c r="Q317" s="32" t="s">
        <v>1873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1917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1714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1284</v>
      </c>
      <c r="E322" s="32" t="s">
        <v>36</v>
      </c>
      <c r="F322" s="32" t="s">
        <v>1285</v>
      </c>
      <c r="G322" s="32" t="s">
        <v>257</v>
      </c>
      <c r="H322" s="32" t="s">
        <v>352</v>
      </c>
      <c r="I322" s="31" t="s">
        <v>1286</v>
      </c>
      <c r="J322" s="31">
        <v>8</v>
      </c>
      <c r="K322" s="33" t="s">
        <v>946</v>
      </c>
      <c r="L322" s="33" t="s">
        <v>709</v>
      </c>
      <c r="M322" s="34" t="s">
        <v>710</v>
      </c>
      <c r="N322" s="34" t="s">
        <v>1706</v>
      </c>
      <c r="O322" s="35">
        <v>1</v>
      </c>
      <c r="P322" s="35">
        <v>1</v>
      </c>
      <c r="Q322" s="32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1</v>
      </c>
      <c r="AE322" s="1">
        <f t="shared" si="148"/>
        <v>0</v>
      </c>
      <c r="AF322" s="1">
        <f t="shared" si="133"/>
        <v>1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1714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1719</v>
      </c>
      <c r="O325" s="35">
        <v>1</v>
      </c>
      <c r="P325" s="35"/>
      <c r="Q325" s="32" t="s">
        <v>1872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1753</v>
      </c>
      <c r="E326" s="32" t="s">
        <v>1754</v>
      </c>
      <c r="F326" s="32" t="s">
        <v>1755</v>
      </c>
      <c r="G326" s="32" t="s">
        <v>1756</v>
      </c>
      <c r="H326" s="32" t="s">
        <v>352</v>
      </c>
      <c r="I326" s="31"/>
      <c r="J326" s="31">
        <v>1</v>
      </c>
      <c r="K326" s="33" t="s">
        <v>699</v>
      </c>
      <c r="L326" s="33"/>
      <c r="M326" s="34"/>
      <c r="N326" s="34" t="s">
        <v>1714</v>
      </c>
      <c r="O326" s="35">
        <v>1</v>
      </c>
      <c r="P326" s="35"/>
      <c r="Q326" s="32" t="s">
        <v>1880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1890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1718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65</v>
      </c>
      <c r="E330" s="32" t="s">
        <v>163</v>
      </c>
      <c r="F330" s="32" t="s">
        <v>242</v>
      </c>
      <c r="G330" s="32" t="s">
        <v>199</v>
      </c>
      <c r="H330" s="32" t="s">
        <v>352</v>
      </c>
      <c r="I330" s="31" t="s">
        <v>405</v>
      </c>
      <c r="J330" s="31">
        <v>2</v>
      </c>
      <c r="K330" s="33" t="s">
        <v>942</v>
      </c>
      <c r="L330" s="33" t="s">
        <v>692</v>
      </c>
      <c r="M330" s="34" t="s">
        <v>711</v>
      </c>
      <c r="N330" s="34" t="s">
        <v>1714</v>
      </c>
      <c r="O330" s="35">
        <v>1</v>
      </c>
      <c r="P330" s="35"/>
      <c r="Q330" s="32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1799</v>
      </c>
      <c r="E331" s="32" t="s">
        <v>1800</v>
      </c>
      <c r="F331" s="32" t="s">
        <v>1801</v>
      </c>
      <c r="G331" s="32" t="s">
        <v>195</v>
      </c>
      <c r="H331" s="32" t="s">
        <v>352</v>
      </c>
      <c r="I331" s="31" t="s">
        <v>1802</v>
      </c>
      <c r="J331" s="31"/>
      <c r="K331" s="33" t="s">
        <v>699</v>
      </c>
      <c r="L331" s="33">
        <v>20</v>
      </c>
      <c r="M331" s="34" t="s">
        <v>1803</v>
      </c>
      <c r="N331" s="34" t="s">
        <v>1719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2111</v>
      </c>
      <c r="E332" s="36" t="s">
        <v>2109</v>
      </c>
      <c r="F332" s="36" t="s">
        <v>2110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1719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64</v>
      </c>
      <c r="E334" s="32" t="s">
        <v>33</v>
      </c>
      <c r="F334" s="32" t="s">
        <v>240</v>
      </c>
      <c r="G334" s="32" t="s">
        <v>241</v>
      </c>
      <c r="H334" s="32" t="s">
        <v>352</v>
      </c>
      <c r="I334" s="31" t="s">
        <v>404</v>
      </c>
      <c r="J334" s="31">
        <v>1</v>
      </c>
      <c r="K334" s="33" t="s">
        <v>948</v>
      </c>
      <c r="L334" s="33" t="s">
        <v>712</v>
      </c>
      <c r="M334" s="34" t="s">
        <v>713</v>
      </c>
      <c r="N334" s="34" t="s">
        <v>1714</v>
      </c>
      <c r="O334" s="35">
        <v>1</v>
      </c>
      <c r="P334" s="35"/>
      <c r="Q334" s="32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62</v>
      </c>
      <c r="E335" s="32" t="s">
        <v>1073</v>
      </c>
      <c r="F335" s="32" t="s">
        <v>233</v>
      </c>
      <c r="G335" s="32" t="s">
        <v>234</v>
      </c>
      <c r="H335" s="32" t="s">
        <v>352</v>
      </c>
      <c r="I335" s="31" t="s">
        <v>1343</v>
      </c>
      <c r="J335" s="31">
        <v>99</v>
      </c>
      <c r="K335" s="33" t="s">
        <v>942</v>
      </c>
      <c r="L335" s="33" t="s">
        <v>712</v>
      </c>
      <c r="M335" s="34" t="s">
        <v>714</v>
      </c>
      <c r="N335" s="34" t="s">
        <v>1714</v>
      </c>
      <c r="O335" s="35">
        <v>1</v>
      </c>
      <c r="P335" s="35"/>
      <c r="Q335" s="32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1720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1714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3" si="171">+O339*P339*(1-A339)</f>
        <v>0</v>
      </c>
      <c r="AG339" s="1">
        <f t="shared" ref="AG339:AG403" si="172">O339*(1-P339)*(1-A339)</f>
        <v>0</v>
      </c>
      <c r="AH339" s="1">
        <f t="shared" ref="AH339:AH403" si="173">+P339*(1-A339)</f>
        <v>0</v>
      </c>
      <c r="AI339" s="1">
        <f t="shared" ref="AI339:AI403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1714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1843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1714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1715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1716</v>
      </c>
      <c r="N343" s="34" t="s">
        <v>1700</v>
      </c>
      <c r="O343" s="35">
        <v>1</v>
      </c>
      <c r="P343" s="35">
        <v>1</v>
      </c>
      <c r="Q343" s="32"/>
      <c r="S343" s="1">
        <f t="shared" ref="S343:S407" si="175">IF(J343=$S$7,1,0)</f>
        <v>0</v>
      </c>
      <c r="T343" s="1">
        <f t="shared" ref="T343:T407" si="176">IF(J343=$T$7,1,0)</f>
        <v>0</v>
      </c>
      <c r="U343" s="1">
        <f t="shared" ref="U343:U407" si="177">IF(J343=$U$7,1,0)</f>
        <v>0</v>
      </c>
      <c r="V343" s="1">
        <f t="shared" ref="V343:V407" si="178">IF(J343=$V$7,1,0)</f>
        <v>0</v>
      </c>
      <c r="W343" s="1">
        <f t="shared" ref="W343:W407" si="179">IF(J343=$W$7,1,0)</f>
        <v>0</v>
      </c>
      <c r="X343" s="1">
        <f t="shared" ref="X343:X407" si="180">IF(J343=$X$7,1,0)</f>
        <v>0</v>
      </c>
      <c r="Y343" s="1">
        <f t="shared" ref="Y343:Y407" si="181">IF(J343=$Y$7,1,0)</f>
        <v>0</v>
      </c>
      <c r="Z343" s="1">
        <f t="shared" ref="Z343:Z407" si="182">IF(J343=$Z$7,1,0)</f>
        <v>1</v>
      </c>
      <c r="AA343" s="1">
        <f t="shared" ref="AA343:AA407" si="183">IF(J343=$AA$7,1,0)</f>
        <v>0</v>
      </c>
      <c r="AB343" s="1">
        <f t="shared" ref="AB343:AB407" si="184">IF(J343=$AB$7,1,0)</f>
        <v>0</v>
      </c>
      <c r="AD343" s="1">
        <f t="shared" ref="AD343:AD407" si="185">+O343*P343</f>
        <v>1</v>
      </c>
      <c r="AE343" s="1">
        <f t="shared" ref="AE343:AE407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59">
        <v>0</v>
      </c>
      <c r="B346" s="59">
        <v>2</v>
      </c>
      <c r="C346" s="59">
        <v>2</v>
      </c>
      <c r="D346" s="49" t="s">
        <v>1960</v>
      </c>
      <c r="E346" s="49" t="s">
        <v>2045</v>
      </c>
      <c r="F346" s="49" t="s">
        <v>1961</v>
      </c>
      <c r="G346" s="49" t="s">
        <v>178</v>
      </c>
      <c r="H346" s="49" t="s">
        <v>352</v>
      </c>
      <c r="I346" s="59" t="s">
        <v>1962</v>
      </c>
      <c r="J346" s="59"/>
      <c r="K346" s="59" t="s">
        <v>699</v>
      </c>
      <c r="L346" s="59"/>
      <c r="M346" s="49"/>
      <c r="N346" s="49"/>
      <c r="O346" s="60"/>
      <c r="P346" s="60">
        <v>1</v>
      </c>
      <c r="Q346" s="49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602</v>
      </c>
      <c r="E347" s="32" t="s">
        <v>603</v>
      </c>
      <c r="F347" s="32" t="s">
        <v>604</v>
      </c>
      <c r="G347" s="32" t="s">
        <v>256</v>
      </c>
      <c r="H347" s="32" t="s">
        <v>352</v>
      </c>
      <c r="I347" s="31" t="s">
        <v>605</v>
      </c>
      <c r="J347" s="31">
        <v>99</v>
      </c>
      <c r="K347" s="33" t="s">
        <v>942</v>
      </c>
      <c r="L347" s="33" t="s">
        <v>700</v>
      </c>
      <c r="M347" s="34" t="s">
        <v>1390</v>
      </c>
      <c r="N347" s="34" t="s">
        <v>1714</v>
      </c>
      <c r="O347" s="35">
        <v>1</v>
      </c>
      <c r="P347" s="35"/>
      <c r="Q347" s="32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1896</v>
      </c>
      <c r="E348" s="32" t="s">
        <v>1897</v>
      </c>
      <c r="F348" s="32" t="s">
        <v>1898</v>
      </c>
      <c r="G348" s="32" t="s">
        <v>183</v>
      </c>
      <c r="H348" s="32" t="s">
        <v>352</v>
      </c>
      <c r="I348" s="31" t="s">
        <v>1900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1899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1760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853</v>
      </c>
      <c r="E350" s="32" t="s">
        <v>540</v>
      </c>
      <c r="F350" s="32" t="s">
        <v>854</v>
      </c>
      <c r="G350" s="32" t="s">
        <v>312</v>
      </c>
      <c r="H350" s="32" t="s">
        <v>352</v>
      </c>
      <c r="I350" s="31" t="s">
        <v>855</v>
      </c>
      <c r="J350" s="31">
        <v>1</v>
      </c>
      <c r="K350" s="33" t="s">
        <v>708</v>
      </c>
      <c r="L350" s="33">
        <v>25</v>
      </c>
      <c r="M350" s="34" t="s">
        <v>39</v>
      </c>
      <c r="N350" s="34" t="s">
        <v>1714</v>
      </c>
      <c r="O350" s="35">
        <v>1</v>
      </c>
      <c r="P350" s="35"/>
      <c r="Q350" s="32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841</v>
      </c>
      <c r="E352" s="32" t="s">
        <v>34</v>
      </c>
      <c r="F352" s="32" t="s">
        <v>915</v>
      </c>
      <c r="G352" s="32" t="s">
        <v>634</v>
      </c>
      <c r="H352" s="32" t="s">
        <v>352</v>
      </c>
      <c r="I352" s="31" t="s">
        <v>842</v>
      </c>
      <c r="J352" s="31">
        <v>1</v>
      </c>
      <c r="K352" s="33" t="s">
        <v>941</v>
      </c>
      <c r="L352" s="33" t="s">
        <v>725</v>
      </c>
      <c r="M352" s="34" t="s">
        <v>719</v>
      </c>
      <c r="N352" s="34" t="s">
        <v>1714</v>
      </c>
      <c r="O352" s="35">
        <v>1</v>
      </c>
      <c r="P352" s="35"/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1</v>
      </c>
      <c r="AF352" s="1">
        <f t="shared" si="171"/>
        <v>0</v>
      </c>
      <c r="AG352" s="1">
        <f t="shared" si="172"/>
        <v>1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1780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1773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1714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1714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1719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1773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1714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1714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1796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1">
        <v>0</v>
      </c>
      <c r="B364" s="51">
        <v>2</v>
      </c>
      <c r="C364" s="51">
        <v>4</v>
      </c>
      <c r="D364" s="52" t="s">
        <v>563</v>
      </c>
      <c r="E364" s="52" t="s">
        <v>37</v>
      </c>
      <c r="F364" s="52" t="s">
        <v>204</v>
      </c>
      <c r="G364" s="52" t="s">
        <v>39</v>
      </c>
      <c r="H364" s="52" t="s">
        <v>352</v>
      </c>
      <c r="I364" s="51" t="s">
        <v>387</v>
      </c>
      <c r="J364" s="51">
        <v>6</v>
      </c>
      <c r="K364" s="53" t="s">
        <v>699</v>
      </c>
      <c r="L364" s="53" t="s">
        <v>39</v>
      </c>
      <c r="M364" s="54" t="s">
        <v>39</v>
      </c>
      <c r="N364" s="55"/>
      <c r="O364" s="56"/>
      <c r="P364" s="56"/>
      <c r="Q364" s="52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1714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1720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1868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1732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44">
        <v>0</v>
      </c>
      <c r="B370" s="44">
        <v>2</v>
      </c>
      <c r="C370" s="44">
        <v>4</v>
      </c>
      <c r="D370" s="45" t="s">
        <v>870</v>
      </c>
      <c r="E370" s="45" t="s">
        <v>763</v>
      </c>
      <c r="F370" s="45" t="s">
        <v>868</v>
      </c>
      <c r="G370" s="45" t="s">
        <v>278</v>
      </c>
      <c r="H370" s="45" t="s">
        <v>352</v>
      </c>
      <c r="I370" s="44" t="s">
        <v>869</v>
      </c>
      <c r="J370" s="44">
        <v>99</v>
      </c>
      <c r="K370" s="46" t="s">
        <v>699</v>
      </c>
      <c r="L370" s="46">
        <v>25</v>
      </c>
      <c r="M370" s="47" t="s">
        <v>1397</v>
      </c>
      <c r="N370" s="47" t="s">
        <v>1780</v>
      </c>
      <c r="O370" s="48"/>
      <c r="P370" s="48"/>
      <c r="Q370" s="45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1727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1995</v>
      </c>
      <c r="E372" s="32" t="s">
        <v>35</v>
      </c>
      <c r="F372" s="32" t="s">
        <v>1996</v>
      </c>
      <c r="G372" s="32" t="s">
        <v>208</v>
      </c>
      <c r="H372" s="32" t="s">
        <v>352</v>
      </c>
      <c r="I372" s="31" t="s">
        <v>1997</v>
      </c>
      <c r="J372" s="31">
        <v>99</v>
      </c>
      <c r="K372" s="33" t="s">
        <v>699</v>
      </c>
      <c r="L372" s="33">
        <v>25</v>
      </c>
      <c r="M372" s="34" t="s">
        <v>1999</v>
      </c>
      <c r="N372" s="34" t="s">
        <v>1820</v>
      </c>
      <c r="O372" s="35">
        <v>1</v>
      </c>
      <c r="P372" s="35"/>
      <c r="Q372" s="32" t="s">
        <v>1998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1718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1579</v>
      </c>
      <c r="E375" s="32" t="s">
        <v>1629</v>
      </c>
      <c r="F375" s="32" t="s">
        <v>1580</v>
      </c>
      <c r="G375" s="32" t="s">
        <v>331</v>
      </c>
      <c r="H375" s="32" t="s">
        <v>352</v>
      </c>
      <c r="I375" s="31" t="s">
        <v>30</v>
      </c>
      <c r="J375" s="31">
        <v>99</v>
      </c>
      <c r="K375" s="33" t="s">
        <v>709</v>
      </c>
      <c r="L375" s="33">
        <v>20</v>
      </c>
      <c r="M375" s="34" t="s">
        <v>39</v>
      </c>
      <c r="N375" s="34" t="s">
        <v>1726</v>
      </c>
      <c r="O375" s="35">
        <v>1</v>
      </c>
      <c r="P375" s="35"/>
      <c r="Q375" s="32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1</v>
      </c>
      <c r="AF375" s="1">
        <f t="shared" si="171"/>
        <v>0</v>
      </c>
      <c r="AG375" s="1">
        <f t="shared" si="172"/>
        <v>1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1719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2028</v>
      </c>
      <c r="E378" s="36" t="s">
        <v>169</v>
      </c>
      <c r="F378" s="36" t="s">
        <v>2029</v>
      </c>
      <c r="G378" s="36" t="s">
        <v>1508</v>
      </c>
      <c r="H378" s="36" t="s">
        <v>352</v>
      </c>
      <c r="I378" s="37" t="s">
        <v>2030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2031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1732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57" t="s">
        <v>1844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1790</v>
      </c>
      <c r="E381" s="32" t="s">
        <v>763</v>
      </c>
      <c r="F381" s="32" t="s">
        <v>1791</v>
      </c>
      <c r="G381" s="32" t="s">
        <v>223</v>
      </c>
      <c r="H381" s="32" t="s">
        <v>352</v>
      </c>
      <c r="I381" s="31" t="s">
        <v>1792</v>
      </c>
      <c r="J381" s="31">
        <v>99</v>
      </c>
      <c r="K381" s="33" t="s">
        <v>1793</v>
      </c>
      <c r="L381" s="33">
        <v>40</v>
      </c>
      <c r="M381" s="34" t="s">
        <v>1794</v>
      </c>
      <c r="N381" s="34" t="s">
        <v>1820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1714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1714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1714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1714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1892</v>
      </c>
      <c r="E387" s="32"/>
      <c r="F387" s="32" t="s">
        <v>1893</v>
      </c>
      <c r="G387" s="32" t="s">
        <v>207</v>
      </c>
      <c r="H387" s="32" t="s">
        <v>352</v>
      </c>
      <c r="I387" s="31" t="s">
        <v>1894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1895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1727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1796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79</v>
      </c>
      <c r="E391" s="32" t="s">
        <v>158</v>
      </c>
      <c r="F391" s="32" t="s">
        <v>267</v>
      </c>
      <c r="G391" s="32" t="s">
        <v>212</v>
      </c>
      <c r="H391" s="32" t="s">
        <v>352</v>
      </c>
      <c r="I391" s="31" t="s">
        <v>423</v>
      </c>
      <c r="J391" s="31">
        <v>1</v>
      </c>
      <c r="K391" s="33" t="s">
        <v>942</v>
      </c>
      <c r="L391" s="33" t="s">
        <v>700</v>
      </c>
      <c r="M391" s="34" t="s">
        <v>723</v>
      </c>
      <c r="N391" s="34" t="s">
        <v>1714</v>
      </c>
      <c r="O391" s="35">
        <v>1</v>
      </c>
      <c r="P391" s="35"/>
      <c r="Q391" s="32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6" t="s">
        <v>2118</v>
      </c>
      <c r="E392" s="36" t="s">
        <v>822</v>
      </c>
      <c r="F392" s="36" t="s">
        <v>2119</v>
      </c>
      <c r="G392" s="36" t="s">
        <v>202</v>
      </c>
      <c r="H392" s="36" t="s">
        <v>352</v>
      </c>
      <c r="I392" s="37" t="s">
        <v>2120</v>
      </c>
      <c r="J392" s="31">
        <v>99</v>
      </c>
      <c r="K392" s="33" t="s">
        <v>699</v>
      </c>
      <c r="L392" s="33"/>
      <c r="M392" s="34"/>
      <c r="N392" s="34" t="s">
        <v>1700</v>
      </c>
      <c r="O392" s="35">
        <v>1</v>
      </c>
      <c r="P392" s="35">
        <v>1</v>
      </c>
      <c r="Q392" s="32"/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1</v>
      </c>
      <c r="AE392" s="1">
        <f t="shared" si="186"/>
        <v>0</v>
      </c>
      <c r="AF392" s="1">
        <f t="shared" si="171"/>
        <v>1</v>
      </c>
      <c r="AG392" s="1">
        <f t="shared" si="172"/>
        <v>0</v>
      </c>
      <c r="AH392" s="1">
        <f t="shared" si="173"/>
        <v>1</v>
      </c>
      <c r="AI392" s="1">
        <f t="shared" si="174"/>
        <v>0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2054</v>
      </c>
      <c r="E393" s="32" t="s">
        <v>171</v>
      </c>
      <c r="F393" s="32" t="s">
        <v>2055</v>
      </c>
      <c r="G393" s="32" t="s">
        <v>206</v>
      </c>
      <c r="H393" s="32" t="s">
        <v>352</v>
      </c>
      <c r="I393" s="31" t="s">
        <v>2056</v>
      </c>
      <c r="J393" s="31">
        <v>99</v>
      </c>
      <c r="K393" s="33" t="s">
        <v>699</v>
      </c>
      <c r="L393" s="33">
        <v>30</v>
      </c>
      <c r="M393" s="34" t="s">
        <v>957</v>
      </c>
      <c r="N393" s="34" t="s">
        <v>1714</v>
      </c>
      <c r="O393" s="35">
        <v>1</v>
      </c>
      <c r="P393" s="35"/>
      <c r="Q393" s="32" t="s">
        <v>2057</v>
      </c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1616</v>
      </c>
      <c r="E394" s="32" t="s">
        <v>1628</v>
      </c>
      <c r="F394" s="32" t="s">
        <v>1525</v>
      </c>
      <c r="G394" s="32" t="s">
        <v>261</v>
      </c>
      <c r="H394" s="32" t="s">
        <v>352</v>
      </c>
      <c r="I394" s="31" t="s">
        <v>1526</v>
      </c>
      <c r="J394" s="31">
        <v>99</v>
      </c>
      <c r="K394" s="33" t="s">
        <v>942</v>
      </c>
      <c r="L394" s="33">
        <v>40</v>
      </c>
      <c r="M394" s="34" t="s">
        <v>39</v>
      </c>
      <c r="N394" s="34" t="s">
        <v>1796</v>
      </c>
      <c r="O394" s="35">
        <v>1</v>
      </c>
      <c r="P394" s="35"/>
      <c r="Q394" s="32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0</v>
      </c>
      <c r="AE394" s="1">
        <f t="shared" si="186"/>
        <v>1</v>
      </c>
      <c r="AF394" s="1">
        <f t="shared" si="171"/>
        <v>0</v>
      </c>
      <c r="AG394" s="1">
        <f t="shared" si="172"/>
        <v>1</v>
      </c>
      <c r="AH394" s="1">
        <f t="shared" si="173"/>
        <v>0</v>
      </c>
      <c r="AI394" s="1">
        <f t="shared" si="174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1277</v>
      </c>
      <c r="E395" s="32" t="s">
        <v>27</v>
      </c>
      <c r="F395" s="32" t="s">
        <v>1278</v>
      </c>
      <c r="G395" s="32" t="s">
        <v>1279</v>
      </c>
      <c r="H395" s="32" t="s">
        <v>352</v>
      </c>
      <c r="I395" s="31" t="s">
        <v>1280</v>
      </c>
      <c r="J395" s="31">
        <v>99</v>
      </c>
      <c r="K395" s="33" t="s">
        <v>942</v>
      </c>
      <c r="L395" s="33" t="s">
        <v>39</v>
      </c>
      <c r="M395" s="34" t="s">
        <v>39</v>
      </c>
      <c r="N395" s="34" t="s">
        <v>1700</v>
      </c>
      <c r="O395" s="35">
        <v>1</v>
      </c>
      <c r="P395" s="35">
        <v>1</v>
      </c>
      <c r="Q395" s="36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1</v>
      </c>
      <c r="AE395" s="1">
        <f t="shared" si="186"/>
        <v>0</v>
      </c>
      <c r="AF395" s="1">
        <f t="shared" si="171"/>
        <v>1</v>
      </c>
      <c r="AG395" s="1">
        <f t="shared" si="172"/>
        <v>0</v>
      </c>
      <c r="AH395" s="1">
        <f t="shared" si="173"/>
        <v>1</v>
      </c>
      <c r="AI395" s="1">
        <f t="shared" si="174"/>
        <v>0</v>
      </c>
    </row>
    <row r="396" spans="1:35" ht="14.25" customHeight="1" x14ac:dyDescent="0.25">
      <c r="A396" s="44">
        <v>0</v>
      </c>
      <c r="B396" s="44">
        <v>2</v>
      </c>
      <c r="C396" s="44">
        <v>5</v>
      </c>
      <c r="D396" s="45" t="s">
        <v>1577</v>
      </c>
      <c r="E396" s="45" t="s">
        <v>158</v>
      </c>
      <c r="F396" s="57" t="s">
        <v>2117</v>
      </c>
      <c r="G396" s="45" t="s">
        <v>1443</v>
      </c>
      <c r="H396" s="45" t="s">
        <v>352</v>
      </c>
      <c r="I396" s="44" t="s">
        <v>1444</v>
      </c>
      <c r="J396" s="44">
        <v>99</v>
      </c>
      <c r="K396" s="46" t="s">
        <v>709</v>
      </c>
      <c r="L396" s="46" t="s">
        <v>692</v>
      </c>
      <c r="M396" s="47" t="s">
        <v>1445</v>
      </c>
      <c r="N396" s="47" t="s">
        <v>1718</v>
      </c>
      <c r="O396" s="48"/>
      <c r="P396" s="48"/>
      <c r="Q396" s="45"/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0</v>
      </c>
      <c r="AE396" s="1">
        <f t="shared" si="186"/>
        <v>0</v>
      </c>
      <c r="AF396" s="1">
        <f t="shared" si="171"/>
        <v>0</v>
      </c>
      <c r="AG396" s="1">
        <f t="shared" si="172"/>
        <v>0</v>
      </c>
      <c r="AH396" s="1">
        <f t="shared" si="173"/>
        <v>0</v>
      </c>
      <c r="AI396" s="1">
        <f t="shared" si="174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2012</v>
      </c>
      <c r="E397" s="32" t="s">
        <v>2013</v>
      </c>
      <c r="F397" s="32" t="s">
        <v>2014</v>
      </c>
      <c r="G397" s="32" t="s">
        <v>2017</v>
      </c>
      <c r="H397" s="32" t="s">
        <v>352</v>
      </c>
      <c r="I397" s="31" t="s">
        <v>2015</v>
      </c>
      <c r="J397" s="31"/>
      <c r="K397" s="33" t="s">
        <v>1793</v>
      </c>
      <c r="L397" s="33"/>
      <c r="M397" s="34"/>
      <c r="N397" s="34" t="s">
        <v>1700</v>
      </c>
      <c r="O397" s="35">
        <v>1</v>
      </c>
      <c r="P397" s="35">
        <v>1</v>
      </c>
      <c r="Q397" s="32" t="s">
        <v>2016</v>
      </c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1</v>
      </c>
      <c r="AE397" s="1">
        <f t="shared" si="186"/>
        <v>0</v>
      </c>
      <c r="AF397" s="1">
        <f t="shared" si="171"/>
        <v>1</v>
      </c>
      <c r="AG397" s="1">
        <f t="shared" si="172"/>
        <v>0</v>
      </c>
      <c r="AH397" s="1">
        <f t="shared" si="173"/>
        <v>1</v>
      </c>
      <c r="AI397" s="1">
        <f t="shared" si="174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1749</v>
      </c>
      <c r="E398" s="32" t="s">
        <v>154</v>
      </c>
      <c r="F398" s="32" t="s">
        <v>1750</v>
      </c>
      <c r="G398" s="32" t="s">
        <v>652</v>
      </c>
      <c r="H398" s="32" t="s">
        <v>352</v>
      </c>
      <c r="I398" s="31" t="s">
        <v>1751</v>
      </c>
      <c r="J398" s="31"/>
      <c r="K398" s="33" t="s">
        <v>699</v>
      </c>
      <c r="L398" s="33">
        <v>40</v>
      </c>
      <c r="M398" s="34" t="s">
        <v>1752</v>
      </c>
      <c r="N398" s="34" t="s">
        <v>1714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0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828</v>
      </c>
      <c r="E399" s="32" t="s">
        <v>822</v>
      </c>
      <c r="F399" s="32" t="s">
        <v>929</v>
      </c>
      <c r="G399" s="32" t="s">
        <v>179</v>
      </c>
      <c r="H399" s="32" t="s">
        <v>352</v>
      </c>
      <c r="I399" s="31" t="s">
        <v>1096</v>
      </c>
      <c r="J399" s="31">
        <v>10</v>
      </c>
      <c r="K399" s="33" t="s">
        <v>708</v>
      </c>
      <c r="L399" s="33" t="s">
        <v>689</v>
      </c>
      <c r="M399" s="34" t="s">
        <v>1405</v>
      </c>
      <c r="N399" s="34" t="s">
        <v>1726</v>
      </c>
      <c r="O399" s="35">
        <v>1</v>
      </c>
      <c r="P399" s="35"/>
      <c r="Q399" s="32"/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0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1</v>
      </c>
      <c r="AD399" s="1">
        <f t="shared" si="185"/>
        <v>0</v>
      </c>
      <c r="AE399" s="1">
        <f t="shared" si="186"/>
        <v>1</v>
      </c>
      <c r="AF399" s="1">
        <f t="shared" si="171"/>
        <v>0</v>
      </c>
      <c r="AG399" s="1">
        <f t="shared" si="172"/>
        <v>1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51">
        <v>0</v>
      </c>
      <c r="B400" s="51">
        <v>2</v>
      </c>
      <c r="C400" s="51">
        <v>6</v>
      </c>
      <c r="D400" s="52" t="s">
        <v>1517</v>
      </c>
      <c r="E400" s="52" t="s">
        <v>27</v>
      </c>
      <c r="F400" s="52" t="s">
        <v>1519</v>
      </c>
      <c r="G400" s="52" t="s">
        <v>1508</v>
      </c>
      <c r="H400" s="52" t="s">
        <v>352</v>
      </c>
      <c r="I400" s="51" t="s">
        <v>1518</v>
      </c>
      <c r="J400" s="51">
        <v>5</v>
      </c>
      <c r="K400" s="53" t="s">
        <v>942</v>
      </c>
      <c r="L400" s="53" t="s">
        <v>39</v>
      </c>
      <c r="M400" s="54" t="s">
        <v>39</v>
      </c>
      <c r="N400" s="55"/>
      <c r="O400" s="56"/>
      <c r="P400" s="56"/>
      <c r="Q400" s="58" t="s">
        <v>1871</v>
      </c>
      <c r="S400" s="1">
        <f t="shared" si="175"/>
        <v>0</v>
      </c>
      <c r="T400" s="1">
        <f t="shared" si="176"/>
        <v>0</v>
      </c>
      <c r="U400" s="1">
        <f t="shared" si="177"/>
        <v>0</v>
      </c>
      <c r="V400" s="1">
        <f t="shared" si="178"/>
        <v>0</v>
      </c>
      <c r="W400" s="1">
        <f t="shared" si="179"/>
        <v>1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0</v>
      </c>
      <c r="AF400" s="1">
        <f t="shared" si="171"/>
        <v>0</v>
      </c>
      <c r="AG400" s="1">
        <f t="shared" si="172"/>
        <v>0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515</v>
      </c>
      <c r="E401" s="32" t="s">
        <v>31</v>
      </c>
      <c r="F401" s="32" t="s">
        <v>668</v>
      </c>
      <c r="G401" s="32" t="s">
        <v>199</v>
      </c>
      <c r="H401" s="32" t="s">
        <v>352</v>
      </c>
      <c r="I401" s="31" t="s">
        <v>516</v>
      </c>
      <c r="J401" s="31">
        <v>2</v>
      </c>
      <c r="K401" s="33" t="s">
        <v>941</v>
      </c>
      <c r="L401" s="33" t="s">
        <v>690</v>
      </c>
      <c r="M401" s="34" t="s">
        <v>1406</v>
      </c>
      <c r="N401" s="34" t="s">
        <v>1714</v>
      </c>
      <c r="O401" s="35">
        <v>1</v>
      </c>
      <c r="P401" s="35"/>
      <c r="Q401" s="32"/>
      <c r="S401" s="1">
        <f t="shared" si="175"/>
        <v>0</v>
      </c>
      <c r="T401" s="1">
        <f t="shared" si="176"/>
        <v>1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53</v>
      </c>
      <c r="E402" s="32" t="s">
        <v>31</v>
      </c>
      <c r="F402" s="32" t="s">
        <v>209</v>
      </c>
      <c r="G402" s="32" t="s">
        <v>210</v>
      </c>
      <c r="H402" s="32" t="s">
        <v>352</v>
      </c>
      <c r="I402" s="31" t="s">
        <v>390</v>
      </c>
      <c r="J402" s="31">
        <v>1</v>
      </c>
      <c r="K402" s="33" t="s">
        <v>708</v>
      </c>
      <c r="L402" s="33" t="s">
        <v>700</v>
      </c>
      <c r="M402" s="34" t="s">
        <v>724</v>
      </c>
      <c r="N402" s="34" t="s">
        <v>1714</v>
      </c>
      <c r="O402" s="35">
        <v>1</v>
      </c>
      <c r="P402" s="35"/>
      <c r="Q402" s="32"/>
      <c r="S402" s="1">
        <f t="shared" si="175"/>
        <v>1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31">
        <v>0</v>
      </c>
      <c r="B403" s="31">
        <v>2</v>
      </c>
      <c r="C403" s="31">
        <v>6</v>
      </c>
      <c r="D403" s="32" t="s">
        <v>1833</v>
      </c>
      <c r="E403" s="32" t="s">
        <v>1834</v>
      </c>
      <c r="F403" s="32" t="s">
        <v>1835</v>
      </c>
      <c r="G403" s="32"/>
      <c r="H403" s="32" t="s">
        <v>352</v>
      </c>
      <c r="I403" s="31" t="s">
        <v>1836</v>
      </c>
      <c r="J403" s="31">
        <v>99</v>
      </c>
      <c r="K403" s="33" t="s">
        <v>699</v>
      </c>
      <c r="L403" s="33">
        <v>25</v>
      </c>
      <c r="M403" s="34" t="s">
        <v>1837</v>
      </c>
      <c r="N403" s="34" t="s">
        <v>1714</v>
      </c>
      <c r="O403" s="35">
        <v>1</v>
      </c>
      <c r="P403" s="35"/>
      <c r="Q403" s="32" t="s">
        <v>2018</v>
      </c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1</v>
      </c>
      <c r="AF403" s="1">
        <f t="shared" si="171"/>
        <v>0</v>
      </c>
      <c r="AG403" s="1">
        <f t="shared" si="172"/>
        <v>1</v>
      </c>
      <c r="AH403" s="1">
        <f t="shared" si="173"/>
        <v>0</v>
      </c>
      <c r="AI403" s="1">
        <f t="shared" si="174"/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80</v>
      </c>
      <c r="E404" s="45" t="s">
        <v>31</v>
      </c>
      <c r="F404" s="45" t="s">
        <v>269</v>
      </c>
      <c r="G404" s="45" t="s">
        <v>223</v>
      </c>
      <c r="H404" s="45" t="s">
        <v>352</v>
      </c>
      <c r="I404" s="44" t="s">
        <v>674</v>
      </c>
      <c r="J404" s="44">
        <v>99</v>
      </c>
      <c r="K404" s="46" t="s">
        <v>942</v>
      </c>
      <c r="L404" s="46" t="s">
        <v>690</v>
      </c>
      <c r="M404" s="47" t="s">
        <v>1407</v>
      </c>
      <c r="N404" s="47" t="s">
        <v>1780</v>
      </c>
      <c r="O404" s="48"/>
      <c r="P404" s="48"/>
      <c r="Q404" s="45"/>
      <c r="S404" s="1">
        <f t="shared" si="175"/>
        <v>0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ref="AF404:AF422" si="187">+O404*P404*(1-A404)</f>
        <v>0</v>
      </c>
      <c r="AG404" s="1">
        <f t="shared" ref="AG404:AG422" si="188">O404*(1-P404)*(1-A404)</f>
        <v>0</v>
      </c>
      <c r="AH404" s="1">
        <f t="shared" ref="AH404:AH422" si="189">+P404*(1-A404)</f>
        <v>0</v>
      </c>
      <c r="AI404" s="1">
        <f t="shared" ref="AI404:AI422" si="190">+(1-A404)*(1-P404)</f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635</v>
      </c>
      <c r="E405" s="45" t="s">
        <v>31</v>
      </c>
      <c r="F405" s="45" t="s">
        <v>636</v>
      </c>
      <c r="G405" s="45" t="s">
        <v>239</v>
      </c>
      <c r="H405" s="45" t="s">
        <v>352</v>
      </c>
      <c r="I405" s="44" t="s">
        <v>637</v>
      </c>
      <c r="J405" s="44">
        <v>1</v>
      </c>
      <c r="K405" s="46" t="s">
        <v>709</v>
      </c>
      <c r="L405" s="46" t="s">
        <v>690</v>
      </c>
      <c r="M405" s="47" t="s">
        <v>1408</v>
      </c>
      <c r="N405" s="47" t="s">
        <v>1708</v>
      </c>
      <c r="O405" s="48"/>
      <c r="P405" s="48"/>
      <c r="Q405" s="45"/>
      <c r="S405" s="1">
        <f t="shared" si="175"/>
        <v>1</v>
      </c>
      <c r="T405" s="1">
        <f t="shared" si="176"/>
        <v>0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44">
        <v>0</v>
      </c>
      <c r="B406" s="44">
        <v>2</v>
      </c>
      <c r="C406" s="44">
        <v>6</v>
      </c>
      <c r="D406" s="45" t="s">
        <v>1119</v>
      </c>
      <c r="E406" s="45" t="s">
        <v>31</v>
      </c>
      <c r="F406" s="45" t="s">
        <v>668</v>
      </c>
      <c r="G406" s="45" t="s">
        <v>199</v>
      </c>
      <c r="H406" s="45" t="s">
        <v>352</v>
      </c>
      <c r="I406" s="44" t="s">
        <v>516</v>
      </c>
      <c r="J406" s="44">
        <v>2</v>
      </c>
      <c r="K406" s="46" t="s">
        <v>708</v>
      </c>
      <c r="L406" s="46" t="s">
        <v>690</v>
      </c>
      <c r="M406" s="47" t="s">
        <v>724</v>
      </c>
      <c r="N406" s="47" t="s">
        <v>1708</v>
      </c>
      <c r="O406" s="48"/>
      <c r="P406" s="48"/>
      <c r="Q406" s="45"/>
      <c r="S406" s="1">
        <f t="shared" si="175"/>
        <v>0</v>
      </c>
      <c r="T406" s="1">
        <f t="shared" si="176"/>
        <v>1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0</v>
      </c>
      <c r="AF406" s="1">
        <f t="shared" si="187"/>
        <v>0</v>
      </c>
      <c r="AG406" s="1">
        <f t="shared" si="188"/>
        <v>0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1070</v>
      </c>
      <c r="E407" s="32" t="s">
        <v>158</v>
      </c>
      <c r="F407" s="32" t="s">
        <v>197</v>
      </c>
      <c r="G407" s="32" t="s">
        <v>198</v>
      </c>
      <c r="H407" s="32" t="s">
        <v>352</v>
      </c>
      <c r="I407" s="31" t="s">
        <v>386</v>
      </c>
      <c r="J407" s="31">
        <v>99</v>
      </c>
      <c r="K407" s="33" t="s">
        <v>708</v>
      </c>
      <c r="L407" s="33" t="s">
        <v>712</v>
      </c>
      <c r="M407" s="34" t="s">
        <v>726</v>
      </c>
      <c r="N407" s="34" t="s">
        <v>1720</v>
      </c>
      <c r="O407" s="35">
        <v>1</v>
      </c>
      <c r="P407" s="35"/>
      <c r="Q407" s="32"/>
      <c r="S407" s="1">
        <f t="shared" si="175"/>
        <v>0</v>
      </c>
      <c r="T407" s="1">
        <f t="shared" si="176"/>
        <v>0</v>
      </c>
      <c r="U407" s="1">
        <f t="shared" si="177"/>
        <v>0</v>
      </c>
      <c r="V407" s="1">
        <f t="shared" si="178"/>
        <v>0</v>
      </c>
      <c r="W407" s="1">
        <f t="shared" si="179"/>
        <v>0</v>
      </c>
      <c r="X407" s="1">
        <f t="shared" si="180"/>
        <v>0</v>
      </c>
      <c r="Y407" s="1">
        <f t="shared" si="181"/>
        <v>0</v>
      </c>
      <c r="Z407" s="1">
        <f t="shared" si="182"/>
        <v>0</v>
      </c>
      <c r="AA407" s="1">
        <f t="shared" si="183"/>
        <v>0</v>
      </c>
      <c r="AB407" s="1">
        <f t="shared" si="184"/>
        <v>0</v>
      </c>
      <c r="AD407" s="1">
        <f t="shared" si="185"/>
        <v>0</v>
      </c>
      <c r="AE407" s="1">
        <f t="shared" si="186"/>
        <v>1</v>
      </c>
      <c r="AF407" s="1">
        <f t="shared" si="187"/>
        <v>0</v>
      </c>
      <c r="AG407" s="1">
        <f t="shared" si="188"/>
        <v>1</v>
      </c>
      <c r="AH407" s="1">
        <f t="shared" si="189"/>
        <v>0</v>
      </c>
      <c r="AI407" s="1">
        <f t="shared" si="190"/>
        <v>1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505</v>
      </c>
      <c r="E408" s="32" t="s">
        <v>155</v>
      </c>
      <c r="F408" s="32" t="s">
        <v>506</v>
      </c>
      <c r="G408" s="32" t="s">
        <v>39</v>
      </c>
      <c r="H408" s="32" t="s">
        <v>352</v>
      </c>
      <c r="I408" s="31" t="s">
        <v>930</v>
      </c>
      <c r="J408" s="31">
        <v>7</v>
      </c>
      <c r="K408" s="33" t="s">
        <v>942</v>
      </c>
      <c r="L408" s="33" t="s">
        <v>39</v>
      </c>
      <c r="M408" s="34" t="s">
        <v>39</v>
      </c>
      <c r="N408" s="34" t="s">
        <v>1700</v>
      </c>
      <c r="O408" s="35">
        <v>1</v>
      </c>
      <c r="P408" s="35">
        <v>1</v>
      </c>
      <c r="Q408" s="32"/>
      <c r="S408" s="1">
        <f t="shared" ref="S408:S422" si="191">IF(J408=$S$7,1,0)</f>
        <v>0</v>
      </c>
      <c r="T408" s="1">
        <f t="shared" ref="T408:T422" si="192">IF(J408=$T$7,1,0)</f>
        <v>0</v>
      </c>
      <c r="U408" s="1">
        <f t="shared" ref="U408:U422" si="193">IF(J408=$U$7,1,0)</f>
        <v>0</v>
      </c>
      <c r="V408" s="1">
        <f t="shared" ref="V408:V422" si="194">IF(J408=$V$7,1,0)</f>
        <v>0</v>
      </c>
      <c r="W408" s="1">
        <f t="shared" ref="W408:W422" si="195">IF(J408=$W$7,1,0)</f>
        <v>0</v>
      </c>
      <c r="X408" s="1">
        <f t="shared" ref="X408:X422" si="196">IF(J408=$X$7,1,0)</f>
        <v>0</v>
      </c>
      <c r="Y408" s="1">
        <f t="shared" ref="Y408:Y422" si="197">IF(J408=$Y$7,1,0)</f>
        <v>1</v>
      </c>
      <c r="Z408" s="1">
        <f t="shared" ref="Z408:Z422" si="198">IF(J408=$Z$7,1,0)</f>
        <v>0</v>
      </c>
      <c r="AA408" s="1">
        <f t="shared" ref="AA408:AA422" si="199">IF(J408=$AA$7,1,0)</f>
        <v>0</v>
      </c>
      <c r="AB408" s="1">
        <f t="shared" ref="AB408:AB422" si="200">IF(J408=$AB$7,1,0)</f>
        <v>0</v>
      </c>
      <c r="AD408" s="1">
        <f t="shared" ref="AD408:AD422" si="201">+O408*P408</f>
        <v>1</v>
      </c>
      <c r="AE408" s="1">
        <f t="shared" ref="AE408:AE422" si="202">O408*(1-P408)</f>
        <v>0</v>
      </c>
      <c r="AF408" s="1">
        <f t="shared" si="187"/>
        <v>1</v>
      </c>
      <c r="AG408" s="1">
        <f t="shared" si="188"/>
        <v>0</v>
      </c>
      <c r="AH408" s="1">
        <f t="shared" si="189"/>
        <v>1</v>
      </c>
      <c r="AI408" s="1">
        <f t="shared" si="19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70</v>
      </c>
      <c r="E409" s="32" t="s">
        <v>28</v>
      </c>
      <c r="F409" s="32" t="s">
        <v>669</v>
      </c>
      <c r="G409" s="32" t="s">
        <v>257</v>
      </c>
      <c r="H409" s="32" t="s">
        <v>352</v>
      </c>
      <c r="I409" s="31" t="s">
        <v>415</v>
      </c>
      <c r="J409" s="31">
        <v>8</v>
      </c>
      <c r="K409" s="33" t="s">
        <v>709</v>
      </c>
      <c r="L409" s="33" t="s">
        <v>709</v>
      </c>
      <c r="M409" s="34" t="s">
        <v>727</v>
      </c>
      <c r="N409" s="34" t="s">
        <v>1714</v>
      </c>
      <c r="O409" s="35">
        <v>1</v>
      </c>
      <c r="P409" s="35"/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0</v>
      </c>
      <c r="Z409" s="1">
        <f t="shared" si="198"/>
        <v>1</v>
      </c>
      <c r="AA409" s="1">
        <f t="shared" si="199"/>
        <v>0</v>
      </c>
      <c r="AB409" s="1">
        <f t="shared" si="200"/>
        <v>0</v>
      </c>
      <c r="AD409" s="1">
        <f t="shared" si="201"/>
        <v>0</v>
      </c>
      <c r="AE409" s="1">
        <f t="shared" si="202"/>
        <v>1</v>
      </c>
      <c r="AF409" s="1">
        <f t="shared" si="187"/>
        <v>0</v>
      </c>
      <c r="AG409" s="1">
        <f t="shared" si="188"/>
        <v>1</v>
      </c>
      <c r="AH409" s="1">
        <f t="shared" si="189"/>
        <v>0</v>
      </c>
      <c r="AI409" s="1">
        <f t="shared" si="190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650</v>
      </c>
      <c r="E410" s="32" t="s">
        <v>155</v>
      </c>
      <c r="F410" s="32" t="s">
        <v>581</v>
      </c>
      <c r="G410" s="32" t="s">
        <v>248</v>
      </c>
      <c r="H410" s="32" t="s">
        <v>352</v>
      </c>
      <c r="I410" s="31" t="s">
        <v>675</v>
      </c>
      <c r="J410" s="31">
        <v>7</v>
      </c>
      <c r="K410" s="33" t="s">
        <v>942</v>
      </c>
      <c r="L410" s="33" t="s">
        <v>39</v>
      </c>
      <c r="M410" s="34" t="s">
        <v>39</v>
      </c>
      <c r="N410" s="34" t="s">
        <v>1700</v>
      </c>
      <c r="O410" s="35">
        <v>1</v>
      </c>
      <c r="P410" s="35">
        <v>1</v>
      </c>
      <c r="Q410" s="32"/>
      <c r="S410" s="1">
        <f t="shared" si="191"/>
        <v>0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1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1</v>
      </c>
      <c r="AE410" s="1">
        <f t="shared" si="202"/>
        <v>0</v>
      </c>
      <c r="AF410" s="1">
        <f t="shared" si="187"/>
        <v>1</v>
      </c>
      <c r="AG410" s="1">
        <f t="shared" si="188"/>
        <v>0</v>
      </c>
      <c r="AH410" s="1">
        <f t="shared" si="189"/>
        <v>1</v>
      </c>
      <c r="AI410" s="1">
        <f t="shared" si="190"/>
        <v>0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1608</v>
      </c>
      <c r="E411" s="45" t="s">
        <v>155</v>
      </c>
      <c r="F411" s="45" t="s">
        <v>1631</v>
      </c>
      <c r="G411" s="45" t="s">
        <v>212</v>
      </c>
      <c r="H411" s="45" t="s">
        <v>352</v>
      </c>
      <c r="I411" s="44" t="s">
        <v>590</v>
      </c>
      <c r="J411" s="44">
        <v>1</v>
      </c>
      <c r="K411" s="46" t="s">
        <v>708</v>
      </c>
      <c r="L411" s="46" t="s">
        <v>718</v>
      </c>
      <c r="M411" s="47" t="s">
        <v>1409</v>
      </c>
      <c r="N411" s="47" t="s">
        <v>1708</v>
      </c>
      <c r="O411" s="48"/>
      <c r="P411" s="48"/>
      <c r="Q411" s="45"/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0</v>
      </c>
      <c r="AF411" s="1">
        <f t="shared" si="187"/>
        <v>0</v>
      </c>
      <c r="AG411" s="1">
        <f t="shared" si="188"/>
        <v>0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1057</v>
      </c>
      <c r="E412" s="32" t="s">
        <v>1033</v>
      </c>
      <c r="F412" s="32" t="s">
        <v>1058</v>
      </c>
      <c r="G412" s="32" t="s">
        <v>212</v>
      </c>
      <c r="H412" s="32" t="s">
        <v>352</v>
      </c>
      <c r="I412" s="31" t="s">
        <v>1059</v>
      </c>
      <c r="J412" s="31">
        <v>1</v>
      </c>
      <c r="K412" s="33" t="s">
        <v>942</v>
      </c>
      <c r="L412" s="33" t="s">
        <v>718</v>
      </c>
      <c r="M412" s="34" t="s">
        <v>1410</v>
      </c>
      <c r="N412" s="34" t="s">
        <v>1714</v>
      </c>
      <c r="O412" s="35">
        <v>1</v>
      </c>
      <c r="P412" s="35"/>
      <c r="Q412" s="32" t="s">
        <v>1889</v>
      </c>
      <c r="S412" s="1">
        <f t="shared" si="191"/>
        <v>1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1004</v>
      </c>
      <c r="E413" s="32" t="s">
        <v>155</v>
      </c>
      <c r="F413" s="32" t="s">
        <v>1075</v>
      </c>
      <c r="G413" s="32" t="s">
        <v>1085</v>
      </c>
      <c r="H413" s="32" t="s">
        <v>352</v>
      </c>
      <c r="I413" s="31" t="s">
        <v>1005</v>
      </c>
      <c r="J413" s="31">
        <v>99</v>
      </c>
      <c r="K413" s="33" t="s">
        <v>709</v>
      </c>
      <c r="L413" s="33" t="s">
        <v>718</v>
      </c>
      <c r="M413" s="34" t="s">
        <v>1410</v>
      </c>
      <c r="N413" s="34" t="s">
        <v>1719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1186</v>
      </c>
      <c r="E414" s="32" t="s">
        <v>1312</v>
      </c>
      <c r="F414" s="32" t="s">
        <v>1187</v>
      </c>
      <c r="G414" s="32" t="s">
        <v>39</v>
      </c>
      <c r="H414" s="32" t="s">
        <v>352</v>
      </c>
      <c r="I414" s="31" t="s">
        <v>1658</v>
      </c>
      <c r="J414" s="31">
        <v>99</v>
      </c>
      <c r="K414" s="33" t="s">
        <v>942</v>
      </c>
      <c r="L414" s="33" t="s">
        <v>725</v>
      </c>
      <c r="M414" s="34" t="s">
        <v>1411</v>
      </c>
      <c r="N414" s="34" t="s">
        <v>1719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0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640</v>
      </c>
      <c r="G415" s="32" t="s">
        <v>531</v>
      </c>
      <c r="H415" s="32" t="s">
        <v>352</v>
      </c>
      <c r="I415" s="31" t="s">
        <v>392</v>
      </c>
      <c r="J415" s="31">
        <v>6</v>
      </c>
      <c r="K415" s="33" t="s">
        <v>708</v>
      </c>
      <c r="L415" s="33" t="s">
        <v>709</v>
      </c>
      <c r="M415" s="34" t="s">
        <v>727</v>
      </c>
      <c r="N415" s="34" t="s">
        <v>1732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1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1</v>
      </c>
      <c r="AH415" s="1">
        <f t="shared" si="189"/>
        <v>0</v>
      </c>
      <c r="AI415" s="1">
        <f t="shared" si="190"/>
        <v>1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215</v>
      </c>
      <c r="G416" s="32" t="s">
        <v>39</v>
      </c>
      <c r="H416" s="32" t="s">
        <v>352</v>
      </c>
      <c r="I416" s="31" t="s">
        <v>30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1732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214</v>
      </c>
      <c r="G417" s="32" t="s">
        <v>39</v>
      </c>
      <c r="H417" s="32" t="s">
        <v>352</v>
      </c>
      <c r="I417" s="31" t="s">
        <v>392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1732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1</v>
      </c>
      <c r="B418" s="31">
        <v>2</v>
      </c>
      <c r="C418" s="31">
        <v>7</v>
      </c>
      <c r="D418" s="32" t="s">
        <v>55</v>
      </c>
      <c r="E418" s="32" t="s">
        <v>28</v>
      </c>
      <c r="F418" s="32" t="s">
        <v>216</v>
      </c>
      <c r="G418" s="32" t="s">
        <v>217</v>
      </c>
      <c r="H418" s="32" t="s">
        <v>352</v>
      </c>
      <c r="I418" s="31" t="s">
        <v>393</v>
      </c>
      <c r="J418" s="31">
        <v>99</v>
      </c>
      <c r="K418" s="33" t="s">
        <v>708</v>
      </c>
      <c r="L418" s="33" t="s">
        <v>709</v>
      </c>
      <c r="M418" s="34" t="s">
        <v>727</v>
      </c>
      <c r="N418" s="34" t="s">
        <v>1732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0</v>
      </c>
      <c r="AH418" s="1">
        <f t="shared" si="189"/>
        <v>0</v>
      </c>
      <c r="AI418" s="1">
        <f t="shared" si="190"/>
        <v>0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6" t="s">
        <v>2020</v>
      </c>
      <c r="E419" s="36" t="s">
        <v>155</v>
      </c>
      <c r="F419" s="36" t="s">
        <v>2021</v>
      </c>
      <c r="G419" s="36" t="s">
        <v>219</v>
      </c>
      <c r="H419" s="36" t="s">
        <v>352</v>
      </c>
      <c r="I419" s="37" t="s">
        <v>2022</v>
      </c>
      <c r="J419" s="31">
        <v>99</v>
      </c>
      <c r="K419" s="33" t="s">
        <v>699</v>
      </c>
      <c r="L419" s="33">
        <v>10</v>
      </c>
      <c r="M419" s="34" t="s">
        <v>2023</v>
      </c>
      <c r="N419" s="34" t="s">
        <v>1719</v>
      </c>
      <c r="O419" s="35">
        <v>1</v>
      </c>
      <c r="P419" s="35"/>
      <c r="Q419" s="32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1</v>
      </c>
      <c r="AF419" s="1">
        <f t="shared" si="187"/>
        <v>0</v>
      </c>
      <c r="AG419" s="1">
        <f t="shared" si="188"/>
        <v>1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6" t="s">
        <v>68</v>
      </c>
      <c r="E420" s="36" t="s">
        <v>28</v>
      </c>
      <c r="F420" s="36" t="s">
        <v>252</v>
      </c>
      <c r="G420" s="36" t="s">
        <v>253</v>
      </c>
      <c r="H420" s="36" t="s">
        <v>352</v>
      </c>
      <c r="I420" s="37" t="s">
        <v>412</v>
      </c>
      <c r="J420" s="31">
        <v>99</v>
      </c>
      <c r="K420" s="33" t="s">
        <v>709</v>
      </c>
      <c r="L420" s="33" t="s">
        <v>709</v>
      </c>
      <c r="M420" s="34" t="s">
        <v>727</v>
      </c>
      <c r="N420" s="34" t="s">
        <v>1796</v>
      </c>
      <c r="O420" s="35">
        <v>1</v>
      </c>
      <c r="P420" s="35"/>
      <c r="Q420" s="32"/>
      <c r="S420" s="1">
        <f t="shared" si="191"/>
        <v>0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0</v>
      </c>
      <c r="AE420" s="1">
        <f t="shared" si="202"/>
        <v>1</v>
      </c>
      <c r="AF420" s="1">
        <f t="shared" si="187"/>
        <v>0</v>
      </c>
      <c r="AG420" s="1">
        <f t="shared" si="188"/>
        <v>1</v>
      </c>
      <c r="AH420" s="1">
        <f t="shared" si="189"/>
        <v>0</v>
      </c>
      <c r="AI420" s="1">
        <f t="shared" si="19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1984</v>
      </c>
      <c r="E421" s="32" t="s">
        <v>28</v>
      </c>
      <c r="F421" s="32" t="s">
        <v>1986</v>
      </c>
      <c r="G421" s="32" t="s">
        <v>1091</v>
      </c>
      <c r="H421" s="32" t="s">
        <v>352</v>
      </c>
      <c r="I421" s="31" t="s">
        <v>1987</v>
      </c>
      <c r="J421" s="31">
        <v>1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1989</v>
      </c>
      <c r="S421" s="1">
        <f t="shared" si="191"/>
        <v>1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0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1</v>
      </c>
      <c r="AG421" s="1">
        <f t="shared" si="188"/>
        <v>0</v>
      </c>
      <c r="AH421" s="1">
        <f t="shared" si="189"/>
        <v>1</v>
      </c>
      <c r="AI421" s="1">
        <f t="shared" si="190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1984</v>
      </c>
      <c r="E422" s="32" t="s">
        <v>28</v>
      </c>
      <c r="F422" s="32" t="s">
        <v>1985</v>
      </c>
      <c r="G422" s="36" t="s">
        <v>1991</v>
      </c>
      <c r="H422" s="32" t="s">
        <v>352</v>
      </c>
      <c r="I422" s="31" t="s">
        <v>1988</v>
      </c>
      <c r="J422" s="31">
        <v>8</v>
      </c>
      <c r="K422" s="33" t="s">
        <v>699</v>
      </c>
      <c r="L422" s="33"/>
      <c r="M422" s="34"/>
      <c r="N422" s="34" t="s">
        <v>1700</v>
      </c>
      <c r="O422" s="35">
        <v>1</v>
      </c>
      <c r="P422" s="35">
        <v>1</v>
      </c>
      <c r="Q422" s="32" t="s">
        <v>1990</v>
      </c>
      <c r="S422" s="1">
        <f t="shared" si="191"/>
        <v>0</v>
      </c>
      <c r="T422" s="1">
        <f t="shared" si="192"/>
        <v>0</v>
      </c>
      <c r="U422" s="1">
        <f t="shared" si="193"/>
        <v>0</v>
      </c>
      <c r="V422" s="1">
        <f t="shared" si="194"/>
        <v>0</v>
      </c>
      <c r="W422" s="1">
        <f t="shared" si="195"/>
        <v>0</v>
      </c>
      <c r="X422" s="1">
        <f t="shared" si="196"/>
        <v>0</v>
      </c>
      <c r="Y422" s="1">
        <f t="shared" si="197"/>
        <v>0</v>
      </c>
      <c r="Z422" s="1">
        <f t="shared" si="198"/>
        <v>1</v>
      </c>
      <c r="AA422" s="1">
        <f t="shared" si="199"/>
        <v>0</v>
      </c>
      <c r="AB422" s="1">
        <f t="shared" si="200"/>
        <v>0</v>
      </c>
      <c r="AD422" s="1">
        <f t="shared" si="201"/>
        <v>1</v>
      </c>
      <c r="AE422" s="1">
        <f t="shared" si="202"/>
        <v>0</v>
      </c>
      <c r="AF422" s="1">
        <f t="shared" si="187"/>
        <v>0</v>
      </c>
      <c r="AG422" s="1">
        <f t="shared" si="188"/>
        <v>0</v>
      </c>
      <c r="AH422" s="1">
        <f t="shared" si="189"/>
        <v>0</v>
      </c>
      <c r="AI422" s="1">
        <f t="shared" si="190"/>
        <v>0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254</v>
      </c>
      <c r="G423" s="36" t="s">
        <v>206</v>
      </c>
      <c r="H423" s="32" t="s">
        <v>352</v>
      </c>
      <c r="I423" s="31" t="s">
        <v>413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ref="S423:S472" si="203">IF(J423=$S$7,1,0)</f>
        <v>0</v>
      </c>
      <c r="T423" s="1">
        <f t="shared" ref="T423:T472" si="204">IF(J423=$T$7,1,0)</f>
        <v>0</v>
      </c>
      <c r="U423" s="1">
        <f t="shared" ref="U423:U472" si="205">IF(J423=$U$7,1,0)</f>
        <v>0</v>
      </c>
      <c r="V423" s="1">
        <f t="shared" ref="V423:V472" si="206">IF(J423=$V$7,1,0)</f>
        <v>0</v>
      </c>
      <c r="W423" s="1">
        <f t="shared" ref="W423:W472" si="207">IF(J423=$W$7,1,0)</f>
        <v>0</v>
      </c>
      <c r="X423" s="1">
        <f t="shared" ref="X423:X472" si="208">IF(J423=$X$7,1,0)</f>
        <v>0</v>
      </c>
      <c r="Y423" s="1">
        <f t="shared" ref="Y423:Y472" si="209">IF(J423=$Y$7,1,0)</f>
        <v>0</v>
      </c>
      <c r="Z423" s="1">
        <f t="shared" ref="Z423:Z472" si="210">IF(J423=$Z$7,1,0)</f>
        <v>0</v>
      </c>
      <c r="AA423" s="1">
        <f t="shared" ref="AA423:AA472" si="211">IF(J423=$AA$7,1,0)</f>
        <v>0</v>
      </c>
      <c r="AB423" s="1">
        <f t="shared" ref="AB423:AB472" si="212">IF(J423=$AB$7,1,0)</f>
        <v>0</v>
      </c>
      <c r="AD423" s="1">
        <f t="shared" ref="AD423:AD472" si="213">+O423*P423</f>
        <v>1</v>
      </c>
      <c r="AE423" s="1">
        <f t="shared" ref="AE423:AE472" si="214">O423*(1-P423)</f>
        <v>0</v>
      </c>
      <c r="AF423" s="1">
        <f t="shared" ref="AF423:AF468" si="215">+O423*P423*(1-A423)</f>
        <v>1</v>
      </c>
      <c r="AG423" s="1">
        <f t="shared" ref="AG423:AG468" si="216">O423*(1-P423)*(1-A423)</f>
        <v>0</v>
      </c>
      <c r="AH423" s="1">
        <f t="shared" ref="AH423:AH468" si="217">+P423*(1-A423)</f>
        <v>1</v>
      </c>
      <c r="AI423" s="1">
        <f t="shared" ref="AI423:AI468" si="218">+(1-A423)*(1-P423)</f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1845</v>
      </c>
      <c r="G424" s="36" t="s">
        <v>255</v>
      </c>
      <c r="H424" s="32" t="s">
        <v>352</v>
      </c>
      <c r="I424" s="31" t="s">
        <v>414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69</v>
      </c>
      <c r="E425" s="32" t="s">
        <v>28</v>
      </c>
      <c r="F425" s="32" t="s">
        <v>566</v>
      </c>
      <c r="G425" s="36" t="s">
        <v>567</v>
      </c>
      <c r="H425" s="32" t="s">
        <v>352</v>
      </c>
      <c r="I425" s="31" t="s">
        <v>576</v>
      </c>
      <c r="J425" s="31">
        <v>99</v>
      </c>
      <c r="K425" s="33" t="s">
        <v>942</v>
      </c>
      <c r="L425" s="33" t="s">
        <v>709</v>
      </c>
      <c r="M425" s="34" t="s">
        <v>727</v>
      </c>
      <c r="N425" s="34" t="s">
        <v>1706</v>
      </c>
      <c r="O425" s="35">
        <v>1</v>
      </c>
      <c r="P425" s="35">
        <v>1</v>
      </c>
      <c r="Q425" s="32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1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0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71</v>
      </c>
      <c r="E426" s="45" t="s">
        <v>28</v>
      </c>
      <c r="F426" s="45" t="s">
        <v>1328</v>
      </c>
      <c r="G426" s="45" t="s">
        <v>258</v>
      </c>
      <c r="H426" s="45" t="s">
        <v>352</v>
      </c>
      <c r="I426" s="44" t="s">
        <v>416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1773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44">
        <v>0</v>
      </c>
      <c r="B427" s="44">
        <v>2</v>
      </c>
      <c r="C427" s="44">
        <v>7</v>
      </c>
      <c r="D427" s="45" t="s">
        <v>1049</v>
      </c>
      <c r="E427" s="45" t="s">
        <v>28</v>
      </c>
      <c r="F427" s="45" t="s">
        <v>1050</v>
      </c>
      <c r="G427" s="45" t="s">
        <v>1051</v>
      </c>
      <c r="H427" s="45" t="s">
        <v>352</v>
      </c>
      <c r="I427" s="44" t="s">
        <v>1052</v>
      </c>
      <c r="J427" s="44">
        <v>99</v>
      </c>
      <c r="K427" s="46" t="s">
        <v>709</v>
      </c>
      <c r="L427" s="46" t="s">
        <v>709</v>
      </c>
      <c r="M427" s="47" t="s">
        <v>727</v>
      </c>
      <c r="N427" s="47" t="s">
        <v>1773</v>
      </c>
      <c r="O427" s="48"/>
      <c r="P427" s="48"/>
      <c r="Q427" s="45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0</v>
      </c>
      <c r="AE427" s="1">
        <f t="shared" si="214"/>
        <v>0</v>
      </c>
      <c r="AF427" s="1">
        <f t="shared" si="215"/>
        <v>0</v>
      </c>
      <c r="AG427" s="1">
        <f t="shared" si="216"/>
        <v>0</v>
      </c>
      <c r="AH427" s="1">
        <f t="shared" si="217"/>
        <v>0</v>
      </c>
      <c r="AI427" s="1">
        <f t="shared" si="218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1777</v>
      </c>
      <c r="E428" s="32" t="s">
        <v>155</v>
      </c>
      <c r="F428" s="32" t="s">
        <v>1778</v>
      </c>
      <c r="G428" s="32"/>
      <c r="H428" s="32" t="s">
        <v>352</v>
      </c>
      <c r="I428" s="31" t="s">
        <v>1779</v>
      </c>
      <c r="J428" s="31">
        <v>99</v>
      </c>
      <c r="K428" s="33" t="s">
        <v>699</v>
      </c>
      <c r="L428" s="33"/>
      <c r="M428" s="34"/>
      <c r="N428" s="34" t="s">
        <v>1700</v>
      </c>
      <c r="O428" s="35">
        <v>1</v>
      </c>
      <c r="P428" s="35">
        <v>1</v>
      </c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1</v>
      </c>
      <c r="AE428" s="1">
        <f t="shared" si="214"/>
        <v>0</v>
      </c>
      <c r="AF428" s="1">
        <f t="shared" si="215"/>
        <v>1</v>
      </c>
      <c r="AG428" s="1">
        <f t="shared" si="216"/>
        <v>0</v>
      </c>
      <c r="AH428" s="1">
        <f t="shared" si="217"/>
        <v>1</v>
      </c>
      <c r="AI428" s="1">
        <f t="shared" si="218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1162</v>
      </c>
      <c r="E429" s="32" t="s">
        <v>155</v>
      </c>
      <c r="F429" s="32" t="s">
        <v>1163</v>
      </c>
      <c r="G429" s="32" t="s">
        <v>291</v>
      </c>
      <c r="H429" s="32" t="s">
        <v>352</v>
      </c>
      <c r="I429" s="31" t="s">
        <v>1164</v>
      </c>
      <c r="J429" s="31">
        <v>99</v>
      </c>
      <c r="K429" s="33" t="s">
        <v>709</v>
      </c>
      <c r="L429" s="33" t="s">
        <v>718</v>
      </c>
      <c r="M429" s="34" t="s">
        <v>1410</v>
      </c>
      <c r="N429" s="34" t="s">
        <v>1719</v>
      </c>
      <c r="O429" s="35">
        <v>1</v>
      </c>
      <c r="P429" s="35"/>
      <c r="Q429" s="32"/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1137</v>
      </c>
      <c r="E430" s="32" t="s">
        <v>1138</v>
      </c>
      <c r="F430" s="36" t="s">
        <v>1849</v>
      </c>
      <c r="G430" s="32" t="s">
        <v>624</v>
      </c>
      <c r="H430" s="32" t="s">
        <v>352</v>
      </c>
      <c r="I430" s="31" t="s">
        <v>1139</v>
      </c>
      <c r="J430" s="31">
        <v>99</v>
      </c>
      <c r="K430" s="33" t="s">
        <v>709</v>
      </c>
      <c r="L430" s="33" t="s">
        <v>709</v>
      </c>
      <c r="M430" s="34" t="s">
        <v>727</v>
      </c>
      <c r="N430" s="34" t="s">
        <v>1714</v>
      </c>
      <c r="O430" s="35">
        <v>1</v>
      </c>
      <c r="P430" s="35"/>
      <c r="Q430" s="36" t="s">
        <v>1869</v>
      </c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538</v>
      </c>
      <c r="E431" s="32" t="s">
        <v>157</v>
      </c>
      <c r="F431" s="32" t="s">
        <v>194</v>
      </c>
      <c r="G431" s="32" t="s">
        <v>195</v>
      </c>
      <c r="H431" s="32" t="s">
        <v>352</v>
      </c>
      <c r="I431" s="31" t="s">
        <v>546</v>
      </c>
      <c r="J431" s="31">
        <v>99</v>
      </c>
      <c r="K431" s="33" t="s">
        <v>942</v>
      </c>
      <c r="L431" s="33" t="s">
        <v>692</v>
      </c>
      <c r="M431" s="34" t="s">
        <v>1412</v>
      </c>
      <c r="N431" s="34" t="s">
        <v>1719</v>
      </c>
      <c r="O431" s="35">
        <v>1</v>
      </c>
      <c r="P431" s="35"/>
      <c r="Q431" s="32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0</v>
      </c>
      <c r="AD431" s="1">
        <f t="shared" si="213"/>
        <v>0</v>
      </c>
      <c r="AE431" s="1">
        <f t="shared" si="214"/>
        <v>1</v>
      </c>
      <c r="AF431" s="1">
        <f t="shared" si="215"/>
        <v>0</v>
      </c>
      <c r="AG431" s="1">
        <f t="shared" si="216"/>
        <v>1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46</v>
      </c>
      <c r="E432" s="45" t="s">
        <v>155</v>
      </c>
      <c r="F432" s="45" t="s">
        <v>182</v>
      </c>
      <c r="G432" s="45" t="s">
        <v>178</v>
      </c>
      <c r="H432" s="45" t="s">
        <v>352</v>
      </c>
      <c r="I432" s="44" t="s">
        <v>380</v>
      </c>
      <c r="J432" s="44">
        <v>10</v>
      </c>
      <c r="K432" s="46" t="s">
        <v>942</v>
      </c>
      <c r="L432" s="46" t="s">
        <v>718</v>
      </c>
      <c r="M432" s="47" t="s">
        <v>1410</v>
      </c>
      <c r="N432" s="47" t="s">
        <v>1780</v>
      </c>
      <c r="O432" s="48"/>
      <c r="P432" s="48"/>
      <c r="Q432" s="45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0</v>
      </c>
      <c r="Z432" s="1">
        <f t="shared" si="210"/>
        <v>0</v>
      </c>
      <c r="AA432" s="1">
        <f t="shared" si="211"/>
        <v>0</v>
      </c>
      <c r="AB432" s="1">
        <f t="shared" si="212"/>
        <v>1</v>
      </c>
      <c r="AD432" s="1">
        <f t="shared" si="213"/>
        <v>0</v>
      </c>
      <c r="AE432" s="1">
        <f t="shared" si="214"/>
        <v>0</v>
      </c>
      <c r="AF432" s="1">
        <f t="shared" si="215"/>
        <v>0</v>
      </c>
      <c r="AG432" s="1">
        <f t="shared" si="216"/>
        <v>0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247</v>
      </c>
      <c r="G433" s="32" t="s">
        <v>248</v>
      </c>
      <c r="H433" s="32" t="s">
        <v>352</v>
      </c>
      <c r="I433" s="31" t="s">
        <v>409</v>
      </c>
      <c r="J433" s="31">
        <v>7</v>
      </c>
      <c r="K433" s="33" t="s">
        <v>709</v>
      </c>
      <c r="L433" s="33" t="s">
        <v>709</v>
      </c>
      <c r="M433" s="34" t="s">
        <v>727</v>
      </c>
      <c r="N433" s="34" t="s">
        <v>1720</v>
      </c>
      <c r="O433" s="35">
        <v>1</v>
      </c>
      <c r="P433" s="35"/>
      <c r="Q433" s="32"/>
      <c r="S433" s="1">
        <f t="shared" si="203"/>
        <v>0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1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1</v>
      </c>
      <c r="AH433" s="1">
        <f t="shared" si="217"/>
        <v>0</v>
      </c>
      <c r="AI433" s="1">
        <f t="shared" si="218"/>
        <v>1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1026</v>
      </c>
      <c r="G434" s="32" t="s">
        <v>535</v>
      </c>
      <c r="H434" s="32" t="s">
        <v>352</v>
      </c>
      <c r="I434" s="31" t="s">
        <v>30</v>
      </c>
      <c r="J434" s="31">
        <v>1</v>
      </c>
      <c r="K434" s="33" t="s">
        <v>709</v>
      </c>
      <c r="L434" s="33" t="s">
        <v>709</v>
      </c>
      <c r="M434" s="34" t="s">
        <v>727</v>
      </c>
      <c r="N434" s="34" t="s">
        <v>1720</v>
      </c>
      <c r="O434" s="35">
        <v>1</v>
      </c>
      <c r="P434" s="35"/>
      <c r="Q434" s="32"/>
      <c r="S434" s="1">
        <f t="shared" si="203"/>
        <v>1</v>
      </c>
      <c r="T434" s="1">
        <f t="shared" si="204"/>
        <v>0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249</v>
      </c>
      <c r="G435" s="32" t="s">
        <v>199</v>
      </c>
      <c r="H435" s="32" t="s">
        <v>352</v>
      </c>
      <c r="I435" s="31" t="s">
        <v>410</v>
      </c>
      <c r="J435" s="31">
        <v>2</v>
      </c>
      <c r="K435" s="33" t="s">
        <v>709</v>
      </c>
      <c r="L435" s="33" t="s">
        <v>709</v>
      </c>
      <c r="M435" s="34" t="s">
        <v>727</v>
      </c>
      <c r="N435" s="34" t="s">
        <v>1720</v>
      </c>
      <c r="O435" s="35">
        <v>1</v>
      </c>
      <c r="P435" s="35"/>
      <c r="Q435" s="32"/>
      <c r="S435" s="1">
        <f t="shared" si="203"/>
        <v>0</v>
      </c>
      <c r="T435" s="1">
        <f t="shared" si="204"/>
        <v>1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246</v>
      </c>
      <c r="G436" s="32" t="s">
        <v>1330</v>
      </c>
      <c r="H436" s="32" t="s">
        <v>352</v>
      </c>
      <c r="I436" s="31" t="s">
        <v>30</v>
      </c>
      <c r="J436" s="31">
        <v>1</v>
      </c>
      <c r="K436" s="33" t="s">
        <v>709</v>
      </c>
      <c r="L436" s="33" t="s">
        <v>709</v>
      </c>
      <c r="M436" s="34" t="s">
        <v>727</v>
      </c>
      <c r="N436" s="34" t="s">
        <v>1720</v>
      </c>
      <c r="O436" s="35">
        <v>1</v>
      </c>
      <c r="P436" s="35"/>
      <c r="Q436" s="32" t="s">
        <v>1888</v>
      </c>
      <c r="S436" s="1">
        <f t="shared" si="203"/>
        <v>1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0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251</v>
      </c>
      <c r="G437" s="32" t="s">
        <v>193</v>
      </c>
      <c r="H437" s="32" t="s">
        <v>352</v>
      </c>
      <c r="I437" s="31" t="s">
        <v>411</v>
      </c>
      <c r="J437" s="31">
        <v>9</v>
      </c>
      <c r="K437" s="33" t="s">
        <v>709</v>
      </c>
      <c r="L437" s="33" t="s">
        <v>709</v>
      </c>
      <c r="M437" s="34" t="s">
        <v>727</v>
      </c>
      <c r="N437" s="34" t="s">
        <v>1720</v>
      </c>
      <c r="O437" s="35">
        <v>1</v>
      </c>
      <c r="P437" s="35"/>
      <c r="Q437" s="32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0</v>
      </c>
      <c r="AH437" s="1">
        <f t="shared" si="217"/>
        <v>0</v>
      </c>
      <c r="AI437" s="1">
        <f t="shared" si="218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1010</v>
      </c>
      <c r="E438" s="32" t="s">
        <v>28</v>
      </c>
      <c r="F438" s="32" t="s">
        <v>1011</v>
      </c>
      <c r="G438" s="32" t="s">
        <v>193</v>
      </c>
      <c r="H438" s="32" t="s">
        <v>352</v>
      </c>
      <c r="I438" s="31" t="s">
        <v>1012</v>
      </c>
      <c r="J438" s="31">
        <v>9</v>
      </c>
      <c r="K438" s="33" t="s">
        <v>708</v>
      </c>
      <c r="L438" s="33" t="s">
        <v>709</v>
      </c>
      <c r="M438" s="34" t="s">
        <v>727</v>
      </c>
      <c r="N438" s="34" t="s">
        <v>1714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1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1804</v>
      </c>
      <c r="E439" s="32" t="s">
        <v>1805</v>
      </c>
      <c r="F439" s="32" t="s">
        <v>1806</v>
      </c>
      <c r="G439" s="32" t="s">
        <v>206</v>
      </c>
      <c r="H439" s="32" t="s">
        <v>352</v>
      </c>
      <c r="I439" s="31" t="s">
        <v>30</v>
      </c>
      <c r="J439" s="31"/>
      <c r="K439" s="33" t="s">
        <v>699</v>
      </c>
      <c r="L439" s="33">
        <v>20</v>
      </c>
      <c r="M439" s="34" t="s">
        <v>1807</v>
      </c>
      <c r="N439" s="34" t="s">
        <v>1714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1066</v>
      </c>
      <c r="E440" s="32" t="s">
        <v>540</v>
      </c>
      <c r="F440" s="32" t="s">
        <v>1047</v>
      </c>
      <c r="G440" s="32" t="s">
        <v>237</v>
      </c>
      <c r="H440" s="32" t="s">
        <v>352</v>
      </c>
      <c r="I440" s="31" t="s">
        <v>1048</v>
      </c>
      <c r="J440" s="31">
        <v>99</v>
      </c>
      <c r="K440" s="33" t="s">
        <v>942</v>
      </c>
      <c r="L440" s="33" t="s">
        <v>718</v>
      </c>
      <c r="M440" s="34" t="s">
        <v>1413</v>
      </c>
      <c r="N440" s="34" t="s">
        <v>1714</v>
      </c>
      <c r="O440" s="35">
        <v>1</v>
      </c>
      <c r="P440" s="35"/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0</v>
      </c>
      <c r="AE440" s="1">
        <f t="shared" si="214"/>
        <v>1</v>
      </c>
      <c r="AF440" s="1">
        <f t="shared" si="215"/>
        <v>0</v>
      </c>
      <c r="AG440" s="1">
        <f t="shared" si="216"/>
        <v>1</v>
      </c>
      <c r="AH440" s="1">
        <f t="shared" si="217"/>
        <v>0</v>
      </c>
      <c r="AI440" s="1">
        <f t="shared" si="21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1207</v>
      </c>
      <c r="E441" s="32" t="s">
        <v>155</v>
      </c>
      <c r="F441" s="32" t="s">
        <v>1208</v>
      </c>
      <c r="G441" s="32" t="s">
        <v>250</v>
      </c>
      <c r="H441" s="32" t="s">
        <v>352</v>
      </c>
      <c r="I441" s="31" t="s">
        <v>1209</v>
      </c>
      <c r="J441" s="31">
        <v>99</v>
      </c>
      <c r="K441" s="33" t="s">
        <v>709</v>
      </c>
      <c r="L441" s="33">
        <v>10</v>
      </c>
      <c r="M441" s="34" t="s">
        <v>1717</v>
      </c>
      <c r="N441" s="34" t="s">
        <v>1700</v>
      </c>
      <c r="O441" s="35">
        <v>1</v>
      </c>
      <c r="P441" s="35">
        <v>1</v>
      </c>
      <c r="Q441" s="32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0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6" t="s">
        <v>1774</v>
      </c>
      <c r="E442" s="36" t="s">
        <v>28</v>
      </c>
      <c r="F442" s="36" t="s">
        <v>1775</v>
      </c>
      <c r="G442" s="36" t="s">
        <v>179</v>
      </c>
      <c r="H442" s="36" t="s">
        <v>352</v>
      </c>
      <c r="I442" s="37" t="s">
        <v>1776</v>
      </c>
      <c r="J442" s="31">
        <v>10</v>
      </c>
      <c r="K442" s="33" t="s">
        <v>699</v>
      </c>
      <c r="L442" s="33">
        <v>10</v>
      </c>
      <c r="M442" s="34"/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1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1559</v>
      </c>
      <c r="E443" s="36" t="s">
        <v>1625</v>
      </c>
      <c r="F443" s="36" t="s">
        <v>1560</v>
      </c>
      <c r="G443" s="36" t="s">
        <v>652</v>
      </c>
      <c r="H443" s="36" t="s">
        <v>352</v>
      </c>
      <c r="I443" s="37" t="s">
        <v>1561</v>
      </c>
      <c r="J443" s="37">
        <v>99</v>
      </c>
      <c r="K443" s="33" t="s">
        <v>709</v>
      </c>
      <c r="L443" s="33" t="s">
        <v>39</v>
      </c>
      <c r="M443" s="34" t="s">
        <v>39</v>
      </c>
      <c r="N443" s="34" t="s">
        <v>1700</v>
      </c>
      <c r="O443" s="35">
        <v>1</v>
      </c>
      <c r="P443" s="35">
        <v>1</v>
      </c>
      <c r="Q443" s="36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1</v>
      </c>
      <c r="AE443" s="1">
        <f t="shared" si="214"/>
        <v>0</v>
      </c>
      <c r="AF443" s="1">
        <f t="shared" si="215"/>
        <v>1</v>
      </c>
      <c r="AG443" s="1">
        <f t="shared" si="216"/>
        <v>0</v>
      </c>
      <c r="AH443" s="1">
        <f t="shared" si="217"/>
        <v>1</v>
      </c>
      <c r="AI443" s="1">
        <f t="shared" si="218"/>
        <v>0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1511</v>
      </c>
      <c r="E444" s="32" t="s">
        <v>28</v>
      </c>
      <c r="F444" s="32" t="s">
        <v>1636</v>
      </c>
      <c r="G444" s="32" t="s">
        <v>285</v>
      </c>
      <c r="H444" s="32" t="s">
        <v>352</v>
      </c>
      <c r="I444" s="31" t="s">
        <v>1661</v>
      </c>
      <c r="J444" s="31">
        <v>99</v>
      </c>
      <c r="K444" s="33" t="s">
        <v>709</v>
      </c>
      <c r="L444" s="33" t="s">
        <v>709</v>
      </c>
      <c r="M444" s="34" t="s">
        <v>727</v>
      </c>
      <c r="N444" s="34" t="s">
        <v>1714</v>
      </c>
      <c r="O444" s="35">
        <v>1</v>
      </c>
      <c r="P444" s="35"/>
      <c r="Q444" s="32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0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1</v>
      </c>
      <c r="AF444" s="1">
        <f t="shared" si="215"/>
        <v>0</v>
      </c>
      <c r="AG444" s="1">
        <f t="shared" si="216"/>
        <v>1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1308</v>
      </c>
      <c r="E445" s="32" t="s">
        <v>28</v>
      </c>
      <c r="F445" s="32" t="s">
        <v>568</v>
      </c>
      <c r="G445" s="32" t="s">
        <v>180</v>
      </c>
      <c r="H445" s="32" t="s">
        <v>352</v>
      </c>
      <c r="I445" s="31" t="s">
        <v>428</v>
      </c>
      <c r="J445" s="31">
        <v>7</v>
      </c>
      <c r="K445" s="33" t="s">
        <v>708</v>
      </c>
      <c r="L445" s="33" t="s">
        <v>709</v>
      </c>
      <c r="M445" s="34" t="s">
        <v>727</v>
      </c>
      <c r="N445" s="34" t="s">
        <v>1714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1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1846</v>
      </c>
      <c r="G446" s="32" t="s">
        <v>234</v>
      </c>
      <c r="H446" s="32" t="s">
        <v>352</v>
      </c>
      <c r="I446" s="31" t="s">
        <v>676</v>
      </c>
      <c r="J446" s="31">
        <v>99</v>
      </c>
      <c r="K446" s="33" t="s">
        <v>709</v>
      </c>
      <c r="L446" s="33" t="s">
        <v>709</v>
      </c>
      <c r="M446" s="34" t="s">
        <v>727</v>
      </c>
      <c r="N446" s="34" t="s">
        <v>1714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0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1</v>
      </c>
      <c r="AH446" s="1">
        <f t="shared" si="217"/>
        <v>0</v>
      </c>
      <c r="AI446" s="1">
        <f t="shared" si="218"/>
        <v>1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260</v>
      </c>
      <c r="G447" s="32" t="s">
        <v>219</v>
      </c>
      <c r="H447" s="32" t="s">
        <v>352</v>
      </c>
      <c r="I447" s="31" t="s">
        <v>418</v>
      </c>
      <c r="J447" s="31">
        <v>8</v>
      </c>
      <c r="K447" s="33" t="s">
        <v>709</v>
      </c>
      <c r="L447" s="33" t="s">
        <v>709</v>
      </c>
      <c r="M447" s="34" t="s">
        <v>727</v>
      </c>
      <c r="N447" s="34" t="s">
        <v>1714</v>
      </c>
      <c r="O447" s="35">
        <v>1</v>
      </c>
      <c r="P447" s="35"/>
      <c r="Q447" s="32"/>
      <c r="S447" s="1">
        <f t="shared" si="203"/>
        <v>0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1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72</v>
      </c>
      <c r="E448" s="32" t="s">
        <v>28</v>
      </c>
      <c r="F448" s="32" t="s">
        <v>259</v>
      </c>
      <c r="G448" s="32" t="s">
        <v>177</v>
      </c>
      <c r="H448" s="32" t="s">
        <v>352</v>
      </c>
      <c r="I448" s="31" t="s">
        <v>417</v>
      </c>
      <c r="J448" s="31">
        <v>1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203"/>
        <v>1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1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0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769</v>
      </c>
      <c r="E449" s="16" t="s">
        <v>28</v>
      </c>
      <c r="F449" s="16" t="s">
        <v>770</v>
      </c>
      <c r="G449" s="16" t="s">
        <v>278</v>
      </c>
      <c r="H449" s="16" t="s">
        <v>352</v>
      </c>
      <c r="I449" s="15" t="s">
        <v>771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15">
        <v>0</v>
      </c>
      <c r="B450" s="15">
        <v>2</v>
      </c>
      <c r="C450" s="15">
        <v>7</v>
      </c>
      <c r="D450" s="16" t="s">
        <v>85</v>
      </c>
      <c r="E450" s="16" t="s">
        <v>28</v>
      </c>
      <c r="F450" s="16" t="s">
        <v>277</v>
      </c>
      <c r="G450" s="16" t="s">
        <v>278</v>
      </c>
      <c r="H450" s="16" t="s">
        <v>352</v>
      </c>
      <c r="I450" s="15" t="s">
        <v>432</v>
      </c>
      <c r="J450" s="15">
        <v>99</v>
      </c>
      <c r="K450" s="10" t="s">
        <v>709</v>
      </c>
      <c r="L450" s="10" t="s">
        <v>709</v>
      </c>
      <c r="M450" s="19" t="s">
        <v>727</v>
      </c>
      <c r="N450" s="17"/>
      <c r="Q450" s="16"/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0</v>
      </c>
      <c r="AF450" s="1">
        <f t="shared" si="215"/>
        <v>0</v>
      </c>
      <c r="AG450" s="1">
        <f t="shared" si="216"/>
        <v>0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1908</v>
      </c>
      <c r="E451" s="36" t="s">
        <v>28</v>
      </c>
      <c r="F451" s="36" t="s">
        <v>1909</v>
      </c>
      <c r="G451" s="36" t="s">
        <v>184</v>
      </c>
      <c r="H451" s="36" t="s">
        <v>352</v>
      </c>
      <c r="I451" s="37" t="s">
        <v>1910</v>
      </c>
      <c r="J451" s="37">
        <v>99</v>
      </c>
      <c r="K451" s="33" t="s">
        <v>699</v>
      </c>
      <c r="L451" s="33">
        <v>4</v>
      </c>
      <c r="M451" s="34" t="s">
        <v>727</v>
      </c>
      <c r="N451" s="34" t="s">
        <v>1714</v>
      </c>
      <c r="O451" s="35">
        <v>1</v>
      </c>
      <c r="P451" s="35"/>
      <c r="Q451" s="36" t="s">
        <v>1911</v>
      </c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1847</v>
      </c>
      <c r="G452" s="36" t="s">
        <v>552</v>
      </c>
      <c r="H452" s="36" t="s">
        <v>352</v>
      </c>
      <c r="I452" s="37" t="s">
        <v>553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1796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1</v>
      </c>
      <c r="AH452" s="1">
        <f t="shared" si="217"/>
        <v>0</v>
      </c>
      <c r="AI452" s="1">
        <f t="shared" si="218"/>
        <v>1</v>
      </c>
    </row>
    <row r="453" spans="1:35" ht="14.25" customHeight="1" x14ac:dyDescent="0.25">
      <c r="A453" s="37">
        <v>1</v>
      </c>
      <c r="B453" s="37">
        <v>2</v>
      </c>
      <c r="C453" s="37">
        <v>7</v>
      </c>
      <c r="D453" s="36" t="s">
        <v>549</v>
      </c>
      <c r="E453" s="36" t="s">
        <v>28</v>
      </c>
      <c r="F453" s="36" t="s">
        <v>1848</v>
      </c>
      <c r="G453" s="36" t="s">
        <v>550</v>
      </c>
      <c r="H453" s="36" t="s">
        <v>352</v>
      </c>
      <c r="I453" s="37" t="s">
        <v>551</v>
      </c>
      <c r="J453" s="37">
        <v>99</v>
      </c>
      <c r="K453" s="33" t="s">
        <v>709</v>
      </c>
      <c r="L453" s="33" t="s">
        <v>709</v>
      </c>
      <c r="M453" s="34" t="s">
        <v>727</v>
      </c>
      <c r="N453" s="34" t="s">
        <v>1796</v>
      </c>
      <c r="O453" s="35">
        <v>1</v>
      </c>
      <c r="P453" s="35"/>
      <c r="Q453" s="36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0</v>
      </c>
      <c r="AH453" s="1">
        <f t="shared" si="217"/>
        <v>0</v>
      </c>
      <c r="AI453" s="1">
        <f t="shared" si="218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1651</v>
      </c>
      <c r="G454" s="32" t="s">
        <v>234</v>
      </c>
      <c r="H454" s="32" t="s">
        <v>352</v>
      </c>
      <c r="I454" s="31" t="s">
        <v>1344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1</v>
      </c>
      <c r="AH454" s="1">
        <f t="shared" si="217"/>
        <v>0</v>
      </c>
      <c r="AI454" s="1">
        <f t="shared" si="218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1166</v>
      </c>
      <c r="E455" s="32" t="s">
        <v>28</v>
      </c>
      <c r="F455" s="32" t="s">
        <v>1652</v>
      </c>
      <c r="G455" s="32" t="s">
        <v>1331</v>
      </c>
      <c r="H455" s="32" t="s">
        <v>352</v>
      </c>
      <c r="I455" s="31" t="s">
        <v>1345</v>
      </c>
      <c r="J455" s="31">
        <v>99</v>
      </c>
      <c r="K455" s="33" t="s">
        <v>708</v>
      </c>
      <c r="L455" s="33" t="s">
        <v>709</v>
      </c>
      <c r="M455" s="34" t="s">
        <v>727</v>
      </c>
      <c r="N455" s="34" t="s">
        <v>1714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0</v>
      </c>
      <c r="AH455" s="1">
        <f t="shared" si="217"/>
        <v>0</v>
      </c>
      <c r="AI455" s="1">
        <f t="shared" si="218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1233</v>
      </c>
      <c r="G456" s="32" t="s">
        <v>1218</v>
      </c>
      <c r="H456" s="32" t="s">
        <v>352</v>
      </c>
      <c r="I456" s="31" t="s">
        <v>1235</v>
      </c>
      <c r="J456" s="31">
        <v>99</v>
      </c>
      <c r="K456" s="33" t="s">
        <v>699</v>
      </c>
      <c r="L456" s="33" t="s">
        <v>709</v>
      </c>
      <c r="M456" s="34" t="s">
        <v>727</v>
      </c>
      <c r="N456" s="34" t="s">
        <v>1714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0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1</v>
      </c>
      <c r="AH456" s="1">
        <f t="shared" si="217"/>
        <v>0</v>
      </c>
      <c r="AI456" s="1">
        <f t="shared" si="218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2" t="s">
        <v>1232</v>
      </c>
      <c r="G457" s="32" t="s">
        <v>39</v>
      </c>
      <c r="H457" s="32" t="s">
        <v>352</v>
      </c>
      <c r="I457" s="31" t="s">
        <v>1236</v>
      </c>
      <c r="J457" s="31">
        <v>9</v>
      </c>
      <c r="K457" s="33" t="s">
        <v>699</v>
      </c>
      <c r="L457" s="33" t="s">
        <v>709</v>
      </c>
      <c r="M457" s="34" t="s">
        <v>727</v>
      </c>
      <c r="N457" s="34" t="s">
        <v>1714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0</v>
      </c>
      <c r="AA457" s="1">
        <f t="shared" si="211"/>
        <v>1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1234</v>
      </c>
      <c r="E458" s="32" t="s">
        <v>28</v>
      </c>
      <c r="F458" s="36" t="s">
        <v>1795</v>
      </c>
      <c r="G458" s="36" t="s">
        <v>257</v>
      </c>
      <c r="H458" s="32" t="s">
        <v>352</v>
      </c>
      <c r="I458" s="37" t="s">
        <v>30</v>
      </c>
      <c r="J458" s="31">
        <v>8</v>
      </c>
      <c r="K458" s="33" t="s">
        <v>699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1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0</v>
      </c>
      <c r="AH458" s="1">
        <f t="shared" si="217"/>
        <v>0</v>
      </c>
      <c r="AI458" s="1">
        <f t="shared" si="21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51</v>
      </c>
      <c r="E459" s="32" t="s">
        <v>28</v>
      </c>
      <c r="F459" s="32" t="s">
        <v>670</v>
      </c>
      <c r="G459" s="32" t="s">
        <v>184</v>
      </c>
      <c r="H459" s="32" t="s">
        <v>352</v>
      </c>
      <c r="I459" s="31" t="s">
        <v>388</v>
      </c>
      <c r="J459" s="31">
        <v>99</v>
      </c>
      <c r="K459" s="33" t="s">
        <v>708</v>
      </c>
      <c r="L459" s="33" t="s">
        <v>709</v>
      </c>
      <c r="M459" s="34" t="s">
        <v>727</v>
      </c>
      <c r="N459" s="34" t="s">
        <v>1720</v>
      </c>
      <c r="O459" s="35">
        <v>1</v>
      </c>
      <c r="P459" s="35"/>
      <c r="Q459" s="32"/>
      <c r="S459" s="1">
        <f t="shared" si="203"/>
        <v>0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1</v>
      </c>
      <c r="AH459" s="1">
        <f t="shared" si="217"/>
        <v>0</v>
      </c>
      <c r="AI459" s="1">
        <f t="shared" si="21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1068</v>
      </c>
      <c r="E460" s="32" t="s">
        <v>28</v>
      </c>
      <c r="F460" s="32" t="s">
        <v>985</v>
      </c>
      <c r="G460" s="32" t="s">
        <v>239</v>
      </c>
      <c r="H460" s="32" t="s">
        <v>352</v>
      </c>
      <c r="I460" s="31" t="s">
        <v>1093</v>
      </c>
      <c r="J460" s="31">
        <v>1</v>
      </c>
      <c r="K460" s="33" t="s">
        <v>708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1</v>
      </c>
      <c r="AH460" s="1">
        <f t="shared" si="217"/>
        <v>0</v>
      </c>
      <c r="AI460" s="1">
        <f t="shared" si="218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1068</v>
      </c>
      <c r="E461" s="32" t="s">
        <v>28</v>
      </c>
      <c r="F461" s="32" t="s">
        <v>986</v>
      </c>
      <c r="G461" s="32" t="s">
        <v>1086</v>
      </c>
      <c r="H461" s="32" t="s">
        <v>352</v>
      </c>
      <c r="I461" s="31" t="s">
        <v>1094</v>
      </c>
      <c r="J461" s="31">
        <v>1</v>
      </c>
      <c r="K461" s="33" t="s">
        <v>708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203"/>
        <v>1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0</v>
      </c>
      <c r="AH461" s="1">
        <f t="shared" si="217"/>
        <v>0</v>
      </c>
      <c r="AI461" s="1">
        <f t="shared" si="218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1612</v>
      </c>
      <c r="E462" s="32" t="s">
        <v>155</v>
      </c>
      <c r="F462" s="32" t="s">
        <v>1466</v>
      </c>
      <c r="G462" s="32" t="s">
        <v>1467</v>
      </c>
      <c r="H462" s="32" t="s">
        <v>352</v>
      </c>
      <c r="I462" s="31" t="s">
        <v>1468</v>
      </c>
      <c r="J462" s="31">
        <v>99</v>
      </c>
      <c r="K462" s="33" t="s">
        <v>942</v>
      </c>
      <c r="L462" s="33" t="s">
        <v>718</v>
      </c>
      <c r="M462" s="34" t="s">
        <v>728</v>
      </c>
      <c r="N462" s="34" t="s">
        <v>1719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0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82</v>
      </c>
      <c r="E463" s="32" t="s">
        <v>28</v>
      </c>
      <c r="F463" s="32" t="s">
        <v>273</v>
      </c>
      <c r="G463" s="32" t="s">
        <v>274</v>
      </c>
      <c r="H463" s="32" t="s">
        <v>352</v>
      </c>
      <c r="I463" s="31" t="s">
        <v>427</v>
      </c>
      <c r="J463" s="31">
        <v>7</v>
      </c>
      <c r="K463" s="33" t="s">
        <v>942</v>
      </c>
      <c r="L463" s="33" t="s">
        <v>941</v>
      </c>
      <c r="M463" s="34" t="s">
        <v>955</v>
      </c>
      <c r="N463" s="34" t="s">
        <v>1820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1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76</v>
      </c>
      <c r="E464" s="32" t="s">
        <v>28</v>
      </c>
      <c r="F464" s="32" t="s">
        <v>1654</v>
      </c>
      <c r="G464" s="32" t="s">
        <v>189</v>
      </c>
      <c r="H464" s="32" t="s">
        <v>352</v>
      </c>
      <c r="I464" s="31" t="s">
        <v>421</v>
      </c>
      <c r="J464" s="31">
        <v>99</v>
      </c>
      <c r="K464" s="33" t="s">
        <v>941</v>
      </c>
      <c r="L464" s="33" t="s">
        <v>709</v>
      </c>
      <c r="M464" s="34" t="s">
        <v>727</v>
      </c>
      <c r="N464" s="34" t="s">
        <v>1714</v>
      </c>
      <c r="O464" s="35">
        <v>1</v>
      </c>
      <c r="P464" s="35"/>
      <c r="Q464" s="32"/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6" t="s">
        <v>2000</v>
      </c>
      <c r="E465" s="32" t="s">
        <v>2004</v>
      </c>
      <c r="F465" s="36" t="s">
        <v>2001</v>
      </c>
      <c r="G465" s="36" t="s">
        <v>2002</v>
      </c>
      <c r="H465" s="36" t="s">
        <v>352</v>
      </c>
      <c r="I465" s="37" t="s">
        <v>2003</v>
      </c>
      <c r="J465" s="31">
        <v>99</v>
      </c>
      <c r="K465" s="33" t="s">
        <v>699</v>
      </c>
      <c r="L465" s="33">
        <v>20</v>
      </c>
      <c r="M465" s="34" t="s">
        <v>2006</v>
      </c>
      <c r="N465" s="34" t="s">
        <v>1719</v>
      </c>
      <c r="O465" s="35">
        <v>1</v>
      </c>
      <c r="P465" s="35"/>
      <c r="Q465" s="36" t="s">
        <v>2005</v>
      </c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0</v>
      </c>
      <c r="AE465" s="1">
        <f t="shared" si="214"/>
        <v>1</v>
      </c>
      <c r="AF465" s="1">
        <f t="shared" si="215"/>
        <v>0</v>
      </c>
      <c r="AG465" s="1">
        <f t="shared" si="216"/>
        <v>1</v>
      </c>
      <c r="AH465" s="1">
        <f t="shared" si="217"/>
        <v>0</v>
      </c>
      <c r="AI465" s="1">
        <f t="shared" si="218"/>
        <v>1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1614</v>
      </c>
      <c r="E466" s="32" t="s">
        <v>162</v>
      </c>
      <c r="F466" s="32" t="s">
        <v>243</v>
      </c>
      <c r="G466" s="32" t="s">
        <v>217</v>
      </c>
      <c r="H466" s="32" t="s">
        <v>352</v>
      </c>
      <c r="I466" s="31" t="s">
        <v>406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1700</v>
      </c>
      <c r="O466" s="35">
        <v>1</v>
      </c>
      <c r="P466" s="35">
        <v>1</v>
      </c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1</v>
      </c>
      <c r="AE466" s="1">
        <f t="shared" si="214"/>
        <v>0</v>
      </c>
      <c r="AF466" s="1">
        <f t="shared" si="215"/>
        <v>1</v>
      </c>
      <c r="AG466" s="1">
        <f t="shared" si="216"/>
        <v>0</v>
      </c>
      <c r="AH466" s="1">
        <f t="shared" si="217"/>
        <v>1</v>
      </c>
      <c r="AI466" s="1">
        <f t="shared" si="218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1512</v>
      </c>
      <c r="E467" s="32" t="s">
        <v>155</v>
      </c>
      <c r="F467" s="32" t="s">
        <v>1513</v>
      </c>
      <c r="G467" s="32" t="s">
        <v>39</v>
      </c>
      <c r="H467" s="32" t="s">
        <v>352</v>
      </c>
      <c r="I467" s="31" t="s">
        <v>1514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1719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961</v>
      </c>
      <c r="G468" s="32" t="s">
        <v>1088</v>
      </c>
      <c r="H468" s="32" t="s">
        <v>352</v>
      </c>
      <c r="I468" s="31" t="s">
        <v>1095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si="215"/>
        <v>0</v>
      </c>
      <c r="AG468" s="1">
        <f t="shared" si="216"/>
        <v>1</v>
      </c>
      <c r="AH468" s="1">
        <f t="shared" si="217"/>
        <v>0</v>
      </c>
      <c r="AI468" s="1">
        <f t="shared" si="218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244</v>
      </c>
      <c r="G469" s="32" t="s">
        <v>223</v>
      </c>
      <c r="H469" s="32" t="s">
        <v>352</v>
      </c>
      <c r="I469" s="31" t="s">
        <v>407</v>
      </c>
      <c r="J469" s="31">
        <v>99</v>
      </c>
      <c r="K469" s="33" t="s">
        <v>709</v>
      </c>
      <c r="L469" s="33" t="s">
        <v>709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0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ref="AF469:AF505" si="219">+O469*P469*(1-A469)</f>
        <v>0</v>
      </c>
      <c r="AG469" s="1">
        <f t="shared" ref="AG469:AG505" si="220">O469*(1-P469)*(1-A469)</f>
        <v>0</v>
      </c>
      <c r="AH469" s="1">
        <f t="shared" ref="AH469:AH505" si="221">+P469*(1-A469)</f>
        <v>0</v>
      </c>
      <c r="AI469" s="1">
        <f t="shared" ref="AI469:AI505" si="222">+(1-A469)*(1-P469)</f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245</v>
      </c>
      <c r="G470" s="32" t="s">
        <v>219</v>
      </c>
      <c r="H470" s="32" t="s">
        <v>352</v>
      </c>
      <c r="I470" s="31" t="s">
        <v>408</v>
      </c>
      <c r="J470" s="31">
        <v>8</v>
      </c>
      <c r="K470" s="33" t="s">
        <v>709</v>
      </c>
      <c r="L470" s="33" t="s">
        <v>709</v>
      </c>
      <c r="M470" s="34" t="s">
        <v>727</v>
      </c>
      <c r="N470" s="34" t="s">
        <v>1714</v>
      </c>
      <c r="O470" s="35">
        <v>1</v>
      </c>
      <c r="P470" s="35"/>
      <c r="Q470" s="32" t="s">
        <v>1983</v>
      </c>
      <c r="S470" s="1">
        <f t="shared" si="203"/>
        <v>0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1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1021</v>
      </c>
      <c r="G471" s="32" t="s">
        <v>39</v>
      </c>
      <c r="H471" s="32" t="s">
        <v>352</v>
      </c>
      <c r="I471" s="31" t="s">
        <v>1022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1714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1023</v>
      </c>
      <c r="G472" s="32" t="s">
        <v>300</v>
      </c>
      <c r="H472" s="32" t="s">
        <v>352</v>
      </c>
      <c r="I472" s="31" t="s">
        <v>1024</v>
      </c>
      <c r="J472" s="31">
        <v>1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203"/>
        <v>1</v>
      </c>
      <c r="T472" s="1">
        <f t="shared" si="204"/>
        <v>0</v>
      </c>
      <c r="U472" s="1">
        <f t="shared" si="205"/>
        <v>0</v>
      </c>
      <c r="V472" s="1">
        <f t="shared" si="206"/>
        <v>0</v>
      </c>
      <c r="W472" s="1">
        <f t="shared" si="207"/>
        <v>0</v>
      </c>
      <c r="X472" s="1">
        <f t="shared" si="208"/>
        <v>0</v>
      </c>
      <c r="Y472" s="1">
        <f t="shared" si="209"/>
        <v>0</v>
      </c>
      <c r="Z472" s="1">
        <f t="shared" si="210"/>
        <v>0</v>
      </c>
      <c r="AA472" s="1">
        <f t="shared" si="211"/>
        <v>0</v>
      </c>
      <c r="AB472" s="1">
        <f t="shared" si="212"/>
        <v>0</v>
      </c>
      <c r="AD472" s="1">
        <f t="shared" si="213"/>
        <v>0</v>
      </c>
      <c r="AE472" s="1">
        <f t="shared" si="214"/>
        <v>1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1547</v>
      </c>
      <c r="E473" s="32" t="s">
        <v>155</v>
      </c>
      <c r="F473" s="32" t="s">
        <v>1548</v>
      </c>
      <c r="G473" s="32" t="s">
        <v>206</v>
      </c>
      <c r="H473" s="32" t="s">
        <v>352</v>
      </c>
      <c r="I473" s="31" t="s">
        <v>1549</v>
      </c>
      <c r="J473" s="31">
        <v>99</v>
      </c>
      <c r="K473" s="33" t="s">
        <v>708</v>
      </c>
      <c r="L473" s="33" t="s">
        <v>718</v>
      </c>
      <c r="M473" s="34" t="s">
        <v>728</v>
      </c>
      <c r="N473" s="34" t="s">
        <v>1917</v>
      </c>
      <c r="O473" s="35">
        <v>1</v>
      </c>
      <c r="P473" s="35"/>
      <c r="Q473" s="32"/>
      <c r="S473" s="1">
        <f t="shared" ref="S473:S505" si="223">IF(J473=$S$7,1,0)</f>
        <v>0</v>
      </c>
      <c r="T473" s="1">
        <f t="shared" ref="T473:T505" si="224">IF(J473=$T$7,1,0)</f>
        <v>0</v>
      </c>
      <c r="U473" s="1">
        <f t="shared" ref="U473:U505" si="225">IF(J473=$U$7,1,0)</f>
        <v>0</v>
      </c>
      <c r="V473" s="1">
        <f t="shared" ref="V473:V505" si="226">IF(J473=$V$7,1,0)</f>
        <v>0</v>
      </c>
      <c r="W473" s="1">
        <f t="shared" ref="W473:W505" si="227">IF(J473=$W$7,1,0)</f>
        <v>0</v>
      </c>
      <c r="X473" s="1">
        <f t="shared" ref="X473:X505" si="228">IF(J473=$X$7,1,0)</f>
        <v>0</v>
      </c>
      <c r="Y473" s="1">
        <f t="shared" ref="Y473:Y505" si="229">IF(J473=$Y$7,1,0)</f>
        <v>0</v>
      </c>
      <c r="Z473" s="1">
        <f t="shared" ref="Z473:Z505" si="230">IF(J473=$Z$7,1,0)</f>
        <v>0</v>
      </c>
      <c r="AA473" s="1">
        <f t="shared" ref="AA473:AA505" si="231">IF(J473=$AA$7,1,0)</f>
        <v>0</v>
      </c>
      <c r="AB473" s="1">
        <f t="shared" ref="AB473:AB505" si="232">IF(J473=$AB$7,1,0)</f>
        <v>0</v>
      </c>
      <c r="AD473" s="1">
        <f t="shared" ref="AD473:AD505" si="233">+O473*P473</f>
        <v>0</v>
      </c>
      <c r="AE473" s="1">
        <f t="shared" ref="AE473:AE505" si="234">O473*(1-P473)</f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73</v>
      </c>
      <c r="E474" s="32" t="s">
        <v>28</v>
      </c>
      <c r="F474" s="32" t="s">
        <v>263</v>
      </c>
      <c r="G474" s="32" t="s">
        <v>193</v>
      </c>
      <c r="H474" s="32" t="s">
        <v>352</v>
      </c>
      <c r="I474" s="31" t="s">
        <v>419</v>
      </c>
      <c r="J474" s="31">
        <v>9</v>
      </c>
      <c r="K474" s="33" t="s">
        <v>708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1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59</v>
      </c>
      <c r="E475" s="32" t="s">
        <v>162</v>
      </c>
      <c r="F475" s="32" t="s">
        <v>224</v>
      </c>
      <c r="G475" s="32" t="s">
        <v>225</v>
      </c>
      <c r="H475" s="32" t="s">
        <v>352</v>
      </c>
      <c r="I475" s="31" t="s">
        <v>396</v>
      </c>
      <c r="J475" s="31">
        <v>99</v>
      </c>
      <c r="K475" s="33" t="s">
        <v>709</v>
      </c>
      <c r="L475" s="33" t="s">
        <v>718</v>
      </c>
      <c r="M475" s="34" t="s">
        <v>728</v>
      </c>
      <c r="N475" s="34" t="s">
        <v>1721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0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1062</v>
      </c>
      <c r="E476" s="32" t="s">
        <v>155</v>
      </c>
      <c r="F476" s="32" t="s">
        <v>1063</v>
      </c>
      <c r="G476" s="32" t="s">
        <v>219</v>
      </c>
      <c r="H476" s="32" t="s">
        <v>352</v>
      </c>
      <c r="I476" s="31" t="s">
        <v>1064</v>
      </c>
      <c r="J476" s="31">
        <v>8</v>
      </c>
      <c r="K476" s="33" t="s">
        <v>708</v>
      </c>
      <c r="L476" s="33" t="s">
        <v>718</v>
      </c>
      <c r="M476" s="34" t="s">
        <v>728</v>
      </c>
      <c r="N476" s="34" t="s">
        <v>1719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1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81</v>
      </c>
      <c r="E477" s="32" t="s">
        <v>155</v>
      </c>
      <c r="F477" s="32" t="s">
        <v>272</v>
      </c>
      <c r="G477" s="32" t="s">
        <v>253</v>
      </c>
      <c r="H477" s="32" t="s">
        <v>352</v>
      </c>
      <c r="I477" s="31" t="s">
        <v>426</v>
      </c>
      <c r="J477" s="31">
        <v>99</v>
      </c>
      <c r="K477" s="33" t="s">
        <v>709</v>
      </c>
      <c r="L477" s="33" t="s">
        <v>729</v>
      </c>
      <c r="M477" s="34" t="s">
        <v>730</v>
      </c>
      <c r="N477" s="34" t="s">
        <v>1727</v>
      </c>
      <c r="O477" s="35">
        <v>1</v>
      </c>
      <c r="P477" s="35"/>
      <c r="Q477" s="32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0</v>
      </c>
      <c r="AE477" s="1">
        <f t="shared" si="234"/>
        <v>1</v>
      </c>
      <c r="AF477" s="1">
        <f t="shared" si="219"/>
        <v>0</v>
      </c>
      <c r="AG477" s="1">
        <f t="shared" si="220"/>
        <v>1</v>
      </c>
      <c r="AH477" s="1">
        <f t="shared" si="221"/>
        <v>0</v>
      </c>
      <c r="AI477" s="1">
        <f t="shared" si="222"/>
        <v>1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1746</v>
      </c>
      <c r="E478" s="36" t="s">
        <v>1747</v>
      </c>
      <c r="F478" s="36" t="s">
        <v>1748</v>
      </c>
      <c r="G478" s="36" t="s">
        <v>189</v>
      </c>
      <c r="H478" s="36" t="s">
        <v>352</v>
      </c>
      <c r="I478" s="37"/>
      <c r="J478" s="37"/>
      <c r="K478" s="33" t="s">
        <v>699</v>
      </c>
      <c r="L478" s="33"/>
      <c r="M478" s="34"/>
      <c r="N478" s="34" t="s">
        <v>1700</v>
      </c>
      <c r="O478" s="35">
        <v>1</v>
      </c>
      <c r="P478" s="35">
        <v>1</v>
      </c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1</v>
      </c>
      <c r="AE478" s="1">
        <f t="shared" si="234"/>
        <v>0</v>
      </c>
      <c r="AF478" s="1">
        <f t="shared" si="219"/>
        <v>1</v>
      </c>
      <c r="AG478" s="1">
        <f t="shared" si="220"/>
        <v>0</v>
      </c>
      <c r="AH478" s="1">
        <f t="shared" si="221"/>
        <v>1</v>
      </c>
      <c r="AI478" s="1">
        <f t="shared" si="222"/>
        <v>0</v>
      </c>
    </row>
    <row r="479" spans="1:35" ht="14.25" customHeight="1" x14ac:dyDescent="0.25">
      <c r="A479" s="37">
        <v>0</v>
      </c>
      <c r="B479" s="37">
        <v>2</v>
      </c>
      <c r="C479" s="37">
        <v>7</v>
      </c>
      <c r="D479" s="36" t="s">
        <v>510</v>
      </c>
      <c r="E479" s="36" t="s">
        <v>155</v>
      </c>
      <c r="F479" s="36" t="s">
        <v>570</v>
      </c>
      <c r="G479" s="36" t="s">
        <v>319</v>
      </c>
      <c r="H479" s="36" t="s">
        <v>352</v>
      </c>
      <c r="I479" s="37" t="s">
        <v>577</v>
      </c>
      <c r="J479" s="37">
        <v>99</v>
      </c>
      <c r="K479" s="33" t="s">
        <v>941</v>
      </c>
      <c r="L479" s="33" t="s">
        <v>718</v>
      </c>
      <c r="M479" s="34" t="s">
        <v>728</v>
      </c>
      <c r="N479" s="34" t="s">
        <v>1732</v>
      </c>
      <c r="O479" s="35">
        <v>1</v>
      </c>
      <c r="P479" s="35"/>
      <c r="Q479" s="36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74</v>
      </c>
      <c r="E480" s="32" t="s">
        <v>155</v>
      </c>
      <c r="F480" s="32" t="s">
        <v>671</v>
      </c>
      <c r="G480" s="32" t="s">
        <v>264</v>
      </c>
      <c r="H480" s="32" t="s">
        <v>352</v>
      </c>
      <c r="I480" s="31" t="s">
        <v>420</v>
      </c>
      <c r="J480" s="31">
        <v>99</v>
      </c>
      <c r="K480" s="33" t="s">
        <v>708</v>
      </c>
      <c r="L480" s="33" t="s">
        <v>725</v>
      </c>
      <c r="M480" s="34" t="s">
        <v>728</v>
      </c>
      <c r="N480" s="34" t="s">
        <v>1714</v>
      </c>
      <c r="O480" s="35">
        <v>1</v>
      </c>
      <c r="P480" s="35"/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0</v>
      </c>
      <c r="AE480" s="1">
        <f t="shared" si="234"/>
        <v>1</v>
      </c>
      <c r="AF480" s="1">
        <f t="shared" si="219"/>
        <v>0</v>
      </c>
      <c r="AG480" s="1">
        <f t="shared" si="220"/>
        <v>1</v>
      </c>
      <c r="AH480" s="1">
        <f t="shared" si="221"/>
        <v>0</v>
      </c>
      <c r="AI480" s="1">
        <f t="shared" si="222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1973</v>
      </c>
      <c r="E481" s="32" t="s">
        <v>155</v>
      </c>
      <c r="F481" s="32" t="s">
        <v>1974</v>
      </c>
      <c r="G481" s="32" t="s">
        <v>281</v>
      </c>
      <c r="H481" s="32" t="s">
        <v>352</v>
      </c>
      <c r="I481" s="31" t="s">
        <v>1975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1</v>
      </c>
      <c r="AG481" s="1">
        <f t="shared" si="220"/>
        <v>0</v>
      </c>
      <c r="AH481" s="1">
        <f t="shared" si="221"/>
        <v>1</v>
      </c>
      <c r="AI481" s="1">
        <f t="shared" si="222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1973</v>
      </c>
      <c r="E482" s="32" t="s">
        <v>155</v>
      </c>
      <c r="F482" s="32" t="s">
        <v>1976</v>
      </c>
      <c r="G482" s="32" t="s">
        <v>1977</v>
      </c>
      <c r="H482" s="32" t="s">
        <v>352</v>
      </c>
      <c r="I482" s="31" t="s">
        <v>1978</v>
      </c>
      <c r="J482" s="31">
        <v>99</v>
      </c>
      <c r="K482" s="33" t="s">
        <v>699</v>
      </c>
      <c r="L482" s="33" t="s">
        <v>718</v>
      </c>
      <c r="M482" s="34" t="s">
        <v>728</v>
      </c>
      <c r="N482" s="34" t="s">
        <v>1700</v>
      </c>
      <c r="O482" s="35">
        <v>1</v>
      </c>
      <c r="P482" s="35">
        <v>1</v>
      </c>
      <c r="Q482" s="32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1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0</v>
      </c>
    </row>
    <row r="483" spans="1:35" ht="14.25" customHeight="1" x14ac:dyDescent="0.25">
      <c r="A483" s="15">
        <v>0</v>
      </c>
      <c r="B483" s="15">
        <v>2</v>
      </c>
      <c r="C483" s="15">
        <v>7</v>
      </c>
      <c r="D483" s="20" t="s">
        <v>1829</v>
      </c>
      <c r="E483" s="16" t="s">
        <v>155</v>
      </c>
      <c r="F483" s="20" t="s">
        <v>1830</v>
      </c>
      <c r="G483" s="20" t="s">
        <v>281</v>
      </c>
      <c r="H483" s="20" t="s">
        <v>352</v>
      </c>
      <c r="I483" s="21" t="s">
        <v>1831</v>
      </c>
      <c r="J483" s="15">
        <v>99</v>
      </c>
      <c r="K483" s="10" t="s">
        <v>699</v>
      </c>
      <c r="L483" s="10" t="s">
        <v>718</v>
      </c>
      <c r="M483" s="19" t="s">
        <v>728</v>
      </c>
      <c r="N483" s="19"/>
      <c r="Q483" s="20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0</v>
      </c>
      <c r="AF483" s="1">
        <f t="shared" si="219"/>
        <v>0</v>
      </c>
      <c r="AG483" s="1">
        <f t="shared" si="220"/>
        <v>0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60</v>
      </c>
      <c r="E484" s="32" t="s">
        <v>162</v>
      </c>
      <c r="F484" s="32" t="s">
        <v>226</v>
      </c>
      <c r="G484" s="32" t="s">
        <v>189</v>
      </c>
      <c r="H484" s="32" t="s">
        <v>352</v>
      </c>
      <c r="I484" s="31" t="s">
        <v>397</v>
      </c>
      <c r="J484" s="31">
        <v>99</v>
      </c>
      <c r="K484" s="33" t="s">
        <v>709</v>
      </c>
      <c r="L484" s="33" t="s">
        <v>718</v>
      </c>
      <c r="M484" s="34" t="s">
        <v>728</v>
      </c>
      <c r="N484" s="34" t="s">
        <v>1719</v>
      </c>
      <c r="O484" s="35">
        <v>1</v>
      </c>
      <c r="P484" s="35"/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0</v>
      </c>
      <c r="AE484" s="1">
        <f t="shared" si="234"/>
        <v>1</v>
      </c>
      <c r="AF484" s="1">
        <f t="shared" si="219"/>
        <v>0</v>
      </c>
      <c r="AG484" s="1">
        <f t="shared" si="220"/>
        <v>1</v>
      </c>
      <c r="AH484" s="1">
        <f t="shared" si="221"/>
        <v>0</v>
      </c>
      <c r="AI484" s="1">
        <f t="shared" si="22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1309</v>
      </c>
      <c r="E485" s="32" t="s">
        <v>155</v>
      </c>
      <c r="F485" s="32" t="s">
        <v>1127</v>
      </c>
      <c r="G485" s="32" t="s">
        <v>191</v>
      </c>
      <c r="H485" s="32" t="s">
        <v>352</v>
      </c>
      <c r="I485" s="31" t="s">
        <v>1346</v>
      </c>
      <c r="J485" s="31">
        <v>99</v>
      </c>
      <c r="K485" s="33" t="s">
        <v>708</v>
      </c>
      <c r="L485" s="33" t="s">
        <v>39</v>
      </c>
      <c r="M485" s="34" t="s">
        <v>39</v>
      </c>
      <c r="N485" s="34" t="s">
        <v>1700</v>
      </c>
      <c r="O485" s="35">
        <v>1</v>
      </c>
      <c r="P485" s="35">
        <v>1</v>
      </c>
      <c r="Q485" s="32"/>
      <c r="S485" s="1">
        <f t="shared" si="223"/>
        <v>0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1</v>
      </c>
      <c r="AE485" s="1">
        <f t="shared" si="234"/>
        <v>0</v>
      </c>
      <c r="AF485" s="1">
        <f t="shared" si="219"/>
        <v>1</v>
      </c>
      <c r="AG485" s="1">
        <f t="shared" si="220"/>
        <v>0</v>
      </c>
      <c r="AH485" s="1">
        <f t="shared" si="221"/>
        <v>1</v>
      </c>
      <c r="AI485" s="1">
        <f t="shared" si="222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672</v>
      </c>
      <c r="G486" s="32" t="s">
        <v>239</v>
      </c>
      <c r="H486" s="32" t="s">
        <v>352</v>
      </c>
      <c r="I486" s="31" t="s">
        <v>403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1719</v>
      </c>
      <c r="O486" s="35">
        <v>1</v>
      </c>
      <c r="P486" s="35"/>
      <c r="Q486" s="32"/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1</v>
      </c>
      <c r="AH486" s="1">
        <f t="shared" si="221"/>
        <v>0</v>
      </c>
      <c r="AI486" s="1">
        <f t="shared" si="222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585</v>
      </c>
      <c r="E487" s="32" t="s">
        <v>1317</v>
      </c>
      <c r="F487" s="32" t="s">
        <v>238</v>
      </c>
      <c r="G487" s="32" t="s">
        <v>177</v>
      </c>
      <c r="H487" s="32" t="s">
        <v>352</v>
      </c>
      <c r="I487" s="31" t="s">
        <v>402</v>
      </c>
      <c r="J487" s="31">
        <v>1</v>
      </c>
      <c r="K487" s="33" t="s">
        <v>709</v>
      </c>
      <c r="L487" s="33" t="s">
        <v>1684</v>
      </c>
      <c r="M487" s="34" t="s">
        <v>1414</v>
      </c>
      <c r="N487" s="34" t="s">
        <v>1719</v>
      </c>
      <c r="O487" s="35">
        <v>1</v>
      </c>
      <c r="P487" s="35"/>
      <c r="Q487" s="36" t="s">
        <v>1882</v>
      </c>
      <c r="S487" s="1">
        <f t="shared" si="223"/>
        <v>1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0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0</v>
      </c>
      <c r="AH487" s="1">
        <f t="shared" si="221"/>
        <v>0</v>
      </c>
      <c r="AI487" s="1">
        <f t="shared" si="222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1334</v>
      </c>
      <c r="G488" s="32" t="s">
        <v>257</v>
      </c>
      <c r="H488" s="32" t="s">
        <v>352</v>
      </c>
      <c r="I488" s="31" t="s">
        <v>1220</v>
      </c>
      <c r="J488" s="31">
        <v>8</v>
      </c>
      <c r="K488" s="33" t="s">
        <v>942</v>
      </c>
      <c r="L488" s="33" t="s">
        <v>718</v>
      </c>
      <c r="M488" s="34" t="s">
        <v>728</v>
      </c>
      <c r="N488" s="34" t="s">
        <v>1719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1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1</v>
      </c>
      <c r="AH488" s="1">
        <f t="shared" si="221"/>
        <v>0</v>
      </c>
      <c r="AI488" s="1">
        <f t="shared" si="222"/>
        <v>1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1310</v>
      </c>
      <c r="E489" s="32" t="s">
        <v>155</v>
      </c>
      <c r="F489" s="32" t="s">
        <v>1199</v>
      </c>
      <c r="G489" s="32" t="s">
        <v>217</v>
      </c>
      <c r="H489" s="32" t="s">
        <v>352</v>
      </c>
      <c r="I489" s="31" t="s">
        <v>1220</v>
      </c>
      <c r="J489" s="31">
        <v>99</v>
      </c>
      <c r="K489" s="33" t="s">
        <v>942</v>
      </c>
      <c r="L489" s="33" t="s">
        <v>718</v>
      </c>
      <c r="M489" s="34" t="s">
        <v>728</v>
      </c>
      <c r="N489" s="34" t="s">
        <v>1719</v>
      </c>
      <c r="O489" s="35">
        <v>1</v>
      </c>
      <c r="P489" s="35"/>
      <c r="Q489" s="32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0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1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1231</v>
      </c>
      <c r="G490" s="45" t="s">
        <v>219</v>
      </c>
      <c r="H490" s="45" t="s">
        <v>352</v>
      </c>
      <c r="I490" s="44" t="s">
        <v>1347</v>
      </c>
      <c r="J490" s="44">
        <v>8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45"/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1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1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1335</v>
      </c>
      <c r="G491" s="45" t="s">
        <v>39</v>
      </c>
      <c r="H491" s="45" t="s">
        <v>353</v>
      </c>
      <c r="I491" s="44" t="s">
        <v>1230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57" t="s">
        <v>1875</v>
      </c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1229</v>
      </c>
      <c r="E492" s="45" t="s">
        <v>155</v>
      </c>
      <c r="F492" s="45" t="s">
        <v>1498</v>
      </c>
      <c r="G492" s="45" t="s">
        <v>234</v>
      </c>
      <c r="H492" s="45" t="s">
        <v>352</v>
      </c>
      <c r="I492" s="44" t="s">
        <v>1664</v>
      </c>
      <c r="J492" s="44">
        <v>99</v>
      </c>
      <c r="K492" s="46" t="s">
        <v>941</v>
      </c>
      <c r="L492" s="46" t="s">
        <v>718</v>
      </c>
      <c r="M492" s="47" t="s">
        <v>728</v>
      </c>
      <c r="N492" s="47" t="s">
        <v>1708</v>
      </c>
      <c r="O492" s="48"/>
      <c r="P492" s="48"/>
      <c r="Q492" s="45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0</v>
      </c>
      <c r="AE492" s="1">
        <f t="shared" si="234"/>
        <v>0</v>
      </c>
      <c r="AF492" s="1">
        <f t="shared" si="219"/>
        <v>0</v>
      </c>
      <c r="AG492" s="1">
        <f t="shared" si="220"/>
        <v>0</v>
      </c>
      <c r="AH492" s="1">
        <f t="shared" si="221"/>
        <v>0</v>
      </c>
      <c r="AI492" s="1">
        <f t="shared" si="22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1821</v>
      </c>
      <c r="E493" s="32" t="s">
        <v>1822</v>
      </c>
      <c r="F493" s="32" t="s">
        <v>1823</v>
      </c>
      <c r="G493" s="32" t="s">
        <v>264</v>
      </c>
      <c r="H493" s="32" t="s">
        <v>352</v>
      </c>
      <c r="I493" s="31" t="s">
        <v>1824</v>
      </c>
      <c r="J493" s="31">
        <v>99</v>
      </c>
      <c r="K493" s="33" t="s">
        <v>699</v>
      </c>
      <c r="L493" s="33"/>
      <c r="M493" s="34"/>
      <c r="N493" s="34" t="s">
        <v>1700</v>
      </c>
      <c r="O493" s="35">
        <v>1</v>
      </c>
      <c r="P493" s="35">
        <v>1</v>
      </c>
      <c r="Q493" s="32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1</v>
      </c>
      <c r="AE493" s="1">
        <f t="shared" si="234"/>
        <v>0</v>
      </c>
      <c r="AF493" s="1">
        <f t="shared" si="219"/>
        <v>1</v>
      </c>
      <c r="AG493" s="1">
        <f t="shared" si="220"/>
        <v>0</v>
      </c>
      <c r="AH493" s="1">
        <f t="shared" si="221"/>
        <v>1</v>
      </c>
      <c r="AI493" s="1">
        <f t="shared" si="222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1224</v>
      </c>
      <c r="E494" s="32" t="s">
        <v>28</v>
      </c>
      <c r="F494" s="32" t="s">
        <v>1217</v>
      </c>
      <c r="G494" s="32" t="s">
        <v>1218</v>
      </c>
      <c r="H494" s="32" t="s">
        <v>352</v>
      </c>
      <c r="I494" s="31" t="s">
        <v>1219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1</v>
      </c>
      <c r="AF494" s="1">
        <f t="shared" si="219"/>
        <v>0</v>
      </c>
      <c r="AG494" s="1">
        <f t="shared" si="220"/>
        <v>1</v>
      </c>
      <c r="AH494" s="1">
        <f t="shared" si="221"/>
        <v>0</v>
      </c>
      <c r="AI494" s="1">
        <f t="shared" si="222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1221</v>
      </c>
      <c r="E495" s="32" t="s">
        <v>28</v>
      </c>
      <c r="F495" s="32" t="s">
        <v>1222</v>
      </c>
      <c r="G495" s="32" t="s">
        <v>519</v>
      </c>
      <c r="H495" s="32" t="s">
        <v>352</v>
      </c>
      <c r="I495" s="31" t="s">
        <v>1223</v>
      </c>
      <c r="J495" s="31">
        <v>99</v>
      </c>
      <c r="K495" s="33" t="s">
        <v>708</v>
      </c>
      <c r="L495" s="33" t="s">
        <v>709</v>
      </c>
      <c r="M495" s="34" t="s">
        <v>727</v>
      </c>
      <c r="N495" s="34" t="s">
        <v>1714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0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0</v>
      </c>
      <c r="AH495" s="1">
        <f t="shared" si="221"/>
        <v>0</v>
      </c>
      <c r="AI495" s="1">
        <f t="shared" si="222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1817</v>
      </c>
      <c r="E496" s="32" t="s">
        <v>1152</v>
      </c>
      <c r="F496" s="32" t="s">
        <v>1818</v>
      </c>
      <c r="G496" s="32"/>
      <c r="H496" s="32" t="s">
        <v>352</v>
      </c>
      <c r="I496" s="31" t="s">
        <v>1819</v>
      </c>
      <c r="J496" s="31">
        <v>6</v>
      </c>
      <c r="K496" s="33" t="s">
        <v>699</v>
      </c>
      <c r="L496" s="33"/>
      <c r="M496" s="34"/>
      <c r="N496" s="34" t="s">
        <v>1719</v>
      </c>
      <c r="O496" s="35">
        <v>1</v>
      </c>
      <c r="P496" s="35"/>
      <c r="Q496" s="32"/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1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1433</v>
      </c>
      <c r="E497" s="32" t="s">
        <v>28</v>
      </c>
      <c r="F497" s="32" t="s">
        <v>1434</v>
      </c>
      <c r="G497" s="32" t="s">
        <v>1435</v>
      </c>
      <c r="H497" s="32" t="s">
        <v>352</v>
      </c>
      <c r="I497" s="31" t="s">
        <v>1436</v>
      </c>
      <c r="J497" s="31">
        <v>99</v>
      </c>
      <c r="K497" s="33" t="s">
        <v>708</v>
      </c>
      <c r="L497" s="33" t="s">
        <v>709</v>
      </c>
      <c r="M497" s="34" t="s">
        <v>727</v>
      </c>
      <c r="N497" s="34" t="s">
        <v>1714</v>
      </c>
      <c r="O497" s="35">
        <v>1</v>
      </c>
      <c r="P497" s="35"/>
      <c r="Q497" s="32" t="s">
        <v>1902</v>
      </c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2105</v>
      </c>
      <c r="E498" s="32" t="s">
        <v>155</v>
      </c>
      <c r="F498" s="32" t="s">
        <v>2106</v>
      </c>
      <c r="G498" s="32" t="s">
        <v>552</v>
      </c>
      <c r="H498" s="32" t="s">
        <v>352</v>
      </c>
      <c r="I498" s="31" t="s">
        <v>2107</v>
      </c>
      <c r="J498" s="31">
        <v>99</v>
      </c>
      <c r="K498" s="33" t="s">
        <v>699</v>
      </c>
      <c r="L498" s="33">
        <v>7</v>
      </c>
      <c r="M498" s="34" t="s">
        <v>728</v>
      </c>
      <c r="N498" s="34" t="s">
        <v>1719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0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si="233"/>
        <v>0</v>
      </c>
      <c r="AE498" s="1">
        <f t="shared" si="234"/>
        <v>1</v>
      </c>
      <c r="AF498" s="1">
        <f t="shared" si="219"/>
        <v>0</v>
      </c>
      <c r="AG498" s="1">
        <f t="shared" si="220"/>
        <v>1</v>
      </c>
      <c r="AH498" s="1">
        <f t="shared" si="221"/>
        <v>0</v>
      </c>
      <c r="AI498" s="1">
        <f t="shared" si="222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2105</v>
      </c>
      <c r="E499" s="32" t="s">
        <v>155</v>
      </c>
      <c r="F499" s="32" t="s">
        <v>2108</v>
      </c>
      <c r="G499" s="32" t="s">
        <v>203</v>
      </c>
      <c r="H499" s="32" t="s">
        <v>352</v>
      </c>
      <c r="I499" s="31" t="s">
        <v>2107</v>
      </c>
      <c r="J499" s="31">
        <v>7</v>
      </c>
      <c r="K499" s="33" t="s">
        <v>699</v>
      </c>
      <c r="L499" s="33">
        <v>7</v>
      </c>
      <c r="M499" s="34" t="s">
        <v>728</v>
      </c>
      <c r="N499" s="34" t="s">
        <v>1719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1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ref="AD499" si="235">+O499*P499</f>
        <v>0</v>
      </c>
      <c r="AE499" s="1">
        <f t="shared" ref="AE499" si="236">O499*(1-P499)</f>
        <v>1</v>
      </c>
      <c r="AF499" s="1">
        <f t="shared" ref="AF499" si="237">+O499*P499*(1-A499)</f>
        <v>0</v>
      </c>
      <c r="AG499" s="1">
        <f t="shared" ref="AG499" si="238">O499*(1-P499)*(1-A499)</f>
        <v>0</v>
      </c>
      <c r="AH499" s="1">
        <f t="shared" ref="AH499" si="239">+P499*(1-A499)</f>
        <v>0</v>
      </c>
      <c r="AI499" s="1">
        <f t="shared" ref="AI499" si="240">+(1-A499)*(1-P499)</f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571</v>
      </c>
      <c r="G500" s="32" t="s">
        <v>234</v>
      </c>
      <c r="H500" s="32" t="s">
        <v>352</v>
      </c>
      <c r="I500" s="31" t="s">
        <v>578</v>
      </c>
      <c r="J500" s="31">
        <v>99</v>
      </c>
      <c r="K500" s="33" t="s">
        <v>708</v>
      </c>
      <c r="L500" s="33" t="s">
        <v>725</v>
      </c>
      <c r="M500" s="34" t="s">
        <v>1415</v>
      </c>
      <c r="N500" s="34" t="s">
        <v>1719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0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1</v>
      </c>
      <c r="AH500" s="1">
        <f t="shared" si="221"/>
        <v>0</v>
      </c>
      <c r="AI500" s="1">
        <f t="shared" si="222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270</v>
      </c>
      <c r="G501" s="32" t="s">
        <v>179</v>
      </c>
      <c r="H501" s="32" t="s">
        <v>352</v>
      </c>
      <c r="I501" s="31" t="s">
        <v>424</v>
      </c>
      <c r="J501" s="31">
        <v>10</v>
      </c>
      <c r="K501" s="33" t="s">
        <v>708</v>
      </c>
      <c r="L501" s="33" t="s">
        <v>725</v>
      </c>
      <c r="M501" s="34" t="s">
        <v>1415</v>
      </c>
      <c r="N501" s="34" t="s">
        <v>1719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0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1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271</v>
      </c>
      <c r="G502" s="32" t="s">
        <v>39</v>
      </c>
      <c r="H502" s="32" t="s">
        <v>352</v>
      </c>
      <c r="I502" s="31" t="s">
        <v>425</v>
      </c>
      <c r="J502" s="31">
        <v>5</v>
      </c>
      <c r="K502" s="33" t="s">
        <v>708</v>
      </c>
      <c r="L502" s="33" t="s">
        <v>725</v>
      </c>
      <c r="M502" s="34" t="s">
        <v>1415</v>
      </c>
      <c r="N502" s="34" t="s">
        <v>1719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1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0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43</v>
      </c>
      <c r="E503" s="32" t="s">
        <v>537</v>
      </c>
      <c r="F503" s="32" t="s">
        <v>275</v>
      </c>
      <c r="G503" s="32" t="s">
        <v>193</v>
      </c>
      <c r="H503" s="32" t="s">
        <v>352</v>
      </c>
      <c r="I503" s="31" t="s">
        <v>429</v>
      </c>
      <c r="J503" s="31">
        <v>9</v>
      </c>
      <c r="K503" s="33" t="s">
        <v>708</v>
      </c>
      <c r="L503" s="33" t="s">
        <v>725</v>
      </c>
      <c r="M503" s="34" t="s">
        <v>1415</v>
      </c>
      <c r="N503" s="34" t="s">
        <v>1719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0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1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0</v>
      </c>
      <c r="AH503" s="1">
        <f t="shared" si="221"/>
        <v>0</v>
      </c>
      <c r="AI503" s="1">
        <f t="shared" si="222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1535</v>
      </c>
      <c r="E504" s="32" t="s">
        <v>28</v>
      </c>
      <c r="F504" s="32" t="s">
        <v>1536</v>
      </c>
      <c r="G504" s="32" t="s">
        <v>237</v>
      </c>
      <c r="H504" s="32" t="s">
        <v>352</v>
      </c>
      <c r="I504" s="31" t="s">
        <v>1668</v>
      </c>
      <c r="J504" s="31">
        <v>4</v>
      </c>
      <c r="K504" s="33" t="s">
        <v>709</v>
      </c>
      <c r="L504" s="33" t="s">
        <v>709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223"/>
        <v>0</v>
      </c>
      <c r="T504" s="1">
        <f t="shared" si="224"/>
        <v>0</v>
      </c>
      <c r="U504" s="1">
        <f t="shared" si="225"/>
        <v>0</v>
      </c>
      <c r="V504" s="1">
        <f t="shared" si="226"/>
        <v>1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63</v>
      </c>
      <c r="E505" s="32" t="s">
        <v>44</v>
      </c>
      <c r="F505" s="32" t="s">
        <v>235</v>
      </c>
      <c r="G505" s="32" t="s">
        <v>199</v>
      </c>
      <c r="H505" s="32" t="s">
        <v>352</v>
      </c>
      <c r="I505" s="31" t="s">
        <v>400</v>
      </c>
      <c r="J505" s="31">
        <v>2</v>
      </c>
      <c r="K505" s="33" t="s">
        <v>709</v>
      </c>
      <c r="L505" s="33" t="s">
        <v>718</v>
      </c>
      <c r="M505" s="34" t="s">
        <v>731</v>
      </c>
      <c r="N505" s="34" t="s">
        <v>1714</v>
      </c>
      <c r="O505" s="35">
        <v>1</v>
      </c>
      <c r="P505" s="35"/>
      <c r="Q505" s="32"/>
      <c r="S505" s="1">
        <f t="shared" si="223"/>
        <v>0</v>
      </c>
      <c r="T505" s="1">
        <f t="shared" si="224"/>
        <v>1</v>
      </c>
      <c r="U505" s="1">
        <f t="shared" si="225"/>
        <v>0</v>
      </c>
      <c r="V505" s="1">
        <f t="shared" si="226"/>
        <v>0</v>
      </c>
      <c r="W505" s="1">
        <f t="shared" si="227"/>
        <v>0</v>
      </c>
      <c r="X505" s="1">
        <f t="shared" si="228"/>
        <v>0</v>
      </c>
      <c r="Y505" s="1">
        <f t="shared" si="229"/>
        <v>0</v>
      </c>
      <c r="Z505" s="1">
        <f t="shared" si="230"/>
        <v>0</v>
      </c>
      <c r="AA505" s="1">
        <f t="shared" si="231"/>
        <v>0</v>
      </c>
      <c r="AB505" s="1">
        <f t="shared" si="232"/>
        <v>0</v>
      </c>
      <c r="AD505" s="1">
        <f t="shared" si="233"/>
        <v>0</v>
      </c>
      <c r="AE505" s="1">
        <f t="shared" si="234"/>
        <v>1</v>
      </c>
      <c r="AF505" s="1">
        <f t="shared" si="219"/>
        <v>0</v>
      </c>
      <c r="AG505" s="1">
        <f t="shared" si="220"/>
        <v>1</v>
      </c>
      <c r="AH505" s="1">
        <f t="shared" si="221"/>
        <v>0</v>
      </c>
      <c r="AI505" s="1">
        <f t="shared" si="222"/>
        <v>1</v>
      </c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9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7"/>
      <c r="N804" s="17"/>
      <c r="Q804" s="16"/>
    </row>
  </sheetData>
  <autoFilter ref="A7:Q505" xr:uid="{AEE30112-88BB-441D-AEFC-A7A733AB1798}">
    <sortState xmlns:xlrd2="http://schemas.microsoft.com/office/spreadsheetml/2017/richdata2" ref="A8:Q505">
      <sortCondition ref="B8:B505"/>
      <sortCondition ref="C8:C505"/>
      <sortCondition ref="D8:D505"/>
      <sortCondition ref="A8:A505"/>
    </sortState>
  </autoFilter>
  <sortState xmlns:xlrd2="http://schemas.microsoft.com/office/spreadsheetml/2017/richdata2" ref="A8:Q505">
    <sortCondition ref="B8:B505"/>
    <sortCondition ref="C8:C505"/>
    <sortCondition ref="D8:D505"/>
    <sortCondition ref="A8:A50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2026-09-11T11:12:20Z</dcterms:modified>
</cp:coreProperties>
</file>