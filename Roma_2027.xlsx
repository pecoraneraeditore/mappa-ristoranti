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6A9C252-E210-4735-98C8-A55DD8F19D50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<sst xmlns="http://schemas.openxmlformats.org/spreadsheetml/2006/main" count="4801" uniqueCount="2108">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</sst>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11" activePane="bottomLeft" state="frozen"/>
      <selection pane="bottomLeft" activeCell="A20" sqref="A20:XFD2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125</v>
      </c>
      <c r="F3" s="5">
        <f>+AD6</f>
        <v>120</v>
      </c>
      <c r="G3" s="5">
        <f>+AF6</f>
        <v>115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234</v>
      </c>
      <c r="G4" s="7">
        <f>+AG6</f>
        <v>208</v>
      </c>
      <c r="H4" s="5">
        <f>+E4-G4</f>
        <v>121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354</v>
      </c>
      <c r="G5" s="8">
        <f>+G3+G4</f>
        <v>323</v>
      </c>
      <c r="H5" s="8">
        <f>+H3+H4</f>
        <v>131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120</v>
      </c>
      <c r="AE6" s="1">
        <f t="shared" si="1"/>
        <v>234</v>
      </c>
      <c r="AF6" s="1">
        <f t="shared" si="1"/>
        <v>115</v>
      </c>
      <c r="AG6" s="1">
        <f t="shared" si="1"/>
        <v>208</v>
      </c>
      <c r="AH6" s="1">
        <f t="shared" si="1"/>
        <v>125</v>
      </c>
      <c r="AI6" s="1">
        <f t="shared" si="1"/>
        <v>329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1688</v>
      </c>
      <c r="M17" s="47" t="s">
        <v>1356</v>
      </c>
      <c r="N17" s="47" t="s">
        <v>1715</v>
      </c>
      <c r="O17" s="48"/>
      <c r="P17" s="48"/>
      <c r="Q17" s="45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s="1" customFormat="1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s="1" customFormat="1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1674</v>
      </c>
      <c r="M40" s="47" t="s">
        <v>1354</v>
      </c>
      <c r="N40" s="47" t="s">
        <v>1711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44">
        <v>0</v>
      </c>
      <c r="B184" s="44">
        <v>1</v>
      </c>
      <c r="C184" s="44">
        <v>3</v>
      </c>
      <c r="D184" s="45" t="s">
        <v>977</v>
      </c>
      <c r="E184" s="45" t="s">
        <v>171</v>
      </c>
      <c r="F184" s="45" t="s">
        <v>980</v>
      </c>
      <c r="G184" s="45" t="s">
        <v>39</v>
      </c>
      <c r="H184" s="45" t="s">
        <v>979</v>
      </c>
      <c r="I184" s="44" t="s">
        <v>978</v>
      </c>
      <c r="J184" s="44">
        <v>14</v>
      </c>
      <c r="K184" s="46" t="s">
        <v>718</v>
      </c>
      <c r="L184" s="46" t="s">
        <v>690</v>
      </c>
      <c r="M184" s="47" t="s">
        <v>958</v>
      </c>
      <c r="N184" s="47" t="s">
        <v>1709</v>
      </c>
      <c r="O184" s="48"/>
      <c r="P184" s="48"/>
      <c r="Q184" s="45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0</v>
      </c>
      <c r="AF184" s="1">
        <f t="shared" si="63"/>
        <v>0</v>
      </c>
      <c r="AG184" s="1">
        <f t="shared" si="64"/>
        <v>0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8">
        <v>0</v>
      </c>
      <c r="B201" s="38">
        <v>1</v>
      </c>
      <c r="C201" s="38">
        <v>5</v>
      </c>
      <c r="D201" s="39" t="s">
        <v>2084</v>
      </c>
      <c r="E201" s="39" t="s">
        <v>165</v>
      </c>
      <c r="F201" s="39" t="s">
        <v>2085</v>
      </c>
      <c r="G201" s="39" t="s">
        <v>193</v>
      </c>
      <c r="H201" s="39" t="s">
        <v>352</v>
      </c>
      <c r="I201" s="38" t="s">
        <v>2086</v>
      </c>
      <c r="J201" s="38">
        <v>9</v>
      </c>
      <c r="K201" s="40" t="s">
        <v>699</v>
      </c>
      <c r="L201" s="40"/>
      <c r="M201" s="41"/>
      <c r="N201" s="42"/>
      <c r="O201" s="43"/>
      <c r="P201" s="43"/>
      <c r="Q201" s="54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0</v>
      </c>
      <c r="AE201" s="1">
        <f t="shared" ref="AE201:AE204" si="106">O201*(1-P201)</f>
        <v>0</v>
      </c>
      <c r="AF201" s="1">
        <f t="shared" ref="AF201:AF204" si="107">+O201*P201*(1-A201)</f>
        <v>0</v>
      </c>
      <c r="AG201" s="1">
        <f t="shared" ref="AG201:AG204" si="108">O201*(1-P201)*(1-A201)</f>
        <v>0</v>
      </c>
      <c r="AH201" s="1">
        <f t="shared" ref="AH201:AH204" si="109">+P201*(1-A201)</f>
        <v>0</v>
      </c>
      <c r="AI201" s="1">
        <f t="shared" ref="AI201:AI204" si="110">+(1-A201)*(1-P201)</f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881</v>
      </c>
      <c r="E209" s="45" t="s">
        <v>882</v>
      </c>
      <c r="F209" s="45" t="s">
        <v>923</v>
      </c>
      <c r="G209" s="45" t="s">
        <v>39</v>
      </c>
      <c r="H209" s="45" t="s">
        <v>883</v>
      </c>
      <c r="I209" s="44" t="s">
        <v>884</v>
      </c>
      <c r="J209" s="44">
        <v>17</v>
      </c>
      <c r="K209" s="46" t="s">
        <v>699</v>
      </c>
      <c r="L209" s="46" t="s">
        <v>693</v>
      </c>
      <c r="M209" s="47" t="s">
        <v>957</v>
      </c>
      <c r="N209" s="47" t="s">
        <v>1715</v>
      </c>
      <c r="O209" s="48"/>
      <c r="P209" s="48"/>
      <c r="Q209" s="45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0</v>
      </c>
      <c r="AF209" s="1">
        <f t="shared" ref="AF209:AF272" si="111">+O209*P209*(1-A209)</f>
        <v>0</v>
      </c>
      <c r="AG209" s="1">
        <f t="shared" ref="AG209:AG272" si="112">O209*(1-P209)*(1-A209)</f>
        <v>0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2043</v>
      </c>
      <c r="E244" s="45" t="s">
        <v>2044</v>
      </c>
      <c r="F244" s="45" t="s">
        <v>2045</v>
      </c>
      <c r="G244" s="45" t="s">
        <v>207</v>
      </c>
      <c r="H244" s="45" t="s">
        <v>352</v>
      </c>
      <c r="I244" s="44" t="s">
        <v>2046</v>
      </c>
      <c r="J244" s="44">
        <v>3</v>
      </c>
      <c r="K244" s="46" t="s">
        <v>699</v>
      </c>
      <c r="L244" s="46">
        <v>30</v>
      </c>
      <c r="M244" s="47" t="s">
        <v>2047</v>
      </c>
      <c r="N244" s="47" t="s">
        <v>1783</v>
      </c>
      <c r="O244" s="48"/>
      <c r="P244" s="48"/>
      <c r="Q244" s="45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0</v>
      </c>
      <c r="AF244" s="1">
        <f t="shared" si="111"/>
        <v>0</v>
      </c>
      <c r="AG244" s="1">
        <f t="shared" si="112"/>
        <v>0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778</v>
      </c>
      <c r="E335" s="45" t="s">
        <v>898</v>
      </c>
      <c r="F335" s="45" t="s">
        <v>1545</v>
      </c>
      <c r="G335" s="45" t="s">
        <v>229</v>
      </c>
      <c r="H335" s="45" t="s">
        <v>352</v>
      </c>
      <c r="I335" s="44" t="s">
        <v>1668</v>
      </c>
      <c r="J335" s="44">
        <v>7</v>
      </c>
      <c r="K335" s="46" t="s">
        <v>709</v>
      </c>
      <c r="L335" s="46">
        <v>20</v>
      </c>
      <c r="M335" s="47" t="s">
        <v>39</v>
      </c>
      <c r="N335" s="47" t="s">
        <v>1708</v>
      </c>
      <c r="O335" s="48"/>
      <c r="P335" s="48"/>
      <c r="Q335" s="45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0</v>
      </c>
      <c r="AF335" s="1">
        <f t="shared" si="127"/>
        <v>0</v>
      </c>
      <c r="AG335" s="1">
        <f t="shared" si="128"/>
        <v>0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44">
        <v>0</v>
      </c>
      <c r="B404" s="44">
        <v>2</v>
      </c>
      <c r="C404" s="44">
        <v>6</v>
      </c>
      <c r="D404" s="45" t="s">
        <v>1070</v>
      </c>
      <c r="E404" s="45" t="s">
        <v>158</v>
      </c>
      <c r="F404" s="45" t="s">
        <v>197</v>
      </c>
      <c r="G404" s="45" t="s">
        <v>198</v>
      </c>
      <c r="H404" s="45" t="s">
        <v>352</v>
      </c>
      <c r="I404" s="44" t="s">
        <v>386</v>
      </c>
      <c r="J404" s="44">
        <v>99</v>
      </c>
      <c r="K404" s="46" t="s">
        <v>708</v>
      </c>
      <c r="L404" s="46" t="s">
        <v>712</v>
      </c>
      <c r="M404" s="47" t="s">
        <v>726</v>
      </c>
      <c r="N404" s="47" t="s">
        <v>1708</v>
      </c>
      <c r="O404" s="48"/>
      <c r="P404" s="48"/>
      <c r="Q404" s="45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0</v>
      </c>
      <c r="AF404" s="1">
        <f t="shared" si="165"/>
        <v>0</v>
      </c>
      <c r="AG404" s="1">
        <f t="shared" si="166"/>
        <v>0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67</v>
      </c>
      <c r="E430" s="45" t="s">
        <v>28</v>
      </c>
      <c r="F430" s="45" t="s">
        <v>247</v>
      </c>
      <c r="G430" s="45" t="s">
        <v>248</v>
      </c>
      <c r="H430" s="45" t="s">
        <v>352</v>
      </c>
      <c r="I430" s="44" t="s">
        <v>409</v>
      </c>
      <c r="J430" s="44">
        <v>7</v>
      </c>
      <c r="K430" s="46" t="s">
        <v>709</v>
      </c>
      <c r="L430" s="46" t="s">
        <v>709</v>
      </c>
      <c r="M430" s="47" t="s">
        <v>727</v>
      </c>
      <c r="N430" s="47" t="s">
        <v>1708</v>
      </c>
      <c r="O430" s="48"/>
      <c r="P430" s="48"/>
      <c r="Q430" s="45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0</v>
      </c>
      <c r="AF430" s="1">
        <f t="shared" si="193"/>
        <v>0</v>
      </c>
      <c r="AG430" s="1">
        <f t="shared" si="194"/>
        <v>0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67</v>
      </c>
      <c r="E431" s="45" t="s">
        <v>28</v>
      </c>
      <c r="F431" s="45" t="s">
        <v>1026</v>
      </c>
      <c r="G431" s="45" t="s">
        <v>535</v>
      </c>
      <c r="H431" s="45" t="s">
        <v>352</v>
      </c>
      <c r="I431" s="44" t="s">
        <v>30</v>
      </c>
      <c r="J431" s="44">
        <v>1</v>
      </c>
      <c r="K431" s="46" t="s">
        <v>709</v>
      </c>
      <c r="L431" s="46" t="s">
        <v>709</v>
      </c>
      <c r="M431" s="47" t="s">
        <v>727</v>
      </c>
      <c r="N431" s="47" t="s">
        <v>1708</v>
      </c>
      <c r="O431" s="48"/>
      <c r="P431" s="48"/>
      <c r="Q431" s="45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0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67</v>
      </c>
      <c r="E432" s="45" t="s">
        <v>28</v>
      </c>
      <c r="F432" s="45" t="s">
        <v>249</v>
      </c>
      <c r="G432" s="45" t="s">
        <v>199</v>
      </c>
      <c r="H432" s="45" t="s">
        <v>352</v>
      </c>
      <c r="I432" s="44" t="s">
        <v>410</v>
      </c>
      <c r="J432" s="44">
        <v>2</v>
      </c>
      <c r="K432" s="46" t="s">
        <v>709</v>
      </c>
      <c r="L432" s="46" t="s">
        <v>709</v>
      </c>
      <c r="M432" s="47" t="s">
        <v>727</v>
      </c>
      <c r="N432" s="47" t="s">
        <v>1708</v>
      </c>
      <c r="O432" s="48"/>
      <c r="P432" s="48"/>
      <c r="Q432" s="45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0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67</v>
      </c>
      <c r="E433" s="45" t="s">
        <v>28</v>
      </c>
      <c r="F433" s="45" t="s">
        <v>246</v>
      </c>
      <c r="G433" s="45" t="s">
        <v>1330</v>
      </c>
      <c r="H433" s="45" t="s">
        <v>352</v>
      </c>
      <c r="I433" s="44" t="s">
        <v>30</v>
      </c>
      <c r="J433" s="44">
        <v>1</v>
      </c>
      <c r="K433" s="46" t="s">
        <v>709</v>
      </c>
      <c r="L433" s="46" t="s">
        <v>709</v>
      </c>
      <c r="M433" s="47" t="s">
        <v>727</v>
      </c>
      <c r="N433" s="47" t="s">
        <v>1708</v>
      </c>
      <c r="O433" s="48"/>
      <c r="P433" s="48"/>
      <c r="Q433" s="45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0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67</v>
      </c>
      <c r="E434" s="45" t="s">
        <v>28</v>
      </c>
      <c r="F434" s="45" t="s">
        <v>251</v>
      </c>
      <c r="G434" s="45" t="s">
        <v>193</v>
      </c>
      <c r="H434" s="45" t="s">
        <v>352</v>
      </c>
      <c r="I434" s="44" t="s">
        <v>411</v>
      </c>
      <c r="J434" s="44">
        <v>9</v>
      </c>
      <c r="K434" s="46" t="s">
        <v>709</v>
      </c>
      <c r="L434" s="46" t="s">
        <v>709</v>
      </c>
      <c r="M434" s="47" t="s">
        <v>727</v>
      </c>
      <c r="N434" s="47" t="s">
        <v>1708</v>
      </c>
      <c r="O434" s="48"/>
      <c r="P434" s="48"/>
      <c r="Q434" s="45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0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82</v>
      </c>
      <c r="E460" s="45" t="s">
        <v>28</v>
      </c>
      <c r="F460" s="45" t="s">
        <v>273</v>
      </c>
      <c r="G460" s="45" t="s">
        <v>274</v>
      </c>
      <c r="H460" s="45" t="s">
        <v>352</v>
      </c>
      <c r="I460" s="44" t="s">
        <v>427</v>
      </c>
      <c r="J460" s="44">
        <v>7</v>
      </c>
      <c r="K460" s="46" t="s">
        <v>942</v>
      </c>
      <c r="L460" s="46" t="s">
        <v>941</v>
      </c>
      <c r="M460" s="47" t="s">
        <v>955</v>
      </c>
      <c r="N460" s="47" t="s">
        <v>1783</v>
      </c>
      <c r="O460" s="48"/>
      <c r="P460" s="48"/>
      <c r="Q460" s="45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0</v>
      </c>
      <c r="AF460" s="1">
        <f t="shared" si="193"/>
        <v>0</v>
      </c>
      <c r="AG460" s="1">
        <f t="shared" si="194"/>
        <v>0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2026-08-30T08:30:43Z</dcterms:modified>
</cp:coreProperties>
</file>