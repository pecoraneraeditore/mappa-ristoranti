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D2E2148-8C0A-4BB4-BD62-E237E14ECE4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77" i="6" l="1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59" i="6"/>
  <c r="AH259" i="6"/>
  <c r="AG259" i="6"/>
  <c r="AF259" i="6"/>
  <c r="AE259" i="6"/>
  <c r="AD259" i="6"/>
  <c r="AI258" i="6"/>
  <c r="AH258" i="6"/>
  <c r="AG258" i="6"/>
  <c r="AF258" i="6"/>
  <c r="AE258" i="6"/>
  <c r="AD258" i="6"/>
  <c r="S476" i="6"/>
  <c r="T476" i="6"/>
  <c r="U476" i="6"/>
  <c r="V476" i="6"/>
  <c r="W476" i="6"/>
  <c r="X476" i="6"/>
  <c r="Y476" i="6"/>
  <c r="Z476" i="6"/>
  <c r="AA476" i="6"/>
  <c r="AB476" i="6"/>
  <c r="S475" i="6"/>
  <c r="T475" i="6"/>
  <c r="U475" i="6"/>
  <c r="V475" i="6"/>
  <c r="W475" i="6"/>
  <c r="X475" i="6"/>
  <c r="Y475" i="6"/>
  <c r="Z475" i="6"/>
  <c r="AA475" i="6"/>
  <c r="AB475" i="6"/>
  <c r="S474" i="6"/>
  <c r="T474" i="6"/>
  <c r="U474" i="6"/>
  <c r="V474" i="6"/>
  <c r="W474" i="6"/>
  <c r="X474" i="6"/>
  <c r="Y474" i="6"/>
  <c r="Z474" i="6"/>
  <c r="AA474" i="6"/>
  <c r="AB474" i="6"/>
  <c r="S473" i="6"/>
  <c r="T473" i="6"/>
  <c r="U473" i="6"/>
  <c r="V473" i="6"/>
  <c r="W473" i="6"/>
  <c r="X473" i="6"/>
  <c r="Y473" i="6"/>
  <c r="Z473" i="6"/>
  <c r="AA473" i="6"/>
  <c r="AB473" i="6"/>
  <c r="S472" i="6"/>
  <c r="T472" i="6"/>
  <c r="U472" i="6"/>
  <c r="V472" i="6"/>
  <c r="W472" i="6"/>
  <c r="X472" i="6"/>
  <c r="Y472" i="6"/>
  <c r="Z472" i="6"/>
  <c r="AA472" i="6"/>
  <c r="AB472" i="6"/>
  <c r="S471" i="6"/>
  <c r="T471" i="6"/>
  <c r="U471" i="6"/>
  <c r="V471" i="6"/>
  <c r="W471" i="6"/>
  <c r="X471" i="6"/>
  <c r="Y471" i="6"/>
  <c r="Z471" i="6"/>
  <c r="AA471" i="6"/>
  <c r="AB471" i="6"/>
  <c r="S470" i="6"/>
  <c r="S469" i="6"/>
  <c r="AD188" i="6"/>
  <c r="AE188" i="6"/>
  <c r="AF188" i="6"/>
  <c r="AD189" i="6"/>
  <c r="AE189" i="6"/>
  <c r="AF189" i="6"/>
  <c r="S189" i="6"/>
  <c r="AG189" i="6"/>
  <c r="AH189" i="6"/>
  <c r="AI189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0" i="6"/>
  <c r="AD320" i="6"/>
  <c r="AE320" i="6"/>
  <c r="AF320" i="6"/>
  <c r="AG320" i="6"/>
  <c r="AH320" i="6"/>
  <c r="AI320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S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470" i="6" l="1"/>
  <c r="T469" i="6"/>
  <c r="T189" i="6"/>
  <c r="T420" i="6"/>
  <c r="T419" i="6"/>
  <c r="T418" i="6"/>
  <c r="T417" i="6"/>
  <c r="T416" i="6"/>
  <c r="T98" i="6"/>
  <c r="T97" i="6"/>
  <c r="T96" i="6"/>
  <c r="T320" i="6"/>
  <c r="T358" i="6"/>
  <c r="T32" i="6"/>
  <c r="T86" i="6"/>
  <c r="T332" i="6"/>
  <c r="T363" i="6"/>
  <c r="T294" i="6"/>
  <c r="T185" i="6"/>
  <c r="T184" i="6"/>
  <c r="T64" i="6"/>
  <c r="T374" i="6"/>
  <c r="T373" i="6"/>
  <c r="T372" i="6"/>
  <c r="T448" i="6"/>
  <c r="T266" i="6"/>
  <c r="T237" i="6"/>
  <c r="T267" i="6"/>
  <c r="T215" i="6"/>
  <c r="T214" i="6"/>
  <c r="T351" i="6"/>
  <c r="T336" i="6"/>
  <c r="T140" i="6"/>
  <c r="T163" i="6"/>
  <c r="T103" i="6"/>
  <c r="T141" i="6"/>
  <c r="T316" i="6"/>
  <c r="T102" i="6"/>
  <c r="T93" i="6"/>
  <c r="T92" i="6"/>
  <c r="T91" i="6"/>
  <c r="T291" i="6"/>
  <c r="T238" i="6"/>
  <c r="T367" i="6"/>
  <c r="T352" i="6"/>
  <c r="T315" i="6"/>
  <c r="T287" i="6"/>
  <c r="T264" i="6"/>
  <c r="T236" i="6"/>
  <c r="T213" i="6"/>
  <c r="T182" i="6"/>
  <c r="T70" i="6"/>
  <c r="T139" i="6"/>
  <c r="T99" i="6"/>
  <c r="T371" i="6"/>
  <c r="T338" i="6"/>
  <c r="T314" i="6"/>
  <c r="T286" i="6"/>
  <c r="T263" i="6"/>
  <c r="T235" i="6"/>
  <c r="T210" i="6"/>
  <c r="T181" i="6"/>
  <c r="T131" i="6"/>
  <c r="T65" i="6"/>
  <c r="T285" i="6"/>
  <c r="T180" i="6"/>
  <c r="T205" i="6"/>
  <c r="T388" i="6"/>
  <c r="T68" i="6"/>
  <c r="T203" i="6"/>
  <c r="T360" i="6"/>
  <c r="T396" i="6"/>
  <c r="T326" i="6"/>
  <c r="T303" i="6"/>
  <c r="T280" i="6"/>
  <c r="T79" i="6"/>
  <c r="T229" i="6"/>
  <c r="T202" i="6"/>
  <c r="T89" i="6"/>
  <c r="T155" i="6"/>
  <c r="T123" i="6"/>
  <c r="T88" i="6"/>
  <c r="T126" i="6"/>
  <c r="T231" i="6"/>
  <c r="T342" i="6"/>
  <c r="T364" i="6"/>
  <c r="T404" i="6"/>
  <c r="T250" i="6"/>
  <c r="T302" i="6"/>
  <c r="T279" i="6"/>
  <c r="T244" i="6"/>
  <c r="T226" i="6"/>
  <c r="T201" i="6"/>
  <c r="T168" i="6"/>
  <c r="T154" i="6"/>
  <c r="T122" i="6"/>
  <c r="T49" i="6"/>
  <c r="T324" i="6"/>
  <c r="T127" i="6"/>
  <c r="T259" i="6"/>
  <c r="T325" i="6"/>
  <c r="T255" i="6"/>
  <c r="T173" i="6"/>
  <c r="T392" i="6"/>
  <c r="T301" i="6"/>
  <c r="T245" i="6"/>
  <c r="T222" i="6"/>
  <c r="T199" i="6"/>
  <c r="T161" i="6"/>
  <c r="T152" i="6"/>
  <c r="T120" i="6"/>
  <c r="T48" i="6"/>
  <c r="T376" i="6"/>
  <c r="T262" i="6"/>
  <c r="T60" i="6"/>
  <c r="T233" i="6"/>
  <c r="T283" i="6"/>
  <c r="T171" i="6"/>
  <c r="T368" i="6"/>
  <c r="T327" i="6"/>
  <c r="T278" i="6"/>
  <c r="T350" i="6"/>
  <c r="T248" i="6"/>
  <c r="T300" i="6"/>
  <c r="T275" i="6"/>
  <c r="T246" i="6"/>
  <c r="T221" i="6"/>
  <c r="T198" i="6"/>
  <c r="T169" i="6"/>
  <c r="T151" i="6"/>
  <c r="T119" i="6"/>
  <c r="T46" i="6"/>
  <c r="T312" i="6"/>
  <c r="T83" i="6"/>
  <c r="T380" i="6"/>
  <c r="T284" i="6"/>
  <c r="T67" i="6"/>
  <c r="T310" i="6"/>
  <c r="T125" i="6"/>
  <c r="T124" i="6"/>
  <c r="T333" i="6"/>
  <c r="T377" i="6"/>
  <c r="T334" i="6"/>
  <c r="T344" i="6"/>
  <c r="T299" i="6"/>
  <c r="T271" i="6"/>
  <c r="T170" i="6"/>
  <c r="T220" i="6"/>
  <c r="T190" i="6"/>
  <c r="T69" i="6"/>
  <c r="T150" i="6"/>
  <c r="T115" i="6"/>
  <c r="T45" i="6"/>
  <c r="T234" i="6"/>
  <c r="T341" i="6"/>
  <c r="T177" i="6"/>
  <c r="T204" i="6"/>
  <c r="T356" i="6"/>
  <c r="T307" i="6"/>
  <c r="T230" i="6"/>
  <c r="T165" i="6"/>
  <c r="T58" i="6"/>
  <c r="T321" i="6"/>
  <c r="T298" i="6"/>
  <c r="T162" i="6"/>
  <c r="T188" i="6"/>
  <c r="T147" i="6"/>
  <c r="T389" i="6"/>
  <c r="T253" i="6"/>
  <c r="T296" i="6"/>
  <c r="T269" i="6"/>
  <c r="T172" i="6"/>
  <c r="T218" i="6"/>
  <c r="T187" i="6"/>
  <c r="T90" i="6"/>
  <c r="T143" i="6"/>
  <c r="T106" i="6"/>
  <c r="T41" i="6"/>
  <c r="T206" i="6"/>
  <c r="T311" i="6"/>
  <c r="T84" i="6"/>
  <c r="T402" i="6"/>
  <c r="T157" i="6"/>
  <c r="T282" i="6"/>
  <c r="T156" i="6"/>
  <c r="T385" i="6"/>
  <c r="T252" i="6"/>
  <c r="T270" i="6"/>
  <c r="T219" i="6"/>
  <c r="T59" i="6"/>
  <c r="T111" i="6"/>
  <c r="T43" i="6"/>
  <c r="T393" i="6"/>
  <c r="T335" i="6"/>
  <c r="T254" i="6"/>
  <c r="T295" i="6"/>
  <c r="T268" i="6"/>
  <c r="T242" i="6"/>
  <c r="T217" i="6"/>
  <c r="T186" i="6"/>
  <c r="T73" i="6"/>
  <c r="T142" i="6"/>
  <c r="T104" i="6"/>
  <c r="T38" i="6"/>
  <c r="T33" i="6"/>
  <c r="T61" i="6"/>
  <c r="T55" i="6"/>
  <c r="T138" i="6"/>
  <c r="T110" i="6"/>
  <c r="T78" i="6"/>
  <c r="T31" i="6"/>
  <c r="T197" i="6"/>
  <c r="T166" i="6"/>
  <c r="T159" i="6"/>
  <c r="T136" i="6"/>
  <c r="T109" i="6"/>
  <c r="T63" i="6"/>
  <c r="T30" i="6"/>
  <c r="T194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8" i="6"/>
  <c r="T369" i="6"/>
  <c r="T461" i="6"/>
  <c r="T381" i="6"/>
  <c r="T384" i="6"/>
  <c r="T249" i="6"/>
  <c r="T343" i="6"/>
  <c r="T313" i="6"/>
  <c r="T297" i="6"/>
  <c r="T281" i="6"/>
  <c r="T265" i="6"/>
  <c r="T247" i="6"/>
  <c r="T232" i="6"/>
  <c r="T216" i="6"/>
  <c r="T200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7" i="6"/>
  <c r="T328" i="6"/>
  <c r="T309" i="6"/>
  <c r="T293" i="6"/>
  <c r="T277" i="6"/>
  <c r="T261" i="6"/>
  <c r="T164" i="6"/>
  <c r="T228" i="6"/>
  <c r="T212" i="6"/>
  <c r="T196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2" i="6"/>
  <c r="T251" i="6"/>
  <c r="T308" i="6"/>
  <c r="T292" i="6"/>
  <c r="T276" i="6"/>
  <c r="T260" i="6"/>
  <c r="T243" i="6"/>
  <c r="T227" i="6"/>
  <c r="T211" i="6"/>
  <c r="T195" i="6"/>
  <c r="T178" i="6"/>
  <c r="T85" i="6"/>
  <c r="T80" i="6"/>
  <c r="T148" i="6"/>
  <c r="T132" i="6"/>
  <c r="T116" i="6"/>
  <c r="T100" i="6"/>
  <c r="T72" i="6"/>
  <c r="T39" i="6"/>
  <c r="T23" i="6"/>
  <c r="T348" i="6"/>
  <c r="T387" i="6"/>
  <c r="T433" i="6"/>
  <c r="AD6" i="6"/>
  <c r="F3" i="6" s="1"/>
  <c r="T408" i="6"/>
  <c r="T406" i="6"/>
  <c r="T347" i="6"/>
  <c r="T339" i="6"/>
  <c r="T319" i="6"/>
  <c r="T306" i="6"/>
  <c r="T290" i="6"/>
  <c r="T274" i="6"/>
  <c r="T258" i="6"/>
  <c r="T241" i="6"/>
  <c r="T225" i="6"/>
  <c r="T209" i="6"/>
  <c r="T193" i="6"/>
  <c r="T176" i="6"/>
  <c r="T66" i="6"/>
  <c r="T77" i="6"/>
  <c r="T146" i="6"/>
  <c r="T130" i="6"/>
  <c r="T114" i="6"/>
  <c r="T87" i="6"/>
  <c r="T53" i="6"/>
  <c r="T37" i="6"/>
  <c r="T21" i="6"/>
  <c r="T444" i="6"/>
  <c r="T354" i="6"/>
  <c r="T330" i="6"/>
  <c r="T331" i="6"/>
  <c r="T323" i="6"/>
  <c r="T318" i="6"/>
  <c r="T305" i="6"/>
  <c r="T289" i="6"/>
  <c r="T273" i="6"/>
  <c r="T257" i="6"/>
  <c r="T240" i="6"/>
  <c r="T224" i="6"/>
  <c r="T208" i="6"/>
  <c r="T192" i="6"/>
  <c r="T175" i="6"/>
  <c r="T62" i="6"/>
  <c r="T145" i="6"/>
  <c r="T129" i="6"/>
  <c r="T113" i="6"/>
  <c r="T52" i="6"/>
  <c r="T36" i="6"/>
  <c r="T20" i="6"/>
  <c r="T345" i="6"/>
  <c r="T355" i="6"/>
  <c r="T349" i="6"/>
  <c r="T340" i="6"/>
  <c r="T317" i="6"/>
  <c r="T304" i="6"/>
  <c r="T288" i="6"/>
  <c r="T272" i="6"/>
  <c r="T256" i="6"/>
  <c r="T239" i="6"/>
  <c r="T223" i="6"/>
  <c r="T207" i="6"/>
  <c r="T191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6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29" i="6"/>
  <c r="T451" i="6"/>
  <c r="T435" i="6"/>
  <c r="T398" i="6"/>
  <c r="T383" i="6"/>
  <c r="T365" i="6"/>
  <c r="T459" i="6"/>
  <c r="T442" i="6"/>
  <c r="U189" i="6" l="1"/>
  <c r="U469" i="6"/>
  <c r="U470" i="6"/>
  <c r="U416" i="6"/>
  <c r="U417" i="6"/>
  <c r="U418" i="6"/>
  <c r="U419" i="6"/>
  <c r="U420" i="6"/>
  <c r="U320" i="6"/>
  <c r="U96" i="6"/>
  <c r="U97" i="6"/>
  <c r="U98" i="6"/>
  <c r="U13" i="6"/>
  <c r="U358" i="6"/>
  <c r="U331" i="6"/>
  <c r="U448" i="6"/>
  <c r="U372" i="6"/>
  <c r="U373" i="6"/>
  <c r="U374" i="6"/>
  <c r="U458" i="6"/>
  <c r="U91" i="6"/>
  <c r="U92" i="6"/>
  <c r="U93" i="6"/>
  <c r="U142" i="6"/>
  <c r="U107" i="6"/>
  <c r="U288" i="6"/>
  <c r="U180" i="6"/>
  <c r="U446" i="6"/>
  <c r="U410" i="6"/>
  <c r="U450" i="6"/>
  <c r="U289" i="6"/>
  <c r="U218" i="6"/>
  <c r="U228" i="6"/>
  <c r="U307" i="6"/>
  <c r="U171" i="6"/>
  <c r="U131" i="6"/>
  <c r="U271" i="6"/>
  <c r="U146" i="6"/>
  <c r="U274" i="6"/>
  <c r="U100" i="6"/>
  <c r="U329" i="6"/>
  <c r="U317" i="6"/>
  <c r="U76" i="6"/>
  <c r="U293" i="6"/>
  <c r="U161" i="6"/>
  <c r="U381" i="6"/>
  <c r="U108" i="6"/>
  <c r="U105" i="6"/>
  <c r="U328" i="6"/>
  <c r="U173" i="6"/>
  <c r="U204" i="6"/>
  <c r="U118" i="6"/>
  <c r="U322" i="6"/>
  <c r="U198" i="6"/>
  <c r="U291" i="6"/>
  <c r="U176" i="6"/>
  <c r="U156" i="6"/>
  <c r="U45" i="6"/>
  <c r="U22" i="6"/>
  <c r="U186" i="6"/>
  <c r="U36" i="6"/>
  <c r="U24" i="6"/>
  <c r="U52" i="6"/>
  <c r="U295" i="6"/>
  <c r="U121" i="6"/>
  <c r="U225" i="6"/>
  <c r="U201" i="6"/>
  <c r="U463" i="6"/>
  <c r="U468" i="6"/>
  <c r="U453" i="6"/>
  <c r="U20" i="6"/>
  <c r="U438" i="6"/>
  <c r="U319" i="6"/>
  <c r="U70" i="6"/>
  <c r="U452" i="6"/>
  <c r="U444" i="6"/>
  <c r="U233" i="6"/>
  <c r="U151" i="6"/>
  <c r="U311" i="6"/>
  <c r="U154" i="6"/>
  <c r="U237" i="6"/>
  <c r="U227" i="6"/>
  <c r="U110" i="6"/>
  <c r="U197" i="6"/>
  <c r="U229" i="6"/>
  <c r="V7" i="6"/>
  <c r="U27" i="6"/>
  <c r="U455" i="6"/>
  <c r="U244" i="6"/>
  <c r="U436" i="6"/>
  <c r="U457" i="6"/>
  <c r="U21" i="6"/>
  <c r="U109" i="6"/>
  <c r="U19" i="6"/>
  <c r="U68" i="6"/>
  <c r="U407" i="6"/>
  <c r="U137" i="6"/>
  <c r="U339" i="6"/>
  <c r="U213" i="6"/>
  <c r="U347" i="6"/>
  <c r="U77" i="6"/>
  <c r="U263" i="6"/>
  <c r="U203" i="6"/>
  <c r="U279" i="6"/>
  <c r="U443" i="6"/>
  <c r="U454" i="6"/>
  <c r="U56" i="6"/>
  <c r="U35" i="6"/>
  <c r="U104" i="6"/>
  <c r="U72" i="6"/>
  <c r="U139" i="6"/>
  <c r="U130" i="6"/>
  <c r="U132" i="6"/>
  <c r="U330" i="6"/>
  <c r="U157" i="6"/>
  <c r="U174" i="6"/>
  <c r="U267" i="6"/>
  <c r="U433" i="6"/>
  <c r="U9" i="6"/>
  <c r="U67" i="6"/>
  <c r="U170" i="6"/>
  <c r="U150" i="6"/>
  <c r="U106" i="6"/>
  <c r="U11" i="6"/>
  <c r="U285" i="6"/>
  <c r="U348" i="6"/>
  <c r="U188" i="6"/>
  <c r="U431" i="6"/>
  <c r="U191" i="6"/>
  <c r="U75" i="6"/>
  <c r="U287" i="6"/>
  <c r="U424" i="6"/>
  <c r="U270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69" i="6"/>
  <c r="U74" i="6"/>
  <c r="U235" i="6"/>
  <c r="U158" i="6"/>
  <c r="U405" i="6"/>
  <c r="U83" i="6"/>
  <c r="U134" i="6"/>
  <c r="U415" i="6"/>
  <c r="U117" i="6"/>
  <c r="U148" i="6"/>
  <c r="U25" i="6"/>
  <c r="U301" i="6"/>
  <c r="U412" i="6"/>
  <c r="U205" i="6"/>
  <c r="U207" i="6"/>
  <c r="U306" i="6"/>
  <c r="U175" i="6"/>
  <c r="U309" i="6"/>
  <c r="U206" i="6"/>
  <c r="U58" i="6"/>
  <c r="U466" i="6"/>
  <c r="U123" i="6"/>
  <c r="U61" i="6"/>
  <c r="U8" i="6"/>
  <c r="U428" i="6"/>
  <c r="U349" i="6"/>
  <c r="U40" i="6"/>
  <c r="U219" i="6"/>
  <c r="U442" i="6"/>
  <c r="U86" i="6"/>
  <c r="U84" i="6"/>
  <c r="U460" i="6"/>
  <c r="U414" i="6"/>
  <c r="U459" i="6"/>
  <c r="U51" i="6"/>
  <c r="U88" i="6"/>
  <c r="U406" i="6"/>
  <c r="U101" i="6"/>
  <c r="U413" i="6"/>
  <c r="U251" i="6"/>
  <c r="U183" i="6"/>
  <c r="U167" i="6"/>
  <c r="U41" i="6"/>
  <c r="U163" i="6"/>
  <c r="U221" i="6"/>
  <c r="U447" i="6"/>
  <c r="U223" i="6"/>
  <c r="U253" i="6"/>
  <c r="U199" i="6"/>
  <c r="U364" i="6"/>
  <c r="U172" i="6"/>
  <c r="U403" i="6"/>
  <c r="U243" i="6"/>
  <c r="U80" i="6"/>
  <c r="U422" i="6"/>
  <c r="U441" i="6"/>
  <c r="U43" i="6"/>
  <c r="U38" i="6"/>
  <c r="U59" i="6"/>
  <c r="U54" i="6"/>
  <c r="U162" i="6"/>
  <c r="U467" i="6"/>
  <c r="U451" i="6"/>
  <c r="U126" i="6"/>
  <c r="U430" i="6"/>
  <c r="U216" i="6"/>
  <c r="U434" i="6"/>
  <c r="U185" i="6"/>
  <c r="U73" i="6"/>
  <c r="U465" i="6"/>
  <c r="U257" i="6"/>
  <c r="U394" i="6"/>
  <c r="U231" i="6"/>
  <c r="U272" i="6"/>
  <c r="U16" i="6"/>
  <c r="U208" i="6"/>
  <c r="U439" i="6"/>
  <c r="U29" i="6"/>
  <c r="U164" i="6"/>
  <c r="U426" i="6"/>
  <c r="U94" i="6"/>
  <c r="U435" i="6"/>
  <c r="U18" i="6"/>
  <c r="U432" i="6"/>
  <c r="U200" i="6"/>
  <c r="U133" i="6"/>
  <c r="U57" i="6"/>
  <c r="U429" i="6"/>
  <c r="U346" i="6"/>
  <c r="U247" i="6"/>
  <c r="U340" i="6"/>
  <c r="U226" i="6"/>
  <c r="U15" i="6"/>
  <c r="U421" i="6"/>
  <c r="U152" i="6"/>
  <c r="U423" i="6"/>
  <c r="U449" i="6"/>
  <c r="U127" i="6"/>
  <c r="U202" i="6"/>
  <c r="U89" i="6"/>
  <c r="U445" i="6"/>
  <c r="U273" i="6"/>
  <c r="U78" i="6"/>
  <c r="U268" i="6"/>
  <c r="U397" i="6"/>
  <c r="U179" i="6"/>
  <c r="U49" i="6"/>
  <c r="U87" i="6"/>
  <c r="U116" i="6"/>
  <c r="U292" i="6"/>
  <c r="U366" i="6"/>
  <c r="U119" i="6"/>
  <c r="U128" i="6"/>
  <c r="U290" i="6"/>
  <c r="U310" i="6"/>
  <c r="U383" i="6"/>
  <c r="U312" i="6"/>
  <c r="U187" i="6"/>
  <c r="U362" i="6"/>
  <c r="U308" i="6"/>
  <c r="U345" i="6"/>
  <c r="U409" i="6"/>
  <c r="U399" i="6"/>
  <c r="U278" i="6"/>
  <c r="V461" i="6"/>
  <c r="U361" i="6"/>
  <c r="U241" i="6"/>
  <c r="U379" i="6"/>
  <c r="U252" i="6"/>
  <c r="U338" i="6"/>
  <c r="U440" i="6"/>
  <c r="U456" i="6"/>
  <c r="U298" i="6"/>
  <c r="U378" i="6"/>
  <c r="U395" i="6"/>
  <c r="U323" i="6"/>
  <c r="U365" i="6"/>
  <c r="U316" i="6"/>
  <c r="U44" i="6"/>
  <c r="U334" i="6"/>
  <c r="U380" i="6"/>
  <c r="U382" i="6"/>
  <c r="U343" i="6"/>
  <c r="U42" i="6"/>
  <c r="U321" i="6"/>
  <c r="U71" i="6"/>
  <c r="U363" i="6"/>
  <c r="U47" i="6"/>
  <c r="U14" i="6"/>
  <c r="U398" i="6"/>
  <c r="U354" i="6"/>
  <c r="U69" i="6"/>
  <c r="U12" i="6"/>
  <c r="U103" i="6"/>
  <c r="U396" i="6"/>
  <c r="U177" i="6"/>
  <c r="U48" i="6"/>
  <c r="U332" i="6"/>
  <c r="U370" i="6"/>
  <c r="U168" i="6"/>
  <c r="U350" i="6"/>
  <c r="U46" i="6"/>
  <c r="U239" i="6"/>
  <c r="U79" i="6"/>
  <c r="U112" i="6"/>
  <c r="U387" i="6"/>
  <c r="U333" i="6"/>
  <c r="U34" i="6"/>
  <c r="U120" i="6"/>
  <c r="U209" i="6"/>
  <c r="U246" i="6"/>
  <c r="U282" i="6"/>
  <c r="U230" i="6"/>
  <c r="U352" i="6"/>
  <c r="U377" i="6"/>
  <c r="U249" i="6"/>
  <c r="U210" i="6"/>
  <c r="U238" i="6"/>
  <c r="U50" i="6"/>
  <c r="U160" i="6"/>
  <c r="U214" i="6"/>
  <c r="U256" i="6"/>
  <c r="U286" i="6"/>
  <c r="U242" i="6"/>
  <c r="U356" i="6"/>
  <c r="U386" i="6"/>
  <c r="U113" i="6"/>
  <c r="U389" i="6"/>
  <c r="U193" i="6"/>
  <c r="U95" i="6"/>
  <c r="U144" i="6"/>
  <c r="U461" i="6"/>
  <c r="U53" i="6"/>
  <c r="U99" i="6"/>
  <c r="U165" i="6"/>
  <c r="U215" i="6"/>
  <c r="U258" i="6"/>
  <c r="U294" i="6"/>
  <c r="U254" i="6"/>
  <c r="U357" i="6"/>
  <c r="U388" i="6"/>
  <c r="U125" i="6"/>
  <c r="U260" i="6"/>
  <c r="U122" i="6"/>
  <c r="U81" i="6"/>
  <c r="U305" i="6"/>
  <c r="U90" i="6"/>
  <c r="U315" i="6"/>
  <c r="U245" i="6"/>
  <c r="U335" i="6"/>
  <c r="U39" i="6"/>
  <c r="U284" i="6"/>
  <c r="U55" i="6"/>
  <c r="U217" i="6"/>
  <c r="U296" i="6"/>
  <c r="U359" i="6"/>
  <c r="U276" i="6"/>
  <c r="U281" i="6"/>
  <c r="U211" i="6"/>
  <c r="U60" i="6"/>
  <c r="U114" i="6"/>
  <c r="U149" i="6"/>
  <c r="U220" i="6"/>
  <c r="U261" i="6"/>
  <c r="U297" i="6"/>
  <c r="U344" i="6"/>
  <c r="U390" i="6"/>
  <c r="U145" i="6"/>
  <c r="U33" i="6"/>
  <c r="U351" i="6"/>
  <c r="U385" i="6"/>
  <c r="U62" i="6"/>
  <c r="U115" i="6"/>
  <c r="U181" i="6"/>
  <c r="U222" i="6"/>
  <c r="U262" i="6"/>
  <c r="U299" i="6"/>
  <c r="U318" i="6"/>
  <c r="U360" i="6"/>
  <c r="U391" i="6"/>
  <c r="U224" i="6"/>
  <c r="U327" i="6"/>
  <c r="U367" i="6"/>
  <c r="U135" i="6"/>
  <c r="U250" i="6"/>
  <c r="U37" i="6"/>
  <c r="U63" i="6"/>
  <c r="U124" i="6"/>
  <c r="U182" i="6"/>
  <c r="U264" i="6"/>
  <c r="U300" i="6"/>
  <c r="U392" i="6"/>
  <c r="U265" i="6"/>
  <c r="U368" i="6"/>
  <c r="U136" i="6"/>
  <c r="U64" i="6"/>
  <c r="U140" i="6"/>
  <c r="U184" i="6"/>
  <c r="U302" i="6"/>
  <c r="U393" i="6"/>
  <c r="U138" i="6"/>
  <c r="U402" i="6"/>
  <c r="U240" i="6"/>
  <c r="U355" i="6"/>
  <c r="U17" i="6"/>
  <c r="U65" i="6"/>
  <c r="U169" i="6"/>
  <c r="U190" i="6"/>
  <c r="U143" i="6"/>
  <c r="U266" i="6"/>
  <c r="U303" i="6"/>
  <c r="U326" i="6"/>
  <c r="U369" i="6"/>
  <c r="U400" i="6"/>
  <c r="U275" i="6"/>
  <c r="U304" i="6"/>
  <c r="U371" i="6"/>
  <c r="U401" i="6"/>
  <c r="U196" i="6"/>
  <c r="U384" i="6"/>
  <c r="U26" i="6"/>
  <c r="U66" i="6"/>
  <c r="U129" i="6"/>
  <c r="U192" i="6"/>
  <c r="U159" i="6"/>
  <c r="U342" i="6"/>
  <c r="U28" i="6"/>
  <c r="U325" i="6"/>
  <c r="U166" i="6"/>
  <c r="U337" i="6"/>
  <c r="U283" i="6"/>
  <c r="U31" i="6"/>
  <c r="U82" i="6"/>
  <c r="U153" i="6"/>
  <c r="U194" i="6"/>
  <c r="U232" i="6"/>
  <c r="U277" i="6"/>
  <c r="U313" i="6"/>
  <c r="U341" i="6"/>
  <c r="U404" i="6"/>
  <c r="U234" i="6"/>
  <c r="U255" i="6"/>
  <c r="U32" i="6"/>
  <c r="U85" i="6"/>
  <c r="U147" i="6"/>
  <c r="U195" i="6"/>
  <c r="U236" i="6"/>
  <c r="U280" i="6"/>
  <c r="U314" i="6"/>
  <c r="U324" i="6"/>
  <c r="U375" i="6"/>
  <c r="U336" i="6"/>
  <c r="U376" i="6"/>
  <c r="U353" i="6"/>
  <c r="U212" i="6"/>
  <c r="U248" i="6"/>
  <c r="U259" i="6"/>
  <c r="F5" i="6"/>
  <c r="G5" i="6"/>
  <c r="E5" i="6"/>
  <c r="H4" i="6"/>
  <c r="H3" i="6"/>
  <c r="T5" i="6"/>
  <c r="V308" i="6"/>
  <c r="V235" i="6"/>
  <c r="V351" i="6"/>
  <c r="V457" i="6"/>
  <c r="V186" i="6"/>
  <c r="V375" i="6"/>
  <c r="V139" i="6"/>
  <c r="V189" i="6" l="1"/>
  <c r="V469" i="6"/>
  <c r="V470" i="6"/>
  <c r="V416" i="6"/>
  <c r="V417" i="6"/>
  <c r="V418" i="6"/>
  <c r="V419" i="6"/>
  <c r="V420" i="6"/>
  <c r="V96" i="6"/>
  <c r="V97" i="6"/>
  <c r="V98" i="6"/>
  <c r="V358" i="6"/>
  <c r="V320" i="6"/>
  <c r="V94" i="6"/>
  <c r="V305" i="6"/>
  <c r="V379" i="6"/>
  <c r="V38" i="6"/>
  <c r="V259" i="6"/>
  <c r="V127" i="6"/>
  <c r="V313" i="6"/>
  <c r="V387" i="6"/>
  <c r="V13" i="6"/>
  <c r="V67" i="6"/>
  <c r="V135" i="6"/>
  <c r="V347" i="6"/>
  <c r="V165" i="6"/>
  <c r="V279" i="6"/>
  <c r="V284" i="6"/>
  <c r="V224" i="6"/>
  <c r="V317" i="6"/>
  <c r="V28" i="6"/>
  <c r="V18" i="6"/>
  <c r="V230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1" i="6"/>
  <c r="V463" i="6"/>
  <c r="V350" i="6"/>
  <c r="V248" i="6"/>
  <c r="V72" i="6"/>
  <c r="V354" i="6"/>
  <c r="V103" i="6"/>
  <c r="V385" i="6"/>
  <c r="V133" i="6"/>
  <c r="V249" i="6"/>
  <c r="V198" i="6"/>
  <c r="V251" i="6"/>
  <c r="V55" i="6"/>
  <c r="V276" i="6"/>
  <c r="V12" i="6"/>
  <c r="V227" i="6"/>
  <c r="V340" i="6"/>
  <c r="V51" i="6"/>
  <c r="V273" i="6"/>
  <c r="V443" i="6"/>
  <c r="V192" i="6"/>
  <c r="V287" i="6"/>
  <c r="V34" i="6"/>
  <c r="V154" i="6"/>
  <c r="V246" i="6"/>
  <c r="V32" i="6"/>
  <c r="V388" i="6"/>
  <c r="V123" i="6"/>
  <c r="V434" i="6"/>
  <c r="V353" i="6"/>
  <c r="V64" i="6"/>
  <c r="V450" i="6"/>
  <c r="V343" i="6"/>
  <c r="V35" i="6"/>
  <c r="V368" i="6"/>
  <c r="V117" i="6"/>
  <c r="V231" i="6"/>
  <c r="V433" i="6"/>
  <c r="V181" i="6"/>
  <c r="V398" i="6"/>
  <c r="V146" i="6"/>
  <c r="V260" i="6"/>
  <c r="V464" i="6"/>
  <c r="V211" i="6"/>
  <c r="V321" i="6"/>
  <c r="V19" i="6"/>
  <c r="V257" i="6"/>
  <c r="V427" i="6"/>
  <c r="V175" i="6"/>
  <c r="V271" i="6"/>
  <c r="V390" i="6"/>
  <c r="V138" i="6"/>
  <c r="V236" i="6"/>
  <c r="V263" i="6"/>
  <c r="V445" i="6"/>
  <c r="V297" i="6"/>
  <c r="V468" i="6"/>
  <c r="V9" i="6"/>
  <c r="V244" i="6"/>
  <c r="V87" i="6"/>
  <c r="V422" i="6"/>
  <c r="V314" i="6"/>
  <c r="V65" i="6"/>
  <c r="V352" i="6"/>
  <c r="V101" i="6"/>
  <c r="V215" i="6"/>
  <c r="V169" i="6"/>
  <c r="V382" i="6"/>
  <c r="V130" i="6"/>
  <c r="V79" i="6"/>
  <c r="V446" i="6"/>
  <c r="V195" i="6"/>
  <c r="V306" i="6"/>
  <c r="V78" i="6"/>
  <c r="V241" i="6"/>
  <c r="W7" i="6"/>
  <c r="W35" i="6" s="1"/>
  <c r="V90" i="6"/>
  <c r="V255" i="6"/>
  <c r="V122" i="6"/>
  <c r="V220" i="6"/>
  <c r="V467" i="6"/>
  <c r="V206" i="6"/>
  <c r="V438" i="6"/>
  <c r="V359" i="6"/>
  <c r="V166" i="6"/>
  <c r="V454" i="6"/>
  <c r="V406" i="6"/>
  <c r="V298" i="6"/>
  <c r="V66" i="6"/>
  <c r="V344" i="6"/>
  <c r="V31" i="6"/>
  <c r="V199" i="6"/>
  <c r="V333" i="6"/>
  <c r="V80" i="6"/>
  <c r="V365" i="6"/>
  <c r="V114" i="6"/>
  <c r="V228" i="6"/>
  <c r="V430" i="6"/>
  <c r="V178" i="6"/>
  <c r="V290" i="6"/>
  <c r="V40" i="6"/>
  <c r="V225" i="6"/>
  <c r="V409" i="6"/>
  <c r="V157" i="6"/>
  <c r="V239" i="6"/>
  <c r="V357" i="6"/>
  <c r="V106" i="6"/>
  <c r="V204" i="6"/>
  <c r="V441" i="6"/>
  <c r="V250" i="6"/>
  <c r="V401" i="6"/>
  <c r="V170" i="6"/>
  <c r="V362" i="6"/>
  <c r="V303" i="6"/>
  <c r="V402" i="6"/>
  <c r="V136" i="6"/>
  <c r="V10" i="6"/>
  <c r="V267" i="6"/>
  <c r="V43" i="6"/>
  <c r="V424" i="6"/>
  <c r="V315" i="6"/>
  <c r="V282" i="6"/>
  <c r="V24" i="6"/>
  <c r="V312" i="6"/>
  <c r="V84" i="6"/>
  <c r="V182" i="6"/>
  <c r="V399" i="6"/>
  <c r="V147" i="6"/>
  <c r="V338" i="6"/>
  <c r="V77" i="6"/>
  <c r="V212" i="6"/>
  <c r="V413" i="6"/>
  <c r="V89" i="6"/>
  <c r="V274" i="6"/>
  <c r="V462" i="6"/>
  <c r="V209" i="6"/>
  <c r="V393" i="6"/>
  <c r="V141" i="6"/>
  <c r="V223" i="6"/>
  <c r="V342" i="6"/>
  <c r="V41" i="6"/>
  <c r="V187" i="6"/>
  <c r="V75" i="6"/>
  <c r="V302" i="6"/>
  <c r="V440" i="6"/>
  <c r="V371" i="6"/>
  <c r="V184" i="6"/>
  <c r="V456" i="6"/>
  <c r="V408" i="6"/>
  <c r="V233" i="6"/>
  <c r="V266" i="6"/>
  <c r="V102" i="6"/>
  <c r="V296" i="6"/>
  <c r="V52" i="6"/>
  <c r="V168" i="6"/>
  <c r="V383" i="6"/>
  <c r="V131" i="6"/>
  <c r="V329" i="6"/>
  <c r="V25" i="6"/>
  <c r="V196" i="6"/>
  <c r="V335" i="6"/>
  <c r="V160" i="6"/>
  <c r="V258" i="6"/>
  <c r="V444" i="6"/>
  <c r="V193" i="6"/>
  <c r="V377" i="6"/>
  <c r="V125" i="6"/>
  <c r="V207" i="6"/>
  <c r="V254" i="6"/>
  <c r="V95" i="6"/>
  <c r="V59" i="6"/>
  <c r="V74" i="6"/>
  <c r="V219" i="6"/>
  <c r="V349" i="6"/>
  <c r="V281" i="6"/>
  <c r="V107" i="6"/>
  <c r="V426" i="6"/>
  <c r="V327" i="6"/>
  <c r="V155" i="6"/>
  <c r="V164" i="6"/>
  <c r="V33" i="6"/>
  <c r="V280" i="6"/>
  <c r="V20" i="6"/>
  <c r="V366" i="6"/>
  <c r="V115" i="6"/>
  <c r="V309" i="6"/>
  <c r="V58" i="6"/>
  <c r="V179" i="6"/>
  <c r="V396" i="6"/>
  <c r="V144" i="6"/>
  <c r="V242" i="6"/>
  <c r="V428" i="6"/>
  <c r="V176" i="6"/>
  <c r="V360" i="6"/>
  <c r="V109" i="6"/>
  <c r="V191" i="6"/>
  <c r="V301" i="6"/>
  <c r="V30" i="6"/>
  <c r="V70" i="6"/>
  <c r="V150" i="6"/>
  <c r="V386" i="6"/>
  <c r="V190" i="6"/>
  <c r="V459" i="6"/>
  <c r="V238" i="6"/>
  <c r="V69" i="6"/>
  <c r="V234" i="6"/>
  <c r="V60" i="6"/>
  <c r="V264" i="6"/>
  <c r="V400" i="6"/>
  <c r="V148" i="6"/>
  <c r="V322" i="6"/>
  <c r="V99" i="6"/>
  <c r="V293" i="6"/>
  <c r="V46" i="6"/>
  <c r="V162" i="6"/>
  <c r="V380" i="6"/>
  <c r="V128" i="6"/>
  <c r="V226" i="6"/>
  <c r="V331" i="6"/>
  <c r="V61" i="6"/>
  <c r="V252" i="6"/>
  <c r="V47" i="6"/>
  <c r="V174" i="6"/>
  <c r="V285" i="6"/>
  <c r="V405" i="6"/>
  <c r="V153" i="6"/>
  <c r="V26" i="6"/>
  <c r="V286" i="6"/>
  <c r="V120" i="6"/>
  <c r="V431" i="6"/>
  <c r="V325" i="6"/>
  <c r="V57" i="6"/>
  <c r="V411" i="6"/>
  <c r="V218" i="6"/>
  <c r="V54" i="6"/>
  <c r="V172" i="6"/>
  <c r="V384" i="6"/>
  <c r="V132" i="6"/>
  <c r="V345" i="6"/>
  <c r="V27" i="6"/>
  <c r="V277" i="6"/>
  <c r="V14" i="6"/>
  <c r="V161" i="6"/>
  <c r="V363" i="6"/>
  <c r="V112" i="6"/>
  <c r="V210" i="6"/>
  <c r="V336" i="6"/>
  <c r="V158" i="6"/>
  <c r="V318" i="6"/>
  <c r="V15" i="6"/>
  <c r="V73" i="6"/>
  <c r="V269" i="6"/>
  <c r="V389" i="6"/>
  <c r="V137" i="6"/>
  <c r="V442" i="6"/>
  <c r="V203" i="6"/>
  <c r="V465" i="6"/>
  <c r="V11" i="6"/>
  <c r="V247" i="6"/>
  <c r="V71" i="6"/>
  <c r="V453" i="6"/>
  <c r="V202" i="6"/>
  <c r="V22" i="6"/>
  <c r="V232" i="6"/>
  <c r="V367" i="6"/>
  <c r="V116" i="6"/>
  <c r="V310" i="6"/>
  <c r="V81" i="6"/>
  <c r="V261" i="6"/>
  <c r="V397" i="6"/>
  <c r="V145" i="6"/>
  <c r="V323" i="6"/>
  <c r="V53" i="6"/>
  <c r="V194" i="6"/>
  <c r="V394" i="6"/>
  <c r="V142" i="6"/>
  <c r="V304" i="6"/>
  <c r="V63" i="6"/>
  <c r="V156" i="6"/>
  <c r="V245" i="6"/>
  <c r="V121" i="6"/>
  <c r="V283" i="6"/>
  <c r="V83" i="6"/>
  <c r="V149" i="6"/>
  <c r="V292" i="6"/>
  <c r="V111" i="6"/>
  <c r="V56" i="6"/>
  <c r="V414" i="6"/>
  <c r="V134" i="6"/>
  <c r="V436" i="6"/>
  <c r="V355" i="6"/>
  <c r="V452" i="6"/>
  <c r="V437" i="6"/>
  <c r="V185" i="6"/>
  <c r="V410" i="6"/>
  <c r="V216" i="6"/>
  <c r="V337" i="6"/>
  <c r="V100" i="6"/>
  <c r="V294" i="6"/>
  <c r="V48" i="6"/>
  <c r="V163" i="6"/>
  <c r="V381" i="6"/>
  <c r="V129" i="6"/>
  <c r="V330" i="6"/>
  <c r="V21" i="6"/>
  <c r="V177" i="6"/>
  <c r="V378" i="6"/>
  <c r="V126" i="6"/>
  <c r="V288" i="6"/>
  <c r="V36" i="6"/>
  <c r="V140" i="6"/>
  <c r="V237" i="6"/>
  <c r="V356" i="6"/>
  <c r="V105" i="6"/>
  <c r="V222" i="6"/>
  <c r="V429" i="6"/>
  <c r="V119" i="6"/>
  <c r="V415" i="6"/>
  <c r="V243" i="6"/>
  <c r="V460" i="6"/>
  <c r="V86" i="6"/>
  <c r="V447" i="6"/>
  <c r="V391" i="6"/>
  <c r="V348" i="6"/>
  <c r="V8" i="6"/>
  <c r="V265" i="6"/>
  <c r="V37" i="6"/>
  <c r="V423" i="6"/>
  <c r="V421" i="6"/>
  <c r="V167" i="6"/>
  <c r="V451" i="6"/>
  <c r="V200" i="6"/>
  <c r="V328" i="6"/>
  <c r="V29" i="6"/>
  <c r="V278" i="6"/>
  <c r="V16" i="6"/>
  <c r="V229" i="6"/>
  <c r="V364" i="6"/>
  <c r="V113" i="6"/>
  <c r="V307" i="6"/>
  <c r="V88" i="6"/>
  <c r="V82" i="6"/>
  <c r="V361" i="6"/>
  <c r="V110" i="6"/>
  <c r="V272" i="6"/>
  <c r="V392" i="6"/>
  <c r="V124" i="6"/>
  <c r="V221" i="6"/>
  <c r="V326" i="6"/>
  <c r="V39" i="6"/>
  <c r="V299" i="6"/>
  <c r="V439" i="6"/>
  <c r="V369" i="6"/>
  <c r="V173" i="6"/>
  <c r="V455" i="6"/>
  <c r="V407" i="6"/>
  <c r="V332" i="6"/>
  <c r="V435" i="6"/>
  <c r="V183" i="6"/>
  <c r="V311" i="6"/>
  <c r="V68" i="6"/>
  <c r="V262" i="6"/>
  <c r="V466" i="6"/>
  <c r="V213" i="6"/>
  <c r="V339" i="6"/>
  <c r="V62" i="6"/>
  <c r="V291" i="6"/>
  <c r="V42" i="6"/>
  <c r="V159" i="6"/>
  <c r="V324" i="6"/>
  <c r="V49" i="6"/>
  <c r="V256" i="6"/>
  <c r="V376" i="6"/>
  <c r="V108" i="6"/>
  <c r="V205" i="6"/>
  <c r="V316" i="6"/>
  <c r="V118" i="6"/>
  <c r="V370" i="6"/>
  <c r="V214" i="6"/>
  <c r="V44" i="6"/>
  <c r="V289" i="6"/>
  <c r="V208" i="6"/>
  <c r="V268" i="6"/>
  <c r="V404" i="6"/>
  <c r="V217" i="6"/>
  <c r="V334" i="6"/>
  <c r="V270" i="6"/>
  <c r="V104" i="6"/>
  <c r="V425" i="6"/>
  <c r="V253" i="6"/>
  <c r="V403" i="6"/>
  <c r="V151" i="6"/>
  <c r="V76" i="6"/>
  <c r="V295" i="6"/>
  <c r="V50" i="6"/>
  <c r="V171" i="6"/>
  <c r="V449" i="6"/>
  <c r="V197" i="6"/>
  <c r="V346" i="6"/>
  <c r="V23" i="6"/>
  <c r="V275" i="6"/>
  <c r="V395" i="6"/>
  <c r="V143" i="6"/>
  <c r="V319" i="6"/>
  <c r="V17" i="6"/>
  <c r="V240" i="6"/>
  <c r="V341" i="6"/>
  <c r="V45" i="6"/>
  <c r="V188" i="6"/>
  <c r="V300" i="6"/>
  <c r="V85" i="6"/>
  <c r="U5" i="6"/>
  <c r="H5" i="6"/>
  <c r="W189" i="6" l="1"/>
  <c r="W469" i="6"/>
  <c r="W470" i="6"/>
  <c r="W416" i="6"/>
  <c r="W417" i="6"/>
  <c r="W418" i="6"/>
  <c r="W419" i="6"/>
  <c r="W420" i="6"/>
  <c r="W124" i="6"/>
  <c r="W96" i="6"/>
  <c r="W97" i="6"/>
  <c r="W98" i="6"/>
  <c r="W354" i="6"/>
  <c r="W320" i="6"/>
  <c r="W60" i="6"/>
  <c r="W117" i="6"/>
  <c r="W85" i="6"/>
  <c r="W247" i="6"/>
  <c r="W183" i="6"/>
  <c r="W274" i="6"/>
  <c r="W17" i="6"/>
  <c r="W405" i="6"/>
  <c r="W12" i="6"/>
  <c r="W37" i="6"/>
  <c r="W146" i="6"/>
  <c r="W314" i="6"/>
  <c r="W358" i="6"/>
  <c r="W351" i="6"/>
  <c r="W59" i="6"/>
  <c r="W426" i="6"/>
  <c r="W196" i="6"/>
  <c r="W8" i="6"/>
  <c r="W467" i="6"/>
  <c r="W414" i="6"/>
  <c r="W398" i="6"/>
  <c r="W52" i="6"/>
  <c r="W61" i="6"/>
  <c r="W66" i="6"/>
  <c r="W32" i="6"/>
  <c r="W448" i="6"/>
  <c r="W372" i="6"/>
  <c r="W373" i="6"/>
  <c r="W374" i="6"/>
  <c r="W298" i="6"/>
  <c r="W33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0" i="6"/>
  <c r="W177" i="6"/>
  <c r="W43" i="6"/>
  <c r="W258" i="6"/>
  <c r="W166" i="6"/>
  <c r="W382" i="6"/>
  <c r="W108" i="6"/>
  <c r="W205" i="6"/>
  <c r="W36" i="6"/>
  <c r="W50" i="6"/>
  <c r="W282" i="6"/>
  <c r="W338" i="6"/>
  <c r="W395" i="6"/>
  <c r="W332" i="6"/>
  <c r="W413" i="6"/>
  <c r="W460" i="6"/>
  <c r="W427" i="6"/>
  <c r="W251" i="6"/>
  <c r="W462" i="6"/>
  <c r="W444" i="6"/>
  <c r="W29" i="6"/>
  <c r="W56" i="6"/>
  <c r="W80" i="6"/>
  <c r="W115" i="6"/>
  <c r="W142" i="6"/>
  <c r="W162" i="6"/>
  <c r="W330" i="6"/>
  <c r="W27" i="6"/>
  <c r="W219" i="6"/>
  <c r="W437" i="6"/>
  <c r="W157" i="6"/>
  <c r="W365" i="6"/>
  <c r="W86" i="6"/>
  <c r="W301" i="6"/>
  <c r="W20" i="6"/>
  <c r="W34" i="6"/>
  <c r="W266" i="6"/>
  <c r="W75" i="6"/>
  <c r="W185" i="6"/>
  <c r="W226" i="6"/>
  <c r="W339" i="6"/>
  <c r="W371" i="6"/>
  <c r="W394" i="6"/>
  <c r="W315" i="6"/>
  <c r="W407" i="6"/>
  <c r="W350" i="6"/>
  <c r="W464" i="6"/>
  <c r="W442" i="6"/>
  <c r="W455" i="6"/>
  <c r="W428" i="6"/>
  <c r="W28" i="6"/>
  <c r="W53" i="6"/>
  <c r="W79" i="6"/>
  <c r="W114" i="6"/>
  <c r="W139" i="6"/>
  <c r="W308" i="6"/>
  <c r="W451" i="6"/>
  <c r="W244" i="6"/>
  <c r="W408" i="6"/>
  <c r="W141" i="6"/>
  <c r="W316" i="6"/>
  <c r="W70" i="6"/>
  <c r="W285" i="6"/>
  <c r="W299" i="6"/>
  <c r="W18" i="6"/>
  <c r="W224" i="6"/>
  <c r="W74" i="6"/>
  <c r="W346" i="6"/>
  <c r="W347" i="6"/>
  <c r="W202" i="6"/>
  <c r="W369" i="6"/>
  <c r="W392" i="6"/>
  <c r="W391" i="6"/>
  <c r="W390" i="6"/>
  <c r="W321" i="6"/>
  <c r="W446" i="6"/>
  <c r="W456" i="6"/>
  <c r="W423" i="6"/>
  <c r="W468" i="6"/>
  <c r="W26" i="6"/>
  <c r="W51" i="6"/>
  <c r="W78" i="6"/>
  <c r="W112" i="6"/>
  <c r="W292" i="6"/>
  <c r="W459" i="6"/>
  <c r="W212" i="6"/>
  <c r="W399" i="6"/>
  <c r="W125" i="6"/>
  <c r="W343" i="6"/>
  <c r="W54" i="6"/>
  <c r="W269" i="6"/>
  <c r="W283" i="6"/>
  <c r="X7" i="6"/>
  <c r="W235" i="6"/>
  <c r="W458" i="6"/>
  <c r="W296" i="6"/>
  <c r="W295" i="6"/>
  <c r="W253" i="6"/>
  <c r="W340" i="6"/>
  <c r="W367" i="6"/>
  <c r="W364" i="6"/>
  <c r="W362" i="6"/>
  <c r="W389" i="6"/>
  <c r="W409" i="6"/>
  <c r="W402" i="6"/>
  <c r="W440" i="6"/>
  <c r="W465" i="6"/>
  <c r="W447" i="6"/>
  <c r="W24" i="6"/>
  <c r="W48" i="6"/>
  <c r="W77" i="6"/>
  <c r="W276" i="6"/>
  <c r="W425" i="6"/>
  <c r="W250" i="6"/>
  <c r="W383" i="6"/>
  <c r="W109" i="6"/>
  <c r="W221" i="6"/>
  <c r="W38" i="6"/>
  <c r="W238" i="6"/>
  <c r="W267" i="6"/>
  <c r="W415" i="6"/>
  <c r="W176" i="6"/>
  <c r="W461" i="6"/>
  <c r="W268" i="6"/>
  <c r="W265" i="6"/>
  <c r="W294" i="6"/>
  <c r="W213" i="6"/>
  <c r="W324" i="6"/>
  <c r="W317" i="6"/>
  <c r="W252" i="6"/>
  <c r="W361" i="6"/>
  <c r="W388" i="6"/>
  <c r="W386" i="6"/>
  <c r="W410" i="6"/>
  <c r="W431" i="6"/>
  <c r="W457" i="6"/>
  <c r="W438" i="6"/>
  <c r="W21" i="6"/>
  <c r="W47" i="6"/>
  <c r="W260" i="6"/>
  <c r="W454" i="6"/>
  <c r="W159" i="6"/>
  <c r="W366" i="6"/>
  <c r="W87" i="6"/>
  <c r="W303" i="6"/>
  <c r="W22" i="6"/>
  <c r="W178" i="6"/>
  <c r="W230" i="6"/>
  <c r="W10" i="6"/>
  <c r="W172" i="6"/>
  <c r="W211" i="6"/>
  <c r="W186" i="6"/>
  <c r="W264" i="6"/>
  <c r="W293" i="6"/>
  <c r="W197" i="6"/>
  <c r="W188" i="6"/>
  <c r="W254" i="6"/>
  <c r="W341" i="6"/>
  <c r="W342" i="6"/>
  <c r="W359" i="6"/>
  <c r="W384" i="6"/>
  <c r="W348" i="6"/>
  <c r="W453" i="6"/>
  <c r="W441" i="6"/>
  <c r="W435" i="6"/>
  <c r="W19" i="6"/>
  <c r="W173" i="6"/>
  <c r="W401" i="6"/>
  <c r="W143" i="6"/>
  <c r="W322" i="6"/>
  <c r="W71" i="6"/>
  <c r="W287" i="6"/>
  <c r="W466" i="6"/>
  <c r="W201" i="6"/>
  <c r="W239" i="6"/>
  <c r="W443" i="6"/>
  <c r="W170" i="6"/>
  <c r="W227" i="6"/>
  <c r="W90" i="6"/>
  <c r="W232" i="6"/>
  <c r="W220" i="6"/>
  <c r="W243" i="6"/>
  <c r="W263" i="6"/>
  <c r="W291" i="6"/>
  <c r="W289" i="6"/>
  <c r="W286" i="6"/>
  <c r="W175" i="6"/>
  <c r="W311" i="6"/>
  <c r="W327" i="6"/>
  <c r="W357" i="6"/>
  <c r="W381" i="6"/>
  <c r="W333" i="6"/>
  <c r="W9" i="6"/>
  <c r="W452" i="6"/>
  <c r="W190" i="6"/>
  <c r="W336" i="6"/>
  <c r="W127" i="6"/>
  <c r="W326" i="6"/>
  <c r="W55" i="6"/>
  <c r="W271" i="6"/>
  <c r="W439" i="6"/>
  <c r="W174" i="6"/>
  <c r="W184" i="6"/>
  <c r="W237" i="6"/>
  <c r="W151" i="6"/>
  <c r="W297" i="6"/>
  <c r="W236" i="6"/>
  <c r="W137" i="6"/>
  <c r="W171" i="6"/>
  <c r="W163" i="6"/>
  <c r="W204" i="6"/>
  <c r="W231" i="6"/>
  <c r="W262" i="6"/>
  <c r="W261" i="6"/>
  <c r="W259" i="6"/>
  <c r="W284" i="6"/>
  <c r="W281" i="6"/>
  <c r="W310" i="6"/>
  <c r="W344" i="6"/>
  <c r="W356" i="6"/>
  <c r="W379" i="6"/>
  <c r="W334" i="6"/>
  <c r="W404" i="6"/>
  <c r="W412" i="6"/>
  <c r="W228" i="6"/>
  <c r="W385" i="6"/>
  <c r="W111" i="6"/>
  <c r="W229" i="6"/>
  <c r="W39" i="6"/>
  <c r="W255" i="6"/>
  <c r="W430" i="6"/>
  <c r="W168" i="6"/>
  <c r="W248" i="6"/>
  <c r="W218" i="6"/>
  <c r="W135" i="6"/>
  <c r="W270" i="6"/>
  <c r="W110" i="6"/>
  <c r="W134" i="6"/>
  <c r="W133" i="6"/>
  <c r="W179" i="6"/>
  <c r="W222" i="6"/>
  <c r="W214" i="6"/>
  <c r="W206" i="6"/>
  <c r="W257" i="6"/>
  <c r="W242" i="6"/>
  <c r="W280" i="6"/>
  <c r="W309" i="6"/>
  <c r="W328" i="6"/>
  <c r="W355" i="6"/>
  <c r="W378" i="6"/>
  <c r="W241" i="6"/>
  <c r="W434" i="6"/>
  <c r="W191" i="6"/>
  <c r="W368" i="6"/>
  <c r="W89" i="6"/>
  <c r="W304" i="6"/>
  <c r="W23" i="6"/>
  <c r="W195" i="6"/>
  <c r="W233" i="6"/>
  <c r="W154" i="6"/>
  <c r="W169" i="6"/>
  <c r="W393" i="6"/>
  <c r="W119" i="6"/>
  <c r="W76" i="6"/>
  <c r="W107" i="6"/>
  <c r="W105" i="6"/>
  <c r="W132" i="6"/>
  <c r="W160" i="6"/>
  <c r="W164" i="6"/>
  <c r="W249" i="6"/>
  <c r="W223" i="6"/>
  <c r="W198" i="6"/>
  <c r="W181" i="6"/>
  <c r="W234" i="6"/>
  <c r="W279" i="6"/>
  <c r="W307" i="6"/>
  <c r="W210" i="6"/>
  <c r="W353" i="6"/>
  <c r="W376" i="6"/>
  <c r="W424" i="6"/>
  <c r="W352" i="6"/>
  <c r="W73" i="6"/>
  <c r="W288" i="6"/>
  <c r="W422" i="6"/>
  <c r="W217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5" i="6"/>
  <c r="W207" i="6"/>
  <c r="W245" i="6"/>
  <c r="W216" i="6"/>
  <c r="W278" i="6"/>
  <c r="W305" i="6"/>
  <c r="W345" i="6"/>
  <c r="W337" i="6"/>
  <c r="W319" i="6"/>
  <c r="W145" i="6"/>
  <c r="W325" i="6"/>
  <c r="W57" i="6"/>
  <c r="W272" i="6"/>
  <c r="W312" i="6"/>
  <c r="W187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199" i="6"/>
  <c r="W209" i="6"/>
  <c r="W208" i="6"/>
  <c r="W277" i="6"/>
  <c r="W302" i="6"/>
  <c r="W329" i="6"/>
  <c r="W194" i="6"/>
  <c r="W129" i="6"/>
  <c r="W331" i="6"/>
  <c r="W41" i="6"/>
  <c r="W256" i="6"/>
  <c r="W433" i="6"/>
  <c r="W167" i="6"/>
  <c r="W380" i="6"/>
  <c r="W106" i="6"/>
  <c r="W120" i="6"/>
  <c r="W323" i="6"/>
  <c r="W65" i="6"/>
  <c r="W436" i="6"/>
  <c r="W432" i="6"/>
  <c r="W14" i="6"/>
  <c r="W42" i="6"/>
  <c r="W67" i="6"/>
  <c r="W100" i="6"/>
  <c r="W99" i="6"/>
  <c r="W123" i="6"/>
  <c r="W121" i="6"/>
  <c r="W148" i="6"/>
  <c r="W182" i="6"/>
  <c r="W193" i="6"/>
  <c r="W200" i="6"/>
  <c r="W275" i="6"/>
  <c r="W300" i="6"/>
  <c r="W387" i="6"/>
  <c r="W113" i="6"/>
  <c r="W306" i="6"/>
  <c r="W25" i="6"/>
  <c r="W203" i="6"/>
  <c r="W421" i="6"/>
  <c r="W156" i="6"/>
  <c r="W363" i="6"/>
  <c r="W84" i="6"/>
  <c r="W104" i="6"/>
  <c r="W318" i="6"/>
  <c r="W49" i="6"/>
  <c r="W403" i="6"/>
  <c r="W449" i="6"/>
  <c r="W349" i="6"/>
  <c r="W411" i="6"/>
  <c r="W450" i="6"/>
  <c r="W13" i="6"/>
  <c r="W40" i="6"/>
  <c r="W64" i="6"/>
  <c r="W63" i="6"/>
  <c r="W62" i="6"/>
  <c r="W95" i="6"/>
  <c r="W88" i="6"/>
  <c r="W118" i="6"/>
  <c r="W147" i="6"/>
  <c r="W165" i="6"/>
  <c r="W246" i="6"/>
  <c r="W192" i="6"/>
  <c r="W273" i="6"/>
  <c r="W370" i="6"/>
  <c r="W94" i="6"/>
  <c r="W290" i="6"/>
  <c r="W225" i="6"/>
  <c r="W335" i="6"/>
  <c r="W140" i="6"/>
  <c r="W313" i="6"/>
  <c r="W68" i="6"/>
  <c r="W82" i="6"/>
  <c r="W180" i="6"/>
  <c r="X189" i="6" l="1"/>
  <c r="X469" i="6"/>
  <c r="X470" i="6"/>
  <c r="X416" i="6"/>
  <c r="X417" i="6"/>
  <c r="X418" i="6"/>
  <c r="X419" i="6"/>
  <c r="X420" i="6"/>
  <c r="X320" i="6"/>
  <c r="X96" i="6"/>
  <c r="X97" i="6"/>
  <c r="X98" i="6"/>
  <c r="X267" i="6"/>
  <c r="X358" i="6"/>
  <c r="X381" i="6"/>
  <c r="X292" i="6"/>
  <c r="X164" i="6"/>
  <c r="X464" i="6"/>
  <c r="X317" i="6"/>
  <c r="X71" i="6"/>
  <c r="X350" i="6"/>
  <c r="X372" i="6"/>
  <c r="X373" i="6"/>
  <c r="X374" i="6"/>
  <c r="X266" i="6"/>
  <c r="X282" i="6"/>
  <c r="X438" i="6"/>
  <c r="X409" i="6"/>
  <c r="X77" i="6"/>
  <c r="X66" i="6"/>
  <c r="X13" i="6"/>
  <c r="X28" i="6"/>
  <c r="X448" i="6"/>
  <c r="X424" i="6"/>
  <c r="X79" i="6"/>
  <c r="X163" i="6"/>
  <c r="X26" i="6"/>
  <c r="X315" i="6"/>
  <c r="X246" i="6"/>
  <c r="X215" i="6"/>
  <c r="X441" i="6"/>
  <c r="X306" i="6"/>
  <c r="X80" i="6"/>
  <c r="X426" i="6"/>
  <c r="X412" i="6"/>
  <c r="X364" i="6"/>
  <c r="X222" i="6"/>
  <c r="X439" i="6"/>
  <c r="X247" i="6"/>
  <c r="X308" i="6"/>
  <c r="X322" i="6"/>
  <c r="X177" i="6"/>
  <c r="X85" i="6"/>
  <c r="X131" i="6"/>
  <c r="X390" i="6"/>
  <c r="X355" i="6"/>
  <c r="X148" i="6"/>
  <c r="X341" i="6"/>
  <c r="X286" i="6"/>
  <c r="X270" i="6"/>
  <c r="X190" i="6"/>
  <c r="X327" i="6"/>
  <c r="X349" i="6"/>
  <c r="X29" i="6"/>
  <c r="X91" i="6"/>
  <c r="X92" i="6"/>
  <c r="X93" i="6"/>
  <c r="X354" i="6"/>
  <c r="X167" i="6"/>
  <c r="X284" i="6"/>
  <c r="X90" i="6"/>
  <c r="X64" i="6"/>
  <c r="X69" i="6"/>
  <c r="X334" i="6"/>
  <c r="X151" i="6"/>
  <c r="X27" i="6"/>
  <c r="X401" i="6"/>
  <c r="X268" i="6"/>
  <c r="X82" i="6"/>
  <c r="X463" i="6"/>
  <c r="X283" i="6"/>
  <c r="X166" i="6"/>
  <c r="X87" i="6"/>
  <c r="W5" i="6"/>
  <c r="X465" i="6"/>
  <c r="X421" i="6"/>
  <c r="X100" i="6"/>
  <c r="X345" i="6"/>
  <c r="X378" i="6"/>
  <c r="X10" i="6"/>
  <c r="X429" i="6"/>
  <c r="X261" i="6"/>
  <c r="X325" i="6"/>
  <c r="X242" i="6"/>
  <c r="X175" i="6"/>
  <c r="X43" i="6"/>
  <c r="X234" i="6"/>
  <c r="X230" i="6"/>
  <c r="X224" i="6"/>
  <c r="X430" i="6"/>
  <c r="X185" i="6"/>
  <c r="X207" i="6"/>
  <c r="X393" i="6"/>
  <c r="X135" i="6"/>
  <c r="X150" i="6"/>
  <c r="X405" i="6"/>
  <c r="X147" i="6"/>
  <c r="X331" i="6"/>
  <c r="X51" i="6"/>
  <c r="X49" i="6"/>
  <c r="X48" i="6"/>
  <c r="X46" i="6"/>
  <c r="X75" i="6"/>
  <c r="X303" i="6"/>
  <c r="X413" i="6"/>
  <c r="X186" i="6"/>
  <c r="X22" i="6"/>
  <c r="X239" i="6"/>
  <c r="X134" i="6"/>
  <c r="X25" i="6"/>
  <c r="X24" i="6"/>
  <c r="X74" i="6"/>
  <c r="X454" i="6"/>
  <c r="X386" i="6"/>
  <c r="X182" i="6"/>
  <c r="X346" i="6"/>
  <c r="X375" i="6"/>
  <c r="Y7" i="6"/>
  <c r="X459" i="6"/>
  <c r="X183" i="6"/>
  <c r="X209" i="6"/>
  <c r="X285" i="6"/>
  <c r="X193" i="6"/>
  <c r="X184" i="6"/>
  <c r="X176" i="6"/>
  <c r="X411" i="6"/>
  <c r="X153" i="6"/>
  <c r="X168" i="6"/>
  <c r="X360" i="6"/>
  <c r="X103" i="6"/>
  <c r="X118" i="6"/>
  <c r="X115" i="6"/>
  <c r="X290" i="6"/>
  <c r="X289" i="6"/>
  <c r="X288" i="6"/>
  <c r="X287" i="6"/>
  <c r="X52" i="6"/>
  <c r="X458" i="6"/>
  <c r="X9" i="6"/>
  <c r="X361" i="6"/>
  <c r="X450" i="6"/>
  <c r="X299" i="6"/>
  <c r="X254" i="6"/>
  <c r="X396" i="6"/>
  <c r="X440" i="6"/>
  <c r="X117" i="6"/>
  <c r="X179" i="6"/>
  <c r="X269" i="6"/>
  <c r="X462" i="6"/>
  <c r="X248" i="6"/>
  <c r="X249" i="6"/>
  <c r="X223" i="6"/>
  <c r="X395" i="6"/>
  <c r="X137" i="6"/>
  <c r="X152" i="6"/>
  <c r="X340" i="6"/>
  <c r="X78" i="6"/>
  <c r="X102" i="6"/>
  <c r="X356" i="6"/>
  <c r="X99" i="6"/>
  <c r="X274" i="6"/>
  <c r="X273" i="6"/>
  <c r="X272" i="6"/>
  <c r="X271" i="6"/>
  <c r="X36" i="6"/>
  <c r="X461" i="6"/>
  <c r="X407" i="6"/>
  <c r="X326" i="6"/>
  <c r="X406" i="6"/>
  <c r="X467" i="6"/>
  <c r="X73" i="6"/>
  <c r="X253" i="6"/>
  <c r="X370" i="6"/>
  <c r="X11" i="6"/>
  <c r="X457" i="6"/>
  <c r="X226" i="6"/>
  <c r="X238" i="6"/>
  <c r="X210" i="6"/>
  <c r="X202" i="6"/>
  <c r="X194" i="6"/>
  <c r="X379" i="6"/>
  <c r="X121" i="6"/>
  <c r="X136" i="6"/>
  <c r="X329" i="6"/>
  <c r="X57" i="6"/>
  <c r="X56" i="6"/>
  <c r="X188" i="6"/>
  <c r="X89" i="6"/>
  <c r="X258" i="6"/>
  <c r="X257" i="6"/>
  <c r="X256" i="6"/>
  <c r="X255" i="6"/>
  <c r="X20" i="6"/>
  <c r="X394" i="6"/>
  <c r="X309" i="6"/>
  <c r="X383" i="6"/>
  <c r="X336" i="6"/>
  <c r="X415" i="6"/>
  <c r="X293" i="6"/>
  <c r="X213" i="6"/>
  <c r="X391" i="6"/>
  <c r="X422" i="6"/>
  <c r="X83" i="6"/>
  <c r="X178" i="6"/>
  <c r="X468" i="6"/>
  <c r="X172" i="6"/>
  <c r="X171" i="6"/>
  <c r="X170" i="6"/>
  <c r="X362" i="6"/>
  <c r="X105" i="6"/>
  <c r="X120" i="6"/>
  <c r="X311" i="6"/>
  <c r="X37" i="6"/>
  <c r="X35" i="6"/>
  <c r="X347" i="6"/>
  <c r="X53" i="6"/>
  <c r="X219" i="6"/>
  <c r="X211" i="6"/>
  <c r="X203" i="6"/>
  <c r="X195" i="6"/>
  <c r="X50" i="6"/>
  <c r="X427" i="6"/>
  <c r="X399" i="6"/>
  <c r="X133" i="6"/>
  <c r="X301" i="6"/>
  <c r="X235" i="6"/>
  <c r="X384" i="6"/>
  <c r="X198" i="6"/>
  <c r="X357" i="6"/>
  <c r="X402" i="6"/>
  <c r="X433" i="6"/>
  <c r="X165" i="6"/>
  <c r="X332" i="6"/>
  <c r="X367" i="6"/>
  <c r="X437" i="6"/>
  <c r="X158" i="6"/>
  <c r="X201" i="6"/>
  <c r="X335" i="6"/>
  <c r="X156" i="6"/>
  <c r="X155" i="6"/>
  <c r="X154" i="6"/>
  <c r="X323" i="6"/>
  <c r="X81" i="6"/>
  <c r="X104" i="6"/>
  <c r="X295" i="6"/>
  <c r="X12" i="6"/>
  <c r="X95" i="6"/>
  <c r="X307" i="6"/>
  <c r="X30" i="6"/>
  <c r="X244" i="6"/>
  <c r="X245" i="6"/>
  <c r="X225" i="6"/>
  <c r="X217" i="6"/>
  <c r="X34" i="6"/>
  <c r="X352" i="6"/>
  <c r="X119" i="6"/>
  <c r="X369" i="6"/>
  <c r="X101" i="6"/>
  <c r="X318" i="6"/>
  <c r="X380" i="6"/>
  <c r="X351" i="6"/>
  <c r="X445" i="6"/>
  <c r="X277" i="6"/>
  <c r="X252" i="6"/>
  <c r="X180" i="6"/>
  <c r="X142" i="6"/>
  <c r="X174" i="6"/>
  <c r="X398" i="6"/>
  <c r="X140" i="6"/>
  <c r="X139" i="6"/>
  <c r="X138" i="6"/>
  <c r="X221" i="6"/>
  <c r="X59" i="6"/>
  <c r="X88" i="6"/>
  <c r="X279" i="6"/>
  <c r="X294" i="6"/>
  <c r="X55" i="6"/>
  <c r="X291" i="6"/>
  <c r="X432" i="6"/>
  <c r="X212" i="6"/>
  <c r="X204" i="6"/>
  <c r="X196" i="6"/>
  <c r="X187" i="6"/>
  <c r="X18" i="6"/>
  <c r="X410" i="6"/>
  <c r="X377" i="6"/>
  <c r="X359" i="6"/>
  <c r="X425" i="6"/>
  <c r="X304" i="6"/>
  <c r="X353" i="6"/>
  <c r="X400" i="6"/>
  <c r="X446" i="6"/>
  <c r="X149" i="6"/>
  <c r="X314" i="6"/>
  <c r="X387" i="6"/>
  <c r="X126" i="6"/>
  <c r="X218" i="6"/>
  <c r="X382" i="6"/>
  <c r="X124" i="6"/>
  <c r="X123" i="6"/>
  <c r="X122" i="6"/>
  <c r="X313" i="6"/>
  <c r="X39" i="6"/>
  <c r="X58" i="6"/>
  <c r="X263" i="6"/>
  <c r="X278" i="6"/>
  <c r="X33" i="6"/>
  <c r="X275" i="6"/>
  <c r="X436" i="6"/>
  <c r="X241" i="6"/>
  <c r="X237" i="6"/>
  <c r="X233" i="6"/>
  <c r="X229" i="6"/>
  <c r="X63" i="6"/>
  <c r="X389" i="6"/>
  <c r="X324" i="6"/>
  <c r="X423" i="6"/>
  <c r="X228" i="6"/>
  <c r="X197" i="6"/>
  <c r="X376" i="6"/>
  <c r="X8" i="6"/>
  <c r="X431" i="6"/>
  <c r="X260" i="6"/>
  <c r="X363" i="6"/>
  <c r="X110" i="6"/>
  <c r="X67" i="6"/>
  <c r="X365" i="6"/>
  <c r="X108" i="6"/>
  <c r="X107" i="6"/>
  <c r="X106" i="6"/>
  <c r="X297" i="6"/>
  <c r="X16" i="6"/>
  <c r="X38" i="6"/>
  <c r="X200" i="6"/>
  <c r="X262" i="6"/>
  <c r="X72" i="6"/>
  <c r="X259" i="6"/>
  <c r="X460" i="6"/>
  <c r="X86" i="6"/>
  <c r="X70" i="6"/>
  <c r="X47" i="6"/>
  <c r="X328" i="6"/>
  <c r="X444" i="6"/>
  <c r="X451" i="6"/>
  <c r="X302" i="6"/>
  <c r="X337" i="6"/>
  <c r="X397" i="6"/>
  <c r="X456" i="6"/>
  <c r="X132" i="6"/>
  <c r="X342" i="6"/>
  <c r="X65" i="6"/>
  <c r="X157" i="6"/>
  <c r="X338" i="6"/>
  <c r="X84" i="6"/>
  <c r="X68" i="6"/>
  <c r="X94" i="6"/>
  <c r="X281" i="6"/>
  <c r="X296" i="6"/>
  <c r="X14" i="6"/>
  <c r="X214" i="6"/>
  <c r="X192" i="6"/>
  <c r="X54" i="6"/>
  <c r="X227" i="6"/>
  <c r="X205" i="6"/>
  <c r="X162" i="6"/>
  <c r="X161" i="6"/>
  <c r="X160" i="6"/>
  <c r="X159" i="6"/>
  <c r="X31" i="6"/>
  <c r="X243" i="6"/>
  <c r="X319" i="6"/>
  <c r="X408" i="6"/>
  <c r="X447" i="6"/>
  <c r="X250" i="6"/>
  <c r="X330" i="6"/>
  <c r="X333" i="6"/>
  <c r="X442" i="6"/>
  <c r="X310" i="6"/>
  <c r="X44" i="6"/>
  <c r="X141" i="6"/>
  <c r="X344" i="6"/>
  <c r="X62" i="6"/>
  <c r="X61" i="6"/>
  <c r="X60" i="6"/>
  <c r="X265" i="6"/>
  <c r="X280" i="6"/>
  <c r="X435" i="6"/>
  <c r="X240" i="6"/>
  <c r="X206" i="6"/>
  <c r="X32" i="6"/>
  <c r="X181" i="6"/>
  <c r="X404" i="6"/>
  <c r="X146" i="6"/>
  <c r="X145" i="6"/>
  <c r="X144" i="6"/>
  <c r="X143" i="6"/>
  <c r="X15" i="6"/>
  <c r="X428" i="6"/>
  <c r="X312" i="6"/>
  <c r="X414" i="6"/>
  <c r="X305" i="6"/>
  <c r="X385" i="6"/>
  <c r="X434" i="6"/>
  <c r="X449" i="6"/>
  <c r="X298" i="6"/>
  <c r="X339" i="6"/>
  <c r="X392" i="6"/>
  <c r="X453" i="6"/>
  <c r="X173" i="6"/>
  <c r="X23" i="6"/>
  <c r="X125" i="6"/>
  <c r="X316" i="6"/>
  <c r="X42" i="6"/>
  <c r="X41" i="6"/>
  <c r="X40" i="6"/>
  <c r="X216" i="6"/>
  <c r="X264" i="6"/>
  <c r="X455" i="6"/>
  <c r="X199" i="6"/>
  <c r="X236" i="6"/>
  <c r="X466" i="6"/>
  <c r="X220" i="6"/>
  <c r="X388" i="6"/>
  <c r="X130" i="6"/>
  <c r="X129" i="6"/>
  <c r="X128" i="6"/>
  <c r="X127" i="6"/>
  <c r="X45" i="6"/>
  <c r="X169" i="6"/>
  <c r="X232" i="6"/>
  <c r="X276" i="6"/>
  <c r="X343" i="6"/>
  <c r="X403" i="6"/>
  <c r="X348" i="6"/>
  <c r="X368" i="6"/>
  <c r="X321" i="6"/>
  <c r="X116" i="6"/>
  <c r="X366" i="6"/>
  <c r="X109" i="6"/>
  <c r="X300" i="6"/>
  <c r="X21" i="6"/>
  <c r="X19" i="6"/>
  <c r="X17" i="6"/>
  <c r="X231" i="6"/>
  <c r="X208" i="6"/>
  <c r="X443" i="6"/>
  <c r="X76" i="6"/>
  <c r="X191" i="6"/>
  <c r="X452" i="6"/>
  <c r="X251" i="6"/>
  <c r="X371" i="6"/>
  <c r="X114" i="6"/>
  <c r="X113" i="6"/>
  <c r="X112" i="6"/>
  <c r="X111" i="6"/>
  <c r="Y469" i="6" l="1"/>
  <c r="Y470" i="6"/>
  <c r="Y100" i="6"/>
  <c r="Y362" i="6"/>
  <c r="Y134" i="6"/>
  <c r="Y189" i="6"/>
  <c r="Y462" i="6"/>
  <c r="Y396" i="6"/>
  <c r="Y393" i="6"/>
  <c r="Y143" i="6"/>
  <c r="Y42" i="6"/>
  <c r="Y73" i="6"/>
  <c r="Y459" i="6"/>
  <c r="Y120" i="6"/>
  <c r="Y195" i="6"/>
  <c r="Y416" i="6"/>
  <c r="Y417" i="6"/>
  <c r="Y418" i="6"/>
  <c r="Y419" i="6"/>
  <c r="Y420" i="6"/>
  <c r="Y264" i="6"/>
  <c r="Y212" i="6"/>
  <c r="Y34" i="6"/>
  <c r="Y173" i="6"/>
  <c r="Y126" i="6"/>
  <c r="Y76" i="6"/>
  <c r="Y56" i="6"/>
  <c r="Y360" i="6"/>
  <c r="Y201" i="6"/>
  <c r="Y14" i="6"/>
  <c r="Y277" i="6"/>
  <c r="Y425" i="6"/>
  <c r="Y271" i="6"/>
  <c r="Y350" i="6"/>
  <c r="Y414" i="6"/>
  <c r="Y27" i="6"/>
  <c r="Y285" i="6"/>
  <c r="Y142" i="6"/>
  <c r="Y64" i="6"/>
  <c r="Y102" i="6"/>
  <c r="Y18" i="6"/>
  <c r="Y217" i="6"/>
  <c r="Y107" i="6"/>
  <c r="Y237" i="6"/>
  <c r="Y175" i="6"/>
  <c r="Y146" i="6"/>
  <c r="Y84" i="6"/>
  <c r="Y215" i="6"/>
  <c r="Y156" i="6"/>
  <c r="Y71" i="6"/>
  <c r="Y60" i="6"/>
  <c r="Y121" i="6"/>
  <c r="Y343" i="6"/>
  <c r="Y267" i="6"/>
  <c r="Y391" i="6"/>
  <c r="Y299" i="6"/>
  <c r="Y213" i="6"/>
  <c r="Y112" i="6"/>
  <c r="Y320" i="6"/>
  <c r="Y96" i="6"/>
  <c r="Y97" i="6"/>
  <c r="Y98" i="6"/>
  <c r="Y334" i="6"/>
  <c r="Y169" i="6"/>
  <c r="Y228" i="6"/>
  <c r="Y82" i="6"/>
  <c r="Y61" i="6"/>
  <c r="Y403" i="6"/>
  <c r="Y80" i="6"/>
  <c r="Y309" i="6"/>
  <c r="Y183" i="6"/>
  <c r="Y450" i="6"/>
  <c r="Y145" i="6"/>
  <c r="Y101" i="6"/>
  <c r="Y351" i="6"/>
  <c r="Y341" i="6"/>
  <c r="Y249" i="6"/>
  <c r="Y12" i="6"/>
  <c r="Y116" i="6"/>
  <c r="Y226" i="6"/>
  <c r="Y358" i="6"/>
  <c r="Y440" i="6"/>
  <c r="Y129" i="6"/>
  <c r="Y323" i="6"/>
  <c r="Y198" i="6"/>
  <c r="Y131" i="6"/>
  <c r="Y426" i="6"/>
  <c r="Y410" i="6"/>
  <c r="Y388" i="6"/>
  <c r="Y49" i="6"/>
  <c r="Y124" i="6"/>
  <c r="Y190" i="6"/>
  <c r="Y188" i="6"/>
  <c r="Y209" i="6"/>
  <c r="Y307" i="6"/>
  <c r="Y16" i="6"/>
  <c r="Y38" i="6"/>
  <c r="Y59" i="6"/>
  <c r="Y9" i="6"/>
  <c r="Y110" i="6"/>
  <c r="Y184" i="6"/>
  <c r="Y199" i="6"/>
  <c r="Y178" i="6"/>
  <c r="Y46" i="6"/>
  <c r="Y255" i="6"/>
  <c r="Y322" i="6"/>
  <c r="Y233" i="6"/>
  <c r="Y17" i="6"/>
  <c r="Y109" i="6"/>
  <c r="Y365" i="6"/>
  <c r="Y389" i="6"/>
  <c r="Y26" i="6"/>
  <c r="Y99" i="6"/>
  <c r="Y162" i="6"/>
  <c r="Y86" i="6"/>
  <c r="Y186" i="6"/>
  <c r="Y356" i="6"/>
  <c r="Y272" i="6"/>
  <c r="Y13" i="6"/>
  <c r="Y36" i="6"/>
  <c r="Y392" i="6"/>
  <c r="Y72" i="6"/>
  <c r="Y168" i="6"/>
  <c r="Y153" i="6"/>
  <c r="Y163" i="6"/>
  <c r="Y30" i="6"/>
  <c r="Y383" i="6"/>
  <c r="Y269" i="6"/>
  <c r="Y402" i="6"/>
  <c r="Y8" i="6"/>
  <c r="Y57" i="6"/>
  <c r="Y242" i="6"/>
  <c r="Y361" i="6"/>
  <c r="Y447" i="6"/>
  <c r="Y384" i="6"/>
  <c r="Y48" i="6"/>
  <c r="Y122" i="6"/>
  <c r="Y68" i="6"/>
  <c r="Y119" i="6"/>
  <c r="Y436" i="6"/>
  <c r="Y335" i="6"/>
  <c r="Y337" i="6"/>
  <c r="Y359" i="6"/>
  <c r="Y352" i="6"/>
  <c r="Y40" i="6"/>
  <c r="Y69" i="6"/>
  <c r="Y105" i="6"/>
  <c r="Y79" i="6"/>
  <c r="Y75" i="6"/>
  <c r="Y253" i="6"/>
  <c r="Y94" i="6"/>
  <c r="Y256" i="6"/>
  <c r="Y370" i="6"/>
  <c r="Y466" i="6"/>
  <c r="Y24" i="6"/>
  <c r="Y37" i="6"/>
  <c r="Y83" i="6"/>
  <c r="Y47" i="6"/>
  <c r="Y74" i="6"/>
  <c r="Y222" i="6"/>
  <c r="Y375" i="6"/>
  <c r="Y33" i="6"/>
  <c r="Y409" i="6"/>
  <c r="Y22" i="6"/>
  <c r="Y380" i="6"/>
  <c r="Y54" i="6"/>
  <c r="Y297" i="6"/>
  <c r="Y43" i="6"/>
  <c r="Y433" i="6"/>
  <c r="Y432" i="6"/>
  <c r="Y429" i="6"/>
  <c r="Y371" i="6"/>
  <c r="Y51" i="6"/>
  <c r="Y461" i="6"/>
  <c r="Y340" i="6"/>
  <c r="Y305" i="6"/>
  <c r="Y44" i="6"/>
  <c r="Y346" i="6"/>
  <c r="Y247" i="6"/>
  <c r="Y376" i="6"/>
  <c r="Y302" i="6"/>
  <c r="Y454" i="6"/>
  <c r="Y458" i="6"/>
  <c r="Y231" i="6"/>
  <c r="Y332" i="6"/>
  <c r="Y367" i="6"/>
  <c r="Y308" i="6"/>
  <c r="Y15" i="6"/>
  <c r="Y291" i="6"/>
  <c r="Y430" i="6"/>
  <c r="Y106" i="6"/>
  <c r="Y304" i="6"/>
  <c r="Y431" i="6"/>
  <c r="Y130" i="6"/>
  <c r="Y196" i="6"/>
  <c r="Y240" i="6"/>
  <c r="Y349" i="6"/>
  <c r="Y468" i="6"/>
  <c r="Y467" i="6"/>
  <c r="Y363" i="6"/>
  <c r="Y20" i="6"/>
  <c r="Y330" i="6"/>
  <c r="Y294" i="6"/>
  <c r="Y286" i="6"/>
  <c r="Y390" i="6"/>
  <c r="Y262" i="6"/>
  <c r="Y412" i="6"/>
  <c r="Y397" i="6"/>
  <c r="Y35" i="6"/>
  <c r="Y438" i="6"/>
  <c r="Y424" i="6"/>
  <c r="Y357" i="6"/>
  <c r="Y449" i="6"/>
  <c r="Y219" i="6"/>
  <c r="Y405" i="6"/>
  <c r="Y452" i="6"/>
  <c r="Y108" i="6"/>
  <c r="Y289" i="6"/>
  <c r="Y442" i="6"/>
  <c r="Y368" i="6"/>
  <c r="Y300" i="6"/>
  <c r="Y284" i="6"/>
  <c r="Y278" i="6"/>
  <c r="Y303" i="6"/>
  <c r="Y336" i="6"/>
  <c r="Y354" i="6"/>
  <c r="Y283" i="6"/>
  <c r="Y422" i="6"/>
  <c r="Y385" i="6"/>
  <c r="Y413" i="6"/>
  <c r="Y401" i="6"/>
  <c r="Y345" i="6"/>
  <c r="Y259" i="6"/>
  <c r="Y435" i="6"/>
  <c r="Y67" i="6"/>
  <c r="Y453" i="6"/>
  <c r="Y377" i="6"/>
  <c r="Y434" i="6"/>
  <c r="Y296" i="6"/>
  <c r="Y386" i="6"/>
  <c r="Y193" i="6"/>
  <c r="Y444" i="6"/>
  <c r="Y208" i="6"/>
  <c r="Y152" i="6"/>
  <c r="Y221" i="6"/>
  <c r="Y77" i="6"/>
  <c r="Y128" i="6"/>
  <c r="Y166" i="6"/>
  <c r="Y216" i="6"/>
  <c r="Y311" i="6"/>
  <c r="Y465" i="6"/>
  <c r="Y185" i="6"/>
  <c r="Y229" i="6"/>
  <c r="Y306" i="6"/>
  <c r="Y298" i="6"/>
  <c r="Y290" i="6"/>
  <c r="Y266" i="6"/>
  <c r="Y317" i="6"/>
  <c r="Y460" i="6"/>
  <c r="Y455" i="6"/>
  <c r="Y273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4" i="6"/>
  <c r="Y324" i="6"/>
  <c r="Y172" i="6"/>
  <c r="Y236" i="6"/>
  <c r="Y261" i="6"/>
  <c r="Y344" i="6"/>
  <c r="Y369" i="6"/>
  <c r="Y270" i="6"/>
  <c r="Y197" i="6"/>
  <c r="Y406" i="6"/>
  <c r="Y244" i="6"/>
  <c r="Y41" i="6"/>
  <c r="Y260" i="6"/>
  <c r="Y32" i="6"/>
  <c r="Y104" i="6"/>
  <c r="Y150" i="6"/>
  <c r="Y192" i="6"/>
  <c r="Y333" i="6"/>
  <c r="Y312" i="6"/>
  <c r="Y338" i="6"/>
  <c r="Y441" i="6"/>
  <c r="Y90" i="6"/>
  <c r="Y206" i="6"/>
  <c r="Y252" i="6"/>
  <c r="Y230" i="6"/>
  <c r="Y224" i="6"/>
  <c r="Y204" i="6"/>
  <c r="Y292" i="6"/>
  <c r="Y443" i="6"/>
  <c r="Y439" i="6"/>
  <c r="Y318" i="6"/>
  <c r="Y89" i="6"/>
  <c r="Y141" i="6"/>
  <c r="Y246" i="6"/>
  <c r="Y437" i="6"/>
  <c r="Y235" i="6"/>
  <c r="Y167" i="6"/>
  <c r="Y257" i="6"/>
  <c r="Y203" i="6"/>
  <c r="Y451" i="6"/>
  <c r="Y28" i="6"/>
  <c r="Y118" i="6"/>
  <c r="Y165" i="6"/>
  <c r="Y407" i="6"/>
  <c r="Y23" i="6"/>
  <c r="Y321" i="6"/>
  <c r="Y428" i="6"/>
  <c r="Y464" i="6"/>
  <c r="Y387" i="6"/>
  <c r="Y52" i="6"/>
  <c r="Y127" i="6"/>
  <c r="Y232" i="6"/>
  <c r="Y265" i="6"/>
  <c r="Y181" i="6"/>
  <c r="Y205" i="6"/>
  <c r="Y202" i="6"/>
  <c r="Y187" i="6"/>
  <c r="Y348" i="6"/>
  <c r="Y427" i="6"/>
  <c r="Y382" i="6"/>
  <c r="Y258" i="6"/>
  <c r="Y364" i="6"/>
  <c r="Y207" i="6"/>
  <c r="Y223" i="6"/>
  <c r="Y400" i="6"/>
  <c r="Y103" i="6"/>
  <c r="Y147" i="6"/>
  <c r="Y214" i="6"/>
  <c r="Y295" i="6"/>
  <c r="Y287" i="6"/>
  <c r="Y254" i="6"/>
  <c r="Y138" i="6"/>
  <c r="Y180" i="6"/>
  <c r="Y159" i="6"/>
  <c r="Y176" i="6"/>
  <c r="Y164" i="6"/>
  <c r="Y398" i="6"/>
  <c r="Y313" i="6"/>
  <c r="Y314" i="6"/>
  <c r="Y140" i="6"/>
  <c r="Y241" i="6"/>
  <c r="Y29" i="6"/>
  <c r="Y200" i="6"/>
  <c r="Y408" i="6"/>
  <c r="Y366" i="6"/>
  <c r="Y50" i="6"/>
  <c r="Y125" i="6"/>
  <c r="Y191" i="6"/>
  <c r="Y315" i="6"/>
  <c r="Y293" i="6"/>
  <c r="Y342" i="6"/>
  <c r="Y88" i="6"/>
  <c r="Y114" i="6"/>
  <c r="Y136" i="6"/>
  <c r="Y135" i="6"/>
  <c r="Y157" i="6"/>
  <c r="Y158" i="6"/>
  <c r="Y251" i="6"/>
  <c r="Y239" i="6"/>
  <c r="Y281" i="6"/>
  <c r="Y132" i="6"/>
  <c r="Y328" i="6"/>
  <c r="Y331" i="6"/>
  <c r="Y160" i="6"/>
  <c r="Y225" i="6"/>
  <c r="Y268" i="6"/>
  <c r="Y353" i="6"/>
  <c r="Y404" i="6"/>
  <c r="Y85" i="6"/>
  <c r="Y170" i="6"/>
  <c r="Y347" i="6"/>
  <c r="Y301" i="6"/>
  <c r="Y339" i="6"/>
  <c r="Y326" i="6"/>
  <c r="Y282" i="6"/>
  <c r="Y55" i="6"/>
  <c r="Y151" i="6"/>
  <c r="Y218" i="6"/>
  <c r="Y329" i="6"/>
  <c r="Y446" i="6"/>
  <c r="Y280" i="6"/>
  <c r="Y45" i="6"/>
  <c r="Y87" i="6"/>
  <c r="Y171" i="6"/>
  <c r="Y288" i="6"/>
  <c r="Y39" i="6"/>
  <c r="Y113" i="6"/>
  <c r="Y179" i="6"/>
  <c r="Y243" i="6"/>
  <c r="Y327" i="6"/>
  <c r="Y445" i="6"/>
  <c r="Y53" i="6"/>
  <c r="Y137" i="6"/>
  <c r="Y245" i="6"/>
  <c r="Y448" i="6"/>
  <c r="Y372" i="6"/>
  <c r="Y373" i="6"/>
  <c r="Y374" i="6"/>
  <c r="Y111" i="6"/>
  <c r="Y238" i="6"/>
  <c r="Y275" i="6"/>
  <c r="Y155" i="6"/>
  <c r="Y316" i="6"/>
  <c r="Y379" i="6"/>
  <c r="Y149" i="6"/>
  <c r="Y210" i="6"/>
  <c r="Y81" i="6"/>
  <c r="Y248" i="6"/>
  <c r="Y395" i="6"/>
  <c r="Y139" i="6"/>
  <c r="Y325" i="6"/>
  <c r="Y355" i="6"/>
  <c r="Y133" i="6"/>
  <c r="Y194" i="6"/>
  <c r="Y70" i="6"/>
  <c r="Y144" i="6"/>
  <c r="Y250" i="6"/>
  <c r="Y65" i="6"/>
  <c r="Y161" i="6"/>
  <c r="Y234" i="6"/>
  <c r="Y394" i="6"/>
  <c r="Z7" i="6"/>
  <c r="Y58" i="6"/>
  <c r="Y220" i="6"/>
  <c r="Y463" i="6"/>
  <c r="Y123" i="6"/>
  <c r="Y276" i="6"/>
  <c r="Y381" i="6"/>
  <c r="Y117" i="6"/>
  <c r="Y177" i="6"/>
  <c r="X5" i="6"/>
  <c r="Y62" i="6"/>
  <c r="Y91" i="6"/>
  <c r="Y92" i="6"/>
  <c r="Y93" i="6"/>
  <c r="Y415" i="6"/>
  <c r="Y95" i="6"/>
  <c r="Y279" i="6"/>
  <c r="Y21" i="6"/>
  <c r="Y182" i="6"/>
  <c r="Y423" i="6"/>
  <c r="Y63" i="6"/>
  <c r="Y148" i="6"/>
  <c r="Y263" i="6"/>
  <c r="Y19" i="6"/>
  <c r="Y227" i="6"/>
  <c r="Y378" i="6"/>
  <c r="Y78" i="6"/>
  <c r="Y319" i="6"/>
  <c r="Y399" i="6"/>
  <c r="Y211" i="6"/>
  <c r="Y310" i="6"/>
  <c r="Z157" i="6"/>
  <c r="Z189" i="6" l="1"/>
  <c r="Z469" i="6"/>
  <c r="Z470" i="6"/>
  <c r="Z196" i="6"/>
  <c r="Z179" i="6"/>
  <c r="Z361" i="6"/>
  <c r="Z416" i="6"/>
  <c r="Z417" i="6"/>
  <c r="Z418" i="6"/>
  <c r="Z419" i="6"/>
  <c r="Z420" i="6"/>
  <c r="Z132" i="6"/>
  <c r="Z320" i="6"/>
  <c r="Z96" i="6"/>
  <c r="Z97" i="6"/>
  <c r="Z98" i="6"/>
  <c r="Z164" i="6"/>
  <c r="Z32" i="6"/>
  <c r="Z12" i="6"/>
  <c r="Z358" i="6"/>
  <c r="Z74" i="6"/>
  <c r="Z339" i="6"/>
  <c r="Z304" i="6"/>
  <c r="Z378" i="6"/>
  <c r="Z440" i="6"/>
  <c r="Z297" i="6"/>
  <c r="Z13" i="6"/>
  <c r="Z458" i="6"/>
  <c r="Z340" i="6"/>
  <c r="Z442" i="6"/>
  <c r="Z422" i="6"/>
  <c r="Z267" i="6"/>
  <c r="Z434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312" i="6"/>
  <c r="Y5" i="6"/>
  <c r="Z386" i="6"/>
  <c r="Z243" i="6"/>
  <c r="Z50" i="6"/>
  <c r="Z113" i="6"/>
  <c r="Z343" i="6"/>
  <c r="Z156" i="6"/>
  <c r="Z64" i="6"/>
  <c r="Z287" i="6"/>
  <c r="Z62" i="6"/>
  <c r="Z85" i="6"/>
  <c r="Z341" i="6"/>
  <c r="Z293" i="6"/>
  <c r="Z124" i="6"/>
  <c r="Z144" i="6"/>
  <c r="Z277" i="6"/>
  <c r="Z246" i="6"/>
  <c r="Z345" i="6"/>
  <c r="Z86" i="6"/>
  <c r="Z460" i="6"/>
  <c r="Z238" i="6"/>
  <c r="Z229" i="6"/>
  <c r="Z276" i="6"/>
  <c r="Z253" i="6"/>
  <c r="Z302" i="6"/>
  <c r="Z404" i="6"/>
  <c r="Z257" i="6"/>
  <c r="Z401" i="6"/>
  <c r="Z206" i="6"/>
  <c r="Z388" i="6"/>
  <c r="Z346" i="6"/>
  <c r="Z252" i="6"/>
  <c r="Z268" i="6"/>
  <c r="Z338" i="6"/>
  <c r="Z233" i="6"/>
  <c r="Z406" i="6"/>
  <c r="Z131" i="6"/>
  <c r="Z370" i="6"/>
  <c r="Z115" i="6"/>
  <c r="Z270" i="6"/>
  <c r="Z83" i="6"/>
  <c r="Z322" i="6"/>
  <c r="Z325" i="6"/>
  <c r="Z331" i="6"/>
  <c r="Z245" i="6"/>
  <c r="Z249" i="6"/>
  <c r="Z465" i="6"/>
  <c r="Z424" i="6"/>
  <c r="Z118" i="6"/>
  <c r="Z37" i="6"/>
  <c r="Z140" i="6"/>
  <c r="Z445" i="6"/>
  <c r="Z232" i="6"/>
  <c r="Z362" i="6"/>
  <c r="Z329" i="6"/>
  <c r="Z239" i="6"/>
  <c r="Z350" i="6"/>
  <c r="Z354" i="6"/>
  <c r="Z307" i="6"/>
  <c r="Z111" i="6"/>
  <c r="Z61" i="6"/>
  <c r="Z289" i="6"/>
  <c r="Z392" i="6"/>
  <c r="Z468" i="6"/>
  <c r="Z43" i="6"/>
  <c r="Z336" i="6"/>
  <c r="Z371" i="6"/>
  <c r="Z198" i="6"/>
  <c r="Z335" i="6"/>
  <c r="Z450" i="6"/>
  <c r="Z25" i="6"/>
  <c r="Z256" i="6"/>
  <c r="Z51" i="6"/>
  <c r="Z355" i="6"/>
  <c r="Z437" i="6"/>
  <c r="Z280" i="6"/>
  <c r="Z208" i="6"/>
  <c r="Z427" i="6"/>
  <c r="Z55" i="6"/>
  <c r="Z344" i="6"/>
  <c r="Z360" i="6"/>
  <c r="Z174" i="6"/>
  <c r="Z394" i="6"/>
  <c r="Z305" i="6"/>
  <c r="Z31" i="6"/>
  <c r="Z222" i="6"/>
  <c r="Z109" i="6"/>
  <c r="Z108" i="6"/>
  <c r="Z282" i="6"/>
  <c r="Z274" i="6"/>
  <c r="Z316" i="6"/>
  <c r="Z217" i="6"/>
  <c r="Z216" i="6"/>
  <c r="Z213" i="6"/>
  <c r="Z457" i="6"/>
  <c r="Z148" i="6"/>
  <c r="Z283" i="6"/>
  <c r="Z72" i="6"/>
  <c r="Z309" i="6"/>
  <c r="Z106" i="6"/>
  <c r="Z52" i="6"/>
  <c r="Z377" i="6"/>
  <c r="Z431" i="6"/>
  <c r="Z69" i="6"/>
  <c r="Z308" i="6"/>
  <c r="Z393" i="6"/>
  <c r="Z191" i="6"/>
  <c r="Z412" i="6"/>
  <c r="Z29" i="6"/>
  <c r="Z271" i="6"/>
  <c r="Z330" i="6"/>
  <c r="Z363" i="6"/>
  <c r="Z190" i="6"/>
  <c r="Z313" i="6"/>
  <c r="Z90" i="6"/>
  <c r="Z79" i="6"/>
  <c r="Z318" i="6"/>
  <c r="Z317" i="6"/>
  <c r="Z405" i="6"/>
  <c r="Z184" i="6"/>
  <c r="Z183" i="6"/>
  <c r="Z180" i="6"/>
  <c r="Z425" i="6"/>
  <c r="Z116" i="6"/>
  <c r="Z284" i="6"/>
  <c r="Z34" i="6"/>
  <c r="Z242" i="6"/>
  <c r="Z82" i="6"/>
  <c r="Z92" i="6"/>
  <c r="Z94" i="6"/>
  <c r="Z201" i="6"/>
  <c r="Z197" i="6"/>
  <c r="Z278" i="6"/>
  <c r="Z385" i="6"/>
  <c r="Z173" i="6"/>
  <c r="Z45" i="6"/>
  <c r="Z44" i="6"/>
  <c r="Z235" i="6"/>
  <c r="Z234" i="6"/>
  <c r="Z364" i="6"/>
  <c r="Z169" i="6"/>
  <c r="Z168" i="6"/>
  <c r="Z165" i="6"/>
  <c r="Z390" i="6"/>
  <c r="Z99" i="6"/>
  <c r="Z255" i="6"/>
  <c r="Z15" i="6"/>
  <c r="Z226" i="6"/>
  <c r="Z49" i="6"/>
  <c r="Z91" i="6"/>
  <c r="Z71" i="6"/>
  <c r="Z244" i="6"/>
  <c r="Z230" i="6"/>
  <c r="Z273" i="6"/>
  <c r="Z410" i="6"/>
  <c r="Z160" i="6"/>
  <c r="Z342" i="6"/>
  <c r="Z407" i="6"/>
  <c r="Z199" i="6"/>
  <c r="Z421" i="6"/>
  <c r="Z47" i="6"/>
  <c r="Z295" i="6"/>
  <c r="Z352" i="6"/>
  <c r="Z166" i="6"/>
  <c r="Z250" i="6"/>
  <c r="Z264" i="6"/>
  <c r="Z158" i="6"/>
  <c r="Z314" i="6"/>
  <c r="Z27" i="6"/>
  <c r="Z26" i="6"/>
  <c r="Z219" i="6"/>
  <c r="Z218" i="6"/>
  <c r="Z464" i="6"/>
  <c r="Z153" i="6"/>
  <c r="Z152" i="6"/>
  <c r="Z149" i="6"/>
  <c r="Z291" i="6"/>
  <c r="Z89" i="6"/>
  <c r="Z315" i="6"/>
  <c r="Z387" i="6"/>
  <c r="Z210" i="6"/>
  <c r="Z33" i="6"/>
  <c r="AA7" i="6"/>
  <c r="Z87" i="6"/>
  <c r="Z332" i="6"/>
  <c r="Z462" i="6"/>
  <c r="Z135" i="6"/>
  <c r="Z259" i="6"/>
  <c r="Z182" i="6"/>
  <c r="Z240" i="6"/>
  <c r="Z443" i="6"/>
  <c r="Z101" i="6"/>
  <c r="Z241" i="6"/>
  <c r="Z451" i="6"/>
  <c r="Z142" i="6"/>
  <c r="Z298" i="6"/>
  <c r="Z290" i="6"/>
  <c r="Z272" i="6"/>
  <c r="Z203" i="6"/>
  <c r="Z202" i="6"/>
  <c r="Z446" i="6"/>
  <c r="Z137" i="6"/>
  <c r="Z136" i="6"/>
  <c r="Z133" i="6"/>
  <c r="Z324" i="6"/>
  <c r="Z53" i="6"/>
  <c r="Z248" i="6"/>
  <c r="Z380" i="6"/>
  <c r="Z194" i="6"/>
  <c r="Z17" i="6"/>
  <c r="Z127" i="6"/>
  <c r="Z367" i="6"/>
  <c r="Z223" i="6"/>
  <c r="Z428" i="6"/>
  <c r="Z260" i="6"/>
  <c r="Z175" i="6"/>
  <c r="Z398" i="6"/>
  <c r="Z19" i="6"/>
  <c r="Z225" i="6"/>
  <c r="Z435" i="6"/>
  <c r="Z126" i="6"/>
  <c r="Z269" i="6"/>
  <c r="Z261" i="6"/>
  <c r="Z359" i="6"/>
  <c r="Z186" i="6"/>
  <c r="Z185" i="6"/>
  <c r="Z430" i="6"/>
  <c r="Z121" i="6"/>
  <c r="Z120" i="6"/>
  <c r="Z117" i="6"/>
  <c r="Z292" i="6"/>
  <c r="Z35" i="6"/>
  <c r="Z73" i="6"/>
  <c r="Z408" i="6"/>
  <c r="Z177" i="6"/>
  <c r="Z14" i="6"/>
  <c r="Z396" i="6"/>
  <c r="Z467" i="6"/>
  <c r="Z214" i="6"/>
  <c r="Z57" i="6"/>
  <c r="Z119" i="6"/>
  <c r="Z159" i="6"/>
  <c r="Z150" i="6"/>
  <c r="Z337" i="6"/>
  <c r="Z399" i="6"/>
  <c r="Z251" i="6"/>
  <c r="Z38" i="6"/>
  <c r="Z112" i="6"/>
  <c r="Z262" i="6"/>
  <c r="Z383" i="6"/>
  <c r="Z209" i="6"/>
  <c r="Z110" i="6"/>
  <c r="Z321" i="6"/>
  <c r="Z319" i="6"/>
  <c r="Z288" i="6"/>
  <c r="Z171" i="6"/>
  <c r="Z170" i="6"/>
  <c r="Z413" i="6"/>
  <c r="Z104" i="6"/>
  <c r="Z103" i="6"/>
  <c r="Z100" i="6"/>
  <c r="Z263" i="6"/>
  <c r="Z16" i="6"/>
  <c r="Z227" i="6"/>
  <c r="Z409" i="6"/>
  <c r="Z162" i="6"/>
  <c r="Z448" i="6"/>
  <c r="Z372" i="6"/>
  <c r="Z373" i="6"/>
  <c r="Z374" i="6"/>
  <c r="Z224" i="6"/>
  <c r="Z447" i="6"/>
  <c r="Z192" i="6"/>
  <c r="Z279" i="6"/>
  <c r="Z66" i="6"/>
  <c r="Z237" i="6"/>
  <c r="Z236" i="6"/>
  <c r="Z466" i="6"/>
  <c r="Z155" i="6"/>
  <c r="Z154" i="6"/>
  <c r="Z403" i="6"/>
  <c r="Z65" i="6"/>
  <c r="Z333" i="6"/>
  <c r="Z211" i="6"/>
  <c r="Z455" i="6"/>
  <c r="Z146" i="6"/>
  <c r="Z67" i="6"/>
  <c r="Z77" i="6"/>
  <c r="Z414" i="6"/>
  <c r="Z376" i="6"/>
  <c r="Z88" i="6"/>
  <c r="Z433" i="6"/>
  <c r="Z10" i="6"/>
  <c r="Z459" i="6"/>
  <c r="Z294" i="6"/>
  <c r="Z400" i="6"/>
  <c r="Z231" i="6"/>
  <c r="Z397" i="6"/>
  <c r="Z176" i="6"/>
  <c r="Z323" i="6"/>
  <c r="Z46" i="6"/>
  <c r="Z221" i="6"/>
  <c r="Z220" i="6"/>
  <c r="Z449" i="6"/>
  <c r="Z139" i="6"/>
  <c r="Z138" i="6"/>
  <c r="Z286" i="6"/>
  <c r="Z59" i="6"/>
  <c r="Z58" i="6"/>
  <c r="Z54" i="6"/>
  <c r="Z247" i="6"/>
  <c r="Z384" i="6"/>
  <c r="Z195" i="6"/>
  <c r="Z439" i="6"/>
  <c r="Z130" i="6"/>
  <c r="Z56" i="6"/>
  <c r="Z93" i="6"/>
  <c r="Z368" i="6"/>
  <c r="Z453" i="6"/>
  <c r="Z78" i="6"/>
  <c r="Z30" i="6"/>
  <c r="Z193" i="6"/>
  <c r="Z95" i="6"/>
  <c r="Z48" i="6"/>
  <c r="Z161" i="6"/>
  <c r="Z28" i="6"/>
  <c r="Z204" i="6"/>
  <c r="Z432" i="6"/>
  <c r="Z123" i="6"/>
  <c r="Z122" i="6"/>
  <c r="Z326" i="6"/>
  <c r="Z41" i="6"/>
  <c r="Z39" i="6"/>
  <c r="Z36" i="6"/>
  <c r="Z9" i="6"/>
  <c r="Z178" i="6"/>
  <c r="Z423" i="6"/>
  <c r="Z114" i="6"/>
  <c r="Z40" i="6"/>
  <c r="Z334" i="6"/>
  <c r="Z200" i="6"/>
  <c r="Z441" i="6"/>
  <c r="Z301" i="6"/>
  <c r="Z327" i="6"/>
  <c r="Z369" i="6"/>
  <c r="Z348" i="6"/>
  <c r="Z463" i="6"/>
  <c r="Z143" i="6"/>
  <c r="Z299" i="6"/>
  <c r="Z375" i="6"/>
  <c r="Z70" i="6"/>
  <c r="Z444" i="6"/>
  <c r="Z102" i="6"/>
  <c r="Z454" i="6"/>
  <c r="Z145" i="6"/>
  <c r="Z328" i="6"/>
  <c r="Z366" i="6"/>
  <c r="Z188" i="6"/>
  <c r="Z187" i="6"/>
  <c r="Z415" i="6"/>
  <c r="Z107" i="6"/>
  <c r="Z105" i="6"/>
  <c r="Z303" i="6"/>
  <c r="Z22" i="6"/>
  <c r="Z21" i="6"/>
  <c r="Z18" i="6"/>
  <c r="Z228" i="6"/>
  <c r="Z254" i="6"/>
  <c r="Z163" i="6"/>
  <c r="Z382" i="6"/>
  <c r="Z80" i="6"/>
  <c r="Z24" i="6"/>
  <c r="Z347" i="6"/>
  <c r="Z296" i="6"/>
  <c r="Z365" i="6"/>
  <c r="Z391" i="6"/>
  <c r="Z357" i="6"/>
  <c r="Z285" i="6"/>
  <c r="Z128" i="6"/>
  <c r="Z265" i="6"/>
  <c r="Z11" i="6"/>
  <c r="Z207" i="6"/>
  <c r="Z426" i="6"/>
  <c r="Z311" i="6"/>
  <c r="Z356" i="6"/>
  <c r="Z167" i="6"/>
  <c r="Z402" i="6"/>
  <c r="Z281" i="6"/>
  <c r="Z205" i="6"/>
  <c r="Z436" i="6"/>
  <c r="Z310" i="6"/>
  <c r="Z215" i="6"/>
  <c r="Z429" i="6"/>
  <c r="Z300" i="6"/>
  <c r="Z389" i="6"/>
  <c r="Z181" i="6"/>
  <c r="Z411" i="6"/>
  <c r="Z20" i="6"/>
  <c r="Z438" i="6"/>
  <c r="Z129" i="6"/>
  <c r="Z306" i="6"/>
  <c r="Z381" i="6"/>
  <c r="Z172" i="6"/>
  <c r="Z76" i="6"/>
  <c r="Z353" i="6"/>
  <c r="Z84" i="6"/>
  <c r="Z68" i="6"/>
  <c r="Z266" i="6"/>
  <c r="Z258" i="6"/>
  <c r="Z349" i="6"/>
  <c r="Z395" i="6"/>
  <c r="Z212" i="6"/>
  <c r="Z456" i="6"/>
  <c r="Z147" i="6"/>
  <c r="Z275" i="6"/>
  <c r="Z63" i="6"/>
  <c r="Z75" i="6"/>
  <c r="AA189" i="6" l="1"/>
  <c r="AA470" i="6"/>
  <c r="AA469" i="6"/>
  <c r="AA416" i="6"/>
  <c r="AA417" i="6"/>
  <c r="AA418" i="6"/>
  <c r="AA419" i="6"/>
  <c r="AA420" i="6"/>
  <c r="AA320" i="6"/>
  <c r="AA97" i="6"/>
  <c r="AA98" i="6"/>
  <c r="AA96" i="6"/>
  <c r="AA390" i="6"/>
  <c r="AA264" i="6"/>
  <c r="AA358" i="6"/>
  <c r="AA459" i="6"/>
  <c r="AA339" i="6"/>
  <c r="AA136" i="6"/>
  <c r="AA54" i="6"/>
  <c r="AA398" i="6"/>
  <c r="AA427" i="6"/>
  <c r="AA39" i="6"/>
  <c r="AA375" i="6"/>
  <c r="AA129" i="6"/>
  <c r="AA359" i="6"/>
  <c r="AA288" i="6"/>
  <c r="AA117" i="6"/>
  <c r="AA23" i="6"/>
  <c r="AA323" i="6"/>
  <c r="AA11" i="6"/>
  <c r="AA95" i="6"/>
  <c r="AA107" i="6"/>
  <c r="AA213" i="6"/>
  <c r="AA315" i="6"/>
  <c r="AA138" i="6"/>
  <c r="AA161" i="6"/>
  <c r="AA89" i="6"/>
  <c r="AA272" i="6"/>
  <c r="AA282" i="6"/>
  <c r="AA247" i="6"/>
  <c r="AA303" i="6"/>
  <c r="AA341" i="6"/>
  <c r="AA65" i="6"/>
  <c r="AA307" i="6"/>
  <c r="AA181" i="6"/>
  <c r="AA399" i="6"/>
  <c r="AA195" i="6"/>
  <c r="AA151" i="6"/>
  <c r="AA232" i="6"/>
  <c r="AA265" i="6"/>
  <c r="AA283" i="6"/>
  <c r="AA174" i="6"/>
  <c r="AA79" i="6"/>
  <c r="AA105" i="6"/>
  <c r="AA276" i="6"/>
  <c r="AA49" i="6"/>
  <c r="AA86" i="6"/>
  <c r="AA402" i="6"/>
  <c r="AA329" i="6"/>
  <c r="AA29" i="6"/>
  <c r="AA452" i="6"/>
  <c r="AA130" i="6"/>
  <c r="AA200" i="6"/>
  <c r="AA102" i="6"/>
  <c r="AA13" i="6"/>
  <c r="AA356" i="6"/>
  <c r="AA128" i="6"/>
  <c r="AA190" i="6"/>
  <c r="AA386" i="6"/>
  <c r="AA367" i="6"/>
  <c r="AA379" i="6"/>
  <c r="AA248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2" i="6"/>
  <c r="AA91" i="6"/>
  <c r="AA178" i="6"/>
  <c r="AA73" i="6"/>
  <c r="AA198" i="6"/>
  <c r="AA266" i="6"/>
  <c r="AA428" i="6"/>
  <c r="AA353" i="6"/>
  <c r="AA179" i="6"/>
  <c r="AA309" i="6"/>
  <c r="AA203" i="6"/>
  <c r="Z5" i="6"/>
  <c r="AA33" i="6"/>
  <c r="AA448" i="6"/>
  <c r="AA372" i="6"/>
  <c r="AA373" i="6"/>
  <c r="AA374" i="6"/>
  <c r="AA235" i="6"/>
  <c r="AA324" i="6"/>
  <c r="AA330" i="6"/>
  <c r="AA382" i="6"/>
  <c r="AA302" i="6"/>
  <c r="AA384" i="6"/>
  <c r="AA64" i="6"/>
  <c r="AA63" i="6"/>
  <c r="AA176" i="6"/>
  <c r="AA274" i="6"/>
  <c r="AA342" i="6"/>
  <c r="AA437" i="6"/>
  <c r="AA286" i="6"/>
  <c r="AA53" i="6"/>
  <c r="AA158" i="6"/>
  <c r="AA17" i="6"/>
  <c r="AA388" i="6"/>
  <c r="AA215" i="6"/>
  <c r="AA273" i="6"/>
  <c r="AA57" i="6"/>
  <c r="AA154" i="6"/>
  <c r="AA212" i="6"/>
  <c r="AA436" i="6"/>
  <c r="AA140" i="6"/>
  <c r="AA451" i="6"/>
  <c r="AA44" i="6"/>
  <c r="AA270" i="6"/>
  <c r="AA364" i="6"/>
  <c r="AA133" i="6"/>
  <c r="AA277" i="6"/>
  <c r="AA325" i="6"/>
  <c r="AA449" i="6"/>
  <c r="AA393" i="6"/>
  <c r="AA38" i="6"/>
  <c r="AA37" i="6"/>
  <c r="AA253" i="6"/>
  <c r="AA304" i="6"/>
  <c r="AA295" i="6"/>
  <c r="AA415" i="6"/>
  <c r="AA352" i="6"/>
  <c r="AA22" i="6"/>
  <c r="AA172" i="6"/>
  <c r="AA30" i="6"/>
  <c r="AA313" i="6"/>
  <c r="AA202" i="6"/>
  <c r="AA230" i="6"/>
  <c r="AA41" i="6"/>
  <c r="AA220" i="6"/>
  <c r="AA237" i="6"/>
  <c r="AA119" i="6"/>
  <c r="AA210" i="6"/>
  <c r="AA250" i="6"/>
  <c r="AA284" i="6"/>
  <c r="AA58" i="6"/>
  <c r="AA183" i="6"/>
  <c r="AA246" i="6"/>
  <c r="AA180" i="6"/>
  <c r="AA363" i="6"/>
  <c r="AA8" i="6"/>
  <c r="AA111" i="6"/>
  <c r="AA150" i="6"/>
  <c r="AA165" i="6"/>
  <c r="AA260" i="6"/>
  <c r="AA426" i="6"/>
  <c r="AA10" i="6"/>
  <c r="AA380" i="6"/>
  <c r="AA366" i="6"/>
  <c r="AA120" i="6"/>
  <c r="AA244" i="6"/>
  <c r="AA348" i="6"/>
  <c r="AA321" i="6"/>
  <c r="AA457" i="6"/>
  <c r="AA299" i="6"/>
  <c r="AA78" i="6"/>
  <c r="AA14" i="6"/>
  <c r="AA275" i="6"/>
  <c r="AA167" i="6"/>
  <c r="AA242" i="6"/>
  <c r="AA25" i="6"/>
  <c r="AA241" i="6"/>
  <c r="AA157" i="6"/>
  <c r="AA369" i="6"/>
  <c r="AA82" i="6"/>
  <c r="AA217" i="6"/>
  <c r="AA463" i="6"/>
  <c r="AA453" i="6"/>
  <c r="AA139" i="6"/>
  <c r="AA76" i="6"/>
  <c r="AA191" i="6"/>
  <c r="AA269" i="6"/>
  <c r="AA344" i="6"/>
  <c r="AA425" i="6"/>
  <c r="AA468" i="6"/>
  <c r="AA370" i="6"/>
  <c r="AA90" i="6"/>
  <c r="AA226" i="6"/>
  <c r="AA231" i="6"/>
  <c r="AA287" i="6"/>
  <c r="AA414" i="6"/>
  <c r="AA294" i="6"/>
  <c r="AA21" i="6"/>
  <c r="AA218" i="6"/>
  <c r="AA445" i="6"/>
  <c r="AA137" i="6"/>
  <c r="AA335" i="6"/>
  <c r="AA410" i="6"/>
  <c r="AA108" i="6"/>
  <c r="AA126" i="6"/>
  <c r="AA343" i="6"/>
  <c r="AA50" i="6"/>
  <c r="AA351" i="6"/>
  <c r="AA243" i="6"/>
  <c r="AA365" i="6"/>
  <c r="AA446" i="6"/>
  <c r="AA376" i="6"/>
  <c r="AA62" i="6"/>
  <c r="AA155" i="6"/>
  <c r="AA228" i="6"/>
  <c r="AA349" i="6"/>
  <c r="AA310" i="6"/>
  <c r="AA456" i="6"/>
  <c r="AA196" i="6"/>
  <c r="AA110" i="6"/>
  <c r="AA429" i="6"/>
  <c r="AA173" i="6"/>
  <c r="AA122" i="6"/>
  <c r="AA454" i="6"/>
  <c r="AA134" i="6"/>
  <c r="AA148" i="6"/>
  <c r="AA318" i="6"/>
  <c r="AA34" i="6"/>
  <c r="AA267" i="6"/>
  <c r="AA441" i="6"/>
  <c r="AA305" i="6"/>
  <c r="AA32" i="6"/>
  <c r="AA224" i="6"/>
  <c r="AA327" i="6"/>
  <c r="AA412" i="6"/>
  <c r="AA59" i="6"/>
  <c r="AA206" i="6"/>
  <c r="AA438" i="6"/>
  <c r="AA156" i="6"/>
  <c r="AA127" i="6"/>
  <c r="AA306" i="6"/>
  <c r="AA18" i="6"/>
  <c r="AA12" i="6"/>
  <c r="AA221" i="6"/>
  <c r="AA334" i="6"/>
  <c r="AA435" i="6"/>
  <c r="AA106" i="6"/>
  <c r="AA166" i="6"/>
  <c r="AA340" i="6"/>
  <c r="AA66" i="6"/>
  <c r="AA223" i="6"/>
  <c r="AA47" i="6"/>
  <c r="AA331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79" i="6"/>
  <c r="AA413" i="6"/>
  <c r="AA141" i="6"/>
  <c r="AA153" i="6"/>
  <c r="AA9" i="6"/>
  <c r="AA240" i="6"/>
  <c r="AA422" i="6"/>
  <c r="AA135" i="6"/>
  <c r="AA83" i="6"/>
  <c r="AA293" i="6"/>
  <c r="AA75" i="6"/>
  <c r="AA432" i="6"/>
  <c r="AA317" i="6"/>
  <c r="AA188" i="6"/>
  <c r="AA332" i="6"/>
  <c r="AA259" i="6"/>
  <c r="AA194" i="6"/>
  <c r="AA56" i="6"/>
  <c r="AA301" i="6"/>
  <c r="AA16" i="6"/>
  <c r="AA209" i="6"/>
  <c r="AA385" i="6"/>
  <c r="AA177" i="6"/>
  <c r="AA229" i="6"/>
  <c r="AA311" i="6"/>
  <c r="AA431" i="6"/>
  <c r="AB7" i="6"/>
  <c r="AA455" i="6"/>
  <c r="AA143" i="6"/>
  <c r="AA227" i="6"/>
  <c r="AA328" i="6"/>
  <c r="AA467" i="6"/>
  <c r="AA88" i="6"/>
  <c r="AA245" i="6"/>
  <c r="AA43" i="6"/>
  <c r="AA465" i="6"/>
  <c r="AA236" i="6"/>
  <c r="AA346" i="6"/>
  <c r="AA285" i="6"/>
  <c r="AA316" i="6"/>
  <c r="AA433" i="6"/>
  <c r="AA400" i="6"/>
  <c r="AA71" i="6"/>
  <c r="AA160" i="6"/>
  <c r="AA201" i="6"/>
  <c r="AA298" i="6"/>
  <c r="AA297" i="6"/>
  <c r="AA444" i="6"/>
  <c r="AA371" i="6"/>
  <c r="AA60" i="6"/>
  <c r="AA116" i="6"/>
  <c r="AA249" i="6"/>
  <c r="AA333" i="6"/>
  <c r="AA291" i="6"/>
  <c r="AA168" i="6"/>
  <c r="AA175" i="6"/>
  <c r="AA289" i="6"/>
  <c r="AA27" i="6"/>
  <c r="AA199" i="6"/>
  <c r="AA378" i="6"/>
  <c r="AA84" i="6"/>
  <c r="AA67" i="6"/>
  <c r="AA256" i="6"/>
  <c r="AA74" i="6"/>
  <c r="AA389" i="6"/>
  <c r="AA48" i="6"/>
  <c r="AA258" i="6"/>
  <c r="AA404" i="6"/>
  <c r="AA26" i="6"/>
  <c r="AA101" i="6"/>
  <c r="AA261" i="6"/>
  <c r="AA131" i="6"/>
  <c r="AA257" i="6"/>
  <c r="AA87" i="6"/>
  <c r="AA207" i="6"/>
  <c r="AA46" i="6"/>
  <c r="AA192" i="6"/>
  <c r="AA411" i="6"/>
  <c r="AA337" i="6"/>
  <c r="AA42" i="6"/>
  <c r="AA162" i="6"/>
  <c r="AA112" i="6"/>
  <c r="AA350" i="6"/>
  <c r="AA314" i="6"/>
  <c r="AA423" i="6"/>
  <c r="AA377" i="6"/>
  <c r="AA31" i="6"/>
  <c r="AA85" i="6"/>
  <c r="AA103" i="6"/>
  <c r="AA216" i="6"/>
  <c r="AA308" i="6"/>
  <c r="AA104" i="6"/>
  <c r="AA94" i="6"/>
  <c r="AA268" i="6"/>
  <c r="AA408" i="6"/>
  <c r="AA185" i="6"/>
  <c r="AA322" i="6"/>
  <c r="AA68" i="6"/>
  <c r="AA51" i="6"/>
  <c r="AA186" i="6"/>
  <c r="AA458" i="6"/>
  <c r="AA447" i="6"/>
  <c r="AA381" i="6"/>
  <c r="AA464" i="6"/>
  <c r="AA338" i="6"/>
  <c r="AA219" i="6"/>
  <c r="AA290" i="6"/>
  <c r="AA357" i="6"/>
  <c r="AA336" i="6"/>
  <c r="AA55" i="6"/>
  <c r="AA113" i="6"/>
  <c r="AA214" i="6"/>
  <c r="AA271" i="6"/>
  <c r="AA132" i="6"/>
  <c r="AA77" i="6"/>
  <c r="AA263" i="6"/>
  <c r="AA205" i="6"/>
  <c r="AA152" i="6"/>
  <c r="AA326" i="6"/>
  <c r="AA52" i="6"/>
  <c r="AA35" i="6"/>
  <c r="AA225" i="6"/>
  <c r="AA461" i="6"/>
  <c r="AA280" i="6"/>
  <c r="AA115" i="6"/>
  <c r="AA163" i="6"/>
  <c r="AA281" i="6"/>
  <c r="AA61" i="6"/>
  <c r="AA204" i="6"/>
  <c r="AA164" i="6"/>
  <c r="AA109" i="6"/>
  <c r="AA251" i="6"/>
  <c r="AA238" i="6"/>
  <c r="AA239" i="6"/>
  <c r="AA72" i="6"/>
  <c r="AA368" i="6"/>
  <c r="AA142" i="6"/>
  <c r="AA409" i="6"/>
  <c r="AA391" i="6"/>
  <c r="AA144" i="6"/>
  <c r="AA466" i="6"/>
  <c r="AA362" i="6"/>
  <c r="AA124" i="6"/>
  <c r="AA262" i="6"/>
  <c r="AA15" i="6"/>
  <c r="AA300" i="6"/>
  <c r="AA450" i="6"/>
  <c r="AA396" i="6"/>
  <c r="AA70" i="6"/>
  <c r="AA145" i="6"/>
  <c r="AA193" i="6"/>
  <c r="AA211" i="6"/>
  <c r="AA442" i="6"/>
  <c r="AA360" i="6"/>
  <c r="AA24" i="6"/>
  <c r="AA100" i="6"/>
  <c r="AA187" i="6"/>
  <c r="AA319" i="6"/>
  <c r="AA114" i="6"/>
  <c r="AA197" i="6"/>
  <c r="AA460" i="6"/>
  <c r="AA169" i="6"/>
  <c r="AA345" i="6"/>
  <c r="AA36" i="6"/>
  <c r="AA19" i="6"/>
  <c r="AA93" i="6"/>
  <c r="AA159" i="6"/>
  <c r="AA440" i="6"/>
  <c r="AA292" i="6"/>
  <c r="AA296" i="6"/>
  <c r="AA125" i="6"/>
  <c r="AA255" i="6"/>
  <c r="AA430" i="6"/>
  <c r="AA401" i="6"/>
  <c r="AA40" i="6"/>
  <c r="AA252" i="6"/>
  <c r="AA184" i="6"/>
  <c r="AA234" i="6"/>
  <c r="AA421" i="6"/>
  <c r="AA462" i="6"/>
  <c r="AA387" i="6"/>
  <c r="AA80" i="6"/>
  <c r="AA254" i="6"/>
  <c r="AA208" i="6"/>
  <c r="AA81" i="6"/>
  <c r="AA45" i="6"/>
  <c r="AA312" i="6"/>
  <c r="AA443" i="6"/>
  <c r="AA121" i="6"/>
  <c r="AA347" i="6"/>
  <c r="AA20" i="6"/>
  <c r="AA278" i="6"/>
  <c r="AA233" i="6"/>
  <c r="AA92" i="6"/>
  <c r="AB189" i="6" l="1"/>
  <c r="AB470" i="6"/>
  <c r="AB469" i="6"/>
  <c r="AB316" i="6"/>
  <c r="AB419" i="6"/>
  <c r="AB418" i="6"/>
  <c r="AB416" i="6"/>
  <c r="AB417" i="6"/>
  <c r="AB420" i="6"/>
  <c r="AB431" i="6"/>
  <c r="AB320" i="6"/>
  <c r="AB96" i="6"/>
  <c r="AB97" i="6"/>
  <c r="AB98" i="6"/>
  <c r="AB125" i="6"/>
  <c r="AB162" i="6"/>
  <c r="AB358" i="6"/>
  <c r="AB359" i="6"/>
  <c r="AB217" i="6"/>
  <c r="AB165" i="6"/>
  <c r="AB299" i="6"/>
  <c r="AB300" i="6"/>
  <c r="AB310" i="6"/>
  <c r="AB236" i="6"/>
  <c r="AB63" i="6"/>
  <c r="AB415" i="6"/>
  <c r="AB55" i="6"/>
  <c r="AB47" i="6"/>
  <c r="AB71" i="6"/>
  <c r="AB363" i="6"/>
  <c r="AB39" i="6"/>
  <c r="AB31" i="6"/>
  <c r="AB109" i="6"/>
  <c r="AB232" i="6"/>
  <c r="AB131" i="6"/>
  <c r="AB181" i="6"/>
  <c r="AB280" i="6"/>
  <c r="AB264" i="6"/>
  <c r="AB17" i="6"/>
  <c r="AB342" i="6"/>
  <c r="AB216" i="6"/>
  <c r="AB427" i="6"/>
  <c r="AB467" i="6"/>
  <c r="AB348" i="6"/>
  <c r="AB112" i="6"/>
  <c r="AB408" i="6"/>
  <c r="AB127" i="6"/>
  <c r="AB248" i="6"/>
  <c r="AB118" i="6"/>
  <c r="AB277" i="6"/>
  <c r="AB364" i="6"/>
  <c r="AB261" i="6"/>
  <c r="AB84" i="6"/>
  <c r="AB326" i="6"/>
  <c r="AB160" i="6"/>
  <c r="AB68" i="6"/>
  <c r="AB466" i="6"/>
  <c r="AB24" i="6"/>
  <c r="AB412" i="6"/>
  <c r="AB441" i="6"/>
  <c r="AB396" i="6"/>
  <c r="AB347" i="6"/>
  <c r="AB319" i="6"/>
  <c r="AB344" i="6"/>
  <c r="AB429" i="6"/>
  <c r="AB305" i="6"/>
  <c r="AB100" i="6"/>
  <c r="AB426" i="6"/>
  <c r="AB215" i="6"/>
  <c r="AB302" i="6"/>
  <c r="AB166" i="6"/>
  <c r="AB167" i="6"/>
  <c r="AB339" i="6"/>
  <c r="AB77" i="6"/>
  <c r="AB107" i="6"/>
  <c r="AB323" i="6"/>
  <c r="AB182" i="6"/>
  <c r="AB61" i="6"/>
  <c r="AB397" i="6"/>
  <c r="AB263" i="6"/>
  <c r="AB244" i="6"/>
  <c r="AB301" i="6"/>
  <c r="AB411" i="6"/>
  <c r="AB153" i="6"/>
  <c r="AB113" i="6"/>
  <c r="AB308" i="6"/>
  <c r="AB384" i="6"/>
  <c r="AB23" i="6"/>
  <c r="AB200" i="6"/>
  <c r="AB135" i="6"/>
  <c r="AB52" i="6"/>
  <c r="AB168" i="6"/>
  <c r="AB460" i="6"/>
  <c r="AB45" i="6"/>
  <c r="AB237" i="6"/>
  <c r="AB141" i="6"/>
  <c r="AB173" i="6"/>
  <c r="AB129" i="6"/>
  <c r="AB292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6" i="6"/>
  <c r="AB333" i="6"/>
  <c r="AB60" i="6"/>
  <c r="AB322" i="6"/>
  <c r="AB345" i="6"/>
  <c r="AB75" i="6"/>
  <c r="AB99" i="6"/>
  <c r="AB188" i="6"/>
  <c r="AB154" i="6"/>
  <c r="AB242" i="6"/>
  <c r="AB378" i="6"/>
  <c r="AB148" i="6"/>
  <c r="AB211" i="6"/>
  <c r="AB243" i="6"/>
  <c r="AB33" i="6"/>
  <c r="AB220" i="6"/>
  <c r="AB44" i="6"/>
  <c r="AB219" i="6"/>
  <c r="AB152" i="6"/>
  <c r="AB307" i="6"/>
  <c r="AB424" i="6"/>
  <c r="AB199" i="6"/>
  <c r="AB11" i="6"/>
  <c r="AB245" i="6"/>
  <c r="AB452" i="6"/>
  <c r="AB329" i="6"/>
  <c r="AB74" i="6"/>
  <c r="AB393" i="6"/>
  <c r="AB76" i="6"/>
  <c r="AB59" i="6"/>
  <c r="AB409" i="6"/>
  <c r="AB349" i="6"/>
  <c r="AB196" i="6"/>
  <c r="AB58" i="6"/>
  <c r="AB49" i="6"/>
  <c r="AB311" i="6"/>
  <c r="AB382" i="6"/>
  <c r="AB28" i="6"/>
  <c r="AB203" i="6"/>
  <c r="AB202" i="6"/>
  <c r="AB291" i="6"/>
  <c r="AB357" i="6"/>
  <c r="AB85" i="6"/>
  <c r="AB444" i="6"/>
  <c r="AB229" i="6"/>
  <c r="AB394" i="6"/>
  <c r="AB78" i="6"/>
  <c r="AB439" i="6"/>
  <c r="AB465" i="6"/>
  <c r="AB227" i="6"/>
  <c r="AB9" i="6"/>
  <c r="AB106" i="6"/>
  <c r="AB54" i="6"/>
  <c r="AB459" i="6"/>
  <c r="AB186" i="6"/>
  <c r="AB447" i="6"/>
  <c r="AB462" i="6"/>
  <c r="AB253" i="6"/>
  <c r="AB366" i="6"/>
  <c r="AB294" i="6"/>
  <c r="AB105" i="6"/>
  <c r="AB156" i="6"/>
  <c r="AB286" i="6"/>
  <c r="AB66" i="6"/>
  <c r="AB42" i="6"/>
  <c r="AB432" i="6"/>
  <c r="AB185" i="6"/>
  <c r="AB53" i="6"/>
  <c r="AB213" i="6"/>
  <c r="AB62" i="6"/>
  <c r="AB126" i="6"/>
  <c r="AB101" i="6"/>
  <c r="AB400" i="6"/>
  <c r="AB164" i="6"/>
  <c r="AB159" i="6"/>
  <c r="AB259" i="6"/>
  <c r="AB149" i="6"/>
  <c r="AB21" i="6"/>
  <c r="AB197" i="6"/>
  <c r="AB436" i="6"/>
  <c r="AB46" i="6"/>
  <c r="AB251" i="6"/>
  <c r="AB260" i="6"/>
  <c r="AB12" i="6"/>
  <c r="AB468" i="6"/>
  <c r="AB157" i="6"/>
  <c r="AB212" i="6"/>
  <c r="AB368" i="6"/>
  <c r="AB205" i="6"/>
  <c r="AB43" i="6"/>
  <c r="AB413" i="6"/>
  <c r="AB343" i="6"/>
  <c r="AB360" i="6"/>
  <c r="AB89" i="6"/>
  <c r="AB88" i="6"/>
  <c r="AB144" i="6"/>
  <c r="AB337" i="6"/>
  <c r="AB10" i="6"/>
  <c r="AB246" i="6"/>
  <c r="AB119" i="6"/>
  <c r="AB403" i="6"/>
  <c r="AB30" i="6"/>
  <c r="AB338" i="6"/>
  <c r="AB235" i="6"/>
  <c r="AB81" i="6"/>
  <c r="AB275" i="6"/>
  <c r="AB145" i="6"/>
  <c r="AB406" i="6"/>
  <c r="AB18" i="6"/>
  <c r="AB195" i="6"/>
  <c r="AB402" i="6"/>
  <c r="AB404" i="6"/>
  <c r="AB27" i="6"/>
  <c r="AB327" i="6"/>
  <c r="AB434" i="6"/>
  <c r="AB356" i="6"/>
  <c r="AB72" i="6"/>
  <c r="AB161" i="6"/>
  <c r="AB258" i="6"/>
  <c r="AB421" i="6"/>
  <c r="AB230" i="6"/>
  <c r="AB83" i="6"/>
  <c r="AB346" i="6"/>
  <c r="AB14" i="6"/>
  <c r="AB285" i="6"/>
  <c r="AB187" i="6"/>
  <c r="AB430" i="6"/>
  <c r="AB365" i="6"/>
  <c r="AB102" i="6"/>
  <c r="AB422" i="6"/>
  <c r="AB330" i="6"/>
  <c r="AB65" i="6"/>
  <c r="AB437" i="6"/>
  <c r="AB312" i="6"/>
  <c r="AB369" i="6"/>
  <c r="AB56" i="6"/>
  <c r="AB136" i="6"/>
  <c r="AB214" i="6"/>
  <c r="AB355" i="6"/>
  <c r="AB383" i="6"/>
  <c r="AB279" i="6"/>
  <c r="AB407" i="6"/>
  <c r="AB379" i="6"/>
  <c r="AB440" i="6"/>
  <c r="AB296" i="6"/>
  <c r="AB451" i="6"/>
  <c r="AB450" i="6"/>
  <c r="AB40" i="6"/>
  <c r="AB249" i="6"/>
  <c r="AB158" i="6"/>
  <c r="AB336" i="6"/>
  <c r="AB198" i="6"/>
  <c r="AB438" i="6"/>
  <c r="AB315" i="6"/>
  <c r="AB388" i="6"/>
  <c r="AB314" i="6"/>
  <c r="AB328" i="6"/>
  <c r="AB458" i="6"/>
  <c r="AB36" i="6"/>
  <c r="AB19" i="6"/>
  <c r="AB226" i="6"/>
  <c r="AB241" i="6"/>
  <c r="AB298" i="6"/>
  <c r="AB313" i="6"/>
  <c r="AB461" i="6"/>
  <c r="AB289" i="6"/>
  <c r="AB335" i="6"/>
  <c r="AB20" i="6"/>
  <c r="AB395" i="6"/>
  <c r="AB210" i="6"/>
  <c r="AB225" i="6"/>
  <c r="AB282" i="6"/>
  <c r="AB297" i="6"/>
  <c r="AB38" i="6"/>
  <c r="AB318" i="6"/>
  <c r="AB194" i="6"/>
  <c r="AB266" i="6"/>
  <c r="AB281" i="6"/>
  <c r="AB454" i="6"/>
  <c r="AB179" i="6"/>
  <c r="AB115" i="6"/>
  <c r="AB133" i="6"/>
  <c r="AB90" i="6"/>
  <c r="AB254" i="6"/>
  <c r="AB117" i="6"/>
  <c r="AB73" i="6"/>
  <c r="AB169" i="6"/>
  <c r="AB428" i="6"/>
  <c r="AB201" i="6"/>
  <c r="AB321" i="6"/>
  <c r="AB22" i="6"/>
  <c r="AB128" i="6"/>
  <c r="AB304" i="6"/>
  <c r="AB350" i="6"/>
  <c r="AB389" i="6"/>
  <c r="AB177" i="6"/>
  <c r="AB193" i="6"/>
  <c r="AB130" i="6"/>
  <c r="AB265" i="6"/>
  <c r="AB209" i="6"/>
  <c r="AB278" i="6"/>
  <c r="AB442" i="6"/>
  <c r="AB228" i="6"/>
  <c r="AB26" i="6"/>
  <c r="AB340" i="6"/>
  <c r="AB57" i="6"/>
  <c r="AB250" i="6"/>
  <c r="AB361" i="6"/>
  <c r="AB184" i="6"/>
  <c r="AB306" i="6"/>
  <c r="AB351" i="6"/>
  <c r="AB150" i="6"/>
  <c r="AB288" i="6"/>
  <c r="AB287" i="6"/>
  <c r="AB455" i="6"/>
  <c r="AB176" i="6"/>
  <c r="AB192" i="6"/>
  <c r="AB122" i="6"/>
  <c r="AA5" i="6"/>
  <c r="AB341" i="6"/>
  <c r="AB399" i="6"/>
  <c r="AB332" i="6"/>
  <c r="AB50" i="6"/>
  <c r="AB295" i="6"/>
  <c r="AB238" i="6"/>
  <c r="AB137" i="6"/>
  <c r="AB269" i="6"/>
  <c r="AB262" i="6"/>
  <c r="AB375" i="6"/>
  <c r="AB114" i="6"/>
  <c r="AB123" i="6"/>
  <c r="AB371" i="6"/>
  <c r="AB222" i="6"/>
  <c r="AB324" i="6"/>
  <c r="AB25" i="6"/>
  <c r="AB234" i="6"/>
  <c r="AB449" i="6"/>
  <c r="AB151" i="6"/>
  <c r="AB290" i="6"/>
  <c r="AB273" i="6"/>
  <c r="AB247" i="6"/>
  <c r="AB272" i="6"/>
  <c r="AB271" i="6"/>
  <c r="AB398" i="6"/>
  <c r="AB80" i="6"/>
  <c r="AB175" i="6"/>
  <c r="AB139" i="6"/>
  <c r="AB257" i="6"/>
  <c r="AB370" i="6"/>
  <c r="AB204" i="6"/>
  <c r="AB140" i="6"/>
  <c r="AB252" i="6"/>
  <c r="AB463" i="6"/>
  <c r="AB34" i="6"/>
  <c r="AB221" i="6"/>
  <c r="AB443" i="6"/>
  <c r="AB206" i="6"/>
  <c r="AB293" i="6"/>
  <c r="AB362" i="6"/>
  <c r="AB218" i="6"/>
  <c r="AB425" i="6"/>
  <c r="AB87" i="6"/>
  <c r="AB274" i="6"/>
  <c r="AB171" i="6"/>
  <c r="AB231" i="6"/>
  <c r="AB256" i="6"/>
  <c r="AB255" i="6"/>
  <c r="AB464" i="6"/>
  <c r="AB385" i="6"/>
  <c r="AB79" i="6"/>
  <c r="AB95" i="6"/>
  <c r="AB448" i="6"/>
  <c r="AB372" i="6"/>
  <c r="AB373" i="6"/>
  <c r="AB374" i="6"/>
  <c r="AB180" i="6"/>
  <c r="AB331" i="6"/>
  <c r="AB64" i="6"/>
  <c r="AB283" i="6"/>
  <c r="AB15" i="6"/>
  <c r="AB147" i="6"/>
  <c r="AB377" i="6"/>
  <c r="AB239" i="6"/>
  <c r="AB93" i="6"/>
  <c r="AB48" i="6"/>
  <c r="AB267" i="6"/>
  <c r="AB387" i="6"/>
  <c r="AB170" i="6"/>
  <c r="AB446" i="6"/>
  <c r="AB223" i="6"/>
  <c r="AB92" i="6"/>
  <c r="AB32" i="6"/>
  <c r="AB138" i="6"/>
  <c r="AB392" i="6"/>
  <c r="AB116" i="6"/>
  <c r="AB386" i="6"/>
  <c r="AB207" i="6"/>
  <c r="AB91" i="6"/>
  <c r="AB69" i="6"/>
  <c r="AB120" i="6"/>
  <c r="AB334" i="6"/>
  <c r="AB67" i="6"/>
  <c r="AB284" i="6"/>
  <c r="AB16" i="6"/>
  <c r="AB155" i="6"/>
  <c r="AB381" i="6"/>
  <c r="AB240" i="6"/>
  <c r="AB457" i="6"/>
  <c r="AB191" i="6"/>
  <c r="AB37" i="6"/>
  <c r="AB317" i="6"/>
  <c r="AB51" i="6"/>
  <c r="AB268" i="6"/>
  <c r="AB391" i="6"/>
  <c r="AB224" i="6"/>
  <c r="AB433" i="6"/>
  <c r="AB174" i="6"/>
  <c r="AB183" i="6"/>
  <c r="AB353" i="6"/>
  <c r="AB142" i="6"/>
  <c r="AB111" i="6"/>
  <c r="AB82" i="6"/>
  <c r="AB270" i="6"/>
  <c r="AB453" i="6"/>
  <c r="AB325" i="6"/>
  <c r="AB178" i="6"/>
  <c r="AB414" i="6"/>
  <c r="AB172" i="6"/>
  <c r="AB456" i="6"/>
  <c r="AB190" i="6"/>
  <c r="AB309" i="6"/>
  <c r="AB41" i="6"/>
  <c r="AB121" i="6"/>
  <c r="AB352" i="6"/>
  <c r="AB233" i="6"/>
  <c r="AB423" i="6"/>
  <c r="AB143" i="6"/>
  <c r="AB445" i="6"/>
  <c r="AB405" i="6"/>
  <c r="AB163" i="6"/>
  <c r="AB303" i="6"/>
  <c r="AB35" i="6"/>
  <c r="AB146" i="6"/>
  <c r="AB8" i="6"/>
  <c r="AB124" i="6"/>
  <c r="AB390" i="6"/>
  <c r="AB208" i="6"/>
  <c r="AB376" i="6"/>
  <c r="AB94" i="6"/>
  <c r="AB5" i="6" l="1"/>
</calcChain>
</file>

<file path=xl/sharedStrings.xml><?xml version="1.0" encoding="utf-8"?>
<sst xmlns="http://schemas.openxmlformats.org/spreadsheetml/2006/main" count="4554" uniqueCount="2004">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</sst>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zoomScaleNormal="100" workbookViewId="0">
      <pane ySplit="7" topLeftCell="A8" activePane="bottomLeft" state="frozen"/>
      <selection pane="bottomLeft" activeCell="O10" sqref="O10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75</v>
      </c>
      <c r="G3" s="5">
        <f>+AF6</f>
        <v>75</v>
      </c>
      <c r="H3" s="5">
        <f>+E3-G3</f>
        <v>35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325</v>
      </c>
      <c r="F4" s="7">
        <f>+AE6</f>
        <v>134</v>
      </c>
      <c r="G4" s="7">
        <f>+AG6</f>
        <v>117</v>
      </c>
      <c r="H4" s="5">
        <f>+E4-G4</f>
        <v>208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435</v>
      </c>
      <c r="F5" s="8">
        <f>+F3+F4</f>
        <v>209</v>
      </c>
      <c r="G5" s="8">
        <f>+G3+G4</f>
        <v>192</v>
      </c>
      <c r="H5" s="8">
        <f>+H3+H4</f>
        <v>243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75</v>
      </c>
      <c r="AE6" s="1">
        <f t="shared" si="1"/>
        <v>134</v>
      </c>
      <c r="AF6" s="1">
        <f t="shared" si="1"/>
        <v>75</v>
      </c>
      <c r="AG6" s="1">
        <f t="shared" si="1"/>
        <v>117</v>
      </c>
      <c r="AH6" s="1">
        <f t="shared" si="1"/>
        <v>110</v>
      </c>
      <c r="AI6" s="1">
        <f t="shared" si="1"/>
        <v>325</v>
      </c>
    </row>
    <row r="7" spans="1:36" s="31" customFormat="1" ht="14.25" customHeight="1" x14ac:dyDescent="0.25">
      <c r="A7" s="27" t="s">
        <v>1378</v>
      </c>
      <c r="B7" s="27" t="s">
        <v>1379</v>
      </c>
      <c r="C7" s="27" t="s">
        <v>1380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1381</v>
      </c>
      <c r="K7" s="27" t="s">
        <v>1640</v>
      </c>
      <c r="L7" s="27" t="s">
        <v>17</v>
      </c>
      <c r="M7" s="32" t="s">
        <v>1382</v>
      </c>
      <c r="N7" s="28" t="s">
        <v>0</v>
      </c>
      <c r="O7" s="18" t="s">
        <v>1</v>
      </c>
      <c r="P7" s="18" t="s">
        <v>2</v>
      </c>
      <c r="Q7" s="32" t="s">
        <v>1888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1742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s="2" customFormat="1" ht="14.25" customHeight="1" x14ac:dyDescent="0.25">
      <c r="A9" s="34">
        <v>0</v>
      </c>
      <c r="B9" s="34">
        <v>1</v>
      </c>
      <c r="C9" s="34">
        <v>1</v>
      </c>
      <c r="D9" s="35" t="s">
        <v>1598</v>
      </c>
      <c r="E9" s="35" t="s">
        <v>172</v>
      </c>
      <c r="F9" s="35" t="s">
        <v>1548</v>
      </c>
      <c r="G9" s="35" t="s">
        <v>39</v>
      </c>
      <c r="H9" s="35" t="s">
        <v>364</v>
      </c>
      <c r="I9" s="34" t="s">
        <v>1549</v>
      </c>
      <c r="J9" s="34">
        <v>99</v>
      </c>
      <c r="K9" s="36" t="s">
        <v>968</v>
      </c>
      <c r="L9" s="36" t="s">
        <v>1708</v>
      </c>
      <c r="M9" s="37" t="s">
        <v>1386</v>
      </c>
      <c r="N9" s="37" t="s">
        <v>1734</v>
      </c>
      <c r="O9" s="38">
        <v>1</v>
      </c>
      <c r="P9" s="38">
        <v>1</v>
      </c>
      <c r="Q9" s="35"/>
      <c r="R9" s="1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C9" s="1"/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  <c r="AJ9" s="1"/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1709</v>
      </c>
      <c r="M10" s="50" t="s">
        <v>1383</v>
      </c>
      <c r="N10" s="50" t="s">
        <v>1754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1384</v>
      </c>
      <c r="N11" s="50" t="s">
        <v>1809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1712</v>
      </c>
      <c r="M12" s="50" t="s">
        <v>1123</v>
      </c>
      <c r="N12" s="50" t="s">
        <v>1743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1713</v>
      </c>
      <c r="M13" s="50" t="s">
        <v>1123</v>
      </c>
      <c r="N13" s="50" t="s">
        <v>1743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1300</v>
      </c>
      <c r="G14" s="48" t="s">
        <v>241</v>
      </c>
      <c r="H14" s="48" t="s">
        <v>355</v>
      </c>
      <c r="I14" s="47" t="s">
        <v>1367</v>
      </c>
      <c r="J14" s="47">
        <v>1</v>
      </c>
      <c r="K14" s="49" t="s">
        <v>964</v>
      </c>
      <c r="L14" s="49" t="s">
        <v>1715</v>
      </c>
      <c r="M14" s="50" t="s">
        <v>1385</v>
      </c>
      <c r="N14" s="50" t="s">
        <v>1746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1713</v>
      </c>
      <c r="M15" s="50" t="s">
        <v>1123</v>
      </c>
      <c r="N15" s="50" t="s">
        <v>1754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1705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1721</v>
      </c>
      <c r="M17" s="50" t="s">
        <v>1386</v>
      </c>
      <c r="N17" s="50" t="s">
        <v>1748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1386</v>
      </c>
      <c r="N18" s="50" t="s">
        <v>1809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1816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1900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1172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1713</v>
      </c>
      <c r="M23" s="37" t="s">
        <v>1123</v>
      </c>
      <c r="N23" s="37" t="s">
        <v>1750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1595</v>
      </c>
      <c r="E24" s="42" t="s">
        <v>172</v>
      </c>
      <c r="F24" s="42" t="s">
        <v>1596</v>
      </c>
      <c r="G24" s="42" t="s">
        <v>214</v>
      </c>
      <c r="H24" s="42" t="s">
        <v>355</v>
      </c>
      <c r="I24" s="41" t="s">
        <v>1597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1756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1722</v>
      </c>
      <c r="M27" s="50" t="s">
        <v>1387</v>
      </c>
      <c r="N27" s="50" t="s">
        <v>1743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1740</v>
      </c>
      <c r="O28" s="38">
        <v>1</v>
      </c>
      <c r="P28" s="38">
        <v>1</v>
      </c>
      <c r="Q28" s="35" t="s">
        <v>1919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1717</v>
      </c>
      <c r="M29" s="37" t="s">
        <v>1567</v>
      </c>
      <c r="N29" s="37" t="s">
        <v>1763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1388</v>
      </c>
      <c r="N31" s="50" t="s">
        <v>1741</v>
      </c>
      <c r="O31" s="51"/>
      <c r="P31" s="51"/>
      <c r="Q31" s="68" t="s">
        <v>1913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1713</v>
      </c>
      <c r="M32" s="50" t="s">
        <v>1389</v>
      </c>
      <c r="N32" s="50" t="s">
        <v>1744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1734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1556</v>
      </c>
      <c r="E34" s="48" t="s">
        <v>1253</v>
      </c>
      <c r="F34" s="48" t="s">
        <v>1557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1747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1469</v>
      </c>
      <c r="E35" s="42" t="s">
        <v>1471</v>
      </c>
      <c r="F35" s="42" t="s">
        <v>1470</v>
      </c>
      <c r="G35" s="42"/>
      <c r="H35" s="42" t="s">
        <v>1142</v>
      </c>
      <c r="I35" s="41" t="s">
        <v>1472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1927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1390</v>
      </c>
      <c r="N36" s="50" t="s">
        <v>1754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1875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1809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1769</v>
      </c>
      <c r="E38" s="39" t="s">
        <v>156</v>
      </c>
      <c r="F38" s="39" t="s">
        <v>1770</v>
      </c>
      <c r="G38" s="39"/>
      <c r="H38" s="39" t="s">
        <v>1771</v>
      </c>
      <c r="I38" s="40" t="s">
        <v>1772</v>
      </c>
      <c r="J38" s="34">
        <v>18</v>
      </c>
      <c r="K38" s="36" t="s">
        <v>707</v>
      </c>
      <c r="L38" s="36">
        <v>55</v>
      </c>
      <c r="M38" s="37" t="s">
        <v>1484</v>
      </c>
      <c r="N38" s="37" t="s">
        <v>1740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1710</v>
      </c>
      <c r="M39" s="37" t="s">
        <v>1389</v>
      </c>
      <c r="N39" s="37" t="s">
        <v>1755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1758</v>
      </c>
      <c r="E40" s="39" t="s">
        <v>1759</v>
      </c>
      <c r="F40" s="39" t="s">
        <v>1760</v>
      </c>
      <c r="G40" s="39" t="s">
        <v>322</v>
      </c>
      <c r="H40" s="39" t="s">
        <v>355</v>
      </c>
      <c r="I40" s="40" t="s">
        <v>1761</v>
      </c>
      <c r="J40" s="34">
        <v>99</v>
      </c>
      <c r="K40" s="36" t="s">
        <v>707</v>
      </c>
      <c r="L40" s="36"/>
      <c r="M40" s="37"/>
      <c r="N40" s="37" t="s">
        <v>1740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1707</v>
      </c>
      <c r="M41" s="50" t="s">
        <v>1384</v>
      </c>
      <c r="N41" s="50" t="s">
        <v>1744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1519</v>
      </c>
      <c r="E42" s="39" t="s">
        <v>176</v>
      </c>
      <c r="F42" s="39" t="s">
        <v>1667</v>
      </c>
      <c r="G42" s="39" t="s">
        <v>1521</v>
      </c>
      <c r="H42" s="39" t="s">
        <v>355</v>
      </c>
      <c r="I42" s="40" t="s">
        <v>1520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1734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1711</v>
      </c>
      <c r="M43" s="37" t="s">
        <v>1391</v>
      </c>
      <c r="N43" s="37" t="s">
        <v>1832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1822</v>
      </c>
      <c r="E44" s="48" t="s">
        <v>176</v>
      </c>
      <c r="F44" s="48" t="s">
        <v>1823</v>
      </c>
      <c r="G44" s="48" t="s">
        <v>195</v>
      </c>
      <c r="H44" s="48" t="s">
        <v>355</v>
      </c>
      <c r="I44" s="47" t="s">
        <v>1824</v>
      </c>
      <c r="J44" s="47">
        <v>9</v>
      </c>
      <c r="K44" s="49" t="s">
        <v>707</v>
      </c>
      <c r="L44" s="49">
        <v>60</v>
      </c>
      <c r="M44" s="50" t="s">
        <v>1825</v>
      </c>
      <c r="N44" s="50" t="s">
        <v>1816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1886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1745</v>
      </c>
      <c r="O45" s="51"/>
      <c r="P45" s="51"/>
      <c r="Q45" s="68" t="s">
        <v>1914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1740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1706</v>
      </c>
      <c r="M47" s="50" t="s">
        <v>1123</v>
      </c>
      <c r="N47" s="50" t="s">
        <v>1809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1642</v>
      </c>
      <c r="E48" s="42" t="s">
        <v>175</v>
      </c>
      <c r="F48" s="42" t="s">
        <v>1668</v>
      </c>
      <c r="G48" s="42" t="s">
        <v>252</v>
      </c>
      <c r="H48" s="42" t="s">
        <v>355</v>
      </c>
      <c r="I48" s="41" t="s">
        <v>1570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1538</v>
      </c>
      <c r="E49" s="48" t="s">
        <v>1656</v>
      </c>
      <c r="F49" s="48" t="s">
        <v>1539</v>
      </c>
      <c r="G49" s="48" t="s">
        <v>201</v>
      </c>
      <c r="H49" s="48" t="s">
        <v>355</v>
      </c>
      <c r="I49" s="47" t="s">
        <v>1540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1747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1474</v>
      </c>
      <c r="E50" s="48" t="s">
        <v>1657</v>
      </c>
      <c r="F50" s="48" t="s">
        <v>1473</v>
      </c>
      <c r="G50" s="48" t="s">
        <v>221</v>
      </c>
      <c r="H50" s="48" t="s">
        <v>355</v>
      </c>
      <c r="I50" s="47" t="s">
        <v>1694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1744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1953</v>
      </c>
      <c r="O51" s="38">
        <v>1</v>
      </c>
      <c r="P51" s="38"/>
      <c r="Q51" s="35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1478</v>
      </c>
      <c r="E52" s="16"/>
      <c r="F52" s="16" t="s">
        <v>1479</v>
      </c>
      <c r="G52" s="16" t="s">
        <v>1480</v>
      </c>
      <c r="H52" s="16" t="s">
        <v>355</v>
      </c>
      <c r="I52" s="15" t="s">
        <v>1481</v>
      </c>
      <c r="J52" s="15">
        <v>99</v>
      </c>
      <c r="K52" s="10" t="s">
        <v>707</v>
      </c>
      <c r="L52" s="10">
        <v>35</v>
      </c>
      <c r="M52" s="19" t="s">
        <v>1486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1809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1747</v>
      </c>
      <c r="O54" s="51"/>
      <c r="P54" s="51"/>
      <c r="Q54" s="68" t="s">
        <v>1917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1646</v>
      </c>
      <c r="E55" s="48" t="s">
        <v>176</v>
      </c>
      <c r="F55" s="48" t="s">
        <v>1672</v>
      </c>
      <c r="G55" s="48" t="s">
        <v>1673</v>
      </c>
      <c r="H55" s="48" t="s">
        <v>355</v>
      </c>
      <c r="I55" s="47" t="s">
        <v>1485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1748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1707</v>
      </c>
      <c r="M56" s="50" t="s">
        <v>1392</v>
      </c>
      <c r="N56" s="50" t="s">
        <v>1742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1197</v>
      </c>
      <c r="E57" s="16" t="s">
        <v>175</v>
      </c>
      <c r="F57" s="16" t="s">
        <v>1198</v>
      </c>
      <c r="G57" s="16" t="s">
        <v>39</v>
      </c>
      <c r="H57" s="16" t="s">
        <v>1200</v>
      </c>
      <c r="I57" s="15" t="s">
        <v>1199</v>
      </c>
      <c r="J57" s="15">
        <v>17</v>
      </c>
      <c r="K57" s="10" t="s">
        <v>707</v>
      </c>
      <c r="L57" s="10" t="s">
        <v>1393</v>
      </c>
      <c r="M57" s="19" t="s">
        <v>1394</v>
      </c>
      <c r="N57" s="17"/>
      <c r="Q57" s="16" t="s">
        <v>1893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1208</v>
      </c>
      <c r="E58" s="16" t="s">
        <v>175</v>
      </c>
      <c r="F58" s="16" t="s">
        <v>1209</v>
      </c>
      <c r="G58" s="16" t="s">
        <v>39</v>
      </c>
      <c r="H58" s="16" t="s">
        <v>1210</v>
      </c>
      <c r="I58" s="15" t="s">
        <v>1211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1892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1147</v>
      </c>
      <c r="M59" s="19" t="s">
        <v>695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1599</v>
      </c>
      <c r="E60" s="35" t="s">
        <v>176</v>
      </c>
      <c r="F60" s="35" t="s">
        <v>1600</v>
      </c>
      <c r="G60" s="35" t="s">
        <v>1601</v>
      </c>
      <c r="H60" s="35" t="s">
        <v>355</v>
      </c>
      <c r="I60" s="34" t="s">
        <v>1494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1734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1627</v>
      </c>
      <c r="E61" s="35" t="s">
        <v>171</v>
      </c>
      <c r="F61" s="35" t="s">
        <v>1628</v>
      </c>
      <c r="G61" s="35" t="s">
        <v>39</v>
      </c>
      <c r="H61" s="35" t="s">
        <v>356</v>
      </c>
      <c r="I61" s="34" t="s">
        <v>1629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1734</v>
      </c>
      <c r="O61" s="38">
        <v>1</v>
      </c>
      <c r="P61" s="38">
        <v>1</v>
      </c>
      <c r="Q61" s="39" t="s">
        <v>1912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1624</v>
      </c>
      <c r="E62" s="42" t="s">
        <v>175</v>
      </c>
      <c r="F62" s="42" t="s">
        <v>1625</v>
      </c>
      <c r="G62" s="42" t="s">
        <v>1490</v>
      </c>
      <c r="H62" s="42" t="s">
        <v>355</v>
      </c>
      <c r="I62" s="41" t="s">
        <v>1626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1713</v>
      </c>
      <c r="M64" s="37" t="s">
        <v>1386</v>
      </c>
      <c r="N64" s="37" t="s">
        <v>1756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1329</v>
      </c>
      <c r="E65" s="16" t="s">
        <v>176</v>
      </c>
      <c r="F65" s="16" t="s">
        <v>1353</v>
      </c>
      <c r="G65" s="16" t="s">
        <v>39</v>
      </c>
      <c r="H65" s="16" t="s">
        <v>364</v>
      </c>
      <c r="I65" s="15" t="s">
        <v>1148</v>
      </c>
      <c r="J65" s="15">
        <v>14</v>
      </c>
      <c r="K65" s="10" t="s">
        <v>726</v>
      </c>
      <c r="L65" s="10" t="s">
        <v>1706</v>
      </c>
      <c r="M65" s="19" t="s">
        <v>976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1522</v>
      </c>
      <c r="E66" s="48" t="s">
        <v>171</v>
      </c>
      <c r="F66" s="48" t="s">
        <v>1524</v>
      </c>
      <c r="G66" s="48" t="s">
        <v>1171</v>
      </c>
      <c r="H66" s="48" t="s">
        <v>355</v>
      </c>
      <c r="I66" s="47" t="s">
        <v>1523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1816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1741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1454</v>
      </c>
      <c r="E69" s="35" t="s">
        <v>176</v>
      </c>
      <c r="F69" s="35" t="s">
        <v>1451</v>
      </c>
      <c r="G69" s="35" t="s">
        <v>39</v>
      </c>
      <c r="H69" s="35" t="s">
        <v>355</v>
      </c>
      <c r="I69" s="34" t="s">
        <v>1452</v>
      </c>
      <c r="J69" s="34">
        <v>99</v>
      </c>
      <c r="K69" s="36" t="s">
        <v>706</v>
      </c>
      <c r="L69" s="36" t="s">
        <v>693</v>
      </c>
      <c r="M69" s="37" t="s">
        <v>1453</v>
      </c>
      <c r="N69" s="37" t="s">
        <v>1734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1330</v>
      </c>
      <c r="E71" s="35" t="s">
        <v>176</v>
      </c>
      <c r="F71" s="35" t="s">
        <v>1130</v>
      </c>
      <c r="G71" s="35" t="s">
        <v>39</v>
      </c>
      <c r="H71" s="35" t="s">
        <v>1129</v>
      </c>
      <c r="I71" s="34" t="s">
        <v>1128</v>
      </c>
      <c r="J71" s="34">
        <v>15</v>
      </c>
      <c r="K71" s="36" t="s">
        <v>961</v>
      </c>
      <c r="L71" s="36">
        <v>75</v>
      </c>
      <c r="M71" s="37" t="s">
        <v>1395</v>
      </c>
      <c r="N71" s="37" t="s">
        <v>1740</v>
      </c>
      <c r="O71" s="38">
        <v>1</v>
      </c>
      <c r="P71" s="38">
        <v>1</v>
      </c>
      <c r="Q71" s="35" t="s">
        <v>1994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1719</v>
      </c>
      <c r="M73" s="50" t="s">
        <v>1386</v>
      </c>
      <c r="N73" s="50" t="s">
        <v>1745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1849</v>
      </c>
      <c r="E74" s="35" t="s">
        <v>175</v>
      </c>
      <c r="F74" s="35" t="s">
        <v>1850</v>
      </c>
      <c r="G74" s="35"/>
      <c r="H74" s="35" t="s">
        <v>1851</v>
      </c>
      <c r="I74" s="34" t="s">
        <v>1852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1750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1731</v>
      </c>
      <c r="E75" s="35" t="s">
        <v>176</v>
      </c>
      <c r="F75" s="39" t="s">
        <v>1732</v>
      </c>
      <c r="G75" s="39" t="s">
        <v>208</v>
      </c>
      <c r="H75" s="39" t="s">
        <v>355</v>
      </c>
      <c r="I75" s="40" t="s">
        <v>1733</v>
      </c>
      <c r="J75" s="34"/>
      <c r="K75" s="36" t="s">
        <v>707</v>
      </c>
      <c r="L75" s="36"/>
      <c r="M75" s="37"/>
      <c r="N75" s="37" t="s">
        <v>1734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1167</v>
      </c>
      <c r="J76" s="34">
        <v>13</v>
      </c>
      <c r="K76" s="36" t="s">
        <v>706</v>
      </c>
      <c r="L76" s="36" t="s">
        <v>693</v>
      </c>
      <c r="M76" s="37" t="s">
        <v>1448</v>
      </c>
      <c r="N76" s="37" t="s">
        <v>1756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1602</v>
      </c>
      <c r="E77" s="35" t="s">
        <v>176</v>
      </c>
      <c r="F77" s="39" t="s">
        <v>1603</v>
      </c>
      <c r="G77" s="39" t="s">
        <v>236</v>
      </c>
      <c r="H77" s="39" t="s">
        <v>355</v>
      </c>
      <c r="I77" s="40" t="s">
        <v>1604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1796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1332</v>
      </c>
      <c r="E78" s="42" t="s">
        <v>175</v>
      </c>
      <c r="F78" s="42" t="s">
        <v>1275</v>
      </c>
      <c r="G78" s="42" t="s">
        <v>208</v>
      </c>
      <c r="H78" s="42" t="s">
        <v>355</v>
      </c>
      <c r="I78" s="41" t="s">
        <v>1276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1806</v>
      </c>
      <c r="E79" s="35" t="s">
        <v>171</v>
      </c>
      <c r="F79" s="39" t="s">
        <v>1804</v>
      </c>
      <c r="G79" s="39" t="s">
        <v>233</v>
      </c>
      <c r="H79" s="39" t="s">
        <v>355</v>
      </c>
      <c r="I79" s="40" t="s">
        <v>1805</v>
      </c>
      <c r="J79" s="34">
        <v>99</v>
      </c>
      <c r="K79" s="36" t="s">
        <v>707</v>
      </c>
      <c r="L79" s="36"/>
      <c r="M79" s="37"/>
      <c r="N79" s="37" t="s">
        <v>1734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1164</v>
      </c>
      <c r="E80" s="35" t="s">
        <v>171</v>
      </c>
      <c r="F80" s="39" t="s">
        <v>1165</v>
      </c>
      <c r="G80" s="39" t="s">
        <v>39</v>
      </c>
      <c r="H80" s="39" t="s">
        <v>1366</v>
      </c>
      <c r="I80" s="40" t="s">
        <v>1166</v>
      </c>
      <c r="J80" s="34">
        <v>11</v>
      </c>
      <c r="K80" s="36" t="s">
        <v>706</v>
      </c>
      <c r="L80" s="36" t="s">
        <v>1706</v>
      </c>
      <c r="M80" s="37" t="s">
        <v>1396</v>
      </c>
      <c r="N80" s="37" t="s">
        <v>1756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1889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1740</v>
      </c>
      <c r="O82" s="38">
        <v>1</v>
      </c>
      <c r="P82" s="38">
        <v>1</v>
      </c>
      <c r="Q82" s="39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1</v>
      </c>
      <c r="AE82" s="1">
        <f t="shared" si="46"/>
        <v>0</v>
      </c>
      <c r="AF82" s="1">
        <f t="shared" si="19"/>
        <v>1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1750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1793</v>
      </c>
      <c r="E84" s="16" t="s">
        <v>173</v>
      </c>
      <c r="F84" s="16" t="s">
        <v>1795</v>
      </c>
      <c r="G84" s="16"/>
      <c r="H84" s="16" t="s">
        <v>365</v>
      </c>
      <c r="I84" s="15" t="s">
        <v>1794</v>
      </c>
      <c r="J84" s="15">
        <v>17</v>
      </c>
      <c r="K84" s="10" t="s">
        <v>707</v>
      </c>
      <c r="L84" s="10" t="s">
        <v>1749</v>
      </c>
      <c r="M84" s="19" t="s">
        <v>695</v>
      </c>
      <c r="N84" s="17"/>
      <c r="Q84" s="20" t="s">
        <v>1921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1817</v>
      </c>
      <c r="E85" s="35" t="s">
        <v>173</v>
      </c>
      <c r="F85" s="35" t="s">
        <v>1818</v>
      </c>
      <c r="G85" s="35" t="s">
        <v>1819</v>
      </c>
      <c r="H85" s="35" t="s">
        <v>355</v>
      </c>
      <c r="I85" s="34" t="s">
        <v>1820</v>
      </c>
      <c r="J85" s="34">
        <v>1</v>
      </c>
      <c r="K85" s="36" t="s">
        <v>707</v>
      </c>
      <c r="L85" s="36">
        <v>60</v>
      </c>
      <c r="M85" s="37" t="s">
        <v>1821</v>
      </c>
      <c r="N85" s="37" t="s">
        <v>1856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1605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1762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1887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1706</v>
      </c>
      <c r="M88" s="50" t="s">
        <v>1397</v>
      </c>
      <c r="N88" s="50" t="s">
        <v>1754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1706</v>
      </c>
      <c r="M89" s="50" t="s">
        <v>974</v>
      </c>
      <c r="N89" s="50" t="s">
        <v>1742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1959</v>
      </c>
      <c r="E90" s="20" t="s">
        <v>1990</v>
      </c>
      <c r="F90" s="20" t="s">
        <v>1991</v>
      </c>
      <c r="G90" s="20"/>
      <c r="H90" s="20" t="s">
        <v>1987</v>
      </c>
      <c r="I90" s="21" t="s">
        <v>1992</v>
      </c>
      <c r="J90" s="15">
        <v>18</v>
      </c>
      <c r="K90" s="10" t="s">
        <v>707</v>
      </c>
      <c r="L90" s="10" t="s">
        <v>1749</v>
      </c>
      <c r="M90" s="19" t="s">
        <v>975</v>
      </c>
      <c r="N90" s="17"/>
      <c r="Q90" s="20" t="s">
        <v>1993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0</v>
      </c>
      <c r="AE90" s="1">
        <f t="shared" si="46"/>
        <v>0</v>
      </c>
      <c r="AF90" s="1">
        <f t="shared" si="19"/>
        <v>0</v>
      </c>
      <c r="AG90" s="1">
        <f t="shared" si="20"/>
        <v>0</v>
      </c>
      <c r="AH90" s="1">
        <f t="shared" si="21"/>
        <v>0</v>
      </c>
      <c r="AI90" s="1">
        <f t="shared" si="22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1532</v>
      </c>
      <c r="E91" s="35" t="s">
        <v>177</v>
      </c>
      <c r="F91" s="39" t="s">
        <v>1533</v>
      </c>
      <c r="G91" s="39" t="s">
        <v>39</v>
      </c>
      <c r="H91" s="39" t="s">
        <v>910</v>
      </c>
      <c r="I91" s="40" t="s">
        <v>1534</v>
      </c>
      <c r="J91" s="34">
        <v>11</v>
      </c>
      <c r="K91" s="36" t="s">
        <v>968</v>
      </c>
      <c r="L91" s="36" t="s">
        <v>39</v>
      </c>
      <c r="M91" s="37" t="s">
        <v>39</v>
      </c>
      <c r="N91" s="37" t="s">
        <v>1740</v>
      </c>
      <c r="O91" s="38">
        <v>1</v>
      </c>
      <c r="P91" s="38">
        <v>1</v>
      </c>
      <c r="Q91" s="39"/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1861</v>
      </c>
      <c r="E92" s="39" t="s">
        <v>173</v>
      </c>
      <c r="F92" s="39" t="s">
        <v>1862</v>
      </c>
      <c r="G92" s="39"/>
      <c r="H92" s="39" t="s">
        <v>1863</v>
      </c>
      <c r="I92" s="40" t="s">
        <v>1864</v>
      </c>
      <c r="J92" s="34">
        <v>15</v>
      </c>
      <c r="K92" s="36" t="s">
        <v>707</v>
      </c>
      <c r="L92" s="36"/>
      <c r="M92" s="37"/>
      <c r="N92" s="37" t="s">
        <v>1740</v>
      </c>
      <c r="O92" s="38">
        <v>1</v>
      </c>
      <c r="P92" s="38">
        <v>1</v>
      </c>
      <c r="Q92" s="39" t="s">
        <v>1899</v>
      </c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1</v>
      </c>
      <c r="AE92" s="1">
        <f t="shared" si="58"/>
        <v>0</v>
      </c>
      <c r="AF92" s="1">
        <f t="shared" si="19"/>
        <v>1</v>
      </c>
      <c r="AG92" s="1">
        <f t="shared" si="20"/>
        <v>0</v>
      </c>
      <c r="AH92" s="1">
        <f t="shared" si="21"/>
        <v>1</v>
      </c>
      <c r="AI92" s="1">
        <f t="shared" si="22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740</v>
      </c>
      <c r="E93" s="16" t="s">
        <v>1338</v>
      </c>
      <c r="F93" s="16" t="s">
        <v>1665</v>
      </c>
      <c r="G93" s="16" t="s">
        <v>39</v>
      </c>
      <c r="H93" s="16" t="s">
        <v>741</v>
      </c>
      <c r="I93" s="15" t="s">
        <v>742</v>
      </c>
      <c r="J93" s="15">
        <v>18</v>
      </c>
      <c r="K93" s="10" t="s">
        <v>706</v>
      </c>
      <c r="L93" s="10" t="s">
        <v>691</v>
      </c>
      <c r="M93" s="19" t="s">
        <v>974</v>
      </c>
      <c r="N93" s="17"/>
      <c r="Q93" s="16"/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1553</v>
      </c>
      <c r="E94" s="16" t="s">
        <v>173</v>
      </c>
      <c r="F94" s="16" t="s">
        <v>1554</v>
      </c>
      <c r="G94" s="16" t="s">
        <v>39</v>
      </c>
      <c r="H94" s="16" t="s">
        <v>365</v>
      </c>
      <c r="I94" s="15" t="s">
        <v>1555</v>
      </c>
      <c r="J94" s="15">
        <v>17</v>
      </c>
      <c r="K94" s="10" t="s">
        <v>726</v>
      </c>
      <c r="L94" s="10" t="s">
        <v>691</v>
      </c>
      <c r="M94" s="19" t="s">
        <v>39</v>
      </c>
      <c r="N94" s="17"/>
      <c r="Q94" s="20" t="s">
        <v>1923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7">
        <v>0</v>
      </c>
      <c r="B95" s="47">
        <v>1</v>
      </c>
      <c r="C95" s="47">
        <v>3</v>
      </c>
      <c r="D95" s="48" t="s">
        <v>119</v>
      </c>
      <c r="E95" s="48" t="s">
        <v>173</v>
      </c>
      <c r="F95" s="48" t="s">
        <v>321</v>
      </c>
      <c r="G95" s="48" t="s">
        <v>39</v>
      </c>
      <c r="H95" s="48" t="s">
        <v>371</v>
      </c>
      <c r="I95" s="47" t="s">
        <v>468</v>
      </c>
      <c r="J95" s="47">
        <v>14</v>
      </c>
      <c r="K95" s="49" t="s">
        <v>960</v>
      </c>
      <c r="L95" s="49" t="s">
        <v>698</v>
      </c>
      <c r="M95" s="50" t="s">
        <v>695</v>
      </c>
      <c r="N95" s="50" t="s">
        <v>1746</v>
      </c>
      <c r="O95" s="51"/>
      <c r="P95" s="51"/>
      <c r="Q95" s="68" t="s">
        <v>1896</v>
      </c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0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0</v>
      </c>
      <c r="AI95" s="1">
        <f t="shared" si="22"/>
        <v>1</v>
      </c>
    </row>
    <row r="96" spans="1:35" ht="14.25" customHeight="1" x14ac:dyDescent="0.25">
      <c r="A96" s="41">
        <v>0</v>
      </c>
      <c r="B96" s="41">
        <v>1</v>
      </c>
      <c r="C96" s="41">
        <v>3</v>
      </c>
      <c r="D96" s="42" t="s">
        <v>115</v>
      </c>
      <c r="E96" s="42" t="s">
        <v>171</v>
      </c>
      <c r="F96" s="42" t="s">
        <v>327</v>
      </c>
      <c r="G96" s="42" t="s">
        <v>231</v>
      </c>
      <c r="H96" s="42" t="s">
        <v>355</v>
      </c>
      <c r="I96" s="41" t="s">
        <v>475</v>
      </c>
      <c r="J96" s="41">
        <v>7</v>
      </c>
      <c r="K96" s="43" t="s">
        <v>706</v>
      </c>
      <c r="L96" s="43" t="s">
        <v>39</v>
      </c>
      <c r="M96" s="44" t="s">
        <v>39</v>
      </c>
      <c r="N96" s="45"/>
      <c r="O96" s="46"/>
      <c r="P96" s="46">
        <v>1</v>
      </c>
      <c r="Q96" s="42"/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1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0</v>
      </c>
      <c r="AE96" s="1">
        <f t="shared" ref="AE96:AE98" si="70">O96*(1-P96)</f>
        <v>0</v>
      </c>
      <c r="AF96" s="1">
        <f t="shared" ref="AF96:AF98" si="71">+O96*P96*(1-A96)</f>
        <v>0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1939</v>
      </c>
      <c r="E97" s="35" t="s">
        <v>1940</v>
      </c>
      <c r="F97" s="39" t="s">
        <v>1941</v>
      </c>
      <c r="G97" s="39"/>
      <c r="H97" s="39" t="s">
        <v>367</v>
      </c>
      <c r="I97" s="40" t="s">
        <v>1943</v>
      </c>
      <c r="J97" s="34">
        <v>18</v>
      </c>
      <c r="K97" s="36" t="s">
        <v>707</v>
      </c>
      <c r="L97" s="36"/>
      <c r="M97" s="37"/>
      <c r="N97" s="37" t="s">
        <v>1740</v>
      </c>
      <c r="O97" s="38">
        <v>1</v>
      </c>
      <c r="P97" s="38">
        <v>1</v>
      </c>
      <c r="Q97" s="39" t="s">
        <v>1942</v>
      </c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1</v>
      </c>
      <c r="AE97" s="1">
        <f t="shared" si="70"/>
        <v>0</v>
      </c>
      <c r="AF97" s="1">
        <f t="shared" si="71"/>
        <v>1</v>
      </c>
      <c r="AG97" s="1">
        <f t="shared" si="72"/>
        <v>0</v>
      </c>
      <c r="AH97" s="1">
        <f t="shared" si="73"/>
        <v>1</v>
      </c>
      <c r="AI97" s="1">
        <f t="shared" si="74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1214</v>
      </c>
      <c r="E98" s="48" t="s">
        <v>176</v>
      </c>
      <c r="F98" s="48" t="s">
        <v>1346</v>
      </c>
      <c r="G98" s="48" t="s">
        <v>39</v>
      </c>
      <c r="H98" s="48" t="s">
        <v>613</v>
      </c>
      <c r="I98" s="47" t="s">
        <v>1215</v>
      </c>
      <c r="J98" s="47">
        <v>14</v>
      </c>
      <c r="K98" s="49" t="s">
        <v>960</v>
      </c>
      <c r="L98" s="49" t="s">
        <v>1706</v>
      </c>
      <c r="M98" s="50" t="s">
        <v>1398</v>
      </c>
      <c r="N98" s="50" t="s">
        <v>1809</v>
      </c>
      <c r="O98" s="51"/>
      <c r="P98" s="51"/>
      <c r="Q98" s="48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0</v>
      </c>
      <c r="AE98" s="1">
        <f t="shared" si="70"/>
        <v>0</v>
      </c>
      <c r="AF98" s="1">
        <f t="shared" si="71"/>
        <v>0</v>
      </c>
      <c r="AG98" s="1">
        <f t="shared" si="72"/>
        <v>0</v>
      </c>
      <c r="AH98" s="1">
        <f t="shared" si="73"/>
        <v>0</v>
      </c>
      <c r="AI98" s="1">
        <f t="shared" si="74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825</v>
      </c>
      <c r="E99" s="35" t="s">
        <v>177</v>
      </c>
      <c r="F99" s="39" t="s">
        <v>931</v>
      </c>
      <c r="G99" s="39" t="s">
        <v>39</v>
      </c>
      <c r="H99" s="39" t="s">
        <v>373</v>
      </c>
      <c r="I99" s="40" t="s">
        <v>826</v>
      </c>
      <c r="J99" s="34">
        <v>16</v>
      </c>
      <c r="K99" s="36" t="s">
        <v>961</v>
      </c>
      <c r="L99" s="36" t="s">
        <v>691</v>
      </c>
      <c r="M99" s="37" t="s">
        <v>974</v>
      </c>
      <c r="N99" s="37" t="s">
        <v>1734</v>
      </c>
      <c r="O99" s="38">
        <v>1</v>
      </c>
      <c r="P99" s="38">
        <v>1</v>
      </c>
      <c r="Q99" s="39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1</v>
      </c>
      <c r="AE99" s="1">
        <f t="shared" si="46"/>
        <v>0</v>
      </c>
      <c r="AF99" s="1">
        <f t="shared" si="19"/>
        <v>1</v>
      </c>
      <c r="AG99" s="1">
        <f t="shared" si="20"/>
        <v>0</v>
      </c>
      <c r="AH99" s="1">
        <f t="shared" si="21"/>
        <v>1</v>
      </c>
      <c r="AI99" s="1">
        <f t="shared" si="22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171</v>
      </c>
      <c r="F100" s="16" t="s">
        <v>304</v>
      </c>
      <c r="G100" s="16" t="s">
        <v>39</v>
      </c>
      <c r="H100" s="16" t="s">
        <v>358</v>
      </c>
      <c r="I100" s="15" t="s">
        <v>452</v>
      </c>
      <c r="J100" s="15">
        <v>18</v>
      </c>
      <c r="K100" s="10" t="s">
        <v>706</v>
      </c>
      <c r="L100" s="10" t="s">
        <v>691</v>
      </c>
      <c r="M100" s="19" t="s">
        <v>695</v>
      </c>
      <c r="N100" s="17"/>
      <c r="Q100" s="16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518</v>
      </c>
      <c r="E101" s="48" t="s">
        <v>171</v>
      </c>
      <c r="F101" s="48" t="s">
        <v>519</v>
      </c>
      <c r="G101" s="48" t="s">
        <v>506</v>
      </c>
      <c r="H101" s="48" t="s">
        <v>355</v>
      </c>
      <c r="I101" s="47" t="s">
        <v>520</v>
      </c>
      <c r="J101" s="47">
        <v>99</v>
      </c>
      <c r="K101" s="49" t="s">
        <v>960</v>
      </c>
      <c r="L101" s="49" t="s">
        <v>698</v>
      </c>
      <c r="M101" s="50" t="s">
        <v>695</v>
      </c>
      <c r="N101" s="50" t="s">
        <v>1754</v>
      </c>
      <c r="O101" s="51"/>
      <c r="P101" s="51"/>
      <c r="Q101" s="48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1652</v>
      </c>
      <c r="E102" s="16" t="s">
        <v>1091</v>
      </c>
      <c r="F102" s="16" t="s">
        <v>1226</v>
      </c>
      <c r="G102" s="16" t="s">
        <v>39</v>
      </c>
      <c r="H102" s="16" t="s">
        <v>1227</v>
      </c>
      <c r="I102" s="15" t="s">
        <v>1228</v>
      </c>
      <c r="J102" s="15">
        <v>18</v>
      </c>
      <c r="K102" s="10" t="s">
        <v>962</v>
      </c>
      <c r="L102" s="10" t="s">
        <v>691</v>
      </c>
      <c r="M102" s="19" t="s">
        <v>974</v>
      </c>
      <c r="N102" s="17"/>
      <c r="Q102" s="16" t="s">
        <v>1891</v>
      </c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1565</v>
      </c>
      <c r="E103" s="16" t="s">
        <v>171</v>
      </c>
      <c r="F103" s="16" t="s">
        <v>1684</v>
      </c>
      <c r="G103" s="16" t="s">
        <v>39</v>
      </c>
      <c r="H103" s="16" t="s">
        <v>358</v>
      </c>
      <c r="I103" s="15" t="s">
        <v>1566</v>
      </c>
      <c r="J103" s="15">
        <v>18</v>
      </c>
      <c r="K103" s="10" t="s">
        <v>726</v>
      </c>
      <c r="L103" s="10" t="s">
        <v>691</v>
      </c>
      <c r="M103" s="19" t="s">
        <v>695</v>
      </c>
      <c r="N103" s="17"/>
      <c r="Q103" s="16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0</v>
      </c>
      <c r="AF103" s="1">
        <f t="shared" si="19"/>
        <v>0</v>
      </c>
      <c r="AG103" s="1">
        <f t="shared" si="20"/>
        <v>0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1326</v>
      </c>
      <c r="E104" s="35" t="s">
        <v>176</v>
      </c>
      <c r="F104" s="35" t="s">
        <v>1347</v>
      </c>
      <c r="G104" s="35" t="s">
        <v>39</v>
      </c>
      <c r="H104" s="35" t="s">
        <v>355</v>
      </c>
      <c r="I104" s="34" t="s">
        <v>1140</v>
      </c>
      <c r="J104" s="34">
        <v>99</v>
      </c>
      <c r="K104" s="36" t="s">
        <v>706</v>
      </c>
      <c r="L104" s="36" t="s">
        <v>1706</v>
      </c>
      <c r="M104" s="37" t="s">
        <v>1399</v>
      </c>
      <c r="N104" s="37" t="s">
        <v>1756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1270</v>
      </c>
      <c r="E105" s="35" t="s">
        <v>171</v>
      </c>
      <c r="F105" s="35" t="s">
        <v>1348</v>
      </c>
      <c r="G105" s="35" t="s">
        <v>1201</v>
      </c>
      <c r="H105" s="35" t="s">
        <v>355</v>
      </c>
      <c r="I105" s="34" t="s">
        <v>1202</v>
      </c>
      <c r="J105" s="34">
        <v>99</v>
      </c>
      <c r="K105" s="36" t="s">
        <v>726</v>
      </c>
      <c r="L105" s="36">
        <v>50</v>
      </c>
      <c r="M105" s="37" t="s">
        <v>39</v>
      </c>
      <c r="N105" s="37" t="s">
        <v>1808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1023</v>
      </c>
      <c r="E106" s="35" t="s">
        <v>612</v>
      </c>
      <c r="F106" s="35" t="s">
        <v>1024</v>
      </c>
      <c r="G106" s="35" t="s">
        <v>1025</v>
      </c>
      <c r="H106" s="35" t="s">
        <v>355</v>
      </c>
      <c r="I106" s="34" t="s">
        <v>1026</v>
      </c>
      <c r="J106" s="34">
        <v>99</v>
      </c>
      <c r="K106" s="36" t="s">
        <v>960</v>
      </c>
      <c r="L106" s="36" t="s">
        <v>39</v>
      </c>
      <c r="M106" s="37" t="s">
        <v>39</v>
      </c>
      <c r="N106" s="37" t="s">
        <v>1740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176</v>
      </c>
      <c r="F107" s="35" t="s">
        <v>343</v>
      </c>
      <c r="G107" s="35" t="s">
        <v>39</v>
      </c>
      <c r="H107" s="35" t="s">
        <v>377</v>
      </c>
      <c r="I107" s="34" t="s">
        <v>490</v>
      </c>
      <c r="J107" s="34">
        <v>16</v>
      </c>
      <c r="K107" s="36" t="s">
        <v>706</v>
      </c>
      <c r="L107" s="36" t="s">
        <v>691</v>
      </c>
      <c r="M107" s="37" t="s">
        <v>1400</v>
      </c>
      <c r="N107" s="37" t="s">
        <v>1755</v>
      </c>
      <c r="O107" s="38">
        <v>1</v>
      </c>
      <c r="P107" s="38"/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1</v>
      </c>
      <c r="AF107" s="1">
        <f t="shared" si="19"/>
        <v>0</v>
      </c>
      <c r="AG107" s="1">
        <f t="shared" si="20"/>
        <v>1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821</v>
      </c>
      <c r="E108" s="35" t="s">
        <v>173</v>
      </c>
      <c r="F108" s="35" t="s">
        <v>822</v>
      </c>
      <c r="G108" s="35" t="s">
        <v>39</v>
      </c>
      <c r="H108" s="35" t="s">
        <v>823</v>
      </c>
      <c r="I108" s="34" t="s">
        <v>824</v>
      </c>
      <c r="J108" s="34">
        <v>16</v>
      </c>
      <c r="K108" s="36" t="s">
        <v>706</v>
      </c>
      <c r="L108" s="36" t="s">
        <v>691</v>
      </c>
      <c r="M108" s="37" t="s">
        <v>1400</v>
      </c>
      <c r="N108" s="37" t="s">
        <v>1734</v>
      </c>
      <c r="O108" s="38">
        <v>1</v>
      </c>
      <c r="P108" s="38">
        <v>1</v>
      </c>
      <c r="Q108" s="35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1</v>
      </c>
      <c r="AE108" s="1">
        <f t="shared" si="46"/>
        <v>0</v>
      </c>
      <c r="AF108" s="1">
        <f t="shared" si="19"/>
        <v>1</v>
      </c>
      <c r="AG108" s="1">
        <f t="shared" si="20"/>
        <v>0</v>
      </c>
      <c r="AH108" s="1">
        <f t="shared" si="21"/>
        <v>1</v>
      </c>
      <c r="AI108" s="1">
        <f t="shared" si="22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171</v>
      </c>
      <c r="F109" s="16" t="s">
        <v>307</v>
      </c>
      <c r="G109" s="16" t="s">
        <v>39</v>
      </c>
      <c r="H109" s="16" t="s">
        <v>362</v>
      </c>
      <c r="I109" s="15" t="s">
        <v>456</v>
      </c>
      <c r="J109" s="15">
        <v>18</v>
      </c>
      <c r="K109" s="10" t="s">
        <v>707</v>
      </c>
      <c r="L109" s="10" t="s">
        <v>691</v>
      </c>
      <c r="M109" s="19" t="s">
        <v>695</v>
      </c>
      <c r="N109" s="17"/>
      <c r="Q109" s="20" t="s">
        <v>1890</v>
      </c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1512</v>
      </c>
      <c r="E110" s="48" t="s">
        <v>171</v>
      </c>
      <c r="F110" s="48" t="s">
        <v>1513</v>
      </c>
      <c r="G110" s="48" t="s">
        <v>39</v>
      </c>
      <c r="H110" s="48" t="s">
        <v>375</v>
      </c>
      <c r="I110" s="47" t="s">
        <v>1514</v>
      </c>
      <c r="J110" s="47">
        <v>11</v>
      </c>
      <c r="K110" s="49" t="s">
        <v>726</v>
      </c>
      <c r="L110" s="49">
        <v>50</v>
      </c>
      <c r="M110" s="50" t="s">
        <v>39</v>
      </c>
      <c r="N110" s="50" t="s">
        <v>1741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171</v>
      </c>
      <c r="F111" s="48" t="s">
        <v>306</v>
      </c>
      <c r="G111" s="48" t="s">
        <v>39</v>
      </c>
      <c r="H111" s="48" t="s">
        <v>361</v>
      </c>
      <c r="I111" s="47" t="s">
        <v>455</v>
      </c>
      <c r="J111" s="47">
        <v>18</v>
      </c>
      <c r="K111" s="49" t="s">
        <v>706</v>
      </c>
      <c r="L111" s="49">
        <v>55</v>
      </c>
      <c r="M111" s="50" t="s">
        <v>695</v>
      </c>
      <c r="N111" s="50" t="s">
        <v>1741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176</v>
      </c>
      <c r="F112" s="35" t="s">
        <v>330</v>
      </c>
      <c r="G112" s="35" t="s">
        <v>39</v>
      </c>
      <c r="H112" s="35" t="s">
        <v>376</v>
      </c>
      <c r="I112" s="34" t="s">
        <v>478</v>
      </c>
      <c r="J112" s="34">
        <v>12</v>
      </c>
      <c r="K112" s="36" t="s">
        <v>706</v>
      </c>
      <c r="L112" s="36">
        <v>35</v>
      </c>
      <c r="M112" s="37" t="s">
        <v>695</v>
      </c>
      <c r="N112" s="37" t="s">
        <v>1756</v>
      </c>
      <c r="O112" s="38">
        <v>1</v>
      </c>
      <c r="P112" s="38"/>
      <c r="Q112" s="35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1</v>
      </c>
      <c r="AF112" s="1">
        <f t="shared" si="19"/>
        <v>0</v>
      </c>
      <c r="AG112" s="1">
        <f t="shared" si="20"/>
        <v>1</v>
      </c>
      <c r="AH112" s="1">
        <f t="shared" si="21"/>
        <v>0</v>
      </c>
      <c r="AI112" s="1">
        <f t="shared" si="22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998</v>
      </c>
      <c r="E113" s="48" t="s">
        <v>171</v>
      </c>
      <c r="F113" s="48" t="s">
        <v>1097</v>
      </c>
      <c r="G113" s="48" t="s">
        <v>233</v>
      </c>
      <c r="H113" s="48" t="s">
        <v>355</v>
      </c>
      <c r="I113" s="47" t="s">
        <v>999</v>
      </c>
      <c r="J113" s="47">
        <v>99</v>
      </c>
      <c r="K113" s="49" t="s">
        <v>960</v>
      </c>
      <c r="L113" s="49">
        <v>40</v>
      </c>
      <c r="M113" s="50" t="s">
        <v>39</v>
      </c>
      <c r="N113" s="50" t="s">
        <v>1754</v>
      </c>
      <c r="O113" s="51"/>
      <c r="P113" s="51"/>
      <c r="Q113" s="48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171</v>
      </c>
      <c r="F114" s="42" t="s">
        <v>331</v>
      </c>
      <c r="G114" s="42" t="s">
        <v>39</v>
      </c>
      <c r="H114" s="42" t="s">
        <v>372</v>
      </c>
      <c r="I114" s="41" t="s">
        <v>479</v>
      </c>
      <c r="J114" s="41">
        <v>11</v>
      </c>
      <c r="K114" s="43" t="s">
        <v>706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1</v>
      </c>
      <c r="AI114" s="1">
        <f t="shared" si="2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1327</v>
      </c>
      <c r="E115" s="16" t="s">
        <v>173</v>
      </c>
      <c r="F115" s="16" t="s">
        <v>1350</v>
      </c>
      <c r="G115" s="16" t="s">
        <v>39</v>
      </c>
      <c r="H115" s="16" t="s">
        <v>992</v>
      </c>
      <c r="I115" s="15" t="s">
        <v>993</v>
      </c>
      <c r="J115" s="15">
        <v>14</v>
      </c>
      <c r="K115" s="10" t="s">
        <v>707</v>
      </c>
      <c r="L115" s="10">
        <v>30</v>
      </c>
      <c r="M115" s="19" t="s">
        <v>975</v>
      </c>
      <c r="N115" s="17"/>
      <c r="Q115" s="16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703</v>
      </c>
      <c r="E116" s="48" t="s">
        <v>176</v>
      </c>
      <c r="F116" s="48" t="s">
        <v>704</v>
      </c>
      <c r="G116" s="48" t="s">
        <v>39</v>
      </c>
      <c r="H116" s="48" t="s">
        <v>705</v>
      </c>
      <c r="I116" s="47" t="s">
        <v>1119</v>
      </c>
      <c r="J116" s="47">
        <v>13</v>
      </c>
      <c r="K116" s="49" t="s">
        <v>706</v>
      </c>
      <c r="L116" s="49" t="s">
        <v>1706</v>
      </c>
      <c r="M116" s="50" t="s">
        <v>974</v>
      </c>
      <c r="N116" s="50" t="s">
        <v>1809</v>
      </c>
      <c r="O116" s="51"/>
      <c r="P116" s="51"/>
      <c r="Q116" s="48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1527</v>
      </c>
      <c r="E117" s="35" t="s">
        <v>171</v>
      </c>
      <c r="F117" s="35" t="s">
        <v>1674</v>
      </c>
      <c r="G117" s="35" t="s">
        <v>39</v>
      </c>
      <c r="H117" s="35" t="s">
        <v>1528</v>
      </c>
      <c r="I117" s="34" t="s">
        <v>1529</v>
      </c>
      <c r="J117" s="34">
        <v>11</v>
      </c>
      <c r="K117" s="36" t="s">
        <v>726</v>
      </c>
      <c r="L117" s="36">
        <v>40</v>
      </c>
      <c r="M117" s="37" t="s">
        <v>39</v>
      </c>
      <c r="N117" s="37" t="s">
        <v>1734</v>
      </c>
      <c r="O117" s="38">
        <v>1</v>
      </c>
      <c r="P117" s="38">
        <v>1</v>
      </c>
      <c r="Q117" s="35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1</v>
      </c>
      <c r="AE117" s="1">
        <f t="shared" si="46"/>
        <v>0</v>
      </c>
      <c r="AF117" s="1">
        <f t="shared" si="19"/>
        <v>1</v>
      </c>
      <c r="AG117" s="1">
        <f t="shared" si="20"/>
        <v>0</v>
      </c>
      <c r="AH117" s="1">
        <f t="shared" si="21"/>
        <v>1</v>
      </c>
      <c r="AI117" s="1">
        <f t="shared" si="2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173</v>
      </c>
      <c r="F118" s="16" t="s">
        <v>349</v>
      </c>
      <c r="G118" s="16" t="s">
        <v>39</v>
      </c>
      <c r="H118" s="16" t="s">
        <v>368</v>
      </c>
      <c r="I118" s="15" t="s">
        <v>494</v>
      </c>
      <c r="J118" s="15">
        <v>18</v>
      </c>
      <c r="K118" s="10" t="s">
        <v>960</v>
      </c>
      <c r="L118" s="10" t="s">
        <v>701</v>
      </c>
      <c r="M118" s="19" t="s">
        <v>974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1985</v>
      </c>
      <c r="E119" s="20" t="s">
        <v>173</v>
      </c>
      <c r="F119" s="20" t="s">
        <v>1982</v>
      </c>
      <c r="G119" s="20"/>
      <c r="H119" s="20" t="s">
        <v>1983</v>
      </c>
      <c r="I119" s="21" t="s">
        <v>1981</v>
      </c>
      <c r="J119" s="15">
        <v>17</v>
      </c>
      <c r="K119" s="10" t="s">
        <v>707</v>
      </c>
      <c r="L119" s="10" t="s">
        <v>1749</v>
      </c>
      <c r="M119" s="19" t="s">
        <v>975</v>
      </c>
      <c r="N119" s="17"/>
      <c r="Q119" s="20" t="s">
        <v>1984</v>
      </c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1004</v>
      </c>
      <c r="E120" s="48" t="s">
        <v>173</v>
      </c>
      <c r="F120" s="68" t="s">
        <v>1874</v>
      </c>
      <c r="G120" s="48" t="s">
        <v>39</v>
      </c>
      <c r="H120" s="48" t="s">
        <v>1005</v>
      </c>
      <c r="I120" s="47" t="s">
        <v>1120</v>
      </c>
      <c r="J120" s="47">
        <v>16</v>
      </c>
      <c r="K120" s="49" t="s">
        <v>726</v>
      </c>
      <c r="L120" s="49" t="s">
        <v>1749</v>
      </c>
      <c r="M120" s="50" t="s">
        <v>1401</v>
      </c>
      <c r="N120" s="50" t="s">
        <v>1809</v>
      </c>
      <c r="O120" s="51"/>
      <c r="P120" s="51"/>
      <c r="Q120" s="68" t="s">
        <v>1897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0</v>
      </c>
      <c r="AF120" s="1">
        <f t="shared" si="19"/>
        <v>0</v>
      </c>
      <c r="AG120" s="1">
        <f t="shared" si="20"/>
        <v>0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1131</v>
      </c>
      <c r="E121" s="16" t="s">
        <v>173</v>
      </c>
      <c r="F121" s="16" t="s">
        <v>1351</v>
      </c>
      <c r="G121" s="16" t="s">
        <v>39</v>
      </c>
      <c r="H121" s="16" t="s">
        <v>1133</v>
      </c>
      <c r="I121" s="15" t="s">
        <v>1132</v>
      </c>
      <c r="J121" s="15">
        <v>14</v>
      </c>
      <c r="K121" s="10" t="s">
        <v>962</v>
      </c>
      <c r="L121" s="10" t="s">
        <v>1706</v>
      </c>
      <c r="M121" s="19" t="s">
        <v>1402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1082</v>
      </c>
      <c r="E122" s="35" t="s">
        <v>173</v>
      </c>
      <c r="F122" s="35" t="s">
        <v>1044</v>
      </c>
      <c r="G122" s="35" t="s">
        <v>1108</v>
      </c>
      <c r="H122" s="35" t="s">
        <v>355</v>
      </c>
      <c r="I122" s="34" t="s">
        <v>1045</v>
      </c>
      <c r="J122" s="34">
        <v>1</v>
      </c>
      <c r="K122" s="36" t="s">
        <v>962</v>
      </c>
      <c r="L122" s="36" t="s">
        <v>690</v>
      </c>
      <c r="M122" s="37" t="s">
        <v>975</v>
      </c>
      <c r="N122" s="37" t="s">
        <v>1762</v>
      </c>
      <c r="O122" s="38">
        <v>1</v>
      </c>
      <c r="P122" s="38"/>
      <c r="Q122" s="35"/>
      <c r="S122" s="1">
        <f t="shared" si="35"/>
        <v>1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1</v>
      </c>
      <c r="AF122" s="1">
        <f t="shared" si="19"/>
        <v>0</v>
      </c>
      <c r="AG122" s="1">
        <f t="shared" si="20"/>
        <v>1</v>
      </c>
      <c r="AH122" s="1">
        <f t="shared" si="21"/>
        <v>0</v>
      </c>
      <c r="AI122" s="1">
        <f t="shared" si="22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1636</v>
      </c>
      <c r="E123" s="35" t="s">
        <v>1091</v>
      </c>
      <c r="F123" s="35" t="s">
        <v>1637</v>
      </c>
      <c r="G123" s="35" t="s">
        <v>39</v>
      </c>
      <c r="H123" s="35" t="s">
        <v>1638</v>
      </c>
      <c r="I123" s="34" t="s">
        <v>1639</v>
      </c>
      <c r="J123" s="34">
        <v>15</v>
      </c>
      <c r="K123" s="36" t="s">
        <v>962</v>
      </c>
      <c r="L123" s="36" t="s">
        <v>39</v>
      </c>
      <c r="M123" s="37" t="s">
        <v>39</v>
      </c>
      <c r="N123" s="37" t="s">
        <v>1755</v>
      </c>
      <c r="O123" s="38">
        <v>1</v>
      </c>
      <c r="P123" s="38"/>
      <c r="Q123" s="39" t="s">
        <v>1902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1</v>
      </c>
      <c r="AF123" s="1">
        <f t="shared" si="19"/>
        <v>0</v>
      </c>
      <c r="AG123" s="1">
        <f t="shared" si="20"/>
        <v>1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615</v>
      </c>
      <c r="E124" s="16" t="s">
        <v>171</v>
      </c>
      <c r="F124" s="16" t="s">
        <v>616</v>
      </c>
      <c r="G124" s="16" t="s">
        <v>39</v>
      </c>
      <c r="H124" s="16" t="s">
        <v>367</v>
      </c>
      <c r="I124" s="15" t="s">
        <v>617</v>
      </c>
      <c r="J124" s="15">
        <v>18</v>
      </c>
      <c r="K124" s="10" t="s">
        <v>726</v>
      </c>
      <c r="L124" s="10" t="s">
        <v>1749</v>
      </c>
      <c r="M124" s="19" t="s">
        <v>39</v>
      </c>
      <c r="N124" s="17"/>
      <c r="Q124" s="16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1957</v>
      </c>
      <c r="E125" s="20" t="s">
        <v>173</v>
      </c>
      <c r="F125" s="20" t="s">
        <v>1978</v>
      </c>
      <c r="G125" s="20"/>
      <c r="H125" s="20" t="s">
        <v>1977</v>
      </c>
      <c r="I125" s="21" t="s">
        <v>1979</v>
      </c>
      <c r="J125" s="15">
        <v>15</v>
      </c>
      <c r="K125" s="10" t="s">
        <v>707</v>
      </c>
      <c r="L125" s="10" t="s">
        <v>1749</v>
      </c>
      <c r="M125" s="19" t="s">
        <v>975</v>
      </c>
      <c r="N125" s="17"/>
      <c r="Q125" s="20" t="s">
        <v>1980</v>
      </c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924</v>
      </c>
      <c r="E126" s="35" t="s">
        <v>173</v>
      </c>
      <c r="F126" s="35" t="s">
        <v>1163</v>
      </c>
      <c r="G126" s="35" t="s">
        <v>39</v>
      </c>
      <c r="H126" s="35" t="s">
        <v>364</v>
      </c>
      <c r="I126" s="34" t="s">
        <v>895</v>
      </c>
      <c r="J126" s="34">
        <v>14</v>
      </c>
      <c r="K126" s="36" t="s">
        <v>961</v>
      </c>
      <c r="L126" s="36" t="s">
        <v>39</v>
      </c>
      <c r="M126" s="37" t="s">
        <v>39</v>
      </c>
      <c r="N126" s="37" t="s">
        <v>1740</v>
      </c>
      <c r="O126" s="38">
        <v>1</v>
      </c>
      <c r="P126" s="38">
        <v>1</v>
      </c>
      <c r="Q126" s="39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1</v>
      </c>
      <c r="AE126" s="1">
        <f t="shared" si="46"/>
        <v>0</v>
      </c>
      <c r="AF126" s="1">
        <f t="shared" si="19"/>
        <v>1</v>
      </c>
      <c r="AG126" s="1">
        <f t="shared" si="20"/>
        <v>0</v>
      </c>
      <c r="AH126" s="1">
        <f t="shared" si="21"/>
        <v>1</v>
      </c>
      <c r="AI126" s="1">
        <f t="shared" si="22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173</v>
      </c>
      <c r="F127" s="16" t="s">
        <v>935</v>
      </c>
      <c r="G127" s="16" t="s">
        <v>39</v>
      </c>
      <c r="H127" s="16" t="s">
        <v>359</v>
      </c>
      <c r="I127" s="15" t="s">
        <v>453</v>
      </c>
      <c r="J127" s="15">
        <v>18</v>
      </c>
      <c r="K127" s="10" t="s">
        <v>960</v>
      </c>
      <c r="L127" s="10" t="s">
        <v>701</v>
      </c>
      <c r="M127" s="19" t="s">
        <v>695</v>
      </c>
      <c r="N127" s="17"/>
      <c r="Q127" s="16" t="s">
        <v>1895</v>
      </c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1515</v>
      </c>
      <c r="E128" s="42" t="s">
        <v>1659</v>
      </c>
      <c r="F128" s="42" t="s">
        <v>1517</v>
      </c>
      <c r="G128" s="42" t="s">
        <v>39</v>
      </c>
      <c r="H128" s="42" t="s">
        <v>1518</v>
      </c>
      <c r="I128" s="41" t="s">
        <v>1516</v>
      </c>
      <c r="J128" s="41">
        <v>14</v>
      </c>
      <c r="K128" s="43" t="s">
        <v>966</v>
      </c>
      <c r="L128" s="43" t="s">
        <v>690</v>
      </c>
      <c r="M128" s="44" t="s">
        <v>1403</v>
      </c>
      <c r="N128" s="45"/>
      <c r="O128" s="46"/>
      <c r="P128" s="46">
        <v>1</v>
      </c>
      <c r="Q128" s="42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1</v>
      </c>
      <c r="AI128" s="1">
        <f t="shared" si="22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1263</v>
      </c>
      <c r="E129" s="48" t="s">
        <v>173</v>
      </c>
      <c r="F129" s="48" t="s">
        <v>1264</v>
      </c>
      <c r="G129" s="48" t="s">
        <v>1266</v>
      </c>
      <c r="H129" s="48" t="s">
        <v>355</v>
      </c>
      <c r="I129" s="47" t="s">
        <v>1265</v>
      </c>
      <c r="J129" s="47">
        <v>99</v>
      </c>
      <c r="K129" s="49" t="s">
        <v>962</v>
      </c>
      <c r="L129" s="49" t="s">
        <v>697</v>
      </c>
      <c r="M129" s="50" t="s">
        <v>975</v>
      </c>
      <c r="N129" s="50" t="s">
        <v>1809</v>
      </c>
      <c r="O129" s="51"/>
      <c r="P129" s="51"/>
      <c r="Q129" s="48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1509</v>
      </c>
      <c r="E130" s="16" t="s">
        <v>173</v>
      </c>
      <c r="F130" s="16" t="s">
        <v>1510</v>
      </c>
      <c r="G130" s="16" t="s">
        <v>39</v>
      </c>
      <c r="H130" s="16" t="s">
        <v>366</v>
      </c>
      <c r="I130" s="15" t="s">
        <v>1511</v>
      </c>
      <c r="J130" s="15">
        <v>18</v>
      </c>
      <c r="K130" s="10" t="s">
        <v>960</v>
      </c>
      <c r="L130" s="10" t="s">
        <v>1749</v>
      </c>
      <c r="M130" s="19" t="s">
        <v>39</v>
      </c>
      <c r="N130" s="17"/>
      <c r="Q130" s="16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0</v>
      </c>
      <c r="AF130" s="1">
        <f t="shared" si="19"/>
        <v>0</v>
      </c>
      <c r="AG130" s="1">
        <f t="shared" si="20"/>
        <v>0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1630</v>
      </c>
      <c r="E131" s="16" t="s">
        <v>173</v>
      </c>
      <c r="F131" s="16" t="s">
        <v>1633</v>
      </c>
      <c r="G131" s="16" t="s">
        <v>39</v>
      </c>
      <c r="H131" s="16" t="s">
        <v>1631</v>
      </c>
      <c r="I131" s="15" t="s">
        <v>1632</v>
      </c>
      <c r="J131" s="15">
        <v>15</v>
      </c>
      <c r="K131" s="10" t="s">
        <v>726</v>
      </c>
      <c r="L131" s="10" t="s">
        <v>39</v>
      </c>
      <c r="M131" s="19" t="s">
        <v>39</v>
      </c>
      <c r="N131" s="17"/>
      <c r="Q131" s="16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1251</v>
      </c>
      <c r="E132" s="16" t="s">
        <v>1253</v>
      </c>
      <c r="F132" s="16" t="s">
        <v>1254</v>
      </c>
      <c r="G132" s="16" t="s">
        <v>39</v>
      </c>
      <c r="H132" s="16" t="s">
        <v>370</v>
      </c>
      <c r="I132" s="15" t="s">
        <v>1252</v>
      </c>
      <c r="J132" s="15">
        <v>14</v>
      </c>
      <c r="K132" s="10" t="s">
        <v>962</v>
      </c>
      <c r="L132" s="10" t="s">
        <v>690</v>
      </c>
      <c r="M132" s="19" t="s">
        <v>1403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177</v>
      </c>
      <c r="F133" s="35" t="s">
        <v>332</v>
      </c>
      <c r="G133" s="35" t="s">
        <v>183</v>
      </c>
      <c r="H133" s="35" t="s">
        <v>355</v>
      </c>
      <c r="I133" s="34" t="s">
        <v>480</v>
      </c>
      <c r="J133" s="34">
        <v>99</v>
      </c>
      <c r="K133" s="36" t="s">
        <v>961</v>
      </c>
      <c r="L133" s="36" t="s">
        <v>39</v>
      </c>
      <c r="M133" s="37" t="s">
        <v>39</v>
      </c>
      <c r="N133" s="37" t="s">
        <v>1740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925</v>
      </c>
      <c r="E134" s="35" t="s">
        <v>173</v>
      </c>
      <c r="F134" s="35" t="s">
        <v>937</v>
      </c>
      <c r="G134" s="35" t="s">
        <v>236</v>
      </c>
      <c r="H134" s="35" t="s">
        <v>355</v>
      </c>
      <c r="I134" s="34" t="s">
        <v>951</v>
      </c>
      <c r="J134" s="34">
        <v>99</v>
      </c>
      <c r="K134" s="36" t="s">
        <v>726</v>
      </c>
      <c r="L134" s="36">
        <v>45</v>
      </c>
      <c r="M134" s="37" t="s">
        <v>39</v>
      </c>
      <c r="N134" s="37" t="s">
        <v>1808</v>
      </c>
      <c r="O134" s="38">
        <v>1</v>
      </c>
      <c r="P134" s="38"/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0</v>
      </c>
      <c r="AE134" s="1">
        <f t="shared" si="46"/>
        <v>1</v>
      </c>
      <c r="AF134" s="1">
        <f t="shared" si="19"/>
        <v>0</v>
      </c>
      <c r="AG134" s="1">
        <f t="shared" si="20"/>
        <v>1</v>
      </c>
      <c r="AH134" s="1">
        <f t="shared" si="21"/>
        <v>0</v>
      </c>
      <c r="AI134" s="1">
        <f t="shared" si="22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612</v>
      </c>
      <c r="F135" s="48" t="s">
        <v>309</v>
      </c>
      <c r="G135" s="48" t="s">
        <v>39</v>
      </c>
      <c r="H135" s="48" t="s">
        <v>363</v>
      </c>
      <c r="I135" s="47" t="s">
        <v>458</v>
      </c>
      <c r="J135" s="47">
        <v>12</v>
      </c>
      <c r="K135" s="49" t="s">
        <v>707</v>
      </c>
      <c r="L135" s="49">
        <v>40</v>
      </c>
      <c r="M135" s="50" t="s">
        <v>975</v>
      </c>
      <c r="N135" s="50" t="s">
        <v>1809</v>
      </c>
      <c r="O135" s="51"/>
      <c r="P135" s="51"/>
      <c r="Q135" s="48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0</v>
      </c>
      <c r="AI135" s="1">
        <f t="shared" si="22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1589</v>
      </c>
      <c r="E136" s="16" t="s">
        <v>171</v>
      </c>
      <c r="F136" s="16" t="s">
        <v>1591</v>
      </c>
      <c r="G136" s="16"/>
      <c r="H136" s="16" t="s">
        <v>366</v>
      </c>
      <c r="I136" s="15" t="s">
        <v>1590</v>
      </c>
      <c r="J136" s="15">
        <v>18</v>
      </c>
      <c r="K136" s="10" t="s">
        <v>707</v>
      </c>
      <c r="L136" s="10" t="s">
        <v>691</v>
      </c>
      <c r="M136" s="19" t="s">
        <v>975</v>
      </c>
      <c r="N136" s="17"/>
      <c r="Q136" s="16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0</v>
      </c>
      <c r="AI136" s="1">
        <f t="shared" si="22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1294</v>
      </c>
      <c r="E137" s="35" t="s">
        <v>173</v>
      </c>
      <c r="F137" s="35" t="s">
        <v>1295</v>
      </c>
      <c r="G137" s="35" t="s">
        <v>239</v>
      </c>
      <c r="H137" s="35" t="s">
        <v>355</v>
      </c>
      <c r="I137" s="34" t="s">
        <v>1296</v>
      </c>
      <c r="J137" s="34">
        <v>4</v>
      </c>
      <c r="K137" s="36" t="s">
        <v>961</v>
      </c>
      <c r="L137" s="36" t="s">
        <v>39</v>
      </c>
      <c r="M137" s="37" t="s">
        <v>39</v>
      </c>
      <c r="N137" s="37" t="s">
        <v>1734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1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1" si="75">+O137*P137*(1-A137)</f>
        <v>1</v>
      </c>
      <c r="AG137" s="1">
        <f t="shared" ref="AG137:AG201" si="76">O137*(1-P137)*(1-A137)</f>
        <v>0</v>
      </c>
      <c r="AH137" s="1">
        <f t="shared" ref="AH137:AH201" si="77">+P137*(1-A137)</f>
        <v>1</v>
      </c>
      <c r="AI137" s="1">
        <f t="shared" ref="AI137:AI201" si="78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650</v>
      </c>
      <c r="E138" s="35" t="s">
        <v>173</v>
      </c>
      <c r="F138" s="35" t="s">
        <v>660</v>
      </c>
      <c r="G138" s="35" t="s">
        <v>233</v>
      </c>
      <c r="H138" s="35" t="s">
        <v>355</v>
      </c>
      <c r="I138" s="34" t="s">
        <v>614</v>
      </c>
      <c r="J138" s="34">
        <v>99</v>
      </c>
      <c r="K138" s="36" t="s">
        <v>706</v>
      </c>
      <c r="L138" s="36" t="s">
        <v>39</v>
      </c>
      <c r="M138" s="37" t="s">
        <v>39</v>
      </c>
      <c r="N138" s="37" t="s">
        <v>1740</v>
      </c>
      <c r="O138" s="38">
        <v>1</v>
      </c>
      <c r="P138" s="38">
        <v>1</v>
      </c>
      <c r="Q138" s="35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1</v>
      </c>
      <c r="AE138" s="1">
        <f t="shared" si="46"/>
        <v>0</v>
      </c>
      <c r="AF138" s="1">
        <f t="shared" si="75"/>
        <v>1</v>
      </c>
      <c r="AG138" s="1">
        <f t="shared" si="76"/>
        <v>0</v>
      </c>
      <c r="AH138" s="1">
        <f t="shared" si="77"/>
        <v>1</v>
      </c>
      <c r="AI138" s="1">
        <f t="shared" si="78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877</v>
      </c>
      <c r="E139" s="42" t="s">
        <v>878</v>
      </c>
      <c r="F139" s="42" t="s">
        <v>879</v>
      </c>
      <c r="G139" s="42" t="s">
        <v>39</v>
      </c>
      <c r="H139" s="42" t="s">
        <v>367</v>
      </c>
      <c r="I139" s="41" t="s">
        <v>880</v>
      </c>
      <c r="J139" s="41">
        <v>18</v>
      </c>
      <c r="K139" s="43" t="s">
        <v>960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1</v>
      </c>
      <c r="AI139" s="1">
        <f t="shared" si="78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1314</v>
      </c>
      <c r="E140" s="35" t="s">
        <v>173</v>
      </c>
      <c r="F140" s="35" t="s">
        <v>1315</v>
      </c>
      <c r="G140" s="35" t="s">
        <v>209</v>
      </c>
      <c r="H140" s="35" t="s">
        <v>355</v>
      </c>
      <c r="I140" s="34" t="s">
        <v>1316</v>
      </c>
      <c r="J140" s="34">
        <v>3</v>
      </c>
      <c r="K140" s="36" t="s">
        <v>960</v>
      </c>
      <c r="L140" s="36" t="s">
        <v>39</v>
      </c>
      <c r="M140" s="37" t="s">
        <v>39</v>
      </c>
      <c r="N140" s="37" t="s">
        <v>1740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1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871</v>
      </c>
      <c r="E141" s="48" t="s">
        <v>171</v>
      </c>
      <c r="F141" s="48" t="s">
        <v>872</v>
      </c>
      <c r="G141" s="48" t="s">
        <v>39</v>
      </c>
      <c r="H141" s="48" t="s">
        <v>873</v>
      </c>
      <c r="I141" s="47" t="s">
        <v>952</v>
      </c>
      <c r="J141" s="47">
        <v>11</v>
      </c>
      <c r="K141" s="49" t="s">
        <v>706</v>
      </c>
      <c r="L141" s="49" t="s">
        <v>693</v>
      </c>
      <c r="M141" s="50" t="s">
        <v>975</v>
      </c>
      <c r="N141" s="50" t="s">
        <v>1748</v>
      </c>
      <c r="O141" s="51"/>
      <c r="P141" s="51"/>
      <c r="Q141" s="48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0</v>
      </c>
      <c r="AE141" s="1">
        <f t="shared" si="46"/>
        <v>0</v>
      </c>
      <c r="AF141" s="1">
        <f t="shared" si="75"/>
        <v>0</v>
      </c>
      <c r="AG141" s="1">
        <f t="shared" si="76"/>
        <v>0</v>
      </c>
      <c r="AH141" s="1">
        <f t="shared" si="77"/>
        <v>0</v>
      </c>
      <c r="AI141" s="1">
        <f t="shared" si="78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508</v>
      </c>
      <c r="E142" s="39" t="s">
        <v>171</v>
      </c>
      <c r="F142" s="39" t="s">
        <v>509</v>
      </c>
      <c r="G142" s="39" t="s">
        <v>506</v>
      </c>
      <c r="H142" s="39" t="s">
        <v>355</v>
      </c>
      <c r="I142" s="40" t="s">
        <v>510</v>
      </c>
      <c r="J142" s="34">
        <v>99</v>
      </c>
      <c r="K142" s="36" t="s">
        <v>707</v>
      </c>
      <c r="L142" s="36">
        <v>40</v>
      </c>
      <c r="M142" s="37" t="s">
        <v>975</v>
      </c>
      <c r="N142" s="37" t="s">
        <v>1953</v>
      </c>
      <c r="O142" s="38">
        <v>1</v>
      </c>
      <c r="P142" s="38"/>
      <c r="Q142" s="39"/>
      <c r="S142" s="1">
        <f t="shared" ref="S142:S206" si="79">IF(J142=$S$7,1,0)</f>
        <v>0</v>
      </c>
      <c r="T142" s="1">
        <f t="shared" ref="T142:T206" si="80">IF(J142=$T$7,1,0)</f>
        <v>0</v>
      </c>
      <c r="U142" s="1">
        <f t="shared" ref="U142:U206" si="81">IF(J142=$U$7,1,0)</f>
        <v>0</v>
      </c>
      <c r="V142" s="1">
        <f t="shared" ref="V142:V206" si="82">IF(J142=$V$7,1,0)</f>
        <v>0</v>
      </c>
      <c r="W142" s="1">
        <f t="shared" ref="W142:W206" si="83">IF(J142=$W$7,1,0)</f>
        <v>0</v>
      </c>
      <c r="X142" s="1">
        <f t="shared" ref="X142:X206" si="84">IF(J142=$X$7,1,0)</f>
        <v>0</v>
      </c>
      <c r="Y142" s="1">
        <f t="shared" ref="Y142:Y206" si="85">IF(J142=$Y$7,1,0)</f>
        <v>0</v>
      </c>
      <c r="Z142" s="1">
        <f t="shared" ref="Z142:Z206" si="86">IF(J142=$Z$7,1,0)</f>
        <v>0</v>
      </c>
      <c r="AA142" s="1">
        <f t="shared" ref="AA142:AA206" si="87">IF(J142=$AA$7,1,0)</f>
        <v>0</v>
      </c>
      <c r="AB142" s="1">
        <f t="shared" ref="AB142:AB206" si="88">IF(J142=$AB$7,1,0)</f>
        <v>0</v>
      </c>
      <c r="AD142" s="1">
        <f t="shared" ref="AD142:AD206" si="89">+O142*P142</f>
        <v>0</v>
      </c>
      <c r="AE142" s="1">
        <f t="shared" ref="AE142:AE206" si="90">O142*(1-P142)</f>
        <v>1</v>
      </c>
      <c r="AF142" s="1">
        <f t="shared" si="75"/>
        <v>0</v>
      </c>
      <c r="AG142" s="1">
        <f t="shared" si="76"/>
        <v>1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1799</v>
      </c>
      <c r="E143" s="39" t="s">
        <v>1800</v>
      </c>
      <c r="F143" s="39" t="s">
        <v>1801</v>
      </c>
      <c r="G143" s="39" t="s">
        <v>1802</v>
      </c>
      <c r="H143" s="39" t="s">
        <v>355</v>
      </c>
      <c r="I143" s="40" t="s">
        <v>1803</v>
      </c>
      <c r="J143" s="34">
        <v>99</v>
      </c>
      <c r="K143" s="36" t="s">
        <v>707</v>
      </c>
      <c r="L143" s="36"/>
      <c r="M143" s="37"/>
      <c r="N143" s="37" t="s">
        <v>1740</v>
      </c>
      <c r="O143" s="38">
        <v>1</v>
      </c>
      <c r="P143" s="38">
        <v>1</v>
      </c>
      <c r="Q143" s="39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0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531</v>
      </c>
      <c r="E144" s="35" t="s">
        <v>171</v>
      </c>
      <c r="F144" s="35" t="s">
        <v>661</v>
      </c>
      <c r="G144" s="35" t="s">
        <v>39</v>
      </c>
      <c r="H144" s="35" t="s">
        <v>532</v>
      </c>
      <c r="I144" s="34" t="s">
        <v>533</v>
      </c>
      <c r="J144" s="34">
        <v>18</v>
      </c>
      <c r="K144" s="36" t="s">
        <v>960</v>
      </c>
      <c r="L144" s="36" t="s">
        <v>1749</v>
      </c>
      <c r="M144" s="37" t="s">
        <v>974</v>
      </c>
      <c r="N144" s="37" t="s">
        <v>1740</v>
      </c>
      <c r="O144" s="38">
        <v>1</v>
      </c>
      <c r="P144" s="38">
        <v>1</v>
      </c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1</v>
      </c>
      <c r="AE144" s="1">
        <f t="shared" si="90"/>
        <v>0</v>
      </c>
      <c r="AF144" s="1">
        <f t="shared" si="75"/>
        <v>1</v>
      </c>
      <c r="AG144" s="1">
        <f t="shared" si="76"/>
        <v>0</v>
      </c>
      <c r="AH144" s="1">
        <f t="shared" si="77"/>
        <v>1</v>
      </c>
      <c r="AI144" s="1">
        <f t="shared" si="78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979</v>
      </c>
      <c r="E145" s="48" t="s">
        <v>176</v>
      </c>
      <c r="F145" s="48" t="s">
        <v>809</v>
      </c>
      <c r="G145" s="48" t="s">
        <v>39</v>
      </c>
      <c r="H145" s="48" t="s">
        <v>810</v>
      </c>
      <c r="I145" s="47" t="s">
        <v>811</v>
      </c>
      <c r="J145" s="47">
        <v>16</v>
      </c>
      <c r="K145" s="49" t="s">
        <v>961</v>
      </c>
      <c r="L145" s="49" t="s">
        <v>1147</v>
      </c>
      <c r="M145" s="50" t="s">
        <v>974</v>
      </c>
      <c r="N145" s="50" t="s">
        <v>1746</v>
      </c>
      <c r="O145" s="51"/>
      <c r="P145" s="51"/>
      <c r="Q145" s="48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0</v>
      </c>
      <c r="AF145" s="1">
        <f t="shared" si="75"/>
        <v>0</v>
      </c>
      <c r="AG145" s="1">
        <f t="shared" si="76"/>
        <v>0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1205</v>
      </c>
      <c r="E146" s="35" t="s">
        <v>173</v>
      </c>
      <c r="F146" s="35" t="s">
        <v>1206</v>
      </c>
      <c r="G146" s="35" t="s">
        <v>239</v>
      </c>
      <c r="H146" s="35" t="s">
        <v>355</v>
      </c>
      <c r="I146" s="34" t="s">
        <v>1207</v>
      </c>
      <c r="J146" s="34">
        <v>4</v>
      </c>
      <c r="K146" s="36" t="s">
        <v>967</v>
      </c>
      <c r="L146" s="36" t="s">
        <v>1706</v>
      </c>
      <c r="M146" s="37" t="s">
        <v>1611</v>
      </c>
      <c r="N146" s="37" t="s">
        <v>1734</v>
      </c>
      <c r="O146" s="38">
        <v>1</v>
      </c>
      <c r="P146" s="38">
        <v>1</v>
      </c>
      <c r="Q146" s="35"/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1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1648</v>
      </c>
      <c r="E147" s="35" t="s">
        <v>171</v>
      </c>
      <c r="F147" s="35" t="s">
        <v>1483</v>
      </c>
      <c r="G147" s="35" t="s">
        <v>1676</v>
      </c>
      <c r="H147" s="35" t="s">
        <v>355</v>
      </c>
      <c r="I147" s="34" t="s">
        <v>1482</v>
      </c>
      <c r="J147" s="34">
        <v>99</v>
      </c>
      <c r="K147" s="36" t="s">
        <v>706</v>
      </c>
      <c r="L147" s="36" t="s">
        <v>1711</v>
      </c>
      <c r="M147" s="37" t="s">
        <v>1484</v>
      </c>
      <c r="N147" s="37" t="s">
        <v>1756</v>
      </c>
      <c r="O147" s="38">
        <v>1</v>
      </c>
      <c r="P147" s="38"/>
      <c r="Q147" s="35"/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1</v>
      </c>
      <c r="AF147" s="1">
        <f t="shared" si="75"/>
        <v>0</v>
      </c>
      <c r="AG147" s="1">
        <f t="shared" si="76"/>
        <v>1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1955</v>
      </c>
      <c r="E148" s="20" t="s">
        <v>173</v>
      </c>
      <c r="F148" s="20" t="s">
        <v>1971</v>
      </c>
      <c r="G148" s="20"/>
      <c r="H148" s="20" t="s">
        <v>1970</v>
      </c>
      <c r="I148" s="21" t="s">
        <v>1969</v>
      </c>
      <c r="J148" s="15">
        <v>14</v>
      </c>
      <c r="K148" s="10" t="s">
        <v>707</v>
      </c>
      <c r="L148" s="10" t="s">
        <v>701</v>
      </c>
      <c r="M148" s="19" t="s">
        <v>975</v>
      </c>
      <c r="N148" s="17"/>
      <c r="Q148" s="20" t="s">
        <v>1972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173</v>
      </c>
      <c r="F149" s="35" t="s">
        <v>348</v>
      </c>
      <c r="G149" s="35" t="s">
        <v>39</v>
      </c>
      <c r="H149" s="35" t="s">
        <v>379</v>
      </c>
      <c r="I149" s="34" t="s">
        <v>1369</v>
      </c>
      <c r="J149" s="34">
        <v>14</v>
      </c>
      <c r="K149" s="36" t="s">
        <v>960</v>
      </c>
      <c r="L149" s="36" t="s">
        <v>693</v>
      </c>
      <c r="M149" s="37" t="s">
        <v>695</v>
      </c>
      <c r="N149" s="37" t="s">
        <v>1755</v>
      </c>
      <c r="O149" s="38">
        <v>1</v>
      </c>
      <c r="P149" s="38"/>
      <c r="Q149" s="35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1</v>
      </c>
      <c r="AF149" s="1">
        <f t="shared" si="75"/>
        <v>0</v>
      </c>
      <c r="AG149" s="1">
        <f t="shared" si="76"/>
        <v>1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1574</v>
      </c>
      <c r="E150" s="35" t="s">
        <v>173</v>
      </c>
      <c r="F150" s="35" t="s">
        <v>1575</v>
      </c>
      <c r="G150" s="35" t="s">
        <v>39</v>
      </c>
      <c r="H150" s="35" t="s">
        <v>1576</v>
      </c>
      <c r="I150" s="34" t="s">
        <v>1577</v>
      </c>
      <c r="J150" s="34">
        <v>17</v>
      </c>
      <c r="K150" s="36" t="s">
        <v>726</v>
      </c>
      <c r="L150" s="36" t="s">
        <v>39</v>
      </c>
      <c r="M150" s="37" t="s">
        <v>39</v>
      </c>
      <c r="N150" s="37" t="s">
        <v>1740</v>
      </c>
      <c r="O150" s="38">
        <v>1</v>
      </c>
      <c r="P150" s="38">
        <v>1</v>
      </c>
      <c r="Q150" s="35" t="s">
        <v>1920</v>
      </c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1</v>
      </c>
      <c r="AE150" s="1">
        <f t="shared" si="90"/>
        <v>0</v>
      </c>
      <c r="AF150" s="1">
        <f t="shared" si="75"/>
        <v>1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154</v>
      </c>
      <c r="E151" s="48" t="s">
        <v>173</v>
      </c>
      <c r="F151" s="48" t="s">
        <v>354</v>
      </c>
      <c r="G151" s="48" t="s">
        <v>39</v>
      </c>
      <c r="H151" s="68" t="s">
        <v>1876</v>
      </c>
      <c r="I151" s="47" t="s">
        <v>502</v>
      </c>
      <c r="J151" s="47">
        <v>14</v>
      </c>
      <c r="K151" s="49" t="s">
        <v>706</v>
      </c>
      <c r="L151" s="49" t="s">
        <v>693</v>
      </c>
      <c r="M151" s="50" t="s">
        <v>974</v>
      </c>
      <c r="N151" s="50" t="s">
        <v>1746</v>
      </c>
      <c r="O151" s="51"/>
      <c r="P151" s="51"/>
      <c r="Q151" s="68" t="s">
        <v>1903</v>
      </c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743</v>
      </c>
      <c r="E152" s="16" t="s">
        <v>173</v>
      </c>
      <c r="F152" s="16" t="s">
        <v>744</v>
      </c>
      <c r="G152" s="16" t="s">
        <v>39</v>
      </c>
      <c r="H152" s="16" t="s">
        <v>745</v>
      </c>
      <c r="I152" s="15" t="s">
        <v>746</v>
      </c>
      <c r="J152" s="15">
        <v>17</v>
      </c>
      <c r="K152" s="10" t="s">
        <v>726</v>
      </c>
      <c r="L152" s="10" t="s">
        <v>701</v>
      </c>
      <c r="M152" s="19" t="s">
        <v>695</v>
      </c>
      <c r="N152" s="17"/>
      <c r="Q152" s="16" t="s">
        <v>1894</v>
      </c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908</v>
      </c>
      <c r="E153" s="48" t="s">
        <v>173</v>
      </c>
      <c r="F153" s="48" t="s">
        <v>1100</v>
      </c>
      <c r="G153" s="48" t="s">
        <v>39</v>
      </c>
      <c r="H153" s="48" t="s">
        <v>910</v>
      </c>
      <c r="I153" s="47" t="s">
        <v>909</v>
      </c>
      <c r="J153" s="47">
        <v>11</v>
      </c>
      <c r="K153" s="49" t="s">
        <v>961</v>
      </c>
      <c r="L153" s="49">
        <v>60</v>
      </c>
      <c r="M153" s="50" t="s">
        <v>39</v>
      </c>
      <c r="N153" s="50" t="s">
        <v>1746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176</v>
      </c>
      <c r="F154" s="48" t="s">
        <v>325</v>
      </c>
      <c r="G154" s="48" t="s">
        <v>39</v>
      </c>
      <c r="H154" s="48" t="s">
        <v>364</v>
      </c>
      <c r="I154" s="47" t="s">
        <v>471</v>
      </c>
      <c r="J154" s="47">
        <v>14</v>
      </c>
      <c r="K154" s="49" t="s">
        <v>726</v>
      </c>
      <c r="L154" s="49" t="s">
        <v>697</v>
      </c>
      <c r="M154" s="50" t="s">
        <v>1386</v>
      </c>
      <c r="N154" s="50" t="s">
        <v>1816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1176</v>
      </c>
      <c r="E155" s="16" t="s">
        <v>173</v>
      </c>
      <c r="F155" s="16" t="s">
        <v>1178</v>
      </c>
      <c r="G155" s="16" t="s">
        <v>771</v>
      </c>
      <c r="H155" s="16" t="s">
        <v>355</v>
      </c>
      <c r="I155" s="15" t="s">
        <v>1177</v>
      </c>
      <c r="J155" s="15">
        <v>99</v>
      </c>
      <c r="K155" s="10" t="s">
        <v>707</v>
      </c>
      <c r="L155" s="10">
        <v>30</v>
      </c>
      <c r="M155" s="19" t="s">
        <v>974</v>
      </c>
      <c r="N155" s="19"/>
      <c r="Q155" s="16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0</v>
      </c>
      <c r="AE155" s="1">
        <f t="shared" si="90"/>
        <v>0</v>
      </c>
      <c r="AF155" s="1">
        <f t="shared" si="75"/>
        <v>0</v>
      </c>
      <c r="AG155" s="1">
        <f t="shared" si="76"/>
        <v>0</v>
      </c>
      <c r="AH155" s="1">
        <f t="shared" si="77"/>
        <v>0</v>
      </c>
      <c r="AI155" s="1">
        <f t="shared" si="78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747</v>
      </c>
      <c r="E156" s="16" t="s">
        <v>171</v>
      </c>
      <c r="F156" s="16" t="s">
        <v>748</v>
      </c>
      <c r="G156" s="16" t="s">
        <v>39</v>
      </c>
      <c r="H156" s="16" t="s">
        <v>749</v>
      </c>
      <c r="I156" s="15" t="s">
        <v>750</v>
      </c>
      <c r="J156" s="15">
        <v>17</v>
      </c>
      <c r="K156" s="10" t="s">
        <v>707</v>
      </c>
      <c r="L156" s="10" t="s">
        <v>701</v>
      </c>
      <c r="M156" s="19" t="s">
        <v>975</v>
      </c>
      <c r="N156" s="17"/>
      <c r="Q156" s="16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1954</v>
      </c>
      <c r="E157" s="20" t="s">
        <v>173</v>
      </c>
      <c r="F157" s="20" t="s">
        <v>1965</v>
      </c>
      <c r="G157" s="20"/>
      <c r="H157" s="20" t="s">
        <v>1966</v>
      </c>
      <c r="I157" s="21" t="s">
        <v>1967</v>
      </c>
      <c r="J157" s="15">
        <v>16</v>
      </c>
      <c r="K157" s="10" t="s">
        <v>707</v>
      </c>
      <c r="L157" s="10" t="s">
        <v>701</v>
      </c>
      <c r="M157" s="19" t="s">
        <v>975</v>
      </c>
      <c r="N157" s="17"/>
      <c r="Q157" s="20" t="s">
        <v>1964</v>
      </c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838</v>
      </c>
      <c r="E158" s="48" t="s">
        <v>918</v>
      </c>
      <c r="F158" s="48" t="s">
        <v>839</v>
      </c>
      <c r="G158" s="48" t="s">
        <v>209</v>
      </c>
      <c r="H158" s="48" t="s">
        <v>355</v>
      </c>
      <c r="I158" s="47" t="s">
        <v>840</v>
      </c>
      <c r="J158" s="47">
        <v>3</v>
      </c>
      <c r="K158" s="49" t="s">
        <v>726</v>
      </c>
      <c r="L158" s="49" t="s">
        <v>697</v>
      </c>
      <c r="M158" s="50" t="s">
        <v>702</v>
      </c>
      <c r="N158" s="50" t="s">
        <v>1747</v>
      </c>
      <c r="O158" s="51"/>
      <c r="P158" s="51"/>
      <c r="Q158" s="48"/>
      <c r="S158" s="1">
        <f t="shared" si="79"/>
        <v>0</v>
      </c>
      <c r="T158" s="1">
        <f t="shared" si="80"/>
        <v>0</v>
      </c>
      <c r="U158" s="1">
        <f t="shared" si="81"/>
        <v>1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0</v>
      </c>
      <c r="AF158" s="1">
        <f t="shared" si="75"/>
        <v>0</v>
      </c>
      <c r="AG158" s="1">
        <f t="shared" si="76"/>
        <v>0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1960</v>
      </c>
      <c r="E159" s="20" t="s">
        <v>173</v>
      </c>
      <c r="F159" s="20" t="s">
        <v>1962</v>
      </c>
      <c r="G159" s="20"/>
      <c r="H159" s="20" t="s">
        <v>1963</v>
      </c>
      <c r="I159" s="21" t="s">
        <v>1961</v>
      </c>
      <c r="J159" s="15">
        <v>16</v>
      </c>
      <c r="K159" s="10" t="s">
        <v>707</v>
      </c>
      <c r="L159" s="10" t="s">
        <v>701</v>
      </c>
      <c r="M159" s="19" t="s">
        <v>975</v>
      </c>
      <c r="N159" s="17"/>
      <c r="Q159" s="20" t="s">
        <v>1968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1216</v>
      </c>
      <c r="E160" s="48" t="s">
        <v>173</v>
      </c>
      <c r="F160" s="48" t="s">
        <v>1218</v>
      </c>
      <c r="G160" s="48" t="s">
        <v>186</v>
      </c>
      <c r="H160" s="48" t="s">
        <v>355</v>
      </c>
      <c r="I160" s="47" t="s">
        <v>1217</v>
      </c>
      <c r="J160" s="47">
        <v>99</v>
      </c>
      <c r="K160" s="49" t="s">
        <v>962</v>
      </c>
      <c r="L160" s="49" t="s">
        <v>693</v>
      </c>
      <c r="M160" s="50" t="s">
        <v>975</v>
      </c>
      <c r="N160" s="50" t="s">
        <v>1741</v>
      </c>
      <c r="O160" s="51"/>
      <c r="P160" s="51"/>
      <c r="Q160" s="48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634</v>
      </c>
      <c r="E161" s="35" t="s">
        <v>171</v>
      </c>
      <c r="F161" s="35" t="s">
        <v>635</v>
      </c>
      <c r="G161" s="35" t="s">
        <v>195</v>
      </c>
      <c r="H161" s="35" t="s">
        <v>355</v>
      </c>
      <c r="I161" s="34" t="s">
        <v>636</v>
      </c>
      <c r="J161" s="34">
        <v>9</v>
      </c>
      <c r="K161" s="36" t="s">
        <v>961</v>
      </c>
      <c r="L161" s="36" t="s">
        <v>1706</v>
      </c>
      <c r="M161" s="37" t="s">
        <v>974</v>
      </c>
      <c r="N161" s="37" t="s">
        <v>1734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1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686</v>
      </c>
      <c r="F162" s="48" t="s">
        <v>335</v>
      </c>
      <c r="G162" s="48" t="s">
        <v>39</v>
      </c>
      <c r="H162" s="48" t="s">
        <v>363</v>
      </c>
      <c r="I162" s="47" t="s">
        <v>482</v>
      </c>
      <c r="J162" s="47">
        <v>12</v>
      </c>
      <c r="K162" s="49" t="s">
        <v>726</v>
      </c>
      <c r="L162" s="49">
        <v>35</v>
      </c>
      <c r="M162" s="50" t="s">
        <v>39</v>
      </c>
      <c r="N162" s="50" t="s">
        <v>1809</v>
      </c>
      <c r="O162" s="51"/>
      <c r="P162" s="51"/>
      <c r="Q162" s="48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0</v>
      </c>
      <c r="AI162" s="1">
        <f t="shared" si="78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830</v>
      </c>
      <c r="E163" s="16" t="s">
        <v>173</v>
      </c>
      <c r="F163" s="16" t="s">
        <v>831</v>
      </c>
      <c r="G163" s="16" t="s">
        <v>39</v>
      </c>
      <c r="H163" s="16" t="s">
        <v>376</v>
      </c>
      <c r="I163" s="15" t="s">
        <v>829</v>
      </c>
      <c r="J163" s="15">
        <v>12</v>
      </c>
      <c r="K163" s="10" t="s">
        <v>707</v>
      </c>
      <c r="L163" s="10">
        <v>40</v>
      </c>
      <c r="M163" s="19" t="s">
        <v>974</v>
      </c>
      <c r="N163" s="19"/>
      <c r="Q163" s="16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0</v>
      </c>
      <c r="AF163" s="1">
        <f t="shared" si="75"/>
        <v>0</v>
      </c>
      <c r="AG163" s="1">
        <f t="shared" si="76"/>
        <v>0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173</v>
      </c>
      <c r="F164" s="35" t="s">
        <v>344</v>
      </c>
      <c r="G164" s="35" t="s">
        <v>39</v>
      </c>
      <c r="H164" s="35" t="s">
        <v>378</v>
      </c>
      <c r="I164" s="34" t="s">
        <v>491</v>
      </c>
      <c r="J164" s="34">
        <v>15</v>
      </c>
      <c r="K164" s="36" t="s">
        <v>706</v>
      </c>
      <c r="L164" s="36" t="s">
        <v>696</v>
      </c>
      <c r="M164" s="37" t="s">
        <v>695</v>
      </c>
      <c r="N164" s="37" t="s">
        <v>1740</v>
      </c>
      <c r="O164" s="38">
        <v>1</v>
      </c>
      <c r="P164" s="38">
        <v>1</v>
      </c>
      <c r="Q164" s="39" t="s">
        <v>1898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1</v>
      </c>
      <c r="AE164" s="1">
        <f t="shared" si="90"/>
        <v>0</v>
      </c>
      <c r="AF164" s="1">
        <f t="shared" si="75"/>
        <v>1</v>
      </c>
      <c r="AG164" s="1">
        <f t="shared" si="76"/>
        <v>0</v>
      </c>
      <c r="AH164" s="1">
        <f t="shared" si="77"/>
        <v>1</v>
      </c>
      <c r="AI164" s="1">
        <f t="shared" si="78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751</v>
      </c>
      <c r="E165" s="16" t="s">
        <v>612</v>
      </c>
      <c r="F165" s="16" t="s">
        <v>752</v>
      </c>
      <c r="G165" s="16" t="s">
        <v>39</v>
      </c>
      <c r="H165" s="16" t="s">
        <v>753</v>
      </c>
      <c r="I165" s="15" t="s">
        <v>754</v>
      </c>
      <c r="J165" s="15">
        <v>18</v>
      </c>
      <c r="K165" s="10" t="s">
        <v>707</v>
      </c>
      <c r="L165" s="10" t="s">
        <v>701</v>
      </c>
      <c r="M165" s="19" t="s">
        <v>695</v>
      </c>
      <c r="N165" s="17"/>
      <c r="Q165" s="16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1848</v>
      </c>
      <c r="E166" s="35" t="s">
        <v>1091</v>
      </c>
      <c r="F166" s="35" t="s">
        <v>1833</v>
      </c>
      <c r="G166" s="35"/>
      <c r="H166" s="35" t="s">
        <v>373</v>
      </c>
      <c r="I166" s="34" t="s">
        <v>1834</v>
      </c>
      <c r="J166" s="34">
        <v>16</v>
      </c>
      <c r="K166" s="36" t="s">
        <v>707</v>
      </c>
      <c r="L166" s="36"/>
      <c r="M166" s="37"/>
      <c r="N166" s="37" t="s">
        <v>1734</v>
      </c>
      <c r="O166" s="38">
        <v>1</v>
      </c>
      <c r="P166" s="38">
        <v>1</v>
      </c>
      <c r="Q166" s="35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1</v>
      </c>
      <c r="AE166" s="1">
        <f t="shared" si="90"/>
        <v>0</v>
      </c>
      <c r="AF166" s="1">
        <f t="shared" si="75"/>
        <v>1</v>
      </c>
      <c r="AG166" s="1">
        <f t="shared" si="76"/>
        <v>0</v>
      </c>
      <c r="AH166" s="1">
        <f t="shared" si="77"/>
        <v>1</v>
      </c>
      <c r="AI166" s="1">
        <f t="shared" si="78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983</v>
      </c>
      <c r="E167" s="35" t="s">
        <v>612</v>
      </c>
      <c r="F167" s="35" t="s">
        <v>984</v>
      </c>
      <c r="G167" s="35" t="s">
        <v>204</v>
      </c>
      <c r="H167" s="35" t="s">
        <v>355</v>
      </c>
      <c r="I167" s="34" t="s">
        <v>985</v>
      </c>
      <c r="J167" s="34">
        <v>99</v>
      </c>
      <c r="K167" s="36" t="s">
        <v>960</v>
      </c>
      <c r="L167" s="36" t="s">
        <v>39</v>
      </c>
      <c r="M167" s="37" t="s">
        <v>39</v>
      </c>
      <c r="N167" s="37" t="s">
        <v>1734</v>
      </c>
      <c r="O167" s="38">
        <v>1</v>
      </c>
      <c r="P167" s="38">
        <v>1</v>
      </c>
      <c r="Q167" s="35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1</v>
      </c>
      <c r="AE167" s="1">
        <f t="shared" si="90"/>
        <v>0</v>
      </c>
      <c r="AF167" s="1">
        <f t="shared" si="75"/>
        <v>1</v>
      </c>
      <c r="AG167" s="1">
        <f t="shared" si="76"/>
        <v>0</v>
      </c>
      <c r="AH167" s="1">
        <f t="shared" si="77"/>
        <v>1</v>
      </c>
      <c r="AI167" s="1">
        <f t="shared" si="78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150</v>
      </c>
      <c r="E168" s="42" t="s">
        <v>173</v>
      </c>
      <c r="F168" s="42" t="s">
        <v>351</v>
      </c>
      <c r="G168" s="42" t="s">
        <v>39</v>
      </c>
      <c r="H168" s="42" t="s">
        <v>381</v>
      </c>
      <c r="I168" s="41" t="s">
        <v>498</v>
      </c>
      <c r="J168" s="41">
        <v>14</v>
      </c>
      <c r="K168" s="43" t="s">
        <v>968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75"/>
        <v>0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70">
        <v>0</v>
      </c>
      <c r="B169" s="70">
        <v>1</v>
      </c>
      <c r="C169" s="70">
        <v>3</v>
      </c>
      <c r="D169" s="57" t="s">
        <v>1996</v>
      </c>
      <c r="E169" s="57" t="s">
        <v>1997</v>
      </c>
      <c r="F169" s="57" t="s">
        <v>1998</v>
      </c>
      <c r="G169" s="57" t="s">
        <v>537</v>
      </c>
      <c r="H169" s="57" t="s">
        <v>355</v>
      </c>
      <c r="I169" s="70" t="s">
        <v>1999</v>
      </c>
      <c r="J169" s="70"/>
      <c r="K169" s="70" t="s">
        <v>707</v>
      </c>
      <c r="L169" s="70"/>
      <c r="M169" s="57"/>
      <c r="N169" s="57"/>
      <c r="O169" s="71"/>
      <c r="P169" s="71">
        <v>1</v>
      </c>
      <c r="Q169" s="57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1</v>
      </c>
      <c r="AI169" s="1">
        <f t="shared" si="78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637</v>
      </c>
      <c r="E170" s="35" t="s">
        <v>173</v>
      </c>
      <c r="F170" s="35" t="s">
        <v>639</v>
      </c>
      <c r="G170" s="35" t="s">
        <v>239</v>
      </c>
      <c r="H170" s="35" t="s">
        <v>355</v>
      </c>
      <c r="I170" s="34" t="s">
        <v>638</v>
      </c>
      <c r="J170" s="34">
        <v>4</v>
      </c>
      <c r="K170" s="36" t="s">
        <v>960</v>
      </c>
      <c r="L170" s="36" t="s">
        <v>39</v>
      </c>
      <c r="M170" s="37" t="s">
        <v>39</v>
      </c>
      <c r="N170" s="37" t="s">
        <v>1740</v>
      </c>
      <c r="O170" s="38">
        <v>1</v>
      </c>
      <c r="P170" s="38">
        <v>1</v>
      </c>
      <c r="Q170" s="35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1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1</v>
      </c>
      <c r="AE170" s="1">
        <f t="shared" si="90"/>
        <v>0</v>
      </c>
      <c r="AF170" s="1">
        <f t="shared" si="75"/>
        <v>1</v>
      </c>
      <c r="AG170" s="1">
        <f t="shared" si="76"/>
        <v>0</v>
      </c>
      <c r="AH170" s="1">
        <f t="shared" si="77"/>
        <v>1</v>
      </c>
      <c r="AI170" s="1">
        <f t="shared" si="78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1535</v>
      </c>
      <c r="E171" s="16" t="s">
        <v>1091</v>
      </c>
      <c r="F171" s="16" t="s">
        <v>1536</v>
      </c>
      <c r="G171" s="16" t="s">
        <v>219</v>
      </c>
      <c r="H171" s="16" t="s">
        <v>355</v>
      </c>
      <c r="I171" s="15" t="s">
        <v>1537</v>
      </c>
      <c r="J171" s="15">
        <v>99</v>
      </c>
      <c r="K171" s="10" t="s">
        <v>707</v>
      </c>
      <c r="L171" s="10">
        <v>40</v>
      </c>
      <c r="M171" s="19" t="s">
        <v>974</v>
      </c>
      <c r="N171" s="19"/>
      <c r="Q171" s="16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0</v>
      </c>
      <c r="AF171" s="1">
        <f t="shared" si="75"/>
        <v>0</v>
      </c>
      <c r="AG171" s="1">
        <f t="shared" si="76"/>
        <v>0</v>
      </c>
      <c r="AH171" s="1">
        <f t="shared" si="77"/>
        <v>0</v>
      </c>
      <c r="AI171" s="1">
        <f t="shared" si="78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173</v>
      </c>
      <c r="F172" s="35" t="s">
        <v>300</v>
      </c>
      <c r="G172" s="35" t="s">
        <v>301</v>
      </c>
      <c r="H172" s="35" t="s">
        <v>355</v>
      </c>
      <c r="I172" s="34" t="s">
        <v>450</v>
      </c>
      <c r="J172" s="34">
        <v>99</v>
      </c>
      <c r="K172" s="36" t="s">
        <v>962</v>
      </c>
      <c r="L172" s="36" t="s">
        <v>697</v>
      </c>
      <c r="M172" s="37" t="s">
        <v>695</v>
      </c>
      <c r="N172" s="37" t="s">
        <v>1750</v>
      </c>
      <c r="O172" s="38">
        <v>1</v>
      </c>
      <c r="P172" s="38"/>
      <c r="Q172" s="35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0</v>
      </c>
      <c r="AB172" s="1">
        <f t="shared" si="88"/>
        <v>0</v>
      </c>
      <c r="AD172" s="1">
        <f t="shared" si="89"/>
        <v>0</v>
      </c>
      <c r="AE172" s="1">
        <f t="shared" si="90"/>
        <v>1</v>
      </c>
      <c r="AF172" s="1">
        <f t="shared" si="75"/>
        <v>0</v>
      </c>
      <c r="AG172" s="1">
        <f t="shared" si="76"/>
        <v>1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994</v>
      </c>
      <c r="E173" s="48" t="s">
        <v>173</v>
      </c>
      <c r="F173" s="48" t="s">
        <v>997</v>
      </c>
      <c r="G173" s="48" t="s">
        <v>39</v>
      </c>
      <c r="H173" s="48" t="s">
        <v>996</v>
      </c>
      <c r="I173" s="47" t="s">
        <v>995</v>
      </c>
      <c r="J173" s="47">
        <v>14</v>
      </c>
      <c r="K173" s="49" t="s">
        <v>726</v>
      </c>
      <c r="L173" s="49" t="s">
        <v>698</v>
      </c>
      <c r="M173" s="50" t="s">
        <v>975</v>
      </c>
      <c r="N173" s="50" t="s">
        <v>1742</v>
      </c>
      <c r="O173" s="51"/>
      <c r="P173" s="51"/>
      <c r="Q173" s="48"/>
      <c r="S173" s="1">
        <f t="shared" si="79"/>
        <v>0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1651</v>
      </c>
      <c r="E174" s="61" t="s">
        <v>173</v>
      </c>
      <c r="F174" s="61" t="s">
        <v>777</v>
      </c>
      <c r="G174" s="61" t="s">
        <v>39</v>
      </c>
      <c r="H174" s="61" t="s">
        <v>368</v>
      </c>
      <c r="I174" s="60" t="s">
        <v>785</v>
      </c>
      <c r="J174" s="60">
        <v>18</v>
      </c>
      <c r="K174" s="62" t="s">
        <v>1704</v>
      </c>
      <c r="L174" s="62" t="s">
        <v>39</v>
      </c>
      <c r="M174" s="63" t="s">
        <v>778</v>
      </c>
      <c r="N174" s="64"/>
      <c r="O174" s="65"/>
      <c r="P174" s="65"/>
      <c r="Q174" s="61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173</v>
      </c>
      <c r="F175" s="53" t="s">
        <v>662</v>
      </c>
      <c r="G175" s="53" t="s">
        <v>258</v>
      </c>
      <c r="H175" s="53" t="s">
        <v>355</v>
      </c>
      <c r="I175" s="52" t="s">
        <v>1700</v>
      </c>
      <c r="J175" s="52">
        <v>99</v>
      </c>
      <c r="K175" s="54" t="s">
        <v>726</v>
      </c>
      <c r="L175" s="54" t="s">
        <v>690</v>
      </c>
      <c r="M175" s="55" t="s">
        <v>1404</v>
      </c>
      <c r="N175" s="55" t="s">
        <v>1750</v>
      </c>
      <c r="O175" s="56">
        <v>1</v>
      </c>
      <c r="P175" s="56"/>
      <c r="Q175" s="53" t="s">
        <v>1937</v>
      </c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1</v>
      </c>
      <c r="AF175" s="1">
        <f t="shared" si="75"/>
        <v>0</v>
      </c>
      <c r="AG175" s="1">
        <f t="shared" si="76"/>
        <v>1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927</v>
      </c>
      <c r="E176" s="16" t="s">
        <v>171</v>
      </c>
      <c r="F176" s="16" t="s">
        <v>944</v>
      </c>
      <c r="G176" s="16" t="s">
        <v>39</v>
      </c>
      <c r="H176" s="16" t="s">
        <v>366</v>
      </c>
      <c r="I176" s="15" t="s">
        <v>887</v>
      </c>
      <c r="J176" s="15">
        <v>18</v>
      </c>
      <c r="K176" s="10" t="s">
        <v>706</v>
      </c>
      <c r="L176" s="10" t="s">
        <v>701</v>
      </c>
      <c r="M176" s="19" t="s">
        <v>975</v>
      </c>
      <c r="N176" s="17"/>
      <c r="Q176" s="16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1267</v>
      </c>
      <c r="E177" s="35" t="s">
        <v>171</v>
      </c>
      <c r="F177" s="35" t="s">
        <v>1683</v>
      </c>
      <c r="G177" s="35" t="s">
        <v>39</v>
      </c>
      <c r="H177" s="35" t="s">
        <v>775</v>
      </c>
      <c r="I177" s="34" t="s">
        <v>1268</v>
      </c>
      <c r="J177" s="34">
        <v>11</v>
      </c>
      <c r="K177" s="36" t="s">
        <v>726</v>
      </c>
      <c r="L177" s="36" t="s">
        <v>693</v>
      </c>
      <c r="M177" s="37" t="s">
        <v>1405</v>
      </c>
      <c r="N177" s="37" t="s">
        <v>1756</v>
      </c>
      <c r="O177" s="38">
        <v>1</v>
      </c>
      <c r="P177" s="38"/>
      <c r="Q177" s="35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0</v>
      </c>
      <c r="AE177" s="1">
        <f t="shared" si="90"/>
        <v>1</v>
      </c>
      <c r="AF177" s="1">
        <f t="shared" si="75"/>
        <v>0</v>
      </c>
      <c r="AG177" s="1">
        <f t="shared" si="76"/>
        <v>1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1000</v>
      </c>
      <c r="E178" s="35" t="s">
        <v>776</v>
      </c>
      <c r="F178" s="35" t="s">
        <v>1098</v>
      </c>
      <c r="G178" s="35" t="s">
        <v>201</v>
      </c>
      <c r="H178" s="35" t="s">
        <v>355</v>
      </c>
      <c r="I178" s="34" t="s">
        <v>1001</v>
      </c>
      <c r="J178" s="34">
        <v>2</v>
      </c>
      <c r="K178" s="36" t="s">
        <v>960</v>
      </c>
      <c r="L178" s="36" t="s">
        <v>697</v>
      </c>
      <c r="M178" s="37" t="s">
        <v>1406</v>
      </c>
      <c r="N178" s="37" t="s">
        <v>1734</v>
      </c>
      <c r="O178" s="38">
        <v>1</v>
      </c>
      <c r="P178" s="38">
        <v>1</v>
      </c>
      <c r="Q178" s="35"/>
      <c r="S178" s="1">
        <f t="shared" si="79"/>
        <v>0</v>
      </c>
      <c r="T178" s="1">
        <f t="shared" si="80"/>
        <v>1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0</v>
      </c>
      <c r="AD178" s="1">
        <f t="shared" si="89"/>
        <v>1</v>
      </c>
      <c r="AE178" s="1">
        <f t="shared" si="90"/>
        <v>0</v>
      </c>
      <c r="AF178" s="1">
        <f t="shared" si="75"/>
        <v>1</v>
      </c>
      <c r="AG178" s="1">
        <f t="shared" si="76"/>
        <v>0</v>
      </c>
      <c r="AH178" s="1">
        <f t="shared" si="77"/>
        <v>1</v>
      </c>
      <c r="AI178" s="1">
        <f t="shared" si="78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776</v>
      </c>
      <c r="F179" s="48" t="s">
        <v>194</v>
      </c>
      <c r="G179" s="48" t="s">
        <v>195</v>
      </c>
      <c r="H179" s="48" t="s">
        <v>355</v>
      </c>
      <c r="I179" s="47" t="s">
        <v>388</v>
      </c>
      <c r="J179" s="47">
        <v>9</v>
      </c>
      <c r="K179" s="49" t="s">
        <v>960</v>
      </c>
      <c r="L179" s="49" t="s">
        <v>698</v>
      </c>
      <c r="M179" s="50" t="s">
        <v>973</v>
      </c>
      <c r="N179" s="50" t="s">
        <v>1743</v>
      </c>
      <c r="O179" s="51"/>
      <c r="P179" s="51"/>
      <c r="Q179" s="48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1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178</v>
      </c>
      <c r="F180" s="48" t="s">
        <v>337</v>
      </c>
      <c r="G180" s="48" t="s">
        <v>214</v>
      </c>
      <c r="H180" s="48" t="s">
        <v>355</v>
      </c>
      <c r="I180" s="47" t="s">
        <v>484</v>
      </c>
      <c r="J180" s="47">
        <v>1</v>
      </c>
      <c r="K180" s="49" t="s">
        <v>960</v>
      </c>
      <c r="L180" s="49" t="s">
        <v>693</v>
      </c>
      <c r="M180" s="50" t="s">
        <v>695</v>
      </c>
      <c r="N180" s="50" t="s">
        <v>1742</v>
      </c>
      <c r="O180" s="51"/>
      <c r="P180" s="51"/>
      <c r="Q180" s="48"/>
      <c r="S180" s="1">
        <f t="shared" si="79"/>
        <v>1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888</v>
      </c>
      <c r="E181" s="16" t="s">
        <v>776</v>
      </c>
      <c r="F181" s="16" t="s">
        <v>889</v>
      </c>
      <c r="G181" s="16" t="s">
        <v>39</v>
      </c>
      <c r="H181" s="16" t="s">
        <v>890</v>
      </c>
      <c r="I181" s="15" t="s">
        <v>954</v>
      </c>
      <c r="J181" s="15">
        <v>17</v>
      </c>
      <c r="K181" s="10" t="s">
        <v>707</v>
      </c>
      <c r="L181" s="10" t="s">
        <v>1147</v>
      </c>
      <c r="M181" s="19" t="s">
        <v>976</v>
      </c>
      <c r="N181" s="17"/>
      <c r="Q181" s="16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528</v>
      </c>
      <c r="F182" s="48" t="s">
        <v>328</v>
      </c>
      <c r="G182" s="48" t="s">
        <v>301</v>
      </c>
      <c r="H182" s="48" t="s">
        <v>355</v>
      </c>
      <c r="I182" s="47" t="s">
        <v>476</v>
      </c>
      <c r="J182" s="47">
        <v>99</v>
      </c>
      <c r="K182" s="49" t="s">
        <v>706</v>
      </c>
      <c r="L182" s="49" t="s">
        <v>693</v>
      </c>
      <c r="M182" s="50" t="s">
        <v>974</v>
      </c>
      <c r="N182" s="50" t="s">
        <v>1744</v>
      </c>
      <c r="O182" s="51"/>
      <c r="P182" s="51"/>
      <c r="Q182" s="48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0</v>
      </c>
      <c r="AE182" s="1">
        <f t="shared" si="90"/>
        <v>0</v>
      </c>
      <c r="AF182" s="1">
        <f t="shared" si="75"/>
        <v>0</v>
      </c>
      <c r="AG182" s="1">
        <f t="shared" si="76"/>
        <v>0</v>
      </c>
      <c r="AH182" s="1">
        <f t="shared" si="77"/>
        <v>0</v>
      </c>
      <c r="AI182" s="1">
        <f t="shared" si="78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1736</v>
      </c>
      <c r="E183" s="35" t="s">
        <v>167</v>
      </c>
      <c r="F183" s="35" t="s">
        <v>1737</v>
      </c>
      <c r="G183" s="35" t="s">
        <v>1738</v>
      </c>
      <c r="H183" s="35" t="s">
        <v>355</v>
      </c>
      <c r="I183" s="34" t="s">
        <v>1739</v>
      </c>
      <c r="J183" s="34">
        <v>2</v>
      </c>
      <c r="K183" s="36" t="s">
        <v>707</v>
      </c>
      <c r="L183" s="36"/>
      <c r="M183" s="37"/>
      <c r="N183" s="37" t="s">
        <v>1740</v>
      </c>
      <c r="O183" s="38">
        <v>1</v>
      </c>
      <c r="P183" s="38">
        <v>1</v>
      </c>
      <c r="Q183" s="35"/>
      <c r="S183" s="1">
        <f t="shared" si="79"/>
        <v>0</v>
      </c>
      <c r="T183" s="1">
        <f t="shared" si="80"/>
        <v>1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1</v>
      </c>
      <c r="AE183" s="1">
        <f t="shared" si="90"/>
        <v>0</v>
      </c>
      <c r="AF183" s="1">
        <f t="shared" si="75"/>
        <v>1</v>
      </c>
      <c r="AG183" s="1">
        <f t="shared" si="76"/>
        <v>0</v>
      </c>
      <c r="AH183" s="1">
        <f t="shared" si="77"/>
        <v>1</v>
      </c>
      <c r="AI183" s="1">
        <f t="shared" si="78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167</v>
      </c>
      <c r="F184" s="48" t="s">
        <v>579</v>
      </c>
      <c r="G184" s="48" t="s">
        <v>195</v>
      </c>
      <c r="H184" s="48" t="s">
        <v>355</v>
      </c>
      <c r="I184" s="47" t="s">
        <v>437</v>
      </c>
      <c r="J184" s="47">
        <v>9</v>
      </c>
      <c r="K184" s="49" t="s">
        <v>960</v>
      </c>
      <c r="L184" s="49" t="s">
        <v>700</v>
      </c>
      <c r="M184" s="50" t="s">
        <v>695</v>
      </c>
      <c r="N184" s="50" t="s">
        <v>1742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1</v>
      </c>
      <c r="AB184" s="1">
        <f t="shared" si="88"/>
        <v>0</v>
      </c>
      <c r="AD184" s="1">
        <f t="shared" si="89"/>
        <v>0</v>
      </c>
      <c r="AE184" s="1">
        <f t="shared" si="90"/>
        <v>0</v>
      </c>
      <c r="AF184" s="1">
        <f t="shared" si="75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5" ht="14.25" customHeight="1" x14ac:dyDescent="0.25">
      <c r="A185" s="47">
        <v>0</v>
      </c>
      <c r="B185" s="47">
        <v>1</v>
      </c>
      <c r="C185" s="47">
        <v>5</v>
      </c>
      <c r="D185" s="48" t="s">
        <v>127</v>
      </c>
      <c r="E185" s="48" t="s">
        <v>167</v>
      </c>
      <c r="F185" s="48" t="s">
        <v>329</v>
      </c>
      <c r="G185" s="48" t="s">
        <v>181</v>
      </c>
      <c r="H185" s="48" t="s">
        <v>355</v>
      </c>
      <c r="I185" s="47" t="s">
        <v>477</v>
      </c>
      <c r="J185" s="47">
        <v>10</v>
      </c>
      <c r="K185" s="49" t="s">
        <v>962</v>
      </c>
      <c r="L185" s="49" t="s">
        <v>698</v>
      </c>
      <c r="M185" s="50" t="s">
        <v>695</v>
      </c>
      <c r="N185" s="50" t="s">
        <v>1747</v>
      </c>
      <c r="O185" s="51"/>
      <c r="P185" s="51"/>
      <c r="Q185" s="48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1</v>
      </c>
      <c r="AD185" s="1">
        <f t="shared" si="89"/>
        <v>0</v>
      </c>
      <c r="AE185" s="1">
        <f t="shared" si="90"/>
        <v>0</v>
      </c>
      <c r="AF185" s="1">
        <f t="shared" si="75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3.9" customHeight="1" x14ac:dyDescent="0.25">
      <c r="A186" s="47">
        <v>0</v>
      </c>
      <c r="B186" s="47">
        <v>1</v>
      </c>
      <c r="C186" s="47">
        <v>5</v>
      </c>
      <c r="D186" s="48" t="s">
        <v>137</v>
      </c>
      <c r="E186" s="48" t="s">
        <v>167</v>
      </c>
      <c r="F186" s="48" t="s">
        <v>550</v>
      </c>
      <c r="G186" s="48" t="s">
        <v>221</v>
      </c>
      <c r="H186" s="48" t="s">
        <v>355</v>
      </c>
      <c r="I186" s="47" t="s">
        <v>542</v>
      </c>
      <c r="J186" s="47">
        <v>8</v>
      </c>
      <c r="K186" s="49" t="s">
        <v>960</v>
      </c>
      <c r="L186" s="49" t="s">
        <v>698</v>
      </c>
      <c r="M186" s="50" t="s">
        <v>695</v>
      </c>
      <c r="N186" s="50" t="s">
        <v>1742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1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0</v>
      </c>
      <c r="AF186" s="1">
        <f t="shared" si="75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</row>
    <row r="187" spans="1:35" ht="14.25" customHeight="1" x14ac:dyDescent="0.25">
      <c r="A187" s="47">
        <v>1</v>
      </c>
      <c r="B187" s="47">
        <v>1</v>
      </c>
      <c r="C187" s="47">
        <v>5</v>
      </c>
      <c r="D187" s="48" t="s">
        <v>137</v>
      </c>
      <c r="E187" s="48" t="s">
        <v>167</v>
      </c>
      <c r="F187" s="48" t="s">
        <v>338</v>
      </c>
      <c r="G187" s="48" t="s">
        <v>339</v>
      </c>
      <c r="H187" s="48" t="s">
        <v>355</v>
      </c>
      <c r="I187" s="47" t="s">
        <v>486</v>
      </c>
      <c r="J187" s="47">
        <v>10</v>
      </c>
      <c r="K187" s="49" t="s">
        <v>960</v>
      </c>
      <c r="L187" s="49" t="s">
        <v>698</v>
      </c>
      <c r="M187" s="50" t="s">
        <v>695</v>
      </c>
      <c r="N187" s="50" t="s">
        <v>1742</v>
      </c>
      <c r="O187" s="51"/>
      <c r="P187" s="51"/>
      <c r="Q187" s="48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1</v>
      </c>
      <c r="AD187" s="1">
        <f t="shared" si="89"/>
        <v>0</v>
      </c>
      <c r="AE187" s="1">
        <f t="shared" si="90"/>
        <v>0</v>
      </c>
      <c r="AF187" s="1">
        <f t="shared" si="75"/>
        <v>0</v>
      </c>
      <c r="AG187" s="1">
        <f t="shared" si="76"/>
        <v>0</v>
      </c>
      <c r="AH187" s="1">
        <f t="shared" si="77"/>
        <v>0</v>
      </c>
      <c r="AI187" s="1">
        <f t="shared" si="78"/>
        <v>0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1644</v>
      </c>
      <c r="E188" s="48" t="s">
        <v>167</v>
      </c>
      <c r="F188" s="48" t="s">
        <v>869</v>
      </c>
      <c r="G188" s="48" t="s">
        <v>1671</v>
      </c>
      <c r="H188" s="48" t="s">
        <v>355</v>
      </c>
      <c r="I188" s="47" t="s">
        <v>870</v>
      </c>
      <c r="J188" s="47">
        <v>1</v>
      </c>
      <c r="K188" s="49" t="s">
        <v>726</v>
      </c>
      <c r="L188" s="49" t="s">
        <v>1714</v>
      </c>
      <c r="M188" s="50" t="s">
        <v>1407</v>
      </c>
      <c r="N188" s="50" t="s">
        <v>1742</v>
      </c>
      <c r="O188" s="51"/>
      <c r="P188" s="51"/>
      <c r="Q188" s="48"/>
      <c r="S188" s="1">
        <f t="shared" si="79"/>
        <v>1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ref="AD188:AD189" si="91">+O188*P188</f>
        <v>0</v>
      </c>
      <c r="AE188" s="1">
        <f t="shared" ref="AE188:AE189" si="92">O188*(1-P188)</f>
        <v>0</v>
      </c>
      <c r="AF188" s="1">
        <f t="shared" ref="AF188:AF189" si="93">+O188*P188*(1-A188)</f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15">
        <v>0</v>
      </c>
      <c r="B189" s="15">
        <v>1</v>
      </c>
      <c r="C189" s="15">
        <v>5</v>
      </c>
      <c r="D189" s="20" t="s">
        <v>1956</v>
      </c>
      <c r="E189" s="20" t="s">
        <v>897</v>
      </c>
      <c r="F189" s="20" t="s">
        <v>1974</v>
      </c>
      <c r="G189" s="20"/>
      <c r="H189" s="20" t="s">
        <v>1975</v>
      </c>
      <c r="I189" s="21" t="s">
        <v>1973</v>
      </c>
      <c r="J189" s="15">
        <v>15</v>
      </c>
      <c r="K189" s="10" t="s">
        <v>707</v>
      </c>
      <c r="L189" s="10" t="s">
        <v>701</v>
      </c>
      <c r="M189" s="19" t="s">
        <v>975</v>
      </c>
      <c r="N189" s="17"/>
      <c r="Q189" s="20" t="s">
        <v>1976</v>
      </c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91"/>
        <v>0</v>
      </c>
      <c r="AE189" s="1">
        <f t="shared" si="92"/>
        <v>0</v>
      </c>
      <c r="AF189" s="1">
        <f t="shared" si="93"/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34">
        <v>0</v>
      </c>
      <c r="B190" s="34">
        <v>1</v>
      </c>
      <c r="C190" s="34">
        <v>5</v>
      </c>
      <c r="D190" s="35" t="s">
        <v>891</v>
      </c>
      <c r="E190" s="35" t="s">
        <v>892</v>
      </c>
      <c r="F190" s="35" t="s">
        <v>1096</v>
      </c>
      <c r="G190" s="35" t="s">
        <v>39</v>
      </c>
      <c r="H190" s="35" t="s">
        <v>893</v>
      </c>
      <c r="I190" s="34" t="s">
        <v>894</v>
      </c>
      <c r="J190" s="34">
        <v>16</v>
      </c>
      <c r="K190" s="36" t="s">
        <v>707</v>
      </c>
      <c r="L190" s="36" t="s">
        <v>696</v>
      </c>
      <c r="M190" s="37" t="s">
        <v>974</v>
      </c>
      <c r="N190" s="37" t="s">
        <v>1740</v>
      </c>
      <c r="O190" s="38">
        <v>1</v>
      </c>
      <c r="P190" s="38">
        <v>1</v>
      </c>
      <c r="Q190" s="39" t="s">
        <v>1901</v>
      </c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1</v>
      </c>
      <c r="AE190" s="1">
        <f t="shared" si="90"/>
        <v>0</v>
      </c>
      <c r="AF190" s="1">
        <f t="shared" si="75"/>
        <v>1</v>
      </c>
      <c r="AG190" s="1">
        <f t="shared" si="76"/>
        <v>0</v>
      </c>
      <c r="AH190" s="1">
        <f t="shared" si="77"/>
        <v>1</v>
      </c>
      <c r="AI190" s="1">
        <f t="shared" si="78"/>
        <v>0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106</v>
      </c>
      <c r="E191" s="35" t="s">
        <v>174</v>
      </c>
      <c r="F191" s="35" t="s">
        <v>305</v>
      </c>
      <c r="G191" s="35" t="s">
        <v>39</v>
      </c>
      <c r="H191" s="35" t="s">
        <v>360</v>
      </c>
      <c r="I191" s="34" t="s">
        <v>454</v>
      </c>
      <c r="J191" s="34">
        <v>14</v>
      </c>
      <c r="K191" s="36" t="s">
        <v>960</v>
      </c>
      <c r="L191" s="36" t="s">
        <v>697</v>
      </c>
      <c r="M191" s="37" t="s">
        <v>974</v>
      </c>
      <c r="N191" s="37" t="s">
        <v>1750</v>
      </c>
      <c r="O191" s="38">
        <v>1</v>
      </c>
      <c r="P191" s="38"/>
      <c r="Q191" s="35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1</v>
      </c>
      <c r="AF191" s="1">
        <f t="shared" si="75"/>
        <v>0</v>
      </c>
      <c r="AG191" s="1">
        <f t="shared" si="76"/>
        <v>1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1958</v>
      </c>
      <c r="E192" s="20" t="s">
        <v>897</v>
      </c>
      <c r="F192" s="20" t="s">
        <v>1988</v>
      </c>
      <c r="G192" s="20"/>
      <c r="H192" s="20" t="s">
        <v>1987</v>
      </c>
      <c r="I192" s="21" t="s">
        <v>1986</v>
      </c>
      <c r="J192" s="15">
        <v>18</v>
      </c>
      <c r="K192" s="10" t="s">
        <v>707</v>
      </c>
      <c r="L192" s="10" t="s">
        <v>701</v>
      </c>
      <c r="M192" s="19" t="s">
        <v>975</v>
      </c>
      <c r="N192" s="17"/>
      <c r="Q192" s="20" t="s">
        <v>1989</v>
      </c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0</v>
      </c>
      <c r="AE192" s="1">
        <f t="shared" si="90"/>
        <v>0</v>
      </c>
      <c r="AF192" s="1">
        <f t="shared" si="75"/>
        <v>0</v>
      </c>
      <c r="AG192" s="1">
        <f t="shared" si="76"/>
        <v>0</v>
      </c>
      <c r="AH192" s="1">
        <f t="shared" si="77"/>
        <v>0</v>
      </c>
      <c r="AI192" s="1">
        <f t="shared" si="78"/>
        <v>1</v>
      </c>
    </row>
    <row r="193" spans="1:35" ht="14.25" customHeight="1" x14ac:dyDescent="0.25">
      <c r="A193" s="47">
        <v>0</v>
      </c>
      <c r="B193" s="47">
        <v>1</v>
      </c>
      <c r="C193" s="47">
        <v>5</v>
      </c>
      <c r="D193" s="48" t="s">
        <v>515</v>
      </c>
      <c r="E193" s="48" t="s">
        <v>173</v>
      </c>
      <c r="F193" s="48" t="s">
        <v>551</v>
      </c>
      <c r="G193" s="48" t="s">
        <v>39</v>
      </c>
      <c r="H193" s="48" t="s">
        <v>363</v>
      </c>
      <c r="I193" s="47" t="s">
        <v>1118</v>
      </c>
      <c r="J193" s="47">
        <v>12</v>
      </c>
      <c r="K193" s="49" t="s">
        <v>707</v>
      </c>
      <c r="L193" s="49">
        <v>35</v>
      </c>
      <c r="M193" s="50" t="s">
        <v>974</v>
      </c>
      <c r="N193" s="50" t="s">
        <v>1809</v>
      </c>
      <c r="O193" s="51"/>
      <c r="P193" s="51"/>
      <c r="Q193" s="48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0</v>
      </c>
      <c r="AD193" s="1">
        <f t="shared" si="89"/>
        <v>0</v>
      </c>
      <c r="AE193" s="1">
        <f t="shared" si="90"/>
        <v>0</v>
      </c>
      <c r="AF193" s="1">
        <f t="shared" si="75"/>
        <v>0</v>
      </c>
      <c r="AG193" s="1">
        <f t="shared" si="76"/>
        <v>0</v>
      </c>
      <c r="AH193" s="1">
        <f t="shared" si="77"/>
        <v>0</v>
      </c>
      <c r="AI193" s="1">
        <f t="shared" si="78"/>
        <v>1</v>
      </c>
    </row>
    <row r="194" spans="1:35" ht="14.25" customHeight="1" x14ac:dyDescent="0.25">
      <c r="A194" s="34">
        <v>0</v>
      </c>
      <c r="B194" s="34">
        <v>1</v>
      </c>
      <c r="C194" s="34">
        <v>5</v>
      </c>
      <c r="D194" s="35" t="s">
        <v>152</v>
      </c>
      <c r="E194" s="35" t="s">
        <v>167</v>
      </c>
      <c r="F194" s="39" t="s">
        <v>1877</v>
      </c>
      <c r="G194" s="35" t="s">
        <v>198</v>
      </c>
      <c r="H194" s="35" t="s">
        <v>355</v>
      </c>
      <c r="I194" s="34" t="s">
        <v>500</v>
      </c>
      <c r="J194" s="34">
        <v>99</v>
      </c>
      <c r="K194" s="36" t="s">
        <v>960</v>
      </c>
      <c r="L194" s="36" t="s">
        <v>697</v>
      </c>
      <c r="M194" s="37" t="s">
        <v>974</v>
      </c>
      <c r="N194" s="37" t="s">
        <v>1755</v>
      </c>
      <c r="O194" s="38">
        <v>1</v>
      </c>
      <c r="P194" s="38"/>
      <c r="Q194" s="35"/>
      <c r="S194" s="1">
        <f t="shared" si="79"/>
        <v>0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0</v>
      </c>
      <c r="AE194" s="1">
        <f t="shared" si="90"/>
        <v>1</v>
      </c>
      <c r="AF194" s="1">
        <f t="shared" si="75"/>
        <v>0</v>
      </c>
      <c r="AG194" s="1">
        <f t="shared" si="76"/>
        <v>1</v>
      </c>
      <c r="AH194" s="1">
        <f t="shared" si="77"/>
        <v>0</v>
      </c>
      <c r="AI194" s="1">
        <f t="shared" si="78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651</v>
      </c>
      <c r="E195" s="48" t="s">
        <v>687</v>
      </c>
      <c r="F195" s="48" t="s">
        <v>647</v>
      </c>
      <c r="G195" s="48" t="s">
        <v>186</v>
      </c>
      <c r="H195" s="48" t="s">
        <v>355</v>
      </c>
      <c r="I195" s="47" t="s">
        <v>648</v>
      </c>
      <c r="J195" s="47">
        <v>99</v>
      </c>
      <c r="K195" s="49" t="s">
        <v>726</v>
      </c>
      <c r="L195" s="49" t="s">
        <v>697</v>
      </c>
      <c r="M195" s="50" t="s">
        <v>974</v>
      </c>
      <c r="N195" s="50" t="s">
        <v>1741</v>
      </c>
      <c r="O195" s="51"/>
      <c r="P195" s="51"/>
      <c r="Q195" s="48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0</v>
      </c>
      <c r="AE195" s="1">
        <f t="shared" si="90"/>
        <v>0</v>
      </c>
      <c r="AF195" s="1">
        <f t="shared" si="75"/>
        <v>0</v>
      </c>
      <c r="AG195" s="1">
        <f t="shared" si="76"/>
        <v>0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34">
        <v>0</v>
      </c>
      <c r="B196" s="34">
        <v>1</v>
      </c>
      <c r="C196" s="34">
        <v>5</v>
      </c>
      <c r="D196" s="35" t="s">
        <v>1317</v>
      </c>
      <c r="E196" s="35" t="s">
        <v>167</v>
      </c>
      <c r="F196" s="35" t="s">
        <v>1318</v>
      </c>
      <c r="G196" s="35" t="s">
        <v>284</v>
      </c>
      <c r="H196" s="35" t="s">
        <v>355</v>
      </c>
      <c r="I196" s="34" t="s">
        <v>1319</v>
      </c>
      <c r="J196" s="34">
        <v>99</v>
      </c>
      <c r="K196" s="36" t="s">
        <v>706</v>
      </c>
      <c r="L196" s="36" t="s">
        <v>39</v>
      </c>
      <c r="M196" s="37" t="s">
        <v>39</v>
      </c>
      <c r="N196" s="37" t="s">
        <v>1740</v>
      </c>
      <c r="O196" s="38">
        <v>1</v>
      </c>
      <c r="P196" s="38">
        <v>1</v>
      </c>
      <c r="Q196" s="35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1</v>
      </c>
      <c r="AE196" s="1">
        <f t="shared" si="90"/>
        <v>0</v>
      </c>
      <c r="AF196" s="1">
        <f t="shared" si="75"/>
        <v>1</v>
      </c>
      <c r="AG196" s="1">
        <f t="shared" si="76"/>
        <v>0</v>
      </c>
      <c r="AH196" s="1">
        <f t="shared" si="77"/>
        <v>1</v>
      </c>
      <c r="AI196" s="1">
        <f t="shared" si="78"/>
        <v>0</v>
      </c>
    </row>
    <row r="197" spans="1:35" ht="14.25" customHeight="1" x14ac:dyDescent="0.25">
      <c r="A197" s="47">
        <v>0</v>
      </c>
      <c r="B197" s="47">
        <v>1</v>
      </c>
      <c r="C197" s="47">
        <v>5</v>
      </c>
      <c r="D197" s="48" t="s">
        <v>896</v>
      </c>
      <c r="E197" s="48" t="s">
        <v>897</v>
      </c>
      <c r="F197" s="48" t="s">
        <v>938</v>
      </c>
      <c r="G197" s="48" t="s">
        <v>39</v>
      </c>
      <c r="H197" s="48" t="s">
        <v>898</v>
      </c>
      <c r="I197" s="47" t="s">
        <v>899</v>
      </c>
      <c r="J197" s="47">
        <v>17</v>
      </c>
      <c r="K197" s="49" t="s">
        <v>707</v>
      </c>
      <c r="L197" s="49" t="s">
        <v>701</v>
      </c>
      <c r="M197" s="50" t="s">
        <v>974</v>
      </c>
      <c r="N197" s="50" t="s">
        <v>1748</v>
      </c>
      <c r="O197" s="51"/>
      <c r="P197" s="51"/>
      <c r="Q197" s="48"/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0</v>
      </c>
      <c r="AE197" s="1">
        <f t="shared" si="90"/>
        <v>0</v>
      </c>
      <c r="AF197" s="1">
        <f t="shared" si="75"/>
        <v>0</v>
      </c>
      <c r="AG197" s="1">
        <f t="shared" si="76"/>
        <v>0</v>
      </c>
      <c r="AH197" s="1">
        <f t="shared" si="77"/>
        <v>0</v>
      </c>
      <c r="AI197" s="1">
        <f t="shared" si="78"/>
        <v>1</v>
      </c>
    </row>
    <row r="198" spans="1:35" ht="14.25" customHeight="1" x14ac:dyDescent="0.25">
      <c r="A198" s="15">
        <v>0</v>
      </c>
      <c r="B198" s="15">
        <v>1</v>
      </c>
      <c r="C198" s="15">
        <v>5</v>
      </c>
      <c r="D198" s="16" t="s">
        <v>1948</v>
      </c>
      <c r="E198" s="16" t="s">
        <v>897</v>
      </c>
      <c r="F198" s="16" t="s">
        <v>1950</v>
      </c>
      <c r="G198" s="16"/>
      <c r="H198" s="16" t="s">
        <v>1949</v>
      </c>
      <c r="I198" s="15" t="s">
        <v>1951</v>
      </c>
      <c r="J198" s="15">
        <v>16</v>
      </c>
      <c r="K198" s="10" t="s">
        <v>707</v>
      </c>
      <c r="L198" s="10" t="s">
        <v>701</v>
      </c>
      <c r="M198" s="19" t="s">
        <v>974</v>
      </c>
      <c r="N198" s="17"/>
      <c r="Q198" s="20" t="s">
        <v>1952</v>
      </c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47">
        <v>0</v>
      </c>
      <c r="B199" s="47">
        <v>1</v>
      </c>
      <c r="C199" s="47">
        <v>5</v>
      </c>
      <c r="D199" s="48" t="s">
        <v>131</v>
      </c>
      <c r="E199" s="48" t="s">
        <v>167</v>
      </c>
      <c r="F199" s="48" t="s">
        <v>333</v>
      </c>
      <c r="G199" s="48" t="s">
        <v>334</v>
      </c>
      <c r="H199" s="48" t="s">
        <v>355</v>
      </c>
      <c r="I199" s="47" t="s">
        <v>481</v>
      </c>
      <c r="J199" s="47">
        <v>99</v>
      </c>
      <c r="K199" s="49" t="s">
        <v>726</v>
      </c>
      <c r="L199" s="49" t="s">
        <v>698</v>
      </c>
      <c r="M199" s="50" t="s">
        <v>974</v>
      </c>
      <c r="N199" s="50" t="s">
        <v>1754</v>
      </c>
      <c r="O199" s="51"/>
      <c r="P199" s="51"/>
      <c r="Q199" s="48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0</v>
      </c>
      <c r="AF199" s="1">
        <f t="shared" si="75"/>
        <v>0</v>
      </c>
      <c r="AG199" s="1">
        <f t="shared" si="76"/>
        <v>0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34">
        <v>0</v>
      </c>
      <c r="B200" s="34">
        <v>1</v>
      </c>
      <c r="C200" s="34">
        <v>5</v>
      </c>
      <c r="D200" s="35" t="s">
        <v>109</v>
      </c>
      <c r="E200" s="35" t="s">
        <v>167</v>
      </c>
      <c r="F200" s="35" t="s">
        <v>308</v>
      </c>
      <c r="G200" s="35" t="s">
        <v>232</v>
      </c>
      <c r="H200" s="35" t="s">
        <v>355</v>
      </c>
      <c r="I200" s="34" t="s">
        <v>457</v>
      </c>
      <c r="J200" s="34">
        <v>99</v>
      </c>
      <c r="K200" s="36" t="s">
        <v>726</v>
      </c>
      <c r="L200" s="36" t="s">
        <v>700</v>
      </c>
      <c r="M200" s="37" t="s">
        <v>695</v>
      </c>
      <c r="N200" s="37" t="s">
        <v>1750</v>
      </c>
      <c r="O200" s="38">
        <v>1</v>
      </c>
      <c r="P200" s="38"/>
      <c r="Q200" s="35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D200" s="1">
        <f t="shared" si="89"/>
        <v>0</v>
      </c>
      <c r="AE200" s="1">
        <f t="shared" si="90"/>
        <v>1</v>
      </c>
      <c r="AF200" s="1">
        <f t="shared" si="75"/>
        <v>0</v>
      </c>
      <c r="AG200" s="1">
        <f t="shared" si="76"/>
        <v>1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111</v>
      </c>
      <c r="E201" s="16" t="s">
        <v>173</v>
      </c>
      <c r="F201" s="16" t="s">
        <v>311</v>
      </c>
      <c r="G201" s="16" t="s">
        <v>39</v>
      </c>
      <c r="H201" s="16" t="s">
        <v>365</v>
      </c>
      <c r="I201" s="15" t="s">
        <v>460</v>
      </c>
      <c r="J201" s="15">
        <v>17</v>
      </c>
      <c r="K201" s="10" t="s">
        <v>707</v>
      </c>
      <c r="L201" s="10" t="s">
        <v>701</v>
      </c>
      <c r="M201" s="19" t="s">
        <v>695</v>
      </c>
      <c r="N201" s="17"/>
      <c r="Q201" s="20" t="s">
        <v>1922</v>
      </c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0</v>
      </c>
      <c r="AF201" s="1">
        <f t="shared" si="75"/>
        <v>0</v>
      </c>
      <c r="AG201" s="1">
        <f t="shared" si="76"/>
        <v>0</v>
      </c>
      <c r="AH201" s="1">
        <f t="shared" si="77"/>
        <v>0</v>
      </c>
      <c r="AI201" s="1">
        <f t="shared" si="78"/>
        <v>1</v>
      </c>
    </row>
    <row r="202" spans="1:35" ht="14.25" customHeight="1" x14ac:dyDescent="0.25">
      <c r="A202" s="34">
        <v>0</v>
      </c>
      <c r="B202" s="34">
        <v>1</v>
      </c>
      <c r="C202" s="34">
        <v>5</v>
      </c>
      <c r="D202" s="35" t="s">
        <v>527</v>
      </c>
      <c r="E202" s="35" t="s">
        <v>528</v>
      </c>
      <c r="F202" s="35" t="s">
        <v>529</v>
      </c>
      <c r="G202" s="35" t="s">
        <v>203</v>
      </c>
      <c r="H202" s="35" t="s">
        <v>355</v>
      </c>
      <c r="I202" s="34" t="s">
        <v>530</v>
      </c>
      <c r="J202" s="34">
        <v>10</v>
      </c>
      <c r="K202" s="36" t="s">
        <v>706</v>
      </c>
      <c r="L202" s="36" t="s">
        <v>697</v>
      </c>
      <c r="M202" s="37" t="s">
        <v>974</v>
      </c>
      <c r="N202" s="37" t="s">
        <v>1740</v>
      </c>
      <c r="O202" s="38">
        <v>1</v>
      </c>
      <c r="P202" s="38">
        <v>1</v>
      </c>
      <c r="Q202" s="35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1</v>
      </c>
      <c r="AD202" s="1">
        <f t="shared" si="89"/>
        <v>1</v>
      </c>
      <c r="AE202" s="1">
        <f t="shared" si="90"/>
        <v>0</v>
      </c>
      <c r="AF202" s="1">
        <f t="shared" ref="AF202:AF265" si="94">+O202*P202*(1-A202)</f>
        <v>1</v>
      </c>
      <c r="AG202" s="1">
        <f t="shared" ref="AG202:AG265" si="95">O202*(1-P202)*(1-A202)</f>
        <v>0</v>
      </c>
      <c r="AH202" s="1">
        <f t="shared" ref="AH202:AH265" si="96">+P202*(1-A202)</f>
        <v>1</v>
      </c>
      <c r="AI202" s="1">
        <f t="shared" ref="AI202:AI265" si="97">+(1-A202)*(1-P202)</f>
        <v>0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1506</v>
      </c>
      <c r="E203" s="35" t="s">
        <v>167</v>
      </c>
      <c r="F203" s="35" t="s">
        <v>1507</v>
      </c>
      <c r="G203" s="35" t="s">
        <v>181</v>
      </c>
      <c r="H203" s="35" t="s">
        <v>355</v>
      </c>
      <c r="I203" s="34" t="s">
        <v>1508</v>
      </c>
      <c r="J203" s="34">
        <v>10</v>
      </c>
      <c r="K203" s="36" t="s">
        <v>960</v>
      </c>
      <c r="L203" s="36" t="s">
        <v>697</v>
      </c>
      <c r="M203" s="37" t="s">
        <v>974</v>
      </c>
      <c r="N203" s="37" t="s">
        <v>1734</v>
      </c>
      <c r="O203" s="38">
        <v>1</v>
      </c>
      <c r="P203" s="38">
        <v>1</v>
      </c>
      <c r="Q203" s="35"/>
      <c r="S203" s="1">
        <f t="shared" si="79"/>
        <v>0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1</v>
      </c>
      <c r="AD203" s="1">
        <f t="shared" si="89"/>
        <v>1</v>
      </c>
      <c r="AE203" s="1">
        <f t="shared" si="90"/>
        <v>0</v>
      </c>
      <c r="AF203" s="1">
        <f t="shared" si="94"/>
        <v>1</v>
      </c>
      <c r="AG203" s="1">
        <f t="shared" si="95"/>
        <v>0</v>
      </c>
      <c r="AH203" s="1">
        <f t="shared" si="96"/>
        <v>1</v>
      </c>
      <c r="AI203" s="1">
        <f t="shared" si="97"/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1764</v>
      </c>
      <c r="E204" s="35" t="s">
        <v>167</v>
      </c>
      <c r="F204" s="35" t="s">
        <v>1765</v>
      </c>
      <c r="G204" s="35" t="s">
        <v>1766</v>
      </c>
      <c r="H204" s="35" t="s">
        <v>355</v>
      </c>
      <c r="I204" s="34" t="s">
        <v>1767</v>
      </c>
      <c r="J204" s="34">
        <v>1</v>
      </c>
      <c r="K204" s="36" t="s">
        <v>707</v>
      </c>
      <c r="L204" s="36"/>
      <c r="M204" s="37"/>
      <c r="N204" s="37" t="s">
        <v>1755</v>
      </c>
      <c r="O204" s="38">
        <v>1</v>
      </c>
      <c r="P204" s="38"/>
      <c r="Q204" s="35"/>
      <c r="S204" s="1">
        <f t="shared" si="79"/>
        <v>1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0</v>
      </c>
      <c r="Z204" s="1">
        <f t="shared" si="86"/>
        <v>0</v>
      </c>
      <c r="AA204" s="1">
        <f t="shared" si="87"/>
        <v>0</v>
      </c>
      <c r="AB204" s="1">
        <f t="shared" si="88"/>
        <v>0</v>
      </c>
      <c r="AD204" s="1">
        <f t="shared" si="89"/>
        <v>0</v>
      </c>
      <c r="AE204" s="1">
        <f t="shared" si="90"/>
        <v>1</v>
      </c>
      <c r="AF204" s="1">
        <f t="shared" si="94"/>
        <v>0</v>
      </c>
      <c r="AG204" s="1">
        <f t="shared" si="95"/>
        <v>1</v>
      </c>
      <c r="AH204" s="1">
        <f t="shared" si="96"/>
        <v>0</v>
      </c>
      <c r="AI204" s="1">
        <f t="shared" si="97"/>
        <v>1</v>
      </c>
    </row>
    <row r="205" spans="1:35" ht="14.25" customHeight="1" x14ac:dyDescent="0.25">
      <c r="A205" s="47">
        <v>0</v>
      </c>
      <c r="B205" s="47">
        <v>1</v>
      </c>
      <c r="C205" s="47">
        <v>5</v>
      </c>
      <c r="D205" s="48" t="s">
        <v>1030</v>
      </c>
      <c r="E205" s="48" t="s">
        <v>1091</v>
      </c>
      <c r="F205" s="48" t="s">
        <v>1031</v>
      </c>
      <c r="G205" s="48" t="s">
        <v>195</v>
      </c>
      <c r="H205" s="48" t="s">
        <v>355</v>
      </c>
      <c r="I205" s="47" t="s">
        <v>1032</v>
      </c>
      <c r="J205" s="47">
        <v>9</v>
      </c>
      <c r="K205" s="49" t="s">
        <v>726</v>
      </c>
      <c r="L205" s="49" t="s">
        <v>1711</v>
      </c>
      <c r="M205" s="50" t="s">
        <v>1611</v>
      </c>
      <c r="N205" s="50" t="s">
        <v>1742</v>
      </c>
      <c r="O205" s="51"/>
      <c r="P205" s="51"/>
      <c r="Q205" s="48"/>
      <c r="S205" s="1">
        <f t="shared" si="79"/>
        <v>0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1</v>
      </c>
      <c r="AB205" s="1">
        <f t="shared" si="88"/>
        <v>0</v>
      </c>
      <c r="AD205" s="1">
        <f t="shared" si="89"/>
        <v>0</v>
      </c>
      <c r="AE205" s="1">
        <f t="shared" si="90"/>
        <v>0</v>
      </c>
      <c r="AF205" s="1">
        <f t="shared" si="94"/>
        <v>0</v>
      </c>
      <c r="AG205" s="1">
        <f t="shared" si="95"/>
        <v>0</v>
      </c>
      <c r="AH205" s="1">
        <f t="shared" si="96"/>
        <v>0</v>
      </c>
      <c r="AI205" s="1">
        <f t="shared" si="97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1621</v>
      </c>
      <c r="E206" s="48" t="s">
        <v>167</v>
      </c>
      <c r="F206" s="48" t="s">
        <v>1622</v>
      </c>
      <c r="G206" s="48" t="s">
        <v>214</v>
      </c>
      <c r="H206" s="48" t="s">
        <v>355</v>
      </c>
      <c r="I206" s="47" t="s">
        <v>1623</v>
      </c>
      <c r="J206" s="47">
        <v>1</v>
      </c>
      <c r="K206" s="49" t="s">
        <v>726</v>
      </c>
      <c r="L206" s="49" t="s">
        <v>698</v>
      </c>
      <c r="M206" s="50" t="s">
        <v>974</v>
      </c>
      <c r="N206" s="50" t="s">
        <v>1743</v>
      </c>
      <c r="O206" s="51"/>
      <c r="P206" s="51"/>
      <c r="Q206" s="48"/>
      <c r="S206" s="1">
        <f t="shared" si="79"/>
        <v>1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94"/>
        <v>0</v>
      </c>
      <c r="AG206" s="1">
        <f t="shared" si="95"/>
        <v>0</v>
      </c>
      <c r="AH206" s="1">
        <f t="shared" si="96"/>
        <v>0</v>
      </c>
      <c r="AI206" s="1">
        <f t="shared" si="97"/>
        <v>1</v>
      </c>
    </row>
    <row r="207" spans="1:35" ht="14.25" customHeight="1" x14ac:dyDescent="0.25">
      <c r="A207" s="41">
        <v>0</v>
      </c>
      <c r="B207" s="41">
        <v>1</v>
      </c>
      <c r="C207" s="41">
        <v>5</v>
      </c>
      <c r="D207" s="42" t="s">
        <v>148</v>
      </c>
      <c r="E207" s="42" t="s">
        <v>547</v>
      </c>
      <c r="F207" s="42" t="s">
        <v>1606</v>
      </c>
      <c r="G207" s="42" t="s">
        <v>1680</v>
      </c>
      <c r="H207" s="42" t="s">
        <v>355</v>
      </c>
      <c r="I207" s="41" t="s">
        <v>496</v>
      </c>
      <c r="J207" s="41">
        <v>99</v>
      </c>
      <c r="K207" s="43" t="s">
        <v>706</v>
      </c>
      <c r="L207" s="43" t="s">
        <v>693</v>
      </c>
      <c r="M207" s="44" t="s">
        <v>974</v>
      </c>
      <c r="N207" s="45"/>
      <c r="O207" s="46"/>
      <c r="P207" s="46">
        <v>1</v>
      </c>
      <c r="Q207" s="42"/>
      <c r="S207" s="1">
        <f t="shared" ref="S207:S269" si="98">IF(J207=$S$7,1,0)</f>
        <v>0</v>
      </c>
      <c r="T207" s="1">
        <f t="shared" ref="T207:T269" si="99">IF(J207=$T$7,1,0)</f>
        <v>0</v>
      </c>
      <c r="U207" s="1">
        <f t="shared" ref="U207:U269" si="100">IF(J207=$U$7,1,0)</f>
        <v>0</v>
      </c>
      <c r="V207" s="1">
        <f t="shared" ref="V207:V269" si="101">IF(J207=$V$7,1,0)</f>
        <v>0</v>
      </c>
      <c r="W207" s="1">
        <f t="shared" ref="W207:W269" si="102">IF(J207=$W$7,1,0)</f>
        <v>0</v>
      </c>
      <c r="X207" s="1">
        <f t="shared" ref="X207:X269" si="103">IF(J207=$X$7,1,0)</f>
        <v>0</v>
      </c>
      <c r="Y207" s="1">
        <f t="shared" ref="Y207:Y269" si="104">IF(J207=$Y$7,1,0)</f>
        <v>0</v>
      </c>
      <c r="Z207" s="1">
        <f t="shared" ref="Z207:Z269" si="105">IF(J207=$Z$7,1,0)</f>
        <v>0</v>
      </c>
      <c r="AA207" s="1">
        <f t="shared" ref="AA207:AA269" si="106">IF(J207=$AA$7,1,0)</f>
        <v>0</v>
      </c>
      <c r="AB207" s="1">
        <f t="shared" ref="AB207:AB269" si="107">IF(J207=$AB$7,1,0)</f>
        <v>0</v>
      </c>
      <c r="AD207" s="1">
        <f t="shared" ref="AD207:AD269" si="108">+O207*P207</f>
        <v>0</v>
      </c>
      <c r="AE207" s="1">
        <f t="shared" ref="AE207:AE269" si="109">O207*(1-P207)</f>
        <v>0</v>
      </c>
      <c r="AF207" s="1">
        <f t="shared" si="94"/>
        <v>0</v>
      </c>
      <c r="AG207" s="1">
        <f t="shared" si="95"/>
        <v>0</v>
      </c>
      <c r="AH207" s="1">
        <f t="shared" si="96"/>
        <v>1</v>
      </c>
      <c r="AI207" s="1">
        <f t="shared" si="97"/>
        <v>0</v>
      </c>
    </row>
    <row r="208" spans="1:35" ht="14.25" customHeight="1" x14ac:dyDescent="0.25">
      <c r="A208" s="15">
        <v>0</v>
      </c>
      <c r="B208" s="15">
        <v>1</v>
      </c>
      <c r="C208" s="15">
        <v>5</v>
      </c>
      <c r="D208" s="16" t="s">
        <v>1219</v>
      </c>
      <c r="E208" s="16" t="s">
        <v>167</v>
      </c>
      <c r="F208" s="16" t="s">
        <v>1220</v>
      </c>
      <c r="G208" s="16" t="s">
        <v>1221</v>
      </c>
      <c r="H208" s="16" t="s">
        <v>355</v>
      </c>
      <c r="I208" s="15" t="s">
        <v>1222</v>
      </c>
      <c r="J208" s="15">
        <v>99</v>
      </c>
      <c r="K208" s="10" t="s">
        <v>707</v>
      </c>
      <c r="L208" s="10">
        <v>30</v>
      </c>
      <c r="M208" s="19" t="s">
        <v>974</v>
      </c>
      <c r="N208" s="19"/>
      <c r="Q208" s="16"/>
      <c r="S208" s="1">
        <f t="shared" si="98"/>
        <v>0</v>
      </c>
      <c r="T208" s="1">
        <f t="shared" si="99"/>
        <v>0</v>
      </c>
      <c r="U208" s="1">
        <f t="shared" si="100"/>
        <v>0</v>
      </c>
      <c r="V208" s="1">
        <f t="shared" si="101"/>
        <v>0</v>
      </c>
      <c r="W208" s="1">
        <f t="shared" si="102"/>
        <v>0</v>
      </c>
      <c r="X208" s="1">
        <f t="shared" si="103"/>
        <v>0</v>
      </c>
      <c r="Y208" s="1">
        <f t="shared" si="104"/>
        <v>0</v>
      </c>
      <c r="Z208" s="1">
        <f t="shared" si="105"/>
        <v>0</v>
      </c>
      <c r="AA208" s="1">
        <f t="shared" si="106"/>
        <v>0</v>
      </c>
      <c r="AB208" s="1">
        <f t="shared" si="107"/>
        <v>0</v>
      </c>
      <c r="AD208" s="1">
        <f t="shared" si="108"/>
        <v>0</v>
      </c>
      <c r="AE208" s="1">
        <f t="shared" si="109"/>
        <v>0</v>
      </c>
      <c r="AF208" s="1">
        <f t="shared" si="94"/>
        <v>0</v>
      </c>
      <c r="AG208" s="1">
        <f t="shared" si="95"/>
        <v>0</v>
      </c>
      <c r="AH208" s="1">
        <f t="shared" si="96"/>
        <v>0</v>
      </c>
      <c r="AI208" s="1">
        <f t="shared" si="97"/>
        <v>1</v>
      </c>
    </row>
    <row r="209" spans="1:16384" s="2" customFormat="1" ht="14.25" customHeight="1" x14ac:dyDescent="0.25">
      <c r="A209" s="34">
        <v>0</v>
      </c>
      <c r="B209" s="34">
        <v>1</v>
      </c>
      <c r="C209" s="34">
        <v>5</v>
      </c>
      <c r="D209" s="35" t="s">
        <v>1607</v>
      </c>
      <c r="E209" s="35" t="s">
        <v>173</v>
      </c>
      <c r="F209" s="35" t="s">
        <v>812</v>
      </c>
      <c r="G209" s="35" t="s">
        <v>39</v>
      </c>
      <c r="H209" s="35" t="s">
        <v>813</v>
      </c>
      <c r="I209" s="34" t="s">
        <v>814</v>
      </c>
      <c r="J209" s="34">
        <v>16</v>
      </c>
      <c r="K209" s="36" t="s">
        <v>961</v>
      </c>
      <c r="L209" s="36" t="s">
        <v>1749</v>
      </c>
      <c r="M209" s="37" t="s">
        <v>974</v>
      </c>
      <c r="N209" s="37" t="s">
        <v>1755</v>
      </c>
      <c r="O209" s="38">
        <v>1</v>
      </c>
      <c r="P209" s="38"/>
      <c r="Q209" s="35"/>
      <c r="R209" s="1"/>
      <c r="S209" s="1">
        <f t="shared" si="98"/>
        <v>0</v>
      </c>
      <c r="T209" s="1">
        <f t="shared" si="99"/>
        <v>0</v>
      </c>
      <c r="U209" s="1">
        <f t="shared" si="100"/>
        <v>0</v>
      </c>
      <c r="V209" s="1">
        <f t="shared" si="101"/>
        <v>0</v>
      </c>
      <c r="W209" s="1">
        <f t="shared" si="102"/>
        <v>0</v>
      </c>
      <c r="X209" s="1">
        <f t="shared" si="103"/>
        <v>0</v>
      </c>
      <c r="Y209" s="1">
        <f t="shared" si="104"/>
        <v>0</v>
      </c>
      <c r="Z209" s="1">
        <f t="shared" si="105"/>
        <v>0</v>
      </c>
      <c r="AA209" s="1">
        <f t="shared" si="106"/>
        <v>0</v>
      </c>
      <c r="AB209" s="1">
        <f t="shared" si="107"/>
        <v>0</v>
      </c>
      <c r="AC209" s="1"/>
      <c r="AD209" s="1">
        <f t="shared" si="108"/>
        <v>0</v>
      </c>
      <c r="AE209" s="1">
        <f t="shared" si="109"/>
        <v>1</v>
      </c>
      <c r="AF209" s="1">
        <f t="shared" si="94"/>
        <v>0</v>
      </c>
      <c r="AG209" s="1">
        <f t="shared" si="95"/>
        <v>1</v>
      </c>
      <c r="AH209" s="1">
        <f t="shared" si="96"/>
        <v>0</v>
      </c>
      <c r="AI209" s="1">
        <f t="shared" si="97"/>
        <v>1</v>
      </c>
      <c r="AJ209" s="1"/>
    </row>
    <row r="210" spans="1:16384" s="2" customFormat="1" ht="14.25" customHeight="1" x14ac:dyDescent="0.25">
      <c r="A210" s="34">
        <v>0</v>
      </c>
      <c r="B210" s="34">
        <v>1</v>
      </c>
      <c r="C210" s="34">
        <v>5</v>
      </c>
      <c r="D210" s="35" t="s">
        <v>504</v>
      </c>
      <c r="E210" s="35" t="s">
        <v>167</v>
      </c>
      <c r="F210" s="35" t="s">
        <v>505</v>
      </c>
      <c r="G210" s="35" t="s">
        <v>506</v>
      </c>
      <c r="H210" s="35" t="s">
        <v>355</v>
      </c>
      <c r="I210" s="34" t="s">
        <v>507</v>
      </c>
      <c r="J210" s="34">
        <v>99</v>
      </c>
      <c r="K210" s="36" t="s">
        <v>961</v>
      </c>
      <c r="L210" s="36" t="s">
        <v>698</v>
      </c>
      <c r="M210" s="37" t="s">
        <v>695</v>
      </c>
      <c r="N210" s="37" t="s">
        <v>1734</v>
      </c>
      <c r="O210" s="38">
        <v>1</v>
      </c>
      <c r="P210" s="38">
        <v>1</v>
      </c>
      <c r="Q210" s="35"/>
      <c r="R210" s="1"/>
      <c r="S210" s="1">
        <f t="shared" si="98"/>
        <v>0</v>
      </c>
      <c r="T210" s="1">
        <f t="shared" si="99"/>
        <v>0</v>
      </c>
      <c r="U210" s="1">
        <f t="shared" si="100"/>
        <v>0</v>
      </c>
      <c r="V210" s="1">
        <f t="shared" si="101"/>
        <v>0</v>
      </c>
      <c r="W210" s="1">
        <f t="shared" si="102"/>
        <v>0</v>
      </c>
      <c r="X210" s="1">
        <f t="shared" si="103"/>
        <v>0</v>
      </c>
      <c r="Y210" s="1">
        <f t="shared" si="104"/>
        <v>0</v>
      </c>
      <c r="Z210" s="1">
        <f t="shared" si="105"/>
        <v>0</v>
      </c>
      <c r="AA210" s="1">
        <f t="shared" si="106"/>
        <v>0</v>
      </c>
      <c r="AB210" s="1">
        <f t="shared" si="107"/>
        <v>0</v>
      </c>
      <c r="AC210" s="1"/>
      <c r="AD210" s="1">
        <f t="shared" si="108"/>
        <v>1</v>
      </c>
      <c r="AE210" s="1">
        <f t="shared" si="109"/>
        <v>0</v>
      </c>
      <c r="AF210" s="1">
        <f t="shared" si="94"/>
        <v>1</v>
      </c>
      <c r="AG210" s="1">
        <f t="shared" si="95"/>
        <v>0</v>
      </c>
      <c r="AH210" s="1">
        <f t="shared" si="96"/>
        <v>1</v>
      </c>
      <c r="AI210" s="1">
        <f t="shared" si="97"/>
        <v>0</v>
      </c>
      <c r="AJ210" s="1"/>
    </row>
    <row r="211" spans="1:16384" s="2" customFormat="1" ht="14.25" customHeight="1" x14ac:dyDescent="0.25">
      <c r="A211" s="34">
        <v>0</v>
      </c>
      <c r="B211" s="34">
        <v>1</v>
      </c>
      <c r="C211" s="34">
        <v>6</v>
      </c>
      <c r="D211" s="35" t="s">
        <v>1457</v>
      </c>
      <c r="E211" s="35" t="s">
        <v>168</v>
      </c>
      <c r="F211" s="35" t="s">
        <v>1458</v>
      </c>
      <c r="G211" s="35" t="s">
        <v>180</v>
      </c>
      <c r="H211" s="35" t="s">
        <v>355</v>
      </c>
      <c r="I211" s="34" t="s">
        <v>1459</v>
      </c>
      <c r="J211" s="34">
        <v>99</v>
      </c>
      <c r="K211" s="36" t="s">
        <v>960</v>
      </c>
      <c r="L211" s="36" t="s">
        <v>700</v>
      </c>
      <c r="M211" s="37" t="s">
        <v>1460</v>
      </c>
      <c r="N211" s="37" t="s">
        <v>1756</v>
      </c>
      <c r="O211" s="38">
        <v>1</v>
      </c>
      <c r="P211" s="38"/>
      <c r="Q211" s="39"/>
      <c r="R211" s="1"/>
      <c r="S211" s="1">
        <f t="shared" si="98"/>
        <v>0</v>
      </c>
      <c r="T211" s="1">
        <f t="shared" si="99"/>
        <v>0</v>
      </c>
      <c r="U211" s="1">
        <f t="shared" si="100"/>
        <v>0</v>
      </c>
      <c r="V211" s="1">
        <f t="shared" si="101"/>
        <v>0</v>
      </c>
      <c r="W211" s="1">
        <f t="shared" si="102"/>
        <v>0</v>
      </c>
      <c r="X211" s="1">
        <f t="shared" si="103"/>
        <v>0</v>
      </c>
      <c r="Y211" s="1">
        <f t="shared" si="104"/>
        <v>0</v>
      </c>
      <c r="Z211" s="1">
        <f t="shared" si="105"/>
        <v>0</v>
      </c>
      <c r="AA211" s="1">
        <f t="shared" si="106"/>
        <v>0</v>
      </c>
      <c r="AB211" s="1">
        <f t="shared" si="107"/>
        <v>0</v>
      </c>
      <c r="AC211" s="1"/>
      <c r="AD211" s="1">
        <f t="shared" si="108"/>
        <v>0</v>
      </c>
      <c r="AE211" s="1">
        <f t="shared" si="109"/>
        <v>1</v>
      </c>
      <c r="AF211" s="1">
        <f t="shared" si="94"/>
        <v>0</v>
      </c>
      <c r="AG211" s="1">
        <f t="shared" si="95"/>
        <v>1</v>
      </c>
      <c r="AH211" s="1">
        <f t="shared" si="96"/>
        <v>0</v>
      </c>
      <c r="AI211" s="1">
        <f t="shared" si="97"/>
        <v>1</v>
      </c>
      <c r="AJ211" s="1"/>
    </row>
    <row r="212" spans="1:16384" s="2" customFormat="1" ht="14.25" customHeight="1" x14ac:dyDescent="0.25">
      <c r="A212" s="34">
        <v>0</v>
      </c>
      <c r="B212" s="34">
        <v>1</v>
      </c>
      <c r="C212" s="34">
        <v>6</v>
      </c>
      <c r="D212" s="35" t="s">
        <v>1193</v>
      </c>
      <c r="E212" s="35" t="s">
        <v>1196</v>
      </c>
      <c r="F212" s="35" t="s">
        <v>1194</v>
      </c>
      <c r="G212" s="35" t="s">
        <v>39</v>
      </c>
      <c r="H212" s="35" t="s">
        <v>355</v>
      </c>
      <c r="I212" s="34" t="s">
        <v>1195</v>
      </c>
      <c r="J212" s="34">
        <v>99</v>
      </c>
      <c r="K212" s="36" t="s">
        <v>966</v>
      </c>
      <c r="L212" s="36" t="s">
        <v>39</v>
      </c>
      <c r="M212" s="37" t="s">
        <v>39</v>
      </c>
      <c r="N212" s="37" t="s">
        <v>1740</v>
      </c>
      <c r="O212" s="38">
        <v>1</v>
      </c>
      <c r="P212" s="38">
        <v>1</v>
      </c>
      <c r="Q212" s="39" t="s">
        <v>1915</v>
      </c>
      <c r="R212" s="1"/>
      <c r="S212" s="1">
        <f t="shared" si="98"/>
        <v>0</v>
      </c>
      <c r="T212" s="1">
        <f t="shared" si="99"/>
        <v>0</v>
      </c>
      <c r="U212" s="1">
        <f t="shared" si="100"/>
        <v>0</v>
      </c>
      <c r="V212" s="1">
        <f t="shared" si="101"/>
        <v>0</v>
      </c>
      <c r="W212" s="1">
        <f t="shared" si="102"/>
        <v>0</v>
      </c>
      <c r="X212" s="1">
        <f t="shared" si="103"/>
        <v>0</v>
      </c>
      <c r="Y212" s="1">
        <f t="shared" si="104"/>
        <v>0</v>
      </c>
      <c r="Z212" s="1">
        <f t="shared" si="105"/>
        <v>0</v>
      </c>
      <c r="AA212" s="1">
        <f t="shared" si="106"/>
        <v>0</v>
      </c>
      <c r="AB212" s="1">
        <f t="shared" si="107"/>
        <v>0</v>
      </c>
      <c r="AC212" s="1"/>
      <c r="AD212" s="1">
        <f t="shared" si="108"/>
        <v>1</v>
      </c>
      <c r="AE212" s="1">
        <f t="shared" si="109"/>
        <v>0</v>
      </c>
      <c r="AF212" s="1">
        <f t="shared" si="94"/>
        <v>1</v>
      </c>
      <c r="AG212" s="1">
        <f t="shared" si="95"/>
        <v>0</v>
      </c>
      <c r="AH212" s="1">
        <f t="shared" si="96"/>
        <v>1</v>
      </c>
      <c r="AI212" s="1">
        <f t="shared" si="97"/>
        <v>0</v>
      </c>
      <c r="AJ212" s="1"/>
    </row>
    <row r="213" spans="1:16384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1655</v>
      </c>
      <c r="E213" s="35" t="s">
        <v>1663</v>
      </c>
      <c r="F213" s="35" t="s">
        <v>1690</v>
      </c>
      <c r="G213" s="35" t="s">
        <v>1691</v>
      </c>
      <c r="H213" s="35" t="s">
        <v>355</v>
      </c>
      <c r="I213" s="34" t="s">
        <v>1703</v>
      </c>
      <c r="J213" s="34">
        <v>1</v>
      </c>
      <c r="K213" s="36" t="s">
        <v>962</v>
      </c>
      <c r="L213" s="36" t="s">
        <v>39</v>
      </c>
      <c r="M213" s="37" t="s">
        <v>39</v>
      </c>
      <c r="N213" s="37" t="s">
        <v>1734</v>
      </c>
      <c r="O213" s="38">
        <v>1</v>
      </c>
      <c r="P213" s="38">
        <v>1</v>
      </c>
      <c r="Q213" s="35"/>
      <c r="R213" s="1"/>
      <c r="S213" s="1">
        <f t="shared" si="98"/>
        <v>1</v>
      </c>
      <c r="T213" s="1">
        <f t="shared" si="99"/>
        <v>0</v>
      </c>
      <c r="U213" s="1">
        <f t="shared" si="100"/>
        <v>0</v>
      </c>
      <c r="V213" s="1">
        <f t="shared" si="101"/>
        <v>0</v>
      </c>
      <c r="W213" s="1">
        <f t="shared" si="102"/>
        <v>0</v>
      </c>
      <c r="X213" s="1">
        <f t="shared" si="103"/>
        <v>0</v>
      </c>
      <c r="Y213" s="1">
        <f t="shared" si="104"/>
        <v>0</v>
      </c>
      <c r="Z213" s="1">
        <f t="shared" si="105"/>
        <v>0</v>
      </c>
      <c r="AA213" s="1">
        <f t="shared" si="106"/>
        <v>0</v>
      </c>
      <c r="AB213" s="1">
        <f t="shared" si="107"/>
        <v>0</v>
      </c>
      <c r="AC213" s="1"/>
      <c r="AD213" s="1">
        <f t="shared" si="108"/>
        <v>1</v>
      </c>
      <c r="AE213" s="1">
        <f t="shared" si="109"/>
        <v>0</v>
      </c>
      <c r="AF213" s="1">
        <f t="shared" si="94"/>
        <v>1</v>
      </c>
      <c r="AG213" s="1">
        <f t="shared" si="95"/>
        <v>0</v>
      </c>
      <c r="AH213" s="1">
        <f t="shared" si="96"/>
        <v>1</v>
      </c>
      <c r="AI213" s="1">
        <f t="shared" si="97"/>
        <v>0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90</v>
      </c>
      <c r="E214" s="35" t="s">
        <v>169</v>
      </c>
      <c r="F214" s="35" t="s">
        <v>285</v>
      </c>
      <c r="G214" s="35" t="s">
        <v>231</v>
      </c>
      <c r="H214" s="35" t="s">
        <v>355</v>
      </c>
      <c r="I214" s="34" t="s">
        <v>439</v>
      </c>
      <c r="J214" s="34">
        <v>7</v>
      </c>
      <c r="K214" s="36" t="s">
        <v>726</v>
      </c>
      <c r="L214" s="36">
        <v>40</v>
      </c>
      <c r="M214" s="37" t="s">
        <v>39</v>
      </c>
      <c r="N214" s="37" t="s">
        <v>1755</v>
      </c>
      <c r="O214" s="38">
        <v>1</v>
      </c>
      <c r="P214" s="38"/>
      <c r="Q214" s="35"/>
      <c r="R214" s="1"/>
      <c r="S214" s="1">
        <f t="shared" si="98"/>
        <v>0</v>
      </c>
      <c r="T214" s="1">
        <f t="shared" si="99"/>
        <v>0</v>
      </c>
      <c r="U214" s="1">
        <f t="shared" si="100"/>
        <v>0</v>
      </c>
      <c r="V214" s="1">
        <f t="shared" si="101"/>
        <v>0</v>
      </c>
      <c r="W214" s="1">
        <f t="shared" si="102"/>
        <v>0</v>
      </c>
      <c r="X214" s="1">
        <f t="shared" si="103"/>
        <v>0</v>
      </c>
      <c r="Y214" s="1">
        <f t="shared" si="104"/>
        <v>1</v>
      </c>
      <c r="Z214" s="1">
        <f t="shared" si="105"/>
        <v>0</v>
      </c>
      <c r="AA214" s="1">
        <f t="shared" si="106"/>
        <v>0</v>
      </c>
      <c r="AB214" s="1">
        <f t="shared" si="107"/>
        <v>0</v>
      </c>
      <c r="AC214" s="1"/>
      <c r="AD214" s="1">
        <f t="shared" si="108"/>
        <v>0</v>
      </c>
      <c r="AE214" s="1">
        <f t="shared" si="109"/>
        <v>1</v>
      </c>
      <c r="AF214" s="1">
        <f t="shared" si="94"/>
        <v>0</v>
      </c>
      <c r="AG214" s="1">
        <f t="shared" si="95"/>
        <v>1</v>
      </c>
      <c r="AH214" s="1">
        <f t="shared" si="96"/>
        <v>0</v>
      </c>
      <c r="AI214" s="1">
        <f t="shared" si="97"/>
        <v>1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91</v>
      </c>
      <c r="E215" s="35" t="s">
        <v>166</v>
      </c>
      <c r="F215" s="39" t="s">
        <v>1878</v>
      </c>
      <c r="G215" s="35" t="s">
        <v>241</v>
      </c>
      <c r="H215" s="35" t="s">
        <v>355</v>
      </c>
      <c r="I215" s="34" t="s">
        <v>440</v>
      </c>
      <c r="J215" s="34">
        <v>1</v>
      </c>
      <c r="K215" s="36" t="s">
        <v>968</v>
      </c>
      <c r="L215" s="36" t="s">
        <v>39</v>
      </c>
      <c r="M215" s="37" t="s">
        <v>39</v>
      </c>
      <c r="N215" s="37" t="s">
        <v>1734</v>
      </c>
      <c r="O215" s="38">
        <v>1</v>
      </c>
      <c r="P215" s="38">
        <v>1</v>
      </c>
      <c r="Q215" s="35"/>
      <c r="R215" s="1"/>
      <c r="S215" s="1">
        <f t="shared" si="98"/>
        <v>1</v>
      </c>
      <c r="T215" s="1">
        <f t="shared" si="99"/>
        <v>0</v>
      </c>
      <c r="U215" s="1">
        <f t="shared" si="100"/>
        <v>0</v>
      </c>
      <c r="V215" s="1">
        <f t="shared" si="101"/>
        <v>0</v>
      </c>
      <c r="W215" s="1">
        <f t="shared" si="102"/>
        <v>0</v>
      </c>
      <c r="X215" s="1">
        <f t="shared" si="103"/>
        <v>0</v>
      </c>
      <c r="Y215" s="1">
        <f t="shared" si="104"/>
        <v>0</v>
      </c>
      <c r="Z215" s="1">
        <f t="shared" si="105"/>
        <v>0</v>
      </c>
      <c r="AA215" s="1">
        <f t="shared" si="106"/>
        <v>0</v>
      </c>
      <c r="AB215" s="1">
        <f t="shared" si="107"/>
        <v>0</v>
      </c>
      <c r="AC215" s="1"/>
      <c r="AD215" s="1">
        <f t="shared" si="108"/>
        <v>1</v>
      </c>
      <c r="AE215" s="1">
        <f t="shared" si="109"/>
        <v>0</v>
      </c>
      <c r="AF215" s="1">
        <f t="shared" si="94"/>
        <v>1</v>
      </c>
      <c r="AG215" s="1">
        <f t="shared" si="95"/>
        <v>0</v>
      </c>
      <c r="AH215" s="1">
        <f t="shared" si="96"/>
        <v>1</v>
      </c>
      <c r="AI215" s="1">
        <f t="shared" si="97"/>
        <v>0</v>
      </c>
      <c r="AJ215" s="1"/>
    </row>
    <row r="216" spans="1:16384" s="2" customFormat="1" ht="14.25" customHeight="1" x14ac:dyDescent="0.25">
      <c r="A216" s="34">
        <v>0</v>
      </c>
      <c r="B216" s="34">
        <v>1</v>
      </c>
      <c r="C216" s="34">
        <v>6</v>
      </c>
      <c r="D216" s="35" t="s">
        <v>92</v>
      </c>
      <c r="E216" s="35" t="s">
        <v>168</v>
      </c>
      <c r="F216" s="35" t="s">
        <v>287</v>
      </c>
      <c r="G216" s="35" t="s">
        <v>201</v>
      </c>
      <c r="H216" s="35" t="s">
        <v>355</v>
      </c>
      <c r="I216" s="34" t="s">
        <v>441</v>
      </c>
      <c r="J216" s="34">
        <v>2</v>
      </c>
      <c r="K216" s="36" t="s">
        <v>966</v>
      </c>
      <c r="L216" s="36" t="s">
        <v>39</v>
      </c>
      <c r="M216" s="37" t="s">
        <v>39</v>
      </c>
      <c r="N216" s="37" t="s">
        <v>1734</v>
      </c>
      <c r="O216" s="38">
        <v>1</v>
      </c>
      <c r="P216" s="38">
        <v>1</v>
      </c>
      <c r="Q216" s="35"/>
      <c r="R216" s="1"/>
      <c r="S216" s="1">
        <f t="shared" si="98"/>
        <v>0</v>
      </c>
      <c r="T216" s="1">
        <f t="shared" si="99"/>
        <v>1</v>
      </c>
      <c r="U216" s="1">
        <f t="shared" si="100"/>
        <v>0</v>
      </c>
      <c r="V216" s="1">
        <f t="shared" si="101"/>
        <v>0</v>
      </c>
      <c r="W216" s="1">
        <f t="shared" si="102"/>
        <v>0</v>
      </c>
      <c r="X216" s="1">
        <f t="shared" si="103"/>
        <v>0</v>
      </c>
      <c r="Y216" s="1">
        <f t="shared" si="104"/>
        <v>0</v>
      </c>
      <c r="Z216" s="1">
        <f t="shared" si="105"/>
        <v>0</v>
      </c>
      <c r="AA216" s="1">
        <f t="shared" si="106"/>
        <v>0</v>
      </c>
      <c r="AB216" s="1">
        <f t="shared" si="107"/>
        <v>0</v>
      </c>
      <c r="AC216" s="1"/>
      <c r="AD216" s="1">
        <f t="shared" si="108"/>
        <v>1</v>
      </c>
      <c r="AE216" s="1">
        <f t="shared" si="109"/>
        <v>0</v>
      </c>
      <c r="AF216" s="1">
        <f t="shared" si="94"/>
        <v>1</v>
      </c>
      <c r="AG216" s="1">
        <f t="shared" si="95"/>
        <v>0</v>
      </c>
      <c r="AH216" s="1">
        <f t="shared" si="96"/>
        <v>1</v>
      </c>
      <c r="AI216" s="1">
        <f t="shared" si="97"/>
        <v>0</v>
      </c>
      <c r="AJ216" s="1"/>
    </row>
    <row r="217" spans="1:16384" s="2" customFormat="1" ht="14.25" customHeight="1" x14ac:dyDescent="0.25">
      <c r="A217" s="47">
        <v>0</v>
      </c>
      <c r="B217" s="47">
        <v>1</v>
      </c>
      <c r="C217" s="47">
        <v>6</v>
      </c>
      <c r="D217" s="48" t="s">
        <v>1283</v>
      </c>
      <c r="E217" s="48" t="s">
        <v>168</v>
      </c>
      <c r="F217" s="48" t="s">
        <v>1154</v>
      </c>
      <c r="G217" s="48" t="s">
        <v>1349</v>
      </c>
      <c r="H217" s="48" t="s">
        <v>355</v>
      </c>
      <c r="I217" s="47" t="s">
        <v>1155</v>
      </c>
      <c r="J217" s="47">
        <v>99</v>
      </c>
      <c r="K217" s="49" t="s">
        <v>706</v>
      </c>
      <c r="L217" s="49">
        <v>45</v>
      </c>
      <c r="M217" s="50" t="s">
        <v>39</v>
      </c>
      <c r="N217" s="50" t="s">
        <v>1742</v>
      </c>
      <c r="O217" s="51"/>
      <c r="P217" s="51"/>
      <c r="Q217" s="48"/>
      <c r="R217" s="1"/>
      <c r="S217" s="1">
        <f t="shared" si="98"/>
        <v>0</v>
      </c>
      <c r="T217" s="1">
        <f t="shared" si="99"/>
        <v>0</v>
      </c>
      <c r="U217" s="1">
        <f t="shared" si="100"/>
        <v>0</v>
      </c>
      <c r="V217" s="1">
        <f t="shared" si="101"/>
        <v>0</v>
      </c>
      <c r="W217" s="1">
        <f t="shared" si="102"/>
        <v>0</v>
      </c>
      <c r="X217" s="1">
        <f t="shared" si="103"/>
        <v>0</v>
      </c>
      <c r="Y217" s="1">
        <f t="shared" si="104"/>
        <v>0</v>
      </c>
      <c r="Z217" s="1">
        <f t="shared" si="105"/>
        <v>0</v>
      </c>
      <c r="AA217" s="1">
        <f t="shared" si="106"/>
        <v>0</v>
      </c>
      <c r="AB217" s="1">
        <f t="shared" si="107"/>
        <v>0</v>
      </c>
      <c r="AC217" s="1"/>
      <c r="AD217" s="1">
        <f t="shared" si="108"/>
        <v>0</v>
      </c>
      <c r="AE217" s="1">
        <f t="shared" si="109"/>
        <v>0</v>
      </c>
      <c r="AF217" s="1">
        <f t="shared" si="94"/>
        <v>0</v>
      </c>
      <c r="AG217" s="1">
        <f t="shared" si="95"/>
        <v>0</v>
      </c>
      <c r="AH217" s="1">
        <f t="shared" si="96"/>
        <v>0</v>
      </c>
      <c r="AI217" s="1">
        <f t="shared" si="97"/>
        <v>1</v>
      </c>
      <c r="AJ217" s="1"/>
    </row>
    <row r="218" spans="1:16384" s="2" customFormat="1" ht="14.25" customHeight="1" x14ac:dyDescent="0.25">
      <c r="A218" s="41">
        <v>0</v>
      </c>
      <c r="B218" s="41">
        <v>1</v>
      </c>
      <c r="C218" s="41">
        <v>6</v>
      </c>
      <c r="D218" s="57" t="s">
        <v>1798</v>
      </c>
      <c r="E218" s="42" t="s">
        <v>168</v>
      </c>
      <c r="F218" s="42" t="s">
        <v>1773</v>
      </c>
      <c r="G218" s="42"/>
      <c r="H218" s="42" t="s">
        <v>355</v>
      </c>
      <c r="I218" s="41" t="s">
        <v>1774</v>
      </c>
      <c r="J218" s="41"/>
      <c r="K218" s="43" t="s">
        <v>707</v>
      </c>
      <c r="L218" s="43"/>
      <c r="M218" s="44"/>
      <c r="N218" s="45"/>
      <c r="O218" s="46"/>
      <c r="P218" s="46">
        <v>1</v>
      </c>
      <c r="Q218" s="42"/>
      <c r="R218" s="1"/>
      <c r="S218" s="1">
        <f t="shared" si="98"/>
        <v>0</v>
      </c>
      <c r="T218" s="1">
        <f t="shared" si="99"/>
        <v>0</v>
      </c>
      <c r="U218" s="1">
        <f t="shared" si="100"/>
        <v>0</v>
      </c>
      <c r="V218" s="1">
        <f t="shared" si="101"/>
        <v>0</v>
      </c>
      <c r="W218" s="1">
        <f t="shared" si="102"/>
        <v>0</v>
      </c>
      <c r="X218" s="1">
        <f t="shared" si="103"/>
        <v>0</v>
      </c>
      <c r="Y218" s="1">
        <f t="shared" si="104"/>
        <v>0</v>
      </c>
      <c r="Z218" s="1">
        <f t="shared" si="105"/>
        <v>0</v>
      </c>
      <c r="AA218" s="1">
        <f t="shared" si="106"/>
        <v>0</v>
      </c>
      <c r="AB218" s="1">
        <f t="shared" si="107"/>
        <v>0</v>
      </c>
      <c r="AC218" s="1"/>
      <c r="AD218" s="1">
        <f t="shared" si="108"/>
        <v>0</v>
      </c>
      <c r="AE218" s="1">
        <f t="shared" si="109"/>
        <v>0</v>
      </c>
      <c r="AF218" s="1">
        <f t="shared" si="94"/>
        <v>0</v>
      </c>
      <c r="AG218" s="1">
        <f t="shared" si="95"/>
        <v>0</v>
      </c>
      <c r="AH218" s="1">
        <f t="shared" si="96"/>
        <v>1</v>
      </c>
      <c r="AI218" s="1">
        <f t="shared" si="97"/>
        <v>0</v>
      </c>
      <c r="AJ218" s="1"/>
    </row>
    <row r="219" spans="1:16384" s="2" customFormat="1" ht="14.25" customHeight="1" x14ac:dyDescent="0.25">
      <c r="A219" s="34">
        <v>0</v>
      </c>
      <c r="B219" s="34">
        <v>1</v>
      </c>
      <c r="C219" s="34">
        <v>6</v>
      </c>
      <c r="D219" s="35" t="s">
        <v>1018</v>
      </c>
      <c r="E219" s="35" t="s">
        <v>168</v>
      </c>
      <c r="F219" s="35" t="s">
        <v>1019</v>
      </c>
      <c r="G219" s="35" t="s">
        <v>1107</v>
      </c>
      <c r="H219" s="35" t="s">
        <v>355</v>
      </c>
      <c r="I219" s="34" t="s">
        <v>1020</v>
      </c>
      <c r="J219" s="34">
        <v>99</v>
      </c>
      <c r="K219" s="36" t="s">
        <v>968</v>
      </c>
      <c r="L219" s="36" t="s">
        <v>39</v>
      </c>
      <c r="M219" s="37" t="s">
        <v>39</v>
      </c>
      <c r="N219" s="37" t="s">
        <v>1734</v>
      </c>
      <c r="O219" s="38">
        <v>1</v>
      </c>
      <c r="P219" s="38">
        <v>1</v>
      </c>
      <c r="Q219" s="35"/>
      <c r="R219" s="1"/>
      <c r="S219" s="1">
        <f t="shared" si="98"/>
        <v>0</v>
      </c>
      <c r="T219" s="1">
        <f t="shared" si="99"/>
        <v>0</v>
      </c>
      <c r="U219" s="1">
        <f t="shared" si="100"/>
        <v>0</v>
      </c>
      <c r="V219" s="1">
        <f t="shared" si="101"/>
        <v>0</v>
      </c>
      <c r="W219" s="1">
        <f t="shared" si="102"/>
        <v>0</v>
      </c>
      <c r="X219" s="1">
        <f t="shared" si="103"/>
        <v>0</v>
      </c>
      <c r="Y219" s="1">
        <f t="shared" si="104"/>
        <v>0</v>
      </c>
      <c r="Z219" s="1">
        <f t="shared" si="105"/>
        <v>0</v>
      </c>
      <c r="AA219" s="1">
        <f t="shared" si="106"/>
        <v>0</v>
      </c>
      <c r="AB219" s="1">
        <f t="shared" si="107"/>
        <v>0</v>
      </c>
      <c r="AC219" s="1"/>
      <c r="AD219" s="1">
        <f t="shared" si="108"/>
        <v>1</v>
      </c>
      <c r="AE219" s="1">
        <f t="shared" si="109"/>
        <v>0</v>
      </c>
      <c r="AF219" s="1">
        <f t="shared" si="94"/>
        <v>1</v>
      </c>
      <c r="AG219" s="1">
        <f t="shared" si="95"/>
        <v>0</v>
      </c>
      <c r="AH219" s="1">
        <f t="shared" si="96"/>
        <v>1</v>
      </c>
      <c r="AI219" s="1">
        <f t="shared" si="97"/>
        <v>0</v>
      </c>
      <c r="AJ219" s="1"/>
    </row>
    <row r="220" spans="1:16384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94</v>
      </c>
      <c r="E220" s="35" t="s">
        <v>170</v>
      </c>
      <c r="F220" s="35" t="s">
        <v>290</v>
      </c>
      <c r="G220" s="35" t="s">
        <v>195</v>
      </c>
      <c r="H220" s="35" t="s">
        <v>355</v>
      </c>
      <c r="I220" s="34" t="s">
        <v>443</v>
      </c>
      <c r="J220" s="34">
        <v>9</v>
      </c>
      <c r="K220" s="36" t="s">
        <v>706</v>
      </c>
      <c r="L220" s="36" t="s">
        <v>698</v>
      </c>
      <c r="M220" s="37" t="s">
        <v>710</v>
      </c>
      <c r="N220" s="37" t="s">
        <v>1755</v>
      </c>
      <c r="O220" s="38">
        <v>1</v>
      </c>
      <c r="P220" s="38"/>
      <c r="Q220" s="35"/>
      <c r="R220" s="1"/>
      <c r="S220" s="1">
        <f t="shared" si="98"/>
        <v>0</v>
      </c>
      <c r="T220" s="1">
        <f t="shared" si="99"/>
        <v>0</v>
      </c>
      <c r="U220" s="1">
        <f t="shared" si="100"/>
        <v>0</v>
      </c>
      <c r="V220" s="1">
        <f t="shared" si="101"/>
        <v>0</v>
      </c>
      <c r="W220" s="1">
        <f t="shared" si="102"/>
        <v>0</v>
      </c>
      <c r="X220" s="1">
        <f t="shared" si="103"/>
        <v>0</v>
      </c>
      <c r="Y220" s="1">
        <f t="shared" si="104"/>
        <v>0</v>
      </c>
      <c r="Z220" s="1">
        <f t="shared" si="105"/>
        <v>0</v>
      </c>
      <c r="AA220" s="1">
        <f t="shared" si="106"/>
        <v>1</v>
      </c>
      <c r="AB220" s="1">
        <f t="shared" si="107"/>
        <v>0</v>
      </c>
      <c r="AC220" s="1"/>
      <c r="AD220" s="1">
        <f t="shared" si="108"/>
        <v>0</v>
      </c>
      <c r="AE220" s="1">
        <f t="shared" si="109"/>
        <v>1</v>
      </c>
      <c r="AF220" s="1">
        <f t="shared" si="94"/>
        <v>0</v>
      </c>
      <c r="AG220" s="1">
        <f t="shared" si="95"/>
        <v>1</v>
      </c>
      <c r="AH220" s="1">
        <f t="shared" si="96"/>
        <v>0</v>
      </c>
      <c r="AI220" s="1">
        <f t="shared" si="97"/>
        <v>1</v>
      </c>
      <c r="AJ220" s="1"/>
    </row>
    <row r="221" spans="1:16384" s="2" customFormat="1" ht="14.25" customHeight="1" x14ac:dyDescent="0.25">
      <c r="A221" s="41">
        <v>0</v>
      </c>
      <c r="B221" s="41">
        <v>1</v>
      </c>
      <c r="C221" s="41">
        <v>6</v>
      </c>
      <c r="D221" s="57" t="s">
        <v>1616</v>
      </c>
      <c r="E221" s="42" t="s">
        <v>1617</v>
      </c>
      <c r="F221" s="42" t="s">
        <v>1618</v>
      </c>
      <c r="G221" s="42" t="s">
        <v>193</v>
      </c>
      <c r="H221" s="42" t="s">
        <v>355</v>
      </c>
      <c r="I221" s="41" t="s">
        <v>1619</v>
      </c>
      <c r="J221" s="41">
        <v>10</v>
      </c>
      <c r="K221" s="43" t="s">
        <v>960</v>
      </c>
      <c r="L221" s="43" t="s">
        <v>690</v>
      </c>
      <c r="M221" s="44" t="s">
        <v>1620</v>
      </c>
      <c r="N221" s="45"/>
      <c r="O221" s="46"/>
      <c r="P221" s="46">
        <v>1</v>
      </c>
      <c r="Q221" s="42"/>
      <c r="R221" s="1"/>
      <c r="S221" s="1">
        <f t="shared" si="98"/>
        <v>0</v>
      </c>
      <c r="T221" s="1">
        <f t="shared" si="99"/>
        <v>0</v>
      </c>
      <c r="U221" s="1">
        <f t="shared" si="100"/>
        <v>0</v>
      </c>
      <c r="V221" s="1">
        <f t="shared" si="101"/>
        <v>0</v>
      </c>
      <c r="W221" s="1">
        <f t="shared" si="102"/>
        <v>0</v>
      </c>
      <c r="X221" s="1">
        <f t="shared" si="103"/>
        <v>0</v>
      </c>
      <c r="Y221" s="1">
        <f t="shared" si="104"/>
        <v>0</v>
      </c>
      <c r="Z221" s="1">
        <f t="shared" si="105"/>
        <v>0</v>
      </c>
      <c r="AA221" s="1">
        <f t="shared" si="106"/>
        <v>0</v>
      </c>
      <c r="AB221" s="1">
        <f t="shared" si="107"/>
        <v>1</v>
      </c>
      <c r="AC221" s="1"/>
      <c r="AD221" s="1">
        <f t="shared" si="108"/>
        <v>0</v>
      </c>
      <c r="AE221" s="1">
        <f t="shared" si="109"/>
        <v>0</v>
      </c>
      <c r="AF221" s="1">
        <f t="shared" si="94"/>
        <v>0</v>
      </c>
      <c r="AG221" s="1">
        <f t="shared" si="95"/>
        <v>0</v>
      </c>
      <c r="AH221" s="1">
        <f t="shared" si="96"/>
        <v>1</v>
      </c>
      <c r="AI221" s="1">
        <f t="shared" si="97"/>
        <v>0</v>
      </c>
      <c r="AJ221" s="1"/>
    </row>
    <row r="222" spans="1:16384" s="2" customFormat="1" ht="14.25" customHeight="1" x14ac:dyDescent="0.25">
      <c r="A222" s="47">
        <v>0</v>
      </c>
      <c r="B222" s="47">
        <v>1</v>
      </c>
      <c r="C222" s="47">
        <v>6</v>
      </c>
      <c r="D222" s="48" t="s">
        <v>95</v>
      </c>
      <c r="E222" s="48" t="s">
        <v>166</v>
      </c>
      <c r="F222" s="48" t="s">
        <v>291</v>
      </c>
      <c r="G222" s="48" t="s">
        <v>292</v>
      </c>
      <c r="H222" s="48" t="s">
        <v>355</v>
      </c>
      <c r="I222" s="47" t="s">
        <v>444</v>
      </c>
      <c r="J222" s="47">
        <v>7</v>
      </c>
      <c r="K222" s="49" t="s">
        <v>706</v>
      </c>
      <c r="L222" s="49" t="s">
        <v>698</v>
      </c>
      <c r="M222" s="50" t="s">
        <v>702</v>
      </c>
      <c r="N222" s="50" t="s">
        <v>1741</v>
      </c>
      <c r="O222" s="51"/>
      <c r="P222" s="51"/>
      <c r="Q222" s="48"/>
      <c r="R222" s="1"/>
      <c r="S222" s="1">
        <f t="shared" si="98"/>
        <v>0</v>
      </c>
      <c r="T222" s="1">
        <f t="shared" si="99"/>
        <v>0</v>
      </c>
      <c r="U222" s="1">
        <f t="shared" si="100"/>
        <v>0</v>
      </c>
      <c r="V222" s="1">
        <f t="shared" si="101"/>
        <v>0</v>
      </c>
      <c r="W222" s="1">
        <f t="shared" si="102"/>
        <v>0</v>
      </c>
      <c r="X222" s="1">
        <f t="shared" si="103"/>
        <v>0</v>
      </c>
      <c r="Y222" s="1">
        <f t="shared" si="104"/>
        <v>1</v>
      </c>
      <c r="Z222" s="1">
        <f t="shared" si="105"/>
        <v>0</v>
      </c>
      <c r="AA222" s="1">
        <f t="shared" si="106"/>
        <v>0</v>
      </c>
      <c r="AB222" s="1">
        <f t="shared" si="107"/>
        <v>0</v>
      </c>
      <c r="AC222" s="1"/>
      <c r="AD222" s="1">
        <f t="shared" si="108"/>
        <v>0</v>
      </c>
      <c r="AE222" s="1">
        <f t="shared" si="109"/>
        <v>0</v>
      </c>
      <c r="AF222" s="1">
        <f t="shared" si="94"/>
        <v>0</v>
      </c>
      <c r="AG222" s="1">
        <f t="shared" si="95"/>
        <v>0</v>
      </c>
      <c r="AH222" s="1">
        <f t="shared" si="96"/>
        <v>0</v>
      </c>
      <c r="AI222" s="1">
        <f t="shared" si="97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1089</v>
      </c>
      <c r="E223" s="35" t="s">
        <v>168</v>
      </c>
      <c r="F223" s="35" t="s">
        <v>663</v>
      </c>
      <c r="G223" s="35" t="s">
        <v>180</v>
      </c>
      <c r="H223" s="35" t="s">
        <v>355</v>
      </c>
      <c r="I223" s="34" t="s">
        <v>382</v>
      </c>
      <c r="J223" s="34">
        <v>10</v>
      </c>
      <c r="K223" s="36" t="s">
        <v>726</v>
      </c>
      <c r="L223" s="36" t="s">
        <v>708</v>
      </c>
      <c r="M223" s="37" t="s">
        <v>711</v>
      </c>
      <c r="N223" s="37" t="s">
        <v>1757</v>
      </c>
      <c r="O223" s="38">
        <v>1</v>
      </c>
      <c r="P223" s="38"/>
      <c r="Q223" s="35"/>
      <c r="R223" s="1"/>
      <c r="S223" s="1">
        <f t="shared" si="98"/>
        <v>0</v>
      </c>
      <c r="T223" s="1">
        <f t="shared" si="99"/>
        <v>0</v>
      </c>
      <c r="U223" s="1">
        <f t="shared" si="100"/>
        <v>0</v>
      </c>
      <c r="V223" s="1">
        <f t="shared" si="101"/>
        <v>0</v>
      </c>
      <c r="W223" s="1">
        <f t="shared" si="102"/>
        <v>0</v>
      </c>
      <c r="X223" s="1">
        <f t="shared" si="103"/>
        <v>0</v>
      </c>
      <c r="Y223" s="1">
        <f t="shared" si="104"/>
        <v>0</v>
      </c>
      <c r="Z223" s="1">
        <f t="shared" si="105"/>
        <v>0</v>
      </c>
      <c r="AA223" s="1">
        <f t="shared" si="106"/>
        <v>0</v>
      </c>
      <c r="AB223" s="1">
        <f t="shared" si="107"/>
        <v>1</v>
      </c>
      <c r="AC223" s="1"/>
      <c r="AD223" s="1">
        <f t="shared" si="108"/>
        <v>0</v>
      </c>
      <c r="AE223" s="1">
        <f t="shared" si="109"/>
        <v>1</v>
      </c>
      <c r="AF223" s="1">
        <f t="shared" si="94"/>
        <v>0</v>
      </c>
      <c r="AG223" s="1">
        <f t="shared" si="95"/>
        <v>1</v>
      </c>
      <c r="AH223" s="1">
        <f t="shared" si="96"/>
        <v>0</v>
      </c>
      <c r="AI223" s="1">
        <f t="shared" si="97"/>
        <v>1</v>
      </c>
      <c r="AJ223" s="1"/>
    </row>
    <row r="224" spans="1:16384" s="2" customFormat="1" ht="14.25" customHeight="1" x14ac:dyDescent="0.25">
      <c r="A224" s="34">
        <v>0</v>
      </c>
      <c r="B224" s="34">
        <v>1</v>
      </c>
      <c r="C224" s="34">
        <v>6</v>
      </c>
      <c r="D224" s="35" t="s">
        <v>1236</v>
      </c>
      <c r="E224" s="35" t="s">
        <v>166</v>
      </c>
      <c r="F224" s="35" t="s">
        <v>1237</v>
      </c>
      <c r="G224" s="35" t="s">
        <v>1239</v>
      </c>
      <c r="H224" s="35" t="s">
        <v>355</v>
      </c>
      <c r="I224" s="34" t="s">
        <v>1238</v>
      </c>
      <c r="J224" s="34">
        <v>99</v>
      </c>
      <c r="K224" s="36" t="s">
        <v>726</v>
      </c>
      <c r="L224" s="36" t="s">
        <v>697</v>
      </c>
      <c r="M224" s="37" t="s">
        <v>1408</v>
      </c>
      <c r="N224" s="37" t="s">
        <v>1750</v>
      </c>
      <c r="O224" s="38">
        <v>1</v>
      </c>
      <c r="P224" s="38"/>
      <c r="Q224" s="35"/>
      <c r="R224" s="34"/>
      <c r="S224" s="34">
        <f t="shared" si="98"/>
        <v>0</v>
      </c>
      <c r="T224" s="34">
        <f t="shared" si="99"/>
        <v>0</v>
      </c>
      <c r="U224" s="35">
        <f t="shared" si="100"/>
        <v>0</v>
      </c>
      <c r="V224" s="35">
        <f t="shared" si="101"/>
        <v>0</v>
      </c>
      <c r="W224" s="35">
        <f t="shared" si="102"/>
        <v>0</v>
      </c>
      <c r="X224" s="35">
        <f t="shared" si="103"/>
        <v>0</v>
      </c>
      <c r="Y224" s="35">
        <f t="shared" si="104"/>
        <v>0</v>
      </c>
      <c r="Z224" s="34">
        <f t="shared" si="105"/>
        <v>0</v>
      </c>
      <c r="AA224" s="34">
        <f t="shared" si="106"/>
        <v>0</v>
      </c>
      <c r="AB224" s="36">
        <f t="shared" si="107"/>
        <v>0</v>
      </c>
      <c r="AC224" s="36"/>
      <c r="AD224" s="37">
        <f t="shared" si="108"/>
        <v>0</v>
      </c>
      <c r="AE224" s="37">
        <f t="shared" si="109"/>
        <v>1</v>
      </c>
      <c r="AF224" s="38">
        <f t="shared" si="94"/>
        <v>0</v>
      </c>
      <c r="AG224" s="38">
        <f t="shared" si="95"/>
        <v>1</v>
      </c>
      <c r="AH224" s="39">
        <f t="shared" si="96"/>
        <v>0</v>
      </c>
      <c r="AI224" s="34">
        <f t="shared" si="97"/>
        <v>1</v>
      </c>
      <c r="AJ224" s="34"/>
      <c r="AK224" s="34"/>
      <c r="AL224" s="35"/>
      <c r="AM224" s="35"/>
      <c r="AN224" s="35"/>
      <c r="AO224" s="35"/>
      <c r="AP224" s="35"/>
      <c r="AQ224" s="34"/>
      <c r="AR224" s="34"/>
      <c r="AS224" s="36"/>
      <c r="AT224" s="36"/>
      <c r="AU224" s="37"/>
      <c r="AV224" s="37"/>
      <c r="AW224" s="38"/>
      <c r="AX224" s="38"/>
      <c r="AY224" s="39"/>
      <c r="AZ224" s="34"/>
      <c r="BA224" s="34"/>
      <c r="BB224" s="34"/>
      <c r="BC224" s="35"/>
      <c r="BD224" s="35"/>
      <c r="BE224" s="35"/>
      <c r="BF224" s="35"/>
      <c r="BG224" s="35"/>
      <c r="BH224" s="34"/>
      <c r="BI224" s="34"/>
      <c r="BJ224" s="36"/>
      <c r="BK224" s="36"/>
      <c r="BL224" s="37"/>
      <c r="BM224" s="37"/>
      <c r="BN224" s="38"/>
      <c r="BO224" s="38"/>
      <c r="BP224" s="39"/>
      <c r="BQ224" s="34"/>
      <c r="BR224" s="34"/>
      <c r="BS224" s="34"/>
      <c r="BT224" s="35"/>
      <c r="BU224" s="35"/>
      <c r="BV224" s="35"/>
      <c r="BW224" s="35"/>
      <c r="BX224" s="35"/>
      <c r="BY224" s="34"/>
      <c r="BZ224" s="34"/>
      <c r="CA224" s="36"/>
      <c r="CB224" s="36"/>
      <c r="CC224" s="37"/>
      <c r="CD224" s="37"/>
      <c r="CE224" s="38"/>
      <c r="CF224" s="38"/>
      <c r="CG224" s="39"/>
      <c r="CH224" s="34"/>
      <c r="CI224" s="34"/>
      <c r="CJ224" s="34"/>
      <c r="CK224" s="35"/>
      <c r="CL224" s="35"/>
      <c r="CM224" s="35"/>
      <c r="CN224" s="35"/>
      <c r="CO224" s="35"/>
      <c r="CP224" s="34"/>
      <c r="CQ224" s="34"/>
      <c r="CR224" s="36"/>
      <c r="CS224" s="36"/>
      <c r="CT224" s="37"/>
      <c r="CU224" s="37"/>
      <c r="CV224" s="38"/>
      <c r="CW224" s="38"/>
      <c r="CX224" s="39"/>
      <c r="CY224" s="34"/>
      <c r="CZ224" s="34"/>
      <c r="DA224" s="34"/>
      <c r="DB224" s="35"/>
      <c r="DC224" s="35"/>
      <c r="DD224" s="35"/>
      <c r="DE224" s="35"/>
      <c r="DF224" s="35"/>
      <c r="DG224" s="34"/>
      <c r="DH224" s="34"/>
      <c r="DI224" s="36"/>
      <c r="DJ224" s="36"/>
      <c r="DK224" s="37"/>
      <c r="DL224" s="37"/>
      <c r="DM224" s="38"/>
      <c r="DN224" s="38"/>
      <c r="DO224" s="39"/>
      <c r="DP224" s="34"/>
      <c r="DQ224" s="34"/>
      <c r="DR224" s="34"/>
      <c r="DS224" s="35"/>
      <c r="DT224" s="35"/>
      <c r="DU224" s="35"/>
      <c r="DV224" s="35"/>
      <c r="DW224" s="35"/>
      <c r="DX224" s="34"/>
      <c r="DY224" s="34"/>
      <c r="DZ224" s="36"/>
      <c r="EA224" s="36"/>
      <c r="EB224" s="37"/>
      <c r="EC224" s="37"/>
      <c r="ED224" s="38"/>
      <c r="EE224" s="38"/>
      <c r="EF224" s="39"/>
      <c r="EG224" s="34"/>
      <c r="EH224" s="34"/>
      <c r="EI224" s="34"/>
      <c r="EJ224" s="35"/>
      <c r="EK224" s="35"/>
      <c r="EL224" s="35"/>
      <c r="EM224" s="35"/>
      <c r="EN224" s="35"/>
      <c r="EO224" s="34"/>
      <c r="EP224" s="34"/>
      <c r="EQ224" s="36"/>
      <c r="ER224" s="36"/>
      <c r="ES224" s="37"/>
      <c r="ET224" s="37"/>
      <c r="EU224" s="38"/>
      <c r="EV224" s="38"/>
      <c r="EW224" s="39"/>
      <c r="EX224" s="34"/>
      <c r="EY224" s="34"/>
      <c r="EZ224" s="34"/>
      <c r="FA224" s="35"/>
      <c r="FB224" s="35"/>
      <c r="FC224" s="35"/>
      <c r="FD224" s="35"/>
      <c r="FE224" s="35"/>
      <c r="FF224" s="34"/>
      <c r="FG224" s="34"/>
      <c r="FH224" s="36"/>
      <c r="FI224" s="36"/>
      <c r="FJ224" s="37"/>
      <c r="FK224" s="37"/>
      <c r="FL224" s="38"/>
      <c r="FM224" s="38"/>
      <c r="FN224" s="39"/>
      <c r="FO224" s="34"/>
      <c r="FP224" s="34"/>
      <c r="FQ224" s="34"/>
      <c r="FR224" s="35"/>
      <c r="FS224" s="35"/>
      <c r="FT224" s="35"/>
      <c r="FU224" s="35"/>
      <c r="FV224" s="35"/>
      <c r="FW224" s="34"/>
      <c r="FX224" s="34"/>
      <c r="FY224" s="36"/>
      <c r="FZ224" s="36"/>
      <c r="GA224" s="37"/>
      <c r="GB224" s="37"/>
      <c r="GC224" s="38"/>
      <c r="GD224" s="38"/>
      <c r="GE224" s="39"/>
      <c r="GF224" s="34"/>
      <c r="GG224" s="34"/>
      <c r="GH224" s="34"/>
      <c r="GI224" s="35"/>
      <c r="GJ224" s="35"/>
      <c r="GK224" s="35"/>
      <c r="GL224" s="35"/>
      <c r="GM224" s="35"/>
      <c r="GN224" s="34"/>
      <c r="GO224" s="34"/>
      <c r="GP224" s="36"/>
      <c r="GQ224" s="36"/>
      <c r="GR224" s="37"/>
      <c r="GS224" s="37"/>
      <c r="GT224" s="38"/>
      <c r="GU224" s="38"/>
      <c r="GV224" s="39"/>
      <c r="GW224" s="34"/>
      <c r="GX224" s="34"/>
      <c r="GY224" s="34"/>
      <c r="GZ224" s="35"/>
      <c r="HA224" s="35"/>
      <c r="HB224" s="35"/>
      <c r="HC224" s="35"/>
      <c r="HD224" s="35"/>
      <c r="HE224" s="34"/>
      <c r="HF224" s="34"/>
      <c r="HG224" s="36"/>
      <c r="HH224" s="36"/>
      <c r="HI224" s="37"/>
      <c r="HJ224" s="37"/>
      <c r="HK224" s="38"/>
      <c r="HL224" s="38"/>
      <c r="HM224" s="39"/>
      <c r="HN224" s="34"/>
      <c r="HO224" s="34"/>
      <c r="HP224" s="34"/>
      <c r="HQ224" s="35"/>
      <c r="HR224" s="35"/>
      <c r="HS224" s="35"/>
      <c r="HT224" s="35"/>
      <c r="HU224" s="35"/>
      <c r="HV224" s="34"/>
      <c r="HW224" s="34"/>
      <c r="HX224" s="36"/>
      <c r="HY224" s="36"/>
      <c r="HZ224" s="37"/>
      <c r="IA224" s="37"/>
      <c r="IB224" s="38"/>
      <c r="IC224" s="38"/>
      <c r="ID224" s="39"/>
      <c r="IE224" s="34"/>
      <c r="IF224" s="34"/>
      <c r="IG224" s="34"/>
      <c r="IH224" s="35"/>
      <c r="II224" s="35"/>
      <c r="IJ224" s="35"/>
      <c r="IK224" s="35"/>
      <c r="IL224" s="35"/>
      <c r="IM224" s="34"/>
      <c r="IN224" s="34"/>
      <c r="IO224" s="36"/>
      <c r="IP224" s="36"/>
      <c r="IQ224" s="37"/>
      <c r="IR224" s="37"/>
      <c r="IS224" s="38"/>
      <c r="IT224" s="38"/>
      <c r="IU224" s="39"/>
      <c r="IV224" s="34"/>
      <c r="IW224" s="34"/>
      <c r="IX224" s="34"/>
      <c r="IY224" s="35"/>
      <c r="IZ224" s="35"/>
      <c r="JA224" s="35"/>
      <c r="JB224" s="35"/>
      <c r="JC224" s="35"/>
      <c r="JD224" s="34"/>
      <c r="JE224" s="34"/>
      <c r="JF224" s="36"/>
      <c r="JG224" s="36"/>
      <c r="JH224" s="37"/>
      <c r="JI224" s="37"/>
      <c r="JJ224" s="38"/>
      <c r="JK224" s="38"/>
      <c r="JL224" s="39"/>
      <c r="JM224" s="34"/>
      <c r="JN224" s="34"/>
      <c r="JO224" s="34"/>
      <c r="JP224" s="35"/>
      <c r="JQ224" s="35"/>
      <c r="JR224" s="35"/>
      <c r="JS224" s="35"/>
      <c r="JT224" s="35"/>
      <c r="JU224" s="34"/>
      <c r="JV224" s="34"/>
      <c r="JW224" s="36"/>
      <c r="JX224" s="36"/>
      <c r="JY224" s="37"/>
      <c r="JZ224" s="37"/>
      <c r="KA224" s="38"/>
      <c r="KB224" s="38"/>
      <c r="KC224" s="39"/>
      <c r="KD224" s="34"/>
      <c r="KE224" s="34"/>
      <c r="KF224" s="34"/>
      <c r="KG224" s="35"/>
      <c r="KH224" s="35"/>
      <c r="KI224" s="35"/>
      <c r="KJ224" s="35"/>
      <c r="KK224" s="35"/>
      <c r="KL224" s="34"/>
      <c r="KM224" s="34"/>
      <c r="KN224" s="36"/>
      <c r="KO224" s="36"/>
      <c r="KP224" s="37"/>
      <c r="KQ224" s="37"/>
      <c r="KR224" s="38"/>
      <c r="KS224" s="38"/>
      <c r="KT224" s="39"/>
      <c r="KU224" s="34"/>
      <c r="KV224" s="34"/>
      <c r="KW224" s="34"/>
      <c r="KX224" s="35"/>
      <c r="KY224" s="35"/>
      <c r="KZ224" s="35"/>
      <c r="LA224" s="35"/>
      <c r="LB224" s="35"/>
      <c r="LC224" s="34"/>
      <c r="LD224" s="34"/>
      <c r="LE224" s="36"/>
      <c r="LF224" s="36"/>
      <c r="LG224" s="37"/>
      <c r="LH224" s="37"/>
      <c r="LI224" s="38"/>
      <c r="LJ224" s="38"/>
      <c r="LK224" s="39"/>
      <c r="LL224" s="34"/>
      <c r="LM224" s="34"/>
      <c r="LN224" s="34"/>
      <c r="LO224" s="35"/>
      <c r="LP224" s="35"/>
      <c r="LQ224" s="35"/>
      <c r="LR224" s="35"/>
      <c r="LS224" s="35"/>
      <c r="LT224" s="34"/>
      <c r="LU224" s="34"/>
      <c r="LV224" s="36"/>
      <c r="LW224" s="36"/>
      <c r="LX224" s="37"/>
      <c r="LY224" s="37"/>
      <c r="LZ224" s="38"/>
      <c r="MA224" s="38"/>
      <c r="MB224" s="39"/>
      <c r="MC224" s="34"/>
      <c r="MD224" s="34"/>
      <c r="ME224" s="34"/>
      <c r="MF224" s="35"/>
      <c r="MG224" s="35"/>
      <c r="MH224" s="35"/>
      <c r="MI224" s="35"/>
      <c r="MJ224" s="35"/>
      <c r="MK224" s="34"/>
      <c r="ML224" s="34"/>
      <c r="MM224" s="36"/>
      <c r="MN224" s="36"/>
      <c r="MO224" s="37"/>
      <c r="MP224" s="37"/>
      <c r="MQ224" s="38"/>
      <c r="MR224" s="38"/>
      <c r="MS224" s="39"/>
      <c r="MT224" s="34"/>
      <c r="MU224" s="34"/>
      <c r="MV224" s="34"/>
      <c r="MW224" s="35"/>
      <c r="MX224" s="35"/>
      <c r="MY224" s="35"/>
      <c r="MZ224" s="35"/>
      <c r="NA224" s="35"/>
      <c r="NB224" s="34"/>
      <c r="NC224" s="34"/>
      <c r="ND224" s="36"/>
      <c r="NE224" s="36"/>
      <c r="NF224" s="37"/>
      <c r="NG224" s="37"/>
      <c r="NH224" s="38"/>
      <c r="NI224" s="38"/>
      <c r="NJ224" s="39"/>
      <c r="NK224" s="34"/>
      <c r="NL224" s="34"/>
      <c r="NM224" s="34"/>
      <c r="NN224" s="35"/>
      <c r="NO224" s="35"/>
      <c r="NP224" s="35"/>
      <c r="NQ224" s="35"/>
      <c r="NR224" s="35"/>
      <c r="NS224" s="34"/>
      <c r="NT224" s="34"/>
      <c r="NU224" s="36"/>
      <c r="NV224" s="36"/>
      <c r="NW224" s="37"/>
      <c r="NX224" s="37"/>
      <c r="NY224" s="38"/>
      <c r="NZ224" s="38"/>
      <c r="OA224" s="39"/>
      <c r="OB224" s="34"/>
      <c r="OC224" s="34"/>
      <c r="OD224" s="34"/>
      <c r="OE224" s="35"/>
      <c r="OF224" s="35"/>
      <c r="OG224" s="35"/>
      <c r="OH224" s="35"/>
      <c r="OI224" s="35"/>
      <c r="OJ224" s="34"/>
      <c r="OK224" s="34"/>
      <c r="OL224" s="36"/>
      <c r="OM224" s="36"/>
      <c r="ON224" s="37"/>
      <c r="OO224" s="37"/>
      <c r="OP224" s="38"/>
      <c r="OQ224" s="38"/>
      <c r="OR224" s="39"/>
      <c r="OS224" s="34"/>
      <c r="OT224" s="34"/>
      <c r="OU224" s="34"/>
      <c r="OV224" s="35"/>
      <c r="OW224" s="35"/>
      <c r="OX224" s="35"/>
      <c r="OY224" s="35"/>
      <c r="OZ224" s="35"/>
      <c r="PA224" s="34"/>
      <c r="PB224" s="34"/>
      <c r="PC224" s="36"/>
      <c r="PD224" s="36"/>
      <c r="PE224" s="37"/>
      <c r="PF224" s="37"/>
      <c r="PG224" s="38"/>
      <c r="PH224" s="38"/>
      <c r="PI224" s="39"/>
      <c r="PJ224" s="34"/>
      <c r="PK224" s="34"/>
      <c r="PL224" s="34"/>
      <c r="PM224" s="35"/>
      <c r="PN224" s="35"/>
      <c r="PO224" s="35"/>
      <c r="PP224" s="35"/>
      <c r="PQ224" s="35"/>
      <c r="PR224" s="34"/>
      <c r="PS224" s="34"/>
      <c r="PT224" s="36"/>
      <c r="PU224" s="36"/>
      <c r="PV224" s="37"/>
      <c r="PW224" s="37"/>
      <c r="PX224" s="38"/>
      <c r="PY224" s="38"/>
      <c r="PZ224" s="39"/>
      <c r="QA224" s="34"/>
      <c r="QB224" s="34"/>
      <c r="QC224" s="34"/>
      <c r="QD224" s="35"/>
      <c r="QE224" s="35"/>
      <c r="QF224" s="35"/>
      <c r="QG224" s="35"/>
      <c r="QH224" s="35"/>
      <c r="QI224" s="34"/>
      <c r="QJ224" s="34"/>
      <c r="QK224" s="36"/>
      <c r="QL224" s="36"/>
      <c r="QM224" s="37"/>
      <c r="QN224" s="37"/>
      <c r="QO224" s="38"/>
      <c r="QP224" s="38"/>
      <c r="QQ224" s="39"/>
      <c r="QR224" s="34"/>
      <c r="QS224" s="34"/>
      <c r="QT224" s="34"/>
      <c r="QU224" s="35"/>
      <c r="QV224" s="35"/>
      <c r="QW224" s="35"/>
      <c r="QX224" s="35"/>
      <c r="QY224" s="35"/>
      <c r="QZ224" s="34"/>
      <c r="RA224" s="34"/>
      <c r="RB224" s="36"/>
      <c r="RC224" s="36"/>
      <c r="RD224" s="37"/>
      <c r="RE224" s="37"/>
      <c r="RF224" s="38"/>
      <c r="RG224" s="38"/>
      <c r="RH224" s="39"/>
      <c r="RI224" s="34"/>
      <c r="RJ224" s="34"/>
      <c r="RK224" s="34"/>
      <c r="RL224" s="35"/>
      <c r="RM224" s="35"/>
      <c r="RN224" s="35"/>
      <c r="RO224" s="35"/>
      <c r="RP224" s="35"/>
      <c r="RQ224" s="34"/>
      <c r="RR224" s="34"/>
      <c r="RS224" s="36"/>
      <c r="RT224" s="36"/>
      <c r="RU224" s="37"/>
      <c r="RV224" s="37"/>
      <c r="RW224" s="38"/>
      <c r="RX224" s="38"/>
      <c r="RY224" s="39"/>
      <c r="RZ224" s="34"/>
      <c r="SA224" s="34"/>
      <c r="SB224" s="34"/>
      <c r="SC224" s="35"/>
      <c r="SD224" s="35"/>
      <c r="SE224" s="35"/>
      <c r="SF224" s="35"/>
      <c r="SG224" s="35"/>
      <c r="SH224" s="34"/>
      <c r="SI224" s="34"/>
      <c r="SJ224" s="36"/>
      <c r="SK224" s="36"/>
      <c r="SL224" s="37"/>
      <c r="SM224" s="37"/>
      <c r="SN224" s="38"/>
      <c r="SO224" s="38"/>
      <c r="SP224" s="39"/>
      <c r="SQ224" s="34"/>
      <c r="SR224" s="34"/>
      <c r="SS224" s="34"/>
      <c r="ST224" s="35"/>
      <c r="SU224" s="35"/>
      <c r="SV224" s="35"/>
      <c r="SW224" s="35"/>
      <c r="SX224" s="35"/>
      <c r="SY224" s="34"/>
      <c r="SZ224" s="34"/>
      <c r="TA224" s="36"/>
      <c r="TB224" s="36"/>
      <c r="TC224" s="37"/>
      <c r="TD224" s="37"/>
      <c r="TE224" s="38"/>
      <c r="TF224" s="38"/>
      <c r="TG224" s="39"/>
      <c r="TH224" s="34"/>
      <c r="TI224" s="34"/>
      <c r="TJ224" s="34"/>
      <c r="TK224" s="35"/>
      <c r="TL224" s="35"/>
      <c r="TM224" s="35"/>
      <c r="TN224" s="35"/>
      <c r="TO224" s="35"/>
      <c r="TP224" s="34"/>
      <c r="TQ224" s="34"/>
      <c r="TR224" s="36"/>
      <c r="TS224" s="36"/>
      <c r="TT224" s="37"/>
      <c r="TU224" s="37"/>
      <c r="TV224" s="38"/>
      <c r="TW224" s="38"/>
      <c r="TX224" s="39"/>
      <c r="TY224" s="34"/>
      <c r="TZ224" s="34"/>
      <c r="UA224" s="34"/>
      <c r="UB224" s="35"/>
      <c r="UC224" s="35"/>
      <c r="UD224" s="35"/>
      <c r="UE224" s="35"/>
      <c r="UF224" s="35"/>
      <c r="UG224" s="34"/>
      <c r="UH224" s="34"/>
      <c r="UI224" s="36"/>
      <c r="UJ224" s="36"/>
      <c r="UK224" s="37"/>
      <c r="UL224" s="37"/>
      <c r="UM224" s="38"/>
      <c r="UN224" s="38"/>
      <c r="UO224" s="39"/>
      <c r="UP224" s="34"/>
      <c r="UQ224" s="34"/>
      <c r="UR224" s="34"/>
      <c r="US224" s="35"/>
      <c r="UT224" s="35"/>
      <c r="UU224" s="35"/>
      <c r="UV224" s="35"/>
      <c r="UW224" s="35"/>
      <c r="UX224" s="34"/>
      <c r="UY224" s="34"/>
      <c r="UZ224" s="36"/>
      <c r="VA224" s="36"/>
      <c r="VB224" s="37"/>
      <c r="VC224" s="37"/>
      <c r="VD224" s="38"/>
      <c r="VE224" s="38"/>
      <c r="VF224" s="39"/>
      <c r="VG224" s="34"/>
      <c r="VH224" s="34"/>
      <c r="VI224" s="34"/>
      <c r="VJ224" s="35"/>
      <c r="VK224" s="35"/>
      <c r="VL224" s="35"/>
      <c r="VM224" s="35"/>
      <c r="VN224" s="35"/>
      <c r="VO224" s="34"/>
      <c r="VP224" s="34"/>
      <c r="VQ224" s="36"/>
      <c r="VR224" s="36"/>
      <c r="VS224" s="37"/>
      <c r="VT224" s="37"/>
      <c r="VU224" s="38"/>
      <c r="VV224" s="38"/>
      <c r="VW224" s="39"/>
      <c r="VX224" s="34"/>
      <c r="VY224" s="34"/>
      <c r="VZ224" s="34"/>
      <c r="WA224" s="35"/>
      <c r="WB224" s="35"/>
      <c r="WC224" s="35"/>
      <c r="WD224" s="35"/>
      <c r="WE224" s="35"/>
      <c r="WF224" s="34"/>
      <c r="WG224" s="34"/>
      <c r="WH224" s="36"/>
      <c r="WI224" s="36"/>
      <c r="WJ224" s="37"/>
      <c r="WK224" s="37"/>
      <c r="WL224" s="38"/>
      <c r="WM224" s="38"/>
      <c r="WN224" s="39"/>
      <c r="WO224" s="34"/>
      <c r="WP224" s="34"/>
      <c r="WQ224" s="34"/>
      <c r="WR224" s="35"/>
      <c r="WS224" s="35"/>
      <c r="WT224" s="35"/>
      <c r="WU224" s="35"/>
      <c r="WV224" s="35"/>
      <c r="WW224" s="34"/>
      <c r="WX224" s="34"/>
      <c r="WY224" s="36"/>
      <c r="WZ224" s="36"/>
      <c r="XA224" s="37"/>
      <c r="XB224" s="37"/>
      <c r="XC224" s="38"/>
      <c r="XD224" s="38"/>
      <c r="XE224" s="39"/>
      <c r="XF224" s="34"/>
      <c r="XG224" s="34"/>
      <c r="XH224" s="34"/>
      <c r="XI224" s="35"/>
      <c r="XJ224" s="35"/>
      <c r="XK224" s="35"/>
      <c r="XL224" s="35"/>
      <c r="XM224" s="35"/>
      <c r="XN224" s="34"/>
      <c r="XO224" s="34"/>
      <c r="XP224" s="36"/>
      <c r="XQ224" s="36"/>
      <c r="XR224" s="37"/>
      <c r="XS224" s="37"/>
      <c r="XT224" s="38"/>
      <c r="XU224" s="38"/>
      <c r="XV224" s="39"/>
      <c r="XW224" s="34"/>
      <c r="XX224" s="34"/>
      <c r="XY224" s="34"/>
      <c r="XZ224" s="35"/>
      <c r="YA224" s="35"/>
      <c r="YB224" s="35"/>
      <c r="YC224" s="35"/>
      <c r="YD224" s="35"/>
      <c r="YE224" s="34"/>
      <c r="YF224" s="34"/>
      <c r="YG224" s="36"/>
      <c r="YH224" s="36"/>
      <c r="YI224" s="37"/>
      <c r="YJ224" s="37"/>
      <c r="YK224" s="38"/>
      <c r="YL224" s="38"/>
      <c r="YM224" s="39"/>
      <c r="YN224" s="34"/>
      <c r="YO224" s="34"/>
      <c r="YP224" s="34"/>
      <c r="YQ224" s="35"/>
      <c r="YR224" s="35"/>
      <c r="YS224" s="35"/>
      <c r="YT224" s="35"/>
      <c r="YU224" s="35"/>
      <c r="YV224" s="34"/>
      <c r="YW224" s="34"/>
      <c r="YX224" s="36"/>
      <c r="YY224" s="36"/>
      <c r="YZ224" s="37"/>
      <c r="ZA224" s="37"/>
      <c r="ZB224" s="38"/>
      <c r="ZC224" s="38"/>
      <c r="ZD224" s="39"/>
      <c r="ZE224" s="34"/>
      <c r="ZF224" s="34"/>
      <c r="ZG224" s="34"/>
      <c r="ZH224" s="35"/>
      <c r="ZI224" s="35"/>
      <c r="ZJ224" s="35"/>
      <c r="ZK224" s="35"/>
      <c r="ZL224" s="35"/>
      <c r="ZM224" s="34"/>
      <c r="ZN224" s="34"/>
      <c r="ZO224" s="36"/>
      <c r="ZP224" s="36"/>
      <c r="ZQ224" s="37"/>
      <c r="ZR224" s="37"/>
      <c r="ZS224" s="38"/>
      <c r="ZT224" s="38"/>
      <c r="ZU224" s="39"/>
      <c r="ZV224" s="34"/>
      <c r="ZW224" s="34"/>
      <c r="ZX224" s="34"/>
      <c r="ZY224" s="35"/>
      <c r="ZZ224" s="35"/>
      <c r="AAA224" s="35"/>
      <c r="AAB224" s="35"/>
      <c r="AAC224" s="35"/>
      <c r="AAD224" s="34"/>
      <c r="AAE224" s="34"/>
      <c r="AAF224" s="36"/>
      <c r="AAG224" s="36"/>
      <c r="AAH224" s="37"/>
      <c r="AAI224" s="37"/>
      <c r="AAJ224" s="38"/>
      <c r="AAK224" s="38"/>
      <c r="AAL224" s="39"/>
      <c r="AAM224" s="34"/>
      <c r="AAN224" s="34"/>
      <c r="AAO224" s="34"/>
      <c r="AAP224" s="35"/>
      <c r="AAQ224" s="35"/>
      <c r="AAR224" s="35"/>
      <c r="AAS224" s="35"/>
      <c r="AAT224" s="35"/>
      <c r="AAU224" s="34"/>
      <c r="AAV224" s="34"/>
      <c r="AAW224" s="36"/>
      <c r="AAX224" s="36"/>
      <c r="AAY224" s="37"/>
      <c r="AAZ224" s="37"/>
      <c r="ABA224" s="38"/>
      <c r="ABB224" s="38"/>
      <c r="ABC224" s="39"/>
      <c r="ABD224" s="34"/>
      <c r="ABE224" s="34"/>
      <c r="ABF224" s="34"/>
      <c r="ABG224" s="35"/>
      <c r="ABH224" s="35"/>
      <c r="ABI224" s="35"/>
      <c r="ABJ224" s="35"/>
      <c r="ABK224" s="35"/>
      <c r="ABL224" s="34"/>
      <c r="ABM224" s="34"/>
      <c r="ABN224" s="36"/>
      <c r="ABO224" s="36"/>
      <c r="ABP224" s="37"/>
      <c r="ABQ224" s="37"/>
      <c r="ABR224" s="38"/>
      <c r="ABS224" s="38"/>
      <c r="ABT224" s="39"/>
      <c r="ABU224" s="34"/>
      <c r="ABV224" s="34"/>
      <c r="ABW224" s="34"/>
      <c r="ABX224" s="35"/>
      <c r="ABY224" s="35"/>
      <c r="ABZ224" s="35"/>
      <c r="ACA224" s="35"/>
      <c r="ACB224" s="35"/>
      <c r="ACC224" s="34"/>
      <c r="ACD224" s="34"/>
      <c r="ACE224" s="36"/>
      <c r="ACF224" s="36"/>
      <c r="ACG224" s="37"/>
      <c r="ACH224" s="37"/>
      <c r="ACI224" s="38"/>
      <c r="ACJ224" s="38"/>
      <c r="ACK224" s="39"/>
      <c r="ACL224" s="34"/>
      <c r="ACM224" s="34"/>
      <c r="ACN224" s="34"/>
      <c r="ACO224" s="35"/>
      <c r="ACP224" s="35"/>
      <c r="ACQ224" s="35"/>
      <c r="ACR224" s="35"/>
      <c r="ACS224" s="35"/>
      <c r="ACT224" s="34"/>
      <c r="ACU224" s="34"/>
      <c r="ACV224" s="36"/>
      <c r="ACW224" s="36"/>
      <c r="ACX224" s="37"/>
      <c r="ACY224" s="37"/>
      <c r="ACZ224" s="38"/>
      <c r="ADA224" s="38"/>
      <c r="ADB224" s="39"/>
      <c r="ADC224" s="34"/>
      <c r="ADD224" s="34"/>
      <c r="ADE224" s="34"/>
      <c r="ADF224" s="35"/>
      <c r="ADG224" s="35"/>
      <c r="ADH224" s="35"/>
      <c r="ADI224" s="35"/>
      <c r="ADJ224" s="35"/>
      <c r="ADK224" s="34"/>
      <c r="ADL224" s="34"/>
      <c r="ADM224" s="36"/>
      <c r="ADN224" s="36"/>
      <c r="ADO224" s="37"/>
      <c r="ADP224" s="37"/>
      <c r="ADQ224" s="38"/>
      <c r="ADR224" s="38"/>
      <c r="ADS224" s="39"/>
      <c r="ADT224" s="34"/>
      <c r="ADU224" s="34"/>
      <c r="ADV224" s="34"/>
      <c r="ADW224" s="35"/>
      <c r="ADX224" s="35"/>
      <c r="ADY224" s="35"/>
      <c r="ADZ224" s="35"/>
      <c r="AEA224" s="35"/>
      <c r="AEB224" s="34"/>
      <c r="AEC224" s="34"/>
      <c r="AED224" s="36"/>
      <c r="AEE224" s="36"/>
      <c r="AEF224" s="37"/>
      <c r="AEG224" s="37"/>
      <c r="AEH224" s="38"/>
      <c r="AEI224" s="38"/>
      <c r="AEJ224" s="39"/>
      <c r="AEK224" s="34"/>
      <c r="AEL224" s="34"/>
      <c r="AEM224" s="34"/>
      <c r="AEN224" s="35"/>
      <c r="AEO224" s="35"/>
      <c r="AEP224" s="35"/>
      <c r="AEQ224" s="35"/>
      <c r="AER224" s="35"/>
      <c r="AES224" s="34"/>
      <c r="AET224" s="34"/>
      <c r="AEU224" s="36"/>
      <c r="AEV224" s="36"/>
      <c r="AEW224" s="37"/>
      <c r="AEX224" s="37"/>
      <c r="AEY224" s="38"/>
      <c r="AEZ224" s="38"/>
      <c r="AFA224" s="39"/>
      <c r="AFB224" s="34"/>
      <c r="AFC224" s="34"/>
      <c r="AFD224" s="34"/>
      <c r="AFE224" s="35"/>
      <c r="AFF224" s="35"/>
      <c r="AFG224" s="35"/>
      <c r="AFH224" s="35"/>
      <c r="AFI224" s="35"/>
      <c r="AFJ224" s="34"/>
      <c r="AFK224" s="34"/>
      <c r="AFL224" s="36"/>
      <c r="AFM224" s="36"/>
      <c r="AFN224" s="37"/>
      <c r="AFO224" s="37"/>
      <c r="AFP224" s="38"/>
      <c r="AFQ224" s="38"/>
      <c r="AFR224" s="39"/>
      <c r="AFS224" s="34"/>
      <c r="AFT224" s="34"/>
      <c r="AFU224" s="34"/>
      <c r="AFV224" s="35"/>
      <c r="AFW224" s="35"/>
      <c r="AFX224" s="35"/>
      <c r="AFY224" s="35"/>
      <c r="AFZ224" s="35"/>
      <c r="AGA224" s="34"/>
      <c r="AGB224" s="34"/>
      <c r="AGC224" s="36"/>
      <c r="AGD224" s="36"/>
      <c r="AGE224" s="37"/>
      <c r="AGF224" s="37"/>
      <c r="AGG224" s="38"/>
      <c r="AGH224" s="38"/>
      <c r="AGI224" s="39"/>
      <c r="AGJ224" s="34"/>
      <c r="AGK224" s="34"/>
      <c r="AGL224" s="34"/>
      <c r="AGM224" s="35"/>
      <c r="AGN224" s="35"/>
      <c r="AGO224" s="35"/>
      <c r="AGP224" s="35"/>
      <c r="AGQ224" s="35"/>
      <c r="AGR224" s="34"/>
      <c r="AGS224" s="34"/>
      <c r="AGT224" s="36"/>
      <c r="AGU224" s="36"/>
      <c r="AGV224" s="37"/>
      <c r="AGW224" s="37"/>
      <c r="AGX224" s="38"/>
      <c r="AGY224" s="38"/>
      <c r="AGZ224" s="39"/>
      <c r="AHA224" s="34"/>
      <c r="AHB224" s="34"/>
      <c r="AHC224" s="34"/>
      <c r="AHD224" s="35"/>
      <c r="AHE224" s="35"/>
      <c r="AHF224" s="35"/>
      <c r="AHG224" s="35"/>
      <c r="AHH224" s="35"/>
      <c r="AHI224" s="34"/>
      <c r="AHJ224" s="34"/>
      <c r="AHK224" s="36"/>
      <c r="AHL224" s="36"/>
      <c r="AHM224" s="37"/>
      <c r="AHN224" s="37"/>
      <c r="AHO224" s="38"/>
      <c r="AHP224" s="38"/>
      <c r="AHQ224" s="39"/>
      <c r="AHR224" s="34"/>
      <c r="AHS224" s="34"/>
      <c r="AHT224" s="34"/>
      <c r="AHU224" s="35"/>
      <c r="AHV224" s="35"/>
      <c r="AHW224" s="35"/>
      <c r="AHX224" s="35"/>
      <c r="AHY224" s="35"/>
      <c r="AHZ224" s="34"/>
      <c r="AIA224" s="34"/>
      <c r="AIB224" s="36"/>
      <c r="AIC224" s="36"/>
      <c r="AID224" s="37"/>
      <c r="AIE224" s="37"/>
      <c r="AIF224" s="38"/>
      <c r="AIG224" s="38"/>
      <c r="AIH224" s="39"/>
      <c r="AII224" s="34"/>
      <c r="AIJ224" s="34"/>
      <c r="AIK224" s="34"/>
      <c r="AIL224" s="35"/>
      <c r="AIM224" s="35"/>
      <c r="AIN224" s="35"/>
      <c r="AIO224" s="35"/>
      <c r="AIP224" s="35"/>
      <c r="AIQ224" s="34"/>
      <c r="AIR224" s="34"/>
      <c r="AIS224" s="36"/>
      <c r="AIT224" s="36"/>
      <c r="AIU224" s="37"/>
      <c r="AIV224" s="37"/>
      <c r="AIW224" s="38"/>
      <c r="AIX224" s="38"/>
      <c r="AIY224" s="39"/>
      <c r="AIZ224" s="34"/>
      <c r="AJA224" s="34"/>
      <c r="AJB224" s="34"/>
      <c r="AJC224" s="35"/>
      <c r="AJD224" s="35"/>
      <c r="AJE224" s="35"/>
      <c r="AJF224" s="35"/>
      <c r="AJG224" s="35"/>
      <c r="AJH224" s="34"/>
      <c r="AJI224" s="34"/>
      <c r="AJJ224" s="36"/>
      <c r="AJK224" s="36"/>
      <c r="AJL224" s="37"/>
      <c r="AJM224" s="37"/>
      <c r="AJN224" s="38"/>
      <c r="AJO224" s="38"/>
      <c r="AJP224" s="39"/>
      <c r="AJQ224" s="34"/>
      <c r="AJR224" s="34"/>
      <c r="AJS224" s="34"/>
      <c r="AJT224" s="35"/>
      <c r="AJU224" s="35"/>
      <c r="AJV224" s="35"/>
      <c r="AJW224" s="35"/>
      <c r="AJX224" s="35"/>
      <c r="AJY224" s="34"/>
      <c r="AJZ224" s="34"/>
      <c r="AKA224" s="36"/>
      <c r="AKB224" s="36"/>
      <c r="AKC224" s="37"/>
      <c r="AKD224" s="37"/>
      <c r="AKE224" s="38"/>
      <c r="AKF224" s="38"/>
      <c r="AKG224" s="39"/>
      <c r="AKH224" s="34"/>
      <c r="AKI224" s="34"/>
      <c r="AKJ224" s="34"/>
      <c r="AKK224" s="35"/>
      <c r="AKL224" s="35"/>
      <c r="AKM224" s="35"/>
      <c r="AKN224" s="35"/>
      <c r="AKO224" s="35"/>
      <c r="AKP224" s="34"/>
      <c r="AKQ224" s="34"/>
      <c r="AKR224" s="36"/>
      <c r="AKS224" s="36"/>
      <c r="AKT224" s="37"/>
      <c r="AKU224" s="37"/>
      <c r="AKV224" s="38"/>
      <c r="AKW224" s="38"/>
      <c r="AKX224" s="39"/>
      <c r="AKY224" s="34"/>
      <c r="AKZ224" s="34"/>
      <c r="ALA224" s="34"/>
      <c r="ALB224" s="35"/>
      <c r="ALC224" s="35"/>
      <c r="ALD224" s="35"/>
      <c r="ALE224" s="35"/>
      <c r="ALF224" s="35"/>
      <c r="ALG224" s="34"/>
      <c r="ALH224" s="34"/>
      <c r="ALI224" s="36"/>
      <c r="ALJ224" s="36"/>
      <c r="ALK224" s="37"/>
      <c r="ALL224" s="37"/>
      <c r="ALM224" s="38"/>
      <c r="ALN224" s="38"/>
      <c r="ALO224" s="39"/>
      <c r="ALP224" s="34"/>
      <c r="ALQ224" s="34"/>
      <c r="ALR224" s="34"/>
      <c r="ALS224" s="35"/>
      <c r="ALT224" s="35"/>
      <c r="ALU224" s="35"/>
      <c r="ALV224" s="35"/>
      <c r="ALW224" s="35"/>
      <c r="ALX224" s="34"/>
      <c r="ALY224" s="34"/>
      <c r="ALZ224" s="36"/>
      <c r="AMA224" s="36"/>
      <c r="AMB224" s="37"/>
      <c r="AMC224" s="37"/>
      <c r="AMD224" s="38"/>
      <c r="AME224" s="38"/>
      <c r="AMF224" s="39"/>
      <c r="AMG224" s="34"/>
      <c r="AMH224" s="34"/>
      <c r="AMI224" s="34"/>
      <c r="AMJ224" s="35"/>
      <c r="AMK224" s="35"/>
      <c r="AML224" s="35"/>
      <c r="AMM224" s="35"/>
      <c r="AMN224" s="35"/>
      <c r="AMO224" s="34"/>
      <c r="AMP224" s="34"/>
      <c r="AMQ224" s="36"/>
      <c r="AMR224" s="36"/>
      <c r="AMS224" s="37"/>
      <c r="AMT224" s="37"/>
      <c r="AMU224" s="38"/>
      <c r="AMV224" s="38"/>
      <c r="AMW224" s="39"/>
      <c r="AMX224" s="34"/>
      <c r="AMY224" s="34"/>
      <c r="AMZ224" s="34"/>
      <c r="ANA224" s="35"/>
      <c r="ANB224" s="35"/>
      <c r="ANC224" s="35"/>
      <c r="AND224" s="35"/>
      <c r="ANE224" s="35"/>
      <c r="ANF224" s="34"/>
      <c r="ANG224" s="34"/>
      <c r="ANH224" s="36"/>
      <c r="ANI224" s="36"/>
      <c r="ANJ224" s="37"/>
      <c r="ANK224" s="37"/>
      <c r="ANL224" s="38"/>
      <c r="ANM224" s="38"/>
      <c r="ANN224" s="39"/>
      <c r="ANO224" s="34"/>
      <c r="ANP224" s="34"/>
      <c r="ANQ224" s="34"/>
      <c r="ANR224" s="35"/>
      <c r="ANS224" s="35"/>
      <c r="ANT224" s="35"/>
      <c r="ANU224" s="35"/>
      <c r="ANV224" s="35"/>
      <c r="ANW224" s="34"/>
      <c r="ANX224" s="34"/>
      <c r="ANY224" s="36"/>
      <c r="ANZ224" s="36"/>
      <c r="AOA224" s="37"/>
      <c r="AOB224" s="37"/>
      <c r="AOC224" s="38"/>
      <c r="AOD224" s="38"/>
      <c r="AOE224" s="39"/>
      <c r="AOF224" s="34"/>
      <c r="AOG224" s="34"/>
      <c r="AOH224" s="34"/>
      <c r="AOI224" s="35"/>
      <c r="AOJ224" s="35"/>
      <c r="AOK224" s="35"/>
      <c r="AOL224" s="35"/>
      <c r="AOM224" s="35"/>
      <c r="AON224" s="34"/>
      <c r="AOO224" s="34"/>
      <c r="AOP224" s="36"/>
      <c r="AOQ224" s="36"/>
      <c r="AOR224" s="37"/>
      <c r="AOS224" s="37"/>
      <c r="AOT224" s="38"/>
      <c r="AOU224" s="38"/>
      <c r="AOV224" s="39"/>
      <c r="AOW224" s="34"/>
      <c r="AOX224" s="34"/>
      <c r="AOY224" s="34"/>
      <c r="AOZ224" s="35"/>
      <c r="APA224" s="35"/>
      <c r="APB224" s="35"/>
      <c r="APC224" s="35"/>
      <c r="APD224" s="35"/>
      <c r="APE224" s="34"/>
      <c r="APF224" s="34"/>
      <c r="APG224" s="36"/>
      <c r="APH224" s="36"/>
      <c r="API224" s="37"/>
      <c r="APJ224" s="37"/>
      <c r="APK224" s="38"/>
      <c r="APL224" s="38"/>
      <c r="APM224" s="39"/>
      <c r="APN224" s="34"/>
      <c r="APO224" s="34"/>
      <c r="APP224" s="34"/>
      <c r="APQ224" s="35"/>
      <c r="APR224" s="35"/>
      <c r="APS224" s="35"/>
      <c r="APT224" s="35"/>
      <c r="APU224" s="35"/>
      <c r="APV224" s="34"/>
      <c r="APW224" s="34"/>
      <c r="APX224" s="36"/>
      <c r="APY224" s="36"/>
      <c r="APZ224" s="37"/>
      <c r="AQA224" s="37"/>
      <c r="AQB224" s="38"/>
      <c r="AQC224" s="38"/>
      <c r="AQD224" s="39"/>
      <c r="AQE224" s="34"/>
      <c r="AQF224" s="34"/>
      <c r="AQG224" s="34"/>
      <c r="AQH224" s="35"/>
      <c r="AQI224" s="35"/>
      <c r="AQJ224" s="35"/>
      <c r="AQK224" s="35"/>
      <c r="AQL224" s="35"/>
      <c r="AQM224" s="34"/>
      <c r="AQN224" s="34"/>
      <c r="AQO224" s="36"/>
      <c r="AQP224" s="36"/>
      <c r="AQQ224" s="37"/>
      <c r="AQR224" s="37"/>
      <c r="AQS224" s="38"/>
      <c r="AQT224" s="38"/>
      <c r="AQU224" s="39"/>
      <c r="AQV224" s="34"/>
      <c r="AQW224" s="34"/>
      <c r="AQX224" s="34"/>
      <c r="AQY224" s="35"/>
      <c r="AQZ224" s="35"/>
      <c r="ARA224" s="35"/>
      <c r="ARB224" s="35"/>
      <c r="ARC224" s="35"/>
      <c r="ARD224" s="34"/>
      <c r="ARE224" s="34"/>
      <c r="ARF224" s="36"/>
      <c r="ARG224" s="36"/>
      <c r="ARH224" s="37"/>
      <c r="ARI224" s="37"/>
      <c r="ARJ224" s="38"/>
      <c r="ARK224" s="38"/>
      <c r="ARL224" s="39"/>
      <c r="ARM224" s="34"/>
      <c r="ARN224" s="34"/>
      <c r="ARO224" s="34"/>
      <c r="ARP224" s="35"/>
      <c r="ARQ224" s="35"/>
      <c r="ARR224" s="35"/>
      <c r="ARS224" s="35"/>
      <c r="ART224" s="35"/>
      <c r="ARU224" s="34"/>
      <c r="ARV224" s="34"/>
      <c r="ARW224" s="36"/>
      <c r="ARX224" s="36"/>
      <c r="ARY224" s="37"/>
      <c r="ARZ224" s="37"/>
      <c r="ASA224" s="38"/>
      <c r="ASB224" s="38"/>
      <c r="ASC224" s="39"/>
      <c r="ASD224" s="34"/>
      <c r="ASE224" s="34"/>
      <c r="ASF224" s="34"/>
      <c r="ASG224" s="35"/>
      <c r="ASH224" s="35"/>
      <c r="ASI224" s="35"/>
      <c r="ASJ224" s="35"/>
      <c r="ASK224" s="35"/>
      <c r="ASL224" s="34"/>
      <c r="ASM224" s="34"/>
      <c r="ASN224" s="36"/>
      <c r="ASO224" s="36"/>
      <c r="ASP224" s="37"/>
      <c r="ASQ224" s="37"/>
      <c r="ASR224" s="38"/>
      <c r="ASS224" s="38"/>
      <c r="AST224" s="39"/>
      <c r="ASU224" s="34"/>
      <c r="ASV224" s="34"/>
      <c r="ASW224" s="34"/>
      <c r="ASX224" s="35"/>
      <c r="ASY224" s="35"/>
      <c r="ASZ224" s="35"/>
      <c r="ATA224" s="35"/>
      <c r="ATB224" s="35"/>
      <c r="ATC224" s="34"/>
      <c r="ATD224" s="34"/>
      <c r="ATE224" s="36"/>
      <c r="ATF224" s="36"/>
      <c r="ATG224" s="37"/>
      <c r="ATH224" s="37"/>
      <c r="ATI224" s="38"/>
      <c r="ATJ224" s="38"/>
      <c r="ATK224" s="39"/>
      <c r="ATL224" s="34"/>
      <c r="ATM224" s="34"/>
      <c r="ATN224" s="34"/>
      <c r="ATO224" s="35"/>
      <c r="ATP224" s="35"/>
      <c r="ATQ224" s="35"/>
      <c r="ATR224" s="35"/>
      <c r="ATS224" s="35"/>
      <c r="ATT224" s="34"/>
      <c r="ATU224" s="34"/>
      <c r="ATV224" s="36"/>
      <c r="ATW224" s="36"/>
      <c r="ATX224" s="37"/>
      <c r="ATY224" s="37"/>
      <c r="ATZ224" s="38"/>
      <c r="AUA224" s="38"/>
      <c r="AUB224" s="39"/>
      <c r="AUC224" s="34"/>
      <c r="AUD224" s="34"/>
      <c r="AUE224" s="34"/>
      <c r="AUF224" s="35"/>
      <c r="AUG224" s="35"/>
      <c r="AUH224" s="35"/>
      <c r="AUI224" s="35"/>
      <c r="AUJ224" s="35"/>
      <c r="AUK224" s="34"/>
      <c r="AUL224" s="34"/>
      <c r="AUM224" s="36"/>
      <c r="AUN224" s="36"/>
      <c r="AUO224" s="37"/>
      <c r="AUP224" s="37"/>
      <c r="AUQ224" s="38"/>
      <c r="AUR224" s="38"/>
      <c r="AUS224" s="39"/>
      <c r="AUT224" s="34"/>
      <c r="AUU224" s="34"/>
      <c r="AUV224" s="34"/>
      <c r="AUW224" s="35"/>
      <c r="AUX224" s="35"/>
      <c r="AUY224" s="35"/>
      <c r="AUZ224" s="35"/>
      <c r="AVA224" s="35"/>
      <c r="AVB224" s="34"/>
      <c r="AVC224" s="34"/>
      <c r="AVD224" s="36"/>
      <c r="AVE224" s="36"/>
      <c r="AVF224" s="37"/>
      <c r="AVG224" s="37"/>
      <c r="AVH224" s="38"/>
      <c r="AVI224" s="38"/>
      <c r="AVJ224" s="39"/>
      <c r="AVK224" s="34"/>
      <c r="AVL224" s="34"/>
      <c r="AVM224" s="34"/>
      <c r="AVN224" s="35"/>
      <c r="AVO224" s="35"/>
      <c r="AVP224" s="35"/>
      <c r="AVQ224" s="35"/>
      <c r="AVR224" s="35"/>
      <c r="AVS224" s="34"/>
      <c r="AVT224" s="34"/>
      <c r="AVU224" s="36"/>
      <c r="AVV224" s="36"/>
      <c r="AVW224" s="37"/>
      <c r="AVX224" s="37"/>
      <c r="AVY224" s="38"/>
      <c r="AVZ224" s="38"/>
      <c r="AWA224" s="39"/>
      <c r="AWB224" s="34"/>
      <c r="AWC224" s="34"/>
      <c r="AWD224" s="34"/>
      <c r="AWE224" s="35"/>
      <c r="AWF224" s="35"/>
      <c r="AWG224" s="35"/>
      <c r="AWH224" s="35"/>
      <c r="AWI224" s="35"/>
      <c r="AWJ224" s="34"/>
      <c r="AWK224" s="34"/>
      <c r="AWL224" s="36"/>
      <c r="AWM224" s="36"/>
      <c r="AWN224" s="37"/>
      <c r="AWO224" s="37"/>
      <c r="AWP224" s="38"/>
      <c r="AWQ224" s="38"/>
      <c r="AWR224" s="39"/>
      <c r="AWS224" s="34"/>
      <c r="AWT224" s="34"/>
      <c r="AWU224" s="34"/>
      <c r="AWV224" s="35"/>
      <c r="AWW224" s="35"/>
      <c r="AWX224" s="35"/>
      <c r="AWY224" s="35"/>
      <c r="AWZ224" s="35"/>
      <c r="AXA224" s="34"/>
      <c r="AXB224" s="34"/>
      <c r="AXC224" s="36"/>
      <c r="AXD224" s="36"/>
      <c r="AXE224" s="37"/>
      <c r="AXF224" s="37"/>
      <c r="AXG224" s="38"/>
      <c r="AXH224" s="38"/>
      <c r="AXI224" s="39"/>
      <c r="AXJ224" s="34"/>
      <c r="AXK224" s="34"/>
      <c r="AXL224" s="34"/>
      <c r="AXM224" s="35"/>
      <c r="AXN224" s="35"/>
      <c r="AXO224" s="35"/>
      <c r="AXP224" s="35"/>
      <c r="AXQ224" s="35"/>
      <c r="AXR224" s="34"/>
      <c r="AXS224" s="34"/>
      <c r="AXT224" s="36"/>
      <c r="AXU224" s="36"/>
      <c r="AXV224" s="37"/>
      <c r="AXW224" s="37"/>
      <c r="AXX224" s="38"/>
      <c r="AXY224" s="38"/>
      <c r="AXZ224" s="39"/>
      <c r="AYA224" s="34"/>
      <c r="AYB224" s="34"/>
      <c r="AYC224" s="34"/>
      <c r="AYD224" s="35"/>
      <c r="AYE224" s="35"/>
      <c r="AYF224" s="35"/>
      <c r="AYG224" s="35"/>
      <c r="AYH224" s="35"/>
      <c r="AYI224" s="34"/>
      <c r="AYJ224" s="34"/>
      <c r="AYK224" s="36"/>
      <c r="AYL224" s="36"/>
      <c r="AYM224" s="37"/>
      <c r="AYN224" s="37"/>
      <c r="AYO224" s="38"/>
      <c r="AYP224" s="38"/>
      <c r="AYQ224" s="39"/>
      <c r="AYR224" s="34"/>
      <c r="AYS224" s="34"/>
      <c r="AYT224" s="34"/>
      <c r="AYU224" s="35"/>
      <c r="AYV224" s="35"/>
      <c r="AYW224" s="35"/>
      <c r="AYX224" s="35"/>
      <c r="AYY224" s="35"/>
      <c r="AYZ224" s="34"/>
      <c r="AZA224" s="34"/>
      <c r="AZB224" s="36"/>
      <c r="AZC224" s="36"/>
      <c r="AZD224" s="37"/>
      <c r="AZE224" s="37"/>
      <c r="AZF224" s="38"/>
      <c r="AZG224" s="38"/>
      <c r="AZH224" s="39"/>
      <c r="AZI224" s="34"/>
      <c r="AZJ224" s="34"/>
      <c r="AZK224" s="34"/>
      <c r="AZL224" s="35"/>
      <c r="AZM224" s="35"/>
      <c r="AZN224" s="35"/>
      <c r="AZO224" s="35"/>
      <c r="AZP224" s="35"/>
      <c r="AZQ224" s="34"/>
      <c r="AZR224" s="34"/>
      <c r="AZS224" s="36"/>
      <c r="AZT224" s="36"/>
      <c r="AZU224" s="37"/>
      <c r="AZV224" s="37"/>
      <c r="AZW224" s="38"/>
      <c r="AZX224" s="38"/>
      <c r="AZY224" s="39"/>
      <c r="AZZ224" s="34"/>
      <c r="BAA224" s="34"/>
      <c r="BAB224" s="34"/>
      <c r="BAC224" s="35"/>
      <c r="BAD224" s="35"/>
      <c r="BAE224" s="35"/>
      <c r="BAF224" s="35"/>
      <c r="BAG224" s="35"/>
      <c r="BAH224" s="34"/>
      <c r="BAI224" s="34"/>
      <c r="BAJ224" s="36"/>
      <c r="BAK224" s="36"/>
      <c r="BAL224" s="37"/>
      <c r="BAM224" s="37"/>
      <c r="BAN224" s="38"/>
      <c r="BAO224" s="38"/>
      <c r="BAP224" s="39"/>
      <c r="BAQ224" s="34"/>
      <c r="BAR224" s="34"/>
      <c r="BAS224" s="34"/>
      <c r="BAT224" s="35"/>
      <c r="BAU224" s="35"/>
      <c r="BAV224" s="35"/>
      <c r="BAW224" s="35"/>
      <c r="BAX224" s="35"/>
      <c r="BAY224" s="34"/>
      <c r="BAZ224" s="34"/>
      <c r="BBA224" s="36"/>
      <c r="BBB224" s="36"/>
      <c r="BBC224" s="37"/>
      <c r="BBD224" s="37"/>
      <c r="BBE224" s="38"/>
      <c r="BBF224" s="38"/>
      <c r="BBG224" s="39"/>
      <c r="BBH224" s="34"/>
      <c r="BBI224" s="34"/>
      <c r="BBJ224" s="34"/>
      <c r="BBK224" s="35"/>
      <c r="BBL224" s="35"/>
      <c r="BBM224" s="35"/>
      <c r="BBN224" s="35"/>
      <c r="BBO224" s="35"/>
      <c r="BBP224" s="34"/>
      <c r="BBQ224" s="34"/>
      <c r="BBR224" s="36"/>
      <c r="BBS224" s="36"/>
      <c r="BBT224" s="37"/>
      <c r="BBU224" s="37"/>
      <c r="BBV224" s="38"/>
      <c r="BBW224" s="38"/>
      <c r="BBX224" s="39"/>
      <c r="BBY224" s="34"/>
      <c r="BBZ224" s="34"/>
      <c r="BCA224" s="34"/>
      <c r="BCB224" s="35"/>
      <c r="BCC224" s="35"/>
      <c r="BCD224" s="35"/>
      <c r="BCE224" s="35"/>
      <c r="BCF224" s="35"/>
      <c r="BCG224" s="34"/>
      <c r="BCH224" s="34"/>
      <c r="BCI224" s="36"/>
      <c r="BCJ224" s="36"/>
      <c r="BCK224" s="37"/>
      <c r="BCL224" s="37"/>
      <c r="BCM224" s="38"/>
      <c r="BCN224" s="38"/>
      <c r="BCO224" s="39"/>
      <c r="BCP224" s="34"/>
      <c r="BCQ224" s="34"/>
      <c r="BCR224" s="34"/>
      <c r="BCS224" s="35"/>
      <c r="BCT224" s="35"/>
      <c r="BCU224" s="35"/>
      <c r="BCV224" s="35"/>
      <c r="BCW224" s="35"/>
      <c r="BCX224" s="34"/>
      <c r="BCY224" s="34"/>
      <c r="BCZ224" s="36"/>
      <c r="BDA224" s="36"/>
      <c r="BDB224" s="37"/>
      <c r="BDC224" s="37"/>
      <c r="BDD224" s="38"/>
      <c r="BDE224" s="38"/>
      <c r="BDF224" s="39"/>
      <c r="BDG224" s="34"/>
      <c r="BDH224" s="34"/>
      <c r="BDI224" s="34"/>
      <c r="BDJ224" s="35"/>
      <c r="BDK224" s="35"/>
      <c r="BDL224" s="35"/>
      <c r="BDM224" s="35"/>
      <c r="BDN224" s="35"/>
      <c r="BDO224" s="34"/>
      <c r="BDP224" s="34"/>
      <c r="BDQ224" s="36"/>
      <c r="BDR224" s="36"/>
      <c r="BDS224" s="37"/>
      <c r="BDT224" s="37"/>
      <c r="BDU224" s="38"/>
      <c r="BDV224" s="38"/>
      <c r="BDW224" s="39"/>
      <c r="BDX224" s="34"/>
      <c r="BDY224" s="34"/>
      <c r="BDZ224" s="34"/>
      <c r="BEA224" s="35"/>
      <c r="BEB224" s="35"/>
      <c r="BEC224" s="35"/>
      <c r="BED224" s="35"/>
      <c r="BEE224" s="35"/>
      <c r="BEF224" s="34"/>
      <c r="BEG224" s="34"/>
      <c r="BEH224" s="36"/>
      <c r="BEI224" s="36"/>
      <c r="BEJ224" s="37"/>
      <c r="BEK224" s="37"/>
      <c r="BEL224" s="38"/>
      <c r="BEM224" s="38"/>
      <c r="BEN224" s="39"/>
      <c r="BEO224" s="34"/>
      <c r="BEP224" s="34"/>
      <c r="BEQ224" s="34"/>
      <c r="BER224" s="35"/>
      <c r="BES224" s="35"/>
      <c r="BET224" s="35"/>
      <c r="BEU224" s="35"/>
      <c r="BEV224" s="35"/>
      <c r="BEW224" s="34"/>
      <c r="BEX224" s="34"/>
      <c r="BEY224" s="36"/>
      <c r="BEZ224" s="36"/>
      <c r="BFA224" s="37"/>
      <c r="BFB224" s="37"/>
      <c r="BFC224" s="38"/>
      <c r="BFD224" s="38"/>
      <c r="BFE224" s="39"/>
      <c r="BFF224" s="34"/>
      <c r="BFG224" s="34"/>
      <c r="BFH224" s="34"/>
      <c r="BFI224" s="35"/>
      <c r="BFJ224" s="35"/>
      <c r="BFK224" s="35"/>
      <c r="BFL224" s="35"/>
      <c r="BFM224" s="35"/>
      <c r="BFN224" s="34"/>
      <c r="BFO224" s="34"/>
      <c r="BFP224" s="36"/>
      <c r="BFQ224" s="36"/>
      <c r="BFR224" s="37"/>
      <c r="BFS224" s="37"/>
      <c r="BFT224" s="38"/>
      <c r="BFU224" s="38"/>
      <c r="BFV224" s="39"/>
      <c r="BFW224" s="34"/>
      <c r="BFX224" s="34"/>
      <c r="BFY224" s="34"/>
      <c r="BFZ224" s="35"/>
      <c r="BGA224" s="35"/>
      <c r="BGB224" s="35"/>
      <c r="BGC224" s="35"/>
      <c r="BGD224" s="35"/>
      <c r="BGE224" s="34"/>
      <c r="BGF224" s="34"/>
      <c r="BGG224" s="36"/>
      <c r="BGH224" s="36"/>
      <c r="BGI224" s="37"/>
      <c r="BGJ224" s="37"/>
      <c r="BGK224" s="38"/>
      <c r="BGL224" s="38"/>
      <c r="BGM224" s="39"/>
      <c r="BGN224" s="34"/>
      <c r="BGO224" s="34"/>
      <c r="BGP224" s="34"/>
      <c r="BGQ224" s="35"/>
      <c r="BGR224" s="35"/>
      <c r="BGS224" s="35"/>
      <c r="BGT224" s="35"/>
      <c r="BGU224" s="35"/>
      <c r="BGV224" s="34"/>
      <c r="BGW224" s="34"/>
      <c r="BGX224" s="36"/>
      <c r="BGY224" s="36"/>
      <c r="BGZ224" s="37"/>
      <c r="BHA224" s="37"/>
      <c r="BHB224" s="38"/>
      <c r="BHC224" s="38"/>
      <c r="BHD224" s="39"/>
      <c r="BHE224" s="34"/>
      <c r="BHF224" s="34"/>
      <c r="BHG224" s="34"/>
      <c r="BHH224" s="35"/>
      <c r="BHI224" s="35"/>
      <c r="BHJ224" s="35"/>
      <c r="BHK224" s="35"/>
      <c r="BHL224" s="35"/>
      <c r="BHM224" s="34"/>
      <c r="BHN224" s="34"/>
      <c r="BHO224" s="36"/>
      <c r="BHP224" s="36"/>
      <c r="BHQ224" s="37"/>
      <c r="BHR224" s="37"/>
      <c r="BHS224" s="38"/>
      <c r="BHT224" s="38"/>
      <c r="BHU224" s="39"/>
      <c r="BHV224" s="34"/>
      <c r="BHW224" s="34"/>
      <c r="BHX224" s="34"/>
      <c r="BHY224" s="35"/>
      <c r="BHZ224" s="35"/>
      <c r="BIA224" s="35"/>
      <c r="BIB224" s="35"/>
      <c r="BIC224" s="35"/>
      <c r="BID224" s="34"/>
      <c r="BIE224" s="34"/>
      <c r="BIF224" s="36"/>
      <c r="BIG224" s="36"/>
      <c r="BIH224" s="37"/>
      <c r="BII224" s="37"/>
      <c r="BIJ224" s="38"/>
      <c r="BIK224" s="38"/>
      <c r="BIL224" s="39"/>
      <c r="BIM224" s="34"/>
      <c r="BIN224" s="34"/>
      <c r="BIO224" s="34"/>
      <c r="BIP224" s="35"/>
      <c r="BIQ224" s="35"/>
      <c r="BIR224" s="35"/>
      <c r="BIS224" s="35"/>
      <c r="BIT224" s="35"/>
      <c r="BIU224" s="34"/>
      <c r="BIV224" s="34"/>
      <c r="BIW224" s="36"/>
      <c r="BIX224" s="36"/>
      <c r="BIY224" s="37"/>
      <c r="BIZ224" s="37"/>
      <c r="BJA224" s="38"/>
      <c r="BJB224" s="38"/>
      <c r="BJC224" s="39"/>
      <c r="BJD224" s="34"/>
      <c r="BJE224" s="34"/>
      <c r="BJF224" s="34"/>
      <c r="BJG224" s="35"/>
      <c r="BJH224" s="35"/>
      <c r="BJI224" s="35"/>
      <c r="BJJ224" s="35"/>
      <c r="BJK224" s="35"/>
      <c r="BJL224" s="34"/>
      <c r="BJM224" s="34"/>
      <c r="BJN224" s="36"/>
      <c r="BJO224" s="36"/>
      <c r="BJP224" s="37"/>
      <c r="BJQ224" s="37"/>
      <c r="BJR224" s="38"/>
      <c r="BJS224" s="38"/>
      <c r="BJT224" s="39"/>
      <c r="BJU224" s="34"/>
      <c r="BJV224" s="34"/>
      <c r="BJW224" s="34"/>
      <c r="BJX224" s="35"/>
      <c r="BJY224" s="35"/>
      <c r="BJZ224" s="35"/>
      <c r="BKA224" s="35"/>
      <c r="BKB224" s="35"/>
      <c r="BKC224" s="34"/>
      <c r="BKD224" s="34"/>
      <c r="BKE224" s="36"/>
      <c r="BKF224" s="36"/>
      <c r="BKG224" s="37"/>
      <c r="BKH224" s="37"/>
      <c r="BKI224" s="38"/>
      <c r="BKJ224" s="38"/>
      <c r="BKK224" s="39"/>
      <c r="BKL224" s="34"/>
      <c r="BKM224" s="34"/>
      <c r="BKN224" s="34"/>
      <c r="BKO224" s="35"/>
      <c r="BKP224" s="35"/>
      <c r="BKQ224" s="35"/>
      <c r="BKR224" s="35"/>
      <c r="BKS224" s="35"/>
      <c r="BKT224" s="34"/>
      <c r="BKU224" s="34"/>
      <c r="BKV224" s="36"/>
      <c r="BKW224" s="36"/>
      <c r="BKX224" s="37"/>
      <c r="BKY224" s="37"/>
      <c r="BKZ224" s="38"/>
      <c r="BLA224" s="38"/>
      <c r="BLB224" s="39"/>
      <c r="BLC224" s="34"/>
      <c r="BLD224" s="34"/>
      <c r="BLE224" s="34"/>
      <c r="BLF224" s="35"/>
      <c r="BLG224" s="35"/>
      <c r="BLH224" s="35"/>
      <c r="BLI224" s="35"/>
      <c r="BLJ224" s="35"/>
      <c r="BLK224" s="34"/>
      <c r="BLL224" s="34"/>
      <c r="BLM224" s="36"/>
      <c r="BLN224" s="36"/>
      <c r="BLO224" s="37"/>
      <c r="BLP224" s="37"/>
      <c r="BLQ224" s="38"/>
      <c r="BLR224" s="38"/>
      <c r="BLS224" s="39"/>
      <c r="BLT224" s="34"/>
      <c r="BLU224" s="34"/>
      <c r="BLV224" s="34"/>
      <c r="BLW224" s="35"/>
      <c r="BLX224" s="35"/>
      <c r="BLY224" s="35"/>
      <c r="BLZ224" s="35"/>
      <c r="BMA224" s="35"/>
      <c r="BMB224" s="34"/>
      <c r="BMC224" s="34"/>
      <c r="BMD224" s="36"/>
      <c r="BME224" s="36"/>
      <c r="BMF224" s="37"/>
      <c r="BMG224" s="37"/>
      <c r="BMH224" s="38"/>
      <c r="BMI224" s="38"/>
      <c r="BMJ224" s="39"/>
      <c r="BMK224" s="34"/>
      <c r="BML224" s="34"/>
      <c r="BMM224" s="34"/>
      <c r="BMN224" s="35"/>
      <c r="BMO224" s="35"/>
      <c r="BMP224" s="35"/>
      <c r="BMQ224" s="35"/>
      <c r="BMR224" s="35"/>
      <c r="BMS224" s="34"/>
      <c r="BMT224" s="34"/>
      <c r="BMU224" s="36"/>
      <c r="BMV224" s="36"/>
      <c r="BMW224" s="37"/>
      <c r="BMX224" s="37"/>
      <c r="BMY224" s="38"/>
      <c r="BMZ224" s="38"/>
      <c r="BNA224" s="39"/>
      <c r="BNB224" s="34"/>
      <c r="BNC224" s="34"/>
      <c r="BND224" s="34"/>
      <c r="BNE224" s="35"/>
      <c r="BNF224" s="35"/>
      <c r="BNG224" s="35"/>
      <c r="BNH224" s="35"/>
      <c r="BNI224" s="35"/>
      <c r="BNJ224" s="34"/>
      <c r="BNK224" s="34"/>
      <c r="BNL224" s="36"/>
      <c r="BNM224" s="36"/>
      <c r="BNN224" s="37"/>
      <c r="BNO224" s="37"/>
      <c r="BNP224" s="38"/>
      <c r="BNQ224" s="38"/>
      <c r="BNR224" s="39"/>
      <c r="BNS224" s="34"/>
      <c r="BNT224" s="34"/>
      <c r="BNU224" s="34"/>
      <c r="BNV224" s="35"/>
      <c r="BNW224" s="35"/>
      <c r="BNX224" s="35"/>
      <c r="BNY224" s="35"/>
      <c r="BNZ224" s="35"/>
      <c r="BOA224" s="34"/>
      <c r="BOB224" s="34"/>
      <c r="BOC224" s="36"/>
      <c r="BOD224" s="36"/>
      <c r="BOE224" s="37"/>
      <c r="BOF224" s="37"/>
      <c r="BOG224" s="38"/>
      <c r="BOH224" s="38"/>
      <c r="BOI224" s="39"/>
      <c r="BOJ224" s="34"/>
      <c r="BOK224" s="34"/>
      <c r="BOL224" s="34"/>
      <c r="BOM224" s="35"/>
      <c r="BON224" s="35"/>
      <c r="BOO224" s="35"/>
      <c r="BOP224" s="35"/>
      <c r="BOQ224" s="35"/>
      <c r="BOR224" s="34"/>
      <c r="BOS224" s="34"/>
      <c r="BOT224" s="36"/>
      <c r="BOU224" s="36"/>
      <c r="BOV224" s="37"/>
      <c r="BOW224" s="37"/>
      <c r="BOX224" s="38"/>
      <c r="BOY224" s="38"/>
      <c r="BOZ224" s="39"/>
      <c r="BPA224" s="34"/>
      <c r="BPB224" s="34"/>
      <c r="BPC224" s="34"/>
      <c r="BPD224" s="35"/>
      <c r="BPE224" s="35"/>
      <c r="BPF224" s="35"/>
      <c r="BPG224" s="35"/>
      <c r="BPH224" s="35"/>
      <c r="BPI224" s="34"/>
      <c r="BPJ224" s="34"/>
      <c r="BPK224" s="36"/>
      <c r="BPL224" s="36"/>
      <c r="BPM224" s="37"/>
      <c r="BPN224" s="37"/>
      <c r="BPO224" s="38"/>
      <c r="BPP224" s="38"/>
      <c r="BPQ224" s="39"/>
      <c r="BPR224" s="34"/>
      <c r="BPS224" s="34"/>
      <c r="BPT224" s="34"/>
      <c r="BPU224" s="35"/>
      <c r="BPV224" s="35"/>
      <c r="BPW224" s="35"/>
      <c r="BPX224" s="35"/>
      <c r="BPY224" s="35"/>
      <c r="BPZ224" s="34"/>
      <c r="BQA224" s="34"/>
      <c r="BQB224" s="36"/>
      <c r="BQC224" s="36"/>
      <c r="BQD224" s="37"/>
      <c r="BQE224" s="37"/>
      <c r="BQF224" s="38"/>
      <c r="BQG224" s="38"/>
      <c r="BQH224" s="39"/>
      <c r="BQI224" s="34"/>
      <c r="BQJ224" s="34"/>
      <c r="BQK224" s="34"/>
      <c r="BQL224" s="35"/>
      <c r="BQM224" s="35"/>
      <c r="BQN224" s="35"/>
      <c r="BQO224" s="35"/>
      <c r="BQP224" s="35"/>
      <c r="BQQ224" s="34"/>
      <c r="BQR224" s="34"/>
      <c r="BQS224" s="36"/>
      <c r="BQT224" s="36"/>
      <c r="BQU224" s="37"/>
      <c r="BQV224" s="37"/>
      <c r="BQW224" s="38"/>
      <c r="BQX224" s="38"/>
      <c r="BQY224" s="39"/>
      <c r="BQZ224" s="34"/>
      <c r="BRA224" s="34"/>
      <c r="BRB224" s="34"/>
      <c r="BRC224" s="35"/>
      <c r="BRD224" s="35"/>
      <c r="BRE224" s="35"/>
      <c r="BRF224" s="35"/>
      <c r="BRG224" s="35"/>
      <c r="BRH224" s="34"/>
      <c r="BRI224" s="34"/>
      <c r="BRJ224" s="36"/>
      <c r="BRK224" s="36"/>
      <c r="BRL224" s="37"/>
      <c r="BRM224" s="37"/>
      <c r="BRN224" s="38"/>
      <c r="BRO224" s="38"/>
      <c r="BRP224" s="39"/>
      <c r="BRQ224" s="34"/>
      <c r="BRR224" s="34"/>
      <c r="BRS224" s="34"/>
      <c r="BRT224" s="35"/>
      <c r="BRU224" s="35"/>
      <c r="BRV224" s="35"/>
      <c r="BRW224" s="35"/>
      <c r="BRX224" s="35"/>
      <c r="BRY224" s="34"/>
      <c r="BRZ224" s="34"/>
      <c r="BSA224" s="36"/>
      <c r="BSB224" s="36"/>
      <c r="BSC224" s="37"/>
      <c r="BSD224" s="37"/>
      <c r="BSE224" s="38"/>
      <c r="BSF224" s="38"/>
      <c r="BSG224" s="39"/>
      <c r="BSH224" s="34"/>
      <c r="BSI224" s="34"/>
      <c r="BSJ224" s="34"/>
      <c r="BSK224" s="35"/>
      <c r="BSL224" s="35"/>
      <c r="BSM224" s="35"/>
      <c r="BSN224" s="35"/>
      <c r="BSO224" s="35"/>
      <c r="BSP224" s="34"/>
      <c r="BSQ224" s="34"/>
      <c r="BSR224" s="36"/>
      <c r="BSS224" s="36"/>
      <c r="BST224" s="37"/>
      <c r="BSU224" s="37"/>
      <c r="BSV224" s="38"/>
      <c r="BSW224" s="38"/>
      <c r="BSX224" s="39"/>
      <c r="BSY224" s="34"/>
      <c r="BSZ224" s="34"/>
      <c r="BTA224" s="34"/>
      <c r="BTB224" s="35"/>
      <c r="BTC224" s="35"/>
      <c r="BTD224" s="35"/>
      <c r="BTE224" s="35"/>
      <c r="BTF224" s="35"/>
      <c r="BTG224" s="34"/>
      <c r="BTH224" s="34"/>
      <c r="BTI224" s="36"/>
      <c r="BTJ224" s="36"/>
      <c r="BTK224" s="37"/>
      <c r="BTL224" s="37"/>
      <c r="BTM224" s="38"/>
      <c r="BTN224" s="38"/>
      <c r="BTO224" s="39"/>
      <c r="BTP224" s="34"/>
      <c r="BTQ224" s="34"/>
      <c r="BTR224" s="34"/>
      <c r="BTS224" s="35"/>
      <c r="BTT224" s="35"/>
      <c r="BTU224" s="35"/>
      <c r="BTV224" s="35"/>
      <c r="BTW224" s="35"/>
      <c r="BTX224" s="34"/>
      <c r="BTY224" s="34"/>
      <c r="BTZ224" s="36"/>
      <c r="BUA224" s="36"/>
      <c r="BUB224" s="37"/>
      <c r="BUC224" s="37"/>
      <c r="BUD224" s="38"/>
      <c r="BUE224" s="38"/>
      <c r="BUF224" s="39"/>
      <c r="BUG224" s="34"/>
      <c r="BUH224" s="34"/>
      <c r="BUI224" s="34"/>
      <c r="BUJ224" s="35"/>
      <c r="BUK224" s="35"/>
      <c r="BUL224" s="35"/>
      <c r="BUM224" s="35"/>
      <c r="BUN224" s="35"/>
      <c r="BUO224" s="34"/>
      <c r="BUP224" s="34"/>
      <c r="BUQ224" s="36"/>
      <c r="BUR224" s="36"/>
      <c r="BUS224" s="37"/>
      <c r="BUT224" s="37"/>
      <c r="BUU224" s="38"/>
      <c r="BUV224" s="38"/>
      <c r="BUW224" s="39"/>
      <c r="BUX224" s="34"/>
      <c r="BUY224" s="34"/>
      <c r="BUZ224" s="34"/>
      <c r="BVA224" s="35"/>
      <c r="BVB224" s="35"/>
      <c r="BVC224" s="35"/>
      <c r="BVD224" s="35"/>
      <c r="BVE224" s="35"/>
      <c r="BVF224" s="34"/>
      <c r="BVG224" s="34"/>
      <c r="BVH224" s="36"/>
      <c r="BVI224" s="36"/>
      <c r="BVJ224" s="37"/>
      <c r="BVK224" s="37"/>
      <c r="BVL224" s="38"/>
      <c r="BVM224" s="38"/>
      <c r="BVN224" s="39"/>
      <c r="BVO224" s="34"/>
      <c r="BVP224" s="34"/>
      <c r="BVQ224" s="34"/>
      <c r="BVR224" s="35"/>
      <c r="BVS224" s="35"/>
      <c r="BVT224" s="35"/>
      <c r="BVU224" s="35"/>
      <c r="BVV224" s="35"/>
      <c r="BVW224" s="34"/>
      <c r="BVX224" s="34"/>
      <c r="BVY224" s="36"/>
      <c r="BVZ224" s="36"/>
      <c r="BWA224" s="37"/>
      <c r="BWB224" s="37"/>
      <c r="BWC224" s="38"/>
      <c r="BWD224" s="38"/>
      <c r="BWE224" s="39"/>
      <c r="BWF224" s="34"/>
      <c r="BWG224" s="34"/>
      <c r="BWH224" s="34"/>
      <c r="BWI224" s="35"/>
      <c r="BWJ224" s="35"/>
      <c r="BWK224" s="35"/>
      <c r="BWL224" s="35"/>
      <c r="BWM224" s="35"/>
      <c r="BWN224" s="34"/>
      <c r="BWO224" s="34"/>
      <c r="BWP224" s="36"/>
      <c r="BWQ224" s="36"/>
      <c r="BWR224" s="37"/>
      <c r="BWS224" s="37"/>
      <c r="BWT224" s="38"/>
      <c r="BWU224" s="38"/>
      <c r="BWV224" s="39"/>
      <c r="BWW224" s="34"/>
      <c r="BWX224" s="34"/>
      <c r="BWY224" s="34"/>
      <c r="BWZ224" s="35"/>
      <c r="BXA224" s="35"/>
      <c r="BXB224" s="35"/>
      <c r="BXC224" s="35"/>
      <c r="BXD224" s="35"/>
      <c r="BXE224" s="34"/>
      <c r="BXF224" s="34"/>
      <c r="BXG224" s="36"/>
      <c r="BXH224" s="36"/>
      <c r="BXI224" s="37"/>
      <c r="BXJ224" s="37"/>
      <c r="BXK224" s="38"/>
      <c r="BXL224" s="38"/>
      <c r="BXM224" s="39"/>
      <c r="BXN224" s="34"/>
      <c r="BXO224" s="34"/>
      <c r="BXP224" s="34"/>
      <c r="BXQ224" s="35"/>
      <c r="BXR224" s="35"/>
      <c r="BXS224" s="35"/>
      <c r="BXT224" s="35"/>
      <c r="BXU224" s="35"/>
      <c r="BXV224" s="34"/>
      <c r="BXW224" s="34"/>
      <c r="BXX224" s="36"/>
      <c r="BXY224" s="36"/>
      <c r="BXZ224" s="37"/>
      <c r="BYA224" s="37"/>
      <c r="BYB224" s="38"/>
      <c r="BYC224" s="38"/>
      <c r="BYD224" s="39"/>
      <c r="BYE224" s="34"/>
      <c r="BYF224" s="34"/>
      <c r="BYG224" s="34"/>
      <c r="BYH224" s="35"/>
      <c r="BYI224" s="35"/>
      <c r="BYJ224" s="35"/>
      <c r="BYK224" s="35"/>
      <c r="BYL224" s="35"/>
      <c r="BYM224" s="34"/>
      <c r="BYN224" s="34"/>
      <c r="BYO224" s="36"/>
      <c r="BYP224" s="36"/>
      <c r="BYQ224" s="37"/>
      <c r="BYR224" s="37"/>
      <c r="BYS224" s="38"/>
      <c r="BYT224" s="38"/>
      <c r="BYU224" s="39"/>
      <c r="BYV224" s="34"/>
      <c r="BYW224" s="34"/>
      <c r="BYX224" s="34"/>
      <c r="BYY224" s="35"/>
      <c r="BYZ224" s="35"/>
      <c r="BZA224" s="35"/>
      <c r="BZB224" s="35"/>
      <c r="BZC224" s="35"/>
      <c r="BZD224" s="34"/>
      <c r="BZE224" s="34"/>
      <c r="BZF224" s="36"/>
      <c r="BZG224" s="36"/>
      <c r="BZH224" s="37"/>
      <c r="BZI224" s="37"/>
      <c r="BZJ224" s="38"/>
      <c r="BZK224" s="38"/>
      <c r="BZL224" s="39"/>
      <c r="BZM224" s="34"/>
      <c r="BZN224" s="34"/>
      <c r="BZO224" s="34"/>
      <c r="BZP224" s="35"/>
      <c r="BZQ224" s="35"/>
      <c r="BZR224" s="35"/>
      <c r="BZS224" s="35"/>
      <c r="BZT224" s="35"/>
      <c r="BZU224" s="34"/>
      <c r="BZV224" s="34"/>
      <c r="BZW224" s="36"/>
      <c r="BZX224" s="36"/>
      <c r="BZY224" s="37"/>
      <c r="BZZ224" s="37"/>
      <c r="CAA224" s="38"/>
      <c r="CAB224" s="38"/>
      <c r="CAC224" s="39"/>
      <c r="CAD224" s="34"/>
      <c r="CAE224" s="34"/>
      <c r="CAF224" s="34"/>
      <c r="CAG224" s="35"/>
      <c r="CAH224" s="35"/>
      <c r="CAI224" s="35"/>
      <c r="CAJ224" s="35"/>
      <c r="CAK224" s="35"/>
      <c r="CAL224" s="34"/>
      <c r="CAM224" s="34"/>
      <c r="CAN224" s="36"/>
      <c r="CAO224" s="36"/>
      <c r="CAP224" s="37"/>
      <c r="CAQ224" s="37"/>
      <c r="CAR224" s="38"/>
      <c r="CAS224" s="38"/>
      <c r="CAT224" s="39"/>
      <c r="CAU224" s="34"/>
      <c r="CAV224" s="34"/>
      <c r="CAW224" s="34"/>
      <c r="CAX224" s="35"/>
      <c r="CAY224" s="35"/>
      <c r="CAZ224" s="35"/>
      <c r="CBA224" s="35"/>
      <c r="CBB224" s="35"/>
      <c r="CBC224" s="34"/>
      <c r="CBD224" s="34"/>
      <c r="CBE224" s="36"/>
      <c r="CBF224" s="36"/>
      <c r="CBG224" s="37"/>
      <c r="CBH224" s="37"/>
      <c r="CBI224" s="38"/>
      <c r="CBJ224" s="38"/>
      <c r="CBK224" s="39"/>
      <c r="CBL224" s="34"/>
      <c r="CBM224" s="34"/>
      <c r="CBN224" s="34"/>
      <c r="CBO224" s="35"/>
      <c r="CBP224" s="35"/>
      <c r="CBQ224" s="35"/>
      <c r="CBR224" s="35"/>
      <c r="CBS224" s="35"/>
      <c r="CBT224" s="34"/>
      <c r="CBU224" s="34"/>
      <c r="CBV224" s="36"/>
      <c r="CBW224" s="36"/>
      <c r="CBX224" s="37"/>
      <c r="CBY224" s="37"/>
      <c r="CBZ224" s="38"/>
      <c r="CCA224" s="38"/>
      <c r="CCB224" s="39"/>
      <c r="CCC224" s="34"/>
      <c r="CCD224" s="34"/>
      <c r="CCE224" s="34"/>
      <c r="CCF224" s="35"/>
      <c r="CCG224" s="35"/>
      <c r="CCH224" s="35"/>
      <c r="CCI224" s="35"/>
      <c r="CCJ224" s="35"/>
      <c r="CCK224" s="34"/>
      <c r="CCL224" s="34"/>
      <c r="CCM224" s="36"/>
      <c r="CCN224" s="36"/>
      <c r="CCO224" s="37"/>
      <c r="CCP224" s="37"/>
      <c r="CCQ224" s="38"/>
      <c r="CCR224" s="38"/>
      <c r="CCS224" s="39"/>
      <c r="CCT224" s="34"/>
      <c r="CCU224" s="34"/>
      <c r="CCV224" s="34"/>
      <c r="CCW224" s="35"/>
      <c r="CCX224" s="35"/>
      <c r="CCY224" s="35"/>
      <c r="CCZ224" s="35"/>
      <c r="CDA224" s="35"/>
      <c r="CDB224" s="34"/>
      <c r="CDC224" s="34"/>
      <c r="CDD224" s="36"/>
      <c r="CDE224" s="36"/>
      <c r="CDF224" s="37"/>
      <c r="CDG224" s="37"/>
      <c r="CDH224" s="38"/>
      <c r="CDI224" s="38"/>
      <c r="CDJ224" s="39"/>
      <c r="CDK224" s="34"/>
      <c r="CDL224" s="34"/>
      <c r="CDM224" s="34"/>
      <c r="CDN224" s="35"/>
      <c r="CDO224" s="35"/>
      <c r="CDP224" s="35"/>
      <c r="CDQ224" s="35"/>
      <c r="CDR224" s="35"/>
      <c r="CDS224" s="34"/>
      <c r="CDT224" s="34"/>
      <c r="CDU224" s="36"/>
      <c r="CDV224" s="36"/>
      <c r="CDW224" s="37"/>
      <c r="CDX224" s="37"/>
      <c r="CDY224" s="38"/>
      <c r="CDZ224" s="38"/>
      <c r="CEA224" s="39"/>
      <c r="CEB224" s="34"/>
      <c r="CEC224" s="34"/>
      <c r="CED224" s="34"/>
      <c r="CEE224" s="35"/>
      <c r="CEF224" s="35"/>
      <c r="CEG224" s="35"/>
      <c r="CEH224" s="35"/>
      <c r="CEI224" s="35"/>
      <c r="CEJ224" s="34"/>
      <c r="CEK224" s="34"/>
      <c r="CEL224" s="36"/>
      <c r="CEM224" s="36"/>
      <c r="CEN224" s="37"/>
      <c r="CEO224" s="37"/>
      <c r="CEP224" s="38"/>
      <c r="CEQ224" s="38"/>
      <c r="CER224" s="39"/>
      <c r="CES224" s="34"/>
      <c r="CET224" s="34"/>
      <c r="CEU224" s="34"/>
      <c r="CEV224" s="35"/>
      <c r="CEW224" s="35"/>
      <c r="CEX224" s="35"/>
      <c r="CEY224" s="35"/>
      <c r="CEZ224" s="35"/>
      <c r="CFA224" s="34"/>
      <c r="CFB224" s="34"/>
      <c r="CFC224" s="36"/>
      <c r="CFD224" s="36"/>
      <c r="CFE224" s="37"/>
      <c r="CFF224" s="37"/>
      <c r="CFG224" s="38"/>
      <c r="CFH224" s="38"/>
      <c r="CFI224" s="39"/>
      <c r="CFJ224" s="34"/>
      <c r="CFK224" s="34"/>
      <c r="CFL224" s="34"/>
      <c r="CFM224" s="35"/>
      <c r="CFN224" s="35"/>
      <c r="CFO224" s="35"/>
      <c r="CFP224" s="35"/>
      <c r="CFQ224" s="35"/>
      <c r="CFR224" s="34"/>
      <c r="CFS224" s="34"/>
      <c r="CFT224" s="36"/>
      <c r="CFU224" s="36"/>
      <c r="CFV224" s="37"/>
      <c r="CFW224" s="37"/>
      <c r="CFX224" s="38"/>
      <c r="CFY224" s="38"/>
      <c r="CFZ224" s="39"/>
      <c r="CGA224" s="34"/>
      <c r="CGB224" s="34"/>
      <c r="CGC224" s="34"/>
      <c r="CGD224" s="35"/>
      <c r="CGE224" s="35"/>
      <c r="CGF224" s="35"/>
      <c r="CGG224" s="35"/>
      <c r="CGH224" s="35"/>
      <c r="CGI224" s="34"/>
      <c r="CGJ224" s="34"/>
      <c r="CGK224" s="36"/>
      <c r="CGL224" s="36"/>
      <c r="CGM224" s="37"/>
      <c r="CGN224" s="37"/>
      <c r="CGO224" s="38"/>
      <c r="CGP224" s="38"/>
      <c r="CGQ224" s="39"/>
      <c r="CGR224" s="34"/>
      <c r="CGS224" s="34"/>
      <c r="CGT224" s="34"/>
      <c r="CGU224" s="35"/>
      <c r="CGV224" s="35"/>
      <c r="CGW224" s="35"/>
      <c r="CGX224" s="35"/>
      <c r="CGY224" s="35"/>
      <c r="CGZ224" s="34"/>
      <c r="CHA224" s="34"/>
      <c r="CHB224" s="36"/>
      <c r="CHC224" s="36"/>
      <c r="CHD224" s="37"/>
      <c r="CHE224" s="37"/>
      <c r="CHF224" s="38"/>
      <c r="CHG224" s="38"/>
      <c r="CHH224" s="39"/>
      <c r="CHI224" s="34"/>
      <c r="CHJ224" s="34"/>
      <c r="CHK224" s="34"/>
      <c r="CHL224" s="35"/>
      <c r="CHM224" s="35"/>
      <c r="CHN224" s="35"/>
      <c r="CHO224" s="35"/>
      <c r="CHP224" s="35"/>
      <c r="CHQ224" s="34"/>
      <c r="CHR224" s="34"/>
      <c r="CHS224" s="36"/>
      <c r="CHT224" s="36"/>
      <c r="CHU224" s="37"/>
      <c r="CHV224" s="37"/>
      <c r="CHW224" s="38"/>
      <c r="CHX224" s="38"/>
      <c r="CHY224" s="39"/>
      <c r="CHZ224" s="34"/>
      <c r="CIA224" s="34"/>
      <c r="CIB224" s="34"/>
      <c r="CIC224" s="35"/>
      <c r="CID224" s="35"/>
      <c r="CIE224" s="35"/>
      <c r="CIF224" s="35"/>
      <c r="CIG224" s="35"/>
      <c r="CIH224" s="34"/>
      <c r="CII224" s="34"/>
      <c r="CIJ224" s="36"/>
      <c r="CIK224" s="36"/>
      <c r="CIL224" s="37"/>
      <c r="CIM224" s="37"/>
      <c r="CIN224" s="38"/>
      <c r="CIO224" s="38"/>
      <c r="CIP224" s="39"/>
      <c r="CIQ224" s="34"/>
      <c r="CIR224" s="34"/>
      <c r="CIS224" s="34"/>
      <c r="CIT224" s="35"/>
      <c r="CIU224" s="35"/>
      <c r="CIV224" s="35"/>
      <c r="CIW224" s="35"/>
      <c r="CIX224" s="35"/>
      <c r="CIY224" s="34"/>
      <c r="CIZ224" s="34"/>
      <c r="CJA224" s="36"/>
      <c r="CJB224" s="36"/>
      <c r="CJC224" s="37"/>
      <c r="CJD224" s="37"/>
      <c r="CJE224" s="38"/>
      <c r="CJF224" s="38"/>
      <c r="CJG224" s="39"/>
      <c r="CJH224" s="34"/>
      <c r="CJI224" s="34"/>
      <c r="CJJ224" s="34"/>
      <c r="CJK224" s="35"/>
      <c r="CJL224" s="35"/>
      <c r="CJM224" s="35"/>
      <c r="CJN224" s="35"/>
      <c r="CJO224" s="35"/>
      <c r="CJP224" s="34"/>
      <c r="CJQ224" s="34"/>
      <c r="CJR224" s="36"/>
      <c r="CJS224" s="36"/>
      <c r="CJT224" s="37"/>
      <c r="CJU224" s="37"/>
      <c r="CJV224" s="38"/>
      <c r="CJW224" s="38"/>
      <c r="CJX224" s="39"/>
      <c r="CJY224" s="34"/>
      <c r="CJZ224" s="34"/>
      <c r="CKA224" s="34"/>
      <c r="CKB224" s="35"/>
      <c r="CKC224" s="35"/>
      <c r="CKD224" s="35"/>
      <c r="CKE224" s="35"/>
      <c r="CKF224" s="35"/>
      <c r="CKG224" s="34"/>
      <c r="CKH224" s="34"/>
      <c r="CKI224" s="36"/>
      <c r="CKJ224" s="36"/>
      <c r="CKK224" s="37"/>
      <c r="CKL224" s="37"/>
      <c r="CKM224" s="38"/>
      <c r="CKN224" s="38"/>
      <c r="CKO224" s="39"/>
      <c r="CKP224" s="34"/>
      <c r="CKQ224" s="34"/>
      <c r="CKR224" s="34"/>
      <c r="CKS224" s="35"/>
      <c r="CKT224" s="35"/>
      <c r="CKU224" s="35"/>
      <c r="CKV224" s="35"/>
      <c r="CKW224" s="35"/>
      <c r="CKX224" s="34"/>
      <c r="CKY224" s="34"/>
      <c r="CKZ224" s="36"/>
      <c r="CLA224" s="36"/>
      <c r="CLB224" s="37"/>
      <c r="CLC224" s="37"/>
      <c r="CLD224" s="38"/>
      <c r="CLE224" s="38"/>
      <c r="CLF224" s="39"/>
      <c r="CLG224" s="34"/>
      <c r="CLH224" s="34"/>
      <c r="CLI224" s="34"/>
      <c r="CLJ224" s="35"/>
      <c r="CLK224" s="35"/>
      <c r="CLL224" s="35"/>
      <c r="CLM224" s="35"/>
      <c r="CLN224" s="35"/>
      <c r="CLO224" s="34"/>
      <c r="CLP224" s="34"/>
      <c r="CLQ224" s="36"/>
      <c r="CLR224" s="36"/>
      <c r="CLS224" s="37"/>
      <c r="CLT224" s="37"/>
      <c r="CLU224" s="38"/>
      <c r="CLV224" s="38"/>
      <c r="CLW224" s="39"/>
      <c r="CLX224" s="34"/>
      <c r="CLY224" s="34"/>
      <c r="CLZ224" s="34"/>
      <c r="CMA224" s="35"/>
      <c r="CMB224" s="35"/>
      <c r="CMC224" s="35"/>
      <c r="CMD224" s="35"/>
      <c r="CME224" s="35"/>
      <c r="CMF224" s="34"/>
      <c r="CMG224" s="34"/>
      <c r="CMH224" s="36"/>
      <c r="CMI224" s="36"/>
      <c r="CMJ224" s="37"/>
      <c r="CMK224" s="37"/>
      <c r="CML224" s="38"/>
      <c r="CMM224" s="38"/>
      <c r="CMN224" s="39"/>
      <c r="CMO224" s="34"/>
      <c r="CMP224" s="34"/>
      <c r="CMQ224" s="34"/>
      <c r="CMR224" s="35"/>
      <c r="CMS224" s="35"/>
      <c r="CMT224" s="35"/>
      <c r="CMU224" s="35"/>
      <c r="CMV224" s="35"/>
      <c r="CMW224" s="34"/>
      <c r="CMX224" s="34"/>
      <c r="CMY224" s="36"/>
      <c r="CMZ224" s="36"/>
      <c r="CNA224" s="37"/>
      <c r="CNB224" s="37"/>
      <c r="CNC224" s="38"/>
      <c r="CND224" s="38"/>
      <c r="CNE224" s="39"/>
      <c r="CNF224" s="34"/>
      <c r="CNG224" s="34"/>
      <c r="CNH224" s="34"/>
      <c r="CNI224" s="35"/>
      <c r="CNJ224" s="35"/>
      <c r="CNK224" s="35"/>
      <c r="CNL224" s="35"/>
      <c r="CNM224" s="35"/>
      <c r="CNN224" s="34"/>
      <c r="CNO224" s="34"/>
      <c r="CNP224" s="36"/>
      <c r="CNQ224" s="36"/>
      <c r="CNR224" s="37"/>
      <c r="CNS224" s="37"/>
      <c r="CNT224" s="38"/>
      <c r="CNU224" s="38"/>
      <c r="CNV224" s="39"/>
      <c r="CNW224" s="34"/>
      <c r="CNX224" s="34"/>
      <c r="CNY224" s="34"/>
      <c r="CNZ224" s="35"/>
      <c r="COA224" s="35"/>
      <c r="COB224" s="35"/>
      <c r="COC224" s="35"/>
      <c r="COD224" s="35"/>
      <c r="COE224" s="34"/>
      <c r="COF224" s="34"/>
      <c r="COG224" s="36"/>
      <c r="COH224" s="36"/>
      <c r="COI224" s="37"/>
      <c r="COJ224" s="37"/>
      <c r="COK224" s="38"/>
      <c r="COL224" s="38"/>
      <c r="COM224" s="39"/>
      <c r="CON224" s="34"/>
      <c r="COO224" s="34"/>
      <c r="COP224" s="34"/>
      <c r="COQ224" s="35"/>
      <c r="COR224" s="35"/>
      <c r="COS224" s="35"/>
      <c r="COT224" s="35"/>
      <c r="COU224" s="35"/>
      <c r="COV224" s="34"/>
      <c r="COW224" s="34"/>
      <c r="COX224" s="36"/>
      <c r="COY224" s="36"/>
      <c r="COZ224" s="37"/>
      <c r="CPA224" s="37"/>
      <c r="CPB224" s="38"/>
      <c r="CPC224" s="38"/>
      <c r="CPD224" s="39"/>
      <c r="CPE224" s="34"/>
      <c r="CPF224" s="34"/>
      <c r="CPG224" s="34"/>
      <c r="CPH224" s="35"/>
      <c r="CPI224" s="35"/>
      <c r="CPJ224" s="35"/>
      <c r="CPK224" s="35"/>
      <c r="CPL224" s="35"/>
      <c r="CPM224" s="34"/>
      <c r="CPN224" s="34"/>
      <c r="CPO224" s="36"/>
      <c r="CPP224" s="36"/>
      <c r="CPQ224" s="37"/>
      <c r="CPR224" s="37"/>
      <c r="CPS224" s="38"/>
      <c r="CPT224" s="38"/>
      <c r="CPU224" s="39"/>
      <c r="CPV224" s="34"/>
      <c r="CPW224" s="34"/>
      <c r="CPX224" s="34"/>
      <c r="CPY224" s="35"/>
      <c r="CPZ224" s="35"/>
      <c r="CQA224" s="35"/>
      <c r="CQB224" s="35"/>
      <c r="CQC224" s="35"/>
      <c r="CQD224" s="34"/>
      <c r="CQE224" s="34"/>
      <c r="CQF224" s="36"/>
      <c r="CQG224" s="36"/>
      <c r="CQH224" s="37"/>
      <c r="CQI224" s="37"/>
      <c r="CQJ224" s="38"/>
      <c r="CQK224" s="38"/>
      <c r="CQL224" s="39"/>
      <c r="CQM224" s="34"/>
      <c r="CQN224" s="34"/>
      <c r="CQO224" s="34"/>
      <c r="CQP224" s="35"/>
      <c r="CQQ224" s="35"/>
      <c r="CQR224" s="35"/>
      <c r="CQS224" s="35"/>
      <c r="CQT224" s="35"/>
      <c r="CQU224" s="34"/>
      <c r="CQV224" s="34"/>
      <c r="CQW224" s="36"/>
      <c r="CQX224" s="36"/>
      <c r="CQY224" s="37"/>
      <c r="CQZ224" s="37"/>
      <c r="CRA224" s="38"/>
      <c r="CRB224" s="38"/>
      <c r="CRC224" s="39"/>
      <c r="CRD224" s="34"/>
      <c r="CRE224" s="34"/>
      <c r="CRF224" s="34"/>
      <c r="CRG224" s="35"/>
      <c r="CRH224" s="35"/>
      <c r="CRI224" s="35"/>
      <c r="CRJ224" s="35"/>
      <c r="CRK224" s="35"/>
      <c r="CRL224" s="34"/>
      <c r="CRM224" s="34"/>
      <c r="CRN224" s="36"/>
      <c r="CRO224" s="36"/>
      <c r="CRP224" s="37"/>
      <c r="CRQ224" s="37"/>
      <c r="CRR224" s="38"/>
      <c r="CRS224" s="38"/>
      <c r="CRT224" s="39"/>
      <c r="CRU224" s="34"/>
      <c r="CRV224" s="34"/>
      <c r="CRW224" s="34"/>
      <c r="CRX224" s="35"/>
      <c r="CRY224" s="35"/>
      <c r="CRZ224" s="35"/>
      <c r="CSA224" s="35"/>
      <c r="CSB224" s="35"/>
      <c r="CSC224" s="34"/>
      <c r="CSD224" s="34"/>
      <c r="CSE224" s="36"/>
      <c r="CSF224" s="36"/>
      <c r="CSG224" s="37"/>
      <c r="CSH224" s="37"/>
      <c r="CSI224" s="38"/>
      <c r="CSJ224" s="38"/>
      <c r="CSK224" s="39"/>
      <c r="CSL224" s="34"/>
      <c r="CSM224" s="34"/>
      <c r="CSN224" s="34"/>
      <c r="CSO224" s="35"/>
      <c r="CSP224" s="35"/>
      <c r="CSQ224" s="35"/>
      <c r="CSR224" s="35"/>
      <c r="CSS224" s="35"/>
      <c r="CST224" s="34"/>
      <c r="CSU224" s="34"/>
      <c r="CSV224" s="36"/>
      <c r="CSW224" s="36"/>
      <c r="CSX224" s="37"/>
      <c r="CSY224" s="37"/>
      <c r="CSZ224" s="38"/>
      <c r="CTA224" s="38"/>
      <c r="CTB224" s="39"/>
      <c r="CTC224" s="34"/>
      <c r="CTD224" s="34"/>
      <c r="CTE224" s="34"/>
      <c r="CTF224" s="35"/>
      <c r="CTG224" s="35"/>
      <c r="CTH224" s="35"/>
      <c r="CTI224" s="35"/>
      <c r="CTJ224" s="35"/>
      <c r="CTK224" s="34"/>
      <c r="CTL224" s="34"/>
      <c r="CTM224" s="36"/>
      <c r="CTN224" s="36"/>
      <c r="CTO224" s="37"/>
      <c r="CTP224" s="37"/>
      <c r="CTQ224" s="38"/>
      <c r="CTR224" s="38"/>
      <c r="CTS224" s="39"/>
      <c r="CTT224" s="34"/>
      <c r="CTU224" s="34"/>
      <c r="CTV224" s="34"/>
      <c r="CTW224" s="35"/>
      <c r="CTX224" s="35"/>
      <c r="CTY224" s="35"/>
      <c r="CTZ224" s="35"/>
      <c r="CUA224" s="35"/>
      <c r="CUB224" s="34"/>
      <c r="CUC224" s="34"/>
      <c r="CUD224" s="36"/>
      <c r="CUE224" s="36"/>
      <c r="CUF224" s="37"/>
      <c r="CUG224" s="37"/>
      <c r="CUH224" s="38"/>
      <c r="CUI224" s="38"/>
      <c r="CUJ224" s="39"/>
      <c r="CUK224" s="34"/>
      <c r="CUL224" s="34"/>
      <c r="CUM224" s="34"/>
      <c r="CUN224" s="35"/>
      <c r="CUO224" s="35"/>
      <c r="CUP224" s="35"/>
      <c r="CUQ224" s="35"/>
      <c r="CUR224" s="35"/>
      <c r="CUS224" s="34"/>
      <c r="CUT224" s="34"/>
      <c r="CUU224" s="36"/>
      <c r="CUV224" s="36"/>
      <c r="CUW224" s="37"/>
      <c r="CUX224" s="37"/>
      <c r="CUY224" s="38"/>
      <c r="CUZ224" s="38"/>
      <c r="CVA224" s="39"/>
      <c r="CVB224" s="34"/>
      <c r="CVC224" s="34"/>
      <c r="CVD224" s="34"/>
      <c r="CVE224" s="35"/>
      <c r="CVF224" s="35"/>
      <c r="CVG224" s="35"/>
      <c r="CVH224" s="35"/>
      <c r="CVI224" s="35"/>
      <c r="CVJ224" s="34"/>
      <c r="CVK224" s="34"/>
      <c r="CVL224" s="36"/>
      <c r="CVM224" s="36"/>
      <c r="CVN224" s="37"/>
      <c r="CVO224" s="37"/>
      <c r="CVP224" s="38"/>
      <c r="CVQ224" s="38"/>
      <c r="CVR224" s="39"/>
      <c r="CVS224" s="34"/>
      <c r="CVT224" s="34"/>
      <c r="CVU224" s="34"/>
      <c r="CVV224" s="35"/>
      <c r="CVW224" s="35"/>
      <c r="CVX224" s="35"/>
      <c r="CVY224" s="35"/>
      <c r="CVZ224" s="35"/>
      <c r="CWA224" s="34"/>
      <c r="CWB224" s="34"/>
      <c r="CWC224" s="36"/>
      <c r="CWD224" s="36"/>
      <c r="CWE224" s="37"/>
      <c r="CWF224" s="37"/>
      <c r="CWG224" s="38"/>
      <c r="CWH224" s="38"/>
      <c r="CWI224" s="39"/>
      <c r="CWJ224" s="34"/>
      <c r="CWK224" s="34"/>
      <c r="CWL224" s="34"/>
      <c r="CWM224" s="35"/>
      <c r="CWN224" s="35"/>
      <c r="CWO224" s="35"/>
      <c r="CWP224" s="35"/>
      <c r="CWQ224" s="35"/>
      <c r="CWR224" s="34"/>
      <c r="CWS224" s="34"/>
      <c r="CWT224" s="36"/>
      <c r="CWU224" s="36"/>
      <c r="CWV224" s="37"/>
      <c r="CWW224" s="37"/>
      <c r="CWX224" s="38"/>
      <c r="CWY224" s="38"/>
      <c r="CWZ224" s="39"/>
      <c r="CXA224" s="34"/>
      <c r="CXB224" s="34"/>
      <c r="CXC224" s="34"/>
      <c r="CXD224" s="35"/>
      <c r="CXE224" s="35"/>
      <c r="CXF224" s="35"/>
      <c r="CXG224" s="35"/>
      <c r="CXH224" s="35"/>
      <c r="CXI224" s="34"/>
      <c r="CXJ224" s="34"/>
      <c r="CXK224" s="36"/>
      <c r="CXL224" s="36"/>
      <c r="CXM224" s="37"/>
      <c r="CXN224" s="37"/>
      <c r="CXO224" s="38"/>
      <c r="CXP224" s="38"/>
      <c r="CXQ224" s="39"/>
      <c r="CXR224" s="34"/>
      <c r="CXS224" s="34"/>
      <c r="CXT224" s="34"/>
      <c r="CXU224" s="35"/>
      <c r="CXV224" s="35"/>
      <c r="CXW224" s="35"/>
      <c r="CXX224" s="35"/>
      <c r="CXY224" s="35"/>
      <c r="CXZ224" s="34"/>
      <c r="CYA224" s="34"/>
      <c r="CYB224" s="36"/>
      <c r="CYC224" s="36"/>
      <c r="CYD224" s="37"/>
      <c r="CYE224" s="37"/>
      <c r="CYF224" s="38"/>
      <c r="CYG224" s="38"/>
      <c r="CYH224" s="39"/>
      <c r="CYI224" s="34"/>
      <c r="CYJ224" s="34"/>
      <c r="CYK224" s="34"/>
      <c r="CYL224" s="35"/>
      <c r="CYM224" s="35"/>
      <c r="CYN224" s="35"/>
      <c r="CYO224" s="35"/>
      <c r="CYP224" s="35"/>
      <c r="CYQ224" s="34"/>
      <c r="CYR224" s="34"/>
      <c r="CYS224" s="36"/>
      <c r="CYT224" s="36"/>
      <c r="CYU224" s="37"/>
      <c r="CYV224" s="37"/>
      <c r="CYW224" s="38"/>
      <c r="CYX224" s="38"/>
      <c r="CYY224" s="39"/>
      <c r="CYZ224" s="34"/>
      <c r="CZA224" s="34"/>
      <c r="CZB224" s="34"/>
      <c r="CZC224" s="35"/>
      <c r="CZD224" s="35"/>
      <c r="CZE224" s="35"/>
      <c r="CZF224" s="35"/>
      <c r="CZG224" s="35"/>
      <c r="CZH224" s="34"/>
      <c r="CZI224" s="34"/>
      <c r="CZJ224" s="36"/>
      <c r="CZK224" s="36"/>
      <c r="CZL224" s="37"/>
      <c r="CZM224" s="37"/>
      <c r="CZN224" s="38"/>
      <c r="CZO224" s="38"/>
      <c r="CZP224" s="39"/>
      <c r="CZQ224" s="34"/>
      <c r="CZR224" s="34"/>
      <c r="CZS224" s="34"/>
      <c r="CZT224" s="35"/>
      <c r="CZU224" s="35"/>
      <c r="CZV224" s="35"/>
      <c r="CZW224" s="35"/>
      <c r="CZX224" s="35"/>
      <c r="CZY224" s="34"/>
      <c r="CZZ224" s="34"/>
      <c r="DAA224" s="36"/>
      <c r="DAB224" s="36"/>
      <c r="DAC224" s="37"/>
      <c r="DAD224" s="37"/>
      <c r="DAE224" s="38"/>
      <c r="DAF224" s="38"/>
      <c r="DAG224" s="39"/>
      <c r="DAH224" s="34"/>
      <c r="DAI224" s="34"/>
      <c r="DAJ224" s="34"/>
      <c r="DAK224" s="35"/>
      <c r="DAL224" s="35"/>
      <c r="DAM224" s="35"/>
      <c r="DAN224" s="35"/>
      <c r="DAO224" s="35"/>
      <c r="DAP224" s="34"/>
      <c r="DAQ224" s="34"/>
      <c r="DAR224" s="36"/>
      <c r="DAS224" s="36"/>
      <c r="DAT224" s="37"/>
      <c r="DAU224" s="37"/>
      <c r="DAV224" s="38"/>
      <c r="DAW224" s="38"/>
      <c r="DAX224" s="39"/>
      <c r="DAY224" s="34"/>
      <c r="DAZ224" s="34"/>
      <c r="DBA224" s="34"/>
      <c r="DBB224" s="35"/>
      <c r="DBC224" s="35"/>
      <c r="DBD224" s="35"/>
      <c r="DBE224" s="35"/>
      <c r="DBF224" s="35"/>
      <c r="DBG224" s="34"/>
      <c r="DBH224" s="34"/>
      <c r="DBI224" s="36"/>
      <c r="DBJ224" s="36"/>
      <c r="DBK224" s="37"/>
      <c r="DBL224" s="37"/>
      <c r="DBM224" s="38"/>
      <c r="DBN224" s="38"/>
      <c r="DBO224" s="39"/>
      <c r="DBP224" s="34"/>
      <c r="DBQ224" s="34"/>
      <c r="DBR224" s="34"/>
      <c r="DBS224" s="35"/>
      <c r="DBT224" s="35"/>
      <c r="DBU224" s="35"/>
      <c r="DBV224" s="35"/>
      <c r="DBW224" s="35"/>
      <c r="DBX224" s="34"/>
      <c r="DBY224" s="34"/>
      <c r="DBZ224" s="36"/>
      <c r="DCA224" s="36"/>
      <c r="DCB224" s="37"/>
      <c r="DCC224" s="37"/>
      <c r="DCD224" s="38"/>
      <c r="DCE224" s="38"/>
      <c r="DCF224" s="39"/>
      <c r="DCG224" s="34"/>
      <c r="DCH224" s="34"/>
      <c r="DCI224" s="34"/>
      <c r="DCJ224" s="35"/>
      <c r="DCK224" s="35"/>
      <c r="DCL224" s="35"/>
      <c r="DCM224" s="35"/>
      <c r="DCN224" s="35"/>
      <c r="DCO224" s="34"/>
      <c r="DCP224" s="34"/>
      <c r="DCQ224" s="36"/>
      <c r="DCR224" s="36"/>
      <c r="DCS224" s="37"/>
      <c r="DCT224" s="37"/>
      <c r="DCU224" s="38"/>
      <c r="DCV224" s="38"/>
      <c r="DCW224" s="39"/>
      <c r="DCX224" s="34"/>
      <c r="DCY224" s="34"/>
      <c r="DCZ224" s="34"/>
      <c r="DDA224" s="35"/>
      <c r="DDB224" s="35"/>
      <c r="DDC224" s="35"/>
      <c r="DDD224" s="35"/>
      <c r="DDE224" s="35"/>
      <c r="DDF224" s="34"/>
      <c r="DDG224" s="34"/>
      <c r="DDH224" s="36"/>
      <c r="DDI224" s="36"/>
      <c r="DDJ224" s="37"/>
      <c r="DDK224" s="37"/>
      <c r="DDL224" s="38"/>
      <c r="DDM224" s="38"/>
      <c r="DDN224" s="39"/>
      <c r="DDO224" s="34"/>
      <c r="DDP224" s="34"/>
      <c r="DDQ224" s="34"/>
      <c r="DDR224" s="35"/>
      <c r="DDS224" s="35"/>
      <c r="DDT224" s="35"/>
      <c r="DDU224" s="35"/>
      <c r="DDV224" s="35"/>
      <c r="DDW224" s="34"/>
      <c r="DDX224" s="34"/>
      <c r="DDY224" s="36"/>
      <c r="DDZ224" s="36"/>
      <c r="DEA224" s="37"/>
      <c r="DEB224" s="37"/>
      <c r="DEC224" s="38"/>
      <c r="DED224" s="38"/>
      <c r="DEE224" s="39"/>
      <c r="DEF224" s="34"/>
      <c r="DEG224" s="34"/>
      <c r="DEH224" s="34"/>
      <c r="DEI224" s="35"/>
      <c r="DEJ224" s="35"/>
      <c r="DEK224" s="35"/>
      <c r="DEL224" s="35"/>
      <c r="DEM224" s="35"/>
      <c r="DEN224" s="34"/>
      <c r="DEO224" s="34"/>
      <c r="DEP224" s="36"/>
      <c r="DEQ224" s="36"/>
      <c r="DER224" s="37"/>
      <c r="DES224" s="37"/>
      <c r="DET224" s="38"/>
      <c r="DEU224" s="38"/>
      <c r="DEV224" s="39"/>
      <c r="DEW224" s="34"/>
      <c r="DEX224" s="34"/>
      <c r="DEY224" s="34"/>
      <c r="DEZ224" s="35"/>
      <c r="DFA224" s="35"/>
      <c r="DFB224" s="35"/>
      <c r="DFC224" s="35"/>
      <c r="DFD224" s="35"/>
      <c r="DFE224" s="34"/>
      <c r="DFF224" s="34"/>
      <c r="DFG224" s="36"/>
      <c r="DFH224" s="36"/>
      <c r="DFI224" s="37"/>
      <c r="DFJ224" s="37"/>
      <c r="DFK224" s="38"/>
      <c r="DFL224" s="38"/>
      <c r="DFM224" s="39"/>
      <c r="DFN224" s="34"/>
      <c r="DFO224" s="34"/>
      <c r="DFP224" s="34"/>
      <c r="DFQ224" s="35"/>
      <c r="DFR224" s="35"/>
      <c r="DFS224" s="35"/>
      <c r="DFT224" s="35"/>
      <c r="DFU224" s="35"/>
      <c r="DFV224" s="34"/>
      <c r="DFW224" s="34"/>
      <c r="DFX224" s="36"/>
      <c r="DFY224" s="36"/>
      <c r="DFZ224" s="37"/>
      <c r="DGA224" s="37"/>
      <c r="DGB224" s="38"/>
      <c r="DGC224" s="38"/>
      <c r="DGD224" s="39"/>
      <c r="DGE224" s="34"/>
      <c r="DGF224" s="34"/>
      <c r="DGG224" s="34"/>
      <c r="DGH224" s="35"/>
      <c r="DGI224" s="35"/>
      <c r="DGJ224" s="35"/>
      <c r="DGK224" s="35"/>
      <c r="DGL224" s="35"/>
      <c r="DGM224" s="34"/>
      <c r="DGN224" s="34"/>
      <c r="DGO224" s="36"/>
      <c r="DGP224" s="36"/>
      <c r="DGQ224" s="37"/>
      <c r="DGR224" s="37"/>
      <c r="DGS224" s="38"/>
      <c r="DGT224" s="38"/>
      <c r="DGU224" s="39"/>
      <c r="DGV224" s="34"/>
      <c r="DGW224" s="34"/>
      <c r="DGX224" s="34"/>
      <c r="DGY224" s="35"/>
      <c r="DGZ224" s="35"/>
      <c r="DHA224" s="35"/>
      <c r="DHB224" s="35"/>
      <c r="DHC224" s="35"/>
      <c r="DHD224" s="34"/>
      <c r="DHE224" s="34"/>
      <c r="DHF224" s="36"/>
      <c r="DHG224" s="36"/>
      <c r="DHH224" s="37"/>
      <c r="DHI224" s="37"/>
      <c r="DHJ224" s="38"/>
      <c r="DHK224" s="38"/>
      <c r="DHL224" s="39"/>
      <c r="DHM224" s="34"/>
      <c r="DHN224" s="34"/>
      <c r="DHO224" s="34"/>
      <c r="DHP224" s="35"/>
      <c r="DHQ224" s="35"/>
      <c r="DHR224" s="35"/>
      <c r="DHS224" s="35"/>
      <c r="DHT224" s="35"/>
      <c r="DHU224" s="34"/>
      <c r="DHV224" s="34"/>
      <c r="DHW224" s="36"/>
      <c r="DHX224" s="36"/>
      <c r="DHY224" s="37"/>
      <c r="DHZ224" s="37"/>
      <c r="DIA224" s="38"/>
      <c r="DIB224" s="38"/>
      <c r="DIC224" s="39"/>
      <c r="DID224" s="34"/>
      <c r="DIE224" s="34"/>
      <c r="DIF224" s="34"/>
      <c r="DIG224" s="35"/>
      <c r="DIH224" s="35"/>
      <c r="DII224" s="35"/>
      <c r="DIJ224" s="35"/>
      <c r="DIK224" s="35"/>
      <c r="DIL224" s="34"/>
      <c r="DIM224" s="34"/>
      <c r="DIN224" s="36"/>
      <c r="DIO224" s="36"/>
      <c r="DIP224" s="37"/>
      <c r="DIQ224" s="37"/>
      <c r="DIR224" s="38"/>
      <c r="DIS224" s="38"/>
      <c r="DIT224" s="39"/>
      <c r="DIU224" s="34"/>
      <c r="DIV224" s="34"/>
      <c r="DIW224" s="34"/>
      <c r="DIX224" s="35"/>
      <c r="DIY224" s="35"/>
      <c r="DIZ224" s="35"/>
      <c r="DJA224" s="35"/>
      <c r="DJB224" s="35"/>
      <c r="DJC224" s="34"/>
      <c r="DJD224" s="34"/>
      <c r="DJE224" s="36"/>
      <c r="DJF224" s="36"/>
      <c r="DJG224" s="37"/>
      <c r="DJH224" s="37"/>
      <c r="DJI224" s="38"/>
      <c r="DJJ224" s="38"/>
      <c r="DJK224" s="39"/>
      <c r="DJL224" s="34"/>
      <c r="DJM224" s="34"/>
      <c r="DJN224" s="34"/>
      <c r="DJO224" s="35"/>
      <c r="DJP224" s="35"/>
      <c r="DJQ224" s="35"/>
      <c r="DJR224" s="35"/>
      <c r="DJS224" s="35"/>
      <c r="DJT224" s="34"/>
      <c r="DJU224" s="34"/>
      <c r="DJV224" s="36"/>
      <c r="DJW224" s="36"/>
      <c r="DJX224" s="37"/>
      <c r="DJY224" s="37"/>
      <c r="DJZ224" s="38"/>
      <c r="DKA224" s="38"/>
      <c r="DKB224" s="39"/>
      <c r="DKC224" s="34"/>
      <c r="DKD224" s="34"/>
      <c r="DKE224" s="34"/>
      <c r="DKF224" s="35"/>
      <c r="DKG224" s="35"/>
      <c r="DKH224" s="35"/>
      <c r="DKI224" s="35"/>
      <c r="DKJ224" s="35"/>
      <c r="DKK224" s="34"/>
      <c r="DKL224" s="34"/>
      <c r="DKM224" s="36"/>
      <c r="DKN224" s="36"/>
      <c r="DKO224" s="37"/>
      <c r="DKP224" s="37"/>
      <c r="DKQ224" s="38"/>
      <c r="DKR224" s="38"/>
      <c r="DKS224" s="39"/>
      <c r="DKT224" s="34"/>
      <c r="DKU224" s="34"/>
      <c r="DKV224" s="34"/>
      <c r="DKW224" s="35"/>
      <c r="DKX224" s="35"/>
      <c r="DKY224" s="35"/>
      <c r="DKZ224" s="35"/>
      <c r="DLA224" s="35"/>
      <c r="DLB224" s="34"/>
      <c r="DLC224" s="34"/>
      <c r="DLD224" s="36"/>
      <c r="DLE224" s="36"/>
      <c r="DLF224" s="37"/>
      <c r="DLG224" s="37"/>
      <c r="DLH224" s="38"/>
      <c r="DLI224" s="38"/>
      <c r="DLJ224" s="39"/>
      <c r="DLK224" s="34"/>
      <c r="DLL224" s="34"/>
      <c r="DLM224" s="34"/>
      <c r="DLN224" s="35"/>
      <c r="DLO224" s="35"/>
      <c r="DLP224" s="35"/>
      <c r="DLQ224" s="35"/>
      <c r="DLR224" s="35"/>
      <c r="DLS224" s="34"/>
      <c r="DLT224" s="34"/>
      <c r="DLU224" s="36"/>
      <c r="DLV224" s="36"/>
      <c r="DLW224" s="37"/>
      <c r="DLX224" s="37"/>
      <c r="DLY224" s="38"/>
      <c r="DLZ224" s="38"/>
      <c r="DMA224" s="39"/>
      <c r="DMB224" s="34"/>
      <c r="DMC224" s="34"/>
      <c r="DMD224" s="34"/>
      <c r="DME224" s="35"/>
      <c r="DMF224" s="35"/>
      <c r="DMG224" s="35"/>
      <c r="DMH224" s="35"/>
      <c r="DMI224" s="35"/>
      <c r="DMJ224" s="34"/>
      <c r="DMK224" s="34"/>
      <c r="DML224" s="36"/>
      <c r="DMM224" s="36"/>
      <c r="DMN224" s="37"/>
      <c r="DMO224" s="37"/>
      <c r="DMP224" s="38"/>
      <c r="DMQ224" s="38"/>
      <c r="DMR224" s="39"/>
      <c r="DMS224" s="34"/>
      <c r="DMT224" s="34"/>
      <c r="DMU224" s="34"/>
      <c r="DMV224" s="35"/>
      <c r="DMW224" s="35"/>
      <c r="DMX224" s="35"/>
      <c r="DMY224" s="35"/>
      <c r="DMZ224" s="35"/>
      <c r="DNA224" s="34"/>
      <c r="DNB224" s="34"/>
      <c r="DNC224" s="36"/>
      <c r="DND224" s="36"/>
      <c r="DNE224" s="37"/>
      <c r="DNF224" s="37"/>
      <c r="DNG224" s="38"/>
      <c r="DNH224" s="38"/>
      <c r="DNI224" s="39"/>
      <c r="DNJ224" s="34"/>
      <c r="DNK224" s="34"/>
      <c r="DNL224" s="34"/>
      <c r="DNM224" s="35"/>
      <c r="DNN224" s="35"/>
      <c r="DNO224" s="35"/>
      <c r="DNP224" s="35"/>
      <c r="DNQ224" s="35"/>
      <c r="DNR224" s="34"/>
      <c r="DNS224" s="34"/>
      <c r="DNT224" s="36"/>
      <c r="DNU224" s="36"/>
      <c r="DNV224" s="37"/>
      <c r="DNW224" s="37"/>
      <c r="DNX224" s="38"/>
      <c r="DNY224" s="38"/>
      <c r="DNZ224" s="39"/>
      <c r="DOA224" s="34"/>
      <c r="DOB224" s="34"/>
      <c r="DOC224" s="34"/>
      <c r="DOD224" s="35"/>
      <c r="DOE224" s="35"/>
      <c r="DOF224" s="35"/>
      <c r="DOG224" s="35"/>
      <c r="DOH224" s="35"/>
      <c r="DOI224" s="34"/>
      <c r="DOJ224" s="34"/>
      <c r="DOK224" s="36"/>
      <c r="DOL224" s="36"/>
      <c r="DOM224" s="37"/>
      <c r="DON224" s="37"/>
      <c r="DOO224" s="38"/>
      <c r="DOP224" s="38"/>
      <c r="DOQ224" s="39"/>
      <c r="DOR224" s="34"/>
      <c r="DOS224" s="34"/>
      <c r="DOT224" s="34"/>
      <c r="DOU224" s="35"/>
      <c r="DOV224" s="35"/>
      <c r="DOW224" s="35"/>
      <c r="DOX224" s="35"/>
      <c r="DOY224" s="35"/>
      <c r="DOZ224" s="34"/>
      <c r="DPA224" s="34"/>
      <c r="DPB224" s="36"/>
      <c r="DPC224" s="36"/>
      <c r="DPD224" s="37"/>
      <c r="DPE224" s="37"/>
      <c r="DPF224" s="38"/>
      <c r="DPG224" s="38"/>
      <c r="DPH224" s="39"/>
      <c r="DPI224" s="34"/>
      <c r="DPJ224" s="34"/>
      <c r="DPK224" s="34"/>
      <c r="DPL224" s="35"/>
      <c r="DPM224" s="35"/>
      <c r="DPN224" s="35"/>
      <c r="DPO224" s="35"/>
      <c r="DPP224" s="35"/>
      <c r="DPQ224" s="34"/>
      <c r="DPR224" s="34"/>
      <c r="DPS224" s="36"/>
      <c r="DPT224" s="36"/>
      <c r="DPU224" s="37"/>
      <c r="DPV224" s="37"/>
      <c r="DPW224" s="38"/>
      <c r="DPX224" s="38"/>
      <c r="DPY224" s="39"/>
      <c r="DPZ224" s="34"/>
      <c r="DQA224" s="34"/>
      <c r="DQB224" s="34"/>
      <c r="DQC224" s="35"/>
      <c r="DQD224" s="35"/>
      <c r="DQE224" s="35"/>
      <c r="DQF224" s="35"/>
      <c r="DQG224" s="35"/>
      <c r="DQH224" s="34"/>
      <c r="DQI224" s="34"/>
      <c r="DQJ224" s="36"/>
      <c r="DQK224" s="36"/>
      <c r="DQL224" s="37"/>
      <c r="DQM224" s="37"/>
      <c r="DQN224" s="38"/>
      <c r="DQO224" s="38"/>
      <c r="DQP224" s="39"/>
      <c r="DQQ224" s="34"/>
      <c r="DQR224" s="34"/>
      <c r="DQS224" s="34"/>
      <c r="DQT224" s="35"/>
      <c r="DQU224" s="35"/>
      <c r="DQV224" s="35"/>
      <c r="DQW224" s="35"/>
      <c r="DQX224" s="35"/>
      <c r="DQY224" s="34"/>
      <c r="DQZ224" s="34"/>
      <c r="DRA224" s="36"/>
      <c r="DRB224" s="36"/>
      <c r="DRC224" s="37"/>
      <c r="DRD224" s="37"/>
      <c r="DRE224" s="38"/>
      <c r="DRF224" s="38"/>
      <c r="DRG224" s="39"/>
      <c r="DRH224" s="34"/>
      <c r="DRI224" s="34"/>
      <c r="DRJ224" s="34"/>
      <c r="DRK224" s="35"/>
      <c r="DRL224" s="35"/>
      <c r="DRM224" s="35"/>
      <c r="DRN224" s="35"/>
      <c r="DRO224" s="35"/>
      <c r="DRP224" s="34"/>
      <c r="DRQ224" s="34"/>
      <c r="DRR224" s="36"/>
      <c r="DRS224" s="36"/>
      <c r="DRT224" s="37"/>
      <c r="DRU224" s="37"/>
      <c r="DRV224" s="38"/>
      <c r="DRW224" s="38"/>
      <c r="DRX224" s="39"/>
      <c r="DRY224" s="34"/>
      <c r="DRZ224" s="34"/>
      <c r="DSA224" s="34"/>
      <c r="DSB224" s="35"/>
      <c r="DSC224" s="35"/>
      <c r="DSD224" s="35"/>
      <c r="DSE224" s="35"/>
      <c r="DSF224" s="35"/>
      <c r="DSG224" s="34"/>
      <c r="DSH224" s="34"/>
      <c r="DSI224" s="36"/>
      <c r="DSJ224" s="36"/>
      <c r="DSK224" s="37"/>
      <c r="DSL224" s="37"/>
      <c r="DSM224" s="38"/>
      <c r="DSN224" s="38"/>
      <c r="DSO224" s="39"/>
      <c r="DSP224" s="34"/>
      <c r="DSQ224" s="34"/>
      <c r="DSR224" s="34"/>
      <c r="DSS224" s="35"/>
      <c r="DST224" s="35"/>
      <c r="DSU224" s="35"/>
      <c r="DSV224" s="35"/>
      <c r="DSW224" s="35"/>
      <c r="DSX224" s="34"/>
      <c r="DSY224" s="34"/>
      <c r="DSZ224" s="36"/>
      <c r="DTA224" s="36"/>
      <c r="DTB224" s="37"/>
      <c r="DTC224" s="37"/>
      <c r="DTD224" s="38"/>
      <c r="DTE224" s="38"/>
      <c r="DTF224" s="39"/>
      <c r="DTG224" s="34"/>
      <c r="DTH224" s="34"/>
      <c r="DTI224" s="34"/>
      <c r="DTJ224" s="35"/>
      <c r="DTK224" s="35"/>
      <c r="DTL224" s="35"/>
      <c r="DTM224" s="35"/>
      <c r="DTN224" s="35"/>
      <c r="DTO224" s="34"/>
      <c r="DTP224" s="34"/>
      <c r="DTQ224" s="36"/>
      <c r="DTR224" s="36"/>
      <c r="DTS224" s="37"/>
      <c r="DTT224" s="37"/>
      <c r="DTU224" s="38"/>
      <c r="DTV224" s="38"/>
      <c r="DTW224" s="39"/>
      <c r="DTX224" s="34"/>
      <c r="DTY224" s="34"/>
      <c r="DTZ224" s="34"/>
      <c r="DUA224" s="35"/>
      <c r="DUB224" s="35"/>
      <c r="DUC224" s="35"/>
      <c r="DUD224" s="35"/>
      <c r="DUE224" s="35"/>
      <c r="DUF224" s="34"/>
      <c r="DUG224" s="34"/>
      <c r="DUH224" s="36"/>
      <c r="DUI224" s="36"/>
      <c r="DUJ224" s="37"/>
      <c r="DUK224" s="37"/>
      <c r="DUL224" s="38"/>
      <c r="DUM224" s="38"/>
      <c r="DUN224" s="39"/>
      <c r="DUO224" s="34"/>
      <c r="DUP224" s="34"/>
      <c r="DUQ224" s="34"/>
      <c r="DUR224" s="35"/>
      <c r="DUS224" s="35"/>
      <c r="DUT224" s="35"/>
      <c r="DUU224" s="35"/>
      <c r="DUV224" s="35"/>
      <c r="DUW224" s="34"/>
      <c r="DUX224" s="34"/>
      <c r="DUY224" s="36"/>
      <c r="DUZ224" s="36"/>
      <c r="DVA224" s="37"/>
      <c r="DVB224" s="37"/>
      <c r="DVC224" s="38"/>
      <c r="DVD224" s="38"/>
      <c r="DVE224" s="39"/>
      <c r="DVF224" s="34"/>
      <c r="DVG224" s="34"/>
      <c r="DVH224" s="34"/>
      <c r="DVI224" s="35"/>
      <c r="DVJ224" s="35"/>
      <c r="DVK224" s="35"/>
      <c r="DVL224" s="35"/>
      <c r="DVM224" s="35"/>
      <c r="DVN224" s="34"/>
      <c r="DVO224" s="34"/>
      <c r="DVP224" s="36"/>
      <c r="DVQ224" s="36"/>
      <c r="DVR224" s="37"/>
      <c r="DVS224" s="37"/>
      <c r="DVT224" s="38"/>
      <c r="DVU224" s="38"/>
      <c r="DVV224" s="39"/>
      <c r="DVW224" s="34"/>
      <c r="DVX224" s="34"/>
      <c r="DVY224" s="34"/>
      <c r="DVZ224" s="35"/>
      <c r="DWA224" s="35"/>
      <c r="DWB224" s="35"/>
      <c r="DWC224" s="35"/>
      <c r="DWD224" s="35"/>
      <c r="DWE224" s="34"/>
      <c r="DWF224" s="34"/>
      <c r="DWG224" s="36"/>
      <c r="DWH224" s="36"/>
      <c r="DWI224" s="37"/>
      <c r="DWJ224" s="37"/>
      <c r="DWK224" s="38"/>
      <c r="DWL224" s="38"/>
      <c r="DWM224" s="39"/>
      <c r="DWN224" s="34"/>
      <c r="DWO224" s="34"/>
      <c r="DWP224" s="34"/>
      <c r="DWQ224" s="35"/>
      <c r="DWR224" s="35"/>
      <c r="DWS224" s="35"/>
      <c r="DWT224" s="35"/>
      <c r="DWU224" s="35"/>
      <c r="DWV224" s="34"/>
      <c r="DWW224" s="34"/>
      <c r="DWX224" s="36"/>
      <c r="DWY224" s="36"/>
      <c r="DWZ224" s="37"/>
      <c r="DXA224" s="37"/>
      <c r="DXB224" s="38"/>
      <c r="DXC224" s="38"/>
      <c r="DXD224" s="39"/>
      <c r="DXE224" s="34"/>
      <c r="DXF224" s="34"/>
      <c r="DXG224" s="34"/>
      <c r="DXH224" s="35"/>
      <c r="DXI224" s="35"/>
      <c r="DXJ224" s="35"/>
      <c r="DXK224" s="35"/>
      <c r="DXL224" s="35"/>
      <c r="DXM224" s="34"/>
      <c r="DXN224" s="34"/>
      <c r="DXO224" s="36"/>
      <c r="DXP224" s="36"/>
      <c r="DXQ224" s="37"/>
      <c r="DXR224" s="37"/>
      <c r="DXS224" s="38"/>
      <c r="DXT224" s="38"/>
      <c r="DXU224" s="39"/>
      <c r="DXV224" s="34"/>
      <c r="DXW224" s="34"/>
      <c r="DXX224" s="34"/>
      <c r="DXY224" s="35"/>
      <c r="DXZ224" s="35"/>
      <c r="DYA224" s="35"/>
      <c r="DYB224" s="35"/>
      <c r="DYC224" s="35"/>
      <c r="DYD224" s="34"/>
      <c r="DYE224" s="34"/>
      <c r="DYF224" s="36"/>
      <c r="DYG224" s="36"/>
      <c r="DYH224" s="37"/>
      <c r="DYI224" s="37"/>
      <c r="DYJ224" s="38"/>
      <c r="DYK224" s="38"/>
      <c r="DYL224" s="39"/>
      <c r="DYM224" s="34"/>
      <c r="DYN224" s="34"/>
      <c r="DYO224" s="34"/>
      <c r="DYP224" s="35"/>
      <c r="DYQ224" s="35"/>
      <c r="DYR224" s="35"/>
      <c r="DYS224" s="35"/>
      <c r="DYT224" s="35"/>
      <c r="DYU224" s="34"/>
      <c r="DYV224" s="34"/>
      <c r="DYW224" s="36"/>
      <c r="DYX224" s="36"/>
      <c r="DYY224" s="37"/>
      <c r="DYZ224" s="37"/>
      <c r="DZA224" s="38"/>
      <c r="DZB224" s="38"/>
      <c r="DZC224" s="39"/>
      <c r="DZD224" s="34"/>
      <c r="DZE224" s="34"/>
      <c r="DZF224" s="34"/>
      <c r="DZG224" s="35"/>
      <c r="DZH224" s="35"/>
      <c r="DZI224" s="35"/>
      <c r="DZJ224" s="35"/>
      <c r="DZK224" s="35"/>
      <c r="DZL224" s="34"/>
      <c r="DZM224" s="34"/>
      <c r="DZN224" s="36"/>
      <c r="DZO224" s="36"/>
      <c r="DZP224" s="37"/>
      <c r="DZQ224" s="37"/>
      <c r="DZR224" s="38"/>
      <c r="DZS224" s="38"/>
      <c r="DZT224" s="39"/>
      <c r="DZU224" s="34"/>
      <c r="DZV224" s="34"/>
      <c r="DZW224" s="34"/>
      <c r="DZX224" s="35"/>
      <c r="DZY224" s="35"/>
      <c r="DZZ224" s="35"/>
      <c r="EAA224" s="35"/>
      <c r="EAB224" s="35"/>
      <c r="EAC224" s="34"/>
      <c r="EAD224" s="34"/>
      <c r="EAE224" s="36"/>
      <c r="EAF224" s="36"/>
      <c r="EAG224" s="37"/>
      <c r="EAH224" s="37"/>
      <c r="EAI224" s="38"/>
      <c r="EAJ224" s="38"/>
      <c r="EAK224" s="39"/>
      <c r="EAL224" s="34"/>
      <c r="EAM224" s="34"/>
      <c r="EAN224" s="34"/>
      <c r="EAO224" s="35"/>
      <c r="EAP224" s="35"/>
      <c r="EAQ224" s="35"/>
      <c r="EAR224" s="35"/>
      <c r="EAS224" s="35"/>
      <c r="EAT224" s="34"/>
      <c r="EAU224" s="34"/>
      <c r="EAV224" s="36"/>
      <c r="EAW224" s="36"/>
      <c r="EAX224" s="37"/>
      <c r="EAY224" s="37"/>
      <c r="EAZ224" s="38"/>
      <c r="EBA224" s="38"/>
      <c r="EBB224" s="39"/>
      <c r="EBC224" s="34"/>
      <c r="EBD224" s="34"/>
      <c r="EBE224" s="34"/>
      <c r="EBF224" s="35"/>
      <c r="EBG224" s="35"/>
      <c r="EBH224" s="35"/>
      <c r="EBI224" s="35"/>
      <c r="EBJ224" s="35"/>
      <c r="EBK224" s="34"/>
      <c r="EBL224" s="34"/>
      <c r="EBM224" s="36"/>
      <c r="EBN224" s="36"/>
      <c r="EBO224" s="37"/>
      <c r="EBP224" s="37"/>
      <c r="EBQ224" s="38"/>
      <c r="EBR224" s="38"/>
      <c r="EBS224" s="39"/>
      <c r="EBT224" s="34"/>
      <c r="EBU224" s="34"/>
      <c r="EBV224" s="34"/>
      <c r="EBW224" s="35"/>
      <c r="EBX224" s="35"/>
      <c r="EBY224" s="35"/>
      <c r="EBZ224" s="35"/>
      <c r="ECA224" s="35"/>
      <c r="ECB224" s="34"/>
      <c r="ECC224" s="34"/>
      <c r="ECD224" s="36"/>
      <c r="ECE224" s="36"/>
      <c r="ECF224" s="37"/>
      <c r="ECG224" s="37"/>
      <c r="ECH224" s="38"/>
      <c r="ECI224" s="38"/>
      <c r="ECJ224" s="39"/>
      <c r="ECK224" s="34"/>
      <c r="ECL224" s="34"/>
      <c r="ECM224" s="34"/>
      <c r="ECN224" s="35"/>
      <c r="ECO224" s="35"/>
      <c r="ECP224" s="35"/>
      <c r="ECQ224" s="35"/>
      <c r="ECR224" s="35"/>
      <c r="ECS224" s="34"/>
      <c r="ECT224" s="34"/>
      <c r="ECU224" s="36"/>
      <c r="ECV224" s="36"/>
      <c r="ECW224" s="37"/>
      <c r="ECX224" s="37"/>
      <c r="ECY224" s="38"/>
      <c r="ECZ224" s="38"/>
      <c r="EDA224" s="39"/>
      <c r="EDB224" s="34"/>
      <c r="EDC224" s="34"/>
      <c r="EDD224" s="34"/>
      <c r="EDE224" s="35"/>
      <c r="EDF224" s="35"/>
      <c r="EDG224" s="35"/>
      <c r="EDH224" s="35"/>
      <c r="EDI224" s="35"/>
      <c r="EDJ224" s="34"/>
      <c r="EDK224" s="34"/>
      <c r="EDL224" s="36"/>
      <c r="EDM224" s="36"/>
      <c r="EDN224" s="37"/>
      <c r="EDO224" s="37"/>
      <c r="EDP224" s="38"/>
      <c r="EDQ224" s="38"/>
      <c r="EDR224" s="39"/>
      <c r="EDS224" s="34"/>
      <c r="EDT224" s="34"/>
      <c r="EDU224" s="34"/>
      <c r="EDV224" s="35"/>
      <c r="EDW224" s="35"/>
      <c r="EDX224" s="35"/>
      <c r="EDY224" s="35"/>
      <c r="EDZ224" s="35"/>
      <c r="EEA224" s="34"/>
      <c r="EEB224" s="34"/>
      <c r="EEC224" s="36"/>
      <c r="EED224" s="36"/>
      <c r="EEE224" s="37"/>
      <c r="EEF224" s="37"/>
      <c r="EEG224" s="38"/>
      <c r="EEH224" s="38"/>
      <c r="EEI224" s="39"/>
      <c r="EEJ224" s="34"/>
      <c r="EEK224" s="34"/>
      <c r="EEL224" s="34"/>
      <c r="EEM224" s="35"/>
      <c r="EEN224" s="35"/>
      <c r="EEO224" s="35"/>
      <c r="EEP224" s="35"/>
      <c r="EEQ224" s="35"/>
      <c r="EER224" s="34"/>
      <c r="EES224" s="34"/>
      <c r="EET224" s="36"/>
      <c r="EEU224" s="36"/>
      <c r="EEV224" s="37"/>
      <c r="EEW224" s="37"/>
      <c r="EEX224" s="38"/>
      <c r="EEY224" s="38"/>
      <c r="EEZ224" s="39"/>
      <c r="EFA224" s="34"/>
      <c r="EFB224" s="34"/>
      <c r="EFC224" s="34"/>
      <c r="EFD224" s="35"/>
      <c r="EFE224" s="35"/>
      <c r="EFF224" s="35"/>
      <c r="EFG224" s="35"/>
      <c r="EFH224" s="35"/>
      <c r="EFI224" s="34"/>
      <c r="EFJ224" s="34"/>
      <c r="EFK224" s="36"/>
      <c r="EFL224" s="36"/>
      <c r="EFM224" s="37"/>
      <c r="EFN224" s="37"/>
      <c r="EFO224" s="38"/>
      <c r="EFP224" s="38"/>
      <c r="EFQ224" s="39"/>
      <c r="EFR224" s="34"/>
      <c r="EFS224" s="34"/>
      <c r="EFT224" s="34"/>
      <c r="EFU224" s="35"/>
      <c r="EFV224" s="35"/>
      <c r="EFW224" s="35"/>
      <c r="EFX224" s="35"/>
      <c r="EFY224" s="35"/>
      <c r="EFZ224" s="34"/>
      <c r="EGA224" s="34"/>
      <c r="EGB224" s="36"/>
      <c r="EGC224" s="36"/>
      <c r="EGD224" s="37"/>
      <c r="EGE224" s="37"/>
      <c r="EGF224" s="38"/>
      <c r="EGG224" s="38"/>
      <c r="EGH224" s="39"/>
      <c r="EGI224" s="34"/>
      <c r="EGJ224" s="34"/>
      <c r="EGK224" s="34"/>
      <c r="EGL224" s="35"/>
      <c r="EGM224" s="35"/>
      <c r="EGN224" s="35"/>
      <c r="EGO224" s="35"/>
      <c r="EGP224" s="35"/>
      <c r="EGQ224" s="34"/>
      <c r="EGR224" s="34"/>
      <c r="EGS224" s="36"/>
      <c r="EGT224" s="36"/>
      <c r="EGU224" s="37"/>
      <c r="EGV224" s="37"/>
      <c r="EGW224" s="38"/>
      <c r="EGX224" s="38"/>
      <c r="EGY224" s="39"/>
      <c r="EGZ224" s="34"/>
      <c r="EHA224" s="34"/>
      <c r="EHB224" s="34"/>
      <c r="EHC224" s="35"/>
      <c r="EHD224" s="35"/>
      <c r="EHE224" s="35"/>
      <c r="EHF224" s="35"/>
      <c r="EHG224" s="35"/>
      <c r="EHH224" s="34"/>
      <c r="EHI224" s="34"/>
      <c r="EHJ224" s="36"/>
      <c r="EHK224" s="36"/>
      <c r="EHL224" s="37"/>
      <c r="EHM224" s="37"/>
      <c r="EHN224" s="38"/>
      <c r="EHO224" s="38"/>
      <c r="EHP224" s="39"/>
      <c r="EHQ224" s="34"/>
      <c r="EHR224" s="34"/>
      <c r="EHS224" s="34"/>
      <c r="EHT224" s="35"/>
      <c r="EHU224" s="35"/>
      <c r="EHV224" s="35"/>
      <c r="EHW224" s="35"/>
      <c r="EHX224" s="35"/>
      <c r="EHY224" s="34"/>
      <c r="EHZ224" s="34"/>
      <c r="EIA224" s="36"/>
      <c r="EIB224" s="36"/>
      <c r="EIC224" s="37"/>
      <c r="EID224" s="37"/>
      <c r="EIE224" s="38"/>
      <c r="EIF224" s="38"/>
      <c r="EIG224" s="39"/>
      <c r="EIH224" s="34"/>
      <c r="EII224" s="34"/>
      <c r="EIJ224" s="34"/>
      <c r="EIK224" s="35"/>
      <c r="EIL224" s="35"/>
      <c r="EIM224" s="35"/>
      <c r="EIN224" s="35"/>
      <c r="EIO224" s="35"/>
      <c r="EIP224" s="34"/>
      <c r="EIQ224" s="34"/>
      <c r="EIR224" s="36"/>
      <c r="EIS224" s="36"/>
      <c r="EIT224" s="37"/>
      <c r="EIU224" s="37"/>
      <c r="EIV224" s="38"/>
      <c r="EIW224" s="38"/>
      <c r="EIX224" s="39"/>
      <c r="EIY224" s="34"/>
      <c r="EIZ224" s="34"/>
      <c r="EJA224" s="34"/>
      <c r="EJB224" s="35"/>
      <c r="EJC224" s="35"/>
      <c r="EJD224" s="35"/>
      <c r="EJE224" s="35"/>
      <c r="EJF224" s="35"/>
      <c r="EJG224" s="34"/>
      <c r="EJH224" s="34"/>
      <c r="EJI224" s="36"/>
      <c r="EJJ224" s="36"/>
      <c r="EJK224" s="37"/>
      <c r="EJL224" s="37"/>
      <c r="EJM224" s="38"/>
      <c r="EJN224" s="38"/>
      <c r="EJO224" s="39"/>
      <c r="EJP224" s="34"/>
      <c r="EJQ224" s="34"/>
      <c r="EJR224" s="34"/>
      <c r="EJS224" s="35"/>
      <c r="EJT224" s="35"/>
      <c r="EJU224" s="35"/>
      <c r="EJV224" s="35"/>
      <c r="EJW224" s="35"/>
      <c r="EJX224" s="34"/>
      <c r="EJY224" s="34"/>
      <c r="EJZ224" s="36"/>
      <c r="EKA224" s="36"/>
      <c r="EKB224" s="37"/>
      <c r="EKC224" s="37"/>
      <c r="EKD224" s="38"/>
      <c r="EKE224" s="38"/>
      <c r="EKF224" s="39"/>
      <c r="EKG224" s="34"/>
      <c r="EKH224" s="34"/>
      <c r="EKI224" s="34"/>
      <c r="EKJ224" s="35"/>
      <c r="EKK224" s="35"/>
      <c r="EKL224" s="35"/>
      <c r="EKM224" s="35"/>
      <c r="EKN224" s="35"/>
      <c r="EKO224" s="34"/>
      <c r="EKP224" s="34"/>
      <c r="EKQ224" s="36"/>
      <c r="EKR224" s="36"/>
      <c r="EKS224" s="37"/>
      <c r="EKT224" s="37"/>
      <c r="EKU224" s="38"/>
      <c r="EKV224" s="38"/>
      <c r="EKW224" s="39"/>
      <c r="EKX224" s="34"/>
      <c r="EKY224" s="34"/>
      <c r="EKZ224" s="34"/>
      <c r="ELA224" s="35"/>
      <c r="ELB224" s="35"/>
      <c r="ELC224" s="35"/>
      <c r="ELD224" s="35"/>
      <c r="ELE224" s="35"/>
      <c r="ELF224" s="34"/>
      <c r="ELG224" s="34"/>
      <c r="ELH224" s="36"/>
      <c r="ELI224" s="36"/>
      <c r="ELJ224" s="37"/>
      <c r="ELK224" s="37"/>
      <c r="ELL224" s="38"/>
      <c r="ELM224" s="38"/>
      <c r="ELN224" s="39"/>
      <c r="ELO224" s="34"/>
      <c r="ELP224" s="34"/>
      <c r="ELQ224" s="34"/>
      <c r="ELR224" s="35"/>
      <c r="ELS224" s="35"/>
      <c r="ELT224" s="35"/>
      <c r="ELU224" s="35"/>
      <c r="ELV224" s="35"/>
      <c r="ELW224" s="34"/>
      <c r="ELX224" s="34"/>
      <c r="ELY224" s="36"/>
      <c r="ELZ224" s="36"/>
      <c r="EMA224" s="37"/>
      <c r="EMB224" s="37"/>
      <c r="EMC224" s="38"/>
      <c r="EMD224" s="38"/>
      <c r="EME224" s="39"/>
      <c r="EMF224" s="34"/>
      <c r="EMG224" s="34"/>
      <c r="EMH224" s="34"/>
      <c r="EMI224" s="35"/>
      <c r="EMJ224" s="35"/>
      <c r="EMK224" s="35"/>
      <c r="EML224" s="35"/>
      <c r="EMM224" s="35"/>
      <c r="EMN224" s="34"/>
      <c r="EMO224" s="34"/>
      <c r="EMP224" s="36"/>
      <c r="EMQ224" s="36"/>
      <c r="EMR224" s="37"/>
      <c r="EMS224" s="37"/>
      <c r="EMT224" s="38"/>
      <c r="EMU224" s="38"/>
      <c r="EMV224" s="39"/>
      <c r="EMW224" s="34"/>
      <c r="EMX224" s="34"/>
      <c r="EMY224" s="34"/>
      <c r="EMZ224" s="35"/>
      <c r="ENA224" s="35"/>
      <c r="ENB224" s="35"/>
      <c r="ENC224" s="35"/>
      <c r="END224" s="35"/>
      <c r="ENE224" s="34"/>
      <c r="ENF224" s="34"/>
      <c r="ENG224" s="36"/>
      <c r="ENH224" s="36"/>
      <c r="ENI224" s="37"/>
      <c r="ENJ224" s="37"/>
      <c r="ENK224" s="38"/>
      <c r="ENL224" s="38"/>
      <c r="ENM224" s="39"/>
      <c r="ENN224" s="34"/>
      <c r="ENO224" s="34"/>
      <c r="ENP224" s="34"/>
      <c r="ENQ224" s="35"/>
      <c r="ENR224" s="35"/>
      <c r="ENS224" s="35"/>
      <c r="ENT224" s="35"/>
      <c r="ENU224" s="35"/>
      <c r="ENV224" s="34"/>
      <c r="ENW224" s="34"/>
      <c r="ENX224" s="36"/>
      <c r="ENY224" s="36"/>
      <c r="ENZ224" s="37"/>
      <c r="EOA224" s="37"/>
      <c r="EOB224" s="38"/>
      <c r="EOC224" s="38"/>
      <c r="EOD224" s="39"/>
      <c r="EOE224" s="34"/>
      <c r="EOF224" s="34"/>
      <c r="EOG224" s="34"/>
      <c r="EOH224" s="35"/>
      <c r="EOI224" s="35"/>
      <c r="EOJ224" s="35"/>
      <c r="EOK224" s="35"/>
      <c r="EOL224" s="35"/>
      <c r="EOM224" s="34"/>
      <c r="EON224" s="34"/>
      <c r="EOO224" s="36"/>
      <c r="EOP224" s="36"/>
      <c r="EOQ224" s="37"/>
      <c r="EOR224" s="37"/>
      <c r="EOS224" s="38"/>
      <c r="EOT224" s="38"/>
      <c r="EOU224" s="39"/>
      <c r="EOV224" s="34"/>
      <c r="EOW224" s="34"/>
      <c r="EOX224" s="34"/>
      <c r="EOY224" s="35"/>
      <c r="EOZ224" s="35"/>
      <c r="EPA224" s="35"/>
      <c r="EPB224" s="35"/>
      <c r="EPC224" s="35"/>
      <c r="EPD224" s="34"/>
      <c r="EPE224" s="34"/>
      <c r="EPF224" s="36"/>
      <c r="EPG224" s="36"/>
      <c r="EPH224" s="37"/>
      <c r="EPI224" s="37"/>
      <c r="EPJ224" s="38"/>
      <c r="EPK224" s="38"/>
      <c r="EPL224" s="39"/>
      <c r="EPM224" s="34"/>
      <c r="EPN224" s="34"/>
      <c r="EPO224" s="34"/>
      <c r="EPP224" s="35"/>
      <c r="EPQ224" s="35"/>
      <c r="EPR224" s="35"/>
      <c r="EPS224" s="35"/>
      <c r="EPT224" s="35"/>
      <c r="EPU224" s="34"/>
      <c r="EPV224" s="34"/>
      <c r="EPW224" s="36"/>
      <c r="EPX224" s="36"/>
      <c r="EPY224" s="37"/>
      <c r="EPZ224" s="37"/>
      <c r="EQA224" s="38"/>
      <c r="EQB224" s="38"/>
      <c r="EQC224" s="39"/>
      <c r="EQD224" s="34"/>
      <c r="EQE224" s="34"/>
      <c r="EQF224" s="34"/>
      <c r="EQG224" s="35"/>
      <c r="EQH224" s="35"/>
      <c r="EQI224" s="35"/>
      <c r="EQJ224" s="35"/>
      <c r="EQK224" s="35"/>
      <c r="EQL224" s="34"/>
      <c r="EQM224" s="34"/>
      <c r="EQN224" s="36"/>
      <c r="EQO224" s="36"/>
      <c r="EQP224" s="37"/>
      <c r="EQQ224" s="37"/>
      <c r="EQR224" s="38"/>
      <c r="EQS224" s="38"/>
      <c r="EQT224" s="39"/>
      <c r="EQU224" s="34"/>
      <c r="EQV224" s="34"/>
      <c r="EQW224" s="34"/>
      <c r="EQX224" s="35"/>
      <c r="EQY224" s="35"/>
      <c r="EQZ224" s="35"/>
      <c r="ERA224" s="35"/>
      <c r="ERB224" s="35"/>
      <c r="ERC224" s="34"/>
      <c r="ERD224" s="34"/>
      <c r="ERE224" s="36"/>
      <c r="ERF224" s="36"/>
      <c r="ERG224" s="37"/>
      <c r="ERH224" s="37"/>
      <c r="ERI224" s="38"/>
      <c r="ERJ224" s="38"/>
      <c r="ERK224" s="39"/>
      <c r="ERL224" s="34"/>
      <c r="ERM224" s="34"/>
      <c r="ERN224" s="34"/>
      <c r="ERO224" s="35"/>
      <c r="ERP224" s="35"/>
      <c r="ERQ224" s="35"/>
      <c r="ERR224" s="35"/>
      <c r="ERS224" s="35"/>
      <c r="ERT224" s="34"/>
      <c r="ERU224" s="34"/>
      <c r="ERV224" s="36"/>
      <c r="ERW224" s="36"/>
      <c r="ERX224" s="37"/>
      <c r="ERY224" s="37"/>
      <c r="ERZ224" s="38"/>
      <c r="ESA224" s="38"/>
      <c r="ESB224" s="39"/>
      <c r="ESC224" s="34"/>
      <c r="ESD224" s="34"/>
      <c r="ESE224" s="34"/>
      <c r="ESF224" s="35"/>
      <c r="ESG224" s="35"/>
      <c r="ESH224" s="35"/>
      <c r="ESI224" s="35"/>
      <c r="ESJ224" s="35"/>
      <c r="ESK224" s="34"/>
      <c r="ESL224" s="34"/>
      <c r="ESM224" s="36"/>
      <c r="ESN224" s="36"/>
      <c r="ESO224" s="37"/>
      <c r="ESP224" s="37"/>
      <c r="ESQ224" s="38"/>
      <c r="ESR224" s="38"/>
      <c r="ESS224" s="39"/>
      <c r="EST224" s="34"/>
      <c r="ESU224" s="34"/>
      <c r="ESV224" s="34"/>
      <c r="ESW224" s="35"/>
      <c r="ESX224" s="35"/>
      <c r="ESY224" s="35"/>
      <c r="ESZ224" s="35"/>
      <c r="ETA224" s="35"/>
      <c r="ETB224" s="34"/>
      <c r="ETC224" s="34"/>
      <c r="ETD224" s="36"/>
      <c r="ETE224" s="36"/>
      <c r="ETF224" s="37"/>
      <c r="ETG224" s="37"/>
      <c r="ETH224" s="38"/>
      <c r="ETI224" s="38"/>
      <c r="ETJ224" s="39"/>
      <c r="ETK224" s="34"/>
      <c r="ETL224" s="34"/>
      <c r="ETM224" s="34"/>
      <c r="ETN224" s="35"/>
      <c r="ETO224" s="35"/>
      <c r="ETP224" s="35"/>
      <c r="ETQ224" s="35"/>
      <c r="ETR224" s="35"/>
      <c r="ETS224" s="34"/>
      <c r="ETT224" s="34"/>
      <c r="ETU224" s="36"/>
      <c r="ETV224" s="36"/>
      <c r="ETW224" s="37"/>
      <c r="ETX224" s="37"/>
      <c r="ETY224" s="38"/>
      <c r="ETZ224" s="38"/>
      <c r="EUA224" s="39"/>
      <c r="EUB224" s="34"/>
      <c r="EUC224" s="34"/>
      <c r="EUD224" s="34"/>
      <c r="EUE224" s="35"/>
      <c r="EUF224" s="35"/>
      <c r="EUG224" s="35"/>
      <c r="EUH224" s="35"/>
      <c r="EUI224" s="35"/>
      <c r="EUJ224" s="34"/>
      <c r="EUK224" s="34"/>
      <c r="EUL224" s="36"/>
      <c r="EUM224" s="36"/>
      <c r="EUN224" s="37"/>
      <c r="EUO224" s="37"/>
      <c r="EUP224" s="38"/>
      <c r="EUQ224" s="38"/>
      <c r="EUR224" s="39"/>
      <c r="EUS224" s="34"/>
      <c r="EUT224" s="34"/>
      <c r="EUU224" s="34"/>
      <c r="EUV224" s="35"/>
      <c r="EUW224" s="35"/>
      <c r="EUX224" s="35"/>
      <c r="EUY224" s="35"/>
      <c r="EUZ224" s="35"/>
      <c r="EVA224" s="34"/>
      <c r="EVB224" s="34"/>
      <c r="EVC224" s="36"/>
      <c r="EVD224" s="36"/>
      <c r="EVE224" s="37"/>
      <c r="EVF224" s="37"/>
      <c r="EVG224" s="38"/>
      <c r="EVH224" s="38"/>
      <c r="EVI224" s="39"/>
      <c r="EVJ224" s="34"/>
      <c r="EVK224" s="34"/>
      <c r="EVL224" s="34"/>
      <c r="EVM224" s="35"/>
      <c r="EVN224" s="35"/>
      <c r="EVO224" s="35"/>
      <c r="EVP224" s="35"/>
      <c r="EVQ224" s="35"/>
      <c r="EVR224" s="34"/>
      <c r="EVS224" s="34"/>
      <c r="EVT224" s="36"/>
      <c r="EVU224" s="36"/>
      <c r="EVV224" s="37"/>
      <c r="EVW224" s="37"/>
      <c r="EVX224" s="38"/>
      <c r="EVY224" s="38"/>
      <c r="EVZ224" s="39"/>
      <c r="EWA224" s="34"/>
      <c r="EWB224" s="34"/>
      <c r="EWC224" s="34"/>
      <c r="EWD224" s="35"/>
      <c r="EWE224" s="35"/>
      <c r="EWF224" s="35"/>
      <c r="EWG224" s="35"/>
      <c r="EWH224" s="35"/>
      <c r="EWI224" s="34"/>
      <c r="EWJ224" s="34"/>
      <c r="EWK224" s="36"/>
      <c r="EWL224" s="36"/>
      <c r="EWM224" s="37"/>
      <c r="EWN224" s="37"/>
      <c r="EWO224" s="38"/>
      <c r="EWP224" s="38"/>
      <c r="EWQ224" s="39"/>
      <c r="EWR224" s="34"/>
      <c r="EWS224" s="34"/>
      <c r="EWT224" s="34"/>
      <c r="EWU224" s="35"/>
      <c r="EWV224" s="35"/>
      <c r="EWW224" s="35"/>
      <c r="EWX224" s="35"/>
      <c r="EWY224" s="35"/>
      <c r="EWZ224" s="34"/>
      <c r="EXA224" s="34"/>
      <c r="EXB224" s="36"/>
      <c r="EXC224" s="36"/>
      <c r="EXD224" s="37"/>
      <c r="EXE224" s="37"/>
      <c r="EXF224" s="38"/>
      <c r="EXG224" s="38"/>
      <c r="EXH224" s="39"/>
      <c r="EXI224" s="34"/>
      <c r="EXJ224" s="34"/>
      <c r="EXK224" s="34"/>
      <c r="EXL224" s="35"/>
      <c r="EXM224" s="35"/>
      <c r="EXN224" s="35"/>
      <c r="EXO224" s="35"/>
      <c r="EXP224" s="35"/>
      <c r="EXQ224" s="34"/>
      <c r="EXR224" s="34"/>
      <c r="EXS224" s="36"/>
      <c r="EXT224" s="36"/>
      <c r="EXU224" s="37"/>
      <c r="EXV224" s="37"/>
      <c r="EXW224" s="38"/>
      <c r="EXX224" s="38"/>
      <c r="EXY224" s="39"/>
      <c r="EXZ224" s="34"/>
      <c r="EYA224" s="34"/>
      <c r="EYB224" s="34"/>
      <c r="EYC224" s="35"/>
      <c r="EYD224" s="35"/>
      <c r="EYE224" s="35"/>
      <c r="EYF224" s="35"/>
      <c r="EYG224" s="35"/>
      <c r="EYH224" s="34"/>
      <c r="EYI224" s="34"/>
      <c r="EYJ224" s="36"/>
      <c r="EYK224" s="36"/>
      <c r="EYL224" s="37"/>
      <c r="EYM224" s="37"/>
      <c r="EYN224" s="38"/>
      <c r="EYO224" s="38"/>
      <c r="EYP224" s="39"/>
      <c r="EYQ224" s="34"/>
      <c r="EYR224" s="34"/>
      <c r="EYS224" s="34"/>
      <c r="EYT224" s="35"/>
      <c r="EYU224" s="35"/>
      <c r="EYV224" s="35"/>
      <c r="EYW224" s="35"/>
      <c r="EYX224" s="35"/>
      <c r="EYY224" s="34"/>
      <c r="EYZ224" s="34"/>
      <c r="EZA224" s="36"/>
      <c r="EZB224" s="36"/>
      <c r="EZC224" s="37"/>
      <c r="EZD224" s="37"/>
      <c r="EZE224" s="38"/>
      <c r="EZF224" s="38"/>
      <c r="EZG224" s="39"/>
      <c r="EZH224" s="34"/>
      <c r="EZI224" s="34"/>
      <c r="EZJ224" s="34"/>
      <c r="EZK224" s="35"/>
      <c r="EZL224" s="35"/>
      <c r="EZM224" s="35"/>
      <c r="EZN224" s="35"/>
      <c r="EZO224" s="35"/>
      <c r="EZP224" s="34"/>
      <c r="EZQ224" s="34"/>
      <c r="EZR224" s="36"/>
      <c r="EZS224" s="36"/>
      <c r="EZT224" s="37"/>
      <c r="EZU224" s="37"/>
      <c r="EZV224" s="38"/>
      <c r="EZW224" s="38"/>
      <c r="EZX224" s="39"/>
      <c r="EZY224" s="34"/>
      <c r="EZZ224" s="34"/>
      <c r="FAA224" s="34"/>
      <c r="FAB224" s="35"/>
      <c r="FAC224" s="35"/>
      <c r="FAD224" s="35"/>
      <c r="FAE224" s="35"/>
      <c r="FAF224" s="35"/>
      <c r="FAG224" s="34"/>
      <c r="FAH224" s="34"/>
      <c r="FAI224" s="36"/>
      <c r="FAJ224" s="36"/>
      <c r="FAK224" s="37"/>
      <c r="FAL224" s="37"/>
      <c r="FAM224" s="38"/>
      <c r="FAN224" s="38"/>
      <c r="FAO224" s="39"/>
      <c r="FAP224" s="34"/>
      <c r="FAQ224" s="34"/>
      <c r="FAR224" s="34"/>
      <c r="FAS224" s="35"/>
      <c r="FAT224" s="35"/>
      <c r="FAU224" s="35"/>
      <c r="FAV224" s="35"/>
      <c r="FAW224" s="35"/>
      <c r="FAX224" s="34"/>
      <c r="FAY224" s="34"/>
      <c r="FAZ224" s="36"/>
      <c r="FBA224" s="36"/>
      <c r="FBB224" s="37"/>
      <c r="FBC224" s="37"/>
      <c r="FBD224" s="38"/>
      <c r="FBE224" s="38"/>
      <c r="FBF224" s="39"/>
      <c r="FBG224" s="34"/>
      <c r="FBH224" s="34"/>
      <c r="FBI224" s="34"/>
      <c r="FBJ224" s="35"/>
      <c r="FBK224" s="35"/>
      <c r="FBL224" s="35"/>
      <c r="FBM224" s="35"/>
      <c r="FBN224" s="35"/>
      <c r="FBO224" s="34"/>
      <c r="FBP224" s="34"/>
      <c r="FBQ224" s="36"/>
      <c r="FBR224" s="36"/>
      <c r="FBS224" s="37"/>
      <c r="FBT224" s="37"/>
      <c r="FBU224" s="38"/>
      <c r="FBV224" s="38"/>
      <c r="FBW224" s="39"/>
      <c r="FBX224" s="34"/>
      <c r="FBY224" s="34"/>
      <c r="FBZ224" s="34"/>
      <c r="FCA224" s="35"/>
      <c r="FCB224" s="35"/>
      <c r="FCC224" s="35"/>
      <c r="FCD224" s="35"/>
      <c r="FCE224" s="35"/>
      <c r="FCF224" s="34"/>
      <c r="FCG224" s="34"/>
      <c r="FCH224" s="36"/>
      <c r="FCI224" s="36"/>
      <c r="FCJ224" s="37"/>
      <c r="FCK224" s="37"/>
      <c r="FCL224" s="38"/>
      <c r="FCM224" s="38"/>
      <c r="FCN224" s="39"/>
      <c r="FCO224" s="34"/>
      <c r="FCP224" s="34"/>
      <c r="FCQ224" s="34"/>
      <c r="FCR224" s="35"/>
      <c r="FCS224" s="35"/>
      <c r="FCT224" s="35"/>
      <c r="FCU224" s="35"/>
      <c r="FCV224" s="35"/>
      <c r="FCW224" s="34"/>
      <c r="FCX224" s="34"/>
      <c r="FCY224" s="36"/>
      <c r="FCZ224" s="36"/>
      <c r="FDA224" s="37"/>
      <c r="FDB224" s="37"/>
      <c r="FDC224" s="38"/>
      <c r="FDD224" s="38"/>
      <c r="FDE224" s="39"/>
      <c r="FDF224" s="34"/>
      <c r="FDG224" s="34"/>
      <c r="FDH224" s="34"/>
      <c r="FDI224" s="35"/>
      <c r="FDJ224" s="35"/>
      <c r="FDK224" s="35"/>
      <c r="FDL224" s="35"/>
      <c r="FDM224" s="35"/>
      <c r="FDN224" s="34"/>
      <c r="FDO224" s="34"/>
      <c r="FDP224" s="36"/>
      <c r="FDQ224" s="36"/>
      <c r="FDR224" s="37"/>
      <c r="FDS224" s="37"/>
      <c r="FDT224" s="38"/>
      <c r="FDU224" s="38"/>
      <c r="FDV224" s="39"/>
      <c r="FDW224" s="34"/>
      <c r="FDX224" s="34"/>
      <c r="FDY224" s="34"/>
      <c r="FDZ224" s="35"/>
      <c r="FEA224" s="35"/>
      <c r="FEB224" s="35"/>
      <c r="FEC224" s="35"/>
      <c r="FED224" s="35"/>
      <c r="FEE224" s="34"/>
      <c r="FEF224" s="34"/>
      <c r="FEG224" s="36"/>
      <c r="FEH224" s="36"/>
      <c r="FEI224" s="37"/>
      <c r="FEJ224" s="37"/>
      <c r="FEK224" s="38"/>
      <c r="FEL224" s="38"/>
      <c r="FEM224" s="39"/>
      <c r="FEN224" s="34"/>
      <c r="FEO224" s="34"/>
      <c r="FEP224" s="34"/>
      <c r="FEQ224" s="35"/>
      <c r="FER224" s="35"/>
      <c r="FES224" s="35"/>
      <c r="FET224" s="35"/>
      <c r="FEU224" s="35"/>
      <c r="FEV224" s="34"/>
      <c r="FEW224" s="34"/>
      <c r="FEX224" s="36"/>
      <c r="FEY224" s="36"/>
      <c r="FEZ224" s="37"/>
      <c r="FFA224" s="37"/>
      <c r="FFB224" s="38"/>
      <c r="FFC224" s="38"/>
      <c r="FFD224" s="39"/>
      <c r="FFE224" s="34"/>
      <c r="FFF224" s="34"/>
      <c r="FFG224" s="34"/>
      <c r="FFH224" s="35"/>
      <c r="FFI224" s="35"/>
      <c r="FFJ224" s="35"/>
      <c r="FFK224" s="35"/>
      <c r="FFL224" s="35"/>
      <c r="FFM224" s="34"/>
      <c r="FFN224" s="34"/>
      <c r="FFO224" s="36"/>
      <c r="FFP224" s="36"/>
      <c r="FFQ224" s="37"/>
      <c r="FFR224" s="37"/>
      <c r="FFS224" s="38"/>
      <c r="FFT224" s="38"/>
      <c r="FFU224" s="39"/>
      <c r="FFV224" s="34"/>
      <c r="FFW224" s="34"/>
      <c r="FFX224" s="34"/>
      <c r="FFY224" s="35"/>
      <c r="FFZ224" s="35"/>
      <c r="FGA224" s="35"/>
      <c r="FGB224" s="35"/>
      <c r="FGC224" s="35"/>
      <c r="FGD224" s="34"/>
      <c r="FGE224" s="34"/>
      <c r="FGF224" s="36"/>
      <c r="FGG224" s="36"/>
      <c r="FGH224" s="37"/>
      <c r="FGI224" s="37"/>
      <c r="FGJ224" s="38"/>
      <c r="FGK224" s="38"/>
      <c r="FGL224" s="39"/>
      <c r="FGM224" s="34"/>
      <c r="FGN224" s="34"/>
      <c r="FGO224" s="34"/>
      <c r="FGP224" s="35"/>
      <c r="FGQ224" s="35"/>
      <c r="FGR224" s="35"/>
      <c r="FGS224" s="35"/>
      <c r="FGT224" s="35"/>
      <c r="FGU224" s="34"/>
      <c r="FGV224" s="34"/>
      <c r="FGW224" s="36"/>
      <c r="FGX224" s="36"/>
      <c r="FGY224" s="37"/>
      <c r="FGZ224" s="37"/>
      <c r="FHA224" s="38"/>
      <c r="FHB224" s="38"/>
      <c r="FHC224" s="39"/>
      <c r="FHD224" s="34"/>
      <c r="FHE224" s="34"/>
      <c r="FHF224" s="34"/>
      <c r="FHG224" s="35"/>
      <c r="FHH224" s="35"/>
      <c r="FHI224" s="35"/>
      <c r="FHJ224" s="35"/>
      <c r="FHK224" s="35"/>
      <c r="FHL224" s="34"/>
      <c r="FHM224" s="34"/>
      <c r="FHN224" s="36"/>
      <c r="FHO224" s="36"/>
      <c r="FHP224" s="37"/>
      <c r="FHQ224" s="37"/>
      <c r="FHR224" s="38"/>
      <c r="FHS224" s="38"/>
      <c r="FHT224" s="39"/>
      <c r="FHU224" s="34"/>
      <c r="FHV224" s="34"/>
      <c r="FHW224" s="34"/>
      <c r="FHX224" s="35"/>
      <c r="FHY224" s="35"/>
      <c r="FHZ224" s="35"/>
      <c r="FIA224" s="35"/>
      <c r="FIB224" s="35"/>
      <c r="FIC224" s="34"/>
      <c r="FID224" s="34"/>
      <c r="FIE224" s="36"/>
      <c r="FIF224" s="36"/>
      <c r="FIG224" s="37"/>
      <c r="FIH224" s="37"/>
      <c r="FII224" s="38"/>
      <c r="FIJ224" s="38"/>
      <c r="FIK224" s="39"/>
      <c r="FIL224" s="34"/>
      <c r="FIM224" s="34"/>
      <c r="FIN224" s="34"/>
      <c r="FIO224" s="35"/>
      <c r="FIP224" s="35"/>
      <c r="FIQ224" s="35"/>
      <c r="FIR224" s="35"/>
      <c r="FIS224" s="35"/>
      <c r="FIT224" s="34"/>
      <c r="FIU224" s="34"/>
      <c r="FIV224" s="36"/>
      <c r="FIW224" s="36"/>
      <c r="FIX224" s="37"/>
      <c r="FIY224" s="37"/>
      <c r="FIZ224" s="38"/>
      <c r="FJA224" s="38"/>
      <c r="FJB224" s="39"/>
      <c r="FJC224" s="34"/>
      <c r="FJD224" s="34"/>
      <c r="FJE224" s="34"/>
      <c r="FJF224" s="35"/>
      <c r="FJG224" s="35"/>
      <c r="FJH224" s="35"/>
      <c r="FJI224" s="35"/>
      <c r="FJJ224" s="35"/>
      <c r="FJK224" s="34"/>
      <c r="FJL224" s="34"/>
      <c r="FJM224" s="36"/>
      <c r="FJN224" s="36"/>
      <c r="FJO224" s="37"/>
      <c r="FJP224" s="37"/>
      <c r="FJQ224" s="38"/>
      <c r="FJR224" s="38"/>
      <c r="FJS224" s="39"/>
      <c r="FJT224" s="34"/>
      <c r="FJU224" s="34"/>
      <c r="FJV224" s="34"/>
      <c r="FJW224" s="35"/>
      <c r="FJX224" s="35"/>
      <c r="FJY224" s="35"/>
      <c r="FJZ224" s="35"/>
      <c r="FKA224" s="35"/>
      <c r="FKB224" s="34"/>
      <c r="FKC224" s="34"/>
      <c r="FKD224" s="36"/>
      <c r="FKE224" s="36"/>
      <c r="FKF224" s="37"/>
      <c r="FKG224" s="37"/>
      <c r="FKH224" s="38"/>
      <c r="FKI224" s="38"/>
      <c r="FKJ224" s="39"/>
      <c r="FKK224" s="34"/>
      <c r="FKL224" s="34"/>
      <c r="FKM224" s="34"/>
      <c r="FKN224" s="35"/>
      <c r="FKO224" s="35"/>
      <c r="FKP224" s="35"/>
      <c r="FKQ224" s="35"/>
      <c r="FKR224" s="35"/>
      <c r="FKS224" s="34"/>
      <c r="FKT224" s="34"/>
      <c r="FKU224" s="36"/>
      <c r="FKV224" s="36"/>
      <c r="FKW224" s="37"/>
      <c r="FKX224" s="37"/>
      <c r="FKY224" s="38"/>
      <c r="FKZ224" s="38"/>
      <c r="FLA224" s="39"/>
      <c r="FLB224" s="34"/>
      <c r="FLC224" s="34"/>
      <c r="FLD224" s="34"/>
      <c r="FLE224" s="35"/>
      <c r="FLF224" s="35"/>
      <c r="FLG224" s="35"/>
      <c r="FLH224" s="35"/>
      <c r="FLI224" s="35"/>
      <c r="FLJ224" s="34"/>
      <c r="FLK224" s="34"/>
      <c r="FLL224" s="36"/>
      <c r="FLM224" s="36"/>
      <c r="FLN224" s="37"/>
      <c r="FLO224" s="37"/>
      <c r="FLP224" s="38"/>
      <c r="FLQ224" s="38"/>
      <c r="FLR224" s="39"/>
      <c r="FLS224" s="34"/>
      <c r="FLT224" s="34"/>
      <c r="FLU224" s="34"/>
      <c r="FLV224" s="35"/>
      <c r="FLW224" s="35"/>
      <c r="FLX224" s="35"/>
      <c r="FLY224" s="35"/>
      <c r="FLZ224" s="35"/>
      <c r="FMA224" s="34"/>
      <c r="FMB224" s="34"/>
      <c r="FMC224" s="36"/>
      <c r="FMD224" s="36"/>
      <c r="FME224" s="37"/>
      <c r="FMF224" s="37"/>
      <c r="FMG224" s="38"/>
      <c r="FMH224" s="38"/>
      <c r="FMI224" s="39"/>
      <c r="FMJ224" s="34"/>
      <c r="FMK224" s="34"/>
      <c r="FML224" s="34"/>
      <c r="FMM224" s="35"/>
      <c r="FMN224" s="35"/>
      <c r="FMO224" s="35"/>
      <c r="FMP224" s="35"/>
      <c r="FMQ224" s="35"/>
      <c r="FMR224" s="34"/>
      <c r="FMS224" s="34"/>
      <c r="FMT224" s="36"/>
      <c r="FMU224" s="36"/>
      <c r="FMV224" s="37"/>
      <c r="FMW224" s="37"/>
      <c r="FMX224" s="38"/>
      <c r="FMY224" s="38"/>
      <c r="FMZ224" s="39"/>
      <c r="FNA224" s="34"/>
      <c r="FNB224" s="34"/>
      <c r="FNC224" s="34"/>
      <c r="FND224" s="35"/>
      <c r="FNE224" s="35"/>
      <c r="FNF224" s="35"/>
      <c r="FNG224" s="35"/>
      <c r="FNH224" s="35"/>
      <c r="FNI224" s="34"/>
      <c r="FNJ224" s="34"/>
      <c r="FNK224" s="36"/>
      <c r="FNL224" s="36"/>
      <c r="FNM224" s="37"/>
      <c r="FNN224" s="37"/>
      <c r="FNO224" s="38"/>
      <c r="FNP224" s="38"/>
      <c r="FNQ224" s="39"/>
      <c r="FNR224" s="34"/>
      <c r="FNS224" s="34"/>
      <c r="FNT224" s="34"/>
      <c r="FNU224" s="35"/>
      <c r="FNV224" s="35"/>
      <c r="FNW224" s="35"/>
      <c r="FNX224" s="35"/>
      <c r="FNY224" s="35"/>
      <c r="FNZ224" s="34"/>
      <c r="FOA224" s="34"/>
      <c r="FOB224" s="36"/>
      <c r="FOC224" s="36"/>
      <c r="FOD224" s="37"/>
      <c r="FOE224" s="37"/>
      <c r="FOF224" s="38"/>
      <c r="FOG224" s="38"/>
      <c r="FOH224" s="39"/>
      <c r="FOI224" s="34"/>
      <c r="FOJ224" s="34"/>
      <c r="FOK224" s="34"/>
      <c r="FOL224" s="35"/>
      <c r="FOM224" s="35"/>
      <c r="FON224" s="35"/>
      <c r="FOO224" s="35"/>
      <c r="FOP224" s="35"/>
      <c r="FOQ224" s="34"/>
      <c r="FOR224" s="34"/>
      <c r="FOS224" s="36"/>
      <c r="FOT224" s="36"/>
      <c r="FOU224" s="37"/>
      <c r="FOV224" s="37"/>
      <c r="FOW224" s="38"/>
      <c r="FOX224" s="38"/>
      <c r="FOY224" s="39"/>
      <c r="FOZ224" s="34"/>
      <c r="FPA224" s="34"/>
      <c r="FPB224" s="34"/>
      <c r="FPC224" s="35"/>
      <c r="FPD224" s="35"/>
      <c r="FPE224" s="35"/>
      <c r="FPF224" s="35"/>
      <c r="FPG224" s="35"/>
      <c r="FPH224" s="34"/>
      <c r="FPI224" s="34"/>
      <c r="FPJ224" s="36"/>
      <c r="FPK224" s="36"/>
      <c r="FPL224" s="37"/>
      <c r="FPM224" s="37"/>
      <c r="FPN224" s="38"/>
      <c r="FPO224" s="38"/>
      <c r="FPP224" s="39"/>
      <c r="FPQ224" s="34"/>
      <c r="FPR224" s="34"/>
      <c r="FPS224" s="34"/>
      <c r="FPT224" s="35"/>
      <c r="FPU224" s="35"/>
      <c r="FPV224" s="35"/>
      <c r="FPW224" s="35"/>
      <c r="FPX224" s="35"/>
      <c r="FPY224" s="34"/>
      <c r="FPZ224" s="34"/>
      <c r="FQA224" s="36"/>
      <c r="FQB224" s="36"/>
      <c r="FQC224" s="37"/>
      <c r="FQD224" s="37"/>
      <c r="FQE224" s="38"/>
      <c r="FQF224" s="38"/>
      <c r="FQG224" s="39"/>
      <c r="FQH224" s="34"/>
      <c r="FQI224" s="34"/>
      <c r="FQJ224" s="34"/>
      <c r="FQK224" s="35"/>
      <c r="FQL224" s="35"/>
      <c r="FQM224" s="35"/>
      <c r="FQN224" s="35"/>
      <c r="FQO224" s="35"/>
      <c r="FQP224" s="34"/>
      <c r="FQQ224" s="34"/>
      <c r="FQR224" s="36"/>
      <c r="FQS224" s="36"/>
      <c r="FQT224" s="37"/>
      <c r="FQU224" s="37"/>
      <c r="FQV224" s="38"/>
      <c r="FQW224" s="38"/>
      <c r="FQX224" s="39"/>
      <c r="FQY224" s="34"/>
      <c r="FQZ224" s="34"/>
      <c r="FRA224" s="34"/>
      <c r="FRB224" s="35"/>
      <c r="FRC224" s="35"/>
      <c r="FRD224" s="35"/>
      <c r="FRE224" s="35"/>
      <c r="FRF224" s="35"/>
      <c r="FRG224" s="34"/>
      <c r="FRH224" s="34"/>
      <c r="FRI224" s="36"/>
      <c r="FRJ224" s="36"/>
      <c r="FRK224" s="37"/>
      <c r="FRL224" s="37"/>
      <c r="FRM224" s="38"/>
      <c r="FRN224" s="38"/>
      <c r="FRO224" s="39"/>
      <c r="FRP224" s="34"/>
      <c r="FRQ224" s="34"/>
      <c r="FRR224" s="34"/>
      <c r="FRS224" s="35"/>
      <c r="FRT224" s="35"/>
      <c r="FRU224" s="35"/>
      <c r="FRV224" s="35"/>
      <c r="FRW224" s="35"/>
      <c r="FRX224" s="34"/>
      <c r="FRY224" s="34"/>
      <c r="FRZ224" s="36"/>
      <c r="FSA224" s="36"/>
      <c r="FSB224" s="37"/>
      <c r="FSC224" s="37"/>
      <c r="FSD224" s="38"/>
      <c r="FSE224" s="38"/>
      <c r="FSF224" s="39"/>
      <c r="FSG224" s="34"/>
      <c r="FSH224" s="34"/>
      <c r="FSI224" s="34"/>
      <c r="FSJ224" s="35"/>
      <c r="FSK224" s="35"/>
      <c r="FSL224" s="35"/>
      <c r="FSM224" s="35"/>
      <c r="FSN224" s="35"/>
      <c r="FSO224" s="34"/>
      <c r="FSP224" s="34"/>
      <c r="FSQ224" s="36"/>
      <c r="FSR224" s="36"/>
      <c r="FSS224" s="37"/>
      <c r="FST224" s="37"/>
      <c r="FSU224" s="38"/>
      <c r="FSV224" s="38"/>
      <c r="FSW224" s="39"/>
      <c r="FSX224" s="34"/>
      <c r="FSY224" s="34"/>
      <c r="FSZ224" s="34"/>
      <c r="FTA224" s="35"/>
      <c r="FTB224" s="35"/>
      <c r="FTC224" s="35"/>
      <c r="FTD224" s="35"/>
      <c r="FTE224" s="35"/>
      <c r="FTF224" s="34"/>
      <c r="FTG224" s="34"/>
      <c r="FTH224" s="36"/>
      <c r="FTI224" s="36"/>
      <c r="FTJ224" s="37"/>
      <c r="FTK224" s="37"/>
      <c r="FTL224" s="38"/>
      <c r="FTM224" s="38"/>
      <c r="FTN224" s="39"/>
      <c r="FTO224" s="34"/>
      <c r="FTP224" s="34"/>
      <c r="FTQ224" s="34"/>
      <c r="FTR224" s="35"/>
      <c r="FTS224" s="35"/>
      <c r="FTT224" s="35"/>
      <c r="FTU224" s="35"/>
      <c r="FTV224" s="35"/>
      <c r="FTW224" s="34"/>
      <c r="FTX224" s="34"/>
      <c r="FTY224" s="36"/>
      <c r="FTZ224" s="36"/>
      <c r="FUA224" s="37"/>
      <c r="FUB224" s="37"/>
      <c r="FUC224" s="38"/>
      <c r="FUD224" s="38"/>
      <c r="FUE224" s="39"/>
      <c r="FUF224" s="34"/>
      <c r="FUG224" s="34"/>
      <c r="FUH224" s="34"/>
      <c r="FUI224" s="35"/>
      <c r="FUJ224" s="35"/>
      <c r="FUK224" s="35"/>
      <c r="FUL224" s="35"/>
      <c r="FUM224" s="35"/>
      <c r="FUN224" s="34"/>
      <c r="FUO224" s="34"/>
      <c r="FUP224" s="36"/>
      <c r="FUQ224" s="36"/>
      <c r="FUR224" s="37"/>
      <c r="FUS224" s="37"/>
      <c r="FUT224" s="38"/>
      <c r="FUU224" s="38"/>
      <c r="FUV224" s="39"/>
      <c r="FUW224" s="34"/>
      <c r="FUX224" s="34"/>
      <c r="FUY224" s="34"/>
      <c r="FUZ224" s="35"/>
      <c r="FVA224" s="35"/>
      <c r="FVB224" s="35"/>
      <c r="FVC224" s="35"/>
      <c r="FVD224" s="35"/>
      <c r="FVE224" s="34"/>
      <c r="FVF224" s="34"/>
      <c r="FVG224" s="36"/>
      <c r="FVH224" s="36"/>
      <c r="FVI224" s="37"/>
      <c r="FVJ224" s="37"/>
      <c r="FVK224" s="38"/>
      <c r="FVL224" s="38"/>
      <c r="FVM224" s="39"/>
      <c r="FVN224" s="34"/>
      <c r="FVO224" s="34"/>
      <c r="FVP224" s="34"/>
      <c r="FVQ224" s="35"/>
      <c r="FVR224" s="35"/>
      <c r="FVS224" s="35"/>
      <c r="FVT224" s="35"/>
      <c r="FVU224" s="35"/>
      <c r="FVV224" s="34"/>
      <c r="FVW224" s="34"/>
      <c r="FVX224" s="36"/>
      <c r="FVY224" s="36"/>
      <c r="FVZ224" s="37"/>
      <c r="FWA224" s="37"/>
      <c r="FWB224" s="38"/>
      <c r="FWC224" s="38"/>
      <c r="FWD224" s="39"/>
      <c r="FWE224" s="34"/>
      <c r="FWF224" s="34"/>
      <c r="FWG224" s="34"/>
      <c r="FWH224" s="35"/>
      <c r="FWI224" s="35"/>
      <c r="FWJ224" s="35"/>
      <c r="FWK224" s="35"/>
      <c r="FWL224" s="35"/>
      <c r="FWM224" s="34"/>
      <c r="FWN224" s="34"/>
      <c r="FWO224" s="36"/>
      <c r="FWP224" s="36"/>
      <c r="FWQ224" s="37"/>
      <c r="FWR224" s="37"/>
      <c r="FWS224" s="38"/>
      <c r="FWT224" s="38"/>
      <c r="FWU224" s="39"/>
      <c r="FWV224" s="34"/>
      <c r="FWW224" s="34"/>
      <c r="FWX224" s="34"/>
      <c r="FWY224" s="35"/>
      <c r="FWZ224" s="35"/>
      <c r="FXA224" s="35"/>
      <c r="FXB224" s="35"/>
      <c r="FXC224" s="35"/>
      <c r="FXD224" s="34"/>
      <c r="FXE224" s="34"/>
      <c r="FXF224" s="36"/>
      <c r="FXG224" s="36"/>
      <c r="FXH224" s="37"/>
      <c r="FXI224" s="37"/>
      <c r="FXJ224" s="38"/>
      <c r="FXK224" s="38"/>
      <c r="FXL224" s="39"/>
      <c r="FXM224" s="34"/>
      <c r="FXN224" s="34"/>
      <c r="FXO224" s="34"/>
      <c r="FXP224" s="35"/>
      <c r="FXQ224" s="35"/>
      <c r="FXR224" s="35"/>
      <c r="FXS224" s="35"/>
      <c r="FXT224" s="35"/>
      <c r="FXU224" s="34"/>
      <c r="FXV224" s="34"/>
      <c r="FXW224" s="36"/>
      <c r="FXX224" s="36"/>
      <c r="FXY224" s="37"/>
      <c r="FXZ224" s="37"/>
      <c r="FYA224" s="38"/>
      <c r="FYB224" s="38"/>
      <c r="FYC224" s="39"/>
      <c r="FYD224" s="34"/>
      <c r="FYE224" s="34"/>
      <c r="FYF224" s="34"/>
      <c r="FYG224" s="35"/>
      <c r="FYH224" s="35"/>
      <c r="FYI224" s="35"/>
      <c r="FYJ224" s="35"/>
      <c r="FYK224" s="35"/>
      <c r="FYL224" s="34"/>
      <c r="FYM224" s="34"/>
      <c r="FYN224" s="36"/>
      <c r="FYO224" s="36"/>
      <c r="FYP224" s="37"/>
      <c r="FYQ224" s="37"/>
      <c r="FYR224" s="38"/>
      <c r="FYS224" s="38"/>
      <c r="FYT224" s="39"/>
      <c r="FYU224" s="34"/>
      <c r="FYV224" s="34"/>
      <c r="FYW224" s="34"/>
      <c r="FYX224" s="35"/>
      <c r="FYY224" s="35"/>
      <c r="FYZ224" s="35"/>
      <c r="FZA224" s="35"/>
      <c r="FZB224" s="35"/>
      <c r="FZC224" s="34"/>
      <c r="FZD224" s="34"/>
      <c r="FZE224" s="36"/>
      <c r="FZF224" s="36"/>
      <c r="FZG224" s="37"/>
      <c r="FZH224" s="37"/>
      <c r="FZI224" s="38"/>
      <c r="FZJ224" s="38"/>
      <c r="FZK224" s="39"/>
      <c r="FZL224" s="34"/>
      <c r="FZM224" s="34"/>
      <c r="FZN224" s="34"/>
      <c r="FZO224" s="35"/>
      <c r="FZP224" s="35"/>
      <c r="FZQ224" s="35"/>
      <c r="FZR224" s="35"/>
      <c r="FZS224" s="35"/>
      <c r="FZT224" s="34"/>
      <c r="FZU224" s="34"/>
      <c r="FZV224" s="36"/>
      <c r="FZW224" s="36"/>
      <c r="FZX224" s="37"/>
      <c r="FZY224" s="37"/>
      <c r="FZZ224" s="38"/>
      <c r="GAA224" s="38"/>
      <c r="GAB224" s="39"/>
      <c r="GAC224" s="34"/>
      <c r="GAD224" s="34"/>
      <c r="GAE224" s="34"/>
      <c r="GAF224" s="35"/>
      <c r="GAG224" s="35"/>
      <c r="GAH224" s="35"/>
      <c r="GAI224" s="35"/>
      <c r="GAJ224" s="35"/>
      <c r="GAK224" s="34"/>
      <c r="GAL224" s="34"/>
      <c r="GAM224" s="36"/>
      <c r="GAN224" s="36"/>
      <c r="GAO224" s="37"/>
      <c r="GAP224" s="37"/>
      <c r="GAQ224" s="38"/>
      <c r="GAR224" s="38"/>
      <c r="GAS224" s="39"/>
      <c r="GAT224" s="34"/>
      <c r="GAU224" s="34"/>
      <c r="GAV224" s="34"/>
      <c r="GAW224" s="35"/>
      <c r="GAX224" s="35"/>
      <c r="GAY224" s="35"/>
      <c r="GAZ224" s="35"/>
      <c r="GBA224" s="35"/>
      <c r="GBB224" s="34"/>
      <c r="GBC224" s="34"/>
      <c r="GBD224" s="36"/>
      <c r="GBE224" s="36"/>
      <c r="GBF224" s="37"/>
      <c r="GBG224" s="37"/>
      <c r="GBH224" s="38"/>
      <c r="GBI224" s="38"/>
      <c r="GBJ224" s="39"/>
      <c r="GBK224" s="34"/>
      <c r="GBL224" s="34"/>
      <c r="GBM224" s="34"/>
      <c r="GBN224" s="35"/>
      <c r="GBO224" s="35"/>
      <c r="GBP224" s="35"/>
      <c r="GBQ224" s="35"/>
      <c r="GBR224" s="35"/>
      <c r="GBS224" s="34"/>
      <c r="GBT224" s="34"/>
      <c r="GBU224" s="36"/>
      <c r="GBV224" s="36"/>
      <c r="GBW224" s="37"/>
      <c r="GBX224" s="37"/>
      <c r="GBY224" s="38"/>
      <c r="GBZ224" s="38"/>
      <c r="GCA224" s="39"/>
      <c r="GCB224" s="34"/>
      <c r="GCC224" s="34"/>
      <c r="GCD224" s="34"/>
      <c r="GCE224" s="35"/>
      <c r="GCF224" s="35"/>
      <c r="GCG224" s="35"/>
      <c r="GCH224" s="35"/>
      <c r="GCI224" s="35"/>
      <c r="GCJ224" s="34"/>
      <c r="GCK224" s="34"/>
      <c r="GCL224" s="36"/>
      <c r="GCM224" s="36"/>
      <c r="GCN224" s="37"/>
      <c r="GCO224" s="37"/>
      <c r="GCP224" s="38"/>
      <c r="GCQ224" s="38"/>
      <c r="GCR224" s="39"/>
      <c r="GCS224" s="34"/>
      <c r="GCT224" s="34"/>
      <c r="GCU224" s="34"/>
      <c r="GCV224" s="35"/>
      <c r="GCW224" s="35"/>
      <c r="GCX224" s="35"/>
      <c r="GCY224" s="35"/>
      <c r="GCZ224" s="35"/>
      <c r="GDA224" s="34"/>
      <c r="GDB224" s="34"/>
      <c r="GDC224" s="36"/>
      <c r="GDD224" s="36"/>
      <c r="GDE224" s="37"/>
      <c r="GDF224" s="37"/>
      <c r="GDG224" s="38"/>
      <c r="GDH224" s="38"/>
      <c r="GDI224" s="39"/>
      <c r="GDJ224" s="34"/>
      <c r="GDK224" s="34"/>
      <c r="GDL224" s="34"/>
      <c r="GDM224" s="35"/>
      <c r="GDN224" s="35"/>
      <c r="GDO224" s="35"/>
      <c r="GDP224" s="35"/>
      <c r="GDQ224" s="35"/>
      <c r="GDR224" s="34"/>
      <c r="GDS224" s="34"/>
      <c r="GDT224" s="36"/>
      <c r="GDU224" s="36"/>
      <c r="GDV224" s="37"/>
      <c r="GDW224" s="37"/>
      <c r="GDX224" s="38"/>
      <c r="GDY224" s="38"/>
      <c r="GDZ224" s="39"/>
      <c r="GEA224" s="34"/>
      <c r="GEB224" s="34"/>
      <c r="GEC224" s="34"/>
      <c r="GED224" s="35"/>
      <c r="GEE224" s="35"/>
      <c r="GEF224" s="35"/>
      <c r="GEG224" s="35"/>
      <c r="GEH224" s="35"/>
      <c r="GEI224" s="34"/>
      <c r="GEJ224" s="34"/>
      <c r="GEK224" s="36"/>
      <c r="GEL224" s="36"/>
      <c r="GEM224" s="37"/>
      <c r="GEN224" s="37"/>
      <c r="GEO224" s="38"/>
      <c r="GEP224" s="38"/>
      <c r="GEQ224" s="39"/>
      <c r="GER224" s="34"/>
      <c r="GES224" s="34"/>
      <c r="GET224" s="34"/>
      <c r="GEU224" s="35"/>
      <c r="GEV224" s="35"/>
      <c r="GEW224" s="35"/>
      <c r="GEX224" s="35"/>
      <c r="GEY224" s="35"/>
      <c r="GEZ224" s="34"/>
      <c r="GFA224" s="34"/>
      <c r="GFB224" s="36"/>
      <c r="GFC224" s="36"/>
      <c r="GFD224" s="37"/>
      <c r="GFE224" s="37"/>
      <c r="GFF224" s="38"/>
      <c r="GFG224" s="38"/>
      <c r="GFH224" s="39"/>
      <c r="GFI224" s="34"/>
      <c r="GFJ224" s="34"/>
      <c r="GFK224" s="34"/>
      <c r="GFL224" s="35"/>
      <c r="GFM224" s="35"/>
      <c r="GFN224" s="35"/>
      <c r="GFO224" s="35"/>
      <c r="GFP224" s="35"/>
      <c r="GFQ224" s="34"/>
      <c r="GFR224" s="34"/>
      <c r="GFS224" s="36"/>
      <c r="GFT224" s="36"/>
      <c r="GFU224" s="37"/>
      <c r="GFV224" s="37"/>
      <c r="GFW224" s="38"/>
      <c r="GFX224" s="38"/>
      <c r="GFY224" s="39"/>
      <c r="GFZ224" s="34"/>
      <c r="GGA224" s="34"/>
      <c r="GGB224" s="34"/>
      <c r="GGC224" s="35"/>
      <c r="GGD224" s="35"/>
      <c r="GGE224" s="35"/>
      <c r="GGF224" s="35"/>
      <c r="GGG224" s="35"/>
      <c r="GGH224" s="34"/>
      <c r="GGI224" s="34"/>
      <c r="GGJ224" s="36"/>
      <c r="GGK224" s="36"/>
      <c r="GGL224" s="37"/>
      <c r="GGM224" s="37"/>
      <c r="GGN224" s="38"/>
      <c r="GGO224" s="38"/>
      <c r="GGP224" s="39"/>
      <c r="GGQ224" s="34"/>
      <c r="GGR224" s="34"/>
      <c r="GGS224" s="34"/>
      <c r="GGT224" s="35"/>
      <c r="GGU224" s="35"/>
      <c r="GGV224" s="35"/>
      <c r="GGW224" s="35"/>
      <c r="GGX224" s="35"/>
      <c r="GGY224" s="34"/>
      <c r="GGZ224" s="34"/>
      <c r="GHA224" s="36"/>
      <c r="GHB224" s="36"/>
      <c r="GHC224" s="37"/>
      <c r="GHD224" s="37"/>
      <c r="GHE224" s="38"/>
      <c r="GHF224" s="38"/>
      <c r="GHG224" s="39"/>
      <c r="GHH224" s="34"/>
      <c r="GHI224" s="34"/>
      <c r="GHJ224" s="34"/>
      <c r="GHK224" s="35"/>
      <c r="GHL224" s="35"/>
      <c r="GHM224" s="35"/>
      <c r="GHN224" s="35"/>
      <c r="GHO224" s="35"/>
      <c r="GHP224" s="34"/>
      <c r="GHQ224" s="34"/>
      <c r="GHR224" s="36"/>
      <c r="GHS224" s="36"/>
      <c r="GHT224" s="37"/>
      <c r="GHU224" s="37"/>
      <c r="GHV224" s="38"/>
      <c r="GHW224" s="38"/>
      <c r="GHX224" s="39"/>
      <c r="GHY224" s="34"/>
      <c r="GHZ224" s="34"/>
      <c r="GIA224" s="34"/>
      <c r="GIB224" s="35"/>
      <c r="GIC224" s="35"/>
      <c r="GID224" s="35"/>
      <c r="GIE224" s="35"/>
      <c r="GIF224" s="35"/>
      <c r="GIG224" s="34"/>
      <c r="GIH224" s="34"/>
      <c r="GII224" s="36"/>
      <c r="GIJ224" s="36"/>
      <c r="GIK224" s="37"/>
      <c r="GIL224" s="37"/>
      <c r="GIM224" s="38"/>
      <c r="GIN224" s="38"/>
      <c r="GIO224" s="39"/>
      <c r="GIP224" s="34"/>
      <c r="GIQ224" s="34"/>
      <c r="GIR224" s="34"/>
      <c r="GIS224" s="35"/>
      <c r="GIT224" s="35"/>
      <c r="GIU224" s="35"/>
      <c r="GIV224" s="35"/>
      <c r="GIW224" s="35"/>
      <c r="GIX224" s="34"/>
      <c r="GIY224" s="34"/>
      <c r="GIZ224" s="36"/>
      <c r="GJA224" s="36"/>
      <c r="GJB224" s="37"/>
      <c r="GJC224" s="37"/>
      <c r="GJD224" s="38"/>
      <c r="GJE224" s="38"/>
      <c r="GJF224" s="39"/>
      <c r="GJG224" s="34"/>
      <c r="GJH224" s="34"/>
      <c r="GJI224" s="34"/>
      <c r="GJJ224" s="35"/>
      <c r="GJK224" s="35"/>
      <c r="GJL224" s="35"/>
      <c r="GJM224" s="35"/>
      <c r="GJN224" s="35"/>
      <c r="GJO224" s="34"/>
      <c r="GJP224" s="34"/>
      <c r="GJQ224" s="36"/>
      <c r="GJR224" s="36"/>
      <c r="GJS224" s="37"/>
      <c r="GJT224" s="37"/>
      <c r="GJU224" s="38"/>
      <c r="GJV224" s="38"/>
      <c r="GJW224" s="39"/>
      <c r="GJX224" s="34"/>
      <c r="GJY224" s="34"/>
      <c r="GJZ224" s="34"/>
      <c r="GKA224" s="35"/>
      <c r="GKB224" s="35"/>
      <c r="GKC224" s="35"/>
      <c r="GKD224" s="35"/>
      <c r="GKE224" s="35"/>
      <c r="GKF224" s="34"/>
      <c r="GKG224" s="34"/>
      <c r="GKH224" s="36"/>
      <c r="GKI224" s="36"/>
      <c r="GKJ224" s="37"/>
      <c r="GKK224" s="37"/>
      <c r="GKL224" s="38"/>
      <c r="GKM224" s="38"/>
      <c r="GKN224" s="39"/>
      <c r="GKO224" s="34"/>
      <c r="GKP224" s="34"/>
      <c r="GKQ224" s="34"/>
      <c r="GKR224" s="35"/>
      <c r="GKS224" s="35"/>
      <c r="GKT224" s="35"/>
      <c r="GKU224" s="35"/>
      <c r="GKV224" s="35"/>
      <c r="GKW224" s="34"/>
      <c r="GKX224" s="34"/>
      <c r="GKY224" s="36"/>
      <c r="GKZ224" s="36"/>
      <c r="GLA224" s="37"/>
      <c r="GLB224" s="37"/>
      <c r="GLC224" s="38"/>
      <c r="GLD224" s="38"/>
      <c r="GLE224" s="39"/>
      <c r="GLF224" s="34"/>
      <c r="GLG224" s="34"/>
      <c r="GLH224" s="34"/>
      <c r="GLI224" s="35"/>
      <c r="GLJ224" s="35"/>
      <c r="GLK224" s="35"/>
      <c r="GLL224" s="35"/>
      <c r="GLM224" s="35"/>
      <c r="GLN224" s="34"/>
      <c r="GLO224" s="34"/>
      <c r="GLP224" s="36"/>
      <c r="GLQ224" s="36"/>
      <c r="GLR224" s="37"/>
      <c r="GLS224" s="37"/>
      <c r="GLT224" s="38"/>
      <c r="GLU224" s="38"/>
      <c r="GLV224" s="39"/>
      <c r="GLW224" s="34"/>
      <c r="GLX224" s="34"/>
      <c r="GLY224" s="34"/>
      <c r="GLZ224" s="35"/>
      <c r="GMA224" s="35"/>
      <c r="GMB224" s="35"/>
      <c r="GMC224" s="35"/>
      <c r="GMD224" s="35"/>
      <c r="GME224" s="34"/>
      <c r="GMF224" s="34"/>
      <c r="GMG224" s="36"/>
      <c r="GMH224" s="36"/>
      <c r="GMI224" s="37"/>
      <c r="GMJ224" s="37"/>
      <c r="GMK224" s="38"/>
      <c r="GML224" s="38"/>
      <c r="GMM224" s="39"/>
      <c r="GMN224" s="34"/>
      <c r="GMO224" s="34"/>
      <c r="GMP224" s="34"/>
      <c r="GMQ224" s="35"/>
      <c r="GMR224" s="35"/>
      <c r="GMS224" s="35"/>
      <c r="GMT224" s="35"/>
      <c r="GMU224" s="35"/>
      <c r="GMV224" s="34"/>
      <c r="GMW224" s="34"/>
      <c r="GMX224" s="36"/>
      <c r="GMY224" s="36"/>
      <c r="GMZ224" s="37"/>
      <c r="GNA224" s="37"/>
      <c r="GNB224" s="38"/>
      <c r="GNC224" s="38"/>
      <c r="GND224" s="39"/>
      <c r="GNE224" s="34"/>
      <c r="GNF224" s="34"/>
      <c r="GNG224" s="34"/>
      <c r="GNH224" s="35"/>
      <c r="GNI224" s="35"/>
      <c r="GNJ224" s="35"/>
      <c r="GNK224" s="35"/>
      <c r="GNL224" s="35"/>
      <c r="GNM224" s="34"/>
      <c r="GNN224" s="34"/>
      <c r="GNO224" s="36"/>
      <c r="GNP224" s="36"/>
      <c r="GNQ224" s="37"/>
      <c r="GNR224" s="37"/>
      <c r="GNS224" s="38"/>
      <c r="GNT224" s="38"/>
      <c r="GNU224" s="39"/>
      <c r="GNV224" s="34"/>
      <c r="GNW224" s="34"/>
      <c r="GNX224" s="34"/>
      <c r="GNY224" s="35"/>
      <c r="GNZ224" s="35"/>
      <c r="GOA224" s="35"/>
      <c r="GOB224" s="35"/>
      <c r="GOC224" s="35"/>
      <c r="GOD224" s="34"/>
      <c r="GOE224" s="34"/>
      <c r="GOF224" s="36"/>
      <c r="GOG224" s="36"/>
      <c r="GOH224" s="37"/>
      <c r="GOI224" s="37"/>
      <c r="GOJ224" s="38"/>
      <c r="GOK224" s="38"/>
      <c r="GOL224" s="39"/>
      <c r="GOM224" s="34"/>
      <c r="GON224" s="34"/>
      <c r="GOO224" s="34"/>
      <c r="GOP224" s="35"/>
      <c r="GOQ224" s="35"/>
      <c r="GOR224" s="35"/>
      <c r="GOS224" s="35"/>
      <c r="GOT224" s="35"/>
      <c r="GOU224" s="34"/>
      <c r="GOV224" s="34"/>
      <c r="GOW224" s="36"/>
      <c r="GOX224" s="36"/>
      <c r="GOY224" s="37"/>
      <c r="GOZ224" s="37"/>
      <c r="GPA224" s="38"/>
      <c r="GPB224" s="38"/>
      <c r="GPC224" s="39"/>
      <c r="GPD224" s="34"/>
      <c r="GPE224" s="34"/>
      <c r="GPF224" s="34"/>
      <c r="GPG224" s="35"/>
      <c r="GPH224" s="35"/>
      <c r="GPI224" s="35"/>
      <c r="GPJ224" s="35"/>
      <c r="GPK224" s="35"/>
      <c r="GPL224" s="34"/>
      <c r="GPM224" s="34"/>
      <c r="GPN224" s="36"/>
      <c r="GPO224" s="36"/>
      <c r="GPP224" s="37"/>
      <c r="GPQ224" s="37"/>
      <c r="GPR224" s="38"/>
      <c r="GPS224" s="38"/>
      <c r="GPT224" s="39"/>
      <c r="GPU224" s="34"/>
      <c r="GPV224" s="34"/>
      <c r="GPW224" s="34"/>
      <c r="GPX224" s="35"/>
      <c r="GPY224" s="35"/>
      <c r="GPZ224" s="35"/>
      <c r="GQA224" s="35"/>
      <c r="GQB224" s="35"/>
      <c r="GQC224" s="34"/>
      <c r="GQD224" s="34"/>
      <c r="GQE224" s="36"/>
      <c r="GQF224" s="36"/>
      <c r="GQG224" s="37"/>
      <c r="GQH224" s="37"/>
      <c r="GQI224" s="38"/>
      <c r="GQJ224" s="38"/>
      <c r="GQK224" s="39"/>
      <c r="GQL224" s="34"/>
      <c r="GQM224" s="34"/>
      <c r="GQN224" s="34"/>
      <c r="GQO224" s="35"/>
      <c r="GQP224" s="35"/>
      <c r="GQQ224" s="35"/>
      <c r="GQR224" s="35"/>
      <c r="GQS224" s="35"/>
      <c r="GQT224" s="34"/>
      <c r="GQU224" s="34"/>
      <c r="GQV224" s="36"/>
      <c r="GQW224" s="36"/>
      <c r="GQX224" s="37"/>
      <c r="GQY224" s="37"/>
      <c r="GQZ224" s="38"/>
      <c r="GRA224" s="38"/>
      <c r="GRB224" s="39"/>
      <c r="GRC224" s="34"/>
      <c r="GRD224" s="34"/>
      <c r="GRE224" s="34"/>
      <c r="GRF224" s="35"/>
      <c r="GRG224" s="35"/>
      <c r="GRH224" s="35"/>
      <c r="GRI224" s="35"/>
      <c r="GRJ224" s="35"/>
      <c r="GRK224" s="34"/>
      <c r="GRL224" s="34"/>
      <c r="GRM224" s="36"/>
      <c r="GRN224" s="36"/>
      <c r="GRO224" s="37"/>
      <c r="GRP224" s="37"/>
      <c r="GRQ224" s="38"/>
      <c r="GRR224" s="38"/>
      <c r="GRS224" s="39"/>
      <c r="GRT224" s="34"/>
      <c r="GRU224" s="34"/>
      <c r="GRV224" s="34"/>
      <c r="GRW224" s="35"/>
      <c r="GRX224" s="35"/>
      <c r="GRY224" s="35"/>
      <c r="GRZ224" s="35"/>
      <c r="GSA224" s="35"/>
      <c r="GSB224" s="34"/>
      <c r="GSC224" s="34"/>
      <c r="GSD224" s="36"/>
      <c r="GSE224" s="36"/>
      <c r="GSF224" s="37"/>
      <c r="GSG224" s="37"/>
      <c r="GSH224" s="38"/>
      <c r="GSI224" s="38"/>
      <c r="GSJ224" s="39"/>
      <c r="GSK224" s="34"/>
      <c r="GSL224" s="34"/>
      <c r="GSM224" s="34"/>
      <c r="GSN224" s="35"/>
      <c r="GSO224" s="35"/>
      <c r="GSP224" s="35"/>
      <c r="GSQ224" s="35"/>
      <c r="GSR224" s="35"/>
      <c r="GSS224" s="34"/>
      <c r="GST224" s="34"/>
      <c r="GSU224" s="36"/>
      <c r="GSV224" s="36"/>
      <c r="GSW224" s="37"/>
      <c r="GSX224" s="37"/>
      <c r="GSY224" s="38"/>
      <c r="GSZ224" s="38"/>
      <c r="GTA224" s="39"/>
      <c r="GTB224" s="34"/>
      <c r="GTC224" s="34"/>
      <c r="GTD224" s="34"/>
      <c r="GTE224" s="35"/>
      <c r="GTF224" s="35"/>
      <c r="GTG224" s="35"/>
      <c r="GTH224" s="35"/>
      <c r="GTI224" s="35"/>
      <c r="GTJ224" s="34"/>
      <c r="GTK224" s="34"/>
      <c r="GTL224" s="36"/>
      <c r="GTM224" s="36"/>
      <c r="GTN224" s="37"/>
      <c r="GTO224" s="37"/>
      <c r="GTP224" s="38"/>
      <c r="GTQ224" s="38"/>
      <c r="GTR224" s="39"/>
      <c r="GTS224" s="34"/>
      <c r="GTT224" s="34"/>
      <c r="GTU224" s="34"/>
      <c r="GTV224" s="35"/>
      <c r="GTW224" s="35"/>
      <c r="GTX224" s="35"/>
      <c r="GTY224" s="35"/>
      <c r="GTZ224" s="35"/>
      <c r="GUA224" s="34"/>
      <c r="GUB224" s="34"/>
      <c r="GUC224" s="36"/>
      <c r="GUD224" s="36"/>
      <c r="GUE224" s="37"/>
      <c r="GUF224" s="37"/>
      <c r="GUG224" s="38"/>
      <c r="GUH224" s="38"/>
      <c r="GUI224" s="39"/>
      <c r="GUJ224" s="34"/>
      <c r="GUK224" s="34"/>
      <c r="GUL224" s="34"/>
      <c r="GUM224" s="35"/>
      <c r="GUN224" s="35"/>
      <c r="GUO224" s="35"/>
      <c r="GUP224" s="35"/>
      <c r="GUQ224" s="35"/>
      <c r="GUR224" s="34"/>
      <c r="GUS224" s="34"/>
      <c r="GUT224" s="36"/>
      <c r="GUU224" s="36"/>
      <c r="GUV224" s="37"/>
      <c r="GUW224" s="37"/>
      <c r="GUX224" s="38"/>
      <c r="GUY224" s="38"/>
      <c r="GUZ224" s="39"/>
      <c r="GVA224" s="34"/>
      <c r="GVB224" s="34"/>
      <c r="GVC224" s="34"/>
      <c r="GVD224" s="35"/>
      <c r="GVE224" s="35"/>
      <c r="GVF224" s="35"/>
      <c r="GVG224" s="35"/>
      <c r="GVH224" s="35"/>
      <c r="GVI224" s="34"/>
      <c r="GVJ224" s="34"/>
      <c r="GVK224" s="36"/>
      <c r="GVL224" s="36"/>
      <c r="GVM224" s="37"/>
      <c r="GVN224" s="37"/>
      <c r="GVO224" s="38"/>
      <c r="GVP224" s="38"/>
      <c r="GVQ224" s="39"/>
      <c r="GVR224" s="34"/>
      <c r="GVS224" s="34"/>
      <c r="GVT224" s="34"/>
      <c r="GVU224" s="35"/>
      <c r="GVV224" s="35"/>
      <c r="GVW224" s="35"/>
      <c r="GVX224" s="35"/>
      <c r="GVY224" s="35"/>
      <c r="GVZ224" s="34"/>
      <c r="GWA224" s="34"/>
      <c r="GWB224" s="36"/>
      <c r="GWC224" s="36"/>
      <c r="GWD224" s="37"/>
      <c r="GWE224" s="37"/>
      <c r="GWF224" s="38"/>
      <c r="GWG224" s="38"/>
      <c r="GWH224" s="39"/>
      <c r="GWI224" s="34"/>
      <c r="GWJ224" s="34"/>
      <c r="GWK224" s="34"/>
      <c r="GWL224" s="35"/>
      <c r="GWM224" s="35"/>
      <c r="GWN224" s="35"/>
      <c r="GWO224" s="35"/>
      <c r="GWP224" s="35"/>
      <c r="GWQ224" s="34"/>
      <c r="GWR224" s="34"/>
      <c r="GWS224" s="36"/>
      <c r="GWT224" s="36"/>
      <c r="GWU224" s="37"/>
      <c r="GWV224" s="37"/>
      <c r="GWW224" s="38"/>
      <c r="GWX224" s="38"/>
      <c r="GWY224" s="39"/>
      <c r="GWZ224" s="34"/>
      <c r="GXA224" s="34"/>
      <c r="GXB224" s="34"/>
      <c r="GXC224" s="35"/>
      <c r="GXD224" s="35"/>
      <c r="GXE224" s="35"/>
      <c r="GXF224" s="35"/>
      <c r="GXG224" s="35"/>
      <c r="GXH224" s="34"/>
      <c r="GXI224" s="34"/>
      <c r="GXJ224" s="36"/>
      <c r="GXK224" s="36"/>
      <c r="GXL224" s="37"/>
      <c r="GXM224" s="37"/>
      <c r="GXN224" s="38"/>
      <c r="GXO224" s="38"/>
      <c r="GXP224" s="39"/>
      <c r="GXQ224" s="34"/>
      <c r="GXR224" s="34"/>
      <c r="GXS224" s="34"/>
      <c r="GXT224" s="35"/>
      <c r="GXU224" s="35"/>
      <c r="GXV224" s="35"/>
      <c r="GXW224" s="35"/>
      <c r="GXX224" s="35"/>
      <c r="GXY224" s="34"/>
      <c r="GXZ224" s="34"/>
      <c r="GYA224" s="36"/>
      <c r="GYB224" s="36"/>
      <c r="GYC224" s="37"/>
      <c r="GYD224" s="37"/>
      <c r="GYE224" s="38"/>
      <c r="GYF224" s="38"/>
      <c r="GYG224" s="39"/>
      <c r="GYH224" s="34"/>
      <c r="GYI224" s="34"/>
      <c r="GYJ224" s="34"/>
      <c r="GYK224" s="35"/>
      <c r="GYL224" s="35"/>
      <c r="GYM224" s="35"/>
      <c r="GYN224" s="35"/>
      <c r="GYO224" s="35"/>
      <c r="GYP224" s="34"/>
      <c r="GYQ224" s="34"/>
      <c r="GYR224" s="36"/>
      <c r="GYS224" s="36"/>
      <c r="GYT224" s="37"/>
      <c r="GYU224" s="37"/>
      <c r="GYV224" s="38"/>
      <c r="GYW224" s="38"/>
      <c r="GYX224" s="39"/>
      <c r="GYY224" s="34"/>
      <c r="GYZ224" s="34"/>
      <c r="GZA224" s="34"/>
      <c r="GZB224" s="35"/>
      <c r="GZC224" s="35"/>
      <c r="GZD224" s="35"/>
      <c r="GZE224" s="35"/>
      <c r="GZF224" s="35"/>
      <c r="GZG224" s="34"/>
      <c r="GZH224" s="34"/>
      <c r="GZI224" s="36"/>
      <c r="GZJ224" s="36"/>
      <c r="GZK224" s="37"/>
      <c r="GZL224" s="37"/>
      <c r="GZM224" s="38"/>
      <c r="GZN224" s="38"/>
      <c r="GZO224" s="39"/>
      <c r="GZP224" s="34"/>
      <c r="GZQ224" s="34"/>
      <c r="GZR224" s="34"/>
      <c r="GZS224" s="35"/>
      <c r="GZT224" s="35"/>
      <c r="GZU224" s="35"/>
      <c r="GZV224" s="35"/>
      <c r="GZW224" s="35"/>
      <c r="GZX224" s="34"/>
      <c r="GZY224" s="34"/>
      <c r="GZZ224" s="36"/>
      <c r="HAA224" s="36"/>
      <c r="HAB224" s="37"/>
      <c r="HAC224" s="37"/>
      <c r="HAD224" s="38"/>
      <c r="HAE224" s="38"/>
      <c r="HAF224" s="39"/>
      <c r="HAG224" s="34"/>
      <c r="HAH224" s="34"/>
      <c r="HAI224" s="34"/>
      <c r="HAJ224" s="35"/>
      <c r="HAK224" s="35"/>
      <c r="HAL224" s="35"/>
      <c r="HAM224" s="35"/>
      <c r="HAN224" s="35"/>
      <c r="HAO224" s="34"/>
      <c r="HAP224" s="34"/>
      <c r="HAQ224" s="36"/>
      <c r="HAR224" s="36"/>
      <c r="HAS224" s="37"/>
      <c r="HAT224" s="37"/>
      <c r="HAU224" s="38"/>
      <c r="HAV224" s="38"/>
      <c r="HAW224" s="39"/>
      <c r="HAX224" s="34"/>
      <c r="HAY224" s="34"/>
      <c r="HAZ224" s="34"/>
      <c r="HBA224" s="35"/>
      <c r="HBB224" s="35"/>
      <c r="HBC224" s="35"/>
      <c r="HBD224" s="35"/>
      <c r="HBE224" s="35"/>
      <c r="HBF224" s="34"/>
      <c r="HBG224" s="34"/>
      <c r="HBH224" s="36"/>
      <c r="HBI224" s="36"/>
      <c r="HBJ224" s="37"/>
      <c r="HBK224" s="37"/>
      <c r="HBL224" s="38"/>
      <c r="HBM224" s="38"/>
      <c r="HBN224" s="39"/>
      <c r="HBO224" s="34"/>
      <c r="HBP224" s="34"/>
      <c r="HBQ224" s="34"/>
      <c r="HBR224" s="35"/>
      <c r="HBS224" s="35"/>
      <c r="HBT224" s="35"/>
      <c r="HBU224" s="35"/>
      <c r="HBV224" s="35"/>
      <c r="HBW224" s="34"/>
      <c r="HBX224" s="34"/>
      <c r="HBY224" s="36"/>
      <c r="HBZ224" s="36"/>
      <c r="HCA224" s="37"/>
      <c r="HCB224" s="37"/>
      <c r="HCC224" s="38"/>
      <c r="HCD224" s="38"/>
      <c r="HCE224" s="39"/>
      <c r="HCF224" s="34"/>
      <c r="HCG224" s="34"/>
      <c r="HCH224" s="34"/>
      <c r="HCI224" s="35"/>
      <c r="HCJ224" s="35"/>
      <c r="HCK224" s="35"/>
      <c r="HCL224" s="35"/>
      <c r="HCM224" s="35"/>
      <c r="HCN224" s="34"/>
      <c r="HCO224" s="34"/>
      <c r="HCP224" s="36"/>
      <c r="HCQ224" s="36"/>
      <c r="HCR224" s="37"/>
      <c r="HCS224" s="37"/>
      <c r="HCT224" s="38"/>
      <c r="HCU224" s="38"/>
      <c r="HCV224" s="39"/>
      <c r="HCW224" s="34"/>
      <c r="HCX224" s="34"/>
      <c r="HCY224" s="34"/>
      <c r="HCZ224" s="35"/>
      <c r="HDA224" s="35"/>
      <c r="HDB224" s="35"/>
      <c r="HDC224" s="35"/>
      <c r="HDD224" s="35"/>
      <c r="HDE224" s="34"/>
      <c r="HDF224" s="34"/>
      <c r="HDG224" s="36"/>
      <c r="HDH224" s="36"/>
      <c r="HDI224" s="37"/>
      <c r="HDJ224" s="37"/>
      <c r="HDK224" s="38"/>
      <c r="HDL224" s="38"/>
      <c r="HDM224" s="39"/>
      <c r="HDN224" s="34"/>
      <c r="HDO224" s="34"/>
      <c r="HDP224" s="34"/>
      <c r="HDQ224" s="35"/>
      <c r="HDR224" s="35"/>
      <c r="HDS224" s="35"/>
      <c r="HDT224" s="35"/>
      <c r="HDU224" s="35"/>
      <c r="HDV224" s="34"/>
      <c r="HDW224" s="34"/>
      <c r="HDX224" s="36"/>
      <c r="HDY224" s="36"/>
      <c r="HDZ224" s="37"/>
      <c r="HEA224" s="37"/>
      <c r="HEB224" s="38"/>
      <c r="HEC224" s="38"/>
      <c r="HED224" s="39"/>
      <c r="HEE224" s="34"/>
      <c r="HEF224" s="34"/>
      <c r="HEG224" s="34"/>
      <c r="HEH224" s="35"/>
      <c r="HEI224" s="35"/>
      <c r="HEJ224" s="35"/>
      <c r="HEK224" s="35"/>
      <c r="HEL224" s="35"/>
      <c r="HEM224" s="34"/>
      <c r="HEN224" s="34"/>
      <c r="HEO224" s="36"/>
      <c r="HEP224" s="36"/>
      <c r="HEQ224" s="37"/>
      <c r="HER224" s="37"/>
      <c r="HES224" s="38"/>
      <c r="HET224" s="38"/>
      <c r="HEU224" s="39"/>
      <c r="HEV224" s="34"/>
      <c r="HEW224" s="34"/>
      <c r="HEX224" s="34"/>
      <c r="HEY224" s="35"/>
      <c r="HEZ224" s="35"/>
      <c r="HFA224" s="35"/>
      <c r="HFB224" s="35"/>
      <c r="HFC224" s="35"/>
      <c r="HFD224" s="34"/>
      <c r="HFE224" s="34"/>
      <c r="HFF224" s="36"/>
      <c r="HFG224" s="36"/>
      <c r="HFH224" s="37"/>
      <c r="HFI224" s="37"/>
      <c r="HFJ224" s="38"/>
      <c r="HFK224" s="38"/>
      <c r="HFL224" s="39"/>
      <c r="HFM224" s="34"/>
      <c r="HFN224" s="34"/>
      <c r="HFO224" s="34"/>
      <c r="HFP224" s="35"/>
      <c r="HFQ224" s="35"/>
      <c r="HFR224" s="35"/>
      <c r="HFS224" s="35"/>
      <c r="HFT224" s="35"/>
      <c r="HFU224" s="34"/>
      <c r="HFV224" s="34"/>
      <c r="HFW224" s="36"/>
      <c r="HFX224" s="36"/>
      <c r="HFY224" s="37"/>
      <c r="HFZ224" s="37"/>
      <c r="HGA224" s="38"/>
      <c r="HGB224" s="38"/>
      <c r="HGC224" s="39"/>
      <c r="HGD224" s="34"/>
      <c r="HGE224" s="34"/>
      <c r="HGF224" s="34"/>
      <c r="HGG224" s="35"/>
      <c r="HGH224" s="35"/>
      <c r="HGI224" s="35"/>
      <c r="HGJ224" s="35"/>
      <c r="HGK224" s="35"/>
      <c r="HGL224" s="34"/>
      <c r="HGM224" s="34"/>
      <c r="HGN224" s="36"/>
      <c r="HGO224" s="36"/>
      <c r="HGP224" s="37"/>
      <c r="HGQ224" s="37"/>
      <c r="HGR224" s="38"/>
      <c r="HGS224" s="38"/>
      <c r="HGT224" s="39"/>
      <c r="HGU224" s="34"/>
      <c r="HGV224" s="34"/>
      <c r="HGW224" s="34"/>
      <c r="HGX224" s="35"/>
      <c r="HGY224" s="35"/>
      <c r="HGZ224" s="35"/>
      <c r="HHA224" s="35"/>
      <c r="HHB224" s="35"/>
      <c r="HHC224" s="34"/>
      <c r="HHD224" s="34"/>
      <c r="HHE224" s="36"/>
      <c r="HHF224" s="36"/>
      <c r="HHG224" s="37"/>
      <c r="HHH224" s="37"/>
      <c r="HHI224" s="38"/>
      <c r="HHJ224" s="38"/>
      <c r="HHK224" s="39"/>
      <c r="HHL224" s="34"/>
      <c r="HHM224" s="34"/>
      <c r="HHN224" s="34"/>
      <c r="HHO224" s="35"/>
      <c r="HHP224" s="35"/>
      <c r="HHQ224" s="35"/>
      <c r="HHR224" s="35"/>
      <c r="HHS224" s="35"/>
      <c r="HHT224" s="34"/>
      <c r="HHU224" s="34"/>
      <c r="HHV224" s="36"/>
      <c r="HHW224" s="36"/>
      <c r="HHX224" s="37"/>
      <c r="HHY224" s="37"/>
      <c r="HHZ224" s="38"/>
      <c r="HIA224" s="38"/>
      <c r="HIB224" s="39"/>
      <c r="HIC224" s="34"/>
      <c r="HID224" s="34"/>
      <c r="HIE224" s="34"/>
      <c r="HIF224" s="35"/>
      <c r="HIG224" s="35"/>
      <c r="HIH224" s="35"/>
      <c r="HII224" s="35"/>
      <c r="HIJ224" s="35"/>
      <c r="HIK224" s="34"/>
      <c r="HIL224" s="34"/>
      <c r="HIM224" s="36"/>
      <c r="HIN224" s="36"/>
      <c r="HIO224" s="37"/>
      <c r="HIP224" s="37"/>
      <c r="HIQ224" s="38"/>
      <c r="HIR224" s="38"/>
      <c r="HIS224" s="39"/>
      <c r="HIT224" s="34"/>
      <c r="HIU224" s="34"/>
      <c r="HIV224" s="34"/>
      <c r="HIW224" s="35"/>
      <c r="HIX224" s="35"/>
      <c r="HIY224" s="35"/>
      <c r="HIZ224" s="35"/>
      <c r="HJA224" s="35"/>
      <c r="HJB224" s="34"/>
      <c r="HJC224" s="34"/>
      <c r="HJD224" s="36"/>
      <c r="HJE224" s="36"/>
      <c r="HJF224" s="37"/>
      <c r="HJG224" s="37"/>
      <c r="HJH224" s="38"/>
      <c r="HJI224" s="38"/>
      <c r="HJJ224" s="39"/>
      <c r="HJK224" s="34"/>
      <c r="HJL224" s="34"/>
      <c r="HJM224" s="34"/>
      <c r="HJN224" s="35"/>
      <c r="HJO224" s="35"/>
      <c r="HJP224" s="35"/>
      <c r="HJQ224" s="35"/>
      <c r="HJR224" s="35"/>
      <c r="HJS224" s="34"/>
      <c r="HJT224" s="34"/>
      <c r="HJU224" s="36"/>
      <c r="HJV224" s="36"/>
      <c r="HJW224" s="37"/>
      <c r="HJX224" s="37"/>
      <c r="HJY224" s="38"/>
      <c r="HJZ224" s="38"/>
      <c r="HKA224" s="39"/>
      <c r="HKB224" s="34"/>
      <c r="HKC224" s="34"/>
      <c r="HKD224" s="34"/>
      <c r="HKE224" s="35"/>
      <c r="HKF224" s="35"/>
      <c r="HKG224" s="35"/>
      <c r="HKH224" s="35"/>
      <c r="HKI224" s="35"/>
      <c r="HKJ224" s="34"/>
      <c r="HKK224" s="34"/>
      <c r="HKL224" s="36"/>
      <c r="HKM224" s="36"/>
      <c r="HKN224" s="37"/>
      <c r="HKO224" s="37"/>
      <c r="HKP224" s="38"/>
      <c r="HKQ224" s="38"/>
      <c r="HKR224" s="39"/>
      <c r="HKS224" s="34"/>
      <c r="HKT224" s="34"/>
      <c r="HKU224" s="34"/>
      <c r="HKV224" s="35"/>
      <c r="HKW224" s="35"/>
      <c r="HKX224" s="35"/>
      <c r="HKY224" s="35"/>
      <c r="HKZ224" s="35"/>
      <c r="HLA224" s="34"/>
      <c r="HLB224" s="34"/>
      <c r="HLC224" s="36"/>
      <c r="HLD224" s="36"/>
      <c r="HLE224" s="37"/>
      <c r="HLF224" s="37"/>
      <c r="HLG224" s="38"/>
      <c r="HLH224" s="38"/>
      <c r="HLI224" s="39"/>
      <c r="HLJ224" s="34"/>
      <c r="HLK224" s="34"/>
      <c r="HLL224" s="34"/>
      <c r="HLM224" s="35"/>
      <c r="HLN224" s="35"/>
      <c r="HLO224" s="35"/>
      <c r="HLP224" s="35"/>
      <c r="HLQ224" s="35"/>
      <c r="HLR224" s="34"/>
      <c r="HLS224" s="34"/>
      <c r="HLT224" s="36"/>
      <c r="HLU224" s="36"/>
      <c r="HLV224" s="37"/>
      <c r="HLW224" s="37"/>
      <c r="HLX224" s="38"/>
      <c r="HLY224" s="38"/>
      <c r="HLZ224" s="39"/>
      <c r="HMA224" s="34"/>
      <c r="HMB224" s="34"/>
      <c r="HMC224" s="34"/>
      <c r="HMD224" s="35"/>
      <c r="HME224" s="35"/>
      <c r="HMF224" s="35"/>
      <c r="HMG224" s="35"/>
      <c r="HMH224" s="35"/>
      <c r="HMI224" s="34"/>
      <c r="HMJ224" s="34"/>
      <c r="HMK224" s="36"/>
      <c r="HML224" s="36"/>
      <c r="HMM224" s="37"/>
      <c r="HMN224" s="37"/>
      <c r="HMO224" s="38"/>
      <c r="HMP224" s="38"/>
      <c r="HMQ224" s="39"/>
      <c r="HMR224" s="34"/>
      <c r="HMS224" s="34"/>
      <c r="HMT224" s="34"/>
      <c r="HMU224" s="35"/>
      <c r="HMV224" s="35"/>
      <c r="HMW224" s="35"/>
      <c r="HMX224" s="35"/>
      <c r="HMY224" s="35"/>
      <c r="HMZ224" s="34"/>
      <c r="HNA224" s="34"/>
      <c r="HNB224" s="36"/>
      <c r="HNC224" s="36"/>
      <c r="HND224" s="37"/>
      <c r="HNE224" s="37"/>
      <c r="HNF224" s="38"/>
      <c r="HNG224" s="38"/>
      <c r="HNH224" s="39"/>
      <c r="HNI224" s="34"/>
      <c r="HNJ224" s="34"/>
      <c r="HNK224" s="34"/>
      <c r="HNL224" s="35"/>
      <c r="HNM224" s="35"/>
      <c r="HNN224" s="35"/>
      <c r="HNO224" s="35"/>
      <c r="HNP224" s="35"/>
      <c r="HNQ224" s="34"/>
      <c r="HNR224" s="34"/>
      <c r="HNS224" s="36"/>
      <c r="HNT224" s="36"/>
      <c r="HNU224" s="37"/>
      <c r="HNV224" s="37"/>
      <c r="HNW224" s="38"/>
      <c r="HNX224" s="38"/>
      <c r="HNY224" s="39"/>
      <c r="HNZ224" s="34"/>
      <c r="HOA224" s="34"/>
      <c r="HOB224" s="34"/>
      <c r="HOC224" s="35"/>
      <c r="HOD224" s="35"/>
      <c r="HOE224" s="35"/>
      <c r="HOF224" s="35"/>
      <c r="HOG224" s="35"/>
      <c r="HOH224" s="34"/>
      <c r="HOI224" s="34"/>
      <c r="HOJ224" s="36"/>
      <c r="HOK224" s="36"/>
      <c r="HOL224" s="37"/>
      <c r="HOM224" s="37"/>
      <c r="HON224" s="38"/>
      <c r="HOO224" s="38"/>
      <c r="HOP224" s="39"/>
      <c r="HOQ224" s="34"/>
      <c r="HOR224" s="34"/>
      <c r="HOS224" s="34"/>
      <c r="HOT224" s="35"/>
      <c r="HOU224" s="35"/>
      <c r="HOV224" s="35"/>
      <c r="HOW224" s="35"/>
      <c r="HOX224" s="35"/>
      <c r="HOY224" s="34"/>
      <c r="HOZ224" s="34"/>
      <c r="HPA224" s="36"/>
      <c r="HPB224" s="36"/>
      <c r="HPC224" s="37"/>
      <c r="HPD224" s="37"/>
      <c r="HPE224" s="38"/>
      <c r="HPF224" s="38"/>
      <c r="HPG224" s="39"/>
      <c r="HPH224" s="34"/>
      <c r="HPI224" s="34"/>
      <c r="HPJ224" s="34"/>
      <c r="HPK224" s="35"/>
      <c r="HPL224" s="35"/>
      <c r="HPM224" s="35"/>
      <c r="HPN224" s="35"/>
      <c r="HPO224" s="35"/>
      <c r="HPP224" s="34"/>
      <c r="HPQ224" s="34"/>
      <c r="HPR224" s="36"/>
      <c r="HPS224" s="36"/>
      <c r="HPT224" s="37"/>
      <c r="HPU224" s="37"/>
      <c r="HPV224" s="38"/>
      <c r="HPW224" s="38"/>
      <c r="HPX224" s="39"/>
      <c r="HPY224" s="34"/>
      <c r="HPZ224" s="34"/>
      <c r="HQA224" s="34"/>
      <c r="HQB224" s="35"/>
      <c r="HQC224" s="35"/>
      <c r="HQD224" s="35"/>
      <c r="HQE224" s="35"/>
      <c r="HQF224" s="35"/>
      <c r="HQG224" s="34"/>
      <c r="HQH224" s="34"/>
      <c r="HQI224" s="36"/>
      <c r="HQJ224" s="36"/>
      <c r="HQK224" s="37"/>
      <c r="HQL224" s="37"/>
      <c r="HQM224" s="38"/>
      <c r="HQN224" s="38"/>
      <c r="HQO224" s="39"/>
      <c r="HQP224" s="34"/>
      <c r="HQQ224" s="34"/>
      <c r="HQR224" s="34"/>
      <c r="HQS224" s="35"/>
      <c r="HQT224" s="35"/>
      <c r="HQU224" s="35"/>
      <c r="HQV224" s="35"/>
      <c r="HQW224" s="35"/>
      <c r="HQX224" s="34"/>
      <c r="HQY224" s="34"/>
      <c r="HQZ224" s="36"/>
      <c r="HRA224" s="36"/>
      <c r="HRB224" s="37"/>
      <c r="HRC224" s="37"/>
      <c r="HRD224" s="38"/>
      <c r="HRE224" s="38"/>
      <c r="HRF224" s="39"/>
      <c r="HRG224" s="34"/>
      <c r="HRH224" s="34"/>
      <c r="HRI224" s="34"/>
      <c r="HRJ224" s="35"/>
      <c r="HRK224" s="35"/>
      <c r="HRL224" s="35"/>
      <c r="HRM224" s="35"/>
      <c r="HRN224" s="35"/>
      <c r="HRO224" s="34"/>
      <c r="HRP224" s="34"/>
      <c r="HRQ224" s="36"/>
      <c r="HRR224" s="36"/>
      <c r="HRS224" s="37"/>
      <c r="HRT224" s="37"/>
      <c r="HRU224" s="38"/>
      <c r="HRV224" s="38"/>
      <c r="HRW224" s="39"/>
      <c r="HRX224" s="34"/>
      <c r="HRY224" s="34"/>
      <c r="HRZ224" s="34"/>
      <c r="HSA224" s="35"/>
      <c r="HSB224" s="35"/>
      <c r="HSC224" s="35"/>
      <c r="HSD224" s="35"/>
      <c r="HSE224" s="35"/>
      <c r="HSF224" s="34"/>
      <c r="HSG224" s="34"/>
      <c r="HSH224" s="36"/>
      <c r="HSI224" s="36"/>
      <c r="HSJ224" s="37"/>
      <c r="HSK224" s="37"/>
      <c r="HSL224" s="38"/>
      <c r="HSM224" s="38"/>
      <c r="HSN224" s="39"/>
      <c r="HSO224" s="34"/>
      <c r="HSP224" s="34"/>
      <c r="HSQ224" s="34"/>
      <c r="HSR224" s="35"/>
      <c r="HSS224" s="35"/>
      <c r="HST224" s="35"/>
      <c r="HSU224" s="35"/>
      <c r="HSV224" s="35"/>
      <c r="HSW224" s="34"/>
      <c r="HSX224" s="34"/>
      <c r="HSY224" s="36"/>
      <c r="HSZ224" s="36"/>
      <c r="HTA224" s="37"/>
      <c r="HTB224" s="37"/>
      <c r="HTC224" s="38"/>
      <c r="HTD224" s="38"/>
      <c r="HTE224" s="39"/>
      <c r="HTF224" s="34"/>
      <c r="HTG224" s="34"/>
      <c r="HTH224" s="34"/>
      <c r="HTI224" s="35"/>
      <c r="HTJ224" s="35"/>
      <c r="HTK224" s="35"/>
      <c r="HTL224" s="35"/>
      <c r="HTM224" s="35"/>
      <c r="HTN224" s="34"/>
      <c r="HTO224" s="34"/>
      <c r="HTP224" s="36"/>
      <c r="HTQ224" s="36"/>
      <c r="HTR224" s="37"/>
      <c r="HTS224" s="37"/>
      <c r="HTT224" s="38"/>
      <c r="HTU224" s="38"/>
      <c r="HTV224" s="39"/>
      <c r="HTW224" s="34"/>
      <c r="HTX224" s="34"/>
      <c r="HTY224" s="34"/>
      <c r="HTZ224" s="35"/>
      <c r="HUA224" s="35"/>
      <c r="HUB224" s="35"/>
      <c r="HUC224" s="35"/>
      <c r="HUD224" s="35"/>
      <c r="HUE224" s="34"/>
      <c r="HUF224" s="34"/>
      <c r="HUG224" s="36"/>
      <c r="HUH224" s="36"/>
      <c r="HUI224" s="37"/>
      <c r="HUJ224" s="37"/>
      <c r="HUK224" s="38"/>
      <c r="HUL224" s="38"/>
      <c r="HUM224" s="39"/>
      <c r="HUN224" s="34"/>
      <c r="HUO224" s="34"/>
      <c r="HUP224" s="34"/>
      <c r="HUQ224" s="35"/>
      <c r="HUR224" s="35"/>
      <c r="HUS224" s="35"/>
      <c r="HUT224" s="35"/>
      <c r="HUU224" s="35"/>
      <c r="HUV224" s="34"/>
      <c r="HUW224" s="34"/>
      <c r="HUX224" s="36"/>
      <c r="HUY224" s="36"/>
      <c r="HUZ224" s="37"/>
      <c r="HVA224" s="37"/>
      <c r="HVB224" s="38"/>
      <c r="HVC224" s="38"/>
      <c r="HVD224" s="39"/>
      <c r="HVE224" s="34"/>
      <c r="HVF224" s="34"/>
      <c r="HVG224" s="34"/>
      <c r="HVH224" s="35"/>
      <c r="HVI224" s="35"/>
      <c r="HVJ224" s="35"/>
      <c r="HVK224" s="35"/>
      <c r="HVL224" s="35"/>
      <c r="HVM224" s="34"/>
      <c r="HVN224" s="34"/>
      <c r="HVO224" s="36"/>
      <c r="HVP224" s="36"/>
      <c r="HVQ224" s="37"/>
      <c r="HVR224" s="37"/>
      <c r="HVS224" s="38"/>
      <c r="HVT224" s="38"/>
      <c r="HVU224" s="39"/>
      <c r="HVV224" s="34"/>
      <c r="HVW224" s="34"/>
      <c r="HVX224" s="34"/>
      <c r="HVY224" s="35"/>
      <c r="HVZ224" s="35"/>
      <c r="HWA224" s="35"/>
      <c r="HWB224" s="35"/>
      <c r="HWC224" s="35"/>
      <c r="HWD224" s="34"/>
      <c r="HWE224" s="34"/>
      <c r="HWF224" s="36"/>
      <c r="HWG224" s="36"/>
      <c r="HWH224" s="37"/>
      <c r="HWI224" s="37"/>
      <c r="HWJ224" s="38"/>
      <c r="HWK224" s="38"/>
      <c r="HWL224" s="39"/>
      <c r="HWM224" s="34"/>
      <c r="HWN224" s="34"/>
      <c r="HWO224" s="34"/>
      <c r="HWP224" s="35"/>
      <c r="HWQ224" s="35"/>
      <c r="HWR224" s="35"/>
      <c r="HWS224" s="35"/>
      <c r="HWT224" s="35"/>
      <c r="HWU224" s="34"/>
      <c r="HWV224" s="34"/>
      <c r="HWW224" s="36"/>
      <c r="HWX224" s="36"/>
      <c r="HWY224" s="37"/>
      <c r="HWZ224" s="37"/>
      <c r="HXA224" s="38"/>
      <c r="HXB224" s="38"/>
      <c r="HXC224" s="39"/>
      <c r="HXD224" s="34"/>
      <c r="HXE224" s="34"/>
      <c r="HXF224" s="34"/>
      <c r="HXG224" s="35"/>
      <c r="HXH224" s="35"/>
      <c r="HXI224" s="35"/>
      <c r="HXJ224" s="35"/>
      <c r="HXK224" s="35"/>
      <c r="HXL224" s="34"/>
      <c r="HXM224" s="34"/>
      <c r="HXN224" s="36"/>
      <c r="HXO224" s="36"/>
      <c r="HXP224" s="37"/>
      <c r="HXQ224" s="37"/>
      <c r="HXR224" s="38"/>
      <c r="HXS224" s="38"/>
      <c r="HXT224" s="39"/>
      <c r="HXU224" s="34"/>
      <c r="HXV224" s="34"/>
      <c r="HXW224" s="34"/>
      <c r="HXX224" s="35"/>
      <c r="HXY224" s="35"/>
      <c r="HXZ224" s="35"/>
      <c r="HYA224" s="35"/>
      <c r="HYB224" s="35"/>
      <c r="HYC224" s="34"/>
      <c r="HYD224" s="34"/>
      <c r="HYE224" s="36"/>
      <c r="HYF224" s="36"/>
      <c r="HYG224" s="37"/>
      <c r="HYH224" s="37"/>
      <c r="HYI224" s="38"/>
      <c r="HYJ224" s="38"/>
      <c r="HYK224" s="39"/>
      <c r="HYL224" s="34"/>
      <c r="HYM224" s="34"/>
      <c r="HYN224" s="34"/>
      <c r="HYO224" s="35"/>
      <c r="HYP224" s="35"/>
      <c r="HYQ224" s="35"/>
      <c r="HYR224" s="35"/>
      <c r="HYS224" s="35"/>
      <c r="HYT224" s="34"/>
      <c r="HYU224" s="34"/>
      <c r="HYV224" s="36"/>
      <c r="HYW224" s="36"/>
      <c r="HYX224" s="37"/>
      <c r="HYY224" s="37"/>
      <c r="HYZ224" s="38"/>
      <c r="HZA224" s="38"/>
      <c r="HZB224" s="39"/>
      <c r="HZC224" s="34"/>
      <c r="HZD224" s="34"/>
      <c r="HZE224" s="34"/>
      <c r="HZF224" s="35"/>
      <c r="HZG224" s="35"/>
      <c r="HZH224" s="35"/>
      <c r="HZI224" s="35"/>
      <c r="HZJ224" s="35"/>
      <c r="HZK224" s="34"/>
      <c r="HZL224" s="34"/>
      <c r="HZM224" s="36"/>
      <c r="HZN224" s="36"/>
      <c r="HZO224" s="37"/>
      <c r="HZP224" s="37"/>
      <c r="HZQ224" s="38"/>
      <c r="HZR224" s="38"/>
      <c r="HZS224" s="39"/>
      <c r="HZT224" s="34"/>
      <c r="HZU224" s="34"/>
      <c r="HZV224" s="34"/>
      <c r="HZW224" s="35"/>
      <c r="HZX224" s="35"/>
      <c r="HZY224" s="35"/>
      <c r="HZZ224" s="35"/>
      <c r="IAA224" s="35"/>
      <c r="IAB224" s="34"/>
      <c r="IAC224" s="34"/>
      <c r="IAD224" s="36"/>
      <c r="IAE224" s="36"/>
      <c r="IAF224" s="37"/>
      <c r="IAG224" s="37"/>
      <c r="IAH224" s="38"/>
      <c r="IAI224" s="38"/>
      <c r="IAJ224" s="39"/>
      <c r="IAK224" s="34"/>
      <c r="IAL224" s="34"/>
      <c r="IAM224" s="34"/>
      <c r="IAN224" s="35"/>
      <c r="IAO224" s="35"/>
      <c r="IAP224" s="35"/>
      <c r="IAQ224" s="35"/>
      <c r="IAR224" s="35"/>
      <c r="IAS224" s="34"/>
      <c r="IAT224" s="34"/>
      <c r="IAU224" s="36"/>
      <c r="IAV224" s="36"/>
      <c r="IAW224" s="37"/>
      <c r="IAX224" s="37"/>
      <c r="IAY224" s="38"/>
      <c r="IAZ224" s="38"/>
      <c r="IBA224" s="39"/>
      <c r="IBB224" s="34"/>
      <c r="IBC224" s="34"/>
      <c r="IBD224" s="34"/>
      <c r="IBE224" s="35"/>
      <c r="IBF224" s="35"/>
      <c r="IBG224" s="35"/>
      <c r="IBH224" s="35"/>
      <c r="IBI224" s="35"/>
      <c r="IBJ224" s="34"/>
      <c r="IBK224" s="34"/>
      <c r="IBL224" s="36"/>
      <c r="IBM224" s="36"/>
      <c r="IBN224" s="37"/>
      <c r="IBO224" s="37"/>
      <c r="IBP224" s="38"/>
      <c r="IBQ224" s="38"/>
      <c r="IBR224" s="39"/>
      <c r="IBS224" s="34"/>
      <c r="IBT224" s="34"/>
      <c r="IBU224" s="34"/>
      <c r="IBV224" s="35"/>
      <c r="IBW224" s="35"/>
      <c r="IBX224" s="35"/>
      <c r="IBY224" s="35"/>
      <c r="IBZ224" s="35"/>
      <c r="ICA224" s="34"/>
      <c r="ICB224" s="34"/>
      <c r="ICC224" s="36"/>
      <c r="ICD224" s="36"/>
      <c r="ICE224" s="37"/>
      <c r="ICF224" s="37"/>
      <c r="ICG224" s="38"/>
      <c r="ICH224" s="38"/>
      <c r="ICI224" s="39"/>
      <c r="ICJ224" s="34"/>
      <c r="ICK224" s="34"/>
      <c r="ICL224" s="34"/>
      <c r="ICM224" s="35"/>
      <c r="ICN224" s="35"/>
      <c r="ICO224" s="35"/>
      <c r="ICP224" s="35"/>
      <c r="ICQ224" s="35"/>
      <c r="ICR224" s="34"/>
      <c r="ICS224" s="34"/>
      <c r="ICT224" s="36"/>
      <c r="ICU224" s="36"/>
      <c r="ICV224" s="37"/>
      <c r="ICW224" s="37"/>
      <c r="ICX224" s="38"/>
      <c r="ICY224" s="38"/>
      <c r="ICZ224" s="39"/>
      <c r="IDA224" s="34"/>
      <c r="IDB224" s="34"/>
      <c r="IDC224" s="34"/>
      <c r="IDD224" s="35"/>
      <c r="IDE224" s="35"/>
      <c r="IDF224" s="35"/>
      <c r="IDG224" s="35"/>
      <c r="IDH224" s="35"/>
      <c r="IDI224" s="34"/>
      <c r="IDJ224" s="34"/>
      <c r="IDK224" s="36"/>
      <c r="IDL224" s="36"/>
      <c r="IDM224" s="37"/>
      <c r="IDN224" s="37"/>
      <c r="IDO224" s="38"/>
      <c r="IDP224" s="38"/>
      <c r="IDQ224" s="39"/>
      <c r="IDR224" s="34"/>
      <c r="IDS224" s="34"/>
      <c r="IDT224" s="34"/>
      <c r="IDU224" s="35"/>
      <c r="IDV224" s="35"/>
      <c r="IDW224" s="35"/>
      <c r="IDX224" s="35"/>
      <c r="IDY224" s="35"/>
      <c r="IDZ224" s="34"/>
      <c r="IEA224" s="34"/>
      <c r="IEB224" s="36"/>
      <c r="IEC224" s="36"/>
      <c r="IED224" s="37"/>
      <c r="IEE224" s="37"/>
      <c r="IEF224" s="38"/>
      <c r="IEG224" s="38"/>
      <c r="IEH224" s="39"/>
      <c r="IEI224" s="34"/>
      <c r="IEJ224" s="34"/>
      <c r="IEK224" s="34"/>
      <c r="IEL224" s="35"/>
      <c r="IEM224" s="35"/>
      <c r="IEN224" s="35"/>
      <c r="IEO224" s="35"/>
      <c r="IEP224" s="35"/>
      <c r="IEQ224" s="34"/>
      <c r="IER224" s="34"/>
      <c r="IES224" s="36"/>
      <c r="IET224" s="36"/>
      <c r="IEU224" s="37"/>
      <c r="IEV224" s="37"/>
      <c r="IEW224" s="38"/>
      <c r="IEX224" s="38"/>
      <c r="IEY224" s="39"/>
      <c r="IEZ224" s="34"/>
      <c r="IFA224" s="34"/>
      <c r="IFB224" s="34"/>
      <c r="IFC224" s="35"/>
      <c r="IFD224" s="35"/>
      <c r="IFE224" s="35"/>
      <c r="IFF224" s="35"/>
      <c r="IFG224" s="35"/>
      <c r="IFH224" s="34"/>
      <c r="IFI224" s="34"/>
      <c r="IFJ224" s="36"/>
      <c r="IFK224" s="36"/>
      <c r="IFL224" s="37"/>
      <c r="IFM224" s="37"/>
      <c r="IFN224" s="38"/>
      <c r="IFO224" s="38"/>
      <c r="IFP224" s="39"/>
      <c r="IFQ224" s="34"/>
      <c r="IFR224" s="34"/>
      <c r="IFS224" s="34"/>
      <c r="IFT224" s="35"/>
      <c r="IFU224" s="35"/>
      <c r="IFV224" s="35"/>
      <c r="IFW224" s="35"/>
      <c r="IFX224" s="35"/>
      <c r="IFY224" s="34"/>
      <c r="IFZ224" s="34"/>
      <c r="IGA224" s="36"/>
      <c r="IGB224" s="36"/>
      <c r="IGC224" s="37"/>
      <c r="IGD224" s="37"/>
      <c r="IGE224" s="38"/>
      <c r="IGF224" s="38"/>
      <c r="IGG224" s="39"/>
      <c r="IGH224" s="34"/>
      <c r="IGI224" s="34"/>
      <c r="IGJ224" s="34"/>
      <c r="IGK224" s="35"/>
      <c r="IGL224" s="35"/>
      <c r="IGM224" s="35"/>
      <c r="IGN224" s="35"/>
      <c r="IGO224" s="35"/>
      <c r="IGP224" s="34"/>
      <c r="IGQ224" s="34"/>
      <c r="IGR224" s="36"/>
      <c r="IGS224" s="36"/>
      <c r="IGT224" s="37"/>
      <c r="IGU224" s="37"/>
      <c r="IGV224" s="38"/>
      <c r="IGW224" s="38"/>
      <c r="IGX224" s="39"/>
      <c r="IGY224" s="34"/>
      <c r="IGZ224" s="34"/>
      <c r="IHA224" s="34"/>
      <c r="IHB224" s="35"/>
      <c r="IHC224" s="35"/>
      <c r="IHD224" s="35"/>
      <c r="IHE224" s="35"/>
      <c r="IHF224" s="35"/>
      <c r="IHG224" s="34"/>
      <c r="IHH224" s="34"/>
      <c r="IHI224" s="36"/>
      <c r="IHJ224" s="36"/>
      <c r="IHK224" s="37"/>
      <c r="IHL224" s="37"/>
      <c r="IHM224" s="38"/>
      <c r="IHN224" s="38"/>
      <c r="IHO224" s="39"/>
      <c r="IHP224" s="34"/>
      <c r="IHQ224" s="34"/>
      <c r="IHR224" s="34"/>
      <c r="IHS224" s="35"/>
      <c r="IHT224" s="35"/>
      <c r="IHU224" s="35"/>
      <c r="IHV224" s="35"/>
      <c r="IHW224" s="35"/>
      <c r="IHX224" s="34"/>
      <c r="IHY224" s="34"/>
      <c r="IHZ224" s="36"/>
      <c r="IIA224" s="36"/>
      <c r="IIB224" s="37"/>
      <c r="IIC224" s="37"/>
      <c r="IID224" s="38"/>
      <c r="IIE224" s="38"/>
      <c r="IIF224" s="39"/>
      <c r="IIG224" s="34"/>
      <c r="IIH224" s="34"/>
      <c r="III224" s="34"/>
      <c r="IIJ224" s="35"/>
      <c r="IIK224" s="35"/>
      <c r="IIL224" s="35"/>
      <c r="IIM224" s="35"/>
      <c r="IIN224" s="35"/>
      <c r="IIO224" s="34"/>
      <c r="IIP224" s="34"/>
      <c r="IIQ224" s="36"/>
      <c r="IIR224" s="36"/>
      <c r="IIS224" s="37"/>
      <c r="IIT224" s="37"/>
      <c r="IIU224" s="38"/>
      <c r="IIV224" s="38"/>
      <c r="IIW224" s="39"/>
      <c r="IIX224" s="34"/>
      <c r="IIY224" s="34"/>
      <c r="IIZ224" s="34"/>
      <c r="IJA224" s="35"/>
      <c r="IJB224" s="35"/>
      <c r="IJC224" s="35"/>
      <c r="IJD224" s="35"/>
      <c r="IJE224" s="35"/>
      <c r="IJF224" s="34"/>
      <c r="IJG224" s="34"/>
      <c r="IJH224" s="36"/>
      <c r="IJI224" s="36"/>
      <c r="IJJ224" s="37"/>
      <c r="IJK224" s="37"/>
      <c r="IJL224" s="38"/>
      <c r="IJM224" s="38"/>
      <c r="IJN224" s="39"/>
      <c r="IJO224" s="34"/>
      <c r="IJP224" s="34"/>
      <c r="IJQ224" s="34"/>
      <c r="IJR224" s="35"/>
      <c r="IJS224" s="35"/>
      <c r="IJT224" s="35"/>
      <c r="IJU224" s="35"/>
      <c r="IJV224" s="35"/>
      <c r="IJW224" s="34"/>
      <c r="IJX224" s="34"/>
      <c r="IJY224" s="36"/>
      <c r="IJZ224" s="36"/>
      <c r="IKA224" s="37"/>
      <c r="IKB224" s="37"/>
      <c r="IKC224" s="38"/>
      <c r="IKD224" s="38"/>
      <c r="IKE224" s="39"/>
      <c r="IKF224" s="34"/>
      <c r="IKG224" s="34"/>
      <c r="IKH224" s="34"/>
      <c r="IKI224" s="35"/>
      <c r="IKJ224" s="35"/>
      <c r="IKK224" s="35"/>
      <c r="IKL224" s="35"/>
      <c r="IKM224" s="35"/>
      <c r="IKN224" s="34"/>
      <c r="IKO224" s="34"/>
      <c r="IKP224" s="36"/>
      <c r="IKQ224" s="36"/>
      <c r="IKR224" s="37"/>
      <c r="IKS224" s="37"/>
      <c r="IKT224" s="38"/>
      <c r="IKU224" s="38"/>
      <c r="IKV224" s="39"/>
      <c r="IKW224" s="34"/>
      <c r="IKX224" s="34"/>
      <c r="IKY224" s="34"/>
      <c r="IKZ224" s="35"/>
      <c r="ILA224" s="35"/>
      <c r="ILB224" s="35"/>
      <c r="ILC224" s="35"/>
      <c r="ILD224" s="35"/>
      <c r="ILE224" s="34"/>
      <c r="ILF224" s="34"/>
      <c r="ILG224" s="36"/>
      <c r="ILH224" s="36"/>
      <c r="ILI224" s="37"/>
      <c r="ILJ224" s="37"/>
      <c r="ILK224" s="38"/>
      <c r="ILL224" s="38"/>
      <c r="ILM224" s="39"/>
      <c r="ILN224" s="34"/>
      <c r="ILO224" s="34"/>
      <c r="ILP224" s="34"/>
      <c r="ILQ224" s="35"/>
      <c r="ILR224" s="35"/>
      <c r="ILS224" s="35"/>
      <c r="ILT224" s="35"/>
      <c r="ILU224" s="35"/>
      <c r="ILV224" s="34"/>
      <c r="ILW224" s="34"/>
      <c r="ILX224" s="36"/>
      <c r="ILY224" s="36"/>
      <c r="ILZ224" s="37"/>
      <c r="IMA224" s="37"/>
      <c r="IMB224" s="38"/>
      <c r="IMC224" s="38"/>
      <c r="IMD224" s="39"/>
      <c r="IME224" s="34"/>
      <c r="IMF224" s="34"/>
      <c r="IMG224" s="34"/>
      <c r="IMH224" s="35"/>
      <c r="IMI224" s="35"/>
      <c r="IMJ224" s="35"/>
      <c r="IMK224" s="35"/>
      <c r="IML224" s="35"/>
      <c r="IMM224" s="34"/>
      <c r="IMN224" s="34"/>
      <c r="IMO224" s="36"/>
      <c r="IMP224" s="36"/>
      <c r="IMQ224" s="37"/>
      <c r="IMR224" s="37"/>
      <c r="IMS224" s="38"/>
      <c r="IMT224" s="38"/>
      <c r="IMU224" s="39"/>
      <c r="IMV224" s="34"/>
      <c r="IMW224" s="34"/>
      <c r="IMX224" s="34"/>
      <c r="IMY224" s="35"/>
      <c r="IMZ224" s="35"/>
      <c r="INA224" s="35"/>
      <c r="INB224" s="35"/>
      <c r="INC224" s="35"/>
      <c r="IND224" s="34"/>
      <c r="INE224" s="34"/>
      <c r="INF224" s="36"/>
      <c r="ING224" s="36"/>
      <c r="INH224" s="37"/>
      <c r="INI224" s="37"/>
      <c r="INJ224" s="38"/>
      <c r="INK224" s="38"/>
      <c r="INL224" s="39"/>
      <c r="INM224" s="34"/>
      <c r="INN224" s="34"/>
      <c r="INO224" s="34"/>
      <c r="INP224" s="35"/>
      <c r="INQ224" s="35"/>
      <c r="INR224" s="35"/>
      <c r="INS224" s="35"/>
      <c r="INT224" s="35"/>
      <c r="INU224" s="34"/>
      <c r="INV224" s="34"/>
      <c r="INW224" s="36"/>
      <c r="INX224" s="36"/>
      <c r="INY224" s="37"/>
      <c r="INZ224" s="37"/>
      <c r="IOA224" s="38"/>
      <c r="IOB224" s="38"/>
      <c r="IOC224" s="39"/>
      <c r="IOD224" s="34"/>
      <c r="IOE224" s="34"/>
      <c r="IOF224" s="34"/>
      <c r="IOG224" s="35"/>
      <c r="IOH224" s="35"/>
      <c r="IOI224" s="35"/>
      <c r="IOJ224" s="35"/>
      <c r="IOK224" s="35"/>
      <c r="IOL224" s="34"/>
      <c r="IOM224" s="34"/>
      <c r="ION224" s="36"/>
      <c r="IOO224" s="36"/>
      <c r="IOP224" s="37"/>
      <c r="IOQ224" s="37"/>
      <c r="IOR224" s="38"/>
      <c r="IOS224" s="38"/>
      <c r="IOT224" s="39"/>
      <c r="IOU224" s="34"/>
      <c r="IOV224" s="34"/>
      <c r="IOW224" s="34"/>
      <c r="IOX224" s="35"/>
      <c r="IOY224" s="35"/>
      <c r="IOZ224" s="35"/>
      <c r="IPA224" s="35"/>
      <c r="IPB224" s="35"/>
      <c r="IPC224" s="34"/>
      <c r="IPD224" s="34"/>
      <c r="IPE224" s="36"/>
      <c r="IPF224" s="36"/>
      <c r="IPG224" s="37"/>
      <c r="IPH224" s="37"/>
      <c r="IPI224" s="38"/>
      <c r="IPJ224" s="38"/>
      <c r="IPK224" s="39"/>
      <c r="IPL224" s="34"/>
      <c r="IPM224" s="34"/>
      <c r="IPN224" s="34"/>
      <c r="IPO224" s="35"/>
      <c r="IPP224" s="35"/>
      <c r="IPQ224" s="35"/>
      <c r="IPR224" s="35"/>
      <c r="IPS224" s="35"/>
      <c r="IPT224" s="34"/>
      <c r="IPU224" s="34"/>
      <c r="IPV224" s="36"/>
      <c r="IPW224" s="36"/>
      <c r="IPX224" s="37"/>
      <c r="IPY224" s="37"/>
      <c r="IPZ224" s="38"/>
      <c r="IQA224" s="38"/>
      <c r="IQB224" s="39"/>
      <c r="IQC224" s="34"/>
      <c r="IQD224" s="34"/>
      <c r="IQE224" s="34"/>
      <c r="IQF224" s="35"/>
      <c r="IQG224" s="35"/>
      <c r="IQH224" s="35"/>
      <c r="IQI224" s="35"/>
      <c r="IQJ224" s="35"/>
      <c r="IQK224" s="34"/>
      <c r="IQL224" s="34"/>
      <c r="IQM224" s="36"/>
      <c r="IQN224" s="36"/>
      <c r="IQO224" s="37"/>
      <c r="IQP224" s="37"/>
      <c r="IQQ224" s="38"/>
      <c r="IQR224" s="38"/>
      <c r="IQS224" s="39"/>
      <c r="IQT224" s="34"/>
      <c r="IQU224" s="34"/>
      <c r="IQV224" s="34"/>
      <c r="IQW224" s="35"/>
      <c r="IQX224" s="35"/>
      <c r="IQY224" s="35"/>
      <c r="IQZ224" s="35"/>
      <c r="IRA224" s="35"/>
      <c r="IRB224" s="34"/>
      <c r="IRC224" s="34"/>
      <c r="IRD224" s="36"/>
      <c r="IRE224" s="36"/>
      <c r="IRF224" s="37"/>
      <c r="IRG224" s="37"/>
      <c r="IRH224" s="38"/>
      <c r="IRI224" s="38"/>
      <c r="IRJ224" s="39"/>
      <c r="IRK224" s="34"/>
      <c r="IRL224" s="34"/>
      <c r="IRM224" s="34"/>
      <c r="IRN224" s="35"/>
      <c r="IRO224" s="35"/>
      <c r="IRP224" s="35"/>
      <c r="IRQ224" s="35"/>
      <c r="IRR224" s="35"/>
      <c r="IRS224" s="34"/>
      <c r="IRT224" s="34"/>
      <c r="IRU224" s="36"/>
      <c r="IRV224" s="36"/>
      <c r="IRW224" s="37"/>
      <c r="IRX224" s="37"/>
      <c r="IRY224" s="38"/>
      <c r="IRZ224" s="38"/>
      <c r="ISA224" s="39"/>
      <c r="ISB224" s="34"/>
      <c r="ISC224" s="34"/>
      <c r="ISD224" s="34"/>
      <c r="ISE224" s="35"/>
      <c r="ISF224" s="35"/>
      <c r="ISG224" s="35"/>
      <c r="ISH224" s="35"/>
      <c r="ISI224" s="35"/>
      <c r="ISJ224" s="34"/>
      <c r="ISK224" s="34"/>
      <c r="ISL224" s="36"/>
      <c r="ISM224" s="36"/>
      <c r="ISN224" s="37"/>
      <c r="ISO224" s="37"/>
      <c r="ISP224" s="38"/>
      <c r="ISQ224" s="38"/>
      <c r="ISR224" s="39"/>
      <c r="ISS224" s="34"/>
      <c r="IST224" s="34"/>
      <c r="ISU224" s="34"/>
      <c r="ISV224" s="35"/>
      <c r="ISW224" s="35"/>
      <c r="ISX224" s="35"/>
      <c r="ISY224" s="35"/>
      <c r="ISZ224" s="35"/>
      <c r="ITA224" s="34"/>
      <c r="ITB224" s="34"/>
      <c r="ITC224" s="36"/>
      <c r="ITD224" s="36"/>
      <c r="ITE224" s="37"/>
      <c r="ITF224" s="37"/>
      <c r="ITG224" s="38"/>
      <c r="ITH224" s="38"/>
      <c r="ITI224" s="39"/>
      <c r="ITJ224" s="34"/>
      <c r="ITK224" s="34"/>
      <c r="ITL224" s="34"/>
      <c r="ITM224" s="35"/>
      <c r="ITN224" s="35"/>
      <c r="ITO224" s="35"/>
      <c r="ITP224" s="35"/>
      <c r="ITQ224" s="35"/>
      <c r="ITR224" s="34"/>
      <c r="ITS224" s="34"/>
      <c r="ITT224" s="36"/>
      <c r="ITU224" s="36"/>
      <c r="ITV224" s="37"/>
      <c r="ITW224" s="37"/>
      <c r="ITX224" s="38"/>
      <c r="ITY224" s="38"/>
      <c r="ITZ224" s="39"/>
      <c r="IUA224" s="34"/>
      <c r="IUB224" s="34"/>
      <c r="IUC224" s="34"/>
      <c r="IUD224" s="35"/>
      <c r="IUE224" s="35"/>
      <c r="IUF224" s="35"/>
      <c r="IUG224" s="35"/>
      <c r="IUH224" s="35"/>
      <c r="IUI224" s="34"/>
      <c r="IUJ224" s="34"/>
      <c r="IUK224" s="36"/>
      <c r="IUL224" s="36"/>
      <c r="IUM224" s="37"/>
      <c r="IUN224" s="37"/>
      <c r="IUO224" s="38"/>
      <c r="IUP224" s="38"/>
      <c r="IUQ224" s="39"/>
      <c r="IUR224" s="34"/>
      <c r="IUS224" s="34"/>
      <c r="IUT224" s="34"/>
      <c r="IUU224" s="35"/>
      <c r="IUV224" s="35"/>
      <c r="IUW224" s="35"/>
      <c r="IUX224" s="35"/>
      <c r="IUY224" s="35"/>
      <c r="IUZ224" s="34"/>
      <c r="IVA224" s="34"/>
      <c r="IVB224" s="36"/>
      <c r="IVC224" s="36"/>
      <c r="IVD224" s="37"/>
      <c r="IVE224" s="37"/>
      <c r="IVF224" s="38"/>
      <c r="IVG224" s="38"/>
      <c r="IVH224" s="39"/>
      <c r="IVI224" s="34"/>
      <c r="IVJ224" s="34"/>
      <c r="IVK224" s="34"/>
      <c r="IVL224" s="35"/>
      <c r="IVM224" s="35"/>
      <c r="IVN224" s="35"/>
      <c r="IVO224" s="35"/>
      <c r="IVP224" s="35"/>
      <c r="IVQ224" s="34"/>
      <c r="IVR224" s="34"/>
      <c r="IVS224" s="36"/>
      <c r="IVT224" s="36"/>
      <c r="IVU224" s="37"/>
      <c r="IVV224" s="37"/>
      <c r="IVW224" s="38"/>
      <c r="IVX224" s="38"/>
      <c r="IVY224" s="39"/>
      <c r="IVZ224" s="34"/>
      <c r="IWA224" s="34"/>
      <c r="IWB224" s="34"/>
      <c r="IWC224" s="35"/>
      <c r="IWD224" s="35"/>
      <c r="IWE224" s="35"/>
      <c r="IWF224" s="35"/>
      <c r="IWG224" s="35"/>
      <c r="IWH224" s="34"/>
      <c r="IWI224" s="34"/>
      <c r="IWJ224" s="36"/>
      <c r="IWK224" s="36"/>
      <c r="IWL224" s="37"/>
      <c r="IWM224" s="37"/>
      <c r="IWN224" s="38"/>
      <c r="IWO224" s="38"/>
      <c r="IWP224" s="39"/>
      <c r="IWQ224" s="34"/>
      <c r="IWR224" s="34"/>
      <c r="IWS224" s="34"/>
      <c r="IWT224" s="35"/>
      <c r="IWU224" s="35"/>
      <c r="IWV224" s="35"/>
      <c r="IWW224" s="35"/>
      <c r="IWX224" s="35"/>
      <c r="IWY224" s="34"/>
      <c r="IWZ224" s="34"/>
      <c r="IXA224" s="36"/>
      <c r="IXB224" s="36"/>
      <c r="IXC224" s="37"/>
      <c r="IXD224" s="37"/>
      <c r="IXE224" s="38"/>
      <c r="IXF224" s="38"/>
      <c r="IXG224" s="39"/>
      <c r="IXH224" s="34"/>
      <c r="IXI224" s="34"/>
      <c r="IXJ224" s="34"/>
      <c r="IXK224" s="35"/>
      <c r="IXL224" s="35"/>
      <c r="IXM224" s="35"/>
      <c r="IXN224" s="35"/>
      <c r="IXO224" s="35"/>
      <c r="IXP224" s="34"/>
      <c r="IXQ224" s="34"/>
      <c r="IXR224" s="36"/>
      <c r="IXS224" s="36"/>
      <c r="IXT224" s="37"/>
      <c r="IXU224" s="37"/>
      <c r="IXV224" s="38"/>
      <c r="IXW224" s="38"/>
      <c r="IXX224" s="39"/>
      <c r="IXY224" s="34"/>
      <c r="IXZ224" s="34"/>
      <c r="IYA224" s="34"/>
      <c r="IYB224" s="35"/>
      <c r="IYC224" s="35"/>
      <c r="IYD224" s="35"/>
      <c r="IYE224" s="35"/>
      <c r="IYF224" s="35"/>
      <c r="IYG224" s="34"/>
      <c r="IYH224" s="34"/>
      <c r="IYI224" s="36"/>
      <c r="IYJ224" s="36"/>
      <c r="IYK224" s="37"/>
      <c r="IYL224" s="37"/>
      <c r="IYM224" s="38"/>
      <c r="IYN224" s="38"/>
      <c r="IYO224" s="39"/>
      <c r="IYP224" s="34"/>
      <c r="IYQ224" s="34"/>
      <c r="IYR224" s="34"/>
      <c r="IYS224" s="35"/>
      <c r="IYT224" s="35"/>
      <c r="IYU224" s="35"/>
      <c r="IYV224" s="35"/>
      <c r="IYW224" s="35"/>
      <c r="IYX224" s="34"/>
      <c r="IYY224" s="34"/>
      <c r="IYZ224" s="36"/>
      <c r="IZA224" s="36"/>
      <c r="IZB224" s="37"/>
      <c r="IZC224" s="37"/>
      <c r="IZD224" s="38"/>
      <c r="IZE224" s="38"/>
      <c r="IZF224" s="39"/>
      <c r="IZG224" s="34"/>
      <c r="IZH224" s="34"/>
      <c r="IZI224" s="34"/>
      <c r="IZJ224" s="35"/>
      <c r="IZK224" s="35"/>
      <c r="IZL224" s="35"/>
      <c r="IZM224" s="35"/>
      <c r="IZN224" s="35"/>
      <c r="IZO224" s="34"/>
      <c r="IZP224" s="34"/>
      <c r="IZQ224" s="36"/>
      <c r="IZR224" s="36"/>
      <c r="IZS224" s="37"/>
      <c r="IZT224" s="37"/>
      <c r="IZU224" s="38"/>
      <c r="IZV224" s="38"/>
      <c r="IZW224" s="39"/>
      <c r="IZX224" s="34"/>
      <c r="IZY224" s="34"/>
      <c r="IZZ224" s="34"/>
      <c r="JAA224" s="35"/>
      <c r="JAB224" s="35"/>
      <c r="JAC224" s="35"/>
      <c r="JAD224" s="35"/>
      <c r="JAE224" s="35"/>
      <c r="JAF224" s="34"/>
      <c r="JAG224" s="34"/>
      <c r="JAH224" s="36"/>
      <c r="JAI224" s="36"/>
      <c r="JAJ224" s="37"/>
      <c r="JAK224" s="37"/>
      <c r="JAL224" s="38"/>
      <c r="JAM224" s="38"/>
      <c r="JAN224" s="39"/>
      <c r="JAO224" s="34"/>
      <c r="JAP224" s="34"/>
      <c r="JAQ224" s="34"/>
      <c r="JAR224" s="35"/>
      <c r="JAS224" s="35"/>
      <c r="JAT224" s="35"/>
      <c r="JAU224" s="35"/>
      <c r="JAV224" s="35"/>
      <c r="JAW224" s="34"/>
      <c r="JAX224" s="34"/>
      <c r="JAY224" s="36"/>
      <c r="JAZ224" s="36"/>
      <c r="JBA224" s="37"/>
      <c r="JBB224" s="37"/>
      <c r="JBC224" s="38"/>
      <c r="JBD224" s="38"/>
      <c r="JBE224" s="39"/>
      <c r="JBF224" s="34"/>
      <c r="JBG224" s="34"/>
      <c r="JBH224" s="34"/>
      <c r="JBI224" s="35"/>
      <c r="JBJ224" s="35"/>
      <c r="JBK224" s="35"/>
      <c r="JBL224" s="35"/>
      <c r="JBM224" s="35"/>
      <c r="JBN224" s="34"/>
      <c r="JBO224" s="34"/>
      <c r="JBP224" s="36"/>
      <c r="JBQ224" s="36"/>
      <c r="JBR224" s="37"/>
      <c r="JBS224" s="37"/>
      <c r="JBT224" s="38"/>
      <c r="JBU224" s="38"/>
      <c r="JBV224" s="39"/>
      <c r="JBW224" s="34"/>
      <c r="JBX224" s="34"/>
      <c r="JBY224" s="34"/>
      <c r="JBZ224" s="35"/>
      <c r="JCA224" s="35"/>
      <c r="JCB224" s="35"/>
      <c r="JCC224" s="35"/>
      <c r="JCD224" s="35"/>
      <c r="JCE224" s="34"/>
      <c r="JCF224" s="34"/>
      <c r="JCG224" s="36"/>
      <c r="JCH224" s="36"/>
      <c r="JCI224" s="37"/>
      <c r="JCJ224" s="37"/>
      <c r="JCK224" s="38"/>
      <c r="JCL224" s="38"/>
      <c r="JCM224" s="39"/>
      <c r="JCN224" s="34"/>
      <c r="JCO224" s="34"/>
      <c r="JCP224" s="34"/>
      <c r="JCQ224" s="35"/>
      <c r="JCR224" s="35"/>
      <c r="JCS224" s="35"/>
      <c r="JCT224" s="35"/>
      <c r="JCU224" s="35"/>
      <c r="JCV224" s="34"/>
      <c r="JCW224" s="34"/>
      <c r="JCX224" s="36"/>
      <c r="JCY224" s="36"/>
      <c r="JCZ224" s="37"/>
      <c r="JDA224" s="37"/>
      <c r="JDB224" s="38"/>
      <c r="JDC224" s="38"/>
      <c r="JDD224" s="39"/>
      <c r="JDE224" s="34"/>
      <c r="JDF224" s="34"/>
      <c r="JDG224" s="34"/>
      <c r="JDH224" s="35"/>
      <c r="JDI224" s="35"/>
      <c r="JDJ224" s="35"/>
      <c r="JDK224" s="35"/>
      <c r="JDL224" s="35"/>
      <c r="JDM224" s="34"/>
      <c r="JDN224" s="34"/>
      <c r="JDO224" s="36"/>
      <c r="JDP224" s="36"/>
      <c r="JDQ224" s="37"/>
      <c r="JDR224" s="37"/>
      <c r="JDS224" s="38"/>
      <c r="JDT224" s="38"/>
      <c r="JDU224" s="39"/>
      <c r="JDV224" s="34"/>
      <c r="JDW224" s="34"/>
      <c r="JDX224" s="34"/>
      <c r="JDY224" s="35"/>
      <c r="JDZ224" s="35"/>
      <c r="JEA224" s="35"/>
      <c r="JEB224" s="35"/>
      <c r="JEC224" s="35"/>
      <c r="JED224" s="34"/>
      <c r="JEE224" s="34"/>
      <c r="JEF224" s="36"/>
      <c r="JEG224" s="36"/>
      <c r="JEH224" s="37"/>
      <c r="JEI224" s="37"/>
      <c r="JEJ224" s="38"/>
      <c r="JEK224" s="38"/>
      <c r="JEL224" s="39"/>
      <c r="JEM224" s="34"/>
      <c r="JEN224" s="34"/>
      <c r="JEO224" s="34"/>
      <c r="JEP224" s="35"/>
      <c r="JEQ224" s="35"/>
      <c r="JER224" s="35"/>
      <c r="JES224" s="35"/>
      <c r="JET224" s="35"/>
      <c r="JEU224" s="34"/>
      <c r="JEV224" s="34"/>
      <c r="JEW224" s="36"/>
      <c r="JEX224" s="36"/>
      <c r="JEY224" s="37"/>
      <c r="JEZ224" s="37"/>
      <c r="JFA224" s="38"/>
      <c r="JFB224" s="38"/>
      <c r="JFC224" s="39"/>
      <c r="JFD224" s="34"/>
      <c r="JFE224" s="34"/>
      <c r="JFF224" s="34"/>
      <c r="JFG224" s="35"/>
      <c r="JFH224" s="35"/>
      <c r="JFI224" s="35"/>
      <c r="JFJ224" s="35"/>
      <c r="JFK224" s="35"/>
      <c r="JFL224" s="34"/>
      <c r="JFM224" s="34"/>
      <c r="JFN224" s="36"/>
      <c r="JFO224" s="36"/>
      <c r="JFP224" s="37"/>
      <c r="JFQ224" s="37"/>
      <c r="JFR224" s="38"/>
      <c r="JFS224" s="38"/>
      <c r="JFT224" s="39"/>
      <c r="JFU224" s="34"/>
      <c r="JFV224" s="34"/>
      <c r="JFW224" s="34"/>
      <c r="JFX224" s="35"/>
      <c r="JFY224" s="35"/>
      <c r="JFZ224" s="35"/>
      <c r="JGA224" s="35"/>
      <c r="JGB224" s="35"/>
      <c r="JGC224" s="34"/>
      <c r="JGD224" s="34"/>
      <c r="JGE224" s="36"/>
      <c r="JGF224" s="36"/>
      <c r="JGG224" s="37"/>
      <c r="JGH224" s="37"/>
      <c r="JGI224" s="38"/>
      <c r="JGJ224" s="38"/>
      <c r="JGK224" s="39"/>
      <c r="JGL224" s="34"/>
      <c r="JGM224" s="34"/>
      <c r="JGN224" s="34"/>
      <c r="JGO224" s="35"/>
      <c r="JGP224" s="35"/>
      <c r="JGQ224" s="35"/>
      <c r="JGR224" s="35"/>
      <c r="JGS224" s="35"/>
      <c r="JGT224" s="34"/>
      <c r="JGU224" s="34"/>
      <c r="JGV224" s="36"/>
      <c r="JGW224" s="36"/>
      <c r="JGX224" s="37"/>
      <c r="JGY224" s="37"/>
      <c r="JGZ224" s="38"/>
      <c r="JHA224" s="38"/>
      <c r="JHB224" s="39"/>
      <c r="JHC224" s="34"/>
      <c r="JHD224" s="34"/>
      <c r="JHE224" s="34"/>
      <c r="JHF224" s="35"/>
      <c r="JHG224" s="35"/>
      <c r="JHH224" s="35"/>
      <c r="JHI224" s="35"/>
      <c r="JHJ224" s="35"/>
      <c r="JHK224" s="34"/>
      <c r="JHL224" s="34"/>
      <c r="JHM224" s="36"/>
      <c r="JHN224" s="36"/>
      <c r="JHO224" s="37"/>
      <c r="JHP224" s="37"/>
      <c r="JHQ224" s="38"/>
      <c r="JHR224" s="38"/>
      <c r="JHS224" s="39"/>
      <c r="JHT224" s="34"/>
      <c r="JHU224" s="34"/>
      <c r="JHV224" s="34"/>
      <c r="JHW224" s="35"/>
      <c r="JHX224" s="35"/>
      <c r="JHY224" s="35"/>
      <c r="JHZ224" s="35"/>
      <c r="JIA224" s="35"/>
      <c r="JIB224" s="34"/>
      <c r="JIC224" s="34"/>
      <c r="JID224" s="36"/>
      <c r="JIE224" s="36"/>
      <c r="JIF224" s="37"/>
      <c r="JIG224" s="37"/>
      <c r="JIH224" s="38"/>
      <c r="JII224" s="38"/>
      <c r="JIJ224" s="39"/>
      <c r="JIK224" s="34"/>
      <c r="JIL224" s="34"/>
      <c r="JIM224" s="34"/>
      <c r="JIN224" s="35"/>
      <c r="JIO224" s="35"/>
      <c r="JIP224" s="35"/>
      <c r="JIQ224" s="35"/>
      <c r="JIR224" s="35"/>
      <c r="JIS224" s="34"/>
      <c r="JIT224" s="34"/>
      <c r="JIU224" s="36"/>
      <c r="JIV224" s="36"/>
      <c r="JIW224" s="37"/>
      <c r="JIX224" s="37"/>
      <c r="JIY224" s="38"/>
      <c r="JIZ224" s="38"/>
      <c r="JJA224" s="39"/>
      <c r="JJB224" s="34"/>
      <c r="JJC224" s="34"/>
      <c r="JJD224" s="34"/>
      <c r="JJE224" s="35"/>
      <c r="JJF224" s="35"/>
      <c r="JJG224" s="35"/>
      <c r="JJH224" s="35"/>
      <c r="JJI224" s="35"/>
      <c r="JJJ224" s="34"/>
      <c r="JJK224" s="34"/>
      <c r="JJL224" s="36"/>
      <c r="JJM224" s="36"/>
      <c r="JJN224" s="37"/>
      <c r="JJO224" s="37"/>
      <c r="JJP224" s="38"/>
      <c r="JJQ224" s="38"/>
      <c r="JJR224" s="39"/>
      <c r="JJS224" s="34"/>
      <c r="JJT224" s="34"/>
      <c r="JJU224" s="34"/>
      <c r="JJV224" s="35"/>
      <c r="JJW224" s="35"/>
      <c r="JJX224" s="35"/>
      <c r="JJY224" s="35"/>
      <c r="JJZ224" s="35"/>
      <c r="JKA224" s="34"/>
      <c r="JKB224" s="34"/>
      <c r="JKC224" s="36"/>
      <c r="JKD224" s="36"/>
      <c r="JKE224" s="37"/>
      <c r="JKF224" s="37"/>
      <c r="JKG224" s="38"/>
      <c r="JKH224" s="38"/>
      <c r="JKI224" s="39"/>
      <c r="JKJ224" s="34"/>
      <c r="JKK224" s="34"/>
      <c r="JKL224" s="34"/>
      <c r="JKM224" s="35"/>
      <c r="JKN224" s="35"/>
      <c r="JKO224" s="35"/>
      <c r="JKP224" s="35"/>
      <c r="JKQ224" s="35"/>
      <c r="JKR224" s="34"/>
      <c r="JKS224" s="34"/>
      <c r="JKT224" s="36"/>
      <c r="JKU224" s="36"/>
      <c r="JKV224" s="37"/>
      <c r="JKW224" s="37"/>
      <c r="JKX224" s="38"/>
      <c r="JKY224" s="38"/>
      <c r="JKZ224" s="39"/>
      <c r="JLA224" s="34"/>
      <c r="JLB224" s="34"/>
      <c r="JLC224" s="34"/>
      <c r="JLD224" s="35"/>
      <c r="JLE224" s="35"/>
      <c r="JLF224" s="35"/>
      <c r="JLG224" s="35"/>
      <c r="JLH224" s="35"/>
      <c r="JLI224" s="34"/>
      <c r="JLJ224" s="34"/>
      <c r="JLK224" s="36"/>
      <c r="JLL224" s="36"/>
      <c r="JLM224" s="37"/>
      <c r="JLN224" s="37"/>
      <c r="JLO224" s="38"/>
      <c r="JLP224" s="38"/>
      <c r="JLQ224" s="39"/>
      <c r="JLR224" s="34"/>
      <c r="JLS224" s="34"/>
      <c r="JLT224" s="34"/>
      <c r="JLU224" s="35"/>
      <c r="JLV224" s="35"/>
      <c r="JLW224" s="35"/>
      <c r="JLX224" s="35"/>
      <c r="JLY224" s="35"/>
      <c r="JLZ224" s="34"/>
      <c r="JMA224" s="34"/>
      <c r="JMB224" s="36"/>
      <c r="JMC224" s="36"/>
      <c r="JMD224" s="37"/>
      <c r="JME224" s="37"/>
      <c r="JMF224" s="38"/>
      <c r="JMG224" s="38"/>
      <c r="JMH224" s="39"/>
      <c r="JMI224" s="34"/>
      <c r="JMJ224" s="34"/>
      <c r="JMK224" s="34"/>
      <c r="JML224" s="35"/>
      <c r="JMM224" s="35"/>
      <c r="JMN224" s="35"/>
      <c r="JMO224" s="35"/>
      <c r="JMP224" s="35"/>
      <c r="JMQ224" s="34"/>
      <c r="JMR224" s="34"/>
      <c r="JMS224" s="36"/>
      <c r="JMT224" s="36"/>
      <c r="JMU224" s="37"/>
      <c r="JMV224" s="37"/>
      <c r="JMW224" s="38"/>
      <c r="JMX224" s="38"/>
      <c r="JMY224" s="39"/>
      <c r="JMZ224" s="34"/>
      <c r="JNA224" s="34"/>
      <c r="JNB224" s="34"/>
      <c r="JNC224" s="35"/>
      <c r="JND224" s="35"/>
      <c r="JNE224" s="35"/>
      <c r="JNF224" s="35"/>
      <c r="JNG224" s="35"/>
      <c r="JNH224" s="34"/>
      <c r="JNI224" s="34"/>
      <c r="JNJ224" s="36"/>
      <c r="JNK224" s="36"/>
      <c r="JNL224" s="37"/>
      <c r="JNM224" s="37"/>
      <c r="JNN224" s="38"/>
      <c r="JNO224" s="38"/>
      <c r="JNP224" s="39"/>
      <c r="JNQ224" s="34"/>
      <c r="JNR224" s="34"/>
      <c r="JNS224" s="34"/>
      <c r="JNT224" s="35"/>
      <c r="JNU224" s="35"/>
      <c r="JNV224" s="35"/>
      <c r="JNW224" s="35"/>
      <c r="JNX224" s="35"/>
      <c r="JNY224" s="34"/>
      <c r="JNZ224" s="34"/>
      <c r="JOA224" s="36"/>
      <c r="JOB224" s="36"/>
      <c r="JOC224" s="37"/>
      <c r="JOD224" s="37"/>
      <c r="JOE224" s="38"/>
      <c r="JOF224" s="38"/>
      <c r="JOG224" s="39"/>
      <c r="JOH224" s="34"/>
      <c r="JOI224" s="34"/>
      <c r="JOJ224" s="34"/>
      <c r="JOK224" s="35"/>
      <c r="JOL224" s="35"/>
      <c r="JOM224" s="35"/>
      <c r="JON224" s="35"/>
      <c r="JOO224" s="35"/>
      <c r="JOP224" s="34"/>
      <c r="JOQ224" s="34"/>
      <c r="JOR224" s="36"/>
      <c r="JOS224" s="36"/>
      <c r="JOT224" s="37"/>
      <c r="JOU224" s="37"/>
      <c r="JOV224" s="38"/>
      <c r="JOW224" s="38"/>
      <c r="JOX224" s="39"/>
      <c r="JOY224" s="34"/>
      <c r="JOZ224" s="34"/>
      <c r="JPA224" s="34"/>
      <c r="JPB224" s="35"/>
      <c r="JPC224" s="35"/>
      <c r="JPD224" s="35"/>
      <c r="JPE224" s="35"/>
      <c r="JPF224" s="35"/>
      <c r="JPG224" s="34"/>
      <c r="JPH224" s="34"/>
      <c r="JPI224" s="36"/>
      <c r="JPJ224" s="36"/>
      <c r="JPK224" s="37"/>
      <c r="JPL224" s="37"/>
      <c r="JPM224" s="38"/>
      <c r="JPN224" s="38"/>
      <c r="JPO224" s="39"/>
      <c r="JPP224" s="34"/>
      <c r="JPQ224" s="34"/>
      <c r="JPR224" s="34"/>
      <c r="JPS224" s="35"/>
      <c r="JPT224" s="35"/>
      <c r="JPU224" s="35"/>
      <c r="JPV224" s="35"/>
      <c r="JPW224" s="35"/>
      <c r="JPX224" s="34"/>
      <c r="JPY224" s="34"/>
      <c r="JPZ224" s="36"/>
      <c r="JQA224" s="36"/>
      <c r="JQB224" s="37"/>
      <c r="JQC224" s="37"/>
      <c r="JQD224" s="38"/>
      <c r="JQE224" s="38"/>
      <c r="JQF224" s="39"/>
      <c r="JQG224" s="34"/>
      <c r="JQH224" s="34"/>
      <c r="JQI224" s="34"/>
      <c r="JQJ224" s="35"/>
      <c r="JQK224" s="35"/>
      <c r="JQL224" s="35"/>
      <c r="JQM224" s="35"/>
      <c r="JQN224" s="35"/>
      <c r="JQO224" s="34"/>
      <c r="JQP224" s="34"/>
      <c r="JQQ224" s="36"/>
      <c r="JQR224" s="36"/>
      <c r="JQS224" s="37"/>
      <c r="JQT224" s="37"/>
      <c r="JQU224" s="38"/>
      <c r="JQV224" s="38"/>
      <c r="JQW224" s="39"/>
      <c r="JQX224" s="34"/>
      <c r="JQY224" s="34"/>
      <c r="JQZ224" s="34"/>
      <c r="JRA224" s="35"/>
      <c r="JRB224" s="35"/>
      <c r="JRC224" s="35"/>
      <c r="JRD224" s="35"/>
      <c r="JRE224" s="35"/>
      <c r="JRF224" s="34"/>
      <c r="JRG224" s="34"/>
      <c r="JRH224" s="36"/>
      <c r="JRI224" s="36"/>
      <c r="JRJ224" s="37"/>
      <c r="JRK224" s="37"/>
      <c r="JRL224" s="38"/>
      <c r="JRM224" s="38"/>
      <c r="JRN224" s="39"/>
      <c r="JRO224" s="34"/>
      <c r="JRP224" s="34"/>
      <c r="JRQ224" s="34"/>
      <c r="JRR224" s="35"/>
      <c r="JRS224" s="35"/>
      <c r="JRT224" s="35"/>
      <c r="JRU224" s="35"/>
      <c r="JRV224" s="35"/>
      <c r="JRW224" s="34"/>
      <c r="JRX224" s="34"/>
      <c r="JRY224" s="36"/>
      <c r="JRZ224" s="36"/>
      <c r="JSA224" s="37"/>
      <c r="JSB224" s="37"/>
      <c r="JSC224" s="38"/>
      <c r="JSD224" s="38"/>
      <c r="JSE224" s="39"/>
      <c r="JSF224" s="34"/>
      <c r="JSG224" s="34"/>
      <c r="JSH224" s="34"/>
      <c r="JSI224" s="35"/>
      <c r="JSJ224" s="35"/>
      <c r="JSK224" s="35"/>
      <c r="JSL224" s="35"/>
      <c r="JSM224" s="35"/>
      <c r="JSN224" s="34"/>
      <c r="JSO224" s="34"/>
      <c r="JSP224" s="36"/>
      <c r="JSQ224" s="36"/>
      <c r="JSR224" s="37"/>
      <c r="JSS224" s="37"/>
      <c r="JST224" s="38"/>
      <c r="JSU224" s="38"/>
      <c r="JSV224" s="39"/>
      <c r="JSW224" s="34"/>
      <c r="JSX224" s="34"/>
      <c r="JSY224" s="34"/>
      <c r="JSZ224" s="35"/>
      <c r="JTA224" s="35"/>
      <c r="JTB224" s="35"/>
      <c r="JTC224" s="35"/>
      <c r="JTD224" s="35"/>
      <c r="JTE224" s="34"/>
      <c r="JTF224" s="34"/>
      <c r="JTG224" s="36"/>
      <c r="JTH224" s="36"/>
      <c r="JTI224" s="37"/>
      <c r="JTJ224" s="37"/>
      <c r="JTK224" s="38"/>
      <c r="JTL224" s="38"/>
      <c r="JTM224" s="39"/>
      <c r="JTN224" s="34"/>
      <c r="JTO224" s="34"/>
      <c r="JTP224" s="34"/>
      <c r="JTQ224" s="35"/>
      <c r="JTR224" s="35"/>
      <c r="JTS224" s="35"/>
      <c r="JTT224" s="35"/>
      <c r="JTU224" s="35"/>
      <c r="JTV224" s="34"/>
      <c r="JTW224" s="34"/>
      <c r="JTX224" s="36"/>
      <c r="JTY224" s="36"/>
      <c r="JTZ224" s="37"/>
      <c r="JUA224" s="37"/>
      <c r="JUB224" s="38"/>
      <c r="JUC224" s="38"/>
      <c r="JUD224" s="39"/>
      <c r="JUE224" s="34"/>
      <c r="JUF224" s="34"/>
      <c r="JUG224" s="34"/>
      <c r="JUH224" s="35"/>
      <c r="JUI224" s="35"/>
      <c r="JUJ224" s="35"/>
      <c r="JUK224" s="35"/>
      <c r="JUL224" s="35"/>
      <c r="JUM224" s="34"/>
      <c r="JUN224" s="34"/>
      <c r="JUO224" s="36"/>
      <c r="JUP224" s="36"/>
      <c r="JUQ224" s="37"/>
      <c r="JUR224" s="37"/>
      <c r="JUS224" s="38"/>
      <c r="JUT224" s="38"/>
      <c r="JUU224" s="39"/>
      <c r="JUV224" s="34"/>
      <c r="JUW224" s="34"/>
      <c r="JUX224" s="34"/>
      <c r="JUY224" s="35"/>
      <c r="JUZ224" s="35"/>
      <c r="JVA224" s="35"/>
      <c r="JVB224" s="35"/>
      <c r="JVC224" s="35"/>
      <c r="JVD224" s="34"/>
      <c r="JVE224" s="34"/>
      <c r="JVF224" s="36"/>
      <c r="JVG224" s="36"/>
      <c r="JVH224" s="37"/>
      <c r="JVI224" s="37"/>
      <c r="JVJ224" s="38"/>
      <c r="JVK224" s="38"/>
      <c r="JVL224" s="39"/>
      <c r="JVM224" s="34"/>
      <c r="JVN224" s="34"/>
      <c r="JVO224" s="34"/>
      <c r="JVP224" s="35"/>
      <c r="JVQ224" s="35"/>
      <c r="JVR224" s="35"/>
      <c r="JVS224" s="35"/>
      <c r="JVT224" s="35"/>
      <c r="JVU224" s="34"/>
      <c r="JVV224" s="34"/>
      <c r="JVW224" s="36"/>
      <c r="JVX224" s="36"/>
      <c r="JVY224" s="37"/>
      <c r="JVZ224" s="37"/>
      <c r="JWA224" s="38"/>
      <c r="JWB224" s="38"/>
      <c r="JWC224" s="39"/>
      <c r="JWD224" s="34"/>
      <c r="JWE224" s="34"/>
      <c r="JWF224" s="34"/>
      <c r="JWG224" s="35"/>
      <c r="JWH224" s="35"/>
      <c r="JWI224" s="35"/>
      <c r="JWJ224" s="35"/>
      <c r="JWK224" s="35"/>
      <c r="JWL224" s="34"/>
      <c r="JWM224" s="34"/>
      <c r="JWN224" s="36"/>
      <c r="JWO224" s="36"/>
      <c r="JWP224" s="37"/>
      <c r="JWQ224" s="37"/>
      <c r="JWR224" s="38"/>
      <c r="JWS224" s="38"/>
      <c r="JWT224" s="39"/>
      <c r="JWU224" s="34"/>
      <c r="JWV224" s="34"/>
      <c r="JWW224" s="34"/>
      <c r="JWX224" s="35"/>
      <c r="JWY224" s="35"/>
      <c r="JWZ224" s="35"/>
      <c r="JXA224" s="35"/>
      <c r="JXB224" s="35"/>
      <c r="JXC224" s="34"/>
      <c r="JXD224" s="34"/>
      <c r="JXE224" s="36"/>
      <c r="JXF224" s="36"/>
      <c r="JXG224" s="37"/>
      <c r="JXH224" s="37"/>
      <c r="JXI224" s="38"/>
      <c r="JXJ224" s="38"/>
      <c r="JXK224" s="39"/>
      <c r="JXL224" s="34"/>
      <c r="JXM224" s="34"/>
      <c r="JXN224" s="34"/>
      <c r="JXO224" s="35"/>
      <c r="JXP224" s="35"/>
      <c r="JXQ224" s="35"/>
      <c r="JXR224" s="35"/>
      <c r="JXS224" s="35"/>
      <c r="JXT224" s="34"/>
      <c r="JXU224" s="34"/>
      <c r="JXV224" s="36"/>
      <c r="JXW224" s="36"/>
      <c r="JXX224" s="37"/>
      <c r="JXY224" s="37"/>
      <c r="JXZ224" s="38"/>
      <c r="JYA224" s="38"/>
      <c r="JYB224" s="39"/>
      <c r="JYC224" s="34"/>
      <c r="JYD224" s="34"/>
      <c r="JYE224" s="34"/>
      <c r="JYF224" s="35"/>
      <c r="JYG224" s="35"/>
      <c r="JYH224" s="35"/>
      <c r="JYI224" s="35"/>
      <c r="JYJ224" s="35"/>
      <c r="JYK224" s="34"/>
      <c r="JYL224" s="34"/>
      <c r="JYM224" s="36"/>
      <c r="JYN224" s="36"/>
      <c r="JYO224" s="37"/>
      <c r="JYP224" s="37"/>
      <c r="JYQ224" s="38"/>
      <c r="JYR224" s="38"/>
      <c r="JYS224" s="39"/>
      <c r="JYT224" s="34"/>
      <c r="JYU224" s="34"/>
      <c r="JYV224" s="34"/>
      <c r="JYW224" s="35"/>
      <c r="JYX224" s="35"/>
      <c r="JYY224" s="35"/>
      <c r="JYZ224" s="35"/>
      <c r="JZA224" s="35"/>
      <c r="JZB224" s="34"/>
      <c r="JZC224" s="34"/>
      <c r="JZD224" s="36"/>
      <c r="JZE224" s="36"/>
      <c r="JZF224" s="37"/>
      <c r="JZG224" s="37"/>
      <c r="JZH224" s="38"/>
      <c r="JZI224" s="38"/>
      <c r="JZJ224" s="39"/>
      <c r="JZK224" s="34"/>
      <c r="JZL224" s="34"/>
      <c r="JZM224" s="34"/>
      <c r="JZN224" s="35"/>
      <c r="JZO224" s="35"/>
      <c r="JZP224" s="35"/>
      <c r="JZQ224" s="35"/>
      <c r="JZR224" s="35"/>
      <c r="JZS224" s="34"/>
      <c r="JZT224" s="34"/>
      <c r="JZU224" s="36"/>
      <c r="JZV224" s="36"/>
      <c r="JZW224" s="37"/>
      <c r="JZX224" s="37"/>
      <c r="JZY224" s="38"/>
      <c r="JZZ224" s="38"/>
      <c r="KAA224" s="39"/>
      <c r="KAB224" s="34"/>
      <c r="KAC224" s="34"/>
      <c r="KAD224" s="34"/>
      <c r="KAE224" s="35"/>
      <c r="KAF224" s="35"/>
      <c r="KAG224" s="35"/>
      <c r="KAH224" s="35"/>
      <c r="KAI224" s="35"/>
      <c r="KAJ224" s="34"/>
      <c r="KAK224" s="34"/>
      <c r="KAL224" s="36"/>
      <c r="KAM224" s="36"/>
      <c r="KAN224" s="37"/>
      <c r="KAO224" s="37"/>
      <c r="KAP224" s="38"/>
      <c r="KAQ224" s="38"/>
      <c r="KAR224" s="39"/>
      <c r="KAS224" s="34"/>
      <c r="KAT224" s="34"/>
      <c r="KAU224" s="34"/>
      <c r="KAV224" s="35"/>
      <c r="KAW224" s="35"/>
      <c r="KAX224" s="35"/>
      <c r="KAY224" s="35"/>
      <c r="KAZ224" s="35"/>
      <c r="KBA224" s="34"/>
      <c r="KBB224" s="34"/>
      <c r="KBC224" s="36"/>
      <c r="KBD224" s="36"/>
      <c r="KBE224" s="37"/>
      <c r="KBF224" s="37"/>
      <c r="KBG224" s="38"/>
      <c r="KBH224" s="38"/>
      <c r="KBI224" s="39"/>
      <c r="KBJ224" s="34"/>
      <c r="KBK224" s="34"/>
      <c r="KBL224" s="34"/>
      <c r="KBM224" s="35"/>
      <c r="KBN224" s="35"/>
      <c r="KBO224" s="35"/>
      <c r="KBP224" s="35"/>
      <c r="KBQ224" s="35"/>
      <c r="KBR224" s="34"/>
      <c r="KBS224" s="34"/>
      <c r="KBT224" s="36"/>
      <c r="KBU224" s="36"/>
      <c r="KBV224" s="37"/>
      <c r="KBW224" s="37"/>
      <c r="KBX224" s="38"/>
      <c r="KBY224" s="38"/>
      <c r="KBZ224" s="39"/>
      <c r="KCA224" s="34"/>
      <c r="KCB224" s="34"/>
      <c r="KCC224" s="34"/>
      <c r="KCD224" s="35"/>
      <c r="KCE224" s="35"/>
      <c r="KCF224" s="35"/>
      <c r="KCG224" s="35"/>
      <c r="KCH224" s="35"/>
      <c r="KCI224" s="34"/>
      <c r="KCJ224" s="34"/>
      <c r="KCK224" s="36"/>
      <c r="KCL224" s="36"/>
      <c r="KCM224" s="37"/>
      <c r="KCN224" s="37"/>
      <c r="KCO224" s="38"/>
      <c r="KCP224" s="38"/>
      <c r="KCQ224" s="39"/>
      <c r="KCR224" s="34"/>
      <c r="KCS224" s="34"/>
      <c r="KCT224" s="34"/>
      <c r="KCU224" s="35"/>
      <c r="KCV224" s="35"/>
      <c r="KCW224" s="35"/>
      <c r="KCX224" s="35"/>
      <c r="KCY224" s="35"/>
      <c r="KCZ224" s="34"/>
      <c r="KDA224" s="34"/>
      <c r="KDB224" s="36"/>
      <c r="KDC224" s="36"/>
      <c r="KDD224" s="37"/>
      <c r="KDE224" s="37"/>
      <c r="KDF224" s="38"/>
      <c r="KDG224" s="38"/>
      <c r="KDH224" s="39"/>
      <c r="KDI224" s="34"/>
      <c r="KDJ224" s="34"/>
      <c r="KDK224" s="34"/>
      <c r="KDL224" s="35"/>
      <c r="KDM224" s="35"/>
      <c r="KDN224" s="35"/>
      <c r="KDO224" s="35"/>
      <c r="KDP224" s="35"/>
      <c r="KDQ224" s="34"/>
      <c r="KDR224" s="34"/>
      <c r="KDS224" s="36"/>
      <c r="KDT224" s="36"/>
      <c r="KDU224" s="37"/>
      <c r="KDV224" s="37"/>
      <c r="KDW224" s="38"/>
      <c r="KDX224" s="38"/>
      <c r="KDY224" s="39"/>
      <c r="KDZ224" s="34"/>
      <c r="KEA224" s="34"/>
      <c r="KEB224" s="34"/>
      <c r="KEC224" s="35"/>
      <c r="KED224" s="35"/>
      <c r="KEE224" s="35"/>
      <c r="KEF224" s="35"/>
      <c r="KEG224" s="35"/>
      <c r="KEH224" s="34"/>
      <c r="KEI224" s="34"/>
      <c r="KEJ224" s="36"/>
      <c r="KEK224" s="36"/>
      <c r="KEL224" s="37"/>
      <c r="KEM224" s="37"/>
      <c r="KEN224" s="38"/>
      <c r="KEO224" s="38"/>
      <c r="KEP224" s="39"/>
      <c r="KEQ224" s="34"/>
      <c r="KER224" s="34"/>
      <c r="KES224" s="34"/>
      <c r="KET224" s="35"/>
      <c r="KEU224" s="35"/>
      <c r="KEV224" s="35"/>
      <c r="KEW224" s="35"/>
      <c r="KEX224" s="35"/>
      <c r="KEY224" s="34"/>
      <c r="KEZ224" s="34"/>
      <c r="KFA224" s="36"/>
      <c r="KFB224" s="36"/>
      <c r="KFC224" s="37"/>
      <c r="KFD224" s="37"/>
      <c r="KFE224" s="38"/>
      <c r="KFF224" s="38"/>
      <c r="KFG224" s="39"/>
      <c r="KFH224" s="34"/>
      <c r="KFI224" s="34"/>
      <c r="KFJ224" s="34"/>
      <c r="KFK224" s="35"/>
      <c r="KFL224" s="35"/>
      <c r="KFM224" s="35"/>
      <c r="KFN224" s="35"/>
      <c r="KFO224" s="35"/>
      <c r="KFP224" s="34"/>
      <c r="KFQ224" s="34"/>
      <c r="KFR224" s="36"/>
      <c r="KFS224" s="36"/>
      <c r="KFT224" s="37"/>
      <c r="KFU224" s="37"/>
      <c r="KFV224" s="38"/>
      <c r="KFW224" s="38"/>
      <c r="KFX224" s="39"/>
      <c r="KFY224" s="34"/>
      <c r="KFZ224" s="34"/>
      <c r="KGA224" s="34"/>
      <c r="KGB224" s="35"/>
      <c r="KGC224" s="35"/>
      <c r="KGD224" s="35"/>
      <c r="KGE224" s="35"/>
      <c r="KGF224" s="35"/>
      <c r="KGG224" s="34"/>
      <c r="KGH224" s="34"/>
      <c r="KGI224" s="36"/>
      <c r="KGJ224" s="36"/>
      <c r="KGK224" s="37"/>
      <c r="KGL224" s="37"/>
      <c r="KGM224" s="38"/>
      <c r="KGN224" s="38"/>
      <c r="KGO224" s="39"/>
      <c r="KGP224" s="34"/>
      <c r="KGQ224" s="34"/>
      <c r="KGR224" s="34"/>
      <c r="KGS224" s="35"/>
      <c r="KGT224" s="35"/>
      <c r="KGU224" s="35"/>
      <c r="KGV224" s="35"/>
      <c r="KGW224" s="35"/>
      <c r="KGX224" s="34"/>
      <c r="KGY224" s="34"/>
      <c r="KGZ224" s="36"/>
      <c r="KHA224" s="36"/>
      <c r="KHB224" s="37"/>
      <c r="KHC224" s="37"/>
      <c r="KHD224" s="38"/>
      <c r="KHE224" s="38"/>
      <c r="KHF224" s="39"/>
      <c r="KHG224" s="34"/>
      <c r="KHH224" s="34"/>
      <c r="KHI224" s="34"/>
      <c r="KHJ224" s="35"/>
      <c r="KHK224" s="35"/>
      <c r="KHL224" s="35"/>
      <c r="KHM224" s="35"/>
      <c r="KHN224" s="35"/>
      <c r="KHO224" s="34"/>
      <c r="KHP224" s="34"/>
      <c r="KHQ224" s="36"/>
      <c r="KHR224" s="36"/>
      <c r="KHS224" s="37"/>
      <c r="KHT224" s="37"/>
      <c r="KHU224" s="38"/>
      <c r="KHV224" s="38"/>
      <c r="KHW224" s="39"/>
      <c r="KHX224" s="34"/>
      <c r="KHY224" s="34"/>
      <c r="KHZ224" s="34"/>
      <c r="KIA224" s="35"/>
      <c r="KIB224" s="35"/>
      <c r="KIC224" s="35"/>
      <c r="KID224" s="35"/>
      <c r="KIE224" s="35"/>
      <c r="KIF224" s="34"/>
      <c r="KIG224" s="34"/>
      <c r="KIH224" s="36"/>
      <c r="KII224" s="36"/>
      <c r="KIJ224" s="37"/>
      <c r="KIK224" s="37"/>
      <c r="KIL224" s="38"/>
      <c r="KIM224" s="38"/>
      <c r="KIN224" s="39"/>
      <c r="KIO224" s="34"/>
      <c r="KIP224" s="34"/>
      <c r="KIQ224" s="34"/>
      <c r="KIR224" s="35"/>
      <c r="KIS224" s="35"/>
      <c r="KIT224" s="35"/>
      <c r="KIU224" s="35"/>
      <c r="KIV224" s="35"/>
      <c r="KIW224" s="34"/>
      <c r="KIX224" s="34"/>
      <c r="KIY224" s="36"/>
      <c r="KIZ224" s="36"/>
      <c r="KJA224" s="37"/>
      <c r="KJB224" s="37"/>
      <c r="KJC224" s="38"/>
      <c r="KJD224" s="38"/>
      <c r="KJE224" s="39"/>
      <c r="KJF224" s="34"/>
      <c r="KJG224" s="34"/>
      <c r="KJH224" s="34"/>
      <c r="KJI224" s="35"/>
      <c r="KJJ224" s="35"/>
      <c r="KJK224" s="35"/>
      <c r="KJL224" s="35"/>
      <c r="KJM224" s="35"/>
      <c r="KJN224" s="34"/>
      <c r="KJO224" s="34"/>
      <c r="KJP224" s="36"/>
      <c r="KJQ224" s="36"/>
      <c r="KJR224" s="37"/>
      <c r="KJS224" s="37"/>
      <c r="KJT224" s="38"/>
      <c r="KJU224" s="38"/>
      <c r="KJV224" s="39"/>
      <c r="KJW224" s="34"/>
      <c r="KJX224" s="34"/>
      <c r="KJY224" s="34"/>
      <c r="KJZ224" s="35"/>
      <c r="KKA224" s="35"/>
      <c r="KKB224" s="35"/>
      <c r="KKC224" s="35"/>
      <c r="KKD224" s="35"/>
      <c r="KKE224" s="34"/>
      <c r="KKF224" s="34"/>
      <c r="KKG224" s="36"/>
      <c r="KKH224" s="36"/>
      <c r="KKI224" s="37"/>
      <c r="KKJ224" s="37"/>
      <c r="KKK224" s="38"/>
      <c r="KKL224" s="38"/>
      <c r="KKM224" s="39"/>
      <c r="KKN224" s="34"/>
      <c r="KKO224" s="34"/>
      <c r="KKP224" s="34"/>
      <c r="KKQ224" s="35"/>
      <c r="KKR224" s="35"/>
      <c r="KKS224" s="35"/>
      <c r="KKT224" s="35"/>
      <c r="KKU224" s="35"/>
      <c r="KKV224" s="34"/>
      <c r="KKW224" s="34"/>
      <c r="KKX224" s="36"/>
      <c r="KKY224" s="36"/>
      <c r="KKZ224" s="37"/>
      <c r="KLA224" s="37"/>
      <c r="KLB224" s="38"/>
      <c r="KLC224" s="38"/>
      <c r="KLD224" s="39"/>
      <c r="KLE224" s="34"/>
      <c r="KLF224" s="34"/>
      <c r="KLG224" s="34"/>
      <c r="KLH224" s="35"/>
      <c r="KLI224" s="35"/>
      <c r="KLJ224" s="35"/>
      <c r="KLK224" s="35"/>
      <c r="KLL224" s="35"/>
      <c r="KLM224" s="34"/>
      <c r="KLN224" s="34"/>
      <c r="KLO224" s="36"/>
      <c r="KLP224" s="36"/>
      <c r="KLQ224" s="37"/>
      <c r="KLR224" s="37"/>
      <c r="KLS224" s="38"/>
      <c r="KLT224" s="38"/>
      <c r="KLU224" s="39"/>
      <c r="KLV224" s="34"/>
      <c r="KLW224" s="34"/>
      <c r="KLX224" s="34"/>
      <c r="KLY224" s="35"/>
      <c r="KLZ224" s="35"/>
      <c r="KMA224" s="35"/>
      <c r="KMB224" s="35"/>
      <c r="KMC224" s="35"/>
      <c r="KMD224" s="34"/>
      <c r="KME224" s="34"/>
      <c r="KMF224" s="36"/>
      <c r="KMG224" s="36"/>
      <c r="KMH224" s="37"/>
      <c r="KMI224" s="37"/>
      <c r="KMJ224" s="38"/>
      <c r="KMK224" s="38"/>
      <c r="KML224" s="39"/>
      <c r="KMM224" s="34"/>
      <c r="KMN224" s="34"/>
      <c r="KMO224" s="34"/>
      <c r="KMP224" s="35"/>
      <c r="KMQ224" s="35"/>
      <c r="KMR224" s="35"/>
      <c r="KMS224" s="35"/>
      <c r="KMT224" s="35"/>
      <c r="KMU224" s="34"/>
      <c r="KMV224" s="34"/>
      <c r="KMW224" s="36"/>
      <c r="KMX224" s="36"/>
      <c r="KMY224" s="37"/>
      <c r="KMZ224" s="37"/>
      <c r="KNA224" s="38"/>
      <c r="KNB224" s="38"/>
      <c r="KNC224" s="39"/>
      <c r="KND224" s="34"/>
      <c r="KNE224" s="34"/>
      <c r="KNF224" s="34"/>
      <c r="KNG224" s="35"/>
      <c r="KNH224" s="35"/>
      <c r="KNI224" s="35"/>
      <c r="KNJ224" s="35"/>
      <c r="KNK224" s="35"/>
      <c r="KNL224" s="34"/>
      <c r="KNM224" s="34"/>
      <c r="KNN224" s="36"/>
      <c r="KNO224" s="36"/>
      <c r="KNP224" s="37"/>
      <c r="KNQ224" s="37"/>
      <c r="KNR224" s="38"/>
      <c r="KNS224" s="38"/>
      <c r="KNT224" s="39"/>
      <c r="KNU224" s="34"/>
      <c r="KNV224" s="34"/>
      <c r="KNW224" s="34"/>
      <c r="KNX224" s="35"/>
      <c r="KNY224" s="35"/>
      <c r="KNZ224" s="35"/>
      <c r="KOA224" s="35"/>
      <c r="KOB224" s="35"/>
      <c r="KOC224" s="34"/>
      <c r="KOD224" s="34"/>
      <c r="KOE224" s="36"/>
      <c r="KOF224" s="36"/>
      <c r="KOG224" s="37"/>
      <c r="KOH224" s="37"/>
      <c r="KOI224" s="38"/>
      <c r="KOJ224" s="38"/>
      <c r="KOK224" s="39"/>
      <c r="KOL224" s="34"/>
      <c r="KOM224" s="34"/>
      <c r="KON224" s="34"/>
      <c r="KOO224" s="35"/>
      <c r="KOP224" s="35"/>
      <c r="KOQ224" s="35"/>
      <c r="KOR224" s="35"/>
      <c r="KOS224" s="35"/>
      <c r="KOT224" s="34"/>
      <c r="KOU224" s="34"/>
      <c r="KOV224" s="36"/>
      <c r="KOW224" s="36"/>
      <c r="KOX224" s="37"/>
      <c r="KOY224" s="37"/>
      <c r="KOZ224" s="38"/>
      <c r="KPA224" s="38"/>
      <c r="KPB224" s="39"/>
      <c r="KPC224" s="34"/>
      <c r="KPD224" s="34"/>
      <c r="KPE224" s="34"/>
      <c r="KPF224" s="35"/>
      <c r="KPG224" s="35"/>
      <c r="KPH224" s="35"/>
      <c r="KPI224" s="35"/>
      <c r="KPJ224" s="35"/>
      <c r="KPK224" s="34"/>
      <c r="KPL224" s="34"/>
      <c r="KPM224" s="36"/>
      <c r="KPN224" s="36"/>
      <c r="KPO224" s="37"/>
      <c r="KPP224" s="37"/>
      <c r="KPQ224" s="38"/>
      <c r="KPR224" s="38"/>
      <c r="KPS224" s="39"/>
      <c r="KPT224" s="34"/>
      <c r="KPU224" s="34"/>
      <c r="KPV224" s="34"/>
      <c r="KPW224" s="35"/>
      <c r="KPX224" s="35"/>
      <c r="KPY224" s="35"/>
      <c r="KPZ224" s="35"/>
      <c r="KQA224" s="35"/>
      <c r="KQB224" s="34"/>
      <c r="KQC224" s="34"/>
      <c r="KQD224" s="36"/>
      <c r="KQE224" s="36"/>
      <c r="KQF224" s="37"/>
      <c r="KQG224" s="37"/>
      <c r="KQH224" s="38"/>
      <c r="KQI224" s="38"/>
      <c r="KQJ224" s="39"/>
      <c r="KQK224" s="34"/>
      <c r="KQL224" s="34"/>
      <c r="KQM224" s="34"/>
      <c r="KQN224" s="35"/>
      <c r="KQO224" s="35"/>
      <c r="KQP224" s="35"/>
      <c r="KQQ224" s="35"/>
      <c r="KQR224" s="35"/>
      <c r="KQS224" s="34"/>
      <c r="KQT224" s="34"/>
      <c r="KQU224" s="36"/>
      <c r="KQV224" s="36"/>
      <c r="KQW224" s="37"/>
      <c r="KQX224" s="37"/>
      <c r="KQY224" s="38"/>
      <c r="KQZ224" s="38"/>
      <c r="KRA224" s="39"/>
      <c r="KRB224" s="34"/>
      <c r="KRC224" s="34"/>
      <c r="KRD224" s="34"/>
      <c r="KRE224" s="35"/>
      <c r="KRF224" s="35"/>
      <c r="KRG224" s="35"/>
      <c r="KRH224" s="35"/>
      <c r="KRI224" s="35"/>
      <c r="KRJ224" s="34"/>
      <c r="KRK224" s="34"/>
      <c r="KRL224" s="36"/>
      <c r="KRM224" s="36"/>
      <c r="KRN224" s="37"/>
      <c r="KRO224" s="37"/>
      <c r="KRP224" s="38"/>
      <c r="KRQ224" s="38"/>
      <c r="KRR224" s="39"/>
      <c r="KRS224" s="34"/>
      <c r="KRT224" s="34"/>
      <c r="KRU224" s="34"/>
      <c r="KRV224" s="35"/>
      <c r="KRW224" s="35"/>
      <c r="KRX224" s="35"/>
      <c r="KRY224" s="35"/>
      <c r="KRZ224" s="35"/>
      <c r="KSA224" s="34"/>
      <c r="KSB224" s="34"/>
      <c r="KSC224" s="36"/>
      <c r="KSD224" s="36"/>
      <c r="KSE224" s="37"/>
      <c r="KSF224" s="37"/>
      <c r="KSG224" s="38"/>
      <c r="KSH224" s="38"/>
      <c r="KSI224" s="39"/>
      <c r="KSJ224" s="34"/>
      <c r="KSK224" s="34"/>
      <c r="KSL224" s="34"/>
      <c r="KSM224" s="35"/>
      <c r="KSN224" s="35"/>
      <c r="KSO224" s="35"/>
      <c r="KSP224" s="35"/>
      <c r="KSQ224" s="35"/>
      <c r="KSR224" s="34"/>
      <c r="KSS224" s="34"/>
      <c r="KST224" s="36"/>
      <c r="KSU224" s="36"/>
      <c r="KSV224" s="37"/>
      <c r="KSW224" s="37"/>
      <c r="KSX224" s="38"/>
      <c r="KSY224" s="38"/>
      <c r="KSZ224" s="39"/>
      <c r="KTA224" s="34"/>
      <c r="KTB224" s="34"/>
      <c r="KTC224" s="34"/>
      <c r="KTD224" s="35"/>
      <c r="KTE224" s="35"/>
      <c r="KTF224" s="35"/>
      <c r="KTG224" s="35"/>
      <c r="KTH224" s="35"/>
      <c r="KTI224" s="34"/>
      <c r="KTJ224" s="34"/>
      <c r="KTK224" s="36"/>
      <c r="KTL224" s="36"/>
      <c r="KTM224" s="37"/>
      <c r="KTN224" s="37"/>
      <c r="KTO224" s="38"/>
      <c r="KTP224" s="38"/>
      <c r="KTQ224" s="39"/>
      <c r="KTR224" s="34"/>
      <c r="KTS224" s="34"/>
      <c r="KTT224" s="34"/>
      <c r="KTU224" s="35"/>
      <c r="KTV224" s="35"/>
      <c r="KTW224" s="35"/>
      <c r="KTX224" s="35"/>
      <c r="KTY224" s="35"/>
      <c r="KTZ224" s="34"/>
      <c r="KUA224" s="34"/>
      <c r="KUB224" s="36"/>
      <c r="KUC224" s="36"/>
      <c r="KUD224" s="37"/>
      <c r="KUE224" s="37"/>
      <c r="KUF224" s="38"/>
      <c r="KUG224" s="38"/>
      <c r="KUH224" s="39"/>
      <c r="KUI224" s="34"/>
      <c r="KUJ224" s="34"/>
      <c r="KUK224" s="34"/>
      <c r="KUL224" s="35"/>
      <c r="KUM224" s="35"/>
      <c r="KUN224" s="35"/>
      <c r="KUO224" s="35"/>
      <c r="KUP224" s="35"/>
      <c r="KUQ224" s="34"/>
      <c r="KUR224" s="34"/>
      <c r="KUS224" s="36"/>
      <c r="KUT224" s="36"/>
      <c r="KUU224" s="37"/>
      <c r="KUV224" s="37"/>
      <c r="KUW224" s="38"/>
      <c r="KUX224" s="38"/>
      <c r="KUY224" s="39"/>
      <c r="KUZ224" s="34"/>
      <c r="KVA224" s="34"/>
      <c r="KVB224" s="34"/>
      <c r="KVC224" s="35"/>
      <c r="KVD224" s="35"/>
      <c r="KVE224" s="35"/>
      <c r="KVF224" s="35"/>
      <c r="KVG224" s="35"/>
      <c r="KVH224" s="34"/>
      <c r="KVI224" s="34"/>
      <c r="KVJ224" s="36"/>
      <c r="KVK224" s="36"/>
      <c r="KVL224" s="37"/>
      <c r="KVM224" s="37"/>
      <c r="KVN224" s="38"/>
      <c r="KVO224" s="38"/>
      <c r="KVP224" s="39"/>
      <c r="KVQ224" s="34"/>
      <c r="KVR224" s="34"/>
      <c r="KVS224" s="34"/>
      <c r="KVT224" s="35"/>
      <c r="KVU224" s="35"/>
      <c r="KVV224" s="35"/>
      <c r="KVW224" s="35"/>
      <c r="KVX224" s="35"/>
      <c r="KVY224" s="34"/>
      <c r="KVZ224" s="34"/>
      <c r="KWA224" s="36"/>
      <c r="KWB224" s="36"/>
      <c r="KWC224" s="37"/>
      <c r="KWD224" s="37"/>
      <c r="KWE224" s="38"/>
      <c r="KWF224" s="38"/>
      <c r="KWG224" s="39"/>
      <c r="KWH224" s="34"/>
      <c r="KWI224" s="34"/>
      <c r="KWJ224" s="34"/>
      <c r="KWK224" s="35"/>
      <c r="KWL224" s="35"/>
      <c r="KWM224" s="35"/>
      <c r="KWN224" s="35"/>
      <c r="KWO224" s="35"/>
      <c r="KWP224" s="34"/>
      <c r="KWQ224" s="34"/>
      <c r="KWR224" s="36"/>
      <c r="KWS224" s="36"/>
      <c r="KWT224" s="37"/>
      <c r="KWU224" s="37"/>
      <c r="KWV224" s="38"/>
      <c r="KWW224" s="38"/>
      <c r="KWX224" s="39"/>
      <c r="KWY224" s="34"/>
      <c r="KWZ224" s="34"/>
      <c r="KXA224" s="34"/>
      <c r="KXB224" s="35"/>
      <c r="KXC224" s="35"/>
      <c r="KXD224" s="35"/>
      <c r="KXE224" s="35"/>
      <c r="KXF224" s="35"/>
      <c r="KXG224" s="34"/>
      <c r="KXH224" s="34"/>
      <c r="KXI224" s="36"/>
      <c r="KXJ224" s="36"/>
      <c r="KXK224" s="37"/>
      <c r="KXL224" s="37"/>
      <c r="KXM224" s="38"/>
      <c r="KXN224" s="38"/>
      <c r="KXO224" s="39"/>
      <c r="KXP224" s="34"/>
      <c r="KXQ224" s="34"/>
      <c r="KXR224" s="34"/>
      <c r="KXS224" s="35"/>
      <c r="KXT224" s="35"/>
      <c r="KXU224" s="35"/>
      <c r="KXV224" s="35"/>
      <c r="KXW224" s="35"/>
      <c r="KXX224" s="34"/>
      <c r="KXY224" s="34"/>
      <c r="KXZ224" s="36"/>
      <c r="KYA224" s="36"/>
      <c r="KYB224" s="37"/>
      <c r="KYC224" s="37"/>
      <c r="KYD224" s="38"/>
      <c r="KYE224" s="38"/>
      <c r="KYF224" s="39"/>
      <c r="KYG224" s="34"/>
      <c r="KYH224" s="34"/>
      <c r="KYI224" s="34"/>
      <c r="KYJ224" s="35"/>
      <c r="KYK224" s="35"/>
      <c r="KYL224" s="35"/>
      <c r="KYM224" s="35"/>
      <c r="KYN224" s="35"/>
      <c r="KYO224" s="34"/>
      <c r="KYP224" s="34"/>
      <c r="KYQ224" s="36"/>
      <c r="KYR224" s="36"/>
      <c r="KYS224" s="37"/>
      <c r="KYT224" s="37"/>
      <c r="KYU224" s="38"/>
      <c r="KYV224" s="38"/>
      <c r="KYW224" s="39"/>
      <c r="KYX224" s="34"/>
      <c r="KYY224" s="34"/>
      <c r="KYZ224" s="34"/>
      <c r="KZA224" s="35"/>
      <c r="KZB224" s="35"/>
      <c r="KZC224" s="35"/>
      <c r="KZD224" s="35"/>
      <c r="KZE224" s="35"/>
      <c r="KZF224" s="34"/>
      <c r="KZG224" s="34"/>
      <c r="KZH224" s="36"/>
      <c r="KZI224" s="36"/>
      <c r="KZJ224" s="37"/>
      <c r="KZK224" s="37"/>
      <c r="KZL224" s="38"/>
      <c r="KZM224" s="38"/>
      <c r="KZN224" s="39"/>
      <c r="KZO224" s="34"/>
      <c r="KZP224" s="34"/>
      <c r="KZQ224" s="34"/>
      <c r="KZR224" s="35"/>
      <c r="KZS224" s="35"/>
      <c r="KZT224" s="35"/>
      <c r="KZU224" s="35"/>
      <c r="KZV224" s="35"/>
      <c r="KZW224" s="34"/>
      <c r="KZX224" s="34"/>
      <c r="KZY224" s="36"/>
      <c r="KZZ224" s="36"/>
      <c r="LAA224" s="37"/>
      <c r="LAB224" s="37"/>
      <c r="LAC224" s="38"/>
      <c r="LAD224" s="38"/>
      <c r="LAE224" s="39"/>
      <c r="LAF224" s="34"/>
      <c r="LAG224" s="34"/>
      <c r="LAH224" s="34"/>
      <c r="LAI224" s="35"/>
      <c r="LAJ224" s="35"/>
      <c r="LAK224" s="35"/>
      <c r="LAL224" s="35"/>
      <c r="LAM224" s="35"/>
      <c r="LAN224" s="34"/>
      <c r="LAO224" s="34"/>
      <c r="LAP224" s="36"/>
      <c r="LAQ224" s="36"/>
      <c r="LAR224" s="37"/>
      <c r="LAS224" s="37"/>
      <c r="LAT224" s="38"/>
      <c r="LAU224" s="38"/>
      <c r="LAV224" s="39"/>
      <c r="LAW224" s="34"/>
      <c r="LAX224" s="34"/>
      <c r="LAY224" s="34"/>
      <c r="LAZ224" s="35"/>
      <c r="LBA224" s="35"/>
      <c r="LBB224" s="35"/>
      <c r="LBC224" s="35"/>
      <c r="LBD224" s="35"/>
      <c r="LBE224" s="34"/>
      <c r="LBF224" s="34"/>
      <c r="LBG224" s="36"/>
      <c r="LBH224" s="36"/>
      <c r="LBI224" s="37"/>
      <c r="LBJ224" s="37"/>
      <c r="LBK224" s="38"/>
      <c r="LBL224" s="38"/>
      <c r="LBM224" s="39"/>
      <c r="LBN224" s="34"/>
      <c r="LBO224" s="34"/>
      <c r="LBP224" s="34"/>
      <c r="LBQ224" s="35"/>
      <c r="LBR224" s="35"/>
      <c r="LBS224" s="35"/>
      <c r="LBT224" s="35"/>
      <c r="LBU224" s="35"/>
      <c r="LBV224" s="34"/>
      <c r="LBW224" s="34"/>
      <c r="LBX224" s="36"/>
      <c r="LBY224" s="36"/>
      <c r="LBZ224" s="37"/>
      <c r="LCA224" s="37"/>
      <c r="LCB224" s="38"/>
      <c r="LCC224" s="38"/>
      <c r="LCD224" s="39"/>
      <c r="LCE224" s="34"/>
      <c r="LCF224" s="34"/>
      <c r="LCG224" s="34"/>
      <c r="LCH224" s="35"/>
      <c r="LCI224" s="35"/>
      <c r="LCJ224" s="35"/>
      <c r="LCK224" s="35"/>
      <c r="LCL224" s="35"/>
      <c r="LCM224" s="34"/>
      <c r="LCN224" s="34"/>
      <c r="LCO224" s="36"/>
      <c r="LCP224" s="36"/>
      <c r="LCQ224" s="37"/>
      <c r="LCR224" s="37"/>
      <c r="LCS224" s="38"/>
      <c r="LCT224" s="38"/>
      <c r="LCU224" s="39"/>
      <c r="LCV224" s="34"/>
      <c r="LCW224" s="34"/>
      <c r="LCX224" s="34"/>
      <c r="LCY224" s="35"/>
      <c r="LCZ224" s="35"/>
      <c r="LDA224" s="35"/>
      <c r="LDB224" s="35"/>
      <c r="LDC224" s="35"/>
      <c r="LDD224" s="34"/>
      <c r="LDE224" s="34"/>
      <c r="LDF224" s="36"/>
      <c r="LDG224" s="36"/>
      <c r="LDH224" s="37"/>
      <c r="LDI224" s="37"/>
      <c r="LDJ224" s="38"/>
      <c r="LDK224" s="38"/>
      <c r="LDL224" s="39"/>
      <c r="LDM224" s="34"/>
      <c r="LDN224" s="34"/>
      <c r="LDO224" s="34"/>
      <c r="LDP224" s="35"/>
      <c r="LDQ224" s="35"/>
      <c r="LDR224" s="35"/>
      <c r="LDS224" s="35"/>
      <c r="LDT224" s="35"/>
      <c r="LDU224" s="34"/>
      <c r="LDV224" s="34"/>
      <c r="LDW224" s="36"/>
      <c r="LDX224" s="36"/>
      <c r="LDY224" s="37"/>
      <c r="LDZ224" s="37"/>
      <c r="LEA224" s="38"/>
      <c r="LEB224" s="38"/>
      <c r="LEC224" s="39"/>
      <c r="LED224" s="34"/>
      <c r="LEE224" s="34"/>
      <c r="LEF224" s="34"/>
      <c r="LEG224" s="35"/>
      <c r="LEH224" s="35"/>
      <c r="LEI224" s="35"/>
      <c r="LEJ224" s="35"/>
      <c r="LEK224" s="35"/>
      <c r="LEL224" s="34"/>
      <c r="LEM224" s="34"/>
      <c r="LEN224" s="36"/>
      <c r="LEO224" s="36"/>
      <c r="LEP224" s="37"/>
      <c r="LEQ224" s="37"/>
      <c r="LER224" s="38"/>
      <c r="LES224" s="38"/>
      <c r="LET224" s="39"/>
      <c r="LEU224" s="34"/>
      <c r="LEV224" s="34"/>
      <c r="LEW224" s="34"/>
      <c r="LEX224" s="35"/>
      <c r="LEY224" s="35"/>
      <c r="LEZ224" s="35"/>
      <c r="LFA224" s="35"/>
      <c r="LFB224" s="35"/>
      <c r="LFC224" s="34"/>
      <c r="LFD224" s="34"/>
      <c r="LFE224" s="36"/>
      <c r="LFF224" s="36"/>
      <c r="LFG224" s="37"/>
      <c r="LFH224" s="37"/>
      <c r="LFI224" s="38"/>
      <c r="LFJ224" s="38"/>
      <c r="LFK224" s="39"/>
      <c r="LFL224" s="34"/>
      <c r="LFM224" s="34"/>
      <c r="LFN224" s="34"/>
      <c r="LFO224" s="35"/>
      <c r="LFP224" s="35"/>
      <c r="LFQ224" s="35"/>
      <c r="LFR224" s="35"/>
      <c r="LFS224" s="35"/>
      <c r="LFT224" s="34"/>
      <c r="LFU224" s="34"/>
      <c r="LFV224" s="36"/>
      <c r="LFW224" s="36"/>
      <c r="LFX224" s="37"/>
      <c r="LFY224" s="37"/>
      <c r="LFZ224" s="38"/>
      <c r="LGA224" s="38"/>
      <c r="LGB224" s="39"/>
      <c r="LGC224" s="34"/>
      <c r="LGD224" s="34"/>
      <c r="LGE224" s="34"/>
      <c r="LGF224" s="35"/>
      <c r="LGG224" s="35"/>
      <c r="LGH224" s="35"/>
      <c r="LGI224" s="35"/>
      <c r="LGJ224" s="35"/>
      <c r="LGK224" s="34"/>
      <c r="LGL224" s="34"/>
      <c r="LGM224" s="36"/>
      <c r="LGN224" s="36"/>
      <c r="LGO224" s="37"/>
      <c r="LGP224" s="37"/>
      <c r="LGQ224" s="38"/>
      <c r="LGR224" s="38"/>
      <c r="LGS224" s="39"/>
      <c r="LGT224" s="34"/>
      <c r="LGU224" s="34"/>
      <c r="LGV224" s="34"/>
      <c r="LGW224" s="35"/>
      <c r="LGX224" s="35"/>
      <c r="LGY224" s="35"/>
      <c r="LGZ224" s="35"/>
      <c r="LHA224" s="35"/>
      <c r="LHB224" s="34"/>
      <c r="LHC224" s="34"/>
      <c r="LHD224" s="36"/>
      <c r="LHE224" s="36"/>
      <c r="LHF224" s="37"/>
      <c r="LHG224" s="37"/>
      <c r="LHH224" s="38"/>
      <c r="LHI224" s="38"/>
      <c r="LHJ224" s="39"/>
      <c r="LHK224" s="34"/>
      <c r="LHL224" s="34"/>
      <c r="LHM224" s="34"/>
      <c r="LHN224" s="35"/>
      <c r="LHO224" s="35"/>
      <c r="LHP224" s="35"/>
      <c r="LHQ224" s="35"/>
      <c r="LHR224" s="35"/>
      <c r="LHS224" s="34"/>
      <c r="LHT224" s="34"/>
      <c r="LHU224" s="36"/>
      <c r="LHV224" s="36"/>
      <c r="LHW224" s="37"/>
      <c r="LHX224" s="37"/>
      <c r="LHY224" s="38"/>
      <c r="LHZ224" s="38"/>
      <c r="LIA224" s="39"/>
      <c r="LIB224" s="34"/>
      <c r="LIC224" s="34"/>
      <c r="LID224" s="34"/>
      <c r="LIE224" s="35"/>
      <c r="LIF224" s="35"/>
      <c r="LIG224" s="35"/>
      <c r="LIH224" s="35"/>
      <c r="LII224" s="35"/>
      <c r="LIJ224" s="34"/>
      <c r="LIK224" s="34"/>
      <c r="LIL224" s="36"/>
      <c r="LIM224" s="36"/>
      <c r="LIN224" s="37"/>
      <c r="LIO224" s="37"/>
      <c r="LIP224" s="38"/>
      <c r="LIQ224" s="38"/>
      <c r="LIR224" s="39"/>
      <c r="LIS224" s="34"/>
      <c r="LIT224" s="34"/>
      <c r="LIU224" s="34"/>
      <c r="LIV224" s="35"/>
      <c r="LIW224" s="35"/>
      <c r="LIX224" s="35"/>
      <c r="LIY224" s="35"/>
      <c r="LIZ224" s="35"/>
      <c r="LJA224" s="34"/>
      <c r="LJB224" s="34"/>
      <c r="LJC224" s="36"/>
      <c r="LJD224" s="36"/>
      <c r="LJE224" s="37"/>
      <c r="LJF224" s="37"/>
      <c r="LJG224" s="38"/>
      <c r="LJH224" s="38"/>
      <c r="LJI224" s="39"/>
      <c r="LJJ224" s="34"/>
      <c r="LJK224" s="34"/>
      <c r="LJL224" s="34"/>
      <c r="LJM224" s="35"/>
      <c r="LJN224" s="35"/>
      <c r="LJO224" s="35"/>
      <c r="LJP224" s="35"/>
      <c r="LJQ224" s="35"/>
      <c r="LJR224" s="34"/>
      <c r="LJS224" s="34"/>
      <c r="LJT224" s="36"/>
      <c r="LJU224" s="36"/>
      <c r="LJV224" s="37"/>
      <c r="LJW224" s="37"/>
      <c r="LJX224" s="38"/>
      <c r="LJY224" s="38"/>
      <c r="LJZ224" s="39"/>
      <c r="LKA224" s="34"/>
      <c r="LKB224" s="34"/>
      <c r="LKC224" s="34"/>
      <c r="LKD224" s="35"/>
      <c r="LKE224" s="35"/>
      <c r="LKF224" s="35"/>
      <c r="LKG224" s="35"/>
      <c r="LKH224" s="35"/>
      <c r="LKI224" s="34"/>
      <c r="LKJ224" s="34"/>
      <c r="LKK224" s="36"/>
      <c r="LKL224" s="36"/>
      <c r="LKM224" s="37"/>
      <c r="LKN224" s="37"/>
      <c r="LKO224" s="38"/>
      <c r="LKP224" s="38"/>
      <c r="LKQ224" s="39"/>
      <c r="LKR224" s="34"/>
      <c r="LKS224" s="34"/>
      <c r="LKT224" s="34"/>
      <c r="LKU224" s="35"/>
      <c r="LKV224" s="35"/>
      <c r="LKW224" s="35"/>
      <c r="LKX224" s="35"/>
      <c r="LKY224" s="35"/>
      <c r="LKZ224" s="34"/>
      <c r="LLA224" s="34"/>
      <c r="LLB224" s="36"/>
      <c r="LLC224" s="36"/>
      <c r="LLD224" s="37"/>
      <c r="LLE224" s="37"/>
      <c r="LLF224" s="38"/>
      <c r="LLG224" s="38"/>
      <c r="LLH224" s="39"/>
      <c r="LLI224" s="34"/>
      <c r="LLJ224" s="34"/>
      <c r="LLK224" s="34"/>
      <c r="LLL224" s="35"/>
      <c r="LLM224" s="35"/>
      <c r="LLN224" s="35"/>
      <c r="LLO224" s="35"/>
      <c r="LLP224" s="35"/>
      <c r="LLQ224" s="34"/>
      <c r="LLR224" s="34"/>
      <c r="LLS224" s="36"/>
      <c r="LLT224" s="36"/>
      <c r="LLU224" s="37"/>
      <c r="LLV224" s="37"/>
      <c r="LLW224" s="38"/>
      <c r="LLX224" s="38"/>
      <c r="LLY224" s="39"/>
      <c r="LLZ224" s="34"/>
      <c r="LMA224" s="34"/>
      <c r="LMB224" s="34"/>
      <c r="LMC224" s="35"/>
      <c r="LMD224" s="35"/>
      <c r="LME224" s="35"/>
      <c r="LMF224" s="35"/>
      <c r="LMG224" s="35"/>
      <c r="LMH224" s="34"/>
      <c r="LMI224" s="34"/>
      <c r="LMJ224" s="36"/>
      <c r="LMK224" s="36"/>
      <c r="LML224" s="37"/>
      <c r="LMM224" s="37"/>
      <c r="LMN224" s="38"/>
      <c r="LMO224" s="38"/>
      <c r="LMP224" s="39"/>
      <c r="LMQ224" s="34"/>
      <c r="LMR224" s="34"/>
      <c r="LMS224" s="34"/>
      <c r="LMT224" s="35"/>
      <c r="LMU224" s="35"/>
      <c r="LMV224" s="35"/>
      <c r="LMW224" s="35"/>
      <c r="LMX224" s="35"/>
      <c r="LMY224" s="34"/>
      <c r="LMZ224" s="34"/>
      <c r="LNA224" s="36"/>
      <c r="LNB224" s="36"/>
      <c r="LNC224" s="37"/>
      <c r="LND224" s="37"/>
      <c r="LNE224" s="38"/>
      <c r="LNF224" s="38"/>
      <c r="LNG224" s="39"/>
      <c r="LNH224" s="34"/>
      <c r="LNI224" s="34"/>
      <c r="LNJ224" s="34"/>
      <c r="LNK224" s="35"/>
      <c r="LNL224" s="35"/>
      <c r="LNM224" s="35"/>
      <c r="LNN224" s="35"/>
      <c r="LNO224" s="35"/>
      <c r="LNP224" s="34"/>
      <c r="LNQ224" s="34"/>
      <c r="LNR224" s="36"/>
      <c r="LNS224" s="36"/>
      <c r="LNT224" s="37"/>
      <c r="LNU224" s="37"/>
      <c r="LNV224" s="38"/>
      <c r="LNW224" s="38"/>
      <c r="LNX224" s="39"/>
      <c r="LNY224" s="34"/>
      <c r="LNZ224" s="34"/>
      <c r="LOA224" s="34"/>
      <c r="LOB224" s="35"/>
      <c r="LOC224" s="35"/>
      <c r="LOD224" s="35"/>
      <c r="LOE224" s="35"/>
      <c r="LOF224" s="35"/>
      <c r="LOG224" s="34"/>
      <c r="LOH224" s="34"/>
      <c r="LOI224" s="36"/>
      <c r="LOJ224" s="36"/>
      <c r="LOK224" s="37"/>
      <c r="LOL224" s="37"/>
      <c r="LOM224" s="38"/>
      <c r="LON224" s="38"/>
      <c r="LOO224" s="39"/>
      <c r="LOP224" s="34"/>
      <c r="LOQ224" s="34"/>
      <c r="LOR224" s="34"/>
      <c r="LOS224" s="35"/>
      <c r="LOT224" s="35"/>
      <c r="LOU224" s="35"/>
      <c r="LOV224" s="35"/>
      <c r="LOW224" s="35"/>
      <c r="LOX224" s="34"/>
      <c r="LOY224" s="34"/>
      <c r="LOZ224" s="36"/>
      <c r="LPA224" s="36"/>
      <c r="LPB224" s="37"/>
      <c r="LPC224" s="37"/>
      <c r="LPD224" s="38"/>
      <c r="LPE224" s="38"/>
      <c r="LPF224" s="39"/>
      <c r="LPG224" s="34"/>
      <c r="LPH224" s="34"/>
      <c r="LPI224" s="34"/>
      <c r="LPJ224" s="35"/>
      <c r="LPK224" s="35"/>
      <c r="LPL224" s="35"/>
      <c r="LPM224" s="35"/>
      <c r="LPN224" s="35"/>
      <c r="LPO224" s="34"/>
      <c r="LPP224" s="34"/>
      <c r="LPQ224" s="36"/>
      <c r="LPR224" s="36"/>
      <c r="LPS224" s="37"/>
      <c r="LPT224" s="37"/>
      <c r="LPU224" s="38"/>
      <c r="LPV224" s="38"/>
      <c r="LPW224" s="39"/>
      <c r="LPX224" s="34"/>
      <c r="LPY224" s="34"/>
      <c r="LPZ224" s="34"/>
      <c r="LQA224" s="35"/>
      <c r="LQB224" s="35"/>
      <c r="LQC224" s="35"/>
      <c r="LQD224" s="35"/>
      <c r="LQE224" s="35"/>
      <c r="LQF224" s="34"/>
      <c r="LQG224" s="34"/>
      <c r="LQH224" s="36"/>
      <c r="LQI224" s="36"/>
      <c r="LQJ224" s="37"/>
      <c r="LQK224" s="37"/>
      <c r="LQL224" s="38"/>
      <c r="LQM224" s="38"/>
      <c r="LQN224" s="39"/>
      <c r="LQO224" s="34"/>
      <c r="LQP224" s="34"/>
      <c r="LQQ224" s="34"/>
      <c r="LQR224" s="35"/>
      <c r="LQS224" s="35"/>
      <c r="LQT224" s="35"/>
      <c r="LQU224" s="35"/>
      <c r="LQV224" s="35"/>
      <c r="LQW224" s="34"/>
      <c r="LQX224" s="34"/>
      <c r="LQY224" s="36"/>
      <c r="LQZ224" s="36"/>
      <c r="LRA224" s="37"/>
      <c r="LRB224" s="37"/>
      <c r="LRC224" s="38"/>
      <c r="LRD224" s="38"/>
      <c r="LRE224" s="39"/>
      <c r="LRF224" s="34"/>
      <c r="LRG224" s="34"/>
      <c r="LRH224" s="34"/>
      <c r="LRI224" s="35"/>
      <c r="LRJ224" s="35"/>
      <c r="LRK224" s="35"/>
      <c r="LRL224" s="35"/>
      <c r="LRM224" s="35"/>
      <c r="LRN224" s="34"/>
      <c r="LRO224" s="34"/>
      <c r="LRP224" s="36"/>
      <c r="LRQ224" s="36"/>
      <c r="LRR224" s="37"/>
      <c r="LRS224" s="37"/>
      <c r="LRT224" s="38"/>
      <c r="LRU224" s="38"/>
      <c r="LRV224" s="39"/>
      <c r="LRW224" s="34"/>
      <c r="LRX224" s="34"/>
      <c r="LRY224" s="34"/>
      <c r="LRZ224" s="35"/>
      <c r="LSA224" s="35"/>
      <c r="LSB224" s="35"/>
      <c r="LSC224" s="35"/>
      <c r="LSD224" s="35"/>
      <c r="LSE224" s="34"/>
      <c r="LSF224" s="34"/>
      <c r="LSG224" s="36"/>
      <c r="LSH224" s="36"/>
      <c r="LSI224" s="37"/>
      <c r="LSJ224" s="37"/>
      <c r="LSK224" s="38"/>
      <c r="LSL224" s="38"/>
      <c r="LSM224" s="39"/>
      <c r="LSN224" s="34"/>
      <c r="LSO224" s="34"/>
      <c r="LSP224" s="34"/>
      <c r="LSQ224" s="35"/>
      <c r="LSR224" s="35"/>
      <c r="LSS224" s="35"/>
      <c r="LST224" s="35"/>
      <c r="LSU224" s="35"/>
      <c r="LSV224" s="34"/>
      <c r="LSW224" s="34"/>
      <c r="LSX224" s="36"/>
      <c r="LSY224" s="36"/>
      <c r="LSZ224" s="37"/>
      <c r="LTA224" s="37"/>
      <c r="LTB224" s="38"/>
      <c r="LTC224" s="38"/>
      <c r="LTD224" s="39"/>
      <c r="LTE224" s="34"/>
      <c r="LTF224" s="34"/>
      <c r="LTG224" s="34"/>
      <c r="LTH224" s="35"/>
      <c r="LTI224" s="35"/>
      <c r="LTJ224" s="35"/>
      <c r="LTK224" s="35"/>
      <c r="LTL224" s="35"/>
      <c r="LTM224" s="34"/>
      <c r="LTN224" s="34"/>
      <c r="LTO224" s="36"/>
      <c r="LTP224" s="36"/>
      <c r="LTQ224" s="37"/>
      <c r="LTR224" s="37"/>
      <c r="LTS224" s="38"/>
      <c r="LTT224" s="38"/>
      <c r="LTU224" s="39"/>
      <c r="LTV224" s="34"/>
      <c r="LTW224" s="34"/>
      <c r="LTX224" s="34"/>
      <c r="LTY224" s="35"/>
      <c r="LTZ224" s="35"/>
      <c r="LUA224" s="35"/>
      <c r="LUB224" s="35"/>
      <c r="LUC224" s="35"/>
      <c r="LUD224" s="34"/>
      <c r="LUE224" s="34"/>
      <c r="LUF224" s="36"/>
      <c r="LUG224" s="36"/>
      <c r="LUH224" s="37"/>
      <c r="LUI224" s="37"/>
      <c r="LUJ224" s="38"/>
      <c r="LUK224" s="38"/>
      <c r="LUL224" s="39"/>
      <c r="LUM224" s="34"/>
      <c r="LUN224" s="34"/>
      <c r="LUO224" s="34"/>
      <c r="LUP224" s="35"/>
      <c r="LUQ224" s="35"/>
      <c r="LUR224" s="35"/>
      <c r="LUS224" s="35"/>
      <c r="LUT224" s="35"/>
      <c r="LUU224" s="34"/>
      <c r="LUV224" s="34"/>
      <c r="LUW224" s="36"/>
      <c r="LUX224" s="36"/>
      <c r="LUY224" s="37"/>
      <c r="LUZ224" s="37"/>
      <c r="LVA224" s="38"/>
      <c r="LVB224" s="38"/>
      <c r="LVC224" s="39"/>
      <c r="LVD224" s="34"/>
      <c r="LVE224" s="34"/>
      <c r="LVF224" s="34"/>
      <c r="LVG224" s="35"/>
      <c r="LVH224" s="35"/>
      <c r="LVI224" s="35"/>
      <c r="LVJ224" s="35"/>
      <c r="LVK224" s="35"/>
      <c r="LVL224" s="34"/>
      <c r="LVM224" s="34"/>
      <c r="LVN224" s="36"/>
      <c r="LVO224" s="36"/>
      <c r="LVP224" s="37"/>
      <c r="LVQ224" s="37"/>
      <c r="LVR224" s="38"/>
      <c r="LVS224" s="38"/>
      <c r="LVT224" s="39"/>
      <c r="LVU224" s="34"/>
      <c r="LVV224" s="34"/>
      <c r="LVW224" s="34"/>
      <c r="LVX224" s="35"/>
      <c r="LVY224" s="35"/>
      <c r="LVZ224" s="35"/>
      <c r="LWA224" s="35"/>
      <c r="LWB224" s="35"/>
      <c r="LWC224" s="34"/>
      <c r="LWD224" s="34"/>
      <c r="LWE224" s="36"/>
      <c r="LWF224" s="36"/>
      <c r="LWG224" s="37"/>
      <c r="LWH224" s="37"/>
      <c r="LWI224" s="38"/>
      <c r="LWJ224" s="38"/>
      <c r="LWK224" s="39"/>
      <c r="LWL224" s="34"/>
      <c r="LWM224" s="34"/>
      <c r="LWN224" s="34"/>
      <c r="LWO224" s="35"/>
      <c r="LWP224" s="35"/>
      <c r="LWQ224" s="35"/>
      <c r="LWR224" s="35"/>
      <c r="LWS224" s="35"/>
      <c r="LWT224" s="34"/>
      <c r="LWU224" s="34"/>
      <c r="LWV224" s="36"/>
      <c r="LWW224" s="36"/>
      <c r="LWX224" s="37"/>
      <c r="LWY224" s="37"/>
      <c r="LWZ224" s="38"/>
      <c r="LXA224" s="38"/>
      <c r="LXB224" s="39"/>
      <c r="LXC224" s="34"/>
      <c r="LXD224" s="34"/>
      <c r="LXE224" s="34"/>
      <c r="LXF224" s="35"/>
      <c r="LXG224" s="35"/>
      <c r="LXH224" s="35"/>
      <c r="LXI224" s="35"/>
      <c r="LXJ224" s="35"/>
      <c r="LXK224" s="34"/>
      <c r="LXL224" s="34"/>
      <c r="LXM224" s="36"/>
      <c r="LXN224" s="36"/>
      <c r="LXO224" s="37"/>
      <c r="LXP224" s="37"/>
      <c r="LXQ224" s="38"/>
      <c r="LXR224" s="38"/>
      <c r="LXS224" s="39"/>
      <c r="LXT224" s="34"/>
      <c r="LXU224" s="34"/>
      <c r="LXV224" s="34"/>
      <c r="LXW224" s="35"/>
      <c r="LXX224" s="35"/>
      <c r="LXY224" s="35"/>
      <c r="LXZ224" s="35"/>
      <c r="LYA224" s="35"/>
      <c r="LYB224" s="34"/>
      <c r="LYC224" s="34"/>
      <c r="LYD224" s="36"/>
      <c r="LYE224" s="36"/>
      <c r="LYF224" s="37"/>
      <c r="LYG224" s="37"/>
      <c r="LYH224" s="38"/>
      <c r="LYI224" s="38"/>
      <c r="LYJ224" s="39"/>
      <c r="LYK224" s="34"/>
      <c r="LYL224" s="34"/>
      <c r="LYM224" s="34"/>
      <c r="LYN224" s="35"/>
      <c r="LYO224" s="35"/>
      <c r="LYP224" s="35"/>
      <c r="LYQ224" s="35"/>
      <c r="LYR224" s="35"/>
      <c r="LYS224" s="34"/>
      <c r="LYT224" s="34"/>
      <c r="LYU224" s="36"/>
      <c r="LYV224" s="36"/>
      <c r="LYW224" s="37"/>
      <c r="LYX224" s="37"/>
      <c r="LYY224" s="38"/>
      <c r="LYZ224" s="38"/>
      <c r="LZA224" s="39"/>
      <c r="LZB224" s="34"/>
      <c r="LZC224" s="34"/>
      <c r="LZD224" s="34"/>
      <c r="LZE224" s="35"/>
      <c r="LZF224" s="35"/>
      <c r="LZG224" s="35"/>
      <c r="LZH224" s="35"/>
      <c r="LZI224" s="35"/>
      <c r="LZJ224" s="34"/>
      <c r="LZK224" s="34"/>
      <c r="LZL224" s="36"/>
      <c r="LZM224" s="36"/>
      <c r="LZN224" s="37"/>
      <c r="LZO224" s="37"/>
      <c r="LZP224" s="38"/>
      <c r="LZQ224" s="38"/>
      <c r="LZR224" s="39"/>
      <c r="LZS224" s="34"/>
      <c r="LZT224" s="34"/>
      <c r="LZU224" s="34"/>
      <c r="LZV224" s="35"/>
      <c r="LZW224" s="35"/>
      <c r="LZX224" s="35"/>
      <c r="LZY224" s="35"/>
      <c r="LZZ224" s="35"/>
      <c r="MAA224" s="34"/>
      <c r="MAB224" s="34"/>
      <c r="MAC224" s="36"/>
      <c r="MAD224" s="36"/>
      <c r="MAE224" s="37"/>
      <c r="MAF224" s="37"/>
      <c r="MAG224" s="38"/>
      <c r="MAH224" s="38"/>
      <c r="MAI224" s="39"/>
      <c r="MAJ224" s="34"/>
      <c r="MAK224" s="34"/>
      <c r="MAL224" s="34"/>
      <c r="MAM224" s="35"/>
      <c r="MAN224" s="35"/>
      <c r="MAO224" s="35"/>
      <c r="MAP224" s="35"/>
      <c r="MAQ224" s="35"/>
      <c r="MAR224" s="34"/>
      <c r="MAS224" s="34"/>
      <c r="MAT224" s="36"/>
      <c r="MAU224" s="36"/>
      <c r="MAV224" s="37"/>
      <c r="MAW224" s="37"/>
      <c r="MAX224" s="38"/>
      <c r="MAY224" s="38"/>
      <c r="MAZ224" s="39"/>
      <c r="MBA224" s="34"/>
      <c r="MBB224" s="34"/>
      <c r="MBC224" s="34"/>
      <c r="MBD224" s="35"/>
      <c r="MBE224" s="35"/>
      <c r="MBF224" s="35"/>
      <c r="MBG224" s="35"/>
      <c r="MBH224" s="35"/>
      <c r="MBI224" s="34"/>
      <c r="MBJ224" s="34"/>
      <c r="MBK224" s="36"/>
      <c r="MBL224" s="36"/>
      <c r="MBM224" s="37"/>
      <c r="MBN224" s="37"/>
      <c r="MBO224" s="38"/>
      <c r="MBP224" s="38"/>
      <c r="MBQ224" s="39"/>
      <c r="MBR224" s="34"/>
      <c r="MBS224" s="34"/>
      <c r="MBT224" s="34"/>
      <c r="MBU224" s="35"/>
      <c r="MBV224" s="35"/>
      <c r="MBW224" s="35"/>
      <c r="MBX224" s="35"/>
      <c r="MBY224" s="35"/>
      <c r="MBZ224" s="34"/>
      <c r="MCA224" s="34"/>
      <c r="MCB224" s="36"/>
      <c r="MCC224" s="36"/>
      <c r="MCD224" s="37"/>
      <c r="MCE224" s="37"/>
      <c r="MCF224" s="38"/>
      <c r="MCG224" s="38"/>
      <c r="MCH224" s="39"/>
      <c r="MCI224" s="34"/>
      <c r="MCJ224" s="34"/>
      <c r="MCK224" s="34"/>
      <c r="MCL224" s="35"/>
      <c r="MCM224" s="35"/>
      <c r="MCN224" s="35"/>
      <c r="MCO224" s="35"/>
      <c r="MCP224" s="35"/>
      <c r="MCQ224" s="34"/>
      <c r="MCR224" s="34"/>
      <c r="MCS224" s="36"/>
      <c r="MCT224" s="36"/>
      <c r="MCU224" s="37"/>
      <c r="MCV224" s="37"/>
      <c r="MCW224" s="38"/>
      <c r="MCX224" s="38"/>
      <c r="MCY224" s="39"/>
      <c r="MCZ224" s="34"/>
      <c r="MDA224" s="34"/>
      <c r="MDB224" s="34"/>
      <c r="MDC224" s="35"/>
      <c r="MDD224" s="35"/>
      <c r="MDE224" s="35"/>
      <c r="MDF224" s="35"/>
      <c r="MDG224" s="35"/>
      <c r="MDH224" s="34"/>
      <c r="MDI224" s="34"/>
      <c r="MDJ224" s="36"/>
      <c r="MDK224" s="36"/>
      <c r="MDL224" s="37"/>
      <c r="MDM224" s="37"/>
      <c r="MDN224" s="38"/>
      <c r="MDO224" s="38"/>
      <c r="MDP224" s="39"/>
      <c r="MDQ224" s="34"/>
      <c r="MDR224" s="34"/>
      <c r="MDS224" s="34"/>
      <c r="MDT224" s="35"/>
      <c r="MDU224" s="35"/>
      <c r="MDV224" s="35"/>
      <c r="MDW224" s="35"/>
      <c r="MDX224" s="35"/>
      <c r="MDY224" s="34"/>
      <c r="MDZ224" s="34"/>
      <c r="MEA224" s="36"/>
      <c r="MEB224" s="36"/>
      <c r="MEC224" s="37"/>
      <c r="MED224" s="37"/>
      <c r="MEE224" s="38"/>
      <c r="MEF224" s="38"/>
      <c r="MEG224" s="39"/>
      <c r="MEH224" s="34"/>
      <c r="MEI224" s="34"/>
      <c r="MEJ224" s="34"/>
      <c r="MEK224" s="35"/>
      <c r="MEL224" s="35"/>
      <c r="MEM224" s="35"/>
      <c r="MEN224" s="35"/>
      <c r="MEO224" s="35"/>
      <c r="MEP224" s="34"/>
      <c r="MEQ224" s="34"/>
      <c r="MER224" s="36"/>
      <c r="MES224" s="36"/>
      <c r="MET224" s="37"/>
      <c r="MEU224" s="37"/>
      <c r="MEV224" s="38"/>
      <c r="MEW224" s="38"/>
      <c r="MEX224" s="39"/>
      <c r="MEY224" s="34"/>
      <c r="MEZ224" s="34"/>
      <c r="MFA224" s="34"/>
      <c r="MFB224" s="35"/>
      <c r="MFC224" s="35"/>
      <c r="MFD224" s="35"/>
      <c r="MFE224" s="35"/>
      <c r="MFF224" s="35"/>
      <c r="MFG224" s="34"/>
      <c r="MFH224" s="34"/>
      <c r="MFI224" s="36"/>
      <c r="MFJ224" s="36"/>
      <c r="MFK224" s="37"/>
      <c r="MFL224" s="37"/>
      <c r="MFM224" s="38"/>
      <c r="MFN224" s="38"/>
      <c r="MFO224" s="39"/>
      <c r="MFP224" s="34"/>
      <c r="MFQ224" s="34"/>
      <c r="MFR224" s="34"/>
      <c r="MFS224" s="35"/>
      <c r="MFT224" s="35"/>
      <c r="MFU224" s="35"/>
      <c r="MFV224" s="35"/>
      <c r="MFW224" s="35"/>
      <c r="MFX224" s="34"/>
      <c r="MFY224" s="34"/>
      <c r="MFZ224" s="36"/>
      <c r="MGA224" s="36"/>
      <c r="MGB224" s="37"/>
      <c r="MGC224" s="37"/>
      <c r="MGD224" s="38"/>
      <c r="MGE224" s="38"/>
      <c r="MGF224" s="39"/>
      <c r="MGG224" s="34"/>
      <c r="MGH224" s="34"/>
      <c r="MGI224" s="34"/>
      <c r="MGJ224" s="35"/>
      <c r="MGK224" s="35"/>
      <c r="MGL224" s="35"/>
      <c r="MGM224" s="35"/>
      <c r="MGN224" s="35"/>
      <c r="MGO224" s="34"/>
      <c r="MGP224" s="34"/>
      <c r="MGQ224" s="36"/>
      <c r="MGR224" s="36"/>
      <c r="MGS224" s="37"/>
      <c r="MGT224" s="37"/>
      <c r="MGU224" s="38"/>
      <c r="MGV224" s="38"/>
      <c r="MGW224" s="39"/>
      <c r="MGX224" s="34"/>
      <c r="MGY224" s="34"/>
      <c r="MGZ224" s="34"/>
      <c r="MHA224" s="35"/>
      <c r="MHB224" s="35"/>
      <c r="MHC224" s="35"/>
      <c r="MHD224" s="35"/>
      <c r="MHE224" s="35"/>
      <c r="MHF224" s="34"/>
      <c r="MHG224" s="34"/>
      <c r="MHH224" s="36"/>
      <c r="MHI224" s="36"/>
      <c r="MHJ224" s="37"/>
      <c r="MHK224" s="37"/>
      <c r="MHL224" s="38"/>
      <c r="MHM224" s="38"/>
      <c r="MHN224" s="39"/>
      <c r="MHO224" s="34"/>
      <c r="MHP224" s="34"/>
      <c r="MHQ224" s="34"/>
      <c r="MHR224" s="35"/>
      <c r="MHS224" s="35"/>
      <c r="MHT224" s="35"/>
      <c r="MHU224" s="35"/>
      <c r="MHV224" s="35"/>
      <c r="MHW224" s="34"/>
      <c r="MHX224" s="34"/>
      <c r="MHY224" s="36"/>
      <c r="MHZ224" s="36"/>
      <c r="MIA224" s="37"/>
      <c r="MIB224" s="37"/>
      <c r="MIC224" s="38"/>
      <c r="MID224" s="38"/>
      <c r="MIE224" s="39"/>
      <c r="MIF224" s="34"/>
      <c r="MIG224" s="34"/>
      <c r="MIH224" s="34"/>
      <c r="MII224" s="35"/>
      <c r="MIJ224" s="35"/>
      <c r="MIK224" s="35"/>
      <c r="MIL224" s="35"/>
      <c r="MIM224" s="35"/>
      <c r="MIN224" s="34"/>
      <c r="MIO224" s="34"/>
      <c r="MIP224" s="36"/>
      <c r="MIQ224" s="36"/>
      <c r="MIR224" s="37"/>
      <c r="MIS224" s="37"/>
      <c r="MIT224" s="38"/>
      <c r="MIU224" s="38"/>
      <c r="MIV224" s="39"/>
      <c r="MIW224" s="34"/>
      <c r="MIX224" s="34"/>
      <c r="MIY224" s="34"/>
      <c r="MIZ224" s="35"/>
      <c r="MJA224" s="35"/>
      <c r="MJB224" s="35"/>
      <c r="MJC224" s="35"/>
      <c r="MJD224" s="35"/>
      <c r="MJE224" s="34"/>
      <c r="MJF224" s="34"/>
      <c r="MJG224" s="36"/>
      <c r="MJH224" s="36"/>
      <c r="MJI224" s="37"/>
      <c r="MJJ224" s="37"/>
      <c r="MJK224" s="38"/>
      <c r="MJL224" s="38"/>
      <c r="MJM224" s="39"/>
      <c r="MJN224" s="34"/>
      <c r="MJO224" s="34"/>
      <c r="MJP224" s="34"/>
      <c r="MJQ224" s="35"/>
      <c r="MJR224" s="35"/>
      <c r="MJS224" s="35"/>
      <c r="MJT224" s="35"/>
      <c r="MJU224" s="35"/>
      <c r="MJV224" s="34"/>
      <c r="MJW224" s="34"/>
      <c r="MJX224" s="36"/>
      <c r="MJY224" s="36"/>
      <c r="MJZ224" s="37"/>
      <c r="MKA224" s="37"/>
      <c r="MKB224" s="38"/>
      <c r="MKC224" s="38"/>
      <c r="MKD224" s="39"/>
      <c r="MKE224" s="34"/>
      <c r="MKF224" s="34"/>
      <c r="MKG224" s="34"/>
      <c r="MKH224" s="35"/>
      <c r="MKI224" s="35"/>
      <c r="MKJ224" s="35"/>
      <c r="MKK224" s="35"/>
      <c r="MKL224" s="35"/>
      <c r="MKM224" s="34"/>
      <c r="MKN224" s="34"/>
      <c r="MKO224" s="36"/>
      <c r="MKP224" s="36"/>
      <c r="MKQ224" s="37"/>
      <c r="MKR224" s="37"/>
      <c r="MKS224" s="38"/>
      <c r="MKT224" s="38"/>
      <c r="MKU224" s="39"/>
      <c r="MKV224" s="34"/>
      <c r="MKW224" s="34"/>
      <c r="MKX224" s="34"/>
      <c r="MKY224" s="35"/>
      <c r="MKZ224" s="35"/>
      <c r="MLA224" s="35"/>
      <c r="MLB224" s="35"/>
      <c r="MLC224" s="35"/>
      <c r="MLD224" s="34"/>
      <c r="MLE224" s="34"/>
      <c r="MLF224" s="36"/>
      <c r="MLG224" s="36"/>
      <c r="MLH224" s="37"/>
      <c r="MLI224" s="37"/>
      <c r="MLJ224" s="38"/>
      <c r="MLK224" s="38"/>
      <c r="MLL224" s="39"/>
      <c r="MLM224" s="34"/>
      <c r="MLN224" s="34"/>
      <c r="MLO224" s="34"/>
      <c r="MLP224" s="35"/>
      <c r="MLQ224" s="35"/>
      <c r="MLR224" s="35"/>
      <c r="MLS224" s="35"/>
      <c r="MLT224" s="35"/>
      <c r="MLU224" s="34"/>
      <c r="MLV224" s="34"/>
      <c r="MLW224" s="36"/>
      <c r="MLX224" s="36"/>
      <c r="MLY224" s="37"/>
      <c r="MLZ224" s="37"/>
      <c r="MMA224" s="38"/>
      <c r="MMB224" s="38"/>
      <c r="MMC224" s="39"/>
      <c r="MMD224" s="34"/>
      <c r="MME224" s="34"/>
      <c r="MMF224" s="34"/>
      <c r="MMG224" s="35"/>
      <c r="MMH224" s="35"/>
      <c r="MMI224" s="35"/>
      <c r="MMJ224" s="35"/>
      <c r="MMK224" s="35"/>
      <c r="MML224" s="34"/>
      <c r="MMM224" s="34"/>
      <c r="MMN224" s="36"/>
      <c r="MMO224" s="36"/>
      <c r="MMP224" s="37"/>
      <c r="MMQ224" s="37"/>
      <c r="MMR224" s="38"/>
      <c r="MMS224" s="38"/>
      <c r="MMT224" s="39"/>
      <c r="MMU224" s="34"/>
      <c r="MMV224" s="34"/>
      <c r="MMW224" s="34"/>
      <c r="MMX224" s="35"/>
      <c r="MMY224" s="35"/>
      <c r="MMZ224" s="35"/>
      <c r="MNA224" s="35"/>
      <c r="MNB224" s="35"/>
      <c r="MNC224" s="34"/>
      <c r="MND224" s="34"/>
      <c r="MNE224" s="36"/>
      <c r="MNF224" s="36"/>
      <c r="MNG224" s="37"/>
      <c r="MNH224" s="37"/>
      <c r="MNI224" s="38"/>
      <c r="MNJ224" s="38"/>
      <c r="MNK224" s="39"/>
      <c r="MNL224" s="34"/>
      <c r="MNM224" s="34"/>
      <c r="MNN224" s="34"/>
      <c r="MNO224" s="35"/>
      <c r="MNP224" s="35"/>
      <c r="MNQ224" s="35"/>
      <c r="MNR224" s="35"/>
      <c r="MNS224" s="35"/>
      <c r="MNT224" s="34"/>
      <c r="MNU224" s="34"/>
      <c r="MNV224" s="36"/>
      <c r="MNW224" s="36"/>
      <c r="MNX224" s="37"/>
      <c r="MNY224" s="37"/>
      <c r="MNZ224" s="38"/>
      <c r="MOA224" s="38"/>
      <c r="MOB224" s="39"/>
      <c r="MOC224" s="34"/>
      <c r="MOD224" s="34"/>
      <c r="MOE224" s="34"/>
      <c r="MOF224" s="35"/>
      <c r="MOG224" s="35"/>
      <c r="MOH224" s="35"/>
      <c r="MOI224" s="35"/>
      <c r="MOJ224" s="35"/>
      <c r="MOK224" s="34"/>
      <c r="MOL224" s="34"/>
      <c r="MOM224" s="36"/>
      <c r="MON224" s="36"/>
      <c r="MOO224" s="37"/>
      <c r="MOP224" s="37"/>
      <c r="MOQ224" s="38"/>
      <c r="MOR224" s="38"/>
      <c r="MOS224" s="39"/>
      <c r="MOT224" s="34"/>
      <c r="MOU224" s="34"/>
      <c r="MOV224" s="34"/>
      <c r="MOW224" s="35"/>
      <c r="MOX224" s="35"/>
      <c r="MOY224" s="35"/>
      <c r="MOZ224" s="35"/>
      <c r="MPA224" s="35"/>
      <c r="MPB224" s="34"/>
      <c r="MPC224" s="34"/>
      <c r="MPD224" s="36"/>
      <c r="MPE224" s="36"/>
      <c r="MPF224" s="37"/>
      <c r="MPG224" s="37"/>
      <c r="MPH224" s="38"/>
      <c r="MPI224" s="38"/>
      <c r="MPJ224" s="39"/>
      <c r="MPK224" s="34"/>
      <c r="MPL224" s="34"/>
      <c r="MPM224" s="34"/>
      <c r="MPN224" s="35"/>
      <c r="MPO224" s="35"/>
      <c r="MPP224" s="35"/>
      <c r="MPQ224" s="35"/>
      <c r="MPR224" s="35"/>
      <c r="MPS224" s="34"/>
      <c r="MPT224" s="34"/>
      <c r="MPU224" s="36"/>
      <c r="MPV224" s="36"/>
      <c r="MPW224" s="37"/>
      <c r="MPX224" s="37"/>
      <c r="MPY224" s="38"/>
      <c r="MPZ224" s="38"/>
      <c r="MQA224" s="39"/>
      <c r="MQB224" s="34"/>
      <c r="MQC224" s="34"/>
      <c r="MQD224" s="34"/>
      <c r="MQE224" s="35"/>
      <c r="MQF224" s="35"/>
      <c r="MQG224" s="35"/>
      <c r="MQH224" s="35"/>
      <c r="MQI224" s="35"/>
      <c r="MQJ224" s="34"/>
      <c r="MQK224" s="34"/>
      <c r="MQL224" s="36"/>
      <c r="MQM224" s="36"/>
      <c r="MQN224" s="37"/>
      <c r="MQO224" s="37"/>
      <c r="MQP224" s="38"/>
      <c r="MQQ224" s="38"/>
      <c r="MQR224" s="39"/>
      <c r="MQS224" s="34"/>
      <c r="MQT224" s="34"/>
      <c r="MQU224" s="34"/>
      <c r="MQV224" s="35"/>
      <c r="MQW224" s="35"/>
      <c r="MQX224" s="35"/>
      <c r="MQY224" s="35"/>
      <c r="MQZ224" s="35"/>
      <c r="MRA224" s="34"/>
      <c r="MRB224" s="34"/>
      <c r="MRC224" s="36"/>
      <c r="MRD224" s="36"/>
      <c r="MRE224" s="37"/>
      <c r="MRF224" s="37"/>
      <c r="MRG224" s="38"/>
      <c r="MRH224" s="38"/>
      <c r="MRI224" s="39"/>
      <c r="MRJ224" s="34"/>
      <c r="MRK224" s="34"/>
      <c r="MRL224" s="34"/>
      <c r="MRM224" s="35"/>
      <c r="MRN224" s="35"/>
      <c r="MRO224" s="35"/>
      <c r="MRP224" s="35"/>
      <c r="MRQ224" s="35"/>
      <c r="MRR224" s="34"/>
      <c r="MRS224" s="34"/>
      <c r="MRT224" s="36"/>
      <c r="MRU224" s="36"/>
      <c r="MRV224" s="37"/>
      <c r="MRW224" s="37"/>
      <c r="MRX224" s="38"/>
      <c r="MRY224" s="38"/>
      <c r="MRZ224" s="39"/>
      <c r="MSA224" s="34"/>
      <c r="MSB224" s="34"/>
      <c r="MSC224" s="34"/>
      <c r="MSD224" s="35"/>
      <c r="MSE224" s="35"/>
      <c r="MSF224" s="35"/>
      <c r="MSG224" s="35"/>
      <c r="MSH224" s="35"/>
      <c r="MSI224" s="34"/>
      <c r="MSJ224" s="34"/>
      <c r="MSK224" s="36"/>
      <c r="MSL224" s="36"/>
      <c r="MSM224" s="37"/>
      <c r="MSN224" s="37"/>
      <c r="MSO224" s="38"/>
      <c r="MSP224" s="38"/>
      <c r="MSQ224" s="39"/>
      <c r="MSR224" s="34"/>
      <c r="MSS224" s="34"/>
      <c r="MST224" s="34"/>
      <c r="MSU224" s="35"/>
      <c r="MSV224" s="35"/>
      <c r="MSW224" s="35"/>
      <c r="MSX224" s="35"/>
      <c r="MSY224" s="35"/>
      <c r="MSZ224" s="34"/>
      <c r="MTA224" s="34"/>
      <c r="MTB224" s="36"/>
      <c r="MTC224" s="36"/>
      <c r="MTD224" s="37"/>
      <c r="MTE224" s="37"/>
      <c r="MTF224" s="38"/>
      <c r="MTG224" s="38"/>
      <c r="MTH224" s="39"/>
      <c r="MTI224" s="34"/>
      <c r="MTJ224" s="34"/>
      <c r="MTK224" s="34"/>
      <c r="MTL224" s="35"/>
      <c r="MTM224" s="35"/>
      <c r="MTN224" s="35"/>
      <c r="MTO224" s="35"/>
      <c r="MTP224" s="35"/>
      <c r="MTQ224" s="34"/>
      <c r="MTR224" s="34"/>
      <c r="MTS224" s="36"/>
      <c r="MTT224" s="36"/>
      <c r="MTU224" s="37"/>
      <c r="MTV224" s="37"/>
      <c r="MTW224" s="38"/>
      <c r="MTX224" s="38"/>
      <c r="MTY224" s="39"/>
      <c r="MTZ224" s="34"/>
      <c r="MUA224" s="34"/>
      <c r="MUB224" s="34"/>
      <c r="MUC224" s="35"/>
      <c r="MUD224" s="35"/>
      <c r="MUE224" s="35"/>
      <c r="MUF224" s="35"/>
      <c r="MUG224" s="35"/>
      <c r="MUH224" s="34"/>
      <c r="MUI224" s="34"/>
      <c r="MUJ224" s="36"/>
      <c r="MUK224" s="36"/>
      <c r="MUL224" s="37"/>
      <c r="MUM224" s="37"/>
      <c r="MUN224" s="38"/>
      <c r="MUO224" s="38"/>
      <c r="MUP224" s="39"/>
      <c r="MUQ224" s="34"/>
      <c r="MUR224" s="34"/>
      <c r="MUS224" s="34"/>
      <c r="MUT224" s="35"/>
      <c r="MUU224" s="35"/>
      <c r="MUV224" s="35"/>
      <c r="MUW224" s="35"/>
      <c r="MUX224" s="35"/>
      <c r="MUY224" s="34"/>
      <c r="MUZ224" s="34"/>
      <c r="MVA224" s="36"/>
      <c r="MVB224" s="36"/>
      <c r="MVC224" s="37"/>
      <c r="MVD224" s="37"/>
      <c r="MVE224" s="38"/>
      <c r="MVF224" s="38"/>
      <c r="MVG224" s="39"/>
      <c r="MVH224" s="34"/>
      <c r="MVI224" s="34"/>
      <c r="MVJ224" s="34"/>
      <c r="MVK224" s="35"/>
      <c r="MVL224" s="35"/>
      <c r="MVM224" s="35"/>
      <c r="MVN224" s="35"/>
      <c r="MVO224" s="35"/>
      <c r="MVP224" s="34"/>
      <c r="MVQ224" s="34"/>
      <c r="MVR224" s="36"/>
      <c r="MVS224" s="36"/>
      <c r="MVT224" s="37"/>
      <c r="MVU224" s="37"/>
      <c r="MVV224" s="38"/>
      <c r="MVW224" s="38"/>
      <c r="MVX224" s="39"/>
      <c r="MVY224" s="34"/>
      <c r="MVZ224" s="34"/>
      <c r="MWA224" s="34"/>
      <c r="MWB224" s="35"/>
      <c r="MWC224" s="35"/>
      <c r="MWD224" s="35"/>
      <c r="MWE224" s="35"/>
      <c r="MWF224" s="35"/>
      <c r="MWG224" s="34"/>
      <c r="MWH224" s="34"/>
      <c r="MWI224" s="36"/>
      <c r="MWJ224" s="36"/>
      <c r="MWK224" s="37"/>
      <c r="MWL224" s="37"/>
      <c r="MWM224" s="38"/>
      <c r="MWN224" s="38"/>
      <c r="MWO224" s="39"/>
      <c r="MWP224" s="34"/>
      <c r="MWQ224" s="34"/>
      <c r="MWR224" s="34"/>
      <c r="MWS224" s="35"/>
      <c r="MWT224" s="35"/>
      <c r="MWU224" s="35"/>
      <c r="MWV224" s="35"/>
      <c r="MWW224" s="35"/>
      <c r="MWX224" s="34"/>
      <c r="MWY224" s="34"/>
      <c r="MWZ224" s="36"/>
      <c r="MXA224" s="36"/>
      <c r="MXB224" s="37"/>
      <c r="MXC224" s="37"/>
      <c r="MXD224" s="38"/>
      <c r="MXE224" s="38"/>
      <c r="MXF224" s="39"/>
      <c r="MXG224" s="34"/>
      <c r="MXH224" s="34"/>
      <c r="MXI224" s="34"/>
      <c r="MXJ224" s="35"/>
      <c r="MXK224" s="35"/>
      <c r="MXL224" s="35"/>
      <c r="MXM224" s="35"/>
      <c r="MXN224" s="35"/>
      <c r="MXO224" s="34"/>
      <c r="MXP224" s="34"/>
      <c r="MXQ224" s="36"/>
      <c r="MXR224" s="36"/>
      <c r="MXS224" s="37"/>
      <c r="MXT224" s="37"/>
      <c r="MXU224" s="38"/>
      <c r="MXV224" s="38"/>
      <c r="MXW224" s="39"/>
      <c r="MXX224" s="34"/>
      <c r="MXY224" s="34"/>
      <c r="MXZ224" s="34"/>
      <c r="MYA224" s="35"/>
      <c r="MYB224" s="35"/>
      <c r="MYC224" s="35"/>
      <c r="MYD224" s="35"/>
      <c r="MYE224" s="35"/>
      <c r="MYF224" s="34"/>
      <c r="MYG224" s="34"/>
      <c r="MYH224" s="36"/>
      <c r="MYI224" s="36"/>
      <c r="MYJ224" s="37"/>
      <c r="MYK224" s="37"/>
      <c r="MYL224" s="38"/>
      <c r="MYM224" s="38"/>
      <c r="MYN224" s="39"/>
      <c r="MYO224" s="34"/>
      <c r="MYP224" s="34"/>
      <c r="MYQ224" s="34"/>
      <c r="MYR224" s="35"/>
      <c r="MYS224" s="35"/>
      <c r="MYT224" s="35"/>
      <c r="MYU224" s="35"/>
      <c r="MYV224" s="35"/>
      <c r="MYW224" s="34"/>
      <c r="MYX224" s="34"/>
      <c r="MYY224" s="36"/>
      <c r="MYZ224" s="36"/>
      <c r="MZA224" s="37"/>
      <c r="MZB224" s="37"/>
      <c r="MZC224" s="38"/>
      <c r="MZD224" s="38"/>
      <c r="MZE224" s="39"/>
      <c r="MZF224" s="34"/>
      <c r="MZG224" s="34"/>
      <c r="MZH224" s="34"/>
      <c r="MZI224" s="35"/>
      <c r="MZJ224" s="35"/>
      <c r="MZK224" s="35"/>
      <c r="MZL224" s="35"/>
      <c r="MZM224" s="35"/>
      <c r="MZN224" s="34"/>
      <c r="MZO224" s="34"/>
      <c r="MZP224" s="36"/>
      <c r="MZQ224" s="36"/>
      <c r="MZR224" s="37"/>
      <c r="MZS224" s="37"/>
      <c r="MZT224" s="38"/>
      <c r="MZU224" s="38"/>
      <c r="MZV224" s="39"/>
      <c r="MZW224" s="34"/>
      <c r="MZX224" s="34"/>
      <c r="MZY224" s="34"/>
      <c r="MZZ224" s="35"/>
      <c r="NAA224" s="35"/>
      <c r="NAB224" s="35"/>
      <c r="NAC224" s="35"/>
      <c r="NAD224" s="35"/>
      <c r="NAE224" s="34"/>
      <c r="NAF224" s="34"/>
      <c r="NAG224" s="36"/>
      <c r="NAH224" s="36"/>
      <c r="NAI224" s="37"/>
      <c r="NAJ224" s="37"/>
      <c r="NAK224" s="38"/>
      <c r="NAL224" s="38"/>
      <c r="NAM224" s="39"/>
      <c r="NAN224" s="34"/>
      <c r="NAO224" s="34"/>
      <c r="NAP224" s="34"/>
      <c r="NAQ224" s="35"/>
      <c r="NAR224" s="35"/>
      <c r="NAS224" s="35"/>
      <c r="NAT224" s="35"/>
      <c r="NAU224" s="35"/>
      <c r="NAV224" s="34"/>
      <c r="NAW224" s="34"/>
      <c r="NAX224" s="36"/>
      <c r="NAY224" s="36"/>
      <c r="NAZ224" s="37"/>
      <c r="NBA224" s="37"/>
      <c r="NBB224" s="38"/>
      <c r="NBC224" s="38"/>
      <c r="NBD224" s="39"/>
      <c r="NBE224" s="34"/>
      <c r="NBF224" s="34"/>
      <c r="NBG224" s="34"/>
      <c r="NBH224" s="35"/>
      <c r="NBI224" s="35"/>
      <c r="NBJ224" s="35"/>
      <c r="NBK224" s="35"/>
      <c r="NBL224" s="35"/>
      <c r="NBM224" s="34"/>
      <c r="NBN224" s="34"/>
      <c r="NBO224" s="36"/>
      <c r="NBP224" s="36"/>
      <c r="NBQ224" s="37"/>
      <c r="NBR224" s="37"/>
      <c r="NBS224" s="38"/>
      <c r="NBT224" s="38"/>
      <c r="NBU224" s="39"/>
      <c r="NBV224" s="34"/>
      <c r="NBW224" s="34"/>
      <c r="NBX224" s="34"/>
      <c r="NBY224" s="35"/>
      <c r="NBZ224" s="35"/>
      <c r="NCA224" s="35"/>
      <c r="NCB224" s="35"/>
      <c r="NCC224" s="35"/>
      <c r="NCD224" s="34"/>
      <c r="NCE224" s="34"/>
      <c r="NCF224" s="36"/>
      <c r="NCG224" s="36"/>
      <c r="NCH224" s="37"/>
      <c r="NCI224" s="37"/>
      <c r="NCJ224" s="38"/>
      <c r="NCK224" s="38"/>
      <c r="NCL224" s="39"/>
      <c r="NCM224" s="34"/>
      <c r="NCN224" s="34"/>
      <c r="NCO224" s="34"/>
      <c r="NCP224" s="35"/>
      <c r="NCQ224" s="35"/>
      <c r="NCR224" s="35"/>
      <c r="NCS224" s="35"/>
      <c r="NCT224" s="35"/>
      <c r="NCU224" s="34"/>
      <c r="NCV224" s="34"/>
      <c r="NCW224" s="36"/>
      <c r="NCX224" s="36"/>
      <c r="NCY224" s="37"/>
      <c r="NCZ224" s="37"/>
      <c r="NDA224" s="38"/>
      <c r="NDB224" s="38"/>
      <c r="NDC224" s="39"/>
      <c r="NDD224" s="34"/>
      <c r="NDE224" s="34"/>
      <c r="NDF224" s="34"/>
      <c r="NDG224" s="35"/>
      <c r="NDH224" s="35"/>
      <c r="NDI224" s="35"/>
      <c r="NDJ224" s="35"/>
      <c r="NDK224" s="35"/>
      <c r="NDL224" s="34"/>
      <c r="NDM224" s="34"/>
      <c r="NDN224" s="36"/>
      <c r="NDO224" s="36"/>
      <c r="NDP224" s="37"/>
      <c r="NDQ224" s="37"/>
      <c r="NDR224" s="38"/>
      <c r="NDS224" s="38"/>
      <c r="NDT224" s="39"/>
      <c r="NDU224" s="34"/>
      <c r="NDV224" s="34"/>
      <c r="NDW224" s="34"/>
      <c r="NDX224" s="35"/>
      <c r="NDY224" s="35"/>
      <c r="NDZ224" s="35"/>
      <c r="NEA224" s="35"/>
      <c r="NEB224" s="35"/>
      <c r="NEC224" s="34"/>
      <c r="NED224" s="34"/>
      <c r="NEE224" s="36"/>
      <c r="NEF224" s="36"/>
      <c r="NEG224" s="37"/>
      <c r="NEH224" s="37"/>
      <c r="NEI224" s="38"/>
      <c r="NEJ224" s="38"/>
      <c r="NEK224" s="39"/>
      <c r="NEL224" s="34"/>
      <c r="NEM224" s="34"/>
      <c r="NEN224" s="34"/>
      <c r="NEO224" s="35"/>
      <c r="NEP224" s="35"/>
      <c r="NEQ224" s="35"/>
      <c r="NER224" s="35"/>
      <c r="NES224" s="35"/>
      <c r="NET224" s="34"/>
      <c r="NEU224" s="34"/>
      <c r="NEV224" s="36"/>
      <c r="NEW224" s="36"/>
      <c r="NEX224" s="37"/>
      <c r="NEY224" s="37"/>
      <c r="NEZ224" s="38"/>
      <c r="NFA224" s="38"/>
      <c r="NFB224" s="39"/>
      <c r="NFC224" s="34"/>
      <c r="NFD224" s="34"/>
      <c r="NFE224" s="34"/>
      <c r="NFF224" s="35"/>
      <c r="NFG224" s="35"/>
      <c r="NFH224" s="35"/>
      <c r="NFI224" s="35"/>
      <c r="NFJ224" s="35"/>
      <c r="NFK224" s="34"/>
      <c r="NFL224" s="34"/>
      <c r="NFM224" s="36"/>
      <c r="NFN224" s="36"/>
      <c r="NFO224" s="37"/>
      <c r="NFP224" s="37"/>
      <c r="NFQ224" s="38"/>
      <c r="NFR224" s="38"/>
      <c r="NFS224" s="39"/>
      <c r="NFT224" s="34"/>
      <c r="NFU224" s="34"/>
      <c r="NFV224" s="34"/>
      <c r="NFW224" s="35"/>
      <c r="NFX224" s="35"/>
      <c r="NFY224" s="35"/>
      <c r="NFZ224" s="35"/>
      <c r="NGA224" s="35"/>
      <c r="NGB224" s="34"/>
      <c r="NGC224" s="34"/>
      <c r="NGD224" s="36"/>
      <c r="NGE224" s="36"/>
      <c r="NGF224" s="37"/>
      <c r="NGG224" s="37"/>
      <c r="NGH224" s="38"/>
      <c r="NGI224" s="38"/>
      <c r="NGJ224" s="39"/>
      <c r="NGK224" s="34"/>
      <c r="NGL224" s="34"/>
      <c r="NGM224" s="34"/>
      <c r="NGN224" s="35"/>
      <c r="NGO224" s="35"/>
      <c r="NGP224" s="35"/>
      <c r="NGQ224" s="35"/>
      <c r="NGR224" s="35"/>
      <c r="NGS224" s="34"/>
      <c r="NGT224" s="34"/>
      <c r="NGU224" s="36"/>
      <c r="NGV224" s="36"/>
      <c r="NGW224" s="37"/>
      <c r="NGX224" s="37"/>
      <c r="NGY224" s="38"/>
      <c r="NGZ224" s="38"/>
      <c r="NHA224" s="39"/>
      <c r="NHB224" s="34"/>
      <c r="NHC224" s="34"/>
      <c r="NHD224" s="34"/>
      <c r="NHE224" s="35"/>
      <c r="NHF224" s="35"/>
      <c r="NHG224" s="35"/>
      <c r="NHH224" s="35"/>
      <c r="NHI224" s="35"/>
      <c r="NHJ224" s="34"/>
      <c r="NHK224" s="34"/>
      <c r="NHL224" s="36"/>
      <c r="NHM224" s="36"/>
      <c r="NHN224" s="37"/>
      <c r="NHO224" s="37"/>
      <c r="NHP224" s="38"/>
      <c r="NHQ224" s="38"/>
      <c r="NHR224" s="39"/>
      <c r="NHS224" s="34"/>
      <c r="NHT224" s="34"/>
      <c r="NHU224" s="34"/>
      <c r="NHV224" s="35"/>
      <c r="NHW224" s="35"/>
      <c r="NHX224" s="35"/>
      <c r="NHY224" s="35"/>
      <c r="NHZ224" s="35"/>
      <c r="NIA224" s="34"/>
      <c r="NIB224" s="34"/>
      <c r="NIC224" s="36"/>
      <c r="NID224" s="36"/>
      <c r="NIE224" s="37"/>
      <c r="NIF224" s="37"/>
      <c r="NIG224" s="38"/>
      <c r="NIH224" s="38"/>
      <c r="NII224" s="39"/>
      <c r="NIJ224" s="34"/>
      <c r="NIK224" s="34"/>
      <c r="NIL224" s="34"/>
      <c r="NIM224" s="35"/>
      <c r="NIN224" s="35"/>
      <c r="NIO224" s="35"/>
      <c r="NIP224" s="35"/>
      <c r="NIQ224" s="35"/>
      <c r="NIR224" s="34"/>
      <c r="NIS224" s="34"/>
      <c r="NIT224" s="36"/>
      <c r="NIU224" s="36"/>
      <c r="NIV224" s="37"/>
      <c r="NIW224" s="37"/>
      <c r="NIX224" s="38"/>
      <c r="NIY224" s="38"/>
      <c r="NIZ224" s="39"/>
      <c r="NJA224" s="34"/>
      <c r="NJB224" s="34"/>
      <c r="NJC224" s="34"/>
      <c r="NJD224" s="35"/>
      <c r="NJE224" s="35"/>
      <c r="NJF224" s="35"/>
      <c r="NJG224" s="35"/>
      <c r="NJH224" s="35"/>
      <c r="NJI224" s="34"/>
      <c r="NJJ224" s="34"/>
      <c r="NJK224" s="36"/>
      <c r="NJL224" s="36"/>
      <c r="NJM224" s="37"/>
      <c r="NJN224" s="37"/>
      <c r="NJO224" s="38"/>
      <c r="NJP224" s="38"/>
      <c r="NJQ224" s="39"/>
      <c r="NJR224" s="34"/>
      <c r="NJS224" s="34"/>
      <c r="NJT224" s="34"/>
      <c r="NJU224" s="35"/>
      <c r="NJV224" s="35"/>
      <c r="NJW224" s="35"/>
      <c r="NJX224" s="35"/>
      <c r="NJY224" s="35"/>
      <c r="NJZ224" s="34"/>
      <c r="NKA224" s="34"/>
      <c r="NKB224" s="36"/>
      <c r="NKC224" s="36"/>
      <c r="NKD224" s="37"/>
      <c r="NKE224" s="37"/>
      <c r="NKF224" s="38"/>
      <c r="NKG224" s="38"/>
      <c r="NKH224" s="39"/>
      <c r="NKI224" s="34"/>
      <c r="NKJ224" s="34"/>
      <c r="NKK224" s="34"/>
      <c r="NKL224" s="35"/>
      <c r="NKM224" s="35"/>
      <c r="NKN224" s="35"/>
      <c r="NKO224" s="35"/>
      <c r="NKP224" s="35"/>
      <c r="NKQ224" s="34"/>
      <c r="NKR224" s="34"/>
      <c r="NKS224" s="36"/>
      <c r="NKT224" s="36"/>
      <c r="NKU224" s="37"/>
      <c r="NKV224" s="37"/>
      <c r="NKW224" s="38"/>
      <c r="NKX224" s="38"/>
      <c r="NKY224" s="39"/>
      <c r="NKZ224" s="34"/>
      <c r="NLA224" s="34"/>
      <c r="NLB224" s="34"/>
      <c r="NLC224" s="35"/>
      <c r="NLD224" s="35"/>
      <c r="NLE224" s="35"/>
      <c r="NLF224" s="35"/>
      <c r="NLG224" s="35"/>
      <c r="NLH224" s="34"/>
      <c r="NLI224" s="34"/>
      <c r="NLJ224" s="36"/>
      <c r="NLK224" s="36"/>
      <c r="NLL224" s="37"/>
      <c r="NLM224" s="37"/>
      <c r="NLN224" s="38"/>
      <c r="NLO224" s="38"/>
      <c r="NLP224" s="39"/>
      <c r="NLQ224" s="34"/>
      <c r="NLR224" s="34"/>
      <c r="NLS224" s="34"/>
      <c r="NLT224" s="35"/>
      <c r="NLU224" s="35"/>
      <c r="NLV224" s="35"/>
      <c r="NLW224" s="35"/>
      <c r="NLX224" s="35"/>
      <c r="NLY224" s="34"/>
      <c r="NLZ224" s="34"/>
      <c r="NMA224" s="36"/>
      <c r="NMB224" s="36"/>
      <c r="NMC224" s="37"/>
      <c r="NMD224" s="37"/>
      <c r="NME224" s="38"/>
      <c r="NMF224" s="38"/>
      <c r="NMG224" s="39"/>
      <c r="NMH224" s="34"/>
      <c r="NMI224" s="34"/>
      <c r="NMJ224" s="34"/>
      <c r="NMK224" s="35"/>
      <c r="NML224" s="35"/>
      <c r="NMM224" s="35"/>
      <c r="NMN224" s="35"/>
      <c r="NMO224" s="35"/>
      <c r="NMP224" s="34"/>
      <c r="NMQ224" s="34"/>
      <c r="NMR224" s="36"/>
      <c r="NMS224" s="36"/>
      <c r="NMT224" s="37"/>
      <c r="NMU224" s="37"/>
      <c r="NMV224" s="38"/>
      <c r="NMW224" s="38"/>
      <c r="NMX224" s="39"/>
      <c r="NMY224" s="34"/>
      <c r="NMZ224" s="34"/>
      <c r="NNA224" s="34"/>
      <c r="NNB224" s="35"/>
      <c r="NNC224" s="35"/>
      <c r="NND224" s="35"/>
      <c r="NNE224" s="35"/>
      <c r="NNF224" s="35"/>
      <c r="NNG224" s="34"/>
      <c r="NNH224" s="34"/>
      <c r="NNI224" s="36"/>
      <c r="NNJ224" s="36"/>
      <c r="NNK224" s="37"/>
      <c r="NNL224" s="37"/>
      <c r="NNM224" s="38"/>
      <c r="NNN224" s="38"/>
      <c r="NNO224" s="39"/>
      <c r="NNP224" s="34"/>
      <c r="NNQ224" s="34"/>
      <c r="NNR224" s="34"/>
      <c r="NNS224" s="35"/>
      <c r="NNT224" s="35"/>
      <c r="NNU224" s="35"/>
      <c r="NNV224" s="35"/>
      <c r="NNW224" s="35"/>
      <c r="NNX224" s="34"/>
      <c r="NNY224" s="34"/>
      <c r="NNZ224" s="36"/>
      <c r="NOA224" s="36"/>
      <c r="NOB224" s="37"/>
      <c r="NOC224" s="37"/>
      <c r="NOD224" s="38"/>
      <c r="NOE224" s="38"/>
      <c r="NOF224" s="39"/>
      <c r="NOG224" s="34"/>
      <c r="NOH224" s="34"/>
      <c r="NOI224" s="34"/>
      <c r="NOJ224" s="35"/>
      <c r="NOK224" s="35"/>
      <c r="NOL224" s="35"/>
      <c r="NOM224" s="35"/>
      <c r="NON224" s="35"/>
      <c r="NOO224" s="34"/>
      <c r="NOP224" s="34"/>
      <c r="NOQ224" s="36"/>
      <c r="NOR224" s="36"/>
      <c r="NOS224" s="37"/>
      <c r="NOT224" s="37"/>
      <c r="NOU224" s="38"/>
      <c r="NOV224" s="38"/>
      <c r="NOW224" s="39"/>
      <c r="NOX224" s="34"/>
      <c r="NOY224" s="34"/>
      <c r="NOZ224" s="34"/>
      <c r="NPA224" s="35"/>
      <c r="NPB224" s="35"/>
      <c r="NPC224" s="35"/>
      <c r="NPD224" s="35"/>
      <c r="NPE224" s="35"/>
      <c r="NPF224" s="34"/>
      <c r="NPG224" s="34"/>
      <c r="NPH224" s="36"/>
      <c r="NPI224" s="36"/>
      <c r="NPJ224" s="37"/>
      <c r="NPK224" s="37"/>
      <c r="NPL224" s="38"/>
      <c r="NPM224" s="38"/>
      <c r="NPN224" s="39"/>
      <c r="NPO224" s="34"/>
      <c r="NPP224" s="34"/>
      <c r="NPQ224" s="34"/>
      <c r="NPR224" s="35"/>
      <c r="NPS224" s="35"/>
      <c r="NPT224" s="35"/>
      <c r="NPU224" s="35"/>
      <c r="NPV224" s="35"/>
      <c r="NPW224" s="34"/>
      <c r="NPX224" s="34"/>
      <c r="NPY224" s="36"/>
      <c r="NPZ224" s="36"/>
      <c r="NQA224" s="37"/>
      <c r="NQB224" s="37"/>
      <c r="NQC224" s="38"/>
      <c r="NQD224" s="38"/>
      <c r="NQE224" s="39"/>
      <c r="NQF224" s="34"/>
      <c r="NQG224" s="34"/>
      <c r="NQH224" s="34"/>
      <c r="NQI224" s="35"/>
      <c r="NQJ224" s="35"/>
      <c r="NQK224" s="35"/>
      <c r="NQL224" s="35"/>
      <c r="NQM224" s="35"/>
      <c r="NQN224" s="34"/>
      <c r="NQO224" s="34"/>
      <c r="NQP224" s="36"/>
      <c r="NQQ224" s="36"/>
      <c r="NQR224" s="37"/>
      <c r="NQS224" s="37"/>
      <c r="NQT224" s="38"/>
      <c r="NQU224" s="38"/>
      <c r="NQV224" s="39"/>
      <c r="NQW224" s="34"/>
      <c r="NQX224" s="34"/>
      <c r="NQY224" s="34"/>
      <c r="NQZ224" s="35"/>
      <c r="NRA224" s="35"/>
      <c r="NRB224" s="35"/>
      <c r="NRC224" s="35"/>
      <c r="NRD224" s="35"/>
      <c r="NRE224" s="34"/>
      <c r="NRF224" s="34"/>
      <c r="NRG224" s="36"/>
      <c r="NRH224" s="36"/>
      <c r="NRI224" s="37"/>
      <c r="NRJ224" s="37"/>
      <c r="NRK224" s="38"/>
      <c r="NRL224" s="38"/>
      <c r="NRM224" s="39"/>
      <c r="NRN224" s="34"/>
      <c r="NRO224" s="34"/>
      <c r="NRP224" s="34"/>
      <c r="NRQ224" s="35"/>
      <c r="NRR224" s="35"/>
      <c r="NRS224" s="35"/>
      <c r="NRT224" s="35"/>
      <c r="NRU224" s="35"/>
      <c r="NRV224" s="34"/>
      <c r="NRW224" s="34"/>
      <c r="NRX224" s="36"/>
      <c r="NRY224" s="36"/>
      <c r="NRZ224" s="37"/>
      <c r="NSA224" s="37"/>
      <c r="NSB224" s="38"/>
      <c r="NSC224" s="38"/>
      <c r="NSD224" s="39"/>
      <c r="NSE224" s="34"/>
      <c r="NSF224" s="34"/>
      <c r="NSG224" s="34"/>
      <c r="NSH224" s="35"/>
      <c r="NSI224" s="35"/>
      <c r="NSJ224" s="35"/>
      <c r="NSK224" s="35"/>
      <c r="NSL224" s="35"/>
      <c r="NSM224" s="34"/>
      <c r="NSN224" s="34"/>
      <c r="NSO224" s="36"/>
      <c r="NSP224" s="36"/>
      <c r="NSQ224" s="37"/>
      <c r="NSR224" s="37"/>
      <c r="NSS224" s="38"/>
      <c r="NST224" s="38"/>
      <c r="NSU224" s="39"/>
      <c r="NSV224" s="34"/>
      <c r="NSW224" s="34"/>
      <c r="NSX224" s="34"/>
      <c r="NSY224" s="35"/>
      <c r="NSZ224" s="35"/>
      <c r="NTA224" s="35"/>
      <c r="NTB224" s="35"/>
      <c r="NTC224" s="35"/>
      <c r="NTD224" s="34"/>
      <c r="NTE224" s="34"/>
      <c r="NTF224" s="36"/>
      <c r="NTG224" s="36"/>
      <c r="NTH224" s="37"/>
      <c r="NTI224" s="37"/>
      <c r="NTJ224" s="38"/>
      <c r="NTK224" s="38"/>
      <c r="NTL224" s="39"/>
      <c r="NTM224" s="34"/>
      <c r="NTN224" s="34"/>
      <c r="NTO224" s="34"/>
      <c r="NTP224" s="35"/>
      <c r="NTQ224" s="35"/>
      <c r="NTR224" s="35"/>
      <c r="NTS224" s="35"/>
      <c r="NTT224" s="35"/>
      <c r="NTU224" s="34"/>
      <c r="NTV224" s="34"/>
      <c r="NTW224" s="36"/>
      <c r="NTX224" s="36"/>
      <c r="NTY224" s="37"/>
      <c r="NTZ224" s="37"/>
      <c r="NUA224" s="38"/>
      <c r="NUB224" s="38"/>
      <c r="NUC224" s="39"/>
      <c r="NUD224" s="34"/>
      <c r="NUE224" s="34"/>
      <c r="NUF224" s="34"/>
      <c r="NUG224" s="35"/>
      <c r="NUH224" s="35"/>
      <c r="NUI224" s="35"/>
      <c r="NUJ224" s="35"/>
      <c r="NUK224" s="35"/>
      <c r="NUL224" s="34"/>
      <c r="NUM224" s="34"/>
      <c r="NUN224" s="36"/>
      <c r="NUO224" s="36"/>
      <c r="NUP224" s="37"/>
      <c r="NUQ224" s="37"/>
      <c r="NUR224" s="38"/>
      <c r="NUS224" s="38"/>
      <c r="NUT224" s="39"/>
      <c r="NUU224" s="34"/>
      <c r="NUV224" s="34"/>
      <c r="NUW224" s="34"/>
      <c r="NUX224" s="35"/>
      <c r="NUY224" s="35"/>
      <c r="NUZ224" s="35"/>
      <c r="NVA224" s="35"/>
      <c r="NVB224" s="35"/>
      <c r="NVC224" s="34"/>
      <c r="NVD224" s="34"/>
      <c r="NVE224" s="36"/>
      <c r="NVF224" s="36"/>
      <c r="NVG224" s="37"/>
      <c r="NVH224" s="37"/>
      <c r="NVI224" s="38"/>
      <c r="NVJ224" s="38"/>
      <c r="NVK224" s="39"/>
      <c r="NVL224" s="34"/>
      <c r="NVM224" s="34"/>
      <c r="NVN224" s="34"/>
      <c r="NVO224" s="35"/>
      <c r="NVP224" s="35"/>
      <c r="NVQ224" s="35"/>
      <c r="NVR224" s="35"/>
      <c r="NVS224" s="35"/>
      <c r="NVT224" s="34"/>
      <c r="NVU224" s="34"/>
      <c r="NVV224" s="36"/>
      <c r="NVW224" s="36"/>
      <c r="NVX224" s="37"/>
      <c r="NVY224" s="37"/>
      <c r="NVZ224" s="38"/>
      <c r="NWA224" s="38"/>
      <c r="NWB224" s="39"/>
      <c r="NWC224" s="34"/>
      <c r="NWD224" s="34"/>
      <c r="NWE224" s="34"/>
      <c r="NWF224" s="35"/>
      <c r="NWG224" s="35"/>
      <c r="NWH224" s="35"/>
      <c r="NWI224" s="35"/>
      <c r="NWJ224" s="35"/>
      <c r="NWK224" s="34"/>
      <c r="NWL224" s="34"/>
      <c r="NWM224" s="36"/>
      <c r="NWN224" s="36"/>
      <c r="NWO224" s="37"/>
      <c r="NWP224" s="37"/>
      <c r="NWQ224" s="38"/>
      <c r="NWR224" s="38"/>
      <c r="NWS224" s="39"/>
      <c r="NWT224" s="34"/>
      <c r="NWU224" s="34"/>
      <c r="NWV224" s="34"/>
      <c r="NWW224" s="35"/>
      <c r="NWX224" s="35"/>
      <c r="NWY224" s="35"/>
      <c r="NWZ224" s="35"/>
      <c r="NXA224" s="35"/>
      <c r="NXB224" s="34"/>
      <c r="NXC224" s="34"/>
      <c r="NXD224" s="36"/>
      <c r="NXE224" s="36"/>
      <c r="NXF224" s="37"/>
      <c r="NXG224" s="37"/>
      <c r="NXH224" s="38"/>
      <c r="NXI224" s="38"/>
      <c r="NXJ224" s="39"/>
      <c r="NXK224" s="34"/>
      <c r="NXL224" s="34"/>
      <c r="NXM224" s="34"/>
      <c r="NXN224" s="35"/>
      <c r="NXO224" s="35"/>
      <c r="NXP224" s="35"/>
      <c r="NXQ224" s="35"/>
      <c r="NXR224" s="35"/>
      <c r="NXS224" s="34"/>
      <c r="NXT224" s="34"/>
      <c r="NXU224" s="36"/>
      <c r="NXV224" s="36"/>
      <c r="NXW224" s="37"/>
      <c r="NXX224" s="37"/>
      <c r="NXY224" s="38"/>
      <c r="NXZ224" s="38"/>
      <c r="NYA224" s="39"/>
      <c r="NYB224" s="34"/>
      <c r="NYC224" s="34"/>
      <c r="NYD224" s="34"/>
      <c r="NYE224" s="35"/>
      <c r="NYF224" s="35"/>
      <c r="NYG224" s="35"/>
      <c r="NYH224" s="35"/>
      <c r="NYI224" s="35"/>
      <c r="NYJ224" s="34"/>
      <c r="NYK224" s="34"/>
      <c r="NYL224" s="36"/>
      <c r="NYM224" s="36"/>
      <c r="NYN224" s="37"/>
      <c r="NYO224" s="37"/>
      <c r="NYP224" s="38"/>
      <c r="NYQ224" s="38"/>
      <c r="NYR224" s="39"/>
      <c r="NYS224" s="34"/>
      <c r="NYT224" s="34"/>
      <c r="NYU224" s="34"/>
      <c r="NYV224" s="35"/>
      <c r="NYW224" s="35"/>
      <c r="NYX224" s="35"/>
      <c r="NYY224" s="35"/>
      <c r="NYZ224" s="35"/>
      <c r="NZA224" s="34"/>
      <c r="NZB224" s="34"/>
      <c r="NZC224" s="36"/>
      <c r="NZD224" s="36"/>
      <c r="NZE224" s="37"/>
      <c r="NZF224" s="37"/>
      <c r="NZG224" s="38"/>
      <c r="NZH224" s="38"/>
      <c r="NZI224" s="39"/>
      <c r="NZJ224" s="34"/>
      <c r="NZK224" s="34"/>
      <c r="NZL224" s="34"/>
      <c r="NZM224" s="35"/>
      <c r="NZN224" s="35"/>
      <c r="NZO224" s="35"/>
      <c r="NZP224" s="35"/>
      <c r="NZQ224" s="35"/>
      <c r="NZR224" s="34"/>
      <c r="NZS224" s="34"/>
      <c r="NZT224" s="36"/>
      <c r="NZU224" s="36"/>
      <c r="NZV224" s="37"/>
      <c r="NZW224" s="37"/>
      <c r="NZX224" s="38"/>
      <c r="NZY224" s="38"/>
      <c r="NZZ224" s="39"/>
      <c r="OAA224" s="34"/>
      <c r="OAB224" s="34"/>
      <c r="OAC224" s="34"/>
      <c r="OAD224" s="35"/>
      <c r="OAE224" s="35"/>
      <c r="OAF224" s="35"/>
      <c r="OAG224" s="35"/>
      <c r="OAH224" s="35"/>
      <c r="OAI224" s="34"/>
      <c r="OAJ224" s="34"/>
      <c r="OAK224" s="36"/>
      <c r="OAL224" s="36"/>
      <c r="OAM224" s="37"/>
      <c r="OAN224" s="37"/>
      <c r="OAO224" s="38"/>
      <c r="OAP224" s="38"/>
      <c r="OAQ224" s="39"/>
      <c r="OAR224" s="34"/>
      <c r="OAS224" s="34"/>
      <c r="OAT224" s="34"/>
      <c r="OAU224" s="35"/>
      <c r="OAV224" s="35"/>
      <c r="OAW224" s="35"/>
      <c r="OAX224" s="35"/>
      <c r="OAY224" s="35"/>
      <c r="OAZ224" s="34"/>
      <c r="OBA224" s="34"/>
      <c r="OBB224" s="36"/>
      <c r="OBC224" s="36"/>
      <c r="OBD224" s="37"/>
      <c r="OBE224" s="37"/>
      <c r="OBF224" s="38"/>
      <c r="OBG224" s="38"/>
      <c r="OBH224" s="39"/>
      <c r="OBI224" s="34"/>
      <c r="OBJ224" s="34"/>
      <c r="OBK224" s="34"/>
      <c r="OBL224" s="35"/>
      <c r="OBM224" s="35"/>
      <c r="OBN224" s="35"/>
      <c r="OBO224" s="35"/>
      <c r="OBP224" s="35"/>
      <c r="OBQ224" s="34"/>
      <c r="OBR224" s="34"/>
      <c r="OBS224" s="36"/>
      <c r="OBT224" s="36"/>
      <c r="OBU224" s="37"/>
      <c r="OBV224" s="37"/>
      <c r="OBW224" s="38"/>
      <c r="OBX224" s="38"/>
      <c r="OBY224" s="39"/>
      <c r="OBZ224" s="34"/>
      <c r="OCA224" s="34"/>
      <c r="OCB224" s="34"/>
      <c r="OCC224" s="35"/>
      <c r="OCD224" s="35"/>
      <c r="OCE224" s="35"/>
      <c r="OCF224" s="35"/>
      <c r="OCG224" s="35"/>
      <c r="OCH224" s="34"/>
      <c r="OCI224" s="34"/>
      <c r="OCJ224" s="36"/>
      <c r="OCK224" s="36"/>
      <c r="OCL224" s="37"/>
      <c r="OCM224" s="37"/>
      <c r="OCN224" s="38"/>
      <c r="OCO224" s="38"/>
      <c r="OCP224" s="39"/>
      <c r="OCQ224" s="34"/>
      <c r="OCR224" s="34"/>
      <c r="OCS224" s="34"/>
      <c r="OCT224" s="35"/>
      <c r="OCU224" s="35"/>
      <c r="OCV224" s="35"/>
      <c r="OCW224" s="35"/>
      <c r="OCX224" s="35"/>
      <c r="OCY224" s="34"/>
      <c r="OCZ224" s="34"/>
      <c r="ODA224" s="36"/>
      <c r="ODB224" s="36"/>
      <c r="ODC224" s="37"/>
      <c r="ODD224" s="37"/>
      <c r="ODE224" s="38"/>
      <c r="ODF224" s="38"/>
      <c r="ODG224" s="39"/>
      <c r="ODH224" s="34"/>
      <c r="ODI224" s="34"/>
      <c r="ODJ224" s="34"/>
      <c r="ODK224" s="35"/>
      <c r="ODL224" s="35"/>
      <c r="ODM224" s="35"/>
      <c r="ODN224" s="35"/>
      <c r="ODO224" s="35"/>
      <c r="ODP224" s="34"/>
      <c r="ODQ224" s="34"/>
      <c r="ODR224" s="36"/>
      <c r="ODS224" s="36"/>
      <c r="ODT224" s="37"/>
      <c r="ODU224" s="37"/>
      <c r="ODV224" s="38"/>
      <c r="ODW224" s="38"/>
      <c r="ODX224" s="39"/>
      <c r="ODY224" s="34"/>
      <c r="ODZ224" s="34"/>
      <c r="OEA224" s="34"/>
      <c r="OEB224" s="35"/>
      <c r="OEC224" s="35"/>
      <c r="OED224" s="35"/>
      <c r="OEE224" s="35"/>
      <c r="OEF224" s="35"/>
      <c r="OEG224" s="34"/>
      <c r="OEH224" s="34"/>
      <c r="OEI224" s="36"/>
      <c r="OEJ224" s="36"/>
      <c r="OEK224" s="37"/>
      <c r="OEL224" s="37"/>
      <c r="OEM224" s="38"/>
      <c r="OEN224" s="38"/>
      <c r="OEO224" s="39"/>
      <c r="OEP224" s="34"/>
      <c r="OEQ224" s="34"/>
      <c r="OER224" s="34"/>
      <c r="OES224" s="35"/>
      <c r="OET224" s="35"/>
      <c r="OEU224" s="35"/>
      <c r="OEV224" s="35"/>
      <c r="OEW224" s="35"/>
      <c r="OEX224" s="34"/>
      <c r="OEY224" s="34"/>
      <c r="OEZ224" s="36"/>
      <c r="OFA224" s="36"/>
      <c r="OFB224" s="37"/>
      <c r="OFC224" s="37"/>
      <c r="OFD224" s="38"/>
      <c r="OFE224" s="38"/>
      <c r="OFF224" s="39"/>
      <c r="OFG224" s="34"/>
      <c r="OFH224" s="34"/>
      <c r="OFI224" s="34"/>
      <c r="OFJ224" s="35"/>
      <c r="OFK224" s="35"/>
      <c r="OFL224" s="35"/>
      <c r="OFM224" s="35"/>
      <c r="OFN224" s="35"/>
      <c r="OFO224" s="34"/>
      <c r="OFP224" s="34"/>
      <c r="OFQ224" s="36"/>
      <c r="OFR224" s="36"/>
      <c r="OFS224" s="37"/>
      <c r="OFT224" s="37"/>
      <c r="OFU224" s="38"/>
      <c r="OFV224" s="38"/>
      <c r="OFW224" s="39"/>
      <c r="OFX224" s="34"/>
      <c r="OFY224" s="34"/>
      <c r="OFZ224" s="34"/>
      <c r="OGA224" s="35"/>
      <c r="OGB224" s="35"/>
      <c r="OGC224" s="35"/>
      <c r="OGD224" s="35"/>
      <c r="OGE224" s="35"/>
      <c r="OGF224" s="34"/>
      <c r="OGG224" s="34"/>
      <c r="OGH224" s="36"/>
      <c r="OGI224" s="36"/>
      <c r="OGJ224" s="37"/>
      <c r="OGK224" s="37"/>
      <c r="OGL224" s="38"/>
      <c r="OGM224" s="38"/>
      <c r="OGN224" s="39"/>
      <c r="OGO224" s="34"/>
      <c r="OGP224" s="34"/>
      <c r="OGQ224" s="34"/>
      <c r="OGR224" s="35"/>
      <c r="OGS224" s="35"/>
      <c r="OGT224" s="35"/>
      <c r="OGU224" s="35"/>
      <c r="OGV224" s="35"/>
      <c r="OGW224" s="34"/>
      <c r="OGX224" s="34"/>
      <c r="OGY224" s="36"/>
      <c r="OGZ224" s="36"/>
      <c r="OHA224" s="37"/>
      <c r="OHB224" s="37"/>
      <c r="OHC224" s="38"/>
      <c r="OHD224" s="38"/>
      <c r="OHE224" s="39"/>
      <c r="OHF224" s="34"/>
      <c r="OHG224" s="34"/>
      <c r="OHH224" s="34"/>
      <c r="OHI224" s="35"/>
      <c r="OHJ224" s="35"/>
      <c r="OHK224" s="35"/>
      <c r="OHL224" s="35"/>
      <c r="OHM224" s="35"/>
      <c r="OHN224" s="34"/>
      <c r="OHO224" s="34"/>
      <c r="OHP224" s="36"/>
      <c r="OHQ224" s="36"/>
      <c r="OHR224" s="37"/>
      <c r="OHS224" s="37"/>
      <c r="OHT224" s="38"/>
      <c r="OHU224" s="38"/>
      <c r="OHV224" s="39"/>
      <c r="OHW224" s="34"/>
      <c r="OHX224" s="34"/>
      <c r="OHY224" s="34"/>
      <c r="OHZ224" s="35"/>
      <c r="OIA224" s="35"/>
      <c r="OIB224" s="35"/>
      <c r="OIC224" s="35"/>
      <c r="OID224" s="35"/>
      <c r="OIE224" s="34"/>
      <c r="OIF224" s="34"/>
      <c r="OIG224" s="36"/>
      <c r="OIH224" s="36"/>
      <c r="OII224" s="37"/>
      <c r="OIJ224" s="37"/>
      <c r="OIK224" s="38"/>
      <c r="OIL224" s="38"/>
      <c r="OIM224" s="39"/>
      <c r="OIN224" s="34"/>
      <c r="OIO224" s="34"/>
      <c r="OIP224" s="34"/>
      <c r="OIQ224" s="35"/>
      <c r="OIR224" s="35"/>
      <c r="OIS224" s="35"/>
      <c r="OIT224" s="35"/>
      <c r="OIU224" s="35"/>
      <c r="OIV224" s="34"/>
      <c r="OIW224" s="34"/>
      <c r="OIX224" s="36"/>
      <c r="OIY224" s="36"/>
      <c r="OIZ224" s="37"/>
      <c r="OJA224" s="37"/>
      <c r="OJB224" s="38"/>
      <c r="OJC224" s="38"/>
      <c r="OJD224" s="39"/>
      <c r="OJE224" s="34"/>
      <c r="OJF224" s="34"/>
      <c r="OJG224" s="34"/>
      <c r="OJH224" s="35"/>
      <c r="OJI224" s="35"/>
      <c r="OJJ224" s="35"/>
      <c r="OJK224" s="35"/>
      <c r="OJL224" s="35"/>
      <c r="OJM224" s="34"/>
      <c r="OJN224" s="34"/>
      <c r="OJO224" s="36"/>
      <c r="OJP224" s="36"/>
      <c r="OJQ224" s="37"/>
      <c r="OJR224" s="37"/>
      <c r="OJS224" s="38"/>
      <c r="OJT224" s="38"/>
      <c r="OJU224" s="39"/>
      <c r="OJV224" s="34"/>
      <c r="OJW224" s="34"/>
      <c r="OJX224" s="34"/>
      <c r="OJY224" s="35"/>
      <c r="OJZ224" s="35"/>
      <c r="OKA224" s="35"/>
      <c r="OKB224" s="35"/>
      <c r="OKC224" s="35"/>
      <c r="OKD224" s="34"/>
      <c r="OKE224" s="34"/>
      <c r="OKF224" s="36"/>
      <c r="OKG224" s="36"/>
      <c r="OKH224" s="37"/>
      <c r="OKI224" s="37"/>
      <c r="OKJ224" s="38"/>
      <c r="OKK224" s="38"/>
      <c r="OKL224" s="39"/>
      <c r="OKM224" s="34"/>
      <c r="OKN224" s="34"/>
      <c r="OKO224" s="34"/>
      <c r="OKP224" s="35"/>
      <c r="OKQ224" s="35"/>
      <c r="OKR224" s="35"/>
      <c r="OKS224" s="35"/>
      <c r="OKT224" s="35"/>
      <c r="OKU224" s="34"/>
      <c r="OKV224" s="34"/>
      <c r="OKW224" s="36"/>
      <c r="OKX224" s="36"/>
      <c r="OKY224" s="37"/>
      <c r="OKZ224" s="37"/>
      <c r="OLA224" s="38"/>
      <c r="OLB224" s="38"/>
      <c r="OLC224" s="39"/>
      <c r="OLD224" s="34"/>
      <c r="OLE224" s="34"/>
      <c r="OLF224" s="34"/>
      <c r="OLG224" s="35"/>
      <c r="OLH224" s="35"/>
      <c r="OLI224" s="35"/>
      <c r="OLJ224" s="35"/>
      <c r="OLK224" s="35"/>
      <c r="OLL224" s="34"/>
      <c r="OLM224" s="34"/>
      <c r="OLN224" s="36"/>
      <c r="OLO224" s="36"/>
      <c r="OLP224" s="37"/>
      <c r="OLQ224" s="37"/>
      <c r="OLR224" s="38"/>
      <c r="OLS224" s="38"/>
      <c r="OLT224" s="39"/>
      <c r="OLU224" s="34"/>
      <c r="OLV224" s="34"/>
      <c r="OLW224" s="34"/>
      <c r="OLX224" s="35"/>
      <c r="OLY224" s="35"/>
      <c r="OLZ224" s="35"/>
      <c r="OMA224" s="35"/>
      <c r="OMB224" s="35"/>
      <c r="OMC224" s="34"/>
      <c r="OMD224" s="34"/>
      <c r="OME224" s="36"/>
      <c r="OMF224" s="36"/>
      <c r="OMG224" s="37"/>
      <c r="OMH224" s="37"/>
      <c r="OMI224" s="38"/>
      <c r="OMJ224" s="38"/>
      <c r="OMK224" s="39"/>
      <c r="OML224" s="34"/>
      <c r="OMM224" s="34"/>
      <c r="OMN224" s="34"/>
      <c r="OMO224" s="35"/>
      <c r="OMP224" s="35"/>
      <c r="OMQ224" s="35"/>
      <c r="OMR224" s="35"/>
      <c r="OMS224" s="35"/>
      <c r="OMT224" s="34"/>
      <c r="OMU224" s="34"/>
      <c r="OMV224" s="36"/>
      <c r="OMW224" s="36"/>
      <c r="OMX224" s="37"/>
      <c r="OMY224" s="37"/>
      <c r="OMZ224" s="38"/>
      <c r="ONA224" s="38"/>
      <c r="ONB224" s="39"/>
      <c r="ONC224" s="34"/>
      <c r="OND224" s="34"/>
      <c r="ONE224" s="34"/>
      <c r="ONF224" s="35"/>
      <c r="ONG224" s="35"/>
      <c r="ONH224" s="35"/>
      <c r="ONI224" s="35"/>
      <c r="ONJ224" s="35"/>
      <c r="ONK224" s="34"/>
      <c r="ONL224" s="34"/>
      <c r="ONM224" s="36"/>
      <c r="ONN224" s="36"/>
      <c r="ONO224" s="37"/>
      <c r="ONP224" s="37"/>
      <c r="ONQ224" s="38"/>
      <c r="ONR224" s="38"/>
      <c r="ONS224" s="39"/>
      <c r="ONT224" s="34"/>
      <c r="ONU224" s="34"/>
      <c r="ONV224" s="34"/>
      <c r="ONW224" s="35"/>
      <c r="ONX224" s="35"/>
      <c r="ONY224" s="35"/>
      <c r="ONZ224" s="35"/>
      <c r="OOA224" s="35"/>
      <c r="OOB224" s="34"/>
      <c r="OOC224" s="34"/>
      <c r="OOD224" s="36"/>
      <c r="OOE224" s="36"/>
      <c r="OOF224" s="37"/>
      <c r="OOG224" s="37"/>
      <c r="OOH224" s="38"/>
      <c r="OOI224" s="38"/>
      <c r="OOJ224" s="39"/>
      <c r="OOK224" s="34"/>
      <c r="OOL224" s="34"/>
      <c r="OOM224" s="34"/>
      <c r="OON224" s="35"/>
      <c r="OOO224" s="35"/>
      <c r="OOP224" s="35"/>
      <c r="OOQ224" s="35"/>
      <c r="OOR224" s="35"/>
      <c r="OOS224" s="34"/>
      <c r="OOT224" s="34"/>
      <c r="OOU224" s="36"/>
      <c r="OOV224" s="36"/>
      <c r="OOW224" s="37"/>
      <c r="OOX224" s="37"/>
      <c r="OOY224" s="38"/>
      <c r="OOZ224" s="38"/>
      <c r="OPA224" s="39"/>
      <c r="OPB224" s="34"/>
      <c r="OPC224" s="34"/>
      <c r="OPD224" s="34"/>
      <c r="OPE224" s="35"/>
      <c r="OPF224" s="35"/>
      <c r="OPG224" s="35"/>
      <c r="OPH224" s="35"/>
      <c r="OPI224" s="35"/>
      <c r="OPJ224" s="34"/>
      <c r="OPK224" s="34"/>
      <c r="OPL224" s="36"/>
      <c r="OPM224" s="36"/>
      <c r="OPN224" s="37"/>
      <c r="OPO224" s="37"/>
      <c r="OPP224" s="38"/>
      <c r="OPQ224" s="38"/>
      <c r="OPR224" s="39"/>
      <c r="OPS224" s="34"/>
      <c r="OPT224" s="34"/>
      <c r="OPU224" s="34"/>
      <c r="OPV224" s="35"/>
      <c r="OPW224" s="35"/>
      <c r="OPX224" s="35"/>
      <c r="OPY224" s="35"/>
      <c r="OPZ224" s="35"/>
      <c r="OQA224" s="34"/>
      <c r="OQB224" s="34"/>
      <c r="OQC224" s="36"/>
      <c r="OQD224" s="36"/>
      <c r="OQE224" s="37"/>
      <c r="OQF224" s="37"/>
      <c r="OQG224" s="38"/>
      <c r="OQH224" s="38"/>
      <c r="OQI224" s="39"/>
      <c r="OQJ224" s="34"/>
      <c r="OQK224" s="34"/>
      <c r="OQL224" s="34"/>
      <c r="OQM224" s="35"/>
      <c r="OQN224" s="35"/>
      <c r="OQO224" s="35"/>
      <c r="OQP224" s="35"/>
      <c r="OQQ224" s="35"/>
      <c r="OQR224" s="34"/>
      <c r="OQS224" s="34"/>
      <c r="OQT224" s="36"/>
      <c r="OQU224" s="36"/>
      <c r="OQV224" s="37"/>
      <c r="OQW224" s="37"/>
      <c r="OQX224" s="38"/>
      <c r="OQY224" s="38"/>
      <c r="OQZ224" s="39"/>
      <c r="ORA224" s="34"/>
      <c r="ORB224" s="34"/>
      <c r="ORC224" s="34"/>
      <c r="ORD224" s="35"/>
      <c r="ORE224" s="35"/>
      <c r="ORF224" s="35"/>
      <c r="ORG224" s="35"/>
      <c r="ORH224" s="35"/>
      <c r="ORI224" s="34"/>
      <c r="ORJ224" s="34"/>
      <c r="ORK224" s="36"/>
      <c r="ORL224" s="36"/>
      <c r="ORM224" s="37"/>
      <c r="ORN224" s="37"/>
      <c r="ORO224" s="38"/>
      <c r="ORP224" s="38"/>
      <c r="ORQ224" s="39"/>
      <c r="ORR224" s="34"/>
      <c r="ORS224" s="34"/>
      <c r="ORT224" s="34"/>
      <c r="ORU224" s="35"/>
      <c r="ORV224" s="35"/>
      <c r="ORW224" s="35"/>
      <c r="ORX224" s="35"/>
      <c r="ORY224" s="35"/>
      <c r="ORZ224" s="34"/>
      <c r="OSA224" s="34"/>
      <c r="OSB224" s="36"/>
      <c r="OSC224" s="36"/>
      <c r="OSD224" s="37"/>
      <c r="OSE224" s="37"/>
      <c r="OSF224" s="38"/>
      <c r="OSG224" s="38"/>
      <c r="OSH224" s="39"/>
      <c r="OSI224" s="34"/>
      <c r="OSJ224" s="34"/>
      <c r="OSK224" s="34"/>
      <c r="OSL224" s="35"/>
      <c r="OSM224" s="35"/>
      <c r="OSN224" s="35"/>
      <c r="OSO224" s="35"/>
      <c r="OSP224" s="35"/>
      <c r="OSQ224" s="34"/>
      <c r="OSR224" s="34"/>
      <c r="OSS224" s="36"/>
      <c r="OST224" s="36"/>
      <c r="OSU224" s="37"/>
      <c r="OSV224" s="37"/>
      <c r="OSW224" s="38"/>
      <c r="OSX224" s="38"/>
      <c r="OSY224" s="39"/>
      <c r="OSZ224" s="34"/>
      <c r="OTA224" s="34"/>
      <c r="OTB224" s="34"/>
      <c r="OTC224" s="35"/>
      <c r="OTD224" s="35"/>
      <c r="OTE224" s="35"/>
      <c r="OTF224" s="35"/>
      <c r="OTG224" s="35"/>
      <c r="OTH224" s="34"/>
      <c r="OTI224" s="34"/>
      <c r="OTJ224" s="36"/>
      <c r="OTK224" s="36"/>
      <c r="OTL224" s="37"/>
      <c r="OTM224" s="37"/>
      <c r="OTN224" s="38"/>
      <c r="OTO224" s="38"/>
      <c r="OTP224" s="39"/>
      <c r="OTQ224" s="34"/>
      <c r="OTR224" s="34"/>
      <c r="OTS224" s="34"/>
      <c r="OTT224" s="35"/>
      <c r="OTU224" s="35"/>
      <c r="OTV224" s="35"/>
      <c r="OTW224" s="35"/>
      <c r="OTX224" s="35"/>
      <c r="OTY224" s="34"/>
      <c r="OTZ224" s="34"/>
      <c r="OUA224" s="36"/>
      <c r="OUB224" s="36"/>
      <c r="OUC224" s="37"/>
      <c r="OUD224" s="37"/>
      <c r="OUE224" s="38"/>
      <c r="OUF224" s="38"/>
      <c r="OUG224" s="39"/>
      <c r="OUH224" s="34"/>
      <c r="OUI224" s="34"/>
      <c r="OUJ224" s="34"/>
      <c r="OUK224" s="35"/>
      <c r="OUL224" s="35"/>
      <c r="OUM224" s="35"/>
      <c r="OUN224" s="35"/>
      <c r="OUO224" s="35"/>
      <c r="OUP224" s="34"/>
      <c r="OUQ224" s="34"/>
      <c r="OUR224" s="36"/>
      <c r="OUS224" s="36"/>
      <c r="OUT224" s="37"/>
      <c r="OUU224" s="37"/>
      <c r="OUV224" s="38"/>
      <c r="OUW224" s="38"/>
      <c r="OUX224" s="39"/>
      <c r="OUY224" s="34"/>
      <c r="OUZ224" s="34"/>
      <c r="OVA224" s="34"/>
      <c r="OVB224" s="35"/>
      <c r="OVC224" s="35"/>
      <c r="OVD224" s="35"/>
      <c r="OVE224" s="35"/>
      <c r="OVF224" s="35"/>
      <c r="OVG224" s="34"/>
      <c r="OVH224" s="34"/>
      <c r="OVI224" s="36"/>
      <c r="OVJ224" s="36"/>
      <c r="OVK224" s="37"/>
      <c r="OVL224" s="37"/>
      <c r="OVM224" s="38"/>
      <c r="OVN224" s="38"/>
      <c r="OVO224" s="39"/>
      <c r="OVP224" s="34"/>
      <c r="OVQ224" s="34"/>
      <c r="OVR224" s="34"/>
      <c r="OVS224" s="35"/>
      <c r="OVT224" s="35"/>
      <c r="OVU224" s="35"/>
      <c r="OVV224" s="35"/>
      <c r="OVW224" s="35"/>
      <c r="OVX224" s="34"/>
      <c r="OVY224" s="34"/>
      <c r="OVZ224" s="36"/>
      <c r="OWA224" s="36"/>
      <c r="OWB224" s="37"/>
      <c r="OWC224" s="37"/>
      <c r="OWD224" s="38"/>
      <c r="OWE224" s="38"/>
      <c r="OWF224" s="39"/>
      <c r="OWG224" s="34"/>
      <c r="OWH224" s="34"/>
      <c r="OWI224" s="34"/>
      <c r="OWJ224" s="35"/>
      <c r="OWK224" s="35"/>
      <c r="OWL224" s="35"/>
      <c r="OWM224" s="35"/>
      <c r="OWN224" s="35"/>
      <c r="OWO224" s="34"/>
      <c r="OWP224" s="34"/>
      <c r="OWQ224" s="36"/>
      <c r="OWR224" s="36"/>
      <c r="OWS224" s="37"/>
      <c r="OWT224" s="37"/>
      <c r="OWU224" s="38"/>
      <c r="OWV224" s="38"/>
      <c r="OWW224" s="39"/>
      <c r="OWX224" s="34"/>
      <c r="OWY224" s="34"/>
      <c r="OWZ224" s="34"/>
      <c r="OXA224" s="35"/>
      <c r="OXB224" s="35"/>
      <c r="OXC224" s="35"/>
      <c r="OXD224" s="35"/>
      <c r="OXE224" s="35"/>
      <c r="OXF224" s="34"/>
      <c r="OXG224" s="34"/>
      <c r="OXH224" s="36"/>
      <c r="OXI224" s="36"/>
      <c r="OXJ224" s="37"/>
      <c r="OXK224" s="37"/>
      <c r="OXL224" s="38"/>
      <c r="OXM224" s="38"/>
      <c r="OXN224" s="39"/>
      <c r="OXO224" s="34"/>
      <c r="OXP224" s="34"/>
      <c r="OXQ224" s="34"/>
      <c r="OXR224" s="35"/>
      <c r="OXS224" s="35"/>
      <c r="OXT224" s="35"/>
      <c r="OXU224" s="35"/>
      <c r="OXV224" s="35"/>
      <c r="OXW224" s="34"/>
      <c r="OXX224" s="34"/>
      <c r="OXY224" s="36"/>
      <c r="OXZ224" s="36"/>
      <c r="OYA224" s="37"/>
      <c r="OYB224" s="37"/>
      <c r="OYC224" s="38"/>
      <c r="OYD224" s="38"/>
      <c r="OYE224" s="39"/>
      <c r="OYF224" s="34"/>
      <c r="OYG224" s="34"/>
      <c r="OYH224" s="34"/>
      <c r="OYI224" s="35"/>
      <c r="OYJ224" s="35"/>
      <c r="OYK224" s="35"/>
      <c r="OYL224" s="35"/>
      <c r="OYM224" s="35"/>
      <c r="OYN224" s="34"/>
      <c r="OYO224" s="34"/>
      <c r="OYP224" s="36"/>
      <c r="OYQ224" s="36"/>
      <c r="OYR224" s="37"/>
      <c r="OYS224" s="37"/>
      <c r="OYT224" s="38"/>
      <c r="OYU224" s="38"/>
      <c r="OYV224" s="39"/>
      <c r="OYW224" s="34"/>
      <c r="OYX224" s="34"/>
      <c r="OYY224" s="34"/>
      <c r="OYZ224" s="35"/>
      <c r="OZA224" s="35"/>
      <c r="OZB224" s="35"/>
      <c r="OZC224" s="35"/>
      <c r="OZD224" s="35"/>
      <c r="OZE224" s="34"/>
      <c r="OZF224" s="34"/>
      <c r="OZG224" s="36"/>
      <c r="OZH224" s="36"/>
      <c r="OZI224" s="37"/>
      <c r="OZJ224" s="37"/>
      <c r="OZK224" s="38"/>
      <c r="OZL224" s="38"/>
      <c r="OZM224" s="39"/>
      <c r="OZN224" s="34"/>
      <c r="OZO224" s="34"/>
      <c r="OZP224" s="34"/>
      <c r="OZQ224" s="35"/>
      <c r="OZR224" s="35"/>
      <c r="OZS224" s="35"/>
      <c r="OZT224" s="35"/>
      <c r="OZU224" s="35"/>
      <c r="OZV224" s="34"/>
      <c r="OZW224" s="34"/>
      <c r="OZX224" s="36"/>
      <c r="OZY224" s="36"/>
      <c r="OZZ224" s="37"/>
      <c r="PAA224" s="37"/>
      <c r="PAB224" s="38"/>
      <c r="PAC224" s="38"/>
      <c r="PAD224" s="39"/>
      <c r="PAE224" s="34"/>
      <c r="PAF224" s="34"/>
      <c r="PAG224" s="34"/>
      <c r="PAH224" s="35"/>
      <c r="PAI224" s="35"/>
      <c r="PAJ224" s="35"/>
      <c r="PAK224" s="35"/>
      <c r="PAL224" s="35"/>
      <c r="PAM224" s="34"/>
      <c r="PAN224" s="34"/>
      <c r="PAO224" s="36"/>
      <c r="PAP224" s="36"/>
      <c r="PAQ224" s="37"/>
      <c r="PAR224" s="37"/>
      <c r="PAS224" s="38"/>
      <c r="PAT224" s="38"/>
      <c r="PAU224" s="39"/>
      <c r="PAV224" s="34"/>
      <c r="PAW224" s="34"/>
      <c r="PAX224" s="34"/>
      <c r="PAY224" s="35"/>
      <c r="PAZ224" s="35"/>
      <c r="PBA224" s="35"/>
      <c r="PBB224" s="35"/>
      <c r="PBC224" s="35"/>
      <c r="PBD224" s="34"/>
      <c r="PBE224" s="34"/>
      <c r="PBF224" s="36"/>
      <c r="PBG224" s="36"/>
      <c r="PBH224" s="37"/>
      <c r="PBI224" s="37"/>
      <c r="PBJ224" s="38"/>
      <c r="PBK224" s="38"/>
      <c r="PBL224" s="39"/>
      <c r="PBM224" s="34"/>
      <c r="PBN224" s="34"/>
      <c r="PBO224" s="34"/>
      <c r="PBP224" s="35"/>
      <c r="PBQ224" s="35"/>
      <c r="PBR224" s="35"/>
      <c r="PBS224" s="35"/>
      <c r="PBT224" s="35"/>
      <c r="PBU224" s="34"/>
      <c r="PBV224" s="34"/>
      <c r="PBW224" s="36"/>
      <c r="PBX224" s="36"/>
      <c r="PBY224" s="37"/>
      <c r="PBZ224" s="37"/>
      <c r="PCA224" s="38"/>
      <c r="PCB224" s="38"/>
      <c r="PCC224" s="39"/>
      <c r="PCD224" s="34"/>
      <c r="PCE224" s="34"/>
      <c r="PCF224" s="34"/>
      <c r="PCG224" s="35"/>
      <c r="PCH224" s="35"/>
      <c r="PCI224" s="35"/>
      <c r="PCJ224" s="35"/>
      <c r="PCK224" s="35"/>
      <c r="PCL224" s="34"/>
      <c r="PCM224" s="34"/>
      <c r="PCN224" s="36"/>
      <c r="PCO224" s="36"/>
      <c r="PCP224" s="37"/>
      <c r="PCQ224" s="37"/>
      <c r="PCR224" s="38"/>
      <c r="PCS224" s="38"/>
      <c r="PCT224" s="39"/>
      <c r="PCU224" s="34"/>
      <c r="PCV224" s="34"/>
      <c r="PCW224" s="34"/>
      <c r="PCX224" s="35"/>
      <c r="PCY224" s="35"/>
      <c r="PCZ224" s="35"/>
      <c r="PDA224" s="35"/>
      <c r="PDB224" s="35"/>
      <c r="PDC224" s="34"/>
      <c r="PDD224" s="34"/>
      <c r="PDE224" s="36"/>
      <c r="PDF224" s="36"/>
      <c r="PDG224" s="37"/>
      <c r="PDH224" s="37"/>
      <c r="PDI224" s="38"/>
      <c r="PDJ224" s="38"/>
      <c r="PDK224" s="39"/>
      <c r="PDL224" s="34"/>
      <c r="PDM224" s="34"/>
      <c r="PDN224" s="34"/>
      <c r="PDO224" s="35"/>
      <c r="PDP224" s="35"/>
      <c r="PDQ224" s="35"/>
      <c r="PDR224" s="35"/>
      <c r="PDS224" s="35"/>
      <c r="PDT224" s="34"/>
      <c r="PDU224" s="34"/>
      <c r="PDV224" s="36"/>
      <c r="PDW224" s="36"/>
      <c r="PDX224" s="37"/>
      <c r="PDY224" s="37"/>
      <c r="PDZ224" s="38"/>
      <c r="PEA224" s="38"/>
      <c r="PEB224" s="39"/>
      <c r="PEC224" s="34"/>
      <c r="PED224" s="34"/>
      <c r="PEE224" s="34"/>
      <c r="PEF224" s="35"/>
      <c r="PEG224" s="35"/>
      <c r="PEH224" s="35"/>
      <c r="PEI224" s="35"/>
      <c r="PEJ224" s="35"/>
      <c r="PEK224" s="34"/>
      <c r="PEL224" s="34"/>
      <c r="PEM224" s="36"/>
      <c r="PEN224" s="36"/>
      <c r="PEO224" s="37"/>
      <c r="PEP224" s="37"/>
      <c r="PEQ224" s="38"/>
      <c r="PER224" s="38"/>
      <c r="PES224" s="39"/>
      <c r="PET224" s="34"/>
      <c r="PEU224" s="34"/>
      <c r="PEV224" s="34"/>
      <c r="PEW224" s="35"/>
      <c r="PEX224" s="35"/>
      <c r="PEY224" s="35"/>
      <c r="PEZ224" s="35"/>
      <c r="PFA224" s="35"/>
      <c r="PFB224" s="34"/>
      <c r="PFC224" s="34"/>
      <c r="PFD224" s="36"/>
      <c r="PFE224" s="36"/>
      <c r="PFF224" s="37"/>
      <c r="PFG224" s="37"/>
      <c r="PFH224" s="38"/>
      <c r="PFI224" s="38"/>
      <c r="PFJ224" s="39"/>
      <c r="PFK224" s="34"/>
      <c r="PFL224" s="34"/>
      <c r="PFM224" s="34"/>
      <c r="PFN224" s="35"/>
      <c r="PFO224" s="35"/>
      <c r="PFP224" s="35"/>
      <c r="PFQ224" s="35"/>
      <c r="PFR224" s="35"/>
      <c r="PFS224" s="34"/>
      <c r="PFT224" s="34"/>
      <c r="PFU224" s="36"/>
      <c r="PFV224" s="36"/>
      <c r="PFW224" s="37"/>
      <c r="PFX224" s="37"/>
      <c r="PFY224" s="38"/>
      <c r="PFZ224" s="38"/>
      <c r="PGA224" s="39"/>
      <c r="PGB224" s="34"/>
      <c r="PGC224" s="34"/>
      <c r="PGD224" s="34"/>
      <c r="PGE224" s="35"/>
      <c r="PGF224" s="35"/>
      <c r="PGG224" s="35"/>
      <c r="PGH224" s="35"/>
      <c r="PGI224" s="35"/>
      <c r="PGJ224" s="34"/>
      <c r="PGK224" s="34"/>
      <c r="PGL224" s="36"/>
      <c r="PGM224" s="36"/>
      <c r="PGN224" s="37"/>
      <c r="PGO224" s="37"/>
      <c r="PGP224" s="38"/>
      <c r="PGQ224" s="38"/>
      <c r="PGR224" s="39"/>
      <c r="PGS224" s="34"/>
      <c r="PGT224" s="34"/>
      <c r="PGU224" s="34"/>
      <c r="PGV224" s="35"/>
      <c r="PGW224" s="35"/>
      <c r="PGX224" s="35"/>
      <c r="PGY224" s="35"/>
      <c r="PGZ224" s="35"/>
      <c r="PHA224" s="34"/>
      <c r="PHB224" s="34"/>
      <c r="PHC224" s="36"/>
      <c r="PHD224" s="36"/>
      <c r="PHE224" s="37"/>
      <c r="PHF224" s="37"/>
      <c r="PHG224" s="38"/>
      <c r="PHH224" s="38"/>
      <c r="PHI224" s="39"/>
      <c r="PHJ224" s="34"/>
      <c r="PHK224" s="34"/>
      <c r="PHL224" s="34"/>
      <c r="PHM224" s="35"/>
      <c r="PHN224" s="35"/>
      <c r="PHO224" s="35"/>
      <c r="PHP224" s="35"/>
      <c r="PHQ224" s="35"/>
      <c r="PHR224" s="34"/>
      <c r="PHS224" s="34"/>
      <c r="PHT224" s="36"/>
      <c r="PHU224" s="36"/>
      <c r="PHV224" s="37"/>
      <c r="PHW224" s="37"/>
      <c r="PHX224" s="38"/>
      <c r="PHY224" s="38"/>
      <c r="PHZ224" s="39"/>
      <c r="PIA224" s="34"/>
      <c r="PIB224" s="34"/>
      <c r="PIC224" s="34"/>
      <c r="PID224" s="35"/>
      <c r="PIE224" s="35"/>
      <c r="PIF224" s="35"/>
      <c r="PIG224" s="35"/>
      <c r="PIH224" s="35"/>
      <c r="PII224" s="34"/>
      <c r="PIJ224" s="34"/>
      <c r="PIK224" s="36"/>
      <c r="PIL224" s="36"/>
      <c r="PIM224" s="37"/>
      <c r="PIN224" s="37"/>
      <c r="PIO224" s="38"/>
      <c r="PIP224" s="38"/>
      <c r="PIQ224" s="39"/>
      <c r="PIR224" s="34"/>
      <c r="PIS224" s="34"/>
      <c r="PIT224" s="34"/>
      <c r="PIU224" s="35"/>
      <c r="PIV224" s="35"/>
      <c r="PIW224" s="35"/>
      <c r="PIX224" s="35"/>
      <c r="PIY224" s="35"/>
      <c r="PIZ224" s="34"/>
      <c r="PJA224" s="34"/>
      <c r="PJB224" s="36"/>
      <c r="PJC224" s="36"/>
      <c r="PJD224" s="37"/>
      <c r="PJE224" s="37"/>
      <c r="PJF224" s="38"/>
      <c r="PJG224" s="38"/>
      <c r="PJH224" s="39"/>
      <c r="PJI224" s="34"/>
      <c r="PJJ224" s="34"/>
      <c r="PJK224" s="34"/>
      <c r="PJL224" s="35"/>
      <c r="PJM224" s="35"/>
      <c r="PJN224" s="35"/>
      <c r="PJO224" s="35"/>
      <c r="PJP224" s="35"/>
      <c r="PJQ224" s="34"/>
      <c r="PJR224" s="34"/>
      <c r="PJS224" s="36"/>
      <c r="PJT224" s="36"/>
      <c r="PJU224" s="37"/>
      <c r="PJV224" s="37"/>
      <c r="PJW224" s="38"/>
      <c r="PJX224" s="38"/>
      <c r="PJY224" s="39"/>
      <c r="PJZ224" s="34"/>
      <c r="PKA224" s="34"/>
      <c r="PKB224" s="34"/>
      <c r="PKC224" s="35"/>
      <c r="PKD224" s="35"/>
      <c r="PKE224" s="35"/>
      <c r="PKF224" s="35"/>
      <c r="PKG224" s="35"/>
      <c r="PKH224" s="34"/>
      <c r="PKI224" s="34"/>
      <c r="PKJ224" s="36"/>
      <c r="PKK224" s="36"/>
      <c r="PKL224" s="37"/>
      <c r="PKM224" s="37"/>
      <c r="PKN224" s="38"/>
      <c r="PKO224" s="38"/>
      <c r="PKP224" s="39"/>
      <c r="PKQ224" s="34"/>
      <c r="PKR224" s="34"/>
      <c r="PKS224" s="34"/>
      <c r="PKT224" s="35"/>
      <c r="PKU224" s="35"/>
      <c r="PKV224" s="35"/>
      <c r="PKW224" s="35"/>
      <c r="PKX224" s="35"/>
      <c r="PKY224" s="34"/>
      <c r="PKZ224" s="34"/>
      <c r="PLA224" s="36"/>
      <c r="PLB224" s="36"/>
      <c r="PLC224" s="37"/>
      <c r="PLD224" s="37"/>
      <c r="PLE224" s="38"/>
      <c r="PLF224" s="38"/>
      <c r="PLG224" s="39"/>
      <c r="PLH224" s="34"/>
      <c r="PLI224" s="34"/>
      <c r="PLJ224" s="34"/>
      <c r="PLK224" s="35"/>
      <c r="PLL224" s="35"/>
      <c r="PLM224" s="35"/>
      <c r="PLN224" s="35"/>
      <c r="PLO224" s="35"/>
      <c r="PLP224" s="34"/>
      <c r="PLQ224" s="34"/>
      <c r="PLR224" s="36"/>
      <c r="PLS224" s="36"/>
      <c r="PLT224" s="37"/>
      <c r="PLU224" s="37"/>
      <c r="PLV224" s="38"/>
      <c r="PLW224" s="38"/>
      <c r="PLX224" s="39"/>
      <c r="PLY224" s="34"/>
      <c r="PLZ224" s="34"/>
      <c r="PMA224" s="34"/>
      <c r="PMB224" s="35"/>
      <c r="PMC224" s="35"/>
      <c r="PMD224" s="35"/>
      <c r="PME224" s="35"/>
      <c r="PMF224" s="35"/>
      <c r="PMG224" s="34"/>
      <c r="PMH224" s="34"/>
      <c r="PMI224" s="36"/>
      <c r="PMJ224" s="36"/>
      <c r="PMK224" s="37"/>
      <c r="PML224" s="37"/>
      <c r="PMM224" s="38"/>
      <c r="PMN224" s="38"/>
      <c r="PMO224" s="39"/>
      <c r="PMP224" s="34"/>
      <c r="PMQ224" s="34"/>
      <c r="PMR224" s="34"/>
      <c r="PMS224" s="35"/>
      <c r="PMT224" s="35"/>
      <c r="PMU224" s="35"/>
      <c r="PMV224" s="35"/>
      <c r="PMW224" s="35"/>
      <c r="PMX224" s="34"/>
      <c r="PMY224" s="34"/>
      <c r="PMZ224" s="36"/>
      <c r="PNA224" s="36"/>
      <c r="PNB224" s="37"/>
      <c r="PNC224" s="37"/>
      <c r="PND224" s="38"/>
      <c r="PNE224" s="38"/>
      <c r="PNF224" s="39"/>
      <c r="PNG224" s="34"/>
      <c r="PNH224" s="34"/>
      <c r="PNI224" s="34"/>
      <c r="PNJ224" s="35"/>
      <c r="PNK224" s="35"/>
      <c r="PNL224" s="35"/>
      <c r="PNM224" s="35"/>
      <c r="PNN224" s="35"/>
      <c r="PNO224" s="34"/>
      <c r="PNP224" s="34"/>
      <c r="PNQ224" s="36"/>
      <c r="PNR224" s="36"/>
      <c r="PNS224" s="37"/>
      <c r="PNT224" s="37"/>
      <c r="PNU224" s="38"/>
      <c r="PNV224" s="38"/>
      <c r="PNW224" s="39"/>
      <c r="PNX224" s="34"/>
      <c r="PNY224" s="34"/>
      <c r="PNZ224" s="34"/>
      <c r="POA224" s="35"/>
      <c r="POB224" s="35"/>
      <c r="POC224" s="35"/>
      <c r="POD224" s="35"/>
      <c r="POE224" s="35"/>
      <c r="POF224" s="34"/>
      <c r="POG224" s="34"/>
      <c r="POH224" s="36"/>
      <c r="POI224" s="36"/>
      <c r="POJ224" s="37"/>
      <c r="POK224" s="37"/>
      <c r="POL224" s="38"/>
      <c r="POM224" s="38"/>
      <c r="PON224" s="39"/>
      <c r="POO224" s="34"/>
      <c r="POP224" s="34"/>
      <c r="POQ224" s="34"/>
      <c r="POR224" s="35"/>
      <c r="POS224" s="35"/>
      <c r="POT224" s="35"/>
      <c r="POU224" s="35"/>
      <c r="POV224" s="35"/>
      <c r="POW224" s="34"/>
      <c r="POX224" s="34"/>
      <c r="POY224" s="36"/>
      <c r="POZ224" s="36"/>
      <c r="PPA224" s="37"/>
      <c r="PPB224" s="37"/>
      <c r="PPC224" s="38"/>
      <c r="PPD224" s="38"/>
      <c r="PPE224" s="39"/>
      <c r="PPF224" s="34"/>
      <c r="PPG224" s="34"/>
      <c r="PPH224" s="34"/>
      <c r="PPI224" s="35"/>
      <c r="PPJ224" s="35"/>
      <c r="PPK224" s="35"/>
      <c r="PPL224" s="35"/>
      <c r="PPM224" s="35"/>
      <c r="PPN224" s="34"/>
      <c r="PPO224" s="34"/>
      <c r="PPP224" s="36"/>
      <c r="PPQ224" s="36"/>
      <c r="PPR224" s="37"/>
      <c r="PPS224" s="37"/>
      <c r="PPT224" s="38"/>
      <c r="PPU224" s="38"/>
      <c r="PPV224" s="39"/>
      <c r="PPW224" s="34"/>
      <c r="PPX224" s="34"/>
      <c r="PPY224" s="34"/>
      <c r="PPZ224" s="35"/>
      <c r="PQA224" s="35"/>
      <c r="PQB224" s="35"/>
      <c r="PQC224" s="35"/>
      <c r="PQD224" s="35"/>
      <c r="PQE224" s="34"/>
      <c r="PQF224" s="34"/>
      <c r="PQG224" s="36"/>
      <c r="PQH224" s="36"/>
      <c r="PQI224" s="37"/>
      <c r="PQJ224" s="37"/>
      <c r="PQK224" s="38"/>
      <c r="PQL224" s="38"/>
      <c r="PQM224" s="39"/>
      <c r="PQN224" s="34"/>
      <c r="PQO224" s="34"/>
      <c r="PQP224" s="34"/>
      <c r="PQQ224" s="35"/>
      <c r="PQR224" s="35"/>
      <c r="PQS224" s="35"/>
      <c r="PQT224" s="35"/>
      <c r="PQU224" s="35"/>
      <c r="PQV224" s="34"/>
      <c r="PQW224" s="34"/>
      <c r="PQX224" s="36"/>
      <c r="PQY224" s="36"/>
      <c r="PQZ224" s="37"/>
      <c r="PRA224" s="37"/>
      <c r="PRB224" s="38"/>
      <c r="PRC224" s="38"/>
      <c r="PRD224" s="39"/>
      <c r="PRE224" s="34"/>
      <c r="PRF224" s="34"/>
      <c r="PRG224" s="34"/>
      <c r="PRH224" s="35"/>
      <c r="PRI224" s="35"/>
      <c r="PRJ224" s="35"/>
      <c r="PRK224" s="35"/>
      <c r="PRL224" s="35"/>
      <c r="PRM224" s="34"/>
      <c r="PRN224" s="34"/>
      <c r="PRO224" s="36"/>
      <c r="PRP224" s="36"/>
      <c r="PRQ224" s="37"/>
      <c r="PRR224" s="37"/>
      <c r="PRS224" s="38"/>
      <c r="PRT224" s="38"/>
      <c r="PRU224" s="39"/>
      <c r="PRV224" s="34"/>
      <c r="PRW224" s="34"/>
      <c r="PRX224" s="34"/>
      <c r="PRY224" s="35"/>
      <c r="PRZ224" s="35"/>
      <c r="PSA224" s="35"/>
      <c r="PSB224" s="35"/>
      <c r="PSC224" s="35"/>
      <c r="PSD224" s="34"/>
      <c r="PSE224" s="34"/>
      <c r="PSF224" s="36"/>
      <c r="PSG224" s="36"/>
      <c r="PSH224" s="37"/>
      <c r="PSI224" s="37"/>
      <c r="PSJ224" s="38"/>
      <c r="PSK224" s="38"/>
      <c r="PSL224" s="39"/>
      <c r="PSM224" s="34"/>
      <c r="PSN224" s="34"/>
      <c r="PSO224" s="34"/>
      <c r="PSP224" s="35"/>
      <c r="PSQ224" s="35"/>
      <c r="PSR224" s="35"/>
      <c r="PSS224" s="35"/>
      <c r="PST224" s="35"/>
      <c r="PSU224" s="34"/>
      <c r="PSV224" s="34"/>
      <c r="PSW224" s="36"/>
      <c r="PSX224" s="36"/>
      <c r="PSY224" s="37"/>
      <c r="PSZ224" s="37"/>
      <c r="PTA224" s="38"/>
      <c r="PTB224" s="38"/>
      <c r="PTC224" s="39"/>
      <c r="PTD224" s="34"/>
      <c r="PTE224" s="34"/>
      <c r="PTF224" s="34"/>
      <c r="PTG224" s="35"/>
      <c r="PTH224" s="35"/>
      <c r="PTI224" s="35"/>
      <c r="PTJ224" s="35"/>
      <c r="PTK224" s="35"/>
      <c r="PTL224" s="34"/>
      <c r="PTM224" s="34"/>
      <c r="PTN224" s="36"/>
      <c r="PTO224" s="36"/>
      <c r="PTP224" s="37"/>
      <c r="PTQ224" s="37"/>
      <c r="PTR224" s="38"/>
      <c r="PTS224" s="38"/>
      <c r="PTT224" s="39"/>
      <c r="PTU224" s="34"/>
      <c r="PTV224" s="34"/>
      <c r="PTW224" s="34"/>
      <c r="PTX224" s="35"/>
      <c r="PTY224" s="35"/>
      <c r="PTZ224" s="35"/>
      <c r="PUA224" s="35"/>
      <c r="PUB224" s="35"/>
      <c r="PUC224" s="34"/>
      <c r="PUD224" s="34"/>
      <c r="PUE224" s="36"/>
      <c r="PUF224" s="36"/>
      <c r="PUG224" s="37"/>
      <c r="PUH224" s="37"/>
      <c r="PUI224" s="38"/>
      <c r="PUJ224" s="38"/>
      <c r="PUK224" s="39"/>
      <c r="PUL224" s="34"/>
      <c r="PUM224" s="34"/>
      <c r="PUN224" s="34"/>
      <c r="PUO224" s="35"/>
      <c r="PUP224" s="35"/>
      <c r="PUQ224" s="35"/>
      <c r="PUR224" s="35"/>
      <c r="PUS224" s="35"/>
      <c r="PUT224" s="34"/>
      <c r="PUU224" s="34"/>
      <c r="PUV224" s="36"/>
      <c r="PUW224" s="36"/>
      <c r="PUX224" s="37"/>
      <c r="PUY224" s="37"/>
      <c r="PUZ224" s="38"/>
      <c r="PVA224" s="38"/>
      <c r="PVB224" s="39"/>
      <c r="PVC224" s="34"/>
      <c r="PVD224" s="34"/>
      <c r="PVE224" s="34"/>
      <c r="PVF224" s="35"/>
      <c r="PVG224" s="35"/>
      <c r="PVH224" s="35"/>
      <c r="PVI224" s="35"/>
      <c r="PVJ224" s="35"/>
      <c r="PVK224" s="34"/>
      <c r="PVL224" s="34"/>
      <c r="PVM224" s="36"/>
      <c r="PVN224" s="36"/>
      <c r="PVO224" s="37"/>
      <c r="PVP224" s="37"/>
      <c r="PVQ224" s="38"/>
      <c r="PVR224" s="38"/>
      <c r="PVS224" s="39"/>
      <c r="PVT224" s="34"/>
      <c r="PVU224" s="34"/>
      <c r="PVV224" s="34"/>
      <c r="PVW224" s="35"/>
      <c r="PVX224" s="35"/>
      <c r="PVY224" s="35"/>
      <c r="PVZ224" s="35"/>
      <c r="PWA224" s="35"/>
      <c r="PWB224" s="34"/>
      <c r="PWC224" s="34"/>
      <c r="PWD224" s="36"/>
      <c r="PWE224" s="36"/>
      <c r="PWF224" s="37"/>
      <c r="PWG224" s="37"/>
      <c r="PWH224" s="38"/>
      <c r="PWI224" s="38"/>
      <c r="PWJ224" s="39"/>
      <c r="PWK224" s="34"/>
      <c r="PWL224" s="34"/>
      <c r="PWM224" s="34"/>
      <c r="PWN224" s="35"/>
      <c r="PWO224" s="35"/>
      <c r="PWP224" s="35"/>
      <c r="PWQ224" s="35"/>
      <c r="PWR224" s="35"/>
      <c r="PWS224" s="34"/>
      <c r="PWT224" s="34"/>
      <c r="PWU224" s="36"/>
      <c r="PWV224" s="36"/>
      <c r="PWW224" s="37"/>
      <c r="PWX224" s="37"/>
      <c r="PWY224" s="38"/>
      <c r="PWZ224" s="38"/>
      <c r="PXA224" s="39"/>
      <c r="PXB224" s="34"/>
      <c r="PXC224" s="34"/>
      <c r="PXD224" s="34"/>
      <c r="PXE224" s="35"/>
      <c r="PXF224" s="35"/>
      <c r="PXG224" s="35"/>
      <c r="PXH224" s="35"/>
      <c r="PXI224" s="35"/>
      <c r="PXJ224" s="34"/>
      <c r="PXK224" s="34"/>
      <c r="PXL224" s="36"/>
      <c r="PXM224" s="36"/>
      <c r="PXN224" s="37"/>
      <c r="PXO224" s="37"/>
      <c r="PXP224" s="38"/>
      <c r="PXQ224" s="38"/>
      <c r="PXR224" s="39"/>
      <c r="PXS224" s="34"/>
      <c r="PXT224" s="34"/>
      <c r="PXU224" s="34"/>
      <c r="PXV224" s="35"/>
      <c r="PXW224" s="35"/>
      <c r="PXX224" s="35"/>
      <c r="PXY224" s="35"/>
      <c r="PXZ224" s="35"/>
      <c r="PYA224" s="34"/>
      <c r="PYB224" s="34"/>
      <c r="PYC224" s="36"/>
      <c r="PYD224" s="36"/>
      <c r="PYE224" s="37"/>
      <c r="PYF224" s="37"/>
      <c r="PYG224" s="38"/>
      <c r="PYH224" s="38"/>
      <c r="PYI224" s="39"/>
      <c r="PYJ224" s="34"/>
      <c r="PYK224" s="34"/>
      <c r="PYL224" s="34"/>
      <c r="PYM224" s="35"/>
      <c r="PYN224" s="35"/>
      <c r="PYO224" s="35"/>
      <c r="PYP224" s="35"/>
      <c r="PYQ224" s="35"/>
      <c r="PYR224" s="34"/>
      <c r="PYS224" s="34"/>
      <c r="PYT224" s="36"/>
      <c r="PYU224" s="36"/>
      <c r="PYV224" s="37"/>
      <c r="PYW224" s="37"/>
      <c r="PYX224" s="38"/>
      <c r="PYY224" s="38"/>
      <c r="PYZ224" s="39"/>
      <c r="PZA224" s="34"/>
      <c r="PZB224" s="34"/>
      <c r="PZC224" s="34"/>
      <c r="PZD224" s="35"/>
      <c r="PZE224" s="35"/>
      <c r="PZF224" s="35"/>
      <c r="PZG224" s="35"/>
      <c r="PZH224" s="35"/>
      <c r="PZI224" s="34"/>
      <c r="PZJ224" s="34"/>
      <c r="PZK224" s="36"/>
      <c r="PZL224" s="36"/>
      <c r="PZM224" s="37"/>
      <c r="PZN224" s="37"/>
      <c r="PZO224" s="38"/>
      <c r="PZP224" s="38"/>
      <c r="PZQ224" s="39"/>
      <c r="PZR224" s="34"/>
      <c r="PZS224" s="34"/>
      <c r="PZT224" s="34"/>
      <c r="PZU224" s="35"/>
      <c r="PZV224" s="35"/>
      <c r="PZW224" s="35"/>
      <c r="PZX224" s="35"/>
      <c r="PZY224" s="35"/>
      <c r="PZZ224" s="34"/>
      <c r="QAA224" s="34"/>
      <c r="QAB224" s="36"/>
      <c r="QAC224" s="36"/>
      <c r="QAD224" s="37"/>
      <c r="QAE224" s="37"/>
      <c r="QAF224" s="38"/>
      <c r="QAG224" s="38"/>
      <c r="QAH224" s="39"/>
      <c r="QAI224" s="34"/>
      <c r="QAJ224" s="34"/>
      <c r="QAK224" s="34"/>
      <c r="QAL224" s="35"/>
      <c r="QAM224" s="35"/>
      <c r="QAN224" s="35"/>
      <c r="QAO224" s="35"/>
      <c r="QAP224" s="35"/>
      <c r="QAQ224" s="34"/>
      <c r="QAR224" s="34"/>
      <c r="QAS224" s="36"/>
      <c r="QAT224" s="36"/>
      <c r="QAU224" s="37"/>
      <c r="QAV224" s="37"/>
      <c r="QAW224" s="38"/>
      <c r="QAX224" s="38"/>
      <c r="QAY224" s="39"/>
      <c r="QAZ224" s="34"/>
      <c r="QBA224" s="34"/>
      <c r="QBB224" s="34"/>
      <c r="QBC224" s="35"/>
      <c r="QBD224" s="35"/>
      <c r="QBE224" s="35"/>
      <c r="QBF224" s="35"/>
      <c r="QBG224" s="35"/>
      <c r="QBH224" s="34"/>
      <c r="QBI224" s="34"/>
      <c r="QBJ224" s="36"/>
      <c r="QBK224" s="36"/>
      <c r="QBL224" s="37"/>
      <c r="QBM224" s="37"/>
      <c r="QBN224" s="38"/>
      <c r="QBO224" s="38"/>
      <c r="QBP224" s="39"/>
      <c r="QBQ224" s="34"/>
      <c r="QBR224" s="34"/>
      <c r="QBS224" s="34"/>
      <c r="QBT224" s="35"/>
      <c r="QBU224" s="35"/>
      <c r="QBV224" s="35"/>
      <c r="QBW224" s="35"/>
      <c r="QBX224" s="35"/>
      <c r="QBY224" s="34"/>
      <c r="QBZ224" s="34"/>
      <c r="QCA224" s="36"/>
      <c r="QCB224" s="36"/>
      <c r="QCC224" s="37"/>
      <c r="QCD224" s="37"/>
      <c r="QCE224" s="38"/>
      <c r="QCF224" s="38"/>
      <c r="QCG224" s="39"/>
      <c r="QCH224" s="34"/>
      <c r="QCI224" s="34"/>
      <c r="QCJ224" s="34"/>
      <c r="QCK224" s="35"/>
      <c r="QCL224" s="35"/>
      <c r="QCM224" s="35"/>
      <c r="QCN224" s="35"/>
      <c r="QCO224" s="35"/>
      <c r="QCP224" s="34"/>
      <c r="QCQ224" s="34"/>
      <c r="QCR224" s="36"/>
      <c r="QCS224" s="36"/>
      <c r="QCT224" s="37"/>
      <c r="QCU224" s="37"/>
      <c r="QCV224" s="38"/>
      <c r="QCW224" s="38"/>
      <c r="QCX224" s="39"/>
      <c r="QCY224" s="34"/>
      <c r="QCZ224" s="34"/>
      <c r="QDA224" s="34"/>
      <c r="QDB224" s="35"/>
      <c r="QDC224" s="35"/>
      <c r="QDD224" s="35"/>
      <c r="QDE224" s="35"/>
      <c r="QDF224" s="35"/>
      <c r="QDG224" s="34"/>
      <c r="QDH224" s="34"/>
      <c r="QDI224" s="36"/>
      <c r="QDJ224" s="36"/>
      <c r="QDK224" s="37"/>
      <c r="QDL224" s="37"/>
      <c r="QDM224" s="38"/>
      <c r="QDN224" s="38"/>
      <c r="QDO224" s="39"/>
      <c r="QDP224" s="34"/>
      <c r="QDQ224" s="34"/>
      <c r="QDR224" s="34"/>
      <c r="QDS224" s="35"/>
      <c r="QDT224" s="35"/>
      <c r="QDU224" s="35"/>
      <c r="QDV224" s="35"/>
      <c r="QDW224" s="35"/>
      <c r="QDX224" s="34"/>
      <c r="QDY224" s="34"/>
      <c r="QDZ224" s="36"/>
      <c r="QEA224" s="36"/>
      <c r="QEB224" s="37"/>
      <c r="QEC224" s="37"/>
      <c r="QED224" s="38"/>
      <c r="QEE224" s="38"/>
      <c r="QEF224" s="39"/>
      <c r="QEG224" s="34"/>
      <c r="QEH224" s="34"/>
      <c r="QEI224" s="34"/>
      <c r="QEJ224" s="35"/>
      <c r="QEK224" s="35"/>
      <c r="QEL224" s="35"/>
      <c r="QEM224" s="35"/>
      <c r="QEN224" s="35"/>
      <c r="QEO224" s="34"/>
      <c r="QEP224" s="34"/>
      <c r="QEQ224" s="36"/>
      <c r="QER224" s="36"/>
      <c r="QES224" s="37"/>
      <c r="QET224" s="37"/>
      <c r="QEU224" s="38"/>
      <c r="QEV224" s="38"/>
      <c r="QEW224" s="39"/>
      <c r="QEX224" s="34"/>
      <c r="QEY224" s="34"/>
      <c r="QEZ224" s="34"/>
      <c r="QFA224" s="35"/>
      <c r="QFB224" s="35"/>
      <c r="QFC224" s="35"/>
      <c r="QFD224" s="35"/>
      <c r="QFE224" s="35"/>
      <c r="QFF224" s="34"/>
      <c r="QFG224" s="34"/>
      <c r="QFH224" s="36"/>
      <c r="QFI224" s="36"/>
      <c r="QFJ224" s="37"/>
      <c r="QFK224" s="37"/>
      <c r="QFL224" s="38"/>
      <c r="QFM224" s="38"/>
      <c r="QFN224" s="39"/>
      <c r="QFO224" s="34"/>
      <c r="QFP224" s="34"/>
      <c r="QFQ224" s="34"/>
      <c r="QFR224" s="35"/>
      <c r="QFS224" s="35"/>
      <c r="QFT224" s="35"/>
      <c r="QFU224" s="35"/>
      <c r="QFV224" s="35"/>
      <c r="QFW224" s="34"/>
      <c r="QFX224" s="34"/>
      <c r="QFY224" s="36"/>
      <c r="QFZ224" s="36"/>
      <c r="QGA224" s="37"/>
      <c r="QGB224" s="37"/>
      <c r="QGC224" s="38"/>
      <c r="QGD224" s="38"/>
      <c r="QGE224" s="39"/>
      <c r="QGF224" s="34"/>
      <c r="QGG224" s="34"/>
      <c r="QGH224" s="34"/>
      <c r="QGI224" s="35"/>
      <c r="QGJ224" s="35"/>
      <c r="QGK224" s="35"/>
      <c r="QGL224" s="35"/>
      <c r="QGM224" s="35"/>
      <c r="QGN224" s="34"/>
      <c r="QGO224" s="34"/>
      <c r="QGP224" s="36"/>
      <c r="QGQ224" s="36"/>
      <c r="QGR224" s="37"/>
      <c r="QGS224" s="37"/>
      <c r="QGT224" s="38"/>
      <c r="QGU224" s="38"/>
      <c r="QGV224" s="39"/>
      <c r="QGW224" s="34"/>
      <c r="QGX224" s="34"/>
      <c r="QGY224" s="34"/>
      <c r="QGZ224" s="35"/>
      <c r="QHA224" s="35"/>
      <c r="QHB224" s="35"/>
      <c r="QHC224" s="35"/>
      <c r="QHD224" s="35"/>
      <c r="QHE224" s="34"/>
      <c r="QHF224" s="34"/>
      <c r="QHG224" s="36"/>
      <c r="QHH224" s="36"/>
      <c r="QHI224" s="37"/>
      <c r="QHJ224" s="37"/>
      <c r="QHK224" s="38"/>
      <c r="QHL224" s="38"/>
      <c r="QHM224" s="39"/>
      <c r="QHN224" s="34"/>
      <c r="QHO224" s="34"/>
      <c r="QHP224" s="34"/>
      <c r="QHQ224" s="35"/>
      <c r="QHR224" s="35"/>
      <c r="QHS224" s="35"/>
      <c r="QHT224" s="35"/>
      <c r="QHU224" s="35"/>
      <c r="QHV224" s="34"/>
      <c r="QHW224" s="34"/>
      <c r="QHX224" s="36"/>
      <c r="QHY224" s="36"/>
      <c r="QHZ224" s="37"/>
      <c r="QIA224" s="37"/>
      <c r="QIB224" s="38"/>
      <c r="QIC224" s="38"/>
      <c r="QID224" s="39"/>
      <c r="QIE224" s="34"/>
      <c r="QIF224" s="34"/>
      <c r="QIG224" s="34"/>
      <c r="QIH224" s="35"/>
      <c r="QII224" s="35"/>
      <c r="QIJ224" s="35"/>
      <c r="QIK224" s="35"/>
      <c r="QIL224" s="35"/>
      <c r="QIM224" s="34"/>
      <c r="QIN224" s="34"/>
      <c r="QIO224" s="36"/>
      <c r="QIP224" s="36"/>
      <c r="QIQ224" s="37"/>
      <c r="QIR224" s="37"/>
      <c r="QIS224" s="38"/>
      <c r="QIT224" s="38"/>
      <c r="QIU224" s="39"/>
      <c r="QIV224" s="34"/>
      <c r="QIW224" s="34"/>
      <c r="QIX224" s="34"/>
      <c r="QIY224" s="35"/>
      <c r="QIZ224" s="35"/>
      <c r="QJA224" s="35"/>
      <c r="QJB224" s="35"/>
      <c r="QJC224" s="35"/>
      <c r="QJD224" s="34"/>
      <c r="QJE224" s="34"/>
      <c r="QJF224" s="36"/>
      <c r="QJG224" s="36"/>
      <c r="QJH224" s="37"/>
      <c r="QJI224" s="37"/>
      <c r="QJJ224" s="38"/>
      <c r="QJK224" s="38"/>
      <c r="QJL224" s="39"/>
      <c r="QJM224" s="34"/>
      <c r="QJN224" s="34"/>
      <c r="QJO224" s="34"/>
      <c r="QJP224" s="35"/>
      <c r="QJQ224" s="35"/>
      <c r="QJR224" s="35"/>
      <c r="QJS224" s="35"/>
      <c r="QJT224" s="35"/>
      <c r="QJU224" s="34"/>
      <c r="QJV224" s="34"/>
      <c r="QJW224" s="36"/>
      <c r="QJX224" s="36"/>
      <c r="QJY224" s="37"/>
      <c r="QJZ224" s="37"/>
      <c r="QKA224" s="38"/>
      <c r="QKB224" s="38"/>
      <c r="QKC224" s="39"/>
      <c r="QKD224" s="34"/>
      <c r="QKE224" s="34"/>
      <c r="QKF224" s="34"/>
      <c r="QKG224" s="35"/>
      <c r="QKH224" s="35"/>
      <c r="QKI224" s="35"/>
      <c r="QKJ224" s="35"/>
      <c r="QKK224" s="35"/>
      <c r="QKL224" s="34"/>
      <c r="QKM224" s="34"/>
      <c r="QKN224" s="36"/>
      <c r="QKO224" s="36"/>
      <c r="QKP224" s="37"/>
      <c r="QKQ224" s="37"/>
      <c r="QKR224" s="38"/>
      <c r="QKS224" s="38"/>
      <c r="QKT224" s="39"/>
      <c r="QKU224" s="34"/>
      <c r="QKV224" s="34"/>
      <c r="QKW224" s="34"/>
      <c r="QKX224" s="35"/>
      <c r="QKY224" s="35"/>
      <c r="QKZ224" s="35"/>
      <c r="QLA224" s="35"/>
      <c r="QLB224" s="35"/>
      <c r="QLC224" s="34"/>
      <c r="QLD224" s="34"/>
      <c r="QLE224" s="36"/>
      <c r="QLF224" s="36"/>
      <c r="QLG224" s="37"/>
      <c r="QLH224" s="37"/>
      <c r="QLI224" s="38"/>
      <c r="QLJ224" s="38"/>
      <c r="QLK224" s="39"/>
      <c r="QLL224" s="34"/>
      <c r="QLM224" s="34"/>
      <c r="QLN224" s="34"/>
      <c r="QLO224" s="35"/>
      <c r="QLP224" s="35"/>
      <c r="QLQ224" s="35"/>
      <c r="QLR224" s="35"/>
      <c r="QLS224" s="35"/>
      <c r="QLT224" s="34"/>
      <c r="QLU224" s="34"/>
      <c r="QLV224" s="36"/>
      <c r="QLW224" s="36"/>
      <c r="QLX224" s="37"/>
      <c r="QLY224" s="37"/>
      <c r="QLZ224" s="38"/>
      <c r="QMA224" s="38"/>
      <c r="QMB224" s="39"/>
      <c r="QMC224" s="34"/>
      <c r="QMD224" s="34"/>
      <c r="QME224" s="34"/>
      <c r="QMF224" s="35"/>
      <c r="QMG224" s="35"/>
      <c r="QMH224" s="35"/>
      <c r="QMI224" s="35"/>
      <c r="QMJ224" s="35"/>
      <c r="QMK224" s="34"/>
      <c r="QML224" s="34"/>
      <c r="QMM224" s="36"/>
      <c r="QMN224" s="36"/>
      <c r="QMO224" s="37"/>
      <c r="QMP224" s="37"/>
      <c r="QMQ224" s="38"/>
      <c r="QMR224" s="38"/>
      <c r="QMS224" s="39"/>
      <c r="QMT224" s="34"/>
      <c r="QMU224" s="34"/>
      <c r="QMV224" s="34"/>
      <c r="QMW224" s="35"/>
      <c r="QMX224" s="35"/>
      <c r="QMY224" s="35"/>
      <c r="QMZ224" s="35"/>
      <c r="QNA224" s="35"/>
      <c r="QNB224" s="34"/>
      <c r="QNC224" s="34"/>
      <c r="QND224" s="36"/>
      <c r="QNE224" s="36"/>
      <c r="QNF224" s="37"/>
      <c r="QNG224" s="37"/>
      <c r="QNH224" s="38"/>
      <c r="QNI224" s="38"/>
      <c r="QNJ224" s="39"/>
      <c r="QNK224" s="34"/>
      <c r="QNL224" s="34"/>
      <c r="QNM224" s="34"/>
      <c r="QNN224" s="35"/>
      <c r="QNO224" s="35"/>
      <c r="QNP224" s="35"/>
      <c r="QNQ224" s="35"/>
      <c r="QNR224" s="35"/>
      <c r="QNS224" s="34"/>
      <c r="QNT224" s="34"/>
      <c r="QNU224" s="36"/>
      <c r="QNV224" s="36"/>
      <c r="QNW224" s="37"/>
      <c r="QNX224" s="37"/>
      <c r="QNY224" s="38"/>
      <c r="QNZ224" s="38"/>
      <c r="QOA224" s="39"/>
      <c r="QOB224" s="34"/>
      <c r="QOC224" s="34"/>
      <c r="QOD224" s="34"/>
      <c r="QOE224" s="35"/>
      <c r="QOF224" s="35"/>
      <c r="QOG224" s="35"/>
      <c r="QOH224" s="35"/>
      <c r="QOI224" s="35"/>
      <c r="QOJ224" s="34"/>
      <c r="QOK224" s="34"/>
      <c r="QOL224" s="36"/>
      <c r="QOM224" s="36"/>
      <c r="QON224" s="37"/>
      <c r="QOO224" s="37"/>
      <c r="QOP224" s="38"/>
      <c r="QOQ224" s="38"/>
      <c r="QOR224" s="39"/>
      <c r="QOS224" s="34"/>
      <c r="QOT224" s="34"/>
      <c r="QOU224" s="34"/>
      <c r="QOV224" s="35"/>
      <c r="QOW224" s="35"/>
      <c r="QOX224" s="35"/>
      <c r="QOY224" s="35"/>
      <c r="QOZ224" s="35"/>
      <c r="QPA224" s="34"/>
      <c r="QPB224" s="34"/>
      <c r="QPC224" s="36"/>
      <c r="QPD224" s="36"/>
      <c r="QPE224" s="37"/>
      <c r="QPF224" s="37"/>
      <c r="QPG224" s="38"/>
      <c r="QPH224" s="38"/>
      <c r="QPI224" s="39"/>
      <c r="QPJ224" s="34"/>
      <c r="QPK224" s="34"/>
      <c r="QPL224" s="34"/>
      <c r="QPM224" s="35"/>
      <c r="QPN224" s="35"/>
      <c r="QPO224" s="35"/>
      <c r="QPP224" s="35"/>
      <c r="QPQ224" s="35"/>
      <c r="QPR224" s="34"/>
      <c r="QPS224" s="34"/>
      <c r="QPT224" s="36"/>
      <c r="QPU224" s="36"/>
      <c r="QPV224" s="37"/>
      <c r="QPW224" s="37"/>
      <c r="QPX224" s="38"/>
      <c r="QPY224" s="38"/>
      <c r="QPZ224" s="39"/>
      <c r="QQA224" s="34"/>
      <c r="QQB224" s="34"/>
      <c r="QQC224" s="34"/>
      <c r="QQD224" s="35"/>
      <c r="QQE224" s="35"/>
      <c r="QQF224" s="35"/>
      <c r="QQG224" s="35"/>
      <c r="QQH224" s="35"/>
      <c r="QQI224" s="34"/>
      <c r="QQJ224" s="34"/>
      <c r="QQK224" s="36"/>
      <c r="QQL224" s="36"/>
      <c r="QQM224" s="37"/>
      <c r="QQN224" s="37"/>
      <c r="QQO224" s="38"/>
      <c r="QQP224" s="38"/>
      <c r="QQQ224" s="39"/>
      <c r="QQR224" s="34"/>
      <c r="QQS224" s="34"/>
      <c r="QQT224" s="34"/>
      <c r="QQU224" s="35"/>
      <c r="QQV224" s="35"/>
      <c r="QQW224" s="35"/>
      <c r="QQX224" s="35"/>
      <c r="QQY224" s="35"/>
      <c r="QQZ224" s="34"/>
      <c r="QRA224" s="34"/>
      <c r="QRB224" s="36"/>
      <c r="QRC224" s="36"/>
      <c r="QRD224" s="37"/>
      <c r="QRE224" s="37"/>
      <c r="QRF224" s="38"/>
      <c r="QRG224" s="38"/>
      <c r="QRH224" s="39"/>
      <c r="QRI224" s="34"/>
      <c r="QRJ224" s="34"/>
      <c r="QRK224" s="34"/>
      <c r="QRL224" s="35"/>
      <c r="QRM224" s="35"/>
      <c r="QRN224" s="35"/>
      <c r="QRO224" s="35"/>
      <c r="QRP224" s="35"/>
      <c r="QRQ224" s="34"/>
      <c r="QRR224" s="34"/>
      <c r="QRS224" s="36"/>
      <c r="QRT224" s="36"/>
      <c r="QRU224" s="37"/>
      <c r="QRV224" s="37"/>
      <c r="QRW224" s="38"/>
      <c r="QRX224" s="38"/>
      <c r="QRY224" s="39"/>
      <c r="QRZ224" s="34"/>
      <c r="QSA224" s="34"/>
      <c r="QSB224" s="34"/>
      <c r="QSC224" s="35"/>
      <c r="QSD224" s="35"/>
      <c r="QSE224" s="35"/>
      <c r="QSF224" s="35"/>
      <c r="QSG224" s="35"/>
      <c r="QSH224" s="34"/>
      <c r="QSI224" s="34"/>
      <c r="QSJ224" s="36"/>
      <c r="QSK224" s="36"/>
      <c r="QSL224" s="37"/>
      <c r="QSM224" s="37"/>
      <c r="QSN224" s="38"/>
      <c r="QSO224" s="38"/>
      <c r="QSP224" s="39"/>
      <c r="QSQ224" s="34"/>
      <c r="QSR224" s="34"/>
      <c r="QSS224" s="34"/>
      <c r="QST224" s="35"/>
      <c r="QSU224" s="35"/>
      <c r="QSV224" s="35"/>
      <c r="QSW224" s="35"/>
      <c r="QSX224" s="35"/>
      <c r="QSY224" s="34"/>
      <c r="QSZ224" s="34"/>
      <c r="QTA224" s="36"/>
      <c r="QTB224" s="36"/>
      <c r="QTC224" s="37"/>
      <c r="QTD224" s="37"/>
      <c r="QTE224" s="38"/>
      <c r="QTF224" s="38"/>
      <c r="QTG224" s="39"/>
      <c r="QTH224" s="34"/>
      <c r="QTI224" s="34"/>
      <c r="QTJ224" s="34"/>
      <c r="QTK224" s="35"/>
      <c r="QTL224" s="35"/>
      <c r="QTM224" s="35"/>
      <c r="QTN224" s="35"/>
      <c r="QTO224" s="35"/>
      <c r="QTP224" s="34"/>
      <c r="QTQ224" s="34"/>
      <c r="QTR224" s="36"/>
      <c r="QTS224" s="36"/>
      <c r="QTT224" s="37"/>
      <c r="QTU224" s="37"/>
      <c r="QTV224" s="38"/>
      <c r="QTW224" s="38"/>
      <c r="QTX224" s="39"/>
      <c r="QTY224" s="34"/>
      <c r="QTZ224" s="34"/>
      <c r="QUA224" s="34"/>
      <c r="QUB224" s="35"/>
      <c r="QUC224" s="35"/>
      <c r="QUD224" s="35"/>
      <c r="QUE224" s="35"/>
      <c r="QUF224" s="35"/>
      <c r="QUG224" s="34"/>
      <c r="QUH224" s="34"/>
      <c r="QUI224" s="36"/>
      <c r="QUJ224" s="36"/>
      <c r="QUK224" s="37"/>
      <c r="QUL224" s="37"/>
      <c r="QUM224" s="38"/>
      <c r="QUN224" s="38"/>
      <c r="QUO224" s="39"/>
      <c r="QUP224" s="34"/>
      <c r="QUQ224" s="34"/>
      <c r="QUR224" s="34"/>
      <c r="QUS224" s="35"/>
      <c r="QUT224" s="35"/>
      <c r="QUU224" s="35"/>
      <c r="QUV224" s="35"/>
      <c r="QUW224" s="35"/>
      <c r="QUX224" s="34"/>
      <c r="QUY224" s="34"/>
      <c r="QUZ224" s="36"/>
      <c r="QVA224" s="36"/>
      <c r="QVB224" s="37"/>
      <c r="QVC224" s="37"/>
      <c r="QVD224" s="38"/>
      <c r="QVE224" s="38"/>
      <c r="QVF224" s="39"/>
      <c r="QVG224" s="34"/>
      <c r="QVH224" s="34"/>
      <c r="QVI224" s="34"/>
      <c r="QVJ224" s="35"/>
      <c r="QVK224" s="35"/>
      <c r="QVL224" s="35"/>
      <c r="QVM224" s="35"/>
      <c r="QVN224" s="35"/>
      <c r="QVO224" s="34"/>
      <c r="QVP224" s="34"/>
      <c r="QVQ224" s="36"/>
      <c r="QVR224" s="36"/>
      <c r="QVS224" s="37"/>
      <c r="QVT224" s="37"/>
      <c r="QVU224" s="38"/>
      <c r="QVV224" s="38"/>
      <c r="QVW224" s="39"/>
      <c r="QVX224" s="34"/>
      <c r="QVY224" s="34"/>
      <c r="QVZ224" s="34"/>
      <c r="QWA224" s="35"/>
      <c r="QWB224" s="35"/>
      <c r="QWC224" s="35"/>
      <c r="QWD224" s="35"/>
      <c r="QWE224" s="35"/>
      <c r="QWF224" s="34"/>
      <c r="QWG224" s="34"/>
      <c r="QWH224" s="36"/>
      <c r="QWI224" s="36"/>
      <c r="QWJ224" s="37"/>
      <c r="QWK224" s="37"/>
      <c r="QWL224" s="38"/>
      <c r="QWM224" s="38"/>
      <c r="QWN224" s="39"/>
      <c r="QWO224" s="34"/>
      <c r="QWP224" s="34"/>
      <c r="QWQ224" s="34"/>
      <c r="QWR224" s="35"/>
      <c r="QWS224" s="35"/>
      <c r="QWT224" s="35"/>
      <c r="QWU224" s="35"/>
      <c r="QWV224" s="35"/>
      <c r="QWW224" s="34"/>
      <c r="QWX224" s="34"/>
      <c r="QWY224" s="36"/>
      <c r="QWZ224" s="36"/>
      <c r="QXA224" s="37"/>
      <c r="QXB224" s="37"/>
      <c r="QXC224" s="38"/>
      <c r="QXD224" s="38"/>
      <c r="QXE224" s="39"/>
      <c r="QXF224" s="34"/>
      <c r="QXG224" s="34"/>
      <c r="QXH224" s="34"/>
      <c r="QXI224" s="35"/>
      <c r="QXJ224" s="35"/>
      <c r="QXK224" s="35"/>
      <c r="QXL224" s="35"/>
      <c r="QXM224" s="35"/>
      <c r="QXN224" s="34"/>
      <c r="QXO224" s="34"/>
      <c r="QXP224" s="36"/>
      <c r="QXQ224" s="36"/>
      <c r="QXR224" s="37"/>
      <c r="QXS224" s="37"/>
      <c r="QXT224" s="38"/>
      <c r="QXU224" s="38"/>
      <c r="QXV224" s="39"/>
      <c r="QXW224" s="34"/>
      <c r="QXX224" s="34"/>
      <c r="QXY224" s="34"/>
      <c r="QXZ224" s="35"/>
      <c r="QYA224" s="35"/>
      <c r="QYB224" s="35"/>
      <c r="QYC224" s="35"/>
      <c r="QYD224" s="35"/>
      <c r="QYE224" s="34"/>
      <c r="QYF224" s="34"/>
      <c r="QYG224" s="36"/>
      <c r="QYH224" s="36"/>
      <c r="QYI224" s="37"/>
      <c r="QYJ224" s="37"/>
      <c r="QYK224" s="38"/>
      <c r="QYL224" s="38"/>
      <c r="QYM224" s="39"/>
      <c r="QYN224" s="34"/>
      <c r="QYO224" s="34"/>
      <c r="QYP224" s="34"/>
      <c r="QYQ224" s="35"/>
      <c r="QYR224" s="35"/>
      <c r="QYS224" s="35"/>
      <c r="QYT224" s="35"/>
      <c r="QYU224" s="35"/>
      <c r="QYV224" s="34"/>
      <c r="QYW224" s="34"/>
      <c r="QYX224" s="36"/>
      <c r="QYY224" s="36"/>
      <c r="QYZ224" s="37"/>
      <c r="QZA224" s="37"/>
      <c r="QZB224" s="38"/>
      <c r="QZC224" s="38"/>
      <c r="QZD224" s="39"/>
      <c r="QZE224" s="34"/>
      <c r="QZF224" s="34"/>
      <c r="QZG224" s="34"/>
      <c r="QZH224" s="35"/>
      <c r="QZI224" s="35"/>
      <c r="QZJ224" s="35"/>
      <c r="QZK224" s="35"/>
      <c r="QZL224" s="35"/>
      <c r="QZM224" s="34"/>
      <c r="QZN224" s="34"/>
      <c r="QZO224" s="36"/>
      <c r="QZP224" s="36"/>
      <c r="QZQ224" s="37"/>
      <c r="QZR224" s="37"/>
      <c r="QZS224" s="38"/>
      <c r="QZT224" s="38"/>
      <c r="QZU224" s="39"/>
      <c r="QZV224" s="34"/>
      <c r="QZW224" s="34"/>
      <c r="QZX224" s="34"/>
      <c r="QZY224" s="35"/>
      <c r="QZZ224" s="35"/>
      <c r="RAA224" s="35"/>
      <c r="RAB224" s="35"/>
      <c r="RAC224" s="35"/>
      <c r="RAD224" s="34"/>
      <c r="RAE224" s="34"/>
      <c r="RAF224" s="36"/>
      <c r="RAG224" s="36"/>
      <c r="RAH224" s="37"/>
      <c r="RAI224" s="37"/>
      <c r="RAJ224" s="38"/>
      <c r="RAK224" s="38"/>
      <c r="RAL224" s="39"/>
      <c r="RAM224" s="34"/>
      <c r="RAN224" s="34"/>
      <c r="RAO224" s="34"/>
      <c r="RAP224" s="35"/>
      <c r="RAQ224" s="35"/>
      <c r="RAR224" s="35"/>
      <c r="RAS224" s="35"/>
      <c r="RAT224" s="35"/>
      <c r="RAU224" s="34"/>
      <c r="RAV224" s="34"/>
      <c r="RAW224" s="36"/>
      <c r="RAX224" s="36"/>
      <c r="RAY224" s="37"/>
      <c r="RAZ224" s="37"/>
      <c r="RBA224" s="38"/>
      <c r="RBB224" s="38"/>
      <c r="RBC224" s="39"/>
      <c r="RBD224" s="34"/>
      <c r="RBE224" s="34"/>
      <c r="RBF224" s="34"/>
      <c r="RBG224" s="35"/>
      <c r="RBH224" s="35"/>
      <c r="RBI224" s="35"/>
      <c r="RBJ224" s="35"/>
      <c r="RBK224" s="35"/>
      <c r="RBL224" s="34"/>
      <c r="RBM224" s="34"/>
      <c r="RBN224" s="36"/>
      <c r="RBO224" s="36"/>
      <c r="RBP224" s="37"/>
      <c r="RBQ224" s="37"/>
      <c r="RBR224" s="38"/>
      <c r="RBS224" s="38"/>
      <c r="RBT224" s="39"/>
      <c r="RBU224" s="34"/>
      <c r="RBV224" s="34"/>
      <c r="RBW224" s="34"/>
      <c r="RBX224" s="35"/>
      <c r="RBY224" s="35"/>
      <c r="RBZ224" s="35"/>
      <c r="RCA224" s="35"/>
      <c r="RCB224" s="35"/>
      <c r="RCC224" s="34"/>
      <c r="RCD224" s="34"/>
      <c r="RCE224" s="36"/>
      <c r="RCF224" s="36"/>
      <c r="RCG224" s="37"/>
      <c r="RCH224" s="37"/>
      <c r="RCI224" s="38"/>
      <c r="RCJ224" s="38"/>
      <c r="RCK224" s="39"/>
      <c r="RCL224" s="34"/>
      <c r="RCM224" s="34"/>
      <c r="RCN224" s="34"/>
      <c r="RCO224" s="35"/>
      <c r="RCP224" s="35"/>
      <c r="RCQ224" s="35"/>
      <c r="RCR224" s="35"/>
      <c r="RCS224" s="35"/>
      <c r="RCT224" s="34"/>
      <c r="RCU224" s="34"/>
      <c r="RCV224" s="36"/>
      <c r="RCW224" s="36"/>
      <c r="RCX224" s="37"/>
      <c r="RCY224" s="37"/>
      <c r="RCZ224" s="38"/>
      <c r="RDA224" s="38"/>
      <c r="RDB224" s="39"/>
      <c r="RDC224" s="34"/>
      <c r="RDD224" s="34"/>
      <c r="RDE224" s="34"/>
      <c r="RDF224" s="35"/>
      <c r="RDG224" s="35"/>
      <c r="RDH224" s="35"/>
      <c r="RDI224" s="35"/>
      <c r="RDJ224" s="35"/>
      <c r="RDK224" s="34"/>
      <c r="RDL224" s="34"/>
      <c r="RDM224" s="36"/>
      <c r="RDN224" s="36"/>
      <c r="RDO224" s="37"/>
      <c r="RDP224" s="37"/>
      <c r="RDQ224" s="38"/>
      <c r="RDR224" s="38"/>
      <c r="RDS224" s="39"/>
      <c r="RDT224" s="34"/>
      <c r="RDU224" s="34"/>
      <c r="RDV224" s="34"/>
      <c r="RDW224" s="35"/>
      <c r="RDX224" s="35"/>
      <c r="RDY224" s="35"/>
      <c r="RDZ224" s="35"/>
      <c r="REA224" s="35"/>
      <c r="REB224" s="34"/>
      <c r="REC224" s="34"/>
      <c r="RED224" s="36"/>
      <c r="REE224" s="36"/>
      <c r="REF224" s="37"/>
      <c r="REG224" s="37"/>
      <c r="REH224" s="38"/>
      <c r="REI224" s="38"/>
      <c r="REJ224" s="39"/>
      <c r="REK224" s="34"/>
      <c r="REL224" s="34"/>
      <c r="REM224" s="34"/>
      <c r="REN224" s="35"/>
      <c r="REO224" s="35"/>
      <c r="REP224" s="35"/>
      <c r="REQ224" s="35"/>
      <c r="RER224" s="35"/>
      <c r="RES224" s="34"/>
      <c r="RET224" s="34"/>
      <c r="REU224" s="36"/>
      <c r="REV224" s="36"/>
      <c r="REW224" s="37"/>
      <c r="REX224" s="37"/>
      <c r="REY224" s="38"/>
      <c r="REZ224" s="38"/>
      <c r="RFA224" s="39"/>
      <c r="RFB224" s="34"/>
      <c r="RFC224" s="34"/>
      <c r="RFD224" s="34"/>
      <c r="RFE224" s="35"/>
      <c r="RFF224" s="35"/>
      <c r="RFG224" s="35"/>
      <c r="RFH224" s="35"/>
      <c r="RFI224" s="35"/>
      <c r="RFJ224" s="34"/>
      <c r="RFK224" s="34"/>
      <c r="RFL224" s="36"/>
      <c r="RFM224" s="36"/>
      <c r="RFN224" s="37"/>
      <c r="RFO224" s="37"/>
      <c r="RFP224" s="38"/>
      <c r="RFQ224" s="38"/>
      <c r="RFR224" s="39"/>
      <c r="RFS224" s="34"/>
      <c r="RFT224" s="34"/>
      <c r="RFU224" s="34"/>
      <c r="RFV224" s="35"/>
      <c r="RFW224" s="35"/>
      <c r="RFX224" s="35"/>
      <c r="RFY224" s="35"/>
      <c r="RFZ224" s="35"/>
      <c r="RGA224" s="34"/>
      <c r="RGB224" s="34"/>
      <c r="RGC224" s="36"/>
      <c r="RGD224" s="36"/>
      <c r="RGE224" s="37"/>
      <c r="RGF224" s="37"/>
      <c r="RGG224" s="38"/>
      <c r="RGH224" s="38"/>
      <c r="RGI224" s="39"/>
      <c r="RGJ224" s="34"/>
      <c r="RGK224" s="34"/>
      <c r="RGL224" s="34"/>
      <c r="RGM224" s="35"/>
      <c r="RGN224" s="35"/>
      <c r="RGO224" s="35"/>
      <c r="RGP224" s="35"/>
      <c r="RGQ224" s="35"/>
      <c r="RGR224" s="34"/>
      <c r="RGS224" s="34"/>
      <c r="RGT224" s="36"/>
      <c r="RGU224" s="36"/>
      <c r="RGV224" s="37"/>
      <c r="RGW224" s="37"/>
      <c r="RGX224" s="38"/>
      <c r="RGY224" s="38"/>
      <c r="RGZ224" s="39"/>
      <c r="RHA224" s="34"/>
      <c r="RHB224" s="34"/>
      <c r="RHC224" s="34"/>
      <c r="RHD224" s="35"/>
      <c r="RHE224" s="35"/>
      <c r="RHF224" s="35"/>
      <c r="RHG224" s="35"/>
      <c r="RHH224" s="35"/>
      <c r="RHI224" s="34"/>
      <c r="RHJ224" s="34"/>
      <c r="RHK224" s="36"/>
      <c r="RHL224" s="36"/>
      <c r="RHM224" s="37"/>
      <c r="RHN224" s="37"/>
      <c r="RHO224" s="38"/>
      <c r="RHP224" s="38"/>
      <c r="RHQ224" s="39"/>
      <c r="RHR224" s="34"/>
      <c r="RHS224" s="34"/>
      <c r="RHT224" s="34"/>
      <c r="RHU224" s="35"/>
      <c r="RHV224" s="35"/>
      <c r="RHW224" s="35"/>
      <c r="RHX224" s="35"/>
      <c r="RHY224" s="35"/>
      <c r="RHZ224" s="34"/>
      <c r="RIA224" s="34"/>
      <c r="RIB224" s="36"/>
      <c r="RIC224" s="36"/>
      <c r="RID224" s="37"/>
      <c r="RIE224" s="37"/>
      <c r="RIF224" s="38"/>
      <c r="RIG224" s="38"/>
      <c r="RIH224" s="39"/>
      <c r="RII224" s="34"/>
      <c r="RIJ224" s="34"/>
      <c r="RIK224" s="34"/>
      <c r="RIL224" s="35"/>
      <c r="RIM224" s="35"/>
      <c r="RIN224" s="35"/>
      <c r="RIO224" s="35"/>
      <c r="RIP224" s="35"/>
      <c r="RIQ224" s="34"/>
      <c r="RIR224" s="34"/>
      <c r="RIS224" s="36"/>
      <c r="RIT224" s="36"/>
      <c r="RIU224" s="37"/>
      <c r="RIV224" s="37"/>
      <c r="RIW224" s="38"/>
      <c r="RIX224" s="38"/>
      <c r="RIY224" s="39"/>
      <c r="RIZ224" s="34"/>
      <c r="RJA224" s="34"/>
      <c r="RJB224" s="34"/>
      <c r="RJC224" s="35"/>
      <c r="RJD224" s="35"/>
      <c r="RJE224" s="35"/>
      <c r="RJF224" s="35"/>
      <c r="RJG224" s="35"/>
      <c r="RJH224" s="34"/>
      <c r="RJI224" s="34"/>
      <c r="RJJ224" s="36"/>
      <c r="RJK224" s="36"/>
      <c r="RJL224" s="37"/>
      <c r="RJM224" s="37"/>
      <c r="RJN224" s="38"/>
      <c r="RJO224" s="38"/>
      <c r="RJP224" s="39"/>
      <c r="RJQ224" s="34"/>
      <c r="RJR224" s="34"/>
      <c r="RJS224" s="34"/>
      <c r="RJT224" s="35"/>
      <c r="RJU224" s="35"/>
      <c r="RJV224" s="35"/>
      <c r="RJW224" s="35"/>
      <c r="RJX224" s="35"/>
      <c r="RJY224" s="34"/>
      <c r="RJZ224" s="34"/>
      <c r="RKA224" s="36"/>
      <c r="RKB224" s="36"/>
      <c r="RKC224" s="37"/>
      <c r="RKD224" s="37"/>
      <c r="RKE224" s="38"/>
      <c r="RKF224" s="38"/>
      <c r="RKG224" s="39"/>
      <c r="RKH224" s="34"/>
      <c r="RKI224" s="34"/>
      <c r="RKJ224" s="34"/>
      <c r="RKK224" s="35"/>
      <c r="RKL224" s="35"/>
      <c r="RKM224" s="35"/>
      <c r="RKN224" s="35"/>
      <c r="RKO224" s="35"/>
      <c r="RKP224" s="34"/>
      <c r="RKQ224" s="34"/>
      <c r="RKR224" s="36"/>
      <c r="RKS224" s="36"/>
      <c r="RKT224" s="37"/>
      <c r="RKU224" s="37"/>
      <c r="RKV224" s="38"/>
      <c r="RKW224" s="38"/>
      <c r="RKX224" s="39"/>
      <c r="RKY224" s="34"/>
      <c r="RKZ224" s="34"/>
      <c r="RLA224" s="34"/>
      <c r="RLB224" s="35"/>
      <c r="RLC224" s="35"/>
      <c r="RLD224" s="35"/>
      <c r="RLE224" s="35"/>
      <c r="RLF224" s="35"/>
      <c r="RLG224" s="34"/>
      <c r="RLH224" s="34"/>
      <c r="RLI224" s="36"/>
      <c r="RLJ224" s="36"/>
      <c r="RLK224" s="37"/>
      <c r="RLL224" s="37"/>
      <c r="RLM224" s="38"/>
      <c r="RLN224" s="38"/>
      <c r="RLO224" s="39"/>
      <c r="RLP224" s="34"/>
      <c r="RLQ224" s="34"/>
      <c r="RLR224" s="34"/>
      <c r="RLS224" s="35"/>
      <c r="RLT224" s="35"/>
      <c r="RLU224" s="35"/>
      <c r="RLV224" s="35"/>
      <c r="RLW224" s="35"/>
      <c r="RLX224" s="34"/>
      <c r="RLY224" s="34"/>
      <c r="RLZ224" s="36"/>
      <c r="RMA224" s="36"/>
      <c r="RMB224" s="37"/>
      <c r="RMC224" s="37"/>
      <c r="RMD224" s="38"/>
      <c r="RME224" s="38"/>
      <c r="RMF224" s="39"/>
      <c r="RMG224" s="34"/>
      <c r="RMH224" s="34"/>
      <c r="RMI224" s="34"/>
      <c r="RMJ224" s="35"/>
      <c r="RMK224" s="35"/>
      <c r="RML224" s="35"/>
      <c r="RMM224" s="35"/>
      <c r="RMN224" s="35"/>
      <c r="RMO224" s="34"/>
      <c r="RMP224" s="34"/>
      <c r="RMQ224" s="36"/>
      <c r="RMR224" s="36"/>
      <c r="RMS224" s="37"/>
      <c r="RMT224" s="37"/>
      <c r="RMU224" s="38"/>
      <c r="RMV224" s="38"/>
      <c r="RMW224" s="39"/>
      <c r="RMX224" s="34"/>
      <c r="RMY224" s="34"/>
      <c r="RMZ224" s="34"/>
      <c r="RNA224" s="35"/>
      <c r="RNB224" s="35"/>
      <c r="RNC224" s="35"/>
      <c r="RND224" s="35"/>
      <c r="RNE224" s="35"/>
      <c r="RNF224" s="34"/>
      <c r="RNG224" s="34"/>
      <c r="RNH224" s="36"/>
      <c r="RNI224" s="36"/>
      <c r="RNJ224" s="37"/>
      <c r="RNK224" s="37"/>
      <c r="RNL224" s="38"/>
      <c r="RNM224" s="38"/>
      <c r="RNN224" s="39"/>
      <c r="RNO224" s="34"/>
      <c r="RNP224" s="34"/>
      <c r="RNQ224" s="34"/>
      <c r="RNR224" s="35"/>
      <c r="RNS224" s="35"/>
      <c r="RNT224" s="35"/>
      <c r="RNU224" s="35"/>
      <c r="RNV224" s="35"/>
      <c r="RNW224" s="34"/>
      <c r="RNX224" s="34"/>
      <c r="RNY224" s="36"/>
      <c r="RNZ224" s="36"/>
      <c r="ROA224" s="37"/>
      <c r="ROB224" s="37"/>
      <c r="ROC224" s="38"/>
      <c r="ROD224" s="38"/>
      <c r="ROE224" s="39"/>
      <c r="ROF224" s="34"/>
      <c r="ROG224" s="34"/>
      <c r="ROH224" s="34"/>
      <c r="ROI224" s="35"/>
      <c r="ROJ224" s="35"/>
      <c r="ROK224" s="35"/>
      <c r="ROL224" s="35"/>
      <c r="ROM224" s="35"/>
      <c r="RON224" s="34"/>
      <c r="ROO224" s="34"/>
      <c r="ROP224" s="36"/>
      <c r="ROQ224" s="36"/>
      <c r="ROR224" s="37"/>
      <c r="ROS224" s="37"/>
      <c r="ROT224" s="38"/>
      <c r="ROU224" s="38"/>
      <c r="ROV224" s="39"/>
      <c r="ROW224" s="34"/>
      <c r="ROX224" s="34"/>
      <c r="ROY224" s="34"/>
      <c r="ROZ224" s="35"/>
      <c r="RPA224" s="35"/>
      <c r="RPB224" s="35"/>
      <c r="RPC224" s="35"/>
      <c r="RPD224" s="35"/>
      <c r="RPE224" s="34"/>
      <c r="RPF224" s="34"/>
      <c r="RPG224" s="36"/>
      <c r="RPH224" s="36"/>
      <c r="RPI224" s="37"/>
      <c r="RPJ224" s="37"/>
      <c r="RPK224" s="38"/>
      <c r="RPL224" s="38"/>
      <c r="RPM224" s="39"/>
      <c r="RPN224" s="34"/>
      <c r="RPO224" s="34"/>
      <c r="RPP224" s="34"/>
      <c r="RPQ224" s="35"/>
      <c r="RPR224" s="35"/>
      <c r="RPS224" s="35"/>
      <c r="RPT224" s="35"/>
      <c r="RPU224" s="35"/>
      <c r="RPV224" s="34"/>
      <c r="RPW224" s="34"/>
      <c r="RPX224" s="36"/>
      <c r="RPY224" s="36"/>
      <c r="RPZ224" s="37"/>
      <c r="RQA224" s="37"/>
      <c r="RQB224" s="38"/>
      <c r="RQC224" s="38"/>
      <c r="RQD224" s="39"/>
      <c r="RQE224" s="34"/>
      <c r="RQF224" s="34"/>
      <c r="RQG224" s="34"/>
      <c r="RQH224" s="35"/>
      <c r="RQI224" s="35"/>
      <c r="RQJ224" s="35"/>
      <c r="RQK224" s="35"/>
      <c r="RQL224" s="35"/>
      <c r="RQM224" s="34"/>
      <c r="RQN224" s="34"/>
      <c r="RQO224" s="36"/>
      <c r="RQP224" s="36"/>
      <c r="RQQ224" s="37"/>
      <c r="RQR224" s="37"/>
      <c r="RQS224" s="38"/>
      <c r="RQT224" s="38"/>
      <c r="RQU224" s="39"/>
      <c r="RQV224" s="34"/>
      <c r="RQW224" s="34"/>
      <c r="RQX224" s="34"/>
      <c r="RQY224" s="35"/>
      <c r="RQZ224" s="35"/>
      <c r="RRA224" s="35"/>
      <c r="RRB224" s="35"/>
      <c r="RRC224" s="35"/>
      <c r="RRD224" s="34"/>
      <c r="RRE224" s="34"/>
      <c r="RRF224" s="36"/>
      <c r="RRG224" s="36"/>
      <c r="RRH224" s="37"/>
      <c r="RRI224" s="37"/>
      <c r="RRJ224" s="38"/>
      <c r="RRK224" s="38"/>
      <c r="RRL224" s="39"/>
      <c r="RRM224" s="34"/>
      <c r="RRN224" s="34"/>
      <c r="RRO224" s="34"/>
      <c r="RRP224" s="35"/>
      <c r="RRQ224" s="35"/>
      <c r="RRR224" s="35"/>
      <c r="RRS224" s="35"/>
      <c r="RRT224" s="35"/>
      <c r="RRU224" s="34"/>
      <c r="RRV224" s="34"/>
      <c r="RRW224" s="36"/>
      <c r="RRX224" s="36"/>
      <c r="RRY224" s="37"/>
      <c r="RRZ224" s="37"/>
      <c r="RSA224" s="38"/>
      <c r="RSB224" s="38"/>
      <c r="RSC224" s="39"/>
      <c r="RSD224" s="34"/>
      <c r="RSE224" s="34"/>
      <c r="RSF224" s="34"/>
      <c r="RSG224" s="35"/>
      <c r="RSH224" s="35"/>
      <c r="RSI224" s="35"/>
      <c r="RSJ224" s="35"/>
      <c r="RSK224" s="35"/>
      <c r="RSL224" s="34"/>
      <c r="RSM224" s="34"/>
      <c r="RSN224" s="36"/>
      <c r="RSO224" s="36"/>
      <c r="RSP224" s="37"/>
      <c r="RSQ224" s="37"/>
      <c r="RSR224" s="38"/>
      <c r="RSS224" s="38"/>
      <c r="RST224" s="39"/>
      <c r="RSU224" s="34"/>
      <c r="RSV224" s="34"/>
      <c r="RSW224" s="34"/>
      <c r="RSX224" s="35"/>
      <c r="RSY224" s="35"/>
      <c r="RSZ224" s="35"/>
      <c r="RTA224" s="35"/>
      <c r="RTB224" s="35"/>
      <c r="RTC224" s="34"/>
      <c r="RTD224" s="34"/>
      <c r="RTE224" s="36"/>
      <c r="RTF224" s="36"/>
      <c r="RTG224" s="37"/>
      <c r="RTH224" s="37"/>
      <c r="RTI224" s="38"/>
      <c r="RTJ224" s="38"/>
      <c r="RTK224" s="39"/>
      <c r="RTL224" s="34"/>
      <c r="RTM224" s="34"/>
      <c r="RTN224" s="34"/>
      <c r="RTO224" s="35"/>
      <c r="RTP224" s="35"/>
      <c r="RTQ224" s="35"/>
      <c r="RTR224" s="35"/>
      <c r="RTS224" s="35"/>
      <c r="RTT224" s="34"/>
      <c r="RTU224" s="34"/>
      <c r="RTV224" s="36"/>
      <c r="RTW224" s="36"/>
      <c r="RTX224" s="37"/>
      <c r="RTY224" s="37"/>
      <c r="RTZ224" s="38"/>
      <c r="RUA224" s="38"/>
      <c r="RUB224" s="39"/>
      <c r="RUC224" s="34"/>
      <c r="RUD224" s="34"/>
      <c r="RUE224" s="34"/>
      <c r="RUF224" s="35"/>
      <c r="RUG224" s="35"/>
      <c r="RUH224" s="35"/>
      <c r="RUI224" s="35"/>
      <c r="RUJ224" s="35"/>
      <c r="RUK224" s="34"/>
      <c r="RUL224" s="34"/>
      <c r="RUM224" s="36"/>
      <c r="RUN224" s="36"/>
      <c r="RUO224" s="37"/>
      <c r="RUP224" s="37"/>
      <c r="RUQ224" s="38"/>
      <c r="RUR224" s="38"/>
      <c r="RUS224" s="39"/>
      <c r="RUT224" s="34"/>
      <c r="RUU224" s="34"/>
      <c r="RUV224" s="34"/>
      <c r="RUW224" s="35"/>
      <c r="RUX224" s="35"/>
      <c r="RUY224" s="35"/>
      <c r="RUZ224" s="35"/>
      <c r="RVA224" s="35"/>
      <c r="RVB224" s="34"/>
      <c r="RVC224" s="34"/>
      <c r="RVD224" s="36"/>
      <c r="RVE224" s="36"/>
      <c r="RVF224" s="37"/>
      <c r="RVG224" s="37"/>
      <c r="RVH224" s="38"/>
      <c r="RVI224" s="38"/>
      <c r="RVJ224" s="39"/>
      <c r="RVK224" s="34"/>
      <c r="RVL224" s="34"/>
      <c r="RVM224" s="34"/>
      <c r="RVN224" s="35"/>
      <c r="RVO224" s="35"/>
      <c r="RVP224" s="35"/>
      <c r="RVQ224" s="35"/>
      <c r="RVR224" s="35"/>
      <c r="RVS224" s="34"/>
      <c r="RVT224" s="34"/>
      <c r="RVU224" s="36"/>
      <c r="RVV224" s="36"/>
      <c r="RVW224" s="37"/>
      <c r="RVX224" s="37"/>
      <c r="RVY224" s="38"/>
      <c r="RVZ224" s="38"/>
      <c r="RWA224" s="39"/>
      <c r="RWB224" s="34"/>
      <c r="RWC224" s="34"/>
      <c r="RWD224" s="34"/>
      <c r="RWE224" s="35"/>
      <c r="RWF224" s="35"/>
      <c r="RWG224" s="35"/>
      <c r="RWH224" s="35"/>
      <c r="RWI224" s="35"/>
      <c r="RWJ224" s="34"/>
      <c r="RWK224" s="34"/>
      <c r="RWL224" s="36"/>
      <c r="RWM224" s="36"/>
      <c r="RWN224" s="37"/>
      <c r="RWO224" s="37"/>
      <c r="RWP224" s="38"/>
      <c r="RWQ224" s="38"/>
      <c r="RWR224" s="39"/>
      <c r="RWS224" s="34"/>
      <c r="RWT224" s="34"/>
      <c r="RWU224" s="34"/>
      <c r="RWV224" s="35"/>
      <c r="RWW224" s="35"/>
      <c r="RWX224" s="35"/>
      <c r="RWY224" s="35"/>
      <c r="RWZ224" s="35"/>
      <c r="RXA224" s="34"/>
      <c r="RXB224" s="34"/>
      <c r="RXC224" s="36"/>
      <c r="RXD224" s="36"/>
      <c r="RXE224" s="37"/>
      <c r="RXF224" s="37"/>
      <c r="RXG224" s="38"/>
      <c r="RXH224" s="38"/>
      <c r="RXI224" s="39"/>
      <c r="RXJ224" s="34"/>
      <c r="RXK224" s="34"/>
      <c r="RXL224" s="34"/>
      <c r="RXM224" s="35"/>
      <c r="RXN224" s="35"/>
      <c r="RXO224" s="35"/>
      <c r="RXP224" s="35"/>
      <c r="RXQ224" s="35"/>
      <c r="RXR224" s="34"/>
      <c r="RXS224" s="34"/>
      <c r="RXT224" s="36"/>
      <c r="RXU224" s="36"/>
      <c r="RXV224" s="37"/>
      <c r="RXW224" s="37"/>
      <c r="RXX224" s="38"/>
      <c r="RXY224" s="38"/>
      <c r="RXZ224" s="39"/>
      <c r="RYA224" s="34"/>
      <c r="RYB224" s="34"/>
      <c r="RYC224" s="34"/>
      <c r="RYD224" s="35"/>
      <c r="RYE224" s="35"/>
      <c r="RYF224" s="35"/>
      <c r="RYG224" s="35"/>
      <c r="RYH224" s="35"/>
      <c r="RYI224" s="34"/>
      <c r="RYJ224" s="34"/>
      <c r="RYK224" s="36"/>
      <c r="RYL224" s="36"/>
      <c r="RYM224" s="37"/>
      <c r="RYN224" s="37"/>
      <c r="RYO224" s="38"/>
      <c r="RYP224" s="38"/>
      <c r="RYQ224" s="39"/>
      <c r="RYR224" s="34"/>
      <c r="RYS224" s="34"/>
      <c r="RYT224" s="34"/>
      <c r="RYU224" s="35"/>
      <c r="RYV224" s="35"/>
      <c r="RYW224" s="35"/>
      <c r="RYX224" s="35"/>
      <c r="RYY224" s="35"/>
      <c r="RYZ224" s="34"/>
      <c r="RZA224" s="34"/>
      <c r="RZB224" s="36"/>
      <c r="RZC224" s="36"/>
      <c r="RZD224" s="37"/>
      <c r="RZE224" s="37"/>
      <c r="RZF224" s="38"/>
      <c r="RZG224" s="38"/>
      <c r="RZH224" s="39"/>
      <c r="RZI224" s="34"/>
      <c r="RZJ224" s="34"/>
      <c r="RZK224" s="34"/>
      <c r="RZL224" s="35"/>
      <c r="RZM224" s="35"/>
      <c r="RZN224" s="35"/>
      <c r="RZO224" s="35"/>
      <c r="RZP224" s="35"/>
      <c r="RZQ224" s="34"/>
      <c r="RZR224" s="34"/>
      <c r="RZS224" s="36"/>
      <c r="RZT224" s="36"/>
      <c r="RZU224" s="37"/>
      <c r="RZV224" s="37"/>
      <c r="RZW224" s="38"/>
      <c r="RZX224" s="38"/>
      <c r="RZY224" s="39"/>
      <c r="RZZ224" s="34"/>
      <c r="SAA224" s="34"/>
      <c r="SAB224" s="34"/>
      <c r="SAC224" s="35"/>
      <c r="SAD224" s="35"/>
      <c r="SAE224" s="35"/>
      <c r="SAF224" s="35"/>
      <c r="SAG224" s="35"/>
      <c r="SAH224" s="34"/>
      <c r="SAI224" s="34"/>
      <c r="SAJ224" s="36"/>
      <c r="SAK224" s="36"/>
      <c r="SAL224" s="37"/>
      <c r="SAM224" s="37"/>
      <c r="SAN224" s="38"/>
      <c r="SAO224" s="38"/>
      <c r="SAP224" s="39"/>
      <c r="SAQ224" s="34"/>
      <c r="SAR224" s="34"/>
      <c r="SAS224" s="34"/>
      <c r="SAT224" s="35"/>
      <c r="SAU224" s="35"/>
      <c r="SAV224" s="35"/>
      <c r="SAW224" s="35"/>
      <c r="SAX224" s="35"/>
      <c r="SAY224" s="34"/>
      <c r="SAZ224" s="34"/>
      <c r="SBA224" s="36"/>
      <c r="SBB224" s="36"/>
      <c r="SBC224" s="37"/>
      <c r="SBD224" s="37"/>
      <c r="SBE224" s="38"/>
      <c r="SBF224" s="38"/>
      <c r="SBG224" s="39"/>
      <c r="SBH224" s="34"/>
      <c r="SBI224" s="34"/>
      <c r="SBJ224" s="34"/>
      <c r="SBK224" s="35"/>
      <c r="SBL224" s="35"/>
      <c r="SBM224" s="35"/>
      <c r="SBN224" s="35"/>
      <c r="SBO224" s="35"/>
      <c r="SBP224" s="34"/>
      <c r="SBQ224" s="34"/>
      <c r="SBR224" s="36"/>
      <c r="SBS224" s="36"/>
      <c r="SBT224" s="37"/>
      <c r="SBU224" s="37"/>
      <c r="SBV224" s="38"/>
      <c r="SBW224" s="38"/>
      <c r="SBX224" s="39"/>
      <c r="SBY224" s="34"/>
      <c r="SBZ224" s="34"/>
      <c r="SCA224" s="34"/>
      <c r="SCB224" s="35"/>
      <c r="SCC224" s="35"/>
      <c r="SCD224" s="35"/>
      <c r="SCE224" s="35"/>
      <c r="SCF224" s="35"/>
      <c r="SCG224" s="34"/>
      <c r="SCH224" s="34"/>
      <c r="SCI224" s="36"/>
      <c r="SCJ224" s="36"/>
      <c r="SCK224" s="37"/>
      <c r="SCL224" s="37"/>
      <c r="SCM224" s="38"/>
      <c r="SCN224" s="38"/>
      <c r="SCO224" s="39"/>
      <c r="SCP224" s="34"/>
      <c r="SCQ224" s="34"/>
      <c r="SCR224" s="34"/>
      <c r="SCS224" s="35"/>
      <c r="SCT224" s="35"/>
      <c r="SCU224" s="35"/>
      <c r="SCV224" s="35"/>
      <c r="SCW224" s="35"/>
      <c r="SCX224" s="34"/>
      <c r="SCY224" s="34"/>
      <c r="SCZ224" s="36"/>
      <c r="SDA224" s="36"/>
      <c r="SDB224" s="37"/>
      <c r="SDC224" s="37"/>
      <c r="SDD224" s="38"/>
      <c r="SDE224" s="38"/>
      <c r="SDF224" s="39"/>
      <c r="SDG224" s="34"/>
      <c r="SDH224" s="34"/>
      <c r="SDI224" s="34"/>
      <c r="SDJ224" s="35"/>
      <c r="SDK224" s="35"/>
      <c r="SDL224" s="35"/>
      <c r="SDM224" s="35"/>
      <c r="SDN224" s="35"/>
      <c r="SDO224" s="34"/>
      <c r="SDP224" s="34"/>
      <c r="SDQ224" s="36"/>
      <c r="SDR224" s="36"/>
      <c r="SDS224" s="37"/>
      <c r="SDT224" s="37"/>
      <c r="SDU224" s="38"/>
      <c r="SDV224" s="38"/>
      <c r="SDW224" s="39"/>
      <c r="SDX224" s="34"/>
      <c r="SDY224" s="34"/>
      <c r="SDZ224" s="34"/>
      <c r="SEA224" s="35"/>
      <c r="SEB224" s="35"/>
      <c r="SEC224" s="35"/>
      <c r="SED224" s="35"/>
      <c r="SEE224" s="35"/>
      <c r="SEF224" s="34"/>
      <c r="SEG224" s="34"/>
      <c r="SEH224" s="36"/>
      <c r="SEI224" s="36"/>
      <c r="SEJ224" s="37"/>
      <c r="SEK224" s="37"/>
      <c r="SEL224" s="38"/>
      <c r="SEM224" s="38"/>
      <c r="SEN224" s="39"/>
      <c r="SEO224" s="34"/>
      <c r="SEP224" s="34"/>
      <c r="SEQ224" s="34"/>
      <c r="SER224" s="35"/>
      <c r="SES224" s="35"/>
      <c r="SET224" s="35"/>
      <c r="SEU224" s="35"/>
      <c r="SEV224" s="35"/>
      <c r="SEW224" s="34"/>
      <c r="SEX224" s="34"/>
      <c r="SEY224" s="36"/>
      <c r="SEZ224" s="36"/>
      <c r="SFA224" s="37"/>
      <c r="SFB224" s="37"/>
      <c r="SFC224" s="38"/>
      <c r="SFD224" s="38"/>
      <c r="SFE224" s="39"/>
      <c r="SFF224" s="34"/>
      <c r="SFG224" s="34"/>
      <c r="SFH224" s="34"/>
      <c r="SFI224" s="35"/>
      <c r="SFJ224" s="35"/>
      <c r="SFK224" s="35"/>
      <c r="SFL224" s="35"/>
      <c r="SFM224" s="35"/>
      <c r="SFN224" s="34"/>
      <c r="SFO224" s="34"/>
      <c r="SFP224" s="36"/>
      <c r="SFQ224" s="36"/>
      <c r="SFR224" s="37"/>
      <c r="SFS224" s="37"/>
      <c r="SFT224" s="38"/>
      <c r="SFU224" s="38"/>
      <c r="SFV224" s="39"/>
      <c r="SFW224" s="34"/>
      <c r="SFX224" s="34"/>
      <c r="SFY224" s="34"/>
      <c r="SFZ224" s="35"/>
      <c r="SGA224" s="35"/>
      <c r="SGB224" s="35"/>
      <c r="SGC224" s="35"/>
      <c r="SGD224" s="35"/>
      <c r="SGE224" s="34"/>
      <c r="SGF224" s="34"/>
      <c r="SGG224" s="36"/>
      <c r="SGH224" s="36"/>
      <c r="SGI224" s="37"/>
      <c r="SGJ224" s="37"/>
      <c r="SGK224" s="38"/>
      <c r="SGL224" s="38"/>
      <c r="SGM224" s="39"/>
      <c r="SGN224" s="34"/>
      <c r="SGO224" s="34"/>
      <c r="SGP224" s="34"/>
      <c r="SGQ224" s="35"/>
      <c r="SGR224" s="35"/>
      <c r="SGS224" s="35"/>
      <c r="SGT224" s="35"/>
      <c r="SGU224" s="35"/>
      <c r="SGV224" s="34"/>
      <c r="SGW224" s="34"/>
      <c r="SGX224" s="36"/>
      <c r="SGY224" s="36"/>
      <c r="SGZ224" s="37"/>
      <c r="SHA224" s="37"/>
      <c r="SHB224" s="38"/>
      <c r="SHC224" s="38"/>
      <c r="SHD224" s="39"/>
      <c r="SHE224" s="34"/>
      <c r="SHF224" s="34"/>
      <c r="SHG224" s="34"/>
      <c r="SHH224" s="35"/>
      <c r="SHI224" s="35"/>
      <c r="SHJ224" s="35"/>
      <c r="SHK224" s="35"/>
      <c r="SHL224" s="35"/>
      <c r="SHM224" s="34"/>
      <c r="SHN224" s="34"/>
      <c r="SHO224" s="36"/>
      <c r="SHP224" s="36"/>
      <c r="SHQ224" s="37"/>
      <c r="SHR224" s="37"/>
      <c r="SHS224" s="38"/>
      <c r="SHT224" s="38"/>
      <c r="SHU224" s="39"/>
      <c r="SHV224" s="34"/>
      <c r="SHW224" s="34"/>
      <c r="SHX224" s="34"/>
      <c r="SHY224" s="35"/>
      <c r="SHZ224" s="35"/>
      <c r="SIA224" s="35"/>
      <c r="SIB224" s="35"/>
      <c r="SIC224" s="35"/>
      <c r="SID224" s="34"/>
      <c r="SIE224" s="34"/>
      <c r="SIF224" s="36"/>
      <c r="SIG224" s="36"/>
      <c r="SIH224" s="37"/>
      <c r="SII224" s="37"/>
      <c r="SIJ224" s="38"/>
      <c r="SIK224" s="38"/>
      <c r="SIL224" s="39"/>
      <c r="SIM224" s="34"/>
      <c r="SIN224" s="34"/>
      <c r="SIO224" s="34"/>
      <c r="SIP224" s="35"/>
      <c r="SIQ224" s="35"/>
      <c r="SIR224" s="35"/>
      <c r="SIS224" s="35"/>
      <c r="SIT224" s="35"/>
      <c r="SIU224" s="34"/>
      <c r="SIV224" s="34"/>
      <c r="SIW224" s="36"/>
      <c r="SIX224" s="36"/>
      <c r="SIY224" s="37"/>
      <c r="SIZ224" s="37"/>
      <c r="SJA224" s="38"/>
      <c r="SJB224" s="38"/>
      <c r="SJC224" s="39"/>
      <c r="SJD224" s="34"/>
      <c r="SJE224" s="34"/>
      <c r="SJF224" s="34"/>
      <c r="SJG224" s="35"/>
      <c r="SJH224" s="35"/>
      <c r="SJI224" s="35"/>
      <c r="SJJ224" s="35"/>
      <c r="SJK224" s="35"/>
      <c r="SJL224" s="34"/>
      <c r="SJM224" s="34"/>
      <c r="SJN224" s="36"/>
      <c r="SJO224" s="36"/>
      <c r="SJP224" s="37"/>
      <c r="SJQ224" s="37"/>
      <c r="SJR224" s="38"/>
      <c r="SJS224" s="38"/>
      <c r="SJT224" s="39"/>
      <c r="SJU224" s="34"/>
      <c r="SJV224" s="34"/>
      <c r="SJW224" s="34"/>
      <c r="SJX224" s="35"/>
      <c r="SJY224" s="35"/>
      <c r="SJZ224" s="35"/>
      <c r="SKA224" s="35"/>
      <c r="SKB224" s="35"/>
      <c r="SKC224" s="34"/>
      <c r="SKD224" s="34"/>
      <c r="SKE224" s="36"/>
      <c r="SKF224" s="36"/>
      <c r="SKG224" s="37"/>
      <c r="SKH224" s="37"/>
      <c r="SKI224" s="38"/>
      <c r="SKJ224" s="38"/>
      <c r="SKK224" s="39"/>
      <c r="SKL224" s="34"/>
      <c r="SKM224" s="34"/>
      <c r="SKN224" s="34"/>
      <c r="SKO224" s="35"/>
      <c r="SKP224" s="35"/>
      <c r="SKQ224" s="35"/>
      <c r="SKR224" s="35"/>
      <c r="SKS224" s="35"/>
      <c r="SKT224" s="34"/>
      <c r="SKU224" s="34"/>
      <c r="SKV224" s="36"/>
      <c r="SKW224" s="36"/>
      <c r="SKX224" s="37"/>
      <c r="SKY224" s="37"/>
      <c r="SKZ224" s="38"/>
      <c r="SLA224" s="38"/>
      <c r="SLB224" s="39"/>
      <c r="SLC224" s="34"/>
      <c r="SLD224" s="34"/>
      <c r="SLE224" s="34"/>
      <c r="SLF224" s="35"/>
      <c r="SLG224" s="35"/>
      <c r="SLH224" s="35"/>
      <c r="SLI224" s="35"/>
      <c r="SLJ224" s="35"/>
      <c r="SLK224" s="34"/>
      <c r="SLL224" s="34"/>
      <c r="SLM224" s="36"/>
      <c r="SLN224" s="36"/>
      <c r="SLO224" s="37"/>
      <c r="SLP224" s="37"/>
      <c r="SLQ224" s="38"/>
      <c r="SLR224" s="38"/>
      <c r="SLS224" s="39"/>
      <c r="SLT224" s="34"/>
      <c r="SLU224" s="34"/>
      <c r="SLV224" s="34"/>
      <c r="SLW224" s="35"/>
      <c r="SLX224" s="35"/>
      <c r="SLY224" s="35"/>
      <c r="SLZ224" s="35"/>
      <c r="SMA224" s="35"/>
      <c r="SMB224" s="34"/>
      <c r="SMC224" s="34"/>
      <c r="SMD224" s="36"/>
      <c r="SME224" s="36"/>
      <c r="SMF224" s="37"/>
      <c r="SMG224" s="37"/>
      <c r="SMH224" s="38"/>
      <c r="SMI224" s="38"/>
      <c r="SMJ224" s="39"/>
      <c r="SMK224" s="34"/>
      <c r="SML224" s="34"/>
      <c r="SMM224" s="34"/>
      <c r="SMN224" s="35"/>
      <c r="SMO224" s="35"/>
      <c r="SMP224" s="35"/>
      <c r="SMQ224" s="35"/>
      <c r="SMR224" s="35"/>
      <c r="SMS224" s="34"/>
      <c r="SMT224" s="34"/>
      <c r="SMU224" s="36"/>
      <c r="SMV224" s="36"/>
      <c r="SMW224" s="37"/>
      <c r="SMX224" s="37"/>
      <c r="SMY224" s="38"/>
      <c r="SMZ224" s="38"/>
      <c r="SNA224" s="39"/>
      <c r="SNB224" s="34"/>
      <c r="SNC224" s="34"/>
      <c r="SND224" s="34"/>
      <c r="SNE224" s="35"/>
      <c r="SNF224" s="35"/>
      <c r="SNG224" s="35"/>
      <c r="SNH224" s="35"/>
      <c r="SNI224" s="35"/>
      <c r="SNJ224" s="34"/>
      <c r="SNK224" s="34"/>
      <c r="SNL224" s="36"/>
      <c r="SNM224" s="36"/>
      <c r="SNN224" s="37"/>
      <c r="SNO224" s="37"/>
      <c r="SNP224" s="38"/>
      <c r="SNQ224" s="38"/>
      <c r="SNR224" s="39"/>
      <c r="SNS224" s="34"/>
      <c r="SNT224" s="34"/>
      <c r="SNU224" s="34"/>
      <c r="SNV224" s="35"/>
      <c r="SNW224" s="35"/>
      <c r="SNX224" s="35"/>
      <c r="SNY224" s="35"/>
      <c r="SNZ224" s="35"/>
      <c r="SOA224" s="34"/>
      <c r="SOB224" s="34"/>
      <c r="SOC224" s="36"/>
      <c r="SOD224" s="36"/>
      <c r="SOE224" s="37"/>
      <c r="SOF224" s="37"/>
      <c r="SOG224" s="38"/>
      <c r="SOH224" s="38"/>
      <c r="SOI224" s="39"/>
      <c r="SOJ224" s="34"/>
      <c r="SOK224" s="34"/>
      <c r="SOL224" s="34"/>
      <c r="SOM224" s="35"/>
      <c r="SON224" s="35"/>
      <c r="SOO224" s="35"/>
      <c r="SOP224" s="35"/>
      <c r="SOQ224" s="35"/>
      <c r="SOR224" s="34"/>
      <c r="SOS224" s="34"/>
      <c r="SOT224" s="36"/>
      <c r="SOU224" s="36"/>
      <c r="SOV224" s="37"/>
      <c r="SOW224" s="37"/>
      <c r="SOX224" s="38"/>
      <c r="SOY224" s="38"/>
      <c r="SOZ224" s="39"/>
      <c r="SPA224" s="34"/>
      <c r="SPB224" s="34"/>
      <c r="SPC224" s="34"/>
      <c r="SPD224" s="35"/>
      <c r="SPE224" s="35"/>
      <c r="SPF224" s="35"/>
      <c r="SPG224" s="35"/>
      <c r="SPH224" s="35"/>
      <c r="SPI224" s="34"/>
      <c r="SPJ224" s="34"/>
      <c r="SPK224" s="36"/>
      <c r="SPL224" s="36"/>
      <c r="SPM224" s="37"/>
      <c r="SPN224" s="37"/>
      <c r="SPO224" s="38"/>
      <c r="SPP224" s="38"/>
      <c r="SPQ224" s="39"/>
      <c r="SPR224" s="34"/>
      <c r="SPS224" s="34"/>
      <c r="SPT224" s="34"/>
      <c r="SPU224" s="35"/>
      <c r="SPV224" s="35"/>
      <c r="SPW224" s="35"/>
      <c r="SPX224" s="35"/>
      <c r="SPY224" s="35"/>
      <c r="SPZ224" s="34"/>
      <c r="SQA224" s="34"/>
      <c r="SQB224" s="36"/>
      <c r="SQC224" s="36"/>
      <c r="SQD224" s="37"/>
      <c r="SQE224" s="37"/>
      <c r="SQF224" s="38"/>
      <c r="SQG224" s="38"/>
      <c r="SQH224" s="39"/>
      <c r="SQI224" s="34"/>
      <c r="SQJ224" s="34"/>
      <c r="SQK224" s="34"/>
      <c r="SQL224" s="35"/>
      <c r="SQM224" s="35"/>
      <c r="SQN224" s="35"/>
      <c r="SQO224" s="35"/>
      <c r="SQP224" s="35"/>
      <c r="SQQ224" s="34"/>
      <c r="SQR224" s="34"/>
      <c r="SQS224" s="36"/>
      <c r="SQT224" s="36"/>
      <c r="SQU224" s="37"/>
      <c r="SQV224" s="37"/>
      <c r="SQW224" s="38"/>
      <c r="SQX224" s="38"/>
      <c r="SQY224" s="39"/>
      <c r="SQZ224" s="34"/>
      <c r="SRA224" s="34"/>
      <c r="SRB224" s="34"/>
      <c r="SRC224" s="35"/>
      <c r="SRD224" s="35"/>
      <c r="SRE224" s="35"/>
      <c r="SRF224" s="35"/>
      <c r="SRG224" s="35"/>
      <c r="SRH224" s="34"/>
      <c r="SRI224" s="34"/>
      <c r="SRJ224" s="36"/>
      <c r="SRK224" s="36"/>
      <c r="SRL224" s="37"/>
      <c r="SRM224" s="37"/>
      <c r="SRN224" s="38"/>
      <c r="SRO224" s="38"/>
      <c r="SRP224" s="39"/>
      <c r="SRQ224" s="34"/>
      <c r="SRR224" s="34"/>
      <c r="SRS224" s="34"/>
      <c r="SRT224" s="35"/>
      <c r="SRU224" s="35"/>
      <c r="SRV224" s="35"/>
      <c r="SRW224" s="35"/>
      <c r="SRX224" s="35"/>
      <c r="SRY224" s="34"/>
      <c r="SRZ224" s="34"/>
      <c r="SSA224" s="36"/>
      <c r="SSB224" s="36"/>
      <c r="SSC224" s="37"/>
      <c r="SSD224" s="37"/>
      <c r="SSE224" s="38"/>
      <c r="SSF224" s="38"/>
      <c r="SSG224" s="39"/>
      <c r="SSH224" s="34"/>
      <c r="SSI224" s="34"/>
      <c r="SSJ224" s="34"/>
      <c r="SSK224" s="35"/>
      <c r="SSL224" s="35"/>
      <c r="SSM224" s="35"/>
      <c r="SSN224" s="35"/>
      <c r="SSO224" s="35"/>
      <c r="SSP224" s="34"/>
      <c r="SSQ224" s="34"/>
      <c r="SSR224" s="36"/>
      <c r="SSS224" s="36"/>
      <c r="SST224" s="37"/>
      <c r="SSU224" s="37"/>
      <c r="SSV224" s="38"/>
      <c r="SSW224" s="38"/>
      <c r="SSX224" s="39"/>
      <c r="SSY224" s="34"/>
      <c r="SSZ224" s="34"/>
      <c r="STA224" s="34"/>
      <c r="STB224" s="35"/>
      <c r="STC224" s="35"/>
      <c r="STD224" s="35"/>
      <c r="STE224" s="35"/>
      <c r="STF224" s="35"/>
      <c r="STG224" s="34"/>
      <c r="STH224" s="34"/>
      <c r="STI224" s="36"/>
      <c r="STJ224" s="36"/>
      <c r="STK224" s="37"/>
      <c r="STL224" s="37"/>
      <c r="STM224" s="38"/>
      <c r="STN224" s="38"/>
      <c r="STO224" s="39"/>
      <c r="STP224" s="34"/>
      <c r="STQ224" s="34"/>
      <c r="STR224" s="34"/>
      <c r="STS224" s="35"/>
      <c r="STT224" s="35"/>
      <c r="STU224" s="35"/>
      <c r="STV224" s="35"/>
      <c r="STW224" s="35"/>
      <c r="STX224" s="34"/>
      <c r="STY224" s="34"/>
      <c r="STZ224" s="36"/>
      <c r="SUA224" s="36"/>
      <c r="SUB224" s="37"/>
      <c r="SUC224" s="37"/>
      <c r="SUD224" s="38"/>
      <c r="SUE224" s="38"/>
      <c r="SUF224" s="39"/>
      <c r="SUG224" s="34"/>
      <c r="SUH224" s="34"/>
      <c r="SUI224" s="34"/>
      <c r="SUJ224" s="35"/>
      <c r="SUK224" s="35"/>
      <c r="SUL224" s="35"/>
      <c r="SUM224" s="35"/>
      <c r="SUN224" s="35"/>
      <c r="SUO224" s="34"/>
      <c r="SUP224" s="34"/>
      <c r="SUQ224" s="36"/>
      <c r="SUR224" s="36"/>
      <c r="SUS224" s="37"/>
      <c r="SUT224" s="37"/>
      <c r="SUU224" s="38"/>
      <c r="SUV224" s="38"/>
      <c r="SUW224" s="39"/>
      <c r="SUX224" s="34"/>
      <c r="SUY224" s="34"/>
      <c r="SUZ224" s="34"/>
      <c r="SVA224" s="35"/>
      <c r="SVB224" s="35"/>
      <c r="SVC224" s="35"/>
      <c r="SVD224" s="35"/>
      <c r="SVE224" s="35"/>
      <c r="SVF224" s="34"/>
      <c r="SVG224" s="34"/>
      <c r="SVH224" s="36"/>
      <c r="SVI224" s="36"/>
      <c r="SVJ224" s="37"/>
      <c r="SVK224" s="37"/>
      <c r="SVL224" s="38"/>
      <c r="SVM224" s="38"/>
      <c r="SVN224" s="39"/>
      <c r="SVO224" s="34"/>
      <c r="SVP224" s="34"/>
      <c r="SVQ224" s="34"/>
      <c r="SVR224" s="35"/>
      <c r="SVS224" s="35"/>
      <c r="SVT224" s="35"/>
      <c r="SVU224" s="35"/>
      <c r="SVV224" s="35"/>
      <c r="SVW224" s="34"/>
      <c r="SVX224" s="34"/>
      <c r="SVY224" s="36"/>
      <c r="SVZ224" s="36"/>
      <c r="SWA224" s="37"/>
      <c r="SWB224" s="37"/>
      <c r="SWC224" s="38"/>
      <c r="SWD224" s="38"/>
      <c r="SWE224" s="39"/>
      <c r="SWF224" s="34"/>
      <c r="SWG224" s="34"/>
      <c r="SWH224" s="34"/>
      <c r="SWI224" s="35"/>
      <c r="SWJ224" s="35"/>
      <c r="SWK224" s="35"/>
      <c r="SWL224" s="35"/>
      <c r="SWM224" s="35"/>
      <c r="SWN224" s="34"/>
      <c r="SWO224" s="34"/>
      <c r="SWP224" s="36"/>
      <c r="SWQ224" s="36"/>
      <c r="SWR224" s="37"/>
      <c r="SWS224" s="37"/>
      <c r="SWT224" s="38"/>
      <c r="SWU224" s="38"/>
      <c r="SWV224" s="39"/>
      <c r="SWW224" s="34"/>
      <c r="SWX224" s="34"/>
      <c r="SWY224" s="34"/>
      <c r="SWZ224" s="35"/>
      <c r="SXA224" s="35"/>
      <c r="SXB224" s="35"/>
      <c r="SXC224" s="35"/>
      <c r="SXD224" s="35"/>
      <c r="SXE224" s="34"/>
      <c r="SXF224" s="34"/>
      <c r="SXG224" s="36"/>
      <c r="SXH224" s="36"/>
      <c r="SXI224" s="37"/>
      <c r="SXJ224" s="37"/>
      <c r="SXK224" s="38"/>
      <c r="SXL224" s="38"/>
      <c r="SXM224" s="39"/>
      <c r="SXN224" s="34"/>
      <c r="SXO224" s="34"/>
      <c r="SXP224" s="34"/>
      <c r="SXQ224" s="35"/>
      <c r="SXR224" s="35"/>
      <c r="SXS224" s="35"/>
      <c r="SXT224" s="35"/>
      <c r="SXU224" s="35"/>
      <c r="SXV224" s="34"/>
      <c r="SXW224" s="34"/>
      <c r="SXX224" s="36"/>
      <c r="SXY224" s="36"/>
      <c r="SXZ224" s="37"/>
      <c r="SYA224" s="37"/>
      <c r="SYB224" s="38"/>
      <c r="SYC224" s="38"/>
      <c r="SYD224" s="39"/>
      <c r="SYE224" s="34"/>
      <c r="SYF224" s="34"/>
      <c r="SYG224" s="34"/>
      <c r="SYH224" s="35"/>
      <c r="SYI224" s="35"/>
      <c r="SYJ224" s="35"/>
      <c r="SYK224" s="35"/>
      <c r="SYL224" s="35"/>
      <c r="SYM224" s="34"/>
      <c r="SYN224" s="34"/>
      <c r="SYO224" s="36"/>
      <c r="SYP224" s="36"/>
      <c r="SYQ224" s="37"/>
      <c r="SYR224" s="37"/>
      <c r="SYS224" s="38"/>
      <c r="SYT224" s="38"/>
      <c r="SYU224" s="39"/>
      <c r="SYV224" s="34"/>
      <c r="SYW224" s="34"/>
      <c r="SYX224" s="34"/>
      <c r="SYY224" s="35"/>
      <c r="SYZ224" s="35"/>
      <c r="SZA224" s="35"/>
      <c r="SZB224" s="35"/>
      <c r="SZC224" s="35"/>
      <c r="SZD224" s="34"/>
      <c r="SZE224" s="34"/>
      <c r="SZF224" s="36"/>
      <c r="SZG224" s="36"/>
      <c r="SZH224" s="37"/>
      <c r="SZI224" s="37"/>
      <c r="SZJ224" s="38"/>
      <c r="SZK224" s="38"/>
      <c r="SZL224" s="39"/>
      <c r="SZM224" s="34"/>
      <c r="SZN224" s="34"/>
      <c r="SZO224" s="34"/>
      <c r="SZP224" s="35"/>
      <c r="SZQ224" s="35"/>
      <c r="SZR224" s="35"/>
      <c r="SZS224" s="35"/>
      <c r="SZT224" s="35"/>
      <c r="SZU224" s="34"/>
      <c r="SZV224" s="34"/>
      <c r="SZW224" s="36"/>
      <c r="SZX224" s="36"/>
      <c r="SZY224" s="37"/>
      <c r="SZZ224" s="37"/>
      <c r="TAA224" s="38"/>
      <c r="TAB224" s="38"/>
      <c r="TAC224" s="39"/>
      <c r="TAD224" s="34"/>
      <c r="TAE224" s="34"/>
      <c r="TAF224" s="34"/>
      <c r="TAG224" s="35"/>
      <c r="TAH224" s="35"/>
      <c r="TAI224" s="35"/>
      <c r="TAJ224" s="35"/>
      <c r="TAK224" s="35"/>
      <c r="TAL224" s="34"/>
      <c r="TAM224" s="34"/>
      <c r="TAN224" s="36"/>
      <c r="TAO224" s="36"/>
      <c r="TAP224" s="37"/>
      <c r="TAQ224" s="37"/>
      <c r="TAR224" s="38"/>
      <c r="TAS224" s="38"/>
      <c r="TAT224" s="39"/>
      <c r="TAU224" s="34"/>
      <c r="TAV224" s="34"/>
      <c r="TAW224" s="34"/>
      <c r="TAX224" s="35"/>
      <c r="TAY224" s="35"/>
      <c r="TAZ224" s="35"/>
      <c r="TBA224" s="35"/>
      <c r="TBB224" s="35"/>
      <c r="TBC224" s="34"/>
      <c r="TBD224" s="34"/>
      <c r="TBE224" s="36"/>
      <c r="TBF224" s="36"/>
      <c r="TBG224" s="37"/>
      <c r="TBH224" s="37"/>
      <c r="TBI224" s="38"/>
      <c r="TBJ224" s="38"/>
      <c r="TBK224" s="39"/>
      <c r="TBL224" s="34"/>
      <c r="TBM224" s="34"/>
      <c r="TBN224" s="34"/>
      <c r="TBO224" s="35"/>
      <c r="TBP224" s="35"/>
      <c r="TBQ224" s="35"/>
      <c r="TBR224" s="35"/>
      <c r="TBS224" s="35"/>
      <c r="TBT224" s="34"/>
      <c r="TBU224" s="34"/>
      <c r="TBV224" s="36"/>
      <c r="TBW224" s="36"/>
      <c r="TBX224" s="37"/>
      <c r="TBY224" s="37"/>
      <c r="TBZ224" s="38"/>
      <c r="TCA224" s="38"/>
      <c r="TCB224" s="39"/>
      <c r="TCC224" s="34"/>
      <c r="TCD224" s="34"/>
      <c r="TCE224" s="34"/>
      <c r="TCF224" s="35"/>
      <c r="TCG224" s="35"/>
      <c r="TCH224" s="35"/>
      <c r="TCI224" s="35"/>
      <c r="TCJ224" s="35"/>
      <c r="TCK224" s="34"/>
      <c r="TCL224" s="34"/>
      <c r="TCM224" s="36"/>
      <c r="TCN224" s="36"/>
      <c r="TCO224" s="37"/>
      <c r="TCP224" s="37"/>
      <c r="TCQ224" s="38"/>
      <c r="TCR224" s="38"/>
      <c r="TCS224" s="39"/>
      <c r="TCT224" s="34"/>
      <c r="TCU224" s="34"/>
      <c r="TCV224" s="34"/>
      <c r="TCW224" s="35"/>
      <c r="TCX224" s="35"/>
      <c r="TCY224" s="35"/>
      <c r="TCZ224" s="35"/>
      <c r="TDA224" s="35"/>
      <c r="TDB224" s="34"/>
      <c r="TDC224" s="34"/>
      <c r="TDD224" s="36"/>
      <c r="TDE224" s="36"/>
      <c r="TDF224" s="37"/>
      <c r="TDG224" s="37"/>
      <c r="TDH224" s="38"/>
      <c r="TDI224" s="38"/>
      <c r="TDJ224" s="39"/>
      <c r="TDK224" s="34"/>
      <c r="TDL224" s="34"/>
      <c r="TDM224" s="34"/>
      <c r="TDN224" s="35"/>
      <c r="TDO224" s="35"/>
      <c r="TDP224" s="35"/>
      <c r="TDQ224" s="35"/>
      <c r="TDR224" s="35"/>
      <c r="TDS224" s="34"/>
      <c r="TDT224" s="34"/>
      <c r="TDU224" s="36"/>
      <c r="TDV224" s="36"/>
      <c r="TDW224" s="37"/>
      <c r="TDX224" s="37"/>
      <c r="TDY224" s="38"/>
      <c r="TDZ224" s="38"/>
      <c r="TEA224" s="39"/>
      <c r="TEB224" s="34"/>
      <c r="TEC224" s="34"/>
      <c r="TED224" s="34"/>
      <c r="TEE224" s="35"/>
      <c r="TEF224" s="35"/>
      <c r="TEG224" s="35"/>
      <c r="TEH224" s="35"/>
      <c r="TEI224" s="35"/>
      <c r="TEJ224" s="34"/>
      <c r="TEK224" s="34"/>
      <c r="TEL224" s="36"/>
      <c r="TEM224" s="36"/>
      <c r="TEN224" s="37"/>
      <c r="TEO224" s="37"/>
      <c r="TEP224" s="38"/>
      <c r="TEQ224" s="38"/>
      <c r="TER224" s="39"/>
      <c r="TES224" s="34"/>
      <c r="TET224" s="34"/>
      <c r="TEU224" s="34"/>
      <c r="TEV224" s="35"/>
      <c r="TEW224" s="35"/>
      <c r="TEX224" s="35"/>
      <c r="TEY224" s="35"/>
      <c r="TEZ224" s="35"/>
      <c r="TFA224" s="34"/>
      <c r="TFB224" s="34"/>
      <c r="TFC224" s="36"/>
      <c r="TFD224" s="36"/>
      <c r="TFE224" s="37"/>
      <c r="TFF224" s="37"/>
      <c r="TFG224" s="38"/>
      <c r="TFH224" s="38"/>
      <c r="TFI224" s="39"/>
      <c r="TFJ224" s="34"/>
      <c r="TFK224" s="34"/>
      <c r="TFL224" s="34"/>
      <c r="TFM224" s="35"/>
      <c r="TFN224" s="35"/>
      <c r="TFO224" s="35"/>
      <c r="TFP224" s="35"/>
      <c r="TFQ224" s="35"/>
      <c r="TFR224" s="34"/>
      <c r="TFS224" s="34"/>
      <c r="TFT224" s="36"/>
      <c r="TFU224" s="36"/>
      <c r="TFV224" s="37"/>
      <c r="TFW224" s="37"/>
      <c r="TFX224" s="38"/>
      <c r="TFY224" s="38"/>
      <c r="TFZ224" s="39"/>
      <c r="TGA224" s="34"/>
      <c r="TGB224" s="34"/>
      <c r="TGC224" s="34"/>
      <c r="TGD224" s="35"/>
      <c r="TGE224" s="35"/>
      <c r="TGF224" s="35"/>
      <c r="TGG224" s="35"/>
      <c r="TGH224" s="35"/>
      <c r="TGI224" s="34"/>
      <c r="TGJ224" s="34"/>
      <c r="TGK224" s="36"/>
      <c r="TGL224" s="36"/>
      <c r="TGM224" s="37"/>
      <c r="TGN224" s="37"/>
      <c r="TGO224" s="38"/>
      <c r="TGP224" s="38"/>
      <c r="TGQ224" s="39"/>
      <c r="TGR224" s="34"/>
      <c r="TGS224" s="34"/>
      <c r="TGT224" s="34"/>
      <c r="TGU224" s="35"/>
      <c r="TGV224" s="35"/>
      <c r="TGW224" s="35"/>
      <c r="TGX224" s="35"/>
      <c r="TGY224" s="35"/>
      <c r="TGZ224" s="34"/>
      <c r="THA224" s="34"/>
      <c r="THB224" s="36"/>
      <c r="THC224" s="36"/>
      <c r="THD224" s="37"/>
      <c r="THE224" s="37"/>
      <c r="THF224" s="38"/>
      <c r="THG224" s="38"/>
      <c r="THH224" s="39"/>
      <c r="THI224" s="34"/>
      <c r="THJ224" s="34"/>
      <c r="THK224" s="34"/>
      <c r="THL224" s="35"/>
      <c r="THM224" s="35"/>
      <c r="THN224" s="35"/>
      <c r="THO224" s="35"/>
      <c r="THP224" s="35"/>
      <c r="THQ224" s="34"/>
      <c r="THR224" s="34"/>
      <c r="THS224" s="36"/>
      <c r="THT224" s="36"/>
      <c r="THU224" s="37"/>
      <c r="THV224" s="37"/>
      <c r="THW224" s="38"/>
      <c r="THX224" s="38"/>
      <c r="THY224" s="39"/>
      <c r="THZ224" s="34"/>
      <c r="TIA224" s="34"/>
      <c r="TIB224" s="34"/>
      <c r="TIC224" s="35"/>
      <c r="TID224" s="35"/>
      <c r="TIE224" s="35"/>
      <c r="TIF224" s="35"/>
      <c r="TIG224" s="35"/>
      <c r="TIH224" s="34"/>
      <c r="TII224" s="34"/>
      <c r="TIJ224" s="36"/>
      <c r="TIK224" s="36"/>
      <c r="TIL224" s="37"/>
      <c r="TIM224" s="37"/>
      <c r="TIN224" s="38"/>
      <c r="TIO224" s="38"/>
      <c r="TIP224" s="39"/>
      <c r="TIQ224" s="34"/>
      <c r="TIR224" s="34"/>
      <c r="TIS224" s="34"/>
      <c r="TIT224" s="35"/>
      <c r="TIU224" s="35"/>
      <c r="TIV224" s="35"/>
      <c r="TIW224" s="35"/>
      <c r="TIX224" s="35"/>
      <c r="TIY224" s="34"/>
      <c r="TIZ224" s="34"/>
      <c r="TJA224" s="36"/>
      <c r="TJB224" s="36"/>
      <c r="TJC224" s="37"/>
      <c r="TJD224" s="37"/>
      <c r="TJE224" s="38"/>
      <c r="TJF224" s="38"/>
      <c r="TJG224" s="39"/>
      <c r="TJH224" s="34"/>
      <c r="TJI224" s="34"/>
      <c r="TJJ224" s="34"/>
      <c r="TJK224" s="35"/>
      <c r="TJL224" s="35"/>
      <c r="TJM224" s="35"/>
      <c r="TJN224" s="35"/>
      <c r="TJO224" s="35"/>
      <c r="TJP224" s="34"/>
      <c r="TJQ224" s="34"/>
      <c r="TJR224" s="36"/>
      <c r="TJS224" s="36"/>
      <c r="TJT224" s="37"/>
      <c r="TJU224" s="37"/>
      <c r="TJV224" s="38"/>
      <c r="TJW224" s="38"/>
      <c r="TJX224" s="39"/>
      <c r="TJY224" s="34"/>
      <c r="TJZ224" s="34"/>
      <c r="TKA224" s="34"/>
      <c r="TKB224" s="35"/>
      <c r="TKC224" s="35"/>
      <c r="TKD224" s="35"/>
      <c r="TKE224" s="35"/>
      <c r="TKF224" s="35"/>
      <c r="TKG224" s="34"/>
      <c r="TKH224" s="34"/>
      <c r="TKI224" s="36"/>
      <c r="TKJ224" s="36"/>
      <c r="TKK224" s="37"/>
      <c r="TKL224" s="37"/>
      <c r="TKM224" s="38"/>
      <c r="TKN224" s="38"/>
      <c r="TKO224" s="39"/>
      <c r="TKP224" s="34"/>
      <c r="TKQ224" s="34"/>
      <c r="TKR224" s="34"/>
      <c r="TKS224" s="35"/>
      <c r="TKT224" s="35"/>
      <c r="TKU224" s="35"/>
      <c r="TKV224" s="35"/>
      <c r="TKW224" s="35"/>
      <c r="TKX224" s="34"/>
      <c r="TKY224" s="34"/>
      <c r="TKZ224" s="36"/>
      <c r="TLA224" s="36"/>
      <c r="TLB224" s="37"/>
      <c r="TLC224" s="37"/>
      <c r="TLD224" s="38"/>
      <c r="TLE224" s="38"/>
      <c r="TLF224" s="39"/>
      <c r="TLG224" s="34"/>
      <c r="TLH224" s="34"/>
      <c r="TLI224" s="34"/>
      <c r="TLJ224" s="35"/>
      <c r="TLK224" s="35"/>
      <c r="TLL224" s="35"/>
      <c r="TLM224" s="35"/>
      <c r="TLN224" s="35"/>
      <c r="TLO224" s="34"/>
      <c r="TLP224" s="34"/>
      <c r="TLQ224" s="36"/>
      <c r="TLR224" s="36"/>
      <c r="TLS224" s="37"/>
      <c r="TLT224" s="37"/>
      <c r="TLU224" s="38"/>
      <c r="TLV224" s="38"/>
      <c r="TLW224" s="39"/>
      <c r="TLX224" s="34"/>
      <c r="TLY224" s="34"/>
      <c r="TLZ224" s="34"/>
      <c r="TMA224" s="35"/>
      <c r="TMB224" s="35"/>
      <c r="TMC224" s="35"/>
      <c r="TMD224" s="35"/>
      <c r="TME224" s="35"/>
      <c r="TMF224" s="34"/>
      <c r="TMG224" s="34"/>
      <c r="TMH224" s="36"/>
      <c r="TMI224" s="36"/>
      <c r="TMJ224" s="37"/>
      <c r="TMK224" s="37"/>
      <c r="TML224" s="38"/>
      <c r="TMM224" s="38"/>
      <c r="TMN224" s="39"/>
      <c r="TMO224" s="34"/>
      <c r="TMP224" s="34"/>
      <c r="TMQ224" s="34"/>
      <c r="TMR224" s="35"/>
      <c r="TMS224" s="35"/>
      <c r="TMT224" s="35"/>
      <c r="TMU224" s="35"/>
      <c r="TMV224" s="35"/>
      <c r="TMW224" s="34"/>
      <c r="TMX224" s="34"/>
      <c r="TMY224" s="36"/>
      <c r="TMZ224" s="36"/>
      <c r="TNA224" s="37"/>
      <c r="TNB224" s="37"/>
      <c r="TNC224" s="38"/>
      <c r="TND224" s="38"/>
      <c r="TNE224" s="39"/>
      <c r="TNF224" s="34"/>
      <c r="TNG224" s="34"/>
      <c r="TNH224" s="34"/>
      <c r="TNI224" s="35"/>
      <c r="TNJ224" s="35"/>
      <c r="TNK224" s="35"/>
      <c r="TNL224" s="35"/>
      <c r="TNM224" s="35"/>
      <c r="TNN224" s="34"/>
      <c r="TNO224" s="34"/>
      <c r="TNP224" s="36"/>
      <c r="TNQ224" s="36"/>
      <c r="TNR224" s="37"/>
      <c r="TNS224" s="37"/>
      <c r="TNT224" s="38"/>
      <c r="TNU224" s="38"/>
      <c r="TNV224" s="39"/>
      <c r="TNW224" s="34"/>
      <c r="TNX224" s="34"/>
      <c r="TNY224" s="34"/>
      <c r="TNZ224" s="35"/>
      <c r="TOA224" s="35"/>
      <c r="TOB224" s="35"/>
      <c r="TOC224" s="35"/>
      <c r="TOD224" s="35"/>
      <c r="TOE224" s="34"/>
      <c r="TOF224" s="34"/>
      <c r="TOG224" s="36"/>
      <c r="TOH224" s="36"/>
      <c r="TOI224" s="37"/>
      <c r="TOJ224" s="37"/>
      <c r="TOK224" s="38"/>
      <c r="TOL224" s="38"/>
      <c r="TOM224" s="39"/>
      <c r="TON224" s="34"/>
      <c r="TOO224" s="34"/>
      <c r="TOP224" s="34"/>
      <c r="TOQ224" s="35"/>
      <c r="TOR224" s="35"/>
      <c r="TOS224" s="35"/>
      <c r="TOT224" s="35"/>
      <c r="TOU224" s="35"/>
      <c r="TOV224" s="34"/>
      <c r="TOW224" s="34"/>
      <c r="TOX224" s="36"/>
      <c r="TOY224" s="36"/>
      <c r="TOZ224" s="37"/>
      <c r="TPA224" s="37"/>
      <c r="TPB224" s="38"/>
      <c r="TPC224" s="38"/>
      <c r="TPD224" s="39"/>
      <c r="TPE224" s="34"/>
      <c r="TPF224" s="34"/>
      <c r="TPG224" s="34"/>
      <c r="TPH224" s="35"/>
      <c r="TPI224" s="35"/>
      <c r="TPJ224" s="35"/>
      <c r="TPK224" s="35"/>
      <c r="TPL224" s="35"/>
      <c r="TPM224" s="34"/>
      <c r="TPN224" s="34"/>
      <c r="TPO224" s="36"/>
      <c r="TPP224" s="36"/>
      <c r="TPQ224" s="37"/>
      <c r="TPR224" s="37"/>
      <c r="TPS224" s="38"/>
      <c r="TPT224" s="38"/>
      <c r="TPU224" s="39"/>
      <c r="TPV224" s="34"/>
      <c r="TPW224" s="34"/>
      <c r="TPX224" s="34"/>
      <c r="TPY224" s="35"/>
      <c r="TPZ224" s="35"/>
      <c r="TQA224" s="35"/>
      <c r="TQB224" s="35"/>
      <c r="TQC224" s="35"/>
      <c r="TQD224" s="34"/>
      <c r="TQE224" s="34"/>
      <c r="TQF224" s="36"/>
      <c r="TQG224" s="36"/>
      <c r="TQH224" s="37"/>
      <c r="TQI224" s="37"/>
      <c r="TQJ224" s="38"/>
      <c r="TQK224" s="38"/>
      <c r="TQL224" s="39"/>
      <c r="TQM224" s="34"/>
      <c r="TQN224" s="34"/>
      <c r="TQO224" s="34"/>
      <c r="TQP224" s="35"/>
      <c r="TQQ224" s="35"/>
      <c r="TQR224" s="35"/>
      <c r="TQS224" s="35"/>
      <c r="TQT224" s="35"/>
      <c r="TQU224" s="34"/>
      <c r="TQV224" s="34"/>
      <c r="TQW224" s="36"/>
      <c r="TQX224" s="36"/>
      <c r="TQY224" s="37"/>
      <c r="TQZ224" s="37"/>
      <c r="TRA224" s="38"/>
      <c r="TRB224" s="38"/>
      <c r="TRC224" s="39"/>
      <c r="TRD224" s="34"/>
      <c r="TRE224" s="34"/>
      <c r="TRF224" s="34"/>
      <c r="TRG224" s="35"/>
      <c r="TRH224" s="35"/>
      <c r="TRI224" s="35"/>
      <c r="TRJ224" s="35"/>
      <c r="TRK224" s="35"/>
      <c r="TRL224" s="34"/>
      <c r="TRM224" s="34"/>
      <c r="TRN224" s="36"/>
      <c r="TRO224" s="36"/>
      <c r="TRP224" s="37"/>
      <c r="TRQ224" s="37"/>
      <c r="TRR224" s="38"/>
      <c r="TRS224" s="38"/>
      <c r="TRT224" s="39"/>
      <c r="TRU224" s="34"/>
      <c r="TRV224" s="34"/>
      <c r="TRW224" s="34"/>
      <c r="TRX224" s="35"/>
      <c r="TRY224" s="35"/>
      <c r="TRZ224" s="35"/>
      <c r="TSA224" s="35"/>
      <c r="TSB224" s="35"/>
      <c r="TSC224" s="34"/>
      <c r="TSD224" s="34"/>
      <c r="TSE224" s="36"/>
      <c r="TSF224" s="36"/>
      <c r="TSG224" s="37"/>
      <c r="TSH224" s="37"/>
      <c r="TSI224" s="38"/>
      <c r="TSJ224" s="38"/>
      <c r="TSK224" s="39"/>
      <c r="TSL224" s="34"/>
      <c r="TSM224" s="34"/>
      <c r="TSN224" s="34"/>
      <c r="TSO224" s="35"/>
      <c r="TSP224" s="35"/>
      <c r="TSQ224" s="35"/>
      <c r="TSR224" s="35"/>
      <c r="TSS224" s="35"/>
      <c r="TST224" s="34"/>
      <c r="TSU224" s="34"/>
      <c r="TSV224" s="36"/>
      <c r="TSW224" s="36"/>
      <c r="TSX224" s="37"/>
      <c r="TSY224" s="37"/>
      <c r="TSZ224" s="38"/>
      <c r="TTA224" s="38"/>
      <c r="TTB224" s="39"/>
      <c r="TTC224" s="34"/>
      <c r="TTD224" s="34"/>
      <c r="TTE224" s="34"/>
      <c r="TTF224" s="35"/>
      <c r="TTG224" s="35"/>
      <c r="TTH224" s="35"/>
      <c r="TTI224" s="35"/>
      <c r="TTJ224" s="35"/>
      <c r="TTK224" s="34"/>
      <c r="TTL224" s="34"/>
      <c r="TTM224" s="36"/>
      <c r="TTN224" s="36"/>
      <c r="TTO224" s="37"/>
      <c r="TTP224" s="37"/>
      <c r="TTQ224" s="38"/>
      <c r="TTR224" s="38"/>
      <c r="TTS224" s="39"/>
      <c r="TTT224" s="34"/>
      <c r="TTU224" s="34"/>
      <c r="TTV224" s="34"/>
      <c r="TTW224" s="35"/>
      <c r="TTX224" s="35"/>
      <c r="TTY224" s="35"/>
      <c r="TTZ224" s="35"/>
      <c r="TUA224" s="35"/>
      <c r="TUB224" s="34"/>
      <c r="TUC224" s="34"/>
      <c r="TUD224" s="36"/>
      <c r="TUE224" s="36"/>
      <c r="TUF224" s="37"/>
      <c r="TUG224" s="37"/>
      <c r="TUH224" s="38"/>
      <c r="TUI224" s="38"/>
      <c r="TUJ224" s="39"/>
      <c r="TUK224" s="34"/>
      <c r="TUL224" s="34"/>
      <c r="TUM224" s="34"/>
      <c r="TUN224" s="35"/>
      <c r="TUO224" s="35"/>
      <c r="TUP224" s="35"/>
      <c r="TUQ224" s="35"/>
      <c r="TUR224" s="35"/>
      <c r="TUS224" s="34"/>
      <c r="TUT224" s="34"/>
      <c r="TUU224" s="36"/>
      <c r="TUV224" s="36"/>
      <c r="TUW224" s="37"/>
      <c r="TUX224" s="37"/>
      <c r="TUY224" s="38"/>
      <c r="TUZ224" s="38"/>
      <c r="TVA224" s="39"/>
      <c r="TVB224" s="34"/>
      <c r="TVC224" s="34"/>
      <c r="TVD224" s="34"/>
      <c r="TVE224" s="35"/>
      <c r="TVF224" s="35"/>
      <c r="TVG224" s="35"/>
      <c r="TVH224" s="35"/>
      <c r="TVI224" s="35"/>
      <c r="TVJ224" s="34"/>
      <c r="TVK224" s="34"/>
      <c r="TVL224" s="36"/>
      <c r="TVM224" s="36"/>
      <c r="TVN224" s="37"/>
      <c r="TVO224" s="37"/>
      <c r="TVP224" s="38"/>
      <c r="TVQ224" s="38"/>
      <c r="TVR224" s="39"/>
      <c r="TVS224" s="34"/>
      <c r="TVT224" s="34"/>
      <c r="TVU224" s="34"/>
      <c r="TVV224" s="35"/>
      <c r="TVW224" s="35"/>
      <c r="TVX224" s="35"/>
      <c r="TVY224" s="35"/>
      <c r="TVZ224" s="35"/>
      <c r="TWA224" s="34"/>
      <c r="TWB224" s="34"/>
      <c r="TWC224" s="36"/>
      <c r="TWD224" s="36"/>
      <c r="TWE224" s="37"/>
      <c r="TWF224" s="37"/>
      <c r="TWG224" s="38"/>
      <c r="TWH224" s="38"/>
      <c r="TWI224" s="39"/>
      <c r="TWJ224" s="34"/>
      <c r="TWK224" s="34"/>
      <c r="TWL224" s="34"/>
      <c r="TWM224" s="35"/>
      <c r="TWN224" s="35"/>
      <c r="TWO224" s="35"/>
      <c r="TWP224" s="35"/>
      <c r="TWQ224" s="35"/>
      <c r="TWR224" s="34"/>
      <c r="TWS224" s="34"/>
      <c r="TWT224" s="36"/>
      <c r="TWU224" s="36"/>
      <c r="TWV224" s="37"/>
      <c r="TWW224" s="37"/>
      <c r="TWX224" s="38"/>
      <c r="TWY224" s="38"/>
      <c r="TWZ224" s="39"/>
      <c r="TXA224" s="34"/>
      <c r="TXB224" s="34"/>
      <c r="TXC224" s="34"/>
      <c r="TXD224" s="35"/>
      <c r="TXE224" s="35"/>
      <c r="TXF224" s="35"/>
      <c r="TXG224" s="35"/>
      <c r="TXH224" s="35"/>
      <c r="TXI224" s="34"/>
      <c r="TXJ224" s="34"/>
      <c r="TXK224" s="36"/>
      <c r="TXL224" s="36"/>
      <c r="TXM224" s="37"/>
      <c r="TXN224" s="37"/>
      <c r="TXO224" s="38"/>
      <c r="TXP224" s="38"/>
      <c r="TXQ224" s="39"/>
      <c r="TXR224" s="34"/>
      <c r="TXS224" s="34"/>
      <c r="TXT224" s="34"/>
      <c r="TXU224" s="35"/>
      <c r="TXV224" s="35"/>
      <c r="TXW224" s="35"/>
      <c r="TXX224" s="35"/>
      <c r="TXY224" s="35"/>
      <c r="TXZ224" s="34"/>
      <c r="TYA224" s="34"/>
      <c r="TYB224" s="36"/>
      <c r="TYC224" s="36"/>
      <c r="TYD224" s="37"/>
      <c r="TYE224" s="37"/>
      <c r="TYF224" s="38"/>
      <c r="TYG224" s="38"/>
      <c r="TYH224" s="39"/>
      <c r="TYI224" s="34"/>
      <c r="TYJ224" s="34"/>
      <c r="TYK224" s="34"/>
      <c r="TYL224" s="35"/>
      <c r="TYM224" s="35"/>
      <c r="TYN224" s="35"/>
      <c r="TYO224" s="35"/>
      <c r="TYP224" s="35"/>
      <c r="TYQ224" s="34"/>
      <c r="TYR224" s="34"/>
      <c r="TYS224" s="36"/>
      <c r="TYT224" s="36"/>
      <c r="TYU224" s="37"/>
      <c r="TYV224" s="37"/>
      <c r="TYW224" s="38"/>
      <c r="TYX224" s="38"/>
      <c r="TYY224" s="39"/>
      <c r="TYZ224" s="34"/>
      <c r="TZA224" s="34"/>
      <c r="TZB224" s="34"/>
      <c r="TZC224" s="35"/>
      <c r="TZD224" s="35"/>
      <c r="TZE224" s="35"/>
      <c r="TZF224" s="35"/>
      <c r="TZG224" s="35"/>
      <c r="TZH224" s="34"/>
      <c r="TZI224" s="34"/>
      <c r="TZJ224" s="36"/>
      <c r="TZK224" s="36"/>
      <c r="TZL224" s="37"/>
      <c r="TZM224" s="37"/>
      <c r="TZN224" s="38"/>
      <c r="TZO224" s="38"/>
      <c r="TZP224" s="39"/>
      <c r="TZQ224" s="34"/>
      <c r="TZR224" s="34"/>
      <c r="TZS224" s="34"/>
      <c r="TZT224" s="35"/>
      <c r="TZU224" s="35"/>
      <c r="TZV224" s="35"/>
      <c r="TZW224" s="35"/>
      <c r="TZX224" s="35"/>
      <c r="TZY224" s="34"/>
      <c r="TZZ224" s="34"/>
      <c r="UAA224" s="36"/>
      <c r="UAB224" s="36"/>
      <c r="UAC224" s="37"/>
      <c r="UAD224" s="37"/>
      <c r="UAE224" s="38"/>
      <c r="UAF224" s="38"/>
      <c r="UAG224" s="39"/>
      <c r="UAH224" s="34"/>
      <c r="UAI224" s="34"/>
      <c r="UAJ224" s="34"/>
      <c r="UAK224" s="35"/>
      <c r="UAL224" s="35"/>
      <c r="UAM224" s="35"/>
      <c r="UAN224" s="35"/>
      <c r="UAO224" s="35"/>
      <c r="UAP224" s="34"/>
      <c r="UAQ224" s="34"/>
      <c r="UAR224" s="36"/>
      <c r="UAS224" s="36"/>
      <c r="UAT224" s="37"/>
      <c r="UAU224" s="37"/>
      <c r="UAV224" s="38"/>
      <c r="UAW224" s="38"/>
      <c r="UAX224" s="39"/>
      <c r="UAY224" s="34"/>
      <c r="UAZ224" s="34"/>
      <c r="UBA224" s="34"/>
      <c r="UBB224" s="35"/>
      <c r="UBC224" s="35"/>
      <c r="UBD224" s="35"/>
      <c r="UBE224" s="35"/>
      <c r="UBF224" s="35"/>
      <c r="UBG224" s="34"/>
      <c r="UBH224" s="34"/>
      <c r="UBI224" s="36"/>
      <c r="UBJ224" s="36"/>
      <c r="UBK224" s="37"/>
      <c r="UBL224" s="37"/>
      <c r="UBM224" s="38"/>
      <c r="UBN224" s="38"/>
      <c r="UBO224" s="39"/>
      <c r="UBP224" s="34"/>
      <c r="UBQ224" s="34"/>
      <c r="UBR224" s="34"/>
      <c r="UBS224" s="35"/>
      <c r="UBT224" s="35"/>
      <c r="UBU224" s="35"/>
      <c r="UBV224" s="35"/>
      <c r="UBW224" s="35"/>
      <c r="UBX224" s="34"/>
      <c r="UBY224" s="34"/>
      <c r="UBZ224" s="36"/>
      <c r="UCA224" s="36"/>
      <c r="UCB224" s="37"/>
      <c r="UCC224" s="37"/>
      <c r="UCD224" s="38"/>
      <c r="UCE224" s="38"/>
      <c r="UCF224" s="39"/>
      <c r="UCG224" s="34"/>
      <c r="UCH224" s="34"/>
      <c r="UCI224" s="34"/>
      <c r="UCJ224" s="35"/>
      <c r="UCK224" s="35"/>
      <c r="UCL224" s="35"/>
      <c r="UCM224" s="35"/>
      <c r="UCN224" s="35"/>
      <c r="UCO224" s="34"/>
      <c r="UCP224" s="34"/>
      <c r="UCQ224" s="36"/>
      <c r="UCR224" s="36"/>
      <c r="UCS224" s="37"/>
      <c r="UCT224" s="37"/>
      <c r="UCU224" s="38"/>
      <c r="UCV224" s="38"/>
      <c r="UCW224" s="39"/>
      <c r="UCX224" s="34"/>
      <c r="UCY224" s="34"/>
      <c r="UCZ224" s="34"/>
      <c r="UDA224" s="35"/>
      <c r="UDB224" s="35"/>
      <c r="UDC224" s="35"/>
      <c r="UDD224" s="35"/>
      <c r="UDE224" s="35"/>
      <c r="UDF224" s="34"/>
      <c r="UDG224" s="34"/>
      <c r="UDH224" s="36"/>
      <c r="UDI224" s="36"/>
      <c r="UDJ224" s="37"/>
      <c r="UDK224" s="37"/>
      <c r="UDL224" s="38"/>
      <c r="UDM224" s="38"/>
      <c r="UDN224" s="39"/>
      <c r="UDO224" s="34"/>
      <c r="UDP224" s="34"/>
      <c r="UDQ224" s="34"/>
      <c r="UDR224" s="35"/>
      <c r="UDS224" s="35"/>
      <c r="UDT224" s="35"/>
      <c r="UDU224" s="35"/>
      <c r="UDV224" s="35"/>
      <c r="UDW224" s="34"/>
      <c r="UDX224" s="34"/>
      <c r="UDY224" s="36"/>
      <c r="UDZ224" s="36"/>
      <c r="UEA224" s="37"/>
      <c r="UEB224" s="37"/>
      <c r="UEC224" s="38"/>
      <c r="UED224" s="38"/>
      <c r="UEE224" s="39"/>
      <c r="UEF224" s="34"/>
      <c r="UEG224" s="34"/>
      <c r="UEH224" s="34"/>
      <c r="UEI224" s="35"/>
      <c r="UEJ224" s="35"/>
      <c r="UEK224" s="35"/>
      <c r="UEL224" s="35"/>
      <c r="UEM224" s="35"/>
      <c r="UEN224" s="34"/>
      <c r="UEO224" s="34"/>
      <c r="UEP224" s="36"/>
      <c r="UEQ224" s="36"/>
      <c r="UER224" s="37"/>
      <c r="UES224" s="37"/>
      <c r="UET224" s="38"/>
      <c r="UEU224" s="38"/>
      <c r="UEV224" s="39"/>
      <c r="UEW224" s="34"/>
      <c r="UEX224" s="34"/>
      <c r="UEY224" s="34"/>
      <c r="UEZ224" s="35"/>
      <c r="UFA224" s="35"/>
      <c r="UFB224" s="35"/>
      <c r="UFC224" s="35"/>
      <c r="UFD224" s="35"/>
      <c r="UFE224" s="34"/>
      <c r="UFF224" s="34"/>
      <c r="UFG224" s="36"/>
      <c r="UFH224" s="36"/>
      <c r="UFI224" s="37"/>
      <c r="UFJ224" s="37"/>
      <c r="UFK224" s="38"/>
      <c r="UFL224" s="38"/>
      <c r="UFM224" s="39"/>
      <c r="UFN224" s="34"/>
      <c r="UFO224" s="34"/>
      <c r="UFP224" s="34"/>
      <c r="UFQ224" s="35"/>
      <c r="UFR224" s="35"/>
      <c r="UFS224" s="35"/>
      <c r="UFT224" s="35"/>
      <c r="UFU224" s="35"/>
      <c r="UFV224" s="34"/>
      <c r="UFW224" s="34"/>
      <c r="UFX224" s="36"/>
      <c r="UFY224" s="36"/>
      <c r="UFZ224" s="37"/>
      <c r="UGA224" s="37"/>
      <c r="UGB224" s="38"/>
      <c r="UGC224" s="38"/>
      <c r="UGD224" s="39"/>
      <c r="UGE224" s="34"/>
      <c r="UGF224" s="34"/>
      <c r="UGG224" s="34"/>
      <c r="UGH224" s="35"/>
      <c r="UGI224" s="35"/>
      <c r="UGJ224" s="35"/>
      <c r="UGK224" s="35"/>
      <c r="UGL224" s="35"/>
      <c r="UGM224" s="34"/>
      <c r="UGN224" s="34"/>
      <c r="UGO224" s="36"/>
      <c r="UGP224" s="36"/>
      <c r="UGQ224" s="37"/>
      <c r="UGR224" s="37"/>
      <c r="UGS224" s="38"/>
      <c r="UGT224" s="38"/>
      <c r="UGU224" s="39"/>
      <c r="UGV224" s="34"/>
      <c r="UGW224" s="34"/>
      <c r="UGX224" s="34"/>
      <c r="UGY224" s="35"/>
      <c r="UGZ224" s="35"/>
      <c r="UHA224" s="35"/>
      <c r="UHB224" s="35"/>
      <c r="UHC224" s="35"/>
      <c r="UHD224" s="34"/>
      <c r="UHE224" s="34"/>
      <c r="UHF224" s="36"/>
      <c r="UHG224" s="36"/>
      <c r="UHH224" s="37"/>
      <c r="UHI224" s="37"/>
      <c r="UHJ224" s="38"/>
      <c r="UHK224" s="38"/>
      <c r="UHL224" s="39"/>
      <c r="UHM224" s="34"/>
      <c r="UHN224" s="34"/>
      <c r="UHO224" s="34"/>
      <c r="UHP224" s="35"/>
      <c r="UHQ224" s="35"/>
      <c r="UHR224" s="35"/>
      <c r="UHS224" s="35"/>
      <c r="UHT224" s="35"/>
      <c r="UHU224" s="34"/>
      <c r="UHV224" s="34"/>
      <c r="UHW224" s="36"/>
      <c r="UHX224" s="36"/>
      <c r="UHY224" s="37"/>
      <c r="UHZ224" s="37"/>
      <c r="UIA224" s="38"/>
      <c r="UIB224" s="38"/>
      <c r="UIC224" s="39"/>
      <c r="UID224" s="34"/>
      <c r="UIE224" s="34"/>
      <c r="UIF224" s="34"/>
      <c r="UIG224" s="35"/>
      <c r="UIH224" s="35"/>
      <c r="UII224" s="35"/>
      <c r="UIJ224" s="35"/>
      <c r="UIK224" s="35"/>
      <c r="UIL224" s="34"/>
      <c r="UIM224" s="34"/>
      <c r="UIN224" s="36"/>
      <c r="UIO224" s="36"/>
      <c r="UIP224" s="37"/>
      <c r="UIQ224" s="37"/>
      <c r="UIR224" s="38"/>
      <c r="UIS224" s="38"/>
      <c r="UIT224" s="39"/>
      <c r="UIU224" s="34"/>
      <c r="UIV224" s="34"/>
      <c r="UIW224" s="34"/>
      <c r="UIX224" s="35"/>
      <c r="UIY224" s="35"/>
      <c r="UIZ224" s="35"/>
      <c r="UJA224" s="35"/>
      <c r="UJB224" s="35"/>
      <c r="UJC224" s="34"/>
      <c r="UJD224" s="34"/>
      <c r="UJE224" s="36"/>
      <c r="UJF224" s="36"/>
      <c r="UJG224" s="37"/>
      <c r="UJH224" s="37"/>
      <c r="UJI224" s="38"/>
      <c r="UJJ224" s="38"/>
      <c r="UJK224" s="39"/>
      <c r="UJL224" s="34"/>
      <c r="UJM224" s="34"/>
      <c r="UJN224" s="34"/>
      <c r="UJO224" s="35"/>
      <c r="UJP224" s="35"/>
      <c r="UJQ224" s="35"/>
      <c r="UJR224" s="35"/>
      <c r="UJS224" s="35"/>
      <c r="UJT224" s="34"/>
      <c r="UJU224" s="34"/>
      <c r="UJV224" s="36"/>
      <c r="UJW224" s="36"/>
      <c r="UJX224" s="37"/>
      <c r="UJY224" s="37"/>
      <c r="UJZ224" s="38"/>
      <c r="UKA224" s="38"/>
      <c r="UKB224" s="39"/>
      <c r="UKC224" s="34"/>
      <c r="UKD224" s="34"/>
      <c r="UKE224" s="34"/>
      <c r="UKF224" s="35"/>
      <c r="UKG224" s="35"/>
      <c r="UKH224" s="35"/>
      <c r="UKI224" s="35"/>
      <c r="UKJ224" s="35"/>
      <c r="UKK224" s="34"/>
      <c r="UKL224" s="34"/>
      <c r="UKM224" s="36"/>
      <c r="UKN224" s="36"/>
      <c r="UKO224" s="37"/>
      <c r="UKP224" s="37"/>
      <c r="UKQ224" s="38"/>
      <c r="UKR224" s="38"/>
      <c r="UKS224" s="39"/>
      <c r="UKT224" s="34"/>
      <c r="UKU224" s="34"/>
      <c r="UKV224" s="34"/>
      <c r="UKW224" s="35"/>
      <c r="UKX224" s="35"/>
      <c r="UKY224" s="35"/>
      <c r="UKZ224" s="35"/>
      <c r="ULA224" s="35"/>
      <c r="ULB224" s="34"/>
      <c r="ULC224" s="34"/>
      <c r="ULD224" s="36"/>
      <c r="ULE224" s="36"/>
      <c r="ULF224" s="37"/>
      <c r="ULG224" s="37"/>
      <c r="ULH224" s="38"/>
      <c r="ULI224" s="38"/>
      <c r="ULJ224" s="39"/>
      <c r="ULK224" s="34"/>
      <c r="ULL224" s="34"/>
      <c r="ULM224" s="34"/>
      <c r="ULN224" s="35"/>
      <c r="ULO224" s="35"/>
      <c r="ULP224" s="35"/>
      <c r="ULQ224" s="35"/>
      <c r="ULR224" s="35"/>
      <c r="ULS224" s="34"/>
      <c r="ULT224" s="34"/>
      <c r="ULU224" s="36"/>
      <c r="ULV224" s="36"/>
      <c r="ULW224" s="37"/>
      <c r="ULX224" s="37"/>
      <c r="ULY224" s="38"/>
      <c r="ULZ224" s="38"/>
      <c r="UMA224" s="39"/>
      <c r="UMB224" s="34"/>
      <c r="UMC224" s="34"/>
      <c r="UMD224" s="34"/>
      <c r="UME224" s="35"/>
      <c r="UMF224" s="35"/>
      <c r="UMG224" s="35"/>
      <c r="UMH224" s="35"/>
      <c r="UMI224" s="35"/>
      <c r="UMJ224" s="34"/>
      <c r="UMK224" s="34"/>
      <c r="UML224" s="36"/>
      <c r="UMM224" s="36"/>
      <c r="UMN224" s="37"/>
      <c r="UMO224" s="37"/>
      <c r="UMP224" s="38"/>
      <c r="UMQ224" s="38"/>
      <c r="UMR224" s="39"/>
      <c r="UMS224" s="34"/>
      <c r="UMT224" s="34"/>
      <c r="UMU224" s="34"/>
      <c r="UMV224" s="35"/>
      <c r="UMW224" s="35"/>
      <c r="UMX224" s="35"/>
      <c r="UMY224" s="35"/>
      <c r="UMZ224" s="35"/>
      <c r="UNA224" s="34"/>
      <c r="UNB224" s="34"/>
      <c r="UNC224" s="36"/>
      <c r="UND224" s="36"/>
      <c r="UNE224" s="37"/>
      <c r="UNF224" s="37"/>
      <c r="UNG224" s="38"/>
      <c r="UNH224" s="38"/>
      <c r="UNI224" s="39"/>
      <c r="UNJ224" s="34"/>
      <c r="UNK224" s="34"/>
      <c r="UNL224" s="34"/>
      <c r="UNM224" s="35"/>
      <c r="UNN224" s="35"/>
      <c r="UNO224" s="35"/>
      <c r="UNP224" s="35"/>
      <c r="UNQ224" s="35"/>
      <c r="UNR224" s="34"/>
      <c r="UNS224" s="34"/>
      <c r="UNT224" s="36"/>
      <c r="UNU224" s="36"/>
      <c r="UNV224" s="37"/>
      <c r="UNW224" s="37"/>
      <c r="UNX224" s="38"/>
      <c r="UNY224" s="38"/>
      <c r="UNZ224" s="39"/>
      <c r="UOA224" s="34"/>
      <c r="UOB224" s="34"/>
      <c r="UOC224" s="34"/>
      <c r="UOD224" s="35"/>
      <c r="UOE224" s="35"/>
      <c r="UOF224" s="35"/>
      <c r="UOG224" s="35"/>
      <c r="UOH224" s="35"/>
      <c r="UOI224" s="34"/>
      <c r="UOJ224" s="34"/>
      <c r="UOK224" s="36"/>
      <c r="UOL224" s="36"/>
      <c r="UOM224" s="37"/>
      <c r="UON224" s="37"/>
      <c r="UOO224" s="38"/>
      <c r="UOP224" s="38"/>
      <c r="UOQ224" s="39"/>
      <c r="UOR224" s="34"/>
      <c r="UOS224" s="34"/>
      <c r="UOT224" s="34"/>
      <c r="UOU224" s="35"/>
      <c r="UOV224" s="35"/>
      <c r="UOW224" s="35"/>
      <c r="UOX224" s="35"/>
      <c r="UOY224" s="35"/>
      <c r="UOZ224" s="34"/>
      <c r="UPA224" s="34"/>
      <c r="UPB224" s="36"/>
      <c r="UPC224" s="36"/>
      <c r="UPD224" s="37"/>
      <c r="UPE224" s="37"/>
      <c r="UPF224" s="38"/>
      <c r="UPG224" s="38"/>
      <c r="UPH224" s="39"/>
      <c r="UPI224" s="34"/>
      <c r="UPJ224" s="34"/>
      <c r="UPK224" s="34"/>
      <c r="UPL224" s="35"/>
      <c r="UPM224" s="35"/>
      <c r="UPN224" s="35"/>
      <c r="UPO224" s="35"/>
      <c r="UPP224" s="35"/>
      <c r="UPQ224" s="34"/>
      <c r="UPR224" s="34"/>
      <c r="UPS224" s="36"/>
      <c r="UPT224" s="36"/>
      <c r="UPU224" s="37"/>
      <c r="UPV224" s="37"/>
      <c r="UPW224" s="38"/>
      <c r="UPX224" s="38"/>
      <c r="UPY224" s="39"/>
      <c r="UPZ224" s="34"/>
      <c r="UQA224" s="34"/>
      <c r="UQB224" s="34"/>
      <c r="UQC224" s="35"/>
      <c r="UQD224" s="35"/>
      <c r="UQE224" s="35"/>
      <c r="UQF224" s="35"/>
      <c r="UQG224" s="35"/>
      <c r="UQH224" s="34"/>
      <c r="UQI224" s="34"/>
      <c r="UQJ224" s="36"/>
      <c r="UQK224" s="36"/>
      <c r="UQL224" s="37"/>
      <c r="UQM224" s="37"/>
      <c r="UQN224" s="38"/>
      <c r="UQO224" s="38"/>
      <c r="UQP224" s="39"/>
      <c r="UQQ224" s="34"/>
      <c r="UQR224" s="34"/>
      <c r="UQS224" s="34"/>
      <c r="UQT224" s="35"/>
      <c r="UQU224" s="35"/>
      <c r="UQV224" s="35"/>
      <c r="UQW224" s="35"/>
      <c r="UQX224" s="35"/>
      <c r="UQY224" s="34"/>
      <c r="UQZ224" s="34"/>
      <c r="URA224" s="36"/>
      <c r="URB224" s="36"/>
      <c r="URC224" s="37"/>
      <c r="URD224" s="37"/>
      <c r="URE224" s="38"/>
      <c r="URF224" s="38"/>
      <c r="URG224" s="39"/>
      <c r="URH224" s="34"/>
      <c r="URI224" s="34"/>
      <c r="URJ224" s="34"/>
      <c r="URK224" s="35"/>
      <c r="URL224" s="35"/>
      <c r="URM224" s="35"/>
      <c r="URN224" s="35"/>
      <c r="URO224" s="35"/>
      <c r="URP224" s="34"/>
      <c r="URQ224" s="34"/>
      <c r="URR224" s="36"/>
      <c r="URS224" s="36"/>
      <c r="URT224" s="37"/>
      <c r="URU224" s="37"/>
      <c r="URV224" s="38"/>
      <c r="URW224" s="38"/>
      <c r="URX224" s="39"/>
      <c r="URY224" s="34"/>
      <c r="URZ224" s="34"/>
      <c r="USA224" s="34"/>
      <c r="USB224" s="35"/>
      <c r="USC224" s="35"/>
      <c r="USD224" s="35"/>
      <c r="USE224" s="35"/>
      <c r="USF224" s="35"/>
      <c r="USG224" s="34"/>
      <c r="USH224" s="34"/>
      <c r="USI224" s="36"/>
      <c r="USJ224" s="36"/>
      <c r="USK224" s="37"/>
      <c r="USL224" s="37"/>
      <c r="USM224" s="38"/>
      <c r="USN224" s="38"/>
      <c r="USO224" s="39"/>
      <c r="USP224" s="34"/>
      <c r="USQ224" s="34"/>
      <c r="USR224" s="34"/>
      <c r="USS224" s="35"/>
      <c r="UST224" s="35"/>
      <c r="USU224" s="35"/>
      <c r="USV224" s="35"/>
      <c r="USW224" s="35"/>
      <c r="USX224" s="34"/>
      <c r="USY224" s="34"/>
      <c r="USZ224" s="36"/>
      <c r="UTA224" s="36"/>
      <c r="UTB224" s="37"/>
      <c r="UTC224" s="37"/>
      <c r="UTD224" s="38"/>
      <c r="UTE224" s="38"/>
      <c r="UTF224" s="39"/>
      <c r="UTG224" s="34"/>
      <c r="UTH224" s="34"/>
      <c r="UTI224" s="34"/>
      <c r="UTJ224" s="35"/>
      <c r="UTK224" s="35"/>
      <c r="UTL224" s="35"/>
      <c r="UTM224" s="35"/>
      <c r="UTN224" s="35"/>
      <c r="UTO224" s="34"/>
      <c r="UTP224" s="34"/>
      <c r="UTQ224" s="36"/>
      <c r="UTR224" s="36"/>
      <c r="UTS224" s="37"/>
      <c r="UTT224" s="37"/>
      <c r="UTU224" s="38"/>
      <c r="UTV224" s="38"/>
      <c r="UTW224" s="39"/>
      <c r="UTX224" s="34"/>
      <c r="UTY224" s="34"/>
      <c r="UTZ224" s="34"/>
      <c r="UUA224" s="35"/>
      <c r="UUB224" s="35"/>
      <c r="UUC224" s="35"/>
      <c r="UUD224" s="35"/>
      <c r="UUE224" s="35"/>
      <c r="UUF224" s="34"/>
      <c r="UUG224" s="34"/>
      <c r="UUH224" s="36"/>
      <c r="UUI224" s="36"/>
      <c r="UUJ224" s="37"/>
      <c r="UUK224" s="37"/>
      <c r="UUL224" s="38"/>
      <c r="UUM224" s="38"/>
      <c r="UUN224" s="39"/>
      <c r="UUO224" s="34"/>
      <c r="UUP224" s="34"/>
      <c r="UUQ224" s="34"/>
      <c r="UUR224" s="35"/>
      <c r="UUS224" s="35"/>
      <c r="UUT224" s="35"/>
      <c r="UUU224" s="35"/>
      <c r="UUV224" s="35"/>
      <c r="UUW224" s="34"/>
      <c r="UUX224" s="34"/>
      <c r="UUY224" s="36"/>
      <c r="UUZ224" s="36"/>
      <c r="UVA224" s="37"/>
      <c r="UVB224" s="37"/>
      <c r="UVC224" s="38"/>
      <c r="UVD224" s="38"/>
      <c r="UVE224" s="39"/>
      <c r="UVF224" s="34"/>
      <c r="UVG224" s="34"/>
      <c r="UVH224" s="34"/>
      <c r="UVI224" s="35"/>
      <c r="UVJ224" s="35"/>
      <c r="UVK224" s="35"/>
      <c r="UVL224" s="35"/>
      <c r="UVM224" s="35"/>
      <c r="UVN224" s="34"/>
      <c r="UVO224" s="34"/>
      <c r="UVP224" s="36"/>
      <c r="UVQ224" s="36"/>
      <c r="UVR224" s="37"/>
      <c r="UVS224" s="37"/>
      <c r="UVT224" s="38"/>
      <c r="UVU224" s="38"/>
      <c r="UVV224" s="39"/>
      <c r="UVW224" s="34"/>
      <c r="UVX224" s="34"/>
      <c r="UVY224" s="34"/>
      <c r="UVZ224" s="35"/>
      <c r="UWA224" s="35"/>
      <c r="UWB224" s="35"/>
      <c r="UWC224" s="35"/>
      <c r="UWD224" s="35"/>
      <c r="UWE224" s="34"/>
      <c r="UWF224" s="34"/>
      <c r="UWG224" s="36"/>
      <c r="UWH224" s="36"/>
      <c r="UWI224" s="37"/>
      <c r="UWJ224" s="37"/>
      <c r="UWK224" s="38"/>
      <c r="UWL224" s="38"/>
      <c r="UWM224" s="39"/>
      <c r="UWN224" s="34"/>
      <c r="UWO224" s="34"/>
      <c r="UWP224" s="34"/>
      <c r="UWQ224" s="35"/>
      <c r="UWR224" s="35"/>
      <c r="UWS224" s="35"/>
      <c r="UWT224" s="35"/>
      <c r="UWU224" s="35"/>
      <c r="UWV224" s="34"/>
      <c r="UWW224" s="34"/>
      <c r="UWX224" s="36"/>
      <c r="UWY224" s="36"/>
      <c r="UWZ224" s="37"/>
      <c r="UXA224" s="37"/>
      <c r="UXB224" s="38"/>
      <c r="UXC224" s="38"/>
      <c r="UXD224" s="39"/>
      <c r="UXE224" s="34"/>
      <c r="UXF224" s="34"/>
      <c r="UXG224" s="34"/>
      <c r="UXH224" s="35"/>
      <c r="UXI224" s="35"/>
      <c r="UXJ224" s="35"/>
      <c r="UXK224" s="35"/>
      <c r="UXL224" s="35"/>
      <c r="UXM224" s="34"/>
      <c r="UXN224" s="34"/>
      <c r="UXO224" s="36"/>
      <c r="UXP224" s="36"/>
      <c r="UXQ224" s="37"/>
      <c r="UXR224" s="37"/>
      <c r="UXS224" s="38"/>
      <c r="UXT224" s="38"/>
      <c r="UXU224" s="39"/>
      <c r="UXV224" s="34"/>
      <c r="UXW224" s="34"/>
      <c r="UXX224" s="34"/>
      <c r="UXY224" s="35"/>
      <c r="UXZ224" s="35"/>
      <c r="UYA224" s="35"/>
      <c r="UYB224" s="35"/>
      <c r="UYC224" s="35"/>
      <c r="UYD224" s="34"/>
      <c r="UYE224" s="34"/>
      <c r="UYF224" s="36"/>
      <c r="UYG224" s="36"/>
      <c r="UYH224" s="37"/>
      <c r="UYI224" s="37"/>
      <c r="UYJ224" s="38"/>
      <c r="UYK224" s="38"/>
      <c r="UYL224" s="39"/>
      <c r="UYM224" s="34"/>
      <c r="UYN224" s="34"/>
      <c r="UYO224" s="34"/>
      <c r="UYP224" s="35"/>
      <c r="UYQ224" s="35"/>
      <c r="UYR224" s="35"/>
      <c r="UYS224" s="35"/>
      <c r="UYT224" s="35"/>
      <c r="UYU224" s="34"/>
      <c r="UYV224" s="34"/>
      <c r="UYW224" s="36"/>
      <c r="UYX224" s="36"/>
      <c r="UYY224" s="37"/>
      <c r="UYZ224" s="37"/>
      <c r="UZA224" s="38"/>
      <c r="UZB224" s="38"/>
      <c r="UZC224" s="39"/>
      <c r="UZD224" s="34"/>
      <c r="UZE224" s="34"/>
      <c r="UZF224" s="34"/>
      <c r="UZG224" s="35"/>
      <c r="UZH224" s="35"/>
      <c r="UZI224" s="35"/>
      <c r="UZJ224" s="35"/>
      <c r="UZK224" s="35"/>
      <c r="UZL224" s="34"/>
      <c r="UZM224" s="34"/>
      <c r="UZN224" s="36"/>
      <c r="UZO224" s="36"/>
      <c r="UZP224" s="37"/>
      <c r="UZQ224" s="37"/>
      <c r="UZR224" s="38"/>
      <c r="UZS224" s="38"/>
      <c r="UZT224" s="39"/>
      <c r="UZU224" s="34"/>
      <c r="UZV224" s="34"/>
      <c r="UZW224" s="34"/>
      <c r="UZX224" s="35"/>
      <c r="UZY224" s="35"/>
      <c r="UZZ224" s="35"/>
      <c r="VAA224" s="35"/>
      <c r="VAB224" s="35"/>
      <c r="VAC224" s="34"/>
      <c r="VAD224" s="34"/>
      <c r="VAE224" s="36"/>
      <c r="VAF224" s="36"/>
      <c r="VAG224" s="37"/>
      <c r="VAH224" s="37"/>
      <c r="VAI224" s="38"/>
      <c r="VAJ224" s="38"/>
      <c r="VAK224" s="39"/>
      <c r="VAL224" s="34"/>
      <c r="VAM224" s="34"/>
      <c r="VAN224" s="34"/>
      <c r="VAO224" s="35"/>
      <c r="VAP224" s="35"/>
      <c r="VAQ224" s="35"/>
      <c r="VAR224" s="35"/>
      <c r="VAS224" s="35"/>
      <c r="VAT224" s="34"/>
      <c r="VAU224" s="34"/>
      <c r="VAV224" s="36"/>
      <c r="VAW224" s="36"/>
      <c r="VAX224" s="37"/>
      <c r="VAY224" s="37"/>
      <c r="VAZ224" s="38"/>
      <c r="VBA224" s="38"/>
      <c r="VBB224" s="39"/>
      <c r="VBC224" s="34"/>
      <c r="VBD224" s="34"/>
      <c r="VBE224" s="34"/>
      <c r="VBF224" s="35"/>
      <c r="VBG224" s="35"/>
      <c r="VBH224" s="35"/>
      <c r="VBI224" s="35"/>
      <c r="VBJ224" s="35"/>
      <c r="VBK224" s="34"/>
      <c r="VBL224" s="34"/>
      <c r="VBM224" s="36"/>
      <c r="VBN224" s="36"/>
      <c r="VBO224" s="37"/>
      <c r="VBP224" s="37"/>
      <c r="VBQ224" s="38"/>
      <c r="VBR224" s="38"/>
      <c r="VBS224" s="39"/>
      <c r="VBT224" s="34"/>
      <c r="VBU224" s="34"/>
      <c r="VBV224" s="34"/>
      <c r="VBW224" s="35"/>
      <c r="VBX224" s="35"/>
      <c r="VBY224" s="35"/>
      <c r="VBZ224" s="35"/>
      <c r="VCA224" s="35"/>
      <c r="VCB224" s="34"/>
      <c r="VCC224" s="34"/>
      <c r="VCD224" s="36"/>
      <c r="VCE224" s="36"/>
      <c r="VCF224" s="37"/>
      <c r="VCG224" s="37"/>
      <c r="VCH224" s="38"/>
      <c r="VCI224" s="38"/>
      <c r="VCJ224" s="39"/>
      <c r="VCK224" s="34"/>
      <c r="VCL224" s="34"/>
      <c r="VCM224" s="34"/>
      <c r="VCN224" s="35"/>
      <c r="VCO224" s="35"/>
      <c r="VCP224" s="35"/>
      <c r="VCQ224" s="35"/>
      <c r="VCR224" s="35"/>
      <c r="VCS224" s="34"/>
      <c r="VCT224" s="34"/>
      <c r="VCU224" s="36"/>
      <c r="VCV224" s="36"/>
      <c r="VCW224" s="37"/>
      <c r="VCX224" s="37"/>
      <c r="VCY224" s="38"/>
      <c r="VCZ224" s="38"/>
      <c r="VDA224" s="39"/>
      <c r="VDB224" s="34"/>
      <c r="VDC224" s="34"/>
      <c r="VDD224" s="34"/>
      <c r="VDE224" s="35"/>
      <c r="VDF224" s="35"/>
      <c r="VDG224" s="35"/>
      <c r="VDH224" s="35"/>
      <c r="VDI224" s="35"/>
      <c r="VDJ224" s="34"/>
      <c r="VDK224" s="34"/>
      <c r="VDL224" s="36"/>
      <c r="VDM224" s="36"/>
      <c r="VDN224" s="37"/>
      <c r="VDO224" s="37"/>
      <c r="VDP224" s="38"/>
      <c r="VDQ224" s="38"/>
      <c r="VDR224" s="39"/>
      <c r="VDS224" s="34"/>
      <c r="VDT224" s="34"/>
      <c r="VDU224" s="34"/>
      <c r="VDV224" s="35"/>
      <c r="VDW224" s="35"/>
      <c r="VDX224" s="35"/>
      <c r="VDY224" s="35"/>
      <c r="VDZ224" s="35"/>
      <c r="VEA224" s="34"/>
      <c r="VEB224" s="34"/>
      <c r="VEC224" s="36"/>
      <c r="VED224" s="36"/>
      <c r="VEE224" s="37"/>
      <c r="VEF224" s="37"/>
      <c r="VEG224" s="38"/>
      <c r="VEH224" s="38"/>
      <c r="VEI224" s="39"/>
      <c r="VEJ224" s="34"/>
      <c r="VEK224" s="34"/>
      <c r="VEL224" s="34"/>
      <c r="VEM224" s="35"/>
      <c r="VEN224" s="35"/>
      <c r="VEO224" s="35"/>
      <c r="VEP224" s="35"/>
      <c r="VEQ224" s="35"/>
      <c r="VER224" s="34"/>
      <c r="VES224" s="34"/>
      <c r="VET224" s="36"/>
      <c r="VEU224" s="36"/>
      <c r="VEV224" s="37"/>
      <c r="VEW224" s="37"/>
      <c r="VEX224" s="38"/>
      <c r="VEY224" s="38"/>
      <c r="VEZ224" s="39"/>
      <c r="VFA224" s="34"/>
      <c r="VFB224" s="34"/>
      <c r="VFC224" s="34"/>
      <c r="VFD224" s="35"/>
      <c r="VFE224" s="35"/>
      <c r="VFF224" s="35"/>
      <c r="VFG224" s="35"/>
      <c r="VFH224" s="35"/>
      <c r="VFI224" s="34"/>
      <c r="VFJ224" s="34"/>
      <c r="VFK224" s="36"/>
      <c r="VFL224" s="36"/>
      <c r="VFM224" s="37"/>
      <c r="VFN224" s="37"/>
      <c r="VFO224" s="38"/>
      <c r="VFP224" s="38"/>
      <c r="VFQ224" s="39"/>
      <c r="VFR224" s="34"/>
      <c r="VFS224" s="34"/>
      <c r="VFT224" s="34"/>
      <c r="VFU224" s="35"/>
      <c r="VFV224" s="35"/>
      <c r="VFW224" s="35"/>
      <c r="VFX224" s="35"/>
      <c r="VFY224" s="35"/>
      <c r="VFZ224" s="34"/>
      <c r="VGA224" s="34"/>
      <c r="VGB224" s="36"/>
      <c r="VGC224" s="36"/>
      <c r="VGD224" s="37"/>
      <c r="VGE224" s="37"/>
      <c r="VGF224" s="38"/>
      <c r="VGG224" s="38"/>
      <c r="VGH224" s="39"/>
      <c r="VGI224" s="34"/>
      <c r="VGJ224" s="34"/>
      <c r="VGK224" s="34"/>
      <c r="VGL224" s="35"/>
      <c r="VGM224" s="35"/>
      <c r="VGN224" s="35"/>
      <c r="VGO224" s="35"/>
      <c r="VGP224" s="35"/>
      <c r="VGQ224" s="34"/>
      <c r="VGR224" s="34"/>
      <c r="VGS224" s="36"/>
      <c r="VGT224" s="36"/>
      <c r="VGU224" s="37"/>
      <c r="VGV224" s="37"/>
      <c r="VGW224" s="38"/>
      <c r="VGX224" s="38"/>
      <c r="VGY224" s="39"/>
      <c r="VGZ224" s="34"/>
      <c r="VHA224" s="34"/>
      <c r="VHB224" s="34"/>
      <c r="VHC224" s="35"/>
      <c r="VHD224" s="35"/>
      <c r="VHE224" s="35"/>
      <c r="VHF224" s="35"/>
      <c r="VHG224" s="35"/>
      <c r="VHH224" s="34"/>
      <c r="VHI224" s="34"/>
      <c r="VHJ224" s="36"/>
      <c r="VHK224" s="36"/>
      <c r="VHL224" s="37"/>
      <c r="VHM224" s="37"/>
      <c r="VHN224" s="38"/>
      <c r="VHO224" s="38"/>
      <c r="VHP224" s="39"/>
      <c r="VHQ224" s="34"/>
      <c r="VHR224" s="34"/>
      <c r="VHS224" s="34"/>
      <c r="VHT224" s="35"/>
      <c r="VHU224" s="35"/>
      <c r="VHV224" s="35"/>
      <c r="VHW224" s="35"/>
      <c r="VHX224" s="35"/>
      <c r="VHY224" s="34"/>
      <c r="VHZ224" s="34"/>
      <c r="VIA224" s="36"/>
      <c r="VIB224" s="36"/>
      <c r="VIC224" s="37"/>
      <c r="VID224" s="37"/>
      <c r="VIE224" s="38"/>
      <c r="VIF224" s="38"/>
      <c r="VIG224" s="39"/>
      <c r="VIH224" s="34"/>
      <c r="VII224" s="34"/>
      <c r="VIJ224" s="34"/>
      <c r="VIK224" s="35"/>
      <c r="VIL224" s="35"/>
      <c r="VIM224" s="35"/>
      <c r="VIN224" s="35"/>
      <c r="VIO224" s="35"/>
      <c r="VIP224" s="34"/>
      <c r="VIQ224" s="34"/>
      <c r="VIR224" s="36"/>
      <c r="VIS224" s="36"/>
      <c r="VIT224" s="37"/>
      <c r="VIU224" s="37"/>
      <c r="VIV224" s="38"/>
      <c r="VIW224" s="38"/>
      <c r="VIX224" s="39"/>
      <c r="VIY224" s="34"/>
      <c r="VIZ224" s="34"/>
      <c r="VJA224" s="34"/>
      <c r="VJB224" s="35"/>
      <c r="VJC224" s="35"/>
      <c r="VJD224" s="35"/>
      <c r="VJE224" s="35"/>
      <c r="VJF224" s="35"/>
      <c r="VJG224" s="34"/>
      <c r="VJH224" s="34"/>
      <c r="VJI224" s="36"/>
      <c r="VJJ224" s="36"/>
      <c r="VJK224" s="37"/>
      <c r="VJL224" s="37"/>
      <c r="VJM224" s="38"/>
      <c r="VJN224" s="38"/>
      <c r="VJO224" s="39"/>
      <c r="VJP224" s="34"/>
      <c r="VJQ224" s="34"/>
      <c r="VJR224" s="34"/>
      <c r="VJS224" s="35"/>
      <c r="VJT224" s="35"/>
      <c r="VJU224" s="35"/>
      <c r="VJV224" s="35"/>
      <c r="VJW224" s="35"/>
      <c r="VJX224" s="34"/>
      <c r="VJY224" s="34"/>
      <c r="VJZ224" s="36"/>
      <c r="VKA224" s="36"/>
      <c r="VKB224" s="37"/>
      <c r="VKC224" s="37"/>
      <c r="VKD224" s="38"/>
      <c r="VKE224" s="38"/>
      <c r="VKF224" s="39"/>
      <c r="VKG224" s="34"/>
      <c r="VKH224" s="34"/>
      <c r="VKI224" s="34"/>
      <c r="VKJ224" s="35"/>
      <c r="VKK224" s="35"/>
      <c r="VKL224" s="35"/>
      <c r="VKM224" s="35"/>
      <c r="VKN224" s="35"/>
      <c r="VKO224" s="34"/>
      <c r="VKP224" s="34"/>
      <c r="VKQ224" s="36"/>
      <c r="VKR224" s="36"/>
      <c r="VKS224" s="37"/>
      <c r="VKT224" s="37"/>
      <c r="VKU224" s="38"/>
      <c r="VKV224" s="38"/>
      <c r="VKW224" s="39"/>
      <c r="VKX224" s="34"/>
      <c r="VKY224" s="34"/>
      <c r="VKZ224" s="34"/>
      <c r="VLA224" s="35"/>
      <c r="VLB224" s="35"/>
      <c r="VLC224" s="35"/>
      <c r="VLD224" s="35"/>
      <c r="VLE224" s="35"/>
      <c r="VLF224" s="34"/>
      <c r="VLG224" s="34"/>
      <c r="VLH224" s="36"/>
      <c r="VLI224" s="36"/>
      <c r="VLJ224" s="37"/>
      <c r="VLK224" s="37"/>
      <c r="VLL224" s="38"/>
      <c r="VLM224" s="38"/>
      <c r="VLN224" s="39"/>
      <c r="VLO224" s="34"/>
      <c r="VLP224" s="34"/>
      <c r="VLQ224" s="34"/>
      <c r="VLR224" s="35"/>
      <c r="VLS224" s="35"/>
      <c r="VLT224" s="35"/>
      <c r="VLU224" s="35"/>
      <c r="VLV224" s="35"/>
      <c r="VLW224" s="34"/>
      <c r="VLX224" s="34"/>
      <c r="VLY224" s="36"/>
      <c r="VLZ224" s="36"/>
      <c r="VMA224" s="37"/>
      <c r="VMB224" s="37"/>
      <c r="VMC224" s="38"/>
      <c r="VMD224" s="38"/>
      <c r="VME224" s="39"/>
      <c r="VMF224" s="34"/>
      <c r="VMG224" s="34"/>
      <c r="VMH224" s="34"/>
      <c r="VMI224" s="35"/>
      <c r="VMJ224" s="35"/>
      <c r="VMK224" s="35"/>
      <c r="VML224" s="35"/>
      <c r="VMM224" s="35"/>
      <c r="VMN224" s="34"/>
      <c r="VMO224" s="34"/>
      <c r="VMP224" s="36"/>
      <c r="VMQ224" s="36"/>
      <c r="VMR224" s="37"/>
      <c r="VMS224" s="37"/>
      <c r="VMT224" s="38"/>
      <c r="VMU224" s="38"/>
      <c r="VMV224" s="39"/>
      <c r="VMW224" s="34"/>
      <c r="VMX224" s="34"/>
      <c r="VMY224" s="34"/>
      <c r="VMZ224" s="35"/>
      <c r="VNA224" s="35"/>
      <c r="VNB224" s="35"/>
      <c r="VNC224" s="35"/>
      <c r="VND224" s="35"/>
      <c r="VNE224" s="34"/>
      <c r="VNF224" s="34"/>
      <c r="VNG224" s="36"/>
      <c r="VNH224" s="36"/>
      <c r="VNI224" s="37"/>
      <c r="VNJ224" s="37"/>
      <c r="VNK224" s="38"/>
      <c r="VNL224" s="38"/>
      <c r="VNM224" s="39"/>
      <c r="VNN224" s="34"/>
      <c r="VNO224" s="34"/>
      <c r="VNP224" s="34"/>
      <c r="VNQ224" s="35"/>
      <c r="VNR224" s="35"/>
      <c r="VNS224" s="35"/>
      <c r="VNT224" s="35"/>
      <c r="VNU224" s="35"/>
      <c r="VNV224" s="34"/>
      <c r="VNW224" s="34"/>
      <c r="VNX224" s="36"/>
      <c r="VNY224" s="36"/>
      <c r="VNZ224" s="37"/>
      <c r="VOA224" s="37"/>
      <c r="VOB224" s="38"/>
      <c r="VOC224" s="38"/>
      <c r="VOD224" s="39"/>
      <c r="VOE224" s="34"/>
      <c r="VOF224" s="34"/>
      <c r="VOG224" s="34"/>
      <c r="VOH224" s="35"/>
      <c r="VOI224" s="35"/>
      <c r="VOJ224" s="35"/>
      <c r="VOK224" s="35"/>
      <c r="VOL224" s="35"/>
      <c r="VOM224" s="34"/>
      <c r="VON224" s="34"/>
      <c r="VOO224" s="36"/>
      <c r="VOP224" s="36"/>
      <c r="VOQ224" s="37"/>
      <c r="VOR224" s="37"/>
      <c r="VOS224" s="38"/>
      <c r="VOT224" s="38"/>
      <c r="VOU224" s="39"/>
      <c r="VOV224" s="34"/>
      <c r="VOW224" s="34"/>
      <c r="VOX224" s="34"/>
      <c r="VOY224" s="35"/>
      <c r="VOZ224" s="35"/>
      <c r="VPA224" s="35"/>
      <c r="VPB224" s="35"/>
      <c r="VPC224" s="35"/>
      <c r="VPD224" s="34"/>
      <c r="VPE224" s="34"/>
      <c r="VPF224" s="36"/>
      <c r="VPG224" s="36"/>
      <c r="VPH224" s="37"/>
      <c r="VPI224" s="37"/>
      <c r="VPJ224" s="38"/>
      <c r="VPK224" s="38"/>
      <c r="VPL224" s="39"/>
      <c r="VPM224" s="34"/>
      <c r="VPN224" s="34"/>
      <c r="VPO224" s="34"/>
      <c r="VPP224" s="35"/>
      <c r="VPQ224" s="35"/>
      <c r="VPR224" s="35"/>
      <c r="VPS224" s="35"/>
      <c r="VPT224" s="35"/>
      <c r="VPU224" s="34"/>
      <c r="VPV224" s="34"/>
      <c r="VPW224" s="36"/>
      <c r="VPX224" s="36"/>
      <c r="VPY224" s="37"/>
      <c r="VPZ224" s="37"/>
      <c r="VQA224" s="38"/>
      <c r="VQB224" s="38"/>
      <c r="VQC224" s="39"/>
      <c r="VQD224" s="34"/>
      <c r="VQE224" s="34"/>
      <c r="VQF224" s="34"/>
      <c r="VQG224" s="35"/>
      <c r="VQH224" s="35"/>
      <c r="VQI224" s="35"/>
      <c r="VQJ224" s="35"/>
      <c r="VQK224" s="35"/>
      <c r="VQL224" s="34"/>
      <c r="VQM224" s="34"/>
      <c r="VQN224" s="36"/>
      <c r="VQO224" s="36"/>
      <c r="VQP224" s="37"/>
      <c r="VQQ224" s="37"/>
      <c r="VQR224" s="38"/>
      <c r="VQS224" s="38"/>
      <c r="VQT224" s="39"/>
      <c r="VQU224" s="34"/>
      <c r="VQV224" s="34"/>
      <c r="VQW224" s="34"/>
      <c r="VQX224" s="35"/>
      <c r="VQY224" s="35"/>
      <c r="VQZ224" s="35"/>
      <c r="VRA224" s="35"/>
      <c r="VRB224" s="35"/>
      <c r="VRC224" s="34"/>
      <c r="VRD224" s="34"/>
      <c r="VRE224" s="36"/>
      <c r="VRF224" s="36"/>
      <c r="VRG224" s="37"/>
      <c r="VRH224" s="37"/>
      <c r="VRI224" s="38"/>
      <c r="VRJ224" s="38"/>
      <c r="VRK224" s="39"/>
      <c r="VRL224" s="34"/>
      <c r="VRM224" s="34"/>
      <c r="VRN224" s="34"/>
      <c r="VRO224" s="35"/>
      <c r="VRP224" s="35"/>
      <c r="VRQ224" s="35"/>
      <c r="VRR224" s="35"/>
      <c r="VRS224" s="35"/>
      <c r="VRT224" s="34"/>
      <c r="VRU224" s="34"/>
      <c r="VRV224" s="36"/>
      <c r="VRW224" s="36"/>
      <c r="VRX224" s="37"/>
      <c r="VRY224" s="37"/>
      <c r="VRZ224" s="38"/>
      <c r="VSA224" s="38"/>
      <c r="VSB224" s="39"/>
      <c r="VSC224" s="34"/>
      <c r="VSD224" s="34"/>
      <c r="VSE224" s="34"/>
      <c r="VSF224" s="35"/>
      <c r="VSG224" s="35"/>
      <c r="VSH224" s="35"/>
      <c r="VSI224" s="35"/>
      <c r="VSJ224" s="35"/>
      <c r="VSK224" s="34"/>
      <c r="VSL224" s="34"/>
      <c r="VSM224" s="36"/>
      <c r="VSN224" s="36"/>
      <c r="VSO224" s="37"/>
      <c r="VSP224" s="37"/>
      <c r="VSQ224" s="38"/>
      <c r="VSR224" s="38"/>
      <c r="VSS224" s="39"/>
      <c r="VST224" s="34"/>
      <c r="VSU224" s="34"/>
      <c r="VSV224" s="34"/>
      <c r="VSW224" s="35"/>
      <c r="VSX224" s="35"/>
      <c r="VSY224" s="35"/>
      <c r="VSZ224" s="35"/>
      <c r="VTA224" s="35"/>
      <c r="VTB224" s="34"/>
      <c r="VTC224" s="34"/>
      <c r="VTD224" s="36"/>
      <c r="VTE224" s="36"/>
      <c r="VTF224" s="37"/>
      <c r="VTG224" s="37"/>
      <c r="VTH224" s="38"/>
      <c r="VTI224" s="38"/>
      <c r="VTJ224" s="39"/>
      <c r="VTK224" s="34"/>
      <c r="VTL224" s="34"/>
      <c r="VTM224" s="34"/>
      <c r="VTN224" s="35"/>
      <c r="VTO224" s="35"/>
      <c r="VTP224" s="35"/>
      <c r="VTQ224" s="35"/>
      <c r="VTR224" s="35"/>
      <c r="VTS224" s="34"/>
      <c r="VTT224" s="34"/>
      <c r="VTU224" s="36"/>
      <c r="VTV224" s="36"/>
      <c r="VTW224" s="37"/>
      <c r="VTX224" s="37"/>
      <c r="VTY224" s="38"/>
      <c r="VTZ224" s="38"/>
      <c r="VUA224" s="39"/>
      <c r="VUB224" s="34"/>
      <c r="VUC224" s="34"/>
      <c r="VUD224" s="34"/>
      <c r="VUE224" s="35"/>
      <c r="VUF224" s="35"/>
      <c r="VUG224" s="35"/>
      <c r="VUH224" s="35"/>
      <c r="VUI224" s="35"/>
      <c r="VUJ224" s="34"/>
      <c r="VUK224" s="34"/>
      <c r="VUL224" s="36"/>
      <c r="VUM224" s="36"/>
      <c r="VUN224" s="37"/>
      <c r="VUO224" s="37"/>
      <c r="VUP224" s="38"/>
      <c r="VUQ224" s="38"/>
      <c r="VUR224" s="39"/>
      <c r="VUS224" s="34"/>
      <c r="VUT224" s="34"/>
      <c r="VUU224" s="34"/>
      <c r="VUV224" s="35"/>
      <c r="VUW224" s="35"/>
      <c r="VUX224" s="35"/>
      <c r="VUY224" s="35"/>
      <c r="VUZ224" s="35"/>
      <c r="VVA224" s="34"/>
      <c r="VVB224" s="34"/>
      <c r="VVC224" s="36"/>
      <c r="VVD224" s="36"/>
      <c r="VVE224" s="37"/>
      <c r="VVF224" s="37"/>
      <c r="VVG224" s="38"/>
      <c r="VVH224" s="38"/>
      <c r="VVI224" s="39"/>
      <c r="VVJ224" s="34"/>
      <c r="VVK224" s="34"/>
      <c r="VVL224" s="34"/>
      <c r="VVM224" s="35"/>
      <c r="VVN224" s="35"/>
      <c r="VVO224" s="35"/>
      <c r="VVP224" s="35"/>
      <c r="VVQ224" s="35"/>
      <c r="VVR224" s="34"/>
      <c r="VVS224" s="34"/>
      <c r="VVT224" s="36"/>
      <c r="VVU224" s="36"/>
      <c r="VVV224" s="37"/>
      <c r="VVW224" s="37"/>
      <c r="VVX224" s="38"/>
      <c r="VVY224" s="38"/>
      <c r="VVZ224" s="39"/>
      <c r="VWA224" s="34"/>
      <c r="VWB224" s="34"/>
      <c r="VWC224" s="34"/>
      <c r="VWD224" s="35"/>
      <c r="VWE224" s="35"/>
      <c r="VWF224" s="35"/>
      <c r="VWG224" s="35"/>
      <c r="VWH224" s="35"/>
      <c r="VWI224" s="34"/>
      <c r="VWJ224" s="34"/>
      <c r="VWK224" s="36"/>
      <c r="VWL224" s="36"/>
      <c r="VWM224" s="37"/>
      <c r="VWN224" s="37"/>
      <c r="VWO224" s="38"/>
      <c r="VWP224" s="38"/>
      <c r="VWQ224" s="39"/>
      <c r="VWR224" s="34"/>
      <c r="VWS224" s="34"/>
      <c r="VWT224" s="34"/>
      <c r="VWU224" s="35"/>
      <c r="VWV224" s="35"/>
      <c r="VWW224" s="35"/>
      <c r="VWX224" s="35"/>
      <c r="VWY224" s="35"/>
      <c r="VWZ224" s="34"/>
      <c r="VXA224" s="34"/>
      <c r="VXB224" s="36"/>
      <c r="VXC224" s="36"/>
      <c r="VXD224" s="37"/>
      <c r="VXE224" s="37"/>
      <c r="VXF224" s="38"/>
      <c r="VXG224" s="38"/>
      <c r="VXH224" s="39"/>
      <c r="VXI224" s="34"/>
      <c r="VXJ224" s="34"/>
      <c r="VXK224" s="34"/>
      <c r="VXL224" s="35"/>
      <c r="VXM224" s="35"/>
      <c r="VXN224" s="35"/>
      <c r="VXO224" s="35"/>
      <c r="VXP224" s="35"/>
      <c r="VXQ224" s="34"/>
      <c r="VXR224" s="34"/>
      <c r="VXS224" s="36"/>
      <c r="VXT224" s="36"/>
      <c r="VXU224" s="37"/>
      <c r="VXV224" s="37"/>
      <c r="VXW224" s="38"/>
      <c r="VXX224" s="38"/>
      <c r="VXY224" s="39"/>
      <c r="VXZ224" s="34"/>
      <c r="VYA224" s="34"/>
      <c r="VYB224" s="34"/>
      <c r="VYC224" s="35"/>
      <c r="VYD224" s="35"/>
      <c r="VYE224" s="35"/>
      <c r="VYF224" s="35"/>
      <c r="VYG224" s="35"/>
      <c r="VYH224" s="34"/>
      <c r="VYI224" s="34"/>
      <c r="VYJ224" s="36"/>
      <c r="VYK224" s="36"/>
      <c r="VYL224" s="37"/>
      <c r="VYM224" s="37"/>
      <c r="VYN224" s="38"/>
      <c r="VYO224" s="38"/>
      <c r="VYP224" s="39"/>
      <c r="VYQ224" s="34"/>
      <c r="VYR224" s="34"/>
      <c r="VYS224" s="34"/>
      <c r="VYT224" s="35"/>
      <c r="VYU224" s="35"/>
      <c r="VYV224" s="35"/>
      <c r="VYW224" s="35"/>
      <c r="VYX224" s="35"/>
      <c r="VYY224" s="34"/>
      <c r="VYZ224" s="34"/>
      <c r="VZA224" s="36"/>
      <c r="VZB224" s="36"/>
      <c r="VZC224" s="37"/>
      <c r="VZD224" s="37"/>
      <c r="VZE224" s="38"/>
      <c r="VZF224" s="38"/>
      <c r="VZG224" s="39"/>
      <c r="VZH224" s="34"/>
      <c r="VZI224" s="34"/>
      <c r="VZJ224" s="34"/>
      <c r="VZK224" s="35"/>
      <c r="VZL224" s="35"/>
      <c r="VZM224" s="35"/>
      <c r="VZN224" s="35"/>
      <c r="VZO224" s="35"/>
      <c r="VZP224" s="34"/>
      <c r="VZQ224" s="34"/>
      <c r="VZR224" s="36"/>
      <c r="VZS224" s="36"/>
      <c r="VZT224" s="37"/>
      <c r="VZU224" s="37"/>
      <c r="VZV224" s="38"/>
      <c r="VZW224" s="38"/>
      <c r="VZX224" s="39"/>
      <c r="VZY224" s="34"/>
      <c r="VZZ224" s="34"/>
      <c r="WAA224" s="34"/>
      <c r="WAB224" s="35"/>
      <c r="WAC224" s="35"/>
      <c r="WAD224" s="35"/>
      <c r="WAE224" s="35"/>
      <c r="WAF224" s="35"/>
      <c r="WAG224" s="34"/>
      <c r="WAH224" s="34"/>
      <c r="WAI224" s="36"/>
      <c r="WAJ224" s="36"/>
      <c r="WAK224" s="37"/>
      <c r="WAL224" s="37"/>
      <c r="WAM224" s="38"/>
      <c r="WAN224" s="38"/>
      <c r="WAO224" s="39"/>
      <c r="WAP224" s="34"/>
      <c r="WAQ224" s="34"/>
      <c r="WAR224" s="34"/>
      <c r="WAS224" s="35"/>
      <c r="WAT224" s="35"/>
      <c r="WAU224" s="35"/>
      <c r="WAV224" s="35"/>
      <c r="WAW224" s="35"/>
      <c r="WAX224" s="34"/>
      <c r="WAY224" s="34"/>
      <c r="WAZ224" s="36"/>
      <c r="WBA224" s="36"/>
      <c r="WBB224" s="37"/>
      <c r="WBC224" s="37"/>
      <c r="WBD224" s="38"/>
      <c r="WBE224" s="38"/>
      <c r="WBF224" s="39"/>
      <c r="WBG224" s="34"/>
      <c r="WBH224" s="34"/>
      <c r="WBI224" s="34"/>
      <c r="WBJ224" s="35"/>
      <c r="WBK224" s="35"/>
      <c r="WBL224" s="35"/>
      <c r="WBM224" s="35"/>
      <c r="WBN224" s="35"/>
      <c r="WBO224" s="34"/>
      <c r="WBP224" s="34"/>
      <c r="WBQ224" s="36"/>
      <c r="WBR224" s="36"/>
      <c r="WBS224" s="37"/>
      <c r="WBT224" s="37"/>
      <c r="WBU224" s="38"/>
      <c r="WBV224" s="38"/>
      <c r="WBW224" s="39"/>
      <c r="WBX224" s="34"/>
      <c r="WBY224" s="34"/>
      <c r="WBZ224" s="34"/>
      <c r="WCA224" s="35"/>
      <c r="WCB224" s="35"/>
      <c r="WCC224" s="35"/>
      <c r="WCD224" s="35"/>
      <c r="WCE224" s="35"/>
      <c r="WCF224" s="34"/>
      <c r="WCG224" s="34"/>
      <c r="WCH224" s="36"/>
      <c r="WCI224" s="36"/>
      <c r="WCJ224" s="37"/>
      <c r="WCK224" s="37"/>
      <c r="WCL224" s="38"/>
      <c r="WCM224" s="38"/>
      <c r="WCN224" s="39"/>
      <c r="WCO224" s="34"/>
      <c r="WCP224" s="34"/>
      <c r="WCQ224" s="34"/>
      <c r="WCR224" s="35"/>
      <c r="WCS224" s="35"/>
      <c r="WCT224" s="35"/>
      <c r="WCU224" s="35"/>
      <c r="WCV224" s="35"/>
      <c r="WCW224" s="34"/>
      <c r="WCX224" s="34"/>
      <c r="WCY224" s="36"/>
      <c r="WCZ224" s="36"/>
      <c r="WDA224" s="37"/>
      <c r="WDB224" s="37"/>
      <c r="WDC224" s="38"/>
      <c r="WDD224" s="38"/>
      <c r="WDE224" s="39"/>
      <c r="WDF224" s="34"/>
      <c r="WDG224" s="34"/>
      <c r="WDH224" s="34"/>
      <c r="WDI224" s="35"/>
      <c r="WDJ224" s="35"/>
      <c r="WDK224" s="35"/>
      <c r="WDL224" s="35"/>
      <c r="WDM224" s="35"/>
      <c r="WDN224" s="34"/>
      <c r="WDO224" s="34"/>
      <c r="WDP224" s="36"/>
      <c r="WDQ224" s="36"/>
      <c r="WDR224" s="37"/>
      <c r="WDS224" s="37"/>
      <c r="WDT224" s="38"/>
      <c r="WDU224" s="38"/>
      <c r="WDV224" s="39"/>
      <c r="WDW224" s="34"/>
      <c r="WDX224" s="34"/>
      <c r="WDY224" s="34"/>
      <c r="WDZ224" s="35"/>
      <c r="WEA224" s="35"/>
      <c r="WEB224" s="35"/>
      <c r="WEC224" s="35"/>
      <c r="WED224" s="35"/>
      <c r="WEE224" s="34"/>
      <c r="WEF224" s="34"/>
      <c r="WEG224" s="36"/>
      <c r="WEH224" s="36"/>
      <c r="WEI224" s="37"/>
      <c r="WEJ224" s="37"/>
      <c r="WEK224" s="38"/>
      <c r="WEL224" s="38"/>
      <c r="WEM224" s="39"/>
      <c r="WEN224" s="34"/>
      <c r="WEO224" s="34"/>
      <c r="WEP224" s="34"/>
      <c r="WEQ224" s="35"/>
      <c r="WER224" s="35"/>
      <c r="WES224" s="35"/>
      <c r="WET224" s="35"/>
      <c r="WEU224" s="35"/>
      <c r="WEV224" s="34"/>
      <c r="WEW224" s="34"/>
      <c r="WEX224" s="36"/>
      <c r="WEY224" s="36"/>
      <c r="WEZ224" s="37"/>
      <c r="WFA224" s="37"/>
      <c r="WFB224" s="38"/>
      <c r="WFC224" s="38"/>
      <c r="WFD224" s="39"/>
      <c r="WFE224" s="34"/>
      <c r="WFF224" s="34"/>
      <c r="WFG224" s="34"/>
      <c r="WFH224" s="35"/>
      <c r="WFI224" s="35"/>
      <c r="WFJ224" s="35"/>
      <c r="WFK224" s="35"/>
      <c r="WFL224" s="35"/>
      <c r="WFM224" s="34"/>
      <c r="WFN224" s="34"/>
      <c r="WFO224" s="36"/>
      <c r="WFP224" s="36"/>
      <c r="WFQ224" s="37"/>
      <c r="WFR224" s="37"/>
      <c r="WFS224" s="38"/>
      <c r="WFT224" s="38"/>
      <c r="WFU224" s="39"/>
      <c r="WFV224" s="34"/>
      <c r="WFW224" s="34"/>
      <c r="WFX224" s="34"/>
      <c r="WFY224" s="35"/>
      <c r="WFZ224" s="35"/>
      <c r="WGA224" s="35"/>
      <c r="WGB224" s="35"/>
      <c r="WGC224" s="35"/>
      <c r="WGD224" s="34"/>
      <c r="WGE224" s="34"/>
      <c r="WGF224" s="36"/>
      <c r="WGG224" s="36"/>
      <c r="WGH224" s="37"/>
      <c r="WGI224" s="37"/>
      <c r="WGJ224" s="38"/>
      <c r="WGK224" s="38"/>
      <c r="WGL224" s="39"/>
      <c r="WGM224" s="34"/>
      <c r="WGN224" s="34"/>
      <c r="WGO224" s="34"/>
      <c r="WGP224" s="35"/>
      <c r="WGQ224" s="35"/>
      <c r="WGR224" s="35"/>
      <c r="WGS224" s="35"/>
      <c r="WGT224" s="35"/>
      <c r="WGU224" s="34"/>
      <c r="WGV224" s="34"/>
      <c r="WGW224" s="36"/>
      <c r="WGX224" s="36"/>
      <c r="WGY224" s="37"/>
      <c r="WGZ224" s="37"/>
      <c r="WHA224" s="38"/>
      <c r="WHB224" s="38"/>
      <c r="WHC224" s="39"/>
      <c r="WHD224" s="34"/>
      <c r="WHE224" s="34"/>
      <c r="WHF224" s="34"/>
      <c r="WHG224" s="35"/>
      <c r="WHH224" s="35"/>
      <c r="WHI224" s="35"/>
      <c r="WHJ224" s="35"/>
      <c r="WHK224" s="35"/>
      <c r="WHL224" s="34"/>
      <c r="WHM224" s="34"/>
      <c r="WHN224" s="36"/>
      <c r="WHO224" s="36"/>
      <c r="WHP224" s="37"/>
      <c r="WHQ224" s="37"/>
      <c r="WHR224" s="38"/>
      <c r="WHS224" s="38"/>
      <c r="WHT224" s="39"/>
      <c r="WHU224" s="34"/>
      <c r="WHV224" s="34"/>
      <c r="WHW224" s="34"/>
      <c r="WHX224" s="35"/>
      <c r="WHY224" s="35"/>
      <c r="WHZ224" s="35"/>
      <c r="WIA224" s="35"/>
      <c r="WIB224" s="35"/>
      <c r="WIC224" s="34"/>
      <c r="WID224" s="34"/>
      <c r="WIE224" s="36"/>
      <c r="WIF224" s="36"/>
      <c r="WIG224" s="37"/>
      <c r="WIH224" s="37"/>
      <c r="WII224" s="38"/>
      <c r="WIJ224" s="38"/>
      <c r="WIK224" s="39"/>
      <c r="WIL224" s="34"/>
      <c r="WIM224" s="34"/>
      <c r="WIN224" s="34"/>
      <c r="WIO224" s="35"/>
      <c r="WIP224" s="35"/>
      <c r="WIQ224" s="35"/>
      <c r="WIR224" s="35"/>
      <c r="WIS224" s="35"/>
      <c r="WIT224" s="34"/>
      <c r="WIU224" s="34"/>
      <c r="WIV224" s="36"/>
      <c r="WIW224" s="36"/>
      <c r="WIX224" s="37"/>
      <c r="WIY224" s="37"/>
      <c r="WIZ224" s="38"/>
      <c r="WJA224" s="38"/>
      <c r="WJB224" s="39"/>
      <c r="WJC224" s="34"/>
      <c r="WJD224" s="34"/>
      <c r="WJE224" s="34"/>
      <c r="WJF224" s="35"/>
      <c r="WJG224" s="35"/>
      <c r="WJH224" s="35"/>
      <c r="WJI224" s="35"/>
      <c r="WJJ224" s="35"/>
      <c r="WJK224" s="34"/>
      <c r="WJL224" s="34"/>
      <c r="WJM224" s="36"/>
      <c r="WJN224" s="36"/>
      <c r="WJO224" s="37"/>
      <c r="WJP224" s="37"/>
      <c r="WJQ224" s="38"/>
      <c r="WJR224" s="38"/>
      <c r="WJS224" s="39"/>
      <c r="WJT224" s="34"/>
      <c r="WJU224" s="34"/>
      <c r="WJV224" s="34"/>
      <c r="WJW224" s="35"/>
      <c r="WJX224" s="35"/>
      <c r="WJY224" s="35"/>
      <c r="WJZ224" s="35"/>
      <c r="WKA224" s="35"/>
      <c r="WKB224" s="34"/>
      <c r="WKC224" s="34"/>
      <c r="WKD224" s="36"/>
      <c r="WKE224" s="36"/>
      <c r="WKF224" s="37"/>
      <c r="WKG224" s="37"/>
      <c r="WKH224" s="38"/>
      <c r="WKI224" s="38"/>
      <c r="WKJ224" s="39"/>
      <c r="WKK224" s="34"/>
      <c r="WKL224" s="34"/>
      <c r="WKM224" s="34"/>
      <c r="WKN224" s="35"/>
      <c r="WKO224" s="35"/>
      <c r="WKP224" s="35"/>
      <c r="WKQ224" s="35"/>
      <c r="WKR224" s="35"/>
      <c r="WKS224" s="34"/>
      <c r="WKT224" s="34"/>
      <c r="WKU224" s="36"/>
      <c r="WKV224" s="36"/>
      <c r="WKW224" s="37"/>
      <c r="WKX224" s="37"/>
      <c r="WKY224" s="38"/>
      <c r="WKZ224" s="38"/>
      <c r="WLA224" s="39"/>
      <c r="WLB224" s="34"/>
      <c r="WLC224" s="34"/>
      <c r="WLD224" s="34"/>
      <c r="WLE224" s="35"/>
      <c r="WLF224" s="35"/>
      <c r="WLG224" s="35"/>
      <c r="WLH224" s="35"/>
      <c r="WLI224" s="35"/>
      <c r="WLJ224" s="34"/>
      <c r="WLK224" s="34"/>
      <c r="WLL224" s="36"/>
      <c r="WLM224" s="36"/>
      <c r="WLN224" s="37"/>
      <c r="WLO224" s="37"/>
      <c r="WLP224" s="38"/>
      <c r="WLQ224" s="38"/>
      <c r="WLR224" s="39"/>
      <c r="WLS224" s="34"/>
      <c r="WLT224" s="34"/>
      <c r="WLU224" s="34"/>
      <c r="WLV224" s="35"/>
      <c r="WLW224" s="35"/>
      <c r="WLX224" s="35"/>
      <c r="WLY224" s="35"/>
      <c r="WLZ224" s="35"/>
      <c r="WMA224" s="34"/>
      <c r="WMB224" s="34"/>
      <c r="WMC224" s="36"/>
      <c r="WMD224" s="36"/>
      <c r="WME224" s="37"/>
      <c r="WMF224" s="37"/>
      <c r="WMG224" s="38"/>
      <c r="WMH224" s="38"/>
      <c r="WMI224" s="39"/>
      <c r="WMJ224" s="34"/>
      <c r="WMK224" s="34"/>
      <c r="WML224" s="34"/>
      <c r="WMM224" s="35"/>
      <c r="WMN224" s="35"/>
      <c r="WMO224" s="35"/>
      <c r="WMP224" s="35"/>
      <c r="WMQ224" s="35"/>
      <c r="WMR224" s="34"/>
      <c r="WMS224" s="34"/>
      <c r="WMT224" s="36"/>
      <c r="WMU224" s="36"/>
      <c r="WMV224" s="37"/>
      <c r="WMW224" s="37"/>
      <c r="WMX224" s="38"/>
      <c r="WMY224" s="38"/>
      <c r="WMZ224" s="39"/>
      <c r="WNA224" s="34"/>
      <c r="WNB224" s="34"/>
      <c r="WNC224" s="34"/>
      <c r="WND224" s="35"/>
      <c r="WNE224" s="35"/>
      <c r="WNF224" s="35"/>
      <c r="WNG224" s="35"/>
      <c r="WNH224" s="35"/>
      <c r="WNI224" s="34"/>
      <c r="WNJ224" s="34"/>
      <c r="WNK224" s="36"/>
      <c r="WNL224" s="36"/>
      <c r="WNM224" s="37"/>
      <c r="WNN224" s="37"/>
      <c r="WNO224" s="38"/>
      <c r="WNP224" s="38"/>
      <c r="WNQ224" s="39"/>
      <c r="WNR224" s="34"/>
      <c r="WNS224" s="34"/>
      <c r="WNT224" s="34"/>
      <c r="WNU224" s="35"/>
      <c r="WNV224" s="35"/>
      <c r="WNW224" s="35"/>
      <c r="WNX224" s="35"/>
      <c r="WNY224" s="35"/>
      <c r="WNZ224" s="34"/>
      <c r="WOA224" s="34"/>
      <c r="WOB224" s="36"/>
      <c r="WOC224" s="36"/>
      <c r="WOD224" s="37"/>
      <c r="WOE224" s="37"/>
      <c r="WOF224" s="38"/>
      <c r="WOG224" s="38"/>
      <c r="WOH224" s="39"/>
      <c r="WOI224" s="34"/>
      <c r="WOJ224" s="34"/>
      <c r="WOK224" s="34"/>
      <c r="WOL224" s="35"/>
      <c r="WOM224" s="35"/>
      <c r="WON224" s="35"/>
      <c r="WOO224" s="35"/>
      <c r="WOP224" s="35"/>
      <c r="WOQ224" s="34"/>
      <c r="WOR224" s="34"/>
      <c r="WOS224" s="36"/>
      <c r="WOT224" s="36"/>
      <c r="WOU224" s="37"/>
      <c r="WOV224" s="37"/>
      <c r="WOW224" s="38"/>
      <c r="WOX224" s="38"/>
      <c r="WOY224" s="39"/>
      <c r="WOZ224" s="34"/>
      <c r="WPA224" s="34"/>
      <c r="WPB224" s="34"/>
      <c r="WPC224" s="35"/>
      <c r="WPD224" s="35"/>
      <c r="WPE224" s="35"/>
      <c r="WPF224" s="35"/>
      <c r="WPG224" s="35"/>
      <c r="WPH224" s="34"/>
      <c r="WPI224" s="34"/>
      <c r="WPJ224" s="36"/>
      <c r="WPK224" s="36"/>
      <c r="WPL224" s="37"/>
      <c r="WPM224" s="37"/>
      <c r="WPN224" s="38"/>
      <c r="WPO224" s="38"/>
      <c r="WPP224" s="39"/>
      <c r="WPQ224" s="34"/>
      <c r="WPR224" s="34"/>
      <c r="WPS224" s="34"/>
      <c r="WPT224" s="35"/>
      <c r="WPU224" s="35"/>
      <c r="WPV224" s="35"/>
      <c r="WPW224" s="35"/>
      <c r="WPX224" s="35"/>
      <c r="WPY224" s="34"/>
      <c r="WPZ224" s="34"/>
      <c r="WQA224" s="36"/>
      <c r="WQB224" s="36"/>
      <c r="WQC224" s="37"/>
      <c r="WQD224" s="37"/>
      <c r="WQE224" s="38"/>
      <c r="WQF224" s="38"/>
      <c r="WQG224" s="39"/>
      <c r="WQH224" s="34"/>
      <c r="WQI224" s="34"/>
      <c r="WQJ224" s="34"/>
      <c r="WQK224" s="35"/>
      <c r="WQL224" s="35"/>
      <c r="WQM224" s="35"/>
      <c r="WQN224" s="35"/>
      <c r="WQO224" s="35"/>
      <c r="WQP224" s="34"/>
      <c r="WQQ224" s="34"/>
      <c r="WQR224" s="36"/>
      <c r="WQS224" s="36"/>
      <c r="WQT224" s="37"/>
      <c r="WQU224" s="37"/>
      <c r="WQV224" s="38"/>
      <c r="WQW224" s="38"/>
      <c r="WQX224" s="39"/>
      <c r="WQY224" s="34"/>
      <c r="WQZ224" s="34"/>
      <c r="WRA224" s="34"/>
      <c r="WRB224" s="35"/>
      <c r="WRC224" s="35"/>
      <c r="WRD224" s="35"/>
      <c r="WRE224" s="35"/>
      <c r="WRF224" s="35"/>
      <c r="WRG224" s="34"/>
      <c r="WRH224" s="34"/>
      <c r="WRI224" s="36"/>
      <c r="WRJ224" s="36"/>
      <c r="WRK224" s="37"/>
      <c r="WRL224" s="37"/>
      <c r="WRM224" s="38"/>
      <c r="WRN224" s="38"/>
      <c r="WRO224" s="39"/>
      <c r="WRP224" s="34"/>
      <c r="WRQ224" s="34"/>
      <c r="WRR224" s="34"/>
      <c r="WRS224" s="35"/>
      <c r="WRT224" s="35"/>
      <c r="WRU224" s="35"/>
      <c r="WRV224" s="35"/>
      <c r="WRW224" s="35"/>
      <c r="WRX224" s="34"/>
      <c r="WRY224" s="34"/>
      <c r="WRZ224" s="36"/>
      <c r="WSA224" s="36"/>
      <c r="WSB224" s="37"/>
      <c r="WSC224" s="37"/>
      <c r="WSD224" s="38"/>
      <c r="WSE224" s="38"/>
      <c r="WSF224" s="39"/>
      <c r="WSG224" s="34"/>
      <c r="WSH224" s="34"/>
      <c r="WSI224" s="34"/>
      <c r="WSJ224" s="35"/>
      <c r="WSK224" s="35"/>
      <c r="WSL224" s="35"/>
      <c r="WSM224" s="35"/>
      <c r="WSN224" s="35"/>
      <c r="WSO224" s="34"/>
      <c r="WSP224" s="34"/>
      <c r="WSQ224" s="36"/>
      <c r="WSR224" s="36"/>
      <c r="WSS224" s="37"/>
      <c r="WST224" s="37"/>
      <c r="WSU224" s="38"/>
      <c r="WSV224" s="38"/>
      <c r="WSW224" s="39"/>
      <c r="WSX224" s="34"/>
      <c r="WSY224" s="34"/>
      <c r="WSZ224" s="34"/>
      <c r="WTA224" s="35"/>
      <c r="WTB224" s="35"/>
      <c r="WTC224" s="35"/>
      <c r="WTD224" s="35"/>
      <c r="WTE224" s="35"/>
      <c r="WTF224" s="34"/>
      <c r="WTG224" s="34"/>
      <c r="WTH224" s="36"/>
      <c r="WTI224" s="36"/>
      <c r="WTJ224" s="37"/>
      <c r="WTK224" s="37"/>
      <c r="WTL224" s="38"/>
      <c r="WTM224" s="38"/>
      <c r="WTN224" s="39"/>
      <c r="WTO224" s="34"/>
      <c r="WTP224" s="34"/>
      <c r="WTQ224" s="34"/>
      <c r="WTR224" s="35"/>
      <c r="WTS224" s="35"/>
      <c r="WTT224" s="35"/>
      <c r="WTU224" s="35"/>
      <c r="WTV224" s="35"/>
      <c r="WTW224" s="34"/>
      <c r="WTX224" s="34"/>
      <c r="WTY224" s="36"/>
      <c r="WTZ224" s="36"/>
      <c r="WUA224" s="37"/>
      <c r="WUB224" s="37"/>
      <c r="WUC224" s="38"/>
      <c r="WUD224" s="38"/>
      <c r="WUE224" s="39"/>
      <c r="WUF224" s="34"/>
      <c r="WUG224" s="34"/>
      <c r="WUH224" s="34"/>
      <c r="WUI224" s="35"/>
      <c r="WUJ224" s="35"/>
      <c r="WUK224" s="35"/>
      <c r="WUL224" s="35"/>
      <c r="WUM224" s="35"/>
      <c r="WUN224" s="34"/>
      <c r="WUO224" s="34"/>
      <c r="WUP224" s="36"/>
      <c r="WUQ224" s="36"/>
      <c r="WUR224" s="37"/>
      <c r="WUS224" s="37"/>
      <c r="WUT224" s="38"/>
      <c r="WUU224" s="38"/>
      <c r="WUV224" s="39"/>
      <c r="WUW224" s="34"/>
      <c r="WUX224" s="34"/>
      <c r="WUY224" s="34"/>
      <c r="WUZ224" s="35"/>
      <c r="WVA224" s="35"/>
      <c r="WVB224" s="35"/>
      <c r="WVC224" s="35"/>
      <c r="WVD224" s="35"/>
      <c r="WVE224" s="34"/>
      <c r="WVF224" s="34"/>
      <c r="WVG224" s="36"/>
      <c r="WVH224" s="36"/>
      <c r="WVI224" s="37"/>
      <c r="WVJ224" s="37"/>
      <c r="WVK224" s="38"/>
      <c r="WVL224" s="38"/>
      <c r="WVM224" s="39"/>
      <c r="WVN224" s="34"/>
      <c r="WVO224" s="34"/>
      <c r="WVP224" s="34"/>
      <c r="WVQ224" s="35"/>
      <c r="WVR224" s="35"/>
      <c r="WVS224" s="35"/>
      <c r="WVT224" s="35"/>
      <c r="WVU224" s="35"/>
      <c r="WVV224" s="34"/>
      <c r="WVW224" s="34"/>
      <c r="WVX224" s="36"/>
      <c r="WVY224" s="36"/>
      <c r="WVZ224" s="37"/>
      <c r="WWA224" s="37"/>
      <c r="WWB224" s="38"/>
      <c r="WWC224" s="38"/>
      <c r="WWD224" s="39"/>
      <c r="WWE224" s="34"/>
      <c r="WWF224" s="34"/>
      <c r="WWG224" s="34"/>
      <c r="WWH224" s="35"/>
      <c r="WWI224" s="35"/>
      <c r="WWJ224" s="35"/>
      <c r="WWK224" s="35"/>
      <c r="WWL224" s="35"/>
      <c r="WWM224" s="34"/>
      <c r="WWN224" s="34"/>
      <c r="WWO224" s="36"/>
      <c r="WWP224" s="36"/>
      <c r="WWQ224" s="37"/>
      <c r="WWR224" s="37"/>
      <c r="WWS224" s="38"/>
      <c r="WWT224" s="38"/>
      <c r="WWU224" s="39"/>
      <c r="WWV224" s="34"/>
      <c r="WWW224" s="34"/>
      <c r="WWX224" s="34"/>
      <c r="WWY224" s="35"/>
      <c r="WWZ224" s="35"/>
      <c r="WXA224" s="35"/>
      <c r="WXB224" s="35"/>
      <c r="WXC224" s="35"/>
      <c r="WXD224" s="34"/>
      <c r="WXE224" s="34"/>
      <c r="WXF224" s="36"/>
      <c r="WXG224" s="36"/>
      <c r="WXH224" s="37"/>
      <c r="WXI224" s="37"/>
      <c r="WXJ224" s="38"/>
      <c r="WXK224" s="38"/>
      <c r="WXL224" s="39"/>
      <c r="WXM224" s="34"/>
      <c r="WXN224" s="34"/>
      <c r="WXO224" s="34"/>
      <c r="WXP224" s="35"/>
      <c r="WXQ224" s="35"/>
      <c r="WXR224" s="35"/>
      <c r="WXS224" s="35"/>
      <c r="WXT224" s="35"/>
      <c r="WXU224" s="34"/>
      <c r="WXV224" s="34"/>
      <c r="WXW224" s="36"/>
      <c r="WXX224" s="36"/>
      <c r="WXY224" s="37"/>
      <c r="WXZ224" s="37"/>
      <c r="WYA224" s="38"/>
      <c r="WYB224" s="38"/>
      <c r="WYC224" s="39"/>
      <c r="WYD224" s="34"/>
      <c r="WYE224" s="34"/>
      <c r="WYF224" s="34"/>
      <c r="WYG224" s="35"/>
      <c r="WYH224" s="35"/>
      <c r="WYI224" s="35"/>
      <c r="WYJ224" s="35"/>
      <c r="WYK224" s="35"/>
      <c r="WYL224" s="34"/>
      <c r="WYM224" s="34"/>
      <c r="WYN224" s="36"/>
      <c r="WYO224" s="36"/>
      <c r="WYP224" s="37"/>
      <c r="WYQ224" s="37"/>
      <c r="WYR224" s="38"/>
      <c r="WYS224" s="38"/>
      <c r="WYT224" s="39"/>
      <c r="WYU224" s="34"/>
      <c r="WYV224" s="34"/>
      <c r="WYW224" s="34"/>
      <c r="WYX224" s="35"/>
      <c r="WYY224" s="35"/>
      <c r="WYZ224" s="35"/>
      <c r="WZA224" s="35"/>
      <c r="WZB224" s="35"/>
      <c r="WZC224" s="34"/>
      <c r="WZD224" s="34"/>
      <c r="WZE224" s="36"/>
      <c r="WZF224" s="36"/>
      <c r="WZG224" s="37"/>
      <c r="WZH224" s="37"/>
      <c r="WZI224" s="38"/>
      <c r="WZJ224" s="38"/>
      <c r="WZK224" s="39"/>
      <c r="WZL224" s="34"/>
      <c r="WZM224" s="34"/>
      <c r="WZN224" s="34"/>
      <c r="WZO224" s="35"/>
      <c r="WZP224" s="35"/>
      <c r="WZQ224" s="35"/>
      <c r="WZR224" s="35"/>
      <c r="WZS224" s="35"/>
      <c r="WZT224" s="34"/>
      <c r="WZU224" s="34"/>
      <c r="WZV224" s="36"/>
      <c r="WZW224" s="36"/>
      <c r="WZX224" s="37"/>
      <c r="WZY224" s="37"/>
      <c r="WZZ224" s="38"/>
      <c r="XAA224" s="38"/>
      <c r="XAB224" s="39"/>
      <c r="XAC224" s="34"/>
      <c r="XAD224" s="34"/>
      <c r="XAE224" s="34"/>
      <c r="XAF224" s="35"/>
      <c r="XAG224" s="35"/>
      <c r="XAH224" s="35"/>
      <c r="XAI224" s="35"/>
      <c r="XAJ224" s="35"/>
      <c r="XAK224" s="34"/>
      <c r="XAL224" s="34"/>
      <c r="XAM224" s="36"/>
      <c r="XAN224" s="36"/>
      <c r="XAO224" s="37"/>
      <c r="XAP224" s="37"/>
      <c r="XAQ224" s="38"/>
      <c r="XAR224" s="38"/>
      <c r="XAS224" s="39"/>
      <c r="XAT224" s="34"/>
      <c r="XAU224" s="34"/>
      <c r="XAV224" s="34"/>
      <c r="XAW224" s="35"/>
      <c r="XAX224" s="35"/>
      <c r="XAY224" s="35"/>
      <c r="XAZ224" s="35"/>
      <c r="XBA224" s="35"/>
      <c r="XBB224" s="34"/>
      <c r="XBC224" s="34"/>
      <c r="XBD224" s="36"/>
      <c r="XBE224" s="36"/>
      <c r="XBF224" s="37"/>
      <c r="XBG224" s="37"/>
      <c r="XBH224" s="38"/>
      <c r="XBI224" s="38"/>
      <c r="XBJ224" s="39"/>
      <c r="XBK224" s="34"/>
      <c r="XBL224" s="34"/>
      <c r="XBM224" s="34"/>
      <c r="XBN224" s="35"/>
      <c r="XBO224" s="35"/>
      <c r="XBP224" s="35"/>
      <c r="XBQ224" s="35"/>
      <c r="XBR224" s="35"/>
      <c r="XBS224" s="34"/>
      <c r="XBT224" s="34"/>
      <c r="XBU224" s="36"/>
      <c r="XBV224" s="36"/>
      <c r="XBW224" s="37"/>
      <c r="XBX224" s="37"/>
      <c r="XBY224" s="38"/>
      <c r="XBZ224" s="38"/>
      <c r="XCA224" s="39"/>
      <c r="XCB224" s="34"/>
      <c r="XCC224" s="34"/>
      <c r="XCD224" s="34"/>
      <c r="XCE224" s="35"/>
      <c r="XCF224" s="35"/>
      <c r="XCG224" s="35"/>
      <c r="XCH224" s="35"/>
      <c r="XCI224" s="35"/>
      <c r="XCJ224" s="34"/>
      <c r="XCK224" s="34"/>
      <c r="XCL224" s="36"/>
      <c r="XCM224" s="36"/>
      <c r="XCN224" s="37"/>
      <c r="XCO224" s="37"/>
      <c r="XCP224" s="38"/>
      <c r="XCQ224" s="38"/>
      <c r="XCR224" s="39"/>
      <c r="XCS224" s="34"/>
      <c r="XCT224" s="34"/>
      <c r="XCU224" s="34"/>
      <c r="XCV224" s="35"/>
      <c r="XCW224" s="35"/>
      <c r="XCX224" s="35"/>
      <c r="XCY224" s="35"/>
      <c r="XCZ224" s="35"/>
      <c r="XDA224" s="34"/>
      <c r="XDB224" s="34"/>
      <c r="XDC224" s="36"/>
      <c r="XDD224" s="36"/>
      <c r="XDE224" s="37"/>
      <c r="XDF224" s="37"/>
      <c r="XDG224" s="38"/>
      <c r="XDH224" s="38"/>
      <c r="XDI224" s="39"/>
      <c r="XDJ224" s="34"/>
      <c r="XDK224" s="34"/>
      <c r="XDL224" s="34"/>
      <c r="XDM224" s="35"/>
      <c r="XDN224" s="35"/>
      <c r="XDO224" s="35"/>
      <c r="XDP224" s="35"/>
      <c r="XDQ224" s="35"/>
      <c r="XDR224" s="34"/>
      <c r="XDS224" s="34"/>
      <c r="XDT224" s="36"/>
      <c r="XDU224" s="36"/>
      <c r="XDV224" s="37"/>
      <c r="XDW224" s="37"/>
      <c r="XDX224" s="38"/>
      <c r="XDY224" s="38"/>
      <c r="XDZ224" s="39"/>
      <c r="XEA224" s="34"/>
      <c r="XEB224" s="34"/>
      <c r="XEC224" s="34"/>
      <c r="XED224" s="35"/>
      <c r="XEE224" s="35"/>
      <c r="XEF224" s="35"/>
      <c r="XEG224" s="35"/>
      <c r="XEH224" s="35"/>
      <c r="XEI224" s="34"/>
      <c r="XEJ224" s="34"/>
      <c r="XEK224" s="36"/>
      <c r="XEL224" s="36"/>
      <c r="XEM224" s="37"/>
      <c r="XEN224" s="37"/>
      <c r="XEO224" s="38"/>
      <c r="XEP224" s="38"/>
      <c r="XEQ224" s="39"/>
      <c r="XER224" s="34"/>
      <c r="XES224" s="34"/>
      <c r="XET224" s="34"/>
      <c r="XEU224" s="35"/>
      <c r="XEV224" s="35"/>
      <c r="XEW224" s="35"/>
      <c r="XEX224" s="35"/>
      <c r="XEY224" s="35"/>
      <c r="XEZ224" s="34"/>
      <c r="XFA224" s="34"/>
      <c r="XFB224" s="36"/>
      <c r="XFC224" s="36"/>
      <c r="XFD224" s="37"/>
    </row>
    <row r="225" spans="1:35" ht="14.25" customHeight="1" x14ac:dyDescent="0.25">
      <c r="A225" s="34">
        <v>0</v>
      </c>
      <c r="B225" s="34">
        <v>1</v>
      </c>
      <c r="C225" s="34">
        <v>6</v>
      </c>
      <c r="D225" s="35" t="s">
        <v>982</v>
      </c>
      <c r="E225" s="35" t="s">
        <v>166</v>
      </c>
      <c r="F225" s="35" t="s">
        <v>980</v>
      </c>
      <c r="G225" s="35" t="s">
        <v>1109</v>
      </c>
      <c r="H225" s="35" t="s">
        <v>355</v>
      </c>
      <c r="I225" s="34" t="s">
        <v>981</v>
      </c>
      <c r="J225" s="34">
        <v>1</v>
      </c>
      <c r="K225" s="36" t="s">
        <v>960</v>
      </c>
      <c r="L225" s="36" t="s">
        <v>693</v>
      </c>
      <c r="M225" s="37" t="s">
        <v>1409</v>
      </c>
      <c r="N225" s="37" t="s">
        <v>1755</v>
      </c>
      <c r="O225" s="38">
        <v>1</v>
      </c>
      <c r="P225" s="38"/>
      <c r="Q225" s="35"/>
      <c r="S225" s="1">
        <f t="shared" si="98"/>
        <v>1</v>
      </c>
      <c r="T225" s="1">
        <f t="shared" si="99"/>
        <v>0</v>
      </c>
      <c r="U225" s="1">
        <f t="shared" si="100"/>
        <v>0</v>
      </c>
      <c r="V225" s="1">
        <f t="shared" si="101"/>
        <v>0</v>
      </c>
      <c r="W225" s="1">
        <f t="shared" si="102"/>
        <v>0</v>
      </c>
      <c r="X225" s="1">
        <f t="shared" si="103"/>
        <v>0</v>
      </c>
      <c r="Y225" s="1">
        <f t="shared" si="104"/>
        <v>0</v>
      </c>
      <c r="Z225" s="1">
        <f t="shared" si="105"/>
        <v>0</v>
      </c>
      <c r="AA225" s="1">
        <f t="shared" si="106"/>
        <v>0</v>
      </c>
      <c r="AB225" s="1">
        <f t="shared" si="107"/>
        <v>0</v>
      </c>
      <c r="AD225" s="1">
        <f t="shared" si="108"/>
        <v>0</v>
      </c>
      <c r="AE225" s="1">
        <f t="shared" si="109"/>
        <v>1</v>
      </c>
      <c r="AF225" s="1">
        <f t="shared" si="94"/>
        <v>0</v>
      </c>
      <c r="AG225" s="1">
        <f t="shared" si="95"/>
        <v>1</v>
      </c>
      <c r="AH225" s="1">
        <f t="shared" si="96"/>
        <v>0</v>
      </c>
      <c r="AI225" s="1">
        <f t="shared" si="97"/>
        <v>1</v>
      </c>
    </row>
    <row r="226" spans="1:35" ht="14.25" customHeight="1" x14ac:dyDescent="0.25">
      <c r="A226" s="47">
        <v>0</v>
      </c>
      <c r="B226" s="47">
        <v>1</v>
      </c>
      <c r="C226" s="47">
        <v>6</v>
      </c>
      <c r="D226" s="48" t="s">
        <v>523</v>
      </c>
      <c r="E226" s="48" t="s">
        <v>168</v>
      </c>
      <c r="F226" s="48" t="s">
        <v>524</v>
      </c>
      <c r="G226" s="48" t="s">
        <v>525</v>
      </c>
      <c r="H226" s="48" t="s">
        <v>355</v>
      </c>
      <c r="I226" s="47" t="s">
        <v>526</v>
      </c>
      <c r="J226" s="47">
        <v>99</v>
      </c>
      <c r="K226" s="49" t="s">
        <v>706</v>
      </c>
      <c r="L226" s="49" t="s">
        <v>698</v>
      </c>
      <c r="M226" s="50" t="s">
        <v>711</v>
      </c>
      <c r="N226" s="50" t="s">
        <v>1816</v>
      </c>
      <c r="O226" s="51"/>
      <c r="P226" s="51"/>
      <c r="Q226" s="48"/>
      <c r="S226" s="1">
        <f t="shared" si="98"/>
        <v>0</v>
      </c>
      <c r="T226" s="1">
        <f t="shared" si="99"/>
        <v>0</v>
      </c>
      <c r="U226" s="1">
        <f t="shared" si="100"/>
        <v>0</v>
      </c>
      <c r="V226" s="1">
        <f t="shared" si="101"/>
        <v>0</v>
      </c>
      <c r="W226" s="1">
        <f t="shared" si="102"/>
        <v>0</v>
      </c>
      <c r="X226" s="1">
        <f t="shared" si="103"/>
        <v>0</v>
      </c>
      <c r="Y226" s="1">
        <f t="shared" si="104"/>
        <v>0</v>
      </c>
      <c r="Z226" s="1">
        <f t="shared" si="105"/>
        <v>0</v>
      </c>
      <c r="AA226" s="1">
        <f t="shared" si="106"/>
        <v>0</v>
      </c>
      <c r="AB226" s="1">
        <f t="shared" si="107"/>
        <v>0</v>
      </c>
      <c r="AD226" s="1">
        <f t="shared" si="108"/>
        <v>0</v>
      </c>
      <c r="AE226" s="1">
        <f t="shared" si="109"/>
        <v>0</v>
      </c>
      <c r="AF226" s="1">
        <f t="shared" si="94"/>
        <v>0</v>
      </c>
      <c r="AG226" s="1">
        <f t="shared" si="95"/>
        <v>0</v>
      </c>
      <c r="AH226" s="1">
        <f t="shared" si="96"/>
        <v>0</v>
      </c>
      <c r="AI226" s="1">
        <f t="shared" si="97"/>
        <v>1</v>
      </c>
    </row>
    <row r="227" spans="1:35" ht="14.25" customHeight="1" x14ac:dyDescent="0.25">
      <c r="A227" s="41">
        <v>0</v>
      </c>
      <c r="B227" s="41">
        <v>1</v>
      </c>
      <c r="C227" s="41">
        <v>6</v>
      </c>
      <c r="D227" s="42" t="s">
        <v>1844</v>
      </c>
      <c r="E227" s="42" t="s">
        <v>1845</v>
      </c>
      <c r="F227" s="42" t="s">
        <v>1846</v>
      </c>
      <c r="G227" s="42"/>
      <c r="H227" s="42" t="s">
        <v>355</v>
      </c>
      <c r="I227" s="41" t="s">
        <v>1847</v>
      </c>
      <c r="J227" s="41"/>
      <c r="K227" s="43" t="s">
        <v>707</v>
      </c>
      <c r="L227" s="43"/>
      <c r="M227" s="44"/>
      <c r="N227" s="45"/>
      <c r="O227" s="46"/>
      <c r="P227" s="46">
        <v>1</v>
      </c>
      <c r="Q227" s="42"/>
      <c r="S227" s="1">
        <f t="shared" si="98"/>
        <v>0</v>
      </c>
      <c r="T227" s="1">
        <f t="shared" si="99"/>
        <v>0</v>
      </c>
      <c r="U227" s="1">
        <f t="shared" si="100"/>
        <v>0</v>
      </c>
      <c r="V227" s="1">
        <f t="shared" si="101"/>
        <v>0</v>
      </c>
      <c r="W227" s="1">
        <f t="shared" si="102"/>
        <v>0</v>
      </c>
      <c r="X227" s="1">
        <f t="shared" si="103"/>
        <v>0</v>
      </c>
      <c r="Y227" s="1">
        <f t="shared" si="104"/>
        <v>0</v>
      </c>
      <c r="Z227" s="1">
        <f t="shared" si="105"/>
        <v>0</v>
      </c>
      <c r="AA227" s="1">
        <f t="shared" si="106"/>
        <v>0</v>
      </c>
      <c r="AB227" s="1">
        <f t="shared" si="107"/>
        <v>0</v>
      </c>
      <c r="AD227" s="1">
        <f t="shared" si="108"/>
        <v>0</v>
      </c>
      <c r="AE227" s="1">
        <f t="shared" si="109"/>
        <v>0</v>
      </c>
      <c r="AF227" s="1">
        <f t="shared" si="94"/>
        <v>0</v>
      </c>
      <c r="AG227" s="1">
        <f t="shared" si="95"/>
        <v>0</v>
      </c>
      <c r="AH227" s="1">
        <f t="shared" si="96"/>
        <v>1</v>
      </c>
      <c r="AI227" s="1">
        <f t="shared" si="97"/>
        <v>0</v>
      </c>
    </row>
    <row r="228" spans="1:35" ht="14.25" customHeight="1" x14ac:dyDescent="0.25">
      <c r="A228" s="47">
        <v>0</v>
      </c>
      <c r="B228" s="47">
        <v>1</v>
      </c>
      <c r="C228" s="47">
        <v>6</v>
      </c>
      <c r="D228" s="48" t="s">
        <v>1487</v>
      </c>
      <c r="E228" s="48" t="s">
        <v>168</v>
      </c>
      <c r="F228" s="48" t="s">
        <v>1489</v>
      </c>
      <c r="G228" s="48" t="s">
        <v>1490</v>
      </c>
      <c r="H228" s="48" t="s">
        <v>355</v>
      </c>
      <c r="I228" s="47" t="s">
        <v>1488</v>
      </c>
      <c r="J228" s="47">
        <v>99</v>
      </c>
      <c r="K228" s="49" t="s">
        <v>707</v>
      </c>
      <c r="L228" s="49">
        <v>62</v>
      </c>
      <c r="M228" s="50"/>
      <c r="N228" s="50" t="s">
        <v>1741</v>
      </c>
      <c r="O228" s="51"/>
      <c r="P228" s="51"/>
      <c r="Q228" s="48"/>
      <c r="S228" s="1">
        <f t="shared" si="98"/>
        <v>0</v>
      </c>
      <c r="T228" s="1">
        <f t="shared" si="99"/>
        <v>0</v>
      </c>
      <c r="U228" s="1">
        <f t="shared" si="100"/>
        <v>0</v>
      </c>
      <c r="V228" s="1">
        <f t="shared" si="101"/>
        <v>0</v>
      </c>
      <c r="W228" s="1">
        <f t="shared" si="102"/>
        <v>0</v>
      </c>
      <c r="X228" s="1">
        <f t="shared" si="103"/>
        <v>0</v>
      </c>
      <c r="Y228" s="1">
        <f t="shared" si="104"/>
        <v>0</v>
      </c>
      <c r="Z228" s="1">
        <f t="shared" si="105"/>
        <v>0</v>
      </c>
      <c r="AA228" s="1">
        <f t="shared" si="106"/>
        <v>0</v>
      </c>
      <c r="AB228" s="1">
        <f t="shared" si="107"/>
        <v>0</v>
      </c>
      <c r="AD228" s="1">
        <f t="shared" si="108"/>
        <v>0</v>
      </c>
      <c r="AE228" s="1">
        <f t="shared" si="109"/>
        <v>0</v>
      </c>
      <c r="AF228" s="1">
        <f t="shared" si="94"/>
        <v>0</v>
      </c>
      <c r="AG228" s="1">
        <f t="shared" si="95"/>
        <v>0</v>
      </c>
      <c r="AH228" s="1">
        <f t="shared" si="96"/>
        <v>0</v>
      </c>
      <c r="AI228" s="1">
        <f t="shared" si="97"/>
        <v>1</v>
      </c>
    </row>
    <row r="229" spans="1:35" ht="14.25" customHeight="1" x14ac:dyDescent="0.25">
      <c r="A229" s="34">
        <v>0</v>
      </c>
      <c r="B229" s="34">
        <v>1</v>
      </c>
      <c r="C229" s="34">
        <v>6</v>
      </c>
      <c r="D229" s="35" t="s">
        <v>1203</v>
      </c>
      <c r="E229" s="35" t="s">
        <v>166</v>
      </c>
      <c r="F229" s="35" t="s">
        <v>1677</v>
      </c>
      <c r="G229" s="35" t="s">
        <v>214</v>
      </c>
      <c r="H229" s="35" t="s">
        <v>355</v>
      </c>
      <c r="I229" s="34" t="s">
        <v>1204</v>
      </c>
      <c r="J229" s="34">
        <v>1</v>
      </c>
      <c r="K229" s="36" t="s">
        <v>966</v>
      </c>
      <c r="L229" s="36" t="s">
        <v>690</v>
      </c>
      <c r="M229" s="37" t="s">
        <v>1579</v>
      </c>
      <c r="N229" s="37" t="s">
        <v>1762</v>
      </c>
      <c r="O229" s="38">
        <v>1</v>
      </c>
      <c r="P229" s="38"/>
      <c r="Q229" s="35"/>
      <c r="S229" s="1">
        <f t="shared" si="98"/>
        <v>1</v>
      </c>
      <c r="T229" s="1">
        <f t="shared" si="99"/>
        <v>0</v>
      </c>
      <c r="U229" s="1">
        <f t="shared" si="100"/>
        <v>0</v>
      </c>
      <c r="V229" s="1">
        <f t="shared" si="101"/>
        <v>0</v>
      </c>
      <c r="W229" s="1">
        <f t="shared" si="102"/>
        <v>0</v>
      </c>
      <c r="X229" s="1">
        <f t="shared" si="103"/>
        <v>0</v>
      </c>
      <c r="Y229" s="1">
        <f t="shared" si="104"/>
        <v>0</v>
      </c>
      <c r="Z229" s="1">
        <f t="shared" si="105"/>
        <v>0</v>
      </c>
      <c r="AA229" s="1">
        <f t="shared" si="106"/>
        <v>0</v>
      </c>
      <c r="AB229" s="1">
        <f t="shared" si="107"/>
        <v>0</v>
      </c>
      <c r="AD229" s="1">
        <f t="shared" si="108"/>
        <v>0</v>
      </c>
      <c r="AE229" s="1">
        <f t="shared" si="109"/>
        <v>1</v>
      </c>
      <c r="AF229" s="1">
        <f t="shared" si="94"/>
        <v>0</v>
      </c>
      <c r="AG229" s="1">
        <f t="shared" si="95"/>
        <v>1</v>
      </c>
      <c r="AH229" s="1">
        <f t="shared" si="96"/>
        <v>0</v>
      </c>
      <c r="AI229" s="1">
        <f t="shared" si="97"/>
        <v>1</v>
      </c>
    </row>
    <row r="230" spans="1:35" ht="14.25" customHeight="1" x14ac:dyDescent="0.25">
      <c r="A230" s="34">
        <v>0</v>
      </c>
      <c r="B230" s="34">
        <v>1</v>
      </c>
      <c r="C230" s="34">
        <v>6</v>
      </c>
      <c r="D230" s="35" t="s">
        <v>98</v>
      </c>
      <c r="E230" s="35" t="s">
        <v>168</v>
      </c>
      <c r="F230" s="35" t="s">
        <v>297</v>
      </c>
      <c r="G230" s="35" t="s">
        <v>286</v>
      </c>
      <c r="H230" s="35" t="s">
        <v>355</v>
      </c>
      <c r="I230" s="34" t="s">
        <v>1122</v>
      </c>
      <c r="J230" s="34">
        <v>10</v>
      </c>
      <c r="K230" s="36" t="s">
        <v>960</v>
      </c>
      <c r="L230" s="36" t="s">
        <v>698</v>
      </c>
      <c r="M230" s="37" t="s">
        <v>709</v>
      </c>
      <c r="N230" s="37" t="s">
        <v>1756</v>
      </c>
      <c r="O230" s="38">
        <v>1</v>
      </c>
      <c r="P230" s="38"/>
      <c r="Q230" s="35"/>
      <c r="S230" s="1">
        <f t="shared" si="98"/>
        <v>0</v>
      </c>
      <c r="T230" s="1">
        <f t="shared" si="99"/>
        <v>0</v>
      </c>
      <c r="U230" s="1">
        <f t="shared" si="100"/>
        <v>0</v>
      </c>
      <c r="V230" s="1">
        <f t="shared" si="101"/>
        <v>0</v>
      </c>
      <c r="W230" s="1">
        <f t="shared" si="102"/>
        <v>0</v>
      </c>
      <c r="X230" s="1">
        <f t="shared" si="103"/>
        <v>0</v>
      </c>
      <c r="Y230" s="1">
        <f t="shared" si="104"/>
        <v>0</v>
      </c>
      <c r="Z230" s="1">
        <f t="shared" si="105"/>
        <v>0</v>
      </c>
      <c r="AA230" s="1">
        <f t="shared" si="106"/>
        <v>0</v>
      </c>
      <c r="AB230" s="1">
        <f t="shared" si="107"/>
        <v>1</v>
      </c>
      <c r="AD230" s="1">
        <f t="shared" si="108"/>
        <v>0</v>
      </c>
      <c r="AE230" s="1">
        <f t="shared" si="109"/>
        <v>1</v>
      </c>
      <c r="AF230" s="1">
        <f t="shared" si="94"/>
        <v>0</v>
      </c>
      <c r="AG230" s="1">
        <f t="shared" si="95"/>
        <v>1</v>
      </c>
      <c r="AH230" s="1">
        <f t="shared" si="96"/>
        <v>0</v>
      </c>
      <c r="AI230" s="1">
        <f t="shared" si="97"/>
        <v>1</v>
      </c>
    </row>
    <row r="231" spans="1:35" ht="14.25" customHeight="1" x14ac:dyDescent="0.25">
      <c r="A231" s="34">
        <v>0</v>
      </c>
      <c r="B231" s="34">
        <v>1</v>
      </c>
      <c r="C231" s="34">
        <v>6</v>
      </c>
      <c r="D231" s="35" t="s">
        <v>605</v>
      </c>
      <c r="E231" s="35" t="s">
        <v>166</v>
      </c>
      <c r="F231" s="35" t="s">
        <v>607</v>
      </c>
      <c r="G231" s="35" t="s">
        <v>39</v>
      </c>
      <c r="H231" s="35" t="s">
        <v>355</v>
      </c>
      <c r="I231" s="34" t="s">
        <v>606</v>
      </c>
      <c r="J231" s="34">
        <v>99</v>
      </c>
      <c r="K231" s="36" t="s">
        <v>960</v>
      </c>
      <c r="L231" s="36" t="s">
        <v>697</v>
      </c>
      <c r="M231" s="37" t="s">
        <v>974</v>
      </c>
      <c r="N231" s="37" t="s">
        <v>1756</v>
      </c>
      <c r="O231" s="38">
        <v>1</v>
      </c>
      <c r="P231" s="38"/>
      <c r="Q231" s="35"/>
      <c r="S231" s="1">
        <f t="shared" si="98"/>
        <v>0</v>
      </c>
      <c r="T231" s="1">
        <f t="shared" si="99"/>
        <v>0</v>
      </c>
      <c r="U231" s="1">
        <f t="shared" si="100"/>
        <v>0</v>
      </c>
      <c r="V231" s="1">
        <f t="shared" si="101"/>
        <v>0</v>
      </c>
      <c r="W231" s="1">
        <f t="shared" si="102"/>
        <v>0</v>
      </c>
      <c r="X231" s="1">
        <f t="shared" si="103"/>
        <v>0</v>
      </c>
      <c r="Y231" s="1">
        <f t="shared" si="104"/>
        <v>0</v>
      </c>
      <c r="Z231" s="1">
        <f t="shared" si="105"/>
        <v>0</v>
      </c>
      <c r="AA231" s="1">
        <f t="shared" si="106"/>
        <v>0</v>
      </c>
      <c r="AB231" s="1">
        <f t="shared" si="107"/>
        <v>0</v>
      </c>
      <c r="AD231" s="1">
        <f t="shared" si="108"/>
        <v>0</v>
      </c>
      <c r="AE231" s="1">
        <f t="shared" si="109"/>
        <v>1</v>
      </c>
      <c r="AF231" s="1">
        <f t="shared" si="94"/>
        <v>0</v>
      </c>
      <c r="AG231" s="1">
        <f t="shared" si="95"/>
        <v>1</v>
      </c>
      <c r="AH231" s="1">
        <f t="shared" si="96"/>
        <v>0</v>
      </c>
      <c r="AI231" s="1">
        <f t="shared" si="97"/>
        <v>1</v>
      </c>
    </row>
    <row r="232" spans="1:35" ht="14.25" customHeight="1" x14ac:dyDescent="0.25">
      <c r="A232" s="34">
        <v>0</v>
      </c>
      <c r="B232" s="34">
        <v>1</v>
      </c>
      <c r="C232" s="34">
        <v>6</v>
      </c>
      <c r="D232" s="35" t="s">
        <v>1168</v>
      </c>
      <c r="E232" s="35" t="s">
        <v>166</v>
      </c>
      <c r="F232" s="35" t="s">
        <v>1170</v>
      </c>
      <c r="G232" s="35" t="s">
        <v>221</v>
      </c>
      <c r="H232" s="35" t="s">
        <v>355</v>
      </c>
      <c r="I232" s="34" t="s">
        <v>1169</v>
      </c>
      <c r="J232" s="34">
        <v>8</v>
      </c>
      <c r="K232" s="36" t="s">
        <v>706</v>
      </c>
      <c r="L232" s="36" t="s">
        <v>1720</v>
      </c>
      <c r="M232" s="37" t="s">
        <v>1410</v>
      </c>
      <c r="N232" s="37" t="s">
        <v>1755</v>
      </c>
      <c r="O232" s="38">
        <v>1</v>
      </c>
      <c r="P232" s="38"/>
      <c r="Q232" s="35"/>
      <c r="S232" s="1">
        <f t="shared" si="98"/>
        <v>0</v>
      </c>
      <c r="T232" s="1">
        <f t="shared" si="99"/>
        <v>0</v>
      </c>
      <c r="U232" s="1">
        <f t="shared" si="100"/>
        <v>0</v>
      </c>
      <c r="V232" s="1">
        <f t="shared" si="101"/>
        <v>0</v>
      </c>
      <c r="W232" s="1">
        <f t="shared" si="102"/>
        <v>0</v>
      </c>
      <c r="X232" s="1">
        <f t="shared" si="103"/>
        <v>0</v>
      </c>
      <c r="Y232" s="1">
        <f t="shared" si="104"/>
        <v>0</v>
      </c>
      <c r="Z232" s="1">
        <f t="shared" si="105"/>
        <v>1</v>
      </c>
      <c r="AA232" s="1">
        <f t="shared" si="106"/>
        <v>0</v>
      </c>
      <c r="AB232" s="1">
        <f t="shared" si="107"/>
        <v>0</v>
      </c>
      <c r="AD232" s="1">
        <f t="shared" si="108"/>
        <v>0</v>
      </c>
      <c r="AE232" s="1">
        <f t="shared" si="109"/>
        <v>1</v>
      </c>
      <c r="AF232" s="1">
        <f t="shared" si="94"/>
        <v>0</v>
      </c>
      <c r="AG232" s="1">
        <f t="shared" si="95"/>
        <v>1</v>
      </c>
      <c r="AH232" s="1">
        <f t="shared" si="96"/>
        <v>0</v>
      </c>
      <c r="AI232" s="1">
        <f t="shared" si="97"/>
        <v>1</v>
      </c>
    </row>
    <row r="233" spans="1:35" ht="14.25" customHeight="1" x14ac:dyDescent="0.25">
      <c r="A233" s="34">
        <v>0</v>
      </c>
      <c r="B233" s="34">
        <v>1</v>
      </c>
      <c r="C233" s="34">
        <v>6</v>
      </c>
      <c r="D233" s="35" t="s">
        <v>566</v>
      </c>
      <c r="E233" s="35" t="s">
        <v>168</v>
      </c>
      <c r="F233" s="35" t="s">
        <v>664</v>
      </c>
      <c r="G233" s="35" t="s">
        <v>203</v>
      </c>
      <c r="H233" s="35" t="s">
        <v>355</v>
      </c>
      <c r="I233" s="34" t="s">
        <v>585</v>
      </c>
      <c r="J233" s="34">
        <v>10</v>
      </c>
      <c r="K233" s="36" t="s">
        <v>966</v>
      </c>
      <c r="L233" s="36" t="s">
        <v>697</v>
      </c>
      <c r="M233" s="37" t="s">
        <v>709</v>
      </c>
      <c r="N233" s="37" t="s">
        <v>1755</v>
      </c>
      <c r="O233" s="38">
        <v>1</v>
      </c>
      <c r="P233" s="38"/>
      <c r="Q233" s="39"/>
      <c r="S233" s="1">
        <f t="shared" si="98"/>
        <v>0</v>
      </c>
      <c r="T233" s="1">
        <f t="shared" si="99"/>
        <v>0</v>
      </c>
      <c r="U233" s="1">
        <f t="shared" si="100"/>
        <v>0</v>
      </c>
      <c r="V233" s="1">
        <f t="shared" si="101"/>
        <v>0</v>
      </c>
      <c r="W233" s="1">
        <f t="shared" si="102"/>
        <v>0</v>
      </c>
      <c r="X233" s="1">
        <f t="shared" si="103"/>
        <v>0</v>
      </c>
      <c r="Y233" s="1">
        <f t="shared" si="104"/>
        <v>0</v>
      </c>
      <c r="Z233" s="1">
        <f t="shared" si="105"/>
        <v>0</v>
      </c>
      <c r="AA233" s="1">
        <f t="shared" si="106"/>
        <v>0</v>
      </c>
      <c r="AB233" s="1">
        <f t="shared" si="107"/>
        <v>1</v>
      </c>
      <c r="AD233" s="1">
        <f t="shared" si="108"/>
        <v>0</v>
      </c>
      <c r="AE233" s="1">
        <f t="shared" si="109"/>
        <v>1</v>
      </c>
      <c r="AF233" s="1">
        <f t="shared" si="94"/>
        <v>0</v>
      </c>
      <c r="AG233" s="1">
        <f t="shared" si="95"/>
        <v>1</v>
      </c>
      <c r="AH233" s="1">
        <f t="shared" si="96"/>
        <v>0</v>
      </c>
      <c r="AI233" s="1">
        <f t="shared" si="97"/>
        <v>1</v>
      </c>
    </row>
    <row r="234" spans="1:35" ht="14.25" customHeight="1" x14ac:dyDescent="0.25">
      <c r="A234" s="47">
        <v>0</v>
      </c>
      <c r="B234" s="47">
        <v>1</v>
      </c>
      <c r="C234" s="47">
        <v>6</v>
      </c>
      <c r="D234" s="48" t="s">
        <v>901</v>
      </c>
      <c r="E234" s="48" t="s">
        <v>168</v>
      </c>
      <c r="F234" s="48" t="s">
        <v>942</v>
      </c>
      <c r="G234" s="48" t="s">
        <v>943</v>
      </c>
      <c r="H234" s="48" t="s">
        <v>355</v>
      </c>
      <c r="I234" s="47" t="s">
        <v>957</v>
      </c>
      <c r="J234" s="47">
        <v>99</v>
      </c>
      <c r="K234" s="49" t="s">
        <v>706</v>
      </c>
      <c r="L234" s="49" t="s">
        <v>693</v>
      </c>
      <c r="M234" s="50" t="s">
        <v>1411</v>
      </c>
      <c r="N234" s="50" t="s">
        <v>1745</v>
      </c>
      <c r="O234" s="51"/>
      <c r="P234" s="51"/>
      <c r="Q234" s="48"/>
      <c r="S234" s="1">
        <f t="shared" si="98"/>
        <v>0</v>
      </c>
      <c r="T234" s="1">
        <f t="shared" si="99"/>
        <v>0</v>
      </c>
      <c r="U234" s="1">
        <f t="shared" si="100"/>
        <v>0</v>
      </c>
      <c r="V234" s="1">
        <f t="shared" si="101"/>
        <v>0</v>
      </c>
      <c r="W234" s="1">
        <f t="shared" si="102"/>
        <v>0</v>
      </c>
      <c r="X234" s="1">
        <f t="shared" si="103"/>
        <v>0</v>
      </c>
      <c r="Y234" s="1">
        <f t="shared" si="104"/>
        <v>0</v>
      </c>
      <c r="Z234" s="1">
        <f t="shared" si="105"/>
        <v>0</v>
      </c>
      <c r="AA234" s="1">
        <f t="shared" si="106"/>
        <v>0</v>
      </c>
      <c r="AB234" s="1">
        <f t="shared" si="107"/>
        <v>0</v>
      </c>
      <c r="AD234" s="1">
        <f t="shared" si="108"/>
        <v>0</v>
      </c>
      <c r="AE234" s="1">
        <f t="shared" si="109"/>
        <v>0</v>
      </c>
      <c r="AF234" s="1">
        <f t="shared" si="94"/>
        <v>0</v>
      </c>
      <c r="AG234" s="1">
        <f t="shared" si="95"/>
        <v>0</v>
      </c>
      <c r="AH234" s="1">
        <f t="shared" si="96"/>
        <v>0</v>
      </c>
      <c r="AI234" s="1">
        <f t="shared" si="97"/>
        <v>1</v>
      </c>
    </row>
    <row r="235" spans="1:35" ht="14.25" customHeight="1" x14ac:dyDescent="0.25">
      <c r="A235" s="34">
        <v>0</v>
      </c>
      <c r="B235" s="34">
        <v>1</v>
      </c>
      <c r="C235" s="34">
        <v>6</v>
      </c>
      <c r="D235" s="35" t="s">
        <v>100</v>
      </c>
      <c r="E235" s="35" t="s">
        <v>168</v>
      </c>
      <c r="F235" s="35" t="s">
        <v>665</v>
      </c>
      <c r="G235" s="35" t="s">
        <v>667</v>
      </c>
      <c r="H235" s="35" t="s">
        <v>355</v>
      </c>
      <c r="I235" s="34" t="s">
        <v>448</v>
      </c>
      <c r="J235" s="34">
        <v>99</v>
      </c>
      <c r="K235" s="36" t="s">
        <v>726</v>
      </c>
      <c r="L235" s="36" t="s">
        <v>700</v>
      </c>
      <c r="M235" s="37" t="s">
        <v>711</v>
      </c>
      <c r="N235" s="37" t="s">
        <v>1756</v>
      </c>
      <c r="O235" s="38">
        <v>1</v>
      </c>
      <c r="P235" s="38"/>
      <c r="Q235" s="35"/>
      <c r="S235" s="1">
        <f t="shared" si="98"/>
        <v>0</v>
      </c>
      <c r="T235" s="1">
        <f t="shared" si="99"/>
        <v>0</v>
      </c>
      <c r="U235" s="1">
        <f t="shared" si="100"/>
        <v>0</v>
      </c>
      <c r="V235" s="1">
        <f t="shared" si="101"/>
        <v>0</v>
      </c>
      <c r="W235" s="1">
        <f t="shared" si="102"/>
        <v>0</v>
      </c>
      <c r="X235" s="1">
        <f t="shared" si="103"/>
        <v>0</v>
      </c>
      <c r="Y235" s="1">
        <f t="shared" si="104"/>
        <v>0</v>
      </c>
      <c r="Z235" s="1">
        <f t="shared" si="105"/>
        <v>0</v>
      </c>
      <c r="AA235" s="1">
        <f t="shared" si="106"/>
        <v>0</v>
      </c>
      <c r="AB235" s="1">
        <f t="shared" si="107"/>
        <v>0</v>
      </c>
      <c r="AD235" s="1">
        <f t="shared" si="108"/>
        <v>0</v>
      </c>
      <c r="AE235" s="1">
        <f t="shared" si="109"/>
        <v>1</v>
      </c>
      <c r="AF235" s="1">
        <f t="shared" si="94"/>
        <v>0</v>
      </c>
      <c r="AG235" s="1">
        <f t="shared" si="95"/>
        <v>1</v>
      </c>
      <c r="AH235" s="1">
        <f t="shared" si="96"/>
        <v>0</v>
      </c>
      <c r="AI235" s="1">
        <f t="shared" si="97"/>
        <v>1</v>
      </c>
    </row>
    <row r="236" spans="1:35" ht="14.25" customHeight="1" x14ac:dyDescent="0.25">
      <c r="A236" s="41">
        <v>0</v>
      </c>
      <c r="B236" s="41">
        <v>1</v>
      </c>
      <c r="C236" s="41">
        <v>7</v>
      </c>
      <c r="D236" s="42" t="s">
        <v>86</v>
      </c>
      <c r="E236" s="42" t="s">
        <v>29</v>
      </c>
      <c r="F236" s="42" t="s">
        <v>666</v>
      </c>
      <c r="G236" s="42" t="s">
        <v>667</v>
      </c>
      <c r="H236" s="42" t="s">
        <v>355</v>
      </c>
      <c r="I236" s="41" t="s">
        <v>633</v>
      </c>
      <c r="J236" s="41">
        <v>99</v>
      </c>
      <c r="K236" s="43" t="s">
        <v>958</v>
      </c>
      <c r="L236" s="43" t="s">
        <v>697</v>
      </c>
      <c r="M236" s="44" t="s">
        <v>1412</v>
      </c>
      <c r="N236" s="45"/>
      <c r="O236" s="46"/>
      <c r="P236" s="46">
        <v>1</v>
      </c>
      <c r="Q236" s="42"/>
      <c r="S236" s="1">
        <f t="shared" si="98"/>
        <v>0</v>
      </c>
      <c r="T236" s="1">
        <f t="shared" si="99"/>
        <v>0</v>
      </c>
      <c r="U236" s="1">
        <f t="shared" si="100"/>
        <v>0</v>
      </c>
      <c r="V236" s="1">
        <f t="shared" si="101"/>
        <v>0</v>
      </c>
      <c r="W236" s="1">
        <f t="shared" si="102"/>
        <v>0</v>
      </c>
      <c r="X236" s="1">
        <f t="shared" si="103"/>
        <v>0</v>
      </c>
      <c r="Y236" s="1">
        <f t="shared" si="104"/>
        <v>0</v>
      </c>
      <c r="Z236" s="1">
        <f t="shared" si="105"/>
        <v>0</v>
      </c>
      <c r="AA236" s="1">
        <f t="shared" si="106"/>
        <v>0</v>
      </c>
      <c r="AB236" s="1">
        <f t="shared" si="107"/>
        <v>0</v>
      </c>
      <c r="AD236" s="1">
        <f t="shared" si="108"/>
        <v>0</v>
      </c>
      <c r="AE236" s="1">
        <f t="shared" si="109"/>
        <v>0</v>
      </c>
      <c r="AF236" s="1">
        <f t="shared" si="94"/>
        <v>0</v>
      </c>
      <c r="AG236" s="1">
        <f t="shared" si="95"/>
        <v>0</v>
      </c>
      <c r="AH236" s="1">
        <f t="shared" si="96"/>
        <v>1</v>
      </c>
      <c r="AI236" s="1">
        <f t="shared" si="97"/>
        <v>0</v>
      </c>
    </row>
    <row r="237" spans="1:35" ht="14.25" customHeight="1" x14ac:dyDescent="0.25">
      <c r="A237" s="47">
        <v>0</v>
      </c>
      <c r="B237" s="47">
        <v>1</v>
      </c>
      <c r="C237" s="47">
        <v>7</v>
      </c>
      <c r="D237" s="48" t="s">
        <v>652</v>
      </c>
      <c r="E237" s="48" t="s">
        <v>29</v>
      </c>
      <c r="F237" s="48" t="s">
        <v>628</v>
      </c>
      <c r="G237" s="48" t="s">
        <v>233</v>
      </c>
      <c r="H237" s="48" t="s">
        <v>355</v>
      </c>
      <c r="I237" s="47" t="s">
        <v>629</v>
      </c>
      <c r="J237" s="47">
        <v>99</v>
      </c>
      <c r="K237" s="49" t="s">
        <v>717</v>
      </c>
      <c r="L237" s="49" t="s">
        <v>700</v>
      </c>
      <c r="M237" s="50" t="s">
        <v>977</v>
      </c>
      <c r="N237" s="50" t="s">
        <v>1816</v>
      </c>
      <c r="O237" s="51"/>
      <c r="P237" s="51"/>
      <c r="Q237" s="48"/>
      <c r="S237" s="1">
        <f t="shared" si="98"/>
        <v>0</v>
      </c>
      <c r="T237" s="1">
        <f t="shared" si="99"/>
        <v>0</v>
      </c>
      <c r="U237" s="1">
        <f t="shared" si="100"/>
        <v>0</v>
      </c>
      <c r="V237" s="1">
        <f t="shared" si="101"/>
        <v>0</v>
      </c>
      <c r="W237" s="1">
        <f t="shared" si="102"/>
        <v>0</v>
      </c>
      <c r="X237" s="1">
        <f t="shared" si="103"/>
        <v>0</v>
      </c>
      <c r="Y237" s="1">
        <f t="shared" si="104"/>
        <v>0</v>
      </c>
      <c r="Z237" s="1">
        <f t="shared" si="105"/>
        <v>0</v>
      </c>
      <c r="AA237" s="1">
        <f t="shared" si="106"/>
        <v>0</v>
      </c>
      <c r="AB237" s="1">
        <f t="shared" si="107"/>
        <v>0</v>
      </c>
      <c r="AD237" s="1">
        <f t="shared" si="108"/>
        <v>0</v>
      </c>
      <c r="AE237" s="1">
        <f t="shared" si="109"/>
        <v>0</v>
      </c>
      <c r="AF237" s="1">
        <f t="shared" si="94"/>
        <v>0</v>
      </c>
      <c r="AG237" s="1">
        <f t="shared" si="95"/>
        <v>0</v>
      </c>
      <c r="AH237" s="1">
        <f t="shared" si="96"/>
        <v>0</v>
      </c>
      <c r="AI237" s="1">
        <f t="shared" si="97"/>
        <v>1</v>
      </c>
    </row>
    <row r="238" spans="1:35" ht="14.25" customHeight="1" x14ac:dyDescent="0.25">
      <c r="A238" s="15">
        <v>0</v>
      </c>
      <c r="B238" s="15">
        <v>1</v>
      </c>
      <c r="C238" s="15">
        <v>7</v>
      </c>
      <c r="D238" s="16" t="s">
        <v>987</v>
      </c>
      <c r="E238" s="16" t="s">
        <v>29</v>
      </c>
      <c r="F238" s="16" t="s">
        <v>988</v>
      </c>
      <c r="G238" s="16" t="s">
        <v>989</v>
      </c>
      <c r="H238" s="16" t="s">
        <v>355</v>
      </c>
      <c r="I238" s="15" t="s">
        <v>986</v>
      </c>
      <c r="J238" s="15">
        <v>99</v>
      </c>
      <c r="K238" s="10" t="s">
        <v>707</v>
      </c>
      <c r="L238" s="10">
        <v>20</v>
      </c>
      <c r="M238" s="19" t="s">
        <v>977</v>
      </c>
      <c r="N238" s="19"/>
      <c r="Q238" s="16"/>
      <c r="S238" s="1">
        <f t="shared" si="98"/>
        <v>0</v>
      </c>
      <c r="T238" s="1">
        <f t="shared" si="99"/>
        <v>0</v>
      </c>
      <c r="U238" s="1">
        <f t="shared" si="100"/>
        <v>0</v>
      </c>
      <c r="V238" s="1">
        <f t="shared" si="101"/>
        <v>0</v>
      </c>
      <c r="W238" s="1">
        <f t="shared" si="102"/>
        <v>0</v>
      </c>
      <c r="X238" s="1">
        <f t="shared" si="103"/>
        <v>0</v>
      </c>
      <c r="Y238" s="1">
        <f t="shared" si="104"/>
        <v>0</v>
      </c>
      <c r="Z238" s="1">
        <f t="shared" si="105"/>
        <v>0</v>
      </c>
      <c r="AA238" s="1">
        <f t="shared" si="106"/>
        <v>0</v>
      </c>
      <c r="AB238" s="1">
        <f t="shared" si="107"/>
        <v>0</v>
      </c>
      <c r="AD238" s="1">
        <f t="shared" si="108"/>
        <v>0</v>
      </c>
      <c r="AE238" s="1">
        <f t="shared" si="109"/>
        <v>0</v>
      </c>
      <c r="AF238" s="1">
        <f t="shared" si="94"/>
        <v>0</v>
      </c>
      <c r="AG238" s="1">
        <f t="shared" si="95"/>
        <v>0</v>
      </c>
      <c r="AH238" s="1">
        <f t="shared" si="96"/>
        <v>0</v>
      </c>
      <c r="AI238" s="1">
        <f t="shared" si="97"/>
        <v>1</v>
      </c>
    </row>
    <row r="239" spans="1:35" ht="14.25" customHeight="1" x14ac:dyDescent="0.25">
      <c r="A239" s="41">
        <v>0</v>
      </c>
      <c r="B239" s="41">
        <v>1</v>
      </c>
      <c r="C239" s="41">
        <v>7</v>
      </c>
      <c r="D239" s="42" t="s">
        <v>593</v>
      </c>
      <c r="E239" s="42" t="s">
        <v>29</v>
      </c>
      <c r="F239" s="42" t="s">
        <v>594</v>
      </c>
      <c r="G239" s="42" t="s">
        <v>1077</v>
      </c>
      <c r="H239" s="42" t="s">
        <v>355</v>
      </c>
      <c r="I239" s="41" t="s">
        <v>595</v>
      </c>
      <c r="J239" s="41">
        <v>99</v>
      </c>
      <c r="K239" s="43" t="s">
        <v>707</v>
      </c>
      <c r="L239" s="43">
        <v>35</v>
      </c>
      <c r="M239" s="44" t="s">
        <v>1412</v>
      </c>
      <c r="N239" s="44"/>
      <c r="O239" s="46"/>
      <c r="P239" s="46">
        <v>1</v>
      </c>
      <c r="Q239" s="42"/>
      <c r="S239" s="1">
        <f t="shared" si="98"/>
        <v>0</v>
      </c>
      <c r="T239" s="1">
        <f t="shared" si="99"/>
        <v>0</v>
      </c>
      <c r="U239" s="1">
        <f t="shared" si="100"/>
        <v>0</v>
      </c>
      <c r="V239" s="1">
        <f t="shared" si="101"/>
        <v>0</v>
      </c>
      <c r="W239" s="1">
        <f t="shared" si="102"/>
        <v>0</v>
      </c>
      <c r="X239" s="1">
        <f t="shared" si="103"/>
        <v>0</v>
      </c>
      <c r="Y239" s="1">
        <f t="shared" si="104"/>
        <v>0</v>
      </c>
      <c r="Z239" s="1">
        <f t="shared" si="105"/>
        <v>0</v>
      </c>
      <c r="AA239" s="1">
        <f t="shared" si="106"/>
        <v>0</v>
      </c>
      <c r="AB239" s="1">
        <f t="shared" si="107"/>
        <v>0</v>
      </c>
      <c r="AD239" s="1">
        <f t="shared" si="108"/>
        <v>0</v>
      </c>
      <c r="AE239" s="1">
        <f t="shared" si="109"/>
        <v>0</v>
      </c>
      <c r="AF239" s="1">
        <f t="shared" si="94"/>
        <v>0</v>
      </c>
      <c r="AG239" s="1">
        <f t="shared" si="95"/>
        <v>0</v>
      </c>
      <c r="AH239" s="1">
        <f t="shared" si="96"/>
        <v>1</v>
      </c>
      <c r="AI239" s="1">
        <f t="shared" si="97"/>
        <v>0</v>
      </c>
    </row>
    <row r="240" spans="1:35" ht="14.25" customHeight="1" x14ac:dyDescent="0.25">
      <c r="A240" s="41">
        <v>0</v>
      </c>
      <c r="B240" s="41">
        <v>1</v>
      </c>
      <c r="C240" s="41">
        <v>7</v>
      </c>
      <c r="D240" s="42" t="s">
        <v>1634</v>
      </c>
      <c r="E240" s="42" t="s">
        <v>29</v>
      </c>
      <c r="F240" s="42" t="s">
        <v>1689</v>
      </c>
      <c r="G240" s="42" t="s">
        <v>313</v>
      </c>
      <c r="H240" s="42" t="s">
        <v>355</v>
      </c>
      <c r="I240" s="41" t="s">
        <v>1635</v>
      </c>
      <c r="J240" s="41"/>
      <c r="K240" s="43" t="s">
        <v>717</v>
      </c>
      <c r="L240" s="43">
        <v>45</v>
      </c>
      <c r="M240" s="44" t="s">
        <v>1807</v>
      </c>
      <c r="N240" s="45"/>
      <c r="O240" s="46"/>
      <c r="P240" s="46">
        <v>1</v>
      </c>
      <c r="Q240" s="42"/>
      <c r="S240" s="1">
        <f t="shared" si="98"/>
        <v>0</v>
      </c>
      <c r="T240" s="1">
        <f t="shared" si="99"/>
        <v>0</v>
      </c>
      <c r="U240" s="1">
        <f t="shared" si="100"/>
        <v>0</v>
      </c>
      <c r="V240" s="1">
        <f t="shared" si="101"/>
        <v>0</v>
      </c>
      <c r="W240" s="1">
        <f t="shared" si="102"/>
        <v>0</v>
      </c>
      <c r="X240" s="1">
        <f t="shared" si="103"/>
        <v>0</v>
      </c>
      <c r="Y240" s="1">
        <f t="shared" si="104"/>
        <v>0</v>
      </c>
      <c r="Z240" s="1">
        <f t="shared" si="105"/>
        <v>0</v>
      </c>
      <c r="AA240" s="1">
        <f t="shared" si="106"/>
        <v>0</v>
      </c>
      <c r="AB240" s="1">
        <f t="shared" si="107"/>
        <v>0</v>
      </c>
      <c r="AD240" s="1">
        <f t="shared" si="108"/>
        <v>0</v>
      </c>
      <c r="AE240" s="1">
        <f t="shared" si="109"/>
        <v>0</v>
      </c>
      <c r="AF240" s="1">
        <f t="shared" si="94"/>
        <v>0</v>
      </c>
      <c r="AG240" s="1">
        <f t="shared" si="95"/>
        <v>0</v>
      </c>
      <c r="AH240" s="1">
        <f t="shared" si="96"/>
        <v>1</v>
      </c>
      <c r="AI240" s="1">
        <f t="shared" si="97"/>
        <v>0</v>
      </c>
    </row>
    <row r="241" spans="1:35" ht="14.25" customHeight="1" x14ac:dyDescent="0.25">
      <c r="A241" s="34">
        <v>0</v>
      </c>
      <c r="B241" s="34">
        <v>1</v>
      </c>
      <c r="C241" s="34">
        <v>7</v>
      </c>
      <c r="D241" s="35" t="s">
        <v>863</v>
      </c>
      <c r="E241" s="35" t="s">
        <v>29</v>
      </c>
      <c r="F241" s="35" t="s">
        <v>864</v>
      </c>
      <c r="G241" s="35" t="s">
        <v>203</v>
      </c>
      <c r="H241" s="35" t="s">
        <v>355</v>
      </c>
      <c r="I241" s="34" t="s">
        <v>865</v>
      </c>
      <c r="J241" s="34">
        <v>10</v>
      </c>
      <c r="K241" s="36" t="s">
        <v>717</v>
      </c>
      <c r="L241" s="36" t="s">
        <v>697</v>
      </c>
      <c r="M241" s="37" t="s">
        <v>1412</v>
      </c>
      <c r="N241" s="37" t="s">
        <v>1762</v>
      </c>
      <c r="O241" s="38">
        <v>1</v>
      </c>
      <c r="P241" s="38"/>
      <c r="Q241" s="35"/>
      <c r="S241" s="1">
        <f t="shared" si="98"/>
        <v>0</v>
      </c>
      <c r="T241" s="1">
        <f t="shared" si="99"/>
        <v>0</v>
      </c>
      <c r="U241" s="1">
        <f t="shared" si="100"/>
        <v>0</v>
      </c>
      <c r="V241" s="1">
        <f t="shared" si="101"/>
        <v>0</v>
      </c>
      <c r="W241" s="1">
        <f t="shared" si="102"/>
        <v>0</v>
      </c>
      <c r="X241" s="1">
        <f t="shared" si="103"/>
        <v>0</v>
      </c>
      <c r="Y241" s="1">
        <f t="shared" si="104"/>
        <v>0</v>
      </c>
      <c r="Z241" s="1">
        <f t="shared" si="105"/>
        <v>0</v>
      </c>
      <c r="AA241" s="1">
        <f t="shared" si="106"/>
        <v>0</v>
      </c>
      <c r="AB241" s="1">
        <f t="shared" si="107"/>
        <v>1</v>
      </c>
      <c r="AD241" s="1">
        <f t="shared" si="108"/>
        <v>0</v>
      </c>
      <c r="AE241" s="1">
        <f t="shared" si="109"/>
        <v>1</v>
      </c>
      <c r="AF241" s="1">
        <f t="shared" si="94"/>
        <v>0</v>
      </c>
      <c r="AG241" s="1">
        <f t="shared" si="95"/>
        <v>1</v>
      </c>
      <c r="AH241" s="1">
        <f t="shared" si="96"/>
        <v>0</v>
      </c>
      <c r="AI241" s="1">
        <f t="shared" si="97"/>
        <v>1</v>
      </c>
    </row>
    <row r="242" spans="1:35" ht="14.25" customHeight="1" x14ac:dyDescent="0.25">
      <c r="A242" s="41">
        <v>0</v>
      </c>
      <c r="B242" s="41">
        <v>1</v>
      </c>
      <c r="C242" s="41">
        <v>7</v>
      </c>
      <c r="D242" s="42" t="s">
        <v>40</v>
      </c>
      <c r="E242" s="42" t="s">
        <v>29</v>
      </c>
      <c r="F242" s="42" t="s">
        <v>281</v>
      </c>
      <c r="G242" s="42" t="s">
        <v>231</v>
      </c>
      <c r="H242" s="42" t="s">
        <v>355</v>
      </c>
      <c r="I242" s="41" t="s">
        <v>436</v>
      </c>
      <c r="J242" s="41">
        <v>7</v>
      </c>
      <c r="K242" s="43" t="s">
        <v>717</v>
      </c>
      <c r="L242" s="43" t="s">
        <v>700</v>
      </c>
      <c r="M242" s="44" t="s">
        <v>977</v>
      </c>
      <c r="N242" s="45"/>
      <c r="O242" s="46"/>
      <c r="P242" s="46">
        <v>1</v>
      </c>
      <c r="Q242" s="42"/>
      <c r="S242" s="1">
        <f t="shared" si="98"/>
        <v>0</v>
      </c>
      <c r="T242" s="1">
        <f t="shared" si="99"/>
        <v>0</v>
      </c>
      <c r="U242" s="1">
        <f t="shared" si="100"/>
        <v>0</v>
      </c>
      <c r="V242" s="1">
        <f t="shared" si="101"/>
        <v>0</v>
      </c>
      <c r="W242" s="1">
        <f t="shared" si="102"/>
        <v>0</v>
      </c>
      <c r="X242" s="1">
        <f t="shared" si="103"/>
        <v>0</v>
      </c>
      <c r="Y242" s="1">
        <f t="shared" si="104"/>
        <v>1</v>
      </c>
      <c r="Z242" s="1">
        <f t="shared" si="105"/>
        <v>0</v>
      </c>
      <c r="AA242" s="1">
        <f t="shared" si="106"/>
        <v>0</v>
      </c>
      <c r="AB242" s="1">
        <f t="shared" si="107"/>
        <v>0</v>
      </c>
      <c r="AD242" s="1">
        <f t="shared" si="108"/>
        <v>0</v>
      </c>
      <c r="AE242" s="1">
        <f t="shared" si="109"/>
        <v>0</v>
      </c>
      <c r="AF242" s="1">
        <f t="shared" si="94"/>
        <v>0</v>
      </c>
      <c r="AG242" s="1">
        <f t="shared" si="95"/>
        <v>0</v>
      </c>
      <c r="AH242" s="1">
        <f t="shared" si="96"/>
        <v>1</v>
      </c>
      <c r="AI242" s="1">
        <f t="shared" si="97"/>
        <v>0</v>
      </c>
    </row>
    <row r="243" spans="1:35" ht="14.25" customHeight="1" x14ac:dyDescent="0.25">
      <c r="A243" s="41">
        <v>1</v>
      </c>
      <c r="B243" s="41">
        <v>1</v>
      </c>
      <c r="C243" s="41">
        <v>7</v>
      </c>
      <c r="D243" s="42" t="s">
        <v>40</v>
      </c>
      <c r="E243" s="42" t="s">
        <v>29</v>
      </c>
      <c r="F243" s="42" t="s">
        <v>1608</v>
      </c>
      <c r="G243" s="42" t="s">
        <v>39</v>
      </c>
      <c r="H243" s="42" t="s">
        <v>355</v>
      </c>
      <c r="I243" s="41" t="s">
        <v>1609</v>
      </c>
      <c r="J243" s="41">
        <v>99</v>
      </c>
      <c r="K243" s="43" t="s">
        <v>717</v>
      </c>
      <c r="L243" s="43" t="s">
        <v>700</v>
      </c>
      <c r="M243" s="44" t="s">
        <v>977</v>
      </c>
      <c r="N243" s="45"/>
      <c r="O243" s="46"/>
      <c r="P243" s="46">
        <v>1</v>
      </c>
      <c r="Q243" s="42"/>
      <c r="S243" s="1">
        <f t="shared" si="98"/>
        <v>0</v>
      </c>
      <c r="T243" s="1">
        <f t="shared" si="99"/>
        <v>0</v>
      </c>
      <c r="U243" s="1">
        <f t="shared" si="100"/>
        <v>0</v>
      </c>
      <c r="V243" s="1">
        <f t="shared" si="101"/>
        <v>0</v>
      </c>
      <c r="W243" s="1">
        <f t="shared" si="102"/>
        <v>0</v>
      </c>
      <c r="X243" s="1">
        <f t="shared" si="103"/>
        <v>0</v>
      </c>
      <c r="Y243" s="1">
        <f t="shared" si="104"/>
        <v>0</v>
      </c>
      <c r="Z243" s="1">
        <f t="shared" si="105"/>
        <v>0</v>
      </c>
      <c r="AA243" s="1">
        <f t="shared" si="106"/>
        <v>0</v>
      </c>
      <c r="AB243" s="1">
        <f t="shared" si="107"/>
        <v>0</v>
      </c>
      <c r="AD243" s="1">
        <f t="shared" si="108"/>
        <v>0</v>
      </c>
      <c r="AE243" s="1">
        <f t="shared" si="109"/>
        <v>0</v>
      </c>
      <c r="AF243" s="1">
        <f t="shared" si="94"/>
        <v>0</v>
      </c>
      <c r="AG243" s="1">
        <f t="shared" si="95"/>
        <v>0</v>
      </c>
      <c r="AH243" s="1">
        <f t="shared" si="96"/>
        <v>0</v>
      </c>
      <c r="AI243" s="1">
        <f t="shared" si="97"/>
        <v>0</v>
      </c>
    </row>
    <row r="244" spans="1:35" ht="14.25" customHeight="1" x14ac:dyDescent="0.25">
      <c r="A244" s="52">
        <v>0</v>
      </c>
      <c r="B244" s="52">
        <v>1</v>
      </c>
      <c r="C244" s="52">
        <v>7</v>
      </c>
      <c r="D244" s="58" t="s">
        <v>1491</v>
      </c>
      <c r="E244" s="53" t="s">
        <v>29</v>
      </c>
      <c r="F244" s="58" t="s">
        <v>1008</v>
      </c>
      <c r="G244" s="58" t="s">
        <v>1106</v>
      </c>
      <c r="H244" s="58" t="s">
        <v>355</v>
      </c>
      <c r="I244" s="66" t="s">
        <v>1114</v>
      </c>
      <c r="J244" s="52">
        <v>10</v>
      </c>
      <c r="K244" s="54" t="s">
        <v>717</v>
      </c>
      <c r="L244" s="54" t="s">
        <v>698</v>
      </c>
      <c r="M244" s="55" t="s">
        <v>977</v>
      </c>
      <c r="N244" s="55" t="s">
        <v>1750</v>
      </c>
      <c r="O244" s="56">
        <v>1</v>
      </c>
      <c r="P244" s="56"/>
      <c r="Q244" s="58"/>
      <c r="S244" s="1">
        <f t="shared" si="98"/>
        <v>0</v>
      </c>
      <c r="T244" s="1">
        <f t="shared" si="99"/>
        <v>0</v>
      </c>
      <c r="U244" s="1">
        <f t="shared" si="100"/>
        <v>0</v>
      </c>
      <c r="V244" s="1">
        <f t="shared" si="101"/>
        <v>0</v>
      </c>
      <c r="W244" s="1">
        <f t="shared" si="102"/>
        <v>0</v>
      </c>
      <c r="X244" s="1">
        <f t="shared" si="103"/>
        <v>0</v>
      </c>
      <c r="Y244" s="1">
        <f t="shared" si="104"/>
        <v>0</v>
      </c>
      <c r="Z244" s="1">
        <f t="shared" si="105"/>
        <v>0</v>
      </c>
      <c r="AA244" s="1">
        <f t="shared" si="106"/>
        <v>0</v>
      </c>
      <c r="AB244" s="1">
        <f t="shared" si="107"/>
        <v>1</v>
      </c>
      <c r="AD244" s="1">
        <f t="shared" si="108"/>
        <v>0</v>
      </c>
      <c r="AE244" s="1">
        <f t="shared" si="109"/>
        <v>1</v>
      </c>
      <c r="AF244" s="1">
        <f t="shared" si="94"/>
        <v>0</v>
      </c>
      <c r="AG244" s="1">
        <f t="shared" si="95"/>
        <v>1</v>
      </c>
      <c r="AH244" s="1">
        <f t="shared" si="96"/>
        <v>0</v>
      </c>
      <c r="AI244" s="1">
        <f t="shared" si="97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1492</v>
      </c>
      <c r="E245" s="35" t="s">
        <v>29</v>
      </c>
      <c r="F245" s="39" t="s">
        <v>1006</v>
      </c>
      <c r="G245" s="39" t="s">
        <v>241</v>
      </c>
      <c r="H245" s="39" t="s">
        <v>355</v>
      </c>
      <c r="I245" s="40" t="s">
        <v>1007</v>
      </c>
      <c r="J245" s="34">
        <v>1</v>
      </c>
      <c r="K245" s="36" t="s">
        <v>965</v>
      </c>
      <c r="L245" s="36" t="s">
        <v>698</v>
      </c>
      <c r="M245" s="37" t="s">
        <v>977</v>
      </c>
      <c r="N245" s="37" t="s">
        <v>1808</v>
      </c>
      <c r="O245" s="38">
        <v>1</v>
      </c>
      <c r="P245" s="38"/>
      <c r="Q245" s="39"/>
      <c r="S245" s="1">
        <f t="shared" si="98"/>
        <v>1</v>
      </c>
      <c r="T245" s="1">
        <f t="shared" si="99"/>
        <v>0</v>
      </c>
      <c r="U245" s="1">
        <f t="shared" si="100"/>
        <v>0</v>
      </c>
      <c r="V245" s="1">
        <f t="shared" si="101"/>
        <v>0</v>
      </c>
      <c r="W245" s="1">
        <f t="shared" si="102"/>
        <v>0</v>
      </c>
      <c r="X245" s="1">
        <f t="shared" si="103"/>
        <v>0</v>
      </c>
      <c r="Y245" s="1">
        <f t="shared" si="104"/>
        <v>0</v>
      </c>
      <c r="Z245" s="1">
        <f t="shared" si="105"/>
        <v>0</v>
      </c>
      <c r="AA245" s="1">
        <f t="shared" si="106"/>
        <v>0</v>
      </c>
      <c r="AB245" s="1">
        <f t="shared" si="107"/>
        <v>0</v>
      </c>
      <c r="AD245" s="1">
        <f t="shared" si="108"/>
        <v>0</v>
      </c>
      <c r="AE245" s="1">
        <f t="shared" si="109"/>
        <v>1</v>
      </c>
      <c r="AF245" s="1">
        <f t="shared" si="94"/>
        <v>0</v>
      </c>
      <c r="AG245" s="1">
        <f t="shared" si="95"/>
        <v>1</v>
      </c>
      <c r="AH245" s="1">
        <f t="shared" si="96"/>
        <v>0</v>
      </c>
      <c r="AI245" s="1">
        <f t="shared" si="97"/>
        <v>1</v>
      </c>
    </row>
    <row r="246" spans="1:35" ht="14.25" customHeight="1" x14ac:dyDescent="0.25">
      <c r="A246" s="47">
        <v>0</v>
      </c>
      <c r="B246" s="47">
        <v>1</v>
      </c>
      <c r="C246" s="47">
        <v>7</v>
      </c>
      <c r="D246" s="48" t="s">
        <v>902</v>
      </c>
      <c r="E246" s="48" t="s">
        <v>29</v>
      </c>
      <c r="F246" s="48" t="s">
        <v>903</v>
      </c>
      <c r="G246" s="48" t="s">
        <v>39</v>
      </c>
      <c r="H246" s="48" t="s">
        <v>356</v>
      </c>
      <c r="I246" s="47" t="s">
        <v>904</v>
      </c>
      <c r="J246" s="47">
        <v>11</v>
      </c>
      <c r="K246" s="49" t="s">
        <v>707</v>
      </c>
      <c r="L246" s="49">
        <v>35</v>
      </c>
      <c r="M246" s="50" t="s">
        <v>1412</v>
      </c>
      <c r="N246" s="50" t="s">
        <v>1754</v>
      </c>
      <c r="O246" s="51"/>
      <c r="P246" s="51"/>
      <c r="Q246" s="68" t="s">
        <v>1910</v>
      </c>
      <c r="S246" s="1">
        <f t="shared" si="98"/>
        <v>0</v>
      </c>
      <c r="T246" s="1">
        <f t="shared" si="99"/>
        <v>0</v>
      </c>
      <c r="U246" s="1">
        <f t="shared" si="100"/>
        <v>0</v>
      </c>
      <c r="V246" s="1">
        <f t="shared" si="101"/>
        <v>0</v>
      </c>
      <c r="W246" s="1">
        <f t="shared" si="102"/>
        <v>0</v>
      </c>
      <c r="X246" s="1">
        <f t="shared" si="103"/>
        <v>0</v>
      </c>
      <c r="Y246" s="1">
        <f t="shared" si="104"/>
        <v>0</v>
      </c>
      <c r="Z246" s="1">
        <f t="shared" si="105"/>
        <v>0</v>
      </c>
      <c r="AA246" s="1">
        <f t="shared" si="106"/>
        <v>0</v>
      </c>
      <c r="AB246" s="1">
        <f t="shared" si="107"/>
        <v>0</v>
      </c>
      <c r="AD246" s="1">
        <f t="shared" si="108"/>
        <v>0</v>
      </c>
      <c r="AE246" s="1">
        <f t="shared" si="109"/>
        <v>0</v>
      </c>
      <c r="AF246" s="1">
        <f t="shared" si="94"/>
        <v>0</v>
      </c>
      <c r="AG246" s="1">
        <f t="shared" si="95"/>
        <v>0</v>
      </c>
      <c r="AH246" s="1">
        <f t="shared" si="96"/>
        <v>0</v>
      </c>
      <c r="AI246" s="1">
        <f t="shared" si="97"/>
        <v>1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9" t="s">
        <v>1088</v>
      </c>
      <c r="E247" s="35" t="s">
        <v>29</v>
      </c>
      <c r="F247" s="39" t="s">
        <v>990</v>
      </c>
      <c r="G247" s="39" t="s">
        <v>204</v>
      </c>
      <c r="H247" s="39" t="s">
        <v>355</v>
      </c>
      <c r="I247" s="40" t="s">
        <v>991</v>
      </c>
      <c r="J247" s="34">
        <v>99</v>
      </c>
      <c r="K247" s="36" t="s">
        <v>717</v>
      </c>
      <c r="L247" s="36" t="s">
        <v>698</v>
      </c>
      <c r="M247" s="37" t="s">
        <v>1449</v>
      </c>
      <c r="N247" s="37" t="s">
        <v>1734</v>
      </c>
      <c r="O247" s="38">
        <v>1</v>
      </c>
      <c r="P247" s="38">
        <v>1</v>
      </c>
      <c r="Q247" s="39"/>
      <c r="S247" s="1">
        <f t="shared" si="98"/>
        <v>0</v>
      </c>
      <c r="T247" s="1">
        <f t="shared" si="99"/>
        <v>0</v>
      </c>
      <c r="U247" s="1">
        <f t="shared" si="100"/>
        <v>0</v>
      </c>
      <c r="V247" s="1">
        <f t="shared" si="101"/>
        <v>0</v>
      </c>
      <c r="W247" s="1">
        <f t="shared" si="102"/>
        <v>0</v>
      </c>
      <c r="X247" s="1">
        <f t="shared" si="103"/>
        <v>0</v>
      </c>
      <c r="Y247" s="1">
        <f t="shared" si="104"/>
        <v>0</v>
      </c>
      <c r="Z247" s="1">
        <f t="shared" si="105"/>
        <v>0</v>
      </c>
      <c r="AA247" s="1">
        <f t="shared" si="106"/>
        <v>0</v>
      </c>
      <c r="AB247" s="1">
        <f t="shared" si="107"/>
        <v>0</v>
      </c>
      <c r="AD247" s="1">
        <f t="shared" si="108"/>
        <v>1</v>
      </c>
      <c r="AE247" s="1">
        <f t="shared" si="109"/>
        <v>0</v>
      </c>
      <c r="AF247" s="1">
        <f t="shared" si="94"/>
        <v>1</v>
      </c>
      <c r="AG247" s="1">
        <f t="shared" si="95"/>
        <v>0</v>
      </c>
      <c r="AH247" s="1">
        <f t="shared" si="96"/>
        <v>1</v>
      </c>
      <c r="AI247" s="1">
        <f t="shared" si="97"/>
        <v>0</v>
      </c>
    </row>
    <row r="248" spans="1:35" ht="14.25" customHeight="1" x14ac:dyDescent="0.25">
      <c r="A248" s="15">
        <v>0</v>
      </c>
      <c r="B248" s="15">
        <v>1</v>
      </c>
      <c r="C248" s="15">
        <v>7</v>
      </c>
      <c r="D248" s="16" t="s">
        <v>755</v>
      </c>
      <c r="E248" s="16" t="s">
        <v>29</v>
      </c>
      <c r="F248" s="16" t="s">
        <v>756</v>
      </c>
      <c r="G248" s="16" t="s">
        <v>757</v>
      </c>
      <c r="H248" s="16" t="s">
        <v>355</v>
      </c>
      <c r="I248" s="15" t="s">
        <v>758</v>
      </c>
      <c r="J248" s="15">
        <v>99</v>
      </c>
      <c r="K248" s="10" t="s">
        <v>707</v>
      </c>
      <c r="L248" s="10">
        <v>20</v>
      </c>
      <c r="M248" s="19" t="s">
        <v>1124</v>
      </c>
      <c r="N248" s="17"/>
      <c r="Q248" s="16"/>
      <c r="S248" s="1">
        <f t="shared" si="98"/>
        <v>0</v>
      </c>
      <c r="T248" s="1">
        <f t="shared" si="99"/>
        <v>0</v>
      </c>
      <c r="U248" s="1">
        <f t="shared" si="100"/>
        <v>0</v>
      </c>
      <c r="V248" s="1">
        <f t="shared" si="101"/>
        <v>0</v>
      </c>
      <c r="W248" s="1">
        <f t="shared" si="102"/>
        <v>0</v>
      </c>
      <c r="X248" s="1">
        <f t="shared" si="103"/>
        <v>0</v>
      </c>
      <c r="Y248" s="1">
        <f t="shared" si="104"/>
        <v>0</v>
      </c>
      <c r="Z248" s="1">
        <f t="shared" si="105"/>
        <v>0</v>
      </c>
      <c r="AA248" s="1">
        <f t="shared" si="106"/>
        <v>0</v>
      </c>
      <c r="AB248" s="1">
        <f t="shared" si="107"/>
        <v>0</v>
      </c>
      <c r="AD248" s="1">
        <f t="shared" si="108"/>
        <v>0</v>
      </c>
      <c r="AE248" s="1">
        <f t="shared" si="109"/>
        <v>0</v>
      </c>
      <c r="AF248" s="1">
        <f t="shared" si="94"/>
        <v>0</v>
      </c>
      <c r="AG248" s="1">
        <f t="shared" si="95"/>
        <v>0</v>
      </c>
      <c r="AH248" s="1">
        <f t="shared" si="96"/>
        <v>0</v>
      </c>
      <c r="AI248" s="1">
        <f t="shared" si="97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832</v>
      </c>
      <c r="E249" s="35" t="s">
        <v>29</v>
      </c>
      <c r="F249" s="39" t="s">
        <v>833</v>
      </c>
      <c r="G249" s="39" t="s">
        <v>932</v>
      </c>
      <c r="H249" s="39" t="s">
        <v>355</v>
      </c>
      <c r="I249" s="40" t="s">
        <v>834</v>
      </c>
      <c r="J249" s="34">
        <v>99</v>
      </c>
      <c r="K249" s="36" t="s">
        <v>959</v>
      </c>
      <c r="L249" s="36" t="s">
        <v>698</v>
      </c>
      <c r="M249" s="37" t="s">
        <v>977</v>
      </c>
      <c r="N249" s="37" t="s">
        <v>1832</v>
      </c>
      <c r="O249" s="38">
        <v>1</v>
      </c>
      <c r="P249" s="38"/>
      <c r="Q249" s="39"/>
      <c r="S249" s="1">
        <f t="shared" si="98"/>
        <v>0</v>
      </c>
      <c r="T249" s="1">
        <f t="shared" si="99"/>
        <v>0</v>
      </c>
      <c r="U249" s="1">
        <f t="shared" si="100"/>
        <v>0</v>
      </c>
      <c r="V249" s="1">
        <f t="shared" si="101"/>
        <v>0</v>
      </c>
      <c r="W249" s="1">
        <f t="shared" si="102"/>
        <v>0</v>
      </c>
      <c r="X249" s="1">
        <f t="shared" si="103"/>
        <v>0</v>
      </c>
      <c r="Y249" s="1">
        <f t="shared" si="104"/>
        <v>0</v>
      </c>
      <c r="Z249" s="1">
        <f t="shared" si="105"/>
        <v>0</v>
      </c>
      <c r="AA249" s="1">
        <f t="shared" si="106"/>
        <v>0</v>
      </c>
      <c r="AB249" s="1">
        <f t="shared" si="107"/>
        <v>0</v>
      </c>
      <c r="AD249" s="1">
        <f t="shared" si="108"/>
        <v>0</v>
      </c>
      <c r="AE249" s="1">
        <f t="shared" si="109"/>
        <v>1</v>
      </c>
      <c r="AF249" s="1">
        <f t="shared" si="94"/>
        <v>0</v>
      </c>
      <c r="AG249" s="1">
        <f t="shared" si="95"/>
        <v>1</v>
      </c>
      <c r="AH249" s="1">
        <f t="shared" si="96"/>
        <v>0</v>
      </c>
      <c r="AI249" s="1">
        <f t="shared" si="97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1727</v>
      </c>
      <c r="E250" s="35" t="s">
        <v>29</v>
      </c>
      <c r="F250" s="39" t="s">
        <v>1728</v>
      </c>
      <c r="G250" s="39" t="s">
        <v>250</v>
      </c>
      <c r="H250" s="39" t="s">
        <v>355</v>
      </c>
      <c r="I250" s="40" t="s">
        <v>1729</v>
      </c>
      <c r="J250" s="34"/>
      <c r="K250" s="36" t="s">
        <v>707</v>
      </c>
      <c r="L250" s="36"/>
      <c r="M250" s="37"/>
      <c r="N250" s="37" t="s">
        <v>1734</v>
      </c>
      <c r="O250" s="38">
        <v>1</v>
      </c>
      <c r="P250" s="38">
        <v>1</v>
      </c>
      <c r="Q250" s="39"/>
      <c r="S250" s="1">
        <f t="shared" si="98"/>
        <v>0</v>
      </c>
      <c r="T250" s="1">
        <f t="shared" si="99"/>
        <v>0</v>
      </c>
      <c r="U250" s="1">
        <f t="shared" si="100"/>
        <v>0</v>
      </c>
      <c r="V250" s="1">
        <f t="shared" si="101"/>
        <v>0</v>
      </c>
      <c r="W250" s="1">
        <f t="shared" si="102"/>
        <v>0</v>
      </c>
      <c r="X250" s="1">
        <f t="shared" si="103"/>
        <v>0</v>
      </c>
      <c r="Y250" s="1">
        <f t="shared" si="104"/>
        <v>0</v>
      </c>
      <c r="Z250" s="1">
        <f t="shared" si="105"/>
        <v>0</v>
      </c>
      <c r="AA250" s="1">
        <f t="shared" si="106"/>
        <v>0</v>
      </c>
      <c r="AB250" s="1">
        <f t="shared" si="107"/>
        <v>0</v>
      </c>
      <c r="AD250" s="1">
        <f t="shared" si="108"/>
        <v>1</v>
      </c>
      <c r="AE250" s="1">
        <f t="shared" si="109"/>
        <v>0</v>
      </c>
      <c r="AF250" s="1">
        <f t="shared" si="94"/>
        <v>1</v>
      </c>
      <c r="AG250" s="1">
        <f t="shared" si="95"/>
        <v>0</v>
      </c>
      <c r="AH250" s="1">
        <f t="shared" si="96"/>
        <v>1</v>
      </c>
      <c r="AI250" s="1">
        <f t="shared" si="97"/>
        <v>0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5" t="s">
        <v>905</v>
      </c>
      <c r="E251" s="35" t="s">
        <v>29</v>
      </c>
      <c r="F251" s="35" t="s">
        <v>906</v>
      </c>
      <c r="G251" s="35" t="s">
        <v>229</v>
      </c>
      <c r="H251" s="35" t="s">
        <v>355</v>
      </c>
      <c r="I251" s="34" t="s">
        <v>907</v>
      </c>
      <c r="J251" s="34">
        <v>99</v>
      </c>
      <c r="K251" s="36" t="s">
        <v>717</v>
      </c>
      <c r="L251" s="36" t="s">
        <v>698</v>
      </c>
      <c r="M251" s="37" t="s">
        <v>1413</v>
      </c>
      <c r="N251" s="37" t="s">
        <v>1755</v>
      </c>
      <c r="O251" s="38">
        <v>1</v>
      </c>
      <c r="P251" s="38"/>
      <c r="Q251" s="35"/>
      <c r="S251" s="1">
        <f t="shared" si="98"/>
        <v>0</v>
      </c>
      <c r="T251" s="1">
        <f t="shared" si="99"/>
        <v>0</v>
      </c>
      <c r="U251" s="1">
        <f t="shared" si="100"/>
        <v>0</v>
      </c>
      <c r="V251" s="1">
        <f t="shared" si="101"/>
        <v>0</v>
      </c>
      <c r="W251" s="1">
        <f t="shared" si="102"/>
        <v>0</v>
      </c>
      <c r="X251" s="1">
        <f t="shared" si="103"/>
        <v>0</v>
      </c>
      <c r="Y251" s="1">
        <f t="shared" si="104"/>
        <v>0</v>
      </c>
      <c r="Z251" s="1">
        <f t="shared" si="105"/>
        <v>0</v>
      </c>
      <c r="AA251" s="1">
        <f t="shared" si="106"/>
        <v>0</v>
      </c>
      <c r="AB251" s="1">
        <f t="shared" si="107"/>
        <v>0</v>
      </c>
      <c r="AD251" s="1">
        <f t="shared" si="108"/>
        <v>0</v>
      </c>
      <c r="AE251" s="1">
        <f t="shared" si="109"/>
        <v>1</v>
      </c>
      <c r="AF251" s="1">
        <f t="shared" si="94"/>
        <v>0</v>
      </c>
      <c r="AG251" s="1">
        <f t="shared" si="95"/>
        <v>1</v>
      </c>
      <c r="AH251" s="1">
        <f t="shared" si="96"/>
        <v>0</v>
      </c>
      <c r="AI251" s="1">
        <f t="shared" si="97"/>
        <v>1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88</v>
      </c>
      <c r="E252" s="35" t="s">
        <v>29</v>
      </c>
      <c r="F252" s="35" t="s">
        <v>282</v>
      </c>
      <c r="G252" s="35" t="s">
        <v>239</v>
      </c>
      <c r="H252" s="35" t="s">
        <v>355</v>
      </c>
      <c r="I252" s="34" t="s">
        <v>438</v>
      </c>
      <c r="J252" s="34">
        <v>4</v>
      </c>
      <c r="K252" s="36" t="s">
        <v>958</v>
      </c>
      <c r="L252" s="36" t="s">
        <v>39</v>
      </c>
      <c r="M252" s="37" t="s">
        <v>39</v>
      </c>
      <c r="N252" s="37" t="s">
        <v>1734</v>
      </c>
      <c r="O252" s="38">
        <v>1</v>
      </c>
      <c r="P252" s="38">
        <v>1</v>
      </c>
      <c r="Q252" s="35"/>
      <c r="S252" s="1">
        <f t="shared" si="98"/>
        <v>0</v>
      </c>
      <c r="T252" s="1">
        <f t="shared" si="99"/>
        <v>0</v>
      </c>
      <c r="U252" s="1">
        <f t="shared" si="100"/>
        <v>0</v>
      </c>
      <c r="V252" s="1">
        <f t="shared" si="101"/>
        <v>1</v>
      </c>
      <c r="W252" s="1">
        <f t="shared" si="102"/>
        <v>0</v>
      </c>
      <c r="X252" s="1">
        <f t="shared" si="103"/>
        <v>0</v>
      </c>
      <c r="Y252" s="1">
        <f t="shared" si="104"/>
        <v>0</v>
      </c>
      <c r="Z252" s="1">
        <f t="shared" si="105"/>
        <v>0</v>
      </c>
      <c r="AA252" s="1">
        <f t="shared" si="106"/>
        <v>0</v>
      </c>
      <c r="AB252" s="1">
        <f t="shared" si="107"/>
        <v>0</v>
      </c>
      <c r="AD252" s="1">
        <f t="shared" si="108"/>
        <v>1</v>
      </c>
      <c r="AE252" s="1">
        <f t="shared" si="109"/>
        <v>0</v>
      </c>
      <c r="AF252" s="1">
        <f t="shared" si="94"/>
        <v>1</v>
      </c>
      <c r="AG252" s="1">
        <f t="shared" si="95"/>
        <v>0</v>
      </c>
      <c r="AH252" s="1">
        <f t="shared" si="96"/>
        <v>1</v>
      </c>
      <c r="AI252" s="1">
        <f t="shared" si="97"/>
        <v>0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89</v>
      </c>
      <c r="E253" s="48" t="s">
        <v>29</v>
      </c>
      <c r="F253" s="48" t="s">
        <v>283</v>
      </c>
      <c r="G253" s="48" t="s">
        <v>284</v>
      </c>
      <c r="H253" s="48" t="s">
        <v>355</v>
      </c>
      <c r="I253" s="47" t="s">
        <v>947</v>
      </c>
      <c r="J253" s="47">
        <v>99</v>
      </c>
      <c r="K253" s="49" t="s">
        <v>959</v>
      </c>
      <c r="L253" s="49" t="s">
        <v>698</v>
      </c>
      <c r="M253" s="50" t="s">
        <v>977</v>
      </c>
      <c r="N253" s="50" t="s">
        <v>1816</v>
      </c>
      <c r="O253" s="51"/>
      <c r="P253" s="51"/>
      <c r="Q253" s="48"/>
      <c r="S253" s="1">
        <f t="shared" si="98"/>
        <v>0</v>
      </c>
      <c r="T253" s="1">
        <f t="shared" si="99"/>
        <v>0</v>
      </c>
      <c r="U253" s="1">
        <f t="shared" si="100"/>
        <v>0</v>
      </c>
      <c r="V253" s="1">
        <f t="shared" si="101"/>
        <v>0</v>
      </c>
      <c r="W253" s="1">
        <f t="shared" si="102"/>
        <v>0</v>
      </c>
      <c r="X253" s="1">
        <f t="shared" si="103"/>
        <v>0</v>
      </c>
      <c r="Y253" s="1">
        <f t="shared" si="104"/>
        <v>0</v>
      </c>
      <c r="Z253" s="1">
        <f t="shared" si="105"/>
        <v>0</v>
      </c>
      <c r="AA253" s="1">
        <f t="shared" si="106"/>
        <v>0</v>
      </c>
      <c r="AB253" s="1">
        <f t="shared" si="107"/>
        <v>0</v>
      </c>
      <c r="AD253" s="1">
        <f t="shared" si="108"/>
        <v>0</v>
      </c>
      <c r="AE253" s="1">
        <f t="shared" si="109"/>
        <v>0</v>
      </c>
      <c r="AF253" s="1">
        <f t="shared" si="94"/>
        <v>0</v>
      </c>
      <c r="AG253" s="1">
        <f t="shared" si="95"/>
        <v>0</v>
      </c>
      <c r="AH253" s="1">
        <f t="shared" si="96"/>
        <v>0</v>
      </c>
      <c r="AI253" s="1">
        <f t="shared" si="97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1643</v>
      </c>
      <c r="E254" s="35" t="s">
        <v>29</v>
      </c>
      <c r="F254" s="39" t="s">
        <v>1542</v>
      </c>
      <c r="G254" s="39" t="s">
        <v>39</v>
      </c>
      <c r="H254" s="39" t="s">
        <v>890</v>
      </c>
      <c r="I254" s="40" t="s">
        <v>1543</v>
      </c>
      <c r="J254" s="34">
        <v>17</v>
      </c>
      <c r="K254" s="36" t="s">
        <v>717</v>
      </c>
      <c r="L254" s="36" t="s">
        <v>701</v>
      </c>
      <c r="M254" s="37" t="s">
        <v>1464</v>
      </c>
      <c r="N254" s="37" t="s">
        <v>1734</v>
      </c>
      <c r="O254" s="38">
        <v>1</v>
      </c>
      <c r="P254" s="38">
        <v>1</v>
      </c>
      <c r="Q254" s="39"/>
      <c r="S254" s="1">
        <f t="shared" si="98"/>
        <v>0</v>
      </c>
      <c r="T254" s="1">
        <f t="shared" si="99"/>
        <v>0</v>
      </c>
      <c r="U254" s="1">
        <f t="shared" si="100"/>
        <v>0</v>
      </c>
      <c r="V254" s="1">
        <f t="shared" si="101"/>
        <v>0</v>
      </c>
      <c r="W254" s="1">
        <f t="shared" si="102"/>
        <v>0</v>
      </c>
      <c r="X254" s="1">
        <f t="shared" si="103"/>
        <v>0</v>
      </c>
      <c r="Y254" s="1">
        <f t="shared" si="104"/>
        <v>0</v>
      </c>
      <c r="Z254" s="1">
        <f t="shared" si="105"/>
        <v>0</v>
      </c>
      <c r="AA254" s="1">
        <f t="shared" si="106"/>
        <v>0</v>
      </c>
      <c r="AB254" s="1">
        <f t="shared" si="107"/>
        <v>0</v>
      </c>
      <c r="AD254" s="1">
        <f t="shared" si="108"/>
        <v>1</v>
      </c>
      <c r="AE254" s="1">
        <f t="shared" si="109"/>
        <v>0</v>
      </c>
      <c r="AF254" s="1">
        <f t="shared" si="94"/>
        <v>1</v>
      </c>
      <c r="AG254" s="1">
        <f t="shared" si="95"/>
        <v>0</v>
      </c>
      <c r="AH254" s="1">
        <f t="shared" si="96"/>
        <v>1</v>
      </c>
      <c r="AI254" s="1">
        <f t="shared" si="97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1461</v>
      </c>
      <c r="E255" s="48" t="s">
        <v>29</v>
      </c>
      <c r="F255" s="48" t="s">
        <v>1462</v>
      </c>
      <c r="G255" s="48" t="s">
        <v>322</v>
      </c>
      <c r="H255" s="48" t="s">
        <v>355</v>
      </c>
      <c r="I255" s="47" t="s">
        <v>1463</v>
      </c>
      <c r="J255" s="47">
        <v>99</v>
      </c>
      <c r="K255" s="49" t="s">
        <v>707</v>
      </c>
      <c r="L255" s="49">
        <v>30</v>
      </c>
      <c r="M255" s="50" t="s">
        <v>1464</v>
      </c>
      <c r="N255" s="50" t="s">
        <v>1809</v>
      </c>
      <c r="O255" s="51"/>
      <c r="P255" s="51"/>
      <c r="Q255" s="48"/>
      <c r="S255" s="1">
        <f t="shared" si="98"/>
        <v>0</v>
      </c>
      <c r="T255" s="1">
        <f t="shared" si="99"/>
        <v>0</v>
      </c>
      <c r="U255" s="1">
        <f t="shared" si="100"/>
        <v>0</v>
      </c>
      <c r="V255" s="1">
        <f t="shared" si="101"/>
        <v>0</v>
      </c>
      <c r="W255" s="1">
        <f t="shared" si="102"/>
        <v>0</v>
      </c>
      <c r="X255" s="1">
        <f t="shared" si="103"/>
        <v>0</v>
      </c>
      <c r="Y255" s="1">
        <f t="shared" si="104"/>
        <v>0</v>
      </c>
      <c r="Z255" s="1">
        <f t="shared" si="105"/>
        <v>0</v>
      </c>
      <c r="AA255" s="1">
        <f t="shared" si="106"/>
        <v>0</v>
      </c>
      <c r="AB255" s="1">
        <f t="shared" si="107"/>
        <v>0</v>
      </c>
      <c r="AD255" s="1">
        <f t="shared" si="108"/>
        <v>0</v>
      </c>
      <c r="AE255" s="1">
        <f t="shared" si="109"/>
        <v>0</v>
      </c>
      <c r="AF255" s="1">
        <f t="shared" si="94"/>
        <v>0</v>
      </c>
      <c r="AG255" s="1">
        <f t="shared" si="95"/>
        <v>0</v>
      </c>
      <c r="AH255" s="1">
        <f t="shared" si="96"/>
        <v>0</v>
      </c>
      <c r="AI255" s="1">
        <f t="shared" si="97"/>
        <v>1</v>
      </c>
    </row>
    <row r="256" spans="1:35" ht="14.25" customHeight="1" x14ac:dyDescent="0.25">
      <c r="A256" s="34">
        <v>0</v>
      </c>
      <c r="B256" s="34">
        <v>1</v>
      </c>
      <c r="C256" s="34">
        <v>7</v>
      </c>
      <c r="D256" s="39" t="s">
        <v>850</v>
      </c>
      <c r="E256" s="35" t="s">
        <v>29</v>
      </c>
      <c r="F256" s="39" t="s">
        <v>851</v>
      </c>
      <c r="G256" s="39" t="s">
        <v>223</v>
      </c>
      <c r="H256" s="39" t="s">
        <v>355</v>
      </c>
      <c r="I256" s="40" t="s">
        <v>852</v>
      </c>
      <c r="J256" s="34">
        <v>99</v>
      </c>
      <c r="K256" s="36" t="s">
        <v>959</v>
      </c>
      <c r="L256" s="36" t="s">
        <v>698</v>
      </c>
      <c r="M256" s="37" t="s">
        <v>977</v>
      </c>
      <c r="N256" s="37" t="s">
        <v>1856</v>
      </c>
      <c r="O256" s="38">
        <v>1</v>
      </c>
      <c r="P256" s="38"/>
      <c r="Q256" s="39"/>
      <c r="S256" s="1">
        <f t="shared" si="98"/>
        <v>0</v>
      </c>
      <c r="T256" s="1">
        <f t="shared" si="99"/>
        <v>0</v>
      </c>
      <c r="U256" s="1">
        <f t="shared" si="100"/>
        <v>0</v>
      </c>
      <c r="V256" s="1">
        <f t="shared" si="101"/>
        <v>0</v>
      </c>
      <c r="W256" s="1">
        <f t="shared" si="102"/>
        <v>0</v>
      </c>
      <c r="X256" s="1">
        <f t="shared" si="103"/>
        <v>0</v>
      </c>
      <c r="Y256" s="1">
        <f t="shared" si="104"/>
        <v>0</v>
      </c>
      <c r="Z256" s="1">
        <f t="shared" si="105"/>
        <v>0</v>
      </c>
      <c r="AA256" s="1">
        <f t="shared" si="106"/>
        <v>0</v>
      </c>
      <c r="AB256" s="1">
        <f t="shared" si="107"/>
        <v>0</v>
      </c>
      <c r="AD256" s="1">
        <f t="shared" si="108"/>
        <v>0</v>
      </c>
      <c r="AE256" s="1">
        <f t="shared" si="109"/>
        <v>1</v>
      </c>
      <c r="AF256" s="1">
        <f t="shared" si="94"/>
        <v>0</v>
      </c>
      <c r="AG256" s="1">
        <f t="shared" si="95"/>
        <v>1</v>
      </c>
      <c r="AH256" s="1">
        <f t="shared" si="96"/>
        <v>0</v>
      </c>
      <c r="AI256" s="1">
        <f t="shared" si="97"/>
        <v>1</v>
      </c>
    </row>
    <row r="257" spans="1:35" ht="14.25" customHeight="1" x14ac:dyDescent="0.25">
      <c r="A257" s="34">
        <v>1</v>
      </c>
      <c r="B257" s="34">
        <v>1</v>
      </c>
      <c r="C257" s="34">
        <v>7</v>
      </c>
      <c r="D257" s="39" t="s">
        <v>850</v>
      </c>
      <c r="E257" s="35" t="s">
        <v>29</v>
      </c>
      <c r="F257" s="39" t="s">
        <v>934</v>
      </c>
      <c r="G257" s="39" t="s">
        <v>280</v>
      </c>
      <c r="H257" s="39" t="s">
        <v>355</v>
      </c>
      <c r="I257" s="40" t="s">
        <v>853</v>
      </c>
      <c r="J257" s="34">
        <v>99</v>
      </c>
      <c r="K257" s="36" t="s">
        <v>959</v>
      </c>
      <c r="L257" s="36" t="s">
        <v>698</v>
      </c>
      <c r="M257" s="37" t="s">
        <v>977</v>
      </c>
      <c r="N257" s="37" t="s">
        <v>1856</v>
      </c>
      <c r="O257" s="38">
        <v>1</v>
      </c>
      <c r="P257" s="38"/>
      <c r="Q257" s="39"/>
      <c r="S257" s="1">
        <f t="shared" si="98"/>
        <v>0</v>
      </c>
      <c r="T257" s="1">
        <f t="shared" si="99"/>
        <v>0</v>
      </c>
      <c r="U257" s="1">
        <f t="shared" si="100"/>
        <v>0</v>
      </c>
      <c r="V257" s="1">
        <f t="shared" si="101"/>
        <v>0</v>
      </c>
      <c r="W257" s="1">
        <f t="shared" si="102"/>
        <v>0</v>
      </c>
      <c r="X257" s="1">
        <f t="shared" si="103"/>
        <v>0</v>
      </c>
      <c r="Y257" s="1">
        <f t="shared" si="104"/>
        <v>0</v>
      </c>
      <c r="Z257" s="1">
        <f t="shared" si="105"/>
        <v>0</v>
      </c>
      <c r="AA257" s="1">
        <f t="shared" si="106"/>
        <v>0</v>
      </c>
      <c r="AB257" s="1">
        <f t="shared" si="107"/>
        <v>0</v>
      </c>
      <c r="AD257" s="1">
        <f t="shared" si="108"/>
        <v>0</v>
      </c>
      <c r="AE257" s="1">
        <f t="shared" si="109"/>
        <v>1</v>
      </c>
      <c r="AF257" s="1">
        <f t="shared" si="94"/>
        <v>0</v>
      </c>
      <c r="AG257" s="1">
        <f t="shared" si="95"/>
        <v>0</v>
      </c>
      <c r="AH257" s="1">
        <f t="shared" si="96"/>
        <v>0</v>
      </c>
      <c r="AI257" s="1">
        <f t="shared" si="97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5" t="s">
        <v>1223</v>
      </c>
      <c r="E258" s="35" t="s">
        <v>29</v>
      </c>
      <c r="F258" s="35" t="s">
        <v>1224</v>
      </c>
      <c r="G258" s="35" t="s">
        <v>239</v>
      </c>
      <c r="H258" s="35" t="s">
        <v>355</v>
      </c>
      <c r="I258" s="34" t="s">
        <v>1368</v>
      </c>
      <c r="J258" s="34">
        <v>99</v>
      </c>
      <c r="K258" s="36" t="s">
        <v>717</v>
      </c>
      <c r="L258" s="36" t="s">
        <v>698</v>
      </c>
      <c r="M258" s="37" t="s">
        <v>1414</v>
      </c>
      <c r="N258" s="37" t="s">
        <v>1762</v>
      </c>
      <c r="O258" s="38">
        <v>1</v>
      </c>
      <c r="P258" s="38"/>
      <c r="Q258" s="35"/>
      <c r="S258" s="1">
        <f t="shared" si="98"/>
        <v>0</v>
      </c>
      <c r="T258" s="1">
        <f t="shared" si="99"/>
        <v>0</v>
      </c>
      <c r="U258" s="1">
        <f t="shared" si="100"/>
        <v>0</v>
      </c>
      <c r="V258" s="1">
        <f t="shared" si="101"/>
        <v>0</v>
      </c>
      <c r="W258" s="1">
        <f t="shared" si="102"/>
        <v>0</v>
      </c>
      <c r="X258" s="1">
        <f t="shared" si="103"/>
        <v>0</v>
      </c>
      <c r="Y258" s="1">
        <f t="shared" si="104"/>
        <v>0</v>
      </c>
      <c r="Z258" s="1">
        <f t="shared" si="105"/>
        <v>0</v>
      </c>
      <c r="AA258" s="1">
        <f t="shared" si="106"/>
        <v>0</v>
      </c>
      <c r="AB258" s="1">
        <f t="shared" si="107"/>
        <v>0</v>
      </c>
      <c r="AD258" s="1">
        <f t="shared" ref="AD258:AD259" si="110">+O258*P258</f>
        <v>0</v>
      </c>
      <c r="AE258" s="1">
        <f t="shared" ref="AE258:AE259" si="111">O258*(1-P258)</f>
        <v>1</v>
      </c>
      <c r="AF258" s="1">
        <f t="shared" ref="AF258:AF259" si="112">+O258*P258*(1-A258)</f>
        <v>0</v>
      </c>
      <c r="AG258" s="1">
        <f t="shared" ref="AG258:AG259" si="113">O258*(1-P258)*(1-A258)</f>
        <v>1</v>
      </c>
      <c r="AH258" s="1">
        <f t="shared" ref="AH258:AH259" si="114">+P258*(1-A258)</f>
        <v>0</v>
      </c>
      <c r="AI258" s="1">
        <f t="shared" ref="AI258:AI259" si="115">+(1-A258)*(1-P258)</f>
        <v>1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9" t="s">
        <v>1240</v>
      </c>
      <c r="E259" s="35" t="s">
        <v>29</v>
      </c>
      <c r="F259" s="39" t="s">
        <v>1241</v>
      </c>
      <c r="G259" s="39" t="s">
        <v>239</v>
      </c>
      <c r="H259" s="39" t="s">
        <v>355</v>
      </c>
      <c r="I259" s="40" t="s">
        <v>1242</v>
      </c>
      <c r="J259" s="34">
        <v>99</v>
      </c>
      <c r="K259" s="36" t="s">
        <v>717</v>
      </c>
      <c r="L259" s="36" t="s">
        <v>697</v>
      </c>
      <c r="M259" s="37" t="s">
        <v>1414</v>
      </c>
      <c r="N259" s="37" t="s">
        <v>1832</v>
      </c>
      <c r="O259" s="38">
        <v>1</v>
      </c>
      <c r="P259" s="38"/>
      <c r="Q259" s="39"/>
      <c r="S259" s="1">
        <f t="shared" si="98"/>
        <v>0</v>
      </c>
      <c r="T259" s="1">
        <f t="shared" si="99"/>
        <v>0</v>
      </c>
      <c r="U259" s="1">
        <f t="shared" si="100"/>
        <v>0</v>
      </c>
      <c r="V259" s="1">
        <f t="shared" si="101"/>
        <v>0</v>
      </c>
      <c r="W259" s="1">
        <f t="shared" si="102"/>
        <v>0</v>
      </c>
      <c r="X259" s="1">
        <f t="shared" si="103"/>
        <v>0</v>
      </c>
      <c r="Y259" s="1">
        <f t="shared" si="104"/>
        <v>0</v>
      </c>
      <c r="Z259" s="1">
        <f t="shared" si="105"/>
        <v>0</v>
      </c>
      <c r="AA259" s="1">
        <f t="shared" si="106"/>
        <v>0</v>
      </c>
      <c r="AB259" s="1">
        <f t="shared" si="107"/>
        <v>0</v>
      </c>
      <c r="AD259" s="1">
        <f t="shared" si="110"/>
        <v>0</v>
      </c>
      <c r="AE259" s="1">
        <f t="shared" si="111"/>
        <v>1</v>
      </c>
      <c r="AF259" s="1">
        <f t="shared" si="112"/>
        <v>0</v>
      </c>
      <c r="AG259" s="1">
        <f t="shared" si="113"/>
        <v>1</v>
      </c>
      <c r="AH259" s="1">
        <f t="shared" si="114"/>
        <v>0</v>
      </c>
      <c r="AI259" s="1">
        <f t="shared" si="115"/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93</v>
      </c>
      <c r="E260" s="35" t="s">
        <v>29</v>
      </c>
      <c r="F260" s="39" t="s">
        <v>289</v>
      </c>
      <c r="G260" s="39" t="s">
        <v>191</v>
      </c>
      <c r="H260" s="39" t="s">
        <v>355</v>
      </c>
      <c r="I260" s="40" t="s">
        <v>442</v>
      </c>
      <c r="J260" s="34">
        <v>99</v>
      </c>
      <c r="K260" s="36" t="s">
        <v>717</v>
      </c>
      <c r="L260" s="36" t="s">
        <v>698</v>
      </c>
      <c r="M260" s="37" t="s">
        <v>1415</v>
      </c>
      <c r="N260" s="37" t="s">
        <v>1757</v>
      </c>
      <c r="O260" s="38">
        <v>1</v>
      </c>
      <c r="P260" s="38"/>
      <c r="Q260" s="39"/>
      <c r="S260" s="1">
        <f t="shared" si="98"/>
        <v>0</v>
      </c>
      <c r="T260" s="1">
        <f t="shared" si="99"/>
        <v>0</v>
      </c>
      <c r="U260" s="1">
        <f t="shared" si="100"/>
        <v>0</v>
      </c>
      <c r="V260" s="1">
        <f t="shared" si="101"/>
        <v>0</v>
      </c>
      <c r="W260" s="1">
        <f t="shared" si="102"/>
        <v>0</v>
      </c>
      <c r="X260" s="1">
        <f t="shared" si="103"/>
        <v>0</v>
      </c>
      <c r="Y260" s="1">
        <f t="shared" si="104"/>
        <v>0</v>
      </c>
      <c r="Z260" s="1">
        <f t="shared" si="105"/>
        <v>0</v>
      </c>
      <c r="AA260" s="1">
        <f t="shared" si="106"/>
        <v>0</v>
      </c>
      <c r="AB260" s="1">
        <f t="shared" si="107"/>
        <v>0</v>
      </c>
      <c r="AD260" s="1">
        <f t="shared" si="108"/>
        <v>0</v>
      </c>
      <c r="AE260" s="1">
        <f t="shared" si="109"/>
        <v>1</v>
      </c>
      <c r="AF260" s="1">
        <f t="shared" si="94"/>
        <v>0</v>
      </c>
      <c r="AG260" s="1">
        <f t="shared" si="95"/>
        <v>1</v>
      </c>
      <c r="AH260" s="1">
        <f t="shared" si="96"/>
        <v>0</v>
      </c>
      <c r="AI260" s="1">
        <f t="shared" si="97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874</v>
      </c>
      <c r="E261" s="48" t="s">
        <v>29</v>
      </c>
      <c r="F261" s="48" t="s">
        <v>875</v>
      </c>
      <c r="G261" s="48" t="s">
        <v>195</v>
      </c>
      <c r="H261" s="48" t="s">
        <v>355</v>
      </c>
      <c r="I261" s="47" t="s">
        <v>876</v>
      </c>
      <c r="J261" s="47">
        <v>9</v>
      </c>
      <c r="K261" s="49" t="s">
        <v>717</v>
      </c>
      <c r="L261" s="49" t="s">
        <v>700</v>
      </c>
      <c r="M261" s="50" t="s">
        <v>712</v>
      </c>
      <c r="N261" s="50" t="s">
        <v>1742</v>
      </c>
      <c r="O261" s="51"/>
      <c r="P261" s="51"/>
      <c r="Q261" s="48"/>
      <c r="S261" s="1">
        <f t="shared" si="98"/>
        <v>0</v>
      </c>
      <c r="T261" s="1">
        <f t="shared" si="99"/>
        <v>0</v>
      </c>
      <c r="U261" s="1">
        <f t="shared" si="100"/>
        <v>0</v>
      </c>
      <c r="V261" s="1">
        <f t="shared" si="101"/>
        <v>0</v>
      </c>
      <c r="W261" s="1">
        <f t="shared" si="102"/>
        <v>0</v>
      </c>
      <c r="X261" s="1">
        <f t="shared" si="103"/>
        <v>0</v>
      </c>
      <c r="Y261" s="1">
        <f t="shared" si="104"/>
        <v>0</v>
      </c>
      <c r="Z261" s="1">
        <f t="shared" si="105"/>
        <v>0</v>
      </c>
      <c r="AA261" s="1">
        <f t="shared" si="106"/>
        <v>1</v>
      </c>
      <c r="AB261" s="1">
        <f t="shared" si="107"/>
        <v>0</v>
      </c>
      <c r="AD261" s="1">
        <f t="shared" si="108"/>
        <v>0</v>
      </c>
      <c r="AE261" s="1">
        <f t="shared" si="109"/>
        <v>0</v>
      </c>
      <c r="AF261" s="1">
        <f t="shared" si="94"/>
        <v>0</v>
      </c>
      <c r="AG261" s="1">
        <f t="shared" si="95"/>
        <v>0</v>
      </c>
      <c r="AH261" s="1">
        <f t="shared" si="96"/>
        <v>0</v>
      </c>
      <c r="AI261" s="1">
        <f t="shared" si="97"/>
        <v>1</v>
      </c>
    </row>
    <row r="262" spans="1:35" ht="14.25" customHeight="1" x14ac:dyDescent="0.25">
      <c r="A262" s="47">
        <v>1</v>
      </c>
      <c r="B262" s="47">
        <v>1</v>
      </c>
      <c r="C262" s="47">
        <v>7</v>
      </c>
      <c r="D262" s="48" t="s">
        <v>874</v>
      </c>
      <c r="E262" s="48" t="s">
        <v>29</v>
      </c>
      <c r="F262" s="48" t="s">
        <v>1072</v>
      </c>
      <c r="G262" s="48" t="s">
        <v>322</v>
      </c>
      <c r="H262" s="48" t="s">
        <v>355</v>
      </c>
      <c r="I262" s="47" t="s">
        <v>1073</v>
      </c>
      <c r="J262" s="47">
        <v>99</v>
      </c>
      <c r="K262" s="49" t="s">
        <v>717</v>
      </c>
      <c r="L262" s="49" t="s">
        <v>700</v>
      </c>
      <c r="M262" s="50" t="s">
        <v>712</v>
      </c>
      <c r="N262" s="50" t="s">
        <v>1742</v>
      </c>
      <c r="O262" s="51"/>
      <c r="P262" s="51"/>
      <c r="Q262" s="48"/>
      <c r="S262" s="1">
        <f t="shared" si="98"/>
        <v>0</v>
      </c>
      <c r="T262" s="1">
        <f t="shared" si="99"/>
        <v>0</v>
      </c>
      <c r="U262" s="1">
        <f t="shared" si="100"/>
        <v>0</v>
      </c>
      <c r="V262" s="1">
        <f t="shared" si="101"/>
        <v>0</v>
      </c>
      <c r="W262" s="1">
        <f t="shared" si="102"/>
        <v>0</v>
      </c>
      <c r="X262" s="1">
        <f t="shared" si="103"/>
        <v>0</v>
      </c>
      <c r="Y262" s="1">
        <f t="shared" si="104"/>
        <v>0</v>
      </c>
      <c r="Z262" s="1">
        <f t="shared" si="105"/>
        <v>0</v>
      </c>
      <c r="AA262" s="1">
        <f t="shared" si="106"/>
        <v>0</v>
      </c>
      <c r="AB262" s="1">
        <f t="shared" si="107"/>
        <v>0</v>
      </c>
      <c r="AD262" s="1">
        <f t="shared" si="108"/>
        <v>0</v>
      </c>
      <c r="AE262" s="1">
        <f t="shared" si="109"/>
        <v>0</v>
      </c>
      <c r="AF262" s="1">
        <f t="shared" si="94"/>
        <v>0</v>
      </c>
      <c r="AG262" s="1">
        <f t="shared" si="95"/>
        <v>0</v>
      </c>
      <c r="AH262" s="1">
        <f t="shared" si="96"/>
        <v>0</v>
      </c>
      <c r="AI262" s="1">
        <f t="shared" si="97"/>
        <v>0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96</v>
      </c>
      <c r="E263" s="48" t="s">
        <v>29</v>
      </c>
      <c r="F263" s="48" t="s">
        <v>293</v>
      </c>
      <c r="G263" s="48" t="s">
        <v>294</v>
      </c>
      <c r="H263" s="48" t="s">
        <v>355</v>
      </c>
      <c r="I263" s="47" t="s">
        <v>1121</v>
      </c>
      <c r="J263" s="47">
        <v>99</v>
      </c>
      <c r="K263" s="49" t="s">
        <v>717</v>
      </c>
      <c r="L263" s="49" t="s">
        <v>700</v>
      </c>
      <c r="M263" s="50" t="s">
        <v>712</v>
      </c>
      <c r="N263" s="50" t="s">
        <v>1746</v>
      </c>
      <c r="O263" s="51"/>
      <c r="P263" s="51"/>
      <c r="Q263" s="48"/>
      <c r="S263" s="1">
        <f t="shared" si="98"/>
        <v>0</v>
      </c>
      <c r="T263" s="1">
        <f t="shared" si="99"/>
        <v>0</v>
      </c>
      <c r="U263" s="1">
        <f t="shared" si="100"/>
        <v>0</v>
      </c>
      <c r="V263" s="1">
        <f t="shared" si="101"/>
        <v>0</v>
      </c>
      <c r="W263" s="1">
        <f t="shared" si="102"/>
        <v>0</v>
      </c>
      <c r="X263" s="1">
        <f t="shared" si="103"/>
        <v>0</v>
      </c>
      <c r="Y263" s="1">
        <f t="shared" si="104"/>
        <v>0</v>
      </c>
      <c r="Z263" s="1">
        <f t="shared" si="105"/>
        <v>0</v>
      </c>
      <c r="AA263" s="1">
        <f t="shared" si="106"/>
        <v>0</v>
      </c>
      <c r="AB263" s="1">
        <f t="shared" si="107"/>
        <v>0</v>
      </c>
      <c r="AD263" s="1">
        <f t="shared" si="108"/>
        <v>0</v>
      </c>
      <c r="AE263" s="1">
        <f t="shared" si="109"/>
        <v>0</v>
      </c>
      <c r="AF263" s="1">
        <f t="shared" si="94"/>
        <v>0</v>
      </c>
      <c r="AG263" s="1">
        <f t="shared" si="95"/>
        <v>0</v>
      </c>
      <c r="AH263" s="1">
        <f t="shared" si="96"/>
        <v>0</v>
      </c>
      <c r="AI263" s="1">
        <f t="shared" si="97"/>
        <v>1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534</v>
      </c>
      <c r="E264" s="48" t="s">
        <v>29</v>
      </c>
      <c r="F264" s="48" t="s">
        <v>668</v>
      </c>
      <c r="G264" s="48" t="s">
        <v>39</v>
      </c>
      <c r="H264" s="48" t="s">
        <v>535</v>
      </c>
      <c r="I264" s="47" t="s">
        <v>1697</v>
      </c>
      <c r="J264" s="47">
        <v>14</v>
      </c>
      <c r="K264" s="49" t="s">
        <v>958</v>
      </c>
      <c r="L264" s="49">
        <v>40</v>
      </c>
      <c r="M264" s="50" t="s">
        <v>712</v>
      </c>
      <c r="N264" s="50" t="s">
        <v>1742</v>
      </c>
      <c r="O264" s="51"/>
      <c r="P264" s="51"/>
      <c r="Q264" s="48"/>
      <c r="S264" s="1">
        <f t="shared" si="98"/>
        <v>0</v>
      </c>
      <c r="T264" s="1">
        <f t="shared" si="99"/>
        <v>0</v>
      </c>
      <c r="U264" s="1">
        <f t="shared" si="100"/>
        <v>0</v>
      </c>
      <c r="V264" s="1">
        <f t="shared" si="101"/>
        <v>0</v>
      </c>
      <c r="W264" s="1">
        <f t="shared" si="102"/>
        <v>0</v>
      </c>
      <c r="X264" s="1">
        <f t="shared" si="103"/>
        <v>0</v>
      </c>
      <c r="Y264" s="1">
        <f t="shared" si="104"/>
        <v>0</v>
      </c>
      <c r="Z264" s="1">
        <f t="shared" si="105"/>
        <v>0</v>
      </c>
      <c r="AA264" s="1">
        <f t="shared" si="106"/>
        <v>0</v>
      </c>
      <c r="AB264" s="1">
        <f t="shared" si="107"/>
        <v>0</v>
      </c>
      <c r="AD264" s="1">
        <f t="shared" si="108"/>
        <v>0</v>
      </c>
      <c r="AE264" s="1">
        <f t="shared" si="109"/>
        <v>0</v>
      </c>
      <c r="AF264" s="1">
        <f t="shared" si="94"/>
        <v>0</v>
      </c>
      <c r="AG264" s="1">
        <f t="shared" si="95"/>
        <v>0</v>
      </c>
      <c r="AH264" s="1">
        <f t="shared" si="96"/>
        <v>0</v>
      </c>
      <c r="AI264" s="1">
        <f t="shared" si="97"/>
        <v>1</v>
      </c>
    </row>
    <row r="265" spans="1:35" ht="14.25" customHeight="1" x14ac:dyDescent="0.25">
      <c r="A265" s="34">
        <v>0</v>
      </c>
      <c r="B265" s="34">
        <v>1</v>
      </c>
      <c r="C265" s="34">
        <v>7</v>
      </c>
      <c r="D265" s="39" t="s">
        <v>1328</v>
      </c>
      <c r="E265" s="35" t="s">
        <v>29</v>
      </c>
      <c r="F265" s="39" t="s">
        <v>1352</v>
      </c>
      <c r="G265" s="39" t="s">
        <v>39</v>
      </c>
      <c r="H265" s="39" t="s">
        <v>355</v>
      </c>
      <c r="I265" s="40" t="s">
        <v>1156</v>
      </c>
      <c r="J265" s="34">
        <v>99</v>
      </c>
      <c r="K265" s="36" t="s">
        <v>717</v>
      </c>
      <c r="L265" s="36" t="s">
        <v>697</v>
      </c>
      <c r="M265" s="37" t="s">
        <v>1416</v>
      </c>
      <c r="N265" s="37" t="s">
        <v>1740</v>
      </c>
      <c r="O265" s="38">
        <v>1</v>
      </c>
      <c r="P265" s="38">
        <v>1</v>
      </c>
      <c r="Q265" s="39"/>
      <c r="S265" s="1">
        <f t="shared" si="98"/>
        <v>0</v>
      </c>
      <c r="T265" s="1">
        <f t="shared" si="99"/>
        <v>0</v>
      </c>
      <c r="U265" s="1">
        <f t="shared" si="100"/>
        <v>0</v>
      </c>
      <c r="V265" s="1">
        <f t="shared" si="101"/>
        <v>0</v>
      </c>
      <c r="W265" s="1">
        <f t="shared" si="102"/>
        <v>0</v>
      </c>
      <c r="X265" s="1">
        <f t="shared" si="103"/>
        <v>0</v>
      </c>
      <c r="Y265" s="1">
        <f t="shared" si="104"/>
        <v>0</v>
      </c>
      <c r="Z265" s="1">
        <f t="shared" si="105"/>
        <v>0</v>
      </c>
      <c r="AA265" s="1">
        <f t="shared" si="106"/>
        <v>0</v>
      </c>
      <c r="AB265" s="1">
        <f t="shared" si="107"/>
        <v>0</v>
      </c>
      <c r="AD265" s="1">
        <f t="shared" si="108"/>
        <v>1</v>
      </c>
      <c r="AE265" s="1">
        <f t="shared" si="109"/>
        <v>0</v>
      </c>
      <c r="AF265" s="1">
        <f t="shared" si="94"/>
        <v>1</v>
      </c>
      <c r="AG265" s="1">
        <f t="shared" si="95"/>
        <v>0</v>
      </c>
      <c r="AH265" s="1">
        <f t="shared" si="96"/>
        <v>1</v>
      </c>
      <c r="AI265" s="1">
        <f t="shared" si="97"/>
        <v>0</v>
      </c>
    </row>
    <row r="266" spans="1:35" ht="14.25" customHeight="1" x14ac:dyDescent="0.25">
      <c r="A266" s="47">
        <v>0</v>
      </c>
      <c r="B266" s="47">
        <v>1</v>
      </c>
      <c r="C266" s="47">
        <v>7</v>
      </c>
      <c r="D266" s="48" t="s">
        <v>97</v>
      </c>
      <c r="E266" s="48" t="s">
        <v>29</v>
      </c>
      <c r="F266" s="48" t="s">
        <v>296</v>
      </c>
      <c r="G266" s="48" t="s">
        <v>264</v>
      </c>
      <c r="H266" s="48" t="s">
        <v>355</v>
      </c>
      <c r="I266" s="47" t="s">
        <v>446</v>
      </c>
      <c r="J266" s="47">
        <v>1</v>
      </c>
      <c r="K266" s="49" t="s">
        <v>717</v>
      </c>
      <c r="L266" s="49" t="s">
        <v>698</v>
      </c>
      <c r="M266" s="50" t="s">
        <v>712</v>
      </c>
      <c r="N266" s="50" t="s">
        <v>1742</v>
      </c>
      <c r="O266" s="51"/>
      <c r="P266" s="51"/>
      <c r="Q266" s="48"/>
      <c r="S266" s="1">
        <f t="shared" si="98"/>
        <v>1</v>
      </c>
      <c r="T266" s="1">
        <f t="shared" si="99"/>
        <v>0</v>
      </c>
      <c r="U266" s="1">
        <f t="shared" si="100"/>
        <v>0</v>
      </c>
      <c r="V266" s="1">
        <f t="shared" si="101"/>
        <v>0</v>
      </c>
      <c r="W266" s="1">
        <f t="shared" si="102"/>
        <v>0</v>
      </c>
      <c r="X266" s="1">
        <f t="shared" si="103"/>
        <v>0</v>
      </c>
      <c r="Y266" s="1">
        <f t="shared" si="104"/>
        <v>0</v>
      </c>
      <c r="Z266" s="1">
        <f t="shared" si="105"/>
        <v>0</v>
      </c>
      <c r="AA266" s="1">
        <f t="shared" si="106"/>
        <v>0</v>
      </c>
      <c r="AB266" s="1">
        <f t="shared" si="107"/>
        <v>0</v>
      </c>
      <c r="AD266" s="1">
        <f t="shared" si="108"/>
        <v>0</v>
      </c>
      <c r="AE266" s="1">
        <f t="shared" si="109"/>
        <v>0</v>
      </c>
      <c r="AF266" s="1">
        <f t="shared" ref="AF266:AF330" si="116">+O266*P266*(1-A266)</f>
        <v>0</v>
      </c>
      <c r="AG266" s="1">
        <f t="shared" ref="AG266:AG330" si="117">O266*(1-P266)*(1-A266)</f>
        <v>0</v>
      </c>
      <c r="AH266" s="1">
        <f t="shared" ref="AH266:AH330" si="118">+P266*(1-A266)</f>
        <v>0</v>
      </c>
      <c r="AI266" s="1">
        <f t="shared" ref="AI266:AI330" si="119">+(1-A266)*(1-P266)</f>
        <v>1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16" t="s">
        <v>759</v>
      </c>
      <c r="E267" s="16" t="s">
        <v>29</v>
      </c>
      <c r="F267" s="16" t="s">
        <v>760</v>
      </c>
      <c r="G267" s="16" t="s">
        <v>39</v>
      </c>
      <c r="H267" s="16" t="s">
        <v>761</v>
      </c>
      <c r="I267" s="15" t="s">
        <v>762</v>
      </c>
      <c r="J267" s="15">
        <v>18</v>
      </c>
      <c r="K267" s="10" t="s">
        <v>707</v>
      </c>
      <c r="L267" s="10" t="s">
        <v>701</v>
      </c>
      <c r="M267" s="19" t="s">
        <v>712</v>
      </c>
      <c r="N267" s="17"/>
      <c r="Q267" s="16"/>
      <c r="S267" s="1">
        <f t="shared" si="98"/>
        <v>0</v>
      </c>
      <c r="T267" s="1">
        <f t="shared" si="99"/>
        <v>0</v>
      </c>
      <c r="U267" s="1">
        <f t="shared" si="100"/>
        <v>0</v>
      </c>
      <c r="V267" s="1">
        <f t="shared" si="101"/>
        <v>0</v>
      </c>
      <c r="W267" s="1">
        <f t="shared" si="102"/>
        <v>0</v>
      </c>
      <c r="X267" s="1">
        <f t="shared" si="103"/>
        <v>0</v>
      </c>
      <c r="Y267" s="1">
        <f t="shared" si="104"/>
        <v>0</v>
      </c>
      <c r="Z267" s="1">
        <f t="shared" si="105"/>
        <v>0</v>
      </c>
      <c r="AA267" s="1">
        <f t="shared" si="106"/>
        <v>0</v>
      </c>
      <c r="AB267" s="1">
        <f t="shared" si="107"/>
        <v>0</v>
      </c>
      <c r="AD267" s="1">
        <f t="shared" si="108"/>
        <v>0</v>
      </c>
      <c r="AE267" s="1">
        <f t="shared" si="109"/>
        <v>0</v>
      </c>
      <c r="AF267" s="1">
        <f t="shared" si="116"/>
        <v>0</v>
      </c>
      <c r="AG267" s="1">
        <f t="shared" si="117"/>
        <v>0</v>
      </c>
      <c r="AH267" s="1">
        <f t="shared" si="118"/>
        <v>0</v>
      </c>
      <c r="AI267" s="1">
        <f t="shared" si="119"/>
        <v>1</v>
      </c>
    </row>
    <row r="268" spans="1:35" ht="14.25" customHeight="1" x14ac:dyDescent="0.25">
      <c r="A268" s="15">
        <v>1</v>
      </c>
      <c r="B268" s="15">
        <v>1</v>
      </c>
      <c r="C268" s="15">
        <v>7</v>
      </c>
      <c r="D268" s="16" t="s">
        <v>759</v>
      </c>
      <c r="E268" s="16" t="s">
        <v>29</v>
      </c>
      <c r="F268" s="16" t="s">
        <v>763</v>
      </c>
      <c r="G268" s="16" t="s">
        <v>39</v>
      </c>
      <c r="H268" s="16" t="s">
        <v>749</v>
      </c>
      <c r="I268" s="15" t="s">
        <v>764</v>
      </c>
      <c r="J268" s="15">
        <v>17</v>
      </c>
      <c r="K268" s="10" t="s">
        <v>707</v>
      </c>
      <c r="L268" s="10" t="s">
        <v>701</v>
      </c>
      <c r="M268" s="19" t="s">
        <v>712</v>
      </c>
      <c r="N268" s="17"/>
      <c r="Q268" s="16"/>
      <c r="S268" s="1">
        <f t="shared" si="98"/>
        <v>0</v>
      </c>
      <c r="T268" s="1">
        <f t="shared" si="99"/>
        <v>0</v>
      </c>
      <c r="U268" s="1">
        <f t="shared" si="100"/>
        <v>0</v>
      </c>
      <c r="V268" s="1">
        <f t="shared" si="101"/>
        <v>0</v>
      </c>
      <c r="W268" s="1">
        <f t="shared" si="102"/>
        <v>0</v>
      </c>
      <c r="X268" s="1">
        <f t="shared" si="103"/>
        <v>0</v>
      </c>
      <c r="Y268" s="1">
        <f t="shared" si="104"/>
        <v>0</v>
      </c>
      <c r="Z268" s="1">
        <f t="shared" si="105"/>
        <v>0</v>
      </c>
      <c r="AA268" s="1">
        <f t="shared" si="106"/>
        <v>0</v>
      </c>
      <c r="AB268" s="1">
        <f t="shared" si="107"/>
        <v>0</v>
      </c>
      <c r="AD268" s="1">
        <f t="shared" si="108"/>
        <v>0</v>
      </c>
      <c r="AE268" s="1">
        <f t="shared" si="109"/>
        <v>0</v>
      </c>
      <c r="AF268" s="1">
        <f t="shared" si="116"/>
        <v>0</v>
      </c>
      <c r="AG268" s="1">
        <f t="shared" si="117"/>
        <v>0</v>
      </c>
      <c r="AH268" s="1">
        <f t="shared" si="118"/>
        <v>0</v>
      </c>
      <c r="AI268" s="1">
        <f t="shared" si="119"/>
        <v>0</v>
      </c>
    </row>
    <row r="269" spans="1:35" ht="14.25" customHeight="1" x14ac:dyDescent="0.25">
      <c r="A269" s="34">
        <v>0</v>
      </c>
      <c r="B269" s="34">
        <v>1</v>
      </c>
      <c r="C269" s="34">
        <v>7</v>
      </c>
      <c r="D269" s="39" t="s">
        <v>1525</v>
      </c>
      <c r="E269" s="35" t="s">
        <v>29</v>
      </c>
      <c r="F269" s="39" t="s">
        <v>1678</v>
      </c>
      <c r="G269" s="39" t="s">
        <v>1679</v>
      </c>
      <c r="H269" s="39" t="s">
        <v>355</v>
      </c>
      <c r="I269" s="40" t="s">
        <v>1526</v>
      </c>
      <c r="J269" s="34">
        <v>99</v>
      </c>
      <c r="K269" s="36" t="s">
        <v>717</v>
      </c>
      <c r="L269" s="36" t="s">
        <v>39</v>
      </c>
      <c r="M269" s="37" t="s">
        <v>39</v>
      </c>
      <c r="N269" s="37" t="s">
        <v>1734</v>
      </c>
      <c r="O269" s="38">
        <v>1</v>
      </c>
      <c r="P269" s="38">
        <v>1</v>
      </c>
      <c r="Q269" s="39"/>
      <c r="S269" s="1">
        <f t="shared" si="98"/>
        <v>0</v>
      </c>
      <c r="T269" s="1">
        <f t="shared" si="99"/>
        <v>0</v>
      </c>
      <c r="U269" s="1">
        <f t="shared" si="100"/>
        <v>0</v>
      </c>
      <c r="V269" s="1">
        <f t="shared" si="101"/>
        <v>0</v>
      </c>
      <c r="W269" s="1">
        <f t="shared" si="102"/>
        <v>0</v>
      </c>
      <c r="X269" s="1">
        <f t="shared" si="103"/>
        <v>0</v>
      </c>
      <c r="Y269" s="1">
        <f t="shared" si="104"/>
        <v>0</v>
      </c>
      <c r="Z269" s="1">
        <f t="shared" si="105"/>
        <v>0</v>
      </c>
      <c r="AA269" s="1">
        <f t="shared" si="106"/>
        <v>0</v>
      </c>
      <c r="AB269" s="1">
        <f t="shared" si="107"/>
        <v>0</v>
      </c>
      <c r="AD269" s="1">
        <f t="shared" si="108"/>
        <v>1</v>
      </c>
      <c r="AE269" s="1">
        <f t="shared" si="109"/>
        <v>0</v>
      </c>
      <c r="AF269" s="1">
        <f t="shared" si="116"/>
        <v>1</v>
      </c>
      <c r="AG269" s="1">
        <f t="shared" si="117"/>
        <v>0</v>
      </c>
      <c r="AH269" s="1">
        <f t="shared" si="118"/>
        <v>1</v>
      </c>
      <c r="AI269" s="1">
        <f t="shared" si="119"/>
        <v>0</v>
      </c>
    </row>
    <row r="270" spans="1:35" ht="14.25" customHeight="1" x14ac:dyDescent="0.25">
      <c r="A270" s="15">
        <v>0</v>
      </c>
      <c r="B270" s="15">
        <v>1</v>
      </c>
      <c r="C270" s="15">
        <v>7</v>
      </c>
      <c r="D270" s="16" t="s">
        <v>1150</v>
      </c>
      <c r="E270" s="16" t="s">
        <v>29</v>
      </c>
      <c r="F270" s="16" t="s">
        <v>1151</v>
      </c>
      <c r="G270" s="16" t="s">
        <v>1153</v>
      </c>
      <c r="H270" s="16" t="s">
        <v>355</v>
      </c>
      <c r="I270" s="15" t="s">
        <v>1152</v>
      </c>
      <c r="J270" s="15">
        <v>99</v>
      </c>
      <c r="K270" s="10" t="s">
        <v>707</v>
      </c>
      <c r="L270" s="10">
        <v>30</v>
      </c>
      <c r="M270" s="19" t="s">
        <v>1417</v>
      </c>
      <c r="N270" s="19"/>
      <c r="Q270" s="16"/>
      <c r="S270" s="1">
        <f t="shared" ref="S270:S334" si="120">IF(J270=$S$7,1,0)</f>
        <v>0</v>
      </c>
      <c r="T270" s="1">
        <f t="shared" ref="T270:T334" si="121">IF(J270=$T$7,1,0)</f>
        <v>0</v>
      </c>
      <c r="U270" s="1">
        <f t="shared" ref="U270:U334" si="122">IF(J270=$U$7,1,0)</f>
        <v>0</v>
      </c>
      <c r="V270" s="1">
        <f t="shared" ref="V270:V334" si="123">IF(J270=$V$7,1,0)</f>
        <v>0</v>
      </c>
      <c r="W270" s="1">
        <f t="shared" ref="W270:W334" si="124">IF(J270=$W$7,1,0)</f>
        <v>0</v>
      </c>
      <c r="X270" s="1">
        <f t="shared" ref="X270:X334" si="125">IF(J270=$X$7,1,0)</f>
        <v>0</v>
      </c>
      <c r="Y270" s="1">
        <f t="shared" ref="Y270:Y334" si="126">IF(J270=$Y$7,1,0)</f>
        <v>0</v>
      </c>
      <c r="Z270" s="1">
        <f t="shared" ref="Z270:Z334" si="127">IF(J270=$Z$7,1,0)</f>
        <v>0</v>
      </c>
      <c r="AA270" s="1">
        <f t="shared" ref="AA270:AA334" si="128">IF(J270=$AA$7,1,0)</f>
        <v>0</v>
      </c>
      <c r="AB270" s="1">
        <f t="shared" ref="AB270:AB334" si="129">IF(J270=$AB$7,1,0)</f>
        <v>0</v>
      </c>
      <c r="AD270" s="1">
        <f t="shared" ref="AD270:AD334" si="130">+O270*P270</f>
        <v>0</v>
      </c>
      <c r="AE270" s="1">
        <f t="shared" ref="AE270:AE334" si="131">O270*(1-P270)</f>
        <v>0</v>
      </c>
      <c r="AF270" s="1">
        <f t="shared" si="116"/>
        <v>0</v>
      </c>
      <c r="AG270" s="1">
        <f t="shared" si="117"/>
        <v>0</v>
      </c>
      <c r="AH270" s="1">
        <f t="shared" si="118"/>
        <v>0</v>
      </c>
      <c r="AI270" s="1">
        <f t="shared" si="119"/>
        <v>1</v>
      </c>
    </row>
    <row r="271" spans="1:35" ht="14.25" customHeight="1" x14ac:dyDescent="0.25">
      <c r="A271" s="47">
        <v>0</v>
      </c>
      <c r="B271" s="47">
        <v>1</v>
      </c>
      <c r="C271" s="47">
        <v>7</v>
      </c>
      <c r="D271" s="48" t="s">
        <v>99</v>
      </c>
      <c r="E271" s="48" t="s">
        <v>29</v>
      </c>
      <c r="F271" s="48" t="s">
        <v>298</v>
      </c>
      <c r="G271" s="48" t="s">
        <v>198</v>
      </c>
      <c r="H271" s="48" t="s">
        <v>355</v>
      </c>
      <c r="I271" s="47" t="s">
        <v>447</v>
      </c>
      <c r="J271" s="47">
        <v>9</v>
      </c>
      <c r="K271" s="49" t="s">
        <v>707</v>
      </c>
      <c r="L271" s="49">
        <v>30</v>
      </c>
      <c r="M271" s="50" t="s">
        <v>712</v>
      </c>
      <c r="N271" s="50" t="s">
        <v>1742</v>
      </c>
      <c r="O271" s="51"/>
      <c r="P271" s="51"/>
      <c r="Q271" s="48"/>
      <c r="S271" s="1">
        <f t="shared" si="120"/>
        <v>0</v>
      </c>
      <c r="T271" s="1">
        <f t="shared" si="121"/>
        <v>0</v>
      </c>
      <c r="U271" s="1">
        <f t="shared" si="122"/>
        <v>0</v>
      </c>
      <c r="V271" s="1">
        <f t="shared" si="123"/>
        <v>0</v>
      </c>
      <c r="W271" s="1">
        <f t="shared" si="124"/>
        <v>0</v>
      </c>
      <c r="X271" s="1">
        <f t="shared" si="125"/>
        <v>0</v>
      </c>
      <c r="Y271" s="1">
        <f t="shared" si="126"/>
        <v>0</v>
      </c>
      <c r="Z271" s="1">
        <f t="shared" si="127"/>
        <v>0</v>
      </c>
      <c r="AA271" s="1">
        <f t="shared" si="128"/>
        <v>1</v>
      </c>
      <c r="AB271" s="1">
        <f t="shared" si="129"/>
        <v>0</v>
      </c>
      <c r="AD271" s="1">
        <f t="shared" si="130"/>
        <v>0</v>
      </c>
      <c r="AE271" s="1">
        <f t="shared" si="131"/>
        <v>0</v>
      </c>
      <c r="AF271" s="1">
        <f t="shared" si="116"/>
        <v>0</v>
      </c>
      <c r="AG271" s="1">
        <f t="shared" si="117"/>
        <v>0</v>
      </c>
      <c r="AH271" s="1">
        <f t="shared" si="118"/>
        <v>0</v>
      </c>
      <c r="AI271" s="1">
        <f t="shared" si="119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807</v>
      </c>
      <c r="E272" s="48" t="s">
        <v>29</v>
      </c>
      <c r="F272" s="48" t="s">
        <v>786</v>
      </c>
      <c r="G272" s="48" t="s">
        <v>808</v>
      </c>
      <c r="H272" s="48" t="s">
        <v>355</v>
      </c>
      <c r="I272" s="47" t="s">
        <v>956</v>
      </c>
      <c r="J272" s="47">
        <v>99</v>
      </c>
      <c r="K272" s="49" t="s">
        <v>717</v>
      </c>
      <c r="L272" s="49" t="s">
        <v>698</v>
      </c>
      <c r="M272" s="50" t="s">
        <v>712</v>
      </c>
      <c r="N272" s="50" t="s">
        <v>1809</v>
      </c>
      <c r="O272" s="51"/>
      <c r="P272" s="51"/>
      <c r="Q272" s="48"/>
      <c r="S272" s="1">
        <f t="shared" si="120"/>
        <v>0</v>
      </c>
      <c r="T272" s="1">
        <f t="shared" si="121"/>
        <v>0</v>
      </c>
      <c r="U272" s="1">
        <f t="shared" si="122"/>
        <v>0</v>
      </c>
      <c r="V272" s="1">
        <f t="shared" si="123"/>
        <v>0</v>
      </c>
      <c r="W272" s="1">
        <f t="shared" si="124"/>
        <v>0</v>
      </c>
      <c r="X272" s="1">
        <f t="shared" si="125"/>
        <v>0</v>
      </c>
      <c r="Y272" s="1">
        <f t="shared" si="126"/>
        <v>0</v>
      </c>
      <c r="Z272" s="1">
        <f t="shared" si="127"/>
        <v>0</v>
      </c>
      <c r="AA272" s="1">
        <f t="shared" si="128"/>
        <v>0</v>
      </c>
      <c r="AB272" s="1">
        <f t="shared" si="129"/>
        <v>0</v>
      </c>
      <c r="AD272" s="1">
        <f t="shared" si="130"/>
        <v>0</v>
      </c>
      <c r="AE272" s="1">
        <f t="shared" si="131"/>
        <v>0</v>
      </c>
      <c r="AF272" s="1">
        <f t="shared" si="116"/>
        <v>0</v>
      </c>
      <c r="AG272" s="1">
        <f t="shared" si="117"/>
        <v>0</v>
      </c>
      <c r="AH272" s="1">
        <f t="shared" si="118"/>
        <v>0</v>
      </c>
      <c r="AI272" s="1">
        <f t="shared" si="119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1331</v>
      </c>
      <c r="E273" s="48" t="s">
        <v>29</v>
      </c>
      <c r="F273" s="48" t="s">
        <v>1354</v>
      </c>
      <c r="G273" s="48" t="s">
        <v>1188</v>
      </c>
      <c r="H273" s="48" t="s">
        <v>355</v>
      </c>
      <c r="I273" s="47" t="s">
        <v>1699</v>
      </c>
      <c r="J273" s="47">
        <v>99</v>
      </c>
      <c r="K273" s="49" t="s">
        <v>717</v>
      </c>
      <c r="L273" s="49" t="s">
        <v>698</v>
      </c>
      <c r="M273" s="50" t="s">
        <v>1418</v>
      </c>
      <c r="N273" s="50" t="s">
        <v>1745</v>
      </c>
      <c r="O273" s="51"/>
      <c r="P273" s="51"/>
      <c r="Q273" s="48"/>
      <c r="S273" s="1">
        <f t="shared" si="120"/>
        <v>0</v>
      </c>
      <c r="T273" s="1">
        <f t="shared" si="121"/>
        <v>0</v>
      </c>
      <c r="U273" s="1">
        <f t="shared" si="122"/>
        <v>0</v>
      </c>
      <c r="V273" s="1">
        <f t="shared" si="123"/>
        <v>0</v>
      </c>
      <c r="W273" s="1">
        <f t="shared" si="124"/>
        <v>0</v>
      </c>
      <c r="X273" s="1">
        <f t="shared" si="125"/>
        <v>0</v>
      </c>
      <c r="Y273" s="1">
        <f t="shared" si="126"/>
        <v>0</v>
      </c>
      <c r="Z273" s="1">
        <f t="shared" si="127"/>
        <v>0</v>
      </c>
      <c r="AA273" s="1">
        <f t="shared" si="128"/>
        <v>0</v>
      </c>
      <c r="AB273" s="1">
        <f t="shared" si="129"/>
        <v>0</v>
      </c>
      <c r="AD273" s="1">
        <f t="shared" si="130"/>
        <v>0</v>
      </c>
      <c r="AE273" s="1">
        <f t="shared" si="131"/>
        <v>0</v>
      </c>
      <c r="AF273" s="1">
        <f t="shared" si="116"/>
        <v>0</v>
      </c>
      <c r="AG273" s="1">
        <f t="shared" si="117"/>
        <v>0</v>
      </c>
      <c r="AH273" s="1">
        <f t="shared" si="118"/>
        <v>0</v>
      </c>
      <c r="AI273" s="1">
        <f t="shared" si="119"/>
        <v>1</v>
      </c>
    </row>
    <row r="274" spans="1:35" ht="14.25" customHeight="1" x14ac:dyDescent="0.25">
      <c r="A274" s="15">
        <v>0</v>
      </c>
      <c r="B274" s="15">
        <v>1</v>
      </c>
      <c r="C274" s="15">
        <v>7</v>
      </c>
      <c r="D274" s="16" t="s">
        <v>1286</v>
      </c>
      <c r="E274" s="16" t="s">
        <v>29</v>
      </c>
      <c r="F274" s="16" t="s">
        <v>1287</v>
      </c>
      <c r="G274" s="16" t="s">
        <v>1288</v>
      </c>
      <c r="H274" s="16" t="s">
        <v>355</v>
      </c>
      <c r="I274" s="15" t="s">
        <v>1289</v>
      </c>
      <c r="J274" s="15">
        <v>99</v>
      </c>
      <c r="K274" s="10" t="s">
        <v>717</v>
      </c>
      <c r="L274" s="10" t="s">
        <v>698</v>
      </c>
      <c r="M274" s="19" t="s">
        <v>712</v>
      </c>
      <c r="N274" s="17"/>
      <c r="Q274" s="16"/>
      <c r="S274" s="1">
        <f t="shared" si="120"/>
        <v>0</v>
      </c>
      <c r="T274" s="1">
        <f t="shared" si="121"/>
        <v>0</v>
      </c>
      <c r="U274" s="1">
        <f t="shared" si="122"/>
        <v>0</v>
      </c>
      <c r="V274" s="1">
        <f t="shared" si="123"/>
        <v>0</v>
      </c>
      <c r="W274" s="1">
        <f t="shared" si="124"/>
        <v>0</v>
      </c>
      <c r="X274" s="1">
        <f t="shared" si="125"/>
        <v>0</v>
      </c>
      <c r="Y274" s="1">
        <f t="shared" si="126"/>
        <v>0</v>
      </c>
      <c r="Z274" s="1">
        <f t="shared" si="127"/>
        <v>0</v>
      </c>
      <c r="AA274" s="1">
        <f t="shared" si="128"/>
        <v>0</v>
      </c>
      <c r="AB274" s="1">
        <f t="shared" si="129"/>
        <v>0</v>
      </c>
      <c r="AD274" s="1">
        <f t="shared" si="130"/>
        <v>0</v>
      </c>
      <c r="AE274" s="1">
        <f t="shared" si="131"/>
        <v>0</v>
      </c>
      <c r="AF274" s="1">
        <f t="shared" si="116"/>
        <v>0</v>
      </c>
      <c r="AG274" s="1">
        <f t="shared" si="117"/>
        <v>0</v>
      </c>
      <c r="AH274" s="1">
        <f t="shared" si="118"/>
        <v>0</v>
      </c>
      <c r="AI274" s="1">
        <f t="shared" si="119"/>
        <v>1</v>
      </c>
    </row>
    <row r="275" spans="1:35" ht="14.25" customHeight="1" x14ac:dyDescent="0.25">
      <c r="A275" s="34">
        <v>0</v>
      </c>
      <c r="B275" s="34">
        <v>1</v>
      </c>
      <c r="C275" s="34">
        <v>7</v>
      </c>
      <c r="D275" s="35" t="s">
        <v>713</v>
      </c>
      <c r="E275" s="35" t="s">
        <v>29</v>
      </c>
      <c r="F275" s="35" t="s">
        <v>714</v>
      </c>
      <c r="G275" s="35" t="s">
        <v>185</v>
      </c>
      <c r="H275" s="35" t="s">
        <v>355</v>
      </c>
      <c r="I275" s="34" t="s">
        <v>715</v>
      </c>
      <c r="J275" s="34">
        <v>99</v>
      </c>
      <c r="K275" s="36" t="s">
        <v>959</v>
      </c>
      <c r="L275" s="36" t="s">
        <v>39</v>
      </c>
      <c r="M275" s="37" t="s">
        <v>39</v>
      </c>
      <c r="N275" s="37" t="s">
        <v>1740</v>
      </c>
      <c r="O275" s="38">
        <v>1</v>
      </c>
      <c r="P275" s="38">
        <v>1</v>
      </c>
      <c r="Q275" s="35"/>
      <c r="S275" s="1">
        <f t="shared" si="120"/>
        <v>0</v>
      </c>
      <c r="T275" s="1">
        <f t="shared" si="121"/>
        <v>0</v>
      </c>
      <c r="U275" s="1">
        <f t="shared" si="122"/>
        <v>0</v>
      </c>
      <c r="V275" s="1">
        <f t="shared" si="123"/>
        <v>0</v>
      </c>
      <c r="W275" s="1">
        <f t="shared" si="124"/>
        <v>0</v>
      </c>
      <c r="X275" s="1">
        <f t="shared" si="125"/>
        <v>0</v>
      </c>
      <c r="Y275" s="1">
        <f t="shared" si="126"/>
        <v>0</v>
      </c>
      <c r="Z275" s="1">
        <f t="shared" si="127"/>
        <v>0</v>
      </c>
      <c r="AA275" s="1">
        <f t="shared" si="128"/>
        <v>0</v>
      </c>
      <c r="AB275" s="1">
        <f t="shared" si="129"/>
        <v>0</v>
      </c>
      <c r="AD275" s="1">
        <f t="shared" si="130"/>
        <v>1</v>
      </c>
      <c r="AE275" s="1">
        <f t="shared" si="131"/>
        <v>0</v>
      </c>
      <c r="AF275" s="1">
        <f t="shared" si="116"/>
        <v>1</v>
      </c>
      <c r="AG275" s="1">
        <f t="shared" si="117"/>
        <v>0</v>
      </c>
      <c r="AH275" s="1">
        <f t="shared" si="118"/>
        <v>1</v>
      </c>
      <c r="AI275" s="1">
        <f t="shared" si="119"/>
        <v>0</v>
      </c>
    </row>
    <row r="276" spans="1:35" ht="14.25" customHeight="1" x14ac:dyDescent="0.25">
      <c r="A276" s="34">
        <v>0</v>
      </c>
      <c r="B276" s="34">
        <v>2</v>
      </c>
      <c r="C276" s="34">
        <v>1</v>
      </c>
      <c r="D276" s="35" t="s">
        <v>538</v>
      </c>
      <c r="E276" s="35" t="s">
        <v>34</v>
      </c>
      <c r="F276" s="35" t="s">
        <v>539</v>
      </c>
      <c r="G276" s="35" t="s">
        <v>221</v>
      </c>
      <c r="H276" s="35" t="s">
        <v>355</v>
      </c>
      <c r="I276" s="34" t="s">
        <v>540</v>
      </c>
      <c r="J276" s="34">
        <v>8</v>
      </c>
      <c r="K276" s="36" t="s">
        <v>717</v>
      </c>
      <c r="L276" s="36" t="s">
        <v>717</v>
      </c>
      <c r="M276" s="37" t="s">
        <v>718</v>
      </c>
      <c r="N276" s="37" t="s">
        <v>1755</v>
      </c>
      <c r="O276" s="38">
        <v>1</v>
      </c>
      <c r="P276" s="38"/>
      <c r="Q276" s="35"/>
      <c r="S276" s="1">
        <f t="shared" si="120"/>
        <v>0</v>
      </c>
      <c r="T276" s="1">
        <f t="shared" si="121"/>
        <v>0</v>
      </c>
      <c r="U276" s="1">
        <f t="shared" si="122"/>
        <v>0</v>
      </c>
      <c r="V276" s="1">
        <f t="shared" si="123"/>
        <v>0</v>
      </c>
      <c r="W276" s="1">
        <f t="shared" si="124"/>
        <v>0</v>
      </c>
      <c r="X276" s="1">
        <f t="shared" si="125"/>
        <v>0</v>
      </c>
      <c r="Y276" s="1">
        <f t="shared" si="126"/>
        <v>0</v>
      </c>
      <c r="Z276" s="1">
        <f t="shared" si="127"/>
        <v>1</v>
      </c>
      <c r="AA276" s="1">
        <f t="shared" si="128"/>
        <v>0</v>
      </c>
      <c r="AB276" s="1">
        <f t="shared" si="129"/>
        <v>0</v>
      </c>
      <c r="AD276" s="1">
        <f t="shared" si="130"/>
        <v>0</v>
      </c>
      <c r="AE276" s="1">
        <f t="shared" si="131"/>
        <v>1</v>
      </c>
      <c r="AF276" s="1">
        <f t="shared" si="116"/>
        <v>0</v>
      </c>
      <c r="AG276" s="1">
        <f t="shared" si="117"/>
        <v>1</v>
      </c>
      <c r="AH276" s="1">
        <f t="shared" si="118"/>
        <v>0</v>
      </c>
      <c r="AI276" s="1">
        <f t="shared" si="119"/>
        <v>1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1297</v>
      </c>
      <c r="E277" s="35" t="s">
        <v>563</v>
      </c>
      <c r="F277" s="35" t="s">
        <v>1298</v>
      </c>
      <c r="G277" s="35" t="s">
        <v>231</v>
      </c>
      <c r="H277" s="35" t="s">
        <v>355</v>
      </c>
      <c r="I277" s="34" t="s">
        <v>1299</v>
      </c>
      <c r="J277" s="34">
        <v>7</v>
      </c>
      <c r="K277" s="36" t="s">
        <v>717</v>
      </c>
      <c r="L277" s="36" t="s">
        <v>717</v>
      </c>
      <c r="M277" s="37" t="s">
        <v>718</v>
      </c>
      <c r="N277" s="37" t="s">
        <v>1763</v>
      </c>
      <c r="O277" s="38">
        <v>1</v>
      </c>
      <c r="P277" s="38"/>
      <c r="Q277" s="35"/>
      <c r="S277" s="1">
        <f t="shared" si="120"/>
        <v>0</v>
      </c>
      <c r="T277" s="1">
        <f t="shared" si="121"/>
        <v>0</v>
      </c>
      <c r="U277" s="1">
        <f t="shared" si="122"/>
        <v>0</v>
      </c>
      <c r="V277" s="1">
        <f t="shared" si="123"/>
        <v>0</v>
      </c>
      <c r="W277" s="1">
        <f t="shared" si="124"/>
        <v>0</v>
      </c>
      <c r="X277" s="1">
        <f t="shared" si="125"/>
        <v>0</v>
      </c>
      <c r="Y277" s="1">
        <f t="shared" si="126"/>
        <v>1</v>
      </c>
      <c r="Z277" s="1">
        <f t="shared" si="127"/>
        <v>0</v>
      </c>
      <c r="AA277" s="1">
        <f t="shared" si="128"/>
        <v>0</v>
      </c>
      <c r="AB277" s="1">
        <f t="shared" si="129"/>
        <v>0</v>
      </c>
      <c r="AD277" s="1">
        <f t="shared" si="130"/>
        <v>0</v>
      </c>
      <c r="AE277" s="1">
        <f t="shared" si="131"/>
        <v>1</v>
      </c>
      <c r="AF277" s="1">
        <f t="shared" si="116"/>
        <v>0</v>
      </c>
      <c r="AG277" s="1">
        <f t="shared" si="117"/>
        <v>1</v>
      </c>
      <c r="AH277" s="1">
        <f t="shared" si="118"/>
        <v>0</v>
      </c>
      <c r="AI277" s="1">
        <f t="shared" si="119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1333</v>
      </c>
      <c r="E278" s="35" t="s">
        <v>563</v>
      </c>
      <c r="F278" s="35" t="s">
        <v>1995</v>
      </c>
      <c r="G278" s="35" t="s">
        <v>214</v>
      </c>
      <c r="H278" s="35" t="s">
        <v>355</v>
      </c>
      <c r="I278" s="34" t="s">
        <v>1162</v>
      </c>
      <c r="J278" s="34">
        <v>1</v>
      </c>
      <c r="K278" s="36" t="s">
        <v>958</v>
      </c>
      <c r="L278" s="36" t="s">
        <v>717</v>
      </c>
      <c r="M278" s="37" t="s">
        <v>718</v>
      </c>
      <c r="N278" s="37" t="s">
        <v>1768</v>
      </c>
      <c r="O278" s="38">
        <v>1</v>
      </c>
      <c r="P278" s="38"/>
      <c r="Q278" s="35"/>
      <c r="S278" s="1">
        <f t="shared" si="120"/>
        <v>1</v>
      </c>
      <c r="T278" s="1">
        <f t="shared" si="121"/>
        <v>0</v>
      </c>
      <c r="U278" s="1">
        <f t="shared" si="122"/>
        <v>0</v>
      </c>
      <c r="V278" s="1">
        <f t="shared" si="123"/>
        <v>0</v>
      </c>
      <c r="W278" s="1">
        <f t="shared" si="124"/>
        <v>0</v>
      </c>
      <c r="X278" s="1">
        <f t="shared" si="125"/>
        <v>0</v>
      </c>
      <c r="Y278" s="1">
        <f t="shared" si="126"/>
        <v>0</v>
      </c>
      <c r="Z278" s="1">
        <f t="shared" si="127"/>
        <v>0</v>
      </c>
      <c r="AA278" s="1">
        <f t="shared" si="128"/>
        <v>0</v>
      </c>
      <c r="AB278" s="1">
        <f t="shared" si="129"/>
        <v>0</v>
      </c>
      <c r="AD278" s="1">
        <f t="shared" si="130"/>
        <v>0</v>
      </c>
      <c r="AE278" s="1">
        <f t="shared" si="131"/>
        <v>1</v>
      </c>
      <c r="AF278" s="1">
        <f t="shared" si="116"/>
        <v>0</v>
      </c>
      <c r="AG278" s="1">
        <f t="shared" si="117"/>
        <v>1</v>
      </c>
      <c r="AH278" s="1">
        <f t="shared" si="118"/>
        <v>0</v>
      </c>
      <c r="AI278" s="1">
        <f t="shared" si="119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1334</v>
      </c>
      <c r="E279" s="35" t="s">
        <v>563</v>
      </c>
      <c r="F279" s="35" t="s">
        <v>1157</v>
      </c>
      <c r="G279" s="35" t="s">
        <v>286</v>
      </c>
      <c r="H279" s="35" t="s">
        <v>355</v>
      </c>
      <c r="I279" s="34" t="s">
        <v>1158</v>
      </c>
      <c r="J279" s="34">
        <v>10</v>
      </c>
      <c r="K279" s="36" t="s">
        <v>958</v>
      </c>
      <c r="L279" s="36" t="s">
        <v>717</v>
      </c>
      <c r="M279" s="37" t="s">
        <v>718</v>
      </c>
      <c r="N279" s="37" t="s">
        <v>1768</v>
      </c>
      <c r="O279" s="38">
        <v>1</v>
      </c>
      <c r="P279" s="38"/>
      <c r="Q279" s="35"/>
      <c r="S279" s="1">
        <f t="shared" si="120"/>
        <v>0</v>
      </c>
      <c r="T279" s="1">
        <f t="shared" si="121"/>
        <v>0</v>
      </c>
      <c r="U279" s="1">
        <f t="shared" si="122"/>
        <v>0</v>
      </c>
      <c r="V279" s="1">
        <f t="shared" si="123"/>
        <v>0</v>
      </c>
      <c r="W279" s="1">
        <f t="shared" si="124"/>
        <v>0</v>
      </c>
      <c r="X279" s="1">
        <f t="shared" si="125"/>
        <v>0</v>
      </c>
      <c r="Y279" s="1">
        <f t="shared" si="126"/>
        <v>0</v>
      </c>
      <c r="Z279" s="1">
        <f t="shared" si="127"/>
        <v>0</v>
      </c>
      <c r="AA279" s="1">
        <f t="shared" si="128"/>
        <v>0</v>
      </c>
      <c r="AB279" s="1">
        <f t="shared" si="129"/>
        <v>1</v>
      </c>
      <c r="AD279" s="1">
        <f t="shared" si="130"/>
        <v>0</v>
      </c>
      <c r="AE279" s="1">
        <f t="shared" si="131"/>
        <v>1</v>
      </c>
      <c r="AF279" s="1">
        <f t="shared" si="116"/>
        <v>0</v>
      </c>
      <c r="AG279" s="1">
        <f t="shared" si="117"/>
        <v>1</v>
      </c>
      <c r="AH279" s="1">
        <f t="shared" si="118"/>
        <v>0</v>
      </c>
      <c r="AI279" s="1">
        <f t="shared" si="119"/>
        <v>1</v>
      </c>
    </row>
    <row r="280" spans="1:35" ht="14.25" customHeight="1" x14ac:dyDescent="0.25">
      <c r="A280" s="15">
        <v>0</v>
      </c>
      <c r="B280" s="15">
        <v>2</v>
      </c>
      <c r="C280" s="15">
        <v>1</v>
      </c>
      <c r="D280" s="16" t="s">
        <v>514</v>
      </c>
      <c r="E280" s="16" t="s">
        <v>34</v>
      </c>
      <c r="F280" s="16" t="s">
        <v>513</v>
      </c>
      <c r="G280" s="16" t="s">
        <v>548</v>
      </c>
      <c r="H280" s="16" t="s">
        <v>355</v>
      </c>
      <c r="I280" s="15" t="s">
        <v>1371</v>
      </c>
      <c r="J280" s="15">
        <v>99</v>
      </c>
      <c r="K280" s="10" t="s">
        <v>959</v>
      </c>
      <c r="L280" s="10" t="s">
        <v>717</v>
      </c>
      <c r="M280" s="19" t="s">
        <v>718</v>
      </c>
      <c r="N280" s="19"/>
      <c r="Q280" s="16"/>
      <c r="S280" s="1">
        <f t="shared" si="120"/>
        <v>0</v>
      </c>
      <c r="T280" s="1">
        <f t="shared" si="121"/>
        <v>0</v>
      </c>
      <c r="U280" s="1">
        <f t="shared" si="122"/>
        <v>0</v>
      </c>
      <c r="V280" s="1">
        <f t="shared" si="123"/>
        <v>0</v>
      </c>
      <c r="W280" s="1">
        <f t="shared" si="124"/>
        <v>0</v>
      </c>
      <c r="X280" s="1">
        <f t="shared" si="125"/>
        <v>0</v>
      </c>
      <c r="Y280" s="1">
        <f t="shared" si="126"/>
        <v>0</v>
      </c>
      <c r="Z280" s="1">
        <f t="shared" si="127"/>
        <v>0</v>
      </c>
      <c r="AA280" s="1">
        <f t="shared" si="128"/>
        <v>0</v>
      </c>
      <c r="AB280" s="1">
        <f t="shared" si="129"/>
        <v>0</v>
      </c>
      <c r="AD280" s="1">
        <f t="shared" si="130"/>
        <v>0</v>
      </c>
      <c r="AE280" s="1">
        <f t="shared" si="131"/>
        <v>0</v>
      </c>
      <c r="AF280" s="1">
        <f t="shared" si="116"/>
        <v>0</v>
      </c>
      <c r="AG280" s="1">
        <f t="shared" si="117"/>
        <v>0</v>
      </c>
      <c r="AH280" s="1">
        <f t="shared" si="118"/>
        <v>0</v>
      </c>
      <c r="AI280" s="1">
        <f t="shared" si="119"/>
        <v>1</v>
      </c>
    </row>
    <row r="281" spans="1:35" ht="14.25" customHeight="1" x14ac:dyDescent="0.25">
      <c r="A281" s="41">
        <v>0</v>
      </c>
      <c r="B281" s="41">
        <v>2</v>
      </c>
      <c r="C281" s="41">
        <v>1</v>
      </c>
      <c r="D281" s="42" t="s">
        <v>1046</v>
      </c>
      <c r="E281" s="42" t="s">
        <v>36</v>
      </c>
      <c r="F281" s="42" t="s">
        <v>1666</v>
      </c>
      <c r="G281" s="42" t="s">
        <v>630</v>
      </c>
      <c r="H281" s="42" t="s">
        <v>355</v>
      </c>
      <c r="I281" s="41" t="s">
        <v>1047</v>
      </c>
      <c r="J281" s="41">
        <v>99</v>
      </c>
      <c r="K281" s="43" t="s">
        <v>963</v>
      </c>
      <c r="L281" s="43" t="s">
        <v>717</v>
      </c>
      <c r="M281" s="44" t="s">
        <v>718</v>
      </c>
      <c r="N281" s="45"/>
      <c r="O281" s="46"/>
      <c r="P281" s="46">
        <v>1</v>
      </c>
      <c r="Q281" s="57" t="s">
        <v>1906</v>
      </c>
      <c r="S281" s="1">
        <f t="shared" si="120"/>
        <v>0</v>
      </c>
      <c r="T281" s="1">
        <f t="shared" si="121"/>
        <v>0</v>
      </c>
      <c r="U281" s="1">
        <f t="shared" si="122"/>
        <v>0</v>
      </c>
      <c r="V281" s="1">
        <f t="shared" si="123"/>
        <v>0</v>
      </c>
      <c r="W281" s="1">
        <f t="shared" si="124"/>
        <v>0</v>
      </c>
      <c r="X281" s="1">
        <f t="shared" si="125"/>
        <v>0</v>
      </c>
      <c r="Y281" s="1">
        <f t="shared" si="126"/>
        <v>0</v>
      </c>
      <c r="Z281" s="1">
        <f t="shared" si="127"/>
        <v>0</v>
      </c>
      <c r="AA281" s="1">
        <f t="shared" si="128"/>
        <v>0</v>
      </c>
      <c r="AB281" s="1">
        <f t="shared" si="129"/>
        <v>0</v>
      </c>
      <c r="AD281" s="1">
        <f t="shared" si="130"/>
        <v>0</v>
      </c>
      <c r="AE281" s="1">
        <f t="shared" si="131"/>
        <v>0</v>
      </c>
      <c r="AF281" s="1">
        <f t="shared" si="116"/>
        <v>0</v>
      </c>
      <c r="AG281" s="1">
        <f t="shared" si="117"/>
        <v>0</v>
      </c>
      <c r="AH281" s="1">
        <f t="shared" si="118"/>
        <v>1</v>
      </c>
      <c r="AI281" s="1">
        <f t="shared" si="119"/>
        <v>0</v>
      </c>
    </row>
    <row r="282" spans="1:35" ht="14.25" customHeight="1" x14ac:dyDescent="0.25">
      <c r="A282" s="34">
        <v>1</v>
      </c>
      <c r="B282" s="34">
        <v>2</v>
      </c>
      <c r="C282" s="34">
        <v>1</v>
      </c>
      <c r="D282" s="35" t="s">
        <v>49</v>
      </c>
      <c r="E282" s="35" t="s">
        <v>1321</v>
      </c>
      <c r="F282" s="35" t="s">
        <v>192</v>
      </c>
      <c r="G282" s="35" t="s">
        <v>193</v>
      </c>
      <c r="H282" s="35" t="s">
        <v>355</v>
      </c>
      <c r="I282" s="34" t="s">
        <v>387</v>
      </c>
      <c r="J282" s="34">
        <v>99</v>
      </c>
      <c r="K282" s="36" t="s">
        <v>716</v>
      </c>
      <c r="L282" s="36" t="s">
        <v>717</v>
      </c>
      <c r="M282" s="37" t="s">
        <v>718</v>
      </c>
      <c r="N282" s="37" t="s">
        <v>1763</v>
      </c>
      <c r="O282" s="38">
        <v>1</v>
      </c>
      <c r="P282" s="38"/>
      <c r="Q282" s="35"/>
      <c r="S282" s="1">
        <f t="shared" si="120"/>
        <v>0</v>
      </c>
      <c r="T282" s="1">
        <f t="shared" si="121"/>
        <v>0</v>
      </c>
      <c r="U282" s="1">
        <f t="shared" si="122"/>
        <v>0</v>
      </c>
      <c r="V282" s="1">
        <f t="shared" si="123"/>
        <v>0</v>
      </c>
      <c r="W282" s="1">
        <f t="shared" si="124"/>
        <v>0</v>
      </c>
      <c r="X282" s="1">
        <f t="shared" si="125"/>
        <v>0</v>
      </c>
      <c r="Y282" s="1">
        <f t="shared" si="126"/>
        <v>0</v>
      </c>
      <c r="Z282" s="1">
        <f t="shared" si="127"/>
        <v>0</v>
      </c>
      <c r="AA282" s="1">
        <f t="shared" si="128"/>
        <v>0</v>
      </c>
      <c r="AB282" s="1">
        <f t="shared" si="129"/>
        <v>0</v>
      </c>
      <c r="AD282" s="1">
        <f t="shared" si="130"/>
        <v>0</v>
      </c>
      <c r="AE282" s="1">
        <f t="shared" si="131"/>
        <v>1</v>
      </c>
      <c r="AF282" s="1">
        <f t="shared" si="116"/>
        <v>0</v>
      </c>
      <c r="AG282" s="1">
        <f t="shared" si="117"/>
        <v>0</v>
      </c>
      <c r="AH282" s="1">
        <f t="shared" si="118"/>
        <v>0</v>
      </c>
      <c r="AI282" s="1">
        <f t="shared" si="119"/>
        <v>0</v>
      </c>
    </row>
    <row r="283" spans="1:35" ht="14.25" customHeight="1" x14ac:dyDescent="0.25">
      <c r="A283" s="34">
        <v>0</v>
      </c>
      <c r="B283" s="34">
        <v>2</v>
      </c>
      <c r="C283" s="34">
        <v>1</v>
      </c>
      <c r="D283" s="35" t="s">
        <v>1078</v>
      </c>
      <c r="E283" s="35" t="s">
        <v>1321</v>
      </c>
      <c r="F283" s="35" t="s">
        <v>1093</v>
      </c>
      <c r="G283" s="35" t="s">
        <v>203</v>
      </c>
      <c r="H283" s="35" t="s">
        <v>355</v>
      </c>
      <c r="I283" s="34" t="s">
        <v>387</v>
      </c>
      <c r="J283" s="34">
        <v>10</v>
      </c>
      <c r="K283" s="36" t="s">
        <v>716</v>
      </c>
      <c r="L283" s="36" t="s">
        <v>717</v>
      </c>
      <c r="M283" s="37" t="s">
        <v>718</v>
      </c>
      <c r="N283" s="37" t="s">
        <v>1763</v>
      </c>
      <c r="O283" s="38">
        <v>1</v>
      </c>
      <c r="P283" s="38"/>
      <c r="Q283" s="35"/>
      <c r="S283" s="1">
        <f t="shared" si="120"/>
        <v>0</v>
      </c>
      <c r="T283" s="1">
        <f t="shared" si="121"/>
        <v>0</v>
      </c>
      <c r="U283" s="1">
        <f t="shared" si="122"/>
        <v>0</v>
      </c>
      <c r="V283" s="1">
        <f t="shared" si="123"/>
        <v>0</v>
      </c>
      <c r="W283" s="1">
        <f t="shared" si="124"/>
        <v>0</v>
      </c>
      <c r="X283" s="1">
        <f t="shared" si="125"/>
        <v>0</v>
      </c>
      <c r="Y283" s="1">
        <f t="shared" si="126"/>
        <v>0</v>
      </c>
      <c r="Z283" s="1">
        <f t="shared" si="127"/>
        <v>0</v>
      </c>
      <c r="AA283" s="1">
        <f t="shared" si="128"/>
        <v>0</v>
      </c>
      <c r="AB283" s="1">
        <f t="shared" si="129"/>
        <v>1</v>
      </c>
      <c r="AD283" s="1">
        <f t="shared" si="130"/>
        <v>0</v>
      </c>
      <c r="AE283" s="1">
        <f t="shared" si="131"/>
        <v>1</v>
      </c>
      <c r="AF283" s="1">
        <f t="shared" si="116"/>
        <v>0</v>
      </c>
      <c r="AG283" s="1">
        <f t="shared" si="117"/>
        <v>1</v>
      </c>
      <c r="AH283" s="1">
        <f t="shared" si="118"/>
        <v>0</v>
      </c>
      <c r="AI283" s="1">
        <f t="shared" si="119"/>
        <v>1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1280</v>
      </c>
      <c r="E284" s="35" t="s">
        <v>563</v>
      </c>
      <c r="F284" s="35" t="s">
        <v>1281</v>
      </c>
      <c r="G284" s="35" t="s">
        <v>259</v>
      </c>
      <c r="H284" s="35" t="s">
        <v>355</v>
      </c>
      <c r="I284" s="34" t="s">
        <v>1282</v>
      </c>
      <c r="J284" s="34">
        <v>8</v>
      </c>
      <c r="K284" s="36" t="s">
        <v>958</v>
      </c>
      <c r="L284" s="36" t="s">
        <v>717</v>
      </c>
      <c r="M284" s="37" t="s">
        <v>718</v>
      </c>
      <c r="N284" s="37" t="s">
        <v>1755</v>
      </c>
      <c r="O284" s="38">
        <v>1</v>
      </c>
      <c r="P284" s="38"/>
      <c r="Q284" s="35"/>
      <c r="S284" s="1">
        <f t="shared" si="120"/>
        <v>0</v>
      </c>
      <c r="T284" s="1">
        <f t="shared" si="121"/>
        <v>0</v>
      </c>
      <c r="U284" s="1">
        <f t="shared" si="122"/>
        <v>0</v>
      </c>
      <c r="V284" s="1">
        <f t="shared" si="123"/>
        <v>0</v>
      </c>
      <c r="W284" s="1">
        <f t="shared" si="124"/>
        <v>0</v>
      </c>
      <c r="X284" s="1">
        <f t="shared" si="125"/>
        <v>0</v>
      </c>
      <c r="Y284" s="1">
        <f t="shared" si="126"/>
        <v>0</v>
      </c>
      <c r="Z284" s="1">
        <f t="shared" si="127"/>
        <v>1</v>
      </c>
      <c r="AA284" s="1">
        <f t="shared" si="128"/>
        <v>0</v>
      </c>
      <c r="AB284" s="1">
        <f t="shared" si="129"/>
        <v>0</v>
      </c>
      <c r="AD284" s="1">
        <f t="shared" si="130"/>
        <v>0</v>
      </c>
      <c r="AE284" s="1">
        <f t="shared" si="131"/>
        <v>1</v>
      </c>
      <c r="AF284" s="1">
        <f t="shared" si="116"/>
        <v>0</v>
      </c>
      <c r="AG284" s="1">
        <f t="shared" si="117"/>
        <v>1</v>
      </c>
      <c r="AH284" s="1">
        <f t="shared" si="118"/>
        <v>0</v>
      </c>
      <c r="AI284" s="1">
        <f t="shared" si="119"/>
        <v>1</v>
      </c>
    </row>
    <row r="285" spans="1:35" ht="14.25" customHeight="1" x14ac:dyDescent="0.25">
      <c r="A285" s="47">
        <v>0</v>
      </c>
      <c r="B285" s="47">
        <v>2</v>
      </c>
      <c r="C285" s="47">
        <v>1</v>
      </c>
      <c r="D285" s="48" t="s">
        <v>48</v>
      </c>
      <c r="E285" s="48" t="s">
        <v>580</v>
      </c>
      <c r="F285" s="48" t="s">
        <v>190</v>
      </c>
      <c r="G285" s="48" t="s">
        <v>301</v>
      </c>
      <c r="H285" s="48" t="s">
        <v>355</v>
      </c>
      <c r="I285" s="47" t="s">
        <v>386</v>
      </c>
      <c r="J285" s="47">
        <v>99</v>
      </c>
      <c r="K285" s="49" t="s">
        <v>717</v>
      </c>
      <c r="L285" s="49" t="s">
        <v>717</v>
      </c>
      <c r="M285" s="50" t="s">
        <v>718</v>
      </c>
      <c r="N285" s="50" t="s">
        <v>1754</v>
      </c>
      <c r="O285" s="51"/>
      <c r="P285" s="51"/>
      <c r="Q285" s="48"/>
      <c r="S285" s="1">
        <f t="shared" si="120"/>
        <v>0</v>
      </c>
      <c r="T285" s="1">
        <f t="shared" si="121"/>
        <v>0</v>
      </c>
      <c r="U285" s="1">
        <f t="shared" si="122"/>
        <v>0</v>
      </c>
      <c r="V285" s="1">
        <f t="shared" si="123"/>
        <v>0</v>
      </c>
      <c r="W285" s="1">
        <f t="shared" si="124"/>
        <v>0</v>
      </c>
      <c r="X285" s="1">
        <f t="shared" si="125"/>
        <v>0</v>
      </c>
      <c r="Y285" s="1">
        <f t="shared" si="126"/>
        <v>0</v>
      </c>
      <c r="Z285" s="1">
        <f t="shared" si="127"/>
        <v>0</v>
      </c>
      <c r="AA285" s="1">
        <f t="shared" si="128"/>
        <v>0</v>
      </c>
      <c r="AB285" s="1">
        <f t="shared" si="129"/>
        <v>0</v>
      </c>
      <c r="AD285" s="1">
        <f t="shared" si="130"/>
        <v>0</v>
      </c>
      <c r="AE285" s="1">
        <f t="shared" si="131"/>
        <v>0</v>
      </c>
      <c r="AF285" s="1">
        <f t="shared" si="116"/>
        <v>0</v>
      </c>
      <c r="AG285" s="1">
        <f t="shared" si="117"/>
        <v>0</v>
      </c>
      <c r="AH285" s="1">
        <f t="shared" si="118"/>
        <v>0</v>
      </c>
      <c r="AI285" s="1">
        <f t="shared" si="119"/>
        <v>1</v>
      </c>
    </row>
    <row r="286" spans="1:35" ht="14.25" customHeight="1" x14ac:dyDescent="0.25">
      <c r="A286" s="15">
        <v>0</v>
      </c>
      <c r="B286" s="15">
        <v>2</v>
      </c>
      <c r="C286" s="15">
        <v>1</v>
      </c>
      <c r="D286" s="16" t="s">
        <v>57</v>
      </c>
      <c r="E286" s="16" t="s">
        <v>163</v>
      </c>
      <c r="F286" s="16" t="s">
        <v>669</v>
      </c>
      <c r="G286" s="16" t="s">
        <v>222</v>
      </c>
      <c r="H286" s="16" t="s">
        <v>355</v>
      </c>
      <c r="I286" s="15" t="s">
        <v>397</v>
      </c>
      <c r="J286" s="15">
        <v>99</v>
      </c>
      <c r="K286" s="10" t="s">
        <v>965</v>
      </c>
      <c r="L286" s="10" t="s">
        <v>717</v>
      </c>
      <c r="M286" s="19" t="s">
        <v>718</v>
      </c>
      <c r="N286" s="19"/>
      <c r="Q286" s="16"/>
      <c r="S286" s="1">
        <f t="shared" si="120"/>
        <v>0</v>
      </c>
      <c r="T286" s="1">
        <f t="shared" si="121"/>
        <v>0</v>
      </c>
      <c r="U286" s="1">
        <f t="shared" si="122"/>
        <v>0</v>
      </c>
      <c r="V286" s="1">
        <f t="shared" si="123"/>
        <v>0</v>
      </c>
      <c r="W286" s="1">
        <f t="shared" si="124"/>
        <v>0</v>
      </c>
      <c r="X286" s="1">
        <f t="shared" si="125"/>
        <v>0</v>
      </c>
      <c r="Y286" s="1">
        <f t="shared" si="126"/>
        <v>0</v>
      </c>
      <c r="Z286" s="1">
        <f t="shared" si="127"/>
        <v>0</v>
      </c>
      <c r="AA286" s="1">
        <f t="shared" si="128"/>
        <v>0</v>
      </c>
      <c r="AB286" s="1">
        <f t="shared" si="129"/>
        <v>0</v>
      </c>
      <c r="AD286" s="1">
        <f t="shared" si="130"/>
        <v>0</v>
      </c>
      <c r="AE286" s="1">
        <f t="shared" si="131"/>
        <v>0</v>
      </c>
      <c r="AF286" s="1">
        <f t="shared" si="116"/>
        <v>0</v>
      </c>
      <c r="AG286" s="1">
        <f t="shared" si="117"/>
        <v>0</v>
      </c>
      <c r="AH286" s="1">
        <f t="shared" si="118"/>
        <v>0</v>
      </c>
      <c r="AI286" s="1">
        <f t="shared" si="119"/>
        <v>1</v>
      </c>
    </row>
    <row r="287" spans="1:35" ht="14.25" customHeight="1" x14ac:dyDescent="0.25">
      <c r="A287" s="34">
        <v>0</v>
      </c>
      <c r="B287" s="34">
        <v>2</v>
      </c>
      <c r="C287" s="34">
        <v>1</v>
      </c>
      <c r="D287" s="35" t="s">
        <v>517</v>
      </c>
      <c r="E287" s="35" t="s">
        <v>563</v>
      </c>
      <c r="F287" s="35" t="s">
        <v>230</v>
      </c>
      <c r="G287" s="35" t="s">
        <v>231</v>
      </c>
      <c r="H287" s="35" t="s">
        <v>355</v>
      </c>
      <c r="I287" s="34" t="s">
        <v>401</v>
      </c>
      <c r="J287" s="34">
        <v>7</v>
      </c>
      <c r="K287" s="36" t="s">
        <v>958</v>
      </c>
      <c r="L287" s="36" t="s">
        <v>717</v>
      </c>
      <c r="M287" s="37" t="s">
        <v>718</v>
      </c>
      <c r="N287" s="37" t="s">
        <v>1756</v>
      </c>
      <c r="O287" s="38">
        <v>1</v>
      </c>
      <c r="P287" s="38"/>
      <c r="Q287" s="35"/>
      <c r="S287" s="1">
        <f t="shared" si="120"/>
        <v>0</v>
      </c>
      <c r="T287" s="1">
        <f t="shared" si="121"/>
        <v>0</v>
      </c>
      <c r="U287" s="1">
        <f t="shared" si="122"/>
        <v>0</v>
      </c>
      <c r="V287" s="1">
        <f t="shared" si="123"/>
        <v>0</v>
      </c>
      <c r="W287" s="1">
        <f t="shared" si="124"/>
        <v>0</v>
      </c>
      <c r="X287" s="1">
        <f t="shared" si="125"/>
        <v>0</v>
      </c>
      <c r="Y287" s="1">
        <f t="shared" si="126"/>
        <v>1</v>
      </c>
      <c r="Z287" s="1">
        <f t="shared" si="127"/>
        <v>0</v>
      </c>
      <c r="AA287" s="1">
        <f t="shared" si="128"/>
        <v>0</v>
      </c>
      <c r="AB287" s="1">
        <f t="shared" si="129"/>
        <v>0</v>
      </c>
      <c r="AD287" s="1">
        <f t="shared" si="130"/>
        <v>0</v>
      </c>
      <c r="AE287" s="1">
        <f t="shared" si="131"/>
        <v>1</v>
      </c>
      <c r="AF287" s="1">
        <f t="shared" si="116"/>
        <v>0</v>
      </c>
      <c r="AG287" s="1">
        <f t="shared" si="117"/>
        <v>1</v>
      </c>
      <c r="AH287" s="1">
        <f t="shared" si="118"/>
        <v>0</v>
      </c>
      <c r="AI287" s="1">
        <f t="shared" si="119"/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562</v>
      </c>
      <c r="E288" s="48" t="s">
        <v>563</v>
      </c>
      <c r="F288" s="48" t="s">
        <v>564</v>
      </c>
      <c r="G288" s="48" t="s">
        <v>209</v>
      </c>
      <c r="H288" s="48" t="s">
        <v>355</v>
      </c>
      <c r="I288" s="47" t="s">
        <v>565</v>
      </c>
      <c r="J288" s="47">
        <v>3</v>
      </c>
      <c r="K288" s="49" t="s">
        <v>716</v>
      </c>
      <c r="L288" s="49" t="s">
        <v>717</v>
      </c>
      <c r="M288" s="50" t="s">
        <v>718</v>
      </c>
      <c r="N288" s="50" t="s">
        <v>1754</v>
      </c>
      <c r="O288" s="51"/>
      <c r="P288" s="51"/>
      <c r="Q288" s="48"/>
      <c r="S288" s="1">
        <f t="shared" si="120"/>
        <v>0</v>
      </c>
      <c r="T288" s="1">
        <f t="shared" si="121"/>
        <v>0</v>
      </c>
      <c r="U288" s="1">
        <f t="shared" si="122"/>
        <v>1</v>
      </c>
      <c r="V288" s="1">
        <f t="shared" si="123"/>
        <v>0</v>
      </c>
      <c r="W288" s="1">
        <f t="shared" si="124"/>
        <v>0</v>
      </c>
      <c r="X288" s="1">
        <f t="shared" si="125"/>
        <v>0</v>
      </c>
      <c r="Y288" s="1">
        <f t="shared" si="126"/>
        <v>0</v>
      </c>
      <c r="Z288" s="1">
        <f t="shared" si="127"/>
        <v>0</v>
      </c>
      <c r="AA288" s="1">
        <f t="shared" si="128"/>
        <v>0</v>
      </c>
      <c r="AB288" s="1">
        <f t="shared" si="129"/>
        <v>0</v>
      </c>
      <c r="AD288" s="1">
        <f t="shared" si="130"/>
        <v>0</v>
      </c>
      <c r="AE288" s="1">
        <f t="shared" si="131"/>
        <v>0</v>
      </c>
      <c r="AF288" s="1">
        <f t="shared" si="116"/>
        <v>0</v>
      </c>
      <c r="AG288" s="1">
        <f t="shared" si="117"/>
        <v>0</v>
      </c>
      <c r="AH288" s="1">
        <f t="shared" si="118"/>
        <v>0</v>
      </c>
      <c r="AI288" s="1">
        <f t="shared" si="119"/>
        <v>1</v>
      </c>
    </row>
    <row r="289" spans="1:35" ht="14.25" customHeight="1" x14ac:dyDescent="0.25">
      <c r="A289" s="40">
        <v>0</v>
      </c>
      <c r="B289" s="40">
        <v>2</v>
      </c>
      <c r="C289" s="40">
        <v>1</v>
      </c>
      <c r="D289" s="39" t="s">
        <v>1057</v>
      </c>
      <c r="E289" s="39" t="s">
        <v>32</v>
      </c>
      <c r="F289" s="39" t="s">
        <v>1284</v>
      </c>
      <c r="G289" s="39" t="s">
        <v>537</v>
      </c>
      <c r="H289" s="39" t="s">
        <v>355</v>
      </c>
      <c r="I289" s="40" t="s">
        <v>1285</v>
      </c>
      <c r="J289" s="40">
        <v>6</v>
      </c>
      <c r="K289" s="59" t="s">
        <v>717</v>
      </c>
      <c r="L289" s="36" t="s">
        <v>717</v>
      </c>
      <c r="M289" s="37" t="s">
        <v>718</v>
      </c>
      <c r="N289" s="37" t="s">
        <v>1755</v>
      </c>
      <c r="O289" s="38">
        <v>1</v>
      </c>
      <c r="P289" s="38"/>
      <c r="Q289" s="39"/>
      <c r="S289" s="1">
        <f t="shared" si="120"/>
        <v>0</v>
      </c>
      <c r="T289" s="1">
        <f t="shared" si="121"/>
        <v>0</v>
      </c>
      <c r="U289" s="1">
        <f t="shared" si="122"/>
        <v>0</v>
      </c>
      <c r="V289" s="1">
        <f t="shared" si="123"/>
        <v>0</v>
      </c>
      <c r="W289" s="1">
        <f t="shared" si="124"/>
        <v>0</v>
      </c>
      <c r="X289" s="1">
        <f t="shared" si="125"/>
        <v>1</v>
      </c>
      <c r="Y289" s="1">
        <f t="shared" si="126"/>
        <v>0</v>
      </c>
      <c r="Z289" s="1">
        <f t="shared" si="127"/>
        <v>0</v>
      </c>
      <c r="AA289" s="1">
        <f t="shared" si="128"/>
        <v>0</v>
      </c>
      <c r="AB289" s="1">
        <f t="shared" si="129"/>
        <v>0</v>
      </c>
      <c r="AD289" s="1">
        <f t="shared" si="130"/>
        <v>0</v>
      </c>
      <c r="AE289" s="1">
        <f t="shared" si="131"/>
        <v>1</v>
      </c>
      <c r="AF289" s="1">
        <f t="shared" si="116"/>
        <v>0</v>
      </c>
      <c r="AG289" s="1">
        <f t="shared" si="117"/>
        <v>1</v>
      </c>
      <c r="AH289" s="1">
        <f t="shared" si="118"/>
        <v>0</v>
      </c>
      <c r="AI289" s="1">
        <f t="shared" si="119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921</v>
      </c>
      <c r="E290" s="48" t="s">
        <v>1340</v>
      </c>
      <c r="F290" s="48" t="s">
        <v>793</v>
      </c>
      <c r="G290" s="48" t="s">
        <v>258</v>
      </c>
      <c r="H290" s="48" t="s">
        <v>355</v>
      </c>
      <c r="I290" s="47" t="s">
        <v>948</v>
      </c>
      <c r="J290" s="47">
        <v>99</v>
      </c>
      <c r="K290" s="49" t="s">
        <v>716</v>
      </c>
      <c r="L290" s="49" t="s">
        <v>717</v>
      </c>
      <c r="M290" s="50" t="s">
        <v>718</v>
      </c>
      <c r="N290" s="50" t="s">
        <v>1741</v>
      </c>
      <c r="O290" s="51"/>
      <c r="P290" s="51"/>
      <c r="Q290" s="48"/>
      <c r="S290" s="1">
        <f t="shared" si="120"/>
        <v>0</v>
      </c>
      <c r="T290" s="1">
        <f t="shared" si="121"/>
        <v>0</v>
      </c>
      <c r="U290" s="1">
        <f t="shared" si="122"/>
        <v>0</v>
      </c>
      <c r="V290" s="1">
        <f t="shared" si="123"/>
        <v>0</v>
      </c>
      <c r="W290" s="1">
        <f t="shared" si="124"/>
        <v>0</v>
      </c>
      <c r="X290" s="1">
        <f t="shared" si="125"/>
        <v>0</v>
      </c>
      <c r="Y290" s="1">
        <f t="shared" si="126"/>
        <v>0</v>
      </c>
      <c r="Z290" s="1">
        <f t="shared" si="127"/>
        <v>0</v>
      </c>
      <c r="AA290" s="1">
        <f t="shared" si="128"/>
        <v>0</v>
      </c>
      <c r="AB290" s="1">
        <f t="shared" si="129"/>
        <v>0</v>
      </c>
      <c r="AD290" s="1">
        <f t="shared" si="130"/>
        <v>0</v>
      </c>
      <c r="AE290" s="1">
        <f t="shared" si="131"/>
        <v>0</v>
      </c>
      <c r="AF290" s="1">
        <f t="shared" si="116"/>
        <v>0</v>
      </c>
      <c r="AG290" s="1">
        <f t="shared" si="117"/>
        <v>0</v>
      </c>
      <c r="AH290" s="1">
        <f t="shared" si="118"/>
        <v>0</v>
      </c>
      <c r="AI290" s="1">
        <f t="shared" si="119"/>
        <v>1</v>
      </c>
    </row>
    <row r="291" spans="1:35" ht="14.25" customHeight="1" x14ac:dyDescent="0.25">
      <c r="A291" s="40">
        <v>0</v>
      </c>
      <c r="B291" s="40">
        <v>2</v>
      </c>
      <c r="C291" s="40">
        <v>1</v>
      </c>
      <c r="D291" s="39" t="s">
        <v>1778</v>
      </c>
      <c r="E291" s="39" t="s">
        <v>1779</v>
      </c>
      <c r="F291" s="39" t="s">
        <v>1780</v>
      </c>
      <c r="G291" s="39" t="s">
        <v>181</v>
      </c>
      <c r="H291" s="39" t="s">
        <v>355</v>
      </c>
      <c r="I291" s="40" t="s">
        <v>1781</v>
      </c>
      <c r="J291" s="40"/>
      <c r="K291" s="59" t="s">
        <v>707</v>
      </c>
      <c r="L291" s="36">
        <v>4</v>
      </c>
      <c r="M291" s="37" t="s">
        <v>718</v>
      </c>
      <c r="N291" s="37" t="s">
        <v>1750</v>
      </c>
      <c r="O291" s="38">
        <v>1</v>
      </c>
      <c r="P291" s="38"/>
      <c r="Q291" s="39"/>
      <c r="S291" s="1">
        <f t="shared" si="120"/>
        <v>0</v>
      </c>
      <c r="T291" s="1">
        <f t="shared" si="121"/>
        <v>0</v>
      </c>
      <c r="U291" s="1">
        <f t="shared" si="122"/>
        <v>0</v>
      </c>
      <c r="V291" s="1">
        <f t="shared" si="123"/>
        <v>0</v>
      </c>
      <c r="W291" s="1">
        <f t="shared" si="124"/>
        <v>0</v>
      </c>
      <c r="X291" s="1">
        <f t="shared" si="125"/>
        <v>0</v>
      </c>
      <c r="Y291" s="1">
        <f t="shared" si="126"/>
        <v>0</v>
      </c>
      <c r="Z291" s="1">
        <f t="shared" si="127"/>
        <v>0</v>
      </c>
      <c r="AA291" s="1">
        <f t="shared" si="128"/>
        <v>0</v>
      </c>
      <c r="AB291" s="1">
        <f t="shared" si="129"/>
        <v>0</v>
      </c>
      <c r="AD291" s="1">
        <f t="shared" si="130"/>
        <v>0</v>
      </c>
      <c r="AE291" s="1">
        <f t="shared" si="131"/>
        <v>1</v>
      </c>
      <c r="AF291" s="1">
        <f t="shared" si="116"/>
        <v>0</v>
      </c>
      <c r="AG291" s="1">
        <f t="shared" si="117"/>
        <v>1</v>
      </c>
      <c r="AH291" s="1">
        <f t="shared" si="118"/>
        <v>0</v>
      </c>
      <c r="AI291" s="1">
        <f t="shared" si="119"/>
        <v>1</v>
      </c>
    </row>
    <row r="292" spans="1:35" ht="14.25" customHeight="1" x14ac:dyDescent="0.25">
      <c r="A292" s="34">
        <v>0</v>
      </c>
      <c r="B292" s="34">
        <v>2</v>
      </c>
      <c r="C292" s="34">
        <v>1</v>
      </c>
      <c r="D292" s="35" t="s">
        <v>621</v>
      </c>
      <c r="E292" s="35" t="s">
        <v>622</v>
      </c>
      <c r="F292" s="35" t="s">
        <v>623</v>
      </c>
      <c r="G292" s="35" t="s">
        <v>624</v>
      </c>
      <c r="H292" s="35" t="s">
        <v>355</v>
      </c>
      <c r="I292" s="34" t="s">
        <v>625</v>
      </c>
      <c r="J292" s="34">
        <v>99</v>
      </c>
      <c r="K292" s="36" t="s">
        <v>716</v>
      </c>
      <c r="L292" s="36" t="s">
        <v>717</v>
      </c>
      <c r="M292" s="37" t="s">
        <v>718</v>
      </c>
      <c r="N292" s="37" t="s">
        <v>1763</v>
      </c>
      <c r="O292" s="38">
        <v>1</v>
      </c>
      <c r="P292" s="38"/>
      <c r="Q292" s="35"/>
      <c r="S292" s="1">
        <f t="shared" si="120"/>
        <v>0</v>
      </c>
      <c r="T292" s="1">
        <f t="shared" si="121"/>
        <v>0</v>
      </c>
      <c r="U292" s="1">
        <f t="shared" si="122"/>
        <v>0</v>
      </c>
      <c r="V292" s="1">
        <f t="shared" si="123"/>
        <v>0</v>
      </c>
      <c r="W292" s="1">
        <f t="shared" si="124"/>
        <v>0</v>
      </c>
      <c r="X292" s="1">
        <f t="shared" si="125"/>
        <v>0</v>
      </c>
      <c r="Y292" s="1">
        <f t="shared" si="126"/>
        <v>0</v>
      </c>
      <c r="Z292" s="1">
        <f t="shared" si="127"/>
        <v>0</v>
      </c>
      <c r="AA292" s="1">
        <f t="shared" si="128"/>
        <v>0</v>
      </c>
      <c r="AB292" s="1">
        <f t="shared" si="129"/>
        <v>0</v>
      </c>
      <c r="AD292" s="1">
        <f t="shared" si="130"/>
        <v>0</v>
      </c>
      <c r="AE292" s="1">
        <f t="shared" si="131"/>
        <v>1</v>
      </c>
      <c r="AF292" s="1">
        <f t="shared" si="116"/>
        <v>0</v>
      </c>
      <c r="AG292" s="1">
        <f t="shared" si="117"/>
        <v>1</v>
      </c>
      <c r="AH292" s="1">
        <f t="shared" si="118"/>
        <v>0</v>
      </c>
      <c r="AI292" s="1">
        <f t="shared" si="119"/>
        <v>1</v>
      </c>
    </row>
    <row r="293" spans="1:35" ht="14.25" customHeight="1" x14ac:dyDescent="0.25">
      <c r="A293" s="47">
        <v>0</v>
      </c>
      <c r="B293" s="47">
        <v>2</v>
      </c>
      <c r="C293" s="47">
        <v>1</v>
      </c>
      <c r="D293" s="48" t="s">
        <v>1084</v>
      </c>
      <c r="E293" s="48" t="s">
        <v>1341</v>
      </c>
      <c r="F293" s="48" t="s">
        <v>1670</v>
      </c>
      <c r="G293" s="48" t="s">
        <v>191</v>
      </c>
      <c r="H293" s="48" t="s">
        <v>355</v>
      </c>
      <c r="I293" s="67" t="s">
        <v>1868</v>
      </c>
      <c r="J293" s="47">
        <v>99</v>
      </c>
      <c r="K293" s="49" t="s">
        <v>716</v>
      </c>
      <c r="L293" s="49" t="s">
        <v>717</v>
      </c>
      <c r="M293" s="50" t="s">
        <v>718</v>
      </c>
      <c r="N293" s="50" t="s">
        <v>1742</v>
      </c>
      <c r="O293" s="51"/>
      <c r="P293" s="51"/>
      <c r="Q293" s="48"/>
      <c r="S293" s="1">
        <f t="shared" si="120"/>
        <v>0</v>
      </c>
      <c r="T293" s="1">
        <f t="shared" si="121"/>
        <v>0</v>
      </c>
      <c r="U293" s="1">
        <f t="shared" si="122"/>
        <v>0</v>
      </c>
      <c r="V293" s="1">
        <f t="shared" si="123"/>
        <v>0</v>
      </c>
      <c r="W293" s="1">
        <f t="shared" si="124"/>
        <v>0</v>
      </c>
      <c r="X293" s="1">
        <f t="shared" si="125"/>
        <v>0</v>
      </c>
      <c r="Y293" s="1">
        <f t="shared" si="126"/>
        <v>0</v>
      </c>
      <c r="Z293" s="1">
        <f t="shared" si="127"/>
        <v>0</v>
      </c>
      <c r="AA293" s="1">
        <f t="shared" si="128"/>
        <v>0</v>
      </c>
      <c r="AB293" s="1">
        <f t="shared" si="129"/>
        <v>0</v>
      </c>
      <c r="AD293" s="1">
        <f t="shared" si="130"/>
        <v>0</v>
      </c>
      <c r="AE293" s="1">
        <f t="shared" si="131"/>
        <v>0</v>
      </c>
      <c r="AF293" s="1">
        <f t="shared" si="116"/>
        <v>0</v>
      </c>
      <c r="AG293" s="1">
        <f t="shared" si="117"/>
        <v>0</v>
      </c>
      <c r="AH293" s="1">
        <f t="shared" si="118"/>
        <v>0</v>
      </c>
      <c r="AI293" s="1">
        <f t="shared" si="119"/>
        <v>1</v>
      </c>
    </row>
    <row r="294" spans="1:35" ht="14.25" customHeight="1" x14ac:dyDescent="0.25">
      <c r="A294" s="15">
        <v>0</v>
      </c>
      <c r="B294" s="15">
        <v>2</v>
      </c>
      <c r="C294" s="15">
        <v>1</v>
      </c>
      <c r="D294" s="16" t="s">
        <v>653</v>
      </c>
      <c r="E294" s="16" t="s">
        <v>36</v>
      </c>
      <c r="F294" s="16" t="s">
        <v>670</v>
      </c>
      <c r="G294" s="16" t="s">
        <v>202</v>
      </c>
      <c r="H294" s="16" t="s">
        <v>355</v>
      </c>
      <c r="I294" s="15" t="s">
        <v>1009</v>
      </c>
      <c r="J294" s="15">
        <v>99</v>
      </c>
      <c r="K294" s="10" t="s">
        <v>707</v>
      </c>
      <c r="L294" s="10">
        <v>4</v>
      </c>
      <c r="M294" s="19" t="s">
        <v>718</v>
      </c>
      <c r="N294" s="17"/>
      <c r="Q294" s="16"/>
      <c r="S294" s="1">
        <f t="shared" si="120"/>
        <v>0</v>
      </c>
      <c r="T294" s="1">
        <f t="shared" si="121"/>
        <v>0</v>
      </c>
      <c r="U294" s="1">
        <f t="shared" si="122"/>
        <v>0</v>
      </c>
      <c r="V294" s="1">
        <f t="shared" si="123"/>
        <v>0</v>
      </c>
      <c r="W294" s="1">
        <f t="shared" si="124"/>
        <v>0</v>
      </c>
      <c r="X294" s="1">
        <f t="shared" si="125"/>
        <v>0</v>
      </c>
      <c r="Y294" s="1">
        <f t="shared" si="126"/>
        <v>0</v>
      </c>
      <c r="Z294" s="1">
        <f t="shared" si="127"/>
        <v>0</v>
      </c>
      <c r="AA294" s="1">
        <f t="shared" si="128"/>
        <v>0</v>
      </c>
      <c r="AB294" s="1">
        <f t="shared" si="129"/>
        <v>0</v>
      </c>
      <c r="AD294" s="1">
        <f t="shared" si="130"/>
        <v>0</v>
      </c>
      <c r="AE294" s="1">
        <f t="shared" si="131"/>
        <v>0</v>
      </c>
      <c r="AF294" s="1">
        <f t="shared" si="116"/>
        <v>0</v>
      </c>
      <c r="AG294" s="1">
        <f t="shared" si="117"/>
        <v>0</v>
      </c>
      <c r="AH294" s="1">
        <f t="shared" si="118"/>
        <v>0</v>
      </c>
      <c r="AI294" s="1">
        <f t="shared" si="119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1271</v>
      </c>
      <c r="E295" s="48" t="s">
        <v>1272</v>
      </c>
      <c r="F295" s="48" t="s">
        <v>1273</v>
      </c>
      <c r="G295" s="48" t="s">
        <v>1171</v>
      </c>
      <c r="H295" s="48" t="s">
        <v>355</v>
      </c>
      <c r="I295" s="47" t="s">
        <v>1274</v>
      </c>
      <c r="J295" s="47">
        <v>11</v>
      </c>
      <c r="K295" s="49" t="s">
        <v>707</v>
      </c>
      <c r="L295" s="49">
        <v>6</v>
      </c>
      <c r="M295" s="50" t="s">
        <v>1735</v>
      </c>
      <c r="N295" s="50" t="s">
        <v>1816</v>
      </c>
      <c r="O295" s="51"/>
      <c r="P295" s="51"/>
      <c r="Q295" s="48"/>
      <c r="S295" s="1">
        <f t="shared" si="120"/>
        <v>0</v>
      </c>
      <c r="T295" s="1">
        <f t="shared" si="121"/>
        <v>0</v>
      </c>
      <c r="U295" s="1">
        <f t="shared" si="122"/>
        <v>0</v>
      </c>
      <c r="V295" s="1">
        <f t="shared" si="123"/>
        <v>0</v>
      </c>
      <c r="W295" s="1">
        <f t="shared" si="124"/>
        <v>0</v>
      </c>
      <c r="X295" s="1">
        <f t="shared" si="125"/>
        <v>0</v>
      </c>
      <c r="Y295" s="1">
        <f t="shared" si="126"/>
        <v>0</v>
      </c>
      <c r="Z295" s="1">
        <f t="shared" si="127"/>
        <v>0</v>
      </c>
      <c r="AA295" s="1">
        <f t="shared" si="128"/>
        <v>0</v>
      </c>
      <c r="AB295" s="1">
        <f t="shared" si="129"/>
        <v>0</v>
      </c>
      <c r="AD295" s="1">
        <f t="shared" si="130"/>
        <v>0</v>
      </c>
      <c r="AE295" s="1">
        <f t="shared" si="131"/>
        <v>0</v>
      </c>
      <c r="AF295" s="1">
        <f t="shared" si="116"/>
        <v>0</v>
      </c>
      <c r="AG295" s="1">
        <f t="shared" si="117"/>
        <v>0</v>
      </c>
      <c r="AH295" s="1">
        <f t="shared" si="118"/>
        <v>0</v>
      </c>
      <c r="AI295" s="1">
        <f t="shared" si="119"/>
        <v>1</v>
      </c>
    </row>
    <row r="296" spans="1:35" ht="14.25" customHeight="1" x14ac:dyDescent="0.25">
      <c r="A296" s="34">
        <v>0</v>
      </c>
      <c r="B296" s="34">
        <v>2</v>
      </c>
      <c r="C296" s="34">
        <v>1</v>
      </c>
      <c r="D296" s="35" t="s">
        <v>1127</v>
      </c>
      <c r="E296" s="35" t="s">
        <v>1321</v>
      </c>
      <c r="F296" s="35" t="s">
        <v>1125</v>
      </c>
      <c r="G296" s="35" t="s">
        <v>231</v>
      </c>
      <c r="H296" s="35" t="s">
        <v>355</v>
      </c>
      <c r="I296" s="34" t="s">
        <v>1126</v>
      </c>
      <c r="J296" s="34">
        <v>7</v>
      </c>
      <c r="K296" s="36" t="s">
        <v>717</v>
      </c>
      <c r="L296" s="36" t="s">
        <v>1716</v>
      </c>
      <c r="M296" s="37" t="s">
        <v>718</v>
      </c>
      <c r="N296" s="37" t="s">
        <v>1763</v>
      </c>
      <c r="O296" s="38">
        <v>1</v>
      </c>
      <c r="P296" s="38"/>
      <c r="Q296" s="35"/>
      <c r="S296" s="1">
        <f t="shared" si="120"/>
        <v>0</v>
      </c>
      <c r="T296" s="1">
        <f t="shared" si="121"/>
        <v>0</v>
      </c>
      <c r="U296" s="1">
        <f t="shared" si="122"/>
        <v>0</v>
      </c>
      <c r="V296" s="1">
        <f t="shared" si="123"/>
        <v>0</v>
      </c>
      <c r="W296" s="1">
        <f t="shared" si="124"/>
        <v>0</v>
      </c>
      <c r="X296" s="1">
        <f t="shared" si="125"/>
        <v>0</v>
      </c>
      <c r="Y296" s="1">
        <f t="shared" si="126"/>
        <v>1</v>
      </c>
      <c r="Z296" s="1">
        <f t="shared" si="127"/>
        <v>0</v>
      </c>
      <c r="AA296" s="1">
        <f t="shared" si="128"/>
        <v>0</v>
      </c>
      <c r="AB296" s="1">
        <f t="shared" si="129"/>
        <v>0</v>
      </c>
      <c r="AD296" s="1">
        <f t="shared" si="130"/>
        <v>0</v>
      </c>
      <c r="AE296" s="1">
        <f t="shared" si="131"/>
        <v>1</v>
      </c>
      <c r="AF296" s="1">
        <f t="shared" si="116"/>
        <v>0</v>
      </c>
      <c r="AG296" s="1">
        <f t="shared" si="117"/>
        <v>1</v>
      </c>
      <c r="AH296" s="1">
        <f t="shared" si="118"/>
        <v>0</v>
      </c>
      <c r="AI296" s="1">
        <f t="shared" si="119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1012</v>
      </c>
      <c r="E297" s="35" t="s">
        <v>1343</v>
      </c>
      <c r="F297" s="35" t="s">
        <v>1013</v>
      </c>
      <c r="G297" s="35" t="s">
        <v>1104</v>
      </c>
      <c r="H297" s="35" t="s">
        <v>355</v>
      </c>
      <c r="I297" s="34" t="s">
        <v>409</v>
      </c>
      <c r="J297" s="34">
        <v>99</v>
      </c>
      <c r="K297" s="36" t="s">
        <v>717</v>
      </c>
      <c r="L297" s="36" t="s">
        <v>717</v>
      </c>
      <c r="M297" s="37" t="s">
        <v>718</v>
      </c>
      <c r="N297" s="37" t="s">
        <v>1750</v>
      </c>
      <c r="O297" s="38">
        <v>1</v>
      </c>
      <c r="P297" s="38"/>
      <c r="Q297" s="35"/>
      <c r="S297" s="1">
        <f t="shared" si="120"/>
        <v>0</v>
      </c>
      <c r="T297" s="1">
        <f t="shared" si="121"/>
        <v>0</v>
      </c>
      <c r="U297" s="1">
        <f t="shared" si="122"/>
        <v>0</v>
      </c>
      <c r="V297" s="1">
        <f t="shared" si="123"/>
        <v>0</v>
      </c>
      <c r="W297" s="1">
        <f t="shared" si="124"/>
        <v>0</v>
      </c>
      <c r="X297" s="1">
        <f t="shared" si="125"/>
        <v>0</v>
      </c>
      <c r="Y297" s="1">
        <f t="shared" si="126"/>
        <v>0</v>
      </c>
      <c r="Z297" s="1">
        <f t="shared" si="127"/>
        <v>0</v>
      </c>
      <c r="AA297" s="1">
        <f t="shared" si="128"/>
        <v>0</v>
      </c>
      <c r="AB297" s="1">
        <f t="shared" si="129"/>
        <v>0</v>
      </c>
      <c r="AD297" s="1">
        <f t="shared" si="130"/>
        <v>0</v>
      </c>
      <c r="AE297" s="1">
        <f t="shared" si="131"/>
        <v>1</v>
      </c>
      <c r="AF297" s="1">
        <f t="shared" si="116"/>
        <v>0</v>
      </c>
      <c r="AG297" s="1">
        <f t="shared" si="117"/>
        <v>1</v>
      </c>
      <c r="AH297" s="1">
        <f t="shared" si="118"/>
        <v>0</v>
      </c>
      <c r="AI297" s="1">
        <f t="shared" si="119"/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1134</v>
      </c>
      <c r="E298" s="53" t="s">
        <v>563</v>
      </c>
      <c r="F298" s="53" t="s">
        <v>1361</v>
      </c>
      <c r="G298" s="53" t="s">
        <v>266</v>
      </c>
      <c r="H298" s="53" t="s">
        <v>355</v>
      </c>
      <c r="I298" s="52" t="s">
        <v>1135</v>
      </c>
      <c r="J298" s="52">
        <v>8</v>
      </c>
      <c r="K298" s="54" t="s">
        <v>716</v>
      </c>
      <c r="L298" s="54" t="s">
        <v>1716</v>
      </c>
      <c r="M298" s="55" t="s">
        <v>718</v>
      </c>
      <c r="N298" s="55" t="s">
        <v>1755</v>
      </c>
      <c r="O298" s="56">
        <v>1</v>
      </c>
      <c r="P298" s="56"/>
      <c r="Q298" s="53"/>
      <c r="S298" s="1">
        <f t="shared" si="120"/>
        <v>0</v>
      </c>
      <c r="T298" s="1">
        <f t="shared" si="121"/>
        <v>0</v>
      </c>
      <c r="U298" s="1">
        <f t="shared" si="122"/>
        <v>0</v>
      </c>
      <c r="V298" s="1">
        <f t="shared" si="123"/>
        <v>0</v>
      </c>
      <c r="W298" s="1">
        <f t="shared" si="124"/>
        <v>0</v>
      </c>
      <c r="X298" s="1">
        <f t="shared" si="125"/>
        <v>0</v>
      </c>
      <c r="Y298" s="1">
        <f t="shared" si="126"/>
        <v>0</v>
      </c>
      <c r="Z298" s="1">
        <f t="shared" si="127"/>
        <v>1</v>
      </c>
      <c r="AA298" s="1">
        <f t="shared" si="128"/>
        <v>0</v>
      </c>
      <c r="AB298" s="1">
        <f t="shared" si="129"/>
        <v>0</v>
      </c>
      <c r="AD298" s="1">
        <f t="shared" si="130"/>
        <v>0</v>
      </c>
      <c r="AE298" s="1">
        <f t="shared" si="131"/>
        <v>1</v>
      </c>
      <c r="AF298" s="1">
        <f t="shared" si="116"/>
        <v>0</v>
      </c>
      <c r="AG298" s="1">
        <f t="shared" si="117"/>
        <v>1</v>
      </c>
      <c r="AH298" s="1">
        <f t="shared" si="118"/>
        <v>0</v>
      </c>
      <c r="AI298" s="1">
        <f t="shared" si="119"/>
        <v>1</v>
      </c>
    </row>
    <row r="299" spans="1:35" ht="14.25" customHeight="1" x14ac:dyDescent="0.25">
      <c r="A299" s="34">
        <v>0</v>
      </c>
      <c r="B299" s="34">
        <v>2</v>
      </c>
      <c r="C299" s="34">
        <v>1</v>
      </c>
      <c r="D299" s="35" t="s">
        <v>1293</v>
      </c>
      <c r="E299" s="35" t="s">
        <v>1341</v>
      </c>
      <c r="F299" s="35" t="s">
        <v>1290</v>
      </c>
      <c r="G299" s="35" t="s">
        <v>1291</v>
      </c>
      <c r="H299" s="35" t="s">
        <v>355</v>
      </c>
      <c r="I299" s="34" t="s">
        <v>1292</v>
      </c>
      <c r="J299" s="34">
        <v>1</v>
      </c>
      <c r="K299" s="36" t="s">
        <v>716</v>
      </c>
      <c r="L299" s="36" t="s">
        <v>717</v>
      </c>
      <c r="M299" s="37" t="s">
        <v>718</v>
      </c>
      <c r="N299" s="37" t="s">
        <v>1768</v>
      </c>
      <c r="O299" s="38">
        <v>1</v>
      </c>
      <c r="P299" s="38"/>
      <c r="Q299" s="35" t="s">
        <v>1909</v>
      </c>
      <c r="S299" s="1">
        <f t="shared" si="120"/>
        <v>1</v>
      </c>
      <c r="T299" s="1">
        <f t="shared" si="121"/>
        <v>0</v>
      </c>
      <c r="U299" s="1">
        <f t="shared" si="122"/>
        <v>0</v>
      </c>
      <c r="V299" s="1">
        <f t="shared" si="123"/>
        <v>0</v>
      </c>
      <c r="W299" s="1">
        <f t="shared" si="124"/>
        <v>0</v>
      </c>
      <c r="X299" s="1">
        <f t="shared" si="125"/>
        <v>0</v>
      </c>
      <c r="Y299" s="1">
        <f t="shared" si="126"/>
        <v>0</v>
      </c>
      <c r="Z299" s="1">
        <f t="shared" si="127"/>
        <v>0</v>
      </c>
      <c r="AA299" s="1">
        <f t="shared" si="128"/>
        <v>0</v>
      </c>
      <c r="AB299" s="1">
        <f t="shared" si="129"/>
        <v>0</v>
      </c>
      <c r="AD299" s="1">
        <f t="shared" si="130"/>
        <v>0</v>
      </c>
      <c r="AE299" s="1">
        <f t="shared" si="131"/>
        <v>1</v>
      </c>
      <c r="AF299" s="1">
        <f t="shared" si="116"/>
        <v>0</v>
      </c>
      <c r="AG299" s="1">
        <f t="shared" si="117"/>
        <v>1</v>
      </c>
      <c r="AH299" s="1">
        <f t="shared" si="118"/>
        <v>0</v>
      </c>
      <c r="AI299" s="1">
        <f t="shared" si="119"/>
        <v>1</v>
      </c>
    </row>
    <row r="300" spans="1:35" ht="14.25" customHeight="1" x14ac:dyDescent="0.25">
      <c r="A300" s="47">
        <v>0</v>
      </c>
      <c r="B300" s="47">
        <v>2</v>
      </c>
      <c r="C300" s="47">
        <v>1</v>
      </c>
      <c r="D300" s="48" t="s">
        <v>52</v>
      </c>
      <c r="E300" s="48" t="s">
        <v>32</v>
      </c>
      <c r="F300" s="48" t="s">
        <v>207</v>
      </c>
      <c r="G300" s="48" t="s">
        <v>208</v>
      </c>
      <c r="H300" s="48" t="s">
        <v>355</v>
      </c>
      <c r="I300" s="47" t="s">
        <v>392</v>
      </c>
      <c r="J300" s="47">
        <v>99</v>
      </c>
      <c r="K300" s="49" t="s">
        <v>716</v>
      </c>
      <c r="L300" s="49" t="s">
        <v>717</v>
      </c>
      <c r="M300" s="50" t="s">
        <v>718</v>
      </c>
      <c r="N300" s="50" t="s">
        <v>1754</v>
      </c>
      <c r="O300" s="51"/>
      <c r="P300" s="51"/>
      <c r="Q300" s="48"/>
      <c r="S300" s="1">
        <f t="shared" si="120"/>
        <v>0</v>
      </c>
      <c r="T300" s="1">
        <f t="shared" si="121"/>
        <v>0</v>
      </c>
      <c r="U300" s="1">
        <f t="shared" si="122"/>
        <v>0</v>
      </c>
      <c r="V300" s="1">
        <f t="shared" si="123"/>
        <v>0</v>
      </c>
      <c r="W300" s="1">
        <f t="shared" si="124"/>
        <v>0</v>
      </c>
      <c r="X300" s="1">
        <f t="shared" si="125"/>
        <v>0</v>
      </c>
      <c r="Y300" s="1">
        <f t="shared" si="126"/>
        <v>0</v>
      </c>
      <c r="Z300" s="1">
        <f t="shared" si="127"/>
        <v>0</v>
      </c>
      <c r="AA300" s="1">
        <f t="shared" si="128"/>
        <v>0</v>
      </c>
      <c r="AB300" s="1">
        <f t="shared" si="129"/>
        <v>0</v>
      </c>
      <c r="AD300" s="1">
        <f t="shared" si="130"/>
        <v>0</v>
      </c>
      <c r="AE300" s="1">
        <f t="shared" si="131"/>
        <v>0</v>
      </c>
      <c r="AF300" s="1">
        <f t="shared" si="116"/>
        <v>0</v>
      </c>
      <c r="AG300" s="1">
        <f t="shared" si="117"/>
        <v>0</v>
      </c>
      <c r="AH300" s="1">
        <f t="shared" si="118"/>
        <v>0</v>
      </c>
      <c r="AI300" s="1">
        <f t="shared" si="119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73</v>
      </c>
      <c r="E301" s="48" t="s">
        <v>563</v>
      </c>
      <c r="F301" s="48" t="s">
        <v>1054</v>
      </c>
      <c r="G301" s="48" t="s">
        <v>191</v>
      </c>
      <c r="H301" s="48" t="s">
        <v>355</v>
      </c>
      <c r="I301" s="47" t="s">
        <v>422</v>
      </c>
      <c r="J301" s="47">
        <v>99</v>
      </c>
      <c r="K301" s="49" t="s">
        <v>958</v>
      </c>
      <c r="L301" s="49" t="s">
        <v>717</v>
      </c>
      <c r="M301" s="50" t="s">
        <v>718</v>
      </c>
      <c r="N301" s="50" t="s">
        <v>1742</v>
      </c>
      <c r="O301" s="51"/>
      <c r="P301" s="51"/>
      <c r="Q301" s="48"/>
      <c r="S301" s="1">
        <f t="shared" si="120"/>
        <v>0</v>
      </c>
      <c r="T301" s="1">
        <f t="shared" si="121"/>
        <v>0</v>
      </c>
      <c r="U301" s="1">
        <f t="shared" si="122"/>
        <v>0</v>
      </c>
      <c r="V301" s="1">
        <f t="shared" si="123"/>
        <v>0</v>
      </c>
      <c r="W301" s="1">
        <f t="shared" si="124"/>
        <v>0</v>
      </c>
      <c r="X301" s="1">
        <f t="shared" si="125"/>
        <v>0</v>
      </c>
      <c r="Y301" s="1">
        <f t="shared" si="126"/>
        <v>0</v>
      </c>
      <c r="Z301" s="1">
        <f t="shared" si="127"/>
        <v>0</v>
      </c>
      <c r="AA301" s="1">
        <f t="shared" si="128"/>
        <v>0</v>
      </c>
      <c r="AB301" s="1">
        <f t="shared" si="129"/>
        <v>0</v>
      </c>
      <c r="AD301" s="1">
        <f t="shared" si="130"/>
        <v>0</v>
      </c>
      <c r="AE301" s="1">
        <f t="shared" si="131"/>
        <v>0</v>
      </c>
      <c r="AF301" s="1">
        <f t="shared" si="116"/>
        <v>0</v>
      </c>
      <c r="AG301" s="1">
        <f t="shared" si="117"/>
        <v>0</v>
      </c>
      <c r="AH301" s="1">
        <f t="shared" si="118"/>
        <v>0</v>
      </c>
      <c r="AI301" s="1">
        <f t="shared" si="119"/>
        <v>1</v>
      </c>
    </row>
    <row r="302" spans="1:35" ht="14.25" customHeight="1" x14ac:dyDescent="0.25">
      <c r="A302" s="15">
        <v>0</v>
      </c>
      <c r="B302" s="15">
        <v>2</v>
      </c>
      <c r="C302" s="15">
        <v>1</v>
      </c>
      <c r="D302" s="16" t="s">
        <v>47</v>
      </c>
      <c r="E302" s="16" t="s">
        <v>32</v>
      </c>
      <c r="F302" s="16" t="s">
        <v>188</v>
      </c>
      <c r="G302" s="16" t="s">
        <v>181</v>
      </c>
      <c r="H302" s="16" t="s">
        <v>355</v>
      </c>
      <c r="I302" s="15" t="s">
        <v>384</v>
      </c>
      <c r="J302" s="15">
        <v>10</v>
      </c>
      <c r="K302" s="10" t="s">
        <v>959</v>
      </c>
      <c r="L302" s="10" t="s">
        <v>717</v>
      </c>
      <c r="M302" s="19" t="s">
        <v>718</v>
      </c>
      <c r="N302" s="19"/>
      <c r="Q302" s="16"/>
      <c r="S302" s="1">
        <f t="shared" si="120"/>
        <v>0</v>
      </c>
      <c r="T302" s="1">
        <f t="shared" si="121"/>
        <v>0</v>
      </c>
      <c r="U302" s="1">
        <f t="shared" si="122"/>
        <v>0</v>
      </c>
      <c r="V302" s="1">
        <f t="shared" si="123"/>
        <v>0</v>
      </c>
      <c r="W302" s="1">
        <f t="shared" si="124"/>
        <v>0</v>
      </c>
      <c r="X302" s="1">
        <f t="shared" si="125"/>
        <v>0</v>
      </c>
      <c r="Y302" s="1">
        <f t="shared" si="126"/>
        <v>0</v>
      </c>
      <c r="Z302" s="1">
        <f t="shared" si="127"/>
        <v>0</v>
      </c>
      <c r="AA302" s="1">
        <f t="shared" si="128"/>
        <v>0</v>
      </c>
      <c r="AB302" s="1">
        <f t="shared" si="129"/>
        <v>1</v>
      </c>
      <c r="AD302" s="1">
        <f t="shared" si="130"/>
        <v>0</v>
      </c>
      <c r="AE302" s="1">
        <f t="shared" si="131"/>
        <v>0</v>
      </c>
      <c r="AF302" s="1">
        <f t="shared" si="116"/>
        <v>0</v>
      </c>
      <c r="AG302" s="1">
        <f t="shared" si="117"/>
        <v>0</v>
      </c>
      <c r="AH302" s="1">
        <f t="shared" si="118"/>
        <v>0</v>
      </c>
      <c r="AI302" s="1">
        <f t="shared" si="119"/>
        <v>1</v>
      </c>
    </row>
    <row r="303" spans="1:35" ht="14.25" customHeight="1" x14ac:dyDescent="0.25">
      <c r="A303" s="47">
        <v>0</v>
      </c>
      <c r="B303" s="47">
        <v>2</v>
      </c>
      <c r="C303" s="47">
        <v>1</v>
      </c>
      <c r="D303" s="48" t="s">
        <v>654</v>
      </c>
      <c r="E303" s="48" t="s">
        <v>161</v>
      </c>
      <c r="F303" s="48" t="s">
        <v>189</v>
      </c>
      <c r="G303" s="48" t="s">
        <v>671</v>
      </c>
      <c r="H303" s="48" t="s">
        <v>355</v>
      </c>
      <c r="I303" s="47" t="s">
        <v>385</v>
      </c>
      <c r="J303" s="47">
        <v>99</v>
      </c>
      <c r="K303" s="49" t="s">
        <v>716</v>
      </c>
      <c r="L303" s="49" t="s">
        <v>717</v>
      </c>
      <c r="M303" s="50" t="s">
        <v>718</v>
      </c>
      <c r="N303" s="50" t="s">
        <v>1744</v>
      </c>
      <c r="O303" s="51"/>
      <c r="P303" s="51"/>
      <c r="Q303" s="48"/>
      <c r="S303" s="1">
        <f t="shared" si="120"/>
        <v>0</v>
      </c>
      <c r="T303" s="1">
        <f t="shared" si="121"/>
        <v>0</v>
      </c>
      <c r="U303" s="1">
        <f t="shared" si="122"/>
        <v>0</v>
      </c>
      <c r="V303" s="1">
        <f t="shared" si="123"/>
        <v>0</v>
      </c>
      <c r="W303" s="1">
        <f t="shared" si="124"/>
        <v>0</v>
      </c>
      <c r="X303" s="1">
        <f t="shared" si="125"/>
        <v>0</v>
      </c>
      <c r="Y303" s="1">
        <f t="shared" si="126"/>
        <v>0</v>
      </c>
      <c r="Z303" s="1">
        <f t="shared" si="127"/>
        <v>0</v>
      </c>
      <c r="AA303" s="1">
        <f t="shared" si="128"/>
        <v>0</v>
      </c>
      <c r="AB303" s="1">
        <f t="shared" si="129"/>
        <v>0</v>
      </c>
      <c r="AD303" s="1">
        <f t="shared" si="130"/>
        <v>0</v>
      </c>
      <c r="AE303" s="1">
        <f t="shared" si="131"/>
        <v>0</v>
      </c>
      <c r="AF303" s="1">
        <f t="shared" si="116"/>
        <v>0</v>
      </c>
      <c r="AG303" s="1">
        <f t="shared" si="117"/>
        <v>0</v>
      </c>
      <c r="AH303" s="1">
        <f t="shared" si="118"/>
        <v>0</v>
      </c>
      <c r="AI303" s="1">
        <f t="shared" si="119"/>
        <v>1</v>
      </c>
    </row>
    <row r="304" spans="1:35" ht="14.25" customHeight="1" x14ac:dyDescent="0.25">
      <c r="A304" s="41">
        <v>0</v>
      </c>
      <c r="B304" s="41">
        <v>2</v>
      </c>
      <c r="C304" s="41">
        <v>1</v>
      </c>
      <c r="D304" s="42" t="s">
        <v>1311</v>
      </c>
      <c r="E304" s="42" t="s">
        <v>36</v>
      </c>
      <c r="F304" s="42" t="s">
        <v>1312</v>
      </c>
      <c r="G304" s="42" t="s">
        <v>259</v>
      </c>
      <c r="H304" s="42" t="s">
        <v>355</v>
      </c>
      <c r="I304" s="41" t="s">
        <v>1313</v>
      </c>
      <c r="J304" s="41">
        <v>8</v>
      </c>
      <c r="K304" s="43" t="s">
        <v>963</v>
      </c>
      <c r="L304" s="43" t="s">
        <v>717</v>
      </c>
      <c r="M304" s="44" t="s">
        <v>718</v>
      </c>
      <c r="N304" s="45"/>
      <c r="O304" s="46"/>
      <c r="P304" s="46">
        <v>1</v>
      </c>
      <c r="Q304" s="42"/>
      <c r="S304" s="1">
        <f t="shared" si="120"/>
        <v>0</v>
      </c>
      <c r="T304" s="1">
        <f t="shared" si="121"/>
        <v>0</v>
      </c>
      <c r="U304" s="1">
        <f t="shared" si="122"/>
        <v>0</v>
      </c>
      <c r="V304" s="1">
        <f t="shared" si="123"/>
        <v>0</v>
      </c>
      <c r="W304" s="1">
        <f t="shared" si="124"/>
        <v>0</v>
      </c>
      <c r="X304" s="1">
        <f t="shared" si="125"/>
        <v>0</v>
      </c>
      <c r="Y304" s="1">
        <f t="shared" si="126"/>
        <v>0</v>
      </c>
      <c r="Z304" s="1">
        <f t="shared" si="127"/>
        <v>1</v>
      </c>
      <c r="AA304" s="1">
        <f t="shared" si="128"/>
        <v>0</v>
      </c>
      <c r="AB304" s="1">
        <f t="shared" si="129"/>
        <v>0</v>
      </c>
      <c r="AD304" s="1">
        <f t="shared" si="130"/>
        <v>0</v>
      </c>
      <c r="AE304" s="1">
        <f t="shared" si="131"/>
        <v>0</v>
      </c>
      <c r="AF304" s="1">
        <f t="shared" si="116"/>
        <v>0</v>
      </c>
      <c r="AG304" s="1">
        <f t="shared" si="117"/>
        <v>0</v>
      </c>
      <c r="AH304" s="1">
        <f t="shared" si="118"/>
        <v>1</v>
      </c>
      <c r="AI304" s="1">
        <f t="shared" si="119"/>
        <v>0</v>
      </c>
    </row>
    <row r="305" spans="1:35" ht="14.25" customHeight="1" x14ac:dyDescent="0.25">
      <c r="A305" s="34">
        <v>0</v>
      </c>
      <c r="B305" s="34">
        <v>2</v>
      </c>
      <c r="C305" s="34">
        <v>1</v>
      </c>
      <c r="D305" s="35" t="s">
        <v>54</v>
      </c>
      <c r="E305" s="35" t="s">
        <v>563</v>
      </c>
      <c r="F305" s="35" t="s">
        <v>213</v>
      </c>
      <c r="G305" s="35" t="s">
        <v>214</v>
      </c>
      <c r="H305" s="35" t="s">
        <v>355</v>
      </c>
      <c r="I305" s="34" t="s">
        <v>394</v>
      </c>
      <c r="J305" s="34">
        <v>1</v>
      </c>
      <c r="K305" s="36" t="s">
        <v>959</v>
      </c>
      <c r="L305" s="36" t="s">
        <v>717</v>
      </c>
      <c r="M305" s="37" t="s">
        <v>39</v>
      </c>
      <c r="N305" s="37" t="s">
        <v>1750</v>
      </c>
      <c r="O305" s="38">
        <v>1</v>
      </c>
      <c r="P305" s="38"/>
      <c r="Q305" s="35"/>
      <c r="S305" s="1">
        <f t="shared" si="120"/>
        <v>1</v>
      </c>
      <c r="T305" s="1">
        <f t="shared" si="121"/>
        <v>0</v>
      </c>
      <c r="U305" s="1">
        <f t="shared" si="122"/>
        <v>0</v>
      </c>
      <c r="V305" s="1">
        <f t="shared" si="123"/>
        <v>0</v>
      </c>
      <c r="W305" s="1">
        <f t="shared" si="124"/>
        <v>0</v>
      </c>
      <c r="X305" s="1">
        <f t="shared" si="125"/>
        <v>0</v>
      </c>
      <c r="Y305" s="1">
        <f t="shared" si="126"/>
        <v>0</v>
      </c>
      <c r="Z305" s="1">
        <f t="shared" si="127"/>
        <v>0</v>
      </c>
      <c r="AA305" s="1">
        <f t="shared" si="128"/>
        <v>0</v>
      </c>
      <c r="AB305" s="1">
        <f t="shared" si="129"/>
        <v>0</v>
      </c>
      <c r="AD305" s="1">
        <f t="shared" si="130"/>
        <v>0</v>
      </c>
      <c r="AE305" s="1">
        <f t="shared" si="131"/>
        <v>1</v>
      </c>
      <c r="AF305" s="1">
        <f t="shared" si="116"/>
        <v>0</v>
      </c>
      <c r="AG305" s="1">
        <f t="shared" si="117"/>
        <v>1</v>
      </c>
      <c r="AH305" s="1">
        <f t="shared" si="118"/>
        <v>0</v>
      </c>
      <c r="AI305" s="1">
        <f t="shared" si="119"/>
        <v>1</v>
      </c>
    </row>
    <row r="306" spans="1:35" ht="14.25" customHeight="1" x14ac:dyDescent="0.25">
      <c r="A306" s="47">
        <v>0</v>
      </c>
      <c r="B306" s="47">
        <v>2</v>
      </c>
      <c r="C306" s="47">
        <v>1</v>
      </c>
      <c r="D306" s="48" t="s">
        <v>61</v>
      </c>
      <c r="E306" s="48" t="s">
        <v>545</v>
      </c>
      <c r="F306" s="48" t="s">
        <v>234</v>
      </c>
      <c r="G306" s="48" t="s">
        <v>205</v>
      </c>
      <c r="H306" s="48" t="s">
        <v>355</v>
      </c>
      <c r="I306" s="47" t="s">
        <v>402</v>
      </c>
      <c r="J306" s="47">
        <v>7</v>
      </c>
      <c r="K306" s="49" t="s">
        <v>716</v>
      </c>
      <c r="L306" s="49" t="s">
        <v>717</v>
      </c>
      <c r="M306" s="50" t="s">
        <v>718</v>
      </c>
      <c r="N306" s="50" t="s">
        <v>1745</v>
      </c>
      <c r="O306" s="51"/>
      <c r="P306" s="51"/>
      <c r="Q306" s="48"/>
      <c r="S306" s="1">
        <f t="shared" si="120"/>
        <v>0</v>
      </c>
      <c r="T306" s="1">
        <f t="shared" si="121"/>
        <v>0</v>
      </c>
      <c r="U306" s="1">
        <f t="shared" si="122"/>
        <v>0</v>
      </c>
      <c r="V306" s="1">
        <f t="shared" si="123"/>
        <v>0</v>
      </c>
      <c r="W306" s="1">
        <f t="shared" si="124"/>
        <v>0</v>
      </c>
      <c r="X306" s="1">
        <f t="shared" si="125"/>
        <v>0</v>
      </c>
      <c r="Y306" s="1">
        <f t="shared" si="126"/>
        <v>1</v>
      </c>
      <c r="Z306" s="1">
        <f t="shared" si="127"/>
        <v>0</v>
      </c>
      <c r="AA306" s="1">
        <f t="shared" si="128"/>
        <v>0</v>
      </c>
      <c r="AB306" s="1">
        <f t="shared" si="129"/>
        <v>0</v>
      </c>
      <c r="AD306" s="1">
        <f t="shared" si="130"/>
        <v>0</v>
      </c>
      <c r="AE306" s="1">
        <f t="shared" si="131"/>
        <v>0</v>
      </c>
      <c r="AF306" s="1">
        <f t="shared" si="116"/>
        <v>0</v>
      </c>
      <c r="AG306" s="1">
        <f t="shared" si="117"/>
        <v>0</v>
      </c>
      <c r="AH306" s="1">
        <f t="shared" si="118"/>
        <v>0</v>
      </c>
      <c r="AI306" s="1">
        <f t="shared" si="119"/>
        <v>1</v>
      </c>
    </row>
    <row r="307" spans="1:35" ht="14.25" customHeight="1" x14ac:dyDescent="0.25">
      <c r="A307" s="52">
        <v>0</v>
      </c>
      <c r="B307" s="52">
        <v>2</v>
      </c>
      <c r="C307" s="52">
        <v>1</v>
      </c>
      <c r="D307" s="53" t="s">
        <v>1654</v>
      </c>
      <c r="E307" s="53" t="s">
        <v>563</v>
      </c>
      <c r="F307" s="53" t="s">
        <v>1365</v>
      </c>
      <c r="G307" s="53" t="s">
        <v>1291</v>
      </c>
      <c r="H307" s="53" t="s">
        <v>355</v>
      </c>
      <c r="I307" s="52" t="s">
        <v>1174</v>
      </c>
      <c r="J307" s="52">
        <v>99</v>
      </c>
      <c r="K307" s="54" t="s">
        <v>716</v>
      </c>
      <c r="L307" s="54" t="s">
        <v>717</v>
      </c>
      <c r="M307" s="55" t="s">
        <v>718</v>
      </c>
      <c r="N307" s="55" t="s">
        <v>1755</v>
      </c>
      <c r="O307" s="56">
        <v>1</v>
      </c>
      <c r="P307" s="56"/>
      <c r="Q307" s="58" t="s">
        <v>1908</v>
      </c>
      <c r="S307" s="1">
        <f t="shared" si="120"/>
        <v>0</v>
      </c>
      <c r="T307" s="1">
        <f t="shared" si="121"/>
        <v>0</v>
      </c>
      <c r="U307" s="1">
        <f t="shared" si="122"/>
        <v>0</v>
      </c>
      <c r="V307" s="1">
        <f t="shared" si="123"/>
        <v>0</v>
      </c>
      <c r="W307" s="1">
        <f t="shared" si="124"/>
        <v>0</v>
      </c>
      <c r="X307" s="1">
        <f t="shared" si="125"/>
        <v>0</v>
      </c>
      <c r="Y307" s="1">
        <f t="shared" si="126"/>
        <v>0</v>
      </c>
      <c r="Z307" s="1">
        <f t="shared" si="127"/>
        <v>0</v>
      </c>
      <c r="AA307" s="1">
        <f t="shared" si="128"/>
        <v>0</v>
      </c>
      <c r="AB307" s="1">
        <f t="shared" si="129"/>
        <v>0</v>
      </c>
      <c r="AD307" s="1">
        <f t="shared" si="130"/>
        <v>0</v>
      </c>
      <c r="AE307" s="1">
        <f t="shared" si="131"/>
        <v>1</v>
      </c>
      <c r="AF307" s="1">
        <f t="shared" si="116"/>
        <v>0</v>
      </c>
      <c r="AG307" s="1">
        <f t="shared" si="117"/>
        <v>1</v>
      </c>
      <c r="AH307" s="1">
        <f t="shared" si="118"/>
        <v>0</v>
      </c>
      <c r="AI307" s="1">
        <f t="shared" si="119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1789</v>
      </c>
      <c r="E308" s="53" t="s">
        <v>1790</v>
      </c>
      <c r="F308" s="53" t="s">
        <v>1791</v>
      </c>
      <c r="G308" s="53" t="s">
        <v>1792</v>
      </c>
      <c r="H308" s="53" t="s">
        <v>355</v>
      </c>
      <c r="I308" s="52"/>
      <c r="J308" s="52">
        <v>1</v>
      </c>
      <c r="K308" s="54" t="s">
        <v>707</v>
      </c>
      <c r="L308" s="54"/>
      <c r="M308" s="55"/>
      <c r="N308" s="55" t="s">
        <v>1750</v>
      </c>
      <c r="O308" s="56">
        <v>1</v>
      </c>
      <c r="P308" s="56"/>
      <c r="Q308" s="58" t="s">
        <v>1916</v>
      </c>
      <c r="S308" s="1">
        <f t="shared" si="120"/>
        <v>1</v>
      </c>
      <c r="T308" s="1">
        <f t="shared" si="121"/>
        <v>0</v>
      </c>
      <c r="U308" s="1">
        <f t="shared" si="122"/>
        <v>0</v>
      </c>
      <c r="V308" s="1">
        <f t="shared" si="123"/>
        <v>0</v>
      </c>
      <c r="W308" s="1">
        <f t="shared" si="124"/>
        <v>0</v>
      </c>
      <c r="X308" s="1">
        <f t="shared" si="125"/>
        <v>0</v>
      </c>
      <c r="Y308" s="1">
        <f t="shared" si="126"/>
        <v>0</v>
      </c>
      <c r="Z308" s="1">
        <f t="shared" si="127"/>
        <v>0</v>
      </c>
      <c r="AA308" s="1">
        <f t="shared" si="128"/>
        <v>0</v>
      </c>
      <c r="AB308" s="1">
        <f t="shared" si="129"/>
        <v>0</v>
      </c>
      <c r="AD308" s="1">
        <f t="shared" si="130"/>
        <v>0</v>
      </c>
      <c r="AE308" s="1">
        <f t="shared" si="131"/>
        <v>1</v>
      </c>
      <c r="AF308" s="1">
        <f t="shared" si="116"/>
        <v>0</v>
      </c>
      <c r="AG308" s="1">
        <f t="shared" si="117"/>
        <v>1</v>
      </c>
      <c r="AH308" s="1">
        <f t="shared" si="118"/>
        <v>0</v>
      </c>
      <c r="AI308" s="1">
        <f t="shared" si="119"/>
        <v>1</v>
      </c>
    </row>
    <row r="309" spans="1:35" ht="14.25" customHeight="1" x14ac:dyDescent="0.25">
      <c r="A309" s="34">
        <v>0</v>
      </c>
      <c r="B309" s="34">
        <v>2</v>
      </c>
      <c r="C309" s="34">
        <v>1</v>
      </c>
      <c r="D309" s="35" t="s">
        <v>1325</v>
      </c>
      <c r="E309" s="35" t="s">
        <v>1345</v>
      </c>
      <c r="F309" s="35" t="s">
        <v>1308</v>
      </c>
      <c r="G309" s="35" t="s">
        <v>1309</v>
      </c>
      <c r="H309" s="35" t="s">
        <v>355</v>
      </c>
      <c r="I309" s="34" t="s">
        <v>1310</v>
      </c>
      <c r="J309" s="34">
        <v>99</v>
      </c>
      <c r="K309" s="36" t="s">
        <v>959</v>
      </c>
      <c r="L309" s="36" t="s">
        <v>717</v>
      </c>
      <c r="M309" s="37" t="s">
        <v>718</v>
      </c>
      <c r="N309" s="37" t="s">
        <v>1926</v>
      </c>
      <c r="O309" s="38">
        <v>1</v>
      </c>
      <c r="P309" s="38"/>
      <c r="Q309" s="35"/>
      <c r="S309" s="1">
        <f t="shared" si="120"/>
        <v>0</v>
      </c>
      <c r="T309" s="1">
        <f t="shared" si="121"/>
        <v>0</v>
      </c>
      <c r="U309" s="1">
        <f t="shared" si="122"/>
        <v>0</v>
      </c>
      <c r="V309" s="1">
        <f t="shared" si="123"/>
        <v>0</v>
      </c>
      <c r="W309" s="1">
        <f t="shared" si="124"/>
        <v>0</v>
      </c>
      <c r="X309" s="1">
        <f t="shared" si="125"/>
        <v>0</v>
      </c>
      <c r="Y309" s="1">
        <f t="shared" si="126"/>
        <v>0</v>
      </c>
      <c r="Z309" s="1">
        <f t="shared" si="127"/>
        <v>0</v>
      </c>
      <c r="AA309" s="1">
        <f t="shared" si="128"/>
        <v>0</v>
      </c>
      <c r="AB309" s="1">
        <f t="shared" si="129"/>
        <v>0</v>
      </c>
      <c r="AD309" s="1">
        <f t="shared" si="130"/>
        <v>0</v>
      </c>
      <c r="AE309" s="1">
        <f t="shared" si="131"/>
        <v>1</v>
      </c>
      <c r="AF309" s="1">
        <f t="shared" si="116"/>
        <v>0</v>
      </c>
      <c r="AG309" s="1">
        <f t="shared" si="117"/>
        <v>1</v>
      </c>
      <c r="AH309" s="1">
        <f t="shared" si="118"/>
        <v>0</v>
      </c>
      <c r="AI309" s="1">
        <f t="shared" si="119"/>
        <v>1</v>
      </c>
    </row>
    <row r="310" spans="1:35" ht="14.25" customHeight="1" x14ac:dyDescent="0.25">
      <c r="A310" s="47">
        <v>0</v>
      </c>
      <c r="B310" s="47">
        <v>2</v>
      </c>
      <c r="C310" s="47">
        <v>1</v>
      </c>
      <c r="D310" s="48" t="s">
        <v>1320</v>
      </c>
      <c r="E310" s="48" t="s">
        <v>161</v>
      </c>
      <c r="F310" s="48" t="s">
        <v>1322</v>
      </c>
      <c r="G310" s="48" t="s">
        <v>1323</v>
      </c>
      <c r="H310" s="48" t="s">
        <v>355</v>
      </c>
      <c r="I310" s="47" t="s">
        <v>1324</v>
      </c>
      <c r="J310" s="47">
        <v>8</v>
      </c>
      <c r="K310" s="49" t="s">
        <v>717</v>
      </c>
      <c r="L310" s="49" t="s">
        <v>717</v>
      </c>
      <c r="M310" s="50" t="s">
        <v>718</v>
      </c>
      <c r="N310" s="50" t="s">
        <v>1754</v>
      </c>
      <c r="O310" s="51"/>
      <c r="P310" s="51"/>
      <c r="Q310" s="48"/>
      <c r="S310" s="1">
        <f t="shared" si="120"/>
        <v>0</v>
      </c>
      <c r="T310" s="1">
        <f t="shared" si="121"/>
        <v>0</v>
      </c>
      <c r="U310" s="1">
        <f t="shared" si="122"/>
        <v>0</v>
      </c>
      <c r="V310" s="1">
        <f t="shared" si="123"/>
        <v>0</v>
      </c>
      <c r="W310" s="1">
        <f t="shared" si="124"/>
        <v>0</v>
      </c>
      <c r="X310" s="1">
        <f t="shared" si="125"/>
        <v>0</v>
      </c>
      <c r="Y310" s="1">
        <f t="shared" si="126"/>
        <v>0</v>
      </c>
      <c r="Z310" s="1">
        <f t="shared" si="127"/>
        <v>1</v>
      </c>
      <c r="AA310" s="1">
        <f t="shared" si="128"/>
        <v>0</v>
      </c>
      <c r="AB310" s="1">
        <f t="shared" si="129"/>
        <v>0</v>
      </c>
      <c r="AD310" s="1">
        <f t="shared" si="130"/>
        <v>0</v>
      </c>
      <c r="AE310" s="1">
        <f t="shared" si="131"/>
        <v>0</v>
      </c>
      <c r="AF310" s="1">
        <f t="shared" si="116"/>
        <v>0</v>
      </c>
      <c r="AG310" s="1">
        <f t="shared" si="117"/>
        <v>0</v>
      </c>
      <c r="AH310" s="1">
        <f t="shared" si="118"/>
        <v>0</v>
      </c>
      <c r="AI310" s="1">
        <f t="shared" si="119"/>
        <v>1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1653</v>
      </c>
      <c r="E311" s="48" t="s">
        <v>1175</v>
      </c>
      <c r="F311" s="48" t="s">
        <v>1687</v>
      </c>
      <c r="G311" s="48" t="s">
        <v>191</v>
      </c>
      <c r="H311" s="48" t="s">
        <v>355</v>
      </c>
      <c r="I311" s="47" t="s">
        <v>1614</v>
      </c>
      <c r="J311" s="47">
        <v>99</v>
      </c>
      <c r="K311" s="49" t="s">
        <v>717</v>
      </c>
      <c r="L311" s="49" t="s">
        <v>700</v>
      </c>
      <c r="M311" s="50" t="s">
        <v>1615</v>
      </c>
      <c r="N311" s="50" t="s">
        <v>1745</v>
      </c>
      <c r="O311" s="51"/>
      <c r="P311" s="51"/>
      <c r="Q311" s="48"/>
      <c r="S311" s="1">
        <f t="shared" si="120"/>
        <v>0</v>
      </c>
      <c r="T311" s="1">
        <f t="shared" si="121"/>
        <v>0</v>
      </c>
      <c r="U311" s="1">
        <f t="shared" si="122"/>
        <v>0</v>
      </c>
      <c r="V311" s="1">
        <f t="shared" si="123"/>
        <v>0</v>
      </c>
      <c r="W311" s="1">
        <f t="shared" si="124"/>
        <v>0</v>
      </c>
      <c r="X311" s="1">
        <f t="shared" si="125"/>
        <v>0</v>
      </c>
      <c r="Y311" s="1">
        <f t="shared" si="126"/>
        <v>0</v>
      </c>
      <c r="Z311" s="1">
        <f t="shared" si="127"/>
        <v>0</v>
      </c>
      <c r="AA311" s="1">
        <f t="shared" si="128"/>
        <v>0</v>
      </c>
      <c r="AB311" s="1">
        <f t="shared" si="129"/>
        <v>0</v>
      </c>
      <c r="AD311" s="1">
        <f t="shared" si="130"/>
        <v>0</v>
      </c>
      <c r="AE311" s="1">
        <f t="shared" si="131"/>
        <v>0</v>
      </c>
      <c r="AF311" s="1">
        <f t="shared" si="116"/>
        <v>0</v>
      </c>
      <c r="AG311" s="1">
        <f t="shared" si="117"/>
        <v>0</v>
      </c>
      <c r="AH311" s="1">
        <f t="shared" si="118"/>
        <v>0</v>
      </c>
      <c r="AI311" s="1">
        <f t="shared" si="119"/>
        <v>1</v>
      </c>
    </row>
    <row r="312" spans="1:35" ht="14.25" customHeight="1" x14ac:dyDescent="0.25">
      <c r="A312" s="52">
        <v>0</v>
      </c>
      <c r="B312" s="52">
        <v>2</v>
      </c>
      <c r="C312" s="52">
        <v>2</v>
      </c>
      <c r="D312" s="53" t="s">
        <v>65</v>
      </c>
      <c r="E312" s="53" t="s">
        <v>165</v>
      </c>
      <c r="F312" s="53" t="s">
        <v>244</v>
      </c>
      <c r="G312" s="53" t="s">
        <v>201</v>
      </c>
      <c r="H312" s="53" t="s">
        <v>355</v>
      </c>
      <c r="I312" s="52" t="s">
        <v>408</v>
      </c>
      <c r="J312" s="52">
        <v>2</v>
      </c>
      <c r="K312" s="54" t="s">
        <v>959</v>
      </c>
      <c r="L312" s="54" t="s">
        <v>700</v>
      </c>
      <c r="M312" s="55" t="s">
        <v>719</v>
      </c>
      <c r="N312" s="55" t="s">
        <v>1750</v>
      </c>
      <c r="O312" s="56">
        <v>1</v>
      </c>
      <c r="P312" s="56"/>
      <c r="Q312" s="53"/>
      <c r="S312" s="1">
        <f t="shared" si="120"/>
        <v>0</v>
      </c>
      <c r="T312" s="1">
        <f t="shared" si="121"/>
        <v>1</v>
      </c>
      <c r="U312" s="1">
        <f t="shared" si="122"/>
        <v>0</v>
      </c>
      <c r="V312" s="1">
        <f t="shared" si="123"/>
        <v>0</v>
      </c>
      <c r="W312" s="1">
        <f t="shared" si="124"/>
        <v>0</v>
      </c>
      <c r="X312" s="1">
        <f t="shared" si="125"/>
        <v>0</v>
      </c>
      <c r="Y312" s="1">
        <f t="shared" si="126"/>
        <v>0</v>
      </c>
      <c r="Z312" s="1">
        <f t="shared" si="127"/>
        <v>0</v>
      </c>
      <c r="AA312" s="1">
        <f t="shared" si="128"/>
        <v>0</v>
      </c>
      <c r="AB312" s="1">
        <f t="shared" si="129"/>
        <v>0</v>
      </c>
      <c r="AD312" s="1">
        <f t="shared" si="130"/>
        <v>0</v>
      </c>
      <c r="AE312" s="1">
        <f t="shared" si="131"/>
        <v>1</v>
      </c>
      <c r="AF312" s="1">
        <f t="shared" si="116"/>
        <v>0</v>
      </c>
      <c r="AG312" s="1">
        <f t="shared" si="117"/>
        <v>1</v>
      </c>
      <c r="AH312" s="1">
        <f t="shared" si="118"/>
        <v>0</v>
      </c>
      <c r="AI312" s="1">
        <f t="shared" si="119"/>
        <v>1</v>
      </c>
    </row>
    <row r="313" spans="1:35" ht="14.25" customHeight="1" x14ac:dyDescent="0.25">
      <c r="A313" s="47">
        <v>0</v>
      </c>
      <c r="B313" s="47">
        <v>2</v>
      </c>
      <c r="C313" s="47">
        <v>2</v>
      </c>
      <c r="D313" s="48" t="s">
        <v>1189</v>
      </c>
      <c r="E313" s="48" t="s">
        <v>1190</v>
      </c>
      <c r="F313" s="48" t="s">
        <v>1355</v>
      </c>
      <c r="G313" s="48" t="s">
        <v>1060</v>
      </c>
      <c r="H313" s="48" t="s">
        <v>355</v>
      </c>
      <c r="I313" s="47" t="s">
        <v>1191</v>
      </c>
      <c r="J313" s="47">
        <v>1</v>
      </c>
      <c r="K313" s="49" t="s">
        <v>716</v>
      </c>
      <c r="L313" s="49" t="s">
        <v>708</v>
      </c>
      <c r="M313" s="50" t="s">
        <v>1419</v>
      </c>
      <c r="N313" s="50" t="s">
        <v>1742</v>
      </c>
      <c r="O313" s="51"/>
      <c r="P313" s="51"/>
      <c r="Q313" s="48"/>
      <c r="S313" s="1">
        <f t="shared" si="120"/>
        <v>1</v>
      </c>
      <c r="T313" s="1">
        <f t="shared" si="121"/>
        <v>0</v>
      </c>
      <c r="U313" s="1">
        <f t="shared" si="122"/>
        <v>0</v>
      </c>
      <c r="V313" s="1">
        <f t="shared" si="123"/>
        <v>0</v>
      </c>
      <c r="W313" s="1">
        <f t="shared" si="124"/>
        <v>0</v>
      </c>
      <c r="X313" s="1">
        <f t="shared" si="125"/>
        <v>0</v>
      </c>
      <c r="Y313" s="1">
        <f t="shared" si="126"/>
        <v>0</v>
      </c>
      <c r="Z313" s="1">
        <f t="shared" si="127"/>
        <v>0</v>
      </c>
      <c r="AA313" s="1">
        <f t="shared" si="128"/>
        <v>0</v>
      </c>
      <c r="AB313" s="1">
        <f t="shared" si="129"/>
        <v>0</v>
      </c>
      <c r="AD313" s="1">
        <f t="shared" si="130"/>
        <v>0</v>
      </c>
      <c r="AE313" s="1">
        <f t="shared" si="131"/>
        <v>0</v>
      </c>
      <c r="AF313" s="1">
        <f t="shared" si="116"/>
        <v>0</v>
      </c>
      <c r="AG313" s="1">
        <f t="shared" si="117"/>
        <v>0</v>
      </c>
      <c r="AH313" s="1">
        <f t="shared" si="118"/>
        <v>0</v>
      </c>
      <c r="AI313" s="1">
        <f t="shared" si="119"/>
        <v>1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1835</v>
      </c>
      <c r="E314" s="35" t="s">
        <v>1836</v>
      </c>
      <c r="F314" s="35" t="s">
        <v>1837</v>
      </c>
      <c r="G314" s="35" t="s">
        <v>197</v>
      </c>
      <c r="H314" s="35" t="s">
        <v>355</v>
      </c>
      <c r="I314" s="34" t="s">
        <v>1838</v>
      </c>
      <c r="J314" s="34"/>
      <c r="K314" s="36" t="s">
        <v>707</v>
      </c>
      <c r="L314" s="36">
        <v>20</v>
      </c>
      <c r="M314" s="37" t="s">
        <v>1839</v>
      </c>
      <c r="N314" s="37" t="s">
        <v>1755</v>
      </c>
      <c r="O314" s="38">
        <v>1</v>
      </c>
      <c r="P314" s="38"/>
      <c r="Q314" s="35"/>
      <c r="S314" s="1">
        <f t="shared" si="120"/>
        <v>0</v>
      </c>
      <c r="T314" s="1">
        <f t="shared" si="121"/>
        <v>0</v>
      </c>
      <c r="U314" s="1">
        <f t="shared" si="122"/>
        <v>0</v>
      </c>
      <c r="V314" s="1">
        <f t="shared" si="123"/>
        <v>0</v>
      </c>
      <c r="W314" s="1">
        <f t="shared" si="124"/>
        <v>0</v>
      </c>
      <c r="X314" s="1">
        <f t="shared" si="125"/>
        <v>0</v>
      </c>
      <c r="Y314" s="1">
        <f t="shared" si="126"/>
        <v>0</v>
      </c>
      <c r="Z314" s="1">
        <f t="shared" si="127"/>
        <v>0</v>
      </c>
      <c r="AA314" s="1">
        <f t="shared" si="128"/>
        <v>0</v>
      </c>
      <c r="AB314" s="1">
        <f t="shared" si="129"/>
        <v>0</v>
      </c>
      <c r="AD314" s="1">
        <f t="shared" si="130"/>
        <v>0</v>
      </c>
      <c r="AE314" s="1">
        <f t="shared" si="131"/>
        <v>1</v>
      </c>
      <c r="AF314" s="1">
        <f t="shared" si="116"/>
        <v>0</v>
      </c>
      <c r="AG314" s="1">
        <f t="shared" si="117"/>
        <v>1</v>
      </c>
      <c r="AH314" s="1">
        <f t="shared" si="118"/>
        <v>0</v>
      </c>
      <c r="AI314" s="1">
        <f t="shared" si="119"/>
        <v>1</v>
      </c>
    </row>
    <row r="315" spans="1:35" ht="14.25" customHeight="1" x14ac:dyDescent="0.25">
      <c r="A315" s="15">
        <v>0</v>
      </c>
      <c r="B315" s="15">
        <v>2</v>
      </c>
      <c r="C315" s="15">
        <v>2</v>
      </c>
      <c r="D315" s="16" t="s">
        <v>1583</v>
      </c>
      <c r="E315" s="16" t="s">
        <v>1584</v>
      </c>
      <c r="F315" s="16" t="s">
        <v>1586</v>
      </c>
      <c r="G315" s="16" t="s">
        <v>1587</v>
      </c>
      <c r="H315" s="16" t="s">
        <v>355</v>
      </c>
      <c r="I315" s="15" t="s">
        <v>1585</v>
      </c>
      <c r="J315" s="15">
        <v>99</v>
      </c>
      <c r="K315" s="10" t="s">
        <v>707</v>
      </c>
      <c r="L315" s="10">
        <v>18</v>
      </c>
      <c r="M315" s="19" t="s">
        <v>1588</v>
      </c>
      <c r="N315" s="17"/>
      <c r="Q315" s="16"/>
      <c r="S315" s="1">
        <f t="shared" si="120"/>
        <v>0</v>
      </c>
      <c r="T315" s="1">
        <f t="shared" si="121"/>
        <v>0</v>
      </c>
      <c r="U315" s="1">
        <f t="shared" si="122"/>
        <v>0</v>
      </c>
      <c r="V315" s="1">
        <f t="shared" si="123"/>
        <v>0</v>
      </c>
      <c r="W315" s="1">
        <f t="shared" si="124"/>
        <v>0</v>
      </c>
      <c r="X315" s="1">
        <f t="shared" si="125"/>
        <v>0</v>
      </c>
      <c r="Y315" s="1">
        <f t="shared" si="126"/>
        <v>0</v>
      </c>
      <c r="Z315" s="1">
        <f t="shared" si="127"/>
        <v>0</v>
      </c>
      <c r="AA315" s="1">
        <f t="shared" si="128"/>
        <v>0</v>
      </c>
      <c r="AB315" s="1">
        <f t="shared" si="129"/>
        <v>0</v>
      </c>
      <c r="AD315" s="1">
        <f t="shared" si="130"/>
        <v>0</v>
      </c>
      <c r="AE315" s="1">
        <f t="shared" si="131"/>
        <v>0</v>
      </c>
      <c r="AF315" s="1">
        <f t="shared" si="116"/>
        <v>0</v>
      </c>
      <c r="AG315" s="1">
        <f t="shared" si="117"/>
        <v>0</v>
      </c>
      <c r="AH315" s="1">
        <f t="shared" si="118"/>
        <v>0</v>
      </c>
      <c r="AI315" s="1">
        <f t="shared" si="119"/>
        <v>1</v>
      </c>
    </row>
    <row r="316" spans="1:35" ht="14.25" customHeight="1" x14ac:dyDescent="0.25">
      <c r="A316" s="52">
        <v>0</v>
      </c>
      <c r="B316" s="52">
        <v>2</v>
      </c>
      <c r="C316" s="52">
        <v>2</v>
      </c>
      <c r="D316" s="53" t="s">
        <v>64</v>
      </c>
      <c r="E316" s="53" t="s">
        <v>33</v>
      </c>
      <c r="F316" s="53" t="s">
        <v>242</v>
      </c>
      <c r="G316" s="53" t="s">
        <v>243</v>
      </c>
      <c r="H316" s="53" t="s">
        <v>355</v>
      </c>
      <c r="I316" s="52" t="s">
        <v>407</v>
      </c>
      <c r="J316" s="52">
        <v>1</v>
      </c>
      <c r="K316" s="54" t="s">
        <v>965</v>
      </c>
      <c r="L316" s="54" t="s">
        <v>720</v>
      </c>
      <c r="M316" s="55" t="s">
        <v>721</v>
      </c>
      <c r="N316" s="55" t="s">
        <v>1750</v>
      </c>
      <c r="O316" s="56">
        <v>1</v>
      </c>
      <c r="P316" s="56"/>
      <c r="Q316" s="53"/>
      <c r="S316" s="1">
        <f t="shared" si="120"/>
        <v>1</v>
      </c>
      <c r="T316" s="1">
        <f t="shared" si="121"/>
        <v>0</v>
      </c>
      <c r="U316" s="1">
        <f t="shared" si="122"/>
        <v>0</v>
      </c>
      <c r="V316" s="1">
        <f t="shared" si="123"/>
        <v>0</v>
      </c>
      <c r="W316" s="1">
        <f t="shared" si="124"/>
        <v>0</v>
      </c>
      <c r="X316" s="1">
        <f t="shared" si="125"/>
        <v>0</v>
      </c>
      <c r="Y316" s="1">
        <f t="shared" si="126"/>
        <v>0</v>
      </c>
      <c r="Z316" s="1">
        <f t="shared" si="127"/>
        <v>0</v>
      </c>
      <c r="AA316" s="1">
        <f t="shared" si="128"/>
        <v>0</v>
      </c>
      <c r="AB316" s="1">
        <f t="shared" si="129"/>
        <v>0</v>
      </c>
      <c r="AD316" s="1">
        <f t="shared" si="130"/>
        <v>0</v>
      </c>
      <c r="AE316" s="1">
        <f t="shared" si="131"/>
        <v>1</v>
      </c>
      <c r="AF316" s="1">
        <f t="shared" si="116"/>
        <v>0</v>
      </c>
      <c r="AG316" s="1">
        <f t="shared" si="117"/>
        <v>1</v>
      </c>
      <c r="AH316" s="1">
        <f t="shared" si="118"/>
        <v>0</v>
      </c>
      <c r="AI316" s="1">
        <f t="shared" si="119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62</v>
      </c>
      <c r="E317" s="53" t="s">
        <v>1090</v>
      </c>
      <c r="F317" s="53" t="s">
        <v>235</v>
      </c>
      <c r="G317" s="53" t="s">
        <v>236</v>
      </c>
      <c r="H317" s="53" t="s">
        <v>355</v>
      </c>
      <c r="I317" s="52" t="s">
        <v>1372</v>
      </c>
      <c r="J317" s="52">
        <v>99</v>
      </c>
      <c r="K317" s="54" t="s">
        <v>959</v>
      </c>
      <c r="L317" s="54" t="s">
        <v>720</v>
      </c>
      <c r="M317" s="55" t="s">
        <v>722</v>
      </c>
      <c r="N317" s="55" t="s">
        <v>1750</v>
      </c>
      <c r="O317" s="56">
        <v>1</v>
      </c>
      <c r="P317" s="56"/>
      <c r="Q317" s="53"/>
      <c r="S317" s="1">
        <f t="shared" si="120"/>
        <v>0</v>
      </c>
      <c r="T317" s="1">
        <f t="shared" si="121"/>
        <v>0</v>
      </c>
      <c r="U317" s="1">
        <f t="shared" si="122"/>
        <v>0</v>
      </c>
      <c r="V317" s="1">
        <f t="shared" si="123"/>
        <v>0</v>
      </c>
      <c r="W317" s="1">
        <f t="shared" si="124"/>
        <v>0</v>
      </c>
      <c r="X317" s="1">
        <f t="shared" si="125"/>
        <v>0</v>
      </c>
      <c r="Y317" s="1">
        <f t="shared" si="126"/>
        <v>0</v>
      </c>
      <c r="Z317" s="1">
        <f t="shared" si="127"/>
        <v>0</v>
      </c>
      <c r="AA317" s="1">
        <f t="shared" si="128"/>
        <v>0</v>
      </c>
      <c r="AB317" s="1">
        <f t="shared" si="129"/>
        <v>0</v>
      </c>
      <c r="AD317" s="1">
        <f t="shared" si="130"/>
        <v>0</v>
      </c>
      <c r="AE317" s="1">
        <f t="shared" si="131"/>
        <v>1</v>
      </c>
      <c r="AF317" s="1">
        <f t="shared" si="116"/>
        <v>0</v>
      </c>
      <c r="AG317" s="1">
        <f t="shared" si="117"/>
        <v>1</v>
      </c>
      <c r="AH317" s="1">
        <f t="shared" si="118"/>
        <v>0</v>
      </c>
      <c r="AI317" s="1">
        <f t="shared" si="119"/>
        <v>1</v>
      </c>
    </row>
    <row r="318" spans="1:35" ht="14.25" customHeight="1" x14ac:dyDescent="0.25">
      <c r="A318" s="34">
        <v>0</v>
      </c>
      <c r="B318" s="34">
        <v>2</v>
      </c>
      <c r="C318" s="34">
        <v>2</v>
      </c>
      <c r="D318" s="35" t="s">
        <v>1723</v>
      </c>
      <c r="E318" s="35" t="s">
        <v>1725</v>
      </c>
      <c r="F318" s="35" t="s">
        <v>1724</v>
      </c>
      <c r="G318" s="35"/>
      <c r="H318" s="35" t="s">
        <v>355</v>
      </c>
      <c r="I318" s="34" t="s">
        <v>1726</v>
      </c>
      <c r="J318" s="34"/>
      <c r="K318" s="36" t="s">
        <v>707</v>
      </c>
      <c r="L318" s="36"/>
      <c r="M318" s="37"/>
      <c r="N318" s="37" t="s">
        <v>1734</v>
      </c>
      <c r="O318" s="38">
        <v>1</v>
      </c>
      <c r="P318" s="38">
        <v>1</v>
      </c>
      <c r="Q318" s="35"/>
      <c r="S318" s="1">
        <f t="shared" si="120"/>
        <v>0</v>
      </c>
      <c r="T318" s="1">
        <f t="shared" si="121"/>
        <v>0</v>
      </c>
      <c r="U318" s="1">
        <f t="shared" si="122"/>
        <v>0</v>
      </c>
      <c r="V318" s="1">
        <f t="shared" si="123"/>
        <v>0</v>
      </c>
      <c r="W318" s="1">
        <f t="shared" si="124"/>
        <v>0</v>
      </c>
      <c r="X318" s="1">
        <f t="shared" si="125"/>
        <v>0</v>
      </c>
      <c r="Y318" s="1">
        <f t="shared" si="126"/>
        <v>0</v>
      </c>
      <c r="Z318" s="1">
        <f t="shared" si="127"/>
        <v>0</v>
      </c>
      <c r="AA318" s="1">
        <f t="shared" si="128"/>
        <v>0</v>
      </c>
      <c r="AB318" s="1">
        <f t="shared" si="129"/>
        <v>0</v>
      </c>
      <c r="AD318" s="1">
        <f t="shared" si="130"/>
        <v>1</v>
      </c>
      <c r="AE318" s="1">
        <f t="shared" si="131"/>
        <v>0</v>
      </c>
      <c r="AF318" s="1">
        <f t="shared" si="116"/>
        <v>1</v>
      </c>
      <c r="AG318" s="1">
        <f t="shared" si="117"/>
        <v>0</v>
      </c>
      <c r="AH318" s="1">
        <f t="shared" si="118"/>
        <v>1</v>
      </c>
      <c r="AI318" s="1">
        <f t="shared" si="119"/>
        <v>0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791</v>
      </c>
      <c r="E319" s="48" t="s">
        <v>913</v>
      </c>
      <c r="F319" s="48" t="s">
        <v>1578</v>
      </c>
      <c r="G319" s="48" t="s">
        <v>231</v>
      </c>
      <c r="H319" s="48" t="s">
        <v>355</v>
      </c>
      <c r="I319" s="47" t="s">
        <v>1701</v>
      </c>
      <c r="J319" s="47">
        <v>7</v>
      </c>
      <c r="K319" s="49" t="s">
        <v>717</v>
      </c>
      <c r="L319" s="49">
        <v>20</v>
      </c>
      <c r="M319" s="50" t="s">
        <v>39</v>
      </c>
      <c r="N319" s="50" t="s">
        <v>1741</v>
      </c>
      <c r="O319" s="51"/>
      <c r="P319" s="51"/>
      <c r="Q319" s="48"/>
      <c r="S319" s="1">
        <f t="shared" si="120"/>
        <v>0</v>
      </c>
      <c r="T319" s="1">
        <f t="shared" si="121"/>
        <v>0</v>
      </c>
      <c r="U319" s="1">
        <f t="shared" si="122"/>
        <v>0</v>
      </c>
      <c r="V319" s="1">
        <f t="shared" si="123"/>
        <v>0</v>
      </c>
      <c r="W319" s="1">
        <f t="shared" si="124"/>
        <v>0</v>
      </c>
      <c r="X319" s="1">
        <f t="shared" si="125"/>
        <v>0</v>
      </c>
      <c r="Y319" s="1">
        <f t="shared" si="126"/>
        <v>1</v>
      </c>
      <c r="Z319" s="1">
        <f t="shared" si="127"/>
        <v>0</v>
      </c>
      <c r="AA319" s="1">
        <f t="shared" si="128"/>
        <v>0</v>
      </c>
      <c r="AB319" s="1">
        <f t="shared" si="129"/>
        <v>0</v>
      </c>
      <c r="AD319" s="1">
        <f t="shared" si="130"/>
        <v>0</v>
      </c>
      <c r="AE319" s="1">
        <f t="shared" si="131"/>
        <v>0</v>
      </c>
      <c r="AF319" s="1">
        <f t="shared" si="116"/>
        <v>0</v>
      </c>
      <c r="AG319" s="1">
        <f t="shared" si="117"/>
        <v>0</v>
      </c>
      <c r="AH319" s="1">
        <f t="shared" si="118"/>
        <v>0</v>
      </c>
      <c r="AI319" s="1">
        <f t="shared" si="119"/>
        <v>1</v>
      </c>
    </row>
    <row r="320" spans="1:35" ht="14.25" customHeight="1" x14ac:dyDescent="0.25">
      <c r="A320" s="34">
        <v>0</v>
      </c>
      <c r="B320" s="34">
        <v>2</v>
      </c>
      <c r="C320" s="34">
        <v>2</v>
      </c>
      <c r="D320" s="35" t="s">
        <v>856</v>
      </c>
      <c r="E320" s="35" t="s">
        <v>543</v>
      </c>
      <c r="F320" s="35" t="s">
        <v>858</v>
      </c>
      <c r="G320" s="35" t="s">
        <v>221</v>
      </c>
      <c r="H320" s="35" t="s">
        <v>355</v>
      </c>
      <c r="I320" s="34" t="s">
        <v>859</v>
      </c>
      <c r="J320" s="34">
        <v>8</v>
      </c>
      <c r="K320" s="36" t="s">
        <v>717</v>
      </c>
      <c r="L320" s="36" t="s">
        <v>720</v>
      </c>
      <c r="M320" s="37" t="s">
        <v>1420</v>
      </c>
      <c r="N320" s="37" t="s">
        <v>1750</v>
      </c>
      <c r="O320" s="38">
        <v>1</v>
      </c>
      <c r="P320" s="38"/>
      <c r="Q320" s="35"/>
      <c r="S320" s="1">
        <f t="shared" si="120"/>
        <v>0</v>
      </c>
      <c r="T320" s="1">
        <f t="shared" si="121"/>
        <v>0</v>
      </c>
      <c r="U320" s="1">
        <f t="shared" si="122"/>
        <v>0</v>
      </c>
      <c r="V320" s="1">
        <f t="shared" si="123"/>
        <v>0</v>
      </c>
      <c r="W320" s="1">
        <f t="shared" si="124"/>
        <v>0</v>
      </c>
      <c r="X320" s="1">
        <f t="shared" si="125"/>
        <v>0</v>
      </c>
      <c r="Y320" s="1">
        <f t="shared" si="126"/>
        <v>0</v>
      </c>
      <c r="Z320" s="1">
        <f t="shared" si="127"/>
        <v>1</v>
      </c>
      <c r="AA320" s="1">
        <f t="shared" si="128"/>
        <v>0</v>
      </c>
      <c r="AB320" s="1">
        <f t="shared" si="129"/>
        <v>0</v>
      </c>
      <c r="AD320" s="1">
        <f t="shared" si="130"/>
        <v>0</v>
      </c>
      <c r="AE320" s="1">
        <f t="shared" si="131"/>
        <v>1</v>
      </c>
      <c r="AF320" s="1">
        <f t="shared" si="116"/>
        <v>0</v>
      </c>
      <c r="AG320" s="1">
        <f t="shared" si="117"/>
        <v>1</v>
      </c>
      <c r="AH320" s="1">
        <f t="shared" si="118"/>
        <v>0</v>
      </c>
      <c r="AI320" s="1">
        <f t="shared" si="119"/>
        <v>1</v>
      </c>
    </row>
    <row r="321" spans="1:35" ht="14.25" customHeight="1" x14ac:dyDescent="0.25">
      <c r="A321" s="34">
        <v>1</v>
      </c>
      <c r="B321" s="34">
        <v>2</v>
      </c>
      <c r="C321" s="34">
        <v>2</v>
      </c>
      <c r="D321" s="35" t="s">
        <v>856</v>
      </c>
      <c r="E321" s="35" t="s">
        <v>543</v>
      </c>
      <c r="F321" s="35" t="s">
        <v>1360</v>
      </c>
      <c r="G321" s="35" t="s">
        <v>195</v>
      </c>
      <c r="H321" s="35" t="s">
        <v>355</v>
      </c>
      <c r="I321" s="34" t="s">
        <v>857</v>
      </c>
      <c r="J321" s="34">
        <v>9</v>
      </c>
      <c r="K321" s="36" t="s">
        <v>717</v>
      </c>
      <c r="L321" s="36" t="s">
        <v>720</v>
      </c>
      <c r="M321" s="37" t="s">
        <v>1420</v>
      </c>
      <c r="N321" s="37" t="s">
        <v>1750</v>
      </c>
      <c r="O321" s="38">
        <v>1</v>
      </c>
      <c r="P321" s="38"/>
      <c r="Q321" s="35"/>
      <c r="S321" s="1">
        <f t="shared" si="120"/>
        <v>0</v>
      </c>
      <c r="T321" s="1">
        <f t="shared" si="121"/>
        <v>0</v>
      </c>
      <c r="U321" s="1">
        <f t="shared" si="122"/>
        <v>0</v>
      </c>
      <c r="V321" s="1">
        <f t="shared" si="123"/>
        <v>0</v>
      </c>
      <c r="W321" s="1">
        <f t="shared" si="124"/>
        <v>0</v>
      </c>
      <c r="X321" s="1">
        <f t="shared" si="125"/>
        <v>0</v>
      </c>
      <c r="Y321" s="1">
        <f t="shared" si="126"/>
        <v>0</v>
      </c>
      <c r="Z321" s="1">
        <f t="shared" si="127"/>
        <v>0</v>
      </c>
      <c r="AA321" s="1">
        <f t="shared" si="128"/>
        <v>1</v>
      </c>
      <c r="AB321" s="1">
        <f t="shared" si="129"/>
        <v>0</v>
      </c>
      <c r="AD321" s="1">
        <f t="shared" si="130"/>
        <v>0</v>
      </c>
      <c r="AE321" s="1">
        <f t="shared" si="131"/>
        <v>1</v>
      </c>
      <c r="AF321" s="1">
        <f t="shared" si="116"/>
        <v>0</v>
      </c>
      <c r="AG321" s="1">
        <f t="shared" si="117"/>
        <v>0</v>
      </c>
      <c r="AH321" s="1">
        <f t="shared" si="118"/>
        <v>0</v>
      </c>
      <c r="AI321" s="1">
        <f t="shared" si="119"/>
        <v>0</v>
      </c>
    </row>
    <row r="322" spans="1:35" ht="14.25" customHeight="1" x14ac:dyDescent="0.25">
      <c r="A322" s="47">
        <v>0</v>
      </c>
      <c r="B322" s="47">
        <v>2</v>
      </c>
      <c r="C322" s="47">
        <v>2</v>
      </c>
      <c r="D322" s="48" t="s">
        <v>922</v>
      </c>
      <c r="E322" s="48" t="s">
        <v>789</v>
      </c>
      <c r="F322" s="48" t="s">
        <v>790</v>
      </c>
      <c r="G322" s="48" t="s">
        <v>231</v>
      </c>
      <c r="H322" s="48" t="s">
        <v>355</v>
      </c>
      <c r="I322" s="47" t="s">
        <v>792</v>
      </c>
      <c r="J322" s="47">
        <v>7</v>
      </c>
      <c r="K322" s="49" t="s">
        <v>716</v>
      </c>
      <c r="L322" s="49">
        <v>15</v>
      </c>
      <c r="M322" s="50" t="s">
        <v>39</v>
      </c>
      <c r="N322" s="50" t="s">
        <v>1742</v>
      </c>
      <c r="O322" s="51"/>
      <c r="P322" s="51"/>
      <c r="Q322" s="48"/>
      <c r="S322" s="1">
        <f t="shared" si="120"/>
        <v>0</v>
      </c>
      <c r="T322" s="1">
        <f t="shared" si="121"/>
        <v>0</v>
      </c>
      <c r="U322" s="1">
        <f t="shared" si="122"/>
        <v>0</v>
      </c>
      <c r="V322" s="1">
        <f t="shared" si="123"/>
        <v>0</v>
      </c>
      <c r="W322" s="1">
        <f t="shared" si="124"/>
        <v>0</v>
      </c>
      <c r="X322" s="1">
        <f t="shared" si="125"/>
        <v>0</v>
      </c>
      <c r="Y322" s="1">
        <f t="shared" si="126"/>
        <v>1</v>
      </c>
      <c r="Z322" s="1">
        <f t="shared" si="127"/>
        <v>0</v>
      </c>
      <c r="AA322" s="1">
        <f t="shared" si="128"/>
        <v>0</v>
      </c>
      <c r="AB322" s="1">
        <f t="shared" si="129"/>
        <v>0</v>
      </c>
      <c r="AD322" s="1">
        <f t="shared" si="130"/>
        <v>0</v>
      </c>
      <c r="AE322" s="1">
        <f t="shared" si="131"/>
        <v>0</v>
      </c>
      <c r="AF322" s="1">
        <f t="shared" si="116"/>
        <v>0</v>
      </c>
      <c r="AG322" s="1">
        <f t="shared" si="117"/>
        <v>0</v>
      </c>
      <c r="AH322" s="1">
        <f t="shared" si="118"/>
        <v>0</v>
      </c>
      <c r="AI322" s="1">
        <f t="shared" si="119"/>
        <v>1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83</v>
      </c>
      <c r="E323" s="48" t="s">
        <v>158</v>
      </c>
      <c r="F323" s="68" t="s">
        <v>1879</v>
      </c>
      <c r="G323" s="48" t="s">
        <v>210</v>
      </c>
      <c r="H323" s="48" t="s">
        <v>355</v>
      </c>
      <c r="I323" s="47" t="s">
        <v>433</v>
      </c>
      <c r="J323" s="47">
        <v>99</v>
      </c>
      <c r="K323" s="49" t="s">
        <v>958</v>
      </c>
      <c r="L323" s="49" t="s">
        <v>708</v>
      </c>
      <c r="M323" s="50" t="s">
        <v>723</v>
      </c>
      <c r="N323" s="50" t="s">
        <v>1742</v>
      </c>
      <c r="O323" s="51"/>
      <c r="P323" s="51"/>
      <c r="Q323" s="48"/>
      <c r="S323" s="1">
        <f t="shared" si="120"/>
        <v>0</v>
      </c>
      <c r="T323" s="1">
        <f t="shared" si="121"/>
        <v>0</v>
      </c>
      <c r="U323" s="1">
        <f t="shared" si="122"/>
        <v>0</v>
      </c>
      <c r="V323" s="1">
        <f t="shared" si="123"/>
        <v>0</v>
      </c>
      <c r="W323" s="1">
        <f t="shared" si="124"/>
        <v>0</v>
      </c>
      <c r="X323" s="1">
        <f t="shared" si="125"/>
        <v>0</v>
      </c>
      <c r="Y323" s="1">
        <f t="shared" si="126"/>
        <v>0</v>
      </c>
      <c r="Z323" s="1">
        <f t="shared" si="127"/>
        <v>0</v>
      </c>
      <c r="AA323" s="1">
        <f t="shared" si="128"/>
        <v>0</v>
      </c>
      <c r="AB323" s="1">
        <f t="shared" si="129"/>
        <v>0</v>
      </c>
      <c r="AD323" s="1">
        <f t="shared" si="130"/>
        <v>0</v>
      </c>
      <c r="AE323" s="1">
        <f t="shared" si="131"/>
        <v>0</v>
      </c>
      <c r="AF323" s="1">
        <f t="shared" si="116"/>
        <v>0</v>
      </c>
      <c r="AG323" s="1">
        <f t="shared" si="117"/>
        <v>0</v>
      </c>
      <c r="AH323" s="1">
        <f t="shared" si="118"/>
        <v>0</v>
      </c>
      <c r="AI323" s="1">
        <f t="shared" si="119"/>
        <v>1</v>
      </c>
    </row>
    <row r="324" spans="1:35" ht="14.25" customHeight="1" x14ac:dyDescent="0.25">
      <c r="A324" s="41">
        <v>0</v>
      </c>
      <c r="B324" s="41">
        <v>2</v>
      </c>
      <c r="C324" s="41">
        <v>2</v>
      </c>
      <c r="D324" s="42" t="s">
        <v>1571</v>
      </c>
      <c r="E324" s="42" t="s">
        <v>1341</v>
      </c>
      <c r="F324" s="42" t="s">
        <v>1572</v>
      </c>
      <c r="G324" s="42" t="s">
        <v>1172</v>
      </c>
      <c r="H324" s="42" t="s">
        <v>355</v>
      </c>
      <c r="I324" s="41" t="s">
        <v>1573</v>
      </c>
      <c r="J324" s="41">
        <v>1</v>
      </c>
      <c r="K324" s="43" t="s">
        <v>717</v>
      </c>
      <c r="L324" s="43" t="s">
        <v>39</v>
      </c>
      <c r="M324" s="44" t="s">
        <v>39</v>
      </c>
      <c r="N324" s="45"/>
      <c r="O324" s="46"/>
      <c r="P324" s="46">
        <v>1</v>
      </c>
      <c r="Q324" s="42"/>
      <c r="S324" s="1">
        <f t="shared" si="120"/>
        <v>1</v>
      </c>
      <c r="T324" s="1">
        <f t="shared" si="121"/>
        <v>0</v>
      </c>
      <c r="U324" s="1">
        <f t="shared" si="122"/>
        <v>0</v>
      </c>
      <c r="V324" s="1">
        <f t="shared" si="123"/>
        <v>0</v>
      </c>
      <c r="W324" s="1">
        <f t="shared" si="124"/>
        <v>0</v>
      </c>
      <c r="X324" s="1">
        <f t="shared" si="125"/>
        <v>0</v>
      </c>
      <c r="Y324" s="1">
        <f t="shared" si="126"/>
        <v>0</v>
      </c>
      <c r="Z324" s="1">
        <f t="shared" si="127"/>
        <v>0</v>
      </c>
      <c r="AA324" s="1">
        <f t="shared" si="128"/>
        <v>0</v>
      </c>
      <c r="AB324" s="1">
        <f t="shared" si="129"/>
        <v>0</v>
      </c>
      <c r="AD324" s="1">
        <f t="shared" si="130"/>
        <v>0</v>
      </c>
      <c r="AE324" s="1">
        <f t="shared" si="131"/>
        <v>0</v>
      </c>
      <c r="AF324" s="1">
        <f t="shared" si="116"/>
        <v>0</v>
      </c>
      <c r="AG324" s="1">
        <f t="shared" si="117"/>
        <v>0</v>
      </c>
      <c r="AH324" s="1">
        <f t="shared" si="118"/>
        <v>1</v>
      </c>
      <c r="AI324" s="1">
        <f t="shared" si="119"/>
        <v>0</v>
      </c>
    </row>
    <row r="325" spans="1:35" ht="14.25" customHeight="1" x14ac:dyDescent="0.25">
      <c r="A325" s="34">
        <v>0</v>
      </c>
      <c r="B325" s="34">
        <v>2</v>
      </c>
      <c r="C325" s="34">
        <v>2</v>
      </c>
      <c r="D325" s="35" t="s">
        <v>1751</v>
      </c>
      <c r="E325" s="35" t="s">
        <v>27</v>
      </c>
      <c r="F325" s="35" t="s">
        <v>1048</v>
      </c>
      <c r="G325" s="35" t="s">
        <v>221</v>
      </c>
      <c r="H325" s="35" t="s">
        <v>355</v>
      </c>
      <c r="I325" s="34" t="s">
        <v>1049</v>
      </c>
      <c r="J325" s="34">
        <v>8</v>
      </c>
      <c r="K325" s="36" t="s">
        <v>717</v>
      </c>
      <c r="L325" s="36">
        <v>25</v>
      </c>
      <c r="M325" s="37" t="s">
        <v>1752</v>
      </c>
      <c r="N325" s="37" t="s">
        <v>1734</v>
      </c>
      <c r="O325" s="38">
        <v>1</v>
      </c>
      <c r="P325" s="38">
        <v>1</v>
      </c>
      <c r="Q325" s="35"/>
      <c r="S325" s="1">
        <f t="shared" si="120"/>
        <v>0</v>
      </c>
      <c r="T325" s="1">
        <f t="shared" si="121"/>
        <v>0</v>
      </c>
      <c r="U325" s="1">
        <f t="shared" si="122"/>
        <v>0</v>
      </c>
      <c r="V325" s="1">
        <f t="shared" si="123"/>
        <v>0</v>
      </c>
      <c r="W325" s="1">
        <f t="shared" si="124"/>
        <v>0</v>
      </c>
      <c r="X325" s="1">
        <f t="shared" si="125"/>
        <v>0</v>
      </c>
      <c r="Y325" s="1">
        <f t="shared" si="126"/>
        <v>0</v>
      </c>
      <c r="Z325" s="1">
        <f t="shared" si="127"/>
        <v>1</v>
      </c>
      <c r="AA325" s="1">
        <f t="shared" si="128"/>
        <v>0</v>
      </c>
      <c r="AB325" s="1">
        <f t="shared" si="129"/>
        <v>0</v>
      </c>
      <c r="AD325" s="1">
        <f t="shared" si="130"/>
        <v>1</v>
      </c>
      <c r="AE325" s="1">
        <f t="shared" si="131"/>
        <v>0</v>
      </c>
      <c r="AF325" s="1">
        <f t="shared" si="116"/>
        <v>1</v>
      </c>
      <c r="AG325" s="1">
        <f t="shared" si="117"/>
        <v>0</v>
      </c>
      <c r="AH325" s="1">
        <f t="shared" si="118"/>
        <v>1</v>
      </c>
      <c r="AI325" s="1">
        <f t="shared" si="119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45</v>
      </c>
      <c r="E326" s="35" t="s">
        <v>44</v>
      </c>
      <c r="F326" s="35" t="s">
        <v>672</v>
      </c>
      <c r="G326" s="35" t="s">
        <v>181</v>
      </c>
      <c r="H326" s="35" t="s">
        <v>355</v>
      </c>
      <c r="I326" s="34" t="s">
        <v>953</v>
      </c>
      <c r="J326" s="34">
        <v>10</v>
      </c>
      <c r="K326" s="36" t="s">
        <v>717</v>
      </c>
      <c r="L326" s="36" t="s">
        <v>724</v>
      </c>
      <c r="M326" s="37" t="s">
        <v>725</v>
      </c>
      <c r="N326" s="37" t="s">
        <v>1734</v>
      </c>
      <c r="O326" s="38">
        <v>1</v>
      </c>
      <c r="P326" s="38">
        <v>1</v>
      </c>
      <c r="Q326" s="35"/>
      <c r="S326" s="1">
        <f t="shared" si="120"/>
        <v>0</v>
      </c>
      <c r="T326" s="1">
        <f t="shared" si="121"/>
        <v>0</v>
      </c>
      <c r="U326" s="1">
        <f t="shared" si="122"/>
        <v>0</v>
      </c>
      <c r="V326" s="1">
        <f t="shared" si="123"/>
        <v>0</v>
      </c>
      <c r="W326" s="1">
        <f t="shared" si="124"/>
        <v>0</v>
      </c>
      <c r="X326" s="1">
        <f t="shared" si="125"/>
        <v>0</v>
      </c>
      <c r="Y326" s="1">
        <f t="shared" si="126"/>
        <v>0</v>
      </c>
      <c r="Z326" s="1">
        <f t="shared" si="127"/>
        <v>0</v>
      </c>
      <c r="AA326" s="1">
        <f t="shared" si="128"/>
        <v>0</v>
      </c>
      <c r="AB326" s="1">
        <f t="shared" si="129"/>
        <v>1</v>
      </c>
      <c r="AD326" s="1">
        <f t="shared" si="130"/>
        <v>1</v>
      </c>
      <c r="AE326" s="1">
        <f t="shared" si="131"/>
        <v>0</v>
      </c>
      <c r="AF326" s="1">
        <f t="shared" si="116"/>
        <v>1</v>
      </c>
      <c r="AG326" s="1">
        <f t="shared" si="117"/>
        <v>0</v>
      </c>
      <c r="AH326" s="1">
        <f t="shared" si="118"/>
        <v>1</v>
      </c>
      <c r="AI326" s="1">
        <f t="shared" si="119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1455</v>
      </c>
      <c r="E327" s="35" t="s">
        <v>1660</v>
      </c>
      <c r="F327" s="35" t="s">
        <v>1675</v>
      </c>
      <c r="G327" s="35" t="s">
        <v>231</v>
      </c>
      <c r="H327" s="35" t="s">
        <v>355</v>
      </c>
      <c r="I327" s="34" t="s">
        <v>1456</v>
      </c>
      <c r="J327" s="34">
        <v>99</v>
      </c>
      <c r="K327" s="36" t="s">
        <v>959</v>
      </c>
      <c r="L327" s="36">
        <v>20</v>
      </c>
      <c r="M327" s="37" t="s">
        <v>39</v>
      </c>
      <c r="N327" s="37" t="s">
        <v>1734</v>
      </c>
      <c r="O327" s="38">
        <v>1</v>
      </c>
      <c r="P327" s="38">
        <v>1</v>
      </c>
      <c r="Q327" s="35"/>
      <c r="S327" s="1">
        <f t="shared" si="120"/>
        <v>0</v>
      </c>
      <c r="T327" s="1">
        <f t="shared" si="121"/>
        <v>0</v>
      </c>
      <c r="U327" s="1">
        <f t="shared" si="122"/>
        <v>0</v>
      </c>
      <c r="V327" s="1">
        <f t="shared" si="123"/>
        <v>0</v>
      </c>
      <c r="W327" s="1">
        <f t="shared" si="124"/>
        <v>0</v>
      </c>
      <c r="X327" s="1">
        <f t="shared" si="125"/>
        <v>0</v>
      </c>
      <c r="Y327" s="1">
        <f t="shared" si="126"/>
        <v>0</v>
      </c>
      <c r="Z327" s="1">
        <f t="shared" si="127"/>
        <v>0</v>
      </c>
      <c r="AA327" s="1">
        <f t="shared" si="128"/>
        <v>0</v>
      </c>
      <c r="AB327" s="1">
        <f t="shared" si="129"/>
        <v>0</v>
      </c>
      <c r="AD327" s="1">
        <f t="shared" si="130"/>
        <v>1</v>
      </c>
      <c r="AE327" s="1">
        <f t="shared" si="131"/>
        <v>0</v>
      </c>
      <c r="AF327" s="1">
        <f t="shared" si="116"/>
        <v>1</v>
      </c>
      <c r="AG327" s="1">
        <f t="shared" si="117"/>
        <v>0</v>
      </c>
      <c r="AH327" s="1">
        <f t="shared" si="118"/>
        <v>1</v>
      </c>
      <c r="AI327" s="1">
        <f t="shared" si="119"/>
        <v>0</v>
      </c>
    </row>
    <row r="328" spans="1:35" ht="14.25" customHeight="1" x14ac:dyDescent="0.25">
      <c r="A328" s="70">
        <v>0</v>
      </c>
      <c r="B328" s="70">
        <v>2</v>
      </c>
      <c r="C328" s="70">
        <v>2</v>
      </c>
      <c r="D328" s="57" t="s">
        <v>2000</v>
      </c>
      <c r="E328" s="57" t="s">
        <v>2001</v>
      </c>
      <c r="F328" s="57" t="s">
        <v>2002</v>
      </c>
      <c r="G328" s="57" t="s">
        <v>180</v>
      </c>
      <c r="H328" s="57" t="s">
        <v>355</v>
      </c>
      <c r="I328" s="70" t="s">
        <v>2003</v>
      </c>
      <c r="J328" s="70"/>
      <c r="K328" s="70" t="s">
        <v>707</v>
      </c>
      <c r="L328" s="70"/>
      <c r="M328" s="57"/>
      <c r="N328" s="57"/>
      <c r="O328" s="71"/>
      <c r="P328" s="71">
        <v>1</v>
      </c>
      <c r="Q328" s="57"/>
      <c r="S328" s="1">
        <f t="shared" si="120"/>
        <v>0</v>
      </c>
      <c r="T328" s="1">
        <f t="shared" si="121"/>
        <v>0</v>
      </c>
      <c r="U328" s="1">
        <f t="shared" si="122"/>
        <v>0</v>
      </c>
      <c r="V328" s="1">
        <f t="shared" si="123"/>
        <v>0</v>
      </c>
      <c r="W328" s="1">
        <f t="shared" si="124"/>
        <v>0</v>
      </c>
      <c r="X328" s="1">
        <f t="shared" si="125"/>
        <v>0</v>
      </c>
      <c r="Y328" s="1">
        <f t="shared" si="126"/>
        <v>0</v>
      </c>
      <c r="Z328" s="1">
        <f t="shared" si="127"/>
        <v>0</v>
      </c>
      <c r="AA328" s="1">
        <f t="shared" si="128"/>
        <v>0</v>
      </c>
      <c r="AB328" s="1">
        <f t="shared" si="129"/>
        <v>0</v>
      </c>
      <c r="AD328" s="1">
        <f t="shared" si="130"/>
        <v>0</v>
      </c>
      <c r="AE328" s="1">
        <f t="shared" si="131"/>
        <v>0</v>
      </c>
      <c r="AF328" s="1">
        <f t="shared" si="116"/>
        <v>0</v>
      </c>
      <c r="AG328" s="1">
        <f t="shared" si="117"/>
        <v>0</v>
      </c>
      <c r="AH328" s="1">
        <f t="shared" si="118"/>
        <v>1</v>
      </c>
      <c r="AI328" s="1">
        <f t="shared" si="119"/>
        <v>0</v>
      </c>
    </row>
    <row r="329" spans="1:35" ht="14.25" customHeight="1" x14ac:dyDescent="0.25">
      <c r="A329" s="52">
        <v>0</v>
      </c>
      <c r="B329" s="52">
        <v>2</v>
      </c>
      <c r="C329" s="52">
        <v>2</v>
      </c>
      <c r="D329" s="53" t="s">
        <v>608</v>
      </c>
      <c r="E329" s="53" t="s">
        <v>609</v>
      </c>
      <c r="F329" s="53" t="s">
        <v>610</v>
      </c>
      <c r="G329" s="53" t="s">
        <v>258</v>
      </c>
      <c r="H329" s="53" t="s">
        <v>355</v>
      </c>
      <c r="I329" s="52" t="s">
        <v>611</v>
      </c>
      <c r="J329" s="52">
        <v>99</v>
      </c>
      <c r="K329" s="54" t="s">
        <v>959</v>
      </c>
      <c r="L329" s="54" t="s">
        <v>708</v>
      </c>
      <c r="M329" s="55" t="s">
        <v>1421</v>
      </c>
      <c r="N329" s="55" t="s">
        <v>1750</v>
      </c>
      <c r="O329" s="56">
        <v>1</v>
      </c>
      <c r="P329" s="56"/>
      <c r="Q329" s="53"/>
      <c r="S329" s="1">
        <f t="shared" si="120"/>
        <v>0</v>
      </c>
      <c r="T329" s="1">
        <f t="shared" si="121"/>
        <v>0</v>
      </c>
      <c r="U329" s="1">
        <f t="shared" si="122"/>
        <v>0</v>
      </c>
      <c r="V329" s="1">
        <f t="shared" si="123"/>
        <v>0</v>
      </c>
      <c r="W329" s="1">
        <f t="shared" si="124"/>
        <v>0</v>
      </c>
      <c r="X329" s="1">
        <f t="shared" si="125"/>
        <v>0</v>
      </c>
      <c r="Y329" s="1">
        <f t="shared" si="126"/>
        <v>0</v>
      </c>
      <c r="Z329" s="1">
        <f t="shared" si="127"/>
        <v>0</v>
      </c>
      <c r="AA329" s="1">
        <f t="shared" si="128"/>
        <v>0</v>
      </c>
      <c r="AB329" s="1">
        <f t="shared" si="129"/>
        <v>0</v>
      </c>
      <c r="AD329" s="1">
        <f t="shared" si="130"/>
        <v>0</v>
      </c>
      <c r="AE329" s="1">
        <f t="shared" si="131"/>
        <v>1</v>
      </c>
      <c r="AF329" s="1">
        <f t="shared" si="116"/>
        <v>0</v>
      </c>
      <c r="AG329" s="1">
        <f t="shared" si="117"/>
        <v>1</v>
      </c>
      <c r="AH329" s="1">
        <f t="shared" si="118"/>
        <v>0</v>
      </c>
      <c r="AI329" s="1">
        <f t="shared" si="119"/>
        <v>1</v>
      </c>
    </row>
    <row r="330" spans="1:35" ht="14.25" customHeight="1" x14ac:dyDescent="0.25">
      <c r="A330" s="34">
        <v>0</v>
      </c>
      <c r="B330" s="34">
        <v>2</v>
      </c>
      <c r="C330" s="34">
        <v>2</v>
      </c>
      <c r="D330" s="35" t="s">
        <v>1932</v>
      </c>
      <c r="E330" s="35" t="s">
        <v>1933</v>
      </c>
      <c r="F330" s="35" t="s">
        <v>1934</v>
      </c>
      <c r="G330" s="35" t="s">
        <v>185</v>
      </c>
      <c r="H330" s="35" t="s">
        <v>355</v>
      </c>
      <c r="I330" s="34" t="s">
        <v>1936</v>
      </c>
      <c r="J330" s="34">
        <v>99</v>
      </c>
      <c r="K330" s="36" t="s">
        <v>707</v>
      </c>
      <c r="L330" s="36"/>
      <c r="M330" s="37"/>
      <c r="N330" s="37" t="s">
        <v>1734</v>
      </c>
      <c r="O330" s="38">
        <v>1</v>
      </c>
      <c r="P330" s="38">
        <v>1</v>
      </c>
      <c r="Q330" s="35" t="s">
        <v>1935</v>
      </c>
      <c r="S330" s="1">
        <f t="shared" si="120"/>
        <v>0</v>
      </c>
      <c r="T330" s="1">
        <f t="shared" si="121"/>
        <v>0</v>
      </c>
      <c r="U330" s="1">
        <f t="shared" si="122"/>
        <v>0</v>
      </c>
      <c r="V330" s="1">
        <f t="shared" si="123"/>
        <v>0</v>
      </c>
      <c r="W330" s="1">
        <f t="shared" si="124"/>
        <v>0</v>
      </c>
      <c r="X330" s="1">
        <f t="shared" si="125"/>
        <v>0</v>
      </c>
      <c r="Y330" s="1">
        <f t="shared" si="126"/>
        <v>0</v>
      </c>
      <c r="Z330" s="1">
        <f t="shared" si="127"/>
        <v>0</v>
      </c>
      <c r="AA330" s="1">
        <f t="shared" si="128"/>
        <v>0</v>
      </c>
      <c r="AB330" s="1">
        <f t="shared" si="129"/>
        <v>0</v>
      </c>
      <c r="AD330" s="1">
        <f t="shared" si="130"/>
        <v>1</v>
      </c>
      <c r="AE330" s="1">
        <f t="shared" si="131"/>
        <v>0</v>
      </c>
      <c r="AF330" s="1">
        <f t="shared" si="116"/>
        <v>1</v>
      </c>
      <c r="AG330" s="1">
        <f t="shared" si="117"/>
        <v>0</v>
      </c>
      <c r="AH330" s="1">
        <f t="shared" si="118"/>
        <v>1</v>
      </c>
      <c r="AI330" s="1">
        <f t="shared" si="119"/>
        <v>0</v>
      </c>
    </row>
    <row r="331" spans="1:35" ht="14.25" customHeight="1" x14ac:dyDescent="0.25">
      <c r="A331" s="47">
        <v>0</v>
      </c>
      <c r="B331" s="47">
        <v>2</v>
      </c>
      <c r="C331" s="47">
        <v>2</v>
      </c>
      <c r="D331" s="48" t="s">
        <v>1650</v>
      </c>
      <c r="E331" s="48" t="s">
        <v>1175</v>
      </c>
      <c r="F331" s="48" t="s">
        <v>1681</v>
      </c>
      <c r="G331" s="48" t="s">
        <v>181</v>
      </c>
      <c r="H331" s="48" t="s">
        <v>355</v>
      </c>
      <c r="I331" s="47" t="s">
        <v>1501</v>
      </c>
      <c r="J331" s="47">
        <v>10</v>
      </c>
      <c r="K331" s="49" t="s">
        <v>716</v>
      </c>
      <c r="L331" s="49">
        <v>15</v>
      </c>
      <c r="M331" s="50" t="s">
        <v>39</v>
      </c>
      <c r="N331" s="50" t="s">
        <v>1747</v>
      </c>
      <c r="O331" s="51"/>
      <c r="P331" s="51"/>
      <c r="Q331" s="48"/>
      <c r="S331" s="1">
        <f t="shared" si="120"/>
        <v>0</v>
      </c>
      <c r="T331" s="1">
        <f t="shared" si="121"/>
        <v>0</v>
      </c>
      <c r="U331" s="1">
        <f t="shared" si="122"/>
        <v>0</v>
      </c>
      <c r="V331" s="1">
        <f t="shared" si="123"/>
        <v>0</v>
      </c>
      <c r="W331" s="1">
        <f t="shared" si="124"/>
        <v>0</v>
      </c>
      <c r="X331" s="1">
        <f t="shared" si="125"/>
        <v>0</v>
      </c>
      <c r="Y331" s="1">
        <f t="shared" si="126"/>
        <v>0</v>
      </c>
      <c r="Z331" s="1">
        <f t="shared" si="127"/>
        <v>0</v>
      </c>
      <c r="AA331" s="1">
        <f t="shared" si="128"/>
        <v>0</v>
      </c>
      <c r="AB331" s="1">
        <f t="shared" si="129"/>
        <v>1</v>
      </c>
      <c r="AD331" s="1">
        <f t="shared" si="130"/>
        <v>0</v>
      </c>
      <c r="AE331" s="1">
        <f t="shared" si="131"/>
        <v>0</v>
      </c>
      <c r="AF331" s="1">
        <f t="shared" ref="AF331:AF394" si="132">+O331*P331*(1-A331)</f>
        <v>0</v>
      </c>
      <c r="AG331" s="1">
        <f t="shared" ref="AG331:AG394" si="133">O331*(1-P331)*(1-A331)</f>
        <v>0</v>
      </c>
      <c r="AH331" s="1">
        <f t="shared" ref="AH331:AH394" si="134">+P331*(1-A331)</f>
        <v>0</v>
      </c>
      <c r="AI331" s="1">
        <f t="shared" ref="AI331:AI394" si="135">+(1-A331)*(1-P331)</f>
        <v>1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866</v>
      </c>
      <c r="E332" s="48" t="s">
        <v>546</v>
      </c>
      <c r="F332" s="48" t="s">
        <v>867</v>
      </c>
      <c r="G332" s="48" t="s">
        <v>315</v>
      </c>
      <c r="H332" s="48" t="s">
        <v>355</v>
      </c>
      <c r="I332" s="47" t="s">
        <v>868</v>
      </c>
      <c r="J332" s="47">
        <v>1</v>
      </c>
      <c r="K332" s="49" t="s">
        <v>716</v>
      </c>
      <c r="L332" s="49">
        <v>25</v>
      </c>
      <c r="M332" s="50" t="s">
        <v>39</v>
      </c>
      <c r="N332" s="50" t="s">
        <v>1742</v>
      </c>
      <c r="O332" s="51"/>
      <c r="P332" s="51"/>
      <c r="Q332" s="48"/>
      <c r="S332" s="1">
        <f t="shared" si="120"/>
        <v>1</v>
      </c>
      <c r="T332" s="1">
        <f t="shared" si="121"/>
        <v>0</v>
      </c>
      <c r="U332" s="1">
        <f t="shared" si="122"/>
        <v>0</v>
      </c>
      <c r="V332" s="1">
        <f t="shared" si="123"/>
        <v>0</v>
      </c>
      <c r="W332" s="1">
        <f t="shared" si="124"/>
        <v>0</v>
      </c>
      <c r="X332" s="1">
        <f t="shared" si="125"/>
        <v>0</v>
      </c>
      <c r="Y332" s="1">
        <f t="shared" si="126"/>
        <v>0</v>
      </c>
      <c r="Z332" s="1">
        <f t="shared" si="127"/>
        <v>0</v>
      </c>
      <c r="AA332" s="1">
        <f t="shared" si="128"/>
        <v>0</v>
      </c>
      <c r="AB332" s="1">
        <f t="shared" si="129"/>
        <v>0</v>
      </c>
      <c r="AD332" s="1">
        <f t="shared" si="130"/>
        <v>0</v>
      </c>
      <c r="AE332" s="1">
        <f t="shared" si="131"/>
        <v>0</v>
      </c>
      <c r="AF332" s="1">
        <f t="shared" si="132"/>
        <v>0</v>
      </c>
      <c r="AG332" s="1">
        <f t="shared" si="133"/>
        <v>0</v>
      </c>
      <c r="AH332" s="1">
        <f t="shared" si="134"/>
        <v>0</v>
      </c>
      <c r="AI332" s="1">
        <f t="shared" si="135"/>
        <v>1</v>
      </c>
    </row>
    <row r="333" spans="1:35" ht="14.25" customHeight="1" x14ac:dyDescent="0.25">
      <c r="A333" s="34">
        <v>0</v>
      </c>
      <c r="B333" s="34">
        <v>2</v>
      </c>
      <c r="C333" s="34">
        <v>3</v>
      </c>
      <c r="D333" s="35" t="s">
        <v>570</v>
      </c>
      <c r="E333" s="35" t="s">
        <v>38</v>
      </c>
      <c r="F333" s="35" t="s">
        <v>238</v>
      </c>
      <c r="G333" s="35" t="s">
        <v>541</v>
      </c>
      <c r="H333" s="35" t="s">
        <v>355</v>
      </c>
      <c r="I333" s="34" t="s">
        <v>404</v>
      </c>
      <c r="J333" s="34">
        <v>1</v>
      </c>
      <c r="K333" s="36" t="s">
        <v>716</v>
      </c>
      <c r="L333" s="36" t="s">
        <v>728</v>
      </c>
      <c r="M333" s="37" t="s">
        <v>729</v>
      </c>
      <c r="N333" s="37" t="s">
        <v>1734</v>
      </c>
      <c r="O333" s="38">
        <v>1</v>
      </c>
      <c r="P333" s="38">
        <v>1</v>
      </c>
      <c r="Q333" s="35"/>
      <c r="S333" s="1">
        <f t="shared" si="120"/>
        <v>1</v>
      </c>
      <c r="T333" s="1">
        <f t="shared" si="121"/>
        <v>0</v>
      </c>
      <c r="U333" s="1">
        <f t="shared" si="122"/>
        <v>0</v>
      </c>
      <c r="V333" s="1">
        <f t="shared" si="123"/>
        <v>0</v>
      </c>
      <c r="W333" s="1">
        <f t="shared" si="124"/>
        <v>0</v>
      </c>
      <c r="X333" s="1">
        <f t="shared" si="125"/>
        <v>0</v>
      </c>
      <c r="Y333" s="1">
        <f t="shared" si="126"/>
        <v>0</v>
      </c>
      <c r="Z333" s="1">
        <f t="shared" si="127"/>
        <v>0</v>
      </c>
      <c r="AA333" s="1">
        <f t="shared" si="128"/>
        <v>0</v>
      </c>
      <c r="AB333" s="1">
        <f t="shared" si="129"/>
        <v>0</v>
      </c>
      <c r="AD333" s="1">
        <f t="shared" si="130"/>
        <v>1</v>
      </c>
      <c r="AE333" s="1">
        <f t="shared" si="131"/>
        <v>0</v>
      </c>
      <c r="AF333" s="1">
        <f t="shared" si="132"/>
        <v>1</v>
      </c>
      <c r="AG333" s="1">
        <f t="shared" si="133"/>
        <v>0</v>
      </c>
      <c r="AH333" s="1">
        <f t="shared" si="134"/>
        <v>1</v>
      </c>
      <c r="AI333" s="1">
        <f t="shared" si="135"/>
        <v>0</v>
      </c>
    </row>
    <row r="334" spans="1:35" ht="14.25" customHeight="1" x14ac:dyDescent="0.25">
      <c r="A334" s="47">
        <v>0</v>
      </c>
      <c r="B334" s="47">
        <v>2</v>
      </c>
      <c r="C334" s="47">
        <v>3</v>
      </c>
      <c r="D334" s="48" t="s">
        <v>854</v>
      </c>
      <c r="E334" s="48" t="s">
        <v>34</v>
      </c>
      <c r="F334" s="48" t="s">
        <v>930</v>
      </c>
      <c r="G334" s="48" t="s">
        <v>640</v>
      </c>
      <c r="H334" s="48" t="s">
        <v>355</v>
      </c>
      <c r="I334" s="47" t="s">
        <v>855</v>
      </c>
      <c r="J334" s="47">
        <v>1</v>
      </c>
      <c r="K334" s="49" t="s">
        <v>958</v>
      </c>
      <c r="L334" s="49" t="s">
        <v>733</v>
      </c>
      <c r="M334" s="50" t="s">
        <v>727</v>
      </c>
      <c r="N334" s="50" t="s">
        <v>1742</v>
      </c>
      <c r="O334" s="51"/>
      <c r="P334" s="51"/>
      <c r="Q334" s="48"/>
      <c r="S334" s="1">
        <f t="shared" si="120"/>
        <v>1</v>
      </c>
      <c r="T334" s="1">
        <f t="shared" si="121"/>
        <v>0</v>
      </c>
      <c r="U334" s="1">
        <f t="shared" si="122"/>
        <v>0</v>
      </c>
      <c r="V334" s="1">
        <f t="shared" si="123"/>
        <v>0</v>
      </c>
      <c r="W334" s="1">
        <f t="shared" si="124"/>
        <v>0</v>
      </c>
      <c r="X334" s="1">
        <f t="shared" si="125"/>
        <v>0</v>
      </c>
      <c r="Y334" s="1">
        <f t="shared" si="126"/>
        <v>0</v>
      </c>
      <c r="Z334" s="1">
        <f t="shared" si="127"/>
        <v>0</v>
      </c>
      <c r="AA334" s="1">
        <f t="shared" si="128"/>
        <v>0</v>
      </c>
      <c r="AB334" s="1">
        <f t="shared" si="129"/>
        <v>0</v>
      </c>
      <c r="AD334" s="1">
        <f t="shared" si="130"/>
        <v>0</v>
      </c>
      <c r="AE334" s="1">
        <f t="shared" si="131"/>
        <v>0</v>
      </c>
      <c r="AF334" s="1">
        <f t="shared" si="132"/>
        <v>0</v>
      </c>
      <c r="AG334" s="1">
        <f t="shared" si="133"/>
        <v>0</v>
      </c>
      <c r="AH334" s="1">
        <f t="shared" si="134"/>
        <v>0</v>
      </c>
      <c r="AI334" s="1">
        <f t="shared" si="135"/>
        <v>1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797</v>
      </c>
      <c r="E335" s="48" t="s">
        <v>32</v>
      </c>
      <c r="F335" s="48" t="s">
        <v>798</v>
      </c>
      <c r="G335" s="48" t="s">
        <v>252</v>
      </c>
      <c r="H335" s="48" t="s">
        <v>355</v>
      </c>
      <c r="I335" s="47" t="s">
        <v>799</v>
      </c>
      <c r="J335" s="47">
        <v>99</v>
      </c>
      <c r="K335" s="49" t="s">
        <v>717</v>
      </c>
      <c r="L335" s="49" t="s">
        <v>726</v>
      </c>
      <c r="M335" s="50" t="s">
        <v>727</v>
      </c>
      <c r="N335" s="50" t="s">
        <v>1744</v>
      </c>
      <c r="O335" s="51"/>
      <c r="P335" s="51"/>
      <c r="Q335" s="48"/>
      <c r="S335" s="1">
        <f t="shared" ref="S335:S398" si="136">IF(J335=$S$7,1,0)</f>
        <v>0</v>
      </c>
      <c r="T335" s="1">
        <f t="shared" ref="T335:T398" si="137">IF(J335=$T$7,1,0)</f>
        <v>0</v>
      </c>
      <c r="U335" s="1">
        <f t="shared" ref="U335:U398" si="138">IF(J335=$U$7,1,0)</f>
        <v>0</v>
      </c>
      <c r="V335" s="1">
        <f t="shared" ref="V335:V398" si="139">IF(J335=$V$7,1,0)</f>
        <v>0</v>
      </c>
      <c r="W335" s="1">
        <f t="shared" ref="W335:W398" si="140">IF(J335=$W$7,1,0)</f>
        <v>0</v>
      </c>
      <c r="X335" s="1">
        <f t="shared" ref="X335:X398" si="141">IF(J335=$X$7,1,0)</f>
        <v>0</v>
      </c>
      <c r="Y335" s="1">
        <f t="shared" ref="Y335:Y398" si="142">IF(J335=$Y$7,1,0)</f>
        <v>0</v>
      </c>
      <c r="Z335" s="1">
        <f t="shared" ref="Z335:Z398" si="143">IF(J335=$Z$7,1,0)</f>
        <v>0</v>
      </c>
      <c r="AA335" s="1">
        <f t="shared" ref="AA335:AA398" si="144">IF(J335=$AA$7,1,0)</f>
        <v>0</v>
      </c>
      <c r="AB335" s="1">
        <f t="shared" ref="AB335:AB398" si="145">IF(J335=$AB$7,1,0)</f>
        <v>0</v>
      </c>
      <c r="AD335" s="1">
        <f t="shared" ref="AD335:AD398" si="146">+O335*P335</f>
        <v>0</v>
      </c>
      <c r="AE335" s="1">
        <f t="shared" ref="AE335:AE398" si="147">O335*(1-P335)</f>
        <v>0</v>
      </c>
      <c r="AF335" s="1">
        <f t="shared" si="132"/>
        <v>0</v>
      </c>
      <c r="AG335" s="1">
        <f t="shared" si="133"/>
        <v>0</v>
      </c>
      <c r="AH335" s="1">
        <f t="shared" si="134"/>
        <v>0</v>
      </c>
      <c r="AI335" s="1">
        <f t="shared" si="135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56</v>
      </c>
      <c r="E336" s="48" t="s">
        <v>162</v>
      </c>
      <c r="F336" s="48" t="s">
        <v>220</v>
      </c>
      <c r="G336" s="48" t="s">
        <v>197</v>
      </c>
      <c r="H336" s="48" t="s">
        <v>355</v>
      </c>
      <c r="I336" s="47" t="s">
        <v>553</v>
      </c>
      <c r="J336" s="47">
        <v>99</v>
      </c>
      <c r="K336" s="49" t="s">
        <v>717</v>
      </c>
      <c r="L336" s="49" t="s">
        <v>726</v>
      </c>
      <c r="M336" s="50" t="s">
        <v>727</v>
      </c>
      <c r="N336" s="50" t="s">
        <v>1809</v>
      </c>
      <c r="O336" s="51"/>
      <c r="P336" s="51"/>
      <c r="Q336" s="48"/>
      <c r="S336" s="1">
        <f t="shared" si="136"/>
        <v>0</v>
      </c>
      <c r="T336" s="1">
        <f t="shared" si="137"/>
        <v>0</v>
      </c>
      <c r="U336" s="1">
        <f t="shared" si="138"/>
        <v>0</v>
      </c>
      <c r="V336" s="1">
        <f t="shared" si="139"/>
        <v>0</v>
      </c>
      <c r="W336" s="1">
        <f t="shared" si="140"/>
        <v>0</v>
      </c>
      <c r="X336" s="1">
        <f t="shared" si="141"/>
        <v>0</v>
      </c>
      <c r="Y336" s="1">
        <f t="shared" si="142"/>
        <v>0</v>
      </c>
      <c r="Z336" s="1">
        <f t="shared" si="143"/>
        <v>0</v>
      </c>
      <c r="AA336" s="1">
        <f t="shared" si="144"/>
        <v>0</v>
      </c>
      <c r="AB336" s="1">
        <f t="shared" si="145"/>
        <v>0</v>
      </c>
      <c r="AD336" s="1">
        <f t="shared" si="146"/>
        <v>0</v>
      </c>
      <c r="AE336" s="1">
        <f t="shared" si="147"/>
        <v>0</v>
      </c>
      <c r="AF336" s="1">
        <f t="shared" si="132"/>
        <v>0</v>
      </c>
      <c r="AG336" s="1">
        <f t="shared" si="133"/>
        <v>0</v>
      </c>
      <c r="AH336" s="1">
        <f t="shared" si="134"/>
        <v>0</v>
      </c>
      <c r="AI336" s="1">
        <f t="shared" si="135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1182</v>
      </c>
      <c r="E337" s="48" t="s">
        <v>1342</v>
      </c>
      <c r="F337" s="48" t="s">
        <v>1183</v>
      </c>
      <c r="G337" s="48" t="s">
        <v>303</v>
      </c>
      <c r="H337" s="48" t="s">
        <v>355</v>
      </c>
      <c r="I337" s="47" t="s">
        <v>1184</v>
      </c>
      <c r="J337" s="47">
        <v>1</v>
      </c>
      <c r="K337" s="49" t="s">
        <v>959</v>
      </c>
      <c r="L337" s="49" t="s">
        <v>697</v>
      </c>
      <c r="M337" s="50" t="s">
        <v>1422</v>
      </c>
      <c r="N337" s="50" t="s">
        <v>1742</v>
      </c>
      <c r="O337" s="51"/>
      <c r="P337" s="51"/>
      <c r="Q337" s="48"/>
      <c r="S337" s="1">
        <f t="shared" si="136"/>
        <v>1</v>
      </c>
      <c r="T337" s="1">
        <f t="shared" si="137"/>
        <v>0</v>
      </c>
      <c r="U337" s="1">
        <f t="shared" si="138"/>
        <v>0</v>
      </c>
      <c r="V337" s="1">
        <f t="shared" si="139"/>
        <v>0</v>
      </c>
      <c r="W337" s="1">
        <f t="shared" si="140"/>
        <v>0</v>
      </c>
      <c r="X337" s="1">
        <f t="shared" si="141"/>
        <v>0</v>
      </c>
      <c r="Y337" s="1">
        <f t="shared" si="142"/>
        <v>0</v>
      </c>
      <c r="Z337" s="1">
        <f t="shared" si="143"/>
        <v>0</v>
      </c>
      <c r="AA337" s="1">
        <f t="shared" si="144"/>
        <v>0</v>
      </c>
      <c r="AB337" s="1">
        <f t="shared" si="145"/>
        <v>0</v>
      </c>
      <c r="AD337" s="1">
        <f t="shared" si="146"/>
        <v>0</v>
      </c>
      <c r="AE337" s="1">
        <f t="shared" si="147"/>
        <v>0</v>
      </c>
      <c r="AF337" s="1">
        <f t="shared" si="132"/>
        <v>0</v>
      </c>
      <c r="AG337" s="1">
        <f t="shared" si="133"/>
        <v>0</v>
      </c>
      <c r="AH337" s="1">
        <f t="shared" si="134"/>
        <v>0</v>
      </c>
      <c r="AI337" s="1">
        <f t="shared" si="135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1179</v>
      </c>
      <c r="E338" s="48" t="s">
        <v>1342</v>
      </c>
      <c r="F338" s="48" t="s">
        <v>1180</v>
      </c>
      <c r="G338" s="48" t="s">
        <v>1060</v>
      </c>
      <c r="H338" s="48" t="s">
        <v>355</v>
      </c>
      <c r="I338" s="47" t="s">
        <v>1181</v>
      </c>
      <c r="J338" s="47">
        <v>1</v>
      </c>
      <c r="K338" s="49" t="s">
        <v>717</v>
      </c>
      <c r="L338" s="49" t="s">
        <v>697</v>
      </c>
      <c r="M338" s="50" t="s">
        <v>1422</v>
      </c>
      <c r="N338" s="50" t="s">
        <v>1742</v>
      </c>
      <c r="O338" s="51"/>
      <c r="P338" s="51"/>
      <c r="Q338" s="48"/>
      <c r="S338" s="1">
        <f t="shared" si="136"/>
        <v>1</v>
      </c>
      <c r="T338" s="1">
        <f t="shared" si="137"/>
        <v>0</v>
      </c>
      <c r="U338" s="1">
        <f t="shared" si="138"/>
        <v>0</v>
      </c>
      <c r="V338" s="1">
        <f t="shared" si="139"/>
        <v>0</v>
      </c>
      <c r="W338" s="1">
        <f t="shared" si="140"/>
        <v>0</v>
      </c>
      <c r="X338" s="1">
        <f t="shared" si="141"/>
        <v>0</v>
      </c>
      <c r="Y338" s="1">
        <f t="shared" si="142"/>
        <v>0</v>
      </c>
      <c r="Z338" s="1">
        <f t="shared" si="143"/>
        <v>0</v>
      </c>
      <c r="AA338" s="1">
        <f t="shared" si="144"/>
        <v>0</v>
      </c>
      <c r="AB338" s="1">
        <f t="shared" si="145"/>
        <v>0</v>
      </c>
      <c r="AD338" s="1">
        <f t="shared" si="146"/>
        <v>0</v>
      </c>
      <c r="AE338" s="1">
        <f t="shared" si="147"/>
        <v>0</v>
      </c>
      <c r="AF338" s="1">
        <f t="shared" si="132"/>
        <v>0</v>
      </c>
      <c r="AG338" s="1">
        <f t="shared" si="133"/>
        <v>0</v>
      </c>
      <c r="AH338" s="1">
        <f t="shared" si="134"/>
        <v>0</v>
      </c>
      <c r="AI338" s="1">
        <f t="shared" si="135"/>
        <v>1</v>
      </c>
    </row>
    <row r="339" spans="1:35" ht="14.25" customHeight="1" x14ac:dyDescent="0.25">
      <c r="A339" s="34">
        <v>0</v>
      </c>
      <c r="B339" s="34">
        <v>2</v>
      </c>
      <c r="C339" s="34">
        <v>3</v>
      </c>
      <c r="D339" s="35" t="s">
        <v>1301</v>
      </c>
      <c r="E339" s="35" t="s">
        <v>32</v>
      </c>
      <c r="F339" s="35" t="s">
        <v>1302</v>
      </c>
      <c r="G339" s="35" t="s">
        <v>223</v>
      </c>
      <c r="H339" s="35" t="s">
        <v>355</v>
      </c>
      <c r="I339" s="34" t="s">
        <v>1696</v>
      </c>
      <c r="J339" s="34">
        <v>99</v>
      </c>
      <c r="K339" s="36" t="s">
        <v>717</v>
      </c>
      <c r="L339" s="36" t="s">
        <v>720</v>
      </c>
      <c r="M339" s="37" t="s">
        <v>1303</v>
      </c>
      <c r="N339" s="37" t="s">
        <v>1734</v>
      </c>
      <c r="O339" s="38">
        <v>1</v>
      </c>
      <c r="P339" s="38">
        <v>1</v>
      </c>
      <c r="Q339" s="35"/>
      <c r="S339" s="1">
        <f t="shared" si="136"/>
        <v>0</v>
      </c>
      <c r="T339" s="1">
        <f t="shared" si="137"/>
        <v>0</v>
      </c>
      <c r="U339" s="1">
        <f t="shared" si="138"/>
        <v>0</v>
      </c>
      <c r="V339" s="1">
        <f t="shared" si="139"/>
        <v>0</v>
      </c>
      <c r="W339" s="1">
        <f t="shared" si="140"/>
        <v>0</v>
      </c>
      <c r="X339" s="1">
        <f t="shared" si="141"/>
        <v>0</v>
      </c>
      <c r="Y339" s="1">
        <f t="shared" si="142"/>
        <v>0</v>
      </c>
      <c r="Z339" s="1">
        <f t="shared" si="143"/>
        <v>0</v>
      </c>
      <c r="AA339" s="1">
        <f t="shared" si="144"/>
        <v>0</v>
      </c>
      <c r="AB339" s="1">
        <f t="shared" si="145"/>
        <v>0</v>
      </c>
      <c r="AD339" s="1">
        <f t="shared" si="146"/>
        <v>1</v>
      </c>
      <c r="AE339" s="1">
        <f t="shared" si="147"/>
        <v>0</v>
      </c>
      <c r="AF339" s="1">
        <f t="shared" si="132"/>
        <v>1</v>
      </c>
      <c r="AG339" s="1">
        <f t="shared" si="133"/>
        <v>0</v>
      </c>
      <c r="AH339" s="1">
        <f t="shared" si="134"/>
        <v>1</v>
      </c>
      <c r="AI339" s="1">
        <f t="shared" si="135"/>
        <v>0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765</v>
      </c>
      <c r="E340" s="35" t="s">
        <v>917</v>
      </c>
      <c r="F340" s="35" t="s">
        <v>766</v>
      </c>
      <c r="G340" s="35" t="s">
        <v>221</v>
      </c>
      <c r="H340" s="35" t="s">
        <v>355</v>
      </c>
      <c r="I340" s="34" t="s">
        <v>767</v>
      </c>
      <c r="J340" s="34">
        <v>8</v>
      </c>
      <c r="K340" s="36" t="s">
        <v>959</v>
      </c>
      <c r="L340" s="36" t="s">
        <v>733</v>
      </c>
      <c r="M340" s="37" t="s">
        <v>727</v>
      </c>
      <c r="N340" s="37" t="s">
        <v>1755</v>
      </c>
      <c r="O340" s="38">
        <v>1</v>
      </c>
      <c r="P340" s="38"/>
      <c r="Q340" s="35"/>
      <c r="S340" s="1">
        <f t="shared" si="136"/>
        <v>0</v>
      </c>
      <c r="T340" s="1">
        <f t="shared" si="137"/>
        <v>0</v>
      </c>
      <c r="U340" s="1">
        <f t="shared" si="138"/>
        <v>0</v>
      </c>
      <c r="V340" s="1">
        <f t="shared" si="139"/>
        <v>0</v>
      </c>
      <c r="W340" s="1">
        <f t="shared" si="140"/>
        <v>0</v>
      </c>
      <c r="X340" s="1">
        <f t="shared" si="141"/>
        <v>0</v>
      </c>
      <c r="Y340" s="1">
        <f t="shared" si="142"/>
        <v>0</v>
      </c>
      <c r="Z340" s="1">
        <f t="shared" si="143"/>
        <v>1</v>
      </c>
      <c r="AA340" s="1">
        <f t="shared" si="144"/>
        <v>0</v>
      </c>
      <c r="AB340" s="1">
        <f t="shared" si="145"/>
        <v>0</v>
      </c>
      <c r="AD340" s="1">
        <f t="shared" si="146"/>
        <v>0</v>
      </c>
      <c r="AE340" s="1">
        <f t="shared" si="147"/>
        <v>1</v>
      </c>
      <c r="AF340" s="1">
        <f t="shared" si="132"/>
        <v>0</v>
      </c>
      <c r="AG340" s="1">
        <f t="shared" si="133"/>
        <v>1</v>
      </c>
      <c r="AH340" s="1">
        <f t="shared" si="134"/>
        <v>0</v>
      </c>
      <c r="AI340" s="1">
        <f t="shared" si="135"/>
        <v>1</v>
      </c>
    </row>
    <row r="341" spans="1:35" ht="14.25" customHeight="1" x14ac:dyDescent="0.25">
      <c r="A341" s="47">
        <v>0</v>
      </c>
      <c r="B341" s="47">
        <v>2</v>
      </c>
      <c r="C341" s="47">
        <v>3</v>
      </c>
      <c r="D341" s="48" t="s">
        <v>1502</v>
      </c>
      <c r="E341" s="48" t="s">
        <v>1503</v>
      </c>
      <c r="F341" s="48" t="s">
        <v>1504</v>
      </c>
      <c r="G341" s="48" t="s">
        <v>239</v>
      </c>
      <c r="H341" s="48" t="s">
        <v>355</v>
      </c>
      <c r="I341" s="47" t="s">
        <v>1505</v>
      </c>
      <c r="J341" s="47">
        <v>4</v>
      </c>
      <c r="K341" s="49" t="s">
        <v>716</v>
      </c>
      <c r="L341" s="49">
        <v>15</v>
      </c>
      <c r="M341" s="50" t="s">
        <v>39</v>
      </c>
      <c r="N341" s="50" t="s">
        <v>1809</v>
      </c>
      <c r="O341" s="51"/>
      <c r="P341" s="51"/>
      <c r="Q341" s="48"/>
      <c r="S341" s="1">
        <f t="shared" si="136"/>
        <v>0</v>
      </c>
      <c r="T341" s="1">
        <f t="shared" si="137"/>
        <v>0</v>
      </c>
      <c r="U341" s="1">
        <f t="shared" si="138"/>
        <v>0</v>
      </c>
      <c r="V341" s="1">
        <f t="shared" si="139"/>
        <v>1</v>
      </c>
      <c r="W341" s="1">
        <f t="shared" si="140"/>
        <v>0</v>
      </c>
      <c r="X341" s="1">
        <f t="shared" si="141"/>
        <v>0</v>
      </c>
      <c r="Y341" s="1">
        <f t="shared" si="142"/>
        <v>0</v>
      </c>
      <c r="Z341" s="1">
        <f t="shared" si="143"/>
        <v>0</v>
      </c>
      <c r="AA341" s="1">
        <f t="shared" si="144"/>
        <v>0</v>
      </c>
      <c r="AB341" s="1">
        <f t="shared" si="145"/>
        <v>0</v>
      </c>
      <c r="AD341" s="1">
        <f t="shared" si="146"/>
        <v>0</v>
      </c>
      <c r="AE341" s="1">
        <f t="shared" si="147"/>
        <v>0</v>
      </c>
      <c r="AF341" s="1">
        <f t="shared" si="132"/>
        <v>0</v>
      </c>
      <c r="AG341" s="1">
        <f t="shared" si="133"/>
        <v>0</v>
      </c>
      <c r="AH341" s="1">
        <f t="shared" si="134"/>
        <v>0</v>
      </c>
      <c r="AI341" s="1">
        <f t="shared" si="135"/>
        <v>1</v>
      </c>
    </row>
    <row r="342" spans="1:35" ht="14.25" customHeight="1" x14ac:dyDescent="0.25">
      <c r="A342" s="34">
        <v>0</v>
      </c>
      <c r="B342" s="34">
        <v>2</v>
      </c>
      <c r="C342" s="34">
        <v>3</v>
      </c>
      <c r="D342" s="35" t="s">
        <v>1560</v>
      </c>
      <c r="E342" s="35" t="s">
        <v>1561</v>
      </c>
      <c r="F342" s="35" t="s">
        <v>1562</v>
      </c>
      <c r="G342" s="35" t="s">
        <v>1563</v>
      </c>
      <c r="H342" s="35" t="s">
        <v>355</v>
      </c>
      <c r="I342" s="34" t="s">
        <v>1564</v>
      </c>
      <c r="J342" s="34">
        <v>7</v>
      </c>
      <c r="K342" s="36" t="s">
        <v>959</v>
      </c>
      <c r="L342" s="36">
        <v>10</v>
      </c>
      <c r="M342" s="37" t="s">
        <v>39</v>
      </c>
      <c r="N342" s="37" t="s">
        <v>1750</v>
      </c>
      <c r="O342" s="38">
        <v>1</v>
      </c>
      <c r="P342" s="38"/>
      <c r="Q342" s="35"/>
      <c r="S342" s="1">
        <f t="shared" si="136"/>
        <v>0</v>
      </c>
      <c r="T342" s="1">
        <f t="shared" si="137"/>
        <v>0</v>
      </c>
      <c r="U342" s="1">
        <f t="shared" si="138"/>
        <v>0</v>
      </c>
      <c r="V342" s="1">
        <f t="shared" si="139"/>
        <v>0</v>
      </c>
      <c r="W342" s="1">
        <f t="shared" si="140"/>
        <v>0</v>
      </c>
      <c r="X342" s="1">
        <f t="shared" si="141"/>
        <v>0</v>
      </c>
      <c r="Y342" s="1">
        <f t="shared" si="142"/>
        <v>1</v>
      </c>
      <c r="Z342" s="1">
        <f t="shared" si="143"/>
        <v>0</v>
      </c>
      <c r="AA342" s="1">
        <f t="shared" si="144"/>
        <v>0</v>
      </c>
      <c r="AB342" s="1">
        <f t="shared" si="145"/>
        <v>0</v>
      </c>
      <c r="AD342" s="1">
        <f t="shared" si="146"/>
        <v>0</v>
      </c>
      <c r="AE342" s="1">
        <f t="shared" si="147"/>
        <v>1</v>
      </c>
      <c r="AF342" s="1">
        <f t="shared" si="132"/>
        <v>0</v>
      </c>
      <c r="AG342" s="1">
        <f t="shared" si="133"/>
        <v>1</v>
      </c>
      <c r="AH342" s="1">
        <f t="shared" si="134"/>
        <v>0</v>
      </c>
      <c r="AI342" s="1">
        <f t="shared" si="135"/>
        <v>1</v>
      </c>
    </row>
    <row r="343" spans="1:35" ht="14.25" customHeight="1" x14ac:dyDescent="0.25">
      <c r="A343" s="47">
        <v>0</v>
      </c>
      <c r="B343" s="47">
        <v>2</v>
      </c>
      <c r="C343" s="47">
        <v>3</v>
      </c>
      <c r="D343" s="48" t="s">
        <v>845</v>
      </c>
      <c r="E343" s="48" t="s">
        <v>32</v>
      </c>
      <c r="F343" s="48" t="s">
        <v>847</v>
      </c>
      <c r="G343" s="48" t="s">
        <v>39</v>
      </c>
      <c r="H343" s="48" t="s">
        <v>355</v>
      </c>
      <c r="I343" s="47" t="s">
        <v>846</v>
      </c>
      <c r="J343" s="47">
        <v>1</v>
      </c>
      <c r="K343" s="49" t="s">
        <v>717</v>
      </c>
      <c r="L343" s="49" t="s">
        <v>698</v>
      </c>
      <c r="M343" s="50" t="s">
        <v>1422</v>
      </c>
      <c r="N343" s="50" t="s">
        <v>1742</v>
      </c>
      <c r="O343" s="51"/>
      <c r="P343" s="51"/>
      <c r="Q343" s="48"/>
      <c r="S343" s="1">
        <f t="shared" si="136"/>
        <v>1</v>
      </c>
      <c r="T343" s="1">
        <f t="shared" si="137"/>
        <v>0</v>
      </c>
      <c r="U343" s="1">
        <f t="shared" si="138"/>
        <v>0</v>
      </c>
      <c r="V343" s="1">
        <f t="shared" si="139"/>
        <v>0</v>
      </c>
      <c r="W343" s="1">
        <f t="shared" si="140"/>
        <v>0</v>
      </c>
      <c r="X343" s="1">
        <f t="shared" si="141"/>
        <v>0</v>
      </c>
      <c r="Y343" s="1">
        <f t="shared" si="142"/>
        <v>0</v>
      </c>
      <c r="Z343" s="1">
        <f t="shared" si="143"/>
        <v>0</v>
      </c>
      <c r="AA343" s="1">
        <f t="shared" si="144"/>
        <v>0</v>
      </c>
      <c r="AB343" s="1">
        <f t="shared" si="145"/>
        <v>0</v>
      </c>
      <c r="AD343" s="1">
        <f t="shared" si="146"/>
        <v>0</v>
      </c>
      <c r="AE343" s="1">
        <f t="shared" si="147"/>
        <v>0</v>
      </c>
      <c r="AF343" s="1">
        <f t="shared" si="132"/>
        <v>0</v>
      </c>
      <c r="AG343" s="1">
        <f t="shared" si="133"/>
        <v>0</v>
      </c>
      <c r="AH343" s="1">
        <f t="shared" si="134"/>
        <v>0</v>
      </c>
      <c r="AI343" s="1">
        <f t="shared" si="135"/>
        <v>1</v>
      </c>
    </row>
    <row r="344" spans="1:35" ht="14.25" customHeight="1" x14ac:dyDescent="0.25">
      <c r="A344" s="15">
        <v>0</v>
      </c>
      <c r="B344" s="15">
        <v>2</v>
      </c>
      <c r="C344" s="15">
        <v>4</v>
      </c>
      <c r="D344" s="16" t="s">
        <v>768</v>
      </c>
      <c r="E344" s="16" t="s">
        <v>769</v>
      </c>
      <c r="F344" s="16" t="s">
        <v>770</v>
      </c>
      <c r="G344" s="16" t="s">
        <v>771</v>
      </c>
      <c r="H344" s="16" t="s">
        <v>355</v>
      </c>
      <c r="I344" s="15" t="s">
        <v>772</v>
      </c>
      <c r="J344" s="15">
        <v>99</v>
      </c>
      <c r="K344" s="10" t="s">
        <v>707</v>
      </c>
      <c r="L344" s="10">
        <v>15</v>
      </c>
      <c r="M344" s="19" t="s">
        <v>773</v>
      </c>
      <c r="N344" s="19"/>
      <c r="Q344" s="16"/>
      <c r="S344" s="1">
        <f t="shared" si="136"/>
        <v>0</v>
      </c>
      <c r="T344" s="1">
        <f t="shared" si="137"/>
        <v>0</v>
      </c>
      <c r="U344" s="1">
        <f t="shared" si="138"/>
        <v>0</v>
      </c>
      <c r="V344" s="1">
        <f t="shared" si="139"/>
        <v>0</v>
      </c>
      <c r="W344" s="1">
        <f t="shared" si="140"/>
        <v>0</v>
      </c>
      <c r="X344" s="1">
        <f t="shared" si="141"/>
        <v>0</v>
      </c>
      <c r="Y344" s="1">
        <f t="shared" si="142"/>
        <v>0</v>
      </c>
      <c r="Z344" s="1">
        <f t="shared" si="143"/>
        <v>0</v>
      </c>
      <c r="AA344" s="1">
        <f t="shared" si="144"/>
        <v>0</v>
      </c>
      <c r="AB344" s="1">
        <f t="shared" si="145"/>
        <v>0</v>
      </c>
      <c r="AD344" s="1">
        <f t="shared" si="146"/>
        <v>0</v>
      </c>
      <c r="AE344" s="1">
        <f t="shared" si="147"/>
        <v>0</v>
      </c>
      <c r="AF344" s="1">
        <f t="shared" si="132"/>
        <v>0</v>
      </c>
      <c r="AG344" s="1">
        <f t="shared" si="133"/>
        <v>0</v>
      </c>
      <c r="AH344" s="1">
        <f t="shared" si="134"/>
        <v>0</v>
      </c>
      <c r="AI344" s="1">
        <f t="shared" si="135"/>
        <v>1</v>
      </c>
    </row>
    <row r="345" spans="1:35" ht="14.25" customHeight="1" x14ac:dyDescent="0.25">
      <c r="A345" s="47">
        <v>0</v>
      </c>
      <c r="B345" s="47">
        <v>2</v>
      </c>
      <c r="C345" s="47">
        <v>4</v>
      </c>
      <c r="D345" s="48" t="s">
        <v>802</v>
      </c>
      <c r="E345" s="48" t="s">
        <v>912</v>
      </c>
      <c r="F345" s="48" t="s">
        <v>929</v>
      </c>
      <c r="G345" s="48" t="s">
        <v>209</v>
      </c>
      <c r="H345" s="48" t="s">
        <v>355</v>
      </c>
      <c r="I345" s="47" t="s">
        <v>1370</v>
      </c>
      <c r="J345" s="47">
        <v>3</v>
      </c>
      <c r="K345" s="49" t="s">
        <v>707</v>
      </c>
      <c r="L345" s="49">
        <v>20</v>
      </c>
      <c r="M345" s="50" t="s">
        <v>1424</v>
      </c>
      <c r="N345" s="50" t="s">
        <v>1809</v>
      </c>
      <c r="O345" s="51"/>
      <c r="P345" s="51"/>
      <c r="Q345" s="48"/>
      <c r="S345" s="1">
        <f t="shared" si="136"/>
        <v>0</v>
      </c>
      <c r="T345" s="1">
        <f t="shared" si="137"/>
        <v>0</v>
      </c>
      <c r="U345" s="1">
        <f t="shared" si="138"/>
        <v>1</v>
      </c>
      <c r="V345" s="1">
        <f t="shared" si="139"/>
        <v>0</v>
      </c>
      <c r="W345" s="1">
        <f t="shared" si="140"/>
        <v>0</v>
      </c>
      <c r="X345" s="1">
        <f t="shared" si="141"/>
        <v>0</v>
      </c>
      <c r="Y345" s="1">
        <f t="shared" si="142"/>
        <v>0</v>
      </c>
      <c r="Z345" s="1">
        <f t="shared" si="143"/>
        <v>0</v>
      </c>
      <c r="AA345" s="1">
        <f t="shared" si="144"/>
        <v>0</v>
      </c>
      <c r="AB345" s="1">
        <f t="shared" si="145"/>
        <v>0</v>
      </c>
      <c r="AD345" s="1">
        <f t="shared" si="146"/>
        <v>0</v>
      </c>
      <c r="AE345" s="1">
        <f t="shared" si="147"/>
        <v>0</v>
      </c>
      <c r="AF345" s="1">
        <f t="shared" si="132"/>
        <v>0</v>
      </c>
      <c r="AG345" s="1">
        <f t="shared" si="133"/>
        <v>0</v>
      </c>
      <c r="AH345" s="1">
        <f t="shared" si="134"/>
        <v>0</v>
      </c>
      <c r="AI345" s="1">
        <f t="shared" si="135"/>
        <v>1</v>
      </c>
    </row>
    <row r="346" spans="1:35" ht="14.25" customHeight="1" x14ac:dyDescent="0.25">
      <c r="A346" s="60">
        <v>0</v>
      </c>
      <c r="B346" s="60">
        <v>2</v>
      </c>
      <c r="C346" s="60">
        <v>4</v>
      </c>
      <c r="D346" s="61" t="s">
        <v>569</v>
      </c>
      <c r="E346" s="61" t="s">
        <v>37</v>
      </c>
      <c r="F346" s="61" t="s">
        <v>206</v>
      </c>
      <c r="G346" s="61" t="s">
        <v>39</v>
      </c>
      <c r="H346" s="61" t="s">
        <v>355</v>
      </c>
      <c r="I346" s="60" t="s">
        <v>390</v>
      </c>
      <c r="J346" s="60">
        <v>6</v>
      </c>
      <c r="K346" s="62" t="s">
        <v>707</v>
      </c>
      <c r="L346" s="62" t="s">
        <v>39</v>
      </c>
      <c r="M346" s="63" t="s">
        <v>39</v>
      </c>
      <c r="N346" s="64"/>
      <c r="O346" s="65"/>
      <c r="P346" s="65"/>
      <c r="Q346" s="61"/>
      <c r="S346" s="1">
        <f t="shared" si="136"/>
        <v>0</v>
      </c>
      <c r="T346" s="1">
        <f t="shared" si="137"/>
        <v>0</v>
      </c>
      <c r="U346" s="1">
        <f t="shared" si="138"/>
        <v>0</v>
      </c>
      <c r="V346" s="1">
        <f t="shared" si="139"/>
        <v>0</v>
      </c>
      <c r="W346" s="1">
        <f t="shared" si="140"/>
        <v>0</v>
      </c>
      <c r="X346" s="1">
        <f t="shared" si="141"/>
        <v>1</v>
      </c>
      <c r="Y346" s="1">
        <f t="shared" si="142"/>
        <v>0</v>
      </c>
      <c r="Z346" s="1">
        <f t="shared" si="143"/>
        <v>0</v>
      </c>
      <c r="AA346" s="1">
        <f t="shared" si="144"/>
        <v>0</v>
      </c>
      <c r="AB346" s="1">
        <f t="shared" si="145"/>
        <v>0</v>
      </c>
      <c r="AD346" s="1">
        <f t="shared" si="146"/>
        <v>0</v>
      </c>
      <c r="AE346" s="1">
        <f t="shared" si="147"/>
        <v>0</v>
      </c>
      <c r="AF346" s="1">
        <f t="shared" si="132"/>
        <v>0</v>
      </c>
      <c r="AG346" s="1">
        <f t="shared" si="133"/>
        <v>0</v>
      </c>
      <c r="AH346" s="1">
        <f t="shared" si="134"/>
        <v>0</v>
      </c>
      <c r="AI346" s="1">
        <f t="shared" si="135"/>
        <v>1</v>
      </c>
    </row>
    <row r="347" spans="1:35" ht="14.25" customHeight="1" x14ac:dyDescent="0.25">
      <c r="A347" s="47">
        <v>0</v>
      </c>
      <c r="B347" s="47">
        <v>2</v>
      </c>
      <c r="C347" s="47">
        <v>4</v>
      </c>
      <c r="D347" s="48" t="s">
        <v>655</v>
      </c>
      <c r="E347" s="48" t="s">
        <v>914</v>
      </c>
      <c r="F347" s="48" t="s">
        <v>626</v>
      </c>
      <c r="G347" s="48" t="s">
        <v>342</v>
      </c>
      <c r="H347" s="48" t="s">
        <v>355</v>
      </c>
      <c r="I347" s="47" t="s">
        <v>627</v>
      </c>
      <c r="J347" s="47">
        <v>10</v>
      </c>
      <c r="K347" s="49" t="s">
        <v>958</v>
      </c>
      <c r="L347" s="49" t="s">
        <v>708</v>
      </c>
      <c r="M347" s="50" t="s">
        <v>1425</v>
      </c>
      <c r="N347" s="50" t="s">
        <v>1741</v>
      </c>
      <c r="O347" s="51"/>
      <c r="P347" s="51"/>
      <c r="Q347" s="48"/>
      <c r="S347" s="1">
        <f t="shared" si="136"/>
        <v>0</v>
      </c>
      <c r="T347" s="1">
        <f t="shared" si="137"/>
        <v>0</v>
      </c>
      <c r="U347" s="1">
        <f t="shared" si="138"/>
        <v>0</v>
      </c>
      <c r="V347" s="1">
        <f t="shared" si="139"/>
        <v>0</v>
      </c>
      <c r="W347" s="1">
        <f t="shared" si="140"/>
        <v>0</v>
      </c>
      <c r="X347" s="1">
        <f t="shared" si="141"/>
        <v>0</v>
      </c>
      <c r="Y347" s="1">
        <f t="shared" si="142"/>
        <v>0</v>
      </c>
      <c r="Z347" s="1">
        <f t="shared" si="143"/>
        <v>0</v>
      </c>
      <c r="AA347" s="1">
        <f t="shared" si="144"/>
        <v>0</v>
      </c>
      <c r="AB347" s="1">
        <f t="shared" si="145"/>
        <v>1</v>
      </c>
      <c r="AD347" s="1">
        <f t="shared" si="146"/>
        <v>0</v>
      </c>
      <c r="AE347" s="1">
        <f t="shared" si="147"/>
        <v>0</v>
      </c>
      <c r="AF347" s="1">
        <f t="shared" si="132"/>
        <v>0</v>
      </c>
      <c r="AG347" s="1">
        <f t="shared" si="133"/>
        <v>0</v>
      </c>
      <c r="AH347" s="1">
        <f t="shared" si="134"/>
        <v>0</v>
      </c>
      <c r="AI347" s="1">
        <f t="shared" si="135"/>
        <v>1</v>
      </c>
    </row>
    <row r="348" spans="1:35" ht="14.25" customHeight="1" x14ac:dyDescent="0.25">
      <c r="A348" s="34">
        <v>0</v>
      </c>
      <c r="B348" s="34">
        <v>2</v>
      </c>
      <c r="C348" s="34">
        <v>4</v>
      </c>
      <c r="D348" s="35" t="s">
        <v>75</v>
      </c>
      <c r="E348" s="35" t="s">
        <v>35</v>
      </c>
      <c r="F348" s="35" t="s">
        <v>267</v>
      </c>
      <c r="G348" s="35" t="s">
        <v>214</v>
      </c>
      <c r="H348" s="35" t="s">
        <v>355</v>
      </c>
      <c r="I348" s="34" t="s">
        <v>949</v>
      </c>
      <c r="J348" s="34">
        <v>1</v>
      </c>
      <c r="K348" s="36" t="s">
        <v>717</v>
      </c>
      <c r="L348" s="36" t="s">
        <v>708</v>
      </c>
      <c r="M348" s="37" t="s">
        <v>1426</v>
      </c>
      <c r="N348" s="37" t="s">
        <v>1750</v>
      </c>
      <c r="O348" s="38">
        <v>1</v>
      </c>
      <c r="P348" s="38"/>
      <c r="Q348" s="35"/>
      <c r="S348" s="1">
        <f t="shared" si="136"/>
        <v>1</v>
      </c>
      <c r="T348" s="1">
        <f t="shared" si="137"/>
        <v>0</v>
      </c>
      <c r="U348" s="1">
        <f t="shared" si="138"/>
        <v>0</v>
      </c>
      <c r="V348" s="1">
        <f t="shared" si="139"/>
        <v>0</v>
      </c>
      <c r="W348" s="1">
        <f t="shared" si="140"/>
        <v>0</v>
      </c>
      <c r="X348" s="1">
        <f t="shared" si="141"/>
        <v>0</v>
      </c>
      <c r="Y348" s="1">
        <f t="shared" si="142"/>
        <v>0</v>
      </c>
      <c r="Z348" s="1">
        <f t="shared" si="143"/>
        <v>0</v>
      </c>
      <c r="AA348" s="1">
        <f t="shared" si="144"/>
        <v>0</v>
      </c>
      <c r="AB348" s="1">
        <f t="shared" si="145"/>
        <v>0</v>
      </c>
      <c r="AD348" s="1">
        <f t="shared" si="146"/>
        <v>0</v>
      </c>
      <c r="AE348" s="1">
        <f t="shared" si="147"/>
        <v>1</v>
      </c>
      <c r="AF348" s="1">
        <f t="shared" si="132"/>
        <v>0</v>
      </c>
      <c r="AG348" s="1">
        <f t="shared" si="133"/>
        <v>1</v>
      </c>
      <c r="AH348" s="1">
        <f t="shared" si="134"/>
        <v>0</v>
      </c>
      <c r="AI348" s="1">
        <f t="shared" si="135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923</v>
      </c>
      <c r="E349" s="35" t="s">
        <v>916</v>
      </c>
      <c r="F349" s="35" t="s">
        <v>786</v>
      </c>
      <c r="G349" s="35" t="s">
        <v>286</v>
      </c>
      <c r="H349" s="35" t="s">
        <v>355</v>
      </c>
      <c r="I349" s="34" t="s">
        <v>950</v>
      </c>
      <c r="J349" s="34">
        <v>4</v>
      </c>
      <c r="K349" s="36" t="s">
        <v>717</v>
      </c>
      <c r="L349" s="36" t="s">
        <v>700</v>
      </c>
      <c r="M349" s="37" t="s">
        <v>1427</v>
      </c>
      <c r="N349" s="37" t="s">
        <v>1756</v>
      </c>
      <c r="O349" s="38">
        <v>1</v>
      </c>
      <c r="P349" s="38"/>
      <c r="Q349" s="35"/>
      <c r="S349" s="1">
        <f t="shared" si="136"/>
        <v>0</v>
      </c>
      <c r="T349" s="1">
        <f t="shared" si="137"/>
        <v>0</v>
      </c>
      <c r="U349" s="1">
        <f t="shared" si="138"/>
        <v>0</v>
      </c>
      <c r="V349" s="1">
        <f t="shared" si="139"/>
        <v>1</v>
      </c>
      <c r="W349" s="1">
        <f t="shared" si="140"/>
        <v>0</v>
      </c>
      <c r="X349" s="1">
        <f t="shared" si="141"/>
        <v>0</v>
      </c>
      <c r="Y349" s="1">
        <f t="shared" si="142"/>
        <v>0</v>
      </c>
      <c r="Z349" s="1">
        <f t="shared" si="143"/>
        <v>0</v>
      </c>
      <c r="AA349" s="1">
        <f t="shared" si="144"/>
        <v>0</v>
      </c>
      <c r="AB349" s="1">
        <f t="shared" si="145"/>
        <v>0</v>
      </c>
      <c r="AD349" s="1">
        <f t="shared" si="146"/>
        <v>0</v>
      </c>
      <c r="AE349" s="1">
        <f t="shared" si="147"/>
        <v>1</v>
      </c>
      <c r="AF349" s="1">
        <f t="shared" si="132"/>
        <v>0</v>
      </c>
      <c r="AG349" s="1">
        <f t="shared" si="133"/>
        <v>1</v>
      </c>
      <c r="AH349" s="1">
        <f t="shared" si="134"/>
        <v>0</v>
      </c>
      <c r="AI349" s="1">
        <f t="shared" si="135"/>
        <v>1</v>
      </c>
    </row>
    <row r="350" spans="1:35" ht="14.25" customHeight="1" x14ac:dyDescent="0.25">
      <c r="A350" s="41">
        <v>0</v>
      </c>
      <c r="B350" s="41">
        <v>2</v>
      </c>
      <c r="C350" s="41">
        <v>4</v>
      </c>
      <c r="D350" s="42" t="s">
        <v>1145</v>
      </c>
      <c r="E350" s="42" t="s">
        <v>776</v>
      </c>
      <c r="F350" s="42" t="s">
        <v>1146</v>
      </c>
      <c r="G350" s="42" t="s">
        <v>186</v>
      </c>
      <c r="H350" s="42" t="s">
        <v>355</v>
      </c>
      <c r="I350" s="41" t="s">
        <v>1173</v>
      </c>
      <c r="J350" s="41">
        <v>99</v>
      </c>
      <c r="K350" s="43" t="s">
        <v>717</v>
      </c>
      <c r="L350" s="43" t="s">
        <v>39</v>
      </c>
      <c r="M350" s="44" t="s">
        <v>39</v>
      </c>
      <c r="N350" s="45"/>
      <c r="O350" s="46"/>
      <c r="P350" s="46">
        <v>1</v>
      </c>
      <c r="Q350" s="42"/>
      <c r="S350" s="1">
        <f t="shared" si="136"/>
        <v>0</v>
      </c>
      <c r="T350" s="1">
        <f t="shared" si="137"/>
        <v>0</v>
      </c>
      <c r="U350" s="1">
        <f t="shared" si="138"/>
        <v>0</v>
      </c>
      <c r="V350" s="1">
        <f t="shared" si="139"/>
        <v>0</v>
      </c>
      <c r="W350" s="1">
        <f t="shared" si="140"/>
        <v>0</v>
      </c>
      <c r="X350" s="1">
        <f t="shared" si="141"/>
        <v>0</v>
      </c>
      <c r="Y350" s="1">
        <f t="shared" si="142"/>
        <v>0</v>
      </c>
      <c r="Z350" s="1">
        <f t="shared" si="143"/>
        <v>0</v>
      </c>
      <c r="AA350" s="1">
        <f t="shared" si="144"/>
        <v>0</v>
      </c>
      <c r="AB350" s="1">
        <f t="shared" si="145"/>
        <v>0</v>
      </c>
      <c r="AD350" s="1">
        <f t="shared" si="146"/>
        <v>0</v>
      </c>
      <c r="AE350" s="1">
        <f t="shared" si="147"/>
        <v>0</v>
      </c>
      <c r="AF350" s="1">
        <f t="shared" si="132"/>
        <v>0</v>
      </c>
      <c r="AG350" s="1">
        <f t="shared" si="133"/>
        <v>0</v>
      </c>
      <c r="AH350" s="1">
        <f t="shared" si="134"/>
        <v>1</v>
      </c>
      <c r="AI350" s="1">
        <f t="shared" si="135"/>
        <v>0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631</v>
      </c>
      <c r="E351" s="16" t="s">
        <v>688</v>
      </c>
      <c r="F351" s="16" t="s">
        <v>673</v>
      </c>
      <c r="G351" s="16" t="s">
        <v>630</v>
      </c>
      <c r="H351" s="16" t="s">
        <v>355</v>
      </c>
      <c r="I351" s="15" t="s">
        <v>632</v>
      </c>
      <c r="J351" s="15">
        <v>99</v>
      </c>
      <c r="K351" s="10" t="s">
        <v>959</v>
      </c>
      <c r="L351" s="10" t="s">
        <v>39</v>
      </c>
      <c r="M351" s="19" t="s">
        <v>39</v>
      </c>
      <c r="N351" s="17"/>
      <c r="Q351" s="20" t="s">
        <v>1904</v>
      </c>
      <c r="S351" s="1">
        <f t="shared" si="136"/>
        <v>0</v>
      </c>
      <c r="T351" s="1">
        <f t="shared" si="137"/>
        <v>0</v>
      </c>
      <c r="U351" s="1">
        <f t="shared" si="138"/>
        <v>0</v>
      </c>
      <c r="V351" s="1">
        <f t="shared" si="139"/>
        <v>0</v>
      </c>
      <c r="W351" s="1">
        <f t="shared" si="140"/>
        <v>0</v>
      </c>
      <c r="X351" s="1">
        <f t="shared" si="141"/>
        <v>0</v>
      </c>
      <c r="Y351" s="1">
        <f t="shared" si="142"/>
        <v>0</v>
      </c>
      <c r="Z351" s="1">
        <f t="shared" si="143"/>
        <v>0</v>
      </c>
      <c r="AA351" s="1">
        <f t="shared" si="144"/>
        <v>0</v>
      </c>
      <c r="AB351" s="1">
        <f t="shared" si="145"/>
        <v>0</v>
      </c>
      <c r="AD351" s="1">
        <f t="shared" si="146"/>
        <v>0</v>
      </c>
      <c r="AE351" s="1">
        <f t="shared" si="147"/>
        <v>0</v>
      </c>
      <c r="AF351" s="1">
        <f t="shared" si="132"/>
        <v>0</v>
      </c>
      <c r="AG351" s="1">
        <f t="shared" si="133"/>
        <v>0</v>
      </c>
      <c r="AH351" s="1">
        <f t="shared" si="134"/>
        <v>0</v>
      </c>
      <c r="AI351" s="1">
        <f t="shared" si="135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278</v>
      </c>
      <c r="G352" s="35" t="s">
        <v>225</v>
      </c>
      <c r="H352" s="35" t="s">
        <v>355</v>
      </c>
      <c r="I352" s="34" t="s">
        <v>434</v>
      </c>
      <c r="J352" s="34">
        <v>99</v>
      </c>
      <c r="K352" s="36" t="s">
        <v>958</v>
      </c>
      <c r="L352" s="36" t="s">
        <v>708</v>
      </c>
      <c r="M352" s="37" t="s">
        <v>730</v>
      </c>
      <c r="N352" s="37" t="s">
        <v>1768</v>
      </c>
      <c r="O352" s="38">
        <v>1</v>
      </c>
      <c r="P352" s="38"/>
      <c r="Q352" s="35"/>
      <c r="S352" s="1">
        <f t="shared" si="136"/>
        <v>0</v>
      </c>
      <c r="T352" s="1">
        <f t="shared" si="137"/>
        <v>0</v>
      </c>
      <c r="U352" s="1">
        <f t="shared" si="138"/>
        <v>0</v>
      </c>
      <c r="V352" s="1">
        <f t="shared" si="139"/>
        <v>0</v>
      </c>
      <c r="W352" s="1">
        <f t="shared" si="140"/>
        <v>0</v>
      </c>
      <c r="X352" s="1">
        <f t="shared" si="141"/>
        <v>0</v>
      </c>
      <c r="Y352" s="1">
        <f t="shared" si="142"/>
        <v>0</v>
      </c>
      <c r="Z352" s="1">
        <f t="shared" si="143"/>
        <v>0</v>
      </c>
      <c r="AA352" s="1">
        <f t="shared" si="144"/>
        <v>0</v>
      </c>
      <c r="AB352" s="1">
        <f t="shared" si="145"/>
        <v>0</v>
      </c>
      <c r="AD352" s="1">
        <f t="shared" si="146"/>
        <v>0</v>
      </c>
      <c r="AE352" s="1">
        <f t="shared" si="147"/>
        <v>1</v>
      </c>
      <c r="AF352" s="1">
        <f t="shared" si="132"/>
        <v>0</v>
      </c>
      <c r="AG352" s="1">
        <f t="shared" si="133"/>
        <v>1</v>
      </c>
      <c r="AH352" s="1">
        <f t="shared" si="134"/>
        <v>0</v>
      </c>
      <c r="AI352" s="1">
        <f t="shared" si="135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883</v>
      </c>
      <c r="E353" s="16" t="s">
        <v>776</v>
      </c>
      <c r="F353" s="16" t="s">
        <v>881</v>
      </c>
      <c r="G353" s="16" t="s">
        <v>280</v>
      </c>
      <c r="H353" s="16" t="s">
        <v>355</v>
      </c>
      <c r="I353" s="15" t="s">
        <v>882</v>
      </c>
      <c r="J353" s="15">
        <v>99</v>
      </c>
      <c r="K353" s="10" t="s">
        <v>707</v>
      </c>
      <c r="L353" s="10">
        <v>25</v>
      </c>
      <c r="M353" s="19" t="s">
        <v>1428</v>
      </c>
      <c r="N353" s="19"/>
      <c r="O353" s="1"/>
      <c r="P353" s="1"/>
      <c r="Q353" s="16"/>
      <c r="R353" s="1"/>
      <c r="S353" s="1">
        <f t="shared" si="136"/>
        <v>0</v>
      </c>
      <c r="T353" s="1">
        <f t="shared" si="137"/>
        <v>0</v>
      </c>
      <c r="U353" s="1">
        <f t="shared" si="138"/>
        <v>0</v>
      </c>
      <c r="V353" s="1">
        <f t="shared" si="139"/>
        <v>0</v>
      </c>
      <c r="W353" s="1">
        <f t="shared" si="140"/>
        <v>0</v>
      </c>
      <c r="X353" s="1">
        <f t="shared" si="141"/>
        <v>0</v>
      </c>
      <c r="Y353" s="1">
        <f t="shared" si="142"/>
        <v>0</v>
      </c>
      <c r="Z353" s="1">
        <f t="shared" si="143"/>
        <v>0</v>
      </c>
      <c r="AA353" s="1">
        <f t="shared" si="144"/>
        <v>0</v>
      </c>
      <c r="AB353" s="1">
        <f t="shared" si="145"/>
        <v>0</v>
      </c>
      <c r="AC353" s="1"/>
      <c r="AD353" s="1">
        <f t="shared" si="146"/>
        <v>0</v>
      </c>
      <c r="AE353" s="1">
        <f t="shared" si="147"/>
        <v>0</v>
      </c>
      <c r="AF353" s="1">
        <f t="shared" si="132"/>
        <v>0</v>
      </c>
      <c r="AG353" s="1">
        <f t="shared" si="133"/>
        <v>0</v>
      </c>
      <c r="AH353" s="1">
        <f t="shared" si="134"/>
        <v>0</v>
      </c>
      <c r="AI353" s="1">
        <f t="shared" si="135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926</v>
      </c>
      <c r="E354" s="35" t="s">
        <v>776</v>
      </c>
      <c r="F354" s="35" t="s">
        <v>848</v>
      </c>
      <c r="G354" s="35" t="s">
        <v>210</v>
      </c>
      <c r="H354" s="35" t="s">
        <v>355</v>
      </c>
      <c r="I354" s="34" t="s">
        <v>849</v>
      </c>
      <c r="J354" s="34">
        <v>99</v>
      </c>
      <c r="K354" s="36" t="s">
        <v>716</v>
      </c>
      <c r="L354" s="36" t="s">
        <v>708</v>
      </c>
      <c r="M354" s="37" t="s">
        <v>730</v>
      </c>
      <c r="N354" s="37" t="s">
        <v>1763</v>
      </c>
      <c r="O354" s="38">
        <v>1</v>
      </c>
      <c r="P354" s="38"/>
      <c r="Q354" s="35"/>
      <c r="R354" s="1"/>
      <c r="S354" s="1">
        <f t="shared" si="136"/>
        <v>0</v>
      </c>
      <c r="T354" s="1">
        <f t="shared" si="137"/>
        <v>0</v>
      </c>
      <c r="U354" s="1">
        <f t="shared" si="138"/>
        <v>0</v>
      </c>
      <c r="V354" s="1">
        <f t="shared" si="139"/>
        <v>0</v>
      </c>
      <c r="W354" s="1">
        <f t="shared" si="140"/>
        <v>0</v>
      </c>
      <c r="X354" s="1">
        <f t="shared" si="141"/>
        <v>0</v>
      </c>
      <c r="Y354" s="1">
        <f t="shared" si="142"/>
        <v>0</v>
      </c>
      <c r="Z354" s="1">
        <f t="shared" si="143"/>
        <v>0</v>
      </c>
      <c r="AA354" s="1">
        <f t="shared" si="144"/>
        <v>0</v>
      </c>
      <c r="AB354" s="1">
        <f t="shared" si="145"/>
        <v>0</v>
      </c>
      <c r="AC354" s="1"/>
      <c r="AD354" s="1">
        <f t="shared" si="146"/>
        <v>0</v>
      </c>
      <c r="AE354" s="1">
        <f t="shared" si="147"/>
        <v>1</v>
      </c>
      <c r="AF354" s="1">
        <f t="shared" si="132"/>
        <v>0</v>
      </c>
      <c r="AG354" s="1">
        <f t="shared" si="133"/>
        <v>1</v>
      </c>
      <c r="AH354" s="1">
        <f t="shared" si="134"/>
        <v>0</v>
      </c>
      <c r="AI354" s="1">
        <f t="shared" si="135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1230</v>
      </c>
      <c r="E355" s="48" t="s">
        <v>1229</v>
      </c>
      <c r="F355" s="48" t="s">
        <v>1231</v>
      </c>
      <c r="G355" s="48" t="s">
        <v>537</v>
      </c>
      <c r="H355" s="48" t="s">
        <v>355</v>
      </c>
      <c r="I355" s="47" t="s">
        <v>1232</v>
      </c>
      <c r="J355" s="47">
        <v>99</v>
      </c>
      <c r="K355" s="49" t="s">
        <v>717</v>
      </c>
      <c r="L355" s="49" t="s">
        <v>698</v>
      </c>
      <c r="M355" s="50" t="s">
        <v>1429</v>
      </c>
      <c r="N355" s="50" t="s">
        <v>1754</v>
      </c>
      <c r="O355" s="51"/>
      <c r="P355" s="51"/>
      <c r="Q355" s="48"/>
      <c r="R355" s="1"/>
      <c r="S355" s="1">
        <f t="shared" si="136"/>
        <v>0</v>
      </c>
      <c r="T355" s="1">
        <f t="shared" si="137"/>
        <v>0</v>
      </c>
      <c r="U355" s="1">
        <f t="shared" si="138"/>
        <v>0</v>
      </c>
      <c r="V355" s="1">
        <f t="shared" si="139"/>
        <v>0</v>
      </c>
      <c r="W355" s="1">
        <f t="shared" si="140"/>
        <v>0</v>
      </c>
      <c r="X355" s="1">
        <f t="shared" si="141"/>
        <v>0</v>
      </c>
      <c r="Y355" s="1">
        <f t="shared" si="142"/>
        <v>0</v>
      </c>
      <c r="Z355" s="1">
        <f t="shared" si="143"/>
        <v>0</v>
      </c>
      <c r="AA355" s="1">
        <f t="shared" si="144"/>
        <v>0</v>
      </c>
      <c r="AB355" s="1">
        <f t="shared" si="145"/>
        <v>0</v>
      </c>
      <c r="AC355" s="1"/>
      <c r="AD355" s="1">
        <f t="shared" si="146"/>
        <v>0</v>
      </c>
      <c r="AE355" s="1">
        <f t="shared" si="147"/>
        <v>0</v>
      </c>
      <c r="AF355" s="1">
        <f t="shared" si="132"/>
        <v>0</v>
      </c>
      <c r="AG355" s="1">
        <f t="shared" si="133"/>
        <v>0</v>
      </c>
      <c r="AH355" s="1">
        <f t="shared" si="134"/>
        <v>0</v>
      </c>
      <c r="AI355" s="1">
        <f t="shared" si="135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827</v>
      </c>
      <c r="E356" s="35" t="s">
        <v>592</v>
      </c>
      <c r="F356" s="35" t="s">
        <v>828</v>
      </c>
      <c r="G356" s="35" t="s">
        <v>941</v>
      </c>
      <c r="H356" s="35" t="s">
        <v>355</v>
      </c>
      <c r="I356" s="34" t="s">
        <v>955</v>
      </c>
      <c r="J356" s="34">
        <v>7</v>
      </c>
      <c r="K356" s="36" t="s">
        <v>716</v>
      </c>
      <c r="L356" s="36" t="s">
        <v>39</v>
      </c>
      <c r="M356" s="37" t="s">
        <v>39</v>
      </c>
      <c r="N356" s="37" t="s">
        <v>1734</v>
      </c>
      <c r="O356" s="38">
        <v>1</v>
      </c>
      <c r="P356" s="38">
        <v>1</v>
      </c>
      <c r="Q356" s="35"/>
      <c r="R356" s="1"/>
      <c r="S356" s="1">
        <f t="shared" si="136"/>
        <v>0</v>
      </c>
      <c r="T356" s="1">
        <f t="shared" si="137"/>
        <v>0</v>
      </c>
      <c r="U356" s="1">
        <f t="shared" si="138"/>
        <v>0</v>
      </c>
      <c r="V356" s="1">
        <f t="shared" si="139"/>
        <v>0</v>
      </c>
      <c r="W356" s="1">
        <f t="shared" si="140"/>
        <v>0</v>
      </c>
      <c r="X356" s="1">
        <f t="shared" si="141"/>
        <v>0</v>
      </c>
      <c r="Y356" s="1">
        <f t="shared" si="142"/>
        <v>1</v>
      </c>
      <c r="Z356" s="1">
        <f t="shared" si="143"/>
        <v>0</v>
      </c>
      <c r="AA356" s="1">
        <f t="shared" si="144"/>
        <v>0</v>
      </c>
      <c r="AB356" s="1">
        <f t="shared" si="145"/>
        <v>0</v>
      </c>
      <c r="AC356" s="1"/>
      <c r="AD356" s="1">
        <f t="shared" si="146"/>
        <v>1</v>
      </c>
      <c r="AE356" s="1">
        <f t="shared" si="147"/>
        <v>0</v>
      </c>
      <c r="AF356" s="1">
        <f t="shared" si="132"/>
        <v>1</v>
      </c>
      <c r="AG356" s="1">
        <f t="shared" si="133"/>
        <v>0</v>
      </c>
      <c r="AH356" s="1">
        <f t="shared" si="134"/>
        <v>1</v>
      </c>
      <c r="AI356" s="1">
        <f t="shared" si="135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1612</v>
      </c>
      <c r="E357" s="48" t="s">
        <v>1662</v>
      </c>
      <c r="F357" s="48" t="s">
        <v>1613</v>
      </c>
      <c r="G357" s="48" t="s">
        <v>334</v>
      </c>
      <c r="H357" s="48" t="s">
        <v>355</v>
      </c>
      <c r="I357" s="47" t="s">
        <v>30</v>
      </c>
      <c r="J357" s="47">
        <v>99</v>
      </c>
      <c r="K357" s="49" t="s">
        <v>717</v>
      </c>
      <c r="L357" s="49">
        <v>20</v>
      </c>
      <c r="M357" s="50" t="s">
        <v>39</v>
      </c>
      <c r="N357" s="50" t="s">
        <v>1748</v>
      </c>
      <c r="O357" s="51"/>
      <c r="P357" s="51"/>
      <c r="Q357" s="48"/>
      <c r="R357" s="1"/>
      <c r="S357" s="1">
        <f t="shared" si="136"/>
        <v>0</v>
      </c>
      <c r="T357" s="1">
        <f t="shared" si="137"/>
        <v>0</v>
      </c>
      <c r="U357" s="1">
        <f t="shared" si="138"/>
        <v>0</v>
      </c>
      <c r="V357" s="1">
        <f t="shared" si="139"/>
        <v>0</v>
      </c>
      <c r="W357" s="1">
        <f t="shared" si="140"/>
        <v>0</v>
      </c>
      <c r="X357" s="1">
        <f t="shared" si="141"/>
        <v>0</v>
      </c>
      <c r="Y357" s="1">
        <f t="shared" si="142"/>
        <v>0</v>
      </c>
      <c r="Z357" s="1">
        <f t="shared" si="143"/>
        <v>0</v>
      </c>
      <c r="AA357" s="1">
        <f t="shared" si="144"/>
        <v>0</v>
      </c>
      <c r="AB357" s="1">
        <f t="shared" si="145"/>
        <v>0</v>
      </c>
      <c r="AC357" s="1"/>
      <c r="AD357" s="1">
        <f t="shared" ref="AD357:AD360" si="148">+O357*P357</f>
        <v>0</v>
      </c>
      <c r="AE357" s="1">
        <f t="shared" ref="AE357:AE360" si="149">O357*(1-P357)</f>
        <v>0</v>
      </c>
      <c r="AF357" s="1">
        <f t="shared" ref="AF357:AF360" si="150">+O357*P357*(1-A357)</f>
        <v>0</v>
      </c>
      <c r="AG357" s="1">
        <f t="shared" ref="AG357:AG360" si="151">O357*(1-P357)*(1-A357)</f>
        <v>0</v>
      </c>
      <c r="AH357" s="1">
        <f t="shared" ref="AH357:AH360" si="152">+P357*(1-A357)</f>
        <v>0</v>
      </c>
      <c r="AI357" s="1">
        <f t="shared" ref="AI357:AI360" si="153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674</v>
      </c>
      <c r="G358" s="35" t="s">
        <v>224</v>
      </c>
      <c r="H358" s="35" t="s">
        <v>355</v>
      </c>
      <c r="I358" s="34" t="s">
        <v>398</v>
      </c>
      <c r="J358" s="34">
        <v>8</v>
      </c>
      <c r="K358" s="36" t="s">
        <v>717</v>
      </c>
      <c r="L358" s="36" t="s">
        <v>720</v>
      </c>
      <c r="M358" s="37" t="s">
        <v>1430</v>
      </c>
      <c r="N358" s="37" t="s">
        <v>1755</v>
      </c>
      <c r="O358" s="38">
        <v>1</v>
      </c>
      <c r="P358" s="38"/>
      <c r="Q358" s="35"/>
      <c r="R358" s="1"/>
      <c r="S358" s="1">
        <f t="shared" si="136"/>
        <v>0</v>
      </c>
      <c r="T358" s="1">
        <f t="shared" si="137"/>
        <v>0</v>
      </c>
      <c r="U358" s="1">
        <f t="shared" si="138"/>
        <v>0</v>
      </c>
      <c r="V358" s="1">
        <f t="shared" si="139"/>
        <v>0</v>
      </c>
      <c r="W358" s="1">
        <f t="shared" si="140"/>
        <v>0</v>
      </c>
      <c r="X358" s="1">
        <f t="shared" si="141"/>
        <v>0</v>
      </c>
      <c r="Y358" s="1">
        <f t="shared" si="142"/>
        <v>0</v>
      </c>
      <c r="Z358" s="1">
        <f t="shared" si="143"/>
        <v>1</v>
      </c>
      <c r="AA358" s="1">
        <f t="shared" si="144"/>
        <v>0</v>
      </c>
      <c r="AB358" s="1">
        <f t="shared" si="145"/>
        <v>0</v>
      </c>
      <c r="AC358" s="1"/>
      <c r="AD358" s="1">
        <f t="shared" si="148"/>
        <v>0</v>
      </c>
      <c r="AE358" s="1">
        <f t="shared" si="149"/>
        <v>1</v>
      </c>
      <c r="AF358" s="1">
        <f t="shared" si="150"/>
        <v>0</v>
      </c>
      <c r="AG358" s="1">
        <f t="shared" si="151"/>
        <v>1</v>
      </c>
      <c r="AH358" s="1">
        <f t="shared" si="152"/>
        <v>0</v>
      </c>
      <c r="AI358" s="1">
        <f t="shared" si="153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836</v>
      </c>
      <c r="E359" s="48" t="s">
        <v>835</v>
      </c>
      <c r="F359" s="48" t="s">
        <v>928</v>
      </c>
      <c r="G359" s="48" t="s">
        <v>214</v>
      </c>
      <c r="H359" s="48" t="s">
        <v>355</v>
      </c>
      <c r="I359" s="47" t="s">
        <v>837</v>
      </c>
      <c r="J359" s="47">
        <v>1</v>
      </c>
      <c r="K359" s="49" t="s">
        <v>716</v>
      </c>
      <c r="L359" s="49" t="s">
        <v>697</v>
      </c>
      <c r="M359" s="50" t="s">
        <v>1431</v>
      </c>
      <c r="N359" s="50" t="s">
        <v>1742</v>
      </c>
      <c r="O359" s="51"/>
      <c r="P359" s="51"/>
      <c r="Q359" s="48"/>
      <c r="R359" s="1"/>
      <c r="S359" s="1">
        <f t="shared" si="136"/>
        <v>1</v>
      </c>
      <c r="T359" s="1">
        <f t="shared" si="137"/>
        <v>0</v>
      </c>
      <c r="U359" s="1">
        <f t="shared" si="138"/>
        <v>0</v>
      </c>
      <c r="V359" s="1">
        <f t="shared" si="139"/>
        <v>0</v>
      </c>
      <c r="W359" s="1">
        <f t="shared" si="140"/>
        <v>0</v>
      </c>
      <c r="X359" s="1">
        <f t="shared" si="141"/>
        <v>0</v>
      </c>
      <c r="Y359" s="1">
        <f t="shared" si="142"/>
        <v>0</v>
      </c>
      <c r="Z359" s="1">
        <f t="shared" si="143"/>
        <v>0</v>
      </c>
      <c r="AA359" s="1">
        <f t="shared" si="144"/>
        <v>0</v>
      </c>
      <c r="AB359" s="1">
        <f t="shared" si="145"/>
        <v>0</v>
      </c>
      <c r="AC359" s="1"/>
      <c r="AD359" s="1">
        <f t="shared" si="148"/>
        <v>0</v>
      </c>
      <c r="AE359" s="1">
        <f t="shared" si="149"/>
        <v>0</v>
      </c>
      <c r="AF359" s="1">
        <f t="shared" si="150"/>
        <v>0</v>
      </c>
      <c r="AG359" s="1">
        <f t="shared" si="151"/>
        <v>0</v>
      </c>
      <c r="AH359" s="1">
        <f t="shared" si="152"/>
        <v>0</v>
      </c>
      <c r="AI359" s="1">
        <f t="shared" si="153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165</v>
      </c>
      <c r="F360" s="35" t="s">
        <v>549</v>
      </c>
      <c r="G360" s="35" t="s">
        <v>195</v>
      </c>
      <c r="H360" s="35" t="s">
        <v>355</v>
      </c>
      <c r="I360" s="34" t="s">
        <v>554</v>
      </c>
      <c r="J360" s="34">
        <v>9</v>
      </c>
      <c r="K360" s="36" t="s">
        <v>717</v>
      </c>
      <c r="L360" s="36" t="s">
        <v>690</v>
      </c>
      <c r="M360" s="37" t="s">
        <v>1450</v>
      </c>
      <c r="N360" s="37" t="s">
        <v>1768</v>
      </c>
      <c r="O360" s="38">
        <v>1</v>
      </c>
      <c r="P360" s="38"/>
      <c r="Q360" s="35"/>
      <c r="R360" s="1"/>
      <c r="S360" s="1">
        <f t="shared" si="136"/>
        <v>0</v>
      </c>
      <c r="T360" s="1">
        <f t="shared" si="137"/>
        <v>0</v>
      </c>
      <c r="U360" s="1">
        <f t="shared" si="138"/>
        <v>0</v>
      </c>
      <c r="V360" s="1">
        <f t="shared" si="139"/>
        <v>0</v>
      </c>
      <c r="W360" s="1">
        <f t="shared" si="140"/>
        <v>0</v>
      </c>
      <c r="X360" s="1">
        <f t="shared" si="141"/>
        <v>0</v>
      </c>
      <c r="Y360" s="1">
        <f t="shared" si="142"/>
        <v>0</v>
      </c>
      <c r="Z360" s="1">
        <f t="shared" si="143"/>
        <v>0</v>
      </c>
      <c r="AA360" s="1">
        <f t="shared" si="144"/>
        <v>1</v>
      </c>
      <c r="AB360" s="1">
        <f t="shared" si="145"/>
        <v>0</v>
      </c>
      <c r="AC360" s="1"/>
      <c r="AD360" s="1">
        <f t="shared" si="148"/>
        <v>0</v>
      </c>
      <c r="AE360" s="1">
        <f t="shared" si="149"/>
        <v>1</v>
      </c>
      <c r="AF360" s="1">
        <f t="shared" si="150"/>
        <v>0</v>
      </c>
      <c r="AG360" s="1">
        <f t="shared" si="151"/>
        <v>1</v>
      </c>
      <c r="AH360" s="1">
        <f t="shared" si="152"/>
        <v>0</v>
      </c>
      <c r="AI360" s="1">
        <f t="shared" si="153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1493</v>
      </c>
      <c r="E361" s="48" t="s">
        <v>35</v>
      </c>
      <c r="F361" s="68" t="s">
        <v>1880</v>
      </c>
      <c r="G361" s="48" t="s">
        <v>223</v>
      </c>
      <c r="H361" s="48" t="s">
        <v>355</v>
      </c>
      <c r="I361" s="47" t="s">
        <v>1693</v>
      </c>
      <c r="J361" s="47">
        <v>99</v>
      </c>
      <c r="K361" s="49" t="s">
        <v>717</v>
      </c>
      <c r="L361" s="49">
        <v>25</v>
      </c>
      <c r="M361" s="50" t="s">
        <v>39</v>
      </c>
      <c r="N361" s="50" t="s">
        <v>1744</v>
      </c>
      <c r="O361" s="51"/>
      <c r="P361" s="51"/>
      <c r="Q361" s="48"/>
      <c r="R361" s="1"/>
      <c r="S361" s="1">
        <f t="shared" si="136"/>
        <v>0</v>
      </c>
      <c r="T361" s="1">
        <f t="shared" si="137"/>
        <v>0</v>
      </c>
      <c r="U361" s="1">
        <f t="shared" si="138"/>
        <v>0</v>
      </c>
      <c r="V361" s="1">
        <f t="shared" si="139"/>
        <v>0</v>
      </c>
      <c r="W361" s="1">
        <f t="shared" si="140"/>
        <v>0</v>
      </c>
      <c r="X361" s="1">
        <f t="shared" si="141"/>
        <v>0</v>
      </c>
      <c r="Y361" s="1">
        <f t="shared" si="142"/>
        <v>0</v>
      </c>
      <c r="Z361" s="1">
        <f t="shared" si="143"/>
        <v>0</v>
      </c>
      <c r="AA361" s="1">
        <f t="shared" si="144"/>
        <v>0</v>
      </c>
      <c r="AB361" s="1">
        <f t="shared" si="145"/>
        <v>0</v>
      </c>
      <c r="AC361" s="1"/>
      <c r="AD361" s="1">
        <f t="shared" si="146"/>
        <v>0</v>
      </c>
      <c r="AE361" s="1">
        <f t="shared" si="147"/>
        <v>0</v>
      </c>
      <c r="AF361" s="1">
        <f t="shared" si="132"/>
        <v>0</v>
      </c>
      <c r="AG361" s="1">
        <f t="shared" si="133"/>
        <v>0</v>
      </c>
      <c r="AH361" s="1">
        <f t="shared" si="134"/>
        <v>0</v>
      </c>
      <c r="AI361" s="1">
        <f t="shared" si="135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1826</v>
      </c>
      <c r="E362" s="48" t="s">
        <v>776</v>
      </c>
      <c r="F362" s="48" t="s">
        <v>1827</v>
      </c>
      <c r="G362" s="48" t="s">
        <v>225</v>
      </c>
      <c r="H362" s="48" t="s">
        <v>355</v>
      </c>
      <c r="I362" s="47" t="s">
        <v>1828</v>
      </c>
      <c r="J362" s="47">
        <v>99</v>
      </c>
      <c r="K362" s="49" t="s">
        <v>1829</v>
      </c>
      <c r="L362" s="49">
        <v>40</v>
      </c>
      <c r="M362" s="50" t="s">
        <v>1830</v>
      </c>
      <c r="N362" s="50" t="s">
        <v>1816</v>
      </c>
      <c r="O362" s="51"/>
      <c r="P362" s="51"/>
      <c r="Q362" s="48"/>
      <c r="R362" s="1"/>
      <c r="S362" s="1">
        <f t="shared" si="136"/>
        <v>0</v>
      </c>
      <c r="T362" s="1">
        <f t="shared" si="137"/>
        <v>0</v>
      </c>
      <c r="U362" s="1">
        <f t="shared" si="138"/>
        <v>0</v>
      </c>
      <c r="V362" s="1">
        <f t="shared" si="139"/>
        <v>0</v>
      </c>
      <c r="W362" s="1">
        <f t="shared" si="140"/>
        <v>0</v>
      </c>
      <c r="X362" s="1">
        <f t="shared" si="141"/>
        <v>0</v>
      </c>
      <c r="Y362" s="1">
        <f t="shared" si="142"/>
        <v>0</v>
      </c>
      <c r="Z362" s="1">
        <f t="shared" si="143"/>
        <v>0</v>
      </c>
      <c r="AA362" s="1">
        <f t="shared" si="144"/>
        <v>0</v>
      </c>
      <c r="AB362" s="1">
        <f t="shared" si="145"/>
        <v>0</v>
      </c>
      <c r="AC362" s="1"/>
      <c r="AD362" s="1">
        <f t="shared" si="146"/>
        <v>0</v>
      </c>
      <c r="AE362" s="1">
        <f t="shared" si="147"/>
        <v>0</v>
      </c>
      <c r="AF362" s="1">
        <f t="shared" si="132"/>
        <v>0</v>
      </c>
      <c r="AG362" s="1">
        <f t="shared" si="133"/>
        <v>0</v>
      </c>
      <c r="AH362" s="1">
        <f t="shared" si="134"/>
        <v>0</v>
      </c>
      <c r="AI362" s="1">
        <f t="shared" si="135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618</v>
      </c>
      <c r="E363" s="35" t="s">
        <v>689</v>
      </c>
      <c r="F363" s="35" t="s">
        <v>619</v>
      </c>
      <c r="G363" s="35" t="s">
        <v>288</v>
      </c>
      <c r="H363" s="35" t="s">
        <v>355</v>
      </c>
      <c r="I363" s="34" t="s">
        <v>620</v>
      </c>
      <c r="J363" s="34">
        <v>99</v>
      </c>
      <c r="K363" s="36" t="s">
        <v>716</v>
      </c>
      <c r="L363" s="36" t="s">
        <v>708</v>
      </c>
      <c r="M363" s="37" t="s">
        <v>1432</v>
      </c>
      <c r="N363" s="37" t="s">
        <v>1750</v>
      </c>
      <c r="O363" s="38">
        <v>1</v>
      </c>
      <c r="P363" s="38"/>
      <c r="Q363" s="35"/>
      <c r="R363" s="1"/>
      <c r="S363" s="1">
        <f t="shared" si="136"/>
        <v>0</v>
      </c>
      <c r="T363" s="1">
        <f t="shared" si="137"/>
        <v>0</v>
      </c>
      <c r="U363" s="1">
        <f t="shared" si="138"/>
        <v>0</v>
      </c>
      <c r="V363" s="1">
        <f t="shared" si="139"/>
        <v>0</v>
      </c>
      <c r="W363" s="1">
        <f t="shared" si="140"/>
        <v>0</v>
      </c>
      <c r="X363" s="1">
        <f t="shared" si="141"/>
        <v>0</v>
      </c>
      <c r="Y363" s="1">
        <f t="shared" si="142"/>
        <v>0</v>
      </c>
      <c r="Z363" s="1">
        <f t="shared" si="143"/>
        <v>0</v>
      </c>
      <c r="AA363" s="1">
        <f t="shared" si="144"/>
        <v>0</v>
      </c>
      <c r="AB363" s="1">
        <f t="shared" si="145"/>
        <v>0</v>
      </c>
      <c r="AC363" s="1"/>
      <c r="AD363" s="1">
        <f t="shared" si="146"/>
        <v>0</v>
      </c>
      <c r="AE363" s="1">
        <f t="shared" si="147"/>
        <v>1</v>
      </c>
      <c r="AF363" s="1">
        <f t="shared" si="132"/>
        <v>0</v>
      </c>
      <c r="AG363" s="1">
        <f t="shared" si="133"/>
        <v>1</v>
      </c>
      <c r="AH363" s="1">
        <f t="shared" si="134"/>
        <v>0</v>
      </c>
      <c r="AI363" s="1">
        <f t="shared" si="135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1495</v>
      </c>
      <c r="E364" s="48" t="s">
        <v>776</v>
      </c>
      <c r="F364" s="48" t="s">
        <v>1496</v>
      </c>
      <c r="G364" s="48" t="s">
        <v>197</v>
      </c>
      <c r="H364" s="48" t="s">
        <v>355</v>
      </c>
      <c r="I364" s="47" t="s">
        <v>1497</v>
      </c>
      <c r="J364" s="47">
        <v>99</v>
      </c>
      <c r="K364" s="49" t="s">
        <v>958</v>
      </c>
      <c r="L364" s="49" t="s">
        <v>697</v>
      </c>
      <c r="M364" s="50" t="s">
        <v>1423</v>
      </c>
      <c r="N364" s="50" t="s">
        <v>1742</v>
      </c>
      <c r="O364" s="51"/>
      <c r="P364" s="51"/>
      <c r="Q364" s="48"/>
      <c r="R364" s="1"/>
      <c r="S364" s="1">
        <f t="shared" si="136"/>
        <v>0</v>
      </c>
      <c r="T364" s="1">
        <f t="shared" si="137"/>
        <v>0</v>
      </c>
      <c r="U364" s="1">
        <f t="shared" si="138"/>
        <v>0</v>
      </c>
      <c r="V364" s="1">
        <f t="shared" si="139"/>
        <v>0</v>
      </c>
      <c r="W364" s="1">
        <f t="shared" si="140"/>
        <v>0</v>
      </c>
      <c r="X364" s="1">
        <f t="shared" si="141"/>
        <v>0</v>
      </c>
      <c r="Y364" s="1">
        <f t="shared" si="142"/>
        <v>0</v>
      </c>
      <c r="Z364" s="1">
        <f t="shared" si="143"/>
        <v>0</v>
      </c>
      <c r="AA364" s="1">
        <f t="shared" si="144"/>
        <v>0</v>
      </c>
      <c r="AB364" s="1">
        <f t="shared" si="145"/>
        <v>0</v>
      </c>
      <c r="AC364" s="1"/>
      <c r="AD364" s="1">
        <f t="shared" si="146"/>
        <v>0</v>
      </c>
      <c r="AE364" s="1">
        <f t="shared" si="147"/>
        <v>0</v>
      </c>
      <c r="AF364" s="1">
        <f t="shared" si="132"/>
        <v>0</v>
      </c>
      <c r="AG364" s="1">
        <f t="shared" si="133"/>
        <v>0</v>
      </c>
      <c r="AH364" s="1">
        <f t="shared" si="134"/>
        <v>0</v>
      </c>
      <c r="AI364" s="1">
        <f t="shared" si="135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779</v>
      </c>
      <c r="E365" s="48" t="s">
        <v>776</v>
      </c>
      <c r="F365" s="48" t="s">
        <v>781</v>
      </c>
      <c r="G365" s="48" t="s">
        <v>208</v>
      </c>
      <c r="H365" s="48" t="s">
        <v>355</v>
      </c>
      <c r="I365" s="47" t="s">
        <v>780</v>
      </c>
      <c r="J365" s="47">
        <v>99</v>
      </c>
      <c r="K365" s="49" t="s">
        <v>716</v>
      </c>
      <c r="L365" s="49" t="s">
        <v>698</v>
      </c>
      <c r="M365" s="50" t="s">
        <v>1433</v>
      </c>
      <c r="N365" s="50" t="s">
        <v>1742</v>
      </c>
      <c r="O365" s="51"/>
      <c r="P365" s="51"/>
      <c r="Q365" s="48"/>
      <c r="R365" s="34"/>
      <c r="S365" s="34">
        <f t="shared" si="136"/>
        <v>0</v>
      </c>
      <c r="T365" s="34">
        <f t="shared" si="137"/>
        <v>0</v>
      </c>
      <c r="U365" s="35">
        <f t="shared" si="138"/>
        <v>0</v>
      </c>
      <c r="V365" s="35">
        <f t="shared" si="139"/>
        <v>0</v>
      </c>
      <c r="W365" s="35">
        <f t="shared" si="140"/>
        <v>0</v>
      </c>
      <c r="X365" s="35">
        <f t="shared" si="141"/>
        <v>0</v>
      </c>
      <c r="Y365" s="35">
        <f t="shared" si="142"/>
        <v>0</v>
      </c>
      <c r="Z365" s="34">
        <f t="shared" si="143"/>
        <v>0</v>
      </c>
      <c r="AA365" s="34">
        <f t="shared" si="144"/>
        <v>0</v>
      </c>
      <c r="AB365" s="36">
        <f t="shared" si="145"/>
        <v>0</v>
      </c>
      <c r="AC365" s="36"/>
      <c r="AD365" s="37">
        <f t="shared" si="146"/>
        <v>0</v>
      </c>
      <c r="AE365" s="37">
        <f t="shared" si="147"/>
        <v>0</v>
      </c>
      <c r="AF365" s="38">
        <f t="shared" si="132"/>
        <v>0</v>
      </c>
      <c r="AG365" s="38">
        <f t="shared" si="133"/>
        <v>0</v>
      </c>
      <c r="AH365" s="39">
        <f t="shared" si="134"/>
        <v>0</v>
      </c>
      <c r="AI365" s="34">
        <f t="shared" si="135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779</v>
      </c>
      <c r="E366" s="48" t="s">
        <v>776</v>
      </c>
      <c r="F366" s="48" t="s">
        <v>1010</v>
      </c>
      <c r="G366" s="48" t="s">
        <v>191</v>
      </c>
      <c r="H366" s="48" t="s">
        <v>355</v>
      </c>
      <c r="I366" s="47" t="s">
        <v>1011</v>
      </c>
      <c r="J366" s="47">
        <v>99</v>
      </c>
      <c r="K366" s="49" t="s">
        <v>716</v>
      </c>
      <c r="L366" s="49" t="s">
        <v>698</v>
      </c>
      <c r="M366" s="50" t="s">
        <v>1433</v>
      </c>
      <c r="N366" s="50" t="s">
        <v>1742</v>
      </c>
      <c r="O366" s="51"/>
      <c r="P366" s="51"/>
      <c r="Q366" s="48"/>
      <c r="R366" s="1"/>
      <c r="S366" s="1">
        <f t="shared" si="136"/>
        <v>0</v>
      </c>
      <c r="T366" s="1">
        <f t="shared" si="137"/>
        <v>0</v>
      </c>
      <c r="U366" s="1">
        <f t="shared" si="138"/>
        <v>0</v>
      </c>
      <c r="V366" s="1">
        <f t="shared" si="139"/>
        <v>0</v>
      </c>
      <c r="W366" s="1">
        <f t="shared" si="140"/>
        <v>0</v>
      </c>
      <c r="X366" s="1">
        <f t="shared" si="141"/>
        <v>0</v>
      </c>
      <c r="Y366" s="1">
        <f t="shared" si="142"/>
        <v>0</v>
      </c>
      <c r="Z366" s="1">
        <f t="shared" si="143"/>
        <v>0</v>
      </c>
      <c r="AA366" s="1">
        <f t="shared" si="144"/>
        <v>0</v>
      </c>
      <c r="AB366" s="1">
        <f t="shared" si="145"/>
        <v>0</v>
      </c>
      <c r="AC366" s="1"/>
      <c r="AD366" s="1">
        <f t="shared" si="146"/>
        <v>0</v>
      </c>
      <c r="AE366" s="1">
        <f t="shared" si="147"/>
        <v>0</v>
      </c>
      <c r="AF366" s="1">
        <f t="shared" si="132"/>
        <v>0</v>
      </c>
      <c r="AG366" s="1">
        <f t="shared" si="133"/>
        <v>0</v>
      </c>
      <c r="AH366" s="1">
        <f t="shared" si="134"/>
        <v>0</v>
      </c>
      <c r="AI366" s="1">
        <f t="shared" si="135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920</v>
      </c>
      <c r="E367" s="16" t="s">
        <v>915</v>
      </c>
      <c r="F367" s="16" t="s">
        <v>933</v>
      </c>
      <c r="G367" s="16" t="s">
        <v>1357</v>
      </c>
      <c r="H367" s="16" t="s">
        <v>355</v>
      </c>
      <c r="I367" s="15" t="s">
        <v>774</v>
      </c>
      <c r="J367" s="15">
        <v>99</v>
      </c>
      <c r="K367" s="10" t="s">
        <v>707</v>
      </c>
      <c r="L367" s="10">
        <v>20</v>
      </c>
      <c r="M367" s="19" t="s">
        <v>1434</v>
      </c>
      <c r="N367" s="19"/>
      <c r="O367" s="1"/>
      <c r="P367" s="1"/>
      <c r="Q367" s="16"/>
      <c r="R367" s="1"/>
      <c r="S367" s="1">
        <f t="shared" si="136"/>
        <v>0</v>
      </c>
      <c r="T367" s="1">
        <f t="shared" si="137"/>
        <v>0</v>
      </c>
      <c r="U367" s="1">
        <f t="shared" si="138"/>
        <v>0</v>
      </c>
      <c r="V367" s="1">
        <f t="shared" si="139"/>
        <v>0</v>
      </c>
      <c r="W367" s="1">
        <f t="shared" si="140"/>
        <v>0</v>
      </c>
      <c r="X367" s="1">
        <f t="shared" si="141"/>
        <v>0</v>
      </c>
      <c r="Y367" s="1">
        <f t="shared" si="142"/>
        <v>0</v>
      </c>
      <c r="Z367" s="1">
        <f t="shared" si="143"/>
        <v>0</v>
      </c>
      <c r="AA367" s="1">
        <f t="shared" si="144"/>
        <v>0</v>
      </c>
      <c r="AB367" s="1">
        <f t="shared" si="145"/>
        <v>0</v>
      </c>
      <c r="AC367" s="1"/>
      <c r="AD367" s="1">
        <f t="shared" si="146"/>
        <v>0</v>
      </c>
      <c r="AE367" s="1">
        <f t="shared" si="147"/>
        <v>0</v>
      </c>
      <c r="AF367" s="1">
        <f t="shared" si="132"/>
        <v>0</v>
      </c>
      <c r="AG367" s="1">
        <f t="shared" si="133"/>
        <v>0</v>
      </c>
      <c r="AH367" s="1">
        <f t="shared" si="134"/>
        <v>0</v>
      </c>
      <c r="AI367" s="1">
        <f t="shared" si="135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1797</v>
      </c>
      <c r="E368" s="53" t="s">
        <v>168</v>
      </c>
      <c r="F368" s="53" t="s">
        <v>1775</v>
      </c>
      <c r="G368" s="53"/>
      <c r="H368" s="53" t="s">
        <v>355</v>
      </c>
      <c r="I368" s="52" t="s">
        <v>1776</v>
      </c>
      <c r="J368" s="52"/>
      <c r="K368" s="54" t="s">
        <v>707</v>
      </c>
      <c r="L368" s="54">
        <v>30</v>
      </c>
      <c r="M368" s="55" t="s">
        <v>1777</v>
      </c>
      <c r="N368" s="55" t="s">
        <v>1755</v>
      </c>
      <c r="O368" s="56">
        <v>1</v>
      </c>
      <c r="P368" s="56"/>
      <c r="Q368" s="53"/>
      <c r="R368" s="1"/>
      <c r="S368" s="1">
        <f t="shared" si="136"/>
        <v>0</v>
      </c>
      <c r="T368" s="1">
        <f t="shared" si="137"/>
        <v>0</v>
      </c>
      <c r="U368" s="1">
        <f t="shared" si="138"/>
        <v>0</v>
      </c>
      <c r="V368" s="1">
        <f t="shared" si="139"/>
        <v>0</v>
      </c>
      <c r="W368" s="1">
        <f t="shared" si="140"/>
        <v>0</v>
      </c>
      <c r="X368" s="1">
        <f t="shared" si="141"/>
        <v>0</v>
      </c>
      <c r="Y368" s="1">
        <f t="shared" si="142"/>
        <v>0</v>
      </c>
      <c r="Z368" s="1">
        <f t="shared" si="143"/>
        <v>0</v>
      </c>
      <c r="AA368" s="1">
        <f t="shared" si="144"/>
        <v>0</v>
      </c>
      <c r="AB368" s="1">
        <f t="shared" si="145"/>
        <v>0</v>
      </c>
      <c r="AC368" s="1"/>
      <c r="AD368" s="1">
        <f t="shared" si="146"/>
        <v>0</v>
      </c>
      <c r="AE368" s="1">
        <f t="shared" si="147"/>
        <v>1</v>
      </c>
      <c r="AF368" s="1">
        <f t="shared" si="132"/>
        <v>0</v>
      </c>
      <c r="AG368" s="1">
        <f t="shared" si="133"/>
        <v>1</v>
      </c>
      <c r="AH368" s="1">
        <f t="shared" si="134"/>
        <v>0</v>
      </c>
      <c r="AI368" s="1">
        <f t="shared" si="135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1928</v>
      </c>
      <c r="E369" s="35"/>
      <c r="F369" s="35" t="s">
        <v>1929</v>
      </c>
      <c r="G369" s="35" t="s">
        <v>209</v>
      </c>
      <c r="H369" s="35" t="s">
        <v>355</v>
      </c>
      <c r="I369" s="34" t="s">
        <v>1930</v>
      </c>
      <c r="J369" s="34">
        <v>3</v>
      </c>
      <c r="K369" s="36" t="s">
        <v>707</v>
      </c>
      <c r="L369" s="36"/>
      <c r="M369" s="37"/>
      <c r="N369" s="37" t="s">
        <v>1734</v>
      </c>
      <c r="O369" s="38">
        <v>1</v>
      </c>
      <c r="P369" s="38">
        <v>1</v>
      </c>
      <c r="Q369" s="35" t="s">
        <v>1931</v>
      </c>
      <c r="S369" s="1">
        <f t="shared" si="136"/>
        <v>0</v>
      </c>
      <c r="T369" s="1">
        <f t="shared" si="137"/>
        <v>0</v>
      </c>
      <c r="U369" s="1">
        <f t="shared" si="138"/>
        <v>1</v>
      </c>
      <c r="V369" s="1">
        <f t="shared" si="139"/>
        <v>0</v>
      </c>
      <c r="W369" s="1">
        <f t="shared" si="140"/>
        <v>0</v>
      </c>
      <c r="X369" s="1">
        <f t="shared" si="141"/>
        <v>0</v>
      </c>
      <c r="Y369" s="1">
        <f t="shared" si="142"/>
        <v>0</v>
      </c>
      <c r="Z369" s="1">
        <f t="shared" si="143"/>
        <v>0</v>
      </c>
      <c r="AA369" s="1">
        <f t="shared" si="144"/>
        <v>0</v>
      </c>
      <c r="AB369" s="1">
        <f t="shared" si="145"/>
        <v>0</v>
      </c>
      <c r="AD369" s="1">
        <f t="shared" si="146"/>
        <v>1</v>
      </c>
      <c r="AE369" s="1">
        <f t="shared" si="147"/>
        <v>0</v>
      </c>
      <c r="AF369" s="1">
        <f t="shared" si="132"/>
        <v>1</v>
      </c>
      <c r="AG369" s="1">
        <f t="shared" si="133"/>
        <v>0</v>
      </c>
      <c r="AH369" s="1">
        <f t="shared" si="134"/>
        <v>1</v>
      </c>
      <c r="AI369" s="1">
        <f t="shared" si="135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1277</v>
      </c>
      <c r="E370" s="35" t="s">
        <v>1278</v>
      </c>
      <c r="F370" s="35" t="s">
        <v>1279</v>
      </c>
      <c r="G370" s="35" t="s">
        <v>221</v>
      </c>
      <c r="H370" s="35" t="s">
        <v>355</v>
      </c>
      <c r="I370" s="34" t="s">
        <v>1730</v>
      </c>
      <c r="J370" s="34">
        <v>8</v>
      </c>
      <c r="K370" s="36" t="s">
        <v>717</v>
      </c>
      <c r="L370" s="36" t="s">
        <v>39</v>
      </c>
      <c r="M370" s="37" t="s">
        <v>39</v>
      </c>
      <c r="N370" s="37" t="s">
        <v>1734</v>
      </c>
      <c r="O370" s="38">
        <v>1</v>
      </c>
      <c r="P370" s="38">
        <v>1</v>
      </c>
      <c r="Q370" s="35"/>
      <c r="S370" s="1">
        <f t="shared" si="136"/>
        <v>0</v>
      </c>
      <c r="T370" s="1">
        <f t="shared" si="137"/>
        <v>0</v>
      </c>
      <c r="U370" s="1">
        <f t="shared" si="138"/>
        <v>0</v>
      </c>
      <c r="V370" s="1">
        <f t="shared" si="139"/>
        <v>0</v>
      </c>
      <c r="W370" s="1">
        <f t="shared" si="140"/>
        <v>0</v>
      </c>
      <c r="X370" s="1">
        <f t="shared" si="141"/>
        <v>0</v>
      </c>
      <c r="Y370" s="1">
        <f t="shared" si="142"/>
        <v>0</v>
      </c>
      <c r="Z370" s="1">
        <f t="shared" si="143"/>
        <v>1</v>
      </c>
      <c r="AA370" s="1">
        <f t="shared" si="144"/>
        <v>0</v>
      </c>
      <c r="AB370" s="1">
        <f t="shared" si="145"/>
        <v>0</v>
      </c>
      <c r="AD370" s="1">
        <f t="shared" si="146"/>
        <v>1</v>
      </c>
      <c r="AE370" s="1">
        <f t="shared" si="147"/>
        <v>0</v>
      </c>
      <c r="AF370" s="1">
        <f t="shared" si="132"/>
        <v>1</v>
      </c>
      <c r="AG370" s="1">
        <f t="shared" si="133"/>
        <v>0</v>
      </c>
      <c r="AH370" s="1">
        <f t="shared" si="134"/>
        <v>1</v>
      </c>
      <c r="AI370" s="1">
        <f t="shared" si="135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1086</v>
      </c>
      <c r="E371" s="35" t="s">
        <v>156</v>
      </c>
      <c r="F371" s="35" t="s">
        <v>1070</v>
      </c>
      <c r="G371" s="35" t="s">
        <v>322</v>
      </c>
      <c r="H371" s="35" t="s">
        <v>355</v>
      </c>
      <c r="I371" s="34" t="s">
        <v>1071</v>
      </c>
      <c r="J371" s="34">
        <v>99</v>
      </c>
      <c r="K371" s="36" t="s">
        <v>717</v>
      </c>
      <c r="L371" s="36" t="s">
        <v>698</v>
      </c>
      <c r="M371" s="37" t="s">
        <v>1435</v>
      </c>
      <c r="N371" s="37" t="s">
        <v>1763</v>
      </c>
      <c r="O371" s="38">
        <v>1</v>
      </c>
      <c r="P371" s="38"/>
      <c r="Q371" s="35"/>
      <c r="S371" s="1">
        <f t="shared" si="136"/>
        <v>0</v>
      </c>
      <c r="T371" s="1">
        <f t="shared" si="137"/>
        <v>0</v>
      </c>
      <c r="U371" s="1">
        <f t="shared" si="138"/>
        <v>0</v>
      </c>
      <c r="V371" s="1">
        <f t="shared" si="139"/>
        <v>0</v>
      </c>
      <c r="W371" s="1">
        <f t="shared" si="140"/>
        <v>0</v>
      </c>
      <c r="X371" s="1">
        <f t="shared" si="141"/>
        <v>0</v>
      </c>
      <c r="Y371" s="1">
        <f t="shared" si="142"/>
        <v>0</v>
      </c>
      <c r="Z371" s="1">
        <f t="shared" si="143"/>
        <v>0</v>
      </c>
      <c r="AA371" s="1">
        <f t="shared" si="144"/>
        <v>0</v>
      </c>
      <c r="AB371" s="1">
        <f t="shared" si="145"/>
        <v>0</v>
      </c>
      <c r="AD371" s="1">
        <f t="shared" si="146"/>
        <v>0</v>
      </c>
      <c r="AE371" s="1">
        <f t="shared" si="147"/>
        <v>1</v>
      </c>
      <c r="AF371" s="1">
        <f t="shared" si="132"/>
        <v>0</v>
      </c>
      <c r="AG371" s="1">
        <f t="shared" si="133"/>
        <v>1</v>
      </c>
      <c r="AH371" s="1">
        <f t="shared" si="134"/>
        <v>0</v>
      </c>
      <c r="AI371" s="1">
        <f t="shared" si="135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800</v>
      </c>
      <c r="E372" s="35" t="s">
        <v>776</v>
      </c>
      <c r="F372" s="35" t="s">
        <v>936</v>
      </c>
      <c r="G372" s="35" t="s">
        <v>221</v>
      </c>
      <c r="H372" s="35" t="s">
        <v>355</v>
      </c>
      <c r="I372" s="34" t="s">
        <v>801</v>
      </c>
      <c r="J372" s="34">
        <v>8</v>
      </c>
      <c r="K372" s="36" t="s">
        <v>707</v>
      </c>
      <c r="L372" s="36">
        <v>20</v>
      </c>
      <c r="M372" s="37" t="s">
        <v>1426</v>
      </c>
      <c r="N372" s="37" t="s">
        <v>1832</v>
      </c>
      <c r="O372" s="38">
        <v>1</v>
      </c>
      <c r="P372" s="38"/>
      <c r="Q372" s="35"/>
      <c r="S372" s="1">
        <f t="shared" ref="S372:S374" si="154">IF(J372=$S$7,1,0)</f>
        <v>0</v>
      </c>
      <c r="T372" s="1">
        <f t="shared" ref="T372:T374" si="155">IF(J372=$T$7,1,0)</f>
        <v>0</v>
      </c>
      <c r="U372" s="1">
        <f t="shared" ref="U372:U374" si="156">IF(J372=$U$7,1,0)</f>
        <v>0</v>
      </c>
      <c r="V372" s="1">
        <f t="shared" ref="V372:V374" si="157">IF(J372=$V$7,1,0)</f>
        <v>0</v>
      </c>
      <c r="W372" s="1">
        <f t="shared" ref="W372:W374" si="158">IF(J372=$W$7,1,0)</f>
        <v>0</v>
      </c>
      <c r="X372" s="1">
        <f t="shared" ref="X372:X374" si="159">IF(J372=$X$7,1,0)</f>
        <v>0</v>
      </c>
      <c r="Y372" s="1">
        <f t="shared" ref="Y372:Y374" si="160">IF(J372=$Y$7,1,0)</f>
        <v>0</v>
      </c>
      <c r="Z372" s="1">
        <f t="shared" ref="Z372:Z374" si="161">IF(J372=$Z$7,1,0)</f>
        <v>1</v>
      </c>
      <c r="AA372" s="1">
        <f t="shared" ref="AA372:AA374" si="162">IF(J372=$AA$7,1,0)</f>
        <v>0</v>
      </c>
      <c r="AB372" s="1">
        <f t="shared" ref="AB372:AB374" si="163">IF(J372=$AB$7,1,0)</f>
        <v>0</v>
      </c>
      <c r="AD372" s="1">
        <f t="shared" ref="AD372:AD374" si="164">+O372*P372</f>
        <v>0</v>
      </c>
      <c r="AE372" s="1">
        <f t="shared" ref="AE372:AE374" si="165">O372*(1-P372)</f>
        <v>1</v>
      </c>
      <c r="AF372" s="1">
        <f t="shared" si="132"/>
        <v>0</v>
      </c>
      <c r="AG372" s="1">
        <f t="shared" si="133"/>
        <v>1</v>
      </c>
      <c r="AH372" s="1">
        <f t="shared" si="134"/>
        <v>0</v>
      </c>
      <c r="AI372" s="1">
        <f t="shared" si="135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160</v>
      </c>
      <c r="F373" s="53" t="s">
        <v>269</v>
      </c>
      <c r="G373" s="53" t="s">
        <v>214</v>
      </c>
      <c r="H373" s="53" t="s">
        <v>355</v>
      </c>
      <c r="I373" s="52" t="s">
        <v>426</v>
      </c>
      <c r="J373" s="52">
        <v>1</v>
      </c>
      <c r="K373" s="54" t="s">
        <v>959</v>
      </c>
      <c r="L373" s="54" t="s">
        <v>708</v>
      </c>
      <c r="M373" s="55" t="s">
        <v>731</v>
      </c>
      <c r="N373" s="55" t="s">
        <v>1750</v>
      </c>
      <c r="O373" s="56">
        <v>1</v>
      </c>
      <c r="P373" s="56"/>
      <c r="Q373" s="53"/>
      <c r="S373" s="1">
        <f t="shared" si="154"/>
        <v>1</v>
      </c>
      <c r="T373" s="1">
        <f t="shared" si="155"/>
        <v>0</v>
      </c>
      <c r="U373" s="1">
        <f t="shared" si="156"/>
        <v>0</v>
      </c>
      <c r="V373" s="1">
        <f t="shared" si="157"/>
        <v>0</v>
      </c>
      <c r="W373" s="1">
        <f t="shared" si="158"/>
        <v>0</v>
      </c>
      <c r="X373" s="1">
        <f t="shared" si="159"/>
        <v>0</v>
      </c>
      <c r="Y373" s="1">
        <f t="shared" si="160"/>
        <v>0</v>
      </c>
      <c r="Z373" s="1">
        <f t="shared" si="161"/>
        <v>0</v>
      </c>
      <c r="AA373" s="1">
        <f t="shared" si="162"/>
        <v>0</v>
      </c>
      <c r="AB373" s="1">
        <f t="shared" si="163"/>
        <v>0</v>
      </c>
      <c r="AD373" s="1">
        <f t="shared" si="164"/>
        <v>0</v>
      </c>
      <c r="AE373" s="1">
        <f t="shared" si="165"/>
        <v>1</v>
      </c>
      <c r="AF373" s="1">
        <f t="shared" si="132"/>
        <v>0</v>
      </c>
      <c r="AG373" s="1">
        <f t="shared" si="133"/>
        <v>1</v>
      </c>
      <c r="AH373" s="1">
        <f t="shared" si="134"/>
        <v>0</v>
      </c>
      <c r="AI373" s="1">
        <f t="shared" si="135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1649</v>
      </c>
      <c r="E374" s="35" t="s">
        <v>1661</v>
      </c>
      <c r="F374" s="35" t="s">
        <v>1558</v>
      </c>
      <c r="G374" s="35" t="s">
        <v>263</v>
      </c>
      <c r="H374" s="35" t="s">
        <v>355</v>
      </c>
      <c r="I374" s="34" t="s">
        <v>1559</v>
      </c>
      <c r="J374" s="34">
        <v>99</v>
      </c>
      <c r="K374" s="36" t="s">
        <v>959</v>
      </c>
      <c r="L374" s="36">
        <v>40</v>
      </c>
      <c r="M374" s="37" t="s">
        <v>39</v>
      </c>
      <c r="N374" s="37" t="s">
        <v>1832</v>
      </c>
      <c r="O374" s="38">
        <v>1</v>
      </c>
      <c r="P374" s="38"/>
      <c r="Q374" s="35"/>
      <c r="S374" s="1">
        <f t="shared" si="154"/>
        <v>0</v>
      </c>
      <c r="T374" s="1">
        <f t="shared" si="155"/>
        <v>0</v>
      </c>
      <c r="U374" s="1">
        <f t="shared" si="156"/>
        <v>0</v>
      </c>
      <c r="V374" s="1">
        <f t="shared" si="157"/>
        <v>0</v>
      </c>
      <c r="W374" s="1">
        <f t="shared" si="158"/>
        <v>0</v>
      </c>
      <c r="X374" s="1">
        <f t="shared" si="159"/>
        <v>0</v>
      </c>
      <c r="Y374" s="1">
        <f t="shared" si="160"/>
        <v>0</v>
      </c>
      <c r="Z374" s="1">
        <f t="shared" si="161"/>
        <v>0</v>
      </c>
      <c r="AA374" s="1">
        <f t="shared" si="162"/>
        <v>0</v>
      </c>
      <c r="AB374" s="1">
        <f t="shared" si="163"/>
        <v>0</v>
      </c>
      <c r="AD374" s="1">
        <f t="shared" si="164"/>
        <v>0</v>
      </c>
      <c r="AE374" s="1">
        <f t="shared" si="165"/>
        <v>1</v>
      </c>
      <c r="AF374" s="1">
        <f t="shared" si="132"/>
        <v>0</v>
      </c>
      <c r="AG374" s="1">
        <f t="shared" si="133"/>
        <v>1</v>
      </c>
      <c r="AH374" s="1">
        <f t="shared" si="134"/>
        <v>0</v>
      </c>
      <c r="AI374" s="1">
        <f t="shared" si="135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1304</v>
      </c>
      <c r="E375" s="35" t="s">
        <v>27</v>
      </c>
      <c r="F375" s="35" t="s">
        <v>1305</v>
      </c>
      <c r="G375" s="35" t="s">
        <v>1306</v>
      </c>
      <c r="H375" s="35" t="s">
        <v>355</v>
      </c>
      <c r="I375" s="34" t="s">
        <v>1307</v>
      </c>
      <c r="J375" s="34">
        <v>99</v>
      </c>
      <c r="K375" s="36" t="s">
        <v>959</v>
      </c>
      <c r="L375" s="36" t="s">
        <v>39</v>
      </c>
      <c r="M375" s="37" t="s">
        <v>39</v>
      </c>
      <c r="N375" s="37" t="s">
        <v>1734</v>
      </c>
      <c r="O375" s="38">
        <v>1</v>
      </c>
      <c r="P375" s="38">
        <v>1</v>
      </c>
      <c r="Q375" s="39"/>
      <c r="S375" s="1">
        <f t="shared" si="136"/>
        <v>0</v>
      </c>
      <c r="T375" s="1">
        <f t="shared" si="137"/>
        <v>0</v>
      </c>
      <c r="U375" s="1">
        <f t="shared" si="138"/>
        <v>0</v>
      </c>
      <c r="V375" s="1">
        <f t="shared" si="139"/>
        <v>0</v>
      </c>
      <c r="W375" s="1">
        <f t="shared" si="140"/>
        <v>0</v>
      </c>
      <c r="X375" s="1">
        <f t="shared" si="141"/>
        <v>0</v>
      </c>
      <c r="Y375" s="1">
        <f t="shared" si="142"/>
        <v>0</v>
      </c>
      <c r="Z375" s="1">
        <f t="shared" si="143"/>
        <v>0</v>
      </c>
      <c r="AA375" s="1">
        <f t="shared" si="144"/>
        <v>0</v>
      </c>
      <c r="AB375" s="1">
        <f t="shared" si="145"/>
        <v>0</v>
      </c>
      <c r="AD375" s="1">
        <f t="shared" si="146"/>
        <v>1</v>
      </c>
      <c r="AE375" s="1">
        <f t="shared" si="147"/>
        <v>0</v>
      </c>
      <c r="AF375" s="1">
        <f t="shared" si="132"/>
        <v>1</v>
      </c>
      <c r="AG375" s="1">
        <f t="shared" si="133"/>
        <v>0</v>
      </c>
      <c r="AH375" s="1">
        <f t="shared" si="134"/>
        <v>1</v>
      </c>
      <c r="AI375" s="1">
        <f t="shared" si="135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1610</v>
      </c>
      <c r="E376" s="48" t="s">
        <v>160</v>
      </c>
      <c r="F376" s="48" t="s">
        <v>1682</v>
      </c>
      <c r="G376" s="48" t="s">
        <v>1475</v>
      </c>
      <c r="H376" s="48" t="s">
        <v>355</v>
      </c>
      <c r="I376" s="47" t="s">
        <v>1476</v>
      </c>
      <c r="J376" s="47">
        <v>99</v>
      </c>
      <c r="K376" s="49" t="s">
        <v>717</v>
      </c>
      <c r="L376" s="49" t="s">
        <v>700</v>
      </c>
      <c r="M376" s="50" t="s">
        <v>1477</v>
      </c>
      <c r="N376" s="50" t="s">
        <v>1754</v>
      </c>
      <c r="O376" s="51"/>
      <c r="P376" s="51"/>
      <c r="Q376" s="48"/>
      <c r="S376" s="1">
        <f t="shared" si="136"/>
        <v>0</v>
      </c>
      <c r="T376" s="1">
        <f t="shared" si="137"/>
        <v>0</v>
      </c>
      <c r="U376" s="1">
        <f t="shared" si="138"/>
        <v>0</v>
      </c>
      <c r="V376" s="1">
        <f t="shared" si="139"/>
        <v>0</v>
      </c>
      <c r="W376" s="1">
        <f t="shared" si="140"/>
        <v>0</v>
      </c>
      <c r="X376" s="1">
        <f t="shared" si="141"/>
        <v>0</v>
      </c>
      <c r="Y376" s="1">
        <f t="shared" si="142"/>
        <v>0</v>
      </c>
      <c r="Z376" s="1">
        <f t="shared" si="143"/>
        <v>0</v>
      </c>
      <c r="AA376" s="1">
        <f t="shared" si="144"/>
        <v>0</v>
      </c>
      <c r="AB376" s="1">
        <f t="shared" si="145"/>
        <v>0</v>
      </c>
      <c r="AD376" s="1">
        <f t="shared" si="146"/>
        <v>0</v>
      </c>
      <c r="AE376" s="1">
        <f t="shared" si="147"/>
        <v>0</v>
      </c>
      <c r="AF376" s="1">
        <f t="shared" si="132"/>
        <v>0</v>
      </c>
      <c r="AG376" s="1">
        <f t="shared" si="133"/>
        <v>0</v>
      </c>
      <c r="AH376" s="1">
        <f t="shared" si="134"/>
        <v>0</v>
      </c>
      <c r="AI376" s="1">
        <f t="shared" si="135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1785</v>
      </c>
      <c r="E377" s="35" t="s">
        <v>156</v>
      </c>
      <c r="F377" s="35" t="s">
        <v>1786</v>
      </c>
      <c r="G377" s="35" t="s">
        <v>659</v>
      </c>
      <c r="H377" s="35" t="s">
        <v>355</v>
      </c>
      <c r="I377" s="34" t="s">
        <v>1787</v>
      </c>
      <c r="J377" s="34"/>
      <c r="K377" s="36" t="s">
        <v>707</v>
      </c>
      <c r="L377" s="36">
        <v>40</v>
      </c>
      <c r="M377" s="37" t="s">
        <v>1788</v>
      </c>
      <c r="N377" s="37" t="s">
        <v>1750</v>
      </c>
      <c r="O377" s="38">
        <v>1</v>
      </c>
      <c r="P377" s="38"/>
      <c r="Q377" s="35"/>
      <c r="S377" s="1">
        <f t="shared" si="136"/>
        <v>0</v>
      </c>
      <c r="T377" s="1">
        <f t="shared" si="137"/>
        <v>0</v>
      </c>
      <c r="U377" s="1">
        <f t="shared" si="138"/>
        <v>0</v>
      </c>
      <c r="V377" s="1">
        <f t="shared" si="139"/>
        <v>0</v>
      </c>
      <c r="W377" s="1">
        <f t="shared" si="140"/>
        <v>0</v>
      </c>
      <c r="X377" s="1">
        <f t="shared" si="141"/>
        <v>0</v>
      </c>
      <c r="Y377" s="1">
        <f t="shared" si="142"/>
        <v>0</v>
      </c>
      <c r="Z377" s="1">
        <f t="shared" si="143"/>
        <v>0</v>
      </c>
      <c r="AA377" s="1">
        <f t="shared" si="144"/>
        <v>0</v>
      </c>
      <c r="AB377" s="1">
        <f t="shared" si="145"/>
        <v>0</v>
      </c>
      <c r="AD377" s="1">
        <f t="shared" si="146"/>
        <v>0</v>
      </c>
      <c r="AE377" s="1">
        <f t="shared" si="147"/>
        <v>1</v>
      </c>
      <c r="AF377" s="1">
        <f t="shared" si="132"/>
        <v>0</v>
      </c>
      <c r="AG377" s="1">
        <f t="shared" si="133"/>
        <v>1</v>
      </c>
      <c r="AH377" s="1">
        <f t="shared" si="134"/>
        <v>0</v>
      </c>
      <c r="AI377" s="1">
        <f t="shared" si="135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841</v>
      </c>
      <c r="E378" s="48" t="s">
        <v>835</v>
      </c>
      <c r="F378" s="48" t="s">
        <v>945</v>
      </c>
      <c r="G378" s="48" t="s">
        <v>181</v>
      </c>
      <c r="H378" s="48" t="s">
        <v>355</v>
      </c>
      <c r="I378" s="47" t="s">
        <v>1113</v>
      </c>
      <c r="J378" s="47">
        <v>10</v>
      </c>
      <c r="K378" s="49" t="s">
        <v>716</v>
      </c>
      <c r="L378" s="49" t="s">
        <v>697</v>
      </c>
      <c r="M378" s="50" t="s">
        <v>1436</v>
      </c>
      <c r="N378" s="50" t="s">
        <v>1748</v>
      </c>
      <c r="O378" s="51"/>
      <c r="P378" s="51"/>
      <c r="Q378" s="48"/>
      <c r="S378" s="1">
        <f t="shared" si="136"/>
        <v>0</v>
      </c>
      <c r="T378" s="1">
        <f t="shared" si="137"/>
        <v>0</v>
      </c>
      <c r="U378" s="1">
        <f t="shared" si="138"/>
        <v>0</v>
      </c>
      <c r="V378" s="1">
        <f t="shared" si="139"/>
        <v>0</v>
      </c>
      <c r="W378" s="1">
        <f t="shared" si="140"/>
        <v>0</v>
      </c>
      <c r="X378" s="1">
        <f t="shared" si="141"/>
        <v>0</v>
      </c>
      <c r="Y378" s="1">
        <f t="shared" si="142"/>
        <v>0</v>
      </c>
      <c r="Z378" s="1">
        <f t="shared" si="143"/>
        <v>0</v>
      </c>
      <c r="AA378" s="1">
        <f t="shared" si="144"/>
        <v>0</v>
      </c>
      <c r="AB378" s="1">
        <f t="shared" si="145"/>
        <v>1</v>
      </c>
      <c r="AD378" s="1">
        <f t="shared" si="146"/>
        <v>0</v>
      </c>
      <c r="AE378" s="1">
        <f t="shared" si="147"/>
        <v>0</v>
      </c>
      <c r="AF378" s="1">
        <f t="shared" si="132"/>
        <v>0</v>
      </c>
      <c r="AG378" s="1">
        <f t="shared" si="133"/>
        <v>0</v>
      </c>
      <c r="AH378" s="1">
        <f t="shared" si="134"/>
        <v>0</v>
      </c>
      <c r="AI378" s="1">
        <f t="shared" si="135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1550</v>
      </c>
      <c r="E379" s="61" t="s">
        <v>27</v>
      </c>
      <c r="F379" s="61" t="s">
        <v>1552</v>
      </c>
      <c r="G379" s="61" t="s">
        <v>1541</v>
      </c>
      <c r="H379" s="61" t="s">
        <v>355</v>
      </c>
      <c r="I379" s="60" t="s">
        <v>1551</v>
      </c>
      <c r="J379" s="60">
        <v>5</v>
      </c>
      <c r="K379" s="62" t="s">
        <v>959</v>
      </c>
      <c r="L379" s="62" t="s">
        <v>39</v>
      </c>
      <c r="M379" s="63" t="s">
        <v>39</v>
      </c>
      <c r="N379" s="64"/>
      <c r="O379" s="65"/>
      <c r="P379" s="65"/>
      <c r="Q379" s="69" t="s">
        <v>1907</v>
      </c>
      <c r="S379" s="1">
        <f t="shared" si="136"/>
        <v>0</v>
      </c>
      <c r="T379" s="1">
        <f t="shared" si="137"/>
        <v>0</v>
      </c>
      <c r="U379" s="1">
        <f t="shared" si="138"/>
        <v>0</v>
      </c>
      <c r="V379" s="1">
        <f t="shared" si="139"/>
        <v>0</v>
      </c>
      <c r="W379" s="1">
        <f t="shared" si="140"/>
        <v>1</v>
      </c>
      <c r="X379" s="1">
        <f t="shared" si="141"/>
        <v>0</v>
      </c>
      <c r="Y379" s="1">
        <f t="shared" si="142"/>
        <v>0</v>
      </c>
      <c r="Z379" s="1">
        <f t="shared" si="143"/>
        <v>0</v>
      </c>
      <c r="AA379" s="1">
        <f t="shared" si="144"/>
        <v>0</v>
      </c>
      <c r="AB379" s="1">
        <f t="shared" si="145"/>
        <v>0</v>
      </c>
      <c r="AD379" s="1">
        <f t="shared" si="146"/>
        <v>0</v>
      </c>
      <c r="AE379" s="1">
        <f t="shared" si="147"/>
        <v>0</v>
      </c>
      <c r="AF379" s="1">
        <f t="shared" si="132"/>
        <v>0</v>
      </c>
      <c r="AG379" s="1">
        <f t="shared" si="133"/>
        <v>0</v>
      </c>
      <c r="AH379" s="1">
        <f t="shared" si="134"/>
        <v>0</v>
      </c>
      <c r="AI379" s="1">
        <f t="shared" si="135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521</v>
      </c>
      <c r="E380" s="48" t="s">
        <v>31</v>
      </c>
      <c r="F380" s="48" t="s">
        <v>675</v>
      </c>
      <c r="G380" s="48" t="s">
        <v>201</v>
      </c>
      <c r="H380" s="48" t="s">
        <v>355</v>
      </c>
      <c r="I380" s="47" t="s">
        <v>522</v>
      </c>
      <c r="J380" s="47">
        <v>2</v>
      </c>
      <c r="K380" s="49" t="s">
        <v>958</v>
      </c>
      <c r="L380" s="49" t="s">
        <v>698</v>
      </c>
      <c r="M380" s="50" t="s">
        <v>1437</v>
      </c>
      <c r="N380" s="50" t="s">
        <v>1742</v>
      </c>
      <c r="O380" s="51"/>
      <c r="P380" s="51"/>
      <c r="Q380" s="48"/>
      <c r="S380" s="1">
        <f t="shared" si="136"/>
        <v>0</v>
      </c>
      <c r="T380" s="1">
        <f t="shared" si="137"/>
        <v>1</v>
      </c>
      <c r="U380" s="1">
        <f t="shared" si="138"/>
        <v>0</v>
      </c>
      <c r="V380" s="1">
        <f t="shared" si="139"/>
        <v>0</v>
      </c>
      <c r="W380" s="1">
        <f t="shared" si="140"/>
        <v>0</v>
      </c>
      <c r="X380" s="1">
        <f t="shared" si="141"/>
        <v>0</v>
      </c>
      <c r="Y380" s="1">
        <f t="shared" si="142"/>
        <v>0</v>
      </c>
      <c r="Z380" s="1">
        <f t="shared" si="143"/>
        <v>0</v>
      </c>
      <c r="AA380" s="1">
        <f t="shared" si="144"/>
        <v>0</v>
      </c>
      <c r="AB380" s="1">
        <f t="shared" si="145"/>
        <v>0</v>
      </c>
      <c r="AD380" s="1">
        <f t="shared" si="146"/>
        <v>0</v>
      </c>
      <c r="AE380" s="1">
        <f t="shared" si="147"/>
        <v>0</v>
      </c>
      <c r="AF380" s="1">
        <f t="shared" si="132"/>
        <v>0</v>
      </c>
      <c r="AG380" s="1">
        <f t="shared" si="133"/>
        <v>0</v>
      </c>
      <c r="AH380" s="1">
        <f t="shared" si="134"/>
        <v>0</v>
      </c>
      <c r="AI380" s="1">
        <f t="shared" si="135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211</v>
      </c>
      <c r="G381" s="35" t="s">
        <v>212</v>
      </c>
      <c r="H381" s="35" t="s">
        <v>355</v>
      </c>
      <c r="I381" s="34" t="s">
        <v>393</v>
      </c>
      <c r="J381" s="34">
        <v>1</v>
      </c>
      <c r="K381" s="36" t="s">
        <v>716</v>
      </c>
      <c r="L381" s="36" t="s">
        <v>708</v>
      </c>
      <c r="M381" s="37" t="s">
        <v>732</v>
      </c>
      <c r="N381" s="37" t="s">
        <v>1750</v>
      </c>
      <c r="O381" s="38">
        <v>1</v>
      </c>
      <c r="P381" s="38"/>
      <c r="Q381" s="35"/>
      <c r="S381" s="1">
        <f t="shared" si="136"/>
        <v>1</v>
      </c>
      <c r="T381" s="1">
        <f t="shared" si="137"/>
        <v>0</v>
      </c>
      <c r="U381" s="1">
        <f t="shared" si="138"/>
        <v>0</v>
      </c>
      <c r="V381" s="1">
        <f t="shared" si="139"/>
        <v>0</v>
      </c>
      <c r="W381" s="1">
        <f t="shared" si="140"/>
        <v>0</v>
      </c>
      <c r="X381" s="1">
        <f t="shared" si="141"/>
        <v>0</v>
      </c>
      <c r="Y381" s="1">
        <f t="shared" si="142"/>
        <v>0</v>
      </c>
      <c r="Z381" s="1">
        <f t="shared" si="143"/>
        <v>0</v>
      </c>
      <c r="AA381" s="1">
        <f t="shared" si="144"/>
        <v>0</v>
      </c>
      <c r="AB381" s="1">
        <f t="shared" si="145"/>
        <v>0</v>
      </c>
      <c r="AD381" s="1">
        <f t="shared" si="146"/>
        <v>0</v>
      </c>
      <c r="AE381" s="1">
        <f t="shared" si="147"/>
        <v>1</v>
      </c>
      <c r="AF381" s="1">
        <f t="shared" si="132"/>
        <v>0</v>
      </c>
      <c r="AG381" s="1">
        <f t="shared" si="133"/>
        <v>1</v>
      </c>
      <c r="AH381" s="1">
        <f t="shared" si="134"/>
        <v>0</v>
      </c>
      <c r="AI381" s="1">
        <f t="shared" si="135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1869</v>
      </c>
      <c r="E382" s="16" t="s">
        <v>1870</v>
      </c>
      <c r="F382" s="20" t="s">
        <v>1871</v>
      </c>
      <c r="G382" s="16"/>
      <c r="H382" s="20" t="s">
        <v>355</v>
      </c>
      <c r="I382" s="21" t="s">
        <v>1872</v>
      </c>
      <c r="J382" s="15">
        <v>99</v>
      </c>
      <c r="K382" s="10" t="s">
        <v>707</v>
      </c>
      <c r="L382" s="10">
        <v>25</v>
      </c>
      <c r="M382" s="19" t="s">
        <v>1873</v>
      </c>
      <c r="N382" s="19"/>
      <c r="Q382" s="20"/>
      <c r="S382" s="1">
        <f t="shared" si="136"/>
        <v>0</v>
      </c>
      <c r="T382" s="1">
        <f t="shared" si="137"/>
        <v>0</v>
      </c>
      <c r="U382" s="1">
        <f t="shared" si="138"/>
        <v>0</v>
      </c>
      <c r="V382" s="1">
        <f t="shared" si="139"/>
        <v>0</v>
      </c>
      <c r="W382" s="1">
        <f t="shared" si="140"/>
        <v>0</v>
      </c>
      <c r="X382" s="1">
        <f t="shared" si="141"/>
        <v>0</v>
      </c>
      <c r="Y382" s="1">
        <f t="shared" si="142"/>
        <v>0</v>
      </c>
      <c r="Z382" s="1">
        <f t="shared" si="143"/>
        <v>0</v>
      </c>
      <c r="AA382" s="1">
        <f t="shared" si="144"/>
        <v>0</v>
      </c>
      <c r="AB382" s="1">
        <f t="shared" si="145"/>
        <v>0</v>
      </c>
      <c r="AD382" s="1">
        <f t="shared" si="146"/>
        <v>0</v>
      </c>
      <c r="AE382" s="1">
        <f t="shared" si="147"/>
        <v>0</v>
      </c>
      <c r="AF382" s="1">
        <f t="shared" si="132"/>
        <v>0</v>
      </c>
      <c r="AG382" s="1">
        <f t="shared" si="133"/>
        <v>0</v>
      </c>
      <c r="AH382" s="1">
        <f t="shared" si="134"/>
        <v>0</v>
      </c>
      <c r="AI382" s="1">
        <f t="shared" si="135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271</v>
      </c>
      <c r="G383" s="16" t="s">
        <v>225</v>
      </c>
      <c r="H383" s="16" t="s">
        <v>355</v>
      </c>
      <c r="I383" s="15" t="s">
        <v>681</v>
      </c>
      <c r="J383" s="15">
        <v>99</v>
      </c>
      <c r="K383" s="10" t="s">
        <v>959</v>
      </c>
      <c r="L383" s="10" t="s">
        <v>698</v>
      </c>
      <c r="M383" s="19" t="s">
        <v>1438</v>
      </c>
      <c r="N383" s="19"/>
      <c r="Q383" s="16"/>
      <c r="S383" s="1">
        <f t="shared" si="136"/>
        <v>0</v>
      </c>
      <c r="T383" s="1">
        <f t="shared" si="137"/>
        <v>0</v>
      </c>
      <c r="U383" s="1">
        <f t="shared" si="138"/>
        <v>0</v>
      </c>
      <c r="V383" s="1">
        <f t="shared" si="139"/>
        <v>0</v>
      </c>
      <c r="W383" s="1">
        <f t="shared" si="140"/>
        <v>0</v>
      </c>
      <c r="X383" s="1">
        <f t="shared" si="141"/>
        <v>0</v>
      </c>
      <c r="Y383" s="1">
        <f t="shared" si="142"/>
        <v>0</v>
      </c>
      <c r="Z383" s="1">
        <f t="shared" si="143"/>
        <v>0</v>
      </c>
      <c r="AA383" s="1">
        <f t="shared" si="144"/>
        <v>0</v>
      </c>
      <c r="AB383" s="1">
        <f t="shared" si="145"/>
        <v>0</v>
      </c>
      <c r="AD383" s="1">
        <f t="shared" si="146"/>
        <v>0</v>
      </c>
      <c r="AE383" s="1">
        <f t="shared" si="147"/>
        <v>0</v>
      </c>
      <c r="AF383" s="1">
        <f t="shared" si="132"/>
        <v>0</v>
      </c>
      <c r="AG383" s="1">
        <f t="shared" si="133"/>
        <v>0</v>
      </c>
      <c r="AH383" s="1">
        <f t="shared" si="134"/>
        <v>0</v>
      </c>
      <c r="AI383" s="1">
        <f t="shared" si="135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641</v>
      </c>
      <c r="E384" s="48" t="s">
        <v>31</v>
      </c>
      <c r="F384" s="48" t="s">
        <v>642</v>
      </c>
      <c r="G384" s="48" t="s">
        <v>241</v>
      </c>
      <c r="H384" s="48" t="s">
        <v>355</v>
      </c>
      <c r="I384" s="47" t="s">
        <v>643</v>
      </c>
      <c r="J384" s="47">
        <v>1</v>
      </c>
      <c r="K384" s="49" t="s">
        <v>717</v>
      </c>
      <c r="L384" s="49" t="s">
        <v>698</v>
      </c>
      <c r="M384" s="50" t="s">
        <v>1439</v>
      </c>
      <c r="N384" s="50" t="s">
        <v>1742</v>
      </c>
      <c r="O384" s="51"/>
      <c r="P384" s="51"/>
      <c r="Q384" s="48"/>
      <c r="S384" s="1">
        <f t="shared" si="136"/>
        <v>1</v>
      </c>
      <c r="T384" s="1">
        <f t="shared" si="137"/>
        <v>0</v>
      </c>
      <c r="U384" s="1">
        <f t="shared" si="138"/>
        <v>0</v>
      </c>
      <c r="V384" s="1">
        <f t="shared" si="139"/>
        <v>0</v>
      </c>
      <c r="W384" s="1">
        <f t="shared" si="140"/>
        <v>0</v>
      </c>
      <c r="X384" s="1">
        <f t="shared" si="141"/>
        <v>0</v>
      </c>
      <c r="Y384" s="1">
        <f t="shared" si="142"/>
        <v>0</v>
      </c>
      <c r="Z384" s="1">
        <f t="shared" si="143"/>
        <v>0</v>
      </c>
      <c r="AA384" s="1">
        <f t="shared" si="144"/>
        <v>0</v>
      </c>
      <c r="AB384" s="1">
        <f t="shared" si="145"/>
        <v>0</v>
      </c>
      <c r="AD384" s="1">
        <f t="shared" si="146"/>
        <v>0</v>
      </c>
      <c r="AE384" s="1">
        <f t="shared" si="147"/>
        <v>0</v>
      </c>
      <c r="AF384" s="1">
        <f t="shared" si="132"/>
        <v>0</v>
      </c>
      <c r="AG384" s="1">
        <f t="shared" si="133"/>
        <v>0</v>
      </c>
      <c r="AH384" s="1">
        <f t="shared" si="134"/>
        <v>0</v>
      </c>
      <c r="AI384" s="1">
        <f t="shared" si="135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1139</v>
      </c>
      <c r="E385" s="48" t="s">
        <v>31</v>
      </c>
      <c r="F385" s="48" t="s">
        <v>675</v>
      </c>
      <c r="G385" s="48" t="s">
        <v>201</v>
      </c>
      <c r="H385" s="48" t="s">
        <v>355</v>
      </c>
      <c r="I385" s="47" t="s">
        <v>522</v>
      </c>
      <c r="J385" s="47">
        <v>2</v>
      </c>
      <c r="K385" s="49" t="s">
        <v>716</v>
      </c>
      <c r="L385" s="49" t="s">
        <v>698</v>
      </c>
      <c r="M385" s="50" t="s">
        <v>732</v>
      </c>
      <c r="N385" s="50" t="s">
        <v>1742</v>
      </c>
      <c r="O385" s="51"/>
      <c r="P385" s="51"/>
      <c r="Q385" s="48"/>
      <c r="S385" s="1">
        <f t="shared" si="136"/>
        <v>0</v>
      </c>
      <c r="T385" s="1">
        <f t="shared" si="137"/>
        <v>1</v>
      </c>
      <c r="U385" s="1">
        <f t="shared" si="138"/>
        <v>0</v>
      </c>
      <c r="V385" s="1">
        <f t="shared" si="139"/>
        <v>0</v>
      </c>
      <c r="W385" s="1">
        <f t="shared" si="140"/>
        <v>0</v>
      </c>
      <c r="X385" s="1">
        <f t="shared" si="141"/>
        <v>0</v>
      </c>
      <c r="Y385" s="1">
        <f t="shared" si="142"/>
        <v>0</v>
      </c>
      <c r="Z385" s="1">
        <f t="shared" si="143"/>
        <v>0</v>
      </c>
      <c r="AA385" s="1">
        <f t="shared" si="144"/>
        <v>0</v>
      </c>
      <c r="AB385" s="1">
        <f t="shared" si="145"/>
        <v>0</v>
      </c>
      <c r="AD385" s="1">
        <f t="shared" si="146"/>
        <v>0</v>
      </c>
      <c r="AE385" s="1">
        <f t="shared" si="147"/>
        <v>0</v>
      </c>
      <c r="AF385" s="1">
        <f t="shared" si="132"/>
        <v>0</v>
      </c>
      <c r="AG385" s="1">
        <f t="shared" si="133"/>
        <v>0</v>
      </c>
      <c r="AH385" s="1">
        <f t="shared" si="134"/>
        <v>0</v>
      </c>
      <c r="AI385" s="1">
        <f t="shared" si="135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1087</v>
      </c>
      <c r="E386" s="48" t="s">
        <v>160</v>
      </c>
      <c r="F386" s="48" t="s">
        <v>199</v>
      </c>
      <c r="G386" s="48" t="s">
        <v>200</v>
      </c>
      <c r="H386" s="48" t="s">
        <v>355</v>
      </c>
      <c r="I386" s="47" t="s">
        <v>389</v>
      </c>
      <c r="J386" s="47">
        <v>99</v>
      </c>
      <c r="K386" s="49" t="s">
        <v>716</v>
      </c>
      <c r="L386" s="49" t="s">
        <v>720</v>
      </c>
      <c r="M386" s="50" t="s">
        <v>734</v>
      </c>
      <c r="N386" s="50" t="s">
        <v>1741</v>
      </c>
      <c r="O386" s="51"/>
      <c r="P386" s="51"/>
      <c r="Q386" s="48"/>
      <c r="S386" s="1">
        <f t="shared" si="136"/>
        <v>0</v>
      </c>
      <c r="T386" s="1">
        <f t="shared" si="137"/>
        <v>0</v>
      </c>
      <c r="U386" s="1">
        <f t="shared" si="138"/>
        <v>0</v>
      </c>
      <c r="V386" s="1">
        <f t="shared" si="139"/>
        <v>0</v>
      </c>
      <c r="W386" s="1">
        <f t="shared" si="140"/>
        <v>0</v>
      </c>
      <c r="X386" s="1">
        <f t="shared" si="141"/>
        <v>0</v>
      </c>
      <c r="Y386" s="1">
        <f t="shared" si="142"/>
        <v>0</v>
      </c>
      <c r="Z386" s="1">
        <f t="shared" si="143"/>
        <v>0</v>
      </c>
      <c r="AA386" s="1">
        <f t="shared" si="144"/>
        <v>0</v>
      </c>
      <c r="AB386" s="1">
        <f t="shared" si="145"/>
        <v>0</v>
      </c>
      <c r="AD386" s="1">
        <f t="shared" si="146"/>
        <v>0</v>
      </c>
      <c r="AE386" s="1">
        <f t="shared" si="147"/>
        <v>0</v>
      </c>
      <c r="AF386" s="1">
        <f t="shared" si="132"/>
        <v>0</v>
      </c>
      <c r="AG386" s="1">
        <f t="shared" si="133"/>
        <v>0</v>
      </c>
      <c r="AH386" s="1">
        <f t="shared" si="134"/>
        <v>0</v>
      </c>
      <c r="AI386" s="1">
        <f t="shared" si="135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511</v>
      </c>
      <c r="E387" s="35" t="s">
        <v>157</v>
      </c>
      <c r="F387" s="35" t="s">
        <v>512</v>
      </c>
      <c r="G387" s="35" t="s">
        <v>39</v>
      </c>
      <c r="H387" s="35" t="s">
        <v>355</v>
      </c>
      <c r="I387" s="34" t="s">
        <v>946</v>
      </c>
      <c r="J387" s="34">
        <v>7</v>
      </c>
      <c r="K387" s="36" t="s">
        <v>959</v>
      </c>
      <c r="L387" s="36" t="s">
        <v>39</v>
      </c>
      <c r="M387" s="37" t="s">
        <v>39</v>
      </c>
      <c r="N387" s="37" t="s">
        <v>1734</v>
      </c>
      <c r="O387" s="38">
        <v>1</v>
      </c>
      <c r="P387" s="38">
        <v>1</v>
      </c>
      <c r="Q387" s="35"/>
      <c r="S387" s="1">
        <f t="shared" si="136"/>
        <v>0</v>
      </c>
      <c r="T387" s="1">
        <f t="shared" si="137"/>
        <v>0</v>
      </c>
      <c r="U387" s="1">
        <f t="shared" si="138"/>
        <v>0</v>
      </c>
      <c r="V387" s="1">
        <f t="shared" si="139"/>
        <v>0</v>
      </c>
      <c r="W387" s="1">
        <f t="shared" si="140"/>
        <v>0</v>
      </c>
      <c r="X387" s="1">
        <f t="shared" si="141"/>
        <v>0</v>
      </c>
      <c r="Y387" s="1">
        <f t="shared" si="142"/>
        <v>1</v>
      </c>
      <c r="Z387" s="1">
        <f t="shared" si="143"/>
        <v>0</v>
      </c>
      <c r="AA387" s="1">
        <f t="shared" si="144"/>
        <v>0</v>
      </c>
      <c r="AB387" s="1">
        <f t="shared" si="145"/>
        <v>0</v>
      </c>
      <c r="AD387" s="1">
        <f t="shared" si="146"/>
        <v>1</v>
      </c>
      <c r="AE387" s="1">
        <f t="shared" si="147"/>
        <v>0</v>
      </c>
      <c r="AF387" s="1">
        <f t="shared" si="132"/>
        <v>1</v>
      </c>
      <c r="AG387" s="1">
        <f t="shared" si="133"/>
        <v>0</v>
      </c>
      <c r="AH387" s="1">
        <f t="shared" si="134"/>
        <v>1</v>
      </c>
      <c r="AI387" s="1">
        <f t="shared" si="135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676</v>
      </c>
      <c r="G388" s="35" t="s">
        <v>259</v>
      </c>
      <c r="H388" s="35" t="s">
        <v>355</v>
      </c>
      <c r="I388" s="34" t="s">
        <v>418</v>
      </c>
      <c r="J388" s="34">
        <v>8</v>
      </c>
      <c r="K388" s="36" t="s">
        <v>717</v>
      </c>
      <c r="L388" s="36" t="s">
        <v>717</v>
      </c>
      <c r="M388" s="37" t="s">
        <v>735</v>
      </c>
      <c r="N388" s="37" t="s">
        <v>1750</v>
      </c>
      <c r="O388" s="38">
        <v>1</v>
      </c>
      <c r="P388" s="38"/>
      <c r="Q388" s="35"/>
      <c r="S388" s="1">
        <f t="shared" si="136"/>
        <v>0</v>
      </c>
      <c r="T388" s="1">
        <f t="shared" si="137"/>
        <v>0</v>
      </c>
      <c r="U388" s="1">
        <f t="shared" si="138"/>
        <v>0</v>
      </c>
      <c r="V388" s="1">
        <f t="shared" si="139"/>
        <v>0</v>
      </c>
      <c r="W388" s="1">
        <f t="shared" si="140"/>
        <v>0</v>
      </c>
      <c r="X388" s="1">
        <f t="shared" si="141"/>
        <v>0</v>
      </c>
      <c r="Y388" s="1">
        <f t="shared" si="142"/>
        <v>0</v>
      </c>
      <c r="Z388" s="1">
        <f t="shared" si="143"/>
        <v>1</v>
      </c>
      <c r="AA388" s="1">
        <f t="shared" si="144"/>
        <v>0</v>
      </c>
      <c r="AB388" s="1">
        <f t="shared" si="145"/>
        <v>0</v>
      </c>
      <c r="AD388" s="1">
        <f t="shared" si="146"/>
        <v>0</v>
      </c>
      <c r="AE388" s="1">
        <f t="shared" si="147"/>
        <v>1</v>
      </c>
      <c r="AF388" s="1">
        <f t="shared" si="132"/>
        <v>0</v>
      </c>
      <c r="AG388" s="1">
        <f t="shared" si="133"/>
        <v>1</v>
      </c>
      <c r="AH388" s="1">
        <f t="shared" si="134"/>
        <v>0</v>
      </c>
      <c r="AI388" s="1">
        <f t="shared" si="135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656</v>
      </c>
      <c r="E389" s="35" t="s">
        <v>157</v>
      </c>
      <c r="F389" s="35" t="s">
        <v>587</v>
      </c>
      <c r="G389" s="35" t="s">
        <v>250</v>
      </c>
      <c r="H389" s="35" t="s">
        <v>355</v>
      </c>
      <c r="I389" s="34" t="s">
        <v>682</v>
      </c>
      <c r="J389" s="34">
        <v>7</v>
      </c>
      <c r="K389" s="36" t="s">
        <v>959</v>
      </c>
      <c r="L389" s="36" t="s">
        <v>39</v>
      </c>
      <c r="M389" s="37" t="s">
        <v>39</v>
      </c>
      <c r="N389" s="37" t="s">
        <v>1734</v>
      </c>
      <c r="O389" s="38">
        <v>1</v>
      </c>
      <c r="P389" s="38">
        <v>1</v>
      </c>
      <c r="Q389" s="35"/>
      <c r="S389" s="1">
        <f t="shared" si="136"/>
        <v>0</v>
      </c>
      <c r="T389" s="1">
        <f t="shared" si="137"/>
        <v>0</v>
      </c>
      <c r="U389" s="1">
        <f t="shared" si="138"/>
        <v>0</v>
      </c>
      <c r="V389" s="1">
        <f t="shared" si="139"/>
        <v>0</v>
      </c>
      <c r="W389" s="1">
        <f t="shared" si="140"/>
        <v>0</v>
      </c>
      <c r="X389" s="1">
        <f t="shared" si="141"/>
        <v>0</v>
      </c>
      <c r="Y389" s="1">
        <f t="shared" si="142"/>
        <v>1</v>
      </c>
      <c r="Z389" s="1">
        <f t="shared" si="143"/>
        <v>0</v>
      </c>
      <c r="AA389" s="1">
        <f t="shared" si="144"/>
        <v>0</v>
      </c>
      <c r="AB389" s="1">
        <f t="shared" si="145"/>
        <v>0</v>
      </c>
      <c r="AD389" s="1">
        <f t="shared" si="146"/>
        <v>1</v>
      </c>
      <c r="AE389" s="1">
        <f t="shared" si="147"/>
        <v>0</v>
      </c>
      <c r="AF389" s="1">
        <f t="shared" si="132"/>
        <v>1</v>
      </c>
      <c r="AG389" s="1">
        <f t="shared" si="133"/>
        <v>0</v>
      </c>
      <c r="AH389" s="1">
        <f t="shared" si="134"/>
        <v>1</v>
      </c>
      <c r="AI389" s="1">
        <f t="shared" si="135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1641</v>
      </c>
      <c r="E390" s="48" t="s">
        <v>157</v>
      </c>
      <c r="F390" s="48" t="s">
        <v>1664</v>
      </c>
      <c r="G390" s="48" t="s">
        <v>214</v>
      </c>
      <c r="H390" s="48" t="s">
        <v>355</v>
      </c>
      <c r="I390" s="47" t="s">
        <v>596</v>
      </c>
      <c r="J390" s="47">
        <v>1</v>
      </c>
      <c r="K390" s="49" t="s">
        <v>716</v>
      </c>
      <c r="L390" s="49" t="s">
        <v>726</v>
      </c>
      <c r="M390" s="50" t="s">
        <v>1440</v>
      </c>
      <c r="N390" s="50" t="s">
        <v>1742</v>
      </c>
      <c r="O390" s="51"/>
      <c r="P390" s="51"/>
      <c r="Q390" s="48"/>
      <c r="S390" s="1">
        <f t="shared" si="136"/>
        <v>1</v>
      </c>
      <c r="T390" s="1">
        <f t="shared" si="137"/>
        <v>0</v>
      </c>
      <c r="U390" s="1">
        <f t="shared" si="138"/>
        <v>0</v>
      </c>
      <c r="V390" s="1">
        <f t="shared" si="139"/>
        <v>0</v>
      </c>
      <c r="W390" s="1">
        <f t="shared" si="140"/>
        <v>0</v>
      </c>
      <c r="X390" s="1">
        <f t="shared" si="141"/>
        <v>0</v>
      </c>
      <c r="Y390" s="1">
        <f t="shared" si="142"/>
        <v>0</v>
      </c>
      <c r="Z390" s="1">
        <f t="shared" si="143"/>
        <v>0</v>
      </c>
      <c r="AA390" s="1">
        <f t="shared" si="144"/>
        <v>0</v>
      </c>
      <c r="AB390" s="1">
        <f t="shared" si="145"/>
        <v>0</v>
      </c>
      <c r="AD390" s="1">
        <f t="shared" si="146"/>
        <v>0</v>
      </c>
      <c r="AE390" s="1">
        <f t="shared" si="147"/>
        <v>0</v>
      </c>
      <c r="AF390" s="1">
        <f t="shared" si="132"/>
        <v>0</v>
      </c>
      <c r="AG390" s="1">
        <f t="shared" si="133"/>
        <v>0</v>
      </c>
      <c r="AH390" s="1">
        <f t="shared" si="134"/>
        <v>0</v>
      </c>
      <c r="AI390" s="1">
        <f t="shared" si="135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1074</v>
      </c>
      <c r="E391" s="48" t="s">
        <v>1050</v>
      </c>
      <c r="F391" s="48" t="s">
        <v>1075</v>
      </c>
      <c r="G391" s="48" t="s">
        <v>214</v>
      </c>
      <c r="H391" s="48" t="s">
        <v>355</v>
      </c>
      <c r="I391" s="47" t="s">
        <v>1076</v>
      </c>
      <c r="J391" s="47">
        <v>1</v>
      </c>
      <c r="K391" s="49" t="s">
        <v>959</v>
      </c>
      <c r="L391" s="49" t="s">
        <v>726</v>
      </c>
      <c r="M391" s="50" t="s">
        <v>1441</v>
      </c>
      <c r="N391" s="50" t="s">
        <v>1742</v>
      </c>
      <c r="O391" s="51"/>
      <c r="P391" s="51"/>
      <c r="Q391" s="48" t="s">
        <v>1925</v>
      </c>
      <c r="S391" s="1">
        <f t="shared" si="136"/>
        <v>1</v>
      </c>
      <c r="T391" s="1">
        <f t="shared" si="137"/>
        <v>0</v>
      </c>
      <c r="U391" s="1">
        <f t="shared" si="138"/>
        <v>0</v>
      </c>
      <c r="V391" s="1">
        <f t="shared" si="139"/>
        <v>0</v>
      </c>
      <c r="W391" s="1">
        <f t="shared" si="140"/>
        <v>0</v>
      </c>
      <c r="X391" s="1">
        <f t="shared" si="141"/>
        <v>0</v>
      </c>
      <c r="Y391" s="1">
        <f t="shared" si="142"/>
        <v>0</v>
      </c>
      <c r="Z391" s="1">
        <f t="shared" si="143"/>
        <v>0</v>
      </c>
      <c r="AA391" s="1">
        <f t="shared" si="144"/>
        <v>0</v>
      </c>
      <c r="AB391" s="1">
        <f t="shared" si="145"/>
        <v>0</v>
      </c>
      <c r="AD391" s="1">
        <f t="shared" si="146"/>
        <v>0</v>
      </c>
      <c r="AE391" s="1">
        <f t="shared" si="147"/>
        <v>0</v>
      </c>
      <c r="AF391" s="1">
        <f t="shared" si="132"/>
        <v>0</v>
      </c>
      <c r="AG391" s="1">
        <f t="shared" si="133"/>
        <v>0</v>
      </c>
      <c r="AH391" s="1">
        <f t="shared" si="134"/>
        <v>0</v>
      </c>
      <c r="AI391" s="1">
        <f t="shared" si="135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1021</v>
      </c>
      <c r="E392" s="35" t="s">
        <v>157</v>
      </c>
      <c r="F392" s="35" t="s">
        <v>1092</v>
      </c>
      <c r="G392" s="35" t="s">
        <v>1102</v>
      </c>
      <c r="H392" s="35" t="s">
        <v>355</v>
      </c>
      <c r="I392" s="34" t="s">
        <v>1022</v>
      </c>
      <c r="J392" s="34">
        <v>99</v>
      </c>
      <c r="K392" s="36" t="s">
        <v>717</v>
      </c>
      <c r="L392" s="36" t="s">
        <v>726</v>
      </c>
      <c r="M392" s="37" t="s">
        <v>1441</v>
      </c>
      <c r="N392" s="37" t="s">
        <v>1755</v>
      </c>
      <c r="O392" s="38">
        <v>1</v>
      </c>
      <c r="P392" s="38"/>
      <c r="Q392" s="35"/>
      <c r="S392" s="1">
        <f t="shared" si="136"/>
        <v>0</v>
      </c>
      <c r="T392" s="1">
        <f t="shared" si="137"/>
        <v>0</v>
      </c>
      <c r="U392" s="1">
        <f t="shared" si="138"/>
        <v>0</v>
      </c>
      <c r="V392" s="1">
        <f t="shared" si="139"/>
        <v>0</v>
      </c>
      <c r="W392" s="1">
        <f t="shared" si="140"/>
        <v>0</v>
      </c>
      <c r="X392" s="1">
        <f t="shared" si="141"/>
        <v>0</v>
      </c>
      <c r="Y392" s="1">
        <f t="shared" si="142"/>
        <v>0</v>
      </c>
      <c r="Z392" s="1">
        <f t="shared" si="143"/>
        <v>0</v>
      </c>
      <c r="AA392" s="1">
        <f t="shared" si="144"/>
        <v>0</v>
      </c>
      <c r="AB392" s="1">
        <f t="shared" si="145"/>
        <v>0</v>
      </c>
      <c r="AD392" s="1">
        <f t="shared" si="146"/>
        <v>0</v>
      </c>
      <c r="AE392" s="1">
        <f t="shared" si="147"/>
        <v>1</v>
      </c>
      <c r="AF392" s="1">
        <f t="shared" si="132"/>
        <v>0</v>
      </c>
      <c r="AG392" s="1">
        <f t="shared" si="133"/>
        <v>1</v>
      </c>
      <c r="AH392" s="1">
        <f t="shared" si="134"/>
        <v>0</v>
      </c>
      <c r="AI392" s="1">
        <f t="shared" si="135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1212</v>
      </c>
      <c r="E393" s="35" t="s">
        <v>1339</v>
      </c>
      <c r="F393" s="35" t="s">
        <v>1213</v>
      </c>
      <c r="G393" s="35" t="s">
        <v>39</v>
      </c>
      <c r="H393" s="35" t="s">
        <v>355</v>
      </c>
      <c r="I393" s="34" t="s">
        <v>1692</v>
      </c>
      <c r="J393" s="34">
        <v>99</v>
      </c>
      <c r="K393" s="36" t="s">
        <v>959</v>
      </c>
      <c r="L393" s="36" t="s">
        <v>733</v>
      </c>
      <c r="M393" s="37" t="s">
        <v>1442</v>
      </c>
      <c r="N393" s="37" t="s">
        <v>1755</v>
      </c>
      <c r="O393" s="38">
        <v>1</v>
      </c>
      <c r="P393" s="38"/>
      <c r="Q393" s="35"/>
      <c r="S393" s="1">
        <f t="shared" si="136"/>
        <v>0</v>
      </c>
      <c r="T393" s="1">
        <f t="shared" si="137"/>
        <v>0</v>
      </c>
      <c r="U393" s="1">
        <f t="shared" si="138"/>
        <v>0</v>
      </c>
      <c r="V393" s="1">
        <f t="shared" si="139"/>
        <v>0</v>
      </c>
      <c r="W393" s="1">
        <f t="shared" si="140"/>
        <v>0</v>
      </c>
      <c r="X393" s="1">
        <f t="shared" si="141"/>
        <v>0</v>
      </c>
      <c r="Y393" s="1">
        <f t="shared" si="142"/>
        <v>0</v>
      </c>
      <c r="Z393" s="1">
        <f t="shared" si="143"/>
        <v>0</v>
      </c>
      <c r="AA393" s="1">
        <f t="shared" si="144"/>
        <v>0</v>
      </c>
      <c r="AB393" s="1">
        <f t="shared" si="145"/>
        <v>0</v>
      </c>
      <c r="AD393" s="1">
        <f t="shared" si="146"/>
        <v>0</v>
      </c>
      <c r="AE393" s="1">
        <f t="shared" si="147"/>
        <v>1</v>
      </c>
      <c r="AF393" s="1">
        <f t="shared" si="132"/>
        <v>0</v>
      </c>
      <c r="AG393" s="1">
        <f t="shared" si="133"/>
        <v>1</v>
      </c>
      <c r="AH393" s="1">
        <f t="shared" si="134"/>
        <v>0</v>
      </c>
      <c r="AI393" s="1">
        <f t="shared" si="135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646</v>
      </c>
      <c r="G394" s="35" t="s">
        <v>537</v>
      </c>
      <c r="H394" s="35" t="s">
        <v>355</v>
      </c>
      <c r="I394" s="34" t="s">
        <v>395</v>
      </c>
      <c r="J394" s="34">
        <v>6</v>
      </c>
      <c r="K394" s="36" t="s">
        <v>716</v>
      </c>
      <c r="L394" s="36" t="s">
        <v>717</v>
      </c>
      <c r="M394" s="37" t="s">
        <v>735</v>
      </c>
      <c r="N394" s="37" t="s">
        <v>1768</v>
      </c>
      <c r="O394" s="38">
        <v>1</v>
      </c>
      <c r="P394" s="38"/>
      <c r="Q394" s="35"/>
      <c r="S394" s="1">
        <f t="shared" si="136"/>
        <v>0</v>
      </c>
      <c r="T394" s="1">
        <f t="shared" si="137"/>
        <v>0</v>
      </c>
      <c r="U394" s="1">
        <f t="shared" si="138"/>
        <v>0</v>
      </c>
      <c r="V394" s="1">
        <f t="shared" si="139"/>
        <v>0</v>
      </c>
      <c r="W394" s="1">
        <f t="shared" si="140"/>
        <v>0</v>
      </c>
      <c r="X394" s="1">
        <f t="shared" si="141"/>
        <v>1</v>
      </c>
      <c r="Y394" s="1">
        <f t="shared" si="142"/>
        <v>0</v>
      </c>
      <c r="Z394" s="1">
        <f t="shared" si="143"/>
        <v>0</v>
      </c>
      <c r="AA394" s="1">
        <f t="shared" si="144"/>
        <v>0</v>
      </c>
      <c r="AB394" s="1">
        <f t="shared" si="145"/>
        <v>0</v>
      </c>
      <c r="AD394" s="1">
        <f t="shared" si="146"/>
        <v>0</v>
      </c>
      <c r="AE394" s="1">
        <f t="shared" si="147"/>
        <v>1</v>
      </c>
      <c r="AF394" s="1">
        <f t="shared" si="132"/>
        <v>0</v>
      </c>
      <c r="AG394" s="1">
        <f t="shared" si="133"/>
        <v>1</v>
      </c>
      <c r="AH394" s="1">
        <f t="shared" si="134"/>
        <v>0</v>
      </c>
      <c r="AI394" s="1">
        <f t="shared" si="135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217</v>
      </c>
      <c r="G395" s="35" t="s">
        <v>39</v>
      </c>
      <c r="H395" s="35" t="s">
        <v>355</v>
      </c>
      <c r="I395" s="34" t="s">
        <v>30</v>
      </c>
      <c r="J395" s="34">
        <v>99</v>
      </c>
      <c r="K395" s="36" t="s">
        <v>716</v>
      </c>
      <c r="L395" s="36" t="s">
        <v>717</v>
      </c>
      <c r="M395" s="37" t="s">
        <v>735</v>
      </c>
      <c r="N395" s="37" t="s">
        <v>1768</v>
      </c>
      <c r="O395" s="38">
        <v>1</v>
      </c>
      <c r="P395" s="38"/>
      <c r="Q395" s="35"/>
      <c r="S395" s="1">
        <f t="shared" si="136"/>
        <v>0</v>
      </c>
      <c r="T395" s="1">
        <f t="shared" si="137"/>
        <v>0</v>
      </c>
      <c r="U395" s="1">
        <f t="shared" si="138"/>
        <v>0</v>
      </c>
      <c r="V395" s="1">
        <f t="shared" si="139"/>
        <v>0</v>
      </c>
      <c r="W395" s="1">
        <f t="shared" si="140"/>
        <v>0</v>
      </c>
      <c r="X395" s="1">
        <f t="shared" si="141"/>
        <v>0</v>
      </c>
      <c r="Y395" s="1">
        <f t="shared" si="142"/>
        <v>0</v>
      </c>
      <c r="Z395" s="1">
        <f t="shared" si="143"/>
        <v>0</v>
      </c>
      <c r="AA395" s="1">
        <f t="shared" si="144"/>
        <v>0</v>
      </c>
      <c r="AB395" s="1">
        <f t="shared" si="145"/>
        <v>0</v>
      </c>
      <c r="AD395" s="1">
        <f t="shared" si="146"/>
        <v>0</v>
      </c>
      <c r="AE395" s="1">
        <f t="shared" si="147"/>
        <v>1</v>
      </c>
      <c r="AF395" s="1">
        <f t="shared" ref="AF395:AF458" si="166">+O395*P395*(1-A395)</f>
        <v>0</v>
      </c>
      <c r="AG395" s="1">
        <f t="shared" ref="AG395:AG458" si="167">O395*(1-P395)*(1-A395)</f>
        <v>0</v>
      </c>
      <c r="AH395" s="1">
        <f t="shared" ref="AH395:AH458" si="168">+P395*(1-A395)</f>
        <v>0</v>
      </c>
      <c r="AI395" s="1">
        <f t="shared" ref="AI395:AI458" si="169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216</v>
      </c>
      <c r="G396" s="35" t="s">
        <v>39</v>
      </c>
      <c r="H396" s="35" t="s">
        <v>355</v>
      </c>
      <c r="I396" s="34" t="s">
        <v>395</v>
      </c>
      <c r="J396" s="34">
        <v>99</v>
      </c>
      <c r="K396" s="36" t="s">
        <v>716</v>
      </c>
      <c r="L396" s="36" t="s">
        <v>717</v>
      </c>
      <c r="M396" s="37" t="s">
        <v>735</v>
      </c>
      <c r="N396" s="37" t="s">
        <v>1768</v>
      </c>
      <c r="O396" s="38">
        <v>1</v>
      </c>
      <c r="P396" s="38"/>
      <c r="Q396" s="35"/>
      <c r="S396" s="1">
        <f t="shared" si="136"/>
        <v>0</v>
      </c>
      <c r="T396" s="1">
        <f t="shared" si="137"/>
        <v>0</v>
      </c>
      <c r="U396" s="1">
        <f t="shared" si="138"/>
        <v>0</v>
      </c>
      <c r="V396" s="1">
        <f t="shared" si="139"/>
        <v>0</v>
      </c>
      <c r="W396" s="1">
        <f t="shared" si="140"/>
        <v>0</v>
      </c>
      <c r="X396" s="1">
        <f t="shared" si="141"/>
        <v>0</v>
      </c>
      <c r="Y396" s="1">
        <f t="shared" si="142"/>
        <v>0</v>
      </c>
      <c r="Z396" s="1">
        <f t="shared" si="143"/>
        <v>0</v>
      </c>
      <c r="AA396" s="1">
        <f t="shared" si="144"/>
        <v>0</v>
      </c>
      <c r="AB396" s="1">
        <f t="shared" si="145"/>
        <v>0</v>
      </c>
      <c r="AD396" s="1">
        <f t="shared" si="146"/>
        <v>0</v>
      </c>
      <c r="AE396" s="1">
        <f t="shared" si="147"/>
        <v>1</v>
      </c>
      <c r="AF396" s="1">
        <f t="shared" si="166"/>
        <v>0</v>
      </c>
      <c r="AG396" s="1">
        <f t="shared" si="167"/>
        <v>0</v>
      </c>
      <c r="AH396" s="1">
        <f t="shared" si="168"/>
        <v>0</v>
      </c>
      <c r="AI396" s="1">
        <f t="shared" si="169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218</v>
      </c>
      <c r="G397" s="35" t="s">
        <v>219</v>
      </c>
      <c r="H397" s="35" t="s">
        <v>355</v>
      </c>
      <c r="I397" s="34" t="s">
        <v>396</v>
      </c>
      <c r="J397" s="34">
        <v>99</v>
      </c>
      <c r="K397" s="36" t="s">
        <v>716</v>
      </c>
      <c r="L397" s="36" t="s">
        <v>717</v>
      </c>
      <c r="M397" s="37" t="s">
        <v>735</v>
      </c>
      <c r="N397" s="37" t="s">
        <v>1768</v>
      </c>
      <c r="O397" s="38">
        <v>1</v>
      </c>
      <c r="P397" s="38"/>
      <c r="Q397" s="35"/>
      <c r="S397" s="1">
        <f t="shared" si="136"/>
        <v>0</v>
      </c>
      <c r="T397" s="1">
        <f t="shared" si="137"/>
        <v>0</v>
      </c>
      <c r="U397" s="1">
        <f t="shared" si="138"/>
        <v>0</v>
      </c>
      <c r="V397" s="1">
        <f t="shared" si="139"/>
        <v>0</v>
      </c>
      <c r="W397" s="1">
        <f t="shared" si="140"/>
        <v>0</v>
      </c>
      <c r="X397" s="1">
        <f t="shared" si="141"/>
        <v>0</v>
      </c>
      <c r="Y397" s="1">
        <f t="shared" si="142"/>
        <v>0</v>
      </c>
      <c r="Z397" s="1">
        <f t="shared" si="143"/>
        <v>0</v>
      </c>
      <c r="AA397" s="1">
        <f t="shared" si="144"/>
        <v>0</v>
      </c>
      <c r="AB397" s="1">
        <f t="shared" si="145"/>
        <v>0</v>
      </c>
      <c r="AD397" s="1">
        <f t="shared" si="146"/>
        <v>0</v>
      </c>
      <c r="AE397" s="1">
        <f t="shared" si="147"/>
        <v>1</v>
      </c>
      <c r="AF397" s="1">
        <f t="shared" si="166"/>
        <v>0</v>
      </c>
      <c r="AG397" s="1">
        <f t="shared" si="167"/>
        <v>0</v>
      </c>
      <c r="AH397" s="1">
        <f t="shared" si="168"/>
        <v>0</v>
      </c>
      <c r="AI397" s="1">
        <f t="shared" si="169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254</v>
      </c>
      <c r="G398" s="48" t="s">
        <v>255</v>
      </c>
      <c r="H398" s="48" t="s">
        <v>355</v>
      </c>
      <c r="I398" s="47" t="s">
        <v>415</v>
      </c>
      <c r="J398" s="47">
        <v>99</v>
      </c>
      <c r="K398" s="49" t="s">
        <v>717</v>
      </c>
      <c r="L398" s="49" t="s">
        <v>717</v>
      </c>
      <c r="M398" s="50" t="s">
        <v>735</v>
      </c>
      <c r="N398" s="50" t="s">
        <v>1809</v>
      </c>
      <c r="O398" s="51"/>
      <c r="P398" s="51"/>
      <c r="Q398" s="48"/>
      <c r="S398" s="1">
        <f t="shared" si="136"/>
        <v>0</v>
      </c>
      <c r="T398" s="1">
        <f t="shared" si="137"/>
        <v>0</v>
      </c>
      <c r="U398" s="1">
        <f t="shared" si="138"/>
        <v>0</v>
      </c>
      <c r="V398" s="1">
        <f t="shared" si="139"/>
        <v>0</v>
      </c>
      <c r="W398" s="1">
        <f t="shared" si="140"/>
        <v>0</v>
      </c>
      <c r="X398" s="1">
        <f t="shared" si="141"/>
        <v>0</v>
      </c>
      <c r="Y398" s="1">
        <f t="shared" si="142"/>
        <v>0</v>
      </c>
      <c r="Z398" s="1">
        <f t="shared" si="143"/>
        <v>0</v>
      </c>
      <c r="AA398" s="1">
        <f t="shared" si="144"/>
        <v>0</v>
      </c>
      <c r="AB398" s="1">
        <f t="shared" si="145"/>
        <v>0</v>
      </c>
      <c r="AD398" s="1">
        <f t="shared" si="146"/>
        <v>0</v>
      </c>
      <c r="AE398" s="1">
        <f t="shared" si="147"/>
        <v>0</v>
      </c>
      <c r="AF398" s="1">
        <f t="shared" si="166"/>
        <v>0</v>
      </c>
      <c r="AG398" s="1">
        <f t="shared" si="167"/>
        <v>0</v>
      </c>
      <c r="AH398" s="1">
        <f t="shared" si="168"/>
        <v>0</v>
      </c>
      <c r="AI398" s="1">
        <f t="shared" si="169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256</v>
      </c>
      <c r="G399" s="16" t="s">
        <v>208</v>
      </c>
      <c r="H399" s="16" t="s">
        <v>355</v>
      </c>
      <c r="I399" s="15" t="s">
        <v>416</v>
      </c>
      <c r="J399" s="15">
        <v>99</v>
      </c>
      <c r="K399" s="10" t="s">
        <v>959</v>
      </c>
      <c r="L399" s="10" t="s">
        <v>717</v>
      </c>
      <c r="M399" s="19" t="s">
        <v>735</v>
      </c>
      <c r="N399" s="17"/>
      <c r="Q399" s="16"/>
      <c r="S399" s="1">
        <f t="shared" ref="S399:S465" si="170">IF(J399=$S$7,1,0)</f>
        <v>0</v>
      </c>
      <c r="T399" s="1">
        <f t="shared" ref="T399:T465" si="171">IF(J399=$T$7,1,0)</f>
        <v>0</v>
      </c>
      <c r="U399" s="1">
        <f t="shared" ref="U399:U465" si="172">IF(J399=$U$7,1,0)</f>
        <v>0</v>
      </c>
      <c r="V399" s="1">
        <f t="shared" ref="V399:V465" si="173">IF(J399=$V$7,1,0)</f>
        <v>0</v>
      </c>
      <c r="W399" s="1">
        <f t="shared" ref="W399:W465" si="174">IF(J399=$W$7,1,0)</f>
        <v>0</v>
      </c>
      <c r="X399" s="1">
        <f t="shared" ref="X399:X465" si="175">IF(J399=$X$7,1,0)</f>
        <v>0</v>
      </c>
      <c r="Y399" s="1">
        <f t="shared" ref="Y399:Y465" si="176">IF(J399=$Y$7,1,0)</f>
        <v>0</v>
      </c>
      <c r="Z399" s="1">
        <f t="shared" ref="Z399:Z465" si="177">IF(J399=$Z$7,1,0)</f>
        <v>0</v>
      </c>
      <c r="AA399" s="1">
        <f t="shared" ref="AA399:AA465" si="178">IF(J399=$AA$7,1,0)</f>
        <v>0</v>
      </c>
      <c r="AB399" s="1">
        <f t="shared" ref="AB399:AB465" si="179">IF(J399=$AB$7,1,0)</f>
        <v>0</v>
      </c>
      <c r="AD399" s="1">
        <f t="shared" ref="AD399:AD465" si="180">+O399*P399</f>
        <v>0</v>
      </c>
      <c r="AE399" s="1">
        <f t="shared" ref="AE399:AE465" si="181">O399*(1-P399)</f>
        <v>0</v>
      </c>
      <c r="AF399" s="1">
        <f t="shared" si="166"/>
        <v>0</v>
      </c>
      <c r="AG399" s="1">
        <f t="shared" si="167"/>
        <v>0</v>
      </c>
      <c r="AH399" s="1">
        <f t="shared" si="168"/>
        <v>0</v>
      </c>
      <c r="AI399" s="1">
        <f t="shared" si="169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1881</v>
      </c>
      <c r="G400" s="16" t="s">
        <v>257</v>
      </c>
      <c r="H400" s="16" t="s">
        <v>355</v>
      </c>
      <c r="I400" s="15" t="s">
        <v>417</v>
      </c>
      <c r="J400" s="15">
        <v>99</v>
      </c>
      <c r="K400" s="10" t="s">
        <v>959</v>
      </c>
      <c r="L400" s="10" t="s">
        <v>717</v>
      </c>
      <c r="M400" s="19" t="s">
        <v>735</v>
      </c>
      <c r="N400" s="17"/>
      <c r="Q400" s="16"/>
      <c r="S400" s="1">
        <f t="shared" si="170"/>
        <v>0</v>
      </c>
      <c r="T400" s="1">
        <f t="shared" si="171"/>
        <v>0</v>
      </c>
      <c r="U400" s="1">
        <f t="shared" si="172"/>
        <v>0</v>
      </c>
      <c r="V400" s="1">
        <f t="shared" si="173"/>
        <v>0</v>
      </c>
      <c r="W400" s="1">
        <f t="shared" si="174"/>
        <v>0</v>
      </c>
      <c r="X400" s="1">
        <f t="shared" si="175"/>
        <v>0</v>
      </c>
      <c r="Y400" s="1">
        <f t="shared" si="176"/>
        <v>0</v>
      </c>
      <c r="Z400" s="1">
        <f t="shared" si="177"/>
        <v>0</v>
      </c>
      <c r="AA400" s="1">
        <f t="shared" si="178"/>
        <v>0</v>
      </c>
      <c r="AB400" s="1">
        <f t="shared" si="179"/>
        <v>0</v>
      </c>
      <c r="AD400" s="1">
        <f t="shared" si="180"/>
        <v>0</v>
      </c>
      <c r="AE400" s="1">
        <f t="shared" si="181"/>
        <v>0</v>
      </c>
      <c r="AF400" s="1">
        <f t="shared" si="166"/>
        <v>0</v>
      </c>
      <c r="AG400" s="1">
        <f t="shared" si="167"/>
        <v>0</v>
      </c>
      <c r="AH400" s="1">
        <f t="shared" si="168"/>
        <v>0</v>
      </c>
      <c r="AI400" s="1">
        <f t="shared" si="169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572</v>
      </c>
      <c r="G401" s="16" t="s">
        <v>573</v>
      </c>
      <c r="H401" s="16" t="s">
        <v>355</v>
      </c>
      <c r="I401" s="15" t="s">
        <v>582</v>
      </c>
      <c r="J401" s="15">
        <v>99</v>
      </c>
      <c r="K401" s="10" t="s">
        <v>959</v>
      </c>
      <c r="L401" s="10" t="s">
        <v>717</v>
      </c>
      <c r="M401" s="19" t="s">
        <v>735</v>
      </c>
      <c r="N401" s="17"/>
      <c r="Q401" s="16"/>
      <c r="S401" s="1">
        <f t="shared" si="170"/>
        <v>0</v>
      </c>
      <c r="T401" s="1">
        <f t="shared" si="171"/>
        <v>0</v>
      </c>
      <c r="U401" s="1">
        <f t="shared" si="172"/>
        <v>0</v>
      </c>
      <c r="V401" s="1">
        <f t="shared" si="173"/>
        <v>0</v>
      </c>
      <c r="W401" s="1">
        <f t="shared" si="174"/>
        <v>0</v>
      </c>
      <c r="X401" s="1">
        <f t="shared" si="175"/>
        <v>0</v>
      </c>
      <c r="Y401" s="1">
        <f t="shared" si="176"/>
        <v>0</v>
      </c>
      <c r="Z401" s="1">
        <f t="shared" si="177"/>
        <v>0</v>
      </c>
      <c r="AA401" s="1">
        <f t="shared" si="178"/>
        <v>0</v>
      </c>
      <c r="AB401" s="1">
        <f t="shared" si="179"/>
        <v>0</v>
      </c>
      <c r="AD401" s="1">
        <f t="shared" si="180"/>
        <v>0</v>
      </c>
      <c r="AE401" s="1">
        <f t="shared" si="181"/>
        <v>0</v>
      </c>
      <c r="AF401" s="1">
        <f t="shared" si="166"/>
        <v>0</v>
      </c>
      <c r="AG401" s="1">
        <f t="shared" si="167"/>
        <v>0</v>
      </c>
      <c r="AH401" s="1">
        <f t="shared" si="168"/>
        <v>0</v>
      </c>
      <c r="AI401" s="1">
        <f t="shared" si="169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1356</v>
      </c>
      <c r="G402" s="48" t="s">
        <v>260</v>
      </c>
      <c r="H402" s="48" t="s">
        <v>355</v>
      </c>
      <c r="I402" s="47" t="s">
        <v>419</v>
      </c>
      <c r="J402" s="47">
        <v>99</v>
      </c>
      <c r="K402" s="49" t="s">
        <v>717</v>
      </c>
      <c r="L402" s="49" t="s">
        <v>717</v>
      </c>
      <c r="M402" s="50" t="s">
        <v>735</v>
      </c>
      <c r="N402" s="50" t="s">
        <v>1809</v>
      </c>
      <c r="O402" s="51"/>
      <c r="P402" s="51"/>
      <c r="Q402" s="48"/>
      <c r="S402" s="1">
        <f t="shared" si="170"/>
        <v>0</v>
      </c>
      <c r="T402" s="1">
        <f t="shared" si="171"/>
        <v>0</v>
      </c>
      <c r="U402" s="1">
        <f t="shared" si="172"/>
        <v>0</v>
      </c>
      <c r="V402" s="1">
        <f t="shared" si="173"/>
        <v>0</v>
      </c>
      <c r="W402" s="1">
        <f t="shared" si="174"/>
        <v>0</v>
      </c>
      <c r="X402" s="1">
        <f t="shared" si="175"/>
        <v>0</v>
      </c>
      <c r="Y402" s="1">
        <f t="shared" si="176"/>
        <v>0</v>
      </c>
      <c r="Z402" s="1">
        <f t="shared" si="177"/>
        <v>0</v>
      </c>
      <c r="AA402" s="1">
        <f t="shared" si="178"/>
        <v>0</v>
      </c>
      <c r="AB402" s="1">
        <f t="shared" si="179"/>
        <v>0</v>
      </c>
      <c r="AD402" s="1">
        <f t="shared" si="180"/>
        <v>0</v>
      </c>
      <c r="AE402" s="1">
        <f t="shared" si="181"/>
        <v>0</v>
      </c>
      <c r="AF402" s="1">
        <f t="shared" si="166"/>
        <v>0</v>
      </c>
      <c r="AG402" s="1">
        <f t="shared" si="167"/>
        <v>0</v>
      </c>
      <c r="AH402" s="1">
        <f t="shared" si="168"/>
        <v>0</v>
      </c>
      <c r="AI402" s="1">
        <f t="shared" si="169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1066</v>
      </c>
      <c r="E403" s="48" t="s">
        <v>28</v>
      </c>
      <c r="F403" s="48" t="s">
        <v>1067</v>
      </c>
      <c r="G403" s="48" t="s">
        <v>1068</v>
      </c>
      <c r="H403" s="48" t="s">
        <v>355</v>
      </c>
      <c r="I403" s="47" t="s">
        <v>1069</v>
      </c>
      <c r="J403" s="47">
        <v>99</v>
      </c>
      <c r="K403" s="49" t="s">
        <v>717</v>
      </c>
      <c r="L403" s="49" t="s">
        <v>717</v>
      </c>
      <c r="M403" s="50" t="s">
        <v>735</v>
      </c>
      <c r="N403" s="50" t="s">
        <v>1809</v>
      </c>
      <c r="O403" s="51"/>
      <c r="P403" s="51"/>
      <c r="Q403" s="48"/>
      <c r="S403" s="1">
        <f t="shared" si="170"/>
        <v>0</v>
      </c>
      <c r="T403" s="1">
        <f t="shared" si="171"/>
        <v>0</v>
      </c>
      <c r="U403" s="1">
        <f t="shared" si="172"/>
        <v>0</v>
      </c>
      <c r="V403" s="1">
        <f t="shared" si="173"/>
        <v>0</v>
      </c>
      <c r="W403" s="1">
        <f t="shared" si="174"/>
        <v>0</v>
      </c>
      <c r="X403" s="1">
        <f t="shared" si="175"/>
        <v>0</v>
      </c>
      <c r="Y403" s="1">
        <f t="shared" si="176"/>
        <v>0</v>
      </c>
      <c r="Z403" s="1">
        <f t="shared" si="177"/>
        <v>0</v>
      </c>
      <c r="AA403" s="1">
        <f t="shared" si="178"/>
        <v>0</v>
      </c>
      <c r="AB403" s="1">
        <f t="shared" si="179"/>
        <v>0</v>
      </c>
      <c r="AD403" s="1">
        <f t="shared" si="180"/>
        <v>0</v>
      </c>
      <c r="AE403" s="1">
        <f t="shared" si="181"/>
        <v>0</v>
      </c>
      <c r="AF403" s="1">
        <f t="shared" si="166"/>
        <v>0</v>
      </c>
      <c r="AG403" s="1">
        <f t="shared" si="167"/>
        <v>0</v>
      </c>
      <c r="AH403" s="1">
        <f t="shared" si="168"/>
        <v>0</v>
      </c>
      <c r="AI403" s="1">
        <f t="shared" si="169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1813</v>
      </c>
      <c r="E404" s="35" t="s">
        <v>157</v>
      </c>
      <c r="F404" s="35" t="s">
        <v>1814</v>
      </c>
      <c r="G404" s="35"/>
      <c r="H404" s="35" t="s">
        <v>355</v>
      </c>
      <c r="I404" s="34" t="s">
        <v>1815</v>
      </c>
      <c r="J404" s="34">
        <v>99</v>
      </c>
      <c r="K404" s="36" t="s">
        <v>707</v>
      </c>
      <c r="L404" s="36"/>
      <c r="M404" s="37"/>
      <c r="N404" s="37" t="s">
        <v>1734</v>
      </c>
      <c r="O404" s="38">
        <v>1</v>
      </c>
      <c r="P404" s="38">
        <v>1</v>
      </c>
      <c r="Q404" s="35"/>
      <c r="S404" s="1">
        <f t="shared" si="170"/>
        <v>0</v>
      </c>
      <c r="T404" s="1">
        <f t="shared" si="171"/>
        <v>0</v>
      </c>
      <c r="U404" s="1">
        <f t="shared" si="172"/>
        <v>0</v>
      </c>
      <c r="V404" s="1">
        <f t="shared" si="173"/>
        <v>0</v>
      </c>
      <c r="W404" s="1">
        <f t="shared" si="174"/>
        <v>0</v>
      </c>
      <c r="X404" s="1">
        <f t="shared" si="175"/>
        <v>0</v>
      </c>
      <c r="Y404" s="1">
        <f t="shared" si="176"/>
        <v>0</v>
      </c>
      <c r="Z404" s="1">
        <f t="shared" si="177"/>
        <v>0</v>
      </c>
      <c r="AA404" s="1">
        <f t="shared" si="178"/>
        <v>0</v>
      </c>
      <c r="AB404" s="1">
        <f t="shared" si="179"/>
        <v>0</v>
      </c>
      <c r="AD404" s="1">
        <f t="shared" si="180"/>
        <v>1</v>
      </c>
      <c r="AE404" s="1">
        <f t="shared" si="181"/>
        <v>0</v>
      </c>
      <c r="AF404" s="1">
        <f t="shared" si="166"/>
        <v>1</v>
      </c>
      <c r="AG404" s="1">
        <f t="shared" si="167"/>
        <v>0</v>
      </c>
      <c r="AH404" s="1">
        <f t="shared" si="168"/>
        <v>1</v>
      </c>
      <c r="AI404" s="1">
        <f t="shared" si="169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1185</v>
      </c>
      <c r="E405" s="35" t="s">
        <v>157</v>
      </c>
      <c r="F405" s="35" t="s">
        <v>1186</v>
      </c>
      <c r="G405" s="35" t="s">
        <v>294</v>
      </c>
      <c r="H405" s="35" t="s">
        <v>355</v>
      </c>
      <c r="I405" s="34" t="s">
        <v>1187</v>
      </c>
      <c r="J405" s="34">
        <v>99</v>
      </c>
      <c r="K405" s="36" t="s">
        <v>717</v>
      </c>
      <c r="L405" s="36" t="s">
        <v>726</v>
      </c>
      <c r="M405" s="37" t="s">
        <v>1441</v>
      </c>
      <c r="N405" s="37" t="s">
        <v>1755</v>
      </c>
      <c r="O405" s="38">
        <v>1</v>
      </c>
      <c r="P405" s="38"/>
      <c r="Q405" s="35"/>
      <c r="S405" s="1">
        <f t="shared" si="170"/>
        <v>0</v>
      </c>
      <c r="T405" s="1">
        <f t="shared" si="171"/>
        <v>0</v>
      </c>
      <c r="U405" s="1">
        <f t="shared" si="172"/>
        <v>0</v>
      </c>
      <c r="V405" s="1">
        <f t="shared" si="173"/>
        <v>0</v>
      </c>
      <c r="W405" s="1">
        <f t="shared" si="174"/>
        <v>0</v>
      </c>
      <c r="X405" s="1">
        <f t="shared" si="175"/>
        <v>0</v>
      </c>
      <c r="Y405" s="1">
        <f t="shared" si="176"/>
        <v>0</v>
      </c>
      <c r="Z405" s="1">
        <f t="shared" si="177"/>
        <v>0</v>
      </c>
      <c r="AA405" s="1">
        <f t="shared" si="178"/>
        <v>0</v>
      </c>
      <c r="AB405" s="1">
        <f t="shared" si="179"/>
        <v>0</v>
      </c>
      <c r="AD405" s="1">
        <f t="shared" si="180"/>
        <v>0</v>
      </c>
      <c r="AE405" s="1">
        <f t="shared" si="181"/>
        <v>1</v>
      </c>
      <c r="AF405" s="1">
        <f t="shared" si="166"/>
        <v>0</v>
      </c>
      <c r="AG405" s="1">
        <f t="shared" si="167"/>
        <v>1</v>
      </c>
      <c r="AH405" s="1">
        <f t="shared" si="168"/>
        <v>0</v>
      </c>
      <c r="AI405" s="1">
        <f t="shared" si="169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1159</v>
      </c>
      <c r="E406" s="35" t="s">
        <v>1160</v>
      </c>
      <c r="F406" s="39" t="s">
        <v>1885</v>
      </c>
      <c r="G406" s="35" t="s">
        <v>630</v>
      </c>
      <c r="H406" s="35" t="s">
        <v>355</v>
      </c>
      <c r="I406" s="34" t="s">
        <v>1161</v>
      </c>
      <c r="J406" s="34">
        <v>99</v>
      </c>
      <c r="K406" s="36" t="s">
        <v>717</v>
      </c>
      <c r="L406" s="36" t="s">
        <v>717</v>
      </c>
      <c r="M406" s="37" t="s">
        <v>735</v>
      </c>
      <c r="N406" s="37" t="s">
        <v>1750</v>
      </c>
      <c r="O406" s="38">
        <v>1</v>
      </c>
      <c r="P406" s="38"/>
      <c r="Q406" s="39" t="s">
        <v>1905</v>
      </c>
      <c r="S406" s="1">
        <f t="shared" si="170"/>
        <v>0</v>
      </c>
      <c r="T406" s="1">
        <f t="shared" si="171"/>
        <v>0</v>
      </c>
      <c r="U406" s="1">
        <f t="shared" si="172"/>
        <v>0</v>
      </c>
      <c r="V406" s="1">
        <f t="shared" si="173"/>
        <v>0</v>
      </c>
      <c r="W406" s="1">
        <f t="shared" si="174"/>
        <v>0</v>
      </c>
      <c r="X406" s="1">
        <f t="shared" si="175"/>
        <v>0</v>
      </c>
      <c r="Y406" s="1">
        <f t="shared" si="176"/>
        <v>0</v>
      </c>
      <c r="Z406" s="1">
        <f t="shared" si="177"/>
        <v>0</v>
      </c>
      <c r="AA406" s="1">
        <f t="shared" si="178"/>
        <v>0</v>
      </c>
      <c r="AB406" s="1">
        <f t="shared" si="179"/>
        <v>0</v>
      </c>
      <c r="AD406" s="1">
        <f t="shared" si="180"/>
        <v>0</v>
      </c>
      <c r="AE406" s="1">
        <f t="shared" si="181"/>
        <v>1</v>
      </c>
      <c r="AF406" s="1">
        <f t="shared" si="166"/>
        <v>0</v>
      </c>
      <c r="AG406" s="1">
        <f t="shared" si="167"/>
        <v>1</v>
      </c>
      <c r="AH406" s="1">
        <f t="shared" si="168"/>
        <v>0</v>
      </c>
      <c r="AI406" s="1">
        <f t="shared" si="169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544</v>
      </c>
      <c r="E407" s="35" t="s">
        <v>159</v>
      </c>
      <c r="F407" s="35" t="s">
        <v>196</v>
      </c>
      <c r="G407" s="35" t="s">
        <v>197</v>
      </c>
      <c r="H407" s="35" t="s">
        <v>355</v>
      </c>
      <c r="I407" s="34" t="s">
        <v>552</v>
      </c>
      <c r="J407" s="34">
        <v>99</v>
      </c>
      <c r="K407" s="36" t="s">
        <v>959</v>
      </c>
      <c r="L407" s="36" t="s">
        <v>700</v>
      </c>
      <c r="M407" s="37" t="s">
        <v>1443</v>
      </c>
      <c r="N407" s="37" t="s">
        <v>1755</v>
      </c>
      <c r="O407" s="38">
        <v>1</v>
      </c>
      <c r="P407" s="38"/>
      <c r="Q407" s="35"/>
      <c r="S407" s="1">
        <f t="shared" si="170"/>
        <v>0</v>
      </c>
      <c r="T407" s="1">
        <f t="shared" si="171"/>
        <v>0</v>
      </c>
      <c r="U407" s="1">
        <f t="shared" si="172"/>
        <v>0</v>
      </c>
      <c r="V407" s="1">
        <f t="shared" si="173"/>
        <v>0</v>
      </c>
      <c r="W407" s="1">
        <f t="shared" si="174"/>
        <v>0</v>
      </c>
      <c r="X407" s="1">
        <f t="shared" si="175"/>
        <v>0</v>
      </c>
      <c r="Y407" s="1">
        <f t="shared" si="176"/>
        <v>0</v>
      </c>
      <c r="Z407" s="1">
        <f t="shared" si="177"/>
        <v>0</v>
      </c>
      <c r="AA407" s="1">
        <f t="shared" si="178"/>
        <v>0</v>
      </c>
      <c r="AB407" s="1">
        <f t="shared" si="179"/>
        <v>0</v>
      </c>
      <c r="AD407" s="1">
        <f t="shared" si="180"/>
        <v>0</v>
      </c>
      <c r="AE407" s="1">
        <f t="shared" si="181"/>
        <v>1</v>
      </c>
      <c r="AF407" s="1">
        <f t="shared" si="166"/>
        <v>0</v>
      </c>
      <c r="AG407" s="1">
        <f t="shared" si="167"/>
        <v>1</v>
      </c>
      <c r="AH407" s="1">
        <f t="shared" si="168"/>
        <v>0</v>
      </c>
      <c r="AI407" s="1">
        <f t="shared" si="169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157</v>
      </c>
      <c r="F408" s="16" t="s">
        <v>184</v>
      </c>
      <c r="G408" s="16" t="s">
        <v>180</v>
      </c>
      <c r="H408" s="16" t="s">
        <v>355</v>
      </c>
      <c r="I408" s="15" t="s">
        <v>383</v>
      </c>
      <c r="J408" s="15">
        <v>10</v>
      </c>
      <c r="K408" s="10" t="s">
        <v>959</v>
      </c>
      <c r="L408" s="10" t="s">
        <v>726</v>
      </c>
      <c r="M408" s="19" t="s">
        <v>1441</v>
      </c>
      <c r="N408" s="19"/>
      <c r="Q408" s="16"/>
      <c r="S408" s="1">
        <f t="shared" si="170"/>
        <v>0</v>
      </c>
      <c r="T408" s="1">
        <f t="shared" si="171"/>
        <v>0</v>
      </c>
      <c r="U408" s="1">
        <f t="shared" si="172"/>
        <v>0</v>
      </c>
      <c r="V408" s="1">
        <f t="shared" si="173"/>
        <v>0</v>
      </c>
      <c r="W408" s="1">
        <f t="shared" si="174"/>
        <v>0</v>
      </c>
      <c r="X408" s="1">
        <f t="shared" si="175"/>
        <v>0</v>
      </c>
      <c r="Y408" s="1">
        <f t="shared" si="176"/>
        <v>0</v>
      </c>
      <c r="Z408" s="1">
        <f t="shared" si="177"/>
        <v>0</v>
      </c>
      <c r="AA408" s="1">
        <f t="shared" si="178"/>
        <v>0</v>
      </c>
      <c r="AB408" s="1">
        <f t="shared" si="179"/>
        <v>1</v>
      </c>
      <c r="AD408" s="1">
        <f t="shared" si="180"/>
        <v>0</v>
      </c>
      <c r="AE408" s="1">
        <f t="shared" si="181"/>
        <v>0</v>
      </c>
      <c r="AF408" s="1">
        <f t="shared" si="166"/>
        <v>0</v>
      </c>
      <c r="AG408" s="1">
        <f t="shared" si="167"/>
        <v>0</v>
      </c>
      <c r="AH408" s="1">
        <f t="shared" si="168"/>
        <v>0</v>
      </c>
      <c r="AI408" s="1">
        <f t="shared" si="169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249</v>
      </c>
      <c r="G409" s="48" t="s">
        <v>250</v>
      </c>
      <c r="H409" s="48" t="s">
        <v>355</v>
      </c>
      <c r="I409" s="47" t="s">
        <v>412</v>
      </c>
      <c r="J409" s="47">
        <v>7</v>
      </c>
      <c r="K409" s="49" t="s">
        <v>717</v>
      </c>
      <c r="L409" s="49" t="s">
        <v>717</v>
      </c>
      <c r="M409" s="50" t="s">
        <v>735</v>
      </c>
      <c r="N409" s="50" t="s">
        <v>1741</v>
      </c>
      <c r="O409" s="51"/>
      <c r="P409" s="51"/>
      <c r="Q409" s="48"/>
      <c r="S409" s="1">
        <f t="shared" si="170"/>
        <v>0</v>
      </c>
      <c r="T409" s="1">
        <f t="shared" si="171"/>
        <v>0</v>
      </c>
      <c r="U409" s="1">
        <f t="shared" si="172"/>
        <v>0</v>
      </c>
      <c r="V409" s="1">
        <f t="shared" si="173"/>
        <v>0</v>
      </c>
      <c r="W409" s="1">
        <f t="shared" si="174"/>
        <v>0</v>
      </c>
      <c r="X409" s="1">
        <f t="shared" si="175"/>
        <v>0</v>
      </c>
      <c r="Y409" s="1">
        <f t="shared" si="176"/>
        <v>1</v>
      </c>
      <c r="Z409" s="1">
        <f t="shared" si="177"/>
        <v>0</v>
      </c>
      <c r="AA409" s="1">
        <f t="shared" si="178"/>
        <v>0</v>
      </c>
      <c r="AB409" s="1">
        <f t="shared" si="179"/>
        <v>0</v>
      </c>
      <c r="AD409" s="1">
        <f t="shared" si="180"/>
        <v>0</v>
      </c>
      <c r="AE409" s="1">
        <f t="shared" si="181"/>
        <v>0</v>
      </c>
      <c r="AF409" s="1">
        <f t="shared" si="166"/>
        <v>0</v>
      </c>
      <c r="AG409" s="1">
        <f t="shared" si="167"/>
        <v>0</v>
      </c>
      <c r="AH409" s="1">
        <f t="shared" si="168"/>
        <v>0</v>
      </c>
      <c r="AI409" s="1">
        <f t="shared" si="169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1043</v>
      </c>
      <c r="G410" s="48" t="s">
        <v>541</v>
      </c>
      <c r="H410" s="48" t="s">
        <v>355</v>
      </c>
      <c r="I410" s="47" t="s">
        <v>30</v>
      </c>
      <c r="J410" s="47">
        <v>1</v>
      </c>
      <c r="K410" s="49" t="s">
        <v>717</v>
      </c>
      <c r="L410" s="49" t="s">
        <v>717</v>
      </c>
      <c r="M410" s="50" t="s">
        <v>735</v>
      </c>
      <c r="N410" s="50" t="s">
        <v>1741</v>
      </c>
      <c r="O410" s="51"/>
      <c r="P410" s="51"/>
      <c r="Q410" s="48"/>
      <c r="S410" s="1">
        <f t="shared" si="170"/>
        <v>1</v>
      </c>
      <c r="T410" s="1">
        <f t="shared" si="171"/>
        <v>0</v>
      </c>
      <c r="U410" s="1">
        <f t="shared" si="172"/>
        <v>0</v>
      </c>
      <c r="V410" s="1">
        <f t="shared" si="173"/>
        <v>0</v>
      </c>
      <c r="W410" s="1">
        <f t="shared" si="174"/>
        <v>0</v>
      </c>
      <c r="X410" s="1">
        <f t="shared" si="175"/>
        <v>0</v>
      </c>
      <c r="Y410" s="1">
        <f t="shared" si="176"/>
        <v>0</v>
      </c>
      <c r="Z410" s="1">
        <f t="shared" si="177"/>
        <v>0</v>
      </c>
      <c r="AA410" s="1">
        <f t="shared" si="178"/>
        <v>0</v>
      </c>
      <c r="AB410" s="1">
        <f t="shared" si="179"/>
        <v>0</v>
      </c>
      <c r="AD410" s="1">
        <f t="shared" si="180"/>
        <v>0</v>
      </c>
      <c r="AE410" s="1">
        <f t="shared" si="181"/>
        <v>0</v>
      </c>
      <c r="AF410" s="1">
        <f t="shared" si="166"/>
        <v>0</v>
      </c>
      <c r="AG410" s="1">
        <f t="shared" si="167"/>
        <v>0</v>
      </c>
      <c r="AH410" s="1">
        <f t="shared" si="168"/>
        <v>0</v>
      </c>
      <c r="AI410" s="1">
        <f t="shared" si="169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251</v>
      </c>
      <c r="G411" s="48" t="s">
        <v>201</v>
      </c>
      <c r="H411" s="48" t="s">
        <v>355</v>
      </c>
      <c r="I411" s="47" t="s">
        <v>413</v>
      </c>
      <c r="J411" s="47">
        <v>2</v>
      </c>
      <c r="K411" s="49" t="s">
        <v>717</v>
      </c>
      <c r="L411" s="49" t="s">
        <v>717</v>
      </c>
      <c r="M411" s="50" t="s">
        <v>735</v>
      </c>
      <c r="N411" s="50" t="s">
        <v>1741</v>
      </c>
      <c r="O411" s="51"/>
      <c r="P411" s="51"/>
      <c r="Q411" s="48"/>
      <c r="S411" s="1">
        <f t="shared" si="170"/>
        <v>0</v>
      </c>
      <c r="T411" s="1">
        <f t="shared" si="171"/>
        <v>1</v>
      </c>
      <c r="U411" s="1">
        <f t="shared" si="172"/>
        <v>0</v>
      </c>
      <c r="V411" s="1">
        <f t="shared" si="173"/>
        <v>0</v>
      </c>
      <c r="W411" s="1">
        <f t="shared" si="174"/>
        <v>0</v>
      </c>
      <c r="X411" s="1">
        <f t="shared" si="175"/>
        <v>0</v>
      </c>
      <c r="Y411" s="1">
        <f t="shared" si="176"/>
        <v>0</v>
      </c>
      <c r="Z411" s="1">
        <f t="shared" si="177"/>
        <v>0</v>
      </c>
      <c r="AA411" s="1">
        <f t="shared" si="178"/>
        <v>0</v>
      </c>
      <c r="AB411" s="1">
        <f t="shared" si="179"/>
        <v>0</v>
      </c>
      <c r="AD411" s="1">
        <f t="shared" si="180"/>
        <v>0</v>
      </c>
      <c r="AE411" s="1">
        <f t="shared" si="181"/>
        <v>0</v>
      </c>
      <c r="AF411" s="1">
        <f t="shared" si="166"/>
        <v>0</v>
      </c>
      <c r="AG411" s="1">
        <f t="shared" si="167"/>
        <v>0</v>
      </c>
      <c r="AH411" s="1">
        <f t="shared" si="168"/>
        <v>0</v>
      </c>
      <c r="AI411" s="1">
        <f t="shared" si="169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248</v>
      </c>
      <c r="G412" s="48" t="s">
        <v>1358</v>
      </c>
      <c r="H412" s="48" t="s">
        <v>355</v>
      </c>
      <c r="I412" s="47" t="s">
        <v>30</v>
      </c>
      <c r="J412" s="47">
        <v>1</v>
      </c>
      <c r="K412" s="49" t="s">
        <v>717</v>
      </c>
      <c r="L412" s="49" t="s">
        <v>717</v>
      </c>
      <c r="M412" s="50" t="s">
        <v>735</v>
      </c>
      <c r="N412" s="50" t="s">
        <v>1741</v>
      </c>
      <c r="O412" s="51"/>
      <c r="P412" s="51"/>
      <c r="Q412" s="48" t="s">
        <v>1924</v>
      </c>
      <c r="S412" s="1">
        <f t="shared" si="170"/>
        <v>1</v>
      </c>
      <c r="T412" s="1">
        <f t="shared" si="171"/>
        <v>0</v>
      </c>
      <c r="U412" s="1">
        <f t="shared" si="172"/>
        <v>0</v>
      </c>
      <c r="V412" s="1">
        <f t="shared" si="173"/>
        <v>0</v>
      </c>
      <c r="W412" s="1">
        <f t="shared" si="174"/>
        <v>0</v>
      </c>
      <c r="X412" s="1">
        <f t="shared" si="175"/>
        <v>0</v>
      </c>
      <c r="Y412" s="1">
        <f t="shared" si="176"/>
        <v>0</v>
      </c>
      <c r="Z412" s="1">
        <f t="shared" si="177"/>
        <v>0</v>
      </c>
      <c r="AA412" s="1">
        <f t="shared" si="178"/>
        <v>0</v>
      </c>
      <c r="AB412" s="1">
        <f t="shared" si="179"/>
        <v>0</v>
      </c>
      <c r="AD412" s="1">
        <f t="shared" si="180"/>
        <v>0</v>
      </c>
      <c r="AE412" s="1">
        <f t="shared" si="181"/>
        <v>0</v>
      </c>
      <c r="AF412" s="1">
        <f t="shared" si="166"/>
        <v>0</v>
      </c>
      <c r="AG412" s="1">
        <f t="shared" si="167"/>
        <v>0</v>
      </c>
      <c r="AH412" s="1">
        <f t="shared" si="168"/>
        <v>0</v>
      </c>
      <c r="AI412" s="1">
        <f t="shared" si="169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253</v>
      </c>
      <c r="G413" s="48" t="s">
        <v>195</v>
      </c>
      <c r="H413" s="48" t="s">
        <v>355</v>
      </c>
      <c r="I413" s="47" t="s">
        <v>414</v>
      </c>
      <c r="J413" s="47">
        <v>9</v>
      </c>
      <c r="K413" s="49" t="s">
        <v>717</v>
      </c>
      <c r="L413" s="49" t="s">
        <v>717</v>
      </c>
      <c r="M413" s="50" t="s">
        <v>735</v>
      </c>
      <c r="N413" s="50" t="s">
        <v>1741</v>
      </c>
      <c r="O413" s="51"/>
      <c r="P413" s="51"/>
      <c r="Q413" s="48"/>
      <c r="S413" s="1">
        <f t="shared" si="170"/>
        <v>0</v>
      </c>
      <c r="T413" s="1">
        <f t="shared" si="171"/>
        <v>0</v>
      </c>
      <c r="U413" s="1">
        <f t="shared" si="172"/>
        <v>0</v>
      </c>
      <c r="V413" s="1">
        <f t="shared" si="173"/>
        <v>0</v>
      </c>
      <c r="W413" s="1">
        <f t="shared" si="174"/>
        <v>0</v>
      </c>
      <c r="X413" s="1">
        <f t="shared" si="175"/>
        <v>0</v>
      </c>
      <c r="Y413" s="1">
        <f t="shared" si="176"/>
        <v>0</v>
      </c>
      <c r="Z413" s="1">
        <f t="shared" si="177"/>
        <v>0</v>
      </c>
      <c r="AA413" s="1">
        <f t="shared" si="178"/>
        <v>1</v>
      </c>
      <c r="AB413" s="1">
        <f t="shared" si="179"/>
        <v>0</v>
      </c>
      <c r="AD413" s="1">
        <f t="shared" si="180"/>
        <v>0</v>
      </c>
      <c r="AE413" s="1">
        <f t="shared" si="181"/>
        <v>0</v>
      </c>
      <c r="AF413" s="1">
        <f t="shared" si="166"/>
        <v>0</v>
      </c>
      <c r="AG413" s="1">
        <f t="shared" si="167"/>
        <v>0</v>
      </c>
      <c r="AH413" s="1">
        <f t="shared" si="168"/>
        <v>0</v>
      </c>
      <c r="AI413" s="1">
        <f t="shared" si="169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1027</v>
      </c>
      <c r="E414" s="48" t="s">
        <v>28</v>
      </c>
      <c r="F414" s="48" t="s">
        <v>1028</v>
      </c>
      <c r="G414" s="48" t="s">
        <v>195</v>
      </c>
      <c r="H414" s="48" t="s">
        <v>355</v>
      </c>
      <c r="I414" s="47" t="s">
        <v>1029</v>
      </c>
      <c r="J414" s="47">
        <v>9</v>
      </c>
      <c r="K414" s="49" t="s">
        <v>716</v>
      </c>
      <c r="L414" s="49" t="s">
        <v>717</v>
      </c>
      <c r="M414" s="50" t="s">
        <v>735</v>
      </c>
      <c r="N414" s="50" t="s">
        <v>1742</v>
      </c>
      <c r="O414" s="51"/>
      <c r="P414" s="51"/>
      <c r="Q414" s="48"/>
      <c r="S414" s="1">
        <f t="shared" si="170"/>
        <v>0</v>
      </c>
      <c r="T414" s="1">
        <f t="shared" si="171"/>
        <v>0</v>
      </c>
      <c r="U414" s="1">
        <f t="shared" si="172"/>
        <v>0</v>
      </c>
      <c r="V414" s="1">
        <f t="shared" si="173"/>
        <v>0</v>
      </c>
      <c r="W414" s="1">
        <f t="shared" si="174"/>
        <v>0</v>
      </c>
      <c r="X414" s="1">
        <f t="shared" si="175"/>
        <v>0</v>
      </c>
      <c r="Y414" s="1">
        <f t="shared" si="176"/>
        <v>0</v>
      </c>
      <c r="Z414" s="1">
        <f t="shared" si="177"/>
        <v>0</v>
      </c>
      <c r="AA414" s="1">
        <f t="shared" si="178"/>
        <v>1</v>
      </c>
      <c r="AB414" s="1">
        <f t="shared" si="179"/>
        <v>0</v>
      </c>
      <c r="AD414" s="1">
        <f t="shared" si="180"/>
        <v>0</v>
      </c>
      <c r="AE414" s="1">
        <f t="shared" si="181"/>
        <v>0</v>
      </c>
      <c r="AF414" s="1">
        <f t="shared" si="166"/>
        <v>0</v>
      </c>
      <c r="AG414" s="1">
        <f t="shared" si="167"/>
        <v>0</v>
      </c>
      <c r="AH414" s="1">
        <f t="shared" si="168"/>
        <v>0</v>
      </c>
      <c r="AI414" s="1">
        <f t="shared" si="169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1840</v>
      </c>
      <c r="E415" s="35" t="s">
        <v>1841</v>
      </c>
      <c r="F415" s="35" t="s">
        <v>1842</v>
      </c>
      <c r="G415" s="35" t="s">
        <v>208</v>
      </c>
      <c r="H415" s="35" t="s">
        <v>355</v>
      </c>
      <c r="I415" s="34" t="s">
        <v>30</v>
      </c>
      <c r="J415" s="34"/>
      <c r="K415" s="36" t="s">
        <v>707</v>
      </c>
      <c r="L415" s="36">
        <v>20</v>
      </c>
      <c r="M415" s="37" t="s">
        <v>1843</v>
      </c>
      <c r="N415" s="37" t="s">
        <v>1750</v>
      </c>
      <c r="O415" s="38">
        <v>1</v>
      </c>
      <c r="P415" s="38"/>
      <c r="Q415" s="35"/>
      <c r="S415" s="1">
        <f t="shared" si="170"/>
        <v>0</v>
      </c>
      <c r="T415" s="1">
        <f t="shared" si="171"/>
        <v>0</v>
      </c>
      <c r="U415" s="1">
        <f t="shared" si="172"/>
        <v>0</v>
      </c>
      <c r="V415" s="1">
        <f t="shared" si="173"/>
        <v>0</v>
      </c>
      <c r="W415" s="1">
        <f t="shared" si="174"/>
        <v>0</v>
      </c>
      <c r="X415" s="1">
        <f t="shared" si="175"/>
        <v>0</v>
      </c>
      <c r="Y415" s="1">
        <f t="shared" si="176"/>
        <v>0</v>
      </c>
      <c r="Z415" s="1">
        <f t="shared" si="177"/>
        <v>0</v>
      </c>
      <c r="AA415" s="1">
        <f t="shared" si="178"/>
        <v>0</v>
      </c>
      <c r="AB415" s="1">
        <f t="shared" si="179"/>
        <v>0</v>
      </c>
      <c r="AD415" s="1">
        <f t="shared" si="180"/>
        <v>0</v>
      </c>
      <c r="AE415" s="1">
        <f t="shared" si="181"/>
        <v>1</v>
      </c>
      <c r="AF415" s="1">
        <f t="shared" si="166"/>
        <v>0</v>
      </c>
      <c r="AG415" s="1">
        <f t="shared" si="167"/>
        <v>1</v>
      </c>
      <c r="AH415" s="1">
        <f t="shared" si="168"/>
        <v>0</v>
      </c>
      <c r="AI415" s="1">
        <f t="shared" si="169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1083</v>
      </c>
      <c r="E416" s="53" t="s">
        <v>546</v>
      </c>
      <c r="F416" s="53" t="s">
        <v>1064</v>
      </c>
      <c r="G416" s="53" t="s">
        <v>239</v>
      </c>
      <c r="H416" s="53" t="s">
        <v>355</v>
      </c>
      <c r="I416" s="52" t="s">
        <v>1065</v>
      </c>
      <c r="J416" s="52">
        <v>99</v>
      </c>
      <c r="K416" s="54" t="s">
        <v>959</v>
      </c>
      <c r="L416" s="54" t="s">
        <v>726</v>
      </c>
      <c r="M416" s="55" t="s">
        <v>1444</v>
      </c>
      <c r="N416" s="55" t="s">
        <v>1750</v>
      </c>
      <c r="O416" s="56">
        <v>1</v>
      </c>
      <c r="P416" s="56"/>
      <c r="Q416" s="53"/>
      <c r="S416" s="1">
        <f t="shared" ref="S416:S420" si="182">IF(J416=$S$7,1,0)</f>
        <v>0</v>
      </c>
      <c r="T416" s="1">
        <f t="shared" ref="T416:T420" si="183">IF(J416=$T$7,1,0)</f>
        <v>0</v>
      </c>
      <c r="U416" s="1">
        <f t="shared" ref="U416:U420" si="184">IF(J416=$U$7,1,0)</f>
        <v>0</v>
      </c>
      <c r="V416" s="1">
        <f t="shared" ref="V416:V420" si="185">IF(J416=$V$7,1,0)</f>
        <v>0</v>
      </c>
      <c r="W416" s="1">
        <f t="shared" ref="W416:W420" si="186">IF(J416=$W$7,1,0)</f>
        <v>0</v>
      </c>
      <c r="X416" s="1">
        <f t="shared" ref="X416:X420" si="187">IF(J416=$X$7,1,0)</f>
        <v>0</v>
      </c>
      <c r="Y416" s="1">
        <f t="shared" ref="Y416:Y420" si="188">IF(J416=$Y$7,1,0)</f>
        <v>0</v>
      </c>
      <c r="Z416" s="1">
        <f t="shared" ref="Z416:Z420" si="189">IF(J416=$Z$7,1,0)</f>
        <v>0</v>
      </c>
      <c r="AA416" s="1">
        <f t="shared" ref="AA416:AA420" si="190">IF(J416=$AA$7,1,0)</f>
        <v>0</v>
      </c>
      <c r="AB416" s="1">
        <f t="shared" ref="AB416:AB420" si="191">IF(J416=$AB$7,1,0)</f>
        <v>0</v>
      </c>
      <c r="AD416" s="1">
        <f t="shared" ref="AD416:AD420" si="192">+O416*P416</f>
        <v>0</v>
      </c>
      <c r="AE416" s="1">
        <f t="shared" ref="AE416:AE420" si="193">O416*(1-P416)</f>
        <v>1</v>
      </c>
      <c r="AF416" s="1">
        <f t="shared" ref="AF416:AF420" si="194">+O416*P416*(1-A416)</f>
        <v>0</v>
      </c>
      <c r="AG416" s="1">
        <f t="shared" ref="AG416:AG420" si="195">O416*(1-P416)*(1-A416)</f>
        <v>1</v>
      </c>
      <c r="AH416" s="1">
        <f t="shared" ref="AH416:AH420" si="196">+P416*(1-A416)</f>
        <v>0</v>
      </c>
      <c r="AI416" s="1">
        <f t="shared" ref="AI416:AI420" si="197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1233</v>
      </c>
      <c r="E417" s="35" t="s">
        <v>157</v>
      </c>
      <c r="F417" s="35" t="s">
        <v>1234</v>
      </c>
      <c r="G417" s="35" t="s">
        <v>252</v>
      </c>
      <c r="H417" s="35" t="s">
        <v>355</v>
      </c>
      <c r="I417" s="34" t="s">
        <v>1235</v>
      </c>
      <c r="J417" s="34">
        <v>99</v>
      </c>
      <c r="K417" s="36" t="s">
        <v>717</v>
      </c>
      <c r="L417" s="36">
        <v>10</v>
      </c>
      <c r="M417" s="37" t="s">
        <v>1753</v>
      </c>
      <c r="N417" s="37" t="s">
        <v>1734</v>
      </c>
      <c r="O417" s="38">
        <v>1</v>
      </c>
      <c r="P417" s="38">
        <v>1</v>
      </c>
      <c r="Q417" s="35"/>
      <c r="S417" s="1">
        <f t="shared" si="182"/>
        <v>0</v>
      </c>
      <c r="T417" s="1">
        <f t="shared" si="183"/>
        <v>0</v>
      </c>
      <c r="U417" s="1">
        <f t="shared" si="184"/>
        <v>0</v>
      </c>
      <c r="V417" s="1">
        <f t="shared" si="185"/>
        <v>0</v>
      </c>
      <c r="W417" s="1">
        <f t="shared" si="186"/>
        <v>0</v>
      </c>
      <c r="X417" s="1">
        <f t="shared" si="187"/>
        <v>0</v>
      </c>
      <c r="Y417" s="1">
        <f t="shared" si="188"/>
        <v>0</v>
      </c>
      <c r="Z417" s="1">
        <f t="shared" si="189"/>
        <v>0</v>
      </c>
      <c r="AA417" s="1">
        <f t="shared" si="190"/>
        <v>0</v>
      </c>
      <c r="AB417" s="1">
        <f t="shared" si="191"/>
        <v>0</v>
      </c>
      <c r="AD417" s="1">
        <f t="shared" si="192"/>
        <v>1</v>
      </c>
      <c r="AE417" s="1">
        <f t="shared" si="193"/>
        <v>0</v>
      </c>
      <c r="AF417" s="1">
        <f t="shared" si="194"/>
        <v>1</v>
      </c>
      <c r="AG417" s="1">
        <f t="shared" si="195"/>
        <v>0</v>
      </c>
      <c r="AH417" s="1">
        <f t="shared" si="196"/>
        <v>1</v>
      </c>
      <c r="AI417" s="1">
        <f t="shared" si="197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1810</v>
      </c>
      <c r="E418" s="39" t="s">
        <v>28</v>
      </c>
      <c r="F418" s="39" t="s">
        <v>1811</v>
      </c>
      <c r="G418" s="39" t="s">
        <v>181</v>
      </c>
      <c r="H418" s="39" t="s">
        <v>355</v>
      </c>
      <c r="I418" s="40" t="s">
        <v>1812</v>
      </c>
      <c r="J418" s="34">
        <v>10</v>
      </c>
      <c r="K418" s="36" t="s">
        <v>707</v>
      </c>
      <c r="L418" s="36">
        <v>10</v>
      </c>
      <c r="M418" s="37"/>
      <c r="N418" s="37" t="s">
        <v>1734</v>
      </c>
      <c r="O418" s="38">
        <v>1</v>
      </c>
      <c r="P418" s="38">
        <v>1</v>
      </c>
      <c r="Q418" s="39"/>
      <c r="S418" s="1">
        <f t="shared" si="182"/>
        <v>0</v>
      </c>
      <c r="T418" s="1">
        <f t="shared" si="183"/>
        <v>0</v>
      </c>
      <c r="U418" s="1">
        <f t="shared" si="184"/>
        <v>0</v>
      </c>
      <c r="V418" s="1">
        <f t="shared" si="185"/>
        <v>0</v>
      </c>
      <c r="W418" s="1">
        <f t="shared" si="186"/>
        <v>0</v>
      </c>
      <c r="X418" s="1">
        <f t="shared" si="187"/>
        <v>0</v>
      </c>
      <c r="Y418" s="1">
        <f t="shared" si="188"/>
        <v>0</v>
      </c>
      <c r="Z418" s="1">
        <f t="shared" si="189"/>
        <v>0</v>
      </c>
      <c r="AA418" s="1">
        <f t="shared" si="190"/>
        <v>0</v>
      </c>
      <c r="AB418" s="1">
        <f t="shared" si="191"/>
        <v>1</v>
      </c>
      <c r="AD418" s="1">
        <f t="shared" si="192"/>
        <v>1</v>
      </c>
      <c r="AE418" s="1">
        <f t="shared" si="193"/>
        <v>0</v>
      </c>
      <c r="AF418" s="1">
        <f t="shared" si="194"/>
        <v>1</v>
      </c>
      <c r="AG418" s="1">
        <f t="shared" si="195"/>
        <v>0</v>
      </c>
      <c r="AH418" s="1">
        <f t="shared" si="196"/>
        <v>1</v>
      </c>
      <c r="AI418" s="1">
        <f t="shared" si="197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1592</v>
      </c>
      <c r="E419" s="39" t="s">
        <v>1658</v>
      </c>
      <c r="F419" s="39" t="s">
        <v>1593</v>
      </c>
      <c r="G419" s="39" t="s">
        <v>659</v>
      </c>
      <c r="H419" s="39" t="s">
        <v>355</v>
      </c>
      <c r="I419" s="40" t="s">
        <v>1594</v>
      </c>
      <c r="J419" s="40">
        <v>99</v>
      </c>
      <c r="K419" s="36" t="s">
        <v>717</v>
      </c>
      <c r="L419" s="36" t="s">
        <v>39</v>
      </c>
      <c r="M419" s="37" t="s">
        <v>39</v>
      </c>
      <c r="N419" s="37" t="s">
        <v>1734</v>
      </c>
      <c r="O419" s="38">
        <v>1</v>
      </c>
      <c r="P419" s="38">
        <v>1</v>
      </c>
      <c r="Q419" s="39"/>
      <c r="S419" s="1">
        <f t="shared" si="182"/>
        <v>0</v>
      </c>
      <c r="T419" s="1">
        <f t="shared" si="183"/>
        <v>0</v>
      </c>
      <c r="U419" s="1">
        <f t="shared" si="184"/>
        <v>0</v>
      </c>
      <c r="V419" s="1">
        <f t="shared" si="185"/>
        <v>0</v>
      </c>
      <c r="W419" s="1">
        <f t="shared" si="186"/>
        <v>0</v>
      </c>
      <c r="X419" s="1">
        <f t="shared" si="187"/>
        <v>0</v>
      </c>
      <c r="Y419" s="1">
        <f t="shared" si="188"/>
        <v>0</v>
      </c>
      <c r="Z419" s="1">
        <f t="shared" si="189"/>
        <v>0</v>
      </c>
      <c r="AA419" s="1">
        <f t="shared" si="190"/>
        <v>0</v>
      </c>
      <c r="AB419" s="1">
        <f t="shared" si="191"/>
        <v>0</v>
      </c>
      <c r="AD419" s="1">
        <f t="shared" si="192"/>
        <v>1</v>
      </c>
      <c r="AE419" s="1">
        <f t="shared" si="193"/>
        <v>0</v>
      </c>
      <c r="AF419" s="1">
        <f t="shared" si="194"/>
        <v>1</v>
      </c>
      <c r="AG419" s="1">
        <f t="shared" si="195"/>
        <v>0</v>
      </c>
      <c r="AH419" s="1">
        <f t="shared" si="196"/>
        <v>1</v>
      </c>
      <c r="AI419" s="1">
        <f t="shared" si="197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1544</v>
      </c>
      <c r="E420" s="48" t="s">
        <v>28</v>
      </c>
      <c r="F420" s="48" t="s">
        <v>1669</v>
      </c>
      <c r="G420" s="48" t="s">
        <v>288</v>
      </c>
      <c r="H420" s="48" t="s">
        <v>355</v>
      </c>
      <c r="I420" s="47" t="s">
        <v>1695</v>
      </c>
      <c r="J420" s="47">
        <v>99</v>
      </c>
      <c r="K420" s="49" t="s">
        <v>717</v>
      </c>
      <c r="L420" s="49" t="s">
        <v>717</v>
      </c>
      <c r="M420" s="50" t="s">
        <v>735</v>
      </c>
      <c r="N420" s="50" t="s">
        <v>1742</v>
      </c>
      <c r="O420" s="51"/>
      <c r="P420" s="51"/>
      <c r="Q420" s="48"/>
      <c r="S420" s="1">
        <f t="shared" si="182"/>
        <v>0</v>
      </c>
      <c r="T420" s="1">
        <f t="shared" si="183"/>
        <v>0</v>
      </c>
      <c r="U420" s="1">
        <f t="shared" si="184"/>
        <v>0</v>
      </c>
      <c r="V420" s="1">
        <f t="shared" si="185"/>
        <v>0</v>
      </c>
      <c r="W420" s="1">
        <f t="shared" si="186"/>
        <v>0</v>
      </c>
      <c r="X420" s="1">
        <f t="shared" si="187"/>
        <v>0</v>
      </c>
      <c r="Y420" s="1">
        <f t="shared" si="188"/>
        <v>0</v>
      </c>
      <c r="Z420" s="1">
        <f t="shared" si="189"/>
        <v>0</v>
      </c>
      <c r="AA420" s="1">
        <f t="shared" si="190"/>
        <v>0</v>
      </c>
      <c r="AB420" s="1">
        <f t="shared" si="191"/>
        <v>0</v>
      </c>
      <c r="AD420" s="1">
        <f t="shared" si="192"/>
        <v>0</v>
      </c>
      <c r="AE420" s="1">
        <f t="shared" si="193"/>
        <v>0</v>
      </c>
      <c r="AF420" s="1">
        <f t="shared" si="194"/>
        <v>0</v>
      </c>
      <c r="AG420" s="1">
        <f t="shared" si="195"/>
        <v>0</v>
      </c>
      <c r="AH420" s="1">
        <f t="shared" si="196"/>
        <v>0</v>
      </c>
      <c r="AI420" s="1">
        <f t="shared" si="197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1335</v>
      </c>
      <c r="E421" s="48" t="s">
        <v>28</v>
      </c>
      <c r="F421" s="48" t="s">
        <v>574</v>
      </c>
      <c r="G421" s="48" t="s">
        <v>182</v>
      </c>
      <c r="H421" s="48" t="s">
        <v>355</v>
      </c>
      <c r="I421" s="47" t="s">
        <v>431</v>
      </c>
      <c r="J421" s="47">
        <v>7</v>
      </c>
      <c r="K421" s="49" t="s">
        <v>716</v>
      </c>
      <c r="L421" s="49" t="s">
        <v>717</v>
      </c>
      <c r="M421" s="50" t="s">
        <v>735</v>
      </c>
      <c r="N421" s="50" t="s">
        <v>1742</v>
      </c>
      <c r="O421" s="51"/>
      <c r="P421" s="51"/>
      <c r="Q421" s="48"/>
      <c r="S421" s="1">
        <f t="shared" si="170"/>
        <v>0</v>
      </c>
      <c r="T421" s="1">
        <f t="shared" si="171"/>
        <v>0</v>
      </c>
      <c r="U421" s="1">
        <f t="shared" si="172"/>
        <v>0</v>
      </c>
      <c r="V421" s="1">
        <f t="shared" si="173"/>
        <v>0</v>
      </c>
      <c r="W421" s="1">
        <f t="shared" si="174"/>
        <v>0</v>
      </c>
      <c r="X421" s="1">
        <f t="shared" si="175"/>
        <v>0</v>
      </c>
      <c r="Y421" s="1">
        <f t="shared" si="176"/>
        <v>1</v>
      </c>
      <c r="Z421" s="1">
        <f t="shared" si="177"/>
        <v>0</v>
      </c>
      <c r="AA421" s="1">
        <f t="shared" si="178"/>
        <v>0</v>
      </c>
      <c r="AB421" s="1">
        <f t="shared" si="179"/>
        <v>0</v>
      </c>
      <c r="AD421" s="1">
        <f t="shared" si="180"/>
        <v>0</v>
      </c>
      <c r="AE421" s="1">
        <f t="shared" si="181"/>
        <v>0</v>
      </c>
      <c r="AF421" s="1">
        <f t="shared" si="166"/>
        <v>0</v>
      </c>
      <c r="AG421" s="1">
        <f t="shared" si="167"/>
        <v>0</v>
      </c>
      <c r="AH421" s="1">
        <f t="shared" si="168"/>
        <v>0</v>
      </c>
      <c r="AI421" s="1">
        <f t="shared" si="169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1882</v>
      </c>
      <c r="G422" s="48" t="s">
        <v>236</v>
      </c>
      <c r="H422" s="48" t="s">
        <v>355</v>
      </c>
      <c r="I422" s="47" t="s">
        <v>683</v>
      </c>
      <c r="J422" s="47">
        <v>99</v>
      </c>
      <c r="K422" s="49" t="s">
        <v>717</v>
      </c>
      <c r="L422" s="49" t="s">
        <v>717</v>
      </c>
      <c r="M422" s="50" t="s">
        <v>735</v>
      </c>
      <c r="N422" s="50" t="s">
        <v>1742</v>
      </c>
      <c r="O422" s="51"/>
      <c r="P422" s="51"/>
      <c r="Q422" s="48"/>
      <c r="S422" s="1">
        <f t="shared" si="170"/>
        <v>0</v>
      </c>
      <c r="T422" s="1">
        <f t="shared" si="171"/>
        <v>0</v>
      </c>
      <c r="U422" s="1">
        <f t="shared" si="172"/>
        <v>0</v>
      </c>
      <c r="V422" s="1">
        <f t="shared" si="173"/>
        <v>0</v>
      </c>
      <c r="W422" s="1">
        <f t="shared" si="174"/>
        <v>0</v>
      </c>
      <c r="X422" s="1">
        <f t="shared" si="175"/>
        <v>0</v>
      </c>
      <c r="Y422" s="1">
        <f t="shared" si="176"/>
        <v>0</v>
      </c>
      <c r="Z422" s="1">
        <f t="shared" si="177"/>
        <v>0</v>
      </c>
      <c r="AA422" s="1">
        <f t="shared" si="178"/>
        <v>0</v>
      </c>
      <c r="AB422" s="1">
        <f t="shared" si="179"/>
        <v>0</v>
      </c>
      <c r="AD422" s="1">
        <f t="shared" si="180"/>
        <v>0</v>
      </c>
      <c r="AE422" s="1">
        <f t="shared" si="181"/>
        <v>0</v>
      </c>
      <c r="AF422" s="1">
        <f t="shared" si="166"/>
        <v>0</v>
      </c>
      <c r="AG422" s="1">
        <f t="shared" si="167"/>
        <v>0</v>
      </c>
      <c r="AH422" s="1">
        <f t="shared" si="168"/>
        <v>0</v>
      </c>
      <c r="AI422" s="1">
        <f t="shared" si="169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262</v>
      </c>
      <c r="G423" s="48" t="s">
        <v>221</v>
      </c>
      <c r="H423" s="48" t="s">
        <v>355</v>
      </c>
      <c r="I423" s="47" t="s">
        <v>421</v>
      </c>
      <c r="J423" s="47">
        <v>8</v>
      </c>
      <c r="K423" s="49" t="s">
        <v>717</v>
      </c>
      <c r="L423" s="49" t="s">
        <v>717</v>
      </c>
      <c r="M423" s="50" t="s">
        <v>735</v>
      </c>
      <c r="N423" s="50" t="s">
        <v>1742</v>
      </c>
      <c r="O423" s="51"/>
      <c r="P423" s="51"/>
      <c r="Q423" s="48"/>
      <c r="S423" s="1">
        <f t="shared" si="170"/>
        <v>0</v>
      </c>
      <c r="T423" s="1">
        <f t="shared" si="171"/>
        <v>0</v>
      </c>
      <c r="U423" s="1">
        <f t="shared" si="172"/>
        <v>0</v>
      </c>
      <c r="V423" s="1">
        <f t="shared" si="173"/>
        <v>0</v>
      </c>
      <c r="W423" s="1">
        <f t="shared" si="174"/>
        <v>0</v>
      </c>
      <c r="X423" s="1">
        <f t="shared" si="175"/>
        <v>0</v>
      </c>
      <c r="Y423" s="1">
        <f t="shared" si="176"/>
        <v>0</v>
      </c>
      <c r="Z423" s="1">
        <f t="shared" si="177"/>
        <v>1</v>
      </c>
      <c r="AA423" s="1">
        <f t="shared" si="178"/>
        <v>0</v>
      </c>
      <c r="AB423" s="1">
        <f t="shared" si="179"/>
        <v>0</v>
      </c>
      <c r="AD423" s="1">
        <f t="shared" si="180"/>
        <v>0</v>
      </c>
      <c r="AE423" s="1">
        <f t="shared" si="181"/>
        <v>0</v>
      </c>
      <c r="AF423" s="1">
        <f t="shared" si="166"/>
        <v>0</v>
      </c>
      <c r="AG423" s="1">
        <f t="shared" si="167"/>
        <v>0</v>
      </c>
      <c r="AH423" s="1">
        <f t="shared" si="168"/>
        <v>0</v>
      </c>
      <c r="AI423" s="1">
        <f t="shared" si="169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261</v>
      </c>
      <c r="G424" s="48" t="s">
        <v>179</v>
      </c>
      <c r="H424" s="48" t="s">
        <v>355</v>
      </c>
      <c r="I424" s="47" t="s">
        <v>420</v>
      </c>
      <c r="J424" s="47">
        <v>1</v>
      </c>
      <c r="K424" s="49" t="s">
        <v>717</v>
      </c>
      <c r="L424" s="49" t="s">
        <v>717</v>
      </c>
      <c r="M424" s="50" t="s">
        <v>735</v>
      </c>
      <c r="N424" s="50" t="s">
        <v>1742</v>
      </c>
      <c r="O424" s="51"/>
      <c r="P424" s="51"/>
      <c r="Q424" s="48"/>
      <c r="S424" s="1">
        <f t="shared" si="170"/>
        <v>1</v>
      </c>
      <c r="T424" s="1">
        <f t="shared" si="171"/>
        <v>0</v>
      </c>
      <c r="U424" s="1">
        <f t="shared" si="172"/>
        <v>0</v>
      </c>
      <c r="V424" s="1">
        <f t="shared" si="173"/>
        <v>0</v>
      </c>
      <c r="W424" s="1">
        <f t="shared" si="174"/>
        <v>0</v>
      </c>
      <c r="X424" s="1">
        <f t="shared" si="175"/>
        <v>0</v>
      </c>
      <c r="Y424" s="1">
        <f t="shared" si="176"/>
        <v>0</v>
      </c>
      <c r="Z424" s="1">
        <f t="shared" si="177"/>
        <v>0</v>
      </c>
      <c r="AA424" s="1">
        <f t="shared" si="178"/>
        <v>0</v>
      </c>
      <c r="AB424" s="1">
        <f t="shared" si="179"/>
        <v>0</v>
      </c>
      <c r="AD424" s="1">
        <f t="shared" si="180"/>
        <v>0</v>
      </c>
      <c r="AE424" s="1">
        <f t="shared" si="181"/>
        <v>0</v>
      </c>
      <c r="AF424" s="1">
        <f t="shared" si="166"/>
        <v>0</v>
      </c>
      <c r="AG424" s="1">
        <f t="shared" si="167"/>
        <v>0</v>
      </c>
      <c r="AH424" s="1">
        <f t="shared" si="168"/>
        <v>0</v>
      </c>
      <c r="AI424" s="1">
        <f t="shared" si="169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782</v>
      </c>
      <c r="E425" s="16" t="s">
        <v>28</v>
      </c>
      <c r="F425" s="16" t="s">
        <v>783</v>
      </c>
      <c r="G425" s="16" t="s">
        <v>280</v>
      </c>
      <c r="H425" s="16" t="s">
        <v>355</v>
      </c>
      <c r="I425" s="15" t="s">
        <v>784</v>
      </c>
      <c r="J425" s="15">
        <v>99</v>
      </c>
      <c r="K425" s="10" t="s">
        <v>717</v>
      </c>
      <c r="L425" s="10" t="s">
        <v>717</v>
      </c>
      <c r="M425" s="19" t="s">
        <v>735</v>
      </c>
      <c r="N425" s="17"/>
      <c r="Q425" s="16"/>
      <c r="S425" s="1">
        <f t="shared" si="170"/>
        <v>0</v>
      </c>
      <c r="T425" s="1">
        <f t="shared" si="171"/>
        <v>0</v>
      </c>
      <c r="U425" s="1">
        <f t="shared" si="172"/>
        <v>0</v>
      </c>
      <c r="V425" s="1">
        <f t="shared" si="173"/>
        <v>0</v>
      </c>
      <c r="W425" s="1">
        <f t="shared" si="174"/>
        <v>0</v>
      </c>
      <c r="X425" s="1">
        <f t="shared" si="175"/>
        <v>0</v>
      </c>
      <c r="Y425" s="1">
        <f t="shared" si="176"/>
        <v>0</v>
      </c>
      <c r="Z425" s="1">
        <f t="shared" si="177"/>
        <v>0</v>
      </c>
      <c r="AA425" s="1">
        <f t="shared" si="178"/>
        <v>0</v>
      </c>
      <c r="AB425" s="1">
        <f t="shared" si="179"/>
        <v>0</v>
      </c>
      <c r="AD425" s="1">
        <f t="shared" si="180"/>
        <v>0</v>
      </c>
      <c r="AE425" s="1">
        <f t="shared" si="181"/>
        <v>0</v>
      </c>
      <c r="AF425" s="1">
        <f t="shared" si="166"/>
        <v>0</v>
      </c>
      <c r="AG425" s="1">
        <f t="shared" si="167"/>
        <v>0</v>
      </c>
      <c r="AH425" s="1">
        <f t="shared" si="168"/>
        <v>0</v>
      </c>
      <c r="AI425" s="1">
        <f t="shared" si="169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279</v>
      </c>
      <c r="G426" s="16" t="s">
        <v>280</v>
      </c>
      <c r="H426" s="16" t="s">
        <v>355</v>
      </c>
      <c r="I426" s="15" t="s">
        <v>435</v>
      </c>
      <c r="J426" s="15">
        <v>99</v>
      </c>
      <c r="K426" s="10" t="s">
        <v>717</v>
      </c>
      <c r="L426" s="10" t="s">
        <v>717</v>
      </c>
      <c r="M426" s="19" t="s">
        <v>735</v>
      </c>
      <c r="N426" s="17"/>
      <c r="Q426" s="16"/>
      <c r="S426" s="1">
        <f t="shared" si="170"/>
        <v>0</v>
      </c>
      <c r="T426" s="1">
        <f t="shared" si="171"/>
        <v>0</v>
      </c>
      <c r="U426" s="1">
        <f t="shared" si="172"/>
        <v>0</v>
      </c>
      <c r="V426" s="1">
        <f t="shared" si="173"/>
        <v>0</v>
      </c>
      <c r="W426" s="1">
        <f t="shared" si="174"/>
        <v>0</v>
      </c>
      <c r="X426" s="1">
        <f t="shared" si="175"/>
        <v>0</v>
      </c>
      <c r="Y426" s="1">
        <f t="shared" si="176"/>
        <v>0</v>
      </c>
      <c r="Z426" s="1">
        <f t="shared" si="177"/>
        <v>0</v>
      </c>
      <c r="AA426" s="1">
        <f t="shared" si="178"/>
        <v>0</v>
      </c>
      <c r="AB426" s="1">
        <f t="shared" si="179"/>
        <v>0</v>
      </c>
      <c r="AD426" s="1">
        <f t="shared" si="180"/>
        <v>0</v>
      </c>
      <c r="AE426" s="1">
        <f t="shared" si="181"/>
        <v>0</v>
      </c>
      <c r="AF426" s="1">
        <f t="shared" si="166"/>
        <v>0</v>
      </c>
      <c r="AG426" s="1">
        <f t="shared" si="167"/>
        <v>0</v>
      </c>
      <c r="AH426" s="1">
        <f t="shared" si="168"/>
        <v>0</v>
      </c>
      <c r="AI426" s="1">
        <f t="shared" si="169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1944</v>
      </c>
      <c r="E427" s="39" t="s">
        <v>28</v>
      </c>
      <c r="F427" s="39" t="s">
        <v>1945</v>
      </c>
      <c r="G427" s="39" t="s">
        <v>186</v>
      </c>
      <c r="H427" s="39" t="s">
        <v>355</v>
      </c>
      <c r="I427" s="40" t="s">
        <v>1946</v>
      </c>
      <c r="J427" s="40">
        <v>99</v>
      </c>
      <c r="K427" s="36" t="s">
        <v>707</v>
      </c>
      <c r="L427" s="36">
        <v>4</v>
      </c>
      <c r="M427" s="37" t="s">
        <v>735</v>
      </c>
      <c r="N427" s="37" t="s">
        <v>1750</v>
      </c>
      <c r="O427" s="38">
        <v>1</v>
      </c>
      <c r="P427" s="38"/>
      <c r="Q427" s="39" t="s">
        <v>1947</v>
      </c>
      <c r="S427" s="1">
        <f t="shared" si="170"/>
        <v>0</v>
      </c>
      <c r="T427" s="1">
        <f t="shared" si="171"/>
        <v>0</v>
      </c>
      <c r="U427" s="1">
        <f t="shared" si="172"/>
        <v>0</v>
      </c>
      <c r="V427" s="1">
        <f t="shared" si="173"/>
        <v>0</v>
      </c>
      <c r="W427" s="1">
        <f t="shared" si="174"/>
        <v>0</v>
      </c>
      <c r="X427" s="1">
        <f t="shared" si="175"/>
        <v>0</v>
      </c>
      <c r="Y427" s="1">
        <f t="shared" si="176"/>
        <v>0</v>
      </c>
      <c r="Z427" s="1">
        <f t="shared" si="177"/>
        <v>0</v>
      </c>
      <c r="AA427" s="1">
        <f t="shared" si="178"/>
        <v>0</v>
      </c>
      <c r="AB427" s="1">
        <f t="shared" si="179"/>
        <v>0</v>
      </c>
      <c r="AD427" s="1">
        <f t="shared" si="180"/>
        <v>0</v>
      </c>
      <c r="AE427" s="1">
        <f t="shared" si="181"/>
        <v>1</v>
      </c>
      <c r="AF427" s="1">
        <f t="shared" si="166"/>
        <v>0</v>
      </c>
      <c r="AG427" s="1">
        <f t="shared" si="167"/>
        <v>1</v>
      </c>
      <c r="AH427" s="1">
        <f t="shared" si="168"/>
        <v>0</v>
      </c>
      <c r="AI427" s="1">
        <f t="shared" si="169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555</v>
      </c>
      <c r="E428" s="48" t="s">
        <v>28</v>
      </c>
      <c r="F428" s="68" t="s">
        <v>1883</v>
      </c>
      <c r="G428" s="48" t="s">
        <v>558</v>
      </c>
      <c r="H428" s="48" t="s">
        <v>355</v>
      </c>
      <c r="I428" s="47" t="s">
        <v>559</v>
      </c>
      <c r="J428" s="47">
        <v>99</v>
      </c>
      <c r="K428" s="49" t="s">
        <v>717</v>
      </c>
      <c r="L428" s="49" t="s">
        <v>717</v>
      </c>
      <c r="M428" s="50" t="s">
        <v>735</v>
      </c>
      <c r="N428" s="50" t="s">
        <v>1809</v>
      </c>
      <c r="O428" s="51"/>
      <c r="P428" s="51"/>
      <c r="Q428" s="48"/>
      <c r="S428" s="1">
        <f t="shared" si="170"/>
        <v>0</v>
      </c>
      <c r="T428" s="1">
        <f t="shared" si="171"/>
        <v>0</v>
      </c>
      <c r="U428" s="1">
        <f t="shared" si="172"/>
        <v>0</v>
      </c>
      <c r="V428" s="1">
        <f t="shared" si="173"/>
        <v>0</v>
      </c>
      <c r="W428" s="1">
        <f t="shared" si="174"/>
        <v>0</v>
      </c>
      <c r="X428" s="1">
        <f t="shared" si="175"/>
        <v>0</v>
      </c>
      <c r="Y428" s="1">
        <f t="shared" si="176"/>
        <v>0</v>
      </c>
      <c r="Z428" s="1">
        <f t="shared" si="177"/>
        <v>0</v>
      </c>
      <c r="AA428" s="1">
        <f t="shared" si="178"/>
        <v>0</v>
      </c>
      <c r="AB428" s="1">
        <f t="shared" si="179"/>
        <v>0</v>
      </c>
      <c r="AD428" s="1">
        <f t="shared" si="180"/>
        <v>0</v>
      </c>
      <c r="AE428" s="1">
        <f t="shared" si="181"/>
        <v>0</v>
      </c>
      <c r="AF428" s="1">
        <f t="shared" si="166"/>
        <v>0</v>
      </c>
      <c r="AG428" s="1">
        <f t="shared" si="167"/>
        <v>0</v>
      </c>
      <c r="AH428" s="1">
        <f t="shared" si="168"/>
        <v>0</v>
      </c>
      <c r="AI428" s="1">
        <f t="shared" si="169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555</v>
      </c>
      <c r="E429" s="48" t="s">
        <v>28</v>
      </c>
      <c r="F429" s="68" t="s">
        <v>1884</v>
      </c>
      <c r="G429" s="48" t="s">
        <v>556</v>
      </c>
      <c r="H429" s="48" t="s">
        <v>355</v>
      </c>
      <c r="I429" s="47" t="s">
        <v>557</v>
      </c>
      <c r="J429" s="47">
        <v>99</v>
      </c>
      <c r="K429" s="49" t="s">
        <v>717</v>
      </c>
      <c r="L429" s="49" t="s">
        <v>717</v>
      </c>
      <c r="M429" s="50" t="s">
        <v>735</v>
      </c>
      <c r="N429" s="50" t="s">
        <v>1809</v>
      </c>
      <c r="O429" s="51"/>
      <c r="P429" s="51"/>
      <c r="Q429" s="48"/>
      <c r="S429" s="1">
        <f t="shared" si="170"/>
        <v>0</v>
      </c>
      <c r="T429" s="1">
        <f t="shared" si="171"/>
        <v>0</v>
      </c>
      <c r="U429" s="1">
        <f t="shared" si="172"/>
        <v>0</v>
      </c>
      <c r="V429" s="1">
        <f t="shared" si="173"/>
        <v>0</v>
      </c>
      <c r="W429" s="1">
        <f t="shared" si="174"/>
        <v>0</v>
      </c>
      <c r="X429" s="1">
        <f t="shared" si="175"/>
        <v>0</v>
      </c>
      <c r="Y429" s="1">
        <f t="shared" si="176"/>
        <v>0</v>
      </c>
      <c r="Z429" s="1">
        <f t="shared" si="177"/>
        <v>0</v>
      </c>
      <c r="AA429" s="1">
        <f t="shared" si="178"/>
        <v>0</v>
      </c>
      <c r="AB429" s="1">
        <f t="shared" si="179"/>
        <v>0</v>
      </c>
      <c r="AD429" s="1">
        <f t="shared" si="180"/>
        <v>0</v>
      </c>
      <c r="AE429" s="1">
        <f t="shared" si="181"/>
        <v>0</v>
      </c>
      <c r="AF429" s="1">
        <f t="shared" si="166"/>
        <v>0</v>
      </c>
      <c r="AG429" s="1">
        <f t="shared" si="167"/>
        <v>0</v>
      </c>
      <c r="AH429" s="1">
        <f t="shared" si="168"/>
        <v>0</v>
      </c>
      <c r="AI429" s="1">
        <f t="shared" si="169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1192</v>
      </c>
      <c r="E430" s="48" t="s">
        <v>28</v>
      </c>
      <c r="F430" s="48" t="s">
        <v>1685</v>
      </c>
      <c r="G430" s="48" t="s">
        <v>236</v>
      </c>
      <c r="H430" s="48" t="s">
        <v>355</v>
      </c>
      <c r="I430" s="47" t="s">
        <v>1373</v>
      </c>
      <c r="J430" s="47">
        <v>99</v>
      </c>
      <c r="K430" s="49" t="s">
        <v>716</v>
      </c>
      <c r="L430" s="49" t="s">
        <v>717</v>
      </c>
      <c r="M430" s="50" t="s">
        <v>735</v>
      </c>
      <c r="N430" s="50" t="s">
        <v>1742</v>
      </c>
      <c r="O430" s="51"/>
      <c r="P430" s="51"/>
      <c r="Q430" s="48"/>
      <c r="S430" s="1">
        <f t="shared" si="170"/>
        <v>0</v>
      </c>
      <c r="T430" s="1">
        <f t="shared" si="171"/>
        <v>0</v>
      </c>
      <c r="U430" s="1">
        <f t="shared" si="172"/>
        <v>0</v>
      </c>
      <c r="V430" s="1">
        <f t="shared" si="173"/>
        <v>0</v>
      </c>
      <c r="W430" s="1">
        <f t="shared" si="174"/>
        <v>0</v>
      </c>
      <c r="X430" s="1">
        <f t="shared" si="175"/>
        <v>0</v>
      </c>
      <c r="Y430" s="1">
        <f t="shared" si="176"/>
        <v>0</v>
      </c>
      <c r="Z430" s="1">
        <f t="shared" si="177"/>
        <v>0</v>
      </c>
      <c r="AA430" s="1">
        <f t="shared" si="178"/>
        <v>0</v>
      </c>
      <c r="AB430" s="1">
        <f t="shared" si="179"/>
        <v>0</v>
      </c>
      <c r="AD430" s="1">
        <f t="shared" si="180"/>
        <v>0</v>
      </c>
      <c r="AE430" s="1">
        <f t="shared" si="181"/>
        <v>0</v>
      </c>
      <c r="AF430" s="1">
        <f t="shared" si="166"/>
        <v>0</v>
      </c>
      <c r="AG430" s="1">
        <f t="shared" si="167"/>
        <v>0</v>
      </c>
      <c r="AH430" s="1">
        <f t="shared" si="168"/>
        <v>0</v>
      </c>
      <c r="AI430" s="1">
        <f t="shared" si="169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1192</v>
      </c>
      <c r="E431" s="48" t="s">
        <v>28</v>
      </c>
      <c r="F431" s="48" t="s">
        <v>1686</v>
      </c>
      <c r="G431" s="48" t="s">
        <v>1359</v>
      </c>
      <c r="H431" s="48" t="s">
        <v>355</v>
      </c>
      <c r="I431" s="47" t="s">
        <v>1374</v>
      </c>
      <c r="J431" s="47">
        <v>99</v>
      </c>
      <c r="K431" s="49" t="s">
        <v>716</v>
      </c>
      <c r="L431" s="49" t="s">
        <v>717</v>
      </c>
      <c r="M431" s="50" t="s">
        <v>735</v>
      </c>
      <c r="N431" s="50" t="s">
        <v>1742</v>
      </c>
      <c r="O431" s="51"/>
      <c r="P431" s="51"/>
      <c r="Q431" s="48"/>
      <c r="S431" s="1">
        <f t="shared" si="170"/>
        <v>0</v>
      </c>
      <c r="T431" s="1">
        <f t="shared" si="171"/>
        <v>0</v>
      </c>
      <c r="U431" s="1">
        <f t="shared" si="172"/>
        <v>0</v>
      </c>
      <c r="V431" s="1">
        <f t="shared" si="173"/>
        <v>0</v>
      </c>
      <c r="W431" s="1">
        <f t="shared" si="174"/>
        <v>0</v>
      </c>
      <c r="X431" s="1">
        <f t="shared" si="175"/>
        <v>0</v>
      </c>
      <c r="Y431" s="1">
        <f t="shared" si="176"/>
        <v>0</v>
      </c>
      <c r="Z431" s="1">
        <f t="shared" si="177"/>
        <v>0</v>
      </c>
      <c r="AA431" s="1">
        <f t="shared" si="178"/>
        <v>0</v>
      </c>
      <c r="AB431" s="1">
        <f t="shared" si="179"/>
        <v>0</v>
      </c>
      <c r="AD431" s="1">
        <f t="shared" si="180"/>
        <v>0</v>
      </c>
      <c r="AE431" s="1">
        <f t="shared" si="181"/>
        <v>0</v>
      </c>
      <c r="AF431" s="1">
        <f t="shared" si="166"/>
        <v>0</v>
      </c>
      <c r="AG431" s="1">
        <f t="shared" si="167"/>
        <v>0</v>
      </c>
      <c r="AH431" s="1">
        <f t="shared" si="168"/>
        <v>0</v>
      </c>
      <c r="AI431" s="1">
        <f t="shared" si="169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1260</v>
      </c>
      <c r="E432" s="35" t="s">
        <v>28</v>
      </c>
      <c r="F432" s="35" t="s">
        <v>1259</v>
      </c>
      <c r="G432" s="35" t="s">
        <v>1244</v>
      </c>
      <c r="H432" s="35" t="s">
        <v>355</v>
      </c>
      <c r="I432" s="34" t="s">
        <v>1261</v>
      </c>
      <c r="J432" s="34">
        <v>99</v>
      </c>
      <c r="K432" s="36" t="s">
        <v>707</v>
      </c>
      <c r="L432" s="36" t="s">
        <v>717</v>
      </c>
      <c r="M432" s="37" t="s">
        <v>735</v>
      </c>
      <c r="N432" s="37" t="s">
        <v>1750</v>
      </c>
      <c r="O432" s="38">
        <v>1</v>
      </c>
      <c r="P432" s="38"/>
      <c r="Q432" s="35"/>
      <c r="S432" s="1">
        <f t="shared" si="170"/>
        <v>0</v>
      </c>
      <c r="T432" s="1">
        <f t="shared" si="171"/>
        <v>0</v>
      </c>
      <c r="U432" s="1">
        <f t="shared" si="172"/>
        <v>0</v>
      </c>
      <c r="V432" s="1">
        <f t="shared" si="173"/>
        <v>0</v>
      </c>
      <c r="W432" s="1">
        <f t="shared" si="174"/>
        <v>0</v>
      </c>
      <c r="X432" s="1">
        <f t="shared" si="175"/>
        <v>0</v>
      </c>
      <c r="Y432" s="1">
        <f t="shared" si="176"/>
        <v>0</v>
      </c>
      <c r="Z432" s="1">
        <f t="shared" si="177"/>
        <v>0</v>
      </c>
      <c r="AA432" s="1">
        <f t="shared" si="178"/>
        <v>0</v>
      </c>
      <c r="AB432" s="1">
        <f t="shared" si="179"/>
        <v>0</v>
      </c>
      <c r="AD432" s="1">
        <f t="shared" si="180"/>
        <v>0</v>
      </c>
      <c r="AE432" s="1">
        <f t="shared" si="181"/>
        <v>1</v>
      </c>
      <c r="AF432" s="1">
        <f t="shared" si="166"/>
        <v>0</v>
      </c>
      <c r="AG432" s="1">
        <f t="shared" si="167"/>
        <v>1</v>
      </c>
      <c r="AH432" s="1">
        <f t="shared" si="168"/>
        <v>0</v>
      </c>
      <c r="AI432" s="1">
        <f t="shared" si="169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1260</v>
      </c>
      <c r="E433" s="35" t="s">
        <v>28</v>
      </c>
      <c r="F433" s="35" t="s">
        <v>1258</v>
      </c>
      <c r="G433" s="35" t="s">
        <v>39</v>
      </c>
      <c r="H433" s="35" t="s">
        <v>355</v>
      </c>
      <c r="I433" s="34" t="s">
        <v>1262</v>
      </c>
      <c r="J433" s="34">
        <v>9</v>
      </c>
      <c r="K433" s="36" t="s">
        <v>707</v>
      </c>
      <c r="L433" s="36" t="s">
        <v>717</v>
      </c>
      <c r="M433" s="37" t="s">
        <v>735</v>
      </c>
      <c r="N433" s="37" t="s">
        <v>1750</v>
      </c>
      <c r="O433" s="38">
        <v>1</v>
      </c>
      <c r="P433" s="38"/>
      <c r="Q433" s="35"/>
      <c r="S433" s="1">
        <f t="shared" si="170"/>
        <v>0</v>
      </c>
      <c r="T433" s="1">
        <f t="shared" si="171"/>
        <v>0</v>
      </c>
      <c r="U433" s="1">
        <f t="shared" si="172"/>
        <v>0</v>
      </c>
      <c r="V433" s="1">
        <f t="shared" si="173"/>
        <v>0</v>
      </c>
      <c r="W433" s="1">
        <f t="shared" si="174"/>
        <v>0</v>
      </c>
      <c r="X433" s="1">
        <f t="shared" si="175"/>
        <v>0</v>
      </c>
      <c r="Y433" s="1">
        <f t="shared" si="176"/>
        <v>0</v>
      </c>
      <c r="Z433" s="1">
        <f t="shared" si="177"/>
        <v>0</v>
      </c>
      <c r="AA433" s="1">
        <f t="shared" si="178"/>
        <v>1</v>
      </c>
      <c r="AB433" s="1">
        <f t="shared" si="179"/>
        <v>0</v>
      </c>
      <c r="AD433" s="1">
        <f t="shared" si="180"/>
        <v>0</v>
      </c>
      <c r="AE433" s="1">
        <f t="shared" si="181"/>
        <v>1</v>
      </c>
      <c r="AF433" s="1">
        <f t="shared" si="166"/>
        <v>0</v>
      </c>
      <c r="AG433" s="1">
        <f t="shared" si="167"/>
        <v>0</v>
      </c>
      <c r="AH433" s="1">
        <f t="shared" si="168"/>
        <v>0</v>
      </c>
      <c r="AI433" s="1">
        <f t="shared" si="169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1260</v>
      </c>
      <c r="E434" s="35" t="s">
        <v>28</v>
      </c>
      <c r="F434" s="39" t="s">
        <v>1831</v>
      </c>
      <c r="G434" s="39" t="s">
        <v>259</v>
      </c>
      <c r="H434" s="35" t="s">
        <v>355</v>
      </c>
      <c r="I434" s="40" t="s">
        <v>30</v>
      </c>
      <c r="J434" s="34">
        <v>8</v>
      </c>
      <c r="K434" s="36" t="s">
        <v>707</v>
      </c>
      <c r="L434" s="36" t="s">
        <v>717</v>
      </c>
      <c r="M434" s="37" t="s">
        <v>735</v>
      </c>
      <c r="N434" s="37" t="s">
        <v>1750</v>
      </c>
      <c r="O434" s="38">
        <v>1</v>
      </c>
      <c r="P434" s="38"/>
      <c r="Q434" s="35"/>
      <c r="S434" s="1">
        <f t="shared" si="170"/>
        <v>0</v>
      </c>
      <c r="T434" s="1">
        <f t="shared" si="171"/>
        <v>0</v>
      </c>
      <c r="U434" s="1">
        <f t="shared" si="172"/>
        <v>0</v>
      </c>
      <c r="V434" s="1">
        <f t="shared" si="173"/>
        <v>0</v>
      </c>
      <c r="W434" s="1">
        <f t="shared" si="174"/>
        <v>0</v>
      </c>
      <c r="X434" s="1">
        <f t="shared" si="175"/>
        <v>0</v>
      </c>
      <c r="Y434" s="1">
        <f t="shared" si="176"/>
        <v>0</v>
      </c>
      <c r="Z434" s="1">
        <f t="shared" si="177"/>
        <v>1</v>
      </c>
      <c r="AA434" s="1">
        <f t="shared" si="178"/>
        <v>0</v>
      </c>
      <c r="AB434" s="1">
        <f t="shared" si="179"/>
        <v>0</v>
      </c>
      <c r="AD434" s="1">
        <f t="shared" si="180"/>
        <v>0</v>
      </c>
      <c r="AE434" s="1">
        <f t="shared" si="181"/>
        <v>1</v>
      </c>
      <c r="AF434" s="1">
        <f t="shared" si="166"/>
        <v>0</v>
      </c>
      <c r="AG434" s="1">
        <f t="shared" si="167"/>
        <v>0</v>
      </c>
      <c r="AH434" s="1">
        <f t="shared" si="168"/>
        <v>0</v>
      </c>
      <c r="AI434" s="1">
        <f t="shared" si="169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677</v>
      </c>
      <c r="G435" s="35" t="s">
        <v>186</v>
      </c>
      <c r="H435" s="35" t="s">
        <v>355</v>
      </c>
      <c r="I435" s="34" t="s">
        <v>391</v>
      </c>
      <c r="J435" s="34">
        <v>99</v>
      </c>
      <c r="K435" s="36" t="s">
        <v>716</v>
      </c>
      <c r="L435" s="36" t="s">
        <v>717</v>
      </c>
      <c r="M435" s="37" t="s">
        <v>735</v>
      </c>
      <c r="N435" s="37" t="s">
        <v>1756</v>
      </c>
      <c r="O435" s="38">
        <v>1</v>
      </c>
      <c r="P435" s="38"/>
      <c r="Q435" s="35"/>
      <c r="S435" s="1">
        <f t="shared" si="170"/>
        <v>0</v>
      </c>
      <c r="T435" s="1">
        <f t="shared" si="171"/>
        <v>0</v>
      </c>
      <c r="U435" s="1">
        <f t="shared" si="172"/>
        <v>0</v>
      </c>
      <c r="V435" s="1">
        <f t="shared" si="173"/>
        <v>0</v>
      </c>
      <c r="W435" s="1">
        <f t="shared" si="174"/>
        <v>0</v>
      </c>
      <c r="X435" s="1">
        <f t="shared" si="175"/>
        <v>0</v>
      </c>
      <c r="Y435" s="1">
        <f t="shared" si="176"/>
        <v>0</v>
      </c>
      <c r="Z435" s="1">
        <f t="shared" si="177"/>
        <v>0</v>
      </c>
      <c r="AA435" s="1">
        <f t="shared" si="178"/>
        <v>0</v>
      </c>
      <c r="AB435" s="1">
        <f t="shared" si="179"/>
        <v>0</v>
      </c>
      <c r="AD435" s="1">
        <f t="shared" si="180"/>
        <v>0</v>
      </c>
      <c r="AE435" s="1">
        <f t="shared" si="181"/>
        <v>1</v>
      </c>
      <c r="AF435" s="1">
        <f t="shared" si="166"/>
        <v>0</v>
      </c>
      <c r="AG435" s="1">
        <f t="shared" si="167"/>
        <v>1</v>
      </c>
      <c r="AH435" s="1">
        <f t="shared" si="168"/>
        <v>0</v>
      </c>
      <c r="AI435" s="1">
        <f t="shared" si="169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1085</v>
      </c>
      <c r="E436" s="48" t="s">
        <v>28</v>
      </c>
      <c r="F436" s="48" t="s">
        <v>1002</v>
      </c>
      <c r="G436" s="48" t="s">
        <v>241</v>
      </c>
      <c r="H436" s="48" t="s">
        <v>355</v>
      </c>
      <c r="I436" s="47" t="s">
        <v>1110</v>
      </c>
      <c r="J436" s="47">
        <v>1</v>
      </c>
      <c r="K436" s="49" t="s">
        <v>716</v>
      </c>
      <c r="L436" s="49" t="s">
        <v>717</v>
      </c>
      <c r="M436" s="50" t="s">
        <v>735</v>
      </c>
      <c r="N436" s="50" t="s">
        <v>1742</v>
      </c>
      <c r="O436" s="51"/>
      <c r="P436" s="51"/>
      <c r="Q436" s="48"/>
      <c r="S436" s="1">
        <f t="shared" si="170"/>
        <v>1</v>
      </c>
      <c r="T436" s="1">
        <f t="shared" si="171"/>
        <v>0</v>
      </c>
      <c r="U436" s="1">
        <f t="shared" si="172"/>
        <v>0</v>
      </c>
      <c r="V436" s="1">
        <f t="shared" si="173"/>
        <v>0</v>
      </c>
      <c r="W436" s="1">
        <f t="shared" si="174"/>
        <v>0</v>
      </c>
      <c r="X436" s="1">
        <f t="shared" si="175"/>
        <v>0</v>
      </c>
      <c r="Y436" s="1">
        <f t="shared" si="176"/>
        <v>0</v>
      </c>
      <c r="Z436" s="1">
        <f t="shared" si="177"/>
        <v>0</v>
      </c>
      <c r="AA436" s="1">
        <f t="shared" si="178"/>
        <v>0</v>
      </c>
      <c r="AB436" s="1">
        <f t="shared" si="179"/>
        <v>0</v>
      </c>
      <c r="AD436" s="1">
        <f t="shared" si="180"/>
        <v>0</v>
      </c>
      <c r="AE436" s="1">
        <f t="shared" si="181"/>
        <v>0</v>
      </c>
      <c r="AF436" s="1">
        <f t="shared" si="166"/>
        <v>0</v>
      </c>
      <c r="AG436" s="1">
        <f t="shared" si="167"/>
        <v>0</v>
      </c>
      <c r="AH436" s="1">
        <f t="shared" si="168"/>
        <v>0</v>
      </c>
      <c r="AI436" s="1">
        <f t="shared" si="169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1085</v>
      </c>
      <c r="E437" s="48" t="s">
        <v>28</v>
      </c>
      <c r="F437" s="48" t="s">
        <v>1003</v>
      </c>
      <c r="G437" s="48" t="s">
        <v>1103</v>
      </c>
      <c r="H437" s="48" t="s">
        <v>355</v>
      </c>
      <c r="I437" s="47" t="s">
        <v>1111</v>
      </c>
      <c r="J437" s="47">
        <v>1</v>
      </c>
      <c r="K437" s="49" t="s">
        <v>716</v>
      </c>
      <c r="L437" s="49" t="s">
        <v>717</v>
      </c>
      <c r="M437" s="50" t="s">
        <v>735</v>
      </c>
      <c r="N437" s="50" t="s">
        <v>1742</v>
      </c>
      <c r="O437" s="51"/>
      <c r="P437" s="51"/>
      <c r="Q437" s="48"/>
      <c r="S437" s="1">
        <f t="shared" si="170"/>
        <v>1</v>
      </c>
      <c r="T437" s="1">
        <f t="shared" si="171"/>
        <v>0</v>
      </c>
      <c r="U437" s="1">
        <f t="shared" si="172"/>
        <v>0</v>
      </c>
      <c r="V437" s="1">
        <f t="shared" si="173"/>
        <v>0</v>
      </c>
      <c r="W437" s="1">
        <f t="shared" si="174"/>
        <v>0</v>
      </c>
      <c r="X437" s="1">
        <f t="shared" si="175"/>
        <v>0</v>
      </c>
      <c r="Y437" s="1">
        <f t="shared" si="176"/>
        <v>0</v>
      </c>
      <c r="Z437" s="1">
        <f t="shared" si="177"/>
        <v>0</v>
      </c>
      <c r="AA437" s="1">
        <f t="shared" si="178"/>
        <v>0</v>
      </c>
      <c r="AB437" s="1">
        <f t="shared" si="179"/>
        <v>0</v>
      </c>
      <c r="AD437" s="1">
        <f t="shared" si="180"/>
        <v>0</v>
      </c>
      <c r="AE437" s="1">
        <f t="shared" si="181"/>
        <v>0</v>
      </c>
      <c r="AF437" s="1">
        <f t="shared" si="166"/>
        <v>0</v>
      </c>
      <c r="AG437" s="1">
        <f t="shared" si="167"/>
        <v>0</v>
      </c>
      <c r="AH437" s="1">
        <f t="shared" si="168"/>
        <v>0</v>
      </c>
      <c r="AI437" s="1">
        <f t="shared" si="169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1645</v>
      </c>
      <c r="E438" s="35" t="s">
        <v>157</v>
      </c>
      <c r="F438" s="35" t="s">
        <v>1498</v>
      </c>
      <c r="G438" s="35" t="s">
        <v>1499</v>
      </c>
      <c r="H438" s="35" t="s">
        <v>355</v>
      </c>
      <c r="I438" s="34" t="s">
        <v>1500</v>
      </c>
      <c r="J438" s="34">
        <v>99</v>
      </c>
      <c r="K438" s="36" t="s">
        <v>959</v>
      </c>
      <c r="L438" s="36" t="s">
        <v>726</v>
      </c>
      <c r="M438" s="37" t="s">
        <v>736</v>
      </c>
      <c r="N438" s="37" t="s">
        <v>1755</v>
      </c>
      <c r="O438" s="38">
        <v>1</v>
      </c>
      <c r="P438" s="38"/>
      <c r="Q438" s="35"/>
      <c r="S438" s="1">
        <f t="shared" si="170"/>
        <v>0</v>
      </c>
      <c r="T438" s="1">
        <f t="shared" si="171"/>
        <v>0</v>
      </c>
      <c r="U438" s="1">
        <f t="shared" si="172"/>
        <v>0</v>
      </c>
      <c r="V438" s="1">
        <f t="shared" si="173"/>
        <v>0</v>
      </c>
      <c r="W438" s="1">
        <f t="shared" si="174"/>
        <v>0</v>
      </c>
      <c r="X438" s="1">
        <f t="shared" si="175"/>
        <v>0</v>
      </c>
      <c r="Y438" s="1">
        <f t="shared" si="176"/>
        <v>0</v>
      </c>
      <c r="Z438" s="1">
        <f t="shared" si="177"/>
        <v>0</v>
      </c>
      <c r="AA438" s="1">
        <f t="shared" si="178"/>
        <v>0</v>
      </c>
      <c r="AB438" s="1">
        <f t="shared" si="179"/>
        <v>0</v>
      </c>
      <c r="AD438" s="1">
        <f t="shared" si="180"/>
        <v>0</v>
      </c>
      <c r="AE438" s="1">
        <f t="shared" si="181"/>
        <v>1</v>
      </c>
      <c r="AF438" s="1">
        <f t="shared" si="166"/>
        <v>0</v>
      </c>
      <c r="AG438" s="1">
        <f t="shared" si="167"/>
        <v>1</v>
      </c>
      <c r="AH438" s="1">
        <f t="shared" si="168"/>
        <v>0</v>
      </c>
      <c r="AI438" s="1">
        <f t="shared" si="169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275</v>
      </c>
      <c r="G439" s="48" t="s">
        <v>276</v>
      </c>
      <c r="H439" s="48" t="s">
        <v>355</v>
      </c>
      <c r="I439" s="47" t="s">
        <v>430</v>
      </c>
      <c r="J439" s="47">
        <v>7</v>
      </c>
      <c r="K439" s="49" t="s">
        <v>959</v>
      </c>
      <c r="L439" s="49" t="s">
        <v>958</v>
      </c>
      <c r="M439" s="50" t="s">
        <v>972</v>
      </c>
      <c r="N439" s="50" t="s">
        <v>1816</v>
      </c>
      <c r="O439" s="51"/>
      <c r="P439" s="51"/>
      <c r="Q439" s="48"/>
      <c r="S439" s="1">
        <f t="shared" si="170"/>
        <v>0</v>
      </c>
      <c r="T439" s="1">
        <f t="shared" si="171"/>
        <v>0</v>
      </c>
      <c r="U439" s="1">
        <f t="shared" si="172"/>
        <v>0</v>
      </c>
      <c r="V439" s="1">
        <f t="shared" si="173"/>
        <v>0</v>
      </c>
      <c r="W439" s="1">
        <f t="shared" si="174"/>
        <v>0</v>
      </c>
      <c r="X439" s="1">
        <f t="shared" si="175"/>
        <v>0</v>
      </c>
      <c r="Y439" s="1">
        <f t="shared" si="176"/>
        <v>1</v>
      </c>
      <c r="Z439" s="1">
        <f t="shared" si="177"/>
        <v>0</v>
      </c>
      <c r="AA439" s="1">
        <f t="shared" si="178"/>
        <v>0</v>
      </c>
      <c r="AB439" s="1">
        <f t="shared" si="179"/>
        <v>0</v>
      </c>
      <c r="AD439" s="1">
        <f t="shared" si="180"/>
        <v>0</v>
      </c>
      <c r="AE439" s="1">
        <f t="shared" si="181"/>
        <v>0</v>
      </c>
      <c r="AF439" s="1">
        <f t="shared" si="166"/>
        <v>0</v>
      </c>
      <c r="AG439" s="1">
        <f t="shared" si="167"/>
        <v>0</v>
      </c>
      <c r="AH439" s="1">
        <f t="shared" si="168"/>
        <v>0</v>
      </c>
      <c r="AI439" s="1">
        <f t="shared" si="169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1688</v>
      </c>
      <c r="G440" s="48" t="s">
        <v>191</v>
      </c>
      <c r="H440" s="48" t="s">
        <v>355</v>
      </c>
      <c r="I440" s="47" t="s">
        <v>424</v>
      </c>
      <c r="J440" s="47">
        <v>99</v>
      </c>
      <c r="K440" s="49" t="s">
        <v>958</v>
      </c>
      <c r="L440" s="49" t="s">
        <v>717</v>
      </c>
      <c r="M440" s="50" t="s">
        <v>735</v>
      </c>
      <c r="N440" s="50" t="s">
        <v>1742</v>
      </c>
      <c r="O440" s="51"/>
      <c r="P440" s="51"/>
      <c r="Q440" s="48"/>
      <c r="S440" s="1">
        <f t="shared" si="170"/>
        <v>0</v>
      </c>
      <c r="T440" s="1">
        <f t="shared" si="171"/>
        <v>0</v>
      </c>
      <c r="U440" s="1">
        <f t="shared" si="172"/>
        <v>0</v>
      </c>
      <c r="V440" s="1">
        <f t="shared" si="173"/>
        <v>0</v>
      </c>
      <c r="W440" s="1">
        <f t="shared" si="174"/>
        <v>0</v>
      </c>
      <c r="X440" s="1">
        <f t="shared" si="175"/>
        <v>0</v>
      </c>
      <c r="Y440" s="1">
        <f t="shared" si="176"/>
        <v>0</v>
      </c>
      <c r="Z440" s="1">
        <f t="shared" si="177"/>
        <v>0</v>
      </c>
      <c r="AA440" s="1">
        <f t="shared" si="178"/>
        <v>0</v>
      </c>
      <c r="AB440" s="1">
        <f t="shared" si="179"/>
        <v>0</v>
      </c>
      <c r="AD440" s="1">
        <f t="shared" si="180"/>
        <v>0</v>
      </c>
      <c r="AE440" s="1">
        <f t="shared" si="181"/>
        <v>0</v>
      </c>
      <c r="AF440" s="1">
        <f t="shared" si="166"/>
        <v>0</v>
      </c>
      <c r="AG440" s="1">
        <f t="shared" si="167"/>
        <v>0</v>
      </c>
      <c r="AH440" s="1">
        <f t="shared" si="168"/>
        <v>0</v>
      </c>
      <c r="AI440" s="1">
        <f t="shared" si="169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1647</v>
      </c>
      <c r="E441" s="35" t="s">
        <v>164</v>
      </c>
      <c r="F441" s="35" t="s">
        <v>245</v>
      </c>
      <c r="G441" s="35" t="s">
        <v>219</v>
      </c>
      <c r="H441" s="35" t="s">
        <v>355</v>
      </c>
      <c r="I441" s="34" t="s">
        <v>409</v>
      </c>
      <c r="J441" s="34">
        <v>99</v>
      </c>
      <c r="K441" s="36" t="s">
        <v>717</v>
      </c>
      <c r="L441" s="36" t="s">
        <v>726</v>
      </c>
      <c r="M441" s="37" t="s">
        <v>736</v>
      </c>
      <c r="N441" s="37" t="s">
        <v>1734</v>
      </c>
      <c r="O441" s="38">
        <v>1</v>
      </c>
      <c r="P441" s="38">
        <v>1</v>
      </c>
      <c r="Q441" s="35"/>
      <c r="S441" s="1">
        <f t="shared" si="170"/>
        <v>0</v>
      </c>
      <c r="T441" s="1">
        <f t="shared" si="171"/>
        <v>0</v>
      </c>
      <c r="U441" s="1">
        <f t="shared" si="172"/>
        <v>0</v>
      </c>
      <c r="V441" s="1">
        <f t="shared" si="173"/>
        <v>0</v>
      </c>
      <c r="W441" s="1">
        <f t="shared" si="174"/>
        <v>0</v>
      </c>
      <c r="X441" s="1">
        <f t="shared" si="175"/>
        <v>0</v>
      </c>
      <c r="Y441" s="1">
        <f t="shared" si="176"/>
        <v>0</v>
      </c>
      <c r="Z441" s="1">
        <f t="shared" si="177"/>
        <v>0</v>
      </c>
      <c r="AA441" s="1">
        <f t="shared" si="178"/>
        <v>0</v>
      </c>
      <c r="AB441" s="1">
        <f t="shared" si="179"/>
        <v>0</v>
      </c>
      <c r="AD441" s="1">
        <f t="shared" si="180"/>
        <v>1</v>
      </c>
      <c r="AE441" s="1">
        <f t="shared" si="181"/>
        <v>0</v>
      </c>
      <c r="AF441" s="1">
        <f t="shared" si="166"/>
        <v>1</v>
      </c>
      <c r="AG441" s="1">
        <f t="shared" si="167"/>
        <v>0</v>
      </c>
      <c r="AH441" s="1">
        <f t="shared" si="168"/>
        <v>1</v>
      </c>
      <c r="AI441" s="1">
        <f t="shared" si="169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1545</v>
      </c>
      <c r="E442" s="35" t="s">
        <v>157</v>
      </c>
      <c r="F442" s="35" t="s">
        <v>1546</v>
      </c>
      <c r="G442" s="35" t="s">
        <v>39</v>
      </c>
      <c r="H442" s="35" t="s">
        <v>355</v>
      </c>
      <c r="I442" s="34" t="s">
        <v>1547</v>
      </c>
      <c r="J442" s="34">
        <v>99</v>
      </c>
      <c r="K442" s="36" t="s">
        <v>717</v>
      </c>
      <c r="L442" s="36" t="s">
        <v>726</v>
      </c>
      <c r="M442" s="37" t="s">
        <v>736</v>
      </c>
      <c r="N442" s="37" t="s">
        <v>1755</v>
      </c>
      <c r="O442" s="38">
        <v>1</v>
      </c>
      <c r="P442" s="38"/>
      <c r="Q442" s="35"/>
      <c r="S442" s="1">
        <f t="shared" si="170"/>
        <v>0</v>
      </c>
      <c r="T442" s="1">
        <f t="shared" si="171"/>
        <v>0</v>
      </c>
      <c r="U442" s="1">
        <f t="shared" si="172"/>
        <v>0</v>
      </c>
      <c r="V442" s="1">
        <f t="shared" si="173"/>
        <v>0</v>
      </c>
      <c r="W442" s="1">
        <f t="shared" si="174"/>
        <v>0</v>
      </c>
      <c r="X442" s="1">
        <f t="shared" si="175"/>
        <v>0</v>
      </c>
      <c r="Y442" s="1">
        <f t="shared" si="176"/>
        <v>0</v>
      </c>
      <c r="Z442" s="1">
        <f t="shared" si="177"/>
        <v>0</v>
      </c>
      <c r="AA442" s="1">
        <f t="shared" si="178"/>
        <v>0</v>
      </c>
      <c r="AB442" s="1">
        <f t="shared" si="179"/>
        <v>0</v>
      </c>
      <c r="AD442" s="1">
        <f t="shared" si="180"/>
        <v>0</v>
      </c>
      <c r="AE442" s="1">
        <f t="shared" si="181"/>
        <v>1</v>
      </c>
      <c r="AF442" s="1">
        <f t="shared" si="166"/>
        <v>0</v>
      </c>
      <c r="AG442" s="1">
        <f t="shared" si="167"/>
        <v>1</v>
      </c>
      <c r="AH442" s="1">
        <f t="shared" si="168"/>
        <v>0</v>
      </c>
      <c r="AI442" s="1">
        <f t="shared" si="169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1269</v>
      </c>
      <c r="E443" s="48" t="s">
        <v>1531</v>
      </c>
      <c r="F443" s="48" t="s">
        <v>1362</v>
      </c>
      <c r="G443" s="48" t="s">
        <v>187</v>
      </c>
      <c r="H443" s="48" t="s">
        <v>355</v>
      </c>
      <c r="I443" s="47" t="s">
        <v>1375</v>
      </c>
      <c r="J443" s="47">
        <v>1</v>
      </c>
      <c r="K443" s="49" t="s">
        <v>717</v>
      </c>
      <c r="L443" s="49" t="s">
        <v>720</v>
      </c>
      <c r="M443" s="50" t="s">
        <v>1445</v>
      </c>
      <c r="N443" s="50" t="s">
        <v>1742</v>
      </c>
      <c r="O443" s="51"/>
      <c r="P443" s="51"/>
      <c r="Q443" s="48"/>
      <c r="S443" s="1">
        <f t="shared" si="170"/>
        <v>1</v>
      </c>
      <c r="T443" s="1">
        <f t="shared" si="171"/>
        <v>0</v>
      </c>
      <c r="U443" s="1">
        <f t="shared" si="172"/>
        <v>0</v>
      </c>
      <c r="V443" s="1">
        <f t="shared" si="173"/>
        <v>0</v>
      </c>
      <c r="W443" s="1">
        <f t="shared" si="174"/>
        <v>0</v>
      </c>
      <c r="X443" s="1">
        <f t="shared" si="175"/>
        <v>0</v>
      </c>
      <c r="Y443" s="1">
        <f t="shared" si="176"/>
        <v>0</v>
      </c>
      <c r="Z443" s="1">
        <f t="shared" si="177"/>
        <v>0</v>
      </c>
      <c r="AA443" s="1">
        <f t="shared" si="178"/>
        <v>0</v>
      </c>
      <c r="AB443" s="1">
        <f t="shared" si="179"/>
        <v>0</v>
      </c>
      <c r="AD443" s="1">
        <f t="shared" si="180"/>
        <v>0</v>
      </c>
      <c r="AE443" s="1">
        <f t="shared" si="181"/>
        <v>0</v>
      </c>
      <c r="AF443" s="1">
        <f t="shared" si="166"/>
        <v>0</v>
      </c>
      <c r="AG443" s="1">
        <f t="shared" si="167"/>
        <v>0</v>
      </c>
      <c r="AH443" s="1">
        <f t="shared" si="168"/>
        <v>0</v>
      </c>
      <c r="AI443" s="1">
        <f t="shared" si="169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978</v>
      </c>
      <c r="G444" s="35" t="s">
        <v>1105</v>
      </c>
      <c r="H444" s="35" t="s">
        <v>355</v>
      </c>
      <c r="I444" s="34" t="s">
        <v>1112</v>
      </c>
      <c r="J444" s="34">
        <v>99</v>
      </c>
      <c r="K444" s="36" t="s">
        <v>717</v>
      </c>
      <c r="L444" s="36" t="s">
        <v>717</v>
      </c>
      <c r="M444" s="37" t="s">
        <v>735</v>
      </c>
      <c r="N444" s="37" t="s">
        <v>1750</v>
      </c>
      <c r="O444" s="38">
        <v>1</v>
      </c>
      <c r="P444" s="38"/>
      <c r="Q444" s="35"/>
      <c r="S444" s="1">
        <f t="shared" si="170"/>
        <v>0</v>
      </c>
      <c r="T444" s="1">
        <f t="shared" si="171"/>
        <v>0</v>
      </c>
      <c r="U444" s="1">
        <f t="shared" si="172"/>
        <v>0</v>
      </c>
      <c r="V444" s="1">
        <f t="shared" si="173"/>
        <v>0</v>
      </c>
      <c r="W444" s="1">
        <f t="shared" si="174"/>
        <v>0</v>
      </c>
      <c r="X444" s="1">
        <f t="shared" si="175"/>
        <v>0</v>
      </c>
      <c r="Y444" s="1">
        <f t="shared" si="176"/>
        <v>0</v>
      </c>
      <c r="Z444" s="1">
        <f t="shared" si="177"/>
        <v>0</v>
      </c>
      <c r="AA444" s="1">
        <f t="shared" si="178"/>
        <v>0</v>
      </c>
      <c r="AB444" s="1">
        <f t="shared" si="179"/>
        <v>0</v>
      </c>
      <c r="AD444" s="1">
        <f t="shared" si="180"/>
        <v>0</v>
      </c>
      <c r="AE444" s="1">
        <f t="shared" si="181"/>
        <v>1</v>
      </c>
      <c r="AF444" s="1">
        <f t="shared" si="166"/>
        <v>0</v>
      </c>
      <c r="AG444" s="1">
        <f t="shared" si="167"/>
        <v>1</v>
      </c>
      <c r="AH444" s="1">
        <f t="shared" si="168"/>
        <v>0</v>
      </c>
      <c r="AI444" s="1">
        <f t="shared" si="169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246</v>
      </c>
      <c r="G445" s="35" t="s">
        <v>225</v>
      </c>
      <c r="H445" s="35" t="s">
        <v>355</v>
      </c>
      <c r="I445" s="34" t="s">
        <v>410</v>
      </c>
      <c r="J445" s="34">
        <v>99</v>
      </c>
      <c r="K445" s="36" t="s">
        <v>717</v>
      </c>
      <c r="L445" s="36" t="s">
        <v>717</v>
      </c>
      <c r="M445" s="37" t="s">
        <v>735</v>
      </c>
      <c r="N445" s="37" t="s">
        <v>1750</v>
      </c>
      <c r="O445" s="38">
        <v>1</v>
      </c>
      <c r="P445" s="38"/>
      <c r="Q445" s="35"/>
      <c r="S445" s="1">
        <f t="shared" si="170"/>
        <v>0</v>
      </c>
      <c r="T445" s="1">
        <f t="shared" si="171"/>
        <v>0</v>
      </c>
      <c r="U445" s="1">
        <f t="shared" si="172"/>
        <v>0</v>
      </c>
      <c r="V445" s="1">
        <f t="shared" si="173"/>
        <v>0</v>
      </c>
      <c r="W445" s="1">
        <f t="shared" si="174"/>
        <v>0</v>
      </c>
      <c r="X445" s="1">
        <f t="shared" si="175"/>
        <v>0</v>
      </c>
      <c r="Y445" s="1">
        <f t="shared" si="176"/>
        <v>0</v>
      </c>
      <c r="Z445" s="1">
        <f t="shared" si="177"/>
        <v>0</v>
      </c>
      <c r="AA445" s="1">
        <f t="shared" si="178"/>
        <v>0</v>
      </c>
      <c r="AB445" s="1">
        <f t="shared" si="179"/>
        <v>0</v>
      </c>
      <c r="AD445" s="1">
        <f t="shared" si="180"/>
        <v>0</v>
      </c>
      <c r="AE445" s="1">
        <f t="shared" si="181"/>
        <v>1</v>
      </c>
      <c r="AF445" s="1">
        <f t="shared" si="166"/>
        <v>0</v>
      </c>
      <c r="AG445" s="1">
        <f t="shared" si="167"/>
        <v>0</v>
      </c>
      <c r="AH445" s="1">
        <f t="shared" si="168"/>
        <v>0</v>
      </c>
      <c r="AI445" s="1">
        <f t="shared" si="169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247</v>
      </c>
      <c r="G446" s="35" t="s">
        <v>221</v>
      </c>
      <c r="H446" s="35" t="s">
        <v>355</v>
      </c>
      <c r="I446" s="34" t="s">
        <v>411</v>
      </c>
      <c r="J446" s="34">
        <v>8</v>
      </c>
      <c r="K446" s="36" t="s">
        <v>717</v>
      </c>
      <c r="L446" s="36" t="s">
        <v>717</v>
      </c>
      <c r="M446" s="37" t="s">
        <v>735</v>
      </c>
      <c r="N446" s="37" t="s">
        <v>1750</v>
      </c>
      <c r="O446" s="38">
        <v>1</v>
      </c>
      <c r="P446" s="38"/>
      <c r="Q446" s="35"/>
      <c r="S446" s="1">
        <f t="shared" si="170"/>
        <v>0</v>
      </c>
      <c r="T446" s="1">
        <f t="shared" si="171"/>
        <v>0</v>
      </c>
      <c r="U446" s="1">
        <f t="shared" si="172"/>
        <v>0</v>
      </c>
      <c r="V446" s="1">
        <f t="shared" si="173"/>
        <v>0</v>
      </c>
      <c r="W446" s="1">
        <f t="shared" si="174"/>
        <v>0</v>
      </c>
      <c r="X446" s="1">
        <f t="shared" si="175"/>
        <v>0</v>
      </c>
      <c r="Y446" s="1">
        <f t="shared" si="176"/>
        <v>0</v>
      </c>
      <c r="Z446" s="1">
        <f t="shared" si="177"/>
        <v>1</v>
      </c>
      <c r="AA446" s="1">
        <f t="shared" si="178"/>
        <v>0</v>
      </c>
      <c r="AB446" s="1">
        <f t="shared" si="179"/>
        <v>0</v>
      </c>
      <c r="AD446" s="1">
        <f t="shared" si="180"/>
        <v>0</v>
      </c>
      <c r="AE446" s="1">
        <f t="shared" si="181"/>
        <v>1</v>
      </c>
      <c r="AF446" s="1">
        <f t="shared" si="166"/>
        <v>0</v>
      </c>
      <c r="AG446" s="1">
        <f t="shared" si="167"/>
        <v>0</v>
      </c>
      <c r="AH446" s="1">
        <f t="shared" si="168"/>
        <v>0</v>
      </c>
      <c r="AI446" s="1">
        <f t="shared" si="169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1038</v>
      </c>
      <c r="G447" s="35" t="s">
        <v>39</v>
      </c>
      <c r="H447" s="35" t="s">
        <v>355</v>
      </c>
      <c r="I447" s="34" t="s">
        <v>1039</v>
      </c>
      <c r="J447" s="34">
        <v>1</v>
      </c>
      <c r="K447" s="36" t="s">
        <v>717</v>
      </c>
      <c r="L447" s="36" t="s">
        <v>717</v>
      </c>
      <c r="M447" s="37" t="s">
        <v>735</v>
      </c>
      <c r="N447" s="37" t="s">
        <v>1750</v>
      </c>
      <c r="O447" s="38">
        <v>1</v>
      </c>
      <c r="P447" s="38"/>
      <c r="Q447" s="35"/>
      <c r="S447" s="1">
        <f t="shared" si="170"/>
        <v>1</v>
      </c>
      <c r="T447" s="1">
        <f t="shared" si="171"/>
        <v>0</v>
      </c>
      <c r="U447" s="1">
        <f t="shared" si="172"/>
        <v>0</v>
      </c>
      <c r="V447" s="1">
        <f t="shared" si="173"/>
        <v>0</v>
      </c>
      <c r="W447" s="1">
        <f t="shared" si="174"/>
        <v>0</v>
      </c>
      <c r="X447" s="1">
        <f t="shared" si="175"/>
        <v>0</v>
      </c>
      <c r="Y447" s="1">
        <f t="shared" si="176"/>
        <v>0</v>
      </c>
      <c r="Z447" s="1">
        <f t="shared" si="177"/>
        <v>0</v>
      </c>
      <c r="AA447" s="1">
        <f t="shared" si="178"/>
        <v>0</v>
      </c>
      <c r="AB447" s="1">
        <f t="shared" si="179"/>
        <v>0</v>
      </c>
      <c r="AD447" s="1">
        <f t="shared" si="180"/>
        <v>0</v>
      </c>
      <c r="AE447" s="1">
        <f t="shared" si="181"/>
        <v>1</v>
      </c>
      <c r="AF447" s="1">
        <f t="shared" si="166"/>
        <v>0</v>
      </c>
      <c r="AG447" s="1">
        <f t="shared" si="167"/>
        <v>0</v>
      </c>
      <c r="AH447" s="1">
        <f t="shared" si="168"/>
        <v>0</v>
      </c>
      <c r="AI447" s="1">
        <f t="shared" si="169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1040</v>
      </c>
      <c r="G448" s="35" t="s">
        <v>303</v>
      </c>
      <c r="H448" s="35" t="s">
        <v>355</v>
      </c>
      <c r="I448" s="34" t="s">
        <v>1041</v>
      </c>
      <c r="J448" s="34">
        <v>1</v>
      </c>
      <c r="K448" s="36" t="s">
        <v>717</v>
      </c>
      <c r="L448" s="36" t="s">
        <v>717</v>
      </c>
      <c r="M448" s="37" t="s">
        <v>735</v>
      </c>
      <c r="N448" s="37" t="s">
        <v>1750</v>
      </c>
      <c r="O448" s="38">
        <v>1</v>
      </c>
      <c r="P448" s="38"/>
      <c r="Q448" s="35"/>
      <c r="S448" s="1">
        <f t="shared" si="170"/>
        <v>1</v>
      </c>
      <c r="T448" s="1">
        <f t="shared" si="171"/>
        <v>0</v>
      </c>
      <c r="U448" s="1">
        <f t="shared" si="172"/>
        <v>0</v>
      </c>
      <c r="V448" s="1">
        <f t="shared" si="173"/>
        <v>0</v>
      </c>
      <c r="W448" s="1">
        <f t="shared" si="174"/>
        <v>0</v>
      </c>
      <c r="X448" s="1">
        <f t="shared" si="175"/>
        <v>0</v>
      </c>
      <c r="Y448" s="1">
        <f t="shared" si="176"/>
        <v>0</v>
      </c>
      <c r="Z448" s="1">
        <f t="shared" si="177"/>
        <v>0</v>
      </c>
      <c r="AA448" s="1">
        <f t="shared" si="178"/>
        <v>0</v>
      </c>
      <c r="AB448" s="1">
        <f t="shared" si="179"/>
        <v>0</v>
      </c>
      <c r="AD448" s="1">
        <f t="shared" ref="AD448:AD449" si="198">+O448*P448</f>
        <v>0</v>
      </c>
      <c r="AE448" s="1">
        <f t="shared" ref="AE448:AE449" si="199">O448*(1-P448)</f>
        <v>1</v>
      </c>
      <c r="AF448" s="1">
        <f t="shared" si="166"/>
        <v>0</v>
      </c>
      <c r="AG448" s="1">
        <f t="shared" si="167"/>
        <v>0</v>
      </c>
      <c r="AH448" s="1">
        <f t="shared" si="168"/>
        <v>0</v>
      </c>
      <c r="AI448" s="1">
        <f t="shared" si="169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1580</v>
      </c>
      <c r="E449" s="35" t="s">
        <v>157</v>
      </c>
      <c r="F449" s="35" t="s">
        <v>1581</v>
      </c>
      <c r="G449" s="35" t="s">
        <v>208</v>
      </c>
      <c r="H449" s="35" t="s">
        <v>355</v>
      </c>
      <c r="I449" s="34" t="s">
        <v>1582</v>
      </c>
      <c r="J449" s="34">
        <v>99</v>
      </c>
      <c r="K449" s="36" t="s">
        <v>716</v>
      </c>
      <c r="L449" s="36" t="s">
        <v>726</v>
      </c>
      <c r="M449" s="37" t="s">
        <v>736</v>
      </c>
      <c r="N449" s="37" t="s">
        <v>1953</v>
      </c>
      <c r="O449" s="38">
        <v>1</v>
      </c>
      <c r="P449" s="38"/>
      <c r="Q449" s="35"/>
      <c r="S449" s="1">
        <f t="shared" si="170"/>
        <v>0</v>
      </c>
      <c r="T449" s="1">
        <f t="shared" si="171"/>
        <v>0</v>
      </c>
      <c r="U449" s="1">
        <f t="shared" si="172"/>
        <v>0</v>
      </c>
      <c r="V449" s="1">
        <f t="shared" si="173"/>
        <v>0</v>
      </c>
      <c r="W449" s="1">
        <f t="shared" si="174"/>
        <v>0</v>
      </c>
      <c r="X449" s="1">
        <f t="shared" si="175"/>
        <v>0</v>
      </c>
      <c r="Y449" s="1">
        <f t="shared" si="176"/>
        <v>0</v>
      </c>
      <c r="Z449" s="1">
        <f t="shared" si="177"/>
        <v>0</v>
      </c>
      <c r="AA449" s="1">
        <f t="shared" si="178"/>
        <v>0</v>
      </c>
      <c r="AB449" s="1">
        <f t="shared" si="179"/>
        <v>0</v>
      </c>
      <c r="AD449" s="1">
        <f t="shared" si="198"/>
        <v>0</v>
      </c>
      <c r="AE449" s="1">
        <f t="shared" si="199"/>
        <v>1</v>
      </c>
      <c r="AF449" s="1">
        <f t="shared" si="166"/>
        <v>0</v>
      </c>
      <c r="AG449" s="1">
        <f t="shared" si="167"/>
        <v>1</v>
      </c>
      <c r="AH449" s="1">
        <f t="shared" si="168"/>
        <v>0</v>
      </c>
      <c r="AI449" s="1">
        <f t="shared" si="169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1136</v>
      </c>
      <c r="E450" s="48" t="s">
        <v>28</v>
      </c>
      <c r="F450" s="48" t="s">
        <v>1137</v>
      </c>
      <c r="G450" s="48" t="s">
        <v>221</v>
      </c>
      <c r="H450" s="48" t="s">
        <v>355</v>
      </c>
      <c r="I450" s="47" t="s">
        <v>1138</v>
      </c>
      <c r="J450" s="47">
        <v>8</v>
      </c>
      <c r="K450" s="49" t="s">
        <v>959</v>
      </c>
      <c r="L450" s="49" t="s">
        <v>717</v>
      </c>
      <c r="M450" s="50" t="s">
        <v>735</v>
      </c>
      <c r="N450" s="50" t="s">
        <v>1809</v>
      </c>
      <c r="O450" s="51"/>
      <c r="P450" s="51"/>
      <c r="Q450" s="48"/>
      <c r="S450" s="1">
        <f t="shared" si="170"/>
        <v>0</v>
      </c>
      <c r="T450" s="1">
        <f t="shared" si="171"/>
        <v>0</v>
      </c>
      <c r="U450" s="1">
        <f t="shared" si="172"/>
        <v>0</v>
      </c>
      <c r="V450" s="1">
        <f t="shared" si="173"/>
        <v>0</v>
      </c>
      <c r="W450" s="1">
        <f t="shared" si="174"/>
        <v>0</v>
      </c>
      <c r="X450" s="1">
        <f t="shared" si="175"/>
        <v>0</v>
      </c>
      <c r="Y450" s="1">
        <f t="shared" si="176"/>
        <v>0</v>
      </c>
      <c r="Z450" s="1">
        <f t="shared" si="177"/>
        <v>1</v>
      </c>
      <c r="AA450" s="1">
        <f t="shared" si="178"/>
        <v>0</v>
      </c>
      <c r="AB450" s="1">
        <f t="shared" si="179"/>
        <v>0</v>
      </c>
      <c r="AD450" s="1">
        <f t="shared" si="180"/>
        <v>0</v>
      </c>
      <c r="AE450" s="1">
        <f t="shared" si="181"/>
        <v>0</v>
      </c>
      <c r="AF450" s="1">
        <f t="shared" si="166"/>
        <v>0</v>
      </c>
      <c r="AG450" s="1">
        <f t="shared" si="167"/>
        <v>0</v>
      </c>
      <c r="AH450" s="1">
        <f t="shared" si="168"/>
        <v>0</v>
      </c>
      <c r="AI450" s="1">
        <f t="shared" si="169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265</v>
      </c>
      <c r="G451" s="48" t="s">
        <v>195</v>
      </c>
      <c r="H451" s="48" t="s">
        <v>355</v>
      </c>
      <c r="I451" s="47" t="s">
        <v>422</v>
      </c>
      <c r="J451" s="47">
        <v>9</v>
      </c>
      <c r="K451" s="49" t="s">
        <v>716</v>
      </c>
      <c r="L451" s="49" t="s">
        <v>717</v>
      </c>
      <c r="M451" s="50" t="s">
        <v>735</v>
      </c>
      <c r="N451" s="50" t="s">
        <v>1742</v>
      </c>
      <c r="O451" s="51"/>
      <c r="P451" s="51"/>
      <c r="Q451" s="48"/>
      <c r="S451" s="1">
        <f t="shared" si="170"/>
        <v>0</v>
      </c>
      <c r="T451" s="1">
        <f t="shared" si="171"/>
        <v>0</v>
      </c>
      <c r="U451" s="1">
        <f t="shared" si="172"/>
        <v>0</v>
      </c>
      <c r="V451" s="1">
        <f t="shared" si="173"/>
        <v>0</v>
      </c>
      <c r="W451" s="1">
        <f t="shared" si="174"/>
        <v>0</v>
      </c>
      <c r="X451" s="1">
        <f t="shared" si="175"/>
        <v>0</v>
      </c>
      <c r="Y451" s="1">
        <f t="shared" si="176"/>
        <v>0</v>
      </c>
      <c r="Z451" s="1">
        <f t="shared" si="177"/>
        <v>0</v>
      </c>
      <c r="AA451" s="1">
        <f t="shared" si="178"/>
        <v>1</v>
      </c>
      <c r="AB451" s="1">
        <f t="shared" si="179"/>
        <v>0</v>
      </c>
      <c r="AD451" s="1">
        <f t="shared" si="180"/>
        <v>0</v>
      </c>
      <c r="AE451" s="1">
        <f t="shared" si="181"/>
        <v>0</v>
      </c>
      <c r="AF451" s="1">
        <f t="shared" si="166"/>
        <v>0</v>
      </c>
      <c r="AG451" s="1">
        <f t="shared" si="167"/>
        <v>0</v>
      </c>
      <c r="AH451" s="1">
        <f t="shared" si="168"/>
        <v>0</v>
      </c>
      <c r="AI451" s="1">
        <f t="shared" si="169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164</v>
      </c>
      <c r="F452" s="35" t="s">
        <v>226</v>
      </c>
      <c r="G452" s="35" t="s">
        <v>227</v>
      </c>
      <c r="H452" s="35" t="s">
        <v>355</v>
      </c>
      <c r="I452" s="34" t="s">
        <v>399</v>
      </c>
      <c r="J452" s="34">
        <v>99</v>
      </c>
      <c r="K452" s="36" t="s">
        <v>717</v>
      </c>
      <c r="L452" s="36" t="s">
        <v>726</v>
      </c>
      <c r="M452" s="37" t="s">
        <v>736</v>
      </c>
      <c r="N452" s="37" t="s">
        <v>1757</v>
      </c>
      <c r="O452" s="38">
        <v>1</v>
      </c>
      <c r="P452" s="38"/>
      <c r="Q452" s="35"/>
      <c r="S452" s="1">
        <f t="shared" si="170"/>
        <v>0</v>
      </c>
      <c r="T452" s="1">
        <f t="shared" si="171"/>
        <v>0</v>
      </c>
      <c r="U452" s="1">
        <f t="shared" si="172"/>
        <v>0</v>
      </c>
      <c r="V452" s="1">
        <f t="shared" si="173"/>
        <v>0</v>
      </c>
      <c r="W452" s="1">
        <f t="shared" si="174"/>
        <v>0</v>
      </c>
      <c r="X452" s="1">
        <f t="shared" si="175"/>
        <v>0</v>
      </c>
      <c r="Y452" s="1">
        <f t="shared" si="176"/>
        <v>0</v>
      </c>
      <c r="Z452" s="1">
        <f t="shared" si="177"/>
        <v>0</v>
      </c>
      <c r="AA452" s="1">
        <f t="shared" si="178"/>
        <v>0</v>
      </c>
      <c r="AB452" s="1">
        <f t="shared" si="179"/>
        <v>0</v>
      </c>
      <c r="AD452" s="1">
        <f t="shared" si="180"/>
        <v>0</v>
      </c>
      <c r="AE452" s="1">
        <f t="shared" si="181"/>
        <v>1</v>
      </c>
      <c r="AF452" s="1">
        <f t="shared" si="166"/>
        <v>0</v>
      </c>
      <c r="AG452" s="1">
        <f t="shared" si="167"/>
        <v>1</v>
      </c>
      <c r="AH452" s="1">
        <f t="shared" si="168"/>
        <v>0</v>
      </c>
      <c r="AI452" s="1">
        <f t="shared" si="169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1079</v>
      </c>
      <c r="E453" s="35" t="s">
        <v>157</v>
      </c>
      <c r="F453" s="35" t="s">
        <v>1080</v>
      </c>
      <c r="G453" s="35" t="s">
        <v>221</v>
      </c>
      <c r="H453" s="35" t="s">
        <v>355</v>
      </c>
      <c r="I453" s="34" t="s">
        <v>1081</v>
      </c>
      <c r="J453" s="34">
        <v>8</v>
      </c>
      <c r="K453" s="36" t="s">
        <v>716</v>
      </c>
      <c r="L453" s="36" t="s">
        <v>726</v>
      </c>
      <c r="M453" s="37" t="s">
        <v>736</v>
      </c>
      <c r="N453" s="37" t="s">
        <v>1755</v>
      </c>
      <c r="O453" s="38">
        <v>1</v>
      </c>
      <c r="P453" s="38"/>
      <c r="Q453" s="35"/>
      <c r="S453" s="1">
        <f t="shared" si="170"/>
        <v>0</v>
      </c>
      <c r="T453" s="1">
        <f t="shared" si="171"/>
        <v>0</v>
      </c>
      <c r="U453" s="1">
        <f t="shared" si="172"/>
        <v>0</v>
      </c>
      <c r="V453" s="1">
        <f t="shared" si="173"/>
        <v>0</v>
      </c>
      <c r="W453" s="1">
        <f t="shared" si="174"/>
        <v>0</v>
      </c>
      <c r="X453" s="1">
        <f t="shared" si="175"/>
        <v>0</v>
      </c>
      <c r="Y453" s="1">
        <f t="shared" si="176"/>
        <v>0</v>
      </c>
      <c r="Z453" s="1">
        <f t="shared" si="177"/>
        <v>1</v>
      </c>
      <c r="AA453" s="1">
        <f t="shared" si="178"/>
        <v>0</v>
      </c>
      <c r="AB453" s="1">
        <f t="shared" si="179"/>
        <v>0</v>
      </c>
      <c r="AD453" s="1">
        <f t="shared" si="180"/>
        <v>0</v>
      </c>
      <c r="AE453" s="1">
        <f t="shared" si="181"/>
        <v>1</v>
      </c>
      <c r="AF453" s="1">
        <f t="shared" si="166"/>
        <v>0</v>
      </c>
      <c r="AG453" s="1">
        <f t="shared" si="167"/>
        <v>1</v>
      </c>
      <c r="AH453" s="1">
        <f t="shared" si="168"/>
        <v>0</v>
      </c>
      <c r="AI453" s="1">
        <f t="shared" si="169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157</v>
      </c>
      <c r="F454" s="35" t="s">
        <v>274</v>
      </c>
      <c r="G454" s="35" t="s">
        <v>255</v>
      </c>
      <c r="H454" s="35" t="s">
        <v>355</v>
      </c>
      <c r="I454" s="34" t="s">
        <v>429</v>
      </c>
      <c r="J454" s="34">
        <v>99</v>
      </c>
      <c r="K454" s="36" t="s">
        <v>717</v>
      </c>
      <c r="L454" s="36" t="s">
        <v>737</v>
      </c>
      <c r="M454" s="37" t="s">
        <v>738</v>
      </c>
      <c r="N454" s="37" t="s">
        <v>1763</v>
      </c>
      <c r="O454" s="38">
        <v>1</v>
      </c>
      <c r="P454" s="38"/>
      <c r="Q454" s="35"/>
      <c r="S454" s="1">
        <f t="shared" si="170"/>
        <v>0</v>
      </c>
      <c r="T454" s="1">
        <f t="shared" si="171"/>
        <v>0</v>
      </c>
      <c r="U454" s="1">
        <f t="shared" si="172"/>
        <v>0</v>
      </c>
      <c r="V454" s="1">
        <f t="shared" si="173"/>
        <v>0</v>
      </c>
      <c r="W454" s="1">
        <f t="shared" si="174"/>
        <v>0</v>
      </c>
      <c r="X454" s="1">
        <f t="shared" si="175"/>
        <v>0</v>
      </c>
      <c r="Y454" s="1">
        <f t="shared" si="176"/>
        <v>0</v>
      </c>
      <c r="Z454" s="1">
        <f t="shared" si="177"/>
        <v>0</v>
      </c>
      <c r="AA454" s="1">
        <f t="shared" si="178"/>
        <v>0</v>
      </c>
      <c r="AB454" s="1">
        <f t="shared" si="179"/>
        <v>0</v>
      </c>
      <c r="AD454" s="1">
        <f t="shared" si="180"/>
        <v>0</v>
      </c>
      <c r="AE454" s="1">
        <f t="shared" si="181"/>
        <v>1</v>
      </c>
      <c r="AF454" s="1">
        <f t="shared" si="166"/>
        <v>0</v>
      </c>
      <c r="AG454" s="1">
        <f t="shared" si="167"/>
        <v>1</v>
      </c>
      <c r="AH454" s="1">
        <f t="shared" si="168"/>
        <v>0</v>
      </c>
      <c r="AI454" s="1">
        <f t="shared" si="169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1782</v>
      </c>
      <c r="E455" s="39" t="s">
        <v>1783</v>
      </c>
      <c r="F455" s="39" t="s">
        <v>1784</v>
      </c>
      <c r="G455" s="39" t="s">
        <v>191</v>
      </c>
      <c r="H455" s="39" t="s">
        <v>355</v>
      </c>
      <c r="I455" s="40"/>
      <c r="J455" s="40"/>
      <c r="K455" s="36" t="s">
        <v>707</v>
      </c>
      <c r="L455" s="36"/>
      <c r="M455" s="37"/>
      <c r="N455" s="37" t="s">
        <v>1734</v>
      </c>
      <c r="O455" s="38">
        <v>1</v>
      </c>
      <c r="P455" s="38">
        <v>1</v>
      </c>
      <c r="Q455" s="39"/>
      <c r="S455" s="1">
        <f t="shared" si="170"/>
        <v>0</v>
      </c>
      <c r="T455" s="1">
        <f t="shared" si="171"/>
        <v>0</v>
      </c>
      <c r="U455" s="1">
        <f t="shared" si="172"/>
        <v>0</v>
      </c>
      <c r="V455" s="1">
        <f t="shared" si="173"/>
        <v>0</v>
      </c>
      <c r="W455" s="1">
        <f t="shared" si="174"/>
        <v>0</v>
      </c>
      <c r="X455" s="1">
        <f t="shared" si="175"/>
        <v>0</v>
      </c>
      <c r="Y455" s="1">
        <f t="shared" si="176"/>
        <v>0</v>
      </c>
      <c r="Z455" s="1">
        <f t="shared" si="177"/>
        <v>0</v>
      </c>
      <c r="AA455" s="1">
        <f t="shared" si="178"/>
        <v>0</v>
      </c>
      <c r="AB455" s="1">
        <f t="shared" si="179"/>
        <v>0</v>
      </c>
      <c r="AD455" s="1">
        <f t="shared" si="180"/>
        <v>1</v>
      </c>
      <c r="AE455" s="1">
        <f t="shared" si="181"/>
        <v>0</v>
      </c>
      <c r="AF455" s="1">
        <f t="shared" si="166"/>
        <v>1</v>
      </c>
      <c r="AG455" s="1">
        <f t="shared" si="167"/>
        <v>0</v>
      </c>
      <c r="AH455" s="1">
        <f t="shared" si="168"/>
        <v>1</v>
      </c>
      <c r="AI455" s="1">
        <f t="shared" si="169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516</v>
      </c>
      <c r="E456" s="48" t="s">
        <v>157</v>
      </c>
      <c r="F456" s="48" t="s">
        <v>576</v>
      </c>
      <c r="G456" s="48" t="s">
        <v>322</v>
      </c>
      <c r="H456" s="48" t="s">
        <v>355</v>
      </c>
      <c r="I456" s="47" t="s">
        <v>583</v>
      </c>
      <c r="J456" s="47">
        <v>99</v>
      </c>
      <c r="K456" s="49" t="s">
        <v>958</v>
      </c>
      <c r="L456" s="49" t="s">
        <v>726</v>
      </c>
      <c r="M456" s="50" t="s">
        <v>736</v>
      </c>
      <c r="N456" s="50" t="s">
        <v>1745</v>
      </c>
      <c r="O456" s="51"/>
      <c r="P456" s="51"/>
      <c r="Q456" s="48"/>
      <c r="S456" s="1">
        <f t="shared" si="170"/>
        <v>0</v>
      </c>
      <c r="T456" s="1">
        <f t="shared" si="171"/>
        <v>0</v>
      </c>
      <c r="U456" s="1">
        <f t="shared" si="172"/>
        <v>0</v>
      </c>
      <c r="V456" s="1">
        <f t="shared" si="173"/>
        <v>0</v>
      </c>
      <c r="W456" s="1">
        <f t="shared" si="174"/>
        <v>0</v>
      </c>
      <c r="X456" s="1">
        <f t="shared" si="175"/>
        <v>0</v>
      </c>
      <c r="Y456" s="1">
        <f t="shared" si="176"/>
        <v>0</v>
      </c>
      <c r="Z456" s="1">
        <f t="shared" si="177"/>
        <v>0</v>
      </c>
      <c r="AA456" s="1">
        <f t="shared" si="178"/>
        <v>0</v>
      </c>
      <c r="AB456" s="1">
        <f t="shared" si="179"/>
        <v>0</v>
      </c>
      <c r="AD456" s="1">
        <f t="shared" si="180"/>
        <v>0</v>
      </c>
      <c r="AE456" s="1">
        <f t="shared" si="181"/>
        <v>0</v>
      </c>
      <c r="AF456" s="1">
        <f t="shared" si="166"/>
        <v>0</v>
      </c>
      <c r="AG456" s="1">
        <f t="shared" si="167"/>
        <v>0</v>
      </c>
      <c r="AH456" s="1">
        <f t="shared" si="168"/>
        <v>0</v>
      </c>
      <c r="AI456" s="1">
        <f t="shared" si="169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157</v>
      </c>
      <c r="F457" s="48" t="s">
        <v>678</v>
      </c>
      <c r="G457" s="48" t="s">
        <v>266</v>
      </c>
      <c r="H457" s="48" t="s">
        <v>355</v>
      </c>
      <c r="I457" s="47" t="s">
        <v>423</v>
      </c>
      <c r="J457" s="47">
        <v>99</v>
      </c>
      <c r="K457" s="49" t="s">
        <v>716</v>
      </c>
      <c r="L457" s="49" t="s">
        <v>733</v>
      </c>
      <c r="M457" s="50" t="s">
        <v>736</v>
      </c>
      <c r="N457" s="50" t="s">
        <v>1742</v>
      </c>
      <c r="O457" s="51"/>
      <c r="P457" s="51"/>
      <c r="Q457" s="48"/>
      <c r="S457" s="1">
        <f t="shared" si="170"/>
        <v>0</v>
      </c>
      <c r="T457" s="1">
        <f t="shared" si="171"/>
        <v>0</v>
      </c>
      <c r="U457" s="1">
        <f t="shared" si="172"/>
        <v>0</v>
      </c>
      <c r="V457" s="1">
        <f t="shared" si="173"/>
        <v>0</v>
      </c>
      <c r="W457" s="1">
        <f t="shared" si="174"/>
        <v>0</v>
      </c>
      <c r="X457" s="1">
        <f t="shared" si="175"/>
        <v>0</v>
      </c>
      <c r="Y457" s="1">
        <f t="shared" si="176"/>
        <v>0</v>
      </c>
      <c r="Z457" s="1">
        <f t="shared" si="177"/>
        <v>0</v>
      </c>
      <c r="AA457" s="1">
        <f t="shared" si="178"/>
        <v>0</v>
      </c>
      <c r="AB457" s="1">
        <f t="shared" si="179"/>
        <v>0</v>
      </c>
      <c r="AD457" s="1">
        <f t="shared" ref="AD457:AD460" si="200">+O457*P457</f>
        <v>0</v>
      </c>
      <c r="AE457" s="1">
        <f t="shared" ref="AE457:AE460" si="201">O457*(1-P457)</f>
        <v>0</v>
      </c>
      <c r="AF457" s="1">
        <f t="shared" si="166"/>
        <v>0</v>
      </c>
      <c r="AG457" s="1">
        <f t="shared" si="167"/>
        <v>0</v>
      </c>
      <c r="AH457" s="1">
        <f t="shared" si="168"/>
        <v>0</v>
      </c>
      <c r="AI457" s="1">
        <f t="shared" si="169"/>
        <v>1</v>
      </c>
    </row>
    <row r="458" spans="1:35" ht="14.25" customHeight="1" x14ac:dyDescent="0.25">
      <c r="A458" s="15">
        <v>0</v>
      </c>
      <c r="B458" s="15">
        <v>2</v>
      </c>
      <c r="C458" s="15">
        <v>7</v>
      </c>
      <c r="D458" s="20" t="s">
        <v>1865</v>
      </c>
      <c r="E458" s="16" t="s">
        <v>157</v>
      </c>
      <c r="F458" s="20" t="s">
        <v>1866</v>
      </c>
      <c r="G458" s="20" t="s">
        <v>284</v>
      </c>
      <c r="H458" s="20" t="s">
        <v>355</v>
      </c>
      <c r="I458" s="21" t="s">
        <v>1867</v>
      </c>
      <c r="J458" s="15">
        <v>99</v>
      </c>
      <c r="K458" s="10" t="s">
        <v>707</v>
      </c>
      <c r="L458" s="10" t="s">
        <v>726</v>
      </c>
      <c r="M458" s="19" t="s">
        <v>736</v>
      </c>
      <c r="N458" s="19"/>
      <c r="Q458" s="20"/>
      <c r="S458" s="1">
        <f t="shared" si="170"/>
        <v>0</v>
      </c>
      <c r="T458" s="1">
        <f t="shared" si="171"/>
        <v>0</v>
      </c>
      <c r="U458" s="1">
        <f t="shared" si="172"/>
        <v>0</v>
      </c>
      <c r="V458" s="1">
        <f t="shared" si="173"/>
        <v>0</v>
      </c>
      <c r="W458" s="1">
        <f t="shared" si="174"/>
        <v>0</v>
      </c>
      <c r="X458" s="1">
        <f t="shared" si="175"/>
        <v>0</v>
      </c>
      <c r="Y458" s="1">
        <f t="shared" si="176"/>
        <v>0</v>
      </c>
      <c r="Z458" s="1">
        <f t="shared" si="177"/>
        <v>0</v>
      </c>
      <c r="AA458" s="1">
        <f t="shared" si="178"/>
        <v>0</v>
      </c>
      <c r="AB458" s="1">
        <f t="shared" si="179"/>
        <v>0</v>
      </c>
      <c r="AD458" s="1">
        <f t="shared" si="200"/>
        <v>0</v>
      </c>
      <c r="AE458" s="1">
        <f t="shared" si="201"/>
        <v>0</v>
      </c>
      <c r="AF458" s="1">
        <f t="shared" si="166"/>
        <v>0</v>
      </c>
      <c r="AG458" s="1">
        <f t="shared" si="167"/>
        <v>0</v>
      </c>
      <c r="AH458" s="1">
        <f t="shared" si="168"/>
        <v>0</v>
      </c>
      <c r="AI458" s="1">
        <f t="shared" si="169"/>
        <v>1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60</v>
      </c>
      <c r="E459" s="35" t="s">
        <v>164</v>
      </c>
      <c r="F459" s="35" t="s">
        <v>228</v>
      </c>
      <c r="G459" s="35" t="s">
        <v>191</v>
      </c>
      <c r="H459" s="35" t="s">
        <v>355</v>
      </c>
      <c r="I459" s="34" t="s">
        <v>400</v>
      </c>
      <c r="J459" s="34">
        <v>99</v>
      </c>
      <c r="K459" s="36" t="s">
        <v>717</v>
      </c>
      <c r="L459" s="36" t="s">
        <v>726</v>
      </c>
      <c r="M459" s="37" t="s">
        <v>736</v>
      </c>
      <c r="N459" s="37" t="s">
        <v>1755</v>
      </c>
      <c r="O459" s="38">
        <v>1</v>
      </c>
      <c r="P459" s="38"/>
      <c r="Q459" s="35"/>
      <c r="S459" s="1">
        <f t="shared" si="170"/>
        <v>0</v>
      </c>
      <c r="T459" s="1">
        <f t="shared" si="171"/>
        <v>0</v>
      </c>
      <c r="U459" s="1">
        <f t="shared" si="172"/>
        <v>0</v>
      </c>
      <c r="V459" s="1">
        <f t="shared" si="173"/>
        <v>0</v>
      </c>
      <c r="W459" s="1">
        <f t="shared" si="174"/>
        <v>0</v>
      </c>
      <c r="X459" s="1">
        <f t="shared" si="175"/>
        <v>0</v>
      </c>
      <c r="Y459" s="1">
        <f t="shared" si="176"/>
        <v>0</v>
      </c>
      <c r="Z459" s="1">
        <f t="shared" si="177"/>
        <v>0</v>
      </c>
      <c r="AA459" s="1">
        <f t="shared" si="178"/>
        <v>0</v>
      </c>
      <c r="AB459" s="1">
        <f t="shared" si="179"/>
        <v>0</v>
      </c>
      <c r="AD459" s="1">
        <f t="shared" si="200"/>
        <v>0</v>
      </c>
      <c r="AE459" s="1">
        <f t="shared" si="201"/>
        <v>1</v>
      </c>
      <c r="AF459" s="1">
        <f t="shared" ref="AF459:AF476" si="202">+O459*P459*(1-A459)</f>
        <v>0</v>
      </c>
      <c r="AG459" s="1">
        <f t="shared" ref="AG459:AG476" si="203">O459*(1-P459)*(1-A459)</f>
        <v>1</v>
      </c>
      <c r="AH459" s="1">
        <f t="shared" ref="AH459:AH476" si="204">+P459*(1-A459)</f>
        <v>0</v>
      </c>
      <c r="AI459" s="1">
        <f t="shared" ref="AI459:AI476" si="205">+(1-A459)*(1-P459)</f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1336</v>
      </c>
      <c r="E460" s="35" t="s">
        <v>157</v>
      </c>
      <c r="F460" s="35" t="s">
        <v>1149</v>
      </c>
      <c r="G460" s="35" t="s">
        <v>193</v>
      </c>
      <c r="H460" s="35" t="s">
        <v>355</v>
      </c>
      <c r="I460" s="34" t="s">
        <v>1376</v>
      </c>
      <c r="J460" s="34">
        <v>99</v>
      </c>
      <c r="K460" s="36" t="s">
        <v>716</v>
      </c>
      <c r="L460" s="36" t="s">
        <v>39</v>
      </c>
      <c r="M460" s="37" t="s">
        <v>39</v>
      </c>
      <c r="N460" s="37" t="s">
        <v>1734</v>
      </c>
      <c r="O460" s="38">
        <v>1</v>
      </c>
      <c r="P460" s="38">
        <v>1</v>
      </c>
      <c r="Q460" s="35"/>
      <c r="S460" s="1">
        <f t="shared" si="170"/>
        <v>0</v>
      </c>
      <c r="T460" s="1">
        <f t="shared" si="171"/>
        <v>0</v>
      </c>
      <c r="U460" s="1">
        <f t="shared" si="172"/>
        <v>0</v>
      </c>
      <c r="V460" s="1">
        <f t="shared" si="173"/>
        <v>0</v>
      </c>
      <c r="W460" s="1">
        <f t="shared" si="174"/>
        <v>0</v>
      </c>
      <c r="X460" s="1">
        <f t="shared" si="175"/>
        <v>0</v>
      </c>
      <c r="Y460" s="1">
        <f t="shared" si="176"/>
        <v>0</v>
      </c>
      <c r="Z460" s="1">
        <f t="shared" si="177"/>
        <v>0</v>
      </c>
      <c r="AA460" s="1">
        <f t="shared" si="178"/>
        <v>0</v>
      </c>
      <c r="AB460" s="1">
        <f t="shared" si="179"/>
        <v>0</v>
      </c>
      <c r="AD460" s="1">
        <f t="shared" si="200"/>
        <v>1</v>
      </c>
      <c r="AE460" s="1">
        <f t="shared" si="201"/>
        <v>0</v>
      </c>
      <c r="AF460" s="1">
        <f t="shared" si="202"/>
        <v>1</v>
      </c>
      <c r="AG460" s="1">
        <f t="shared" si="203"/>
        <v>0</v>
      </c>
      <c r="AH460" s="1">
        <f t="shared" si="204"/>
        <v>1</v>
      </c>
      <c r="AI460" s="1">
        <f t="shared" si="205"/>
        <v>0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591</v>
      </c>
      <c r="E461" s="35" t="s">
        <v>1344</v>
      </c>
      <c r="F461" s="35" t="s">
        <v>679</v>
      </c>
      <c r="G461" s="35" t="s">
        <v>241</v>
      </c>
      <c r="H461" s="35" t="s">
        <v>355</v>
      </c>
      <c r="I461" s="34" t="s">
        <v>406</v>
      </c>
      <c r="J461" s="34">
        <v>1</v>
      </c>
      <c r="K461" s="36" t="s">
        <v>717</v>
      </c>
      <c r="L461" s="36" t="s">
        <v>1718</v>
      </c>
      <c r="M461" s="37" t="s">
        <v>1446</v>
      </c>
      <c r="N461" s="37" t="s">
        <v>1755</v>
      </c>
      <c r="O461" s="38">
        <v>1</v>
      </c>
      <c r="P461" s="38"/>
      <c r="Q461" s="35"/>
      <c r="S461" s="1">
        <f t="shared" si="170"/>
        <v>1</v>
      </c>
      <c r="T461" s="1">
        <f t="shared" si="171"/>
        <v>0</v>
      </c>
      <c r="U461" s="1">
        <f t="shared" si="172"/>
        <v>0</v>
      </c>
      <c r="V461" s="1">
        <f t="shared" si="173"/>
        <v>0</v>
      </c>
      <c r="W461" s="1">
        <f t="shared" si="174"/>
        <v>0</v>
      </c>
      <c r="X461" s="1">
        <f t="shared" si="175"/>
        <v>0</v>
      </c>
      <c r="Y461" s="1">
        <f t="shared" si="176"/>
        <v>0</v>
      </c>
      <c r="Z461" s="1">
        <f t="shared" si="177"/>
        <v>0</v>
      </c>
      <c r="AA461" s="1">
        <f t="shared" si="178"/>
        <v>0</v>
      </c>
      <c r="AB461" s="1">
        <f t="shared" si="179"/>
        <v>0</v>
      </c>
      <c r="AD461" s="1">
        <f t="shared" ref="AD461" si="206">+O461*P461</f>
        <v>0</v>
      </c>
      <c r="AE461" s="1">
        <f t="shared" ref="AE461" si="207">O461*(1-P461)</f>
        <v>1</v>
      </c>
      <c r="AF461" s="1">
        <f t="shared" si="202"/>
        <v>0</v>
      </c>
      <c r="AG461" s="1">
        <f t="shared" si="203"/>
        <v>1</v>
      </c>
      <c r="AH461" s="1">
        <f t="shared" si="204"/>
        <v>0</v>
      </c>
      <c r="AI461" s="1">
        <f t="shared" si="205"/>
        <v>1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591</v>
      </c>
      <c r="E462" s="35" t="s">
        <v>1344</v>
      </c>
      <c r="F462" s="35" t="s">
        <v>240</v>
      </c>
      <c r="G462" s="35" t="s">
        <v>179</v>
      </c>
      <c r="H462" s="35" t="s">
        <v>355</v>
      </c>
      <c r="I462" s="34" t="s">
        <v>405</v>
      </c>
      <c r="J462" s="34">
        <v>1</v>
      </c>
      <c r="K462" s="36" t="s">
        <v>717</v>
      </c>
      <c r="L462" s="36" t="s">
        <v>1718</v>
      </c>
      <c r="M462" s="37" t="s">
        <v>1446</v>
      </c>
      <c r="N462" s="37" t="s">
        <v>1755</v>
      </c>
      <c r="O462" s="38">
        <v>1</v>
      </c>
      <c r="P462" s="38"/>
      <c r="Q462" s="39" t="s">
        <v>1918</v>
      </c>
      <c r="S462" s="1">
        <f t="shared" si="170"/>
        <v>1</v>
      </c>
      <c r="T462" s="1">
        <f t="shared" si="171"/>
        <v>0</v>
      </c>
      <c r="U462" s="1">
        <f t="shared" si="172"/>
        <v>0</v>
      </c>
      <c r="V462" s="1">
        <f t="shared" si="173"/>
        <v>0</v>
      </c>
      <c r="W462" s="1">
        <f t="shared" si="174"/>
        <v>0</v>
      </c>
      <c r="X462" s="1">
        <f t="shared" si="175"/>
        <v>0</v>
      </c>
      <c r="Y462" s="1">
        <f t="shared" si="176"/>
        <v>0</v>
      </c>
      <c r="Z462" s="1">
        <f t="shared" si="177"/>
        <v>0</v>
      </c>
      <c r="AA462" s="1">
        <f t="shared" si="178"/>
        <v>0</v>
      </c>
      <c r="AB462" s="1">
        <f t="shared" si="179"/>
        <v>0</v>
      </c>
      <c r="AD462" s="1">
        <f t="shared" si="180"/>
        <v>0</v>
      </c>
      <c r="AE462" s="1">
        <f t="shared" si="181"/>
        <v>1</v>
      </c>
      <c r="AF462" s="1">
        <f t="shared" si="202"/>
        <v>0</v>
      </c>
      <c r="AG462" s="1">
        <f t="shared" si="203"/>
        <v>0</v>
      </c>
      <c r="AH462" s="1">
        <f t="shared" si="204"/>
        <v>0</v>
      </c>
      <c r="AI462" s="1">
        <f t="shared" si="205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1337</v>
      </c>
      <c r="E463" s="35" t="s">
        <v>157</v>
      </c>
      <c r="F463" s="35" t="s">
        <v>1363</v>
      </c>
      <c r="G463" s="35" t="s">
        <v>259</v>
      </c>
      <c r="H463" s="35" t="s">
        <v>355</v>
      </c>
      <c r="I463" s="34" t="s">
        <v>1246</v>
      </c>
      <c r="J463" s="34">
        <v>8</v>
      </c>
      <c r="K463" s="36" t="s">
        <v>959</v>
      </c>
      <c r="L463" s="36" t="s">
        <v>726</v>
      </c>
      <c r="M463" s="37" t="s">
        <v>736</v>
      </c>
      <c r="N463" s="37" t="s">
        <v>1755</v>
      </c>
      <c r="O463" s="38">
        <v>1</v>
      </c>
      <c r="P463" s="38"/>
      <c r="Q463" s="35"/>
      <c r="S463" s="1">
        <f t="shared" si="170"/>
        <v>0</v>
      </c>
      <c r="T463" s="1">
        <f t="shared" si="171"/>
        <v>0</v>
      </c>
      <c r="U463" s="1">
        <f t="shared" si="172"/>
        <v>0</v>
      </c>
      <c r="V463" s="1">
        <f t="shared" si="173"/>
        <v>0</v>
      </c>
      <c r="W463" s="1">
        <f t="shared" si="174"/>
        <v>0</v>
      </c>
      <c r="X463" s="1">
        <f t="shared" si="175"/>
        <v>0</v>
      </c>
      <c r="Y463" s="1">
        <f t="shared" si="176"/>
        <v>0</v>
      </c>
      <c r="Z463" s="1">
        <f t="shared" si="177"/>
        <v>1</v>
      </c>
      <c r="AA463" s="1">
        <f t="shared" si="178"/>
        <v>0</v>
      </c>
      <c r="AB463" s="1">
        <f t="shared" si="179"/>
        <v>0</v>
      </c>
      <c r="AD463" s="1">
        <f t="shared" si="180"/>
        <v>0</v>
      </c>
      <c r="AE463" s="1">
        <f t="shared" si="181"/>
        <v>1</v>
      </c>
      <c r="AF463" s="1">
        <f t="shared" si="202"/>
        <v>0</v>
      </c>
      <c r="AG463" s="1">
        <f t="shared" si="203"/>
        <v>1</v>
      </c>
      <c r="AH463" s="1">
        <f t="shared" si="204"/>
        <v>0</v>
      </c>
      <c r="AI463" s="1">
        <f t="shared" si="205"/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1337</v>
      </c>
      <c r="E464" s="35" t="s">
        <v>157</v>
      </c>
      <c r="F464" s="35" t="s">
        <v>1225</v>
      </c>
      <c r="G464" s="35" t="s">
        <v>219</v>
      </c>
      <c r="H464" s="35" t="s">
        <v>355</v>
      </c>
      <c r="I464" s="34" t="s">
        <v>1246</v>
      </c>
      <c r="J464" s="34">
        <v>99</v>
      </c>
      <c r="K464" s="36" t="s">
        <v>959</v>
      </c>
      <c r="L464" s="36" t="s">
        <v>726</v>
      </c>
      <c r="M464" s="37" t="s">
        <v>736</v>
      </c>
      <c r="N464" s="37" t="s">
        <v>1755</v>
      </c>
      <c r="O464" s="38">
        <v>1</v>
      </c>
      <c r="P464" s="38"/>
      <c r="Q464" s="35"/>
      <c r="S464" s="1">
        <f t="shared" si="170"/>
        <v>0</v>
      </c>
      <c r="T464" s="1">
        <f t="shared" si="171"/>
        <v>0</v>
      </c>
      <c r="U464" s="1">
        <f t="shared" si="172"/>
        <v>0</v>
      </c>
      <c r="V464" s="1">
        <f t="shared" si="173"/>
        <v>0</v>
      </c>
      <c r="W464" s="1">
        <f t="shared" si="174"/>
        <v>0</v>
      </c>
      <c r="X464" s="1">
        <f t="shared" si="175"/>
        <v>0</v>
      </c>
      <c r="Y464" s="1">
        <f t="shared" si="176"/>
        <v>0</v>
      </c>
      <c r="Z464" s="1">
        <f t="shared" si="177"/>
        <v>0</v>
      </c>
      <c r="AA464" s="1">
        <f t="shared" si="178"/>
        <v>0</v>
      </c>
      <c r="AB464" s="1">
        <f t="shared" si="179"/>
        <v>0</v>
      </c>
      <c r="AD464" s="1">
        <f t="shared" si="180"/>
        <v>0</v>
      </c>
      <c r="AE464" s="1">
        <f t="shared" si="181"/>
        <v>1</v>
      </c>
      <c r="AF464" s="1">
        <f t="shared" si="202"/>
        <v>0</v>
      </c>
      <c r="AG464" s="1">
        <f t="shared" si="203"/>
        <v>0</v>
      </c>
      <c r="AH464" s="1">
        <f t="shared" si="204"/>
        <v>0</v>
      </c>
      <c r="AI464" s="1">
        <f t="shared" si="205"/>
        <v>0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1255</v>
      </c>
      <c r="E465" s="48" t="s">
        <v>157</v>
      </c>
      <c r="F465" s="48" t="s">
        <v>1257</v>
      </c>
      <c r="G465" s="48" t="s">
        <v>221</v>
      </c>
      <c r="H465" s="48" t="s">
        <v>355</v>
      </c>
      <c r="I465" s="47" t="s">
        <v>1377</v>
      </c>
      <c r="J465" s="47">
        <v>8</v>
      </c>
      <c r="K465" s="49" t="s">
        <v>958</v>
      </c>
      <c r="L465" s="49" t="s">
        <v>726</v>
      </c>
      <c r="M465" s="50" t="s">
        <v>736</v>
      </c>
      <c r="N465" s="50" t="s">
        <v>1742</v>
      </c>
      <c r="O465" s="51"/>
      <c r="P465" s="51"/>
      <c r="Q465" s="48"/>
      <c r="S465" s="1">
        <f t="shared" si="170"/>
        <v>0</v>
      </c>
      <c r="T465" s="1">
        <f t="shared" si="171"/>
        <v>0</v>
      </c>
      <c r="U465" s="1">
        <f t="shared" si="172"/>
        <v>0</v>
      </c>
      <c r="V465" s="1">
        <f t="shared" si="173"/>
        <v>0</v>
      </c>
      <c r="W465" s="1">
        <f t="shared" si="174"/>
        <v>0</v>
      </c>
      <c r="X465" s="1">
        <f t="shared" si="175"/>
        <v>0</v>
      </c>
      <c r="Y465" s="1">
        <f t="shared" si="176"/>
        <v>0</v>
      </c>
      <c r="Z465" s="1">
        <f t="shared" si="177"/>
        <v>1</v>
      </c>
      <c r="AA465" s="1">
        <f t="shared" si="178"/>
        <v>0</v>
      </c>
      <c r="AB465" s="1">
        <f t="shared" si="179"/>
        <v>0</v>
      </c>
      <c r="AD465" s="1">
        <f t="shared" si="180"/>
        <v>0</v>
      </c>
      <c r="AE465" s="1">
        <f t="shared" si="181"/>
        <v>0</v>
      </c>
      <c r="AF465" s="1">
        <f t="shared" si="202"/>
        <v>0</v>
      </c>
      <c r="AG465" s="1">
        <f t="shared" si="203"/>
        <v>0</v>
      </c>
      <c r="AH465" s="1">
        <f t="shared" si="204"/>
        <v>0</v>
      </c>
      <c r="AI465" s="1">
        <f t="shared" si="205"/>
        <v>1</v>
      </c>
    </row>
    <row r="466" spans="1:35" ht="14.25" customHeight="1" x14ac:dyDescent="0.25">
      <c r="A466" s="47">
        <v>1</v>
      </c>
      <c r="B466" s="47">
        <v>2</v>
      </c>
      <c r="C466" s="47">
        <v>7</v>
      </c>
      <c r="D466" s="48" t="s">
        <v>1255</v>
      </c>
      <c r="E466" s="48" t="s">
        <v>157</v>
      </c>
      <c r="F466" s="48" t="s">
        <v>1364</v>
      </c>
      <c r="G466" s="48" t="s">
        <v>39</v>
      </c>
      <c r="H466" s="48" t="s">
        <v>356</v>
      </c>
      <c r="I466" s="47" t="s">
        <v>1256</v>
      </c>
      <c r="J466" s="47">
        <v>99</v>
      </c>
      <c r="K466" s="49" t="s">
        <v>958</v>
      </c>
      <c r="L466" s="49" t="s">
        <v>726</v>
      </c>
      <c r="M466" s="50" t="s">
        <v>736</v>
      </c>
      <c r="N466" s="50" t="s">
        <v>1742</v>
      </c>
      <c r="O466" s="51"/>
      <c r="P466" s="51"/>
      <c r="Q466" s="68" t="s">
        <v>1911</v>
      </c>
      <c r="S466" s="1">
        <f t="shared" ref="S466:S476" si="208">IF(J466=$S$7,1,0)</f>
        <v>0</v>
      </c>
      <c r="T466" s="1">
        <f t="shared" ref="T466:T476" si="209">IF(J466=$T$7,1,0)</f>
        <v>0</v>
      </c>
      <c r="U466" s="1">
        <f t="shared" ref="U466:U476" si="210">IF(J466=$U$7,1,0)</f>
        <v>0</v>
      </c>
      <c r="V466" s="1">
        <f t="shared" ref="V466:V476" si="211">IF(J466=$V$7,1,0)</f>
        <v>0</v>
      </c>
      <c r="W466" s="1">
        <f t="shared" ref="W466:W476" si="212">IF(J466=$W$7,1,0)</f>
        <v>0</v>
      </c>
      <c r="X466" s="1">
        <f t="shared" ref="X466:X476" si="213">IF(J466=$X$7,1,0)</f>
        <v>0</v>
      </c>
      <c r="Y466" s="1">
        <f t="shared" ref="Y466:Y476" si="214">IF(J466=$Y$7,1,0)</f>
        <v>0</v>
      </c>
      <c r="Z466" s="1">
        <f t="shared" ref="Z466:Z476" si="215">IF(J466=$Z$7,1,0)</f>
        <v>0</v>
      </c>
      <c r="AA466" s="1">
        <f t="shared" ref="AA466:AA476" si="216">IF(J466=$AA$7,1,0)</f>
        <v>0</v>
      </c>
      <c r="AB466" s="1">
        <f t="shared" ref="AB466:AB476" si="217">IF(J466=$AB$7,1,0)</f>
        <v>0</v>
      </c>
      <c r="AD466" s="1">
        <f>+O466*P466</f>
        <v>0</v>
      </c>
      <c r="AE466" s="1">
        <f>O466*(1-P466)</f>
        <v>0</v>
      </c>
      <c r="AF466" s="1">
        <f t="shared" si="202"/>
        <v>0</v>
      </c>
      <c r="AG466" s="1">
        <f t="shared" si="203"/>
        <v>0</v>
      </c>
      <c r="AH466" s="1">
        <f t="shared" si="204"/>
        <v>0</v>
      </c>
      <c r="AI466" s="1">
        <f t="shared" si="205"/>
        <v>0</v>
      </c>
    </row>
    <row r="467" spans="1:35" ht="14.25" customHeight="1" x14ac:dyDescent="0.25">
      <c r="A467" s="47">
        <v>1</v>
      </c>
      <c r="B467" s="47">
        <v>2</v>
      </c>
      <c r="C467" s="47">
        <v>7</v>
      </c>
      <c r="D467" s="48" t="s">
        <v>1255</v>
      </c>
      <c r="E467" s="48" t="s">
        <v>157</v>
      </c>
      <c r="F467" s="48" t="s">
        <v>1530</v>
      </c>
      <c r="G467" s="48" t="s">
        <v>236</v>
      </c>
      <c r="H467" s="48" t="s">
        <v>355</v>
      </c>
      <c r="I467" s="47" t="s">
        <v>1698</v>
      </c>
      <c r="J467" s="47">
        <v>99</v>
      </c>
      <c r="K467" s="49" t="s">
        <v>958</v>
      </c>
      <c r="L467" s="49" t="s">
        <v>726</v>
      </c>
      <c r="M467" s="50" t="s">
        <v>736</v>
      </c>
      <c r="N467" s="50" t="s">
        <v>1742</v>
      </c>
      <c r="O467" s="51"/>
      <c r="P467" s="51"/>
      <c r="Q467" s="48"/>
      <c r="S467" s="1">
        <f t="shared" si="208"/>
        <v>0</v>
      </c>
      <c r="T467" s="1">
        <f t="shared" si="209"/>
        <v>0</v>
      </c>
      <c r="U467" s="1">
        <f t="shared" si="210"/>
        <v>0</v>
      </c>
      <c r="V467" s="1">
        <f t="shared" si="211"/>
        <v>0</v>
      </c>
      <c r="W467" s="1">
        <f t="shared" si="212"/>
        <v>0</v>
      </c>
      <c r="X467" s="1">
        <f t="shared" si="213"/>
        <v>0</v>
      </c>
      <c r="Y467" s="1">
        <f t="shared" si="214"/>
        <v>0</v>
      </c>
      <c r="Z467" s="1">
        <f t="shared" si="215"/>
        <v>0</v>
      </c>
      <c r="AA467" s="1">
        <f t="shared" si="216"/>
        <v>0</v>
      </c>
      <c r="AB467" s="1">
        <f t="shared" si="217"/>
        <v>0</v>
      </c>
      <c r="AD467" s="1">
        <f>+O467*P467</f>
        <v>0</v>
      </c>
      <c r="AE467" s="1">
        <f>O467*(1-P467)</f>
        <v>0</v>
      </c>
      <c r="AF467" s="1">
        <f t="shared" si="202"/>
        <v>0</v>
      </c>
      <c r="AG467" s="1">
        <f t="shared" si="203"/>
        <v>0</v>
      </c>
      <c r="AH467" s="1">
        <f t="shared" si="204"/>
        <v>0</v>
      </c>
      <c r="AI467" s="1">
        <f t="shared" si="205"/>
        <v>0</v>
      </c>
    </row>
    <row r="468" spans="1:35" ht="14.25" customHeight="1" x14ac:dyDescent="0.25">
      <c r="A468" s="34">
        <v>0</v>
      </c>
      <c r="B468" s="34">
        <v>2</v>
      </c>
      <c r="C468" s="34">
        <v>7</v>
      </c>
      <c r="D468" s="35" t="s">
        <v>1857</v>
      </c>
      <c r="E468" s="35" t="s">
        <v>1858</v>
      </c>
      <c r="F468" s="35" t="s">
        <v>1859</v>
      </c>
      <c r="G468" s="35" t="s">
        <v>266</v>
      </c>
      <c r="H468" s="35" t="s">
        <v>355</v>
      </c>
      <c r="I468" s="34" t="s">
        <v>1860</v>
      </c>
      <c r="J468" s="34">
        <v>99</v>
      </c>
      <c r="K468" s="36" t="s">
        <v>707</v>
      </c>
      <c r="L468" s="36"/>
      <c r="M468" s="37"/>
      <c r="N468" s="37" t="s">
        <v>1734</v>
      </c>
      <c r="O468" s="38">
        <v>1</v>
      </c>
      <c r="P468" s="38">
        <v>1</v>
      </c>
      <c r="Q468" s="35"/>
      <c r="S468" s="1">
        <f t="shared" si="208"/>
        <v>0</v>
      </c>
      <c r="T468" s="1">
        <f t="shared" si="209"/>
        <v>0</v>
      </c>
      <c r="U468" s="1">
        <f t="shared" si="210"/>
        <v>0</v>
      </c>
      <c r="V468" s="1">
        <f t="shared" si="211"/>
        <v>0</v>
      </c>
      <c r="W468" s="1">
        <f t="shared" si="212"/>
        <v>0</v>
      </c>
      <c r="X468" s="1">
        <f t="shared" si="213"/>
        <v>0</v>
      </c>
      <c r="Y468" s="1">
        <f t="shared" si="214"/>
        <v>0</v>
      </c>
      <c r="Z468" s="1">
        <f t="shared" si="215"/>
        <v>0</v>
      </c>
      <c r="AA468" s="1">
        <f t="shared" si="216"/>
        <v>0</v>
      </c>
      <c r="AB468" s="1">
        <f t="shared" si="217"/>
        <v>0</v>
      </c>
      <c r="AD468" s="1">
        <f>+O468*P468</f>
        <v>1</v>
      </c>
      <c r="AE468" s="1">
        <f>O468*(1-P468)</f>
        <v>0</v>
      </c>
      <c r="AF468" s="1">
        <f t="shared" si="202"/>
        <v>1</v>
      </c>
      <c r="AG468" s="1">
        <f t="shared" si="203"/>
        <v>0</v>
      </c>
      <c r="AH468" s="1">
        <f t="shared" si="204"/>
        <v>1</v>
      </c>
      <c r="AI468" s="1">
        <f t="shared" si="205"/>
        <v>0</v>
      </c>
    </row>
    <row r="469" spans="1:35" ht="14.25" customHeight="1" x14ac:dyDescent="0.25">
      <c r="A469" s="47">
        <v>0</v>
      </c>
      <c r="B469" s="47">
        <v>2</v>
      </c>
      <c r="C469" s="47">
        <v>7</v>
      </c>
      <c r="D469" s="48" t="s">
        <v>1250</v>
      </c>
      <c r="E469" s="48" t="s">
        <v>28</v>
      </c>
      <c r="F469" s="48" t="s">
        <v>1243</v>
      </c>
      <c r="G469" s="48" t="s">
        <v>1244</v>
      </c>
      <c r="H469" s="48" t="s">
        <v>355</v>
      </c>
      <c r="I469" s="47" t="s">
        <v>1245</v>
      </c>
      <c r="J469" s="47">
        <v>99</v>
      </c>
      <c r="K469" s="49" t="s">
        <v>716</v>
      </c>
      <c r="L469" s="49" t="s">
        <v>717</v>
      </c>
      <c r="M469" s="50" t="s">
        <v>735</v>
      </c>
      <c r="N469" s="50" t="s">
        <v>1742</v>
      </c>
      <c r="O469" s="51"/>
      <c r="P469" s="51"/>
      <c r="Q469" s="48"/>
      <c r="S469" s="1">
        <f t="shared" si="208"/>
        <v>0</v>
      </c>
      <c r="T469" s="1">
        <f t="shared" si="209"/>
        <v>0</v>
      </c>
      <c r="U469" s="1">
        <f t="shared" si="210"/>
        <v>0</v>
      </c>
      <c r="V469" s="1">
        <f t="shared" si="211"/>
        <v>0</v>
      </c>
      <c r="W469" s="1">
        <f t="shared" si="212"/>
        <v>0</v>
      </c>
      <c r="X469" s="1">
        <f t="shared" si="213"/>
        <v>0</v>
      </c>
      <c r="Y469" s="1">
        <f t="shared" si="214"/>
        <v>0</v>
      </c>
      <c r="Z469" s="1">
        <f t="shared" si="215"/>
        <v>0</v>
      </c>
      <c r="AA469" s="1">
        <f t="shared" si="216"/>
        <v>0</v>
      </c>
      <c r="AB469" s="1">
        <f t="shared" si="217"/>
        <v>0</v>
      </c>
      <c r="AD469" s="1">
        <f t="shared" ref="AD469:AD476" si="218">+O469*P469</f>
        <v>0</v>
      </c>
      <c r="AE469" s="1">
        <f t="shared" ref="AE469:AE476" si="219">O469*(1-P469)</f>
        <v>0</v>
      </c>
      <c r="AF469" s="1">
        <f t="shared" si="202"/>
        <v>0</v>
      </c>
      <c r="AG469" s="1">
        <f t="shared" si="203"/>
        <v>0</v>
      </c>
      <c r="AH469" s="1">
        <f t="shared" si="204"/>
        <v>0</v>
      </c>
      <c r="AI469" s="1">
        <f t="shared" si="205"/>
        <v>1</v>
      </c>
    </row>
    <row r="470" spans="1:35" ht="14.25" customHeight="1" x14ac:dyDescent="0.25">
      <c r="A470" s="47">
        <v>1</v>
      </c>
      <c r="B470" s="47">
        <v>2</v>
      </c>
      <c r="C470" s="47">
        <v>7</v>
      </c>
      <c r="D470" s="48" t="s">
        <v>1247</v>
      </c>
      <c r="E470" s="48" t="s">
        <v>28</v>
      </c>
      <c r="F470" s="48" t="s">
        <v>1248</v>
      </c>
      <c r="G470" s="48" t="s">
        <v>525</v>
      </c>
      <c r="H470" s="48" t="s">
        <v>355</v>
      </c>
      <c r="I470" s="47" t="s">
        <v>1249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1742</v>
      </c>
      <c r="O470" s="51"/>
      <c r="P470" s="51"/>
      <c r="Q470" s="48"/>
      <c r="S470" s="1">
        <f t="shared" si="208"/>
        <v>0</v>
      </c>
      <c r="T470" s="1">
        <f t="shared" si="209"/>
        <v>0</v>
      </c>
      <c r="U470" s="1">
        <f t="shared" si="210"/>
        <v>0</v>
      </c>
      <c r="V470" s="1">
        <f t="shared" si="211"/>
        <v>0</v>
      </c>
      <c r="W470" s="1">
        <f t="shared" si="212"/>
        <v>0</v>
      </c>
      <c r="X470" s="1">
        <f t="shared" si="213"/>
        <v>0</v>
      </c>
      <c r="Y470" s="1">
        <f t="shared" si="214"/>
        <v>0</v>
      </c>
      <c r="Z470" s="1">
        <f t="shared" si="215"/>
        <v>0</v>
      </c>
      <c r="AA470" s="1">
        <f t="shared" si="216"/>
        <v>0</v>
      </c>
      <c r="AB470" s="1">
        <f t="shared" si="217"/>
        <v>0</v>
      </c>
      <c r="AD470" s="1">
        <f t="shared" si="218"/>
        <v>0</v>
      </c>
      <c r="AE470" s="1">
        <f t="shared" si="219"/>
        <v>0</v>
      </c>
      <c r="AF470" s="1">
        <f t="shared" si="202"/>
        <v>0</v>
      </c>
      <c r="AG470" s="1">
        <f t="shared" si="203"/>
        <v>0</v>
      </c>
      <c r="AH470" s="1">
        <f t="shared" si="204"/>
        <v>0</v>
      </c>
      <c r="AI470" s="1">
        <f t="shared" si="205"/>
        <v>0</v>
      </c>
    </row>
    <row r="471" spans="1:35" ht="14.25" customHeight="1" x14ac:dyDescent="0.25">
      <c r="A471" s="34">
        <v>0</v>
      </c>
      <c r="B471" s="34">
        <v>2</v>
      </c>
      <c r="C471" s="34">
        <v>7</v>
      </c>
      <c r="D471" s="35" t="s">
        <v>1853</v>
      </c>
      <c r="E471" s="35" t="s">
        <v>1175</v>
      </c>
      <c r="F471" s="35" t="s">
        <v>1854</v>
      </c>
      <c r="G471" s="35"/>
      <c r="H471" s="35" t="s">
        <v>355</v>
      </c>
      <c r="I471" s="34" t="s">
        <v>1855</v>
      </c>
      <c r="J471" s="34">
        <v>6</v>
      </c>
      <c r="K471" s="36" t="s">
        <v>707</v>
      </c>
      <c r="L471" s="36"/>
      <c r="M471" s="37"/>
      <c r="N471" s="37" t="s">
        <v>1755</v>
      </c>
      <c r="O471" s="38">
        <v>1</v>
      </c>
      <c r="P471" s="38"/>
      <c r="Q471" s="35"/>
      <c r="S471" s="1">
        <f t="shared" si="208"/>
        <v>0</v>
      </c>
      <c r="T471" s="1">
        <f t="shared" si="209"/>
        <v>0</v>
      </c>
      <c r="U471" s="1">
        <f t="shared" si="210"/>
        <v>0</v>
      </c>
      <c r="V471" s="1">
        <f t="shared" si="211"/>
        <v>0</v>
      </c>
      <c r="W471" s="1">
        <f t="shared" si="212"/>
        <v>0</v>
      </c>
      <c r="X471" s="1">
        <f t="shared" si="213"/>
        <v>1</v>
      </c>
      <c r="Y471" s="1">
        <f t="shared" si="214"/>
        <v>0</v>
      </c>
      <c r="Z471" s="1">
        <f t="shared" si="215"/>
        <v>0</v>
      </c>
      <c r="AA471" s="1">
        <f t="shared" si="216"/>
        <v>0</v>
      </c>
      <c r="AB471" s="1">
        <f t="shared" si="217"/>
        <v>0</v>
      </c>
      <c r="AD471" s="1">
        <f t="shared" si="218"/>
        <v>0</v>
      </c>
      <c r="AE471" s="1">
        <f t="shared" si="219"/>
        <v>1</v>
      </c>
      <c r="AF471" s="1">
        <f t="shared" si="202"/>
        <v>0</v>
      </c>
      <c r="AG471" s="1">
        <f t="shared" si="203"/>
        <v>1</v>
      </c>
      <c r="AH471" s="1">
        <f t="shared" si="204"/>
        <v>0</v>
      </c>
      <c r="AI471" s="1">
        <f t="shared" si="205"/>
        <v>1</v>
      </c>
    </row>
    <row r="472" spans="1:35" ht="14.25" customHeight="1" x14ac:dyDescent="0.25">
      <c r="A472" s="47">
        <v>0</v>
      </c>
      <c r="B472" s="47">
        <v>2</v>
      </c>
      <c r="C472" s="47">
        <v>7</v>
      </c>
      <c r="D472" s="48" t="s">
        <v>1465</v>
      </c>
      <c r="E472" s="48" t="s">
        <v>28</v>
      </c>
      <c r="F472" s="48" t="s">
        <v>1466</v>
      </c>
      <c r="G472" s="48" t="s">
        <v>1467</v>
      </c>
      <c r="H472" s="48" t="s">
        <v>355</v>
      </c>
      <c r="I472" s="47" t="s">
        <v>1468</v>
      </c>
      <c r="J472" s="47">
        <v>99</v>
      </c>
      <c r="K472" s="49" t="s">
        <v>716</v>
      </c>
      <c r="L472" s="49" t="s">
        <v>717</v>
      </c>
      <c r="M472" s="50" t="s">
        <v>735</v>
      </c>
      <c r="N472" s="50" t="s">
        <v>1742</v>
      </c>
      <c r="O472" s="51"/>
      <c r="P472" s="51"/>
      <c r="Q472" s="48" t="s">
        <v>1938</v>
      </c>
      <c r="S472" s="1">
        <f t="shared" si="208"/>
        <v>0</v>
      </c>
      <c r="T472" s="1">
        <f t="shared" si="209"/>
        <v>0</v>
      </c>
      <c r="U472" s="1">
        <f t="shared" si="210"/>
        <v>0</v>
      </c>
      <c r="V472" s="1">
        <f t="shared" si="211"/>
        <v>0</v>
      </c>
      <c r="W472" s="1">
        <f t="shared" si="212"/>
        <v>0</v>
      </c>
      <c r="X472" s="1">
        <f t="shared" si="213"/>
        <v>0</v>
      </c>
      <c r="Y472" s="1">
        <f t="shared" si="214"/>
        <v>0</v>
      </c>
      <c r="Z472" s="1">
        <f t="shared" si="215"/>
        <v>0</v>
      </c>
      <c r="AA472" s="1">
        <f t="shared" si="216"/>
        <v>0</v>
      </c>
      <c r="AB472" s="1">
        <f t="shared" si="217"/>
        <v>0</v>
      </c>
      <c r="AD472" s="1">
        <f t="shared" si="218"/>
        <v>0</v>
      </c>
      <c r="AE472" s="1">
        <f t="shared" si="219"/>
        <v>0</v>
      </c>
      <c r="AF472" s="1">
        <f t="shared" si="202"/>
        <v>0</v>
      </c>
      <c r="AG472" s="1">
        <f t="shared" si="203"/>
        <v>0</v>
      </c>
      <c r="AH472" s="1">
        <f t="shared" si="204"/>
        <v>0</v>
      </c>
      <c r="AI472" s="1">
        <f t="shared" si="205"/>
        <v>1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43</v>
      </c>
      <c r="E473" s="35" t="s">
        <v>543</v>
      </c>
      <c r="F473" s="35" t="s">
        <v>577</v>
      </c>
      <c r="G473" s="35" t="s">
        <v>236</v>
      </c>
      <c r="H473" s="35" t="s">
        <v>355</v>
      </c>
      <c r="I473" s="34" t="s">
        <v>584</v>
      </c>
      <c r="J473" s="34">
        <v>99</v>
      </c>
      <c r="K473" s="36" t="s">
        <v>716</v>
      </c>
      <c r="L473" s="36" t="s">
        <v>733</v>
      </c>
      <c r="M473" s="37" t="s">
        <v>1447</v>
      </c>
      <c r="N473" s="37" t="s">
        <v>1755</v>
      </c>
      <c r="O473" s="38">
        <v>1</v>
      </c>
      <c r="P473" s="38"/>
      <c r="Q473" s="35"/>
      <c r="S473" s="1">
        <f t="shared" si="208"/>
        <v>0</v>
      </c>
      <c r="T473" s="1">
        <f t="shared" si="209"/>
        <v>0</v>
      </c>
      <c r="U473" s="1">
        <f t="shared" si="210"/>
        <v>0</v>
      </c>
      <c r="V473" s="1">
        <f t="shared" si="211"/>
        <v>0</v>
      </c>
      <c r="W473" s="1">
        <f t="shared" si="212"/>
        <v>0</v>
      </c>
      <c r="X473" s="1">
        <f t="shared" si="213"/>
        <v>0</v>
      </c>
      <c r="Y473" s="1">
        <f t="shared" si="214"/>
        <v>0</v>
      </c>
      <c r="Z473" s="1">
        <f t="shared" si="215"/>
        <v>0</v>
      </c>
      <c r="AA473" s="1">
        <f t="shared" si="216"/>
        <v>0</v>
      </c>
      <c r="AB473" s="1">
        <f t="shared" si="217"/>
        <v>0</v>
      </c>
      <c r="AD473" s="1">
        <f t="shared" si="218"/>
        <v>0</v>
      </c>
      <c r="AE473" s="1">
        <f t="shared" si="219"/>
        <v>1</v>
      </c>
      <c r="AF473" s="1">
        <f t="shared" si="202"/>
        <v>0</v>
      </c>
      <c r="AG473" s="1">
        <f t="shared" si="203"/>
        <v>1</v>
      </c>
      <c r="AH473" s="1">
        <f t="shared" si="204"/>
        <v>0</v>
      </c>
      <c r="AI473" s="1">
        <f t="shared" si="205"/>
        <v>1</v>
      </c>
    </row>
    <row r="474" spans="1:35" ht="14.25" customHeight="1" x14ac:dyDescent="0.25">
      <c r="A474" s="34">
        <v>1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272</v>
      </c>
      <c r="G474" s="35" t="s">
        <v>181</v>
      </c>
      <c r="H474" s="35" t="s">
        <v>355</v>
      </c>
      <c r="I474" s="34" t="s">
        <v>427</v>
      </c>
      <c r="J474" s="34">
        <v>10</v>
      </c>
      <c r="K474" s="36" t="s">
        <v>716</v>
      </c>
      <c r="L474" s="36" t="s">
        <v>733</v>
      </c>
      <c r="M474" s="37" t="s">
        <v>1447</v>
      </c>
      <c r="N474" s="37" t="s">
        <v>1755</v>
      </c>
      <c r="O474" s="38">
        <v>1</v>
      </c>
      <c r="P474" s="38"/>
      <c r="Q474" s="35"/>
      <c r="S474" s="1">
        <f t="shared" si="208"/>
        <v>0</v>
      </c>
      <c r="T474" s="1">
        <f t="shared" si="209"/>
        <v>0</v>
      </c>
      <c r="U474" s="1">
        <f t="shared" si="210"/>
        <v>0</v>
      </c>
      <c r="V474" s="1">
        <f t="shared" si="211"/>
        <v>0</v>
      </c>
      <c r="W474" s="1">
        <f t="shared" si="212"/>
        <v>0</v>
      </c>
      <c r="X474" s="1">
        <f t="shared" si="213"/>
        <v>0</v>
      </c>
      <c r="Y474" s="1">
        <f t="shared" si="214"/>
        <v>0</v>
      </c>
      <c r="Z474" s="1">
        <f t="shared" si="215"/>
        <v>0</v>
      </c>
      <c r="AA474" s="1">
        <f t="shared" si="216"/>
        <v>0</v>
      </c>
      <c r="AB474" s="1">
        <f t="shared" si="217"/>
        <v>1</v>
      </c>
      <c r="AD474" s="1">
        <f t="shared" si="218"/>
        <v>0</v>
      </c>
      <c r="AE474" s="1">
        <f t="shared" si="219"/>
        <v>1</v>
      </c>
      <c r="AF474" s="1">
        <f t="shared" si="202"/>
        <v>0</v>
      </c>
      <c r="AG474" s="1">
        <f t="shared" si="203"/>
        <v>0</v>
      </c>
      <c r="AH474" s="1">
        <f t="shared" si="204"/>
        <v>0</v>
      </c>
      <c r="AI474" s="1">
        <f t="shared" si="205"/>
        <v>0</v>
      </c>
    </row>
    <row r="475" spans="1:35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543</v>
      </c>
      <c r="F475" s="35" t="s">
        <v>273</v>
      </c>
      <c r="G475" s="35" t="s">
        <v>39</v>
      </c>
      <c r="H475" s="35" t="s">
        <v>355</v>
      </c>
      <c r="I475" s="34" t="s">
        <v>428</v>
      </c>
      <c r="J475" s="34">
        <v>5</v>
      </c>
      <c r="K475" s="36" t="s">
        <v>716</v>
      </c>
      <c r="L475" s="36" t="s">
        <v>733</v>
      </c>
      <c r="M475" s="37" t="s">
        <v>1447</v>
      </c>
      <c r="N475" s="37" t="s">
        <v>1755</v>
      </c>
      <c r="O475" s="38">
        <v>1</v>
      </c>
      <c r="P475" s="38"/>
      <c r="Q475" s="35"/>
      <c r="S475" s="1">
        <f t="shared" si="208"/>
        <v>0</v>
      </c>
      <c r="T475" s="1">
        <f t="shared" si="209"/>
        <v>0</v>
      </c>
      <c r="U475" s="1">
        <f t="shared" si="210"/>
        <v>0</v>
      </c>
      <c r="V475" s="1">
        <f t="shared" si="211"/>
        <v>0</v>
      </c>
      <c r="W475" s="1">
        <f t="shared" si="212"/>
        <v>1</v>
      </c>
      <c r="X475" s="1">
        <f t="shared" si="213"/>
        <v>0</v>
      </c>
      <c r="Y475" s="1">
        <f t="shared" si="214"/>
        <v>0</v>
      </c>
      <c r="Z475" s="1">
        <f t="shared" si="215"/>
        <v>0</v>
      </c>
      <c r="AA475" s="1">
        <f t="shared" si="216"/>
        <v>0</v>
      </c>
      <c r="AB475" s="1">
        <f t="shared" si="217"/>
        <v>0</v>
      </c>
      <c r="AD475" s="1">
        <f t="shared" si="218"/>
        <v>0</v>
      </c>
      <c r="AE475" s="1">
        <f t="shared" si="219"/>
        <v>1</v>
      </c>
      <c r="AF475" s="1">
        <f t="shared" si="202"/>
        <v>0</v>
      </c>
      <c r="AG475" s="1">
        <f t="shared" si="203"/>
        <v>0</v>
      </c>
      <c r="AH475" s="1">
        <f t="shared" si="204"/>
        <v>0</v>
      </c>
      <c r="AI475" s="1">
        <f t="shared" si="205"/>
        <v>0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543</v>
      </c>
      <c r="F476" s="35" t="s">
        <v>277</v>
      </c>
      <c r="G476" s="35" t="s">
        <v>195</v>
      </c>
      <c r="H476" s="35" t="s">
        <v>355</v>
      </c>
      <c r="I476" s="34" t="s">
        <v>432</v>
      </c>
      <c r="J476" s="34">
        <v>9</v>
      </c>
      <c r="K476" s="36" t="s">
        <v>716</v>
      </c>
      <c r="L476" s="36" t="s">
        <v>733</v>
      </c>
      <c r="M476" s="37" t="s">
        <v>1447</v>
      </c>
      <c r="N476" s="37" t="s">
        <v>1755</v>
      </c>
      <c r="O476" s="38">
        <v>1</v>
      </c>
      <c r="P476" s="38"/>
      <c r="Q476" s="35"/>
      <c r="S476" s="1">
        <f t="shared" si="208"/>
        <v>0</v>
      </c>
      <c r="T476" s="1">
        <f t="shared" si="209"/>
        <v>0</v>
      </c>
      <c r="U476" s="1">
        <f t="shared" si="210"/>
        <v>0</v>
      </c>
      <c r="V476" s="1">
        <f t="shared" si="211"/>
        <v>0</v>
      </c>
      <c r="W476" s="1">
        <f t="shared" si="212"/>
        <v>0</v>
      </c>
      <c r="X476" s="1">
        <f t="shared" si="213"/>
        <v>0</v>
      </c>
      <c r="Y476" s="1">
        <f t="shared" si="214"/>
        <v>0</v>
      </c>
      <c r="Z476" s="1">
        <f t="shared" si="215"/>
        <v>0</v>
      </c>
      <c r="AA476" s="1">
        <f t="shared" si="216"/>
        <v>1</v>
      </c>
      <c r="AB476" s="1">
        <f t="shared" si="217"/>
        <v>0</v>
      </c>
      <c r="AD476" s="1">
        <f t="shared" si="218"/>
        <v>0</v>
      </c>
      <c r="AE476" s="1">
        <f t="shared" si="219"/>
        <v>1</v>
      </c>
      <c r="AF476" s="1">
        <f t="shared" si="202"/>
        <v>0</v>
      </c>
      <c r="AG476" s="1">
        <f t="shared" si="203"/>
        <v>0</v>
      </c>
      <c r="AH476" s="1">
        <f t="shared" si="204"/>
        <v>0</v>
      </c>
      <c r="AI476" s="1">
        <f t="shared" si="205"/>
        <v>0</v>
      </c>
    </row>
    <row r="477" spans="1:35" ht="14.25" customHeight="1" x14ac:dyDescent="0.25">
      <c r="A477" s="47">
        <v>0</v>
      </c>
      <c r="B477" s="47">
        <v>2</v>
      </c>
      <c r="C477" s="47">
        <v>7</v>
      </c>
      <c r="D477" s="48" t="s">
        <v>1568</v>
      </c>
      <c r="E477" s="48" t="s">
        <v>28</v>
      </c>
      <c r="F477" s="48" t="s">
        <v>1569</v>
      </c>
      <c r="G477" s="48" t="s">
        <v>239</v>
      </c>
      <c r="H477" s="48" t="s">
        <v>355</v>
      </c>
      <c r="I477" s="47" t="s">
        <v>1702</v>
      </c>
      <c r="J477" s="47">
        <v>4</v>
      </c>
      <c r="K477" s="49" t="s">
        <v>717</v>
      </c>
      <c r="L477" s="49" t="s">
        <v>717</v>
      </c>
      <c r="M477" s="50" t="s">
        <v>735</v>
      </c>
      <c r="N477" s="50" t="s">
        <v>1742</v>
      </c>
      <c r="O477" s="51"/>
      <c r="P477" s="51"/>
      <c r="Q477" s="48"/>
      <c r="S477" s="1">
        <f t="shared" ref="S477:S478" si="220">IF(J477=$S$7,1,0)</f>
        <v>0</v>
      </c>
      <c r="T477" s="1">
        <f t="shared" ref="T477:T478" si="221">IF(J477=$T$7,1,0)</f>
        <v>0</v>
      </c>
      <c r="U477" s="1">
        <f t="shared" ref="U477:U478" si="222">IF(J477=$U$7,1,0)</f>
        <v>0</v>
      </c>
      <c r="V477" s="1">
        <f t="shared" ref="V477:V478" si="223">IF(J477=$V$7,1,0)</f>
        <v>1</v>
      </c>
      <c r="W477" s="1">
        <f t="shared" ref="W477:W478" si="224">IF(J477=$W$7,1,0)</f>
        <v>0</v>
      </c>
      <c r="X477" s="1">
        <f t="shared" ref="X477:X478" si="225">IF(J477=$X$7,1,0)</f>
        <v>0</v>
      </c>
      <c r="Y477" s="1">
        <f t="shared" ref="Y477:Y478" si="226">IF(J477=$Y$7,1,0)</f>
        <v>0</v>
      </c>
      <c r="Z477" s="1">
        <f t="shared" ref="Z477:Z478" si="227">IF(J477=$Z$7,1,0)</f>
        <v>0</v>
      </c>
      <c r="AA477" s="1">
        <f t="shared" ref="AA477:AA478" si="228">IF(J477=$AA$7,1,0)</f>
        <v>0</v>
      </c>
      <c r="AB477" s="1">
        <f t="shared" ref="AB477:AB478" si="229">IF(J477=$AB$7,1,0)</f>
        <v>0</v>
      </c>
      <c r="AD477" s="1">
        <f t="shared" ref="AD477:AD478" si="230">+O477*P477</f>
        <v>0</v>
      </c>
      <c r="AE477" s="1">
        <f t="shared" ref="AE477:AE478" si="231">O477*(1-P477)</f>
        <v>0</v>
      </c>
      <c r="AF477" s="1">
        <f t="shared" ref="AF477:AF478" si="232">+O477*P477*(1-A477)</f>
        <v>0</v>
      </c>
      <c r="AG477" s="1">
        <f t="shared" ref="AG477:AG478" si="233">O477*(1-P477)*(1-A477)</f>
        <v>0</v>
      </c>
      <c r="AH477" s="1">
        <f t="shared" ref="AH477:AH478" si="234">+P477*(1-A477)</f>
        <v>0</v>
      </c>
      <c r="AI477" s="1">
        <f t="shared" ref="AI477:AI478" si="235">+(1-A477)*(1-P477)</f>
        <v>1</v>
      </c>
    </row>
    <row r="478" spans="1:35" ht="14.25" customHeight="1" x14ac:dyDescent="0.25">
      <c r="A478" s="47">
        <v>0</v>
      </c>
      <c r="B478" s="47">
        <v>2</v>
      </c>
      <c r="C478" s="47">
        <v>7</v>
      </c>
      <c r="D478" s="48" t="s">
        <v>63</v>
      </c>
      <c r="E478" s="48" t="s">
        <v>44</v>
      </c>
      <c r="F478" s="48" t="s">
        <v>237</v>
      </c>
      <c r="G478" s="48" t="s">
        <v>201</v>
      </c>
      <c r="H478" s="48" t="s">
        <v>355</v>
      </c>
      <c r="I478" s="47" t="s">
        <v>403</v>
      </c>
      <c r="J478" s="47">
        <v>2</v>
      </c>
      <c r="K478" s="49" t="s">
        <v>717</v>
      </c>
      <c r="L478" s="49" t="s">
        <v>726</v>
      </c>
      <c r="M478" s="50" t="s">
        <v>739</v>
      </c>
      <c r="N478" s="50" t="s">
        <v>1742</v>
      </c>
      <c r="O478" s="51"/>
      <c r="P478" s="51"/>
      <c r="Q478" s="48"/>
      <c r="S478" s="1">
        <f t="shared" si="220"/>
        <v>0</v>
      </c>
      <c r="T478" s="1">
        <f t="shared" si="221"/>
        <v>1</v>
      </c>
      <c r="U478" s="1">
        <f t="shared" si="222"/>
        <v>0</v>
      </c>
      <c r="V478" s="1">
        <f t="shared" si="223"/>
        <v>0</v>
      </c>
      <c r="W478" s="1">
        <f t="shared" si="224"/>
        <v>0</v>
      </c>
      <c r="X478" s="1">
        <f t="shared" si="225"/>
        <v>0</v>
      </c>
      <c r="Y478" s="1">
        <f t="shared" si="226"/>
        <v>0</v>
      </c>
      <c r="Z478" s="1">
        <f t="shared" si="227"/>
        <v>0</v>
      </c>
      <c r="AA478" s="1">
        <f t="shared" si="228"/>
        <v>0</v>
      </c>
      <c r="AB478" s="1">
        <f t="shared" si="229"/>
        <v>0</v>
      </c>
      <c r="AD478" s="1">
        <f t="shared" si="230"/>
        <v>0</v>
      </c>
      <c r="AE478" s="1">
        <f t="shared" si="231"/>
        <v>0</v>
      </c>
      <c r="AF478" s="1">
        <f t="shared" si="232"/>
        <v>0</v>
      </c>
      <c r="AG478" s="1">
        <f t="shared" si="233"/>
        <v>0</v>
      </c>
      <c r="AH478" s="1">
        <f t="shared" si="234"/>
        <v>0</v>
      </c>
      <c r="AI478" s="1">
        <f t="shared" si="235"/>
        <v>1</v>
      </c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7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8">
    <sortCondition ref="B8:B478"/>
    <sortCondition ref="C8:C478"/>
    <sortCondition ref="D8:D478"/>
    <sortCondition ref="A8:A47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2026-06-05T17:59:28Z</dcterms:modified>
</cp:coreProperties>
</file>