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8AF9E17-4EC5-4517-8EF3-12E5FE6CDF6F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golose'!$A$7:$Q$505</definedName>
    <definedName name="_xlnm.Print_Area" localSheetId="0">'Tavole e pause golose'!$D$7:$I$187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92" i="6" l="1"/>
  <c r="AE392" i="6"/>
  <c r="AF392" i="6"/>
  <c r="AG392" i="6"/>
  <c r="S392" i="6"/>
  <c r="T392" i="6"/>
  <c r="U392" i="6"/>
  <c r="V392" i="6"/>
  <c r="W392" i="6"/>
  <c r="X392" i="6"/>
  <c r="Y392" i="6"/>
  <c r="Z392" i="6"/>
  <c r="AA392" i="6"/>
  <c r="AB392" i="6"/>
  <c r="AH392" i="6"/>
  <c r="AI392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S122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499" i="6" l="1"/>
  <c r="S498" i="6"/>
  <c r="AI499" i="6"/>
  <c r="AH499" i="6"/>
  <c r="AG499" i="6"/>
  <c r="AF499" i="6"/>
  <c r="AE499" i="6"/>
  <c r="AD499" i="6"/>
  <c r="AD498" i="6"/>
  <c r="AE498" i="6"/>
  <c r="AF498" i="6"/>
  <c r="AG498" i="6"/>
  <c r="AH498" i="6"/>
  <c r="AI498" i="6"/>
  <c r="AD292" i="6"/>
  <c r="AE292" i="6"/>
  <c r="AF292" i="6"/>
  <c r="AG292" i="6"/>
  <c r="AH292" i="6"/>
  <c r="AI292" i="6"/>
  <c r="S292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S123" i="6"/>
  <c r="S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2" i="6" s="1"/>
  <c r="T167" i="6" l="1"/>
  <c r="T331" i="6"/>
  <c r="T332" i="6"/>
  <c r="T333" i="6"/>
  <c r="T334" i="6"/>
  <c r="T335" i="6"/>
  <c r="T498" i="6"/>
  <c r="T499" i="6"/>
  <c r="T292" i="6"/>
  <c r="T55" i="6"/>
  <c r="T112" i="6"/>
  <c r="T205" i="6"/>
  <c r="T203" i="6"/>
  <c r="T204" i="6"/>
  <c r="T202" i="6"/>
  <c r="T173" i="6"/>
  <c r="T172" i="6"/>
  <c r="T171" i="6"/>
  <c r="T170" i="6"/>
  <c r="T169" i="6"/>
  <c r="T168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7" i="6"/>
  <c r="T135" i="6"/>
  <c r="T102" i="6"/>
  <c r="T119" i="6"/>
  <c r="T144" i="6"/>
  <c r="T148" i="6"/>
  <c r="T111" i="6"/>
  <c r="T132" i="6"/>
  <c r="T164" i="6"/>
  <c r="T104" i="6"/>
  <c r="T121" i="6"/>
  <c r="T140" i="6"/>
  <c r="T114" i="6"/>
  <c r="T129" i="6"/>
  <c r="T137" i="6"/>
  <c r="T106" i="6"/>
  <c r="T124" i="6"/>
  <c r="T143" i="6"/>
  <c r="T147" i="6"/>
  <c r="T151" i="6"/>
  <c r="T155" i="6"/>
  <c r="T159" i="6"/>
  <c r="T163" i="6"/>
  <c r="T99" i="6"/>
  <c r="T116" i="6"/>
  <c r="T134" i="6"/>
  <c r="T108" i="6"/>
  <c r="T126" i="6"/>
  <c r="T101" i="6"/>
  <c r="T118" i="6"/>
  <c r="T131" i="6"/>
  <c r="T139" i="6"/>
  <c r="T110" i="6"/>
  <c r="T142" i="6"/>
  <c r="T146" i="6"/>
  <c r="T150" i="6"/>
  <c r="T154" i="6"/>
  <c r="T158" i="6"/>
  <c r="T162" i="6"/>
  <c r="T103" i="6"/>
  <c r="T120" i="6"/>
  <c r="T128" i="6"/>
  <c r="T136" i="6"/>
  <c r="T113" i="6"/>
  <c r="T105" i="6"/>
  <c r="T123" i="6"/>
  <c r="T133" i="6"/>
  <c r="T166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115" i="6"/>
  <c r="T145" i="6"/>
  <c r="T149" i="6"/>
  <c r="T153" i="6"/>
  <c r="T157" i="6"/>
  <c r="T161" i="6"/>
  <c r="T107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3" i="6"/>
  <c r="T294" i="6"/>
  <c r="T295" i="6"/>
  <c r="T296" i="6"/>
  <c r="T297" i="6"/>
  <c r="T298" i="6"/>
  <c r="T299" i="6"/>
  <c r="T300" i="6"/>
  <c r="T301" i="6"/>
  <c r="T117" i="6"/>
  <c r="T125" i="6"/>
  <c r="T138" i="6"/>
  <c r="T165" i="6"/>
  <c r="T130" i="6"/>
  <c r="T141" i="6"/>
  <c r="T100" i="6"/>
  <c r="T160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156" i="6"/>
  <c r="T152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505" i="6"/>
  <c r="T504" i="6"/>
  <c r="T503" i="6"/>
  <c r="T502" i="6"/>
  <c r="T501" i="6"/>
  <c r="T500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9" i="6"/>
  <c r="T11" i="6"/>
  <c r="U7" i="6"/>
  <c r="U122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31" i="6" l="1"/>
  <c r="U332" i="6"/>
  <c r="U333" i="6"/>
  <c r="U334" i="6"/>
  <c r="U335" i="6"/>
  <c r="U292" i="6"/>
  <c r="U499" i="6"/>
  <c r="U498" i="6"/>
  <c r="U112" i="6"/>
  <c r="U55" i="6"/>
  <c r="U167" i="6"/>
  <c r="U168" i="6"/>
  <c r="U169" i="6"/>
  <c r="U170" i="6"/>
  <c r="U171" i="6"/>
  <c r="U172" i="6"/>
  <c r="U173" i="6"/>
  <c r="U205" i="6"/>
  <c r="U202" i="6"/>
  <c r="U203" i="6"/>
  <c r="U204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5" i="6"/>
  <c r="U109" i="6"/>
  <c r="U127" i="6"/>
  <c r="U135" i="6"/>
  <c r="U102" i="6"/>
  <c r="U119" i="6"/>
  <c r="U144" i="6"/>
  <c r="U148" i="6"/>
  <c r="U152" i="6"/>
  <c r="U156" i="6"/>
  <c r="U160" i="6"/>
  <c r="U111" i="6"/>
  <c r="U132" i="6"/>
  <c r="U164" i="6"/>
  <c r="U56" i="6"/>
  <c r="U104" i="6"/>
  <c r="U121" i="6"/>
  <c r="U140" i="6"/>
  <c r="U42" i="6"/>
  <c r="U80" i="6"/>
  <c r="U114" i="6"/>
  <c r="U129" i="6"/>
  <c r="U137" i="6"/>
  <c r="U40" i="6"/>
  <c r="U106" i="6"/>
  <c r="U124" i="6"/>
  <c r="U143" i="6"/>
  <c r="U147" i="6"/>
  <c r="U151" i="6"/>
  <c r="U155" i="6"/>
  <c r="U159" i="6"/>
  <c r="U163" i="6"/>
  <c r="U38" i="6"/>
  <c r="U99" i="6"/>
  <c r="U116" i="6"/>
  <c r="U134" i="6"/>
  <c r="U36" i="6"/>
  <c r="U108" i="6"/>
  <c r="U126" i="6"/>
  <c r="U34" i="6"/>
  <c r="U47" i="6"/>
  <c r="U101" i="6"/>
  <c r="U118" i="6"/>
  <c r="U131" i="6"/>
  <c r="U139" i="6"/>
  <c r="U32" i="6"/>
  <c r="U72" i="6"/>
  <c r="U110" i="6"/>
  <c r="U142" i="6"/>
  <c r="U146" i="6"/>
  <c r="U150" i="6"/>
  <c r="U154" i="6"/>
  <c r="U158" i="6"/>
  <c r="U162" i="6"/>
  <c r="U30" i="6"/>
  <c r="U103" i="6"/>
  <c r="U120" i="6"/>
  <c r="U128" i="6"/>
  <c r="U136" i="6"/>
  <c r="U28" i="6"/>
  <c r="U113" i="6"/>
  <c r="U26" i="6"/>
  <c r="U105" i="6"/>
  <c r="U123" i="6"/>
  <c r="U133" i="6"/>
  <c r="U166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64" i="6"/>
  <c r="U107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3" i="6"/>
  <c r="U294" i="6"/>
  <c r="U295" i="6"/>
  <c r="U296" i="6"/>
  <c r="U297" i="6"/>
  <c r="U298" i="6"/>
  <c r="U299" i="6"/>
  <c r="U300" i="6"/>
  <c r="U115" i="6"/>
  <c r="U125" i="6"/>
  <c r="U138" i="6"/>
  <c r="U149" i="6"/>
  <c r="U153" i="6"/>
  <c r="U157" i="6"/>
  <c r="U161" i="6"/>
  <c r="U145" i="6"/>
  <c r="U130" i="6"/>
  <c r="U141" i="6"/>
  <c r="U24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98" i="6"/>
  <c r="U359" i="6"/>
  <c r="U375" i="6"/>
  <c r="U364" i="6"/>
  <c r="U369" i="6"/>
  <c r="U374" i="6"/>
  <c r="U355" i="6"/>
  <c r="U363" i="6"/>
  <c r="U358" i="6"/>
  <c r="U368" i="6"/>
  <c r="U373" i="6"/>
  <c r="U370" i="6"/>
  <c r="U362" i="6"/>
  <c r="U36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354" i="6"/>
  <c r="U372" i="6"/>
  <c r="U357" i="6"/>
  <c r="U361" i="6"/>
  <c r="U377" i="6"/>
  <c r="U366" i="6"/>
  <c r="U371" i="6"/>
  <c r="U360" i="6"/>
  <c r="U376" i="6"/>
  <c r="U365" i="6"/>
  <c r="U356" i="6"/>
  <c r="U488" i="6"/>
  <c r="U492" i="6"/>
  <c r="U494" i="6"/>
  <c r="U496" i="6"/>
  <c r="U500" i="6"/>
  <c r="U501" i="6"/>
  <c r="U502" i="6"/>
  <c r="U504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9" i="6"/>
  <c r="U490" i="6"/>
  <c r="U491" i="6"/>
  <c r="U493" i="6"/>
  <c r="U495" i="6"/>
  <c r="U497" i="6"/>
  <c r="U503" i="6"/>
  <c r="U505" i="6"/>
  <c r="V7" i="6"/>
  <c r="V122" i="6" s="1"/>
  <c r="U9" i="6"/>
  <c r="U11" i="6"/>
  <c r="U10" i="6"/>
  <c r="U8" i="6"/>
  <c r="U12" i="6"/>
  <c r="F5" i="6"/>
  <c r="G5" i="6"/>
  <c r="E5" i="6"/>
  <c r="H4" i="6"/>
  <c r="H3" i="6"/>
  <c r="T5" i="6"/>
  <c r="V331" i="6" l="1"/>
  <c r="V332" i="6"/>
  <c r="V333" i="6"/>
  <c r="V334" i="6"/>
  <c r="V335" i="6"/>
  <c r="V292" i="6"/>
  <c r="V499" i="6"/>
  <c r="V498" i="6"/>
  <c r="V112" i="6"/>
  <c r="V55" i="6"/>
  <c r="V167" i="6"/>
  <c r="V168" i="6"/>
  <c r="V169" i="6"/>
  <c r="V170" i="6"/>
  <c r="V171" i="6"/>
  <c r="V172" i="6"/>
  <c r="V173" i="6"/>
  <c r="V202" i="6"/>
  <c r="V203" i="6"/>
  <c r="V204" i="6"/>
  <c r="V205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97" i="6"/>
  <c r="V96" i="6"/>
  <c r="V95" i="6"/>
  <c r="V94" i="6"/>
  <c r="V93" i="6"/>
  <c r="V92" i="6"/>
  <c r="V164" i="6"/>
  <c r="V91" i="6"/>
  <c r="V163" i="6"/>
  <c r="V235" i="6"/>
  <c r="V181" i="6"/>
  <c r="V189" i="6"/>
  <c r="V197" i="6"/>
  <c r="V206" i="6"/>
  <c r="V214" i="6"/>
  <c r="V222" i="6"/>
  <c r="V178" i="6"/>
  <c r="V186" i="6"/>
  <c r="V194" i="6"/>
  <c r="V211" i="6"/>
  <c r="V219" i="6"/>
  <c r="V227" i="6"/>
  <c r="V234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30" i="6"/>
  <c r="V239" i="6"/>
  <c r="V175" i="6"/>
  <c r="V183" i="6"/>
  <c r="V191" i="6"/>
  <c r="V199" i="6"/>
  <c r="V208" i="6"/>
  <c r="V216" i="6"/>
  <c r="V165" i="6"/>
  <c r="V180" i="6"/>
  <c r="V188" i="6"/>
  <c r="V196" i="6"/>
  <c r="V213" i="6"/>
  <c r="V221" i="6"/>
  <c r="V233" i="6"/>
  <c r="V238" i="6"/>
  <c r="V177" i="6"/>
  <c r="V185" i="6"/>
  <c r="V193" i="6"/>
  <c r="V201" i="6"/>
  <c r="V210" i="6"/>
  <c r="V218" i="6"/>
  <c r="V226" i="6"/>
  <c r="V229" i="6"/>
  <c r="V237" i="6"/>
  <c r="V174" i="6"/>
  <c r="V182" i="6"/>
  <c r="V190" i="6"/>
  <c r="V198" i="6"/>
  <c r="V207" i="6"/>
  <c r="V215" i="6"/>
  <c r="V223" i="6"/>
  <c r="V232" i="6"/>
  <c r="V179" i="6"/>
  <c r="V187" i="6"/>
  <c r="V195" i="6"/>
  <c r="V228" i="6"/>
  <c r="V176" i="6"/>
  <c r="V231" i="6"/>
  <c r="V296" i="6"/>
  <c r="V293" i="6"/>
  <c r="V299" i="6"/>
  <c r="V225" i="6"/>
  <c r="V289" i="6"/>
  <c r="V192" i="6"/>
  <c r="V217" i="6"/>
  <c r="V298" i="6"/>
  <c r="V291" i="6"/>
  <c r="V209" i="6"/>
  <c r="V236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184" i="6"/>
  <c r="V224" i="6"/>
  <c r="V220" i="6"/>
  <c r="V294" i="6"/>
  <c r="V297" i="6"/>
  <c r="V300" i="6"/>
  <c r="V200" i="6"/>
  <c r="V212" i="6"/>
  <c r="V295" i="6"/>
  <c r="V290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166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500" i="6"/>
  <c r="V501" i="6"/>
  <c r="V502" i="6"/>
  <c r="V503" i="6"/>
  <c r="V504" i="6"/>
  <c r="V505" i="6"/>
  <c r="V12" i="6"/>
  <c r="V9" i="6"/>
  <c r="W7" i="6"/>
  <c r="W122" i="6" s="1"/>
  <c r="V10" i="6"/>
  <c r="V11" i="6"/>
  <c r="V8" i="6"/>
  <c r="U5" i="6"/>
  <c r="H5" i="6"/>
  <c r="W331" i="6" l="1"/>
  <c r="W332" i="6"/>
  <c r="W333" i="6"/>
  <c r="W334" i="6"/>
  <c r="W335" i="6"/>
  <c r="W292" i="6"/>
  <c r="W499" i="6"/>
  <c r="W498" i="6"/>
  <c r="W112" i="6"/>
  <c r="W55" i="6"/>
  <c r="W167" i="6"/>
  <c r="W168" i="6"/>
  <c r="W169" i="6"/>
  <c r="W170" i="6"/>
  <c r="W171" i="6"/>
  <c r="W172" i="6"/>
  <c r="W173" i="6"/>
  <c r="W202" i="6"/>
  <c r="W203" i="6"/>
  <c r="W204" i="6"/>
  <c r="W205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90" i="6"/>
  <c r="W97" i="6"/>
  <c r="W96" i="6"/>
  <c r="W95" i="6"/>
  <c r="W94" i="6"/>
  <c r="W93" i="6"/>
  <c r="W92" i="6"/>
  <c r="W91" i="6"/>
  <c r="W176" i="6"/>
  <c r="W184" i="6"/>
  <c r="W192" i="6"/>
  <c r="W200" i="6"/>
  <c r="W209" i="6"/>
  <c r="W217" i="6"/>
  <c r="W225" i="6"/>
  <c r="W231" i="6"/>
  <c r="W235" i="6"/>
  <c r="W181" i="6"/>
  <c r="W189" i="6"/>
  <c r="W197" i="6"/>
  <c r="W206" i="6"/>
  <c r="W214" i="6"/>
  <c r="W222" i="6"/>
  <c r="W178" i="6"/>
  <c r="W186" i="6"/>
  <c r="W194" i="6"/>
  <c r="W211" i="6"/>
  <c r="W219" i="6"/>
  <c r="W227" i="6"/>
  <c r="W234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3" i="6"/>
  <c r="W294" i="6"/>
  <c r="W175" i="6"/>
  <c r="W183" i="6"/>
  <c r="W191" i="6"/>
  <c r="W199" i="6"/>
  <c r="W208" i="6"/>
  <c r="W216" i="6"/>
  <c r="W224" i="6"/>
  <c r="W180" i="6"/>
  <c r="W188" i="6"/>
  <c r="W196" i="6"/>
  <c r="W213" i="6"/>
  <c r="W221" i="6"/>
  <c r="W233" i="6"/>
  <c r="W238" i="6"/>
  <c r="W177" i="6"/>
  <c r="W185" i="6"/>
  <c r="W193" i="6"/>
  <c r="W201" i="6"/>
  <c r="W210" i="6"/>
  <c r="W218" i="6"/>
  <c r="W226" i="6"/>
  <c r="W229" i="6"/>
  <c r="W237" i="6"/>
  <c r="W174" i="6"/>
  <c r="W182" i="6"/>
  <c r="W190" i="6"/>
  <c r="W198" i="6"/>
  <c r="W207" i="6"/>
  <c r="W215" i="6"/>
  <c r="W223" i="6"/>
  <c r="W232" i="6"/>
  <c r="W179" i="6"/>
  <c r="W187" i="6"/>
  <c r="W195" i="6"/>
  <c r="W212" i="6"/>
  <c r="W220" i="6"/>
  <c r="W236" i="6"/>
  <c r="W239" i="6"/>
  <c r="W296" i="6"/>
  <c r="W299" i="6"/>
  <c r="W295" i="6"/>
  <c r="W298" i="6"/>
  <c r="W230" i="6"/>
  <c r="W228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297" i="6"/>
  <c r="W356" i="6"/>
  <c r="W370" i="6"/>
  <c r="W359" i="6"/>
  <c r="W375" i="6"/>
  <c r="W364" i="6"/>
  <c r="W369" i="6"/>
  <c r="W374" i="6"/>
  <c r="W355" i="6"/>
  <c r="W363" i="6"/>
  <c r="W358" i="6"/>
  <c r="W368" i="6"/>
  <c r="W373" i="6"/>
  <c r="W300" i="6"/>
  <c r="W362" i="6"/>
  <c r="W367" i="6"/>
  <c r="W354" i="6"/>
  <c r="W372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357" i="6"/>
  <c r="W361" i="6"/>
  <c r="W377" i="6"/>
  <c r="W366" i="6"/>
  <c r="W371" i="6"/>
  <c r="W360" i="6"/>
  <c r="W376" i="6"/>
  <c r="W365" i="6"/>
  <c r="W488" i="6"/>
  <c r="W491" i="6"/>
  <c r="W493" i="6"/>
  <c r="W495" i="6"/>
  <c r="W496" i="6"/>
  <c r="W500" i="6"/>
  <c r="W502" i="6"/>
  <c r="W503" i="6"/>
  <c r="W505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9" i="6"/>
  <c r="W490" i="6"/>
  <c r="W492" i="6"/>
  <c r="W494" i="6"/>
  <c r="W497" i="6"/>
  <c r="W501" i="6"/>
  <c r="W504" i="6"/>
  <c r="W12" i="6"/>
  <c r="W8" i="6"/>
  <c r="V5" i="6"/>
  <c r="X7" i="6"/>
  <c r="X122" i="6" s="1"/>
  <c r="W10" i="6"/>
  <c r="W9" i="6"/>
  <c r="W11" i="6"/>
  <c r="X331" i="6" l="1"/>
  <c r="X332" i="6"/>
  <c r="X333" i="6"/>
  <c r="X334" i="6"/>
  <c r="X335" i="6"/>
  <c r="X292" i="6"/>
  <c r="X498" i="6"/>
  <c r="X499" i="6"/>
  <c r="X112" i="6"/>
  <c r="X55" i="6"/>
  <c r="X167" i="6"/>
  <c r="X168" i="6"/>
  <c r="X169" i="6"/>
  <c r="X170" i="6"/>
  <c r="X171" i="6"/>
  <c r="X172" i="6"/>
  <c r="X173" i="6"/>
  <c r="X202" i="6"/>
  <c r="X203" i="6"/>
  <c r="X204" i="6"/>
  <c r="X205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3" i="6"/>
  <c r="X124" i="6"/>
  <c r="X125" i="6"/>
  <c r="X126" i="6"/>
  <c r="X97" i="6"/>
  <c r="X96" i="6"/>
  <c r="X95" i="6"/>
  <c r="X94" i="6"/>
  <c r="X93" i="6"/>
  <c r="X92" i="6"/>
  <c r="X130" i="6"/>
  <c r="X138" i="6"/>
  <c r="X141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127" i="6"/>
  <c r="X135" i="6"/>
  <c r="X165" i="6"/>
  <c r="X144" i="6"/>
  <c r="X148" i="6"/>
  <c r="X152" i="6"/>
  <c r="X156" i="6"/>
  <c r="X160" i="6"/>
  <c r="X132" i="6"/>
  <c r="X140" i="6"/>
  <c r="X164" i="6"/>
  <c r="X129" i="6"/>
  <c r="X137" i="6"/>
  <c r="X143" i="6"/>
  <c r="X147" i="6"/>
  <c r="X151" i="6"/>
  <c r="X155" i="6"/>
  <c r="X159" i="6"/>
  <c r="X134" i="6"/>
  <c r="X163" i="6"/>
  <c r="X131" i="6"/>
  <c r="X139" i="6"/>
  <c r="X142" i="6"/>
  <c r="X146" i="6"/>
  <c r="X150" i="6"/>
  <c r="X154" i="6"/>
  <c r="X158" i="6"/>
  <c r="X162" i="6"/>
  <c r="X128" i="6"/>
  <c r="X136" i="6"/>
  <c r="X133" i="6"/>
  <c r="X166" i="6"/>
  <c r="X228" i="6"/>
  <c r="X231" i="6"/>
  <c r="X235" i="6"/>
  <c r="X230" i="6"/>
  <c r="X239" i="6"/>
  <c r="X149" i="6"/>
  <c r="X153" i="6"/>
  <c r="X157" i="6"/>
  <c r="X161" i="6"/>
  <c r="X233" i="6"/>
  <c r="X238" i="6"/>
  <c r="X145" i="6"/>
  <c r="X229" i="6"/>
  <c r="X237" i="6"/>
  <c r="X22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3" i="6"/>
  <c r="X296" i="6"/>
  <c r="X299" i="6"/>
  <c r="X289" i="6"/>
  <c r="X295" i="6"/>
  <c r="X232" i="6"/>
  <c r="X234" i="6"/>
  <c r="X291" i="6"/>
  <c r="X298" i="6"/>
  <c r="X23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294" i="6"/>
  <c r="X290" i="6"/>
  <c r="X300" i="6"/>
  <c r="X365" i="6"/>
  <c r="X370" i="6"/>
  <c r="X297" i="6"/>
  <c r="X359" i="6"/>
  <c r="X375" i="6"/>
  <c r="X364" i="6"/>
  <c r="X369" i="6"/>
  <c r="X374" i="6"/>
  <c r="X363" i="6"/>
  <c r="X368" i="6"/>
  <c r="X373" i="6"/>
  <c r="X362" i="6"/>
  <c r="X367" i="6"/>
  <c r="X372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361" i="6"/>
  <c r="X377" i="6"/>
  <c r="X366" i="6"/>
  <c r="X371" i="6"/>
  <c r="X360" i="6"/>
  <c r="X376" i="6"/>
  <c r="X503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500" i="6"/>
  <c r="X501" i="6"/>
  <c r="X502" i="6"/>
  <c r="X504" i="6"/>
  <c r="X505" i="6"/>
  <c r="W5" i="6"/>
  <c r="X10" i="6"/>
  <c r="Y7" i="6"/>
  <c r="Y122" i="6" s="1"/>
  <c r="X9" i="6"/>
  <c r="X11" i="6"/>
  <c r="X12" i="6"/>
  <c r="X8" i="6"/>
  <c r="Y335" i="6" l="1"/>
  <c r="Y331" i="6"/>
  <c r="Y332" i="6"/>
  <c r="Y333" i="6"/>
  <c r="Y334" i="6"/>
  <c r="Y292" i="6"/>
  <c r="Y498" i="6"/>
  <c r="Y499" i="6"/>
  <c r="Y112" i="6"/>
  <c r="Y55" i="6"/>
  <c r="Y167" i="6"/>
  <c r="Y168" i="6"/>
  <c r="Y169" i="6"/>
  <c r="Y170" i="6"/>
  <c r="Y171" i="6"/>
  <c r="Y172" i="6"/>
  <c r="Y173" i="6"/>
  <c r="Y202" i="6"/>
  <c r="Y203" i="6"/>
  <c r="Y204" i="6"/>
  <c r="Y205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5" i="6"/>
  <c r="Y149" i="6"/>
  <c r="Y153" i="6"/>
  <c r="Y157" i="6"/>
  <c r="Y161" i="6"/>
  <c r="Y166" i="6"/>
  <c r="Y88" i="6"/>
  <c r="Y92" i="6"/>
  <c r="Y165" i="6"/>
  <c r="Y144" i="6"/>
  <c r="Y148" i="6"/>
  <c r="Y152" i="6"/>
  <c r="Y156" i="6"/>
  <c r="Y160" i="6"/>
  <c r="Y56" i="6"/>
  <c r="Y80" i="6"/>
  <c r="Y164" i="6"/>
  <c r="Y143" i="6"/>
  <c r="Y147" i="6"/>
  <c r="Y151" i="6"/>
  <c r="Y155" i="6"/>
  <c r="Y159" i="6"/>
  <c r="Y163" i="6"/>
  <c r="Y47" i="6"/>
  <c r="Y72" i="6"/>
  <c r="Y142" i="6"/>
  <c r="Y146" i="6"/>
  <c r="Y150" i="6"/>
  <c r="Y154" i="6"/>
  <c r="Y158" i="6"/>
  <c r="Y162" i="6"/>
  <c r="Y236" i="6"/>
  <c r="Y176" i="6"/>
  <c r="Y184" i="6"/>
  <c r="Y192" i="6"/>
  <c r="Y200" i="6"/>
  <c r="Y209" i="6"/>
  <c r="Y217" i="6"/>
  <c r="Y225" i="6"/>
  <c r="Y228" i="6"/>
  <c r="Y231" i="6"/>
  <c r="Y181" i="6"/>
  <c r="Y189" i="6"/>
  <c r="Y197" i="6"/>
  <c r="Y206" i="6"/>
  <c r="Y214" i="6"/>
  <c r="Y222" i="6"/>
  <c r="Y235" i="6"/>
  <c r="Y178" i="6"/>
  <c r="Y186" i="6"/>
  <c r="Y194" i="6"/>
  <c r="Y211" i="6"/>
  <c r="Y227" i="6"/>
  <c r="Y234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3" i="6"/>
  <c r="Y294" i="6"/>
  <c r="Y295" i="6"/>
  <c r="Y296" i="6"/>
  <c r="Y297" i="6"/>
  <c r="Y298" i="6"/>
  <c r="Y299" i="6"/>
  <c r="Y300" i="6"/>
  <c r="Y175" i="6"/>
  <c r="Y183" i="6"/>
  <c r="Y191" i="6"/>
  <c r="Y199" i="6"/>
  <c r="Y208" i="6"/>
  <c r="Y216" i="6"/>
  <c r="Y224" i="6"/>
  <c r="Y230" i="6"/>
  <c r="Y239" i="6"/>
  <c r="Y180" i="6"/>
  <c r="Y188" i="6"/>
  <c r="Y196" i="6"/>
  <c r="Y213" i="6"/>
  <c r="Y221" i="6"/>
  <c r="Y233" i="6"/>
  <c r="Y238" i="6"/>
  <c r="Y177" i="6"/>
  <c r="Y185" i="6"/>
  <c r="Y193" i="6"/>
  <c r="Y201" i="6"/>
  <c r="Y210" i="6"/>
  <c r="Y218" i="6"/>
  <c r="Y226" i="6"/>
  <c r="Y229" i="6"/>
  <c r="Y174" i="6"/>
  <c r="Y182" i="6"/>
  <c r="Y190" i="6"/>
  <c r="Y198" i="6"/>
  <c r="Y207" i="6"/>
  <c r="Y232" i="6"/>
  <c r="Y187" i="6"/>
  <c r="Y237" i="6"/>
  <c r="Y223" i="6"/>
  <c r="Y219" i="6"/>
  <c r="Y215" i="6"/>
  <c r="Y179" i="6"/>
  <c r="Y195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220" i="6"/>
  <c r="Y212" i="6"/>
  <c r="Y360" i="6"/>
  <c r="Y376" i="6"/>
  <c r="Y365" i="6"/>
  <c r="Y370" i="6"/>
  <c r="Y371" i="6"/>
  <c r="Y359" i="6"/>
  <c r="Y375" i="6"/>
  <c r="Y364" i="6"/>
  <c r="Y369" i="6"/>
  <c r="Y374" i="6"/>
  <c r="Y363" i="6"/>
  <c r="Y368" i="6"/>
  <c r="Y373" i="6"/>
  <c r="Y362" i="6"/>
  <c r="Y367" i="6"/>
  <c r="Y372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361" i="6"/>
  <c r="Y377" i="6"/>
  <c r="Y366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500" i="6"/>
  <c r="Y501" i="6"/>
  <c r="Y502" i="6"/>
  <c r="Y503" i="6"/>
  <c r="Y504" i="6"/>
  <c r="Y505" i="6"/>
  <c r="Y12" i="6"/>
  <c r="Y9" i="6"/>
  <c r="Y8" i="6"/>
  <c r="Y10" i="6"/>
  <c r="Y11" i="6"/>
  <c r="Z7" i="6"/>
  <c r="Z122" i="6" s="1"/>
  <c r="X5" i="6"/>
  <c r="Z331" i="6" l="1"/>
  <c r="Z332" i="6"/>
  <c r="Z333" i="6"/>
  <c r="Z334" i="6"/>
  <c r="Z335" i="6"/>
  <c r="Z292" i="6"/>
  <c r="Z498" i="6"/>
  <c r="Z499" i="6"/>
  <c r="Z112" i="6"/>
  <c r="Z55" i="6"/>
  <c r="Z167" i="6"/>
  <c r="Z168" i="6"/>
  <c r="Z169" i="6"/>
  <c r="Z170" i="6"/>
  <c r="Z171" i="6"/>
  <c r="Z172" i="6"/>
  <c r="Z173" i="6"/>
  <c r="Z202" i="6"/>
  <c r="Z203" i="6"/>
  <c r="Z204" i="6"/>
  <c r="Z205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97" i="6"/>
  <c r="Z96" i="6"/>
  <c r="Z95" i="6"/>
  <c r="Z94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93" i="6"/>
  <c r="Z236" i="6"/>
  <c r="Z231" i="6"/>
  <c r="Z235" i="6"/>
  <c r="Z234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39" i="6"/>
  <c r="Z233" i="6"/>
  <c r="Z238" i="6"/>
  <c r="Z237" i="6"/>
  <c r="Z287" i="6"/>
  <c r="Z293" i="6"/>
  <c r="Z296" i="6"/>
  <c r="Z299" i="6"/>
  <c r="Z295" i="6"/>
  <c r="Z232" i="6"/>
  <c r="Z291" i="6"/>
  <c r="Z298" i="6"/>
  <c r="Z288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297" i="6"/>
  <c r="Z371" i="6"/>
  <c r="Z366" i="6"/>
  <c r="Z356" i="6"/>
  <c r="Z360" i="6"/>
  <c r="Z376" i="6"/>
  <c r="Z365" i="6"/>
  <c r="Z370" i="6"/>
  <c r="Z359" i="6"/>
  <c r="Z375" i="6"/>
  <c r="Z290" i="6"/>
  <c r="Z364" i="6"/>
  <c r="Z355" i="6"/>
  <c r="Z369" i="6"/>
  <c r="Z411" i="6"/>
  <c r="Z358" i="6"/>
  <c r="Z374" i="6"/>
  <c r="Z414" i="6"/>
  <c r="Z363" i="6"/>
  <c r="Z409" i="6"/>
  <c r="Z300" i="6"/>
  <c r="Z368" i="6"/>
  <c r="Z412" i="6"/>
  <c r="Z373" i="6"/>
  <c r="Z408" i="6"/>
  <c r="Z294" i="6"/>
  <c r="Z354" i="6"/>
  <c r="Z362" i="6"/>
  <c r="Z405" i="6"/>
  <c r="Z289" i="6"/>
  <c r="Z357" i="6"/>
  <c r="Z367" i="6"/>
  <c r="Z406" i="6"/>
  <c r="Z372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3" i="6"/>
  <c r="Z394" i="6"/>
  <c r="Z395" i="6"/>
  <c r="Z396" i="6"/>
  <c r="Z397" i="6"/>
  <c r="Z398" i="6"/>
  <c r="Z399" i="6"/>
  <c r="Z400" i="6"/>
  <c r="Z401" i="6"/>
  <c r="Z402" i="6"/>
  <c r="Z403" i="6"/>
  <c r="Z404" i="6"/>
  <c r="Z407" i="6"/>
  <c r="Z410" i="6"/>
  <c r="Z413" i="6"/>
  <c r="Z415" i="6"/>
  <c r="Z416" i="6"/>
  <c r="Z417" i="6"/>
  <c r="Z418" i="6"/>
  <c r="Z419" i="6"/>
  <c r="Z420" i="6"/>
  <c r="Z421" i="6"/>
  <c r="Z422" i="6"/>
  <c r="Z361" i="6"/>
  <c r="Z377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500" i="6"/>
  <c r="Z501" i="6"/>
  <c r="Z502" i="6"/>
  <c r="Z503" i="6"/>
  <c r="Z504" i="6"/>
  <c r="Z505" i="6"/>
  <c r="Z12" i="6"/>
  <c r="Z8" i="6"/>
  <c r="Y5" i="6"/>
  <c r="AA7" i="6"/>
  <c r="AA122" i="6" s="1"/>
  <c r="Z10" i="6"/>
  <c r="Z9" i="6"/>
  <c r="Z11" i="6"/>
  <c r="AA332" i="6" l="1"/>
  <c r="AA334" i="6"/>
  <c r="AA333" i="6"/>
  <c r="AA335" i="6"/>
  <c r="AA331" i="6"/>
  <c r="AA292" i="6"/>
  <c r="AA498" i="6"/>
  <c r="AA499" i="6"/>
  <c r="AA112" i="6"/>
  <c r="AA55" i="6"/>
  <c r="AA167" i="6"/>
  <c r="AA168" i="6"/>
  <c r="AA169" i="6"/>
  <c r="AA170" i="6"/>
  <c r="AA171" i="6"/>
  <c r="AA172" i="6"/>
  <c r="AA173" i="6"/>
  <c r="AA202" i="6"/>
  <c r="AA203" i="6"/>
  <c r="AA204" i="6"/>
  <c r="AA205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1" i="6"/>
  <c r="AA145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165" i="6"/>
  <c r="AA144" i="6"/>
  <c r="AA148" i="6"/>
  <c r="AA152" i="6"/>
  <c r="AA156" i="6"/>
  <c r="AA160" i="6"/>
  <c r="AA67" i="6"/>
  <c r="AA140" i="6"/>
  <c r="AA164" i="6"/>
  <c r="AA143" i="6"/>
  <c r="AA147" i="6"/>
  <c r="AA151" i="6"/>
  <c r="AA155" i="6"/>
  <c r="AA159" i="6"/>
  <c r="AA93" i="6"/>
  <c r="AA163" i="6"/>
  <c r="AA59" i="6"/>
  <c r="AA139" i="6"/>
  <c r="AA83" i="6"/>
  <c r="AA142" i="6"/>
  <c r="AA146" i="6"/>
  <c r="AA150" i="6"/>
  <c r="AA154" i="6"/>
  <c r="AA158" i="6"/>
  <c r="AA162" i="6"/>
  <c r="AA166" i="6"/>
  <c r="AA236" i="6"/>
  <c r="AA234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3" i="6"/>
  <c r="AA294" i="6"/>
  <c r="AA295" i="6"/>
  <c r="AA296" i="6"/>
  <c r="AA297" i="6"/>
  <c r="AA298" i="6"/>
  <c r="AA299" i="6"/>
  <c r="AA300" i="6"/>
  <c r="AA149" i="6"/>
  <c r="AA153" i="6"/>
  <c r="AA157" i="6"/>
  <c r="AA161" i="6"/>
  <c r="AA239" i="6"/>
  <c r="AA238" i="6"/>
  <c r="AA235" i="6"/>
  <c r="AA237" i="6"/>
  <c r="AA366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7" i="6"/>
  <c r="AA339" i="6"/>
  <c r="AA341" i="6"/>
  <c r="AA343" i="6"/>
  <c r="AA345" i="6"/>
  <c r="AA347" i="6"/>
  <c r="AA349" i="6"/>
  <c r="AA351" i="6"/>
  <c r="AA353" i="6"/>
  <c r="AA371" i="6"/>
  <c r="AA356" i="6"/>
  <c r="AA360" i="6"/>
  <c r="AA376" i="6"/>
  <c r="AA365" i="6"/>
  <c r="AA370" i="6"/>
  <c r="AA359" i="6"/>
  <c r="AA375" i="6"/>
  <c r="AA364" i="6"/>
  <c r="AA361" i="6"/>
  <c r="AA377" i="6"/>
  <c r="AA355" i="6"/>
  <c r="AA369" i="6"/>
  <c r="AA358" i="6"/>
  <c r="AA374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6" i="6"/>
  <c r="AA338" i="6"/>
  <c r="AA340" i="6"/>
  <c r="AA342" i="6"/>
  <c r="AA344" i="6"/>
  <c r="AA346" i="6"/>
  <c r="AA348" i="6"/>
  <c r="AA350" i="6"/>
  <c r="AA352" i="6"/>
  <c r="AA363" i="6"/>
  <c r="AA368" i="6"/>
  <c r="AA373" i="6"/>
  <c r="AA354" i="6"/>
  <c r="AA362" i="6"/>
  <c r="AA357" i="6"/>
  <c r="AA367" i="6"/>
  <c r="AA372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87" i="6"/>
  <c r="AA491" i="6"/>
  <c r="AA495" i="6"/>
  <c r="AA497" i="6"/>
  <c r="AA501" i="6"/>
  <c r="AA503" i="6"/>
  <c r="AA505" i="6"/>
  <c r="AA488" i="6"/>
  <c r="AA492" i="6"/>
  <c r="AA494" i="6"/>
  <c r="AA496" i="6"/>
  <c r="AA500" i="6"/>
  <c r="AA504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9" i="6"/>
  <c r="AA490" i="6"/>
  <c r="AA493" i="6"/>
  <c r="AA502" i="6"/>
  <c r="AA11" i="6"/>
  <c r="Z5" i="6"/>
  <c r="AA8" i="6"/>
  <c r="AA10" i="6"/>
  <c r="AA12" i="6"/>
  <c r="AA9" i="6"/>
  <c r="AB7" i="6"/>
  <c r="AB122" i="6" s="1"/>
  <c r="AB331" i="6" l="1"/>
  <c r="AB332" i="6"/>
  <c r="AB333" i="6"/>
  <c r="AB334" i="6"/>
  <c r="AB335" i="6"/>
  <c r="AB292" i="6"/>
  <c r="AB498" i="6"/>
  <c r="AB499" i="6"/>
  <c r="AB112" i="6"/>
  <c r="AB55" i="6"/>
  <c r="AB167" i="6"/>
  <c r="AB168" i="6"/>
  <c r="AB169" i="6"/>
  <c r="AB170" i="6"/>
  <c r="AB171" i="6"/>
  <c r="AB172" i="6"/>
  <c r="AB173" i="6"/>
  <c r="AB202" i="6"/>
  <c r="AB203" i="6"/>
  <c r="AB204" i="6"/>
  <c r="AB205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84" i="6"/>
  <c r="AB391" i="6"/>
  <c r="AB397" i="6"/>
  <c r="AB401" i="6"/>
  <c r="AB405" i="6"/>
  <c r="AB409" i="6"/>
  <c r="AB414" i="6"/>
  <c r="AB419" i="6"/>
  <c r="AB422" i="6"/>
  <c r="AB389" i="6"/>
  <c r="AB416" i="6"/>
  <c r="AB380" i="6"/>
  <c r="AB383" i="6"/>
  <c r="AB386" i="6"/>
  <c r="AB388" i="6"/>
  <c r="AB393" i="6"/>
  <c r="AB398" i="6"/>
  <c r="AB402" i="6"/>
  <c r="AB406" i="6"/>
  <c r="AB410" i="6"/>
  <c r="AB415" i="6"/>
  <c r="AB420" i="6"/>
  <c r="AB381" i="6"/>
  <c r="AB400" i="6"/>
  <c r="AB408" i="6"/>
  <c r="AB412" i="6"/>
  <c r="AB417" i="6"/>
  <c r="AB379" i="6"/>
  <c r="AB396" i="6"/>
  <c r="AB404" i="6"/>
  <c r="AB411" i="6"/>
  <c r="AB418" i="6"/>
  <c r="AB394" i="6"/>
  <c r="AB378" i="6"/>
  <c r="AB382" i="6"/>
  <c r="AB385" i="6"/>
  <c r="AB387" i="6"/>
  <c r="AB390" i="6"/>
  <c r="AB395" i="6"/>
  <c r="AB399" i="6"/>
  <c r="AB403" i="6"/>
  <c r="AB407" i="6"/>
  <c r="AB413" i="6"/>
  <c r="AB421" i="6"/>
  <c r="AB497" i="6"/>
  <c r="AB503" i="6"/>
  <c r="AB495" i="6"/>
  <c r="AB501" i="6"/>
  <c r="AB504" i="6"/>
  <c r="AB505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6" i="6"/>
  <c r="AB500" i="6"/>
  <c r="AB502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<sst xmlns="http://schemas.openxmlformats.org/spreadsheetml/2006/main" count="4847" uniqueCount="2121">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</sst>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4"/>
  <sheetViews>
    <sheetView tabSelected="1" zoomScaleNormal="100" workbookViewId="0">
      <pane ySplit="7" topLeftCell="A305" activePane="bottomLeft" state="frozen"/>
      <selection pane="bottomLeft" activeCell="P322" sqref="P32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125</v>
      </c>
      <c r="G3" s="5">
        <f>+AF6</f>
        <v>120</v>
      </c>
      <c r="H3" s="5">
        <f>+E3-G3</f>
        <v>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332</v>
      </c>
      <c r="F4" s="7">
        <f>+AE6</f>
        <v>265</v>
      </c>
      <c r="G4" s="7">
        <f>+AG6</f>
        <v>232</v>
      </c>
      <c r="H4" s="5">
        <f>+E4-G4</f>
        <v>100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458</v>
      </c>
      <c r="F5" s="8">
        <f>+F3+F4</f>
        <v>390</v>
      </c>
      <c r="G5" s="8">
        <f>+G3+G4</f>
        <v>352</v>
      </c>
      <c r="H5" s="8">
        <f>+H3+H4</f>
        <v>106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SUM(S8:S2447)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SUM(AD8:AD1716)</f>
        <v>125</v>
      </c>
      <c r="AE6" s="1">
        <f t="shared" si="1"/>
        <v>265</v>
      </c>
      <c r="AF6" s="1">
        <f t="shared" si="1"/>
        <v>120</v>
      </c>
      <c r="AG6" s="1">
        <f t="shared" si="1"/>
        <v>232</v>
      </c>
      <c r="AH6" s="1">
        <f t="shared" si="1"/>
        <v>126</v>
      </c>
      <c r="AI6" s="1">
        <f t="shared" si="1"/>
        <v>332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1852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1718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1679</v>
      </c>
      <c r="M15" s="47" t="s">
        <v>1106</v>
      </c>
      <c r="N15" s="47" t="s">
        <v>1718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1726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1773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1820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1864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1883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1877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1891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592</v>
      </c>
      <c r="E35" s="32" t="s">
        <v>174</v>
      </c>
      <c r="F35" s="32" t="s">
        <v>593</v>
      </c>
      <c r="G35" s="32" t="s">
        <v>250</v>
      </c>
      <c r="H35" s="32" t="s">
        <v>352</v>
      </c>
      <c r="I35" s="31" t="s">
        <v>594</v>
      </c>
      <c r="J35" s="31">
        <v>99</v>
      </c>
      <c r="K35" s="33" t="s">
        <v>943</v>
      </c>
      <c r="L35" s="33" t="s">
        <v>685</v>
      </c>
      <c r="M35" s="34" t="s">
        <v>1360</v>
      </c>
      <c r="N35" s="34" t="s">
        <v>1917</v>
      </c>
      <c r="O35" s="35">
        <v>1</v>
      </c>
      <c r="P35" s="35"/>
      <c r="Q35" s="3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1</v>
      </c>
      <c r="AF35" s="1">
        <f t="shared" si="19"/>
        <v>0</v>
      </c>
      <c r="AG35" s="1">
        <f t="shared" si="20"/>
        <v>1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1733</v>
      </c>
      <c r="E37" s="36" t="s">
        <v>154</v>
      </c>
      <c r="F37" s="36" t="s">
        <v>1734</v>
      </c>
      <c r="G37" s="36"/>
      <c r="H37" s="36" t="s">
        <v>1735</v>
      </c>
      <c r="I37" s="37" t="s">
        <v>1736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1722</v>
      </c>
      <c r="E39" s="36" t="s">
        <v>1723</v>
      </c>
      <c r="F39" s="36" t="s">
        <v>1724</v>
      </c>
      <c r="G39" s="36" t="s">
        <v>319</v>
      </c>
      <c r="H39" s="36" t="s">
        <v>352</v>
      </c>
      <c r="I39" s="37" t="s">
        <v>1725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1780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1786</v>
      </c>
      <c r="E43" s="45" t="s">
        <v>174</v>
      </c>
      <c r="F43" s="45" t="s">
        <v>1787</v>
      </c>
      <c r="G43" s="45" t="s">
        <v>193</v>
      </c>
      <c r="H43" s="45" t="s">
        <v>352</v>
      </c>
      <c r="I43" s="44" t="s">
        <v>1788</v>
      </c>
      <c r="J43" s="44">
        <v>9</v>
      </c>
      <c r="K43" s="46" t="s">
        <v>699</v>
      </c>
      <c r="L43" s="46">
        <v>60</v>
      </c>
      <c r="M43" s="47" t="s">
        <v>1789</v>
      </c>
      <c r="N43" s="47" t="s">
        <v>1780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57" t="s">
        <v>1850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57" t="s">
        <v>1878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1773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1760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1917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1719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1968</v>
      </c>
      <c r="E52" s="32" t="s">
        <v>174</v>
      </c>
      <c r="F52" s="32" t="s">
        <v>1969</v>
      </c>
      <c r="G52" s="32" t="s">
        <v>1970</v>
      </c>
      <c r="H52" s="32" t="s">
        <v>352</v>
      </c>
      <c r="I52" s="31" t="s">
        <v>1971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1972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1773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1760</v>
      </c>
      <c r="O54" s="35">
        <v>1</v>
      </c>
      <c r="P54" s="35"/>
      <c r="Q54" s="32" t="s">
        <v>1881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2096</v>
      </c>
      <c r="E55" s="16" t="s">
        <v>171</v>
      </c>
      <c r="F55" s="16" t="s">
        <v>2097</v>
      </c>
      <c r="G55" s="16"/>
      <c r="H55" s="16" t="s">
        <v>2098</v>
      </c>
      <c r="I55" s="15" t="s">
        <v>2099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2100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1726</v>
      </c>
      <c r="O56" s="35">
        <v>1</v>
      </c>
      <c r="P56" s="35"/>
      <c r="Q56" s="32" t="s">
        <v>2019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1857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1876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1720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1780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2058</v>
      </c>
      <c r="G69" s="32" t="s">
        <v>2059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2060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806</v>
      </c>
      <c r="E71" s="16" t="s">
        <v>174</v>
      </c>
      <c r="F71" s="16" t="s">
        <v>924</v>
      </c>
      <c r="G71" s="16" t="s">
        <v>212</v>
      </c>
      <c r="H71" s="16" t="s">
        <v>352</v>
      </c>
      <c r="I71" s="15" t="s">
        <v>807</v>
      </c>
      <c r="J71" s="15">
        <v>1</v>
      </c>
      <c r="K71" s="10" t="s">
        <v>943</v>
      </c>
      <c r="L71" s="10" t="s">
        <v>685</v>
      </c>
      <c r="M71" s="19" t="s">
        <v>687</v>
      </c>
      <c r="N71" s="17"/>
      <c r="Q71" s="16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1954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2024</v>
      </c>
      <c r="E74" s="32" t="s">
        <v>1950</v>
      </c>
      <c r="F74" s="32" t="s">
        <v>2025</v>
      </c>
      <c r="G74" s="32" t="s">
        <v>283</v>
      </c>
      <c r="H74" s="32" t="s">
        <v>352</v>
      </c>
      <c r="I74" s="31" t="s">
        <v>2026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2027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1980</v>
      </c>
      <c r="E75" s="32" t="s">
        <v>174</v>
      </c>
      <c r="F75" s="36" t="s">
        <v>1981</v>
      </c>
      <c r="G75" s="36" t="s">
        <v>219</v>
      </c>
      <c r="H75" s="36" t="s">
        <v>352</v>
      </c>
      <c r="I75" s="37" t="s">
        <v>1982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1813</v>
      </c>
      <c r="E77" s="32" t="s">
        <v>173</v>
      </c>
      <c r="F77" s="32" t="s">
        <v>1814</v>
      </c>
      <c r="G77" s="32"/>
      <c r="H77" s="32" t="s">
        <v>1815</v>
      </c>
      <c r="I77" s="31" t="s">
        <v>1816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3" si="41">+O78*P78*(1-A78)</f>
        <v>1</v>
      </c>
      <c r="AG78" s="1">
        <f t="shared" ref="AG78:AG143" si="42">O78*(1-P78)*(1-A78)</f>
        <v>0</v>
      </c>
      <c r="AH78" s="1">
        <f t="shared" ref="AH78:AH143" si="43">+P78*(1-A78)</f>
        <v>1</v>
      </c>
      <c r="AI78" s="1">
        <f t="shared" ref="AI78:AI143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1720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1770</v>
      </c>
      <c r="E82" s="32" t="s">
        <v>169</v>
      </c>
      <c r="F82" s="36" t="s">
        <v>1768</v>
      </c>
      <c r="G82" s="36" t="s">
        <v>231</v>
      </c>
      <c r="H82" s="36" t="s">
        <v>352</v>
      </c>
      <c r="I82" s="37" t="s">
        <v>1769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7" si="45">IF(J82=$S$7,1,0)</f>
        <v>0</v>
      </c>
      <c r="T82" s="1">
        <f t="shared" ref="T82:T147" si="46">IF(J82=$T$7,1,0)</f>
        <v>0</v>
      </c>
      <c r="U82" s="1">
        <f t="shared" ref="U82:U147" si="47">IF(J82=$U$7,1,0)</f>
        <v>0</v>
      </c>
      <c r="V82" s="1">
        <f t="shared" ref="V82:V147" si="48">IF(J82=$V$7,1,0)</f>
        <v>0</v>
      </c>
      <c r="W82" s="1">
        <f t="shared" ref="W82:W147" si="49">IF(J82=$W$7,1,0)</f>
        <v>0</v>
      </c>
      <c r="X82" s="1">
        <f t="shared" ref="X82:X147" si="50">IF(J82=$X$7,1,0)</f>
        <v>0</v>
      </c>
      <c r="Y82" s="1">
        <f t="shared" ref="Y82:Y147" si="51">IF(J82=$Y$7,1,0)</f>
        <v>0</v>
      </c>
      <c r="Z82" s="1">
        <f t="shared" ref="Z82:Z147" si="52">IF(J82=$Z$7,1,0)</f>
        <v>0</v>
      </c>
      <c r="AA82" s="1">
        <f t="shared" ref="AA82:AA147" si="53">IF(J82=$AA$7,1,0)</f>
        <v>0</v>
      </c>
      <c r="AB82" s="1">
        <f t="shared" ref="AB82:AB147" si="54">IF(J82=$AB$7,1,0)</f>
        <v>0</v>
      </c>
      <c r="AD82" s="1">
        <f t="shared" ref="AD82:AD147" si="55">+O82*P82</f>
        <v>1</v>
      </c>
      <c r="AE82" s="1">
        <f t="shared" ref="AE82:AE147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1720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1796</v>
      </c>
      <c r="O84" s="35">
        <v>1</v>
      </c>
      <c r="P84" s="35"/>
      <c r="Q84" s="36" t="s">
        <v>1853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2077</v>
      </c>
      <c r="E87" s="32" t="s">
        <v>169</v>
      </c>
      <c r="F87" s="36" t="s">
        <v>2078</v>
      </c>
      <c r="G87" s="36" t="s">
        <v>206</v>
      </c>
      <c r="H87" s="36" t="s">
        <v>352</v>
      </c>
      <c r="I87" s="37" t="s">
        <v>2079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2080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1757</v>
      </c>
      <c r="E88" s="16" t="s">
        <v>171</v>
      </c>
      <c r="F88" s="16" t="s">
        <v>1759</v>
      </c>
      <c r="G88" s="16"/>
      <c r="H88" s="16" t="s">
        <v>362</v>
      </c>
      <c r="I88" s="15" t="s">
        <v>1758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1885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1781</v>
      </c>
      <c r="E89" s="32" t="s">
        <v>171</v>
      </c>
      <c r="F89" s="32" t="s">
        <v>1782</v>
      </c>
      <c r="G89" s="32" t="s">
        <v>1783</v>
      </c>
      <c r="H89" s="32" t="s">
        <v>352</v>
      </c>
      <c r="I89" s="31" t="s">
        <v>1784</v>
      </c>
      <c r="J89" s="31">
        <v>1</v>
      </c>
      <c r="K89" s="33" t="s">
        <v>699</v>
      </c>
      <c r="L89" s="33">
        <v>60</v>
      </c>
      <c r="M89" s="34" t="s">
        <v>1785</v>
      </c>
      <c r="N89" s="34" t="s">
        <v>1820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2034</v>
      </c>
      <c r="E90" s="36" t="s">
        <v>175</v>
      </c>
      <c r="F90" s="36" t="s">
        <v>2032</v>
      </c>
      <c r="G90" s="36" t="s">
        <v>219</v>
      </c>
      <c r="H90" s="36" t="s">
        <v>352</v>
      </c>
      <c r="I90" s="37" t="s">
        <v>2033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1726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135</v>
      </c>
      <c r="E92" s="16" t="s">
        <v>171</v>
      </c>
      <c r="F92" s="16" t="s">
        <v>1851</v>
      </c>
      <c r="G92" s="16" t="s">
        <v>239</v>
      </c>
      <c r="H92" s="16" t="s">
        <v>352</v>
      </c>
      <c r="I92" s="15" t="s">
        <v>481</v>
      </c>
      <c r="J92" s="15">
        <v>1</v>
      </c>
      <c r="K92" s="10" t="s">
        <v>943</v>
      </c>
      <c r="L92" s="10" t="s">
        <v>685</v>
      </c>
      <c r="M92" s="19" t="s">
        <v>687</v>
      </c>
      <c r="N92" s="17"/>
      <c r="Q92" s="20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0</v>
      </c>
      <c r="AI92" s="1">
        <f t="shared" si="4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1672</v>
      </c>
      <c r="M93" s="47" t="s">
        <v>1367</v>
      </c>
      <c r="N93" s="47" t="s">
        <v>1718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1922</v>
      </c>
      <c r="E95" s="20" t="s">
        <v>1950</v>
      </c>
      <c r="F95" s="20" t="s">
        <v>1951</v>
      </c>
      <c r="G95" s="20"/>
      <c r="H95" s="20" t="s">
        <v>1949</v>
      </c>
      <c r="I95" s="21" t="s">
        <v>1952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1953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1825</v>
      </c>
      <c r="E97" s="36" t="s">
        <v>171</v>
      </c>
      <c r="F97" s="36" t="s">
        <v>1826</v>
      </c>
      <c r="G97" s="36"/>
      <c r="H97" s="36" t="s">
        <v>1827</v>
      </c>
      <c r="I97" s="37" t="s">
        <v>1828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1863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1820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1887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1719</v>
      </c>
      <c r="O100" s="35">
        <v>1</v>
      </c>
      <c r="P100" s="35"/>
      <c r="Q100" s="36" t="s">
        <v>1860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1903</v>
      </c>
      <c r="E102" s="32" t="s">
        <v>1904</v>
      </c>
      <c r="F102" s="36" t="s">
        <v>1905</v>
      </c>
      <c r="G102" s="36"/>
      <c r="H102" s="36" t="s">
        <v>364</v>
      </c>
      <c r="I102" s="37" t="s">
        <v>1907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1906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1773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1718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1855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1714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1720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1772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2090</v>
      </c>
      <c r="E112" s="16" t="s">
        <v>171</v>
      </c>
      <c r="F112" s="16" t="s">
        <v>2091</v>
      </c>
      <c r="G112" s="16"/>
      <c r="H112" s="16" t="s">
        <v>2092</v>
      </c>
      <c r="I112" s="15" t="s">
        <v>2093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2094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1719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1854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1720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1720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1917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2007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1714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ref="AD121:AD124" si="63">+O121*P121</f>
        <v>0</v>
      </c>
      <c r="AE121" s="1">
        <f t="shared" ref="AE121:AE124" si="64">O121*(1-P121)</f>
        <v>1</v>
      </c>
      <c r="AF121" s="1">
        <f t="shared" ref="AF121:AF124" si="65">+O121*P121*(1-A121)</f>
        <v>0</v>
      </c>
      <c r="AG121" s="1">
        <f t="shared" ref="AG121:AG124" si="66">O121*(1-P121)*(1-A121)</f>
        <v>1</v>
      </c>
      <c r="AH121" s="1">
        <f t="shared" ref="AH121:AH124" si="67">+P121*(1-A121)</f>
        <v>0</v>
      </c>
      <c r="AI121" s="1">
        <f t="shared" ref="AI121:AI124" si="68">+(1-A121)*(1-P121)</f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2112</v>
      </c>
      <c r="E122" s="16" t="s">
        <v>169</v>
      </c>
      <c r="F122" s="16" t="s">
        <v>2114</v>
      </c>
      <c r="G122" s="16"/>
      <c r="H122" s="16" t="s">
        <v>372</v>
      </c>
      <c r="I122" s="15" t="s">
        <v>2115</v>
      </c>
      <c r="J122" s="15">
        <v>11</v>
      </c>
      <c r="K122" s="10" t="s">
        <v>699</v>
      </c>
      <c r="L122" s="10">
        <v>50</v>
      </c>
      <c r="M122" s="19" t="s">
        <v>2113</v>
      </c>
      <c r="N122" s="17"/>
      <c r="Q122" s="16" t="s">
        <v>2116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63"/>
        <v>0</v>
      </c>
      <c r="AE122" s="1">
        <f t="shared" si="64"/>
        <v>0</v>
      </c>
      <c r="AF122" s="1">
        <f t="shared" si="65"/>
        <v>0</v>
      </c>
      <c r="AG122" s="1">
        <f t="shared" si="66"/>
        <v>0</v>
      </c>
      <c r="AH122" s="1">
        <f t="shared" si="67"/>
        <v>0</v>
      </c>
      <c r="AI122" s="1">
        <f t="shared" si="68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1796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1948</v>
      </c>
      <c r="E126" s="20" t="s">
        <v>171</v>
      </c>
      <c r="F126" s="20" t="s">
        <v>1945</v>
      </c>
      <c r="G126" s="20"/>
      <c r="H126" s="20" t="s">
        <v>1946</v>
      </c>
      <c r="I126" s="21" t="s">
        <v>1944</v>
      </c>
      <c r="J126" s="15">
        <v>17</v>
      </c>
      <c r="K126" s="10" t="s">
        <v>699</v>
      </c>
      <c r="L126" s="10" t="s">
        <v>1713</v>
      </c>
      <c r="M126" s="19" t="s">
        <v>958</v>
      </c>
      <c r="N126" s="17"/>
      <c r="Q126" s="20" t="s">
        <v>1947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57" t="s">
        <v>1838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1713</v>
      </c>
      <c r="M127" s="47" t="s">
        <v>1371</v>
      </c>
      <c r="N127" s="47" t="s">
        <v>1773</v>
      </c>
      <c r="O127" s="48"/>
      <c r="P127" s="48"/>
      <c r="Q127" s="57" t="s">
        <v>1861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2095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1726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6" t="s">
        <v>2065</v>
      </c>
      <c r="E130" s="36" t="s">
        <v>171</v>
      </c>
      <c r="F130" s="36" t="s">
        <v>2066</v>
      </c>
      <c r="G130" s="32"/>
      <c r="H130" s="36" t="s">
        <v>2067</v>
      </c>
      <c r="I130" s="37" t="s">
        <v>2068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1719</v>
      </c>
      <c r="O131" s="35">
        <v>1</v>
      </c>
      <c r="P131" s="35"/>
      <c r="Q131" s="36" t="s">
        <v>1866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1713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2072</v>
      </c>
      <c r="E133" s="20" t="s">
        <v>865</v>
      </c>
      <c r="F133" s="20" t="s">
        <v>2073</v>
      </c>
      <c r="G133" s="16"/>
      <c r="H133" s="20" t="s">
        <v>2074</v>
      </c>
      <c r="I133" s="21" t="s">
        <v>2075</v>
      </c>
      <c r="J133" s="15">
        <v>16</v>
      </c>
      <c r="K133" s="10" t="s">
        <v>699</v>
      </c>
      <c r="L133" s="10" t="s">
        <v>684</v>
      </c>
      <c r="M133" s="19" t="s">
        <v>958</v>
      </c>
      <c r="N133" s="17"/>
      <c r="Q133" s="16" t="s">
        <v>2076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20" t="s">
        <v>1921</v>
      </c>
      <c r="E134" s="20" t="s">
        <v>171</v>
      </c>
      <c r="F134" s="20" t="s">
        <v>1941</v>
      </c>
      <c r="G134" s="20"/>
      <c r="H134" s="20" t="s">
        <v>1940</v>
      </c>
      <c r="I134" s="21" t="s">
        <v>1942</v>
      </c>
      <c r="J134" s="15">
        <v>15</v>
      </c>
      <c r="K134" s="10" t="s">
        <v>699</v>
      </c>
      <c r="L134" s="10" t="s">
        <v>1713</v>
      </c>
      <c r="M134" s="19" t="s">
        <v>958</v>
      </c>
      <c r="N134" s="17"/>
      <c r="Q134" s="20" t="s">
        <v>1943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909</v>
      </c>
      <c r="E135" s="32" t="s">
        <v>171</v>
      </c>
      <c r="F135" s="32" t="s">
        <v>1141</v>
      </c>
      <c r="G135" s="32" t="s">
        <v>39</v>
      </c>
      <c r="H135" s="32" t="s">
        <v>361</v>
      </c>
      <c r="I135" s="31" t="s">
        <v>880</v>
      </c>
      <c r="J135" s="31">
        <v>14</v>
      </c>
      <c r="K135" s="33" t="s">
        <v>944</v>
      </c>
      <c r="L135" s="33" t="s">
        <v>39</v>
      </c>
      <c r="M135" s="34" t="s">
        <v>39</v>
      </c>
      <c r="N135" s="34" t="s">
        <v>1706</v>
      </c>
      <c r="O135" s="35">
        <v>1</v>
      </c>
      <c r="P135" s="35">
        <v>1</v>
      </c>
      <c r="Q135" s="36"/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1</v>
      </c>
      <c r="AE135" s="1">
        <f t="shared" si="56"/>
        <v>0</v>
      </c>
      <c r="AF135" s="1">
        <f t="shared" si="41"/>
        <v>1</v>
      </c>
      <c r="AG135" s="1">
        <f t="shared" si="42"/>
        <v>0</v>
      </c>
      <c r="AH135" s="1">
        <f t="shared" si="43"/>
        <v>1</v>
      </c>
      <c r="AI135" s="1">
        <f t="shared" si="44"/>
        <v>0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104</v>
      </c>
      <c r="E136" s="45" t="s">
        <v>171</v>
      </c>
      <c r="F136" s="45" t="s">
        <v>920</v>
      </c>
      <c r="G136" s="45" t="s">
        <v>39</v>
      </c>
      <c r="H136" s="45" t="s">
        <v>356</v>
      </c>
      <c r="I136" s="44" t="s">
        <v>449</v>
      </c>
      <c r="J136" s="44">
        <v>18</v>
      </c>
      <c r="K136" s="46" t="s">
        <v>943</v>
      </c>
      <c r="L136" s="46" t="s">
        <v>693</v>
      </c>
      <c r="M136" s="47" t="s">
        <v>687</v>
      </c>
      <c r="N136" s="47" t="s">
        <v>1708</v>
      </c>
      <c r="O136" s="48"/>
      <c r="P136" s="48"/>
      <c r="Q136" s="45" t="s">
        <v>1859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1483</v>
      </c>
      <c r="E137" s="32" t="s">
        <v>1626</v>
      </c>
      <c r="F137" s="32" t="s">
        <v>1485</v>
      </c>
      <c r="G137" s="32" t="s">
        <v>39</v>
      </c>
      <c r="H137" s="32" t="s">
        <v>1486</v>
      </c>
      <c r="I137" s="31" t="s">
        <v>1484</v>
      </c>
      <c r="J137" s="31">
        <v>14</v>
      </c>
      <c r="K137" s="33" t="s">
        <v>949</v>
      </c>
      <c r="L137" s="33" t="s">
        <v>683</v>
      </c>
      <c r="M137" s="34" t="s">
        <v>1373</v>
      </c>
      <c r="N137" s="34" t="s">
        <v>1700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1237</v>
      </c>
      <c r="E138" s="32" t="s">
        <v>171</v>
      </c>
      <c r="F138" s="32" t="s">
        <v>1238</v>
      </c>
      <c r="G138" s="32" t="s">
        <v>1240</v>
      </c>
      <c r="H138" s="32" t="s">
        <v>352</v>
      </c>
      <c r="I138" s="31" t="s">
        <v>1239</v>
      </c>
      <c r="J138" s="31">
        <v>99</v>
      </c>
      <c r="K138" s="33" t="s">
        <v>945</v>
      </c>
      <c r="L138" s="33" t="s">
        <v>689</v>
      </c>
      <c r="M138" s="34" t="s">
        <v>958</v>
      </c>
      <c r="N138" s="34" t="s">
        <v>1796</v>
      </c>
      <c r="O138" s="35">
        <v>1</v>
      </c>
      <c r="P138" s="35"/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1477</v>
      </c>
      <c r="E139" s="32" t="s">
        <v>171</v>
      </c>
      <c r="F139" s="32" t="s">
        <v>1478</v>
      </c>
      <c r="G139" s="32" t="s">
        <v>39</v>
      </c>
      <c r="H139" s="32" t="s">
        <v>363</v>
      </c>
      <c r="I139" s="31" t="s">
        <v>1479</v>
      </c>
      <c r="J139" s="31">
        <v>18</v>
      </c>
      <c r="K139" s="33" t="s">
        <v>943</v>
      </c>
      <c r="L139" s="33" t="s">
        <v>1713</v>
      </c>
      <c r="M139" s="34" t="s">
        <v>39</v>
      </c>
      <c r="N139" s="34" t="s">
        <v>1719</v>
      </c>
      <c r="O139" s="35">
        <v>1</v>
      </c>
      <c r="P139" s="35"/>
      <c r="Q139" s="32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1597</v>
      </c>
      <c r="E140" s="16" t="s">
        <v>171</v>
      </c>
      <c r="F140" s="16" t="s">
        <v>1600</v>
      </c>
      <c r="G140" s="16" t="s">
        <v>39</v>
      </c>
      <c r="H140" s="16" t="s">
        <v>1598</v>
      </c>
      <c r="I140" s="15" t="s">
        <v>1599</v>
      </c>
      <c r="J140" s="15">
        <v>15</v>
      </c>
      <c r="K140" s="10" t="s">
        <v>718</v>
      </c>
      <c r="L140" s="10" t="s">
        <v>39</v>
      </c>
      <c r="M140" s="19" t="s">
        <v>39</v>
      </c>
      <c r="N140" s="17"/>
      <c r="Q140" s="1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0</v>
      </c>
      <c r="AF140" s="1">
        <f t="shared" si="41"/>
        <v>0</v>
      </c>
      <c r="AG140" s="1">
        <f t="shared" si="42"/>
        <v>0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1225</v>
      </c>
      <c r="E141" s="32" t="s">
        <v>1227</v>
      </c>
      <c r="F141" s="32" t="s">
        <v>1228</v>
      </c>
      <c r="G141" s="32" t="s">
        <v>39</v>
      </c>
      <c r="H141" s="32" t="s">
        <v>367</v>
      </c>
      <c r="I141" s="31" t="s">
        <v>1226</v>
      </c>
      <c r="J141" s="31">
        <v>14</v>
      </c>
      <c r="K141" s="33" t="s">
        <v>945</v>
      </c>
      <c r="L141" s="33" t="s">
        <v>683</v>
      </c>
      <c r="M141" s="34" t="s">
        <v>1373</v>
      </c>
      <c r="N141" s="34" t="s">
        <v>1706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129</v>
      </c>
      <c r="E142" s="32" t="s">
        <v>175</v>
      </c>
      <c r="F142" s="32" t="s">
        <v>329</v>
      </c>
      <c r="G142" s="32" t="s">
        <v>181</v>
      </c>
      <c r="H142" s="32" t="s">
        <v>352</v>
      </c>
      <c r="I142" s="31" t="s">
        <v>476</v>
      </c>
      <c r="J142" s="31">
        <v>99</v>
      </c>
      <c r="K142" s="33" t="s">
        <v>944</v>
      </c>
      <c r="L142" s="33" t="s">
        <v>39</v>
      </c>
      <c r="M142" s="34" t="s">
        <v>39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910</v>
      </c>
      <c r="E143" s="32" t="s">
        <v>171</v>
      </c>
      <c r="F143" s="32" t="s">
        <v>922</v>
      </c>
      <c r="G143" s="32" t="s">
        <v>234</v>
      </c>
      <c r="H143" s="32" t="s">
        <v>352</v>
      </c>
      <c r="I143" s="31" t="s">
        <v>935</v>
      </c>
      <c r="J143" s="31">
        <v>99</v>
      </c>
      <c r="K143" s="33" t="s">
        <v>718</v>
      </c>
      <c r="L143" s="33">
        <v>45</v>
      </c>
      <c r="M143" s="34" t="s">
        <v>39</v>
      </c>
      <c r="N143" s="34" t="s">
        <v>1772</v>
      </c>
      <c r="O143" s="35">
        <v>1</v>
      </c>
      <c r="P143" s="35"/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1</v>
      </c>
      <c r="AF143" s="1">
        <f t="shared" si="41"/>
        <v>0</v>
      </c>
      <c r="AG143" s="1">
        <f t="shared" si="42"/>
        <v>1</v>
      </c>
      <c r="AH143" s="1">
        <f t="shared" si="43"/>
        <v>0</v>
      </c>
      <c r="AI143" s="1">
        <f t="shared" si="44"/>
        <v>1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78</v>
      </c>
      <c r="E144" s="45" t="s">
        <v>606</v>
      </c>
      <c r="F144" s="45" t="s">
        <v>306</v>
      </c>
      <c r="G144" s="45" t="s">
        <v>39</v>
      </c>
      <c r="H144" s="45" t="s">
        <v>360</v>
      </c>
      <c r="I144" s="44" t="s">
        <v>454</v>
      </c>
      <c r="J144" s="44">
        <v>12</v>
      </c>
      <c r="K144" s="46" t="s">
        <v>699</v>
      </c>
      <c r="L144" s="46">
        <v>40</v>
      </c>
      <c r="M144" s="47" t="s">
        <v>958</v>
      </c>
      <c r="N144" s="47" t="s">
        <v>1773</v>
      </c>
      <c r="O144" s="48"/>
      <c r="P144" s="48"/>
      <c r="Q144" s="45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ref="AF144:AF209" si="69">+O144*P144*(1-A144)</f>
        <v>0</v>
      </c>
      <c r="AG144" s="1">
        <f t="shared" ref="AG144:AG209" si="70">O144*(1-P144)*(1-A144)</f>
        <v>0</v>
      </c>
      <c r="AH144" s="1">
        <f t="shared" ref="AH144:AH209" si="71">+P144*(1-A144)</f>
        <v>0</v>
      </c>
      <c r="AI144" s="1">
        <f t="shared" ref="AI144:AI209" si="72">+(1-A144)*(1-P144)</f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1556</v>
      </c>
      <c r="E145" s="16" t="s">
        <v>169</v>
      </c>
      <c r="F145" s="16" t="s">
        <v>1558</v>
      </c>
      <c r="G145" s="16"/>
      <c r="H145" s="16" t="s">
        <v>363</v>
      </c>
      <c r="I145" s="15" t="s">
        <v>1557</v>
      </c>
      <c r="J145" s="15">
        <v>18</v>
      </c>
      <c r="K145" s="10" t="s">
        <v>699</v>
      </c>
      <c r="L145" s="10" t="s">
        <v>684</v>
      </c>
      <c r="M145" s="19" t="s">
        <v>958</v>
      </c>
      <c r="N145" s="17"/>
      <c r="Q145" s="16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si="69"/>
        <v>0</v>
      </c>
      <c r="AG145" s="1">
        <f t="shared" si="70"/>
        <v>0</v>
      </c>
      <c r="AH145" s="1">
        <f t="shared" si="71"/>
        <v>0</v>
      </c>
      <c r="AI145" s="1">
        <f t="shared" si="72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1267</v>
      </c>
      <c r="E146" s="32" t="s">
        <v>171</v>
      </c>
      <c r="F146" s="32" t="s">
        <v>1268</v>
      </c>
      <c r="G146" s="32" t="s">
        <v>237</v>
      </c>
      <c r="H146" s="32" t="s">
        <v>352</v>
      </c>
      <c r="I146" s="31" t="s">
        <v>1269</v>
      </c>
      <c r="J146" s="31">
        <v>4</v>
      </c>
      <c r="K146" s="33" t="s">
        <v>944</v>
      </c>
      <c r="L146" s="33" t="s">
        <v>39</v>
      </c>
      <c r="M146" s="34" t="s">
        <v>39</v>
      </c>
      <c r="N146" s="34" t="s">
        <v>1700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1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9"/>
        <v>1</v>
      </c>
      <c r="AG146" s="1">
        <f t="shared" si="70"/>
        <v>0</v>
      </c>
      <c r="AH146" s="1">
        <f t="shared" si="71"/>
        <v>1</v>
      </c>
      <c r="AI146" s="1">
        <f t="shared" si="72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644</v>
      </c>
      <c r="E147" s="32" t="s">
        <v>171</v>
      </c>
      <c r="F147" s="32" t="s">
        <v>653</v>
      </c>
      <c r="G147" s="32" t="s">
        <v>231</v>
      </c>
      <c r="H147" s="32" t="s">
        <v>352</v>
      </c>
      <c r="I147" s="31" t="s">
        <v>608</v>
      </c>
      <c r="J147" s="31">
        <v>99</v>
      </c>
      <c r="K147" s="33" t="s">
        <v>698</v>
      </c>
      <c r="L147" s="33" t="s">
        <v>39</v>
      </c>
      <c r="M147" s="34" t="s">
        <v>39</v>
      </c>
      <c r="N147" s="34" t="s">
        <v>1706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ht="14.25" customHeight="1" x14ac:dyDescent="0.25">
      <c r="A148" s="38">
        <v>0</v>
      </c>
      <c r="B148" s="38">
        <v>1</v>
      </c>
      <c r="C148" s="38">
        <v>3</v>
      </c>
      <c r="D148" s="39" t="s">
        <v>864</v>
      </c>
      <c r="E148" s="39" t="s">
        <v>865</v>
      </c>
      <c r="F148" s="39" t="s">
        <v>866</v>
      </c>
      <c r="G148" s="39" t="s">
        <v>39</v>
      </c>
      <c r="H148" s="39" t="s">
        <v>364</v>
      </c>
      <c r="I148" s="38" t="s">
        <v>867</v>
      </c>
      <c r="J148" s="38">
        <v>18</v>
      </c>
      <c r="K148" s="40" t="s">
        <v>943</v>
      </c>
      <c r="L148" s="40" t="s">
        <v>39</v>
      </c>
      <c r="M148" s="41" t="s">
        <v>39</v>
      </c>
      <c r="N148" s="42"/>
      <c r="O148" s="43"/>
      <c r="P148" s="43">
        <v>1</v>
      </c>
      <c r="Q148" s="39"/>
      <c r="S148" s="1">
        <f t="shared" ref="S148:S213" si="73">IF(J148=$S$7,1,0)</f>
        <v>0</v>
      </c>
      <c r="T148" s="1">
        <f t="shared" ref="T148:T213" si="74">IF(J148=$T$7,1,0)</f>
        <v>0</v>
      </c>
      <c r="U148" s="1">
        <f t="shared" ref="U148:U213" si="75">IF(J148=$U$7,1,0)</f>
        <v>0</v>
      </c>
      <c r="V148" s="1">
        <f t="shared" ref="V148:V213" si="76">IF(J148=$V$7,1,0)</f>
        <v>0</v>
      </c>
      <c r="W148" s="1">
        <f t="shared" ref="W148:W213" si="77">IF(J148=$W$7,1,0)</f>
        <v>0</v>
      </c>
      <c r="X148" s="1">
        <f t="shared" ref="X148:X213" si="78">IF(J148=$X$7,1,0)</f>
        <v>0</v>
      </c>
      <c r="Y148" s="1">
        <f t="shared" ref="Y148:Y213" si="79">IF(J148=$Y$7,1,0)</f>
        <v>0</v>
      </c>
      <c r="Z148" s="1">
        <f t="shared" ref="Z148:Z213" si="80">IF(J148=$Z$7,1,0)</f>
        <v>0</v>
      </c>
      <c r="AA148" s="1">
        <f t="shared" ref="AA148:AA213" si="81">IF(J148=$AA$7,1,0)</f>
        <v>0</v>
      </c>
      <c r="AB148" s="1">
        <f t="shared" ref="AB148:AB213" si="82">IF(J148=$AB$7,1,0)</f>
        <v>0</v>
      </c>
      <c r="AD148" s="1">
        <f t="shared" ref="AD148:AD213" si="83">+O148*P148</f>
        <v>0</v>
      </c>
      <c r="AE148" s="1">
        <f t="shared" ref="AE148:AE213" si="84">O148*(1-P148)</f>
        <v>0</v>
      </c>
      <c r="AF148" s="1">
        <f t="shared" si="69"/>
        <v>0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1287</v>
      </c>
      <c r="E149" s="32" t="s">
        <v>171</v>
      </c>
      <c r="F149" s="32" t="s">
        <v>1288</v>
      </c>
      <c r="G149" s="32" t="s">
        <v>207</v>
      </c>
      <c r="H149" s="32" t="s">
        <v>352</v>
      </c>
      <c r="I149" s="31" t="s">
        <v>1289</v>
      </c>
      <c r="J149" s="31">
        <v>3</v>
      </c>
      <c r="K149" s="33" t="s">
        <v>943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73"/>
        <v>0</v>
      </c>
      <c r="T149" s="1">
        <f t="shared" si="74"/>
        <v>0</v>
      </c>
      <c r="U149" s="1">
        <f t="shared" si="75"/>
        <v>1</v>
      </c>
      <c r="V149" s="1">
        <f t="shared" si="76"/>
        <v>0</v>
      </c>
      <c r="W149" s="1">
        <f t="shared" si="77"/>
        <v>0</v>
      </c>
      <c r="X149" s="1">
        <f t="shared" si="78"/>
        <v>0</v>
      </c>
      <c r="Y149" s="1">
        <f t="shared" si="79"/>
        <v>0</v>
      </c>
      <c r="Z149" s="1">
        <f t="shared" si="80"/>
        <v>0</v>
      </c>
      <c r="AA149" s="1">
        <f t="shared" si="81"/>
        <v>0</v>
      </c>
      <c r="AB149" s="1">
        <f t="shared" si="82"/>
        <v>0</v>
      </c>
      <c r="AD149" s="1">
        <f t="shared" si="83"/>
        <v>1</v>
      </c>
      <c r="AE149" s="1">
        <f t="shared" si="84"/>
        <v>0</v>
      </c>
      <c r="AF149" s="1">
        <f t="shared" si="69"/>
        <v>1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858</v>
      </c>
      <c r="E150" s="32" t="s">
        <v>169</v>
      </c>
      <c r="F150" s="32" t="s">
        <v>859</v>
      </c>
      <c r="G150" s="32" t="s">
        <v>39</v>
      </c>
      <c r="H150" s="32" t="s">
        <v>860</v>
      </c>
      <c r="I150" s="31" t="s">
        <v>936</v>
      </c>
      <c r="J150" s="31">
        <v>11</v>
      </c>
      <c r="K150" s="33" t="s">
        <v>698</v>
      </c>
      <c r="L150" s="33" t="s">
        <v>685</v>
      </c>
      <c r="M150" s="34" t="s">
        <v>958</v>
      </c>
      <c r="N150" s="34" t="s">
        <v>1726</v>
      </c>
      <c r="O150" s="35">
        <v>1</v>
      </c>
      <c r="P150" s="35"/>
      <c r="Q150" s="32"/>
      <c r="S150" s="1">
        <f t="shared" si="73"/>
        <v>0</v>
      </c>
      <c r="T150" s="1">
        <f t="shared" si="74"/>
        <v>0</v>
      </c>
      <c r="U150" s="1">
        <f t="shared" si="75"/>
        <v>0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0</v>
      </c>
      <c r="AE150" s="1">
        <f t="shared" si="84"/>
        <v>1</v>
      </c>
      <c r="AF150" s="1">
        <f t="shared" si="69"/>
        <v>0</v>
      </c>
      <c r="AG150" s="1">
        <f t="shared" si="70"/>
        <v>1</v>
      </c>
      <c r="AH150" s="1">
        <f t="shared" si="71"/>
        <v>0</v>
      </c>
      <c r="AI150" s="1">
        <f t="shared" si="72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502</v>
      </c>
      <c r="E151" s="36" t="s">
        <v>169</v>
      </c>
      <c r="F151" s="36" t="s">
        <v>503</v>
      </c>
      <c r="G151" s="36" t="s">
        <v>500</v>
      </c>
      <c r="H151" s="36" t="s">
        <v>352</v>
      </c>
      <c r="I151" s="37" t="s">
        <v>504</v>
      </c>
      <c r="J151" s="31">
        <v>99</v>
      </c>
      <c r="K151" s="33" t="s">
        <v>699</v>
      </c>
      <c r="L151" s="33">
        <v>40</v>
      </c>
      <c r="M151" s="34" t="s">
        <v>958</v>
      </c>
      <c r="N151" s="34" t="s">
        <v>1917</v>
      </c>
      <c r="O151" s="35">
        <v>1</v>
      </c>
      <c r="P151" s="35"/>
      <c r="Q151" s="36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1763</v>
      </c>
      <c r="E152" s="36" t="s">
        <v>1764</v>
      </c>
      <c r="F152" s="36" t="s">
        <v>1765</v>
      </c>
      <c r="G152" s="36" t="s">
        <v>1766</v>
      </c>
      <c r="H152" s="36" t="s">
        <v>352</v>
      </c>
      <c r="I152" s="37" t="s">
        <v>1767</v>
      </c>
      <c r="J152" s="31">
        <v>99</v>
      </c>
      <c r="K152" s="33" t="s">
        <v>699</v>
      </c>
      <c r="L152" s="33"/>
      <c r="M152" s="34"/>
      <c r="N152" s="34" t="s">
        <v>1706</v>
      </c>
      <c r="O152" s="35">
        <v>1</v>
      </c>
      <c r="P152" s="35">
        <v>1</v>
      </c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1</v>
      </c>
      <c r="AE152" s="1">
        <f t="shared" si="84"/>
        <v>0</v>
      </c>
      <c r="AF152" s="1">
        <f t="shared" si="69"/>
        <v>1</v>
      </c>
      <c r="AG152" s="1">
        <f t="shared" si="70"/>
        <v>0</v>
      </c>
      <c r="AH152" s="1">
        <f t="shared" si="71"/>
        <v>1</v>
      </c>
      <c r="AI152" s="1">
        <f t="shared" si="72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525</v>
      </c>
      <c r="E153" s="32" t="s">
        <v>169</v>
      </c>
      <c r="F153" s="32" t="s">
        <v>654</v>
      </c>
      <c r="G153" s="32" t="s">
        <v>39</v>
      </c>
      <c r="H153" s="32" t="s">
        <v>526</v>
      </c>
      <c r="I153" s="31" t="s">
        <v>527</v>
      </c>
      <c r="J153" s="31">
        <v>18</v>
      </c>
      <c r="K153" s="33" t="s">
        <v>943</v>
      </c>
      <c r="L153" s="33" t="s">
        <v>1713</v>
      </c>
      <c r="M153" s="34" t="s">
        <v>957</v>
      </c>
      <c r="N153" s="34" t="s">
        <v>1706</v>
      </c>
      <c r="O153" s="35">
        <v>1</v>
      </c>
      <c r="P153" s="35">
        <v>1</v>
      </c>
      <c r="Q153" s="32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962</v>
      </c>
      <c r="E154" s="32" t="s">
        <v>174</v>
      </c>
      <c r="F154" s="32" t="s">
        <v>796</v>
      </c>
      <c r="G154" s="32" t="s">
        <v>39</v>
      </c>
      <c r="H154" s="32" t="s">
        <v>797</v>
      </c>
      <c r="I154" s="31" t="s">
        <v>798</v>
      </c>
      <c r="J154" s="31">
        <v>16</v>
      </c>
      <c r="K154" s="33" t="s">
        <v>944</v>
      </c>
      <c r="L154" s="33" t="s">
        <v>1125</v>
      </c>
      <c r="M154" s="34" t="s">
        <v>957</v>
      </c>
      <c r="N154" s="34" t="s">
        <v>1719</v>
      </c>
      <c r="O154" s="35">
        <v>1</v>
      </c>
      <c r="P154" s="35"/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0</v>
      </c>
      <c r="AE154" s="1">
        <f t="shared" si="84"/>
        <v>1</v>
      </c>
      <c r="AF154" s="1">
        <f t="shared" si="69"/>
        <v>0</v>
      </c>
      <c r="AG154" s="1">
        <f t="shared" si="70"/>
        <v>1</v>
      </c>
      <c r="AH154" s="1">
        <f t="shared" si="71"/>
        <v>0</v>
      </c>
      <c r="AI154" s="1">
        <f t="shared" si="72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1179</v>
      </c>
      <c r="E155" s="32" t="s">
        <v>171</v>
      </c>
      <c r="F155" s="32" t="s">
        <v>1180</v>
      </c>
      <c r="G155" s="32" t="s">
        <v>237</v>
      </c>
      <c r="H155" s="32" t="s">
        <v>352</v>
      </c>
      <c r="I155" s="31" t="s">
        <v>1181</v>
      </c>
      <c r="J155" s="31">
        <v>4</v>
      </c>
      <c r="K155" s="33" t="s">
        <v>950</v>
      </c>
      <c r="L155" s="33" t="s">
        <v>1672</v>
      </c>
      <c r="M155" s="34" t="s">
        <v>1578</v>
      </c>
      <c r="N155" s="34" t="s">
        <v>1700</v>
      </c>
      <c r="O155" s="35">
        <v>1</v>
      </c>
      <c r="P155" s="35">
        <v>1</v>
      </c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1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1</v>
      </c>
      <c r="AE155" s="1">
        <f t="shared" si="84"/>
        <v>0</v>
      </c>
      <c r="AF155" s="1">
        <f t="shared" si="69"/>
        <v>1</v>
      </c>
      <c r="AG155" s="1">
        <f t="shared" si="70"/>
        <v>0</v>
      </c>
      <c r="AH155" s="1">
        <f t="shared" si="71"/>
        <v>1</v>
      </c>
      <c r="AI155" s="1">
        <f t="shared" si="7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1615</v>
      </c>
      <c r="E156" s="32" t="s">
        <v>169</v>
      </c>
      <c r="F156" s="32" t="s">
        <v>1451</v>
      </c>
      <c r="G156" s="32" t="s">
        <v>1643</v>
      </c>
      <c r="H156" s="32" t="s">
        <v>352</v>
      </c>
      <c r="I156" s="31" t="s">
        <v>1450</v>
      </c>
      <c r="J156" s="31">
        <v>99</v>
      </c>
      <c r="K156" s="33" t="s">
        <v>698</v>
      </c>
      <c r="L156" s="33" t="s">
        <v>1677</v>
      </c>
      <c r="M156" s="34" t="s">
        <v>1452</v>
      </c>
      <c r="N156" s="34" t="s">
        <v>1720</v>
      </c>
      <c r="O156" s="35">
        <v>1</v>
      </c>
      <c r="P156" s="35"/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0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0</v>
      </c>
      <c r="AE156" s="1">
        <f t="shared" si="84"/>
        <v>1</v>
      </c>
      <c r="AF156" s="1">
        <f t="shared" si="69"/>
        <v>0</v>
      </c>
      <c r="AG156" s="1">
        <f t="shared" si="70"/>
        <v>1</v>
      </c>
      <c r="AH156" s="1">
        <f t="shared" si="71"/>
        <v>0</v>
      </c>
      <c r="AI156" s="1">
        <f t="shared" si="72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2046</v>
      </c>
      <c r="E157" s="36" t="s">
        <v>171</v>
      </c>
      <c r="F157" s="36" t="s">
        <v>2047</v>
      </c>
      <c r="G157" s="32"/>
      <c r="H157" s="36" t="s">
        <v>607</v>
      </c>
      <c r="I157" s="37" t="s">
        <v>2048</v>
      </c>
      <c r="J157" s="31">
        <v>14</v>
      </c>
      <c r="K157" s="33" t="s">
        <v>699</v>
      </c>
      <c r="L157" s="33"/>
      <c r="M157" s="34"/>
      <c r="N157" s="34" t="s">
        <v>1706</v>
      </c>
      <c r="O157" s="35">
        <v>1</v>
      </c>
      <c r="P157" s="35">
        <v>1</v>
      </c>
      <c r="Q157" s="32" t="s">
        <v>2049</v>
      </c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1</v>
      </c>
      <c r="AE157" s="1">
        <f t="shared" si="84"/>
        <v>0</v>
      </c>
      <c r="AF157" s="1">
        <f t="shared" si="69"/>
        <v>1</v>
      </c>
      <c r="AG157" s="1">
        <f t="shared" si="70"/>
        <v>0</v>
      </c>
      <c r="AH157" s="1">
        <f t="shared" si="71"/>
        <v>1</v>
      </c>
      <c r="AI157" s="1">
        <f t="shared" si="7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1919</v>
      </c>
      <c r="E158" s="20" t="s">
        <v>171</v>
      </c>
      <c r="F158" s="20" t="s">
        <v>1934</v>
      </c>
      <c r="G158" s="20"/>
      <c r="H158" s="20" t="s">
        <v>1933</v>
      </c>
      <c r="I158" s="21" t="s">
        <v>1932</v>
      </c>
      <c r="J158" s="15">
        <v>14</v>
      </c>
      <c r="K158" s="10" t="s">
        <v>699</v>
      </c>
      <c r="L158" s="10" t="s">
        <v>693</v>
      </c>
      <c r="M158" s="19" t="s">
        <v>958</v>
      </c>
      <c r="N158" s="17"/>
      <c r="Q158" s="20" t="s">
        <v>1935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0</v>
      </c>
      <c r="AE158" s="1">
        <f t="shared" si="84"/>
        <v>0</v>
      </c>
      <c r="AF158" s="1">
        <f t="shared" si="69"/>
        <v>0</v>
      </c>
      <c r="AG158" s="1">
        <f t="shared" si="70"/>
        <v>0</v>
      </c>
      <c r="AH158" s="1">
        <f t="shared" si="71"/>
        <v>0</v>
      </c>
      <c r="AI158" s="1">
        <f t="shared" si="72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144</v>
      </c>
      <c r="E159" s="32" t="s">
        <v>171</v>
      </c>
      <c r="F159" s="32" t="s">
        <v>345</v>
      </c>
      <c r="G159" s="32" t="s">
        <v>39</v>
      </c>
      <c r="H159" s="32" t="s">
        <v>376</v>
      </c>
      <c r="I159" s="31" t="s">
        <v>1340</v>
      </c>
      <c r="J159" s="31">
        <v>14</v>
      </c>
      <c r="K159" s="33" t="s">
        <v>943</v>
      </c>
      <c r="L159" s="33" t="s">
        <v>685</v>
      </c>
      <c r="M159" s="34" t="s">
        <v>687</v>
      </c>
      <c r="N159" s="34" t="s">
        <v>1719</v>
      </c>
      <c r="O159" s="35">
        <v>1</v>
      </c>
      <c r="P159" s="35"/>
      <c r="Q159" s="32"/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1</v>
      </c>
      <c r="AF159" s="1">
        <f t="shared" si="69"/>
        <v>0</v>
      </c>
      <c r="AG159" s="1">
        <f t="shared" si="70"/>
        <v>1</v>
      </c>
      <c r="AH159" s="1">
        <f t="shared" si="71"/>
        <v>0</v>
      </c>
      <c r="AI159" s="1">
        <f t="shared" si="72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1541</v>
      </c>
      <c r="E160" s="32" t="s">
        <v>171</v>
      </c>
      <c r="F160" s="32" t="s">
        <v>1542</v>
      </c>
      <c r="G160" s="32" t="s">
        <v>39</v>
      </c>
      <c r="H160" s="32" t="s">
        <v>1543</v>
      </c>
      <c r="I160" s="31" t="s">
        <v>1544</v>
      </c>
      <c r="J160" s="31">
        <v>17</v>
      </c>
      <c r="K160" s="33" t="s">
        <v>718</v>
      </c>
      <c r="L160" s="33" t="s">
        <v>39</v>
      </c>
      <c r="M160" s="34" t="s">
        <v>39</v>
      </c>
      <c r="N160" s="34" t="s">
        <v>1706</v>
      </c>
      <c r="O160" s="35">
        <v>1</v>
      </c>
      <c r="P160" s="35">
        <v>1</v>
      </c>
      <c r="Q160" s="32" t="s">
        <v>1884</v>
      </c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1</v>
      </c>
      <c r="AE160" s="1">
        <f t="shared" si="84"/>
        <v>0</v>
      </c>
      <c r="AF160" s="1">
        <f t="shared" si="69"/>
        <v>1</v>
      </c>
      <c r="AG160" s="1">
        <f t="shared" si="70"/>
        <v>0</v>
      </c>
      <c r="AH160" s="1">
        <f t="shared" si="71"/>
        <v>1</v>
      </c>
      <c r="AI160" s="1">
        <f t="shared" si="72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152</v>
      </c>
      <c r="E161" s="32" t="s">
        <v>171</v>
      </c>
      <c r="F161" s="32" t="s">
        <v>351</v>
      </c>
      <c r="G161" s="32" t="s">
        <v>39</v>
      </c>
      <c r="H161" s="32" t="s">
        <v>1840</v>
      </c>
      <c r="I161" s="31" t="s">
        <v>497</v>
      </c>
      <c r="J161" s="31">
        <v>14</v>
      </c>
      <c r="K161" s="33" t="s">
        <v>698</v>
      </c>
      <c r="L161" s="33" t="s">
        <v>685</v>
      </c>
      <c r="M161" s="34" t="s">
        <v>957</v>
      </c>
      <c r="N161" s="34" t="s">
        <v>1719</v>
      </c>
      <c r="O161" s="35">
        <v>1</v>
      </c>
      <c r="P161" s="35"/>
      <c r="Q161" s="32" t="s">
        <v>1867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0</v>
      </c>
      <c r="AE161" s="1">
        <f t="shared" si="84"/>
        <v>1</v>
      </c>
      <c r="AF161" s="1">
        <f t="shared" si="69"/>
        <v>0</v>
      </c>
      <c r="AG161" s="1">
        <f t="shared" si="70"/>
        <v>1</v>
      </c>
      <c r="AH161" s="1">
        <f t="shared" si="71"/>
        <v>0</v>
      </c>
      <c r="AI161" s="1">
        <f t="shared" si="72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735</v>
      </c>
      <c r="E162" s="16" t="s">
        <v>171</v>
      </c>
      <c r="F162" s="16" t="s">
        <v>736</v>
      </c>
      <c r="G162" s="16" t="s">
        <v>39</v>
      </c>
      <c r="H162" s="16" t="s">
        <v>737</v>
      </c>
      <c r="I162" s="15" t="s">
        <v>738</v>
      </c>
      <c r="J162" s="15">
        <v>17</v>
      </c>
      <c r="K162" s="10" t="s">
        <v>718</v>
      </c>
      <c r="L162" s="10" t="s">
        <v>693</v>
      </c>
      <c r="M162" s="19" t="s">
        <v>687</v>
      </c>
      <c r="N162" s="17"/>
      <c r="Q162" s="16" t="s">
        <v>1858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0</v>
      </c>
      <c r="AF162" s="1">
        <f t="shared" si="69"/>
        <v>0</v>
      </c>
      <c r="AG162" s="1">
        <f t="shared" si="70"/>
        <v>0</v>
      </c>
      <c r="AH162" s="1">
        <f t="shared" si="71"/>
        <v>0</v>
      </c>
      <c r="AI162" s="1">
        <f t="shared" si="72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893</v>
      </c>
      <c r="E163" s="45" t="s">
        <v>171</v>
      </c>
      <c r="F163" s="45" t="s">
        <v>1083</v>
      </c>
      <c r="G163" s="45" t="s">
        <v>39</v>
      </c>
      <c r="H163" s="45" t="s">
        <v>895</v>
      </c>
      <c r="I163" s="44" t="s">
        <v>894</v>
      </c>
      <c r="J163" s="44">
        <v>11</v>
      </c>
      <c r="K163" s="46" t="s">
        <v>944</v>
      </c>
      <c r="L163" s="46">
        <v>60</v>
      </c>
      <c r="M163" s="47" t="s">
        <v>39</v>
      </c>
      <c r="N163" s="47" t="s">
        <v>1712</v>
      </c>
      <c r="O163" s="48"/>
      <c r="P163" s="48"/>
      <c r="Q163" s="45"/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122</v>
      </c>
      <c r="E164" s="32" t="s">
        <v>174</v>
      </c>
      <c r="F164" s="32" t="s">
        <v>322</v>
      </c>
      <c r="G164" s="32" t="s">
        <v>39</v>
      </c>
      <c r="H164" s="32" t="s">
        <v>361</v>
      </c>
      <c r="I164" s="31" t="s">
        <v>467</v>
      </c>
      <c r="J164" s="31">
        <v>14</v>
      </c>
      <c r="K164" s="33" t="s">
        <v>718</v>
      </c>
      <c r="L164" s="33" t="s">
        <v>689</v>
      </c>
      <c r="M164" s="34" t="s">
        <v>1356</v>
      </c>
      <c r="N164" s="34" t="s">
        <v>1820</v>
      </c>
      <c r="O164" s="35">
        <v>1</v>
      </c>
      <c r="P164" s="35"/>
      <c r="Q164" s="36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1</v>
      </c>
      <c r="AF164" s="1">
        <f t="shared" si="69"/>
        <v>0</v>
      </c>
      <c r="AG164" s="1">
        <f t="shared" si="70"/>
        <v>1</v>
      </c>
      <c r="AH164" s="1">
        <f t="shared" si="71"/>
        <v>0</v>
      </c>
      <c r="AI164" s="1">
        <f t="shared" si="72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1153</v>
      </c>
      <c r="E165" s="32" t="s">
        <v>171</v>
      </c>
      <c r="F165" s="32" t="s">
        <v>1155</v>
      </c>
      <c r="G165" s="32" t="s">
        <v>758</v>
      </c>
      <c r="H165" s="32" t="s">
        <v>352</v>
      </c>
      <c r="I165" s="31" t="s">
        <v>1154</v>
      </c>
      <c r="J165" s="31">
        <v>99</v>
      </c>
      <c r="K165" s="33" t="s">
        <v>699</v>
      </c>
      <c r="L165" s="33">
        <v>30</v>
      </c>
      <c r="M165" s="34" t="s">
        <v>957</v>
      </c>
      <c r="N165" s="34" t="s">
        <v>1796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2008</v>
      </c>
      <c r="E166" s="32" t="s">
        <v>171</v>
      </c>
      <c r="F166" s="32" t="s">
        <v>2009</v>
      </c>
      <c r="G166" s="32"/>
      <c r="H166" s="32" t="s">
        <v>352</v>
      </c>
      <c r="I166" s="31" t="s">
        <v>2010</v>
      </c>
      <c r="J166" s="31">
        <v>18</v>
      </c>
      <c r="K166" s="33" t="s">
        <v>699</v>
      </c>
      <c r="L166" s="33"/>
      <c r="M166" s="34"/>
      <c r="N166" s="34" t="s">
        <v>1706</v>
      </c>
      <c r="O166" s="35">
        <v>1</v>
      </c>
      <c r="P166" s="35">
        <v>1</v>
      </c>
      <c r="Q166" s="36" t="s">
        <v>2011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1</v>
      </c>
      <c r="AE166" s="1">
        <f t="shared" si="84"/>
        <v>0</v>
      </c>
      <c r="AF166" s="1">
        <f t="shared" si="69"/>
        <v>1</v>
      </c>
      <c r="AG166" s="1">
        <f t="shared" si="70"/>
        <v>0</v>
      </c>
      <c r="AH166" s="1">
        <f t="shared" si="71"/>
        <v>1</v>
      </c>
      <c r="AI166" s="1">
        <f t="shared" si="72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739</v>
      </c>
      <c r="E167" s="16" t="s">
        <v>169</v>
      </c>
      <c r="F167" s="16" t="s">
        <v>740</v>
      </c>
      <c r="G167" s="16" t="s">
        <v>39</v>
      </c>
      <c r="H167" s="16" t="s">
        <v>741</v>
      </c>
      <c r="I167" s="15" t="s">
        <v>742</v>
      </c>
      <c r="J167" s="15">
        <v>17</v>
      </c>
      <c r="K167" s="10" t="s">
        <v>699</v>
      </c>
      <c r="L167" s="10" t="s">
        <v>693</v>
      </c>
      <c r="M167" s="19" t="s">
        <v>958</v>
      </c>
      <c r="N167" s="17"/>
      <c r="Q167" s="16"/>
      <c r="S167" s="1">
        <f t="shared" ref="S167:S173" si="85">IF(J167=$S$7,1,0)</f>
        <v>0</v>
      </c>
      <c r="T167" s="1">
        <f t="shared" ref="T167:T173" si="86">IF(J167=$T$7,1,0)</f>
        <v>0</v>
      </c>
      <c r="U167" s="1">
        <f t="shared" ref="U167:U173" si="87">IF(J167=$U$7,1,0)</f>
        <v>0</v>
      </c>
      <c r="V167" s="1">
        <f t="shared" ref="V167:V173" si="88">IF(J167=$V$7,1,0)</f>
        <v>0</v>
      </c>
      <c r="W167" s="1">
        <f t="shared" ref="W167:W173" si="89">IF(J167=$W$7,1,0)</f>
        <v>0</v>
      </c>
      <c r="X167" s="1">
        <f t="shared" ref="X167:X173" si="90">IF(J167=$X$7,1,0)</f>
        <v>0</v>
      </c>
      <c r="Y167" s="1">
        <f t="shared" ref="Y167:Y173" si="91">IF(J167=$Y$7,1,0)</f>
        <v>0</v>
      </c>
      <c r="Z167" s="1">
        <f t="shared" ref="Z167:Z173" si="92">IF(J167=$Z$7,1,0)</f>
        <v>0</v>
      </c>
      <c r="AA167" s="1">
        <f t="shared" ref="AA167:AA173" si="93">IF(J167=$AA$7,1,0)</f>
        <v>0</v>
      </c>
      <c r="AB167" s="1">
        <f t="shared" ref="AB167:AB173" si="94">IF(J167=$AB$7,1,0)</f>
        <v>0</v>
      </c>
      <c r="AD167" s="1">
        <f t="shared" ref="AD167:AD173" si="95">+O167*P167</f>
        <v>0</v>
      </c>
      <c r="AE167" s="1">
        <f t="shared" ref="AE167:AE173" si="96">O167*(1-P167)</f>
        <v>0</v>
      </c>
      <c r="AF167" s="1">
        <f t="shared" ref="AF167:AF173" si="97">+O167*P167*(1-A167)</f>
        <v>0</v>
      </c>
      <c r="AG167" s="1">
        <f t="shared" ref="AG167:AG173" si="98">O167*(1-P167)*(1-A167)</f>
        <v>0</v>
      </c>
      <c r="AH167" s="1">
        <f t="shared" ref="AH167:AH173" si="99">+P167*(1-A167)</f>
        <v>0</v>
      </c>
      <c r="AI167" s="1">
        <f t="shared" ref="AI167:AI173" si="10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20" t="s">
        <v>1918</v>
      </c>
      <c r="E168" s="20" t="s">
        <v>171</v>
      </c>
      <c r="F168" s="20" t="s">
        <v>1928</v>
      </c>
      <c r="G168" s="20"/>
      <c r="H168" s="20" t="s">
        <v>1929</v>
      </c>
      <c r="I168" s="21" t="s">
        <v>1930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1927</v>
      </c>
      <c r="S168" s="1">
        <f t="shared" si="85"/>
        <v>0</v>
      </c>
      <c r="T168" s="1">
        <f t="shared" si="86"/>
        <v>0</v>
      </c>
      <c r="U168" s="1">
        <f t="shared" si="87"/>
        <v>0</v>
      </c>
      <c r="V168" s="1">
        <f t="shared" si="88"/>
        <v>0</v>
      </c>
      <c r="W168" s="1">
        <f t="shared" si="89"/>
        <v>0</v>
      </c>
      <c r="X168" s="1">
        <f t="shared" si="90"/>
        <v>0</v>
      </c>
      <c r="Y168" s="1">
        <f t="shared" si="91"/>
        <v>0</v>
      </c>
      <c r="Z168" s="1">
        <f t="shared" si="92"/>
        <v>0</v>
      </c>
      <c r="AA168" s="1">
        <f t="shared" si="93"/>
        <v>0</v>
      </c>
      <c r="AB168" s="1">
        <f t="shared" si="94"/>
        <v>0</v>
      </c>
      <c r="AD168" s="1">
        <f t="shared" si="95"/>
        <v>0</v>
      </c>
      <c r="AE168" s="1">
        <f t="shared" si="96"/>
        <v>0</v>
      </c>
      <c r="AF168" s="1">
        <f t="shared" si="97"/>
        <v>0</v>
      </c>
      <c r="AG168" s="1">
        <f t="shared" si="98"/>
        <v>0</v>
      </c>
      <c r="AH168" s="1">
        <f t="shared" si="99"/>
        <v>0</v>
      </c>
      <c r="AI168" s="1">
        <f t="shared" si="10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825</v>
      </c>
      <c r="E169" s="32" t="s">
        <v>903</v>
      </c>
      <c r="F169" s="32" t="s">
        <v>826</v>
      </c>
      <c r="G169" s="32" t="s">
        <v>207</v>
      </c>
      <c r="H169" s="32" t="s">
        <v>352</v>
      </c>
      <c r="I169" s="37" t="s">
        <v>827</v>
      </c>
      <c r="J169" s="31">
        <v>3</v>
      </c>
      <c r="K169" s="33" t="s">
        <v>718</v>
      </c>
      <c r="L169" s="33" t="s">
        <v>689</v>
      </c>
      <c r="M169" s="34" t="s">
        <v>694</v>
      </c>
      <c r="N169" s="34" t="s">
        <v>1760</v>
      </c>
      <c r="O169" s="35">
        <v>1</v>
      </c>
      <c r="P169" s="35"/>
      <c r="Q169" s="36"/>
      <c r="S169" s="1">
        <f t="shared" si="85"/>
        <v>0</v>
      </c>
      <c r="T169" s="1">
        <f t="shared" si="86"/>
        <v>0</v>
      </c>
      <c r="U169" s="1">
        <f t="shared" si="87"/>
        <v>1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1</v>
      </c>
      <c r="AF169" s="1">
        <f t="shared" si="97"/>
        <v>0</v>
      </c>
      <c r="AG169" s="1">
        <f t="shared" si="98"/>
        <v>1</v>
      </c>
      <c r="AH169" s="1">
        <f t="shared" si="99"/>
        <v>0</v>
      </c>
      <c r="AI169" s="1">
        <f t="shared" si="10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2085</v>
      </c>
      <c r="E170" s="32" t="s">
        <v>174</v>
      </c>
      <c r="F170" s="32" t="s">
        <v>2086</v>
      </c>
      <c r="G170" s="32"/>
      <c r="H170" s="32" t="s">
        <v>2087</v>
      </c>
      <c r="I170" s="37" t="s">
        <v>2088</v>
      </c>
      <c r="J170" s="31">
        <v>16</v>
      </c>
      <c r="K170" s="33" t="s">
        <v>699</v>
      </c>
      <c r="L170" s="33"/>
      <c r="M170" s="34"/>
      <c r="N170" s="34" t="s">
        <v>1700</v>
      </c>
      <c r="O170" s="35">
        <v>1</v>
      </c>
      <c r="P170" s="35">
        <v>1</v>
      </c>
      <c r="Q170" s="36" t="s">
        <v>2089</v>
      </c>
      <c r="S170" s="1">
        <f t="shared" si="85"/>
        <v>0</v>
      </c>
      <c r="T170" s="1">
        <f t="shared" si="86"/>
        <v>0</v>
      </c>
      <c r="U170" s="1">
        <f t="shared" si="87"/>
        <v>0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1</v>
      </c>
      <c r="AE170" s="1">
        <f t="shared" si="96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20" t="s">
        <v>1923</v>
      </c>
      <c r="E171" s="20" t="s">
        <v>171</v>
      </c>
      <c r="F171" s="20" t="s">
        <v>1925</v>
      </c>
      <c r="G171" s="20"/>
      <c r="H171" s="20" t="s">
        <v>1926</v>
      </c>
      <c r="I171" s="21" t="s">
        <v>1924</v>
      </c>
      <c r="J171" s="15">
        <v>16</v>
      </c>
      <c r="K171" s="10" t="s">
        <v>699</v>
      </c>
      <c r="L171" s="10" t="s">
        <v>693</v>
      </c>
      <c r="M171" s="19" t="s">
        <v>958</v>
      </c>
      <c r="N171" s="17"/>
      <c r="Q171" s="20" t="s">
        <v>1931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0</v>
      </c>
      <c r="AE171" s="1">
        <f t="shared" si="96"/>
        <v>0</v>
      </c>
      <c r="AF171" s="1">
        <f t="shared" si="97"/>
        <v>0</v>
      </c>
      <c r="AG171" s="1">
        <f t="shared" si="98"/>
        <v>0</v>
      </c>
      <c r="AH171" s="1">
        <f t="shared" si="99"/>
        <v>0</v>
      </c>
      <c r="AI171" s="1">
        <f t="shared" si="10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1190</v>
      </c>
      <c r="E172" s="32" t="s">
        <v>171</v>
      </c>
      <c r="F172" s="32" t="s">
        <v>1192</v>
      </c>
      <c r="G172" s="32" t="s">
        <v>184</v>
      </c>
      <c r="H172" s="32" t="s">
        <v>352</v>
      </c>
      <c r="I172" s="31" t="s">
        <v>1191</v>
      </c>
      <c r="J172" s="31">
        <v>99</v>
      </c>
      <c r="K172" s="33" t="s">
        <v>945</v>
      </c>
      <c r="L172" s="33" t="s">
        <v>685</v>
      </c>
      <c r="M172" s="34" t="s">
        <v>958</v>
      </c>
      <c r="N172" s="34" t="s">
        <v>1720</v>
      </c>
      <c r="O172" s="35">
        <v>1</v>
      </c>
      <c r="P172" s="35"/>
      <c r="Q172" s="32"/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628</v>
      </c>
      <c r="E173" s="32" t="s">
        <v>169</v>
      </c>
      <c r="F173" s="32" t="s">
        <v>629</v>
      </c>
      <c r="G173" s="32" t="s">
        <v>193</v>
      </c>
      <c r="H173" s="32" t="s">
        <v>352</v>
      </c>
      <c r="I173" s="31" t="s">
        <v>630</v>
      </c>
      <c r="J173" s="31">
        <v>9</v>
      </c>
      <c r="K173" s="33" t="s">
        <v>944</v>
      </c>
      <c r="L173" s="33" t="s">
        <v>1672</v>
      </c>
      <c r="M173" s="34" t="s">
        <v>957</v>
      </c>
      <c r="N173" s="34" t="s">
        <v>1700</v>
      </c>
      <c r="O173" s="35">
        <v>1</v>
      </c>
      <c r="P173" s="35">
        <v>1</v>
      </c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1</v>
      </c>
      <c r="AB173" s="1">
        <f t="shared" si="94"/>
        <v>0</v>
      </c>
      <c r="AD173" s="1">
        <f t="shared" si="95"/>
        <v>1</v>
      </c>
      <c r="AE173" s="1">
        <f t="shared" si="96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131</v>
      </c>
      <c r="E174" s="45" t="s">
        <v>679</v>
      </c>
      <c r="F174" s="45" t="s">
        <v>332</v>
      </c>
      <c r="G174" s="45" t="s">
        <v>39</v>
      </c>
      <c r="H174" s="45" t="s">
        <v>360</v>
      </c>
      <c r="I174" s="44" t="s">
        <v>478</v>
      </c>
      <c r="J174" s="44">
        <v>12</v>
      </c>
      <c r="K174" s="46" t="s">
        <v>718</v>
      </c>
      <c r="L174" s="46">
        <v>35</v>
      </c>
      <c r="M174" s="47" t="s">
        <v>39</v>
      </c>
      <c r="N174" s="47" t="s">
        <v>1773</v>
      </c>
      <c r="O174" s="48"/>
      <c r="P174" s="48"/>
      <c r="Q174" s="45"/>
      <c r="S174" s="1">
        <f t="shared" si="73"/>
        <v>0</v>
      </c>
      <c r="T174" s="1">
        <f t="shared" si="74"/>
        <v>0</v>
      </c>
      <c r="U174" s="1">
        <f t="shared" si="75"/>
        <v>0</v>
      </c>
      <c r="V174" s="1">
        <f t="shared" si="76"/>
        <v>0</v>
      </c>
      <c r="W174" s="1">
        <f t="shared" si="77"/>
        <v>0</v>
      </c>
      <c r="X174" s="1">
        <f t="shared" si="78"/>
        <v>0</v>
      </c>
      <c r="Y174" s="1">
        <f t="shared" si="79"/>
        <v>0</v>
      </c>
      <c r="Z174" s="1">
        <f t="shared" si="80"/>
        <v>0</v>
      </c>
      <c r="AA174" s="1">
        <f t="shared" si="81"/>
        <v>0</v>
      </c>
      <c r="AB174" s="1">
        <f t="shared" si="82"/>
        <v>0</v>
      </c>
      <c r="AD174" s="1">
        <f t="shared" si="83"/>
        <v>0</v>
      </c>
      <c r="AE174" s="1">
        <f t="shared" si="84"/>
        <v>0</v>
      </c>
      <c r="AF174" s="1">
        <f t="shared" si="69"/>
        <v>0</v>
      </c>
      <c r="AG174" s="1">
        <f t="shared" si="70"/>
        <v>0</v>
      </c>
      <c r="AH174" s="1">
        <f t="shared" si="71"/>
        <v>0</v>
      </c>
      <c r="AI174" s="1">
        <f t="shared" si="72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817</v>
      </c>
      <c r="E175" s="16" t="s">
        <v>171</v>
      </c>
      <c r="F175" s="16" t="s">
        <v>818</v>
      </c>
      <c r="G175" s="16" t="s">
        <v>39</v>
      </c>
      <c r="H175" s="16" t="s">
        <v>373</v>
      </c>
      <c r="I175" s="15" t="s">
        <v>816</v>
      </c>
      <c r="J175" s="15">
        <v>12</v>
      </c>
      <c r="K175" s="10" t="s">
        <v>699</v>
      </c>
      <c r="L175" s="10">
        <v>40</v>
      </c>
      <c r="M175" s="19" t="s">
        <v>957</v>
      </c>
      <c r="N175" s="19"/>
      <c r="Q175" s="16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141</v>
      </c>
      <c r="E176" s="32" t="s">
        <v>171</v>
      </c>
      <c r="F176" s="32" t="s">
        <v>341</v>
      </c>
      <c r="G176" s="32" t="s">
        <v>39</v>
      </c>
      <c r="H176" s="32" t="s">
        <v>375</v>
      </c>
      <c r="I176" s="31" t="s">
        <v>487</v>
      </c>
      <c r="J176" s="31">
        <v>15</v>
      </c>
      <c r="K176" s="33" t="s">
        <v>698</v>
      </c>
      <c r="L176" s="33" t="s">
        <v>688</v>
      </c>
      <c r="M176" s="34" t="s">
        <v>687</v>
      </c>
      <c r="N176" s="34" t="s">
        <v>1706</v>
      </c>
      <c r="O176" s="35">
        <v>1</v>
      </c>
      <c r="P176" s="35">
        <v>1</v>
      </c>
      <c r="Q176" s="36" t="s">
        <v>1862</v>
      </c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1</v>
      </c>
      <c r="AE176" s="1">
        <f t="shared" si="84"/>
        <v>0</v>
      </c>
      <c r="AF176" s="1">
        <f t="shared" si="69"/>
        <v>1</v>
      </c>
      <c r="AG176" s="1">
        <f t="shared" si="70"/>
        <v>0</v>
      </c>
      <c r="AH176" s="1">
        <f t="shared" si="71"/>
        <v>1</v>
      </c>
      <c r="AI176" s="1">
        <f t="shared" si="72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743</v>
      </c>
      <c r="E177" s="32" t="s">
        <v>606</v>
      </c>
      <c r="F177" s="32" t="s">
        <v>744</v>
      </c>
      <c r="G177" s="32" t="s">
        <v>39</v>
      </c>
      <c r="H177" s="32" t="s">
        <v>745</v>
      </c>
      <c r="I177" s="31" t="s">
        <v>746</v>
      </c>
      <c r="J177" s="31">
        <v>18</v>
      </c>
      <c r="K177" s="33" t="s">
        <v>699</v>
      </c>
      <c r="L177" s="33" t="s">
        <v>693</v>
      </c>
      <c r="M177" s="34" t="s">
        <v>687</v>
      </c>
      <c r="N177" s="34" t="s">
        <v>1820</v>
      </c>
      <c r="O177" s="35">
        <v>1</v>
      </c>
      <c r="P177" s="35"/>
      <c r="Q177" s="36"/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0</v>
      </c>
      <c r="AE177" s="1">
        <f t="shared" si="84"/>
        <v>1</v>
      </c>
      <c r="AF177" s="1">
        <f t="shared" si="69"/>
        <v>0</v>
      </c>
      <c r="AG177" s="1">
        <f t="shared" si="70"/>
        <v>1</v>
      </c>
      <c r="AH177" s="1">
        <f t="shared" si="71"/>
        <v>0</v>
      </c>
      <c r="AI177" s="1">
        <f t="shared" si="72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6" t="s">
        <v>1812</v>
      </c>
      <c r="E178" s="32" t="s">
        <v>1074</v>
      </c>
      <c r="F178" s="32" t="s">
        <v>1797</v>
      </c>
      <c r="G178" s="32"/>
      <c r="H178" s="32" t="s">
        <v>370</v>
      </c>
      <c r="I178" s="31" t="s">
        <v>1798</v>
      </c>
      <c r="J178" s="31">
        <v>16</v>
      </c>
      <c r="K178" s="33" t="s">
        <v>699</v>
      </c>
      <c r="L178" s="33"/>
      <c r="M178" s="34"/>
      <c r="N178" s="34" t="s">
        <v>1700</v>
      </c>
      <c r="O178" s="35">
        <v>1</v>
      </c>
      <c r="P178" s="35">
        <v>1</v>
      </c>
      <c r="Q178" s="32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1</v>
      </c>
      <c r="AE178" s="1">
        <f t="shared" si="84"/>
        <v>0</v>
      </c>
      <c r="AF178" s="1">
        <f t="shared" si="69"/>
        <v>1</v>
      </c>
      <c r="AG178" s="1">
        <f t="shared" si="70"/>
        <v>0</v>
      </c>
      <c r="AH178" s="1">
        <f t="shared" si="71"/>
        <v>1</v>
      </c>
      <c r="AI178" s="1">
        <f t="shared" si="72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966</v>
      </c>
      <c r="E179" s="32" t="s">
        <v>606</v>
      </c>
      <c r="F179" s="32" t="s">
        <v>967</v>
      </c>
      <c r="G179" s="32" t="s">
        <v>202</v>
      </c>
      <c r="H179" s="32" t="s">
        <v>352</v>
      </c>
      <c r="I179" s="31" t="s">
        <v>968</v>
      </c>
      <c r="J179" s="31">
        <v>99</v>
      </c>
      <c r="K179" s="33" t="s">
        <v>943</v>
      </c>
      <c r="L179" s="33" t="s">
        <v>39</v>
      </c>
      <c r="M179" s="34" t="s">
        <v>39</v>
      </c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148</v>
      </c>
      <c r="E180" s="32" t="s">
        <v>171</v>
      </c>
      <c r="F180" s="32" t="s">
        <v>348</v>
      </c>
      <c r="G180" s="32" t="s">
        <v>39</v>
      </c>
      <c r="H180" s="32" t="s">
        <v>378</v>
      </c>
      <c r="I180" s="31" t="s">
        <v>493</v>
      </c>
      <c r="J180" s="31">
        <v>14</v>
      </c>
      <c r="K180" s="33" t="s">
        <v>951</v>
      </c>
      <c r="L180" s="33" t="s">
        <v>39</v>
      </c>
      <c r="M180" s="34" t="s">
        <v>39</v>
      </c>
      <c r="N180" s="34" t="s">
        <v>1706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1956</v>
      </c>
      <c r="E181" s="32" t="s">
        <v>1957</v>
      </c>
      <c r="F181" s="32" t="s">
        <v>1958</v>
      </c>
      <c r="G181" s="32" t="s">
        <v>531</v>
      </c>
      <c r="H181" s="32" t="s">
        <v>352</v>
      </c>
      <c r="I181" s="31" t="s">
        <v>1959</v>
      </c>
      <c r="J181" s="31"/>
      <c r="K181" s="33" t="s">
        <v>699</v>
      </c>
      <c r="L181" s="33"/>
      <c r="M181" s="34"/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631</v>
      </c>
      <c r="E182" s="32" t="s">
        <v>171</v>
      </c>
      <c r="F182" s="32" t="s">
        <v>633</v>
      </c>
      <c r="G182" s="32" t="s">
        <v>237</v>
      </c>
      <c r="H182" s="32" t="s">
        <v>352</v>
      </c>
      <c r="I182" s="31" t="s">
        <v>632</v>
      </c>
      <c r="J182" s="31">
        <v>4</v>
      </c>
      <c r="K182" s="33" t="s">
        <v>943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1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ht="14.25" customHeight="1" x14ac:dyDescent="0.25">
      <c r="A183" s="15">
        <v>0</v>
      </c>
      <c r="B183" s="15">
        <v>1</v>
      </c>
      <c r="C183" s="15">
        <v>3</v>
      </c>
      <c r="D183" s="16" t="s">
        <v>1502</v>
      </c>
      <c r="E183" s="16" t="s">
        <v>1074</v>
      </c>
      <c r="F183" s="16" t="s">
        <v>1503</v>
      </c>
      <c r="G183" s="16" t="s">
        <v>217</v>
      </c>
      <c r="H183" s="16" t="s">
        <v>352</v>
      </c>
      <c r="I183" s="15" t="s">
        <v>1504</v>
      </c>
      <c r="J183" s="15">
        <v>99</v>
      </c>
      <c r="K183" s="10" t="s">
        <v>699</v>
      </c>
      <c r="L183" s="10">
        <v>40</v>
      </c>
      <c r="M183" s="19" t="s">
        <v>957</v>
      </c>
      <c r="N183" s="19"/>
      <c r="Q183" s="16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0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0</v>
      </c>
      <c r="AE183" s="1">
        <f t="shared" si="84"/>
        <v>0</v>
      </c>
      <c r="AF183" s="1">
        <f t="shared" si="69"/>
        <v>0</v>
      </c>
      <c r="AG183" s="1">
        <f t="shared" si="70"/>
        <v>0</v>
      </c>
      <c r="AH183" s="1">
        <f t="shared" si="71"/>
        <v>0</v>
      </c>
      <c r="AI183" s="1">
        <f t="shared" si="72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101</v>
      </c>
      <c r="E184" s="32" t="s">
        <v>171</v>
      </c>
      <c r="F184" s="32" t="s">
        <v>297</v>
      </c>
      <c r="G184" s="32" t="s">
        <v>298</v>
      </c>
      <c r="H184" s="32" t="s">
        <v>352</v>
      </c>
      <c r="I184" s="31" t="s">
        <v>446</v>
      </c>
      <c r="J184" s="31">
        <v>99</v>
      </c>
      <c r="K184" s="33" t="s">
        <v>945</v>
      </c>
      <c r="L184" s="33" t="s">
        <v>689</v>
      </c>
      <c r="M184" s="34" t="s">
        <v>687</v>
      </c>
      <c r="N184" s="34" t="s">
        <v>1714</v>
      </c>
      <c r="O184" s="35">
        <v>1</v>
      </c>
      <c r="P184" s="35"/>
      <c r="Q184" s="32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1</v>
      </c>
      <c r="AF184" s="1">
        <f t="shared" si="69"/>
        <v>0</v>
      </c>
      <c r="AG184" s="1">
        <f t="shared" si="70"/>
        <v>1</v>
      </c>
      <c r="AH184" s="1">
        <f t="shared" si="71"/>
        <v>0</v>
      </c>
      <c r="AI184" s="1">
        <f t="shared" si="72"/>
        <v>1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977</v>
      </c>
      <c r="E185" s="32" t="s">
        <v>171</v>
      </c>
      <c r="F185" s="32" t="s">
        <v>980</v>
      </c>
      <c r="G185" s="32" t="s">
        <v>39</v>
      </c>
      <c r="H185" s="32" t="s">
        <v>979</v>
      </c>
      <c r="I185" s="31" t="s">
        <v>978</v>
      </c>
      <c r="J185" s="31">
        <v>14</v>
      </c>
      <c r="K185" s="33" t="s">
        <v>718</v>
      </c>
      <c r="L185" s="33" t="s">
        <v>690</v>
      </c>
      <c r="M185" s="34" t="s">
        <v>958</v>
      </c>
      <c r="N185" s="34" t="s">
        <v>1714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ht="14.25" customHeight="1" x14ac:dyDescent="0.25">
      <c r="A186" s="51">
        <v>0</v>
      </c>
      <c r="B186" s="51">
        <v>1</v>
      </c>
      <c r="C186" s="51">
        <v>3</v>
      </c>
      <c r="D186" s="52" t="s">
        <v>1618</v>
      </c>
      <c r="E186" s="52" t="s">
        <v>171</v>
      </c>
      <c r="F186" s="52" t="s">
        <v>764</v>
      </c>
      <c r="G186" s="52" t="s">
        <v>39</v>
      </c>
      <c r="H186" s="52" t="s">
        <v>365</v>
      </c>
      <c r="I186" s="51" t="s">
        <v>772</v>
      </c>
      <c r="J186" s="51">
        <v>18</v>
      </c>
      <c r="K186" s="53" t="s">
        <v>1670</v>
      </c>
      <c r="L186" s="53" t="s">
        <v>39</v>
      </c>
      <c r="M186" s="54" t="s">
        <v>765</v>
      </c>
      <c r="N186" s="55"/>
      <c r="O186" s="56"/>
      <c r="P186" s="56"/>
      <c r="Q186" s="52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0</v>
      </c>
      <c r="AF186" s="1">
        <f t="shared" si="69"/>
        <v>0</v>
      </c>
      <c r="AG186" s="1">
        <f t="shared" si="70"/>
        <v>0</v>
      </c>
      <c r="AH186" s="1">
        <f t="shared" si="71"/>
        <v>0</v>
      </c>
      <c r="AI186" s="1">
        <f t="shared" si="72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134</v>
      </c>
      <c r="E187" s="32" t="s">
        <v>171</v>
      </c>
      <c r="F187" s="32" t="s">
        <v>655</v>
      </c>
      <c r="G187" s="32" t="s">
        <v>256</v>
      </c>
      <c r="H187" s="32" t="s">
        <v>352</v>
      </c>
      <c r="I187" s="31" t="s">
        <v>1666</v>
      </c>
      <c r="J187" s="31">
        <v>99</v>
      </c>
      <c r="K187" s="33" t="s">
        <v>718</v>
      </c>
      <c r="L187" s="33" t="s">
        <v>683</v>
      </c>
      <c r="M187" s="34" t="s">
        <v>1374</v>
      </c>
      <c r="N187" s="34" t="s">
        <v>1714</v>
      </c>
      <c r="O187" s="35">
        <v>1</v>
      </c>
      <c r="P187" s="35"/>
      <c r="Q187" s="32" t="s">
        <v>1901</v>
      </c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1</v>
      </c>
      <c r="AF187" s="1">
        <f t="shared" si="69"/>
        <v>0</v>
      </c>
      <c r="AG187" s="1">
        <f t="shared" si="70"/>
        <v>1</v>
      </c>
      <c r="AH187" s="1">
        <f t="shared" si="71"/>
        <v>0</v>
      </c>
      <c r="AI187" s="1">
        <f t="shared" si="7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912</v>
      </c>
      <c r="E188" s="32" t="s">
        <v>169</v>
      </c>
      <c r="F188" s="32" t="s">
        <v>928</v>
      </c>
      <c r="G188" s="32" t="s">
        <v>39</v>
      </c>
      <c r="H188" s="32" t="s">
        <v>363</v>
      </c>
      <c r="I188" s="31" t="s">
        <v>874</v>
      </c>
      <c r="J188" s="31">
        <v>18</v>
      </c>
      <c r="K188" s="33" t="s">
        <v>698</v>
      </c>
      <c r="L188" s="33" t="s">
        <v>693</v>
      </c>
      <c r="M188" s="34" t="s">
        <v>958</v>
      </c>
      <c r="N188" s="34" t="s">
        <v>1719</v>
      </c>
      <c r="O188" s="35">
        <v>1</v>
      </c>
      <c r="P188" s="35"/>
      <c r="Q188" s="32"/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1241</v>
      </c>
      <c r="E189" s="32" t="s">
        <v>169</v>
      </c>
      <c r="F189" s="32" t="s">
        <v>1649</v>
      </c>
      <c r="G189" s="32" t="s">
        <v>39</v>
      </c>
      <c r="H189" s="32" t="s">
        <v>762</v>
      </c>
      <c r="I189" s="31" t="s">
        <v>1242</v>
      </c>
      <c r="J189" s="31">
        <v>11</v>
      </c>
      <c r="K189" s="33" t="s">
        <v>718</v>
      </c>
      <c r="L189" s="33" t="s">
        <v>685</v>
      </c>
      <c r="M189" s="34" t="s">
        <v>1375</v>
      </c>
      <c r="N189" s="34" t="s">
        <v>1720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983</v>
      </c>
      <c r="E190" s="32" t="s">
        <v>763</v>
      </c>
      <c r="F190" s="32" t="s">
        <v>1081</v>
      </c>
      <c r="G190" s="32" t="s">
        <v>199</v>
      </c>
      <c r="H190" s="32" t="s">
        <v>352</v>
      </c>
      <c r="I190" s="31" t="s">
        <v>984</v>
      </c>
      <c r="J190" s="31">
        <v>2</v>
      </c>
      <c r="K190" s="33" t="s">
        <v>943</v>
      </c>
      <c r="L190" s="33" t="s">
        <v>689</v>
      </c>
      <c r="M190" s="34" t="s">
        <v>1376</v>
      </c>
      <c r="N190" s="34" t="s">
        <v>1700</v>
      </c>
      <c r="O190" s="35">
        <v>1</v>
      </c>
      <c r="P190" s="35">
        <v>1</v>
      </c>
      <c r="Q190" s="32"/>
      <c r="S190" s="1">
        <f t="shared" si="73"/>
        <v>0</v>
      </c>
      <c r="T190" s="1">
        <f t="shared" si="74"/>
        <v>1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1</v>
      </c>
      <c r="AE190" s="1">
        <f t="shared" si="84"/>
        <v>0</v>
      </c>
      <c r="AF190" s="1">
        <f t="shared" si="69"/>
        <v>1</v>
      </c>
      <c r="AG190" s="1">
        <f t="shared" si="70"/>
        <v>0</v>
      </c>
      <c r="AH190" s="1">
        <f t="shared" si="71"/>
        <v>1</v>
      </c>
      <c r="AI190" s="1">
        <f t="shared" si="72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50</v>
      </c>
      <c r="E191" s="32" t="s">
        <v>763</v>
      </c>
      <c r="F191" s="32" t="s">
        <v>192</v>
      </c>
      <c r="G191" s="32" t="s">
        <v>193</v>
      </c>
      <c r="H191" s="32" t="s">
        <v>352</v>
      </c>
      <c r="I191" s="31" t="s">
        <v>385</v>
      </c>
      <c r="J191" s="31">
        <v>9</v>
      </c>
      <c r="K191" s="33" t="s">
        <v>943</v>
      </c>
      <c r="L191" s="33" t="s">
        <v>690</v>
      </c>
      <c r="M191" s="34" t="s">
        <v>956</v>
      </c>
      <c r="N191" s="34" t="s">
        <v>1772</v>
      </c>
      <c r="O191" s="35">
        <v>1</v>
      </c>
      <c r="P191" s="35"/>
      <c r="Q191" s="32"/>
      <c r="S191" s="1">
        <f t="shared" si="73"/>
        <v>0</v>
      </c>
      <c r="T191" s="1">
        <f t="shared" si="74"/>
        <v>0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1</v>
      </c>
      <c r="AB191" s="1">
        <f t="shared" si="82"/>
        <v>0</v>
      </c>
      <c r="AD191" s="1">
        <f t="shared" si="83"/>
        <v>0</v>
      </c>
      <c r="AE191" s="1">
        <f t="shared" si="84"/>
        <v>1</v>
      </c>
      <c r="AF191" s="1">
        <f t="shared" si="69"/>
        <v>0</v>
      </c>
      <c r="AG191" s="1">
        <f t="shared" si="70"/>
        <v>1</v>
      </c>
      <c r="AH191" s="1">
        <f t="shared" si="71"/>
        <v>0</v>
      </c>
      <c r="AI191" s="1">
        <f t="shared" si="72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6" t="s">
        <v>2050</v>
      </c>
      <c r="E192" s="32" t="s">
        <v>763</v>
      </c>
      <c r="F192" s="36" t="s">
        <v>2051</v>
      </c>
      <c r="G192" s="36" t="s">
        <v>212</v>
      </c>
      <c r="H192" s="36" t="s">
        <v>352</v>
      </c>
      <c r="I192" s="37" t="s">
        <v>2052</v>
      </c>
      <c r="J192" s="31">
        <v>1</v>
      </c>
      <c r="K192" s="33" t="s">
        <v>699</v>
      </c>
      <c r="L192" s="33"/>
      <c r="M192" s="34"/>
      <c r="N192" s="34" t="s">
        <v>1706</v>
      </c>
      <c r="O192" s="35">
        <v>1</v>
      </c>
      <c r="P192" s="35">
        <v>1</v>
      </c>
      <c r="Q192" s="32" t="s">
        <v>2053</v>
      </c>
      <c r="S192" s="1">
        <f t="shared" si="73"/>
        <v>1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0</v>
      </c>
      <c r="AB192" s="1">
        <f t="shared" si="82"/>
        <v>0</v>
      </c>
      <c r="AD192" s="1">
        <f t="shared" si="83"/>
        <v>1</v>
      </c>
      <c r="AE192" s="1">
        <f t="shared" si="84"/>
        <v>0</v>
      </c>
      <c r="AF192" s="1">
        <f t="shared" si="69"/>
        <v>1</v>
      </c>
      <c r="AG192" s="1">
        <f t="shared" si="70"/>
        <v>0</v>
      </c>
      <c r="AH192" s="1">
        <f t="shared" si="71"/>
        <v>1</v>
      </c>
      <c r="AI192" s="1">
        <f t="shared" si="72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133</v>
      </c>
      <c r="E193" s="32" t="s">
        <v>176</v>
      </c>
      <c r="F193" s="32" t="s">
        <v>334</v>
      </c>
      <c r="G193" s="32" t="s">
        <v>212</v>
      </c>
      <c r="H193" s="32" t="s">
        <v>352</v>
      </c>
      <c r="I193" s="31" t="s">
        <v>480</v>
      </c>
      <c r="J193" s="31">
        <v>1</v>
      </c>
      <c r="K193" s="33" t="s">
        <v>943</v>
      </c>
      <c r="L193" s="33" t="s">
        <v>685</v>
      </c>
      <c r="M193" s="34" t="s">
        <v>687</v>
      </c>
      <c r="N193" s="34" t="s">
        <v>1714</v>
      </c>
      <c r="O193" s="35">
        <v>1</v>
      </c>
      <c r="P193" s="35"/>
      <c r="Q193" s="32"/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0</v>
      </c>
      <c r="AE193" s="1">
        <f t="shared" si="84"/>
        <v>1</v>
      </c>
      <c r="AF193" s="1">
        <f t="shared" si="69"/>
        <v>0</v>
      </c>
      <c r="AG193" s="1">
        <f t="shared" si="70"/>
        <v>1</v>
      </c>
      <c r="AH193" s="1">
        <f t="shared" si="71"/>
        <v>0</v>
      </c>
      <c r="AI193" s="1">
        <f t="shared" si="72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125</v>
      </c>
      <c r="E194" s="32" t="s">
        <v>522</v>
      </c>
      <c r="F194" s="32" t="s">
        <v>325</v>
      </c>
      <c r="G194" s="32" t="s">
        <v>298</v>
      </c>
      <c r="H194" s="32" t="s">
        <v>352</v>
      </c>
      <c r="I194" s="31" t="s">
        <v>472</v>
      </c>
      <c r="J194" s="31">
        <v>99</v>
      </c>
      <c r="K194" s="33" t="s">
        <v>698</v>
      </c>
      <c r="L194" s="33" t="s">
        <v>685</v>
      </c>
      <c r="M194" s="34" t="s">
        <v>957</v>
      </c>
      <c r="N194" s="34" t="s">
        <v>1714</v>
      </c>
      <c r="O194" s="35">
        <v>1</v>
      </c>
      <c r="P194" s="35"/>
      <c r="Q194" s="32"/>
      <c r="S194" s="1">
        <f t="shared" si="73"/>
        <v>0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1702</v>
      </c>
      <c r="E195" s="32" t="s">
        <v>165</v>
      </c>
      <c r="F195" s="32" t="s">
        <v>1703</v>
      </c>
      <c r="G195" s="32" t="s">
        <v>1704</v>
      </c>
      <c r="H195" s="32" t="s">
        <v>352</v>
      </c>
      <c r="I195" s="31" t="s">
        <v>1705</v>
      </c>
      <c r="J195" s="31">
        <v>2</v>
      </c>
      <c r="K195" s="33" t="s">
        <v>699</v>
      </c>
      <c r="L195" s="33"/>
      <c r="M195" s="34"/>
      <c r="N195" s="34" t="s">
        <v>1706</v>
      </c>
      <c r="O195" s="35">
        <v>1</v>
      </c>
      <c r="P195" s="35">
        <v>1</v>
      </c>
      <c r="Q195" s="32"/>
      <c r="S195" s="1">
        <f t="shared" si="73"/>
        <v>0</v>
      </c>
      <c r="T195" s="1">
        <f t="shared" si="74"/>
        <v>1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1</v>
      </c>
      <c r="AE195" s="1">
        <f t="shared" si="84"/>
        <v>0</v>
      </c>
      <c r="AF195" s="1">
        <f t="shared" si="69"/>
        <v>1</v>
      </c>
      <c r="AG195" s="1">
        <f t="shared" si="70"/>
        <v>0</v>
      </c>
      <c r="AH195" s="1">
        <f t="shared" si="71"/>
        <v>1</v>
      </c>
      <c r="AI195" s="1">
        <f t="shared" si="72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87</v>
      </c>
      <c r="E196" s="32" t="s">
        <v>165</v>
      </c>
      <c r="F196" s="32" t="s">
        <v>573</v>
      </c>
      <c r="G196" s="32" t="s">
        <v>193</v>
      </c>
      <c r="H196" s="32" t="s">
        <v>352</v>
      </c>
      <c r="I196" s="31" t="s">
        <v>434</v>
      </c>
      <c r="J196" s="31">
        <v>9</v>
      </c>
      <c r="K196" s="33" t="s">
        <v>943</v>
      </c>
      <c r="L196" s="33" t="s">
        <v>692</v>
      </c>
      <c r="M196" s="34" t="s">
        <v>687</v>
      </c>
      <c r="N196" s="34" t="s">
        <v>1714</v>
      </c>
      <c r="O196" s="35">
        <v>1</v>
      </c>
      <c r="P196" s="35"/>
      <c r="Q196" s="32"/>
      <c r="S196" s="1">
        <f t="shared" si="73"/>
        <v>0</v>
      </c>
      <c r="T196" s="1">
        <f t="shared" si="74"/>
        <v>0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1</v>
      </c>
      <c r="AB196" s="1">
        <f t="shared" si="82"/>
        <v>0</v>
      </c>
      <c r="AD196" s="1">
        <f t="shared" si="83"/>
        <v>0</v>
      </c>
      <c r="AE196" s="1">
        <f t="shared" si="84"/>
        <v>1</v>
      </c>
      <c r="AF196" s="1">
        <f t="shared" si="69"/>
        <v>0</v>
      </c>
      <c r="AG196" s="1">
        <f t="shared" si="70"/>
        <v>1</v>
      </c>
      <c r="AH196" s="1">
        <f t="shared" si="71"/>
        <v>0</v>
      </c>
      <c r="AI196" s="1">
        <f t="shared" si="72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1963</v>
      </c>
      <c r="E197" s="32" t="s">
        <v>165</v>
      </c>
      <c r="F197" s="32" t="s">
        <v>1964</v>
      </c>
      <c r="G197" s="32" t="s">
        <v>1967</v>
      </c>
      <c r="H197" s="32" t="s">
        <v>352</v>
      </c>
      <c r="I197" s="31" t="s">
        <v>1965</v>
      </c>
      <c r="J197" s="31">
        <v>99</v>
      </c>
      <c r="K197" s="33" t="s">
        <v>699</v>
      </c>
      <c r="L197" s="33">
        <v>25</v>
      </c>
      <c r="M197" s="34" t="s">
        <v>687</v>
      </c>
      <c r="N197" s="34" t="s">
        <v>1714</v>
      </c>
      <c r="O197" s="35">
        <v>1</v>
      </c>
      <c r="P197" s="35"/>
      <c r="Q197" s="32" t="s">
        <v>1966</v>
      </c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0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126</v>
      </c>
      <c r="E198" s="32" t="s">
        <v>165</v>
      </c>
      <c r="F198" s="32" t="s">
        <v>326</v>
      </c>
      <c r="G198" s="32" t="s">
        <v>179</v>
      </c>
      <c r="H198" s="32" t="s">
        <v>352</v>
      </c>
      <c r="I198" s="31" t="s">
        <v>473</v>
      </c>
      <c r="J198" s="31">
        <v>10</v>
      </c>
      <c r="K198" s="33" t="s">
        <v>945</v>
      </c>
      <c r="L198" s="33" t="s">
        <v>690</v>
      </c>
      <c r="M198" s="34" t="s">
        <v>687</v>
      </c>
      <c r="N198" s="34" t="s">
        <v>1760</v>
      </c>
      <c r="O198" s="35">
        <v>1</v>
      </c>
      <c r="P198" s="35"/>
      <c r="Q198" s="32"/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1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544</v>
      </c>
      <c r="G199" s="32" t="s">
        <v>219</v>
      </c>
      <c r="H199" s="32" t="s">
        <v>352</v>
      </c>
      <c r="I199" s="31" t="s">
        <v>536</v>
      </c>
      <c r="J199" s="31">
        <v>8</v>
      </c>
      <c r="K199" s="33" t="s">
        <v>943</v>
      </c>
      <c r="L199" s="33" t="s">
        <v>690</v>
      </c>
      <c r="M199" s="34" t="s">
        <v>687</v>
      </c>
      <c r="N199" s="34" t="s">
        <v>1714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1</v>
      </c>
      <c r="AA199" s="1">
        <f t="shared" si="81"/>
        <v>0</v>
      </c>
      <c r="AB199" s="1">
        <f t="shared" si="82"/>
        <v>0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ht="14.25" customHeight="1" x14ac:dyDescent="0.25">
      <c r="A200" s="31">
        <v>1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335</v>
      </c>
      <c r="G200" s="32" t="s">
        <v>336</v>
      </c>
      <c r="H200" s="32" t="s">
        <v>352</v>
      </c>
      <c r="I200" s="31" t="s">
        <v>482</v>
      </c>
      <c r="J200" s="31">
        <v>10</v>
      </c>
      <c r="K200" s="33" t="s">
        <v>943</v>
      </c>
      <c r="L200" s="33" t="s">
        <v>690</v>
      </c>
      <c r="M200" s="34" t="s">
        <v>687</v>
      </c>
      <c r="N200" s="34" t="s">
        <v>1714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0</v>
      </c>
      <c r="AA200" s="1">
        <f t="shared" si="81"/>
        <v>0</v>
      </c>
      <c r="AB200" s="1">
        <f t="shared" si="82"/>
        <v>1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0</v>
      </c>
      <c r="AH200" s="1">
        <f t="shared" si="71"/>
        <v>0</v>
      </c>
      <c r="AI200" s="1">
        <f t="shared" si="72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1611</v>
      </c>
      <c r="E201" s="32" t="s">
        <v>165</v>
      </c>
      <c r="F201" s="32" t="s">
        <v>856</v>
      </c>
      <c r="G201" s="32" t="s">
        <v>1638</v>
      </c>
      <c r="H201" s="32" t="s">
        <v>352</v>
      </c>
      <c r="I201" s="31" t="s">
        <v>857</v>
      </c>
      <c r="J201" s="31">
        <v>1</v>
      </c>
      <c r="K201" s="33" t="s">
        <v>718</v>
      </c>
      <c r="L201" s="33" t="s">
        <v>1680</v>
      </c>
      <c r="M201" s="34" t="s">
        <v>1377</v>
      </c>
      <c r="N201" s="34" t="s">
        <v>1714</v>
      </c>
      <c r="O201" s="35">
        <v>1</v>
      </c>
      <c r="P201" s="35"/>
      <c r="Q201" s="32"/>
      <c r="S201" s="1">
        <f t="shared" si="73"/>
        <v>1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0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1</v>
      </c>
      <c r="AH201" s="1">
        <f t="shared" si="71"/>
        <v>0</v>
      </c>
      <c r="AI201" s="1">
        <f t="shared" si="72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2081</v>
      </c>
      <c r="E202" s="32" t="s">
        <v>165</v>
      </c>
      <c r="F202" s="32" t="s">
        <v>2082</v>
      </c>
      <c r="G202" s="32" t="s">
        <v>193</v>
      </c>
      <c r="H202" s="32" t="s">
        <v>352</v>
      </c>
      <c r="I202" s="31" t="s">
        <v>2083</v>
      </c>
      <c r="J202" s="31">
        <v>9</v>
      </c>
      <c r="K202" s="33" t="s">
        <v>699</v>
      </c>
      <c r="L202" s="33"/>
      <c r="M202" s="34"/>
      <c r="N202" s="34" t="s">
        <v>1706</v>
      </c>
      <c r="O202" s="35">
        <v>1</v>
      </c>
      <c r="P202" s="35">
        <v>1</v>
      </c>
      <c r="Q202" s="32" t="s">
        <v>2084</v>
      </c>
      <c r="S202" s="1">
        <f t="shared" ref="S202:S205" si="101">IF(J202=$S$7,1,0)</f>
        <v>0</v>
      </c>
      <c r="T202" s="1">
        <f t="shared" ref="T202:T205" si="102">IF(J202=$T$7,1,0)</f>
        <v>0</v>
      </c>
      <c r="U202" s="1">
        <f t="shared" ref="U202:U205" si="103">IF(J202=$U$7,1,0)</f>
        <v>0</v>
      </c>
      <c r="V202" s="1">
        <f t="shared" ref="V202:V205" si="104">IF(J202=$V$7,1,0)</f>
        <v>0</v>
      </c>
      <c r="W202" s="1">
        <f t="shared" ref="W202:W205" si="105">IF(J202=$W$7,1,0)</f>
        <v>0</v>
      </c>
      <c r="X202" s="1">
        <f t="shared" ref="X202:X205" si="106">IF(J202=$X$7,1,0)</f>
        <v>0</v>
      </c>
      <c r="Y202" s="1">
        <f t="shared" ref="Y202:Y205" si="107">IF(J202=$Y$7,1,0)</f>
        <v>0</v>
      </c>
      <c r="Z202" s="1">
        <f t="shared" ref="Z202:Z205" si="108">IF(J202=$Z$7,1,0)</f>
        <v>0</v>
      </c>
      <c r="AA202" s="1">
        <f t="shared" ref="AA202:AA205" si="109">IF(J202=$AA$7,1,0)</f>
        <v>1</v>
      </c>
      <c r="AB202" s="1">
        <f t="shared" ref="AB202:AB205" si="110">IF(J202=$AB$7,1,0)</f>
        <v>0</v>
      </c>
      <c r="AD202" s="1">
        <f t="shared" ref="AD202:AD205" si="111">+O202*P202</f>
        <v>1</v>
      </c>
      <c r="AE202" s="1">
        <f t="shared" ref="AE202:AE205" si="112">O202*(1-P202)</f>
        <v>0</v>
      </c>
      <c r="AF202" s="1">
        <f t="shared" ref="AF202:AF205" si="113">+O202*P202*(1-A202)</f>
        <v>1</v>
      </c>
      <c r="AG202" s="1">
        <f t="shared" ref="AG202:AG205" si="114">O202*(1-P202)*(1-A202)</f>
        <v>0</v>
      </c>
      <c r="AH202" s="1">
        <f t="shared" ref="AH202:AH205" si="115">+P202*(1-A202)</f>
        <v>1</v>
      </c>
      <c r="AI202" s="1">
        <f t="shared" ref="AI202:AI205" si="116">+(1-A202)*(1-P202)</f>
        <v>0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20" t="s">
        <v>1920</v>
      </c>
      <c r="E203" s="20" t="s">
        <v>882</v>
      </c>
      <c r="F203" s="20" t="s">
        <v>1937</v>
      </c>
      <c r="G203" s="20"/>
      <c r="H203" s="20" t="s">
        <v>1938</v>
      </c>
      <c r="I203" s="21" t="s">
        <v>1936</v>
      </c>
      <c r="J203" s="15">
        <v>15</v>
      </c>
      <c r="K203" s="10" t="s">
        <v>699</v>
      </c>
      <c r="L203" s="10" t="s">
        <v>693</v>
      </c>
      <c r="M203" s="19" t="s">
        <v>958</v>
      </c>
      <c r="N203" s="17"/>
      <c r="Q203" s="20" t="s">
        <v>1939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876</v>
      </c>
      <c r="E204" s="32" t="s">
        <v>877</v>
      </c>
      <c r="F204" s="32" t="s">
        <v>1079</v>
      </c>
      <c r="G204" s="32" t="s">
        <v>39</v>
      </c>
      <c r="H204" s="32" t="s">
        <v>878</v>
      </c>
      <c r="I204" s="31" t="s">
        <v>879</v>
      </c>
      <c r="J204" s="31">
        <v>16</v>
      </c>
      <c r="K204" s="33" t="s">
        <v>699</v>
      </c>
      <c r="L204" s="33" t="s">
        <v>688</v>
      </c>
      <c r="M204" s="34" t="s">
        <v>957</v>
      </c>
      <c r="N204" s="34" t="s">
        <v>1706</v>
      </c>
      <c r="O204" s="35">
        <v>1</v>
      </c>
      <c r="P204" s="35">
        <v>1</v>
      </c>
      <c r="Q204" s="36" t="s">
        <v>1865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1</v>
      </c>
      <c r="AE204" s="1">
        <f t="shared" si="112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105</v>
      </c>
      <c r="E205" s="32" t="s">
        <v>172</v>
      </c>
      <c r="F205" s="32" t="s">
        <v>302</v>
      </c>
      <c r="G205" s="32" t="s">
        <v>39</v>
      </c>
      <c r="H205" s="32" t="s">
        <v>357</v>
      </c>
      <c r="I205" s="31" t="s">
        <v>450</v>
      </c>
      <c r="J205" s="31">
        <v>14</v>
      </c>
      <c r="K205" s="33" t="s">
        <v>943</v>
      </c>
      <c r="L205" s="33" t="s">
        <v>689</v>
      </c>
      <c r="M205" s="34" t="s">
        <v>957</v>
      </c>
      <c r="N205" s="34" t="s">
        <v>1714</v>
      </c>
      <c r="O205" s="35">
        <v>1</v>
      </c>
      <c r="P205" s="35"/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509</v>
      </c>
      <c r="E206" s="45" t="s">
        <v>171</v>
      </c>
      <c r="F206" s="45" t="s">
        <v>545</v>
      </c>
      <c r="G206" s="45" t="s">
        <v>39</v>
      </c>
      <c r="H206" s="45" t="s">
        <v>360</v>
      </c>
      <c r="I206" s="44" t="s">
        <v>1101</v>
      </c>
      <c r="J206" s="44">
        <v>12</v>
      </c>
      <c r="K206" s="46" t="s">
        <v>699</v>
      </c>
      <c r="L206" s="46">
        <v>35</v>
      </c>
      <c r="M206" s="47" t="s">
        <v>957</v>
      </c>
      <c r="N206" s="47" t="s">
        <v>1773</v>
      </c>
      <c r="O206" s="48"/>
      <c r="P206" s="48"/>
      <c r="Q206" s="45"/>
      <c r="S206" s="1">
        <f t="shared" si="73"/>
        <v>0</v>
      </c>
      <c r="T206" s="1">
        <f t="shared" si="74"/>
        <v>0</v>
      </c>
      <c r="U206" s="1">
        <f t="shared" si="75"/>
        <v>0</v>
      </c>
      <c r="V206" s="1">
        <f t="shared" si="76"/>
        <v>0</v>
      </c>
      <c r="W206" s="1">
        <f t="shared" si="77"/>
        <v>0</v>
      </c>
      <c r="X206" s="1">
        <f t="shared" si="78"/>
        <v>0</v>
      </c>
      <c r="Y206" s="1">
        <f t="shared" si="79"/>
        <v>0</v>
      </c>
      <c r="Z206" s="1">
        <f t="shared" si="80"/>
        <v>0</v>
      </c>
      <c r="AA206" s="1">
        <f t="shared" si="81"/>
        <v>0</v>
      </c>
      <c r="AB206" s="1">
        <f t="shared" si="82"/>
        <v>0</v>
      </c>
      <c r="AD206" s="1">
        <f t="shared" si="83"/>
        <v>0</v>
      </c>
      <c r="AE206" s="1">
        <f t="shared" si="84"/>
        <v>0</v>
      </c>
      <c r="AF206" s="1">
        <f t="shared" si="69"/>
        <v>0</v>
      </c>
      <c r="AG206" s="1">
        <f t="shared" si="70"/>
        <v>0</v>
      </c>
      <c r="AH206" s="1">
        <f t="shared" si="71"/>
        <v>0</v>
      </c>
      <c r="AI206" s="1">
        <f t="shared" si="72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150</v>
      </c>
      <c r="E207" s="32" t="s">
        <v>165</v>
      </c>
      <c r="F207" s="36" t="s">
        <v>1841</v>
      </c>
      <c r="G207" s="32" t="s">
        <v>196</v>
      </c>
      <c r="H207" s="32" t="s">
        <v>352</v>
      </c>
      <c r="I207" s="31" t="s">
        <v>495</v>
      </c>
      <c r="J207" s="31">
        <v>99</v>
      </c>
      <c r="K207" s="33" t="s">
        <v>943</v>
      </c>
      <c r="L207" s="33" t="s">
        <v>689</v>
      </c>
      <c r="M207" s="34" t="s">
        <v>957</v>
      </c>
      <c r="N207" s="34" t="s">
        <v>1719</v>
      </c>
      <c r="O207" s="35">
        <v>1</v>
      </c>
      <c r="P207" s="35"/>
      <c r="Q207" s="32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1</v>
      </c>
      <c r="AF207" s="1">
        <f t="shared" si="69"/>
        <v>0</v>
      </c>
      <c r="AG207" s="1">
        <f t="shared" si="70"/>
        <v>1</v>
      </c>
      <c r="AH207" s="1">
        <f t="shared" si="71"/>
        <v>0</v>
      </c>
      <c r="AI207" s="1">
        <f t="shared" si="7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645</v>
      </c>
      <c r="E208" s="32" t="s">
        <v>680</v>
      </c>
      <c r="F208" s="32" t="s">
        <v>641</v>
      </c>
      <c r="G208" s="32" t="s">
        <v>184</v>
      </c>
      <c r="H208" s="32" t="s">
        <v>352</v>
      </c>
      <c r="I208" s="31" t="s">
        <v>642</v>
      </c>
      <c r="J208" s="31">
        <v>99</v>
      </c>
      <c r="K208" s="33" t="s">
        <v>718</v>
      </c>
      <c r="L208" s="33" t="s">
        <v>689</v>
      </c>
      <c r="M208" s="34" t="s">
        <v>957</v>
      </c>
      <c r="N208" s="34" t="s">
        <v>1720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1290</v>
      </c>
      <c r="E209" s="32" t="s">
        <v>165</v>
      </c>
      <c r="F209" s="32" t="s">
        <v>1291</v>
      </c>
      <c r="G209" s="32" t="s">
        <v>281</v>
      </c>
      <c r="H209" s="32" t="s">
        <v>352</v>
      </c>
      <c r="I209" s="31" t="s">
        <v>1292</v>
      </c>
      <c r="J209" s="31">
        <v>99</v>
      </c>
      <c r="K209" s="33" t="s">
        <v>698</v>
      </c>
      <c r="L209" s="33" t="s">
        <v>39</v>
      </c>
      <c r="M209" s="34" t="s">
        <v>39</v>
      </c>
      <c r="N209" s="34" t="s">
        <v>1706</v>
      </c>
      <c r="O209" s="35">
        <v>1</v>
      </c>
      <c r="P209" s="35">
        <v>1</v>
      </c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1</v>
      </c>
      <c r="AE209" s="1">
        <f t="shared" si="84"/>
        <v>0</v>
      </c>
      <c r="AF209" s="1">
        <f t="shared" si="69"/>
        <v>1</v>
      </c>
      <c r="AG209" s="1">
        <f t="shared" si="70"/>
        <v>0</v>
      </c>
      <c r="AH209" s="1">
        <f t="shared" si="71"/>
        <v>1</v>
      </c>
      <c r="AI209" s="1">
        <f t="shared" si="72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881</v>
      </c>
      <c r="E210" s="32" t="s">
        <v>882</v>
      </c>
      <c r="F210" s="32" t="s">
        <v>923</v>
      </c>
      <c r="G210" s="32" t="s">
        <v>39</v>
      </c>
      <c r="H210" s="32" t="s">
        <v>883</v>
      </c>
      <c r="I210" s="31" t="s">
        <v>884</v>
      </c>
      <c r="J210" s="31">
        <v>17</v>
      </c>
      <c r="K210" s="33" t="s">
        <v>699</v>
      </c>
      <c r="L210" s="33" t="s">
        <v>693</v>
      </c>
      <c r="M210" s="34" t="s">
        <v>957</v>
      </c>
      <c r="N210" s="34" t="s">
        <v>1726</v>
      </c>
      <c r="O210" s="35">
        <v>1</v>
      </c>
      <c r="P210" s="35"/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0</v>
      </c>
      <c r="AE210" s="1">
        <f t="shared" si="84"/>
        <v>1</v>
      </c>
      <c r="AF210" s="1">
        <f t="shared" ref="AF210:AF273" si="117">+O210*P210*(1-A210)</f>
        <v>0</v>
      </c>
      <c r="AG210" s="1">
        <f t="shared" ref="AG210:AG273" si="118">O210*(1-P210)*(1-A210)</f>
        <v>1</v>
      </c>
      <c r="AH210" s="1">
        <f t="shared" ref="AH210:AH273" si="119">+P210*(1-A210)</f>
        <v>0</v>
      </c>
      <c r="AI210" s="1">
        <f t="shared" ref="AI210:AI273" si="120">+(1-A210)*(1-P210)</f>
        <v>1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1912</v>
      </c>
      <c r="E211" s="16" t="s">
        <v>882</v>
      </c>
      <c r="F211" s="16" t="s">
        <v>1914</v>
      </c>
      <c r="G211" s="16"/>
      <c r="H211" s="16" t="s">
        <v>1913</v>
      </c>
      <c r="I211" s="15" t="s">
        <v>1915</v>
      </c>
      <c r="J211" s="15">
        <v>16</v>
      </c>
      <c r="K211" s="10" t="s">
        <v>699</v>
      </c>
      <c r="L211" s="10" t="s">
        <v>693</v>
      </c>
      <c r="M211" s="19" t="s">
        <v>957</v>
      </c>
      <c r="N211" s="17"/>
      <c r="Q211" s="20" t="s">
        <v>1916</v>
      </c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0</v>
      </c>
      <c r="AF211" s="1">
        <f t="shared" si="117"/>
        <v>0</v>
      </c>
      <c r="AG211" s="1">
        <f t="shared" si="118"/>
        <v>0</v>
      </c>
      <c r="AH211" s="1">
        <f t="shared" si="119"/>
        <v>0</v>
      </c>
      <c r="AI211" s="1">
        <f t="shared" si="12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130</v>
      </c>
      <c r="E212" s="45" t="s">
        <v>165</v>
      </c>
      <c r="F212" s="45" t="s">
        <v>330</v>
      </c>
      <c r="G212" s="45" t="s">
        <v>331</v>
      </c>
      <c r="H212" s="45" t="s">
        <v>352</v>
      </c>
      <c r="I212" s="44" t="s">
        <v>477</v>
      </c>
      <c r="J212" s="44">
        <v>99</v>
      </c>
      <c r="K212" s="46" t="s">
        <v>718</v>
      </c>
      <c r="L212" s="46" t="s">
        <v>690</v>
      </c>
      <c r="M212" s="47" t="s">
        <v>957</v>
      </c>
      <c r="N212" s="47" t="s">
        <v>1718</v>
      </c>
      <c r="O212" s="48"/>
      <c r="P212" s="48"/>
      <c r="Q212" s="45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108</v>
      </c>
      <c r="E213" s="32" t="s">
        <v>165</v>
      </c>
      <c r="F213" s="32" t="s">
        <v>305</v>
      </c>
      <c r="G213" s="32" t="s">
        <v>230</v>
      </c>
      <c r="H213" s="32" t="s">
        <v>352</v>
      </c>
      <c r="I213" s="31" t="s">
        <v>453</v>
      </c>
      <c r="J213" s="31">
        <v>99</v>
      </c>
      <c r="K213" s="33" t="s">
        <v>718</v>
      </c>
      <c r="L213" s="33" t="s">
        <v>692</v>
      </c>
      <c r="M213" s="34" t="s">
        <v>687</v>
      </c>
      <c r="N213" s="34" t="s">
        <v>1714</v>
      </c>
      <c r="O213" s="35">
        <v>1</v>
      </c>
      <c r="P213" s="35"/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1</v>
      </c>
      <c r="AF213" s="1">
        <f t="shared" si="117"/>
        <v>0</v>
      </c>
      <c r="AG213" s="1">
        <f t="shared" si="118"/>
        <v>1</v>
      </c>
      <c r="AH213" s="1">
        <f t="shared" si="119"/>
        <v>0</v>
      </c>
      <c r="AI213" s="1">
        <f t="shared" si="12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110</v>
      </c>
      <c r="E214" s="32" t="s">
        <v>171</v>
      </c>
      <c r="F214" s="32" t="s">
        <v>308</v>
      </c>
      <c r="G214" s="32" t="s">
        <v>39</v>
      </c>
      <c r="H214" s="32" t="s">
        <v>362</v>
      </c>
      <c r="I214" s="31" t="s">
        <v>456</v>
      </c>
      <c r="J214" s="31">
        <v>17</v>
      </c>
      <c r="K214" s="33" t="s">
        <v>699</v>
      </c>
      <c r="L214" s="33" t="s">
        <v>693</v>
      </c>
      <c r="M214" s="34" t="s">
        <v>687</v>
      </c>
      <c r="N214" s="34" t="s">
        <v>1706</v>
      </c>
      <c r="O214" s="35">
        <v>1</v>
      </c>
      <c r="P214" s="35">
        <v>1</v>
      </c>
      <c r="Q214" s="32" t="s">
        <v>1886</v>
      </c>
      <c r="S214" s="1">
        <f t="shared" ref="S214:S277" si="121">IF(J214=$S$7,1,0)</f>
        <v>0</v>
      </c>
      <c r="T214" s="1">
        <f t="shared" ref="T214:T277" si="122">IF(J214=$T$7,1,0)</f>
        <v>0</v>
      </c>
      <c r="U214" s="1">
        <f t="shared" ref="U214:U277" si="123">IF(J214=$U$7,1,0)</f>
        <v>0</v>
      </c>
      <c r="V214" s="1">
        <f t="shared" ref="V214:V277" si="124">IF(J214=$V$7,1,0)</f>
        <v>0</v>
      </c>
      <c r="W214" s="1">
        <f t="shared" ref="W214:W277" si="125">IF(J214=$W$7,1,0)</f>
        <v>0</v>
      </c>
      <c r="X214" s="1">
        <f t="shared" ref="X214:X277" si="126">IF(J214=$X$7,1,0)</f>
        <v>0</v>
      </c>
      <c r="Y214" s="1">
        <f t="shared" ref="Y214:Y277" si="127">IF(J214=$Y$7,1,0)</f>
        <v>0</v>
      </c>
      <c r="Z214" s="1">
        <f t="shared" ref="Z214:Z277" si="128">IF(J214=$Z$7,1,0)</f>
        <v>0</v>
      </c>
      <c r="AA214" s="1">
        <f t="shared" ref="AA214:AA277" si="129">IF(J214=$AA$7,1,0)</f>
        <v>0</v>
      </c>
      <c r="AB214" s="1">
        <f t="shared" ref="AB214:AB277" si="130">IF(J214=$AB$7,1,0)</f>
        <v>0</v>
      </c>
      <c r="AD214" s="1">
        <f t="shared" ref="AD214:AD277" si="131">+O214*P214</f>
        <v>1</v>
      </c>
      <c r="AE214" s="1">
        <f t="shared" ref="AE214:AE277" si="132">O214*(1-P214)</f>
        <v>0</v>
      </c>
      <c r="AF214" s="1">
        <f t="shared" si="117"/>
        <v>1</v>
      </c>
      <c r="AG214" s="1">
        <f t="shared" si="118"/>
        <v>0</v>
      </c>
      <c r="AH214" s="1">
        <f t="shared" si="119"/>
        <v>1</v>
      </c>
      <c r="AI214" s="1">
        <f t="shared" si="120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521</v>
      </c>
      <c r="E215" s="32" t="s">
        <v>522</v>
      </c>
      <c r="F215" s="32" t="s">
        <v>523</v>
      </c>
      <c r="G215" s="32" t="s">
        <v>201</v>
      </c>
      <c r="H215" s="32" t="s">
        <v>352</v>
      </c>
      <c r="I215" s="31" t="s">
        <v>524</v>
      </c>
      <c r="J215" s="31">
        <v>10</v>
      </c>
      <c r="K215" s="33" t="s">
        <v>698</v>
      </c>
      <c r="L215" s="33" t="s">
        <v>689</v>
      </c>
      <c r="M215" s="34" t="s">
        <v>957</v>
      </c>
      <c r="N215" s="34" t="s">
        <v>1706</v>
      </c>
      <c r="O215" s="35">
        <v>1</v>
      </c>
      <c r="P215" s="35">
        <v>1</v>
      </c>
      <c r="Q215" s="32"/>
      <c r="S215" s="1">
        <f t="shared" si="121"/>
        <v>0</v>
      </c>
      <c r="T215" s="1">
        <f t="shared" si="122"/>
        <v>0</v>
      </c>
      <c r="U215" s="1">
        <f t="shared" si="123"/>
        <v>0</v>
      </c>
      <c r="V215" s="1">
        <f t="shared" si="124"/>
        <v>0</v>
      </c>
      <c r="W215" s="1">
        <f t="shared" si="125"/>
        <v>0</v>
      </c>
      <c r="X215" s="1">
        <f t="shared" si="126"/>
        <v>0</v>
      </c>
      <c r="Y215" s="1">
        <f t="shared" si="127"/>
        <v>0</v>
      </c>
      <c r="Z215" s="1">
        <f t="shared" si="128"/>
        <v>0</v>
      </c>
      <c r="AA215" s="1">
        <f t="shared" si="129"/>
        <v>0</v>
      </c>
      <c r="AB215" s="1">
        <f t="shared" si="130"/>
        <v>1</v>
      </c>
      <c r="AD215" s="1">
        <f t="shared" si="131"/>
        <v>1</v>
      </c>
      <c r="AE215" s="1">
        <f t="shared" si="132"/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1474</v>
      </c>
      <c r="E216" s="32" t="s">
        <v>165</v>
      </c>
      <c r="F216" s="32" t="s">
        <v>1475</v>
      </c>
      <c r="G216" s="32" t="s">
        <v>179</v>
      </c>
      <c r="H216" s="32" t="s">
        <v>352</v>
      </c>
      <c r="I216" s="31" t="s">
        <v>1476</v>
      </c>
      <c r="J216" s="31">
        <v>10</v>
      </c>
      <c r="K216" s="33" t="s">
        <v>943</v>
      </c>
      <c r="L216" s="33" t="s">
        <v>689</v>
      </c>
      <c r="M216" s="34" t="s">
        <v>957</v>
      </c>
      <c r="N216" s="34" t="s">
        <v>1700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1728</v>
      </c>
      <c r="E217" s="32" t="s">
        <v>165</v>
      </c>
      <c r="F217" s="32" t="s">
        <v>1729</v>
      </c>
      <c r="G217" s="32" t="s">
        <v>1730</v>
      </c>
      <c r="H217" s="32" t="s">
        <v>352</v>
      </c>
      <c r="I217" s="31" t="s">
        <v>1731</v>
      </c>
      <c r="J217" s="31">
        <v>1</v>
      </c>
      <c r="K217" s="33" t="s">
        <v>699</v>
      </c>
      <c r="L217" s="33"/>
      <c r="M217" s="34"/>
      <c r="N217" s="34" t="s">
        <v>1719</v>
      </c>
      <c r="O217" s="35">
        <v>1</v>
      </c>
      <c r="P217" s="35"/>
      <c r="Q217" s="32"/>
      <c r="S217" s="1">
        <f t="shared" si="121"/>
        <v>1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0</v>
      </c>
      <c r="AD217" s="1">
        <f t="shared" si="131"/>
        <v>0</v>
      </c>
      <c r="AE217" s="1">
        <f t="shared" si="132"/>
        <v>1</v>
      </c>
      <c r="AF217" s="1">
        <f t="shared" si="117"/>
        <v>0</v>
      </c>
      <c r="AG217" s="1">
        <f t="shared" si="118"/>
        <v>1</v>
      </c>
      <c r="AH217" s="1">
        <f t="shared" si="119"/>
        <v>0</v>
      </c>
      <c r="AI217" s="1">
        <f t="shared" si="120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1013</v>
      </c>
      <c r="E218" s="45" t="s">
        <v>1074</v>
      </c>
      <c r="F218" s="45" t="s">
        <v>1014</v>
      </c>
      <c r="G218" s="45" t="s">
        <v>193</v>
      </c>
      <c r="H218" s="45" t="s">
        <v>352</v>
      </c>
      <c r="I218" s="44" t="s">
        <v>1015</v>
      </c>
      <c r="J218" s="44">
        <v>9</v>
      </c>
      <c r="K218" s="46" t="s">
        <v>718</v>
      </c>
      <c r="L218" s="46" t="s">
        <v>1677</v>
      </c>
      <c r="M218" s="47" t="s">
        <v>1578</v>
      </c>
      <c r="N218" s="47" t="s">
        <v>1708</v>
      </c>
      <c r="O218" s="48"/>
      <c r="P218" s="48"/>
      <c r="Q218" s="45"/>
      <c r="S218" s="1">
        <f t="shared" si="121"/>
        <v>0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1</v>
      </c>
      <c r="AB218" s="1">
        <f t="shared" si="130"/>
        <v>0</v>
      </c>
      <c r="AD218" s="1">
        <f t="shared" si="131"/>
        <v>0</v>
      </c>
      <c r="AE218" s="1">
        <f t="shared" si="132"/>
        <v>0</v>
      </c>
      <c r="AF218" s="1">
        <f t="shared" si="117"/>
        <v>0</v>
      </c>
      <c r="AG218" s="1">
        <f t="shared" si="118"/>
        <v>0</v>
      </c>
      <c r="AH218" s="1">
        <f t="shared" si="119"/>
        <v>0</v>
      </c>
      <c r="AI218" s="1">
        <f t="shared" si="120"/>
        <v>1</v>
      </c>
    </row>
    <row r="219" spans="1:35" ht="14.25" customHeight="1" x14ac:dyDescent="0.25">
      <c r="A219" s="44">
        <v>0</v>
      </c>
      <c r="B219" s="44">
        <v>1</v>
      </c>
      <c r="C219" s="44">
        <v>5</v>
      </c>
      <c r="D219" s="45" t="s">
        <v>1588</v>
      </c>
      <c r="E219" s="45" t="s">
        <v>165</v>
      </c>
      <c r="F219" s="45" t="s">
        <v>1589</v>
      </c>
      <c r="G219" s="45" t="s">
        <v>212</v>
      </c>
      <c r="H219" s="45" t="s">
        <v>352</v>
      </c>
      <c r="I219" s="44" t="s">
        <v>1590</v>
      </c>
      <c r="J219" s="44">
        <v>1</v>
      </c>
      <c r="K219" s="46" t="s">
        <v>718</v>
      </c>
      <c r="L219" s="46" t="s">
        <v>690</v>
      </c>
      <c r="M219" s="47" t="s">
        <v>957</v>
      </c>
      <c r="N219" s="47" t="s">
        <v>1709</v>
      </c>
      <c r="O219" s="48"/>
      <c r="P219" s="48"/>
      <c r="Q219" s="45"/>
      <c r="S219" s="1">
        <f t="shared" si="121"/>
        <v>1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0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</v>
      </c>
      <c r="E220" s="32" t="s">
        <v>541</v>
      </c>
      <c r="F220" s="32" t="s">
        <v>1573</v>
      </c>
      <c r="G220" s="32" t="s">
        <v>1647</v>
      </c>
      <c r="H220" s="32" t="s">
        <v>352</v>
      </c>
      <c r="I220" s="31" t="s">
        <v>491</v>
      </c>
      <c r="J220" s="31">
        <v>99</v>
      </c>
      <c r="K220" s="33" t="s">
        <v>698</v>
      </c>
      <c r="L220" s="33" t="s">
        <v>685</v>
      </c>
      <c r="M220" s="34" t="s">
        <v>957</v>
      </c>
      <c r="N220" s="34" t="s">
        <v>1796</v>
      </c>
      <c r="O220" s="35">
        <v>1</v>
      </c>
      <c r="P220" s="35"/>
      <c r="Q220" s="32"/>
      <c r="S220" s="1">
        <f t="shared" si="121"/>
        <v>0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1</v>
      </c>
      <c r="AF220" s="1">
        <f t="shared" si="117"/>
        <v>0</v>
      </c>
      <c r="AG220" s="1">
        <f t="shared" si="118"/>
        <v>1</v>
      </c>
      <c r="AH220" s="1">
        <f t="shared" si="119"/>
        <v>0</v>
      </c>
      <c r="AI220" s="1">
        <f t="shared" si="120"/>
        <v>1</v>
      </c>
    </row>
    <row r="221" spans="1:35" ht="14.25" customHeight="1" x14ac:dyDescent="0.25">
      <c r="A221" s="15">
        <v>0</v>
      </c>
      <c r="B221" s="15">
        <v>1</v>
      </c>
      <c r="C221" s="15">
        <v>5</v>
      </c>
      <c r="D221" s="16" t="s">
        <v>1193</v>
      </c>
      <c r="E221" s="16" t="s">
        <v>165</v>
      </c>
      <c r="F221" s="16" t="s">
        <v>1194</v>
      </c>
      <c r="G221" s="16" t="s">
        <v>1195</v>
      </c>
      <c r="H221" s="16" t="s">
        <v>352</v>
      </c>
      <c r="I221" s="15" t="s">
        <v>1196</v>
      </c>
      <c r="J221" s="15">
        <v>99</v>
      </c>
      <c r="K221" s="10" t="s">
        <v>699</v>
      </c>
      <c r="L221" s="10">
        <v>30</v>
      </c>
      <c r="M221" s="19" t="s">
        <v>957</v>
      </c>
      <c r="N221" s="19"/>
      <c r="Q221" s="16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0</v>
      </c>
      <c r="AF221" s="1">
        <f t="shared" si="117"/>
        <v>0</v>
      </c>
      <c r="AG221" s="1">
        <f t="shared" si="118"/>
        <v>0</v>
      </c>
      <c r="AH221" s="1">
        <f t="shared" si="119"/>
        <v>0</v>
      </c>
      <c r="AI221" s="1">
        <f t="shared" si="120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1574</v>
      </c>
      <c r="E222" s="32" t="s">
        <v>171</v>
      </c>
      <c r="F222" s="32" t="s">
        <v>799</v>
      </c>
      <c r="G222" s="32" t="s">
        <v>39</v>
      </c>
      <c r="H222" s="32" t="s">
        <v>800</v>
      </c>
      <c r="I222" s="31" t="s">
        <v>801</v>
      </c>
      <c r="J222" s="31">
        <v>16</v>
      </c>
      <c r="K222" s="33" t="s">
        <v>944</v>
      </c>
      <c r="L222" s="33" t="s">
        <v>1713</v>
      </c>
      <c r="M222" s="34" t="s">
        <v>957</v>
      </c>
      <c r="N222" s="34" t="s">
        <v>1719</v>
      </c>
      <c r="O222" s="35">
        <v>1</v>
      </c>
      <c r="P222" s="35"/>
      <c r="Q222" s="32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1</v>
      </c>
      <c r="AF222" s="1">
        <f t="shared" si="117"/>
        <v>0</v>
      </c>
      <c r="AG222" s="1">
        <f t="shared" si="118"/>
        <v>1</v>
      </c>
      <c r="AH222" s="1">
        <f t="shared" si="119"/>
        <v>0</v>
      </c>
      <c r="AI222" s="1">
        <f t="shared" si="120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498</v>
      </c>
      <c r="E223" s="32" t="s">
        <v>165</v>
      </c>
      <c r="F223" s="32" t="s">
        <v>499</v>
      </c>
      <c r="G223" s="32" t="s">
        <v>500</v>
      </c>
      <c r="H223" s="32" t="s">
        <v>352</v>
      </c>
      <c r="I223" s="31" t="s">
        <v>501</v>
      </c>
      <c r="J223" s="31">
        <v>99</v>
      </c>
      <c r="K223" s="33" t="s">
        <v>944</v>
      </c>
      <c r="L223" s="33" t="s">
        <v>690</v>
      </c>
      <c r="M223" s="34" t="s">
        <v>687</v>
      </c>
      <c r="N223" s="34" t="s">
        <v>1700</v>
      </c>
      <c r="O223" s="35">
        <v>1</v>
      </c>
      <c r="P223" s="35">
        <v>1</v>
      </c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1</v>
      </c>
      <c r="AE223" s="1">
        <f t="shared" si="132"/>
        <v>0</v>
      </c>
      <c r="AF223" s="1">
        <f t="shared" si="117"/>
        <v>1</v>
      </c>
      <c r="AG223" s="1">
        <f t="shared" si="118"/>
        <v>0</v>
      </c>
      <c r="AH223" s="1">
        <f t="shared" si="119"/>
        <v>1</v>
      </c>
      <c r="AI223" s="1">
        <f t="shared" si="12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1425</v>
      </c>
      <c r="E224" s="32" t="s">
        <v>166</v>
      </c>
      <c r="F224" s="32" t="s">
        <v>1426</v>
      </c>
      <c r="G224" s="32" t="s">
        <v>178</v>
      </c>
      <c r="H224" s="32" t="s">
        <v>352</v>
      </c>
      <c r="I224" s="31" t="s">
        <v>1427</v>
      </c>
      <c r="J224" s="31">
        <v>99</v>
      </c>
      <c r="K224" s="33" t="s">
        <v>943</v>
      </c>
      <c r="L224" s="33" t="s">
        <v>692</v>
      </c>
      <c r="M224" s="34" t="s">
        <v>1428</v>
      </c>
      <c r="N224" s="34" t="s">
        <v>1720</v>
      </c>
      <c r="O224" s="35">
        <v>1</v>
      </c>
      <c r="P224" s="35"/>
      <c r="Q224" s="36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0</v>
      </c>
      <c r="AE224" s="1">
        <f t="shared" si="132"/>
        <v>1</v>
      </c>
      <c r="AF224" s="1">
        <f t="shared" si="117"/>
        <v>0</v>
      </c>
      <c r="AG224" s="1">
        <f t="shared" si="118"/>
        <v>1</v>
      </c>
      <c r="AH224" s="1">
        <f t="shared" si="119"/>
        <v>0</v>
      </c>
      <c r="AI224" s="1">
        <f t="shared" si="12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1167</v>
      </c>
      <c r="E225" s="32" t="s">
        <v>1170</v>
      </c>
      <c r="F225" s="32" t="s">
        <v>1168</v>
      </c>
      <c r="G225" s="32" t="s">
        <v>39</v>
      </c>
      <c r="H225" s="32" t="s">
        <v>352</v>
      </c>
      <c r="I225" s="31" t="s">
        <v>1169</v>
      </c>
      <c r="J225" s="31">
        <v>99</v>
      </c>
      <c r="K225" s="33" t="s">
        <v>949</v>
      </c>
      <c r="L225" s="33" t="s">
        <v>39</v>
      </c>
      <c r="M225" s="34" t="s">
        <v>39</v>
      </c>
      <c r="N225" s="34" t="s">
        <v>1706</v>
      </c>
      <c r="O225" s="35">
        <v>1</v>
      </c>
      <c r="P225" s="35">
        <v>1</v>
      </c>
      <c r="Q225" s="36" t="s">
        <v>1879</v>
      </c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1</v>
      </c>
      <c r="AE225" s="1">
        <f t="shared" si="132"/>
        <v>0</v>
      </c>
      <c r="AF225" s="1">
        <f t="shared" si="117"/>
        <v>1</v>
      </c>
      <c r="AG225" s="1">
        <f t="shared" si="118"/>
        <v>0</v>
      </c>
      <c r="AH225" s="1">
        <f t="shared" si="119"/>
        <v>1</v>
      </c>
      <c r="AI225" s="1">
        <f t="shared" si="12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1622</v>
      </c>
      <c r="E226" s="32" t="s">
        <v>1630</v>
      </c>
      <c r="F226" s="32" t="s">
        <v>1656</v>
      </c>
      <c r="G226" s="32" t="s">
        <v>1657</v>
      </c>
      <c r="H226" s="32" t="s">
        <v>352</v>
      </c>
      <c r="I226" s="31" t="s">
        <v>1669</v>
      </c>
      <c r="J226" s="31">
        <v>1</v>
      </c>
      <c r="K226" s="33" t="s">
        <v>945</v>
      </c>
      <c r="L226" s="33" t="s">
        <v>39</v>
      </c>
      <c r="M226" s="34" t="s">
        <v>39</v>
      </c>
      <c r="N226" s="34" t="s">
        <v>1700</v>
      </c>
      <c r="O226" s="35">
        <v>1</v>
      </c>
      <c r="P226" s="35">
        <v>1</v>
      </c>
      <c r="Q226" s="32"/>
      <c r="S226" s="1">
        <f t="shared" si="121"/>
        <v>1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89</v>
      </c>
      <c r="E227" s="32" t="s">
        <v>167</v>
      </c>
      <c r="F227" s="32" t="s">
        <v>282</v>
      </c>
      <c r="G227" s="32" t="s">
        <v>229</v>
      </c>
      <c r="H227" s="32" t="s">
        <v>352</v>
      </c>
      <c r="I227" s="31" t="s">
        <v>435</v>
      </c>
      <c r="J227" s="31">
        <v>7</v>
      </c>
      <c r="K227" s="33" t="s">
        <v>718</v>
      </c>
      <c r="L227" s="33">
        <v>40</v>
      </c>
      <c r="M227" s="34" t="s">
        <v>39</v>
      </c>
      <c r="N227" s="34" t="s">
        <v>1719</v>
      </c>
      <c r="O227" s="35">
        <v>1</v>
      </c>
      <c r="P227" s="35"/>
      <c r="Q227" s="32"/>
      <c r="S227" s="1">
        <f t="shared" si="121"/>
        <v>0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1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0</v>
      </c>
      <c r="AE227" s="1">
        <f t="shared" si="132"/>
        <v>1</v>
      </c>
      <c r="AF227" s="1">
        <f t="shared" si="117"/>
        <v>0</v>
      </c>
      <c r="AG227" s="1">
        <f t="shared" si="118"/>
        <v>1</v>
      </c>
      <c r="AH227" s="1">
        <f t="shared" si="119"/>
        <v>0</v>
      </c>
      <c r="AI227" s="1">
        <f t="shared" si="120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90</v>
      </c>
      <c r="E228" s="32" t="s">
        <v>164</v>
      </c>
      <c r="F228" s="36" t="s">
        <v>1842</v>
      </c>
      <c r="G228" s="32" t="s">
        <v>239</v>
      </c>
      <c r="H228" s="32" t="s">
        <v>352</v>
      </c>
      <c r="I228" s="31" t="s">
        <v>436</v>
      </c>
      <c r="J228" s="31">
        <v>1</v>
      </c>
      <c r="K228" s="33" t="s">
        <v>951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1"/>
        <v>1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0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1</v>
      </c>
      <c r="AE228" s="1">
        <f t="shared" si="132"/>
        <v>0</v>
      </c>
      <c r="AF228" s="1">
        <f t="shared" si="117"/>
        <v>1</v>
      </c>
      <c r="AG228" s="1">
        <f t="shared" si="118"/>
        <v>0</v>
      </c>
      <c r="AH228" s="1">
        <f t="shared" si="119"/>
        <v>1</v>
      </c>
      <c r="AI228" s="1">
        <f t="shared" si="120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91</v>
      </c>
      <c r="E229" s="32" t="s">
        <v>166</v>
      </c>
      <c r="F229" s="32" t="s">
        <v>284</v>
      </c>
      <c r="G229" s="32" t="s">
        <v>199</v>
      </c>
      <c r="H229" s="32" t="s">
        <v>352</v>
      </c>
      <c r="I229" s="31" t="s">
        <v>437</v>
      </c>
      <c r="J229" s="31">
        <v>2</v>
      </c>
      <c r="K229" s="33" t="s">
        <v>949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0</v>
      </c>
      <c r="T229" s="1">
        <f t="shared" si="122"/>
        <v>1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1256</v>
      </c>
      <c r="E230" s="32" t="s">
        <v>166</v>
      </c>
      <c r="F230" s="32" t="s">
        <v>1132</v>
      </c>
      <c r="G230" s="32" t="s">
        <v>1322</v>
      </c>
      <c r="H230" s="32" t="s">
        <v>352</v>
      </c>
      <c r="I230" s="31" t="s">
        <v>1133</v>
      </c>
      <c r="J230" s="31">
        <v>99</v>
      </c>
      <c r="K230" s="33" t="s">
        <v>698</v>
      </c>
      <c r="L230" s="33">
        <v>45</v>
      </c>
      <c r="M230" s="34" t="s">
        <v>39</v>
      </c>
      <c r="N230" s="34" t="s">
        <v>1714</v>
      </c>
      <c r="O230" s="35">
        <v>1</v>
      </c>
      <c r="P230" s="35"/>
      <c r="Q230" s="32"/>
      <c r="S230" s="1">
        <f t="shared" si="121"/>
        <v>0</v>
      </c>
      <c r="T230" s="1">
        <f t="shared" si="122"/>
        <v>0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0</v>
      </c>
      <c r="AE230" s="1">
        <f t="shared" si="132"/>
        <v>1</v>
      </c>
      <c r="AF230" s="1">
        <f t="shared" si="117"/>
        <v>0</v>
      </c>
      <c r="AG230" s="1">
        <f t="shared" si="118"/>
        <v>1</v>
      </c>
      <c r="AH230" s="1">
        <f t="shared" si="119"/>
        <v>0</v>
      </c>
      <c r="AI230" s="1">
        <f t="shared" si="12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1762</v>
      </c>
      <c r="E231" s="32" t="s">
        <v>166</v>
      </c>
      <c r="F231" s="32" t="s">
        <v>1737</v>
      </c>
      <c r="G231" s="32"/>
      <c r="H231" s="32" t="s">
        <v>352</v>
      </c>
      <c r="I231" s="31" t="s">
        <v>1738</v>
      </c>
      <c r="J231" s="31"/>
      <c r="K231" s="33" t="s">
        <v>699</v>
      </c>
      <c r="L231" s="33"/>
      <c r="M231" s="34"/>
      <c r="N231" s="34" t="s">
        <v>1700</v>
      </c>
      <c r="O231" s="35">
        <v>1</v>
      </c>
      <c r="P231" s="35">
        <v>1</v>
      </c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1</v>
      </c>
      <c r="AE231" s="1">
        <f t="shared" si="132"/>
        <v>0</v>
      </c>
      <c r="AF231" s="1">
        <f t="shared" si="117"/>
        <v>1</v>
      </c>
      <c r="AG231" s="1">
        <f t="shared" si="118"/>
        <v>0</v>
      </c>
      <c r="AH231" s="1">
        <f t="shared" si="119"/>
        <v>1</v>
      </c>
      <c r="AI231" s="1">
        <f t="shared" si="120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1761</v>
      </c>
      <c r="E232" s="32" t="s">
        <v>166</v>
      </c>
      <c r="F232" s="32" t="s">
        <v>1739</v>
      </c>
      <c r="G232" s="32"/>
      <c r="H232" s="32" t="s">
        <v>352</v>
      </c>
      <c r="I232" s="31" t="s">
        <v>1740</v>
      </c>
      <c r="J232" s="31"/>
      <c r="K232" s="33" t="s">
        <v>699</v>
      </c>
      <c r="L232" s="33">
        <v>30</v>
      </c>
      <c r="M232" s="34" t="s">
        <v>1741</v>
      </c>
      <c r="N232" s="34" t="s">
        <v>1719</v>
      </c>
      <c r="O232" s="35">
        <v>1</v>
      </c>
      <c r="P232" s="35"/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0</v>
      </c>
      <c r="AE232" s="1">
        <f t="shared" si="132"/>
        <v>1</v>
      </c>
      <c r="AF232" s="1">
        <f t="shared" si="117"/>
        <v>0</v>
      </c>
      <c r="AG232" s="1">
        <f t="shared" si="118"/>
        <v>1</v>
      </c>
      <c r="AH232" s="1">
        <f t="shared" si="119"/>
        <v>0</v>
      </c>
      <c r="AI232" s="1">
        <f t="shared" si="12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1001</v>
      </c>
      <c r="E233" s="32" t="s">
        <v>166</v>
      </c>
      <c r="F233" s="32" t="s">
        <v>1002</v>
      </c>
      <c r="G233" s="32" t="s">
        <v>1090</v>
      </c>
      <c r="H233" s="32" t="s">
        <v>352</v>
      </c>
      <c r="I233" s="31" t="s">
        <v>1003</v>
      </c>
      <c r="J233" s="31">
        <v>99</v>
      </c>
      <c r="K233" s="33" t="s">
        <v>951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1</v>
      </c>
      <c r="AE233" s="1">
        <f t="shared" si="132"/>
        <v>0</v>
      </c>
      <c r="AF233" s="1">
        <f t="shared" si="117"/>
        <v>1</v>
      </c>
      <c r="AG233" s="1">
        <f t="shared" si="118"/>
        <v>0</v>
      </c>
      <c r="AH233" s="1">
        <f t="shared" si="119"/>
        <v>1</v>
      </c>
      <c r="AI233" s="1">
        <f t="shared" si="12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93</v>
      </c>
      <c r="E234" s="32" t="s">
        <v>168</v>
      </c>
      <c r="F234" s="32" t="s">
        <v>287</v>
      </c>
      <c r="G234" s="32" t="s">
        <v>193</v>
      </c>
      <c r="H234" s="32" t="s">
        <v>352</v>
      </c>
      <c r="I234" s="31" t="s">
        <v>439</v>
      </c>
      <c r="J234" s="31">
        <v>9</v>
      </c>
      <c r="K234" s="33" t="s">
        <v>698</v>
      </c>
      <c r="L234" s="33" t="s">
        <v>690</v>
      </c>
      <c r="M234" s="34" t="s">
        <v>702</v>
      </c>
      <c r="N234" s="34" t="s">
        <v>1719</v>
      </c>
      <c r="O234" s="35">
        <v>1</v>
      </c>
      <c r="P234" s="35"/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1</v>
      </c>
      <c r="AB234" s="1">
        <f t="shared" si="130"/>
        <v>0</v>
      </c>
      <c r="AD234" s="1">
        <f t="shared" si="131"/>
        <v>0</v>
      </c>
      <c r="AE234" s="1">
        <f t="shared" si="132"/>
        <v>1</v>
      </c>
      <c r="AF234" s="1">
        <f t="shared" si="117"/>
        <v>0</v>
      </c>
      <c r="AG234" s="1">
        <f t="shared" si="118"/>
        <v>1</v>
      </c>
      <c r="AH234" s="1">
        <f t="shared" si="119"/>
        <v>0</v>
      </c>
      <c r="AI234" s="1">
        <f t="shared" si="120"/>
        <v>1</v>
      </c>
    </row>
    <row r="235" spans="1:4094 4097:8191 8194:12288 12291:16384" ht="14.25" customHeight="1" x14ac:dyDescent="0.25">
      <c r="A235" s="15">
        <v>0</v>
      </c>
      <c r="B235" s="15">
        <v>1</v>
      </c>
      <c r="C235" s="15">
        <v>6</v>
      </c>
      <c r="D235" s="16" t="s">
        <v>1583</v>
      </c>
      <c r="E235" s="16" t="s">
        <v>1584</v>
      </c>
      <c r="F235" s="16" t="s">
        <v>1585</v>
      </c>
      <c r="G235" s="16" t="s">
        <v>191</v>
      </c>
      <c r="H235" s="16" t="s">
        <v>352</v>
      </c>
      <c r="I235" s="15" t="s">
        <v>1586</v>
      </c>
      <c r="J235" s="15">
        <v>10</v>
      </c>
      <c r="K235" s="10" t="s">
        <v>943</v>
      </c>
      <c r="L235" s="10" t="s">
        <v>683</v>
      </c>
      <c r="M235" s="19" t="s">
        <v>1587</v>
      </c>
      <c r="N235" s="19"/>
      <c r="Q235" s="16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0</v>
      </c>
      <c r="AB235" s="1">
        <f t="shared" si="130"/>
        <v>1</v>
      </c>
      <c r="AD235" s="1">
        <f t="shared" si="131"/>
        <v>0</v>
      </c>
      <c r="AE235" s="1">
        <f t="shared" si="132"/>
        <v>0</v>
      </c>
      <c r="AF235" s="1">
        <f t="shared" si="117"/>
        <v>0</v>
      </c>
      <c r="AG235" s="1">
        <f t="shared" si="118"/>
        <v>0</v>
      </c>
      <c r="AH235" s="1">
        <f t="shared" si="119"/>
        <v>0</v>
      </c>
      <c r="AI235" s="1">
        <f t="shared" si="12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94</v>
      </c>
      <c r="E236" s="32" t="s">
        <v>164</v>
      </c>
      <c r="F236" s="32" t="s">
        <v>288</v>
      </c>
      <c r="G236" s="32" t="s">
        <v>289</v>
      </c>
      <c r="H236" s="32" t="s">
        <v>352</v>
      </c>
      <c r="I236" s="31" t="s">
        <v>440</v>
      </c>
      <c r="J236" s="31">
        <v>7</v>
      </c>
      <c r="K236" s="33" t="s">
        <v>698</v>
      </c>
      <c r="L236" s="33" t="s">
        <v>690</v>
      </c>
      <c r="M236" s="34" t="s">
        <v>694</v>
      </c>
      <c r="N236" s="34" t="s">
        <v>1720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1</v>
      </c>
      <c r="Z236" s="1">
        <f t="shared" si="128"/>
        <v>0</v>
      </c>
      <c r="AA236" s="1">
        <f t="shared" si="129"/>
        <v>0</v>
      </c>
      <c r="AB236" s="1">
        <f t="shared" si="130"/>
        <v>0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1072</v>
      </c>
      <c r="E237" s="32" t="s">
        <v>166</v>
      </c>
      <c r="F237" s="32" t="s">
        <v>656</v>
      </c>
      <c r="G237" s="32" t="s">
        <v>178</v>
      </c>
      <c r="H237" s="32" t="s">
        <v>352</v>
      </c>
      <c r="I237" s="31" t="s">
        <v>379</v>
      </c>
      <c r="J237" s="31">
        <v>10</v>
      </c>
      <c r="K237" s="33" t="s">
        <v>718</v>
      </c>
      <c r="L237" s="33" t="s">
        <v>700</v>
      </c>
      <c r="M237" s="34" t="s">
        <v>703</v>
      </c>
      <c r="N237" s="34" t="s">
        <v>1721</v>
      </c>
      <c r="O237" s="35">
        <v>1</v>
      </c>
      <c r="P237" s="35"/>
      <c r="Q237" s="32"/>
      <c r="R237" s="15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0</v>
      </c>
      <c r="Z237" s="1">
        <f t="shared" si="128"/>
        <v>0</v>
      </c>
      <c r="AA237" s="1">
        <f t="shared" si="129"/>
        <v>0</v>
      </c>
      <c r="AB237" s="1">
        <f t="shared" si="130"/>
        <v>1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  <c r="AJ237" s="15"/>
      <c r="AK237" s="15"/>
      <c r="AL237" s="16"/>
      <c r="AM237" s="16"/>
      <c r="AN237" s="16"/>
      <c r="AO237" s="16"/>
      <c r="AP237" s="16"/>
      <c r="AQ237" s="15"/>
      <c r="AR237" s="15"/>
      <c r="AS237" s="10"/>
      <c r="AT237" s="10"/>
      <c r="AU237" s="19"/>
      <c r="AV237" s="19"/>
      <c r="AY237" s="16"/>
      <c r="AZ237" s="15"/>
      <c r="BA237" s="15"/>
      <c r="BB237" s="15"/>
      <c r="BC237" s="16"/>
      <c r="BD237" s="16"/>
      <c r="BE237" s="16"/>
      <c r="BF237" s="16"/>
      <c r="BG237" s="16"/>
      <c r="BH237" s="15"/>
      <c r="BI237" s="15"/>
      <c r="BJ237" s="10"/>
      <c r="BK237" s="10"/>
      <c r="BL237" s="19"/>
      <c r="BM237" s="19"/>
      <c r="BP237" s="16"/>
      <c r="BQ237" s="15"/>
      <c r="BR237" s="15"/>
      <c r="BS237" s="15"/>
      <c r="BT237" s="16"/>
      <c r="BU237" s="16"/>
      <c r="BV237" s="16"/>
      <c r="BW237" s="16"/>
      <c r="BX237" s="16"/>
      <c r="BY237" s="15"/>
      <c r="BZ237" s="15"/>
      <c r="CA237" s="10"/>
      <c r="CB237" s="10"/>
      <c r="CC237" s="19"/>
      <c r="CD237" s="19"/>
      <c r="CG237" s="16"/>
      <c r="CH237" s="15"/>
      <c r="CI237" s="15"/>
      <c r="CJ237" s="15"/>
      <c r="CK237" s="16"/>
      <c r="CL237" s="16"/>
      <c r="CM237" s="16"/>
      <c r="CN237" s="16"/>
      <c r="CO237" s="16"/>
      <c r="CP237" s="15"/>
      <c r="CQ237" s="15"/>
      <c r="CR237" s="10"/>
      <c r="CS237" s="10"/>
      <c r="CT237" s="19"/>
      <c r="CU237" s="19"/>
      <c r="CX237" s="16"/>
      <c r="CY237" s="15"/>
      <c r="CZ237" s="15"/>
      <c r="DA237" s="15"/>
      <c r="DB237" s="16"/>
      <c r="DC237" s="16"/>
      <c r="DD237" s="16"/>
      <c r="DE237" s="16"/>
      <c r="DF237" s="16"/>
      <c r="DG237" s="15"/>
      <c r="DH237" s="15"/>
      <c r="DI237" s="10"/>
      <c r="DJ237" s="10"/>
      <c r="DK237" s="19"/>
      <c r="DL237" s="19"/>
      <c r="DO237" s="16"/>
      <c r="DP237" s="15"/>
      <c r="DQ237" s="15"/>
      <c r="DR237" s="15"/>
      <c r="DS237" s="16"/>
      <c r="DT237" s="16"/>
      <c r="DU237" s="16"/>
      <c r="DV237" s="16"/>
      <c r="DW237" s="16"/>
      <c r="DX237" s="15"/>
      <c r="DY237" s="15"/>
      <c r="DZ237" s="10"/>
      <c r="EA237" s="10"/>
      <c r="EB237" s="19"/>
      <c r="EC237" s="19"/>
      <c r="EF237" s="16"/>
      <c r="EG237" s="15"/>
      <c r="EH237" s="15"/>
      <c r="EI237" s="15"/>
      <c r="EJ237" s="16"/>
      <c r="EK237" s="16"/>
      <c r="EL237" s="16"/>
      <c r="EM237" s="16"/>
      <c r="EN237" s="16"/>
      <c r="EO237" s="15"/>
      <c r="EP237" s="15"/>
      <c r="EQ237" s="10"/>
      <c r="ER237" s="10"/>
      <c r="ES237" s="19"/>
      <c r="ET237" s="19"/>
      <c r="EW237" s="16"/>
      <c r="EX237" s="15"/>
      <c r="EY237" s="15"/>
      <c r="EZ237" s="15"/>
      <c r="FA237" s="16"/>
      <c r="FB237" s="16"/>
      <c r="FC237" s="16"/>
      <c r="FD237" s="16"/>
      <c r="FE237" s="16"/>
      <c r="FF237" s="15"/>
      <c r="FG237" s="15"/>
      <c r="FH237" s="10"/>
      <c r="FI237" s="10"/>
      <c r="FJ237" s="19"/>
      <c r="FK237" s="19"/>
      <c r="FN237" s="16"/>
      <c r="FO237" s="15"/>
      <c r="FP237" s="15"/>
      <c r="FQ237" s="15"/>
      <c r="FR237" s="16"/>
      <c r="FS237" s="16"/>
      <c r="FT237" s="16"/>
      <c r="FU237" s="16"/>
      <c r="FV237" s="16"/>
      <c r="FW237" s="15"/>
      <c r="FX237" s="15"/>
      <c r="FY237" s="10"/>
      <c r="FZ237" s="10"/>
      <c r="GA237" s="19"/>
      <c r="GB237" s="19"/>
      <c r="GE237" s="16"/>
      <c r="GF237" s="15"/>
      <c r="GG237" s="15"/>
      <c r="GH237" s="15"/>
      <c r="GI237" s="16"/>
      <c r="GJ237" s="16"/>
      <c r="GK237" s="16"/>
      <c r="GL237" s="16"/>
      <c r="GM237" s="16"/>
      <c r="GN237" s="15"/>
      <c r="GO237" s="15"/>
      <c r="GP237" s="10"/>
      <c r="GQ237" s="10"/>
      <c r="GR237" s="19"/>
      <c r="GS237" s="19"/>
      <c r="GV237" s="16"/>
      <c r="GW237" s="15"/>
      <c r="GX237" s="15"/>
      <c r="GY237" s="15"/>
      <c r="GZ237" s="16"/>
      <c r="HA237" s="16"/>
      <c r="HB237" s="16"/>
      <c r="HC237" s="16"/>
      <c r="HD237" s="16"/>
      <c r="HE237" s="15"/>
      <c r="HF237" s="15"/>
      <c r="HG237" s="10"/>
      <c r="HH237" s="10"/>
      <c r="HI237" s="19"/>
      <c r="HJ237" s="19"/>
      <c r="HM237" s="16"/>
      <c r="HN237" s="15"/>
      <c r="HO237" s="15"/>
      <c r="HP237" s="15"/>
      <c r="HQ237" s="16"/>
      <c r="HR237" s="16"/>
      <c r="HS237" s="16"/>
      <c r="HT237" s="16"/>
      <c r="HU237" s="16"/>
      <c r="HV237" s="15"/>
      <c r="HW237" s="15"/>
      <c r="HX237" s="10"/>
      <c r="HY237" s="10"/>
      <c r="HZ237" s="19"/>
      <c r="IA237" s="19"/>
      <c r="ID237" s="16"/>
      <c r="IE237" s="15"/>
      <c r="IF237" s="15"/>
      <c r="IG237" s="15"/>
      <c r="IH237" s="16"/>
      <c r="II237" s="16"/>
      <c r="IJ237" s="16"/>
      <c r="IK237" s="16"/>
      <c r="IL237" s="16"/>
      <c r="IM237" s="15"/>
      <c r="IN237" s="15"/>
      <c r="IO237" s="10"/>
      <c r="IP237" s="10"/>
      <c r="IQ237" s="19"/>
      <c r="IR237" s="19"/>
      <c r="IU237" s="16"/>
      <c r="IV237" s="15"/>
      <c r="IW237" s="15"/>
      <c r="IX237" s="15"/>
      <c r="IY237" s="16"/>
      <c r="IZ237" s="16"/>
      <c r="JA237" s="16"/>
      <c r="JB237" s="16"/>
      <c r="JC237" s="16"/>
      <c r="JD237" s="15"/>
      <c r="JE237" s="15"/>
      <c r="JF237" s="10"/>
      <c r="JG237" s="10"/>
      <c r="JH237" s="19"/>
      <c r="JI237" s="19"/>
      <c r="JL237" s="16"/>
      <c r="JM237" s="15"/>
      <c r="JN237" s="15"/>
      <c r="JO237" s="15"/>
      <c r="JP237" s="16"/>
      <c r="JQ237" s="16"/>
      <c r="JR237" s="16"/>
      <c r="JS237" s="16"/>
      <c r="JT237" s="16"/>
      <c r="JU237" s="15"/>
      <c r="JV237" s="15"/>
      <c r="JW237" s="10"/>
      <c r="JX237" s="10"/>
      <c r="JY237" s="19"/>
      <c r="JZ237" s="19"/>
      <c r="KC237" s="16"/>
      <c r="KD237" s="15"/>
      <c r="KE237" s="15"/>
      <c r="KF237" s="15"/>
      <c r="KG237" s="16"/>
      <c r="KH237" s="16"/>
      <c r="KI237" s="16"/>
      <c r="KJ237" s="16"/>
      <c r="KK237" s="16"/>
      <c r="KL237" s="15"/>
      <c r="KM237" s="15"/>
      <c r="KN237" s="10"/>
      <c r="KO237" s="10"/>
      <c r="KP237" s="19"/>
      <c r="KQ237" s="19"/>
      <c r="KT237" s="16"/>
      <c r="KU237" s="15"/>
      <c r="KV237" s="15"/>
      <c r="KW237" s="15"/>
      <c r="KX237" s="16"/>
      <c r="KY237" s="16"/>
      <c r="KZ237" s="16"/>
      <c r="LA237" s="16"/>
      <c r="LB237" s="16"/>
      <c r="LC237" s="15"/>
      <c r="LD237" s="15"/>
      <c r="LE237" s="10"/>
      <c r="LF237" s="10"/>
      <c r="LG237" s="19"/>
      <c r="LH237" s="19"/>
      <c r="LK237" s="16"/>
      <c r="LL237" s="15"/>
      <c r="LM237" s="15"/>
      <c r="LN237" s="15"/>
      <c r="LO237" s="16"/>
      <c r="LP237" s="16"/>
      <c r="LQ237" s="16"/>
      <c r="LR237" s="16"/>
      <c r="LS237" s="16"/>
      <c r="LT237" s="15"/>
      <c r="LU237" s="15"/>
      <c r="LV237" s="10"/>
      <c r="LW237" s="10"/>
      <c r="LX237" s="19"/>
      <c r="LY237" s="19"/>
      <c r="MB237" s="16"/>
      <c r="MC237" s="15"/>
      <c r="MD237" s="15"/>
      <c r="ME237" s="15"/>
      <c r="MF237" s="16"/>
      <c r="MG237" s="16"/>
      <c r="MH237" s="16"/>
      <c r="MI237" s="16"/>
      <c r="MJ237" s="16"/>
      <c r="MK237" s="15"/>
      <c r="ML237" s="15"/>
      <c r="MM237" s="10"/>
      <c r="MN237" s="10"/>
      <c r="MO237" s="19"/>
      <c r="MP237" s="19"/>
      <c r="MS237" s="16"/>
      <c r="MT237" s="15"/>
      <c r="MU237" s="15"/>
      <c r="MV237" s="15"/>
      <c r="MW237" s="16"/>
      <c r="MX237" s="16"/>
      <c r="MY237" s="16"/>
      <c r="MZ237" s="16"/>
      <c r="NA237" s="16"/>
      <c r="NB237" s="15"/>
      <c r="NC237" s="15"/>
      <c r="ND237" s="10"/>
      <c r="NE237" s="10"/>
      <c r="NF237" s="19"/>
      <c r="NG237" s="19"/>
      <c r="NJ237" s="16"/>
      <c r="NK237" s="15"/>
      <c r="NL237" s="15"/>
      <c r="NM237" s="15"/>
      <c r="NN237" s="16"/>
      <c r="NO237" s="16"/>
      <c r="NP237" s="16"/>
      <c r="NQ237" s="16"/>
      <c r="NR237" s="16"/>
      <c r="NS237" s="15"/>
      <c r="NT237" s="15"/>
      <c r="NU237" s="10"/>
      <c r="NV237" s="10"/>
      <c r="NW237" s="19"/>
      <c r="NX237" s="19"/>
      <c r="OA237" s="16"/>
      <c r="OB237" s="15"/>
      <c r="OC237" s="15"/>
      <c r="OD237" s="15"/>
      <c r="OE237" s="16"/>
      <c r="OF237" s="16"/>
      <c r="OG237" s="16"/>
      <c r="OH237" s="16"/>
      <c r="OI237" s="16"/>
      <c r="OJ237" s="15"/>
      <c r="OK237" s="15"/>
      <c r="OL237" s="10"/>
      <c r="OM237" s="10"/>
      <c r="ON237" s="19"/>
      <c r="OO237" s="19"/>
      <c r="OR237" s="16"/>
      <c r="OS237" s="15"/>
      <c r="OT237" s="15"/>
      <c r="OU237" s="15"/>
      <c r="OV237" s="16"/>
      <c r="OW237" s="16"/>
      <c r="OX237" s="16"/>
      <c r="OY237" s="16"/>
      <c r="OZ237" s="16"/>
      <c r="PA237" s="15"/>
      <c r="PB237" s="15"/>
      <c r="PC237" s="10"/>
      <c r="PD237" s="10"/>
      <c r="PE237" s="19"/>
      <c r="PF237" s="19"/>
      <c r="PI237" s="16"/>
      <c r="PJ237" s="15"/>
      <c r="PK237" s="15"/>
      <c r="PL237" s="15"/>
      <c r="PM237" s="16"/>
      <c r="PN237" s="16"/>
      <c r="PO237" s="16"/>
      <c r="PP237" s="16"/>
      <c r="PQ237" s="16"/>
      <c r="PR237" s="15"/>
      <c r="PS237" s="15"/>
      <c r="PT237" s="10"/>
      <c r="PU237" s="10"/>
      <c r="PV237" s="19"/>
      <c r="PW237" s="19"/>
      <c r="PZ237" s="16"/>
      <c r="QA237" s="15"/>
      <c r="QB237" s="15"/>
      <c r="QC237" s="15"/>
      <c r="QD237" s="16"/>
      <c r="QE237" s="16"/>
      <c r="QF237" s="16"/>
      <c r="QG237" s="16"/>
      <c r="QH237" s="16"/>
      <c r="QI237" s="15"/>
      <c r="QJ237" s="15"/>
      <c r="QK237" s="10"/>
      <c r="QL237" s="10"/>
      <c r="QM237" s="19"/>
      <c r="QN237" s="19"/>
      <c r="QQ237" s="16"/>
      <c r="QR237" s="15"/>
      <c r="QS237" s="15"/>
      <c r="QT237" s="15"/>
      <c r="QU237" s="16"/>
      <c r="QV237" s="16"/>
      <c r="QW237" s="16"/>
      <c r="QX237" s="16"/>
      <c r="QY237" s="16"/>
      <c r="QZ237" s="15"/>
      <c r="RA237" s="15"/>
      <c r="RB237" s="10"/>
      <c r="RC237" s="10"/>
      <c r="RD237" s="19"/>
      <c r="RE237" s="19"/>
      <c r="RH237" s="16"/>
      <c r="RI237" s="15"/>
      <c r="RJ237" s="15"/>
      <c r="RK237" s="15"/>
      <c r="RL237" s="16"/>
      <c r="RM237" s="16"/>
      <c r="RN237" s="16"/>
      <c r="RO237" s="16"/>
      <c r="RP237" s="16"/>
      <c r="RQ237" s="15"/>
      <c r="RR237" s="15"/>
      <c r="RS237" s="10"/>
      <c r="RT237" s="10"/>
      <c r="RU237" s="19"/>
      <c r="RV237" s="19"/>
      <c r="RY237" s="16"/>
      <c r="RZ237" s="15"/>
      <c r="SA237" s="15"/>
      <c r="SB237" s="15"/>
      <c r="SC237" s="16"/>
      <c r="SD237" s="16"/>
      <c r="SE237" s="16"/>
      <c r="SF237" s="16"/>
      <c r="SG237" s="16"/>
      <c r="SH237" s="15"/>
      <c r="SI237" s="15"/>
      <c r="SJ237" s="10"/>
      <c r="SK237" s="10"/>
      <c r="SL237" s="19"/>
      <c r="SM237" s="19"/>
      <c r="SP237" s="16"/>
      <c r="SQ237" s="15"/>
      <c r="SR237" s="15"/>
      <c r="SS237" s="15"/>
      <c r="ST237" s="16"/>
      <c r="SU237" s="16"/>
      <c r="SV237" s="16"/>
      <c r="SW237" s="16"/>
      <c r="SX237" s="16"/>
      <c r="SY237" s="15"/>
      <c r="SZ237" s="15"/>
      <c r="TA237" s="10"/>
      <c r="TB237" s="10"/>
      <c r="TC237" s="19"/>
      <c r="TD237" s="19"/>
      <c r="TG237" s="16"/>
      <c r="TH237" s="15"/>
      <c r="TI237" s="15"/>
      <c r="TJ237" s="15"/>
      <c r="TK237" s="16"/>
      <c r="TL237" s="16"/>
      <c r="TM237" s="16"/>
      <c r="TN237" s="16"/>
      <c r="TO237" s="16"/>
      <c r="TP237" s="15"/>
      <c r="TQ237" s="15"/>
      <c r="TR237" s="10"/>
      <c r="TS237" s="10"/>
      <c r="TT237" s="19"/>
      <c r="TU237" s="19"/>
      <c r="TX237" s="16"/>
      <c r="TY237" s="15"/>
      <c r="TZ237" s="15"/>
      <c r="UA237" s="15"/>
      <c r="UB237" s="16"/>
      <c r="UC237" s="16"/>
      <c r="UD237" s="16"/>
      <c r="UE237" s="16"/>
      <c r="UF237" s="16"/>
      <c r="UG237" s="15"/>
      <c r="UH237" s="15"/>
      <c r="UI237" s="10"/>
      <c r="UJ237" s="10"/>
      <c r="UK237" s="19"/>
      <c r="UL237" s="19"/>
      <c r="UO237" s="16"/>
      <c r="UP237" s="15"/>
      <c r="UQ237" s="15"/>
      <c r="UR237" s="15"/>
      <c r="US237" s="16"/>
      <c r="UT237" s="16"/>
      <c r="UU237" s="16"/>
      <c r="UV237" s="16"/>
      <c r="UW237" s="16"/>
      <c r="UX237" s="15"/>
      <c r="UY237" s="15"/>
      <c r="UZ237" s="10"/>
      <c r="VA237" s="10"/>
      <c r="VB237" s="19"/>
      <c r="VC237" s="19"/>
      <c r="VF237" s="16"/>
      <c r="VG237" s="15"/>
      <c r="VH237" s="15"/>
      <c r="VI237" s="15"/>
      <c r="VJ237" s="16"/>
      <c r="VK237" s="16"/>
      <c r="VL237" s="16"/>
      <c r="VM237" s="16"/>
      <c r="VN237" s="16"/>
      <c r="VO237" s="15"/>
      <c r="VP237" s="15"/>
      <c r="VQ237" s="10"/>
      <c r="VR237" s="10"/>
      <c r="VS237" s="19"/>
      <c r="VT237" s="19"/>
      <c r="VW237" s="16"/>
      <c r="VX237" s="15"/>
      <c r="VY237" s="15"/>
      <c r="VZ237" s="15"/>
      <c r="WA237" s="16"/>
      <c r="WB237" s="16"/>
      <c r="WC237" s="16"/>
      <c r="WD237" s="16"/>
      <c r="WE237" s="16"/>
      <c r="WF237" s="15"/>
      <c r="WG237" s="15"/>
      <c r="WH237" s="10"/>
      <c r="WI237" s="10"/>
      <c r="WJ237" s="19"/>
      <c r="WK237" s="19"/>
      <c r="WN237" s="16"/>
      <c r="WO237" s="15"/>
      <c r="WP237" s="15"/>
      <c r="WQ237" s="15"/>
      <c r="WR237" s="16"/>
      <c r="WS237" s="16"/>
      <c r="WT237" s="16"/>
      <c r="WU237" s="16"/>
      <c r="WV237" s="16"/>
      <c r="WW237" s="15"/>
      <c r="WX237" s="15"/>
      <c r="WY237" s="10"/>
      <c r="WZ237" s="10"/>
      <c r="XA237" s="19"/>
      <c r="XB237" s="19"/>
      <c r="XE237" s="16"/>
      <c r="XF237" s="15"/>
      <c r="XG237" s="15"/>
      <c r="XH237" s="15"/>
      <c r="XI237" s="16"/>
      <c r="XJ237" s="16"/>
      <c r="XK237" s="16"/>
      <c r="XL237" s="16"/>
      <c r="XM237" s="16"/>
      <c r="XN237" s="15"/>
      <c r="XO237" s="15"/>
      <c r="XP237" s="10"/>
      <c r="XQ237" s="10"/>
      <c r="XR237" s="19"/>
      <c r="XS237" s="19"/>
      <c r="XV237" s="16"/>
      <c r="XW237" s="15"/>
      <c r="XX237" s="15"/>
      <c r="XY237" s="15"/>
      <c r="XZ237" s="16"/>
      <c r="YA237" s="16"/>
      <c r="YB237" s="16"/>
      <c r="YC237" s="16"/>
      <c r="YD237" s="16"/>
      <c r="YE237" s="15"/>
      <c r="YF237" s="15"/>
      <c r="YG237" s="10"/>
      <c r="YH237" s="10"/>
      <c r="YI237" s="19"/>
      <c r="YJ237" s="19"/>
      <c r="YM237" s="16"/>
      <c r="YN237" s="15"/>
      <c r="YO237" s="15"/>
      <c r="YP237" s="15"/>
      <c r="YQ237" s="16"/>
      <c r="YR237" s="16"/>
      <c r="YS237" s="16"/>
      <c r="YT237" s="16"/>
      <c r="YU237" s="16"/>
      <c r="YV237" s="15"/>
      <c r="YW237" s="15"/>
      <c r="YX237" s="10"/>
      <c r="YY237" s="10"/>
      <c r="YZ237" s="19"/>
      <c r="ZA237" s="19"/>
      <c r="ZD237" s="16"/>
      <c r="ZE237" s="15"/>
      <c r="ZF237" s="15"/>
      <c r="ZG237" s="15"/>
      <c r="ZH237" s="16"/>
      <c r="ZI237" s="16"/>
      <c r="ZJ237" s="16"/>
      <c r="ZK237" s="16"/>
      <c r="ZL237" s="16"/>
      <c r="ZM237" s="15"/>
      <c r="ZN237" s="15"/>
      <c r="ZO237" s="10"/>
      <c r="ZP237" s="10"/>
      <c r="ZQ237" s="19"/>
      <c r="ZR237" s="19"/>
      <c r="ZU237" s="16"/>
      <c r="ZV237" s="15"/>
      <c r="ZW237" s="15"/>
      <c r="ZX237" s="15"/>
      <c r="ZY237" s="16"/>
      <c r="ZZ237" s="16"/>
      <c r="AAA237" s="16"/>
      <c r="AAB237" s="16"/>
      <c r="AAC237" s="16"/>
      <c r="AAD237" s="15"/>
      <c r="AAE237" s="15"/>
      <c r="AAF237" s="10"/>
      <c r="AAG237" s="10"/>
      <c r="AAH237" s="19"/>
      <c r="AAI237" s="19"/>
      <c r="AAL237" s="16"/>
      <c r="AAM237" s="15"/>
      <c r="AAN237" s="15"/>
      <c r="AAO237" s="15"/>
      <c r="AAP237" s="16"/>
      <c r="AAQ237" s="16"/>
      <c r="AAR237" s="16"/>
      <c r="AAS237" s="16"/>
      <c r="AAT237" s="16"/>
      <c r="AAU237" s="15"/>
      <c r="AAV237" s="15"/>
      <c r="AAW237" s="10"/>
      <c r="AAX237" s="10"/>
      <c r="AAY237" s="19"/>
      <c r="AAZ237" s="19"/>
      <c r="ABC237" s="16"/>
      <c r="ABD237" s="15"/>
      <c r="ABE237" s="15"/>
      <c r="ABF237" s="15"/>
      <c r="ABG237" s="16"/>
      <c r="ABH237" s="16"/>
      <c r="ABI237" s="16"/>
      <c r="ABJ237" s="16"/>
      <c r="ABK237" s="16"/>
      <c r="ABL237" s="15"/>
      <c r="ABM237" s="15"/>
      <c r="ABN237" s="10"/>
      <c r="ABO237" s="10"/>
      <c r="ABP237" s="19"/>
      <c r="ABQ237" s="19"/>
      <c r="ABT237" s="16"/>
      <c r="ABU237" s="15"/>
      <c r="ABV237" s="15"/>
      <c r="ABW237" s="15"/>
      <c r="ABX237" s="16"/>
      <c r="ABY237" s="16"/>
      <c r="ABZ237" s="16"/>
      <c r="ACA237" s="16"/>
      <c r="ACB237" s="16"/>
      <c r="ACC237" s="15"/>
      <c r="ACD237" s="15"/>
      <c r="ACE237" s="10"/>
      <c r="ACF237" s="10"/>
      <c r="ACG237" s="19"/>
      <c r="ACH237" s="19"/>
      <c r="ACK237" s="16"/>
      <c r="ACL237" s="15"/>
      <c r="ACM237" s="15"/>
      <c r="ACN237" s="15"/>
      <c r="ACO237" s="16"/>
      <c r="ACP237" s="16"/>
      <c r="ACQ237" s="16"/>
      <c r="ACR237" s="16"/>
      <c r="ACS237" s="16"/>
      <c r="ACT237" s="15"/>
      <c r="ACU237" s="15"/>
      <c r="ACV237" s="10"/>
      <c r="ACW237" s="10"/>
      <c r="ACX237" s="19"/>
      <c r="ACY237" s="19"/>
      <c r="ADB237" s="16"/>
      <c r="ADC237" s="15"/>
      <c r="ADD237" s="15"/>
      <c r="ADE237" s="15"/>
      <c r="ADF237" s="16"/>
      <c r="ADG237" s="16"/>
      <c r="ADH237" s="16"/>
      <c r="ADI237" s="16"/>
      <c r="ADJ237" s="16"/>
      <c r="ADK237" s="15"/>
      <c r="ADL237" s="15"/>
      <c r="ADM237" s="10"/>
      <c r="ADN237" s="10"/>
      <c r="ADO237" s="19"/>
      <c r="ADP237" s="19"/>
      <c r="ADS237" s="16"/>
      <c r="ADT237" s="15"/>
      <c r="ADU237" s="15"/>
      <c r="ADV237" s="15"/>
      <c r="ADW237" s="16"/>
      <c r="ADX237" s="16"/>
      <c r="ADY237" s="16"/>
      <c r="ADZ237" s="16"/>
      <c r="AEA237" s="16"/>
      <c r="AEB237" s="15"/>
      <c r="AEC237" s="15"/>
      <c r="AED237" s="10"/>
      <c r="AEE237" s="10"/>
      <c r="AEF237" s="19"/>
      <c r="AEG237" s="19"/>
      <c r="AEJ237" s="16"/>
      <c r="AEK237" s="15"/>
      <c r="AEL237" s="15"/>
      <c r="AEM237" s="15"/>
      <c r="AEN237" s="16"/>
      <c r="AEO237" s="16"/>
      <c r="AEP237" s="16"/>
      <c r="AEQ237" s="16"/>
      <c r="AER237" s="16"/>
      <c r="AES237" s="15"/>
      <c r="AET237" s="15"/>
      <c r="AEU237" s="10"/>
      <c r="AEV237" s="10"/>
      <c r="AEW237" s="19"/>
      <c r="AEX237" s="19"/>
      <c r="AFA237" s="16"/>
      <c r="AFB237" s="15"/>
      <c r="AFC237" s="15"/>
      <c r="AFD237" s="15"/>
      <c r="AFE237" s="16"/>
      <c r="AFF237" s="16"/>
      <c r="AFG237" s="16"/>
      <c r="AFH237" s="16"/>
      <c r="AFI237" s="16"/>
      <c r="AFJ237" s="15"/>
      <c r="AFK237" s="15"/>
      <c r="AFL237" s="10"/>
      <c r="AFM237" s="10"/>
      <c r="AFN237" s="19"/>
      <c r="AFO237" s="19"/>
      <c r="AFR237" s="16"/>
      <c r="AFS237" s="15"/>
      <c r="AFT237" s="15"/>
      <c r="AFU237" s="15"/>
      <c r="AFV237" s="16"/>
      <c r="AFW237" s="16"/>
      <c r="AFX237" s="16"/>
      <c r="AFY237" s="16"/>
      <c r="AFZ237" s="16"/>
      <c r="AGA237" s="15"/>
      <c r="AGB237" s="15"/>
      <c r="AGC237" s="10"/>
      <c r="AGD237" s="10"/>
      <c r="AGE237" s="19"/>
      <c r="AGF237" s="19"/>
      <c r="AGI237" s="16"/>
      <c r="AGJ237" s="15"/>
      <c r="AGK237" s="15"/>
      <c r="AGL237" s="15"/>
      <c r="AGM237" s="16"/>
      <c r="AGN237" s="16"/>
      <c r="AGO237" s="16"/>
      <c r="AGP237" s="16"/>
      <c r="AGQ237" s="16"/>
      <c r="AGR237" s="15"/>
      <c r="AGS237" s="15"/>
      <c r="AGT237" s="10"/>
      <c r="AGU237" s="10"/>
      <c r="AGV237" s="19"/>
      <c r="AGW237" s="19"/>
      <c r="AGZ237" s="16"/>
      <c r="AHA237" s="15"/>
      <c r="AHB237" s="15"/>
      <c r="AHC237" s="15"/>
      <c r="AHD237" s="16"/>
      <c r="AHE237" s="16"/>
      <c r="AHF237" s="16"/>
      <c r="AHG237" s="16"/>
      <c r="AHH237" s="16"/>
      <c r="AHI237" s="15"/>
      <c r="AHJ237" s="15"/>
      <c r="AHK237" s="10"/>
      <c r="AHL237" s="10"/>
      <c r="AHM237" s="19"/>
      <c r="AHN237" s="19"/>
      <c r="AHQ237" s="16"/>
      <c r="AHR237" s="15"/>
      <c r="AHS237" s="15"/>
      <c r="AHT237" s="15"/>
      <c r="AHU237" s="16"/>
      <c r="AHV237" s="16"/>
      <c r="AHW237" s="16"/>
      <c r="AHX237" s="16"/>
      <c r="AHY237" s="16"/>
      <c r="AHZ237" s="15"/>
      <c r="AIA237" s="15"/>
      <c r="AIB237" s="10"/>
      <c r="AIC237" s="10"/>
      <c r="AID237" s="19"/>
      <c r="AIE237" s="19"/>
      <c r="AIH237" s="16"/>
      <c r="AII237" s="15"/>
      <c r="AIJ237" s="15"/>
      <c r="AIK237" s="15"/>
      <c r="AIL237" s="16"/>
      <c r="AIM237" s="16"/>
      <c r="AIN237" s="16"/>
      <c r="AIO237" s="16"/>
      <c r="AIP237" s="16"/>
      <c r="AIQ237" s="15"/>
      <c r="AIR237" s="15"/>
      <c r="AIS237" s="10"/>
      <c r="AIT237" s="10"/>
      <c r="AIU237" s="19"/>
      <c r="AIV237" s="19"/>
      <c r="AIY237" s="16"/>
      <c r="AIZ237" s="15"/>
      <c r="AJA237" s="15"/>
      <c r="AJB237" s="15"/>
      <c r="AJC237" s="16"/>
      <c r="AJD237" s="16"/>
      <c r="AJE237" s="16"/>
      <c r="AJF237" s="16"/>
      <c r="AJG237" s="16"/>
      <c r="AJH237" s="15"/>
      <c r="AJI237" s="15"/>
      <c r="AJJ237" s="10"/>
      <c r="AJK237" s="10"/>
      <c r="AJL237" s="19"/>
      <c r="AJM237" s="19"/>
      <c r="AJP237" s="16"/>
      <c r="AJQ237" s="15"/>
      <c r="AJR237" s="15"/>
      <c r="AJS237" s="15"/>
      <c r="AJT237" s="16"/>
      <c r="AJU237" s="16"/>
      <c r="AJV237" s="16"/>
      <c r="AJW237" s="16"/>
      <c r="AJX237" s="16"/>
      <c r="AJY237" s="15"/>
      <c r="AJZ237" s="15"/>
      <c r="AKA237" s="10"/>
      <c r="AKB237" s="10"/>
      <c r="AKC237" s="19"/>
      <c r="AKD237" s="19"/>
      <c r="AKG237" s="16"/>
      <c r="AKH237" s="15"/>
      <c r="AKI237" s="15"/>
      <c r="AKJ237" s="15"/>
      <c r="AKK237" s="16"/>
      <c r="AKL237" s="16"/>
      <c r="AKM237" s="16"/>
      <c r="AKN237" s="16"/>
      <c r="AKO237" s="16"/>
      <c r="AKP237" s="15"/>
      <c r="AKQ237" s="15"/>
      <c r="AKR237" s="10"/>
      <c r="AKS237" s="10"/>
      <c r="AKT237" s="19"/>
      <c r="AKU237" s="19"/>
      <c r="AKX237" s="16"/>
      <c r="AKY237" s="15"/>
      <c r="AKZ237" s="15"/>
      <c r="ALA237" s="15"/>
      <c r="ALB237" s="16"/>
      <c r="ALC237" s="16"/>
      <c r="ALD237" s="16"/>
      <c r="ALE237" s="16"/>
      <c r="ALF237" s="16"/>
      <c r="ALG237" s="15"/>
      <c r="ALH237" s="15"/>
      <c r="ALI237" s="10"/>
      <c r="ALJ237" s="10"/>
      <c r="ALK237" s="19"/>
      <c r="ALL237" s="19"/>
      <c r="ALO237" s="16"/>
      <c r="ALP237" s="15"/>
      <c r="ALQ237" s="15"/>
      <c r="ALR237" s="15"/>
      <c r="ALS237" s="16"/>
      <c r="ALT237" s="16"/>
      <c r="ALU237" s="16"/>
      <c r="ALV237" s="16"/>
      <c r="ALW237" s="16"/>
      <c r="ALX237" s="15"/>
      <c r="ALY237" s="15"/>
      <c r="ALZ237" s="10"/>
      <c r="AMA237" s="10"/>
      <c r="AMB237" s="19"/>
      <c r="AMC237" s="19"/>
      <c r="AMF237" s="16"/>
      <c r="AMG237" s="15"/>
      <c r="AMH237" s="15"/>
      <c r="AMI237" s="15"/>
      <c r="AMJ237" s="16"/>
      <c r="AMK237" s="16"/>
      <c r="AML237" s="16"/>
      <c r="AMM237" s="16"/>
      <c r="AMN237" s="16"/>
      <c r="AMO237" s="15"/>
      <c r="AMP237" s="15"/>
      <c r="AMQ237" s="10"/>
      <c r="AMR237" s="10"/>
      <c r="AMS237" s="19"/>
      <c r="AMT237" s="19"/>
      <c r="AMW237" s="16"/>
      <c r="AMX237" s="15"/>
      <c r="AMY237" s="15"/>
      <c r="AMZ237" s="15"/>
      <c r="ANA237" s="16"/>
      <c r="ANB237" s="16"/>
      <c r="ANC237" s="16"/>
      <c r="AND237" s="16"/>
      <c r="ANE237" s="16"/>
      <c r="ANF237" s="15"/>
      <c r="ANG237" s="15"/>
      <c r="ANH237" s="10"/>
      <c r="ANI237" s="10"/>
      <c r="ANJ237" s="19"/>
      <c r="ANK237" s="19"/>
      <c r="ANN237" s="16"/>
      <c r="ANO237" s="15"/>
      <c r="ANP237" s="15"/>
      <c r="ANQ237" s="15"/>
      <c r="ANR237" s="16"/>
      <c r="ANS237" s="16"/>
      <c r="ANT237" s="16"/>
      <c r="ANU237" s="16"/>
      <c r="ANV237" s="16"/>
      <c r="ANW237" s="15"/>
      <c r="ANX237" s="15"/>
      <c r="ANY237" s="10"/>
      <c r="ANZ237" s="10"/>
      <c r="AOA237" s="19"/>
      <c r="AOB237" s="19"/>
      <c r="AOE237" s="16"/>
      <c r="AOF237" s="15"/>
      <c r="AOG237" s="15"/>
      <c r="AOH237" s="15"/>
      <c r="AOI237" s="16"/>
      <c r="AOJ237" s="16"/>
      <c r="AOK237" s="16"/>
      <c r="AOL237" s="16"/>
      <c r="AOM237" s="16"/>
      <c r="AON237" s="15"/>
      <c r="AOO237" s="15"/>
      <c r="AOP237" s="10"/>
      <c r="AOQ237" s="10"/>
      <c r="AOR237" s="19"/>
      <c r="AOS237" s="19"/>
      <c r="AOV237" s="16"/>
      <c r="AOW237" s="15"/>
      <c r="AOX237" s="15"/>
      <c r="AOY237" s="15"/>
      <c r="AOZ237" s="16"/>
      <c r="APA237" s="16"/>
      <c r="APB237" s="16"/>
      <c r="APC237" s="16"/>
      <c r="APD237" s="16"/>
      <c r="APE237" s="15"/>
      <c r="APF237" s="15"/>
      <c r="APG237" s="10"/>
      <c r="APH237" s="10"/>
      <c r="API237" s="19"/>
      <c r="APJ237" s="19"/>
      <c r="APM237" s="16"/>
      <c r="APN237" s="15"/>
      <c r="APO237" s="15"/>
      <c r="APP237" s="15"/>
      <c r="APQ237" s="16"/>
      <c r="APR237" s="16"/>
      <c r="APS237" s="16"/>
      <c r="APT237" s="16"/>
      <c r="APU237" s="16"/>
      <c r="APV237" s="15"/>
      <c r="APW237" s="15"/>
      <c r="APX237" s="10"/>
      <c r="APY237" s="10"/>
      <c r="APZ237" s="19"/>
      <c r="AQA237" s="19"/>
      <c r="AQD237" s="16"/>
      <c r="AQE237" s="15"/>
      <c r="AQF237" s="15"/>
      <c r="AQG237" s="15"/>
      <c r="AQH237" s="16"/>
      <c r="AQI237" s="16"/>
      <c r="AQJ237" s="16"/>
      <c r="AQK237" s="16"/>
      <c r="AQL237" s="16"/>
      <c r="AQM237" s="15"/>
      <c r="AQN237" s="15"/>
      <c r="AQO237" s="10"/>
      <c r="AQP237" s="10"/>
      <c r="AQQ237" s="19"/>
      <c r="AQR237" s="19"/>
      <c r="AQU237" s="16"/>
      <c r="AQV237" s="15"/>
      <c r="AQW237" s="15"/>
      <c r="AQX237" s="15"/>
      <c r="AQY237" s="16"/>
      <c r="AQZ237" s="16"/>
      <c r="ARA237" s="16"/>
      <c r="ARB237" s="16"/>
      <c r="ARC237" s="16"/>
      <c r="ARD237" s="15"/>
      <c r="ARE237" s="15"/>
      <c r="ARF237" s="10"/>
      <c r="ARG237" s="10"/>
      <c r="ARH237" s="19"/>
      <c r="ARI237" s="19"/>
      <c r="ARL237" s="16"/>
      <c r="ARM237" s="15"/>
      <c r="ARN237" s="15"/>
      <c r="ARO237" s="15"/>
      <c r="ARP237" s="16"/>
      <c r="ARQ237" s="16"/>
      <c r="ARR237" s="16"/>
      <c r="ARS237" s="16"/>
      <c r="ART237" s="16"/>
      <c r="ARU237" s="15"/>
      <c r="ARV237" s="15"/>
      <c r="ARW237" s="10"/>
      <c r="ARX237" s="10"/>
      <c r="ARY237" s="19"/>
      <c r="ARZ237" s="19"/>
      <c r="ASC237" s="16"/>
      <c r="ASD237" s="15"/>
      <c r="ASE237" s="15"/>
      <c r="ASF237" s="15"/>
      <c r="ASG237" s="16"/>
      <c r="ASH237" s="16"/>
      <c r="ASI237" s="16"/>
      <c r="ASJ237" s="16"/>
      <c r="ASK237" s="16"/>
      <c r="ASL237" s="15"/>
      <c r="ASM237" s="15"/>
      <c r="ASN237" s="10"/>
      <c r="ASO237" s="10"/>
      <c r="ASP237" s="19"/>
      <c r="ASQ237" s="19"/>
      <c r="AST237" s="16"/>
      <c r="ASU237" s="15"/>
      <c r="ASV237" s="15"/>
      <c r="ASW237" s="15"/>
      <c r="ASX237" s="16"/>
      <c r="ASY237" s="16"/>
      <c r="ASZ237" s="16"/>
      <c r="ATA237" s="16"/>
      <c r="ATB237" s="16"/>
      <c r="ATC237" s="15"/>
      <c r="ATD237" s="15"/>
      <c r="ATE237" s="10"/>
      <c r="ATF237" s="10"/>
      <c r="ATG237" s="19"/>
      <c r="ATH237" s="19"/>
      <c r="ATK237" s="16"/>
      <c r="ATL237" s="15"/>
      <c r="ATM237" s="15"/>
      <c r="ATN237" s="15"/>
      <c r="ATO237" s="16"/>
      <c r="ATP237" s="16"/>
      <c r="ATQ237" s="16"/>
      <c r="ATR237" s="16"/>
      <c r="ATS237" s="16"/>
      <c r="ATT237" s="15"/>
      <c r="ATU237" s="15"/>
      <c r="ATV237" s="10"/>
      <c r="ATW237" s="10"/>
      <c r="ATX237" s="19"/>
      <c r="ATY237" s="19"/>
      <c r="AUB237" s="16"/>
      <c r="AUC237" s="15"/>
      <c r="AUD237" s="15"/>
      <c r="AUE237" s="15"/>
      <c r="AUF237" s="16"/>
      <c r="AUG237" s="16"/>
      <c r="AUH237" s="16"/>
      <c r="AUI237" s="16"/>
      <c r="AUJ237" s="16"/>
      <c r="AUK237" s="15"/>
      <c r="AUL237" s="15"/>
      <c r="AUM237" s="10"/>
      <c r="AUN237" s="10"/>
      <c r="AUO237" s="19"/>
      <c r="AUP237" s="19"/>
      <c r="AUS237" s="16"/>
      <c r="AUT237" s="15"/>
      <c r="AUU237" s="15"/>
      <c r="AUV237" s="15"/>
      <c r="AUW237" s="16"/>
      <c r="AUX237" s="16"/>
      <c r="AUY237" s="16"/>
      <c r="AUZ237" s="16"/>
      <c r="AVA237" s="16"/>
      <c r="AVB237" s="15"/>
      <c r="AVC237" s="15"/>
      <c r="AVD237" s="10"/>
      <c r="AVE237" s="10"/>
      <c r="AVF237" s="19"/>
      <c r="AVG237" s="19"/>
      <c r="AVJ237" s="16"/>
      <c r="AVK237" s="15"/>
      <c r="AVL237" s="15"/>
      <c r="AVM237" s="15"/>
      <c r="AVN237" s="16"/>
      <c r="AVO237" s="16"/>
      <c r="AVP237" s="16"/>
      <c r="AVQ237" s="16"/>
      <c r="AVR237" s="16"/>
      <c r="AVS237" s="15"/>
      <c r="AVT237" s="15"/>
      <c r="AVU237" s="10"/>
      <c r="AVV237" s="10"/>
      <c r="AVW237" s="19"/>
      <c r="AVX237" s="19"/>
      <c r="AWA237" s="16"/>
      <c r="AWB237" s="15"/>
      <c r="AWC237" s="15"/>
      <c r="AWD237" s="15"/>
      <c r="AWE237" s="16"/>
      <c r="AWF237" s="16"/>
      <c r="AWG237" s="16"/>
      <c r="AWH237" s="16"/>
      <c r="AWI237" s="16"/>
      <c r="AWJ237" s="15"/>
      <c r="AWK237" s="15"/>
      <c r="AWL237" s="10"/>
      <c r="AWM237" s="10"/>
      <c r="AWN237" s="19"/>
      <c r="AWO237" s="19"/>
      <c r="AWR237" s="16"/>
      <c r="AWS237" s="15"/>
      <c r="AWT237" s="15"/>
      <c r="AWU237" s="15"/>
      <c r="AWV237" s="16"/>
      <c r="AWW237" s="16"/>
      <c r="AWX237" s="16"/>
      <c r="AWY237" s="16"/>
      <c r="AWZ237" s="16"/>
      <c r="AXA237" s="15"/>
      <c r="AXB237" s="15"/>
      <c r="AXC237" s="10"/>
      <c r="AXD237" s="10"/>
      <c r="AXE237" s="19"/>
      <c r="AXF237" s="19"/>
      <c r="AXI237" s="16"/>
      <c r="AXJ237" s="15"/>
      <c r="AXK237" s="15"/>
      <c r="AXL237" s="15"/>
      <c r="AXM237" s="16"/>
      <c r="AXN237" s="16"/>
      <c r="AXO237" s="16"/>
      <c r="AXP237" s="16"/>
      <c r="AXQ237" s="16"/>
      <c r="AXR237" s="15"/>
      <c r="AXS237" s="15"/>
      <c r="AXT237" s="10"/>
      <c r="AXU237" s="10"/>
      <c r="AXV237" s="19"/>
      <c r="AXW237" s="19"/>
      <c r="AXZ237" s="16"/>
      <c r="AYA237" s="15"/>
      <c r="AYB237" s="15"/>
      <c r="AYC237" s="15"/>
      <c r="AYD237" s="16"/>
      <c r="AYE237" s="16"/>
      <c r="AYF237" s="16"/>
      <c r="AYG237" s="16"/>
      <c r="AYH237" s="16"/>
      <c r="AYI237" s="15"/>
      <c r="AYJ237" s="15"/>
      <c r="AYK237" s="10"/>
      <c r="AYL237" s="10"/>
      <c r="AYM237" s="19"/>
      <c r="AYN237" s="19"/>
      <c r="AYQ237" s="16"/>
      <c r="AYR237" s="15"/>
      <c r="AYS237" s="15"/>
      <c r="AYT237" s="15"/>
      <c r="AYU237" s="16"/>
      <c r="AYV237" s="16"/>
      <c r="AYW237" s="16"/>
      <c r="AYX237" s="16"/>
      <c r="AYY237" s="16"/>
      <c r="AYZ237" s="15"/>
      <c r="AZA237" s="15"/>
      <c r="AZB237" s="10"/>
      <c r="AZC237" s="10"/>
      <c r="AZD237" s="19"/>
      <c r="AZE237" s="19"/>
      <c r="AZH237" s="16"/>
      <c r="AZI237" s="15"/>
      <c r="AZJ237" s="15"/>
      <c r="AZK237" s="15"/>
      <c r="AZL237" s="16"/>
      <c r="AZM237" s="16"/>
      <c r="AZN237" s="16"/>
      <c r="AZO237" s="16"/>
      <c r="AZP237" s="16"/>
      <c r="AZQ237" s="15"/>
      <c r="AZR237" s="15"/>
      <c r="AZS237" s="10"/>
      <c r="AZT237" s="10"/>
      <c r="AZU237" s="19"/>
      <c r="AZV237" s="19"/>
      <c r="AZY237" s="16"/>
      <c r="AZZ237" s="15"/>
      <c r="BAA237" s="15"/>
      <c r="BAB237" s="15"/>
      <c r="BAC237" s="16"/>
      <c r="BAD237" s="16"/>
      <c r="BAE237" s="16"/>
      <c r="BAF237" s="16"/>
      <c r="BAG237" s="16"/>
      <c r="BAH237" s="15"/>
      <c r="BAI237" s="15"/>
      <c r="BAJ237" s="10"/>
      <c r="BAK237" s="10"/>
      <c r="BAL237" s="19"/>
      <c r="BAM237" s="19"/>
      <c r="BAP237" s="16"/>
      <c r="BAQ237" s="15"/>
      <c r="BAR237" s="15"/>
      <c r="BAS237" s="15"/>
      <c r="BAT237" s="16"/>
      <c r="BAU237" s="16"/>
      <c r="BAV237" s="16"/>
      <c r="BAW237" s="16"/>
      <c r="BAX237" s="16"/>
      <c r="BAY237" s="15"/>
      <c r="BAZ237" s="15"/>
      <c r="BBA237" s="10"/>
      <c r="BBB237" s="10"/>
      <c r="BBC237" s="19"/>
      <c r="BBD237" s="19"/>
      <c r="BBG237" s="16"/>
      <c r="BBH237" s="15"/>
      <c r="BBI237" s="15"/>
      <c r="BBJ237" s="15"/>
      <c r="BBK237" s="16"/>
      <c r="BBL237" s="16"/>
      <c r="BBM237" s="16"/>
      <c r="BBN237" s="16"/>
      <c r="BBO237" s="16"/>
      <c r="BBP237" s="15"/>
      <c r="BBQ237" s="15"/>
      <c r="BBR237" s="10"/>
      <c r="BBS237" s="10"/>
      <c r="BBT237" s="19"/>
      <c r="BBU237" s="19"/>
      <c r="BBX237" s="16"/>
      <c r="BBY237" s="15"/>
      <c r="BBZ237" s="15"/>
      <c r="BCA237" s="15"/>
      <c r="BCB237" s="16"/>
      <c r="BCC237" s="16"/>
      <c r="BCD237" s="16"/>
      <c r="BCE237" s="16"/>
      <c r="BCF237" s="16"/>
      <c r="BCG237" s="15"/>
      <c r="BCH237" s="15"/>
      <c r="BCI237" s="10"/>
      <c r="BCJ237" s="10"/>
      <c r="BCK237" s="19"/>
      <c r="BCL237" s="19"/>
      <c r="BCO237" s="16"/>
      <c r="BCP237" s="15"/>
      <c r="BCQ237" s="15"/>
      <c r="BCR237" s="15"/>
      <c r="BCS237" s="16"/>
      <c r="BCT237" s="16"/>
      <c r="BCU237" s="16"/>
      <c r="BCV237" s="16"/>
      <c r="BCW237" s="16"/>
      <c r="BCX237" s="15"/>
      <c r="BCY237" s="15"/>
      <c r="BCZ237" s="10"/>
      <c r="BDA237" s="10"/>
      <c r="BDB237" s="19"/>
      <c r="BDC237" s="19"/>
      <c r="BDF237" s="16"/>
      <c r="BDG237" s="15"/>
      <c r="BDH237" s="15"/>
      <c r="BDI237" s="15"/>
      <c r="BDJ237" s="16"/>
      <c r="BDK237" s="16"/>
      <c r="BDL237" s="16"/>
      <c r="BDM237" s="16"/>
      <c r="BDN237" s="16"/>
      <c r="BDO237" s="15"/>
      <c r="BDP237" s="15"/>
      <c r="BDQ237" s="10"/>
      <c r="BDR237" s="10"/>
      <c r="BDS237" s="19"/>
      <c r="BDT237" s="19"/>
      <c r="BDW237" s="16"/>
      <c r="BDX237" s="15"/>
      <c r="BDY237" s="15"/>
      <c r="BDZ237" s="15"/>
      <c r="BEA237" s="16"/>
      <c r="BEB237" s="16"/>
      <c r="BEC237" s="16"/>
      <c r="BED237" s="16"/>
      <c r="BEE237" s="16"/>
      <c r="BEF237" s="15"/>
      <c r="BEG237" s="15"/>
      <c r="BEH237" s="10"/>
      <c r="BEI237" s="10"/>
      <c r="BEJ237" s="19"/>
      <c r="BEK237" s="19"/>
      <c r="BEN237" s="16"/>
      <c r="BEO237" s="15"/>
      <c r="BEP237" s="15"/>
      <c r="BEQ237" s="15"/>
      <c r="BER237" s="16"/>
      <c r="BES237" s="16"/>
      <c r="BET237" s="16"/>
      <c r="BEU237" s="16"/>
      <c r="BEV237" s="16"/>
      <c r="BEW237" s="15"/>
      <c r="BEX237" s="15"/>
      <c r="BEY237" s="10"/>
      <c r="BEZ237" s="10"/>
      <c r="BFA237" s="19"/>
      <c r="BFB237" s="19"/>
      <c r="BFE237" s="16"/>
      <c r="BFF237" s="15"/>
      <c r="BFG237" s="15"/>
      <c r="BFH237" s="15"/>
      <c r="BFI237" s="16"/>
      <c r="BFJ237" s="16"/>
      <c r="BFK237" s="16"/>
      <c r="BFL237" s="16"/>
      <c r="BFM237" s="16"/>
      <c r="BFN237" s="15"/>
      <c r="BFO237" s="15"/>
      <c r="BFP237" s="10"/>
      <c r="BFQ237" s="10"/>
      <c r="BFR237" s="19"/>
      <c r="BFS237" s="19"/>
      <c r="BFV237" s="16"/>
      <c r="BFW237" s="15"/>
      <c r="BFX237" s="15"/>
      <c r="BFY237" s="15"/>
      <c r="BFZ237" s="16"/>
      <c r="BGA237" s="16"/>
      <c r="BGB237" s="16"/>
      <c r="BGC237" s="16"/>
      <c r="BGD237" s="16"/>
      <c r="BGE237" s="15"/>
      <c r="BGF237" s="15"/>
      <c r="BGG237" s="10"/>
      <c r="BGH237" s="10"/>
      <c r="BGI237" s="19"/>
      <c r="BGJ237" s="19"/>
      <c r="BGM237" s="16"/>
      <c r="BGN237" s="15"/>
      <c r="BGO237" s="15"/>
      <c r="BGP237" s="15"/>
      <c r="BGQ237" s="16"/>
      <c r="BGR237" s="16"/>
      <c r="BGS237" s="16"/>
      <c r="BGT237" s="16"/>
      <c r="BGU237" s="16"/>
      <c r="BGV237" s="15"/>
      <c r="BGW237" s="15"/>
      <c r="BGX237" s="10"/>
      <c r="BGY237" s="10"/>
      <c r="BGZ237" s="19"/>
      <c r="BHA237" s="19"/>
      <c r="BHD237" s="16"/>
      <c r="BHE237" s="15"/>
      <c r="BHF237" s="15"/>
      <c r="BHG237" s="15"/>
      <c r="BHH237" s="16"/>
      <c r="BHI237" s="16"/>
      <c r="BHJ237" s="16"/>
      <c r="BHK237" s="16"/>
      <c r="BHL237" s="16"/>
      <c r="BHM237" s="15"/>
      <c r="BHN237" s="15"/>
      <c r="BHO237" s="10"/>
      <c r="BHP237" s="10"/>
      <c r="BHQ237" s="19"/>
      <c r="BHR237" s="19"/>
      <c r="BHU237" s="16"/>
      <c r="BHV237" s="15"/>
      <c r="BHW237" s="15"/>
      <c r="BHX237" s="15"/>
      <c r="BHY237" s="16"/>
      <c r="BHZ237" s="16"/>
      <c r="BIA237" s="16"/>
      <c r="BIB237" s="16"/>
      <c r="BIC237" s="16"/>
      <c r="BID237" s="15"/>
      <c r="BIE237" s="15"/>
      <c r="BIF237" s="10"/>
      <c r="BIG237" s="10"/>
      <c r="BIH237" s="19"/>
      <c r="BII237" s="19"/>
      <c r="BIL237" s="16"/>
      <c r="BIM237" s="15"/>
      <c r="BIN237" s="15"/>
      <c r="BIO237" s="15"/>
      <c r="BIP237" s="16"/>
      <c r="BIQ237" s="16"/>
      <c r="BIR237" s="16"/>
      <c r="BIS237" s="16"/>
      <c r="BIT237" s="16"/>
      <c r="BIU237" s="15"/>
      <c r="BIV237" s="15"/>
      <c r="BIW237" s="10"/>
      <c r="BIX237" s="10"/>
      <c r="BIY237" s="19"/>
      <c r="BIZ237" s="19"/>
      <c r="BJC237" s="16"/>
      <c r="BJD237" s="15"/>
      <c r="BJE237" s="15"/>
      <c r="BJF237" s="15"/>
      <c r="BJG237" s="16"/>
      <c r="BJH237" s="16"/>
      <c r="BJI237" s="16"/>
      <c r="BJJ237" s="16"/>
      <c r="BJK237" s="16"/>
      <c r="BJL237" s="15"/>
      <c r="BJM237" s="15"/>
      <c r="BJN237" s="10"/>
      <c r="BJO237" s="10"/>
      <c r="BJP237" s="19"/>
      <c r="BJQ237" s="19"/>
      <c r="BJT237" s="16"/>
      <c r="BJU237" s="15"/>
      <c r="BJV237" s="15"/>
      <c r="BJW237" s="15"/>
      <c r="BJX237" s="16"/>
      <c r="BJY237" s="16"/>
      <c r="BJZ237" s="16"/>
      <c r="BKA237" s="16"/>
      <c r="BKB237" s="16"/>
      <c r="BKC237" s="15"/>
      <c r="BKD237" s="15"/>
      <c r="BKE237" s="10"/>
      <c r="BKF237" s="10"/>
      <c r="BKG237" s="19"/>
      <c r="BKH237" s="19"/>
      <c r="BKK237" s="16"/>
      <c r="BKL237" s="15"/>
      <c r="BKM237" s="15"/>
      <c r="BKN237" s="15"/>
      <c r="BKO237" s="16"/>
      <c r="BKP237" s="16"/>
      <c r="BKQ237" s="16"/>
      <c r="BKR237" s="16"/>
      <c r="BKS237" s="16"/>
      <c r="BKT237" s="15"/>
      <c r="BKU237" s="15"/>
      <c r="BKV237" s="10"/>
      <c r="BKW237" s="10"/>
      <c r="BKX237" s="19"/>
      <c r="BKY237" s="19"/>
      <c r="BLB237" s="16"/>
      <c r="BLC237" s="15"/>
      <c r="BLD237" s="15"/>
      <c r="BLE237" s="15"/>
      <c r="BLF237" s="16"/>
      <c r="BLG237" s="16"/>
      <c r="BLH237" s="16"/>
      <c r="BLI237" s="16"/>
      <c r="BLJ237" s="16"/>
      <c r="BLK237" s="15"/>
      <c r="BLL237" s="15"/>
      <c r="BLM237" s="10"/>
      <c r="BLN237" s="10"/>
      <c r="BLO237" s="19"/>
      <c r="BLP237" s="19"/>
      <c r="BLS237" s="16"/>
      <c r="BLT237" s="15"/>
      <c r="BLU237" s="15"/>
      <c r="BLV237" s="15"/>
      <c r="BLW237" s="16"/>
      <c r="BLX237" s="16"/>
      <c r="BLY237" s="16"/>
      <c r="BLZ237" s="16"/>
      <c r="BMA237" s="16"/>
      <c r="BMB237" s="15"/>
      <c r="BMC237" s="15"/>
      <c r="BMD237" s="10"/>
      <c r="BME237" s="10"/>
      <c r="BMF237" s="19"/>
      <c r="BMG237" s="19"/>
      <c r="BMJ237" s="16"/>
      <c r="BMK237" s="15"/>
      <c r="BML237" s="15"/>
      <c r="BMM237" s="15"/>
      <c r="BMN237" s="16"/>
      <c r="BMO237" s="16"/>
      <c r="BMP237" s="16"/>
      <c r="BMQ237" s="16"/>
      <c r="BMR237" s="16"/>
      <c r="BMS237" s="15"/>
      <c r="BMT237" s="15"/>
      <c r="BMU237" s="10"/>
      <c r="BMV237" s="10"/>
      <c r="BMW237" s="19"/>
      <c r="BMX237" s="19"/>
      <c r="BNA237" s="16"/>
      <c r="BNB237" s="15"/>
      <c r="BNC237" s="15"/>
      <c r="BND237" s="15"/>
      <c r="BNE237" s="16"/>
      <c r="BNF237" s="16"/>
      <c r="BNG237" s="16"/>
      <c r="BNH237" s="16"/>
      <c r="BNI237" s="16"/>
      <c r="BNJ237" s="15"/>
      <c r="BNK237" s="15"/>
      <c r="BNL237" s="10"/>
      <c r="BNM237" s="10"/>
      <c r="BNN237" s="19"/>
      <c r="BNO237" s="19"/>
      <c r="BNR237" s="16"/>
      <c r="BNS237" s="15"/>
      <c r="BNT237" s="15"/>
      <c r="BNU237" s="15"/>
      <c r="BNV237" s="16"/>
      <c r="BNW237" s="16"/>
      <c r="BNX237" s="16"/>
      <c r="BNY237" s="16"/>
      <c r="BNZ237" s="16"/>
      <c r="BOA237" s="15"/>
      <c r="BOB237" s="15"/>
      <c r="BOC237" s="10"/>
      <c r="BOD237" s="10"/>
      <c r="BOE237" s="19"/>
      <c r="BOF237" s="19"/>
      <c r="BOI237" s="16"/>
      <c r="BOJ237" s="15"/>
      <c r="BOK237" s="15"/>
      <c r="BOL237" s="15"/>
      <c r="BOM237" s="16"/>
      <c r="BON237" s="16"/>
      <c r="BOO237" s="16"/>
      <c r="BOP237" s="16"/>
      <c r="BOQ237" s="16"/>
      <c r="BOR237" s="15"/>
      <c r="BOS237" s="15"/>
      <c r="BOT237" s="10"/>
      <c r="BOU237" s="10"/>
      <c r="BOV237" s="19"/>
      <c r="BOW237" s="19"/>
      <c r="BOZ237" s="16"/>
      <c r="BPA237" s="15"/>
      <c r="BPB237" s="15"/>
      <c r="BPC237" s="15"/>
      <c r="BPD237" s="16"/>
      <c r="BPE237" s="16"/>
      <c r="BPF237" s="16"/>
      <c r="BPG237" s="16"/>
      <c r="BPH237" s="16"/>
      <c r="BPI237" s="15"/>
      <c r="BPJ237" s="15"/>
      <c r="BPK237" s="10"/>
      <c r="BPL237" s="10"/>
      <c r="BPM237" s="19"/>
      <c r="BPN237" s="19"/>
      <c r="BPQ237" s="16"/>
      <c r="BPR237" s="15"/>
      <c r="BPS237" s="15"/>
      <c r="BPT237" s="15"/>
      <c r="BPU237" s="16"/>
      <c r="BPV237" s="16"/>
      <c r="BPW237" s="16"/>
      <c r="BPX237" s="16"/>
      <c r="BPY237" s="16"/>
      <c r="BPZ237" s="15"/>
      <c r="BQA237" s="15"/>
      <c r="BQB237" s="10"/>
      <c r="BQC237" s="10"/>
      <c r="BQD237" s="19"/>
      <c r="BQE237" s="19"/>
      <c r="BQH237" s="16"/>
      <c r="BQI237" s="15"/>
      <c r="BQJ237" s="15"/>
      <c r="BQK237" s="15"/>
      <c r="BQL237" s="16"/>
      <c r="BQM237" s="16"/>
      <c r="BQN237" s="16"/>
      <c r="BQO237" s="16"/>
      <c r="BQP237" s="16"/>
      <c r="BQQ237" s="15"/>
      <c r="BQR237" s="15"/>
      <c r="BQS237" s="10"/>
      <c r="BQT237" s="10"/>
      <c r="BQU237" s="19"/>
      <c r="BQV237" s="19"/>
      <c r="BQY237" s="16"/>
      <c r="BQZ237" s="15"/>
      <c r="BRA237" s="15"/>
      <c r="BRB237" s="15"/>
      <c r="BRC237" s="16"/>
      <c r="BRD237" s="16"/>
      <c r="BRE237" s="16"/>
      <c r="BRF237" s="16"/>
      <c r="BRG237" s="16"/>
      <c r="BRH237" s="15"/>
      <c r="BRI237" s="15"/>
      <c r="BRJ237" s="10"/>
      <c r="BRK237" s="10"/>
      <c r="BRL237" s="19"/>
      <c r="BRM237" s="19"/>
      <c r="BRP237" s="16"/>
      <c r="BRQ237" s="15"/>
      <c r="BRR237" s="15"/>
      <c r="BRS237" s="15"/>
      <c r="BRT237" s="16"/>
      <c r="BRU237" s="16"/>
      <c r="BRV237" s="16"/>
      <c r="BRW237" s="16"/>
      <c r="BRX237" s="16"/>
      <c r="BRY237" s="15"/>
      <c r="BRZ237" s="15"/>
      <c r="BSA237" s="10"/>
      <c r="BSB237" s="10"/>
      <c r="BSC237" s="19"/>
      <c r="BSD237" s="19"/>
      <c r="BSG237" s="16"/>
      <c r="BSH237" s="15"/>
      <c r="BSI237" s="15"/>
      <c r="BSJ237" s="15"/>
      <c r="BSK237" s="16"/>
      <c r="BSL237" s="16"/>
      <c r="BSM237" s="16"/>
      <c r="BSN237" s="16"/>
      <c r="BSO237" s="16"/>
      <c r="BSP237" s="15"/>
      <c r="BSQ237" s="15"/>
      <c r="BSR237" s="10"/>
      <c r="BSS237" s="10"/>
      <c r="BST237" s="19"/>
      <c r="BSU237" s="19"/>
      <c r="BSX237" s="16"/>
      <c r="BSY237" s="15"/>
      <c r="BSZ237" s="15"/>
      <c r="BTA237" s="15"/>
      <c r="BTB237" s="16"/>
      <c r="BTC237" s="16"/>
      <c r="BTD237" s="16"/>
      <c r="BTE237" s="16"/>
      <c r="BTF237" s="16"/>
      <c r="BTG237" s="15"/>
      <c r="BTH237" s="15"/>
      <c r="BTI237" s="10"/>
      <c r="BTJ237" s="10"/>
      <c r="BTK237" s="19"/>
      <c r="BTL237" s="19"/>
      <c r="BTO237" s="16"/>
      <c r="BTP237" s="15"/>
      <c r="BTQ237" s="15"/>
      <c r="BTR237" s="15"/>
      <c r="BTS237" s="16"/>
      <c r="BTT237" s="16"/>
      <c r="BTU237" s="16"/>
      <c r="BTV237" s="16"/>
      <c r="BTW237" s="16"/>
      <c r="BTX237" s="15"/>
      <c r="BTY237" s="15"/>
      <c r="BTZ237" s="10"/>
      <c r="BUA237" s="10"/>
      <c r="BUB237" s="19"/>
      <c r="BUC237" s="19"/>
      <c r="BUF237" s="16"/>
      <c r="BUG237" s="15"/>
      <c r="BUH237" s="15"/>
      <c r="BUI237" s="15"/>
      <c r="BUJ237" s="16"/>
      <c r="BUK237" s="16"/>
      <c r="BUL237" s="16"/>
      <c r="BUM237" s="16"/>
      <c r="BUN237" s="16"/>
      <c r="BUO237" s="15"/>
      <c r="BUP237" s="15"/>
      <c r="BUQ237" s="10"/>
      <c r="BUR237" s="10"/>
      <c r="BUS237" s="19"/>
      <c r="BUT237" s="19"/>
      <c r="BUW237" s="16"/>
      <c r="BUX237" s="15"/>
      <c r="BUY237" s="15"/>
      <c r="BUZ237" s="15"/>
      <c r="BVA237" s="16"/>
      <c r="BVB237" s="16"/>
      <c r="BVC237" s="16"/>
      <c r="BVD237" s="16"/>
      <c r="BVE237" s="16"/>
      <c r="BVF237" s="15"/>
      <c r="BVG237" s="15"/>
      <c r="BVH237" s="10"/>
      <c r="BVI237" s="10"/>
      <c r="BVJ237" s="19"/>
      <c r="BVK237" s="19"/>
      <c r="BVN237" s="16"/>
      <c r="BVO237" s="15"/>
      <c r="BVP237" s="15"/>
      <c r="BVQ237" s="15"/>
      <c r="BVR237" s="16"/>
      <c r="BVS237" s="16"/>
      <c r="BVT237" s="16"/>
      <c r="BVU237" s="16"/>
      <c r="BVV237" s="16"/>
      <c r="BVW237" s="15"/>
      <c r="BVX237" s="15"/>
      <c r="BVY237" s="10"/>
      <c r="BVZ237" s="10"/>
      <c r="BWA237" s="19"/>
      <c r="BWB237" s="19"/>
      <c r="BWE237" s="16"/>
      <c r="BWF237" s="15"/>
      <c r="BWG237" s="15"/>
      <c r="BWH237" s="15"/>
      <c r="BWI237" s="16"/>
      <c r="BWJ237" s="16"/>
      <c r="BWK237" s="16"/>
      <c r="BWL237" s="16"/>
      <c r="BWM237" s="16"/>
      <c r="BWN237" s="15"/>
      <c r="BWO237" s="15"/>
      <c r="BWP237" s="10"/>
      <c r="BWQ237" s="10"/>
      <c r="BWR237" s="19"/>
      <c r="BWS237" s="19"/>
      <c r="BWV237" s="16"/>
      <c r="BWW237" s="15"/>
      <c r="BWX237" s="15"/>
      <c r="BWY237" s="15"/>
      <c r="BWZ237" s="16"/>
      <c r="BXA237" s="16"/>
      <c r="BXB237" s="16"/>
      <c r="BXC237" s="16"/>
      <c r="BXD237" s="16"/>
      <c r="BXE237" s="15"/>
      <c r="BXF237" s="15"/>
      <c r="BXG237" s="10"/>
      <c r="BXH237" s="10"/>
      <c r="BXI237" s="19"/>
      <c r="BXJ237" s="19"/>
      <c r="BXM237" s="16"/>
      <c r="BXN237" s="15"/>
      <c r="BXO237" s="15"/>
      <c r="BXP237" s="15"/>
      <c r="BXQ237" s="16"/>
      <c r="BXR237" s="16"/>
      <c r="BXS237" s="16"/>
      <c r="BXT237" s="16"/>
      <c r="BXU237" s="16"/>
      <c r="BXV237" s="15"/>
      <c r="BXW237" s="15"/>
      <c r="BXX237" s="10"/>
      <c r="BXY237" s="10"/>
      <c r="BXZ237" s="19"/>
      <c r="BYA237" s="19"/>
      <c r="BYD237" s="16"/>
      <c r="BYE237" s="15"/>
      <c r="BYF237" s="15"/>
      <c r="BYG237" s="15"/>
      <c r="BYH237" s="16"/>
      <c r="BYI237" s="16"/>
      <c r="BYJ237" s="16"/>
      <c r="BYK237" s="16"/>
      <c r="BYL237" s="16"/>
      <c r="BYM237" s="15"/>
      <c r="BYN237" s="15"/>
      <c r="BYO237" s="10"/>
      <c r="BYP237" s="10"/>
      <c r="BYQ237" s="19"/>
      <c r="BYR237" s="19"/>
      <c r="BYU237" s="16"/>
      <c r="BYV237" s="15"/>
      <c r="BYW237" s="15"/>
      <c r="BYX237" s="15"/>
      <c r="BYY237" s="16"/>
      <c r="BYZ237" s="16"/>
      <c r="BZA237" s="16"/>
      <c r="BZB237" s="16"/>
      <c r="BZC237" s="16"/>
      <c r="BZD237" s="15"/>
      <c r="BZE237" s="15"/>
      <c r="BZF237" s="10"/>
      <c r="BZG237" s="10"/>
      <c r="BZH237" s="19"/>
      <c r="BZI237" s="19"/>
      <c r="BZL237" s="16"/>
      <c r="BZM237" s="15"/>
      <c r="BZN237" s="15"/>
      <c r="BZO237" s="15"/>
      <c r="BZP237" s="16"/>
      <c r="BZQ237" s="16"/>
      <c r="BZR237" s="16"/>
      <c r="BZS237" s="16"/>
      <c r="BZT237" s="16"/>
      <c r="BZU237" s="15"/>
      <c r="BZV237" s="15"/>
      <c r="BZW237" s="10"/>
      <c r="BZX237" s="10"/>
      <c r="BZY237" s="19"/>
      <c r="BZZ237" s="19"/>
      <c r="CAC237" s="16"/>
      <c r="CAD237" s="15"/>
      <c r="CAE237" s="15"/>
      <c r="CAF237" s="15"/>
      <c r="CAG237" s="16"/>
      <c r="CAH237" s="16"/>
      <c r="CAI237" s="16"/>
      <c r="CAJ237" s="16"/>
      <c r="CAK237" s="16"/>
      <c r="CAL237" s="15"/>
      <c r="CAM237" s="15"/>
      <c r="CAN237" s="10"/>
      <c r="CAO237" s="10"/>
      <c r="CAP237" s="19"/>
      <c r="CAQ237" s="19"/>
      <c r="CAT237" s="16"/>
      <c r="CAU237" s="15"/>
      <c r="CAV237" s="15"/>
      <c r="CAW237" s="15"/>
      <c r="CAX237" s="16"/>
      <c r="CAY237" s="16"/>
      <c r="CAZ237" s="16"/>
      <c r="CBA237" s="16"/>
      <c r="CBB237" s="16"/>
      <c r="CBC237" s="15"/>
      <c r="CBD237" s="15"/>
      <c r="CBE237" s="10"/>
      <c r="CBF237" s="10"/>
      <c r="CBG237" s="19"/>
      <c r="CBH237" s="19"/>
      <c r="CBK237" s="16"/>
      <c r="CBL237" s="15"/>
      <c r="CBM237" s="15"/>
      <c r="CBN237" s="15"/>
      <c r="CBO237" s="16"/>
      <c r="CBP237" s="16"/>
      <c r="CBQ237" s="16"/>
      <c r="CBR237" s="16"/>
      <c r="CBS237" s="16"/>
      <c r="CBT237" s="15"/>
      <c r="CBU237" s="15"/>
      <c r="CBV237" s="10"/>
      <c r="CBW237" s="10"/>
      <c r="CBX237" s="19"/>
      <c r="CBY237" s="19"/>
      <c r="CCB237" s="16"/>
      <c r="CCC237" s="15"/>
      <c r="CCD237" s="15"/>
      <c r="CCE237" s="15"/>
      <c r="CCF237" s="16"/>
      <c r="CCG237" s="16"/>
      <c r="CCH237" s="16"/>
      <c r="CCI237" s="16"/>
      <c r="CCJ237" s="16"/>
      <c r="CCK237" s="15"/>
      <c r="CCL237" s="15"/>
      <c r="CCM237" s="10"/>
      <c r="CCN237" s="10"/>
      <c r="CCO237" s="19"/>
      <c r="CCP237" s="19"/>
      <c r="CCS237" s="16"/>
      <c r="CCT237" s="15"/>
      <c r="CCU237" s="15"/>
      <c r="CCV237" s="15"/>
      <c r="CCW237" s="16"/>
      <c r="CCX237" s="16"/>
      <c r="CCY237" s="16"/>
      <c r="CCZ237" s="16"/>
      <c r="CDA237" s="16"/>
      <c r="CDB237" s="15"/>
      <c r="CDC237" s="15"/>
      <c r="CDD237" s="10"/>
      <c r="CDE237" s="10"/>
      <c r="CDF237" s="19"/>
      <c r="CDG237" s="19"/>
      <c r="CDJ237" s="16"/>
      <c r="CDK237" s="15"/>
      <c r="CDL237" s="15"/>
      <c r="CDM237" s="15"/>
      <c r="CDN237" s="16"/>
      <c r="CDO237" s="16"/>
      <c r="CDP237" s="16"/>
      <c r="CDQ237" s="16"/>
      <c r="CDR237" s="16"/>
      <c r="CDS237" s="15"/>
      <c r="CDT237" s="15"/>
      <c r="CDU237" s="10"/>
      <c r="CDV237" s="10"/>
      <c r="CDW237" s="19"/>
      <c r="CDX237" s="19"/>
      <c r="CEA237" s="16"/>
      <c r="CEB237" s="15"/>
      <c r="CEC237" s="15"/>
      <c r="CED237" s="15"/>
      <c r="CEE237" s="16"/>
      <c r="CEF237" s="16"/>
      <c r="CEG237" s="16"/>
      <c r="CEH237" s="16"/>
      <c r="CEI237" s="16"/>
      <c r="CEJ237" s="15"/>
      <c r="CEK237" s="15"/>
      <c r="CEL237" s="10"/>
      <c r="CEM237" s="10"/>
      <c r="CEN237" s="19"/>
      <c r="CEO237" s="19"/>
      <c r="CER237" s="16"/>
      <c r="CES237" s="15"/>
      <c r="CET237" s="15"/>
      <c r="CEU237" s="15"/>
      <c r="CEV237" s="16"/>
      <c r="CEW237" s="16"/>
      <c r="CEX237" s="16"/>
      <c r="CEY237" s="16"/>
      <c r="CEZ237" s="16"/>
      <c r="CFA237" s="15"/>
      <c r="CFB237" s="15"/>
      <c r="CFC237" s="10"/>
      <c r="CFD237" s="10"/>
      <c r="CFE237" s="19"/>
      <c r="CFF237" s="19"/>
      <c r="CFI237" s="16"/>
      <c r="CFJ237" s="15"/>
      <c r="CFK237" s="15"/>
      <c r="CFL237" s="15"/>
      <c r="CFM237" s="16"/>
      <c r="CFN237" s="16"/>
      <c r="CFO237" s="16"/>
      <c r="CFP237" s="16"/>
      <c r="CFQ237" s="16"/>
      <c r="CFR237" s="15"/>
      <c r="CFS237" s="15"/>
      <c r="CFT237" s="10"/>
      <c r="CFU237" s="10"/>
      <c r="CFV237" s="19"/>
      <c r="CFW237" s="19"/>
      <c r="CFZ237" s="16"/>
      <c r="CGA237" s="15"/>
      <c r="CGB237" s="15"/>
      <c r="CGC237" s="15"/>
      <c r="CGD237" s="16"/>
      <c r="CGE237" s="16"/>
      <c r="CGF237" s="16"/>
      <c r="CGG237" s="16"/>
      <c r="CGH237" s="16"/>
      <c r="CGI237" s="15"/>
      <c r="CGJ237" s="15"/>
      <c r="CGK237" s="10"/>
      <c r="CGL237" s="10"/>
      <c r="CGM237" s="19"/>
      <c r="CGN237" s="19"/>
      <c r="CGQ237" s="16"/>
      <c r="CGR237" s="15"/>
      <c r="CGS237" s="15"/>
      <c r="CGT237" s="15"/>
      <c r="CGU237" s="16"/>
      <c r="CGV237" s="16"/>
      <c r="CGW237" s="16"/>
      <c r="CGX237" s="16"/>
      <c r="CGY237" s="16"/>
      <c r="CGZ237" s="15"/>
      <c r="CHA237" s="15"/>
      <c r="CHB237" s="10"/>
      <c r="CHC237" s="10"/>
      <c r="CHD237" s="19"/>
      <c r="CHE237" s="19"/>
      <c r="CHH237" s="16"/>
      <c r="CHI237" s="15"/>
      <c r="CHJ237" s="15"/>
      <c r="CHK237" s="15"/>
      <c r="CHL237" s="16"/>
      <c r="CHM237" s="16"/>
      <c r="CHN237" s="16"/>
      <c r="CHO237" s="16"/>
      <c r="CHP237" s="16"/>
      <c r="CHQ237" s="15"/>
      <c r="CHR237" s="15"/>
      <c r="CHS237" s="10"/>
      <c r="CHT237" s="10"/>
      <c r="CHU237" s="19"/>
      <c r="CHV237" s="19"/>
      <c r="CHY237" s="16"/>
      <c r="CHZ237" s="15"/>
      <c r="CIA237" s="15"/>
      <c r="CIB237" s="15"/>
      <c r="CIC237" s="16"/>
      <c r="CID237" s="16"/>
      <c r="CIE237" s="16"/>
      <c r="CIF237" s="16"/>
      <c r="CIG237" s="16"/>
      <c r="CIH237" s="15"/>
      <c r="CII237" s="15"/>
      <c r="CIJ237" s="10"/>
      <c r="CIK237" s="10"/>
      <c r="CIL237" s="19"/>
      <c r="CIM237" s="19"/>
      <c r="CIP237" s="16"/>
      <c r="CIQ237" s="15"/>
      <c r="CIR237" s="15"/>
      <c r="CIS237" s="15"/>
      <c r="CIT237" s="16"/>
      <c r="CIU237" s="16"/>
      <c r="CIV237" s="16"/>
      <c r="CIW237" s="16"/>
      <c r="CIX237" s="16"/>
      <c r="CIY237" s="15"/>
      <c r="CIZ237" s="15"/>
      <c r="CJA237" s="10"/>
      <c r="CJB237" s="10"/>
      <c r="CJC237" s="19"/>
      <c r="CJD237" s="19"/>
      <c r="CJG237" s="16"/>
      <c r="CJH237" s="15"/>
      <c r="CJI237" s="15"/>
      <c r="CJJ237" s="15"/>
      <c r="CJK237" s="16"/>
      <c r="CJL237" s="16"/>
      <c r="CJM237" s="16"/>
      <c r="CJN237" s="16"/>
      <c r="CJO237" s="16"/>
      <c r="CJP237" s="15"/>
      <c r="CJQ237" s="15"/>
      <c r="CJR237" s="10"/>
      <c r="CJS237" s="10"/>
      <c r="CJT237" s="19"/>
      <c r="CJU237" s="19"/>
      <c r="CJX237" s="16"/>
      <c r="CJY237" s="15"/>
      <c r="CJZ237" s="15"/>
      <c r="CKA237" s="15"/>
      <c r="CKB237" s="16"/>
      <c r="CKC237" s="16"/>
      <c r="CKD237" s="16"/>
      <c r="CKE237" s="16"/>
      <c r="CKF237" s="16"/>
      <c r="CKG237" s="15"/>
      <c r="CKH237" s="15"/>
      <c r="CKI237" s="10"/>
      <c r="CKJ237" s="10"/>
      <c r="CKK237" s="19"/>
      <c r="CKL237" s="19"/>
      <c r="CKO237" s="16"/>
      <c r="CKP237" s="15"/>
      <c r="CKQ237" s="15"/>
      <c r="CKR237" s="15"/>
      <c r="CKS237" s="16"/>
      <c r="CKT237" s="16"/>
      <c r="CKU237" s="16"/>
      <c r="CKV237" s="16"/>
      <c r="CKW237" s="16"/>
      <c r="CKX237" s="15"/>
      <c r="CKY237" s="15"/>
      <c r="CKZ237" s="10"/>
      <c r="CLA237" s="10"/>
      <c r="CLB237" s="19"/>
      <c r="CLC237" s="19"/>
      <c r="CLF237" s="16"/>
      <c r="CLG237" s="15"/>
      <c r="CLH237" s="15"/>
      <c r="CLI237" s="15"/>
      <c r="CLJ237" s="16"/>
      <c r="CLK237" s="16"/>
      <c r="CLL237" s="16"/>
      <c r="CLM237" s="16"/>
      <c r="CLN237" s="16"/>
      <c r="CLO237" s="15"/>
      <c r="CLP237" s="15"/>
      <c r="CLQ237" s="10"/>
      <c r="CLR237" s="10"/>
      <c r="CLS237" s="19"/>
      <c r="CLT237" s="19"/>
      <c r="CLW237" s="16"/>
      <c r="CLX237" s="15"/>
      <c r="CLY237" s="15"/>
      <c r="CLZ237" s="15"/>
      <c r="CMA237" s="16"/>
      <c r="CMB237" s="16"/>
      <c r="CMC237" s="16"/>
      <c r="CMD237" s="16"/>
      <c r="CME237" s="16"/>
      <c r="CMF237" s="15"/>
      <c r="CMG237" s="15"/>
      <c r="CMH237" s="10"/>
      <c r="CMI237" s="10"/>
      <c r="CMJ237" s="19"/>
      <c r="CMK237" s="19"/>
      <c r="CMN237" s="16"/>
      <c r="CMO237" s="15"/>
      <c r="CMP237" s="15"/>
      <c r="CMQ237" s="15"/>
      <c r="CMR237" s="16"/>
      <c r="CMS237" s="16"/>
      <c r="CMT237" s="16"/>
      <c r="CMU237" s="16"/>
      <c r="CMV237" s="16"/>
      <c r="CMW237" s="15"/>
      <c r="CMX237" s="15"/>
      <c r="CMY237" s="10"/>
      <c r="CMZ237" s="10"/>
      <c r="CNA237" s="19"/>
      <c r="CNB237" s="19"/>
      <c r="CNE237" s="16"/>
      <c r="CNF237" s="15"/>
      <c r="CNG237" s="15"/>
      <c r="CNH237" s="15"/>
      <c r="CNI237" s="16"/>
      <c r="CNJ237" s="16"/>
      <c r="CNK237" s="16"/>
      <c r="CNL237" s="16"/>
      <c r="CNM237" s="16"/>
      <c r="CNN237" s="15"/>
      <c r="CNO237" s="15"/>
      <c r="CNP237" s="10"/>
      <c r="CNQ237" s="10"/>
      <c r="CNR237" s="19"/>
      <c r="CNS237" s="19"/>
      <c r="CNV237" s="16"/>
      <c r="CNW237" s="15"/>
      <c r="CNX237" s="15"/>
      <c r="CNY237" s="15"/>
      <c r="CNZ237" s="16"/>
      <c r="COA237" s="16"/>
      <c r="COB237" s="16"/>
      <c r="COC237" s="16"/>
      <c r="COD237" s="16"/>
      <c r="COE237" s="15"/>
      <c r="COF237" s="15"/>
      <c r="COG237" s="10"/>
      <c r="COH237" s="10"/>
      <c r="COI237" s="19"/>
      <c r="COJ237" s="19"/>
      <c r="COM237" s="16"/>
      <c r="CON237" s="15"/>
      <c r="COO237" s="15"/>
      <c r="COP237" s="15"/>
      <c r="COQ237" s="16"/>
      <c r="COR237" s="16"/>
      <c r="COS237" s="16"/>
      <c r="COT237" s="16"/>
      <c r="COU237" s="16"/>
      <c r="COV237" s="15"/>
      <c r="COW237" s="15"/>
      <c r="COX237" s="10"/>
      <c r="COY237" s="10"/>
      <c r="COZ237" s="19"/>
      <c r="CPA237" s="19"/>
      <c r="CPD237" s="16"/>
      <c r="CPE237" s="15"/>
      <c r="CPF237" s="15"/>
      <c r="CPG237" s="15"/>
      <c r="CPH237" s="16"/>
      <c r="CPI237" s="16"/>
      <c r="CPJ237" s="16"/>
      <c r="CPK237" s="16"/>
      <c r="CPL237" s="16"/>
      <c r="CPM237" s="15"/>
      <c r="CPN237" s="15"/>
      <c r="CPO237" s="10"/>
      <c r="CPP237" s="10"/>
      <c r="CPQ237" s="19"/>
      <c r="CPR237" s="19"/>
      <c r="CPU237" s="16"/>
      <c r="CPV237" s="15"/>
      <c r="CPW237" s="15"/>
      <c r="CPX237" s="15"/>
      <c r="CPY237" s="16"/>
      <c r="CPZ237" s="16"/>
      <c r="CQA237" s="16"/>
      <c r="CQB237" s="16"/>
      <c r="CQC237" s="16"/>
      <c r="CQD237" s="15"/>
      <c r="CQE237" s="15"/>
      <c r="CQF237" s="10"/>
      <c r="CQG237" s="10"/>
      <c r="CQH237" s="19"/>
      <c r="CQI237" s="19"/>
      <c r="CQL237" s="16"/>
      <c r="CQM237" s="15"/>
      <c r="CQN237" s="15"/>
      <c r="CQO237" s="15"/>
      <c r="CQP237" s="16"/>
      <c r="CQQ237" s="16"/>
      <c r="CQR237" s="16"/>
      <c r="CQS237" s="16"/>
      <c r="CQT237" s="16"/>
      <c r="CQU237" s="15"/>
      <c r="CQV237" s="15"/>
      <c r="CQW237" s="10"/>
      <c r="CQX237" s="10"/>
      <c r="CQY237" s="19"/>
      <c r="CQZ237" s="19"/>
      <c r="CRC237" s="16"/>
      <c r="CRD237" s="15"/>
      <c r="CRE237" s="15"/>
      <c r="CRF237" s="15"/>
      <c r="CRG237" s="16"/>
      <c r="CRH237" s="16"/>
      <c r="CRI237" s="16"/>
      <c r="CRJ237" s="16"/>
      <c r="CRK237" s="16"/>
      <c r="CRL237" s="15"/>
      <c r="CRM237" s="15"/>
      <c r="CRN237" s="10"/>
      <c r="CRO237" s="10"/>
      <c r="CRP237" s="19"/>
      <c r="CRQ237" s="19"/>
      <c r="CRT237" s="16"/>
      <c r="CRU237" s="15"/>
      <c r="CRV237" s="15"/>
      <c r="CRW237" s="15"/>
      <c r="CRX237" s="16"/>
      <c r="CRY237" s="16"/>
      <c r="CRZ237" s="16"/>
      <c r="CSA237" s="16"/>
      <c r="CSB237" s="16"/>
      <c r="CSC237" s="15"/>
      <c r="CSD237" s="15"/>
      <c r="CSE237" s="10"/>
      <c r="CSF237" s="10"/>
      <c r="CSG237" s="19"/>
      <c r="CSH237" s="19"/>
      <c r="CSK237" s="16"/>
      <c r="CSL237" s="15"/>
      <c r="CSM237" s="15"/>
      <c r="CSN237" s="15"/>
      <c r="CSO237" s="16"/>
      <c r="CSP237" s="16"/>
      <c r="CSQ237" s="16"/>
      <c r="CSR237" s="16"/>
      <c r="CSS237" s="16"/>
      <c r="CST237" s="15"/>
      <c r="CSU237" s="15"/>
      <c r="CSV237" s="10"/>
      <c r="CSW237" s="10"/>
      <c r="CSX237" s="19"/>
      <c r="CSY237" s="19"/>
      <c r="CTB237" s="16"/>
      <c r="CTC237" s="15"/>
      <c r="CTD237" s="15"/>
      <c r="CTE237" s="15"/>
      <c r="CTF237" s="16"/>
      <c r="CTG237" s="16"/>
      <c r="CTH237" s="16"/>
      <c r="CTI237" s="16"/>
      <c r="CTJ237" s="16"/>
      <c r="CTK237" s="15"/>
      <c r="CTL237" s="15"/>
      <c r="CTM237" s="10"/>
      <c r="CTN237" s="10"/>
      <c r="CTO237" s="19"/>
      <c r="CTP237" s="19"/>
      <c r="CTS237" s="16"/>
      <c r="CTT237" s="15"/>
      <c r="CTU237" s="15"/>
      <c r="CTV237" s="15"/>
      <c r="CTW237" s="16"/>
      <c r="CTX237" s="16"/>
      <c r="CTY237" s="16"/>
      <c r="CTZ237" s="16"/>
      <c r="CUA237" s="16"/>
      <c r="CUB237" s="15"/>
      <c r="CUC237" s="15"/>
      <c r="CUD237" s="10"/>
      <c r="CUE237" s="10"/>
      <c r="CUF237" s="19"/>
      <c r="CUG237" s="19"/>
      <c r="CUJ237" s="16"/>
      <c r="CUK237" s="15"/>
      <c r="CUL237" s="15"/>
      <c r="CUM237" s="15"/>
      <c r="CUN237" s="16"/>
      <c r="CUO237" s="16"/>
      <c r="CUP237" s="16"/>
      <c r="CUQ237" s="16"/>
      <c r="CUR237" s="16"/>
      <c r="CUS237" s="15"/>
      <c r="CUT237" s="15"/>
      <c r="CUU237" s="10"/>
      <c r="CUV237" s="10"/>
      <c r="CUW237" s="19"/>
      <c r="CUX237" s="19"/>
      <c r="CVA237" s="16"/>
      <c r="CVB237" s="15"/>
      <c r="CVC237" s="15"/>
      <c r="CVD237" s="15"/>
      <c r="CVE237" s="16"/>
      <c r="CVF237" s="16"/>
      <c r="CVG237" s="16"/>
      <c r="CVH237" s="16"/>
      <c r="CVI237" s="16"/>
      <c r="CVJ237" s="15"/>
      <c r="CVK237" s="15"/>
      <c r="CVL237" s="10"/>
      <c r="CVM237" s="10"/>
      <c r="CVN237" s="19"/>
      <c r="CVO237" s="19"/>
      <c r="CVR237" s="16"/>
      <c r="CVS237" s="15"/>
      <c r="CVT237" s="15"/>
      <c r="CVU237" s="15"/>
      <c r="CVV237" s="16"/>
      <c r="CVW237" s="16"/>
      <c r="CVX237" s="16"/>
      <c r="CVY237" s="16"/>
      <c r="CVZ237" s="16"/>
      <c r="CWA237" s="15"/>
      <c r="CWB237" s="15"/>
      <c r="CWC237" s="10"/>
      <c r="CWD237" s="10"/>
      <c r="CWE237" s="19"/>
      <c r="CWF237" s="19"/>
      <c r="CWI237" s="16"/>
      <c r="CWJ237" s="15"/>
      <c r="CWK237" s="15"/>
      <c r="CWL237" s="15"/>
      <c r="CWM237" s="16"/>
      <c r="CWN237" s="16"/>
      <c r="CWO237" s="16"/>
      <c r="CWP237" s="16"/>
      <c r="CWQ237" s="16"/>
      <c r="CWR237" s="15"/>
      <c r="CWS237" s="15"/>
      <c r="CWT237" s="10"/>
      <c r="CWU237" s="10"/>
      <c r="CWV237" s="19"/>
      <c r="CWW237" s="19"/>
      <c r="CWZ237" s="16"/>
      <c r="CXA237" s="15"/>
      <c r="CXB237" s="15"/>
      <c r="CXC237" s="15"/>
      <c r="CXD237" s="16"/>
      <c r="CXE237" s="16"/>
      <c r="CXF237" s="16"/>
      <c r="CXG237" s="16"/>
      <c r="CXH237" s="16"/>
      <c r="CXI237" s="15"/>
      <c r="CXJ237" s="15"/>
      <c r="CXK237" s="10"/>
      <c r="CXL237" s="10"/>
      <c r="CXM237" s="19"/>
      <c r="CXN237" s="19"/>
      <c r="CXQ237" s="16"/>
      <c r="CXR237" s="15"/>
      <c r="CXS237" s="15"/>
      <c r="CXT237" s="15"/>
      <c r="CXU237" s="16"/>
      <c r="CXV237" s="16"/>
      <c r="CXW237" s="16"/>
      <c r="CXX237" s="16"/>
      <c r="CXY237" s="16"/>
      <c r="CXZ237" s="15"/>
      <c r="CYA237" s="15"/>
      <c r="CYB237" s="10"/>
      <c r="CYC237" s="10"/>
      <c r="CYD237" s="19"/>
      <c r="CYE237" s="19"/>
      <c r="CYH237" s="16"/>
      <c r="CYI237" s="15"/>
      <c r="CYJ237" s="15"/>
      <c r="CYK237" s="15"/>
      <c r="CYL237" s="16"/>
      <c r="CYM237" s="16"/>
      <c r="CYN237" s="16"/>
      <c r="CYO237" s="16"/>
      <c r="CYP237" s="16"/>
      <c r="CYQ237" s="15"/>
      <c r="CYR237" s="15"/>
      <c r="CYS237" s="10"/>
      <c r="CYT237" s="10"/>
      <c r="CYU237" s="19"/>
      <c r="CYV237" s="19"/>
      <c r="CYY237" s="16"/>
      <c r="CYZ237" s="15"/>
      <c r="CZA237" s="15"/>
      <c r="CZB237" s="15"/>
      <c r="CZC237" s="16"/>
      <c r="CZD237" s="16"/>
      <c r="CZE237" s="16"/>
      <c r="CZF237" s="16"/>
      <c r="CZG237" s="16"/>
      <c r="CZH237" s="15"/>
      <c r="CZI237" s="15"/>
      <c r="CZJ237" s="10"/>
      <c r="CZK237" s="10"/>
      <c r="CZL237" s="19"/>
      <c r="CZM237" s="19"/>
      <c r="CZP237" s="16"/>
      <c r="CZQ237" s="15"/>
      <c r="CZR237" s="15"/>
      <c r="CZS237" s="15"/>
      <c r="CZT237" s="16"/>
      <c r="CZU237" s="16"/>
      <c r="CZV237" s="16"/>
      <c r="CZW237" s="16"/>
      <c r="CZX237" s="16"/>
      <c r="CZY237" s="15"/>
      <c r="CZZ237" s="15"/>
      <c r="DAA237" s="10"/>
      <c r="DAB237" s="10"/>
      <c r="DAC237" s="19"/>
      <c r="DAD237" s="19"/>
      <c r="DAG237" s="16"/>
      <c r="DAH237" s="15"/>
      <c r="DAI237" s="15"/>
      <c r="DAJ237" s="15"/>
      <c r="DAK237" s="16"/>
      <c r="DAL237" s="16"/>
      <c r="DAM237" s="16"/>
      <c r="DAN237" s="16"/>
      <c r="DAO237" s="16"/>
      <c r="DAP237" s="15"/>
      <c r="DAQ237" s="15"/>
      <c r="DAR237" s="10"/>
      <c r="DAS237" s="10"/>
      <c r="DAT237" s="19"/>
      <c r="DAU237" s="19"/>
      <c r="DAX237" s="16"/>
      <c r="DAY237" s="15"/>
      <c r="DAZ237" s="15"/>
      <c r="DBA237" s="15"/>
      <c r="DBB237" s="16"/>
      <c r="DBC237" s="16"/>
      <c r="DBD237" s="16"/>
      <c r="DBE237" s="16"/>
      <c r="DBF237" s="16"/>
      <c r="DBG237" s="15"/>
      <c r="DBH237" s="15"/>
      <c r="DBI237" s="10"/>
      <c r="DBJ237" s="10"/>
      <c r="DBK237" s="19"/>
      <c r="DBL237" s="19"/>
      <c r="DBO237" s="16"/>
      <c r="DBP237" s="15"/>
      <c r="DBQ237" s="15"/>
      <c r="DBR237" s="15"/>
      <c r="DBS237" s="16"/>
      <c r="DBT237" s="16"/>
      <c r="DBU237" s="16"/>
      <c r="DBV237" s="16"/>
      <c r="DBW237" s="16"/>
      <c r="DBX237" s="15"/>
      <c r="DBY237" s="15"/>
      <c r="DBZ237" s="10"/>
      <c r="DCA237" s="10"/>
      <c r="DCB237" s="19"/>
      <c r="DCC237" s="19"/>
      <c r="DCF237" s="16"/>
      <c r="DCG237" s="15"/>
      <c r="DCH237" s="15"/>
      <c r="DCI237" s="15"/>
      <c r="DCJ237" s="16"/>
      <c r="DCK237" s="16"/>
      <c r="DCL237" s="16"/>
      <c r="DCM237" s="16"/>
      <c r="DCN237" s="16"/>
      <c r="DCO237" s="15"/>
      <c r="DCP237" s="15"/>
      <c r="DCQ237" s="10"/>
      <c r="DCR237" s="10"/>
      <c r="DCS237" s="19"/>
      <c r="DCT237" s="19"/>
      <c r="DCW237" s="16"/>
      <c r="DCX237" s="15"/>
      <c r="DCY237" s="15"/>
      <c r="DCZ237" s="15"/>
      <c r="DDA237" s="16"/>
      <c r="DDB237" s="16"/>
      <c r="DDC237" s="16"/>
      <c r="DDD237" s="16"/>
      <c r="DDE237" s="16"/>
      <c r="DDF237" s="15"/>
      <c r="DDG237" s="15"/>
      <c r="DDH237" s="10"/>
      <c r="DDI237" s="10"/>
      <c r="DDJ237" s="19"/>
      <c r="DDK237" s="19"/>
      <c r="DDN237" s="16"/>
      <c r="DDO237" s="15"/>
      <c r="DDP237" s="15"/>
      <c r="DDQ237" s="15"/>
      <c r="DDR237" s="16"/>
      <c r="DDS237" s="16"/>
      <c r="DDT237" s="16"/>
      <c r="DDU237" s="16"/>
      <c r="DDV237" s="16"/>
      <c r="DDW237" s="15"/>
      <c r="DDX237" s="15"/>
      <c r="DDY237" s="10"/>
      <c r="DDZ237" s="10"/>
      <c r="DEA237" s="19"/>
      <c r="DEB237" s="19"/>
      <c r="DEE237" s="16"/>
      <c r="DEF237" s="15"/>
      <c r="DEG237" s="15"/>
      <c r="DEH237" s="15"/>
      <c r="DEI237" s="16"/>
      <c r="DEJ237" s="16"/>
      <c r="DEK237" s="16"/>
      <c r="DEL237" s="16"/>
      <c r="DEM237" s="16"/>
      <c r="DEN237" s="15"/>
      <c r="DEO237" s="15"/>
      <c r="DEP237" s="10"/>
      <c r="DEQ237" s="10"/>
      <c r="DER237" s="19"/>
      <c r="DES237" s="19"/>
      <c r="DEV237" s="16"/>
      <c r="DEW237" s="15"/>
      <c r="DEX237" s="15"/>
      <c r="DEY237" s="15"/>
      <c r="DEZ237" s="16"/>
      <c r="DFA237" s="16"/>
      <c r="DFB237" s="16"/>
      <c r="DFC237" s="16"/>
      <c r="DFD237" s="16"/>
      <c r="DFE237" s="15"/>
      <c r="DFF237" s="15"/>
      <c r="DFG237" s="10"/>
      <c r="DFH237" s="10"/>
      <c r="DFI237" s="19"/>
      <c r="DFJ237" s="19"/>
      <c r="DFM237" s="16"/>
      <c r="DFN237" s="15"/>
      <c r="DFO237" s="15"/>
      <c r="DFP237" s="15"/>
      <c r="DFQ237" s="16"/>
      <c r="DFR237" s="16"/>
      <c r="DFS237" s="16"/>
      <c r="DFT237" s="16"/>
      <c r="DFU237" s="16"/>
      <c r="DFV237" s="15"/>
      <c r="DFW237" s="15"/>
      <c r="DFX237" s="10"/>
      <c r="DFY237" s="10"/>
      <c r="DFZ237" s="19"/>
      <c r="DGA237" s="19"/>
      <c r="DGD237" s="16"/>
      <c r="DGE237" s="15"/>
      <c r="DGF237" s="15"/>
      <c r="DGG237" s="15"/>
      <c r="DGH237" s="16"/>
      <c r="DGI237" s="16"/>
      <c r="DGJ237" s="16"/>
      <c r="DGK237" s="16"/>
      <c r="DGL237" s="16"/>
      <c r="DGM237" s="15"/>
      <c r="DGN237" s="15"/>
      <c r="DGO237" s="10"/>
      <c r="DGP237" s="10"/>
      <c r="DGQ237" s="19"/>
      <c r="DGR237" s="19"/>
      <c r="DGU237" s="16"/>
      <c r="DGV237" s="15"/>
      <c r="DGW237" s="15"/>
      <c r="DGX237" s="15"/>
      <c r="DGY237" s="16"/>
      <c r="DGZ237" s="16"/>
      <c r="DHA237" s="16"/>
      <c r="DHB237" s="16"/>
      <c r="DHC237" s="16"/>
      <c r="DHD237" s="15"/>
      <c r="DHE237" s="15"/>
      <c r="DHF237" s="10"/>
      <c r="DHG237" s="10"/>
      <c r="DHH237" s="19"/>
      <c r="DHI237" s="19"/>
      <c r="DHL237" s="16"/>
      <c r="DHM237" s="15"/>
      <c r="DHN237" s="15"/>
      <c r="DHO237" s="15"/>
      <c r="DHP237" s="16"/>
      <c r="DHQ237" s="16"/>
      <c r="DHR237" s="16"/>
      <c r="DHS237" s="16"/>
      <c r="DHT237" s="16"/>
      <c r="DHU237" s="15"/>
      <c r="DHV237" s="15"/>
      <c r="DHW237" s="10"/>
      <c r="DHX237" s="10"/>
      <c r="DHY237" s="19"/>
      <c r="DHZ237" s="19"/>
      <c r="DIC237" s="16"/>
      <c r="DID237" s="15"/>
      <c r="DIE237" s="15"/>
      <c r="DIF237" s="15"/>
      <c r="DIG237" s="16"/>
      <c r="DIH237" s="16"/>
      <c r="DII237" s="16"/>
      <c r="DIJ237" s="16"/>
      <c r="DIK237" s="16"/>
      <c r="DIL237" s="15"/>
      <c r="DIM237" s="15"/>
      <c r="DIN237" s="10"/>
      <c r="DIO237" s="10"/>
      <c r="DIP237" s="19"/>
      <c r="DIQ237" s="19"/>
      <c r="DIT237" s="16"/>
      <c r="DIU237" s="15"/>
      <c r="DIV237" s="15"/>
      <c r="DIW237" s="15"/>
      <c r="DIX237" s="16"/>
      <c r="DIY237" s="16"/>
      <c r="DIZ237" s="16"/>
      <c r="DJA237" s="16"/>
      <c r="DJB237" s="16"/>
      <c r="DJC237" s="15"/>
      <c r="DJD237" s="15"/>
      <c r="DJE237" s="10"/>
      <c r="DJF237" s="10"/>
      <c r="DJG237" s="19"/>
      <c r="DJH237" s="19"/>
      <c r="DJK237" s="16"/>
      <c r="DJL237" s="15"/>
      <c r="DJM237" s="15"/>
      <c r="DJN237" s="15"/>
      <c r="DJO237" s="16"/>
      <c r="DJP237" s="16"/>
      <c r="DJQ237" s="16"/>
      <c r="DJR237" s="16"/>
      <c r="DJS237" s="16"/>
      <c r="DJT237" s="15"/>
      <c r="DJU237" s="15"/>
      <c r="DJV237" s="10"/>
      <c r="DJW237" s="10"/>
      <c r="DJX237" s="19"/>
      <c r="DJY237" s="19"/>
      <c r="DKB237" s="16"/>
      <c r="DKC237" s="15"/>
      <c r="DKD237" s="15"/>
      <c r="DKE237" s="15"/>
      <c r="DKF237" s="16"/>
      <c r="DKG237" s="16"/>
      <c r="DKH237" s="16"/>
      <c r="DKI237" s="16"/>
      <c r="DKJ237" s="16"/>
      <c r="DKK237" s="15"/>
      <c r="DKL237" s="15"/>
      <c r="DKM237" s="10"/>
      <c r="DKN237" s="10"/>
      <c r="DKO237" s="19"/>
      <c r="DKP237" s="19"/>
      <c r="DKS237" s="16"/>
      <c r="DKT237" s="15"/>
      <c r="DKU237" s="15"/>
      <c r="DKV237" s="15"/>
      <c r="DKW237" s="16"/>
      <c r="DKX237" s="16"/>
      <c r="DKY237" s="16"/>
      <c r="DKZ237" s="16"/>
      <c r="DLA237" s="16"/>
      <c r="DLB237" s="15"/>
      <c r="DLC237" s="15"/>
      <c r="DLD237" s="10"/>
      <c r="DLE237" s="10"/>
      <c r="DLF237" s="19"/>
      <c r="DLG237" s="19"/>
      <c r="DLJ237" s="16"/>
      <c r="DLK237" s="15"/>
      <c r="DLL237" s="15"/>
      <c r="DLM237" s="15"/>
      <c r="DLN237" s="16"/>
      <c r="DLO237" s="16"/>
      <c r="DLP237" s="16"/>
      <c r="DLQ237" s="16"/>
      <c r="DLR237" s="16"/>
      <c r="DLS237" s="15"/>
      <c r="DLT237" s="15"/>
      <c r="DLU237" s="10"/>
      <c r="DLV237" s="10"/>
      <c r="DLW237" s="19"/>
      <c r="DLX237" s="19"/>
      <c r="DMA237" s="16"/>
      <c r="DMB237" s="15"/>
      <c r="DMC237" s="15"/>
      <c r="DMD237" s="15"/>
      <c r="DME237" s="16"/>
      <c r="DMF237" s="16"/>
      <c r="DMG237" s="16"/>
      <c r="DMH237" s="16"/>
      <c r="DMI237" s="16"/>
      <c r="DMJ237" s="15"/>
      <c r="DMK237" s="15"/>
      <c r="DML237" s="10"/>
      <c r="DMM237" s="10"/>
      <c r="DMN237" s="19"/>
      <c r="DMO237" s="19"/>
      <c r="DMR237" s="16"/>
      <c r="DMS237" s="15"/>
      <c r="DMT237" s="15"/>
      <c r="DMU237" s="15"/>
      <c r="DMV237" s="16"/>
      <c r="DMW237" s="16"/>
      <c r="DMX237" s="16"/>
      <c r="DMY237" s="16"/>
      <c r="DMZ237" s="16"/>
      <c r="DNA237" s="15"/>
      <c r="DNB237" s="15"/>
      <c r="DNC237" s="10"/>
      <c r="DND237" s="10"/>
      <c r="DNE237" s="19"/>
      <c r="DNF237" s="19"/>
      <c r="DNI237" s="16"/>
      <c r="DNJ237" s="15"/>
      <c r="DNK237" s="15"/>
      <c r="DNL237" s="15"/>
      <c r="DNM237" s="16"/>
      <c r="DNN237" s="16"/>
      <c r="DNO237" s="16"/>
      <c r="DNP237" s="16"/>
      <c r="DNQ237" s="16"/>
      <c r="DNR237" s="15"/>
      <c r="DNS237" s="15"/>
      <c r="DNT237" s="10"/>
      <c r="DNU237" s="10"/>
      <c r="DNV237" s="19"/>
      <c r="DNW237" s="19"/>
      <c r="DNZ237" s="16"/>
      <c r="DOA237" s="15"/>
      <c r="DOB237" s="15"/>
      <c r="DOC237" s="15"/>
      <c r="DOD237" s="16"/>
      <c r="DOE237" s="16"/>
      <c r="DOF237" s="16"/>
      <c r="DOG237" s="16"/>
      <c r="DOH237" s="16"/>
      <c r="DOI237" s="15"/>
      <c r="DOJ237" s="15"/>
      <c r="DOK237" s="10"/>
      <c r="DOL237" s="10"/>
      <c r="DOM237" s="19"/>
      <c r="DON237" s="19"/>
      <c r="DOQ237" s="16"/>
      <c r="DOR237" s="15"/>
      <c r="DOS237" s="15"/>
      <c r="DOT237" s="15"/>
      <c r="DOU237" s="16"/>
      <c r="DOV237" s="16"/>
      <c r="DOW237" s="16"/>
      <c r="DOX237" s="16"/>
      <c r="DOY237" s="16"/>
      <c r="DOZ237" s="15"/>
      <c r="DPA237" s="15"/>
      <c r="DPB237" s="10"/>
      <c r="DPC237" s="10"/>
      <c r="DPD237" s="19"/>
      <c r="DPE237" s="19"/>
      <c r="DPH237" s="16"/>
      <c r="DPI237" s="15"/>
      <c r="DPJ237" s="15"/>
      <c r="DPK237" s="15"/>
      <c r="DPL237" s="16"/>
      <c r="DPM237" s="16"/>
      <c r="DPN237" s="16"/>
      <c r="DPO237" s="16"/>
      <c r="DPP237" s="16"/>
      <c r="DPQ237" s="15"/>
      <c r="DPR237" s="15"/>
      <c r="DPS237" s="10"/>
      <c r="DPT237" s="10"/>
      <c r="DPU237" s="19"/>
      <c r="DPV237" s="19"/>
      <c r="DPY237" s="16"/>
      <c r="DPZ237" s="15"/>
      <c r="DQA237" s="15"/>
      <c r="DQB237" s="15"/>
      <c r="DQC237" s="16"/>
      <c r="DQD237" s="16"/>
      <c r="DQE237" s="16"/>
      <c r="DQF237" s="16"/>
      <c r="DQG237" s="16"/>
      <c r="DQH237" s="15"/>
      <c r="DQI237" s="15"/>
      <c r="DQJ237" s="10"/>
      <c r="DQK237" s="10"/>
      <c r="DQL237" s="19"/>
      <c r="DQM237" s="19"/>
      <c r="DQP237" s="16"/>
      <c r="DQQ237" s="15"/>
      <c r="DQR237" s="15"/>
      <c r="DQS237" s="15"/>
      <c r="DQT237" s="16"/>
      <c r="DQU237" s="16"/>
      <c r="DQV237" s="16"/>
      <c r="DQW237" s="16"/>
      <c r="DQX237" s="16"/>
      <c r="DQY237" s="15"/>
      <c r="DQZ237" s="15"/>
      <c r="DRA237" s="10"/>
      <c r="DRB237" s="10"/>
      <c r="DRC237" s="19"/>
      <c r="DRD237" s="19"/>
      <c r="DRG237" s="16"/>
      <c r="DRH237" s="15"/>
      <c r="DRI237" s="15"/>
      <c r="DRJ237" s="15"/>
      <c r="DRK237" s="16"/>
      <c r="DRL237" s="16"/>
      <c r="DRM237" s="16"/>
      <c r="DRN237" s="16"/>
      <c r="DRO237" s="16"/>
      <c r="DRP237" s="15"/>
      <c r="DRQ237" s="15"/>
      <c r="DRR237" s="10"/>
      <c r="DRS237" s="10"/>
      <c r="DRT237" s="19"/>
      <c r="DRU237" s="19"/>
      <c r="DRX237" s="16"/>
      <c r="DRY237" s="15"/>
      <c r="DRZ237" s="15"/>
      <c r="DSA237" s="15"/>
      <c r="DSB237" s="16"/>
      <c r="DSC237" s="16"/>
      <c r="DSD237" s="16"/>
      <c r="DSE237" s="16"/>
      <c r="DSF237" s="16"/>
      <c r="DSG237" s="15"/>
      <c r="DSH237" s="15"/>
      <c r="DSI237" s="10"/>
      <c r="DSJ237" s="10"/>
      <c r="DSK237" s="19"/>
      <c r="DSL237" s="19"/>
      <c r="DSO237" s="16"/>
      <c r="DSP237" s="15"/>
      <c r="DSQ237" s="15"/>
      <c r="DSR237" s="15"/>
      <c r="DSS237" s="16"/>
      <c r="DST237" s="16"/>
      <c r="DSU237" s="16"/>
      <c r="DSV237" s="16"/>
      <c r="DSW237" s="16"/>
      <c r="DSX237" s="15"/>
      <c r="DSY237" s="15"/>
      <c r="DSZ237" s="10"/>
      <c r="DTA237" s="10"/>
      <c r="DTB237" s="19"/>
      <c r="DTC237" s="19"/>
      <c r="DTF237" s="16"/>
      <c r="DTG237" s="15"/>
      <c r="DTH237" s="15"/>
      <c r="DTI237" s="15"/>
      <c r="DTJ237" s="16"/>
      <c r="DTK237" s="16"/>
      <c r="DTL237" s="16"/>
      <c r="DTM237" s="16"/>
      <c r="DTN237" s="16"/>
      <c r="DTO237" s="15"/>
      <c r="DTP237" s="15"/>
      <c r="DTQ237" s="10"/>
      <c r="DTR237" s="10"/>
      <c r="DTS237" s="19"/>
      <c r="DTT237" s="19"/>
      <c r="DTW237" s="16"/>
      <c r="DTX237" s="15"/>
      <c r="DTY237" s="15"/>
      <c r="DTZ237" s="15"/>
      <c r="DUA237" s="16"/>
      <c r="DUB237" s="16"/>
      <c r="DUC237" s="16"/>
      <c r="DUD237" s="16"/>
      <c r="DUE237" s="16"/>
      <c r="DUF237" s="15"/>
      <c r="DUG237" s="15"/>
      <c r="DUH237" s="10"/>
      <c r="DUI237" s="10"/>
      <c r="DUJ237" s="19"/>
      <c r="DUK237" s="19"/>
      <c r="DUN237" s="16"/>
      <c r="DUO237" s="15"/>
      <c r="DUP237" s="15"/>
      <c r="DUQ237" s="15"/>
      <c r="DUR237" s="16"/>
      <c r="DUS237" s="16"/>
      <c r="DUT237" s="16"/>
      <c r="DUU237" s="16"/>
      <c r="DUV237" s="16"/>
      <c r="DUW237" s="15"/>
      <c r="DUX237" s="15"/>
      <c r="DUY237" s="10"/>
      <c r="DUZ237" s="10"/>
      <c r="DVA237" s="19"/>
      <c r="DVB237" s="19"/>
      <c r="DVE237" s="16"/>
      <c r="DVF237" s="15"/>
      <c r="DVG237" s="15"/>
      <c r="DVH237" s="15"/>
      <c r="DVI237" s="16"/>
      <c r="DVJ237" s="16"/>
      <c r="DVK237" s="16"/>
      <c r="DVL237" s="16"/>
      <c r="DVM237" s="16"/>
      <c r="DVN237" s="15"/>
      <c r="DVO237" s="15"/>
      <c r="DVP237" s="10"/>
      <c r="DVQ237" s="10"/>
      <c r="DVR237" s="19"/>
      <c r="DVS237" s="19"/>
      <c r="DVV237" s="16"/>
      <c r="DVW237" s="15"/>
      <c r="DVX237" s="15"/>
      <c r="DVY237" s="15"/>
      <c r="DVZ237" s="16"/>
      <c r="DWA237" s="16"/>
      <c r="DWB237" s="16"/>
      <c r="DWC237" s="16"/>
      <c r="DWD237" s="16"/>
      <c r="DWE237" s="15"/>
      <c r="DWF237" s="15"/>
      <c r="DWG237" s="10"/>
      <c r="DWH237" s="10"/>
      <c r="DWI237" s="19"/>
      <c r="DWJ237" s="19"/>
      <c r="DWM237" s="16"/>
      <c r="DWN237" s="15"/>
      <c r="DWO237" s="15"/>
      <c r="DWP237" s="15"/>
      <c r="DWQ237" s="16"/>
      <c r="DWR237" s="16"/>
      <c r="DWS237" s="16"/>
      <c r="DWT237" s="16"/>
      <c r="DWU237" s="16"/>
      <c r="DWV237" s="15"/>
      <c r="DWW237" s="15"/>
      <c r="DWX237" s="10"/>
      <c r="DWY237" s="10"/>
      <c r="DWZ237" s="19"/>
      <c r="DXA237" s="19"/>
      <c r="DXD237" s="16"/>
      <c r="DXE237" s="15"/>
      <c r="DXF237" s="15"/>
      <c r="DXG237" s="15"/>
      <c r="DXH237" s="16"/>
      <c r="DXI237" s="16"/>
      <c r="DXJ237" s="16"/>
      <c r="DXK237" s="16"/>
      <c r="DXL237" s="16"/>
      <c r="DXM237" s="15"/>
      <c r="DXN237" s="15"/>
      <c r="DXO237" s="10"/>
      <c r="DXP237" s="10"/>
      <c r="DXQ237" s="19"/>
      <c r="DXR237" s="19"/>
      <c r="DXU237" s="16"/>
      <c r="DXV237" s="15"/>
      <c r="DXW237" s="15"/>
      <c r="DXX237" s="15"/>
      <c r="DXY237" s="16"/>
      <c r="DXZ237" s="16"/>
      <c r="DYA237" s="16"/>
      <c r="DYB237" s="16"/>
      <c r="DYC237" s="16"/>
      <c r="DYD237" s="15"/>
      <c r="DYE237" s="15"/>
      <c r="DYF237" s="10"/>
      <c r="DYG237" s="10"/>
      <c r="DYH237" s="19"/>
      <c r="DYI237" s="19"/>
      <c r="DYL237" s="16"/>
      <c r="DYM237" s="15"/>
      <c r="DYN237" s="15"/>
      <c r="DYO237" s="15"/>
      <c r="DYP237" s="16"/>
      <c r="DYQ237" s="16"/>
      <c r="DYR237" s="16"/>
      <c r="DYS237" s="16"/>
      <c r="DYT237" s="16"/>
      <c r="DYU237" s="15"/>
      <c r="DYV237" s="15"/>
      <c r="DYW237" s="10"/>
      <c r="DYX237" s="10"/>
      <c r="DYY237" s="19"/>
      <c r="DYZ237" s="19"/>
      <c r="DZC237" s="16"/>
      <c r="DZD237" s="15"/>
      <c r="DZE237" s="15"/>
      <c r="DZF237" s="15"/>
      <c r="DZG237" s="16"/>
      <c r="DZH237" s="16"/>
      <c r="DZI237" s="16"/>
      <c r="DZJ237" s="16"/>
      <c r="DZK237" s="16"/>
      <c r="DZL237" s="15"/>
      <c r="DZM237" s="15"/>
      <c r="DZN237" s="10"/>
      <c r="DZO237" s="10"/>
      <c r="DZP237" s="19"/>
      <c r="DZQ237" s="19"/>
      <c r="DZT237" s="16"/>
      <c r="DZU237" s="15"/>
      <c r="DZV237" s="15"/>
      <c r="DZW237" s="15"/>
      <c r="DZX237" s="16"/>
      <c r="DZY237" s="16"/>
      <c r="DZZ237" s="16"/>
      <c r="EAA237" s="16"/>
      <c r="EAB237" s="16"/>
      <c r="EAC237" s="15"/>
      <c r="EAD237" s="15"/>
      <c r="EAE237" s="10"/>
      <c r="EAF237" s="10"/>
      <c r="EAG237" s="19"/>
      <c r="EAH237" s="19"/>
      <c r="EAK237" s="16"/>
      <c r="EAL237" s="15"/>
      <c r="EAM237" s="15"/>
      <c r="EAN237" s="15"/>
      <c r="EAO237" s="16"/>
      <c r="EAP237" s="16"/>
      <c r="EAQ237" s="16"/>
      <c r="EAR237" s="16"/>
      <c r="EAS237" s="16"/>
      <c r="EAT237" s="15"/>
      <c r="EAU237" s="15"/>
      <c r="EAV237" s="10"/>
      <c r="EAW237" s="10"/>
      <c r="EAX237" s="19"/>
      <c r="EAY237" s="19"/>
      <c r="EBB237" s="16"/>
      <c r="EBC237" s="15"/>
      <c r="EBD237" s="15"/>
      <c r="EBE237" s="15"/>
      <c r="EBF237" s="16"/>
      <c r="EBG237" s="16"/>
      <c r="EBH237" s="16"/>
      <c r="EBI237" s="16"/>
      <c r="EBJ237" s="16"/>
      <c r="EBK237" s="15"/>
      <c r="EBL237" s="15"/>
      <c r="EBM237" s="10"/>
      <c r="EBN237" s="10"/>
      <c r="EBO237" s="19"/>
      <c r="EBP237" s="19"/>
      <c r="EBS237" s="16"/>
      <c r="EBT237" s="15"/>
      <c r="EBU237" s="15"/>
      <c r="EBV237" s="15"/>
      <c r="EBW237" s="16"/>
      <c r="EBX237" s="16"/>
      <c r="EBY237" s="16"/>
      <c r="EBZ237" s="16"/>
      <c r="ECA237" s="16"/>
      <c r="ECB237" s="15"/>
      <c r="ECC237" s="15"/>
      <c r="ECD237" s="10"/>
      <c r="ECE237" s="10"/>
      <c r="ECF237" s="19"/>
      <c r="ECG237" s="19"/>
      <c r="ECJ237" s="16"/>
      <c r="ECK237" s="15"/>
      <c r="ECL237" s="15"/>
      <c r="ECM237" s="15"/>
      <c r="ECN237" s="16"/>
      <c r="ECO237" s="16"/>
      <c r="ECP237" s="16"/>
      <c r="ECQ237" s="16"/>
      <c r="ECR237" s="16"/>
      <c r="ECS237" s="15"/>
      <c r="ECT237" s="15"/>
      <c r="ECU237" s="10"/>
      <c r="ECV237" s="10"/>
      <c r="ECW237" s="19"/>
      <c r="ECX237" s="19"/>
      <c r="EDA237" s="16"/>
      <c r="EDB237" s="15"/>
      <c r="EDC237" s="15"/>
      <c r="EDD237" s="15"/>
      <c r="EDE237" s="16"/>
      <c r="EDF237" s="16"/>
      <c r="EDG237" s="16"/>
      <c r="EDH237" s="16"/>
      <c r="EDI237" s="16"/>
      <c r="EDJ237" s="15"/>
      <c r="EDK237" s="15"/>
      <c r="EDL237" s="10"/>
      <c r="EDM237" s="10"/>
      <c r="EDN237" s="19"/>
      <c r="EDO237" s="19"/>
      <c r="EDR237" s="16"/>
      <c r="EDS237" s="15"/>
      <c r="EDT237" s="15"/>
      <c r="EDU237" s="15"/>
      <c r="EDV237" s="16"/>
      <c r="EDW237" s="16"/>
      <c r="EDX237" s="16"/>
      <c r="EDY237" s="16"/>
      <c r="EDZ237" s="16"/>
      <c r="EEA237" s="15"/>
      <c r="EEB237" s="15"/>
      <c r="EEC237" s="10"/>
      <c r="EED237" s="10"/>
      <c r="EEE237" s="19"/>
      <c r="EEF237" s="19"/>
      <c r="EEI237" s="16"/>
      <c r="EEJ237" s="15"/>
      <c r="EEK237" s="15"/>
      <c r="EEL237" s="15"/>
      <c r="EEM237" s="16"/>
      <c r="EEN237" s="16"/>
      <c r="EEO237" s="16"/>
      <c r="EEP237" s="16"/>
      <c r="EEQ237" s="16"/>
      <c r="EER237" s="15"/>
      <c r="EES237" s="15"/>
      <c r="EET237" s="10"/>
      <c r="EEU237" s="10"/>
      <c r="EEV237" s="19"/>
      <c r="EEW237" s="19"/>
      <c r="EEZ237" s="16"/>
      <c r="EFA237" s="15"/>
      <c r="EFB237" s="15"/>
      <c r="EFC237" s="15"/>
      <c r="EFD237" s="16"/>
      <c r="EFE237" s="16"/>
      <c r="EFF237" s="16"/>
      <c r="EFG237" s="16"/>
      <c r="EFH237" s="16"/>
      <c r="EFI237" s="15"/>
      <c r="EFJ237" s="15"/>
      <c r="EFK237" s="10"/>
      <c r="EFL237" s="10"/>
      <c r="EFM237" s="19"/>
      <c r="EFN237" s="19"/>
      <c r="EFQ237" s="16"/>
      <c r="EFR237" s="15"/>
      <c r="EFS237" s="15"/>
      <c r="EFT237" s="15"/>
      <c r="EFU237" s="16"/>
      <c r="EFV237" s="16"/>
      <c r="EFW237" s="16"/>
      <c r="EFX237" s="16"/>
      <c r="EFY237" s="16"/>
      <c r="EFZ237" s="15"/>
      <c r="EGA237" s="15"/>
      <c r="EGB237" s="10"/>
      <c r="EGC237" s="10"/>
      <c r="EGD237" s="19"/>
      <c r="EGE237" s="19"/>
      <c r="EGH237" s="16"/>
      <c r="EGI237" s="15"/>
      <c r="EGJ237" s="15"/>
      <c r="EGK237" s="15"/>
      <c r="EGL237" s="16"/>
      <c r="EGM237" s="16"/>
      <c r="EGN237" s="16"/>
      <c r="EGO237" s="16"/>
      <c r="EGP237" s="16"/>
      <c r="EGQ237" s="15"/>
      <c r="EGR237" s="15"/>
      <c r="EGS237" s="10"/>
      <c r="EGT237" s="10"/>
      <c r="EGU237" s="19"/>
      <c r="EGV237" s="19"/>
      <c r="EGY237" s="16"/>
      <c r="EGZ237" s="15"/>
      <c r="EHA237" s="15"/>
      <c r="EHB237" s="15"/>
      <c r="EHC237" s="16"/>
      <c r="EHD237" s="16"/>
      <c r="EHE237" s="16"/>
      <c r="EHF237" s="16"/>
      <c r="EHG237" s="16"/>
      <c r="EHH237" s="15"/>
      <c r="EHI237" s="15"/>
      <c r="EHJ237" s="10"/>
      <c r="EHK237" s="10"/>
      <c r="EHL237" s="19"/>
      <c r="EHM237" s="19"/>
      <c r="EHP237" s="16"/>
      <c r="EHQ237" s="15"/>
      <c r="EHR237" s="15"/>
      <c r="EHS237" s="15"/>
      <c r="EHT237" s="16"/>
      <c r="EHU237" s="16"/>
      <c r="EHV237" s="16"/>
      <c r="EHW237" s="16"/>
      <c r="EHX237" s="16"/>
      <c r="EHY237" s="15"/>
      <c r="EHZ237" s="15"/>
      <c r="EIA237" s="10"/>
      <c r="EIB237" s="10"/>
      <c r="EIC237" s="19"/>
      <c r="EID237" s="19"/>
      <c r="EIG237" s="16"/>
      <c r="EIH237" s="15"/>
      <c r="EII237" s="15"/>
      <c r="EIJ237" s="15"/>
      <c r="EIK237" s="16"/>
      <c r="EIL237" s="16"/>
      <c r="EIM237" s="16"/>
      <c r="EIN237" s="16"/>
      <c r="EIO237" s="16"/>
      <c r="EIP237" s="15"/>
      <c r="EIQ237" s="15"/>
      <c r="EIR237" s="10"/>
      <c r="EIS237" s="10"/>
      <c r="EIT237" s="19"/>
      <c r="EIU237" s="19"/>
      <c r="EIX237" s="16"/>
      <c r="EIY237" s="15"/>
      <c r="EIZ237" s="15"/>
      <c r="EJA237" s="15"/>
      <c r="EJB237" s="16"/>
      <c r="EJC237" s="16"/>
      <c r="EJD237" s="16"/>
      <c r="EJE237" s="16"/>
      <c r="EJF237" s="16"/>
      <c r="EJG237" s="15"/>
      <c r="EJH237" s="15"/>
      <c r="EJI237" s="10"/>
      <c r="EJJ237" s="10"/>
      <c r="EJK237" s="19"/>
      <c r="EJL237" s="19"/>
      <c r="EJO237" s="16"/>
      <c r="EJP237" s="15"/>
      <c r="EJQ237" s="15"/>
      <c r="EJR237" s="15"/>
      <c r="EJS237" s="16"/>
      <c r="EJT237" s="16"/>
      <c r="EJU237" s="16"/>
      <c r="EJV237" s="16"/>
      <c r="EJW237" s="16"/>
      <c r="EJX237" s="15"/>
      <c r="EJY237" s="15"/>
      <c r="EJZ237" s="10"/>
      <c r="EKA237" s="10"/>
      <c r="EKB237" s="19"/>
      <c r="EKC237" s="19"/>
      <c r="EKF237" s="16"/>
      <c r="EKG237" s="15"/>
      <c r="EKH237" s="15"/>
      <c r="EKI237" s="15"/>
      <c r="EKJ237" s="16"/>
      <c r="EKK237" s="16"/>
      <c r="EKL237" s="16"/>
      <c r="EKM237" s="16"/>
      <c r="EKN237" s="16"/>
      <c r="EKO237" s="15"/>
      <c r="EKP237" s="15"/>
      <c r="EKQ237" s="10"/>
      <c r="EKR237" s="10"/>
      <c r="EKS237" s="19"/>
      <c r="EKT237" s="19"/>
      <c r="EKW237" s="16"/>
      <c r="EKX237" s="15"/>
      <c r="EKY237" s="15"/>
      <c r="EKZ237" s="15"/>
      <c r="ELA237" s="16"/>
      <c r="ELB237" s="16"/>
      <c r="ELC237" s="16"/>
      <c r="ELD237" s="16"/>
      <c r="ELE237" s="16"/>
      <c r="ELF237" s="15"/>
      <c r="ELG237" s="15"/>
      <c r="ELH237" s="10"/>
      <c r="ELI237" s="10"/>
      <c r="ELJ237" s="19"/>
      <c r="ELK237" s="19"/>
      <c r="ELN237" s="16"/>
      <c r="ELO237" s="15"/>
      <c r="ELP237" s="15"/>
      <c r="ELQ237" s="15"/>
      <c r="ELR237" s="16"/>
      <c r="ELS237" s="16"/>
      <c r="ELT237" s="16"/>
      <c r="ELU237" s="16"/>
      <c r="ELV237" s="16"/>
      <c r="ELW237" s="15"/>
      <c r="ELX237" s="15"/>
      <c r="ELY237" s="10"/>
      <c r="ELZ237" s="10"/>
      <c r="EMA237" s="19"/>
      <c r="EMB237" s="19"/>
      <c r="EME237" s="16"/>
      <c r="EMF237" s="15"/>
      <c r="EMG237" s="15"/>
      <c r="EMH237" s="15"/>
      <c r="EMI237" s="16"/>
      <c r="EMJ237" s="16"/>
      <c r="EMK237" s="16"/>
      <c r="EML237" s="16"/>
      <c r="EMM237" s="16"/>
      <c r="EMN237" s="15"/>
      <c r="EMO237" s="15"/>
      <c r="EMP237" s="10"/>
      <c r="EMQ237" s="10"/>
      <c r="EMR237" s="19"/>
      <c r="EMS237" s="19"/>
      <c r="EMV237" s="16"/>
      <c r="EMW237" s="15"/>
      <c r="EMX237" s="15"/>
      <c r="EMY237" s="15"/>
      <c r="EMZ237" s="16"/>
      <c r="ENA237" s="16"/>
      <c r="ENB237" s="16"/>
      <c r="ENC237" s="16"/>
      <c r="END237" s="16"/>
      <c r="ENE237" s="15"/>
      <c r="ENF237" s="15"/>
      <c r="ENG237" s="10"/>
      <c r="ENH237" s="10"/>
      <c r="ENI237" s="19"/>
      <c r="ENJ237" s="19"/>
      <c r="ENM237" s="16"/>
      <c r="ENN237" s="15"/>
      <c r="ENO237" s="15"/>
      <c r="ENP237" s="15"/>
      <c r="ENQ237" s="16"/>
      <c r="ENR237" s="16"/>
      <c r="ENS237" s="16"/>
      <c r="ENT237" s="16"/>
      <c r="ENU237" s="16"/>
      <c r="ENV237" s="15"/>
      <c r="ENW237" s="15"/>
      <c r="ENX237" s="10"/>
      <c r="ENY237" s="10"/>
      <c r="ENZ237" s="19"/>
      <c r="EOA237" s="19"/>
      <c r="EOD237" s="16"/>
      <c r="EOE237" s="15"/>
      <c r="EOF237" s="15"/>
      <c r="EOG237" s="15"/>
      <c r="EOH237" s="16"/>
      <c r="EOI237" s="16"/>
      <c r="EOJ237" s="16"/>
      <c r="EOK237" s="16"/>
      <c r="EOL237" s="16"/>
      <c r="EOM237" s="15"/>
      <c r="EON237" s="15"/>
      <c r="EOO237" s="10"/>
      <c r="EOP237" s="10"/>
      <c r="EOQ237" s="19"/>
      <c r="EOR237" s="19"/>
      <c r="EOU237" s="16"/>
      <c r="EOV237" s="15"/>
      <c r="EOW237" s="15"/>
      <c r="EOX237" s="15"/>
      <c r="EOY237" s="16"/>
      <c r="EOZ237" s="16"/>
      <c r="EPA237" s="16"/>
      <c r="EPB237" s="16"/>
      <c r="EPC237" s="16"/>
      <c r="EPD237" s="15"/>
      <c r="EPE237" s="15"/>
      <c r="EPF237" s="10"/>
      <c r="EPG237" s="10"/>
      <c r="EPH237" s="19"/>
      <c r="EPI237" s="19"/>
      <c r="EPL237" s="16"/>
      <c r="EPM237" s="15"/>
      <c r="EPN237" s="15"/>
      <c r="EPO237" s="15"/>
      <c r="EPP237" s="16"/>
      <c r="EPQ237" s="16"/>
      <c r="EPR237" s="16"/>
      <c r="EPS237" s="16"/>
      <c r="EPT237" s="16"/>
      <c r="EPU237" s="15"/>
      <c r="EPV237" s="15"/>
      <c r="EPW237" s="10"/>
      <c r="EPX237" s="10"/>
      <c r="EPY237" s="19"/>
      <c r="EPZ237" s="19"/>
      <c r="EQC237" s="16"/>
      <c r="EQD237" s="15"/>
      <c r="EQE237" s="15"/>
      <c r="EQF237" s="15"/>
      <c r="EQG237" s="16"/>
      <c r="EQH237" s="16"/>
      <c r="EQI237" s="16"/>
      <c r="EQJ237" s="16"/>
      <c r="EQK237" s="16"/>
      <c r="EQL237" s="15"/>
      <c r="EQM237" s="15"/>
      <c r="EQN237" s="10"/>
      <c r="EQO237" s="10"/>
      <c r="EQP237" s="19"/>
      <c r="EQQ237" s="19"/>
      <c r="EQT237" s="16"/>
      <c r="EQU237" s="15"/>
      <c r="EQV237" s="15"/>
      <c r="EQW237" s="15"/>
      <c r="EQX237" s="16"/>
      <c r="EQY237" s="16"/>
      <c r="EQZ237" s="16"/>
      <c r="ERA237" s="16"/>
      <c r="ERB237" s="16"/>
      <c r="ERC237" s="15"/>
      <c r="ERD237" s="15"/>
      <c r="ERE237" s="10"/>
      <c r="ERF237" s="10"/>
      <c r="ERG237" s="19"/>
      <c r="ERH237" s="19"/>
      <c r="ERK237" s="16"/>
      <c r="ERL237" s="15"/>
      <c r="ERM237" s="15"/>
      <c r="ERN237" s="15"/>
      <c r="ERO237" s="16"/>
      <c r="ERP237" s="16"/>
      <c r="ERQ237" s="16"/>
      <c r="ERR237" s="16"/>
      <c r="ERS237" s="16"/>
      <c r="ERT237" s="15"/>
      <c r="ERU237" s="15"/>
      <c r="ERV237" s="10"/>
      <c r="ERW237" s="10"/>
      <c r="ERX237" s="19"/>
      <c r="ERY237" s="19"/>
      <c r="ESB237" s="16"/>
      <c r="ESC237" s="15"/>
      <c r="ESD237" s="15"/>
      <c r="ESE237" s="15"/>
      <c r="ESF237" s="16"/>
      <c r="ESG237" s="16"/>
      <c r="ESH237" s="16"/>
      <c r="ESI237" s="16"/>
      <c r="ESJ237" s="16"/>
      <c r="ESK237" s="15"/>
      <c r="ESL237" s="15"/>
      <c r="ESM237" s="10"/>
      <c r="ESN237" s="10"/>
      <c r="ESO237" s="19"/>
      <c r="ESP237" s="19"/>
      <c r="ESS237" s="16"/>
      <c r="EST237" s="15"/>
      <c r="ESU237" s="15"/>
      <c r="ESV237" s="15"/>
      <c r="ESW237" s="16"/>
      <c r="ESX237" s="16"/>
      <c r="ESY237" s="16"/>
      <c r="ESZ237" s="16"/>
      <c r="ETA237" s="16"/>
      <c r="ETB237" s="15"/>
      <c r="ETC237" s="15"/>
      <c r="ETD237" s="10"/>
      <c r="ETE237" s="10"/>
      <c r="ETF237" s="19"/>
      <c r="ETG237" s="19"/>
      <c r="ETJ237" s="16"/>
      <c r="ETK237" s="15"/>
      <c r="ETL237" s="15"/>
      <c r="ETM237" s="15"/>
      <c r="ETN237" s="16"/>
      <c r="ETO237" s="16"/>
      <c r="ETP237" s="16"/>
      <c r="ETQ237" s="16"/>
      <c r="ETR237" s="16"/>
      <c r="ETS237" s="15"/>
      <c r="ETT237" s="15"/>
      <c r="ETU237" s="10"/>
      <c r="ETV237" s="10"/>
      <c r="ETW237" s="19"/>
      <c r="ETX237" s="19"/>
      <c r="EUA237" s="16"/>
      <c r="EUB237" s="15"/>
      <c r="EUC237" s="15"/>
      <c r="EUD237" s="15"/>
      <c r="EUE237" s="16"/>
      <c r="EUF237" s="16"/>
      <c r="EUG237" s="16"/>
      <c r="EUH237" s="16"/>
      <c r="EUI237" s="16"/>
      <c r="EUJ237" s="15"/>
      <c r="EUK237" s="15"/>
      <c r="EUL237" s="10"/>
      <c r="EUM237" s="10"/>
      <c r="EUN237" s="19"/>
      <c r="EUO237" s="19"/>
      <c r="EUR237" s="16"/>
      <c r="EUS237" s="15"/>
      <c r="EUT237" s="15"/>
      <c r="EUU237" s="15"/>
      <c r="EUV237" s="16"/>
      <c r="EUW237" s="16"/>
      <c r="EUX237" s="16"/>
      <c r="EUY237" s="16"/>
      <c r="EUZ237" s="16"/>
      <c r="EVA237" s="15"/>
      <c r="EVB237" s="15"/>
      <c r="EVC237" s="10"/>
      <c r="EVD237" s="10"/>
      <c r="EVE237" s="19"/>
      <c r="EVF237" s="19"/>
      <c r="EVI237" s="16"/>
      <c r="EVJ237" s="15"/>
      <c r="EVK237" s="15"/>
      <c r="EVL237" s="15"/>
      <c r="EVM237" s="16"/>
      <c r="EVN237" s="16"/>
      <c r="EVO237" s="16"/>
      <c r="EVP237" s="16"/>
      <c r="EVQ237" s="16"/>
      <c r="EVR237" s="15"/>
      <c r="EVS237" s="15"/>
      <c r="EVT237" s="10"/>
      <c r="EVU237" s="10"/>
      <c r="EVV237" s="19"/>
      <c r="EVW237" s="19"/>
      <c r="EVZ237" s="16"/>
      <c r="EWA237" s="15"/>
      <c r="EWB237" s="15"/>
      <c r="EWC237" s="15"/>
      <c r="EWD237" s="16"/>
      <c r="EWE237" s="16"/>
      <c r="EWF237" s="16"/>
      <c r="EWG237" s="16"/>
      <c r="EWH237" s="16"/>
      <c r="EWI237" s="15"/>
      <c r="EWJ237" s="15"/>
      <c r="EWK237" s="10"/>
      <c r="EWL237" s="10"/>
      <c r="EWM237" s="19"/>
      <c r="EWN237" s="19"/>
      <c r="EWQ237" s="16"/>
      <c r="EWR237" s="15"/>
      <c r="EWS237" s="15"/>
      <c r="EWT237" s="15"/>
      <c r="EWU237" s="16"/>
      <c r="EWV237" s="16"/>
      <c r="EWW237" s="16"/>
      <c r="EWX237" s="16"/>
      <c r="EWY237" s="16"/>
      <c r="EWZ237" s="15"/>
      <c r="EXA237" s="15"/>
      <c r="EXB237" s="10"/>
      <c r="EXC237" s="10"/>
      <c r="EXD237" s="19"/>
      <c r="EXE237" s="19"/>
      <c r="EXH237" s="16"/>
      <c r="EXI237" s="15"/>
      <c r="EXJ237" s="15"/>
      <c r="EXK237" s="15"/>
      <c r="EXL237" s="16"/>
      <c r="EXM237" s="16"/>
      <c r="EXN237" s="16"/>
      <c r="EXO237" s="16"/>
      <c r="EXP237" s="16"/>
      <c r="EXQ237" s="15"/>
      <c r="EXR237" s="15"/>
      <c r="EXS237" s="10"/>
      <c r="EXT237" s="10"/>
      <c r="EXU237" s="19"/>
      <c r="EXV237" s="19"/>
      <c r="EXY237" s="16"/>
      <c r="EXZ237" s="15"/>
      <c r="EYA237" s="15"/>
      <c r="EYB237" s="15"/>
      <c r="EYC237" s="16"/>
      <c r="EYD237" s="16"/>
      <c r="EYE237" s="16"/>
      <c r="EYF237" s="16"/>
      <c r="EYG237" s="16"/>
      <c r="EYH237" s="15"/>
      <c r="EYI237" s="15"/>
      <c r="EYJ237" s="10"/>
      <c r="EYK237" s="10"/>
      <c r="EYL237" s="19"/>
      <c r="EYM237" s="19"/>
      <c r="EYP237" s="16"/>
      <c r="EYQ237" s="15"/>
      <c r="EYR237" s="15"/>
      <c r="EYS237" s="15"/>
      <c r="EYT237" s="16"/>
      <c r="EYU237" s="16"/>
      <c r="EYV237" s="16"/>
      <c r="EYW237" s="16"/>
      <c r="EYX237" s="16"/>
      <c r="EYY237" s="15"/>
      <c r="EYZ237" s="15"/>
      <c r="EZA237" s="10"/>
      <c r="EZB237" s="10"/>
      <c r="EZC237" s="19"/>
      <c r="EZD237" s="19"/>
      <c r="EZG237" s="16"/>
      <c r="EZH237" s="15"/>
      <c r="EZI237" s="15"/>
      <c r="EZJ237" s="15"/>
      <c r="EZK237" s="16"/>
      <c r="EZL237" s="16"/>
      <c r="EZM237" s="16"/>
      <c r="EZN237" s="16"/>
      <c r="EZO237" s="16"/>
      <c r="EZP237" s="15"/>
      <c r="EZQ237" s="15"/>
      <c r="EZR237" s="10"/>
      <c r="EZS237" s="10"/>
      <c r="EZT237" s="19"/>
      <c r="EZU237" s="19"/>
      <c r="EZX237" s="16"/>
      <c r="EZY237" s="15"/>
      <c r="EZZ237" s="15"/>
      <c r="FAA237" s="15"/>
      <c r="FAB237" s="16"/>
      <c r="FAC237" s="16"/>
      <c r="FAD237" s="16"/>
      <c r="FAE237" s="16"/>
      <c r="FAF237" s="16"/>
      <c r="FAG237" s="15"/>
      <c r="FAH237" s="15"/>
      <c r="FAI237" s="10"/>
      <c r="FAJ237" s="10"/>
      <c r="FAK237" s="19"/>
      <c r="FAL237" s="19"/>
      <c r="FAO237" s="16"/>
      <c r="FAP237" s="15"/>
      <c r="FAQ237" s="15"/>
      <c r="FAR237" s="15"/>
      <c r="FAS237" s="16"/>
      <c r="FAT237" s="16"/>
      <c r="FAU237" s="16"/>
      <c r="FAV237" s="16"/>
      <c r="FAW237" s="16"/>
      <c r="FAX237" s="15"/>
      <c r="FAY237" s="15"/>
      <c r="FAZ237" s="10"/>
      <c r="FBA237" s="10"/>
      <c r="FBB237" s="19"/>
      <c r="FBC237" s="19"/>
      <c r="FBF237" s="16"/>
      <c r="FBG237" s="15"/>
      <c r="FBH237" s="15"/>
      <c r="FBI237" s="15"/>
      <c r="FBJ237" s="16"/>
      <c r="FBK237" s="16"/>
      <c r="FBL237" s="16"/>
      <c r="FBM237" s="16"/>
      <c r="FBN237" s="16"/>
      <c r="FBO237" s="15"/>
      <c r="FBP237" s="15"/>
      <c r="FBQ237" s="10"/>
      <c r="FBR237" s="10"/>
      <c r="FBS237" s="19"/>
      <c r="FBT237" s="19"/>
      <c r="FBW237" s="16"/>
      <c r="FBX237" s="15"/>
      <c r="FBY237" s="15"/>
      <c r="FBZ237" s="15"/>
      <c r="FCA237" s="16"/>
      <c r="FCB237" s="16"/>
      <c r="FCC237" s="16"/>
      <c r="FCD237" s="16"/>
      <c r="FCE237" s="16"/>
      <c r="FCF237" s="15"/>
      <c r="FCG237" s="15"/>
      <c r="FCH237" s="10"/>
      <c r="FCI237" s="10"/>
      <c r="FCJ237" s="19"/>
      <c r="FCK237" s="19"/>
      <c r="FCN237" s="16"/>
      <c r="FCO237" s="15"/>
      <c r="FCP237" s="15"/>
      <c r="FCQ237" s="15"/>
      <c r="FCR237" s="16"/>
      <c r="FCS237" s="16"/>
      <c r="FCT237" s="16"/>
      <c r="FCU237" s="16"/>
      <c r="FCV237" s="16"/>
      <c r="FCW237" s="15"/>
      <c r="FCX237" s="15"/>
      <c r="FCY237" s="10"/>
      <c r="FCZ237" s="10"/>
      <c r="FDA237" s="19"/>
      <c r="FDB237" s="19"/>
      <c r="FDE237" s="16"/>
      <c r="FDF237" s="15"/>
      <c r="FDG237" s="15"/>
      <c r="FDH237" s="15"/>
      <c r="FDI237" s="16"/>
      <c r="FDJ237" s="16"/>
      <c r="FDK237" s="16"/>
      <c r="FDL237" s="16"/>
      <c r="FDM237" s="16"/>
      <c r="FDN237" s="15"/>
      <c r="FDO237" s="15"/>
      <c r="FDP237" s="10"/>
      <c r="FDQ237" s="10"/>
      <c r="FDR237" s="19"/>
      <c r="FDS237" s="19"/>
      <c r="FDV237" s="16"/>
      <c r="FDW237" s="15"/>
      <c r="FDX237" s="15"/>
      <c r="FDY237" s="15"/>
      <c r="FDZ237" s="16"/>
      <c r="FEA237" s="16"/>
      <c r="FEB237" s="16"/>
      <c r="FEC237" s="16"/>
      <c r="FED237" s="16"/>
      <c r="FEE237" s="15"/>
      <c r="FEF237" s="15"/>
      <c r="FEG237" s="10"/>
      <c r="FEH237" s="10"/>
      <c r="FEI237" s="19"/>
      <c r="FEJ237" s="19"/>
      <c r="FEM237" s="16"/>
      <c r="FEN237" s="15"/>
      <c r="FEO237" s="15"/>
      <c r="FEP237" s="15"/>
      <c r="FEQ237" s="16"/>
      <c r="FER237" s="16"/>
      <c r="FES237" s="16"/>
      <c r="FET237" s="16"/>
      <c r="FEU237" s="16"/>
      <c r="FEV237" s="15"/>
      <c r="FEW237" s="15"/>
      <c r="FEX237" s="10"/>
      <c r="FEY237" s="10"/>
      <c r="FEZ237" s="19"/>
      <c r="FFA237" s="19"/>
      <c r="FFD237" s="16"/>
      <c r="FFE237" s="15"/>
      <c r="FFF237" s="15"/>
      <c r="FFG237" s="15"/>
      <c r="FFH237" s="16"/>
      <c r="FFI237" s="16"/>
      <c r="FFJ237" s="16"/>
      <c r="FFK237" s="16"/>
      <c r="FFL237" s="16"/>
      <c r="FFM237" s="15"/>
      <c r="FFN237" s="15"/>
      <c r="FFO237" s="10"/>
      <c r="FFP237" s="10"/>
      <c r="FFQ237" s="19"/>
      <c r="FFR237" s="19"/>
      <c r="FFU237" s="16"/>
      <c r="FFV237" s="15"/>
      <c r="FFW237" s="15"/>
      <c r="FFX237" s="15"/>
      <c r="FFY237" s="16"/>
      <c r="FFZ237" s="16"/>
      <c r="FGA237" s="16"/>
      <c r="FGB237" s="16"/>
      <c r="FGC237" s="16"/>
      <c r="FGD237" s="15"/>
      <c r="FGE237" s="15"/>
      <c r="FGF237" s="10"/>
      <c r="FGG237" s="10"/>
      <c r="FGH237" s="19"/>
      <c r="FGI237" s="19"/>
      <c r="FGL237" s="16"/>
      <c r="FGM237" s="15"/>
      <c r="FGN237" s="15"/>
      <c r="FGO237" s="15"/>
      <c r="FGP237" s="16"/>
      <c r="FGQ237" s="16"/>
      <c r="FGR237" s="16"/>
      <c r="FGS237" s="16"/>
      <c r="FGT237" s="16"/>
      <c r="FGU237" s="15"/>
      <c r="FGV237" s="15"/>
      <c r="FGW237" s="10"/>
      <c r="FGX237" s="10"/>
      <c r="FGY237" s="19"/>
      <c r="FGZ237" s="19"/>
      <c r="FHC237" s="16"/>
      <c r="FHD237" s="15"/>
      <c r="FHE237" s="15"/>
      <c r="FHF237" s="15"/>
      <c r="FHG237" s="16"/>
      <c r="FHH237" s="16"/>
      <c r="FHI237" s="16"/>
      <c r="FHJ237" s="16"/>
      <c r="FHK237" s="16"/>
      <c r="FHL237" s="15"/>
      <c r="FHM237" s="15"/>
      <c r="FHN237" s="10"/>
      <c r="FHO237" s="10"/>
      <c r="FHP237" s="19"/>
      <c r="FHQ237" s="19"/>
      <c r="FHT237" s="16"/>
      <c r="FHU237" s="15"/>
      <c r="FHV237" s="15"/>
      <c r="FHW237" s="15"/>
      <c r="FHX237" s="16"/>
      <c r="FHY237" s="16"/>
      <c r="FHZ237" s="16"/>
      <c r="FIA237" s="16"/>
      <c r="FIB237" s="16"/>
      <c r="FIC237" s="15"/>
      <c r="FID237" s="15"/>
      <c r="FIE237" s="10"/>
      <c r="FIF237" s="10"/>
      <c r="FIG237" s="19"/>
      <c r="FIH237" s="19"/>
      <c r="FIK237" s="16"/>
      <c r="FIL237" s="15"/>
      <c r="FIM237" s="15"/>
      <c r="FIN237" s="15"/>
      <c r="FIO237" s="16"/>
      <c r="FIP237" s="16"/>
      <c r="FIQ237" s="16"/>
      <c r="FIR237" s="16"/>
      <c r="FIS237" s="16"/>
      <c r="FIT237" s="15"/>
      <c r="FIU237" s="15"/>
      <c r="FIV237" s="10"/>
      <c r="FIW237" s="10"/>
      <c r="FIX237" s="19"/>
      <c r="FIY237" s="19"/>
      <c r="FJB237" s="16"/>
      <c r="FJC237" s="15"/>
      <c r="FJD237" s="15"/>
      <c r="FJE237" s="15"/>
      <c r="FJF237" s="16"/>
      <c r="FJG237" s="16"/>
      <c r="FJH237" s="16"/>
      <c r="FJI237" s="16"/>
      <c r="FJJ237" s="16"/>
      <c r="FJK237" s="15"/>
      <c r="FJL237" s="15"/>
      <c r="FJM237" s="10"/>
      <c r="FJN237" s="10"/>
      <c r="FJO237" s="19"/>
      <c r="FJP237" s="19"/>
      <c r="FJS237" s="16"/>
      <c r="FJT237" s="15"/>
      <c r="FJU237" s="15"/>
      <c r="FJV237" s="15"/>
      <c r="FJW237" s="16"/>
      <c r="FJX237" s="16"/>
      <c r="FJY237" s="16"/>
      <c r="FJZ237" s="16"/>
      <c r="FKA237" s="16"/>
      <c r="FKB237" s="15"/>
      <c r="FKC237" s="15"/>
      <c r="FKD237" s="10"/>
      <c r="FKE237" s="10"/>
      <c r="FKF237" s="19"/>
      <c r="FKG237" s="19"/>
      <c r="FKJ237" s="16"/>
      <c r="FKK237" s="15"/>
      <c r="FKL237" s="15"/>
      <c r="FKM237" s="15"/>
      <c r="FKN237" s="16"/>
      <c r="FKO237" s="16"/>
      <c r="FKP237" s="16"/>
      <c r="FKQ237" s="16"/>
      <c r="FKR237" s="16"/>
      <c r="FKS237" s="15"/>
      <c r="FKT237" s="15"/>
      <c r="FKU237" s="10"/>
      <c r="FKV237" s="10"/>
      <c r="FKW237" s="19"/>
      <c r="FKX237" s="19"/>
      <c r="FLA237" s="16"/>
      <c r="FLB237" s="15"/>
      <c r="FLC237" s="15"/>
      <c r="FLD237" s="15"/>
      <c r="FLE237" s="16"/>
      <c r="FLF237" s="16"/>
      <c r="FLG237" s="16"/>
      <c r="FLH237" s="16"/>
      <c r="FLI237" s="16"/>
      <c r="FLJ237" s="15"/>
      <c r="FLK237" s="15"/>
      <c r="FLL237" s="10"/>
      <c r="FLM237" s="10"/>
      <c r="FLN237" s="19"/>
      <c r="FLO237" s="19"/>
      <c r="FLR237" s="16"/>
      <c r="FLS237" s="15"/>
      <c r="FLT237" s="15"/>
      <c r="FLU237" s="15"/>
      <c r="FLV237" s="16"/>
      <c r="FLW237" s="16"/>
      <c r="FLX237" s="16"/>
      <c r="FLY237" s="16"/>
      <c r="FLZ237" s="16"/>
      <c r="FMA237" s="15"/>
      <c r="FMB237" s="15"/>
      <c r="FMC237" s="10"/>
      <c r="FMD237" s="10"/>
      <c r="FME237" s="19"/>
      <c r="FMF237" s="19"/>
      <c r="FMI237" s="16"/>
      <c r="FMJ237" s="15"/>
      <c r="FMK237" s="15"/>
      <c r="FML237" s="15"/>
      <c r="FMM237" s="16"/>
      <c r="FMN237" s="16"/>
      <c r="FMO237" s="16"/>
      <c r="FMP237" s="16"/>
      <c r="FMQ237" s="16"/>
      <c r="FMR237" s="15"/>
      <c r="FMS237" s="15"/>
      <c r="FMT237" s="10"/>
      <c r="FMU237" s="10"/>
      <c r="FMV237" s="19"/>
      <c r="FMW237" s="19"/>
      <c r="FMZ237" s="16"/>
      <c r="FNA237" s="15"/>
      <c r="FNB237" s="15"/>
      <c r="FNC237" s="15"/>
      <c r="FND237" s="16"/>
      <c r="FNE237" s="16"/>
      <c r="FNF237" s="16"/>
      <c r="FNG237" s="16"/>
      <c r="FNH237" s="16"/>
      <c r="FNI237" s="15"/>
      <c r="FNJ237" s="15"/>
      <c r="FNK237" s="10"/>
      <c r="FNL237" s="10"/>
      <c r="FNM237" s="19"/>
      <c r="FNN237" s="19"/>
      <c r="FNQ237" s="16"/>
      <c r="FNR237" s="15"/>
      <c r="FNS237" s="15"/>
      <c r="FNT237" s="15"/>
      <c r="FNU237" s="16"/>
      <c r="FNV237" s="16"/>
      <c r="FNW237" s="16"/>
      <c r="FNX237" s="16"/>
      <c r="FNY237" s="16"/>
      <c r="FNZ237" s="15"/>
      <c r="FOA237" s="15"/>
      <c r="FOB237" s="10"/>
      <c r="FOC237" s="10"/>
      <c r="FOD237" s="19"/>
      <c r="FOE237" s="19"/>
      <c r="FOH237" s="16"/>
      <c r="FOI237" s="15"/>
      <c r="FOJ237" s="15"/>
      <c r="FOK237" s="15"/>
      <c r="FOL237" s="16"/>
      <c r="FOM237" s="16"/>
      <c r="FON237" s="16"/>
      <c r="FOO237" s="16"/>
      <c r="FOP237" s="16"/>
      <c r="FOQ237" s="15"/>
      <c r="FOR237" s="15"/>
      <c r="FOS237" s="10"/>
      <c r="FOT237" s="10"/>
      <c r="FOU237" s="19"/>
      <c r="FOV237" s="19"/>
      <c r="FOY237" s="16"/>
      <c r="FOZ237" s="15"/>
      <c r="FPA237" s="15"/>
      <c r="FPB237" s="15"/>
      <c r="FPC237" s="16"/>
      <c r="FPD237" s="16"/>
      <c r="FPE237" s="16"/>
      <c r="FPF237" s="16"/>
      <c r="FPG237" s="16"/>
      <c r="FPH237" s="15"/>
      <c r="FPI237" s="15"/>
      <c r="FPJ237" s="10"/>
      <c r="FPK237" s="10"/>
      <c r="FPL237" s="19"/>
      <c r="FPM237" s="19"/>
      <c r="FPP237" s="16"/>
      <c r="FPQ237" s="15"/>
      <c r="FPR237" s="15"/>
      <c r="FPS237" s="15"/>
      <c r="FPT237" s="16"/>
      <c r="FPU237" s="16"/>
      <c r="FPV237" s="16"/>
      <c r="FPW237" s="16"/>
      <c r="FPX237" s="16"/>
      <c r="FPY237" s="15"/>
      <c r="FPZ237" s="15"/>
      <c r="FQA237" s="10"/>
      <c r="FQB237" s="10"/>
      <c r="FQC237" s="19"/>
      <c r="FQD237" s="19"/>
      <c r="FQG237" s="16"/>
      <c r="FQH237" s="15"/>
      <c r="FQI237" s="15"/>
      <c r="FQJ237" s="15"/>
      <c r="FQK237" s="16"/>
      <c r="FQL237" s="16"/>
      <c r="FQM237" s="16"/>
      <c r="FQN237" s="16"/>
      <c r="FQO237" s="16"/>
      <c r="FQP237" s="15"/>
      <c r="FQQ237" s="15"/>
      <c r="FQR237" s="10"/>
      <c r="FQS237" s="10"/>
      <c r="FQT237" s="19"/>
      <c r="FQU237" s="19"/>
      <c r="FQX237" s="16"/>
      <c r="FQY237" s="15"/>
      <c r="FQZ237" s="15"/>
      <c r="FRA237" s="15"/>
      <c r="FRB237" s="16"/>
      <c r="FRC237" s="16"/>
      <c r="FRD237" s="16"/>
      <c r="FRE237" s="16"/>
      <c r="FRF237" s="16"/>
      <c r="FRG237" s="15"/>
      <c r="FRH237" s="15"/>
      <c r="FRI237" s="10"/>
      <c r="FRJ237" s="10"/>
      <c r="FRK237" s="19"/>
      <c r="FRL237" s="19"/>
      <c r="FRO237" s="16"/>
      <c r="FRP237" s="15"/>
      <c r="FRQ237" s="15"/>
      <c r="FRR237" s="15"/>
      <c r="FRS237" s="16"/>
      <c r="FRT237" s="16"/>
      <c r="FRU237" s="16"/>
      <c r="FRV237" s="16"/>
      <c r="FRW237" s="16"/>
      <c r="FRX237" s="15"/>
      <c r="FRY237" s="15"/>
      <c r="FRZ237" s="10"/>
      <c r="FSA237" s="10"/>
      <c r="FSB237" s="19"/>
      <c r="FSC237" s="19"/>
      <c r="FSF237" s="16"/>
      <c r="FSG237" s="15"/>
      <c r="FSH237" s="15"/>
      <c r="FSI237" s="15"/>
      <c r="FSJ237" s="16"/>
      <c r="FSK237" s="16"/>
      <c r="FSL237" s="16"/>
      <c r="FSM237" s="16"/>
      <c r="FSN237" s="16"/>
      <c r="FSO237" s="15"/>
      <c r="FSP237" s="15"/>
      <c r="FSQ237" s="10"/>
      <c r="FSR237" s="10"/>
      <c r="FSS237" s="19"/>
      <c r="FST237" s="19"/>
      <c r="FSW237" s="16"/>
      <c r="FSX237" s="15"/>
      <c r="FSY237" s="15"/>
      <c r="FSZ237" s="15"/>
      <c r="FTA237" s="16"/>
      <c r="FTB237" s="16"/>
      <c r="FTC237" s="16"/>
      <c r="FTD237" s="16"/>
      <c r="FTE237" s="16"/>
      <c r="FTF237" s="15"/>
      <c r="FTG237" s="15"/>
      <c r="FTH237" s="10"/>
      <c r="FTI237" s="10"/>
      <c r="FTJ237" s="19"/>
      <c r="FTK237" s="19"/>
      <c r="FTN237" s="16"/>
      <c r="FTO237" s="15"/>
      <c r="FTP237" s="15"/>
      <c r="FTQ237" s="15"/>
      <c r="FTR237" s="16"/>
      <c r="FTS237" s="16"/>
      <c r="FTT237" s="16"/>
      <c r="FTU237" s="16"/>
      <c r="FTV237" s="16"/>
      <c r="FTW237" s="15"/>
      <c r="FTX237" s="15"/>
      <c r="FTY237" s="10"/>
      <c r="FTZ237" s="10"/>
      <c r="FUA237" s="19"/>
      <c r="FUB237" s="19"/>
      <c r="FUE237" s="16"/>
      <c r="FUF237" s="15"/>
      <c r="FUG237" s="15"/>
      <c r="FUH237" s="15"/>
      <c r="FUI237" s="16"/>
      <c r="FUJ237" s="16"/>
      <c r="FUK237" s="16"/>
      <c r="FUL237" s="16"/>
      <c r="FUM237" s="16"/>
      <c r="FUN237" s="15"/>
      <c r="FUO237" s="15"/>
      <c r="FUP237" s="10"/>
      <c r="FUQ237" s="10"/>
      <c r="FUR237" s="19"/>
      <c r="FUS237" s="19"/>
      <c r="FUV237" s="16"/>
      <c r="FUW237" s="15"/>
      <c r="FUX237" s="15"/>
      <c r="FUY237" s="15"/>
      <c r="FUZ237" s="16"/>
      <c r="FVA237" s="16"/>
      <c r="FVB237" s="16"/>
      <c r="FVC237" s="16"/>
      <c r="FVD237" s="16"/>
      <c r="FVE237" s="15"/>
      <c r="FVF237" s="15"/>
      <c r="FVG237" s="10"/>
      <c r="FVH237" s="10"/>
      <c r="FVI237" s="19"/>
      <c r="FVJ237" s="19"/>
      <c r="FVM237" s="16"/>
      <c r="FVN237" s="15"/>
      <c r="FVO237" s="15"/>
      <c r="FVP237" s="15"/>
      <c r="FVQ237" s="16"/>
      <c r="FVR237" s="16"/>
      <c r="FVS237" s="16"/>
      <c r="FVT237" s="16"/>
      <c r="FVU237" s="16"/>
      <c r="FVV237" s="15"/>
      <c r="FVW237" s="15"/>
      <c r="FVX237" s="10"/>
      <c r="FVY237" s="10"/>
      <c r="FVZ237" s="19"/>
      <c r="FWA237" s="19"/>
      <c r="FWD237" s="16"/>
      <c r="FWE237" s="15"/>
      <c r="FWF237" s="15"/>
      <c r="FWG237" s="15"/>
      <c r="FWH237" s="16"/>
      <c r="FWI237" s="16"/>
      <c r="FWJ237" s="16"/>
      <c r="FWK237" s="16"/>
      <c r="FWL237" s="16"/>
      <c r="FWM237" s="15"/>
      <c r="FWN237" s="15"/>
      <c r="FWO237" s="10"/>
      <c r="FWP237" s="10"/>
      <c r="FWQ237" s="19"/>
      <c r="FWR237" s="19"/>
      <c r="FWU237" s="16"/>
      <c r="FWV237" s="15"/>
      <c r="FWW237" s="15"/>
      <c r="FWX237" s="15"/>
      <c r="FWY237" s="16"/>
      <c r="FWZ237" s="16"/>
      <c r="FXA237" s="16"/>
      <c r="FXB237" s="16"/>
      <c r="FXC237" s="16"/>
      <c r="FXD237" s="15"/>
      <c r="FXE237" s="15"/>
      <c r="FXF237" s="10"/>
      <c r="FXG237" s="10"/>
      <c r="FXH237" s="19"/>
      <c r="FXI237" s="19"/>
      <c r="FXL237" s="16"/>
      <c r="FXM237" s="15"/>
      <c r="FXN237" s="15"/>
      <c r="FXO237" s="15"/>
      <c r="FXP237" s="16"/>
      <c r="FXQ237" s="16"/>
      <c r="FXR237" s="16"/>
      <c r="FXS237" s="16"/>
      <c r="FXT237" s="16"/>
      <c r="FXU237" s="15"/>
      <c r="FXV237" s="15"/>
      <c r="FXW237" s="10"/>
      <c r="FXX237" s="10"/>
      <c r="FXY237" s="19"/>
      <c r="FXZ237" s="19"/>
      <c r="FYC237" s="16"/>
      <c r="FYD237" s="15"/>
      <c r="FYE237" s="15"/>
      <c r="FYF237" s="15"/>
      <c r="FYG237" s="16"/>
      <c r="FYH237" s="16"/>
      <c r="FYI237" s="16"/>
      <c r="FYJ237" s="16"/>
      <c r="FYK237" s="16"/>
      <c r="FYL237" s="15"/>
      <c r="FYM237" s="15"/>
      <c r="FYN237" s="10"/>
      <c r="FYO237" s="10"/>
      <c r="FYP237" s="19"/>
      <c r="FYQ237" s="19"/>
      <c r="FYT237" s="16"/>
      <c r="FYU237" s="15"/>
      <c r="FYV237" s="15"/>
      <c r="FYW237" s="15"/>
      <c r="FYX237" s="16"/>
      <c r="FYY237" s="16"/>
      <c r="FYZ237" s="16"/>
      <c r="FZA237" s="16"/>
      <c r="FZB237" s="16"/>
      <c r="FZC237" s="15"/>
      <c r="FZD237" s="15"/>
      <c r="FZE237" s="10"/>
      <c r="FZF237" s="10"/>
      <c r="FZG237" s="19"/>
      <c r="FZH237" s="19"/>
      <c r="FZK237" s="16"/>
      <c r="FZL237" s="15"/>
      <c r="FZM237" s="15"/>
      <c r="FZN237" s="15"/>
      <c r="FZO237" s="16"/>
      <c r="FZP237" s="16"/>
      <c r="FZQ237" s="16"/>
      <c r="FZR237" s="16"/>
      <c r="FZS237" s="16"/>
      <c r="FZT237" s="15"/>
      <c r="FZU237" s="15"/>
      <c r="FZV237" s="10"/>
      <c r="FZW237" s="10"/>
      <c r="FZX237" s="19"/>
      <c r="FZY237" s="19"/>
      <c r="GAB237" s="16"/>
      <c r="GAC237" s="15"/>
      <c r="GAD237" s="15"/>
      <c r="GAE237" s="15"/>
      <c r="GAF237" s="16"/>
      <c r="GAG237" s="16"/>
      <c r="GAH237" s="16"/>
      <c r="GAI237" s="16"/>
      <c r="GAJ237" s="16"/>
      <c r="GAK237" s="15"/>
      <c r="GAL237" s="15"/>
      <c r="GAM237" s="10"/>
      <c r="GAN237" s="10"/>
      <c r="GAO237" s="19"/>
      <c r="GAP237" s="19"/>
      <c r="GAS237" s="16"/>
      <c r="GAT237" s="15"/>
      <c r="GAU237" s="15"/>
      <c r="GAV237" s="15"/>
      <c r="GAW237" s="16"/>
      <c r="GAX237" s="16"/>
      <c r="GAY237" s="16"/>
      <c r="GAZ237" s="16"/>
      <c r="GBA237" s="16"/>
      <c r="GBB237" s="15"/>
      <c r="GBC237" s="15"/>
      <c r="GBD237" s="10"/>
      <c r="GBE237" s="10"/>
      <c r="GBF237" s="19"/>
      <c r="GBG237" s="19"/>
      <c r="GBJ237" s="16"/>
      <c r="GBK237" s="15"/>
      <c r="GBL237" s="15"/>
      <c r="GBM237" s="15"/>
      <c r="GBN237" s="16"/>
      <c r="GBO237" s="16"/>
      <c r="GBP237" s="16"/>
      <c r="GBQ237" s="16"/>
      <c r="GBR237" s="16"/>
      <c r="GBS237" s="15"/>
      <c r="GBT237" s="15"/>
      <c r="GBU237" s="10"/>
      <c r="GBV237" s="10"/>
      <c r="GBW237" s="19"/>
      <c r="GBX237" s="19"/>
      <c r="GCA237" s="16"/>
      <c r="GCB237" s="15"/>
      <c r="GCC237" s="15"/>
      <c r="GCD237" s="15"/>
      <c r="GCE237" s="16"/>
      <c r="GCF237" s="16"/>
      <c r="GCG237" s="16"/>
      <c r="GCH237" s="16"/>
      <c r="GCI237" s="16"/>
      <c r="GCJ237" s="15"/>
      <c r="GCK237" s="15"/>
      <c r="GCL237" s="10"/>
      <c r="GCM237" s="10"/>
      <c r="GCN237" s="19"/>
      <c r="GCO237" s="19"/>
      <c r="GCR237" s="16"/>
      <c r="GCS237" s="15"/>
      <c r="GCT237" s="15"/>
      <c r="GCU237" s="15"/>
      <c r="GCV237" s="16"/>
      <c r="GCW237" s="16"/>
      <c r="GCX237" s="16"/>
      <c r="GCY237" s="16"/>
      <c r="GCZ237" s="16"/>
      <c r="GDA237" s="15"/>
      <c r="GDB237" s="15"/>
      <c r="GDC237" s="10"/>
      <c r="GDD237" s="10"/>
      <c r="GDE237" s="19"/>
      <c r="GDF237" s="19"/>
      <c r="GDI237" s="16"/>
      <c r="GDJ237" s="15"/>
      <c r="GDK237" s="15"/>
      <c r="GDL237" s="15"/>
      <c r="GDM237" s="16"/>
      <c r="GDN237" s="16"/>
      <c r="GDO237" s="16"/>
      <c r="GDP237" s="16"/>
      <c r="GDQ237" s="16"/>
      <c r="GDR237" s="15"/>
      <c r="GDS237" s="15"/>
      <c r="GDT237" s="10"/>
      <c r="GDU237" s="10"/>
      <c r="GDV237" s="19"/>
      <c r="GDW237" s="19"/>
      <c r="GDZ237" s="16"/>
      <c r="GEA237" s="15"/>
      <c r="GEB237" s="15"/>
      <c r="GEC237" s="15"/>
      <c r="GED237" s="16"/>
      <c r="GEE237" s="16"/>
      <c r="GEF237" s="16"/>
      <c r="GEG237" s="16"/>
      <c r="GEH237" s="16"/>
      <c r="GEI237" s="15"/>
      <c r="GEJ237" s="15"/>
      <c r="GEK237" s="10"/>
      <c r="GEL237" s="10"/>
      <c r="GEM237" s="19"/>
      <c r="GEN237" s="19"/>
      <c r="GEQ237" s="16"/>
      <c r="GER237" s="15"/>
      <c r="GES237" s="15"/>
      <c r="GET237" s="15"/>
      <c r="GEU237" s="16"/>
      <c r="GEV237" s="16"/>
      <c r="GEW237" s="16"/>
      <c r="GEX237" s="16"/>
      <c r="GEY237" s="16"/>
      <c r="GEZ237" s="15"/>
      <c r="GFA237" s="15"/>
      <c r="GFB237" s="10"/>
      <c r="GFC237" s="10"/>
      <c r="GFD237" s="19"/>
      <c r="GFE237" s="19"/>
      <c r="GFH237" s="16"/>
      <c r="GFI237" s="15"/>
      <c r="GFJ237" s="15"/>
      <c r="GFK237" s="15"/>
      <c r="GFL237" s="16"/>
      <c r="GFM237" s="16"/>
      <c r="GFN237" s="16"/>
      <c r="GFO237" s="16"/>
      <c r="GFP237" s="16"/>
      <c r="GFQ237" s="15"/>
      <c r="GFR237" s="15"/>
      <c r="GFS237" s="10"/>
      <c r="GFT237" s="10"/>
      <c r="GFU237" s="19"/>
      <c r="GFV237" s="19"/>
      <c r="GFY237" s="16"/>
      <c r="GFZ237" s="15"/>
      <c r="GGA237" s="15"/>
      <c r="GGB237" s="15"/>
      <c r="GGC237" s="16"/>
      <c r="GGD237" s="16"/>
      <c r="GGE237" s="16"/>
      <c r="GGF237" s="16"/>
      <c r="GGG237" s="16"/>
      <c r="GGH237" s="15"/>
      <c r="GGI237" s="15"/>
      <c r="GGJ237" s="10"/>
      <c r="GGK237" s="10"/>
      <c r="GGL237" s="19"/>
      <c r="GGM237" s="19"/>
      <c r="GGP237" s="16"/>
      <c r="GGQ237" s="15"/>
      <c r="GGR237" s="15"/>
      <c r="GGS237" s="15"/>
      <c r="GGT237" s="16"/>
      <c r="GGU237" s="16"/>
      <c r="GGV237" s="16"/>
      <c r="GGW237" s="16"/>
      <c r="GGX237" s="16"/>
      <c r="GGY237" s="15"/>
      <c r="GGZ237" s="15"/>
      <c r="GHA237" s="10"/>
      <c r="GHB237" s="10"/>
      <c r="GHC237" s="19"/>
      <c r="GHD237" s="19"/>
      <c r="GHG237" s="16"/>
      <c r="GHH237" s="15"/>
      <c r="GHI237" s="15"/>
      <c r="GHJ237" s="15"/>
      <c r="GHK237" s="16"/>
      <c r="GHL237" s="16"/>
      <c r="GHM237" s="16"/>
      <c r="GHN237" s="16"/>
      <c r="GHO237" s="16"/>
      <c r="GHP237" s="15"/>
      <c r="GHQ237" s="15"/>
      <c r="GHR237" s="10"/>
      <c r="GHS237" s="10"/>
      <c r="GHT237" s="19"/>
      <c r="GHU237" s="19"/>
      <c r="GHX237" s="16"/>
      <c r="GHY237" s="15"/>
      <c r="GHZ237" s="15"/>
      <c r="GIA237" s="15"/>
      <c r="GIB237" s="16"/>
      <c r="GIC237" s="16"/>
      <c r="GID237" s="16"/>
      <c r="GIE237" s="16"/>
      <c r="GIF237" s="16"/>
      <c r="GIG237" s="15"/>
      <c r="GIH237" s="15"/>
      <c r="GII237" s="10"/>
      <c r="GIJ237" s="10"/>
      <c r="GIK237" s="19"/>
      <c r="GIL237" s="19"/>
      <c r="GIO237" s="16"/>
      <c r="GIP237" s="15"/>
      <c r="GIQ237" s="15"/>
      <c r="GIR237" s="15"/>
      <c r="GIS237" s="16"/>
      <c r="GIT237" s="16"/>
      <c r="GIU237" s="16"/>
      <c r="GIV237" s="16"/>
      <c r="GIW237" s="16"/>
      <c r="GIX237" s="15"/>
      <c r="GIY237" s="15"/>
      <c r="GIZ237" s="10"/>
      <c r="GJA237" s="10"/>
      <c r="GJB237" s="19"/>
      <c r="GJC237" s="19"/>
      <c r="GJF237" s="16"/>
      <c r="GJG237" s="15"/>
      <c r="GJH237" s="15"/>
      <c r="GJI237" s="15"/>
      <c r="GJJ237" s="16"/>
      <c r="GJK237" s="16"/>
      <c r="GJL237" s="16"/>
      <c r="GJM237" s="16"/>
      <c r="GJN237" s="16"/>
      <c r="GJO237" s="15"/>
      <c r="GJP237" s="15"/>
      <c r="GJQ237" s="10"/>
      <c r="GJR237" s="10"/>
      <c r="GJS237" s="19"/>
      <c r="GJT237" s="19"/>
      <c r="GJW237" s="16"/>
      <c r="GJX237" s="15"/>
      <c r="GJY237" s="15"/>
      <c r="GJZ237" s="15"/>
      <c r="GKA237" s="16"/>
      <c r="GKB237" s="16"/>
      <c r="GKC237" s="16"/>
      <c r="GKD237" s="16"/>
      <c r="GKE237" s="16"/>
      <c r="GKF237" s="15"/>
      <c r="GKG237" s="15"/>
      <c r="GKH237" s="10"/>
      <c r="GKI237" s="10"/>
      <c r="GKJ237" s="19"/>
      <c r="GKK237" s="19"/>
      <c r="GKN237" s="16"/>
      <c r="GKO237" s="15"/>
      <c r="GKP237" s="15"/>
      <c r="GKQ237" s="15"/>
      <c r="GKR237" s="16"/>
      <c r="GKS237" s="16"/>
      <c r="GKT237" s="16"/>
      <c r="GKU237" s="16"/>
      <c r="GKV237" s="16"/>
      <c r="GKW237" s="15"/>
      <c r="GKX237" s="15"/>
      <c r="GKY237" s="10"/>
      <c r="GKZ237" s="10"/>
      <c r="GLA237" s="19"/>
      <c r="GLB237" s="19"/>
      <c r="GLE237" s="16"/>
      <c r="GLF237" s="15"/>
      <c r="GLG237" s="15"/>
      <c r="GLH237" s="15"/>
      <c r="GLI237" s="16"/>
      <c r="GLJ237" s="16"/>
      <c r="GLK237" s="16"/>
      <c r="GLL237" s="16"/>
      <c r="GLM237" s="16"/>
      <c r="GLN237" s="15"/>
      <c r="GLO237" s="15"/>
      <c r="GLP237" s="10"/>
      <c r="GLQ237" s="10"/>
      <c r="GLR237" s="19"/>
      <c r="GLS237" s="19"/>
      <c r="GLV237" s="16"/>
      <c r="GLW237" s="15"/>
      <c r="GLX237" s="15"/>
      <c r="GLY237" s="15"/>
      <c r="GLZ237" s="16"/>
      <c r="GMA237" s="16"/>
      <c r="GMB237" s="16"/>
      <c r="GMC237" s="16"/>
      <c r="GMD237" s="16"/>
      <c r="GME237" s="15"/>
      <c r="GMF237" s="15"/>
      <c r="GMG237" s="10"/>
      <c r="GMH237" s="10"/>
      <c r="GMI237" s="19"/>
      <c r="GMJ237" s="19"/>
      <c r="GMM237" s="16"/>
      <c r="GMN237" s="15"/>
      <c r="GMO237" s="15"/>
      <c r="GMP237" s="15"/>
      <c r="GMQ237" s="16"/>
      <c r="GMR237" s="16"/>
      <c r="GMS237" s="16"/>
      <c r="GMT237" s="16"/>
      <c r="GMU237" s="16"/>
      <c r="GMV237" s="15"/>
      <c r="GMW237" s="15"/>
      <c r="GMX237" s="10"/>
      <c r="GMY237" s="10"/>
      <c r="GMZ237" s="19"/>
      <c r="GNA237" s="19"/>
      <c r="GND237" s="16"/>
      <c r="GNE237" s="15"/>
      <c r="GNF237" s="15"/>
      <c r="GNG237" s="15"/>
      <c r="GNH237" s="16"/>
      <c r="GNI237" s="16"/>
      <c r="GNJ237" s="16"/>
      <c r="GNK237" s="16"/>
      <c r="GNL237" s="16"/>
      <c r="GNM237" s="15"/>
      <c r="GNN237" s="15"/>
      <c r="GNO237" s="10"/>
      <c r="GNP237" s="10"/>
      <c r="GNQ237" s="19"/>
      <c r="GNR237" s="19"/>
      <c r="GNU237" s="16"/>
      <c r="GNV237" s="15"/>
      <c r="GNW237" s="15"/>
      <c r="GNX237" s="15"/>
      <c r="GNY237" s="16"/>
      <c r="GNZ237" s="16"/>
      <c r="GOA237" s="16"/>
      <c r="GOB237" s="16"/>
      <c r="GOC237" s="16"/>
      <c r="GOD237" s="15"/>
      <c r="GOE237" s="15"/>
      <c r="GOF237" s="10"/>
      <c r="GOG237" s="10"/>
      <c r="GOH237" s="19"/>
      <c r="GOI237" s="19"/>
      <c r="GOL237" s="16"/>
      <c r="GOM237" s="15"/>
      <c r="GON237" s="15"/>
      <c r="GOO237" s="15"/>
      <c r="GOP237" s="16"/>
      <c r="GOQ237" s="16"/>
      <c r="GOR237" s="16"/>
      <c r="GOS237" s="16"/>
      <c r="GOT237" s="16"/>
      <c r="GOU237" s="15"/>
      <c r="GOV237" s="15"/>
      <c r="GOW237" s="10"/>
      <c r="GOX237" s="10"/>
      <c r="GOY237" s="19"/>
      <c r="GOZ237" s="19"/>
      <c r="GPC237" s="16"/>
      <c r="GPD237" s="15"/>
      <c r="GPE237" s="15"/>
      <c r="GPF237" s="15"/>
      <c r="GPG237" s="16"/>
      <c r="GPH237" s="16"/>
      <c r="GPI237" s="16"/>
      <c r="GPJ237" s="16"/>
      <c r="GPK237" s="16"/>
      <c r="GPL237" s="15"/>
      <c r="GPM237" s="15"/>
      <c r="GPN237" s="10"/>
      <c r="GPO237" s="10"/>
      <c r="GPP237" s="19"/>
      <c r="GPQ237" s="19"/>
      <c r="GPT237" s="16"/>
      <c r="GPU237" s="15"/>
      <c r="GPV237" s="15"/>
      <c r="GPW237" s="15"/>
      <c r="GPX237" s="16"/>
      <c r="GPY237" s="16"/>
      <c r="GPZ237" s="16"/>
      <c r="GQA237" s="16"/>
      <c r="GQB237" s="16"/>
      <c r="GQC237" s="15"/>
      <c r="GQD237" s="15"/>
      <c r="GQE237" s="10"/>
      <c r="GQF237" s="10"/>
      <c r="GQG237" s="19"/>
      <c r="GQH237" s="19"/>
      <c r="GQK237" s="16"/>
      <c r="GQL237" s="15"/>
      <c r="GQM237" s="15"/>
      <c r="GQN237" s="15"/>
      <c r="GQO237" s="16"/>
      <c r="GQP237" s="16"/>
      <c r="GQQ237" s="16"/>
      <c r="GQR237" s="16"/>
      <c r="GQS237" s="16"/>
      <c r="GQT237" s="15"/>
      <c r="GQU237" s="15"/>
      <c r="GQV237" s="10"/>
      <c r="GQW237" s="10"/>
      <c r="GQX237" s="19"/>
      <c r="GQY237" s="19"/>
      <c r="GRB237" s="16"/>
      <c r="GRC237" s="15"/>
      <c r="GRD237" s="15"/>
      <c r="GRE237" s="15"/>
      <c r="GRF237" s="16"/>
      <c r="GRG237" s="16"/>
      <c r="GRH237" s="16"/>
      <c r="GRI237" s="16"/>
      <c r="GRJ237" s="16"/>
      <c r="GRK237" s="15"/>
      <c r="GRL237" s="15"/>
      <c r="GRM237" s="10"/>
      <c r="GRN237" s="10"/>
      <c r="GRO237" s="19"/>
      <c r="GRP237" s="19"/>
      <c r="GRS237" s="16"/>
      <c r="GRT237" s="15"/>
      <c r="GRU237" s="15"/>
      <c r="GRV237" s="15"/>
      <c r="GRW237" s="16"/>
      <c r="GRX237" s="16"/>
      <c r="GRY237" s="16"/>
      <c r="GRZ237" s="16"/>
      <c r="GSA237" s="16"/>
      <c r="GSB237" s="15"/>
      <c r="GSC237" s="15"/>
      <c r="GSD237" s="10"/>
      <c r="GSE237" s="10"/>
      <c r="GSF237" s="19"/>
      <c r="GSG237" s="19"/>
      <c r="GSJ237" s="16"/>
      <c r="GSK237" s="15"/>
      <c r="GSL237" s="15"/>
      <c r="GSM237" s="15"/>
      <c r="GSN237" s="16"/>
      <c r="GSO237" s="16"/>
      <c r="GSP237" s="16"/>
      <c r="GSQ237" s="16"/>
      <c r="GSR237" s="16"/>
      <c r="GSS237" s="15"/>
      <c r="GST237" s="15"/>
      <c r="GSU237" s="10"/>
      <c r="GSV237" s="10"/>
      <c r="GSW237" s="19"/>
      <c r="GSX237" s="19"/>
      <c r="GTA237" s="16"/>
      <c r="GTB237" s="15"/>
      <c r="GTC237" s="15"/>
      <c r="GTD237" s="15"/>
      <c r="GTE237" s="16"/>
      <c r="GTF237" s="16"/>
      <c r="GTG237" s="16"/>
      <c r="GTH237" s="16"/>
      <c r="GTI237" s="16"/>
      <c r="GTJ237" s="15"/>
      <c r="GTK237" s="15"/>
      <c r="GTL237" s="10"/>
      <c r="GTM237" s="10"/>
      <c r="GTN237" s="19"/>
      <c r="GTO237" s="19"/>
      <c r="GTR237" s="16"/>
      <c r="GTS237" s="15"/>
      <c r="GTT237" s="15"/>
      <c r="GTU237" s="15"/>
      <c r="GTV237" s="16"/>
      <c r="GTW237" s="16"/>
      <c r="GTX237" s="16"/>
      <c r="GTY237" s="16"/>
      <c r="GTZ237" s="16"/>
      <c r="GUA237" s="15"/>
      <c r="GUB237" s="15"/>
      <c r="GUC237" s="10"/>
      <c r="GUD237" s="10"/>
      <c r="GUE237" s="19"/>
      <c r="GUF237" s="19"/>
      <c r="GUI237" s="16"/>
      <c r="GUJ237" s="15"/>
      <c r="GUK237" s="15"/>
      <c r="GUL237" s="15"/>
      <c r="GUM237" s="16"/>
      <c r="GUN237" s="16"/>
      <c r="GUO237" s="16"/>
      <c r="GUP237" s="16"/>
      <c r="GUQ237" s="16"/>
      <c r="GUR237" s="15"/>
      <c r="GUS237" s="15"/>
      <c r="GUT237" s="10"/>
      <c r="GUU237" s="10"/>
      <c r="GUV237" s="19"/>
      <c r="GUW237" s="19"/>
      <c r="GUZ237" s="16"/>
      <c r="GVA237" s="15"/>
      <c r="GVB237" s="15"/>
      <c r="GVC237" s="15"/>
      <c r="GVD237" s="16"/>
      <c r="GVE237" s="16"/>
      <c r="GVF237" s="16"/>
      <c r="GVG237" s="16"/>
      <c r="GVH237" s="16"/>
      <c r="GVI237" s="15"/>
      <c r="GVJ237" s="15"/>
      <c r="GVK237" s="10"/>
      <c r="GVL237" s="10"/>
      <c r="GVM237" s="19"/>
      <c r="GVN237" s="19"/>
      <c r="GVQ237" s="16"/>
      <c r="GVR237" s="15"/>
      <c r="GVS237" s="15"/>
      <c r="GVT237" s="15"/>
      <c r="GVU237" s="16"/>
      <c r="GVV237" s="16"/>
      <c r="GVW237" s="16"/>
      <c r="GVX237" s="16"/>
      <c r="GVY237" s="16"/>
      <c r="GVZ237" s="15"/>
      <c r="GWA237" s="15"/>
      <c r="GWB237" s="10"/>
      <c r="GWC237" s="10"/>
      <c r="GWD237" s="19"/>
      <c r="GWE237" s="19"/>
      <c r="GWH237" s="16"/>
      <c r="GWI237" s="15"/>
      <c r="GWJ237" s="15"/>
      <c r="GWK237" s="15"/>
      <c r="GWL237" s="16"/>
      <c r="GWM237" s="16"/>
      <c r="GWN237" s="16"/>
      <c r="GWO237" s="16"/>
      <c r="GWP237" s="16"/>
      <c r="GWQ237" s="15"/>
      <c r="GWR237" s="15"/>
      <c r="GWS237" s="10"/>
      <c r="GWT237" s="10"/>
      <c r="GWU237" s="19"/>
      <c r="GWV237" s="19"/>
      <c r="GWY237" s="16"/>
      <c r="GWZ237" s="15"/>
      <c r="GXA237" s="15"/>
      <c r="GXB237" s="15"/>
      <c r="GXC237" s="16"/>
      <c r="GXD237" s="16"/>
      <c r="GXE237" s="16"/>
      <c r="GXF237" s="16"/>
      <c r="GXG237" s="16"/>
      <c r="GXH237" s="15"/>
      <c r="GXI237" s="15"/>
      <c r="GXJ237" s="10"/>
      <c r="GXK237" s="10"/>
      <c r="GXL237" s="19"/>
      <c r="GXM237" s="19"/>
      <c r="GXP237" s="16"/>
      <c r="GXQ237" s="15"/>
      <c r="GXR237" s="15"/>
      <c r="GXS237" s="15"/>
      <c r="GXT237" s="16"/>
      <c r="GXU237" s="16"/>
      <c r="GXV237" s="16"/>
      <c r="GXW237" s="16"/>
      <c r="GXX237" s="16"/>
      <c r="GXY237" s="15"/>
      <c r="GXZ237" s="15"/>
      <c r="GYA237" s="10"/>
      <c r="GYB237" s="10"/>
      <c r="GYC237" s="19"/>
      <c r="GYD237" s="19"/>
      <c r="GYG237" s="16"/>
      <c r="GYH237" s="15"/>
      <c r="GYI237" s="15"/>
      <c r="GYJ237" s="15"/>
      <c r="GYK237" s="16"/>
      <c r="GYL237" s="16"/>
      <c r="GYM237" s="16"/>
      <c r="GYN237" s="16"/>
      <c r="GYO237" s="16"/>
      <c r="GYP237" s="15"/>
      <c r="GYQ237" s="15"/>
      <c r="GYR237" s="10"/>
      <c r="GYS237" s="10"/>
      <c r="GYT237" s="19"/>
      <c r="GYU237" s="19"/>
      <c r="GYX237" s="16"/>
      <c r="GYY237" s="15"/>
      <c r="GYZ237" s="15"/>
      <c r="GZA237" s="15"/>
      <c r="GZB237" s="16"/>
      <c r="GZC237" s="16"/>
      <c r="GZD237" s="16"/>
      <c r="GZE237" s="16"/>
      <c r="GZF237" s="16"/>
      <c r="GZG237" s="15"/>
      <c r="GZH237" s="15"/>
      <c r="GZI237" s="10"/>
      <c r="GZJ237" s="10"/>
      <c r="GZK237" s="19"/>
      <c r="GZL237" s="19"/>
      <c r="GZO237" s="16"/>
      <c r="GZP237" s="15"/>
      <c r="GZQ237" s="15"/>
      <c r="GZR237" s="15"/>
      <c r="GZS237" s="16"/>
      <c r="GZT237" s="16"/>
      <c r="GZU237" s="16"/>
      <c r="GZV237" s="16"/>
      <c r="GZW237" s="16"/>
      <c r="GZX237" s="15"/>
      <c r="GZY237" s="15"/>
      <c r="GZZ237" s="10"/>
      <c r="HAA237" s="10"/>
      <c r="HAB237" s="19"/>
      <c r="HAC237" s="19"/>
      <c r="HAF237" s="16"/>
      <c r="HAG237" s="15"/>
      <c r="HAH237" s="15"/>
      <c r="HAI237" s="15"/>
      <c r="HAJ237" s="16"/>
      <c r="HAK237" s="16"/>
      <c r="HAL237" s="16"/>
      <c r="HAM237" s="16"/>
      <c r="HAN237" s="16"/>
      <c r="HAO237" s="15"/>
      <c r="HAP237" s="15"/>
      <c r="HAQ237" s="10"/>
      <c r="HAR237" s="10"/>
      <c r="HAS237" s="19"/>
      <c r="HAT237" s="19"/>
      <c r="HAW237" s="16"/>
      <c r="HAX237" s="15"/>
      <c r="HAY237" s="15"/>
      <c r="HAZ237" s="15"/>
      <c r="HBA237" s="16"/>
      <c r="HBB237" s="16"/>
      <c r="HBC237" s="16"/>
      <c r="HBD237" s="16"/>
      <c r="HBE237" s="16"/>
      <c r="HBF237" s="15"/>
      <c r="HBG237" s="15"/>
      <c r="HBH237" s="10"/>
      <c r="HBI237" s="10"/>
      <c r="HBJ237" s="19"/>
      <c r="HBK237" s="19"/>
      <c r="HBN237" s="16"/>
      <c r="HBO237" s="15"/>
      <c r="HBP237" s="15"/>
      <c r="HBQ237" s="15"/>
      <c r="HBR237" s="16"/>
      <c r="HBS237" s="16"/>
      <c r="HBT237" s="16"/>
      <c r="HBU237" s="16"/>
      <c r="HBV237" s="16"/>
      <c r="HBW237" s="15"/>
      <c r="HBX237" s="15"/>
      <c r="HBY237" s="10"/>
      <c r="HBZ237" s="10"/>
      <c r="HCA237" s="19"/>
      <c r="HCB237" s="19"/>
      <c r="HCE237" s="16"/>
      <c r="HCF237" s="15"/>
      <c r="HCG237" s="15"/>
      <c r="HCH237" s="15"/>
      <c r="HCI237" s="16"/>
      <c r="HCJ237" s="16"/>
      <c r="HCK237" s="16"/>
      <c r="HCL237" s="16"/>
      <c r="HCM237" s="16"/>
      <c r="HCN237" s="15"/>
      <c r="HCO237" s="15"/>
      <c r="HCP237" s="10"/>
      <c r="HCQ237" s="10"/>
      <c r="HCR237" s="19"/>
      <c r="HCS237" s="19"/>
      <c r="HCV237" s="16"/>
      <c r="HCW237" s="15"/>
      <c r="HCX237" s="15"/>
      <c r="HCY237" s="15"/>
      <c r="HCZ237" s="16"/>
      <c r="HDA237" s="16"/>
      <c r="HDB237" s="16"/>
      <c r="HDC237" s="16"/>
      <c r="HDD237" s="16"/>
      <c r="HDE237" s="15"/>
      <c r="HDF237" s="15"/>
      <c r="HDG237" s="10"/>
      <c r="HDH237" s="10"/>
      <c r="HDI237" s="19"/>
      <c r="HDJ237" s="19"/>
      <c r="HDM237" s="16"/>
      <c r="HDN237" s="15"/>
      <c r="HDO237" s="15"/>
      <c r="HDP237" s="15"/>
      <c r="HDQ237" s="16"/>
      <c r="HDR237" s="16"/>
      <c r="HDS237" s="16"/>
      <c r="HDT237" s="16"/>
      <c r="HDU237" s="16"/>
      <c r="HDV237" s="15"/>
      <c r="HDW237" s="15"/>
      <c r="HDX237" s="10"/>
      <c r="HDY237" s="10"/>
      <c r="HDZ237" s="19"/>
      <c r="HEA237" s="19"/>
      <c r="HED237" s="16"/>
      <c r="HEE237" s="15"/>
      <c r="HEF237" s="15"/>
      <c r="HEG237" s="15"/>
      <c r="HEH237" s="16"/>
      <c r="HEI237" s="16"/>
      <c r="HEJ237" s="16"/>
      <c r="HEK237" s="16"/>
      <c r="HEL237" s="16"/>
      <c r="HEM237" s="15"/>
      <c r="HEN237" s="15"/>
      <c r="HEO237" s="10"/>
      <c r="HEP237" s="10"/>
      <c r="HEQ237" s="19"/>
      <c r="HER237" s="19"/>
      <c r="HEU237" s="16"/>
      <c r="HEV237" s="15"/>
      <c r="HEW237" s="15"/>
      <c r="HEX237" s="15"/>
      <c r="HEY237" s="16"/>
      <c r="HEZ237" s="16"/>
      <c r="HFA237" s="16"/>
      <c r="HFB237" s="16"/>
      <c r="HFC237" s="16"/>
      <c r="HFD237" s="15"/>
      <c r="HFE237" s="15"/>
      <c r="HFF237" s="10"/>
      <c r="HFG237" s="10"/>
      <c r="HFH237" s="19"/>
      <c r="HFI237" s="19"/>
      <c r="HFL237" s="16"/>
      <c r="HFM237" s="15"/>
      <c r="HFN237" s="15"/>
      <c r="HFO237" s="15"/>
      <c r="HFP237" s="16"/>
      <c r="HFQ237" s="16"/>
      <c r="HFR237" s="16"/>
      <c r="HFS237" s="16"/>
      <c r="HFT237" s="16"/>
      <c r="HFU237" s="15"/>
      <c r="HFV237" s="15"/>
      <c r="HFW237" s="10"/>
      <c r="HFX237" s="10"/>
      <c r="HFY237" s="19"/>
      <c r="HFZ237" s="19"/>
      <c r="HGC237" s="16"/>
      <c r="HGD237" s="15"/>
      <c r="HGE237" s="15"/>
      <c r="HGF237" s="15"/>
      <c r="HGG237" s="16"/>
      <c r="HGH237" s="16"/>
      <c r="HGI237" s="16"/>
      <c r="HGJ237" s="16"/>
      <c r="HGK237" s="16"/>
      <c r="HGL237" s="15"/>
      <c r="HGM237" s="15"/>
      <c r="HGN237" s="10"/>
      <c r="HGO237" s="10"/>
      <c r="HGP237" s="19"/>
      <c r="HGQ237" s="19"/>
      <c r="HGT237" s="16"/>
      <c r="HGU237" s="15"/>
      <c r="HGV237" s="15"/>
      <c r="HGW237" s="15"/>
      <c r="HGX237" s="16"/>
      <c r="HGY237" s="16"/>
      <c r="HGZ237" s="16"/>
      <c r="HHA237" s="16"/>
      <c r="HHB237" s="16"/>
      <c r="HHC237" s="15"/>
      <c r="HHD237" s="15"/>
      <c r="HHE237" s="10"/>
      <c r="HHF237" s="10"/>
      <c r="HHG237" s="19"/>
      <c r="HHH237" s="19"/>
      <c r="HHK237" s="16"/>
      <c r="HHL237" s="15"/>
      <c r="HHM237" s="15"/>
      <c r="HHN237" s="15"/>
      <c r="HHO237" s="16"/>
      <c r="HHP237" s="16"/>
      <c r="HHQ237" s="16"/>
      <c r="HHR237" s="16"/>
      <c r="HHS237" s="16"/>
      <c r="HHT237" s="15"/>
      <c r="HHU237" s="15"/>
      <c r="HHV237" s="10"/>
      <c r="HHW237" s="10"/>
      <c r="HHX237" s="19"/>
      <c r="HHY237" s="19"/>
      <c r="HIB237" s="16"/>
      <c r="HIC237" s="15"/>
      <c r="HID237" s="15"/>
      <c r="HIE237" s="15"/>
      <c r="HIF237" s="16"/>
      <c r="HIG237" s="16"/>
      <c r="HIH237" s="16"/>
      <c r="HII237" s="16"/>
      <c r="HIJ237" s="16"/>
      <c r="HIK237" s="15"/>
      <c r="HIL237" s="15"/>
      <c r="HIM237" s="10"/>
      <c r="HIN237" s="10"/>
      <c r="HIO237" s="19"/>
      <c r="HIP237" s="19"/>
      <c r="HIS237" s="16"/>
      <c r="HIT237" s="15"/>
      <c r="HIU237" s="15"/>
      <c r="HIV237" s="15"/>
      <c r="HIW237" s="16"/>
      <c r="HIX237" s="16"/>
      <c r="HIY237" s="16"/>
      <c r="HIZ237" s="16"/>
      <c r="HJA237" s="16"/>
      <c r="HJB237" s="15"/>
      <c r="HJC237" s="15"/>
      <c r="HJD237" s="10"/>
      <c r="HJE237" s="10"/>
      <c r="HJF237" s="19"/>
      <c r="HJG237" s="19"/>
      <c r="HJJ237" s="16"/>
      <c r="HJK237" s="15"/>
      <c r="HJL237" s="15"/>
      <c r="HJM237" s="15"/>
      <c r="HJN237" s="16"/>
      <c r="HJO237" s="16"/>
      <c r="HJP237" s="16"/>
      <c r="HJQ237" s="16"/>
      <c r="HJR237" s="16"/>
      <c r="HJS237" s="15"/>
      <c r="HJT237" s="15"/>
      <c r="HJU237" s="10"/>
      <c r="HJV237" s="10"/>
      <c r="HJW237" s="19"/>
      <c r="HJX237" s="19"/>
      <c r="HKA237" s="16"/>
      <c r="HKB237" s="15"/>
      <c r="HKC237" s="15"/>
      <c r="HKD237" s="15"/>
      <c r="HKE237" s="16"/>
      <c r="HKF237" s="16"/>
      <c r="HKG237" s="16"/>
      <c r="HKH237" s="16"/>
      <c r="HKI237" s="16"/>
      <c r="HKJ237" s="15"/>
      <c r="HKK237" s="15"/>
      <c r="HKL237" s="10"/>
      <c r="HKM237" s="10"/>
      <c r="HKN237" s="19"/>
      <c r="HKO237" s="19"/>
      <c r="HKR237" s="16"/>
      <c r="HKS237" s="15"/>
      <c r="HKT237" s="15"/>
      <c r="HKU237" s="15"/>
      <c r="HKV237" s="16"/>
      <c r="HKW237" s="16"/>
      <c r="HKX237" s="16"/>
      <c r="HKY237" s="16"/>
      <c r="HKZ237" s="16"/>
      <c r="HLA237" s="15"/>
      <c r="HLB237" s="15"/>
      <c r="HLC237" s="10"/>
      <c r="HLD237" s="10"/>
      <c r="HLE237" s="19"/>
      <c r="HLF237" s="19"/>
      <c r="HLI237" s="16"/>
      <c r="HLJ237" s="15"/>
      <c r="HLK237" s="15"/>
      <c r="HLL237" s="15"/>
      <c r="HLM237" s="16"/>
      <c r="HLN237" s="16"/>
      <c r="HLO237" s="16"/>
      <c r="HLP237" s="16"/>
      <c r="HLQ237" s="16"/>
      <c r="HLR237" s="15"/>
      <c r="HLS237" s="15"/>
      <c r="HLT237" s="10"/>
      <c r="HLU237" s="10"/>
      <c r="HLV237" s="19"/>
      <c r="HLW237" s="19"/>
      <c r="HLZ237" s="16"/>
      <c r="HMA237" s="15"/>
      <c r="HMB237" s="15"/>
      <c r="HMC237" s="15"/>
      <c r="HMD237" s="16"/>
      <c r="HME237" s="16"/>
      <c r="HMF237" s="16"/>
      <c r="HMG237" s="16"/>
      <c r="HMH237" s="16"/>
      <c r="HMI237" s="15"/>
      <c r="HMJ237" s="15"/>
      <c r="HMK237" s="10"/>
      <c r="HML237" s="10"/>
      <c r="HMM237" s="19"/>
      <c r="HMN237" s="19"/>
      <c r="HMQ237" s="16"/>
      <c r="HMR237" s="15"/>
      <c r="HMS237" s="15"/>
      <c r="HMT237" s="15"/>
      <c r="HMU237" s="16"/>
      <c r="HMV237" s="16"/>
      <c r="HMW237" s="16"/>
      <c r="HMX237" s="16"/>
      <c r="HMY237" s="16"/>
      <c r="HMZ237" s="15"/>
      <c r="HNA237" s="15"/>
      <c r="HNB237" s="10"/>
      <c r="HNC237" s="10"/>
      <c r="HND237" s="19"/>
      <c r="HNE237" s="19"/>
      <c r="HNH237" s="16"/>
      <c r="HNI237" s="15"/>
      <c r="HNJ237" s="15"/>
      <c r="HNK237" s="15"/>
      <c r="HNL237" s="16"/>
      <c r="HNM237" s="16"/>
      <c r="HNN237" s="16"/>
      <c r="HNO237" s="16"/>
      <c r="HNP237" s="16"/>
      <c r="HNQ237" s="15"/>
      <c r="HNR237" s="15"/>
      <c r="HNS237" s="10"/>
      <c r="HNT237" s="10"/>
      <c r="HNU237" s="19"/>
      <c r="HNV237" s="19"/>
      <c r="HNY237" s="16"/>
      <c r="HNZ237" s="15"/>
      <c r="HOA237" s="15"/>
      <c r="HOB237" s="15"/>
      <c r="HOC237" s="16"/>
      <c r="HOD237" s="16"/>
      <c r="HOE237" s="16"/>
      <c r="HOF237" s="16"/>
      <c r="HOG237" s="16"/>
      <c r="HOH237" s="15"/>
      <c r="HOI237" s="15"/>
      <c r="HOJ237" s="10"/>
      <c r="HOK237" s="10"/>
      <c r="HOL237" s="19"/>
      <c r="HOM237" s="19"/>
      <c r="HOP237" s="16"/>
      <c r="HOQ237" s="15"/>
      <c r="HOR237" s="15"/>
      <c r="HOS237" s="15"/>
      <c r="HOT237" s="16"/>
      <c r="HOU237" s="16"/>
      <c r="HOV237" s="16"/>
      <c r="HOW237" s="16"/>
      <c r="HOX237" s="16"/>
      <c r="HOY237" s="15"/>
      <c r="HOZ237" s="15"/>
      <c r="HPA237" s="10"/>
      <c r="HPB237" s="10"/>
      <c r="HPC237" s="19"/>
      <c r="HPD237" s="19"/>
      <c r="HPG237" s="16"/>
      <c r="HPH237" s="15"/>
      <c r="HPI237" s="15"/>
      <c r="HPJ237" s="15"/>
      <c r="HPK237" s="16"/>
      <c r="HPL237" s="16"/>
      <c r="HPM237" s="16"/>
      <c r="HPN237" s="16"/>
      <c r="HPO237" s="16"/>
      <c r="HPP237" s="15"/>
      <c r="HPQ237" s="15"/>
      <c r="HPR237" s="10"/>
      <c r="HPS237" s="10"/>
      <c r="HPT237" s="19"/>
      <c r="HPU237" s="19"/>
      <c r="HPX237" s="16"/>
      <c r="HPY237" s="15"/>
      <c r="HPZ237" s="15"/>
      <c r="HQA237" s="15"/>
      <c r="HQB237" s="16"/>
      <c r="HQC237" s="16"/>
      <c r="HQD237" s="16"/>
      <c r="HQE237" s="16"/>
      <c r="HQF237" s="16"/>
      <c r="HQG237" s="15"/>
      <c r="HQH237" s="15"/>
      <c r="HQI237" s="10"/>
      <c r="HQJ237" s="10"/>
      <c r="HQK237" s="19"/>
      <c r="HQL237" s="19"/>
      <c r="HQO237" s="16"/>
      <c r="HQP237" s="15"/>
      <c r="HQQ237" s="15"/>
      <c r="HQR237" s="15"/>
      <c r="HQS237" s="16"/>
      <c r="HQT237" s="16"/>
      <c r="HQU237" s="16"/>
      <c r="HQV237" s="16"/>
      <c r="HQW237" s="16"/>
      <c r="HQX237" s="15"/>
      <c r="HQY237" s="15"/>
      <c r="HQZ237" s="10"/>
      <c r="HRA237" s="10"/>
      <c r="HRB237" s="19"/>
      <c r="HRC237" s="19"/>
      <c r="HRF237" s="16"/>
      <c r="HRG237" s="15"/>
      <c r="HRH237" s="15"/>
      <c r="HRI237" s="15"/>
      <c r="HRJ237" s="16"/>
      <c r="HRK237" s="16"/>
      <c r="HRL237" s="16"/>
      <c r="HRM237" s="16"/>
      <c r="HRN237" s="16"/>
      <c r="HRO237" s="15"/>
      <c r="HRP237" s="15"/>
      <c r="HRQ237" s="10"/>
      <c r="HRR237" s="10"/>
      <c r="HRS237" s="19"/>
      <c r="HRT237" s="19"/>
      <c r="HRW237" s="16"/>
      <c r="HRX237" s="15"/>
      <c r="HRY237" s="15"/>
      <c r="HRZ237" s="15"/>
      <c r="HSA237" s="16"/>
      <c r="HSB237" s="16"/>
      <c r="HSC237" s="16"/>
      <c r="HSD237" s="16"/>
      <c r="HSE237" s="16"/>
      <c r="HSF237" s="15"/>
      <c r="HSG237" s="15"/>
      <c r="HSH237" s="10"/>
      <c r="HSI237" s="10"/>
      <c r="HSJ237" s="19"/>
      <c r="HSK237" s="19"/>
      <c r="HSN237" s="16"/>
      <c r="HSO237" s="15"/>
      <c r="HSP237" s="15"/>
      <c r="HSQ237" s="15"/>
      <c r="HSR237" s="16"/>
      <c r="HSS237" s="16"/>
      <c r="HST237" s="16"/>
      <c r="HSU237" s="16"/>
      <c r="HSV237" s="16"/>
      <c r="HSW237" s="15"/>
      <c r="HSX237" s="15"/>
      <c r="HSY237" s="10"/>
      <c r="HSZ237" s="10"/>
      <c r="HTA237" s="19"/>
      <c r="HTB237" s="19"/>
      <c r="HTE237" s="16"/>
      <c r="HTF237" s="15"/>
      <c r="HTG237" s="15"/>
      <c r="HTH237" s="15"/>
      <c r="HTI237" s="16"/>
      <c r="HTJ237" s="16"/>
      <c r="HTK237" s="16"/>
      <c r="HTL237" s="16"/>
      <c r="HTM237" s="16"/>
      <c r="HTN237" s="15"/>
      <c r="HTO237" s="15"/>
      <c r="HTP237" s="10"/>
      <c r="HTQ237" s="10"/>
      <c r="HTR237" s="19"/>
      <c r="HTS237" s="19"/>
      <c r="HTV237" s="16"/>
      <c r="HTW237" s="15"/>
      <c r="HTX237" s="15"/>
      <c r="HTY237" s="15"/>
      <c r="HTZ237" s="16"/>
      <c r="HUA237" s="16"/>
      <c r="HUB237" s="16"/>
      <c r="HUC237" s="16"/>
      <c r="HUD237" s="16"/>
      <c r="HUE237" s="15"/>
      <c r="HUF237" s="15"/>
      <c r="HUG237" s="10"/>
      <c r="HUH237" s="10"/>
      <c r="HUI237" s="19"/>
      <c r="HUJ237" s="19"/>
      <c r="HUM237" s="16"/>
      <c r="HUN237" s="15"/>
      <c r="HUO237" s="15"/>
      <c r="HUP237" s="15"/>
      <c r="HUQ237" s="16"/>
      <c r="HUR237" s="16"/>
      <c r="HUS237" s="16"/>
      <c r="HUT237" s="16"/>
      <c r="HUU237" s="16"/>
      <c r="HUV237" s="15"/>
      <c r="HUW237" s="15"/>
      <c r="HUX237" s="10"/>
      <c r="HUY237" s="10"/>
      <c r="HUZ237" s="19"/>
      <c r="HVA237" s="19"/>
      <c r="HVD237" s="16"/>
      <c r="HVE237" s="15"/>
      <c r="HVF237" s="15"/>
      <c r="HVG237" s="15"/>
      <c r="HVH237" s="16"/>
      <c r="HVI237" s="16"/>
      <c r="HVJ237" s="16"/>
      <c r="HVK237" s="16"/>
      <c r="HVL237" s="16"/>
      <c r="HVM237" s="15"/>
      <c r="HVN237" s="15"/>
      <c r="HVO237" s="10"/>
      <c r="HVP237" s="10"/>
      <c r="HVQ237" s="19"/>
      <c r="HVR237" s="19"/>
      <c r="HVU237" s="16"/>
      <c r="HVV237" s="15"/>
      <c r="HVW237" s="15"/>
      <c r="HVX237" s="15"/>
      <c r="HVY237" s="16"/>
      <c r="HVZ237" s="16"/>
      <c r="HWA237" s="16"/>
      <c r="HWB237" s="16"/>
      <c r="HWC237" s="16"/>
      <c r="HWD237" s="15"/>
      <c r="HWE237" s="15"/>
      <c r="HWF237" s="10"/>
      <c r="HWG237" s="10"/>
      <c r="HWH237" s="19"/>
      <c r="HWI237" s="19"/>
      <c r="HWL237" s="16"/>
      <c r="HWM237" s="15"/>
      <c r="HWN237" s="15"/>
      <c r="HWO237" s="15"/>
      <c r="HWP237" s="16"/>
      <c r="HWQ237" s="16"/>
      <c r="HWR237" s="16"/>
      <c r="HWS237" s="16"/>
      <c r="HWT237" s="16"/>
      <c r="HWU237" s="15"/>
      <c r="HWV237" s="15"/>
      <c r="HWW237" s="10"/>
      <c r="HWX237" s="10"/>
      <c r="HWY237" s="19"/>
      <c r="HWZ237" s="19"/>
      <c r="HXC237" s="16"/>
      <c r="HXD237" s="15"/>
      <c r="HXE237" s="15"/>
      <c r="HXF237" s="15"/>
      <c r="HXG237" s="16"/>
      <c r="HXH237" s="16"/>
      <c r="HXI237" s="16"/>
      <c r="HXJ237" s="16"/>
      <c r="HXK237" s="16"/>
      <c r="HXL237" s="15"/>
      <c r="HXM237" s="15"/>
      <c r="HXN237" s="10"/>
      <c r="HXO237" s="10"/>
      <c r="HXP237" s="19"/>
      <c r="HXQ237" s="19"/>
      <c r="HXT237" s="16"/>
      <c r="HXU237" s="15"/>
      <c r="HXV237" s="15"/>
      <c r="HXW237" s="15"/>
      <c r="HXX237" s="16"/>
      <c r="HXY237" s="16"/>
      <c r="HXZ237" s="16"/>
      <c r="HYA237" s="16"/>
      <c r="HYB237" s="16"/>
      <c r="HYC237" s="15"/>
      <c r="HYD237" s="15"/>
      <c r="HYE237" s="10"/>
      <c r="HYF237" s="10"/>
      <c r="HYG237" s="19"/>
      <c r="HYH237" s="19"/>
      <c r="HYK237" s="16"/>
      <c r="HYL237" s="15"/>
      <c r="HYM237" s="15"/>
      <c r="HYN237" s="15"/>
      <c r="HYO237" s="16"/>
      <c r="HYP237" s="16"/>
      <c r="HYQ237" s="16"/>
      <c r="HYR237" s="16"/>
      <c r="HYS237" s="16"/>
      <c r="HYT237" s="15"/>
      <c r="HYU237" s="15"/>
      <c r="HYV237" s="10"/>
      <c r="HYW237" s="10"/>
      <c r="HYX237" s="19"/>
      <c r="HYY237" s="19"/>
      <c r="HZB237" s="16"/>
      <c r="HZC237" s="15"/>
      <c r="HZD237" s="15"/>
      <c r="HZE237" s="15"/>
      <c r="HZF237" s="16"/>
      <c r="HZG237" s="16"/>
      <c r="HZH237" s="16"/>
      <c r="HZI237" s="16"/>
      <c r="HZJ237" s="16"/>
      <c r="HZK237" s="15"/>
      <c r="HZL237" s="15"/>
      <c r="HZM237" s="10"/>
      <c r="HZN237" s="10"/>
      <c r="HZO237" s="19"/>
      <c r="HZP237" s="19"/>
      <c r="HZS237" s="16"/>
      <c r="HZT237" s="15"/>
      <c r="HZU237" s="15"/>
      <c r="HZV237" s="15"/>
      <c r="HZW237" s="16"/>
      <c r="HZX237" s="16"/>
      <c r="HZY237" s="16"/>
      <c r="HZZ237" s="16"/>
      <c r="IAA237" s="16"/>
      <c r="IAB237" s="15"/>
      <c r="IAC237" s="15"/>
      <c r="IAD237" s="10"/>
      <c r="IAE237" s="10"/>
      <c r="IAF237" s="19"/>
      <c r="IAG237" s="19"/>
      <c r="IAJ237" s="16"/>
      <c r="IAK237" s="15"/>
      <c r="IAL237" s="15"/>
      <c r="IAM237" s="15"/>
      <c r="IAN237" s="16"/>
      <c r="IAO237" s="16"/>
      <c r="IAP237" s="16"/>
      <c r="IAQ237" s="16"/>
      <c r="IAR237" s="16"/>
      <c r="IAS237" s="15"/>
      <c r="IAT237" s="15"/>
      <c r="IAU237" s="10"/>
      <c r="IAV237" s="10"/>
      <c r="IAW237" s="19"/>
      <c r="IAX237" s="19"/>
      <c r="IBA237" s="16"/>
      <c r="IBB237" s="15"/>
      <c r="IBC237" s="15"/>
      <c r="IBD237" s="15"/>
      <c r="IBE237" s="16"/>
      <c r="IBF237" s="16"/>
      <c r="IBG237" s="16"/>
      <c r="IBH237" s="16"/>
      <c r="IBI237" s="16"/>
      <c r="IBJ237" s="15"/>
      <c r="IBK237" s="15"/>
      <c r="IBL237" s="10"/>
      <c r="IBM237" s="10"/>
      <c r="IBN237" s="19"/>
      <c r="IBO237" s="19"/>
      <c r="IBR237" s="16"/>
      <c r="IBS237" s="15"/>
      <c r="IBT237" s="15"/>
      <c r="IBU237" s="15"/>
      <c r="IBV237" s="16"/>
      <c r="IBW237" s="16"/>
      <c r="IBX237" s="16"/>
      <c r="IBY237" s="16"/>
      <c r="IBZ237" s="16"/>
      <c r="ICA237" s="15"/>
      <c r="ICB237" s="15"/>
      <c r="ICC237" s="10"/>
      <c r="ICD237" s="10"/>
      <c r="ICE237" s="19"/>
      <c r="ICF237" s="19"/>
      <c r="ICI237" s="16"/>
      <c r="ICJ237" s="15"/>
      <c r="ICK237" s="15"/>
      <c r="ICL237" s="15"/>
      <c r="ICM237" s="16"/>
      <c r="ICN237" s="16"/>
      <c r="ICO237" s="16"/>
      <c r="ICP237" s="16"/>
      <c r="ICQ237" s="16"/>
      <c r="ICR237" s="15"/>
      <c r="ICS237" s="15"/>
      <c r="ICT237" s="10"/>
      <c r="ICU237" s="10"/>
      <c r="ICV237" s="19"/>
      <c r="ICW237" s="19"/>
      <c r="ICZ237" s="16"/>
      <c r="IDA237" s="15"/>
      <c r="IDB237" s="15"/>
      <c r="IDC237" s="15"/>
      <c r="IDD237" s="16"/>
      <c r="IDE237" s="16"/>
      <c r="IDF237" s="16"/>
      <c r="IDG237" s="16"/>
      <c r="IDH237" s="16"/>
      <c r="IDI237" s="15"/>
      <c r="IDJ237" s="15"/>
      <c r="IDK237" s="10"/>
      <c r="IDL237" s="10"/>
      <c r="IDM237" s="19"/>
      <c r="IDN237" s="19"/>
      <c r="IDQ237" s="16"/>
      <c r="IDR237" s="15"/>
      <c r="IDS237" s="15"/>
      <c r="IDT237" s="15"/>
      <c r="IDU237" s="16"/>
      <c r="IDV237" s="16"/>
      <c r="IDW237" s="16"/>
      <c r="IDX237" s="16"/>
      <c r="IDY237" s="16"/>
      <c r="IDZ237" s="15"/>
      <c r="IEA237" s="15"/>
      <c r="IEB237" s="10"/>
      <c r="IEC237" s="10"/>
      <c r="IED237" s="19"/>
      <c r="IEE237" s="19"/>
      <c r="IEH237" s="16"/>
      <c r="IEI237" s="15"/>
      <c r="IEJ237" s="15"/>
      <c r="IEK237" s="15"/>
      <c r="IEL237" s="16"/>
      <c r="IEM237" s="16"/>
      <c r="IEN237" s="16"/>
      <c r="IEO237" s="16"/>
      <c r="IEP237" s="16"/>
      <c r="IEQ237" s="15"/>
      <c r="IER237" s="15"/>
      <c r="IES237" s="10"/>
      <c r="IET237" s="10"/>
      <c r="IEU237" s="19"/>
      <c r="IEV237" s="19"/>
      <c r="IEY237" s="16"/>
      <c r="IEZ237" s="15"/>
      <c r="IFA237" s="15"/>
      <c r="IFB237" s="15"/>
      <c r="IFC237" s="16"/>
      <c r="IFD237" s="16"/>
      <c r="IFE237" s="16"/>
      <c r="IFF237" s="16"/>
      <c r="IFG237" s="16"/>
      <c r="IFH237" s="15"/>
      <c r="IFI237" s="15"/>
      <c r="IFJ237" s="10"/>
      <c r="IFK237" s="10"/>
      <c r="IFL237" s="19"/>
      <c r="IFM237" s="19"/>
      <c r="IFP237" s="16"/>
      <c r="IFQ237" s="15"/>
      <c r="IFR237" s="15"/>
      <c r="IFS237" s="15"/>
      <c r="IFT237" s="16"/>
      <c r="IFU237" s="16"/>
      <c r="IFV237" s="16"/>
      <c r="IFW237" s="16"/>
      <c r="IFX237" s="16"/>
      <c r="IFY237" s="15"/>
      <c r="IFZ237" s="15"/>
      <c r="IGA237" s="10"/>
      <c r="IGB237" s="10"/>
      <c r="IGC237" s="19"/>
      <c r="IGD237" s="19"/>
      <c r="IGG237" s="16"/>
      <c r="IGH237" s="15"/>
      <c r="IGI237" s="15"/>
      <c r="IGJ237" s="15"/>
      <c r="IGK237" s="16"/>
      <c r="IGL237" s="16"/>
      <c r="IGM237" s="16"/>
      <c r="IGN237" s="16"/>
      <c r="IGO237" s="16"/>
      <c r="IGP237" s="15"/>
      <c r="IGQ237" s="15"/>
      <c r="IGR237" s="10"/>
      <c r="IGS237" s="10"/>
      <c r="IGT237" s="19"/>
      <c r="IGU237" s="19"/>
      <c r="IGX237" s="16"/>
      <c r="IGY237" s="15"/>
      <c r="IGZ237" s="15"/>
      <c r="IHA237" s="15"/>
      <c r="IHB237" s="16"/>
      <c r="IHC237" s="16"/>
      <c r="IHD237" s="16"/>
      <c r="IHE237" s="16"/>
      <c r="IHF237" s="16"/>
      <c r="IHG237" s="15"/>
      <c r="IHH237" s="15"/>
      <c r="IHI237" s="10"/>
      <c r="IHJ237" s="10"/>
      <c r="IHK237" s="19"/>
      <c r="IHL237" s="19"/>
      <c r="IHO237" s="16"/>
      <c r="IHP237" s="15"/>
      <c r="IHQ237" s="15"/>
      <c r="IHR237" s="15"/>
      <c r="IHS237" s="16"/>
      <c r="IHT237" s="16"/>
      <c r="IHU237" s="16"/>
      <c r="IHV237" s="16"/>
      <c r="IHW237" s="16"/>
      <c r="IHX237" s="15"/>
      <c r="IHY237" s="15"/>
      <c r="IHZ237" s="10"/>
      <c r="IIA237" s="10"/>
      <c r="IIB237" s="19"/>
      <c r="IIC237" s="19"/>
      <c r="IIF237" s="16"/>
      <c r="IIG237" s="15"/>
      <c r="IIH237" s="15"/>
      <c r="III237" s="15"/>
      <c r="IIJ237" s="16"/>
      <c r="IIK237" s="16"/>
      <c r="IIL237" s="16"/>
      <c r="IIM237" s="16"/>
      <c r="IIN237" s="16"/>
      <c r="IIO237" s="15"/>
      <c r="IIP237" s="15"/>
      <c r="IIQ237" s="10"/>
      <c r="IIR237" s="10"/>
      <c r="IIS237" s="19"/>
      <c r="IIT237" s="19"/>
      <c r="IIW237" s="16"/>
      <c r="IIX237" s="15"/>
      <c r="IIY237" s="15"/>
      <c r="IIZ237" s="15"/>
      <c r="IJA237" s="16"/>
      <c r="IJB237" s="16"/>
      <c r="IJC237" s="16"/>
      <c r="IJD237" s="16"/>
      <c r="IJE237" s="16"/>
      <c r="IJF237" s="15"/>
      <c r="IJG237" s="15"/>
      <c r="IJH237" s="10"/>
      <c r="IJI237" s="10"/>
      <c r="IJJ237" s="19"/>
      <c r="IJK237" s="19"/>
      <c r="IJN237" s="16"/>
      <c r="IJO237" s="15"/>
      <c r="IJP237" s="15"/>
      <c r="IJQ237" s="15"/>
      <c r="IJR237" s="16"/>
      <c r="IJS237" s="16"/>
      <c r="IJT237" s="16"/>
      <c r="IJU237" s="16"/>
      <c r="IJV237" s="16"/>
      <c r="IJW237" s="15"/>
      <c r="IJX237" s="15"/>
      <c r="IJY237" s="10"/>
      <c r="IJZ237" s="10"/>
      <c r="IKA237" s="19"/>
      <c r="IKB237" s="19"/>
      <c r="IKE237" s="16"/>
      <c r="IKF237" s="15"/>
      <c r="IKG237" s="15"/>
      <c r="IKH237" s="15"/>
      <c r="IKI237" s="16"/>
      <c r="IKJ237" s="16"/>
      <c r="IKK237" s="16"/>
      <c r="IKL237" s="16"/>
      <c r="IKM237" s="16"/>
      <c r="IKN237" s="15"/>
      <c r="IKO237" s="15"/>
      <c r="IKP237" s="10"/>
      <c r="IKQ237" s="10"/>
      <c r="IKR237" s="19"/>
      <c r="IKS237" s="19"/>
      <c r="IKV237" s="16"/>
      <c r="IKW237" s="15"/>
      <c r="IKX237" s="15"/>
      <c r="IKY237" s="15"/>
      <c r="IKZ237" s="16"/>
      <c r="ILA237" s="16"/>
      <c r="ILB237" s="16"/>
      <c r="ILC237" s="16"/>
      <c r="ILD237" s="16"/>
      <c r="ILE237" s="15"/>
      <c r="ILF237" s="15"/>
      <c r="ILG237" s="10"/>
      <c r="ILH237" s="10"/>
      <c r="ILI237" s="19"/>
      <c r="ILJ237" s="19"/>
      <c r="ILM237" s="16"/>
      <c r="ILN237" s="15"/>
      <c r="ILO237" s="15"/>
      <c r="ILP237" s="15"/>
      <c r="ILQ237" s="16"/>
      <c r="ILR237" s="16"/>
      <c r="ILS237" s="16"/>
      <c r="ILT237" s="16"/>
      <c r="ILU237" s="16"/>
      <c r="ILV237" s="15"/>
      <c r="ILW237" s="15"/>
      <c r="ILX237" s="10"/>
      <c r="ILY237" s="10"/>
      <c r="ILZ237" s="19"/>
      <c r="IMA237" s="19"/>
      <c r="IMD237" s="16"/>
      <c r="IME237" s="15"/>
      <c r="IMF237" s="15"/>
      <c r="IMG237" s="15"/>
      <c r="IMH237" s="16"/>
      <c r="IMI237" s="16"/>
      <c r="IMJ237" s="16"/>
      <c r="IMK237" s="16"/>
      <c r="IML237" s="16"/>
      <c r="IMM237" s="15"/>
      <c r="IMN237" s="15"/>
      <c r="IMO237" s="10"/>
      <c r="IMP237" s="10"/>
      <c r="IMQ237" s="19"/>
      <c r="IMR237" s="19"/>
      <c r="IMU237" s="16"/>
      <c r="IMV237" s="15"/>
      <c r="IMW237" s="15"/>
      <c r="IMX237" s="15"/>
      <c r="IMY237" s="16"/>
      <c r="IMZ237" s="16"/>
      <c r="INA237" s="16"/>
      <c r="INB237" s="16"/>
      <c r="INC237" s="16"/>
      <c r="IND237" s="15"/>
      <c r="INE237" s="15"/>
      <c r="INF237" s="10"/>
      <c r="ING237" s="10"/>
      <c r="INH237" s="19"/>
      <c r="INI237" s="19"/>
      <c r="INL237" s="16"/>
      <c r="INM237" s="15"/>
      <c r="INN237" s="15"/>
      <c r="INO237" s="15"/>
      <c r="INP237" s="16"/>
      <c r="INQ237" s="16"/>
      <c r="INR237" s="16"/>
      <c r="INS237" s="16"/>
      <c r="INT237" s="16"/>
      <c r="INU237" s="15"/>
      <c r="INV237" s="15"/>
      <c r="INW237" s="10"/>
      <c r="INX237" s="10"/>
      <c r="INY237" s="19"/>
      <c r="INZ237" s="19"/>
      <c r="IOC237" s="16"/>
      <c r="IOD237" s="15"/>
      <c r="IOE237" s="15"/>
      <c r="IOF237" s="15"/>
      <c r="IOG237" s="16"/>
      <c r="IOH237" s="16"/>
      <c r="IOI237" s="16"/>
      <c r="IOJ237" s="16"/>
      <c r="IOK237" s="16"/>
      <c r="IOL237" s="15"/>
      <c r="IOM237" s="15"/>
      <c r="ION237" s="10"/>
      <c r="IOO237" s="10"/>
      <c r="IOP237" s="19"/>
      <c r="IOQ237" s="19"/>
      <c r="IOT237" s="16"/>
      <c r="IOU237" s="15"/>
      <c r="IOV237" s="15"/>
      <c r="IOW237" s="15"/>
      <c r="IOX237" s="16"/>
      <c r="IOY237" s="16"/>
      <c r="IOZ237" s="16"/>
      <c r="IPA237" s="16"/>
      <c r="IPB237" s="16"/>
      <c r="IPC237" s="15"/>
      <c r="IPD237" s="15"/>
      <c r="IPE237" s="10"/>
      <c r="IPF237" s="10"/>
      <c r="IPG237" s="19"/>
      <c r="IPH237" s="19"/>
      <c r="IPK237" s="16"/>
      <c r="IPL237" s="15"/>
      <c r="IPM237" s="15"/>
      <c r="IPN237" s="15"/>
      <c r="IPO237" s="16"/>
      <c r="IPP237" s="16"/>
      <c r="IPQ237" s="16"/>
      <c r="IPR237" s="16"/>
      <c r="IPS237" s="16"/>
      <c r="IPT237" s="15"/>
      <c r="IPU237" s="15"/>
      <c r="IPV237" s="10"/>
      <c r="IPW237" s="10"/>
      <c r="IPX237" s="19"/>
      <c r="IPY237" s="19"/>
      <c r="IQB237" s="16"/>
      <c r="IQC237" s="15"/>
      <c r="IQD237" s="15"/>
      <c r="IQE237" s="15"/>
      <c r="IQF237" s="16"/>
      <c r="IQG237" s="16"/>
      <c r="IQH237" s="16"/>
      <c r="IQI237" s="16"/>
      <c r="IQJ237" s="16"/>
      <c r="IQK237" s="15"/>
      <c r="IQL237" s="15"/>
      <c r="IQM237" s="10"/>
      <c r="IQN237" s="10"/>
      <c r="IQO237" s="19"/>
      <c r="IQP237" s="19"/>
      <c r="IQS237" s="16"/>
      <c r="IQT237" s="15"/>
      <c r="IQU237" s="15"/>
      <c r="IQV237" s="15"/>
      <c r="IQW237" s="16"/>
      <c r="IQX237" s="16"/>
      <c r="IQY237" s="16"/>
      <c r="IQZ237" s="16"/>
      <c r="IRA237" s="16"/>
      <c r="IRB237" s="15"/>
      <c r="IRC237" s="15"/>
      <c r="IRD237" s="10"/>
      <c r="IRE237" s="10"/>
      <c r="IRF237" s="19"/>
      <c r="IRG237" s="19"/>
      <c r="IRJ237" s="16"/>
      <c r="IRK237" s="15"/>
      <c r="IRL237" s="15"/>
      <c r="IRM237" s="15"/>
      <c r="IRN237" s="16"/>
      <c r="IRO237" s="16"/>
      <c r="IRP237" s="16"/>
      <c r="IRQ237" s="16"/>
      <c r="IRR237" s="16"/>
      <c r="IRS237" s="15"/>
      <c r="IRT237" s="15"/>
      <c r="IRU237" s="10"/>
      <c r="IRV237" s="10"/>
      <c r="IRW237" s="19"/>
      <c r="IRX237" s="19"/>
      <c r="ISA237" s="16"/>
      <c r="ISB237" s="15"/>
      <c r="ISC237" s="15"/>
      <c r="ISD237" s="15"/>
      <c r="ISE237" s="16"/>
      <c r="ISF237" s="16"/>
      <c r="ISG237" s="16"/>
      <c r="ISH237" s="16"/>
      <c r="ISI237" s="16"/>
      <c r="ISJ237" s="15"/>
      <c r="ISK237" s="15"/>
      <c r="ISL237" s="10"/>
      <c r="ISM237" s="10"/>
      <c r="ISN237" s="19"/>
      <c r="ISO237" s="19"/>
      <c r="ISR237" s="16"/>
      <c r="ISS237" s="15"/>
      <c r="IST237" s="15"/>
      <c r="ISU237" s="15"/>
      <c r="ISV237" s="16"/>
      <c r="ISW237" s="16"/>
      <c r="ISX237" s="16"/>
      <c r="ISY237" s="16"/>
      <c r="ISZ237" s="16"/>
      <c r="ITA237" s="15"/>
      <c r="ITB237" s="15"/>
      <c r="ITC237" s="10"/>
      <c r="ITD237" s="10"/>
      <c r="ITE237" s="19"/>
      <c r="ITF237" s="19"/>
      <c r="ITI237" s="16"/>
      <c r="ITJ237" s="15"/>
      <c r="ITK237" s="15"/>
      <c r="ITL237" s="15"/>
      <c r="ITM237" s="16"/>
      <c r="ITN237" s="16"/>
      <c r="ITO237" s="16"/>
      <c r="ITP237" s="16"/>
      <c r="ITQ237" s="16"/>
      <c r="ITR237" s="15"/>
      <c r="ITS237" s="15"/>
      <c r="ITT237" s="10"/>
      <c r="ITU237" s="10"/>
      <c r="ITV237" s="19"/>
      <c r="ITW237" s="19"/>
      <c r="ITZ237" s="16"/>
      <c r="IUA237" s="15"/>
      <c r="IUB237" s="15"/>
      <c r="IUC237" s="15"/>
      <c r="IUD237" s="16"/>
      <c r="IUE237" s="16"/>
      <c r="IUF237" s="16"/>
      <c r="IUG237" s="16"/>
      <c r="IUH237" s="16"/>
      <c r="IUI237" s="15"/>
      <c r="IUJ237" s="15"/>
      <c r="IUK237" s="10"/>
      <c r="IUL237" s="10"/>
      <c r="IUM237" s="19"/>
      <c r="IUN237" s="19"/>
      <c r="IUQ237" s="16"/>
      <c r="IUR237" s="15"/>
      <c r="IUS237" s="15"/>
      <c r="IUT237" s="15"/>
      <c r="IUU237" s="16"/>
      <c r="IUV237" s="16"/>
      <c r="IUW237" s="16"/>
      <c r="IUX237" s="16"/>
      <c r="IUY237" s="16"/>
      <c r="IUZ237" s="15"/>
      <c r="IVA237" s="15"/>
      <c r="IVB237" s="10"/>
      <c r="IVC237" s="10"/>
      <c r="IVD237" s="19"/>
      <c r="IVE237" s="19"/>
      <c r="IVH237" s="16"/>
      <c r="IVI237" s="15"/>
      <c r="IVJ237" s="15"/>
      <c r="IVK237" s="15"/>
      <c r="IVL237" s="16"/>
      <c r="IVM237" s="16"/>
      <c r="IVN237" s="16"/>
      <c r="IVO237" s="16"/>
      <c r="IVP237" s="16"/>
      <c r="IVQ237" s="15"/>
      <c r="IVR237" s="15"/>
      <c r="IVS237" s="10"/>
      <c r="IVT237" s="10"/>
      <c r="IVU237" s="19"/>
      <c r="IVV237" s="19"/>
      <c r="IVY237" s="16"/>
      <c r="IVZ237" s="15"/>
      <c r="IWA237" s="15"/>
      <c r="IWB237" s="15"/>
      <c r="IWC237" s="16"/>
      <c r="IWD237" s="16"/>
      <c r="IWE237" s="16"/>
      <c r="IWF237" s="16"/>
      <c r="IWG237" s="16"/>
      <c r="IWH237" s="15"/>
      <c r="IWI237" s="15"/>
      <c r="IWJ237" s="10"/>
      <c r="IWK237" s="10"/>
      <c r="IWL237" s="19"/>
      <c r="IWM237" s="19"/>
      <c r="IWP237" s="16"/>
      <c r="IWQ237" s="15"/>
      <c r="IWR237" s="15"/>
      <c r="IWS237" s="15"/>
      <c r="IWT237" s="16"/>
      <c r="IWU237" s="16"/>
      <c r="IWV237" s="16"/>
      <c r="IWW237" s="16"/>
      <c r="IWX237" s="16"/>
      <c r="IWY237" s="15"/>
      <c r="IWZ237" s="15"/>
      <c r="IXA237" s="10"/>
      <c r="IXB237" s="10"/>
      <c r="IXC237" s="19"/>
      <c r="IXD237" s="19"/>
      <c r="IXG237" s="16"/>
      <c r="IXH237" s="15"/>
      <c r="IXI237" s="15"/>
      <c r="IXJ237" s="15"/>
      <c r="IXK237" s="16"/>
      <c r="IXL237" s="16"/>
      <c r="IXM237" s="16"/>
      <c r="IXN237" s="16"/>
      <c r="IXO237" s="16"/>
      <c r="IXP237" s="15"/>
      <c r="IXQ237" s="15"/>
      <c r="IXR237" s="10"/>
      <c r="IXS237" s="10"/>
      <c r="IXT237" s="19"/>
      <c r="IXU237" s="19"/>
      <c r="IXX237" s="16"/>
      <c r="IXY237" s="15"/>
      <c r="IXZ237" s="15"/>
      <c r="IYA237" s="15"/>
      <c r="IYB237" s="16"/>
      <c r="IYC237" s="16"/>
      <c r="IYD237" s="16"/>
      <c r="IYE237" s="16"/>
      <c r="IYF237" s="16"/>
      <c r="IYG237" s="15"/>
      <c r="IYH237" s="15"/>
      <c r="IYI237" s="10"/>
      <c r="IYJ237" s="10"/>
      <c r="IYK237" s="19"/>
      <c r="IYL237" s="19"/>
      <c r="IYO237" s="16"/>
      <c r="IYP237" s="15"/>
      <c r="IYQ237" s="15"/>
      <c r="IYR237" s="15"/>
      <c r="IYS237" s="16"/>
      <c r="IYT237" s="16"/>
      <c r="IYU237" s="16"/>
      <c r="IYV237" s="16"/>
      <c r="IYW237" s="16"/>
      <c r="IYX237" s="15"/>
      <c r="IYY237" s="15"/>
      <c r="IYZ237" s="10"/>
      <c r="IZA237" s="10"/>
      <c r="IZB237" s="19"/>
      <c r="IZC237" s="19"/>
      <c r="IZF237" s="16"/>
      <c r="IZG237" s="15"/>
      <c r="IZH237" s="15"/>
      <c r="IZI237" s="15"/>
      <c r="IZJ237" s="16"/>
      <c r="IZK237" s="16"/>
      <c r="IZL237" s="16"/>
      <c r="IZM237" s="16"/>
      <c r="IZN237" s="16"/>
      <c r="IZO237" s="15"/>
      <c r="IZP237" s="15"/>
      <c r="IZQ237" s="10"/>
      <c r="IZR237" s="10"/>
      <c r="IZS237" s="19"/>
      <c r="IZT237" s="19"/>
      <c r="IZW237" s="16"/>
      <c r="IZX237" s="15"/>
      <c r="IZY237" s="15"/>
      <c r="IZZ237" s="15"/>
      <c r="JAA237" s="16"/>
      <c r="JAB237" s="16"/>
      <c r="JAC237" s="16"/>
      <c r="JAD237" s="16"/>
      <c r="JAE237" s="16"/>
      <c r="JAF237" s="15"/>
      <c r="JAG237" s="15"/>
      <c r="JAH237" s="10"/>
      <c r="JAI237" s="10"/>
      <c r="JAJ237" s="19"/>
      <c r="JAK237" s="19"/>
      <c r="JAN237" s="16"/>
      <c r="JAO237" s="15"/>
      <c r="JAP237" s="15"/>
      <c r="JAQ237" s="15"/>
      <c r="JAR237" s="16"/>
      <c r="JAS237" s="16"/>
      <c r="JAT237" s="16"/>
      <c r="JAU237" s="16"/>
      <c r="JAV237" s="16"/>
      <c r="JAW237" s="15"/>
      <c r="JAX237" s="15"/>
      <c r="JAY237" s="10"/>
      <c r="JAZ237" s="10"/>
      <c r="JBA237" s="19"/>
      <c r="JBB237" s="19"/>
      <c r="JBE237" s="16"/>
      <c r="JBF237" s="15"/>
      <c r="JBG237" s="15"/>
      <c r="JBH237" s="15"/>
      <c r="JBI237" s="16"/>
      <c r="JBJ237" s="16"/>
      <c r="JBK237" s="16"/>
      <c r="JBL237" s="16"/>
      <c r="JBM237" s="16"/>
      <c r="JBN237" s="15"/>
      <c r="JBO237" s="15"/>
      <c r="JBP237" s="10"/>
      <c r="JBQ237" s="10"/>
      <c r="JBR237" s="19"/>
      <c r="JBS237" s="19"/>
      <c r="JBV237" s="16"/>
      <c r="JBW237" s="15"/>
      <c r="JBX237" s="15"/>
      <c r="JBY237" s="15"/>
      <c r="JBZ237" s="16"/>
      <c r="JCA237" s="16"/>
      <c r="JCB237" s="16"/>
      <c r="JCC237" s="16"/>
      <c r="JCD237" s="16"/>
      <c r="JCE237" s="15"/>
      <c r="JCF237" s="15"/>
      <c r="JCG237" s="10"/>
      <c r="JCH237" s="10"/>
      <c r="JCI237" s="19"/>
      <c r="JCJ237" s="19"/>
      <c r="JCM237" s="16"/>
      <c r="JCN237" s="15"/>
      <c r="JCO237" s="15"/>
      <c r="JCP237" s="15"/>
      <c r="JCQ237" s="16"/>
      <c r="JCR237" s="16"/>
      <c r="JCS237" s="16"/>
      <c r="JCT237" s="16"/>
      <c r="JCU237" s="16"/>
      <c r="JCV237" s="15"/>
      <c r="JCW237" s="15"/>
      <c r="JCX237" s="10"/>
      <c r="JCY237" s="10"/>
      <c r="JCZ237" s="19"/>
      <c r="JDA237" s="19"/>
      <c r="JDD237" s="16"/>
      <c r="JDE237" s="15"/>
      <c r="JDF237" s="15"/>
      <c r="JDG237" s="15"/>
      <c r="JDH237" s="16"/>
      <c r="JDI237" s="16"/>
      <c r="JDJ237" s="16"/>
      <c r="JDK237" s="16"/>
      <c r="JDL237" s="16"/>
      <c r="JDM237" s="15"/>
      <c r="JDN237" s="15"/>
      <c r="JDO237" s="10"/>
      <c r="JDP237" s="10"/>
      <c r="JDQ237" s="19"/>
      <c r="JDR237" s="19"/>
      <c r="JDU237" s="16"/>
      <c r="JDV237" s="15"/>
      <c r="JDW237" s="15"/>
      <c r="JDX237" s="15"/>
      <c r="JDY237" s="16"/>
      <c r="JDZ237" s="16"/>
      <c r="JEA237" s="16"/>
      <c r="JEB237" s="16"/>
      <c r="JEC237" s="16"/>
      <c r="JED237" s="15"/>
      <c r="JEE237" s="15"/>
      <c r="JEF237" s="10"/>
      <c r="JEG237" s="10"/>
      <c r="JEH237" s="19"/>
      <c r="JEI237" s="19"/>
      <c r="JEL237" s="16"/>
      <c r="JEM237" s="15"/>
      <c r="JEN237" s="15"/>
      <c r="JEO237" s="15"/>
      <c r="JEP237" s="16"/>
      <c r="JEQ237" s="16"/>
      <c r="JER237" s="16"/>
      <c r="JES237" s="16"/>
      <c r="JET237" s="16"/>
      <c r="JEU237" s="15"/>
      <c r="JEV237" s="15"/>
      <c r="JEW237" s="10"/>
      <c r="JEX237" s="10"/>
      <c r="JEY237" s="19"/>
      <c r="JEZ237" s="19"/>
      <c r="JFC237" s="16"/>
      <c r="JFD237" s="15"/>
      <c r="JFE237" s="15"/>
      <c r="JFF237" s="15"/>
      <c r="JFG237" s="16"/>
      <c r="JFH237" s="16"/>
      <c r="JFI237" s="16"/>
      <c r="JFJ237" s="16"/>
      <c r="JFK237" s="16"/>
      <c r="JFL237" s="15"/>
      <c r="JFM237" s="15"/>
      <c r="JFN237" s="10"/>
      <c r="JFO237" s="10"/>
      <c r="JFP237" s="19"/>
      <c r="JFQ237" s="19"/>
      <c r="JFT237" s="16"/>
      <c r="JFU237" s="15"/>
      <c r="JFV237" s="15"/>
      <c r="JFW237" s="15"/>
      <c r="JFX237" s="16"/>
      <c r="JFY237" s="16"/>
      <c r="JFZ237" s="16"/>
      <c r="JGA237" s="16"/>
      <c r="JGB237" s="16"/>
      <c r="JGC237" s="15"/>
      <c r="JGD237" s="15"/>
      <c r="JGE237" s="10"/>
      <c r="JGF237" s="10"/>
      <c r="JGG237" s="19"/>
      <c r="JGH237" s="19"/>
      <c r="JGK237" s="16"/>
      <c r="JGL237" s="15"/>
      <c r="JGM237" s="15"/>
      <c r="JGN237" s="15"/>
      <c r="JGO237" s="16"/>
      <c r="JGP237" s="16"/>
      <c r="JGQ237" s="16"/>
      <c r="JGR237" s="16"/>
      <c r="JGS237" s="16"/>
      <c r="JGT237" s="15"/>
      <c r="JGU237" s="15"/>
      <c r="JGV237" s="10"/>
      <c r="JGW237" s="10"/>
      <c r="JGX237" s="19"/>
      <c r="JGY237" s="19"/>
      <c r="JHB237" s="16"/>
      <c r="JHC237" s="15"/>
      <c r="JHD237" s="15"/>
      <c r="JHE237" s="15"/>
      <c r="JHF237" s="16"/>
      <c r="JHG237" s="16"/>
      <c r="JHH237" s="16"/>
      <c r="JHI237" s="16"/>
      <c r="JHJ237" s="16"/>
      <c r="JHK237" s="15"/>
      <c r="JHL237" s="15"/>
      <c r="JHM237" s="10"/>
      <c r="JHN237" s="10"/>
      <c r="JHO237" s="19"/>
      <c r="JHP237" s="19"/>
      <c r="JHS237" s="16"/>
      <c r="JHT237" s="15"/>
      <c r="JHU237" s="15"/>
      <c r="JHV237" s="15"/>
      <c r="JHW237" s="16"/>
      <c r="JHX237" s="16"/>
      <c r="JHY237" s="16"/>
      <c r="JHZ237" s="16"/>
      <c r="JIA237" s="16"/>
      <c r="JIB237" s="15"/>
      <c r="JIC237" s="15"/>
      <c r="JID237" s="10"/>
      <c r="JIE237" s="10"/>
      <c r="JIF237" s="19"/>
      <c r="JIG237" s="19"/>
      <c r="JIJ237" s="16"/>
      <c r="JIK237" s="15"/>
      <c r="JIL237" s="15"/>
      <c r="JIM237" s="15"/>
      <c r="JIN237" s="16"/>
      <c r="JIO237" s="16"/>
      <c r="JIP237" s="16"/>
      <c r="JIQ237" s="16"/>
      <c r="JIR237" s="16"/>
      <c r="JIS237" s="15"/>
      <c r="JIT237" s="15"/>
      <c r="JIU237" s="10"/>
      <c r="JIV237" s="10"/>
      <c r="JIW237" s="19"/>
      <c r="JIX237" s="19"/>
      <c r="JJA237" s="16"/>
      <c r="JJB237" s="15"/>
      <c r="JJC237" s="15"/>
      <c r="JJD237" s="15"/>
      <c r="JJE237" s="16"/>
      <c r="JJF237" s="16"/>
      <c r="JJG237" s="16"/>
      <c r="JJH237" s="16"/>
      <c r="JJI237" s="16"/>
      <c r="JJJ237" s="15"/>
      <c r="JJK237" s="15"/>
      <c r="JJL237" s="10"/>
      <c r="JJM237" s="10"/>
      <c r="JJN237" s="19"/>
      <c r="JJO237" s="19"/>
      <c r="JJR237" s="16"/>
      <c r="JJS237" s="15"/>
      <c r="JJT237" s="15"/>
      <c r="JJU237" s="15"/>
      <c r="JJV237" s="16"/>
      <c r="JJW237" s="16"/>
      <c r="JJX237" s="16"/>
      <c r="JJY237" s="16"/>
      <c r="JJZ237" s="16"/>
      <c r="JKA237" s="15"/>
      <c r="JKB237" s="15"/>
      <c r="JKC237" s="10"/>
      <c r="JKD237" s="10"/>
      <c r="JKE237" s="19"/>
      <c r="JKF237" s="19"/>
      <c r="JKI237" s="16"/>
      <c r="JKJ237" s="15"/>
      <c r="JKK237" s="15"/>
      <c r="JKL237" s="15"/>
      <c r="JKM237" s="16"/>
      <c r="JKN237" s="16"/>
      <c r="JKO237" s="16"/>
      <c r="JKP237" s="16"/>
      <c r="JKQ237" s="16"/>
      <c r="JKR237" s="15"/>
      <c r="JKS237" s="15"/>
      <c r="JKT237" s="10"/>
      <c r="JKU237" s="10"/>
      <c r="JKV237" s="19"/>
      <c r="JKW237" s="19"/>
      <c r="JKZ237" s="16"/>
      <c r="JLA237" s="15"/>
      <c r="JLB237" s="15"/>
      <c r="JLC237" s="15"/>
      <c r="JLD237" s="16"/>
      <c r="JLE237" s="16"/>
      <c r="JLF237" s="16"/>
      <c r="JLG237" s="16"/>
      <c r="JLH237" s="16"/>
      <c r="JLI237" s="15"/>
      <c r="JLJ237" s="15"/>
      <c r="JLK237" s="10"/>
      <c r="JLL237" s="10"/>
      <c r="JLM237" s="19"/>
      <c r="JLN237" s="19"/>
      <c r="JLQ237" s="16"/>
      <c r="JLR237" s="15"/>
      <c r="JLS237" s="15"/>
      <c r="JLT237" s="15"/>
      <c r="JLU237" s="16"/>
      <c r="JLV237" s="16"/>
      <c r="JLW237" s="16"/>
      <c r="JLX237" s="16"/>
      <c r="JLY237" s="16"/>
      <c r="JLZ237" s="15"/>
      <c r="JMA237" s="15"/>
      <c r="JMB237" s="10"/>
      <c r="JMC237" s="10"/>
      <c r="JMD237" s="19"/>
      <c r="JME237" s="19"/>
      <c r="JMH237" s="16"/>
      <c r="JMI237" s="15"/>
      <c r="JMJ237" s="15"/>
      <c r="JMK237" s="15"/>
      <c r="JML237" s="16"/>
      <c r="JMM237" s="16"/>
      <c r="JMN237" s="16"/>
      <c r="JMO237" s="16"/>
      <c r="JMP237" s="16"/>
      <c r="JMQ237" s="15"/>
      <c r="JMR237" s="15"/>
      <c r="JMS237" s="10"/>
      <c r="JMT237" s="10"/>
      <c r="JMU237" s="19"/>
      <c r="JMV237" s="19"/>
      <c r="JMY237" s="16"/>
      <c r="JMZ237" s="15"/>
      <c r="JNA237" s="15"/>
      <c r="JNB237" s="15"/>
      <c r="JNC237" s="16"/>
      <c r="JND237" s="16"/>
      <c r="JNE237" s="16"/>
      <c r="JNF237" s="16"/>
      <c r="JNG237" s="16"/>
      <c r="JNH237" s="15"/>
      <c r="JNI237" s="15"/>
      <c r="JNJ237" s="10"/>
      <c r="JNK237" s="10"/>
      <c r="JNL237" s="19"/>
      <c r="JNM237" s="19"/>
      <c r="JNP237" s="16"/>
      <c r="JNQ237" s="15"/>
      <c r="JNR237" s="15"/>
      <c r="JNS237" s="15"/>
      <c r="JNT237" s="16"/>
      <c r="JNU237" s="16"/>
      <c r="JNV237" s="16"/>
      <c r="JNW237" s="16"/>
      <c r="JNX237" s="16"/>
      <c r="JNY237" s="15"/>
      <c r="JNZ237" s="15"/>
      <c r="JOA237" s="10"/>
      <c r="JOB237" s="10"/>
      <c r="JOC237" s="19"/>
      <c r="JOD237" s="19"/>
      <c r="JOG237" s="16"/>
      <c r="JOH237" s="15"/>
      <c r="JOI237" s="15"/>
      <c r="JOJ237" s="15"/>
      <c r="JOK237" s="16"/>
      <c r="JOL237" s="16"/>
      <c r="JOM237" s="16"/>
      <c r="JON237" s="16"/>
      <c r="JOO237" s="16"/>
      <c r="JOP237" s="15"/>
      <c r="JOQ237" s="15"/>
      <c r="JOR237" s="10"/>
      <c r="JOS237" s="10"/>
      <c r="JOT237" s="19"/>
      <c r="JOU237" s="19"/>
      <c r="JOX237" s="16"/>
      <c r="JOY237" s="15"/>
      <c r="JOZ237" s="15"/>
      <c r="JPA237" s="15"/>
      <c r="JPB237" s="16"/>
      <c r="JPC237" s="16"/>
      <c r="JPD237" s="16"/>
      <c r="JPE237" s="16"/>
      <c r="JPF237" s="16"/>
      <c r="JPG237" s="15"/>
      <c r="JPH237" s="15"/>
      <c r="JPI237" s="10"/>
      <c r="JPJ237" s="10"/>
      <c r="JPK237" s="19"/>
      <c r="JPL237" s="19"/>
      <c r="JPO237" s="16"/>
      <c r="JPP237" s="15"/>
      <c r="JPQ237" s="15"/>
      <c r="JPR237" s="15"/>
      <c r="JPS237" s="16"/>
      <c r="JPT237" s="16"/>
      <c r="JPU237" s="16"/>
      <c r="JPV237" s="16"/>
      <c r="JPW237" s="16"/>
      <c r="JPX237" s="15"/>
      <c r="JPY237" s="15"/>
      <c r="JPZ237" s="10"/>
      <c r="JQA237" s="10"/>
      <c r="JQB237" s="19"/>
      <c r="JQC237" s="19"/>
      <c r="JQF237" s="16"/>
      <c r="JQG237" s="15"/>
      <c r="JQH237" s="15"/>
      <c r="JQI237" s="15"/>
      <c r="JQJ237" s="16"/>
      <c r="JQK237" s="16"/>
      <c r="JQL237" s="16"/>
      <c r="JQM237" s="16"/>
      <c r="JQN237" s="16"/>
      <c r="JQO237" s="15"/>
      <c r="JQP237" s="15"/>
      <c r="JQQ237" s="10"/>
      <c r="JQR237" s="10"/>
      <c r="JQS237" s="19"/>
      <c r="JQT237" s="19"/>
      <c r="JQW237" s="16"/>
      <c r="JQX237" s="15"/>
      <c r="JQY237" s="15"/>
      <c r="JQZ237" s="15"/>
      <c r="JRA237" s="16"/>
      <c r="JRB237" s="16"/>
      <c r="JRC237" s="16"/>
      <c r="JRD237" s="16"/>
      <c r="JRE237" s="16"/>
      <c r="JRF237" s="15"/>
      <c r="JRG237" s="15"/>
      <c r="JRH237" s="10"/>
      <c r="JRI237" s="10"/>
      <c r="JRJ237" s="19"/>
      <c r="JRK237" s="19"/>
      <c r="JRN237" s="16"/>
      <c r="JRO237" s="15"/>
      <c r="JRP237" s="15"/>
      <c r="JRQ237" s="15"/>
      <c r="JRR237" s="16"/>
      <c r="JRS237" s="16"/>
      <c r="JRT237" s="16"/>
      <c r="JRU237" s="16"/>
      <c r="JRV237" s="16"/>
      <c r="JRW237" s="15"/>
      <c r="JRX237" s="15"/>
      <c r="JRY237" s="10"/>
      <c r="JRZ237" s="10"/>
      <c r="JSA237" s="19"/>
      <c r="JSB237" s="19"/>
      <c r="JSE237" s="16"/>
      <c r="JSF237" s="15"/>
      <c r="JSG237" s="15"/>
      <c r="JSH237" s="15"/>
      <c r="JSI237" s="16"/>
      <c r="JSJ237" s="16"/>
      <c r="JSK237" s="16"/>
      <c r="JSL237" s="16"/>
      <c r="JSM237" s="16"/>
      <c r="JSN237" s="15"/>
      <c r="JSO237" s="15"/>
      <c r="JSP237" s="10"/>
      <c r="JSQ237" s="10"/>
      <c r="JSR237" s="19"/>
      <c r="JSS237" s="19"/>
      <c r="JSV237" s="16"/>
      <c r="JSW237" s="15"/>
      <c r="JSX237" s="15"/>
      <c r="JSY237" s="15"/>
      <c r="JSZ237" s="16"/>
      <c r="JTA237" s="16"/>
      <c r="JTB237" s="16"/>
      <c r="JTC237" s="16"/>
      <c r="JTD237" s="16"/>
      <c r="JTE237" s="15"/>
      <c r="JTF237" s="15"/>
      <c r="JTG237" s="10"/>
      <c r="JTH237" s="10"/>
      <c r="JTI237" s="19"/>
      <c r="JTJ237" s="19"/>
      <c r="JTM237" s="16"/>
      <c r="JTN237" s="15"/>
      <c r="JTO237" s="15"/>
      <c r="JTP237" s="15"/>
      <c r="JTQ237" s="16"/>
      <c r="JTR237" s="16"/>
      <c r="JTS237" s="16"/>
      <c r="JTT237" s="16"/>
      <c r="JTU237" s="16"/>
      <c r="JTV237" s="15"/>
      <c r="JTW237" s="15"/>
      <c r="JTX237" s="10"/>
      <c r="JTY237" s="10"/>
      <c r="JTZ237" s="19"/>
      <c r="JUA237" s="19"/>
      <c r="JUD237" s="16"/>
      <c r="JUE237" s="15"/>
      <c r="JUF237" s="15"/>
      <c r="JUG237" s="15"/>
      <c r="JUH237" s="16"/>
      <c r="JUI237" s="16"/>
      <c r="JUJ237" s="16"/>
      <c r="JUK237" s="16"/>
      <c r="JUL237" s="16"/>
      <c r="JUM237" s="15"/>
      <c r="JUN237" s="15"/>
      <c r="JUO237" s="10"/>
      <c r="JUP237" s="10"/>
      <c r="JUQ237" s="19"/>
      <c r="JUR237" s="19"/>
      <c r="JUU237" s="16"/>
      <c r="JUV237" s="15"/>
      <c r="JUW237" s="15"/>
      <c r="JUX237" s="15"/>
      <c r="JUY237" s="16"/>
      <c r="JUZ237" s="16"/>
      <c r="JVA237" s="16"/>
      <c r="JVB237" s="16"/>
      <c r="JVC237" s="16"/>
      <c r="JVD237" s="15"/>
      <c r="JVE237" s="15"/>
      <c r="JVF237" s="10"/>
      <c r="JVG237" s="10"/>
      <c r="JVH237" s="19"/>
      <c r="JVI237" s="19"/>
      <c r="JVL237" s="16"/>
      <c r="JVM237" s="15"/>
      <c r="JVN237" s="15"/>
      <c r="JVO237" s="15"/>
      <c r="JVP237" s="16"/>
      <c r="JVQ237" s="16"/>
      <c r="JVR237" s="16"/>
      <c r="JVS237" s="16"/>
      <c r="JVT237" s="16"/>
      <c r="JVU237" s="15"/>
      <c r="JVV237" s="15"/>
      <c r="JVW237" s="10"/>
      <c r="JVX237" s="10"/>
      <c r="JVY237" s="19"/>
      <c r="JVZ237" s="19"/>
      <c r="JWC237" s="16"/>
      <c r="JWD237" s="15"/>
      <c r="JWE237" s="15"/>
      <c r="JWF237" s="15"/>
      <c r="JWG237" s="16"/>
      <c r="JWH237" s="16"/>
      <c r="JWI237" s="16"/>
      <c r="JWJ237" s="16"/>
      <c r="JWK237" s="16"/>
      <c r="JWL237" s="15"/>
      <c r="JWM237" s="15"/>
      <c r="JWN237" s="10"/>
      <c r="JWO237" s="10"/>
      <c r="JWP237" s="19"/>
      <c r="JWQ237" s="19"/>
      <c r="JWT237" s="16"/>
      <c r="JWU237" s="15"/>
      <c r="JWV237" s="15"/>
      <c r="JWW237" s="15"/>
      <c r="JWX237" s="16"/>
      <c r="JWY237" s="16"/>
      <c r="JWZ237" s="16"/>
      <c r="JXA237" s="16"/>
      <c r="JXB237" s="16"/>
      <c r="JXC237" s="15"/>
      <c r="JXD237" s="15"/>
      <c r="JXE237" s="10"/>
      <c r="JXF237" s="10"/>
      <c r="JXG237" s="19"/>
      <c r="JXH237" s="19"/>
      <c r="JXK237" s="16"/>
      <c r="JXL237" s="15"/>
      <c r="JXM237" s="15"/>
      <c r="JXN237" s="15"/>
      <c r="JXO237" s="16"/>
      <c r="JXP237" s="16"/>
      <c r="JXQ237" s="16"/>
      <c r="JXR237" s="16"/>
      <c r="JXS237" s="16"/>
      <c r="JXT237" s="15"/>
      <c r="JXU237" s="15"/>
      <c r="JXV237" s="10"/>
      <c r="JXW237" s="10"/>
      <c r="JXX237" s="19"/>
      <c r="JXY237" s="19"/>
      <c r="JYB237" s="16"/>
      <c r="JYC237" s="15"/>
      <c r="JYD237" s="15"/>
      <c r="JYE237" s="15"/>
      <c r="JYF237" s="16"/>
      <c r="JYG237" s="16"/>
      <c r="JYH237" s="16"/>
      <c r="JYI237" s="16"/>
      <c r="JYJ237" s="16"/>
      <c r="JYK237" s="15"/>
      <c r="JYL237" s="15"/>
      <c r="JYM237" s="10"/>
      <c r="JYN237" s="10"/>
      <c r="JYO237" s="19"/>
      <c r="JYP237" s="19"/>
      <c r="JYS237" s="16"/>
      <c r="JYT237" s="15"/>
      <c r="JYU237" s="15"/>
      <c r="JYV237" s="15"/>
      <c r="JYW237" s="16"/>
      <c r="JYX237" s="16"/>
      <c r="JYY237" s="16"/>
      <c r="JYZ237" s="16"/>
      <c r="JZA237" s="16"/>
      <c r="JZB237" s="15"/>
      <c r="JZC237" s="15"/>
      <c r="JZD237" s="10"/>
      <c r="JZE237" s="10"/>
      <c r="JZF237" s="19"/>
      <c r="JZG237" s="19"/>
      <c r="JZJ237" s="16"/>
      <c r="JZK237" s="15"/>
      <c r="JZL237" s="15"/>
      <c r="JZM237" s="15"/>
      <c r="JZN237" s="16"/>
      <c r="JZO237" s="16"/>
      <c r="JZP237" s="16"/>
      <c r="JZQ237" s="16"/>
      <c r="JZR237" s="16"/>
      <c r="JZS237" s="15"/>
      <c r="JZT237" s="15"/>
      <c r="JZU237" s="10"/>
      <c r="JZV237" s="10"/>
      <c r="JZW237" s="19"/>
      <c r="JZX237" s="19"/>
      <c r="KAA237" s="16"/>
      <c r="KAB237" s="15"/>
      <c r="KAC237" s="15"/>
      <c r="KAD237" s="15"/>
      <c r="KAE237" s="16"/>
      <c r="KAF237" s="16"/>
      <c r="KAG237" s="16"/>
      <c r="KAH237" s="16"/>
      <c r="KAI237" s="16"/>
      <c r="KAJ237" s="15"/>
      <c r="KAK237" s="15"/>
      <c r="KAL237" s="10"/>
      <c r="KAM237" s="10"/>
      <c r="KAN237" s="19"/>
      <c r="KAO237" s="19"/>
      <c r="KAR237" s="16"/>
      <c r="KAS237" s="15"/>
      <c r="KAT237" s="15"/>
      <c r="KAU237" s="15"/>
      <c r="KAV237" s="16"/>
      <c r="KAW237" s="16"/>
      <c r="KAX237" s="16"/>
      <c r="KAY237" s="16"/>
      <c r="KAZ237" s="16"/>
      <c r="KBA237" s="15"/>
      <c r="KBB237" s="15"/>
      <c r="KBC237" s="10"/>
      <c r="KBD237" s="10"/>
      <c r="KBE237" s="19"/>
      <c r="KBF237" s="19"/>
      <c r="KBI237" s="16"/>
      <c r="KBJ237" s="15"/>
      <c r="KBK237" s="15"/>
      <c r="KBL237" s="15"/>
      <c r="KBM237" s="16"/>
      <c r="KBN237" s="16"/>
      <c r="KBO237" s="16"/>
      <c r="KBP237" s="16"/>
      <c r="KBQ237" s="16"/>
      <c r="KBR237" s="15"/>
      <c r="KBS237" s="15"/>
      <c r="KBT237" s="10"/>
      <c r="KBU237" s="10"/>
      <c r="KBV237" s="19"/>
      <c r="KBW237" s="19"/>
      <c r="KBZ237" s="16"/>
      <c r="KCA237" s="15"/>
      <c r="KCB237" s="15"/>
      <c r="KCC237" s="15"/>
      <c r="KCD237" s="16"/>
      <c r="KCE237" s="16"/>
      <c r="KCF237" s="16"/>
      <c r="KCG237" s="16"/>
      <c r="KCH237" s="16"/>
      <c r="KCI237" s="15"/>
      <c r="KCJ237" s="15"/>
      <c r="KCK237" s="10"/>
      <c r="KCL237" s="10"/>
      <c r="KCM237" s="19"/>
      <c r="KCN237" s="19"/>
      <c r="KCQ237" s="16"/>
      <c r="KCR237" s="15"/>
      <c r="KCS237" s="15"/>
      <c r="KCT237" s="15"/>
      <c r="KCU237" s="16"/>
      <c r="KCV237" s="16"/>
      <c r="KCW237" s="16"/>
      <c r="KCX237" s="16"/>
      <c r="KCY237" s="16"/>
      <c r="KCZ237" s="15"/>
      <c r="KDA237" s="15"/>
      <c r="KDB237" s="10"/>
      <c r="KDC237" s="10"/>
      <c r="KDD237" s="19"/>
      <c r="KDE237" s="19"/>
      <c r="KDH237" s="16"/>
      <c r="KDI237" s="15"/>
      <c r="KDJ237" s="15"/>
      <c r="KDK237" s="15"/>
      <c r="KDL237" s="16"/>
      <c r="KDM237" s="16"/>
      <c r="KDN237" s="16"/>
      <c r="KDO237" s="16"/>
      <c r="KDP237" s="16"/>
      <c r="KDQ237" s="15"/>
      <c r="KDR237" s="15"/>
      <c r="KDS237" s="10"/>
      <c r="KDT237" s="10"/>
      <c r="KDU237" s="19"/>
      <c r="KDV237" s="19"/>
      <c r="KDY237" s="16"/>
      <c r="KDZ237" s="15"/>
      <c r="KEA237" s="15"/>
      <c r="KEB237" s="15"/>
      <c r="KEC237" s="16"/>
      <c r="KED237" s="16"/>
      <c r="KEE237" s="16"/>
      <c r="KEF237" s="16"/>
      <c r="KEG237" s="16"/>
      <c r="KEH237" s="15"/>
      <c r="KEI237" s="15"/>
      <c r="KEJ237" s="10"/>
      <c r="KEK237" s="10"/>
      <c r="KEL237" s="19"/>
      <c r="KEM237" s="19"/>
      <c r="KEP237" s="16"/>
      <c r="KEQ237" s="15"/>
      <c r="KER237" s="15"/>
      <c r="KES237" s="15"/>
      <c r="KET237" s="16"/>
      <c r="KEU237" s="16"/>
      <c r="KEV237" s="16"/>
      <c r="KEW237" s="16"/>
      <c r="KEX237" s="16"/>
      <c r="KEY237" s="15"/>
      <c r="KEZ237" s="15"/>
      <c r="KFA237" s="10"/>
      <c r="KFB237" s="10"/>
      <c r="KFC237" s="19"/>
      <c r="KFD237" s="19"/>
      <c r="KFG237" s="16"/>
      <c r="KFH237" s="15"/>
      <c r="KFI237" s="15"/>
      <c r="KFJ237" s="15"/>
      <c r="KFK237" s="16"/>
      <c r="KFL237" s="16"/>
      <c r="KFM237" s="16"/>
      <c r="KFN237" s="16"/>
      <c r="KFO237" s="16"/>
      <c r="KFP237" s="15"/>
      <c r="KFQ237" s="15"/>
      <c r="KFR237" s="10"/>
      <c r="KFS237" s="10"/>
      <c r="KFT237" s="19"/>
      <c r="KFU237" s="19"/>
      <c r="KFX237" s="16"/>
      <c r="KFY237" s="15"/>
      <c r="KFZ237" s="15"/>
      <c r="KGA237" s="15"/>
      <c r="KGB237" s="16"/>
      <c r="KGC237" s="16"/>
      <c r="KGD237" s="16"/>
      <c r="KGE237" s="16"/>
      <c r="KGF237" s="16"/>
      <c r="KGG237" s="15"/>
      <c r="KGH237" s="15"/>
      <c r="KGI237" s="10"/>
      <c r="KGJ237" s="10"/>
      <c r="KGK237" s="19"/>
      <c r="KGL237" s="19"/>
      <c r="KGO237" s="16"/>
      <c r="KGP237" s="15"/>
      <c r="KGQ237" s="15"/>
      <c r="KGR237" s="15"/>
      <c r="KGS237" s="16"/>
      <c r="KGT237" s="16"/>
      <c r="KGU237" s="16"/>
      <c r="KGV237" s="16"/>
      <c r="KGW237" s="16"/>
      <c r="KGX237" s="15"/>
      <c r="KGY237" s="15"/>
      <c r="KGZ237" s="10"/>
      <c r="KHA237" s="10"/>
      <c r="KHB237" s="19"/>
      <c r="KHC237" s="19"/>
      <c r="KHF237" s="16"/>
      <c r="KHG237" s="15"/>
      <c r="KHH237" s="15"/>
      <c r="KHI237" s="15"/>
      <c r="KHJ237" s="16"/>
      <c r="KHK237" s="16"/>
      <c r="KHL237" s="16"/>
      <c r="KHM237" s="16"/>
      <c r="KHN237" s="16"/>
      <c r="KHO237" s="15"/>
      <c r="KHP237" s="15"/>
      <c r="KHQ237" s="10"/>
      <c r="KHR237" s="10"/>
      <c r="KHS237" s="19"/>
      <c r="KHT237" s="19"/>
      <c r="KHW237" s="16"/>
      <c r="KHX237" s="15"/>
      <c r="KHY237" s="15"/>
      <c r="KHZ237" s="15"/>
      <c r="KIA237" s="16"/>
      <c r="KIB237" s="16"/>
      <c r="KIC237" s="16"/>
      <c r="KID237" s="16"/>
      <c r="KIE237" s="16"/>
      <c r="KIF237" s="15"/>
      <c r="KIG237" s="15"/>
      <c r="KIH237" s="10"/>
      <c r="KII237" s="10"/>
      <c r="KIJ237" s="19"/>
      <c r="KIK237" s="19"/>
      <c r="KIN237" s="16"/>
      <c r="KIO237" s="15"/>
      <c r="KIP237" s="15"/>
      <c r="KIQ237" s="15"/>
      <c r="KIR237" s="16"/>
      <c r="KIS237" s="16"/>
      <c r="KIT237" s="16"/>
      <c r="KIU237" s="16"/>
      <c r="KIV237" s="16"/>
      <c r="KIW237" s="15"/>
      <c r="KIX237" s="15"/>
      <c r="KIY237" s="10"/>
      <c r="KIZ237" s="10"/>
      <c r="KJA237" s="19"/>
      <c r="KJB237" s="19"/>
      <c r="KJE237" s="16"/>
      <c r="KJF237" s="15"/>
      <c r="KJG237" s="15"/>
      <c r="KJH237" s="15"/>
      <c r="KJI237" s="16"/>
      <c r="KJJ237" s="16"/>
      <c r="KJK237" s="16"/>
      <c r="KJL237" s="16"/>
      <c r="KJM237" s="16"/>
      <c r="KJN237" s="15"/>
      <c r="KJO237" s="15"/>
      <c r="KJP237" s="10"/>
      <c r="KJQ237" s="10"/>
      <c r="KJR237" s="19"/>
      <c r="KJS237" s="19"/>
      <c r="KJV237" s="16"/>
      <c r="KJW237" s="15"/>
      <c r="KJX237" s="15"/>
      <c r="KJY237" s="15"/>
      <c r="KJZ237" s="16"/>
      <c r="KKA237" s="16"/>
      <c r="KKB237" s="16"/>
      <c r="KKC237" s="16"/>
      <c r="KKD237" s="16"/>
      <c r="KKE237" s="15"/>
      <c r="KKF237" s="15"/>
      <c r="KKG237" s="10"/>
      <c r="KKH237" s="10"/>
      <c r="KKI237" s="19"/>
      <c r="KKJ237" s="19"/>
      <c r="KKM237" s="16"/>
      <c r="KKN237" s="15"/>
      <c r="KKO237" s="15"/>
      <c r="KKP237" s="15"/>
      <c r="KKQ237" s="16"/>
      <c r="KKR237" s="16"/>
      <c r="KKS237" s="16"/>
      <c r="KKT237" s="16"/>
      <c r="KKU237" s="16"/>
      <c r="KKV237" s="15"/>
      <c r="KKW237" s="15"/>
      <c r="KKX237" s="10"/>
      <c r="KKY237" s="10"/>
      <c r="KKZ237" s="19"/>
      <c r="KLA237" s="19"/>
      <c r="KLD237" s="16"/>
      <c r="KLE237" s="15"/>
      <c r="KLF237" s="15"/>
      <c r="KLG237" s="15"/>
      <c r="KLH237" s="16"/>
      <c r="KLI237" s="16"/>
      <c r="KLJ237" s="16"/>
      <c r="KLK237" s="16"/>
      <c r="KLL237" s="16"/>
      <c r="KLM237" s="15"/>
      <c r="KLN237" s="15"/>
      <c r="KLO237" s="10"/>
      <c r="KLP237" s="10"/>
      <c r="KLQ237" s="19"/>
      <c r="KLR237" s="19"/>
      <c r="KLU237" s="16"/>
      <c r="KLV237" s="15"/>
      <c r="KLW237" s="15"/>
      <c r="KLX237" s="15"/>
      <c r="KLY237" s="16"/>
      <c r="KLZ237" s="16"/>
      <c r="KMA237" s="16"/>
      <c r="KMB237" s="16"/>
      <c r="KMC237" s="16"/>
      <c r="KMD237" s="15"/>
      <c r="KME237" s="15"/>
      <c r="KMF237" s="10"/>
      <c r="KMG237" s="10"/>
      <c r="KMH237" s="19"/>
      <c r="KMI237" s="19"/>
      <c r="KML237" s="16"/>
      <c r="KMM237" s="15"/>
      <c r="KMN237" s="15"/>
      <c r="KMO237" s="15"/>
      <c r="KMP237" s="16"/>
      <c r="KMQ237" s="16"/>
      <c r="KMR237" s="16"/>
      <c r="KMS237" s="16"/>
      <c r="KMT237" s="16"/>
      <c r="KMU237" s="15"/>
      <c r="KMV237" s="15"/>
      <c r="KMW237" s="10"/>
      <c r="KMX237" s="10"/>
      <c r="KMY237" s="19"/>
      <c r="KMZ237" s="19"/>
      <c r="KNC237" s="16"/>
      <c r="KND237" s="15"/>
      <c r="KNE237" s="15"/>
      <c r="KNF237" s="15"/>
      <c r="KNG237" s="16"/>
      <c r="KNH237" s="16"/>
      <c r="KNI237" s="16"/>
      <c r="KNJ237" s="16"/>
      <c r="KNK237" s="16"/>
      <c r="KNL237" s="15"/>
      <c r="KNM237" s="15"/>
      <c r="KNN237" s="10"/>
      <c r="KNO237" s="10"/>
      <c r="KNP237" s="19"/>
      <c r="KNQ237" s="19"/>
      <c r="KNT237" s="16"/>
      <c r="KNU237" s="15"/>
      <c r="KNV237" s="15"/>
      <c r="KNW237" s="15"/>
      <c r="KNX237" s="16"/>
      <c r="KNY237" s="16"/>
      <c r="KNZ237" s="16"/>
      <c r="KOA237" s="16"/>
      <c r="KOB237" s="16"/>
      <c r="KOC237" s="15"/>
      <c r="KOD237" s="15"/>
      <c r="KOE237" s="10"/>
      <c r="KOF237" s="10"/>
      <c r="KOG237" s="19"/>
      <c r="KOH237" s="19"/>
      <c r="KOK237" s="16"/>
      <c r="KOL237" s="15"/>
      <c r="KOM237" s="15"/>
      <c r="KON237" s="15"/>
      <c r="KOO237" s="16"/>
      <c r="KOP237" s="16"/>
      <c r="KOQ237" s="16"/>
      <c r="KOR237" s="16"/>
      <c r="KOS237" s="16"/>
      <c r="KOT237" s="15"/>
      <c r="KOU237" s="15"/>
      <c r="KOV237" s="10"/>
      <c r="KOW237" s="10"/>
      <c r="KOX237" s="19"/>
      <c r="KOY237" s="19"/>
      <c r="KPB237" s="16"/>
      <c r="KPC237" s="15"/>
      <c r="KPD237" s="15"/>
      <c r="KPE237" s="15"/>
      <c r="KPF237" s="16"/>
      <c r="KPG237" s="16"/>
      <c r="KPH237" s="16"/>
      <c r="KPI237" s="16"/>
      <c r="KPJ237" s="16"/>
      <c r="KPK237" s="15"/>
      <c r="KPL237" s="15"/>
      <c r="KPM237" s="10"/>
      <c r="KPN237" s="10"/>
      <c r="KPO237" s="19"/>
      <c r="KPP237" s="19"/>
      <c r="KPS237" s="16"/>
      <c r="KPT237" s="15"/>
      <c r="KPU237" s="15"/>
      <c r="KPV237" s="15"/>
      <c r="KPW237" s="16"/>
      <c r="KPX237" s="16"/>
      <c r="KPY237" s="16"/>
      <c r="KPZ237" s="16"/>
      <c r="KQA237" s="16"/>
      <c r="KQB237" s="15"/>
      <c r="KQC237" s="15"/>
      <c r="KQD237" s="10"/>
      <c r="KQE237" s="10"/>
      <c r="KQF237" s="19"/>
      <c r="KQG237" s="19"/>
      <c r="KQJ237" s="16"/>
      <c r="KQK237" s="15"/>
      <c r="KQL237" s="15"/>
      <c r="KQM237" s="15"/>
      <c r="KQN237" s="16"/>
      <c r="KQO237" s="16"/>
      <c r="KQP237" s="16"/>
      <c r="KQQ237" s="16"/>
      <c r="KQR237" s="16"/>
      <c r="KQS237" s="15"/>
      <c r="KQT237" s="15"/>
      <c r="KQU237" s="10"/>
      <c r="KQV237" s="10"/>
      <c r="KQW237" s="19"/>
      <c r="KQX237" s="19"/>
      <c r="KRA237" s="16"/>
      <c r="KRB237" s="15"/>
      <c r="KRC237" s="15"/>
      <c r="KRD237" s="15"/>
      <c r="KRE237" s="16"/>
      <c r="KRF237" s="16"/>
      <c r="KRG237" s="16"/>
      <c r="KRH237" s="16"/>
      <c r="KRI237" s="16"/>
      <c r="KRJ237" s="15"/>
      <c r="KRK237" s="15"/>
      <c r="KRL237" s="10"/>
      <c r="KRM237" s="10"/>
      <c r="KRN237" s="19"/>
      <c r="KRO237" s="19"/>
      <c r="KRR237" s="16"/>
      <c r="KRS237" s="15"/>
      <c r="KRT237" s="15"/>
      <c r="KRU237" s="15"/>
      <c r="KRV237" s="16"/>
      <c r="KRW237" s="16"/>
      <c r="KRX237" s="16"/>
      <c r="KRY237" s="16"/>
      <c r="KRZ237" s="16"/>
      <c r="KSA237" s="15"/>
      <c r="KSB237" s="15"/>
      <c r="KSC237" s="10"/>
      <c r="KSD237" s="10"/>
      <c r="KSE237" s="19"/>
      <c r="KSF237" s="19"/>
      <c r="KSI237" s="16"/>
      <c r="KSJ237" s="15"/>
      <c r="KSK237" s="15"/>
      <c r="KSL237" s="15"/>
      <c r="KSM237" s="16"/>
      <c r="KSN237" s="16"/>
      <c r="KSO237" s="16"/>
      <c r="KSP237" s="16"/>
      <c r="KSQ237" s="16"/>
      <c r="KSR237" s="15"/>
      <c r="KSS237" s="15"/>
      <c r="KST237" s="10"/>
      <c r="KSU237" s="10"/>
      <c r="KSV237" s="19"/>
      <c r="KSW237" s="19"/>
      <c r="KSZ237" s="16"/>
      <c r="KTA237" s="15"/>
      <c r="KTB237" s="15"/>
      <c r="KTC237" s="15"/>
      <c r="KTD237" s="16"/>
      <c r="KTE237" s="16"/>
      <c r="KTF237" s="16"/>
      <c r="KTG237" s="16"/>
      <c r="KTH237" s="16"/>
      <c r="KTI237" s="15"/>
      <c r="KTJ237" s="15"/>
      <c r="KTK237" s="10"/>
      <c r="KTL237" s="10"/>
      <c r="KTM237" s="19"/>
      <c r="KTN237" s="19"/>
      <c r="KTQ237" s="16"/>
      <c r="KTR237" s="15"/>
      <c r="KTS237" s="15"/>
      <c r="KTT237" s="15"/>
      <c r="KTU237" s="16"/>
      <c r="KTV237" s="16"/>
      <c r="KTW237" s="16"/>
      <c r="KTX237" s="16"/>
      <c r="KTY237" s="16"/>
      <c r="KTZ237" s="15"/>
      <c r="KUA237" s="15"/>
      <c r="KUB237" s="10"/>
      <c r="KUC237" s="10"/>
      <c r="KUD237" s="19"/>
      <c r="KUE237" s="19"/>
      <c r="KUH237" s="16"/>
      <c r="KUI237" s="15"/>
      <c r="KUJ237" s="15"/>
      <c r="KUK237" s="15"/>
      <c r="KUL237" s="16"/>
      <c r="KUM237" s="16"/>
      <c r="KUN237" s="16"/>
      <c r="KUO237" s="16"/>
      <c r="KUP237" s="16"/>
      <c r="KUQ237" s="15"/>
      <c r="KUR237" s="15"/>
      <c r="KUS237" s="10"/>
      <c r="KUT237" s="10"/>
      <c r="KUU237" s="19"/>
      <c r="KUV237" s="19"/>
      <c r="KUY237" s="16"/>
      <c r="KUZ237" s="15"/>
      <c r="KVA237" s="15"/>
      <c r="KVB237" s="15"/>
      <c r="KVC237" s="16"/>
      <c r="KVD237" s="16"/>
      <c r="KVE237" s="16"/>
      <c r="KVF237" s="16"/>
      <c r="KVG237" s="16"/>
      <c r="KVH237" s="15"/>
      <c r="KVI237" s="15"/>
      <c r="KVJ237" s="10"/>
      <c r="KVK237" s="10"/>
      <c r="KVL237" s="19"/>
      <c r="KVM237" s="19"/>
      <c r="KVP237" s="16"/>
      <c r="KVQ237" s="15"/>
      <c r="KVR237" s="15"/>
      <c r="KVS237" s="15"/>
      <c r="KVT237" s="16"/>
      <c r="KVU237" s="16"/>
      <c r="KVV237" s="16"/>
      <c r="KVW237" s="16"/>
      <c r="KVX237" s="16"/>
      <c r="KVY237" s="15"/>
      <c r="KVZ237" s="15"/>
      <c r="KWA237" s="10"/>
      <c r="KWB237" s="10"/>
      <c r="KWC237" s="19"/>
      <c r="KWD237" s="19"/>
      <c r="KWG237" s="16"/>
      <c r="KWH237" s="15"/>
      <c r="KWI237" s="15"/>
      <c r="KWJ237" s="15"/>
      <c r="KWK237" s="16"/>
      <c r="KWL237" s="16"/>
      <c r="KWM237" s="16"/>
      <c r="KWN237" s="16"/>
      <c r="KWO237" s="16"/>
      <c r="KWP237" s="15"/>
      <c r="KWQ237" s="15"/>
      <c r="KWR237" s="10"/>
      <c r="KWS237" s="10"/>
      <c r="KWT237" s="19"/>
      <c r="KWU237" s="19"/>
      <c r="KWX237" s="16"/>
      <c r="KWY237" s="15"/>
      <c r="KWZ237" s="15"/>
      <c r="KXA237" s="15"/>
      <c r="KXB237" s="16"/>
      <c r="KXC237" s="16"/>
      <c r="KXD237" s="16"/>
      <c r="KXE237" s="16"/>
      <c r="KXF237" s="16"/>
      <c r="KXG237" s="15"/>
      <c r="KXH237" s="15"/>
      <c r="KXI237" s="10"/>
      <c r="KXJ237" s="10"/>
      <c r="KXK237" s="19"/>
      <c r="KXL237" s="19"/>
      <c r="KXO237" s="16"/>
      <c r="KXP237" s="15"/>
      <c r="KXQ237" s="15"/>
      <c r="KXR237" s="15"/>
      <c r="KXS237" s="16"/>
      <c r="KXT237" s="16"/>
      <c r="KXU237" s="16"/>
      <c r="KXV237" s="16"/>
      <c r="KXW237" s="16"/>
      <c r="KXX237" s="15"/>
      <c r="KXY237" s="15"/>
      <c r="KXZ237" s="10"/>
      <c r="KYA237" s="10"/>
      <c r="KYB237" s="19"/>
      <c r="KYC237" s="19"/>
      <c r="KYF237" s="16"/>
      <c r="KYG237" s="15"/>
      <c r="KYH237" s="15"/>
      <c r="KYI237" s="15"/>
      <c r="KYJ237" s="16"/>
      <c r="KYK237" s="16"/>
      <c r="KYL237" s="16"/>
      <c r="KYM237" s="16"/>
      <c r="KYN237" s="16"/>
      <c r="KYO237" s="15"/>
      <c r="KYP237" s="15"/>
      <c r="KYQ237" s="10"/>
      <c r="KYR237" s="10"/>
      <c r="KYS237" s="19"/>
      <c r="KYT237" s="19"/>
      <c r="KYW237" s="16"/>
      <c r="KYX237" s="15"/>
      <c r="KYY237" s="15"/>
      <c r="KYZ237" s="15"/>
      <c r="KZA237" s="16"/>
      <c r="KZB237" s="16"/>
      <c r="KZC237" s="16"/>
      <c r="KZD237" s="16"/>
      <c r="KZE237" s="16"/>
      <c r="KZF237" s="15"/>
      <c r="KZG237" s="15"/>
      <c r="KZH237" s="10"/>
      <c r="KZI237" s="10"/>
      <c r="KZJ237" s="19"/>
      <c r="KZK237" s="19"/>
      <c r="KZN237" s="16"/>
      <c r="KZO237" s="15"/>
      <c r="KZP237" s="15"/>
      <c r="KZQ237" s="15"/>
      <c r="KZR237" s="16"/>
      <c r="KZS237" s="16"/>
      <c r="KZT237" s="16"/>
      <c r="KZU237" s="16"/>
      <c r="KZV237" s="16"/>
      <c r="KZW237" s="15"/>
      <c r="KZX237" s="15"/>
      <c r="KZY237" s="10"/>
      <c r="KZZ237" s="10"/>
      <c r="LAA237" s="19"/>
      <c r="LAB237" s="19"/>
      <c r="LAE237" s="16"/>
      <c r="LAF237" s="15"/>
      <c r="LAG237" s="15"/>
      <c r="LAH237" s="15"/>
      <c r="LAI237" s="16"/>
      <c r="LAJ237" s="16"/>
      <c r="LAK237" s="16"/>
      <c r="LAL237" s="16"/>
      <c r="LAM237" s="16"/>
      <c r="LAN237" s="15"/>
      <c r="LAO237" s="15"/>
      <c r="LAP237" s="10"/>
      <c r="LAQ237" s="10"/>
      <c r="LAR237" s="19"/>
      <c r="LAS237" s="19"/>
      <c r="LAV237" s="16"/>
      <c r="LAW237" s="15"/>
      <c r="LAX237" s="15"/>
      <c r="LAY237" s="15"/>
      <c r="LAZ237" s="16"/>
      <c r="LBA237" s="16"/>
      <c r="LBB237" s="16"/>
      <c r="LBC237" s="16"/>
      <c r="LBD237" s="16"/>
      <c r="LBE237" s="15"/>
      <c r="LBF237" s="15"/>
      <c r="LBG237" s="10"/>
      <c r="LBH237" s="10"/>
      <c r="LBI237" s="19"/>
      <c r="LBJ237" s="19"/>
      <c r="LBM237" s="16"/>
      <c r="LBN237" s="15"/>
      <c r="LBO237" s="15"/>
      <c r="LBP237" s="15"/>
      <c r="LBQ237" s="16"/>
      <c r="LBR237" s="16"/>
      <c r="LBS237" s="16"/>
      <c r="LBT237" s="16"/>
      <c r="LBU237" s="16"/>
      <c r="LBV237" s="15"/>
      <c r="LBW237" s="15"/>
      <c r="LBX237" s="10"/>
      <c r="LBY237" s="10"/>
      <c r="LBZ237" s="19"/>
      <c r="LCA237" s="19"/>
      <c r="LCD237" s="16"/>
      <c r="LCE237" s="15"/>
      <c r="LCF237" s="15"/>
      <c r="LCG237" s="15"/>
      <c r="LCH237" s="16"/>
      <c r="LCI237" s="16"/>
      <c r="LCJ237" s="16"/>
      <c r="LCK237" s="16"/>
      <c r="LCL237" s="16"/>
      <c r="LCM237" s="15"/>
      <c r="LCN237" s="15"/>
      <c r="LCO237" s="10"/>
      <c r="LCP237" s="10"/>
      <c r="LCQ237" s="19"/>
      <c r="LCR237" s="19"/>
      <c r="LCU237" s="16"/>
      <c r="LCV237" s="15"/>
      <c r="LCW237" s="15"/>
      <c r="LCX237" s="15"/>
      <c r="LCY237" s="16"/>
      <c r="LCZ237" s="16"/>
      <c r="LDA237" s="16"/>
      <c r="LDB237" s="16"/>
      <c r="LDC237" s="16"/>
      <c r="LDD237" s="15"/>
      <c r="LDE237" s="15"/>
      <c r="LDF237" s="10"/>
      <c r="LDG237" s="10"/>
      <c r="LDH237" s="19"/>
      <c r="LDI237" s="19"/>
      <c r="LDL237" s="16"/>
      <c r="LDM237" s="15"/>
      <c r="LDN237" s="15"/>
      <c r="LDO237" s="15"/>
      <c r="LDP237" s="16"/>
      <c r="LDQ237" s="16"/>
      <c r="LDR237" s="16"/>
      <c r="LDS237" s="16"/>
      <c r="LDT237" s="16"/>
      <c r="LDU237" s="15"/>
      <c r="LDV237" s="15"/>
      <c r="LDW237" s="10"/>
      <c r="LDX237" s="10"/>
      <c r="LDY237" s="19"/>
      <c r="LDZ237" s="19"/>
      <c r="LEC237" s="16"/>
      <c r="LED237" s="15"/>
      <c r="LEE237" s="15"/>
      <c r="LEF237" s="15"/>
      <c r="LEG237" s="16"/>
      <c r="LEH237" s="16"/>
      <c r="LEI237" s="16"/>
      <c r="LEJ237" s="16"/>
      <c r="LEK237" s="16"/>
      <c r="LEL237" s="15"/>
      <c r="LEM237" s="15"/>
      <c r="LEN237" s="10"/>
      <c r="LEO237" s="10"/>
      <c r="LEP237" s="19"/>
      <c r="LEQ237" s="19"/>
      <c r="LET237" s="16"/>
      <c r="LEU237" s="15"/>
      <c r="LEV237" s="15"/>
      <c r="LEW237" s="15"/>
      <c r="LEX237" s="16"/>
      <c r="LEY237" s="16"/>
      <c r="LEZ237" s="16"/>
      <c r="LFA237" s="16"/>
      <c r="LFB237" s="16"/>
      <c r="LFC237" s="15"/>
      <c r="LFD237" s="15"/>
      <c r="LFE237" s="10"/>
      <c r="LFF237" s="10"/>
      <c r="LFG237" s="19"/>
      <c r="LFH237" s="19"/>
      <c r="LFK237" s="16"/>
      <c r="LFL237" s="15"/>
      <c r="LFM237" s="15"/>
      <c r="LFN237" s="15"/>
      <c r="LFO237" s="16"/>
      <c r="LFP237" s="16"/>
      <c r="LFQ237" s="16"/>
      <c r="LFR237" s="16"/>
      <c r="LFS237" s="16"/>
      <c r="LFT237" s="15"/>
      <c r="LFU237" s="15"/>
      <c r="LFV237" s="10"/>
      <c r="LFW237" s="10"/>
      <c r="LFX237" s="19"/>
      <c r="LFY237" s="19"/>
      <c r="LGB237" s="16"/>
      <c r="LGC237" s="15"/>
      <c r="LGD237" s="15"/>
      <c r="LGE237" s="15"/>
      <c r="LGF237" s="16"/>
      <c r="LGG237" s="16"/>
      <c r="LGH237" s="16"/>
      <c r="LGI237" s="16"/>
      <c r="LGJ237" s="16"/>
      <c r="LGK237" s="15"/>
      <c r="LGL237" s="15"/>
      <c r="LGM237" s="10"/>
      <c r="LGN237" s="10"/>
      <c r="LGO237" s="19"/>
      <c r="LGP237" s="19"/>
      <c r="LGS237" s="16"/>
      <c r="LGT237" s="15"/>
      <c r="LGU237" s="15"/>
      <c r="LGV237" s="15"/>
      <c r="LGW237" s="16"/>
      <c r="LGX237" s="16"/>
      <c r="LGY237" s="16"/>
      <c r="LGZ237" s="16"/>
      <c r="LHA237" s="16"/>
      <c r="LHB237" s="15"/>
      <c r="LHC237" s="15"/>
      <c r="LHD237" s="10"/>
      <c r="LHE237" s="10"/>
      <c r="LHF237" s="19"/>
      <c r="LHG237" s="19"/>
      <c r="LHJ237" s="16"/>
      <c r="LHK237" s="15"/>
      <c r="LHL237" s="15"/>
      <c r="LHM237" s="15"/>
      <c r="LHN237" s="16"/>
      <c r="LHO237" s="16"/>
      <c r="LHP237" s="16"/>
      <c r="LHQ237" s="16"/>
      <c r="LHR237" s="16"/>
      <c r="LHS237" s="15"/>
      <c r="LHT237" s="15"/>
      <c r="LHU237" s="10"/>
      <c r="LHV237" s="10"/>
      <c r="LHW237" s="19"/>
      <c r="LHX237" s="19"/>
      <c r="LIA237" s="16"/>
      <c r="LIB237" s="15"/>
      <c r="LIC237" s="15"/>
      <c r="LID237" s="15"/>
      <c r="LIE237" s="16"/>
      <c r="LIF237" s="16"/>
      <c r="LIG237" s="16"/>
      <c r="LIH237" s="16"/>
      <c r="LII237" s="16"/>
      <c r="LIJ237" s="15"/>
      <c r="LIK237" s="15"/>
      <c r="LIL237" s="10"/>
      <c r="LIM237" s="10"/>
      <c r="LIN237" s="19"/>
      <c r="LIO237" s="19"/>
      <c r="LIR237" s="16"/>
      <c r="LIS237" s="15"/>
      <c r="LIT237" s="15"/>
      <c r="LIU237" s="15"/>
      <c r="LIV237" s="16"/>
      <c r="LIW237" s="16"/>
      <c r="LIX237" s="16"/>
      <c r="LIY237" s="16"/>
      <c r="LIZ237" s="16"/>
      <c r="LJA237" s="15"/>
      <c r="LJB237" s="15"/>
      <c r="LJC237" s="10"/>
      <c r="LJD237" s="10"/>
      <c r="LJE237" s="19"/>
      <c r="LJF237" s="19"/>
      <c r="LJI237" s="16"/>
      <c r="LJJ237" s="15"/>
      <c r="LJK237" s="15"/>
      <c r="LJL237" s="15"/>
      <c r="LJM237" s="16"/>
      <c r="LJN237" s="16"/>
      <c r="LJO237" s="16"/>
      <c r="LJP237" s="16"/>
      <c r="LJQ237" s="16"/>
      <c r="LJR237" s="15"/>
      <c r="LJS237" s="15"/>
      <c r="LJT237" s="10"/>
      <c r="LJU237" s="10"/>
      <c r="LJV237" s="19"/>
      <c r="LJW237" s="19"/>
      <c r="LJZ237" s="16"/>
      <c r="LKA237" s="15"/>
      <c r="LKB237" s="15"/>
      <c r="LKC237" s="15"/>
      <c r="LKD237" s="16"/>
      <c r="LKE237" s="16"/>
      <c r="LKF237" s="16"/>
      <c r="LKG237" s="16"/>
      <c r="LKH237" s="16"/>
      <c r="LKI237" s="15"/>
      <c r="LKJ237" s="15"/>
      <c r="LKK237" s="10"/>
      <c r="LKL237" s="10"/>
      <c r="LKM237" s="19"/>
      <c r="LKN237" s="19"/>
      <c r="LKQ237" s="16"/>
      <c r="LKR237" s="15"/>
      <c r="LKS237" s="15"/>
      <c r="LKT237" s="15"/>
      <c r="LKU237" s="16"/>
      <c r="LKV237" s="16"/>
      <c r="LKW237" s="16"/>
      <c r="LKX237" s="16"/>
      <c r="LKY237" s="16"/>
      <c r="LKZ237" s="15"/>
      <c r="LLA237" s="15"/>
      <c r="LLB237" s="10"/>
      <c r="LLC237" s="10"/>
      <c r="LLD237" s="19"/>
      <c r="LLE237" s="19"/>
      <c r="LLH237" s="16"/>
      <c r="LLI237" s="15"/>
      <c r="LLJ237" s="15"/>
      <c r="LLK237" s="15"/>
      <c r="LLL237" s="16"/>
      <c r="LLM237" s="16"/>
      <c r="LLN237" s="16"/>
      <c r="LLO237" s="16"/>
      <c r="LLP237" s="16"/>
      <c r="LLQ237" s="15"/>
      <c r="LLR237" s="15"/>
      <c r="LLS237" s="10"/>
      <c r="LLT237" s="10"/>
      <c r="LLU237" s="19"/>
      <c r="LLV237" s="19"/>
      <c r="LLY237" s="16"/>
      <c r="LLZ237" s="15"/>
      <c r="LMA237" s="15"/>
      <c r="LMB237" s="15"/>
      <c r="LMC237" s="16"/>
      <c r="LMD237" s="16"/>
      <c r="LME237" s="16"/>
      <c r="LMF237" s="16"/>
      <c r="LMG237" s="16"/>
      <c r="LMH237" s="15"/>
      <c r="LMI237" s="15"/>
      <c r="LMJ237" s="10"/>
      <c r="LMK237" s="10"/>
      <c r="LML237" s="19"/>
      <c r="LMM237" s="19"/>
      <c r="LMP237" s="16"/>
      <c r="LMQ237" s="15"/>
      <c r="LMR237" s="15"/>
      <c r="LMS237" s="15"/>
      <c r="LMT237" s="16"/>
      <c r="LMU237" s="16"/>
      <c r="LMV237" s="16"/>
      <c r="LMW237" s="16"/>
      <c r="LMX237" s="16"/>
      <c r="LMY237" s="15"/>
      <c r="LMZ237" s="15"/>
      <c r="LNA237" s="10"/>
      <c r="LNB237" s="10"/>
      <c r="LNC237" s="19"/>
      <c r="LND237" s="19"/>
      <c r="LNG237" s="16"/>
      <c r="LNH237" s="15"/>
      <c r="LNI237" s="15"/>
      <c r="LNJ237" s="15"/>
      <c r="LNK237" s="16"/>
      <c r="LNL237" s="16"/>
      <c r="LNM237" s="16"/>
      <c r="LNN237" s="16"/>
      <c r="LNO237" s="16"/>
      <c r="LNP237" s="15"/>
      <c r="LNQ237" s="15"/>
      <c r="LNR237" s="10"/>
      <c r="LNS237" s="10"/>
      <c r="LNT237" s="19"/>
      <c r="LNU237" s="19"/>
      <c r="LNX237" s="16"/>
      <c r="LNY237" s="15"/>
      <c r="LNZ237" s="15"/>
      <c r="LOA237" s="15"/>
      <c r="LOB237" s="16"/>
      <c r="LOC237" s="16"/>
      <c r="LOD237" s="16"/>
      <c r="LOE237" s="16"/>
      <c r="LOF237" s="16"/>
      <c r="LOG237" s="15"/>
      <c r="LOH237" s="15"/>
      <c r="LOI237" s="10"/>
      <c r="LOJ237" s="10"/>
      <c r="LOK237" s="19"/>
      <c r="LOL237" s="19"/>
      <c r="LOO237" s="16"/>
      <c r="LOP237" s="15"/>
      <c r="LOQ237" s="15"/>
      <c r="LOR237" s="15"/>
      <c r="LOS237" s="16"/>
      <c r="LOT237" s="16"/>
      <c r="LOU237" s="16"/>
      <c r="LOV237" s="16"/>
      <c r="LOW237" s="16"/>
      <c r="LOX237" s="15"/>
      <c r="LOY237" s="15"/>
      <c r="LOZ237" s="10"/>
      <c r="LPA237" s="10"/>
      <c r="LPB237" s="19"/>
      <c r="LPC237" s="19"/>
      <c r="LPF237" s="16"/>
      <c r="LPG237" s="15"/>
      <c r="LPH237" s="15"/>
      <c r="LPI237" s="15"/>
      <c r="LPJ237" s="16"/>
      <c r="LPK237" s="16"/>
      <c r="LPL237" s="16"/>
      <c r="LPM237" s="16"/>
      <c r="LPN237" s="16"/>
      <c r="LPO237" s="15"/>
      <c r="LPP237" s="15"/>
      <c r="LPQ237" s="10"/>
      <c r="LPR237" s="10"/>
      <c r="LPS237" s="19"/>
      <c r="LPT237" s="19"/>
      <c r="LPW237" s="16"/>
      <c r="LPX237" s="15"/>
      <c r="LPY237" s="15"/>
      <c r="LPZ237" s="15"/>
      <c r="LQA237" s="16"/>
      <c r="LQB237" s="16"/>
      <c r="LQC237" s="16"/>
      <c r="LQD237" s="16"/>
      <c r="LQE237" s="16"/>
      <c r="LQF237" s="15"/>
      <c r="LQG237" s="15"/>
      <c r="LQH237" s="10"/>
      <c r="LQI237" s="10"/>
      <c r="LQJ237" s="19"/>
      <c r="LQK237" s="19"/>
      <c r="LQN237" s="16"/>
      <c r="LQO237" s="15"/>
      <c r="LQP237" s="15"/>
      <c r="LQQ237" s="15"/>
      <c r="LQR237" s="16"/>
      <c r="LQS237" s="16"/>
      <c r="LQT237" s="16"/>
      <c r="LQU237" s="16"/>
      <c r="LQV237" s="16"/>
      <c r="LQW237" s="15"/>
      <c r="LQX237" s="15"/>
      <c r="LQY237" s="10"/>
      <c r="LQZ237" s="10"/>
      <c r="LRA237" s="19"/>
      <c r="LRB237" s="19"/>
      <c r="LRE237" s="16"/>
      <c r="LRF237" s="15"/>
      <c r="LRG237" s="15"/>
      <c r="LRH237" s="15"/>
      <c r="LRI237" s="16"/>
      <c r="LRJ237" s="16"/>
      <c r="LRK237" s="16"/>
      <c r="LRL237" s="16"/>
      <c r="LRM237" s="16"/>
      <c r="LRN237" s="15"/>
      <c r="LRO237" s="15"/>
      <c r="LRP237" s="10"/>
      <c r="LRQ237" s="10"/>
      <c r="LRR237" s="19"/>
      <c r="LRS237" s="19"/>
      <c r="LRV237" s="16"/>
      <c r="LRW237" s="15"/>
      <c r="LRX237" s="15"/>
      <c r="LRY237" s="15"/>
      <c r="LRZ237" s="16"/>
      <c r="LSA237" s="16"/>
      <c r="LSB237" s="16"/>
      <c r="LSC237" s="16"/>
      <c r="LSD237" s="16"/>
      <c r="LSE237" s="15"/>
      <c r="LSF237" s="15"/>
      <c r="LSG237" s="10"/>
      <c r="LSH237" s="10"/>
      <c r="LSI237" s="19"/>
      <c r="LSJ237" s="19"/>
      <c r="LSM237" s="16"/>
      <c r="LSN237" s="15"/>
      <c r="LSO237" s="15"/>
      <c r="LSP237" s="15"/>
      <c r="LSQ237" s="16"/>
      <c r="LSR237" s="16"/>
      <c r="LSS237" s="16"/>
      <c r="LST237" s="16"/>
      <c r="LSU237" s="16"/>
      <c r="LSV237" s="15"/>
      <c r="LSW237" s="15"/>
      <c r="LSX237" s="10"/>
      <c r="LSY237" s="10"/>
      <c r="LSZ237" s="19"/>
      <c r="LTA237" s="19"/>
      <c r="LTD237" s="16"/>
      <c r="LTE237" s="15"/>
      <c r="LTF237" s="15"/>
      <c r="LTG237" s="15"/>
      <c r="LTH237" s="16"/>
      <c r="LTI237" s="16"/>
      <c r="LTJ237" s="16"/>
      <c r="LTK237" s="16"/>
      <c r="LTL237" s="16"/>
      <c r="LTM237" s="15"/>
      <c r="LTN237" s="15"/>
      <c r="LTO237" s="10"/>
      <c r="LTP237" s="10"/>
      <c r="LTQ237" s="19"/>
      <c r="LTR237" s="19"/>
      <c r="LTU237" s="16"/>
      <c r="LTV237" s="15"/>
      <c r="LTW237" s="15"/>
      <c r="LTX237" s="15"/>
      <c r="LTY237" s="16"/>
      <c r="LTZ237" s="16"/>
      <c r="LUA237" s="16"/>
      <c r="LUB237" s="16"/>
      <c r="LUC237" s="16"/>
      <c r="LUD237" s="15"/>
      <c r="LUE237" s="15"/>
      <c r="LUF237" s="10"/>
      <c r="LUG237" s="10"/>
      <c r="LUH237" s="19"/>
      <c r="LUI237" s="19"/>
      <c r="LUL237" s="16"/>
      <c r="LUM237" s="15"/>
      <c r="LUN237" s="15"/>
      <c r="LUO237" s="15"/>
      <c r="LUP237" s="16"/>
      <c r="LUQ237" s="16"/>
      <c r="LUR237" s="16"/>
      <c r="LUS237" s="16"/>
      <c r="LUT237" s="16"/>
      <c r="LUU237" s="15"/>
      <c r="LUV237" s="15"/>
      <c r="LUW237" s="10"/>
      <c r="LUX237" s="10"/>
      <c r="LUY237" s="19"/>
      <c r="LUZ237" s="19"/>
      <c r="LVC237" s="16"/>
      <c r="LVD237" s="15"/>
      <c r="LVE237" s="15"/>
      <c r="LVF237" s="15"/>
      <c r="LVG237" s="16"/>
      <c r="LVH237" s="16"/>
      <c r="LVI237" s="16"/>
      <c r="LVJ237" s="16"/>
      <c r="LVK237" s="16"/>
      <c r="LVL237" s="15"/>
      <c r="LVM237" s="15"/>
      <c r="LVN237" s="10"/>
      <c r="LVO237" s="10"/>
      <c r="LVP237" s="19"/>
      <c r="LVQ237" s="19"/>
      <c r="LVT237" s="16"/>
      <c r="LVU237" s="15"/>
      <c r="LVV237" s="15"/>
      <c r="LVW237" s="15"/>
      <c r="LVX237" s="16"/>
      <c r="LVY237" s="16"/>
      <c r="LVZ237" s="16"/>
      <c r="LWA237" s="16"/>
      <c r="LWB237" s="16"/>
      <c r="LWC237" s="15"/>
      <c r="LWD237" s="15"/>
      <c r="LWE237" s="10"/>
      <c r="LWF237" s="10"/>
      <c r="LWG237" s="19"/>
      <c r="LWH237" s="19"/>
      <c r="LWK237" s="16"/>
      <c r="LWL237" s="15"/>
      <c r="LWM237" s="15"/>
      <c r="LWN237" s="15"/>
      <c r="LWO237" s="16"/>
      <c r="LWP237" s="16"/>
      <c r="LWQ237" s="16"/>
      <c r="LWR237" s="16"/>
      <c r="LWS237" s="16"/>
      <c r="LWT237" s="15"/>
      <c r="LWU237" s="15"/>
      <c r="LWV237" s="10"/>
      <c r="LWW237" s="10"/>
      <c r="LWX237" s="19"/>
      <c r="LWY237" s="19"/>
      <c r="LXB237" s="16"/>
      <c r="LXC237" s="15"/>
      <c r="LXD237" s="15"/>
      <c r="LXE237" s="15"/>
      <c r="LXF237" s="16"/>
      <c r="LXG237" s="16"/>
      <c r="LXH237" s="16"/>
      <c r="LXI237" s="16"/>
      <c r="LXJ237" s="16"/>
      <c r="LXK237" s="15"/>
      <c r="LXL237" s="15"/>
      <c r="LXM237" s="10"/>
      <c r="LXN237" s="10"/>
      <c r="LXO237" s="19"/>
      <c r="LXP237" s="19"/>
      <c r="LXS237" s="16"/>
      <c r="LXT237" s="15"/>
      <c r="LXU237" s="15"/>
      <c r="LXV237" s="15"/>
      <c r="LXW237" s="16"/>
      <c r="LXX237" s="16"/>
      <c r="LXY237" s="16"/>
      <c r="LXZ237" s="16"/>
      <c r="LYA237" s="16"/>
      <c r="LYB237" s="15"/>
      <c r="LYC237" s="15"/>
      <c r="LYD237" s="10"/>
      <c r="LYE237" s="10"/>
      <c r="LYF237" s="19"/>
      <c r="LYG237" s="19"/>
      <c r="LYJ237" s="16"/>
      <c r="LYK237" s="15"/>
      <c r="LYL237" s="15"/>
      <c r="LYM237" s="15"/>
      <c r="LYN237" s="16"/>
      <c r="LYO237" s="16"/>
      <c r="LYP237" s="16"/>
      <c r="LYQ237" s="16"/>
      <c r="LYR237" s="16"/>
      <c r="LYS237" s="15"/>
      <c r="LYT237" s="15"/>
      <c r="LYU237" s="10"/>
      <c r="LYV237" s="10"/>
      <c r="LYW237" s="19"/>
      <c r="LYX237" s="19"/>
      <c r="LZA237" s="16"/>
      <c r="LZB237" s="15"/>
      <c r="LZC237" s="15"/>
      <c r="LZD237" s="15"/>
      <c r="LZE237" s="16"/>
      <c r="LZF237" s="16"/>
      <c r="LZG237" s="16"/>
      <c r="LZH237" s="16"/>
      <c r="LZI237" s="16"/>
      <c r="LZJ237" s="15"/>
      <c r="LZK237" s="15"/>
      <c r="LZL237" s="10"/>
      <c r="LZM237" s="10"/>
      <c r="LZN237" s="19"/>
      <c r="LZO237" s="19"/>
      <c r="LZR237" s="16"/>
      <c r="LZS237" s="15"/>
      <c r="LZT237" s="15"/>
      <c r="LZU237" s="15"/>
      <c r="LZV237" s="16"/>
      <c r="LZW237" s="16"/>
      <c r="LZX237" s="16"/>
      <c r="LZY237" s="16"/>
      <c r="LZZ237" s="16"/>
      <c r="MAA237" s="15"/>
      <c r="MAB237" s="15"/>
      <c r="MAC237" s="10"/>
      <c r="MAD237" s="10"/>
      <c r="MAE237" s="19"/>
      <c r="MAF237" s="19"/>
      <c r="MAI237" s="16"/>
      <c r="MAJ237" s="15"/>
      <c r="MAK237" s="15"/>
      <c r="MAL237" s="15"/>
      <c r="MAM237" s="16"/>
      <c r="MAN237" s="16"/>
      <c r="MAO237" s="16"/>
      <c r="MAP237" s="16"/>
      <c r="MAQ237" s="16"/>
      <c r="MAR237" s="15"/>
      <c r="MAS237" s="15"/>
      <c r="MAT237" s="10"/>
      <c r="MAU237" s="10"/>
      <c r="MAV237" s="19"/>
      <c r="MAW237" s="19"/>
      <c r="MAZ237" s="16"/>
      <c r="MBA237" s="15"/>
      <c r="MBB237" s="15"/>
      <c r="MBC237" s="15"/>
      <c r="MBD237" s="16"/>
      <c r="MBE237" s="16"/>
      <c r="MBF237" s="16"/>
      <c r="MBG237" s="16"/>
      <c r="MBH237" s="16"/>
      <c r="MBI237" s="15"/>
      <c r="MBJ237" s="15"/>
      <c r="MBK237" s="10"/>
      <c r="MBL237" s="10"/>
      <c r="MBM237" s="19"/>
      <c r="MBN237" s="19"/>
      <c r="MBQ237" s="16"/>
      <c r="MBR237" s="15"/>
      <c r="MBS237" s="15"/>
      <c r="MBT237" s="15"/>
      <c r="MBU237" s="16"/>
      <c r="MBV237" s="16"/>
      <c r="MBW237" s="16"/>
      <c r="MBX237" s="16"/>
      <c r="MBY237" s="16"/>
      <c r="MBZ237" s="15"/>
      <c r="MCA237" s="15"/>
      <c r="MCB237" s="10"/>
      <c r="MCC237" s="10"/>
      <c r="MCD237" s="19"/>
      <c r="MCE237" s="19"/>
      <c r="MCH237" s="16"/>
      <c r="MCI237" s="15"/>
      <c r="MCJ237" s="15"/>
      <c r="MCK237" s="15"/>
      <c r="MCL237" s="16"/>
      <c r="MCM237" s="16"/>
      <c r="MCN237" s="16"/>
      <c r="MCO237" s="16"/>
      <c r="MCP237" s="16"/>
      <c r="MCQ237" s="15"/>
      <c r="MCR237" s="15"/>
      <c r="MCS237" s="10"/>
      <c r="MCT237" s="10"/>
      <c r="MCU237" s="19"/>
      <c r="MCV237" s="19"/>
      <c r="MCY237" s="16"/>
      <c r="MCZ237" s="15"/>
      <c r="MDA237" s="15"/>
      <c r="MDB237" s="15"/>
      <c r="MDC237" s="16"/>
      <c r="MDD237" s="16"/>
      <c r="MDE237" s="16"/>
      <c r="MDF237" s="16"/>
      <c r="MDG237" s="16"/>
      <c r="MDH237" s="15"/>
      <c r="MDI237" s="15"/>
      <c r="MDJ237" s="10"/>
      <c r="MDK237" s="10"/>
      <c r="MDL237" s="19"/>
      <c r="MDM237" s="19"/>
      <c r="MDP237" s="16"/>
      <c r="MDQ237" s="15"/>
      <c r="MDR237" s="15"/>
      <c r="MDS237" s="15"/>
      <c r="MDT237" s="16"/>
      <c r="MDU237" s="16"/>
      <c r="MDV237" s="16"/>
      <c r="MDW237" s="16"/>
      <c r="MDX237" s="16"/>
      <c r="MDY237" s="15"/>
      <c r="MDZ237" s="15"/>
      <c r="MEA237" s="10"/>
      <c r="MEB237" s="10"/>
      <c r="MEC237" s="19"/>
      <c r="MED237" s="19"/>
      <c r="MEG237" s="16"/>
      <c r="MEH237" s="15"/>
      <c r="MEI237" s="15"/>
      <c r="MEJ237" s="15"/>
      <c r="MEK237" s="16"/>
      <c r="MEL237" s="16"/>
      <c r="MEM237" s="16"/>
      <c r="MEN237" s="16"/>
      <c r="MEO237" s="16"/>
      <c r="MEP237" s="15"/>
      <c r="MEQ237" s="15"/>
      <c r="MER237" s="10"/>
      <c r="MES237" s="10"/>
      <c r="MET237" s="19"/>
      <c r="MEU237" s="19"/>
      <c r="MEX237" s="16"/>
      <c r="MEY237" s="15"/>
      <c r="MEZ237" s="15"/>
      <c r="MFA237" s="15"/>
      <c r="MFB237" s="16"/>
      <c r="MFC237" s="16"/>
      <c r="MFD237" s="16"/>
      <c r="MFE237" s="16"/>
      <c r="MFF237" s="16"/>
      <c r="MFG237" s="15"/>
      <c r="MFH237" s="15"/>
      <c r="MFI237" s="10"/>
      <c r="MFJ237" s="10"/>
      <c r="MFK237" s="19"/>
      <c r="MFL237" s="19"/>
      <c r="MFO237" s="16"/>
      <c r="MFP237" s="15"/>
      <c r="MFQ237" s="15"/>
      <c r="MFR237" s="15"/>
      <c r="MFS237" s="16"/>
      <c r="MFT237" s="16"/>
      <c r="MFU237" s="16"/>
      <c r="MFV237" s="16"/>
      <c r="MFW237" s="16"/>
      <c r="MFX237" s="15"/>
      <c r="MFY237" s="15"/>
      <c r="MFZ237" s="10"/>
      <c r="MGA237" s="10"/>
      <c r="MGB237" s="19"/>
      <c r="MGC237" s="19"/>
      <c r="MGF237" s="16"/>
      <c r="MGG237" s="15"/>
      <c r="MGH237" s="15"/>
      <c r="MGI237" s="15"/>
      <c r="MGJ237" s="16"/>
      <c r="MGK237" s="16"/>
      <c r="MGL237" s="16"/>
      <c r="MGM237" s="16"/>
      <c r="MGN237" s="16"/>
      <c r="MGO237" s="15"/>
      <c r="MGP237" s="15"/>
      <c r="MGQ237" s="10"/>
      <c r="MGR237" s="10"/>
      <c r="MGS237" s="19"/>
      <c r="MGT237" s="19"/>
      <c r="MGW237" s="16"/>
      <c r="MGX237" s="15"/>
      <c r="MGY237" s="15"/>
      <c r="MGZ237" s="15"/>
      <c r="MHA237" s="16"/>
      <c r="MHB237" s="16"/>
      <c r="MHC237" s="16"/>
      <c r="MHD237" s="16"/>
      <c r="MHE237" s="16"/>
      <c r="MHF237" s="15"/>
      <c r="MHG237" s="15"/>
      <c r="MHH237" s="10"/>
      <c r="MHI237" s="10"/>
      <c r="MHJ237" s="19"/>
      <c r="MHK237" s="19"/>
      <c r="MHN237" s="16"/>
      <c r="MHO237" s="15"/>
      <c r="MHP237" s="15"/>
      <c r="MHQ237" s="15"/>
      <c r="MHR237" s="16"/>
      <c r="MHS237" s="16"/>
      <c r="MHT237" s="16"/>
      <c r="MHU237" s="16"/>
      <c r="MHV237" s="16"/>
      <c r="MHW237" s="15"/>
      <c r="MHX237" s="15"/>
      <c r="MHY237" s="10"/>
      <c r="MHZ237" s="10"/>
      <c r="MIA237" s="19"/>
      <c r="MIB237" s="19"/>
      <c r="MIE237" s="16"/>
      <c r="MIF237" s="15"/>
      <c r="MIG237" s="15"/>
      <c r="MIH237" s="15"/>
      <c r="MII237" s="16"/>
      <c r="MIJ237" s="16"/>
      <c r="MIK237" s="16"/>
      <c r="MIL237" s="16"/>
      <c r="MIM237" s="16"/>
      <c r="MIN237" s="15"/>
      <c r="MIO237" s="15"/>
      <c r="MIP237" s="10"/>
      <c r="MIQ237" s="10"/>
      <c r="MIR237" s="19"/>
      <c r="MIS237" s="19"/>
      <c r="MIV237" s="16"/>
      <c r="MIW237" s="15"/>
      <c r="MIX237" s="15"/>
      <c r="MIY237" s="15"/>
      <c r="MIZ237" s="16"/>
      <c r="MJA237" s="16"/>
      <c r="MJB237" s="16"/>
      <c r="MJC237" s="16"/>
      <c r="MJD237" s="16"/>
      <c r="MJE237" s="15"/>
      <c r="MJF237" s="15"/>
      <c r="MJG237" s="10"/>
      <c r="MJH237" s="10"/>
      <c r="MJI237" s="19"/>
      <c r="MJJ237" s="19"/>
      <c r="MJM237" s="16"/>
      <c r="MJN237" s="15"/>
      <c r="MJO237" s="15"/>
      <c r="MJP237" s="15"/>
      <c r="MJQ237" s="16"/>
      <c r="MJR237" s="16"/>
      <c r="MJS237" s="16"/>
      <c r="MJT237" s="16"/>
      <c r="MJU237" s="16"/>
      <c r="MJV237" s="15"/>
      <c r="MJW237" s="15"/>
      <c r="MJX237" s="10"/>
      <c r="MJY237" s="10"/>
      <c r="MJZ237" s="19"/>
      <c r="MKA237" s="19"/>
      <c r="MKD237" s="16"/>
      <c r="MKE237" s="15"/>
      <c r="MKF237" s="15"/>
      <c r="MKG237" s="15"/>
      <c r="MKH237" s="16"/>
      <c r="MKI237" s="16"/>
      <c r="MKJ237" s="16"/>
      <c r="MKK237" s="16"/>
      <c r="MKL237" s="16"/>
      <c r="MKM237" s="15"/>
      <c r="MKN237" s="15"/>
      <c r="MKO237" s="10"/>
      <c r="MKP237" s="10"/>
      <c r="MKQ237" s="19"/>
      <c r="MKR237" s="19"/>
      <c r="MKU237" s="16"/>
      <c r="MKV237" s="15"/>
      <c r="MKW237" s="15"/>
      <c r="MKX237" s="15"/>
      <c r="MKY237" s="16"/>
      <c r="MKZ237" s="16"/>
      <c r="MLA237" s="16"/>
      <c r="MLB237" s="16"/>
      <c r="MLC237" s="16"/>
      <c r="MLD237" s="15"/>
      <c r="MLE237" s="15"/>
      <c r="MLF237" s="10"/>
      <c r="MLG237" s="10"/>
      <c r="MLH237" s="19"/>
      <c r="MLI237" s="19"/>
      <c r="MLL237" s="16"/>
      <c r="MLM237" s="15"/>
      <c r="MLN237" s="15"/>
      <c r="MLO237" s="15"/>
      <c r="MLP237" s="16"/>
      <c r="MLQ237" s="16"/>
      <c r="MLR237" s="16"/>
      <c r="MLS237" s="16"/>
      <c r="MLT237" s="16"/>
      <c r="MLU237" s="15"/>
      <c r="MLV237" s="15"/>
      <c r="MLW237" s="10"/>
      <c r="MLX237" s="10"/>
      <c r="MLY237" s="19"/>
      <c r="MLZ237" s="19"/>
      <c r="MMC237" s="16"/>
      <c r="MMD237" s="15"/>
      <c r="MME237" s="15"/>
      <c r="MMF237" s="15"/>
      <c r="MMG237" s="16"/>
      <c r="MMH237" s="16"/>
      <c r="MMI237" s="16"/>
      <c r="MMJ237" s="16"/>
      <c r="MMK237" s="16"/>
      <c r="MML237" s="15"/>
      <c r="MMM237" s="15"/>
      <c r="MMN237" s="10"/>
      <c r="MMO237" s="10"/>
      <c r="MMP237" s="19"/>
      <c r="MMQ237" s="19"/>
      <c r="MMT237" s="16"/>
      <c r="MMU237" s="15"/>
      <c r="MMV237" s="15"/>
      <c r="MMW237" s="15"/>
      <c r="MMX237" s="16"/>
      <c r="MMY237" s="16"/>
      <c r="MMZ237" s="16"/>
      <c r="MNA237" s="16"/>
      <c r="MNB237" s="16"/>
      <c r="MNC237" s="15"/>
      <c r="MND237" s="15"/>
      <c r="MNE237" s="10"/>
      <c r="MNF237" s="10"/>
      <c r="MNG237" s="19"/>
      <c r="MNH237" s="19"/>
      <c r="MNK237" s="16"/>
      <c r="MNL237" s="15"/>
      <c r="MNM237" s="15"/>
      <c r="MNN237" s="15"/>
      <c r="MNO237" s="16"/>
      <c r="MNP237" s="16"/>
      <c r="MNQ237" s="16"/>
      <c r="MNR237" s="16"/>
      <c r="MNS237" s="16"/>
      <c r="MNT237" s="15"/>
      <c r="MNU237" s="15"/>
      <c r="MNV237" s="10"/>
      <c r="MNW237" s="10"/>
      <c r="MNX237" s="19"/>
      <c r="MNY237" s="19"/>
      <c r="MOB237" s="16"/>
      <c r="MOC237" s="15"/>
      <c r="MOD237" s="15"/>
      <c r="MOE237" s="15"/>
      <c r="MOF237" s="16"/>
      <c r="MOG237" s="16"/>
      <c r="MOH237" s="16"/>
      <c r="MOI237" s="16"/>
      <c r="MOJ237" s="16"/>
      <c r="MOK237" s="15"/>
      <c r="MOL237" s="15"/>
      <c r="MOM237" s="10"/>
      <c r="MON237" s="10"/>
      <c r="MOO237" s="19"/>
      <c r="MOP237" s="19"/>
      <c r="MOS237" s="16"/>
      <c r="MOT237" s="15"/>
      <c r="MOU237" s="15"/>
      <c r="MOV237" s="15"/>
      <c r="MOW237" s="16"/>
      <c r="MOX237" s="16"/>
      <c r="MOY237" s="16"/>
      <c r="MOZ237" s="16"/>
      <c r="MPA237" s="16"/>
      <c r="MPB237" s="15"/>
      <c r="MPC237" s="15"/>
      <c r="MPD237" s="10"/>
      <c r="MPE237" s="10"/>
      <c r="MPF237" s="19"/>
      <c r="MPG237" s="19"/>
      <c r="MPJ237" s="16"/>
      <c r="MPK237" s="15"/>
      <c r="MPL237" s="15"/>
      <c r="MPM237" s="15"/>
      <c r="MPN237" s="16"/>
      <c r="MPO237" s="16"/>
      <c r="MPP237" s="16"/>
      <c r="MPQ237" s="16"/>
      <c r="MPR237" s="16"/>
      <c r="MPS237" s="15"/>
      <c r="MPT237" s="15"/>
      <c r="MPU237" s="10"/>
      <c r="MPV237" s="10"/>
      <c r="MPW237" s="19"/>
      <c r="MPX237" s="19"/>
      <c r="MQA237" s="16"/>
      <c r="MQB237" s="15"/>
      <c r="MQC237" s="15"/>
      <c r="MQD237" s="15"/>
      <c r="MQE237" s="16"/>
      <c r="MQF237" s="16"/>
      <c r="MQG237" s="16"/>
      <c r="MQH237" s="16"/>
      <c r="MQI237" s="16"/>
      <c r="MQJ237" s="15"/>
      <c r="MQK237" s="15"/>
      <c r="MQL237" s="10"/>
      <c r="MQM237" s="10"/>
      <c r="MQN237" s="19"/>
      <c r="MQO237" s="19"/>
      <c r="MQR237" s="16"/>
      <c r="MQS237" s="15"/>
      <c r="MQT237" s="15"/>
      <c r="MQU237" s="15"/>
      <c r="MQV237" s="16"/>
      <c r="MQW237" s="16"/>
      <c r="MQX237" s="16"/>
      <c r="MQY237" s="16"/>
      <c r="MQZ237" s="16"/>
      <c r="MRA237" s="15"/>
      <c r="MRB237" s="15"/>
      <c r="MRC237" s="10"/>
      <c r="MRD237" s="10"/>
      <c r="MRE237" s="19"/>
      <c r="MRF237" s="19"/>
      <c r="MRI237" s="16"/>
      <c r="MRJ237" s="15"/>
      <c r="MRK237" s="15"/>
      <c r="MRL237" s="15"/>
      <c r="MRM237" s="16"/>
      <c r="MRN237" s="16"/>
      <c r="MRO237" s="16"/>
      <c r="MRP237" s="16"/>
      <c r="MRQ237" s="16"/>
      <c r="MRR237" s="15"/>
      <c r="MRS237" s="15"/>
      <c r="MRT237" s="10"/>
      <c r="MRU237" s="10"/>
      <c r="MRV237" s="19"/>
      <c r="MRW237" s="19"/>
      <c r="MRZ237" s="16"/>
      <c r="MSA237" s="15"/>
      <c r="MSB237" s="15"/>
      <c r="MSC237" s="15"/>
      <c r="MSD237" s="16"/>
      <c r="MSE237" s="16"/>
      <c r="MSF237" s="16"/>
      <c r="MSG237" s="16"/>
      <c r="MSH237" s="16"/>
      <c r="MSI237" s="15"/>
      <c r="MSJ237" s="15"/>
      <c r="MSK237" s="10"/>
      <c r="MSL237" s="10"/>
      <c r="MSM237" s="19"/>
      <c r="MSN237" s="19"/>
      <c r="MSQ237" s="16"/>
      <c r="MSR237" s="15"/>
      <c r="MSS237" s="15"/>
      <c r="MST237" s="15"/>
      <c r="MSU237" s="16"/>
      <c r="MSV237" s="16"/>
      <c r="MSW237" s="16"/>
      <c r="MSX237" s="16"/>
      <c r="MSY237" s="16"/>
      <c r="MSZ237" s="15"/>
      <c r="MTA237" s="15"/>
      <c r="MTB237" s="10"/>
      <c r="MTC237" s="10"/>
      <c r="MTD237" s="19"/>
      <c r="MTE237" s="19"/>
      <c r="MTH237" s="16"/>
      <c r="MTI237" s="15"/>
      <c r="MTJ237" s="15"/>
      <c r="MTK237" s="15"/>
      <c r="MTL237" s="16"/>
      <c r="MTM237" s="16"/>
      <c r="MTN237" s="16"/>
      <c r="MTO237" s="16"/>
      <c r="MTP237" s="16"/>
      <c r="MTQ237" s="15"/>
      <c r="MTR237" s="15"/>
      <c r="MTS237" s="10"/>
      <c r="MTT237" s="10"/>
      <c r="MTU237" s="19"/>
      <c r="MTV237" s="19"/>
      <c r="MTY237" s="16"/>
      <c r="MTZ237" s="15"/>
      <c r="MUA237" s="15"/>
      <c r="MUB237" s="15"/>
      <c r="MUC237" s="16"/>
      <c r="MUD237" s="16"/>
      <c r="MUE237" s="16"/>
      <c r="MUF237" s="16"/>
      <c r="MUG237" s="16"/>
      <c r="MUH237" s="15"/>
      <c r="MUI237" s="15"/>
      <c r="MUJ237" s="10"/>
      <c r="MUK237" s="10"/>
      <c r="MUL237" s="19"/>
      <c r="MUM237" s="19"/>
      <c r="MUP237" s="16"/>
      <c r="MUQ237" s="15"/>
      <c r="MUR237" s="15"/>
      <c r="MUS237" s="15"/>
      <c r="MUT237" s="16"/>
      <c r="MUU237" s="16"/>
      <c r="MUV237" s="16"/>
      <c r="MUW237" s="16"/>
      <c r="MUX237" s="16"/>
      <c r="MUY237" s="15"/>
      <c r="MUZ237" s="15"/>
      <c r="MVA237" s="10"/>
      <c r="MVB237" s="10"/>
      <c r="MVC237" s="19"/>
      <c r="MVD237" s="19"/>
      <c r="MVG237" s="16"/>
      <c r="MVH237" s="15"/>
      <c r="MVI237" s="15"/>
      <c r="MVJ237" s="15"/>
      <c r="MVK237" s="16"/>
      <c r="MVL237" s="16"/>
      <c r="MVM237" s="16"/>
      <c r="MVN237" s="16"/>
      <c r="MVO237" s="16"/>
      <c r="MVP237" s="15"/>
      <c r="MVQ237" s="15"/>
      <c r="MVR237" s="10"/>
      <c r="MVS237" s="10"/>
      <c r="MVT237" s="19"/>
      <c r="MVU237" s="19"/>
      <c r="MVX237" s="16"/>
      <c r="MVY237" s="15"/>
      <c r="MVZ237" s="15"/>
      <c r="MWA237" s="15"/>
      <c r="MWB237" s="16"/>
      <c r="MWC237" s="16"/>
      <c r="MWD237" s="16"/>
      <c r="MWE237" s="16"/>
      <c r="MWF237" s="16"/>
      <c r="MWG237" s="15"/>
      <c r="MWH237" s="15"/>
      <c r="MWI237" s="10"/>
      <c r="MWJ237" s="10"/>
      <c r="MWK237" s="19"/>
      <c r="MWL237" s="19"/>
      <c r="MWO237" s="16"/>
      <c r="MWP237" s="15"/>
      <c r="MWQ237" s="15"/>
      <c r="MWR237" s="15"/>
      <c r="MWS237" s="16"/>
      <c r="MWT237" s="16"/>
      <c r="MWU237" s="16"/>
      <c r="MWV237" s="16"/>
      <c r="MWW237" s="16"/>
      <c r="MWX237" s="15"/>
      <c r="MWY237" s="15"/>
      <c r="MWZ237" s="10"/>
      <c r="MXA237" s="10"/>
      <c r="MXB237" s="19"/>
      <c r="MXC237" s="19"/>
      <c r="MXF237" s="16"/>
      <c r="MXG237" s="15"/>
      <c r="MXH237" s="15"/>
      <c r="MXI237" s="15"/>
      <c r="MXJ237" s="16"/>
      <c r="MXK237" s="16"/>
      <c r="MXL237" s="16"/>
      <c r="MXM237" s="16"/>
      <c r="MXN237" s="16"/>
      <c r="MXO237" s="15"/>
      <c r="MXP237" s="15"/>
      <c r="MXQ237" s="10"/>
      <c r="MXR237" s="10"/>
      <c r="MXS237" s="19"/>
      <c r="MXT237" s="19"/>
      <c r="MXW237" s="16"/>
      <c r="MXX237" s="15"/>
      <c r="MXY237" s="15"/>
      <c r="MXZ237" s="15"/>
      <c r="MYA237" s="16"/>
      <c r="MYB237" s="16"/>
      <c r="MYC237" s="16"/>
      <c r="MYD237" s="16"/>
      <c r="MYE237" s="16"/>
      <c r="MYF237" s="15"/>
      <c r="MYG237" s="15"/>
      <c r="MYH237" s="10"/>
      <c r="MYI237" s="10"/>
      <c r="MYJ237" s="19"/>
      <c r="MYK237" s="19"/>
      <c r="MYN237" s="16"/>
      <c r="MYO237" s="15"/>
      <c r="MYP237" s="15"/>
      <c r="MYQ237" s="15"/>
      <c r="MYR237" s="16"/>
      <c r="MYS237" s="16"/>
      <c r="MYT237" s="16"/>
      <c r="MYU237" s="16"/>
      <c r="MYV237" s="16"/>
      <c r="MYW237" s="15"/>
      <c r="MYX237" s="15"/>
      <c r="MYY237" s="10"/>
      <c r="MYZ237" s="10"/>
      <c r="MZA237" s="19"/>
      <c r="MZB237" s="19"/>
      <c r="MZE237" s="16"/>
      <c r="MZF237" s="15"/>
      <c r="MZG237" s="15"/>
      <c r="MZH237" s="15"/>
      <c r="MZI237" s="16"/>
      <c r="MZJ237" s="16"/>
      <c r="MZK237" s="16"/>
      <c r="MZL237" s="16"/>
      <c r="MZM237" s="16"/>
      <c r="MZN237" s="15"/>
      <c r="MZO237" s="15"/>
      <c r="MZP237" s="10"/>
      <c r="MZQ237" s="10"/>
      <c r="MZR237" s="19"/>
      <c r="MZS237" s="19"/>
      <c r="MZV237" s="16"/>
      <c r="MZW237" s="15"/>
      <c r="MZX237" s="15"/>
      <c r="MZY237" s="15"/>
      <c r="MZZ237" s="16"/>
      <c r="NAA237" s="16"/>
      <c r="NAB237" s="16"/>
      <c r="NAC237" s="16"/>
      <c r="NAD237" s="16"/>
      <c r="NAE237" s="15"/>
      <c r="NAF237" s="15"/>
      <c r="NAG237" s="10"/>
      <c r="NAH237" s="10"/>
      <c r="NAI237" s="19"/>
      <c r="NAJ237" s="19"/>
      <c r="NAM237" s="16"/>
      <c r="NAN237" s="15"/>
      <c r="NAO237" s="15"/>
      <c r="NAP237" s="15"/>
      <c r="NAQ237" s="16"/>
      <c r="NAR237" s="16"/>
      <c r="NAS237" s="16"/>
      <c r="NAT237" s="16"/>
      <c r="NAU237" s="16"/>
      <c r="NAV237" s="15"/>
      <c r="NAW237" s="15"/>
      <c r="NAX237" s="10"/>
      <c r="NAY237" s="10"/>
      <c r="NAZ237" s="19"/>
      <c r="NBA237" s="19"/>
      <c r="NBD237" s="16"/>
      <c r="NBE237" s="15"/>
      <c r="NBF237" s="15"/>
      <c r="NBG237" s="15"/>
      <c r="NBH237" s="16"/>
      <c r="NBI237" s="16"/>
      <c r="NBJ237" s="16"/>
      <c r="NBK237" s="16"/>
      <c r="NBL237" s="16"/>
      <c r="NBM237" s="15"/>
      <c r="NBN237" s="15"/>
      <c r="NBO237" s="10"/>
      <c r="NBP237" s="10"/>
      <c r="NBQ237" s="19"/>
      <c r="NBR237" s="19"/>
      <c r="NBU237" s="16"/>
      <c r="NBV237" s="15"/>
      <c r="NBW237" s="15"/>
      <c r="NBX237" s="15"/>
      <c r="NBY237" s="16"/>
      <c r="NBZ237" s="16"/>
      <c r="NCA237" s="16"/>
      <c r="NCB237" s="16"/>
      <c r="NCC237" s="16"/>
      <c r="NCD237" s="15"/>
      <c r="NCE237" s="15"/>
      <c r="NCF237" s="10"/>
      <c r="NCG237" s="10"/>
      <c r="NCH237" s="19"/>
      <c r="NCI237" s="19"/>
      <c r="NCL237" s="16"/>
      <c r="NCM237" s="15"/>
      <c r="NCN237" s="15"/>
      <c r="NCO237" s="15"/>
      <c r="NCP237" s="16"/>
      <c r="NCQ237" s="16"/>
      <c r="NCR237" s="16"/>
      <c r="NCS237" s="16"/>
      <c r="NCT237" s="16"/>
      <c r="NCU237" s="15"/>
      <c r="NCV237" s="15"/>
      <c r="NCW237" s="10"/>
      <c r="NCX237" s="10"/>
      <c r="NCY237" s="19"/>
      <c r="NCZ237" s="19"/>
      <c r="NDC237" s="16"/>
      <c r="NDD237" s="15"/>
      <c r="NDE237" s="15"/>
      <c r="NDF237" s="15"/>
      <c r="NDG237" s="16"/>
      <c r="NDH237" s="16"/>
      <c r="NDI237" s="16"/>
      <c r="NDJ237" s="16"/>
      <c r="NDK237" s="16"/>
      <c r="NDL237" s="15"/>
      <c r="NDM237" s="15"/>
      <c r="NDN237" s="10"/>
      <c r="NDO237" s="10"/>
      <c r="NDP237" s="19"/>
      <c r="NDQ237" s="19"/>
      <c r="NDT237" s="16"/>
      <c r="NDU237" s="15"/>
      <c r="NDV237" s="15"/>
      <c r="NDW237" s="15"/>
      <c r="NDX237" s="16"/>
      <c r="NDY237" s="16"/>
      <c r="NDZ237" s="16"/>
      <c r="NEA237" s="16"/>
      <c r="NEB237" s="16"/>
      <c r="NEC237" s="15"/>
      <c r="NED237" s="15"/>
      <c r="NEE237" s="10"/>
      <c r="NEF237" s="10"/>
      <c r="NEG237" s="19"/>
      <c r="NEH237" s="19"/>
      <c r="NEK237" s="16"/>
      <c r="NEL237" s="15"/>
      <c r="NEM237" s="15"/>
      <c r="NEN237" s="15"/>
      <c r="NEO237" s="16"/>
      <c r="NEP237" s="16"/>
      <c r="NEQ237" s="16"/>
      <c r="NER237" s="16"/>
      <c r="NES237" s="16"/>
      <c r="NET237" s="15"/>
      <c r="NEU237" s="15"/>
      <c r="NEV237" s="10"/>
      <c r="NEW237" s="10"/>
      <c r="NEX237" s="19"/>
      <c r="NEY237" s="19"/>
      <c r="NFB237" s="16"/>
      <c r="NFC237" s="15"/>
      <c r="NFD237" s="15"/>
      <c r="NFE237" s="15"/>
      <c r="NFF237" s="16"/>
      <c r="NFG237" s="16"/>
      <c r="NFH237" s="16"/>
      <c r="NFI237" s="16"/>
      <c r="NFJ237" s="16"/>
      <c r="NFK237" s="15"/>
      <c r="NFL237" s="15"/>
      <c r="NFM237" s="10"/>
      <c r="NFN237" s="10"/>
      <c r="NFO237" s="19"/>
      <c r="NFP237" s="19"/>
      <c r="NFS237" s="16"/>
      <c r="NFT237" s="15"/>
      <c r="NFU237" s="15"/>
      <c r="NFV237" s="15"/>
      <c r="NFW237" s="16"/>
      <c r="NFX237" s="16"/>
      <c r="NFY237" s="16"/>
      <c r="NFZ237" s="16"/>
      <c r="NGA237" s="16"/>
      <c r="NGB237" s="15"/>
      <c r="NGC237" s="15"/>
      <c r="NGD237" s="10"/>
      <c r="NGE237" s="10"/>
      <c r="NGF237" s="19"/>
      <c r="NGG237" s="19"/>
      <c r="NGJ237" s="16"/>
      <c r="NGK237" s="15"/>
      <c r="NGL237" s="15"/>
      <c r="NGM237" s="15"/>
      <c r="NGN237" s="16"/>
      <c r="NGO237" s="16"/>
      <c r="NGP237" s="16"/>
      <c r="NGQ237" s="16"/>
      <c r="NGR237" s="16"/>
      <c r="NGS237" s="15"/>
      <c r="NGT237" s="15"/>
      <c r="NGU237" s="10"/>
      <c r="NGV237" s="10"/>
      <c r="NGW237" s="19"/>
      <c r="NGX237" s="19"/>
      <c r="NHA237" s="16"/>
      <c r="NHB237" s="15"/>
      <c r="NHC237" s="15"/>
      <c r="NHD237" s="15"/>
      <c r="NHE237" s="16"/>
      <c r="NHF237" s="16"/>
      <c r="NHG237" s="16"/>
      <c r="NHH237" s="16"/>
      <c r="NHI237" s="16"/>
      <c r="NHJ237" s="15"/>
      <c r="NHK237" s="15"/>
      <c r="NHL237" s="10"/>
      <c r="NHM237" s="10"/>
      <c r="NHN237" s="19"/>
      <c r="NHO237" s="19"/>
      <c r="NHR237" s="16"/>
      <c r="NHS237" s="15"/>
      <c r="NHT237" s="15"/>
      <c r="NHU237" s="15"/>
      <c r="NHV237" s="16"/>
      <c r="NHW237" s="16"/>
      <c r="NHX237" s="16"/>
      <c r="NHY237" s="16"/>
      <c r="NHZ237" s="16"/>
      <c r="NIA237" s="15"/>
      <c r="NIB237" s="15"/>
      <c r="NIC237" s="10"/>
      <c r="NID237" s="10"/>
      <c r="NIE237" s="19"/>
      <c r="NIF237" s="19"/>
      <c r="NII237" s="16"/>
      <c r="NIJ237" s="15"/>
      <c r="NIK237" s="15"/>
      <c r="NIL237" s="15"/>
      <c r="NIM237" s="16"/>
      <c r="NIN237" s="16"/>
      <c r="NIO237" s="16"/>
      <c r="NIP237" s="16"/>
      <c r="NIQ237" s="16"/>
      <c r="NIR237" s="15"/>
      <c r="NIS237" s="15"/>
      <c r="NIT237" s="10"/>
      <c r="NIU237" s="10"/>
      <c r="NIV237" s="19"/>
      <c r="NIW237" s="19"/>
      <c r="NIZ237" s="16"/>
      <c r="NJA237" s="15"/>
      <c r="NJB237" s="15"/>
      <c r="NJC237" s="15"/>
      <c r="NJD237" s="16"/>
      <c r="NJE237" s="16"/>
      <c r="NJF237" s="16"/>
      <c r="NJG237" s="16"/>
      <c r="NJH237" s="16"/>
      <c r="NJI237" s="15"/>
      <c r="NJJ237" s="15"/>
      <c r="NJK237" s="10"/>
      <c r="NJL237" s="10"/>
      <c r="NJM237" s="19"/>
      <c r="NJN237" s="19"/>
      <c r="NJQ237" s="16"/>
      <c r="NJR237" s="15"/>
      <c r="NJS237" s="15"/>
      <c r="NJT237" s="15"/>
      <c r="NJU237" s="16"/>
      <c r="NJV237" s="16"/>
      <c r="NJW237" s="16"/>
      <c r="NJX237" s="16"/>
      <c r="NJY237" s="16"/>
      <c r="NJZ237" s="15"/>
      <c r="NKA237" s="15"/>
      <c r="NKB237" s="10"/>
      <c r="NKC237" s="10"/>
      <c r="NKD237" s="19"/>
      <c r="NKE237" s="19"/>
      <c r="NKH237" s="16"/>
      <c r="NKI237" s="15"/>
      <c r="NKJ237" s="15"/>
      <c r="NKK237" s="15"/>
      <c r="NKL237" s="16"/>
      <c r="NKM237" s="16"/>
      <c r="NKN237" s="16"/>
      <c r="NKO237" s="16"/>
      <c r="NKP237" s="16"/>
      <c r="NKQ237" s="15"/>
      <c r="NKR237" s="15"/>
      <c r="NKS237" s="10"/>
      <c r="NKT237" s="10"/>
      <c r="NKU237" s="19"/>
      <c r="NKV237" s="19"/>
      <c r="NKY237" s="16"/>
      <c r="NKZ237" s="15"/>
      <c r="NLA237" s="15"/>
      <c r="NLB237" s="15"/>
      <c r="NLC237" s="16"/>
      <c r="NLD237" s="16"/>
      <c r="NLE237" s="16"/>
      <c r="NLF237" s="16"/>
      <c r="NLG237" s="16"/>
      <c r="NLH237" s="15"/>
      <c r="NLI237" s="15"/>
      <c r="NLJ237" s="10"/>
      <c r="NLK237" s="10"/>
      <c r="NLL237" s="19"/>
      <c r="NLM237" s="19"/>
      <c r="NLP237" s="16"/>
      <c r="NLQ237" s="15"/>
      <c r="NLR237" s="15"/>
      <c r="NLS237" s="15"/>
      <c r="NLT237" s="16"/>
      <c r="NLU237" s="16"/>
      <c r="NLV237" s="16"/>
      <c r="NLW237" s="16"/>
      <c r="NLX237" s="16"/>
      <c r="NLY237" s="15"/>
      <c r="NLZ237" s="15"/>
      <c r="NMA237" s="10"/>
      <c r="NMB237" s="10"/>
      <c r="NMC237" s="19"/>
      <c r="NMD237" s="19"/>
      <c r="NMG237" s="16"/>
      <c r="NMH237" s="15"/>
      <c r="NMI237" s="15"/>
      <c r="NMJ237" s="15"/>
      <c r="NMK237" s="16"/>
      <c r="NML237" s="16"/>
      <c r="NMM237" s="16"/>
      <c r="NMN237" s="16"/>
      <c r="NMO237" s="16"/>
      <c r="NMP237" s="15"/>
      <c r="NMQ237" s="15"/>
      <c r="NMR237" s="10"/>
      <c r="NMS237" s="10"/>
      <c r="NMT237" s="19"/>
      <c r="NMU237" s="19"/>
      <c r="NMX237" s="16"/>
      <c r="NMY237" s="15"/>
      <c r="NMZ237" s="15"/>
      <c r="NNA237" s="15"/>
      <c r="NNB237" s="16"/>
      <c r="NNC237" s="16"/>
      <c r="NND237" s="16"/>
      <c r="NNE237" s="16"/>
      <c r="NNF237" s="16"/>
      <c r="NNG237" s="15"/>
      <c r="NNH237" s="15"/>
      <c r="NNI237" s="10"/>
      <c r="NNJ237" s="10"/>
      <c r="NNK237" s="19"/>
      <c r="NNL237" s="19"/>
      <c r="NNO237" s="16"/>
      <c r="NNP237" s="15"/>
      <c r="NNQ237" s="15"/>
      <c r="NNR237" s="15"/>
      <c r="NNS237" s="16"/>
      <c r="NNT237" s="16"/>
      <c r="NNU237" s="16"/>
      <c r="NNV237" s="16"/>
      <c r="NNW237" s="16"/>
      <c r="NNX237" s="15"/>
      <c r="NNY237" s="15"/>
      <c r="NNZ237" s="10"/>
      <c r="NOA237" s="10"/>
      <c r="NOB237" s="19"/>
      <c r="NOC237" s="19"/>
      <c r="NOF237" s="16"/>
      <c r="NOG237" s="15"/>
      <c r="NOH237" s="15"/>
      <c r="NOI237" s="15"/>
      <c r="NOJ237" s="16"/>
      <c r="NOK237" s="16"/>
      <c r="NOL237" s="16"/>
      <c r="NOM237" s="16"/>
      <c r="NON237" s="16"/>
      <c r="NOO237" s="15"/>
      <c r="NOP237" s="15"/>
      <c r="NOQ237" s="10"/>
      <c r="NOR237" s="10"/>
      <c r="NOS237" s="19"/>
      <c r="NOT237" s="19"/>
      <c r="NOW237" s="16"/>
      <c r="NOX237" s="15"/>
      <c r="NOY237" s="15"/>
      <c r="NOZ237" s="15"/>
      <c r="NPA237" s="16"/>
      <c r="NPB237" s="16"/>
      <c r="NPC237" s="16"/>
      <c r="NPD237" s="16"/>
      <c r="NPE237" s="16"/>
      <c r="NPF237" s="15"/>
      <c r="NPG237" s="15"/>
      <c r="NPH237" s="10"/>
      <c r="NPI237" s="10"/>
      <c r="NPJ237" s="19"/>
      <c r="NPK237" s="19"/>
      <c r="NPN237" s="16"/>
      <c r="NPO237" s="15"/>
      <c r="NPP237" s="15"/>
      <c r="NPQ237" s="15"/>
      <c r="NPR237" s="16"/>
      <c r="NPS237" s="16"/>
      <c r="NPT237" s="16"/>
      <c r="NPU237" s="16"/>
      <c r="NPV237" s="16"/>
      <c r="NPW237" s="15"/>
      <c r="NPX237" s="15"/>
      <c r="NPY237" s="10"/>
      <c r="NPZ237" s="10"/>
      <c r="NQA237" s="19"/>
      <c r="NQB237" s="19"/>
      <c r="NQE237" s="16"/>
      <c r="NQF237" s="15"/>
      <c r="NQG237" s="15"/>
      <c r="NQH237" s="15"/>
      <c r="NQI237" s="16"/>
      <c r="NQJ237" s="16"/>
      <c r="NQK237" s="16"/>
      <c r="NQL237" s="16"/>
      <c r="NQM237" s="16"/>
      <c r="NQN237" s="15"/>
      <c r="NQO237" s="15"/>
      <c r="NQP237" s="10"/>
      <c r="NQQ237" s="10"/>
      <c r="NQR237" s="19"/>
      <c r="NQS237" s="19"/>
      <c r="NQV237" s="16"/>
      <c r="NQW237" s="15"/>
      <c r="NQX237" s="15"/>
      <c r="NQY237" s="15"/>
      <c r="NQZ237" s="16"/>
      <c r="NRA237" s="16"/>
      <c r="NRB237" s="16"/>
      <c r="NRC237" s="16"/>
      <c r="NRD237" s="16"/>
      <c r="NRE237" s="15"/>
      <c r="NRF237" s="15"/>
      <c r="NRG237" s="10"/>
      <c r="NRH237" s="10"/>
      <c r="NRI237" s="19"/>
      <c r="NRJ237" s="19"/>
      <c r="NRM237" s="16"/>
      <c r="NRN237" s="15"/>
      <c r="NRO237" s="15"/>
      <c r="NRP237" s="15"/>
      <c r="NRQ237" s="16"/>
      <c r="NRR237" s="16"/>
      <c r="NRS237" s="16"/>
      <c r="NRT237" s="16"/>
      <c r="NRU237" s="16"/>
      <c r="NRV237" s="15"/>
      <c r="NRW237" s="15"/>
      <c r="NRX237" s="10"/>
      <c r="NRY237" s="10"/>
      <c r="NRZ237" s="19"/>
      <c r="NSA237" s="19"/>
      <c r="NSD237" s="16"/>
      <c r="NSE237" s="15"/>
      <c r="NSF237" s="15"/>
      <c r="NSG237" s="15"/>
      <c r="NSH237" s="16"/>
      <c r="NSI237" s="16"/>
      <c r="NSJ237" s="16"/>
      <c r="NSK237" s="16"/>
      <c r="NSL237" s="16"/>
      <c r="NSM237" s="15"/>
      <c r="NSN237" s="15"/>
      <c r="NSO237" s="10"/>
      <c r="NSP237" s="10"/>
      <c r="NSQ237" s="19"/>
      <c r="NSR237" s="19"/>
      <c r="NSU237" s="16"/>
      <c r="NSV237" s="15"/>
      <c r="NSW237" s="15"/>
      <c r="NSX237" s="15"/>
      <c r="NSY237" s="16"/>
      <c r="NSZ237" s="16"/>
      <c r="NTA237" s="16"/>
      <c r="NTB237" s="16"/>
      <c r="NTC237" s="16"/>
      <c r="NTD237" s="15"/>
      <c r="NTE237" s="15"/>
      <c r="NTF237" s="10"/>
      <c r="NTG237" s="10"/>
      <c r="NTH237" s="19"/>
      <c r="NTI237" s="19"/>
      <c r="NTL237" s="16"/>
      <c r="NTM237" s="15"/>
      <c r="NTN237" s="15"/>
      <c r="NTO237" s="15"/>
      <c r="NTP237" s="16"/>
      <c r="NTQ237" s="16"/>
      <c r="NTR237" s="16"/>
      <c r="NTS237" s="16"/>
      <c r="NTT237" s="16"/>
      <c r="NTU237" s="15"/>
      <c r="NTV237" s="15"/>
      <c r="NTW237" s="10"/>
      <c r="NTX237" s="10"/>
      <c r="NTY237" s="19"/>
      <c r="NTZ237" s="19"/>
      <c r="NUC237" s="16"/>
      <c r="NUD237" s="15"/>
      <c r="NUE237" s="15"/>
      <c r="NUF237" s="15"/>
      <c r="NUG237" s="16"/>
      <c r="NUH237" s="16"/>
      <c r="NUI237" s="16"/>
      <c r="NUJ237" s="16"/>
      <c r="NUK237" s="16"/>
      <c r="NUL237" s="15"/>
      <c r="NUM237" s="15"/>
      <c r="NUN237" s="10"/>
      <c r="NUO237" s="10"/>
      <c r="NUP237" s="19"/>
      <c r="NUQ237" s="19"/>
      <c r="NUT237" s="16"/>
      <c r="NUU237" s="15"/>
      <c r="NUV237" s="15"/>
      <c r="NUW237" s="15"/>
      <c r="NUX237" s="16"/>
      <c r="NUY237" s="16"/>
      <c r="NUZ237" s="16"/>
      <c r="NVA237" s="16"/>
      <c r="NVB237" s="16"/>
      <c r="NVC237" s="15"/>
      <c r="NVD237" s="15"/>
      <c r="NVE237" s="10"/>
      <c r="NVF237" s="10"/>
      <c r="NVG237" s="19"/>
      <c r="NVH237" s="19"/>
      <c r="NVK237" s="16"/>
      <c r="NVL237" s="15"/>
      <c r="NVM237" s="15"/>
      <c r="NVN237" s="15"/>
      <c r="NVO237" s="16"/>
      <c r="NVP237" s="16"/>
      <c r="NVQ237" s="16"/>
      <c r="NVR237" s="16"/>
      <c r="NVS237" s="16"/>
      <c r="NVT237" s="15"/>
      <c r="NVU237" s="15"/>
      <c r="NVV237" s="10"/>
      <c r="NVW237" s="10"/>
      <c r="NVX237" s="19"/>
      <c r="NVY237" s="19"/>
      <c r="NWB237" s="16"/>
      <c r="NWC237" s="15"/>
      <c r="NWD237" s="15"/>
      <c r="NWE237" s="15"/>
      <c r="NWF237" s="16"/>
      <c r="NWG237" s="16"/>
      <c r="NWH237" s="16"/>
      <c r="NWI237" s="16"/>
      <c r="NWJ237" s="16"/>
      <c r="NWK237" s="15"/>
      <c r="NWL237" s="15"/>
      <c r="NWM237" s="10"/>
      <c r="NWN237" s="10"/>
      <c r="NWO237" s="19"/>
      <c r="NWP237" s="19"/>
      <c r="NWS237" s="16"/>
      <c r="NWT237" s="15"/>
      <c r="NWU237" s="15"/>
      <c r="NWV237" s="15"/>
      <c r="NWW237" s="16"/>
      <c r="NWX237" s="16"/>
      <c r="NWY237" s="16"/>
      <c r="NWZ237" s="16"/>
      <c r="NXA237" s="16"/>
      <c r="NXB237" s="15"/>
      <c r="NXC237" s="15"/>
      <c r="NXD237" s="10"/>
      <c r="NXE237" s="10"/>
      <c r="NXF237" s="19"/>
      <c r="NXG237" s="19"/>
      <c r="NXJ237" s="16"/>
      <c r="NXK237" s="15"/>
      <c r="NXL237" s="15"/>
      <c r="NXM237" s="15"/>
      <c r="NXN237" s="16"/>
      <c r="NXO237" s="16"/>
      <c r="NXP237" s="16"/>
      <c r="NXQ237" s="16"/>
      <c r="NXR237" s="16"/>
      <c r="NXS237" s="15"/>
      <c r="NXT237" s="15"/>
      <c r="NXU237" s="10"/>
      <c r="NXV237" s="10"/>
      <c r="NXW237" s="19"/>
      <c r="NXX237" s="19"/>
      <c r="NYA237" s="16"/>
      <c r="NYB237" s="15"/>
      <c r="NYC237" s="15"/>
      <c r="NYD237" s="15"/>
      <c r="NYE237" s="16"/>
      <c r="NYF237" s="16"/>
      <c r="NYG237" s="16"/>
      <c r="NYH237" s="16"/>
      <c r="NYI237" s="16"/>
      <c r="NYJ237" s="15"/>
      <c r="NYK237" s="15"/>
      <c r="NYL237" s="10"/>
      <c r="NYM237" s="10"/>
      <c r="NYN237" s="19"/>
      <c r="NYO237" s="19"/>
      <c r="NYR237" s="16"/>
      <c r="NYS237" s="15"/>
      <c r="NYT237" s="15"/>
      <c r="NYU237" s="15"/>
      <c r="NYV237" s="16"/>
      <c r="NYW237" s="16"/>
      <c r="NYX237" s="16"/>
      <c r="NYY237" s="16"/>
      <c r="NYZ237" s="16"/>
      <c r="NZA237" s="15"/>
      <c r="NZB237" s="15"/>
      <c r="NZC237" s="10"/>
      <c r="NZD237" s="10"/>
      <c r="NZE237" s="19"/>
      <c r="NZF237" s="19"/>
      <c r="NZI237" s="16"/>
      <c r="NZJ237" s="15"/>
      <c r="NZK237" s="15"/>
      <c r="NZL237" s="15"/>
      <c r="NZM237" s="16"/>
      <c r="NZN237" s="16"/>
      <c r="NZO237" s="16"/>
      <c r="NZP237" s="16"/>
      <c r="NZQ237" s="16"/>
      <c r="NZR237" s="15"/>
      <c r="NZS237" s="15"/>
      <c r="NZT237" s="10"/>
      <c r="NZU237" s="10"/>
      <c r="NZV237" s="19"/>
      <c r="NZW237" s="19"/>
      <c r="NZZ237" s="16"/>
      <c r="OAA237" s="15"/>
      <c r="OAB237" s="15"/>
      <c r="OAC237" s="15"/>
      <c r="OAD237" s="16"/>
      <c r="OAE237" s="16"/>
      <c r="OAF237" s="16"/>
      <c r="OAG237" s="16"/>
      <c r="OAH237" s="16"/>
      <c r="OAI237" s="15"/>
      <c r="OAJ237" s="15"/>
      <c r="OAK237" s="10"/>
      <c r="OAL237" s="10"/>
      <c r="OAM237" s="19"/>
      <c r="OAN237" s="19"/>
      <c r="OAQ237" s="16"/>
      <c r="OAR237" s="15"/>
      <c r="OAS237" s="15"/>
      <c r="OAT237" s="15"/>
      <c r="OAU237" s="16"/>
      <c r="OAV237" s="16"/>
      <c r="OAW237" s="16"/>
      <c r="OAX237" s="16"/>
      <c r="OAY237" s="16"/>
      <c r="OAZ237" s="15"/>
      <c r="OBA237" s="15"/>
      <c r="OBB237" s="10"/>
      <c r="OBC237" s="10"/>
      <c r="OBD237" s="19"/>
      <c r="OBE237" s="19"/>
      <c r="OBH237" s="16"/>
      <c r="OBI237" s="15"/>
      <c r="OBJ237" s="15"/>
      <c r="OBK237" s="15"/>
      <c r="OBL237" s="16"/>
      <c r="OBM237" s="16"/>
      <c r="OBN237" s="16"/>
      <c r="OBO237" s="16"/>
      <c r="OBP237" s="16"/>
      <c r="OBQ237" s="15"/>
      <c r="OBR237" s="15"/>
      <c r="OBS237" s="10"/>
      <c r="OBT237" s="10"/>
      <c r="OBU237" s="19"/>
      <c r="OBV237" s="19"/>
      <c r="OBY237" s="16"/>
      <c r="OBZ237" s="15"/>
      <c r="OCA237" s="15"/>
      <c r="OCB237" s="15"/>
      <c r="OCC237" s="16"/>
      <c r="OCD237" s="16"/>
      <c r="OCE237" s="16"/>
      <c r="OCF237" s="16"/>
      <c r="OCG237" s="16"/>
      <c r="OCH237" s="15"/>
      <c r="OCI237" s="15"/>
      <c r="OCJ237" s="10"/>
      <c r="OCK237" s="10"/>
      <c r="OCL237" s="19"/>
      <c r="OCM237" s="19"/>
      <c r="OCP237" s="16"/>
      <c r="OCQ237" s="15"/>
      <c r="OCR237" s="15"/>
      <c r="OCS237" s="15"/>
      <c r="OCT237" s="16"/>
      <c r="OCU237" s="16"/>
      <c r="OCV237" s="16"/>
      <c r="OCW237" s="16"/>
      <c r="OCX237" s="16"/>
      <c r="OCY237" s="15"/>
      <c r="OCZ237" s="15"/>
      <c r="ODA237" s="10"/>
      <c r="ODB237" s="10"/>
      <c r="ODC237" s="19"/>
      <c r="ODD237" s="19"/>
      <c r="ODG237" s="16"/>
      <c r="ODH237" s="15"/>
      <c r="ODI237" s="15"/>
      <c r="ODJ237" s="15"/>
      <c r="ODK237" s="16"/>
      <c r="ODL237" s="16"/>
      <c r="ODM237" s="16"/>
      <c r="ODN237" s="16"/>
      <c r="ODO237" s="16"/>
      <c r="ODP237" s="15"/>
      <c r="ODQ237" s="15"/>
      <c r="ODR237" s="10"/>
      <c r="ODS237" s="10"/>
      <c r="ODT237" s="19"/>
      <c r="ODU237" s="19"/>
      <c r="ODX237" s="16"/>
      <c r="ODY237" s="15"/>
      <c r="ODZ237" s="15"/>
      <c r="OEA237" s="15"/>
      <c r="OEB237" s="16"/>
      <c r="OEC237" s="16"/>
      <c r="OED237" s="16"/>
      <c r="OEE237" s="16"/>
      <c r="OEF237" s="16"/>
      <c r="OEG237" s="15"/>
      <c r="OEH237" s="15"/>
      <c r="OEI237" s="10"/>
      <c r="OEJ237" s="10"/>
      <c r="OEK237" s="19"/>
      <c r="OEL237" s="19"/>
      <c r="OEO237" s="16"/>
      <c r="OEP237" s="15"/>
      <c r="OEQ237" s="15"/>
      <c r="OER237" s="15"/>
      <c r="OES237" s="16"/>
      <c r="OET237" s="16"/>
      <c r="OEU237" s="16"/>
      <c r="OEV237" s="16"/>
      <c r="OEW237" s="16"/>
      <c r="OEX237" s="15"/>
      <c r="OEY237" s="15"/>
      <c r="OEZ237" s="10"/>
      <c r="OFA237" s="10"/>
      <c r="OFB237" s="19"/>
      <c r="OFC237" s="19"/>
      <c r="OFF237" s="16"/>
      <c r="OFG237" s="15"/>
      <c r="OFH237" s="15"/>
      <c r="OFI237" s="15"/>
      <c r="OFJ237" s="16"/>
      <c r="OFK237" s="16"/>
      <c r="OFL237" s="16"/>
      <c r="OFM237" s="16"/>
      <c r="OFN237" s="16"/>
      <c r="OFO237" s="15"/>
      <c r="OFP237" s="15"/>
      <c r="OFQ237" s="10"/>
      <c r="OFR237" s="10"/>
      <c r="OFS237" s="19"/>
      <c r="OFT237" s="19"/>
      <c r="OFW237" s="16"/>
      <c r="OFX237" s="15"/>
      <c r="OFY237" s="15"/>
      <c r="OFZ237" s="15"/>
      <c r="OGA237" s="16"/>
      <c r="OGB237" s="16"/>
      <c r="OGC237" s="16"/>
      <c r="OGD237" s="16"/>
      <c r="OGE237" s="16"/>
      <c r="OGF237" s="15"/>
      <c r="OGG237" s="15"/>
      <c r="OGH237" s="10"/>
      <c r="OGI237" s="10"/>
      <c r="OGJ237" s="19"/>
      <c r="OGK237" s="19"/>
      <c r="OGN237" s="16"/>
      <c r="OGO237" s="15"/>
      <c r="OGP237" s="15"/>
      <c r="OGQ237" s="15"/>
      <c r="OGR237" s="16"/>
      <c r="OGS237" s="16"/>
      <c r="OGT237" s="16"/>
      <c r="OGU237" s="16"/>
      <c r="OGV237" s="16"/>
      <c r="OGW237" s="15"/>
      <c r="OGX237" s="15"/>
      <c r="OGY237" s="10"/>
      <c r="OGZ237" s="10"/>
      <c r="OHA237" s="19"/>
      <c r="OHB237" s="19"/>
      <c r="OHE237" s="16"/>
      <c r="OHF237" s="15"/>
      <c r="OHG237" s="15"/>
      <c r="OHH237" s="15"/>
      <c r="OHI237" s="16"/>
      <c r="OHJ237" s="16"/>
      <c r="OHK237" s="16"/>
      <c r="OHL237" s="16"/>
      <c r="OHM237" s="16"/>
      <c r="OHN237" s="15"/>
      <c r="OHO237" s="15"/>
      <c r="OHP237" s="10"/>
      <c r="OHQ237" s="10"/>
      <c r="OHR237" s="19"/>
      <c r="OHS237" s="19"/>
      <c r="OHV237" s="16"/>
      <c r="OHW237" s="15"/>
      <c r="OHX237" s="15"/>
      <c r="OHY237" s="15"/>
      <c r="OHZ237" s="16"/>
      <c r="OIA237" s="16"/>
      <c r="OIB237" s="16"/>
      <c r="OIC237" s="16"/>
      <c r="OID237" s="16"/>
      <c r="OIE237" s="15"/>
      <c r="OIF237" s="15"/>
      <c r="OIG237" s="10"/>
      <c r="OIH237" s="10"/>
      <c r="OII237" s="19"/>
      <c r="OIJ237" s="19"/>
      <c r="OIM237" s="16"/>
      <c r="OIN237" s="15"/>
      <c r="OIO237" s="15"/>
      <c r="OIP237" s="15"/>
      <c r="OIQ237" s="16"/>
      <c r="OIR237" s="16"/>
      <c r="OIS237" s="16"/>
      <c r="OIT237" s="16"/>
      <c r="OIU237" s="16"/>
      <c r="OIV237" s="15"/>
      <c r="OIW237" s="15"/>
      <c r="OIX237" s="10"/>
      <c r="OIY237" s="10"/>
      <c r="OIZ237" s="19"/>
      <c r="OJA237" s="19"/>
      <c r="OJD237" s="16"/>
      <c r="OJE237" s="15"/>
      <c r="OJF237" s="15"/>
      <c r="OJG237" s="15"/>
      <c r="OJH237" s="16"/>
      <c r="OJI237" s="16"/>
      <c r="OJJ237" s="16"/>
      <c r="OJK237" s="16"/>
      <c r="OJL237" s="16"/>
      <c r="OJM237" s="15"/>
      <c r="OJN237" s="15"/>
      <c r="OJO237" s="10"/>
      <c r="OJP237" s="10"/>
      <c r="OJQ237" s="19"/>
      <c r="OJR237" s="19"/>
      <c r="OJU237" s="16"/>
      <c r="OJV237" s="15"/>
      <c r="OJW237" s="15"/>
      <c r="OJX237" s="15"/>
      <c r="OJY237" s="16"/>
      <c r="OJZ237" s="16"/>
      <c r="OKA237" s="16"/>
      <c r="OKB237" s="16"/>
      <c r="OKC237" s="16"/>
      <c r="OKD237" s="15"/>
      <c r="OKE237" s="15"/>
      <c r="OKF237" s="10"/>
      <c r="OKG237" s="10"/>
      <c r="OKH237" s="19"/>
      <c r="OKI237" s="19"/>
      <c r="OKL237" s="16"/>
      <c r="OKM237" s="15"/>
      <c r="OKN237" s="15"/>
      <c r="OKO237" s="15"/>
      <c r="OKP237" s="16"/>
      <c r="OKQ237" s="16"/>
      <c r="OKR237" s="16"/>
      <c r="OKS237" s="16"/>
      <c r="OKT237" s="16"/>
      <c r="OKU237" s="15"/>
      <c r="OKV237" s="15"/>
      <c r="OKW237" s="10"/>
      <c r="OKX237" s="10"/>
      <c r="OKY237" s="19"/>
      <c r="OKZ237" s="19"/>
      <c r="OLC237" s="16"/>
      <c r="OLD237" s="15"/>
      <c r="OLE237" s="15"/>
      <c r="OLF237" s="15"/>
      <c r="OLG237" s="16"/>
      <c r="OLH237" s="16"/>
      <c r="OLI237" s="16"/>
      <c r="OLJ237" s="16"/>
      <c r="OLK237" s="16"/>
      <c r="OLL237" s="15"/>
      <c r="OLM237" s="15"/>
      <c r="OLN237" s="10"/>
      <c r="OLO237" s="10"/>
      <c r="OLP237" s="19"/>
      <c r="OLQ237" s="19"/>
      <c r="OLT237" s="16"/>
      <c r="OLU237" s="15"/>
      <c r="OLV237" s="15"/>
      <c r="OLW237" s="15"/>
      <c r="OLX237" s="16"/>
      <c r="OLY237" s="16"/>
      <c r="OLZ237" s="16"/>
      <c r="OMA237" s="16"/>
      <c r="OMB237" s="16"/>
      <c r="OMC237" s="15"/>
      <c r="OMD237" s="15"/>
      <c r="OME237" s="10"/>
      <c r="OMF237" s="10"/>
      <c r="OMG237" s="19"/>
      <c r="OMH237" s="19"/>
      <c r="OMK237" s="16"/>
      <c r="OML237" s="15"/>
      <c r="OMM237" s="15"/>
      <c r="OMN237" s="15"/>
      <c r="OMO237" s="16"/>
      <c r="OMP237" s="16"/>
      <c r="OMQ237" s="16"/>
      <c r="OMR237" s="16"/>
      <c r="OMS237" s="16"/>
      <c r="OMT237" s="15"/>
      <c r="OMU237" s="15"/>
      <c r="OMV237" s="10"/>
      <c r="OMW237" s="10"/>
      <c r="OMX237" s="19"/>
      <c r="OMY237" s="19"/>
      <c r="ONB237" s="16"/>
      <c r="ONC237" s="15"/>
      <c r="OND237" s="15"/>
      <c r="ONE237" s="15"/>
      <c r="ONF237" s="16"/>
      <c r="ONG237" s="16"/>
      <c r="ONH237" s="16"/>
      <c r="ONI237" s="16"/>
      <c r="ONJ237" s="16"/>
      <c r="ONK237" s="15"/>
      <c r="ONL237" s="15"/>
      <c r="ONM237" s="10"/>
      <c r="ONN237" s="10"/>
      <c r="ONO237" s="19"/>
      <c r="ONP237" s="19"/>
      <c r="ONS237" s="16"/>
      <c r="ONT237" s="15"/>
      <c r="ONU237" s="15"/>
      <c r="ONV237" s="15"/>
      <c r="ONW237" s="16"/>
      <c r="ONX237" s="16"/>
      <c r="ONY237" s="16"/>
      <c r="ONZ237" s="16"/>
      <c r="OOA237" s="16"/>
      <c r="OOB237" s="15"/>
      <c r="OOC237" s="15"/>
      <c r="OOD237" s="10"/>
      <c r="OOE237" s="10"/>
      <c r="OOF237" s="19"/>
      <c r="OOG237" s="19"/>
      <c r="OOJ237" s="16"/>
      <c r="OOK237" s="15"/>
      <c r="OOL237" s="15"/>
      <c r="OOM237" s="15"/>
      <c r="OON237" s="16"/>
      <c r="OOO237" s="16"/>
      <c r="OOP237" s="16"/>
      <c r="OOQ237" s="16"/>
      <c r="OOR237" s="16"/>
      <c r="OOS237" s="15"/>
      <c r="OOT237" s="15"/>
      <c r="OOU237" s="10"/>
      <c r="OOV237" s="10"/>
      <c r="OOW237" s="19"/>
      <c r="OOX237" s="19"/>
      <c r="OPA237" s="16"/>
      <c r="OPB237" s="15"/>
      <c r="OPC237" s="15"/>
      <c r="OPD237" s="15"/>
      <c r="OPE237" s="16"/>
      <c r="OPF237" s="16"/>
      <c r="OPG237" s="16"/>
      <c r="OPH237" s="16"/>
      <c r="OPI237" s="16"/>
      <c r="OPJ237" s="15"/>
      <c r="OPK237" s="15"/>
      <c r="OPL237" s="10"/>
      <c r="OPM237" s="10"/>
      <c r="OPN237" s="19"/>
      <c r="OPO237" s="19"/>
      <c r="OPR237" s="16"/>
      <c r="OPS237" s="15"/>
      <c r="OPT237" s="15"/>
      <c r="OPU237" s="15"/>
      <c r="OPV237" s="16"/>
      <c r="OPW237" s="16"/>
      <c r="OPX237" s="16"/>
      <c r="OPY237" s="16"/>
      <c r="OPZ237" s="16"/>
      <c r="OQA237" s="15"/>
      <c r="OQB237" s="15"/>
      <c r="OQC237" s="10"/>
      <c r="OQD237" s="10"/>
      <c r="OQE237" s="19"/>
      <c r="OQF237" s="19"/>
      <c r="OQI237" s="16"/>
      <c r="OQJ237" s="15"/>
      <c r="OQK237" s="15"/>
      <c r="OQL237" s="15"/>
      <c r="OQM237" s="16"/>
      <c r="OQN237" s="16"/>
      <c r="OQO237" s="16"/>
      <c r="OQP237" s="16"/>
      <c r="OQQ237" s="16"/>
      <c r="OQR237" s="15"/>
      <c r="OQS237" s="15"/>
      <c r="OQT237" s="10"/>
      <c r="OQU237" s="10"/>
      <c r="OQV237" s="19"/>
      <c r="OQW237" s="19"/>
      <c r="OQZ237" s="16"/>
      <c r="ORA237" s="15"/>
      <c r="ORB237" s="15"/>
      <c r="ORC237" s="15"/>
      <c r="ORD237" s="16"/>
      <c r="ORE237" s="16"/>
      <c r="ORF237" s="16"/>
      <c r="ORG237" s="16"/>
      <c r="ORH237" s="16"/>
      <c r="ORI237" s="15"/>
      <c r="ORJ237" s="15"/>
      <c r="ORK237" s="10"/>
      <c r="ORL237" s="10"/>
      <c r="ORM237" s="19"/>
      <c r="ORN237" s="19"/>
      <c r="ORQ237" s="16"/>
      <c r="ORR237" s="15"/>
      <c r="ORS237" s="15"/>
      <c r="ORT237" s="15"/>
      <c r="ORU237" s="16"/>
      <c r="ORV237" s="16"/>
      <c r="ORW237" s="16"/>
      <c r="ORX237" s="16"/>
      <c r="ORY237" s="16"/>
      <c r="ORZ237" s="15"/>
      <c r="OSA237" s="15"/>
      <c r="OSB237" s="10"/>
      <c r="OSC237" s="10"/>
      <c r="OSD237" s="19"/>
      <c r="OSE237" s="19"/>
      <c r="OSH237" s="16"/>
      <c r="OSI237" s="15"/>
      <c r="OSJ237" s="15"/>
      <c r="OSK237" s="15"/>
      <c r="OSL237" s="16"/>
      <c r="OSM237" s="16"/>
      <c r="OSN237" s="16"/>
      <c r="OSO237" s="16"/>
      <c r="OSP237" s="16"/>
      <c r="OSQ237" s="15"/>
      <c r="OSR237" s="15"/>
      <c r="OSS237" s="10"/>
      <c r="OST237" s="10"/>
      <c r="OSU237" s="19"/>
      <c r="OSV237" s="19"/>
      <c r="OSY237" s="16"/>
      <c r="OSZ237" s="15"/>
      <c r="OTA237" s="15"/>
      <c r="OTB237" s="15"/>
      <c r="OTC237" s="16"/>
      <c r="OTD237" s="16"/>
      <c r="OTE237" s="16"/>
      <c r="OTF237" s="16"/>
      <c r="OTG237" s="16"/>
      <c r="OTH237" s="15"/>
      <c r="OTI237" s="15"/>
      <c r="OTJ237" s="10"/>
      <c r="OTK237" s="10"/>
      <c r="OTL237" s="19"/>
      <c r="OTM237" s="19"/>
      <c r="OTP237" s="16"/>
      <c r="OTQ237" s="15"/>
      <c r="OTR237" s="15"/>
      <c r="OTS237" s="15"/>
      <c r="OTT237" s="16"/>
      <c r="OTU237" s="16"/>
      <c r="OTV237" s="16"/>
      <c r="OTW237" s="16"/>
      <c r="OTX237" s="16"/>
      <c r="OTY237" s="15"/>
      <c r="OTZ237" s="15"/>
      <c r="OUA237" s="10"/>
      <c r="OUB237" s="10"/>
      <c r="OUC237" s="19"/>
      <c r="OUD237" s="19"/>
      <c r="OUG237" s="16"/>
      <c r="OUH237" s="15"/>
      <c r="OUI237" s="15"/>
      <c r="OUJ237" s="15"/>
      <c r="OUK237" s="16"/>
      <c r="OUL237" s="16"/>
      <c r="OUM237" s="16"/>
      <c r="OUN237" s="16"/>
      <c r="OUO237" s="16"/>
      <c r="OUP237" s="15"/>
      <c r="OUQ237" s="15"/>
      <c r="OUR237" s="10"/>
      <c r="OUS237" s="10"/>
      <c r="OUT237" s="19"/>
      <c r="OUU237" s="19"/>
      <c r="OUX237" s="16"/>
      <c r="OUY237" s="15"/>
      <c r="OUZ237" s="15"/>
      <c r="OVA237" s="15"/>
      <c r="OVB237" s="16"/>
      <c r="OVC237" s="16"/>
      <c r="OVD237" s="16"/>
      <c r="OVE237" s="16"/>
      <c r="OVF237" s="16"/>
      <c r="OVG237" s="15"/>
      <c r="OVH237" s="15"/>
      <c r="OVI237" s="10"/>
      <c r="OVJ237" s="10"/>
      <c r="OVK237" s="19"/>
      <c r="OVL237" s="19"/>
      <c r="OVO237" s="16"/>
      <c r="OVP237" s="15"/>
      <c r="OVQ237" s="15"/>
      <c r="OVR237" s="15"/>
      <c r="OVS237" s="16"/>
      <c r="OVT237" s="16"/>
      <c r="OVU237" s="16"/>
      <c r="OVV237" s="16"/>
      <c r="OVW237" s="16"/>
      <c r="OVX237" s="15"/>
      <c r="OVY237" s="15"/>
      <c r="OVZ237" s="10"/>
      <c r="OWA237" s="10"/>
      <c r="OWB237" s="19"/>
      <c r="OWC237" s="19"/>
      <c r="OWF237" s="16"/>
      <c r="OWG237" s="15"/>
      <c r="OWH237" s="15"/>
      <c r="OWI237" s="15"/>
      <c r="OWJ237" s="16"/>
      <c r="OWK237" s="16"/>
      <c r="OWL237" s="16"/>
      <c r="OWM237" s="16"/>
      <c r="OWN237" s="16"/>
      <c r="OWO237" s="15"/>
      <c r="OWP237" s="15"/>
      <c r="OWQ237" s="10"/>
      <c r="OWR237" s="10"/>
      <c r="OWS237" s="19"/>
      <c r="OWT237" s="19"/>
      <c r="OWW237" s="16"/>
      <c r="OWX237" s="15"/>
      <c r="OWY237" s="15"/>
      <c r="OWZ237" s="15"/>
      <c r="OXA237" s="16"/>
      <c r="OXB237" s="16"/>
      <c r="OXC237" s="16"/>
      <c r="OXD237" s="16"/>
      <c r="OXE237" s="16"/>
      <c r="OXF237" s="15"/>
      <c r="OXG237" s="15"/>
      <c r="OXH237" s="10"/>
      <c r="OXI237" s="10"/>
      <c r="OXJ237" s="19"/>
      <c r="OXK237" s="19"/>
      <c r="OXN237" s="16"/>
      <c r="OXO237" s="15"/>
      <c r="OXP237" s="15"/>
      <c r="OXQ237" s="15"/>
      <c r="OXR237" s="16"/>
      <c r="OXS237" s="16"/>
      <c r="OXT237" s="16"/>
      <c r="OXU237" s="16"/>
      <c r="OXV237" s="16"/>
      <c r="OXW237" s="15"/>
      <c r="OXX237" s="15"/>
      <c r="OXY237" s="10"/>
      <c r="OXZ237" s="10"/>
      <c r="OYA237" s="19"/>
      <c r="OYB237" s="19"/>
      <c r="OYE237" s="16"/>
      <c r="OYF237" s="15"/>
      <c r="OYG237" s="15"/>
      <c r="OYH237" s="15"/>
      <c r="OYI237" s="16"/>
      <c r="OYJ237" s="16"/>
      <c r="OYK237" s="16"/>
      <c r="OYL237" s="16"/>
      <c r="OYM237" s="16"/>
      <c r="OYN237" s="15"/>
      <c r="OYO237" s="15"/>
      <c r="OYP237" s="10"/>
      <c r="OYQ237" s="10"/>
      <c r="OYR237" s="19"/>
      <c r="OYS237" s="19"/>
      <c r="OYV237" s="16"/>
      <c r="OYW237" s="15"/>
      <c r="OYX237" s="15"/>
      <c r="OYY237" s="15"/>
      <c r="OYZ237" s="16"/>
      <c r="OZA237" s="16"/>
      <c r="OZB237" s="16"/>
      <c r="OZC237" s="16"/>
      <c r="OZD237" s="16"/>
      <c r="OZE237" s="15"/>
      <c r="OZF237" s="15"/>
      <c r="OZG237" s="10"/>
      <c r="OZH237" s="10"/>
      <c r="OZI237" s="19"/>
      <c r="OZJ237" s="19"/>
      <c r="OZM237" s="16"/>
      <c r="OZN237" s="15"/>
      <c r="OZO237" s="15"/>
      <c r="OZP237" s="15"/>
      <c r="OZQ237" s="16"/>
      <c r="OZR237" s="16"/>
      <c r="OZS237" s="16"/>
      <c r="OZT237" s="16"/>
      <c r="OZU237" s="16"/>
      <c r="OZV237" s="15"/>
      <c r="OZW237" s="15"/>
      <c r="OZX237" s="10"/>
      <c r="OZY237" s="10"/>
      <c r="OZZ237" s="19"/>
      <c r="PAA237" s="19"/>
      <c r="PAD237" s="16"/>
      <c r="PAE237" s="15"/>
      <c r="PAF237" s="15"/>
      <c r="PAG237" s="15"/>
      <c r="PAH237" s="16"/>
      <c r="PAI237" s="16"/>
      <c r="PAJ237" s="16"/>
      <c r="PAK237" s="16"/>
      <c r="PAL237" s="16"/>
      <c r="PAM237" s="15"/>
      <c r="PAN237" s="15"/>
      <c r="PAO237" s="10"/>
      <c r="PAP237" s="10"/>
      <c r="PAQ237" s="19"/>
      <c r="PAR237" s="19"/>
      <c r="PAU237" s="16"/>
      <c r="PAV237" s="15"/>
      <c r="PAW237" s="15"/>
      <c r="PAX237" s="15"/>
      <c r="PAY237" s="16"/>
      <c r="PAZ237" s="16"/>
      <c r="PBA237" s="16"/>
      <c r="PBB237" s="16"/>
      <c r="PBC237" s="16"/>
      <c r="PBD237" s="15"/>
      <c r="PBE237" s="15"/>
      <c r="PBF237" s="10"/>
      <c r="PBG237" s="10"/>
      <c r="PBH237" s="19"/>
      <c r="PBI237" s="19"/>
      <c r="PBL237" s="16"/>
      <c r="PBM237" s="15"/>
      <c r="PBN237" s="15"/>
      <c r="PBO237" s="15"/>
      <c r="PBP237" s="16"/>
      <c r="PBQ237" s="16"/>
      <c r="PBR237" s="16"/>
      <c r="PBS237" s="16"/>
      <c r="PBT237" s="16"/>
      <c r="PBU237" s="15"/>
      <c r="PBV237" s="15"/>
      <c r="PBW237" s="10"/>
      <c r="PBX237" s="10"/>
      <c r="PBY237" s="19"/>
      <c r="PBZ237" s="19"/>
      <c r="PCC237" s="16"/>
      <c r="PCD237" s="15"/>
      <c r="PCE237" s="15"/>
      <c r="PCF237" s="15"/>
      <c r="PCG237" s="16"/>
      <c r="PCH237" s="16"/>
      <c r="PCI237" s="16"/>
      <c r="PCJ237" s="16"/>
      <c r="PCK237" s="16"/>
      <c r="PCL237" s="15"/>
      <c r="PCM237" s="15"/>
      <c r="PCN237" s="10"/>
      <c r="PCO237" s="10"/>
      <c r="PCP237" s="19"/>
      <c r="PCQ237" s="19"/>
      <c r="PCT237" s="16"/>
      <c r="PCU237" s="15"/>
      <c r="PCV237" s="15"/>
      <c r="PCW237" s="15"/>
      <c r="PCX237" s="16"/>
      <c r="PCY237" s="16"/>
      <c r="PCZ237" s="16"/>
      <c r="PDA237" s="16"/>
      <c r="PDB237" s="16"/>
      <c r="PDC237" s="15"/>
      <c r="PDD237" s="15"/>
      <c r="PDE237" s="10"/>
      <c r="PDF237" s="10"/>
      <c r="PDG237" s="19"/>
      <c r="PDH237" s="19"/>
      <c r="PDK237" s="16"/>
      <c r="PDL237" s="15"/>
      <c r="PDM237" s="15"/>
      <c r="PDN237" s="15"/>
      <c r="PDO237" s="16"/>
      <c r="PDP237" s="16"/>
      <c r="PDQ237" s="16"/>
      <c r="PDR237" s="16"/>
      <c r="PDS237" s="16"/>
      <c r="PDT237" s="15"/>
      <c r="PDU237" s="15"/>
      <c r="PDV237" s="10"/>
      <c r="PDW237" s="10"/>
      <c r="PDX237" s="19"/>
      <c r="PDY237" s="19"/>
      <c r="PEB237" s="16"/>
      <c r="PEC237" s="15"/>
      <c r="PED237" s="15"/>
      <c r="PEE237" s="15"/>
      <c r="PEF237" s="16"/>
      <c r="PEG237" s="16"/>
      <c r="PEH237" s="16"/>
      <c r="PEI237" s="16"/>
      <c r="PEJ237" s="16"/>
      <c r="PEK237" s="15"/>
      <c r="PEL237" s="15"/>
      <c r="PEM237" s="10"/>
      <c r="PEN237" s="10"/>
      <c r="PEO237" s="19"/>
      <c r="PEP237" s="19"/>
      <c r="PES237" s="16"/>
      <c r="PET237" s="15"/>
      <c r="PEU237" s="15"/>
      <c r="PEV237" s="15"/>
      <c r="PEW237" s="16"/>
      <c r="PEX237" s="16"/>
      <c r="PEY237" s="16"/>
      <c r="PEZ237" s="16"/>
      <c r="PFA237" s="16"/>
      <c r="PFB237" s="15"/>
      <c r="PFC237" s="15"/>
      <c r="PFD237" s="10"/>
      <c r="PFE237" s="10"/>
      <c r="PFF237" s="19"/>
      <c r="PFG237" s="19"/>
      <c r="PFJ237" s="16"/>
      <c r="PFK237" s="15"/>
      <c r="PFL237" s="15"/>
      <c r="PFM237" s="15"/>
      <c r="PFN237" s="16"/>
      <c r="PFO237" s="16"/>
      <c r="PFP237" s="16"/>
      <c r="PFQ237" s="16"/>
      <c r="PFR237" s="16"/>
      <c r="PFS237" s="15"/>
      <c r="PFT237" s="15"/>
      <c r="PFU237" s="10"/>
      <c r="PFV237" s="10"/>
      <c r="PFW237" s="19"/>
      <c r="PFX237" s="19"/>
      <c r="PGA237" s="16"/>
      <c r="PGB237" s="15"/>
      <c r="PGC237" s="15"/>
      <c r="PGD237" s="15"/>
      <c r="PGE237" s="16"/>
      <c r="PGF237" s="16"/>
      <c r="PGG237" s="16"/>
      <c r="PGH237" s="16"/>
      <c r="PGI237" s="16"/>
      <c r="PGJ237" s="15"/>
      <c r="PGK237" s="15"/>
      <c r="PGL237" s="10"/>
      <c r="PGM237" s="10"/>
      <c r="PGN237" s="19"/>
      <c r="PGO237" s="19"/>
      <c r="PGR237" s="16"/>
      <c r="PGS237" s="15"/>
      <c r="PGT237" s="15"/>
      <c r="PGU237" s="15"/>
      <c r="PGV237" s="16"/>
      <c r="PGW237" s="16"/>
      <c r="PGX237" s="16"/>
      <c r="PGY237" s="16"/>
      <c r="PGZ237" s="16"/>
      <c r="PHA237" s="15"/>
      <c r="PHB237" s="15"/>
      <c r="PHC237" s="10"/>
      <c r="PHD237" s="10"/>
      <c r="PHE237" s="19"/>
      <c r="PHF237" s="19"/>
      <c r="PHI237" s="16"/>
      <c r="PHJ237" s="15"/>
      <c r="PHK237" s="15"/>
      <c r="PHL237" s="15"/>
      <c r="PHM237" s="16"/>
      <c r="PHN237" s="16"/>
      <c r="PHO237" s="16"/>
      <c r="PHP237" s="16"/>
      <c r="PHQ237" s="16"/>
      <c r="PHR237" s="15"/>
      <c r="PHS237" s="15"/>
      <c r="PHT237" s="10"/>
      <c r="PHU237" s="10"/>
      <c r="PHV237" s="19"/>
      <c r="PHW237" s="19"/>
      <c r="PHZ237" s="16"/>
      <c r="PIA237" s="15"/>
      <c r="PIB237" s="15"/>
      <c r="PIC237" s="15"/>
      <c r="PID237" s="16"/>
      <c r="PIE237" s="16"/>
      <c r="PIF237" s="16"/>
      <c r="PIG237" s="16"/>
      <c r="PIH237" s="16"/>
      <c r="PII237" s="15"/>
      <c r="PIJ237" s="15"/>
      <c r="PIK237" s="10"/>
      <c r="PIL237" s="10"/>
      <c r="PIM237" s="19"/>
      <c r="PIN237" s="19"/>
      <c r="PIQ237" s="16"/>
      <c r="PIR237" s="15"/>
      <c r="PIS237" s="15"/>
      <c r="PIT237" s="15"/>
      <c r="PIU237" s="16"/>
      <c r="PIV237" s="16"/>
      <c r="PIW237" s="16"/>
      <c r="PIX237" s="16"/>
      <c r="PIY237" s="16"/>
      <c r="PIZ237" s="15"/>
      <c r="PJA237" s="15"/>
      <c r="PJB237" s="10"/>
      <c r="PJC237" s="10"/>
      <c r="PJD237" s="19"/>
      <c r="PJE237" s="19"/>
      <c r="PJH237" s="16"/>
      <c r="PJI237" s="15"/>
      <c r="PJJ237" s="15"/>
      <c r="PJK237" s="15"/>
      <c r="PJL237" s="16"/>
      <c r="PJM237" s="16"/>
      <c r="PJN237" s="16"/>
      <c r="PJO237" s="16"/>
      <c r="PJP237" s="16"/>
      <c r="PJQ237" s="15"/>
      <c r="PJR237" s="15"/>
      <c r="PJS237" s="10"/>
      <c r="PJT237" s="10"/>
      <c r="PJU237" s="19"/>
      <c r="PJV237" s="19"/>
      <c r="PJY237" s="16"/>
      <c r="PJZ237" s="15"/>
      <c r="PKA237" s="15"/>
      <c r="PKB237" s="15"/>
      <c r="PKC237" s="16"/>
      <c r="PKD237" s="16"/>
      <c r="PKE237" s="16"/>
      <c r="PKF237" s="16"/>
      <c r="PKG237" s="16"/>
      <c r="PKH237" s="15"/>
      <c r="PKI237" s="15"/>
      <c r="PKJ237" s="10"/>
      <c r="PKK237" s="10"/>
      <c r="PKL237" s="19"/>
      <c r="PKM237" s="19"/>
      <c r="PKP237" s="16"/>
      <c r="PKQ237" s="15"/>
      <c r="PKR237" s="15"/>
      <c r="PKS237" s="15"/>
      <c r="PKT237" s="16"/>
      <c r="PKU237" s="16"/>
      <c r="PKV237" s="16"/>
      <c r="PKW237" s="16"/>
      <c r="PKX237" s="16"/>
      <c r="PKY237" s="15"/>
      <c r="PKZ237" s="15"/>
      <c r="PLA237" s="10"/>
      <c r="PLB237" s="10"/>
      <c r="PLC237" s="19"/>
      <c r="PLD237" s="19"/>
      <c r="PLG237" s="16"/>
      <c r="PLH237" s="15"/>
      <c r="PLI237" s="15"/>
      <c r="PLJ237" s="15"/>
      <c r="PLK237" s="16"/>
      <c r="PLL237" s="16"/>
      <c r="PLM237" s="16"/>
      <c r="PLN237" s="16"/>
      <c r="PLO237" s="16"/>
      <c r="PLP237" s="15"/>
      <c r="PLQ237" s="15"/>
      <c r="PLR237" s="10"/>
      <c r="PLS237" s="10"/>
      <c r="PLT237" s="19"/>
      <c r="PLU237" s="19"/>
      <c r="PLX237" s="16"/>
      <c r="PLY237" s="15"/>
      <c r="PLZ237" s="15"/>
      <c r="PMA237" s="15"/>
      <c r="PMB237" s="16"/>
      <c r="PMC237" s="16"/>
      <c r="PMD237" s="16"/>
      <c r="PME237" s="16"/>
      <c r="PMF237" s="16"/>
      <c r="PMG237" s="15"/>
      <c r="PMH237" s="15"/>
      <c r="PMI237" s="10"/>
      <c r="PMJ237" s="10"/>
      <c r="PMK237" s="19"/>
      <c r="PML237" s="19"/>
      <c r="PMO237" s="16"/>
      <c r="PMP237" s="15"/>
      <c r="PMQ237" s="15"/>
      <c r="PMR237" s="15"/>
      <c r="PMS237" s="16"/>
      <c r="PMT237" s="16"/>
      <c r="PMU237" s="16"/>
      <c r="PMV237" s="16"/>
      <c r="PMW237" s="16"/>
      <c r="PMX237" s="15"/>
      <c r="PMY237" s="15"/>
      <c r="PMZ237" s="10"/>
      <c r="PNA237" s="10"/>
      <c r="PNB237" s="19"/>
      <c r="PNC237" s="19"/>
      <c r="PNF237" s="16"/>
      <c r="PNG237" s="15"/>
      <c r="PNH237" s="15"/>
      <c r="PNI237" s="15"/>
      <c r="PNJ237" s="16"/>
      <c r="PNK237" s="16"/>
      <c r="PNL237" s="16"/>
      <c r="PNM237" s="16"/>
      <c r="PNN237" s="16"/>
      <c r="PNO237" s="15"/>
      <c r="PNP237" s="15"/>
      <c r="PNQ237" s="10"/>
      <c r="PNR237" s="10"/>
      <c r="PNS237" s="19"/>
      <c r="PNT237" s="19"/>
      <c r="PNW237" s="16"/>
      <c r="PNX237" s="15"/>
      <c r="PNY237" s="15"/>
      <c r="PNZ237" s="15"/>
      <c r="POA237" s="16"/>
      <c r="POB237" s="16"/>
      <c r="POC237" s="16"/>
      <c r="POD237" s="16"/>
      <c r="POE237" s="16"/>
      <c r="POF237" s="15"/>
      <c r="POG237" s="15"/>
      <c r="POH237" s="10"/>
      <c r="POI237" s="10"/>
      <c r="POJ237" s="19"/>
      <c r="POK237" s="19"/>
      <c r="PON237" s="16"/>
      <c r="POO237" s="15"/>
      <c r="POP237" s="15"/>
      <c r="POQ237" s="15"/>
      <c r="POR237" s="16"/>
      <c r="POS237" s="16"/>
      <c r="POT237" s="16"/>
      <c r="POU237" s="16"/>
      <c r="POV237" s="16"/>
      <c r="POW237" s="15"/>
      <c r="POX237" s="15"/>
      <c r="POY237" s="10"/>
      <c r="POZ237" s="10"/>
      <c r="PPA237" s="19"/>
      <c r="PPB237" s="19"/>
      <c r="PPE237" s="16"/>
      <c r="PPF237" s="15"/>
      <c r="PPG237" s="15"/>
      <c r="PPH237" s="15"/>
      <c r="PPI237" s="16"/>
      <c r="PPJ237" s="16"/>
      <c r="PPK237" s="16"/>
      <c r="PPL237" s="16"/>
      <c r="PPM237" s="16"/>
      <c r="PPN237" s="15"/>
      <c r="PPO237" s="15"/>
      <c r="PPP237" s="10"/>
      <c r="PPQ237" s="10"/>
      <c r="PPR237" s="19"/>
      <c r="PPS237" s="19"/>
      <c r="PPV237" s="16"/>
      <c r="PPW237" s="15"/>
      <c r="PPX237" s="15"/>
      <c r="PPY237" s="15"/>
      <c r="PPZ237" s="16"/>
      <c r="PQA237" s="16"/>
      <c r="PQB237" s="16"/>
      <c r="PQC237" s="16"/>
      <c r="PQD237" s="16"/>
      <c r="PQE237" s="15"/>
      <c r="PQF237" s="15"/>
      <c r="PQG237" s="10"/>
      <c r="PQH237" s="10"/>
      <c r="PQI237" s="19"/>
      <c r="PQJ237" s="19"/>
      <c r="PQM237" s="16"/>
      <c r="PQN237" s="15"/>
      <c r="PQO237" s="15"/>
      <c r="PQP237" s="15"/>
      <c r="PQQ237" s="16"/>
      <c r="PQR237" s="16"/>
      <c r="PQS237" s="16"/>
      <c r="PQT237" s="16"/>
      <c r="PQU237" s="16"/>
      <c r="PQV237" s="15"/>
      <c r="PQW237" s="15"/>
      <c r="PQX237" s="10"/>
      <c r="PQY237" s="10"/>
      <c r="PQZ237" s="19"/>
      <c r="PRA237" s="19"/>
      <c r="PRD237" s="16"/>
      <c r="PRE237" s="15"/>
      <c r="PRF237" s="15"/>
      <c r="PRG237" s="15"/>
      <c r="PRH237" s="16"/>
      <c r="PRI237" s="16"/>
      <c r="PRJ237" s="16"/>
      <c r="PRK237" s="16"/>
      <c r="PRL237" s="16"/>
      <c r="PRM237" s="15"/>
      <c r="PRN237" s="15"/>
      <c r="PRO237" s="10"/>
      <c r="PRP237" s="10"/>
      <c r="PRQ237" s="19"/>
      <c r="PRR237" s="19"/>
      <c r="PRU237" s="16"/>
      <c r="PRV237" s="15"/>
      <c r="PRW237" s="15"/>
      <c r="PRX237" s="15"/>
      <c r="PRY237" s="16"/>
      <c r="PRZ237" s="16"/>
      <c r="PSA237" s="16"/>
      <c r="PSB237" s="16"/>
      <c r="PSC237" s="16"/>
      <c r="PSD237" s="15"/>
      <c r="PSE237" s="15"/>
      <c r="PSF237" s="10"/>
      <c r="PSG237" s="10"/>
      <c r="PSH237" s="19"/>
      <c r="PSI237" s="19"/>
      <c r="PSL237" s="16"/>
      <c r="PSM237" s="15"/>
      <c r="PSN237" s="15"/>
      <c r="PSO237" s="15"/>
      <c r="PSP237" s="16"/>
      <c r="PSQ237" s="16"/>
      <c r="PSR237" s="16"/>
      <c r="PSS237" s="16"/>
      <c r="PST237" s="16"/>
      <c r="PSU237" s="15"/>
      <c r="PSV237" s="15"/>
      <c r="PSW237" s="10"/>
      <c r="PSX237" s="10"/>
      <c r="PSY237" s="19"/>
      <c r="PSZ237" s="19"/>
      <c r="PTC237" s="16"/>
      <c r="PTD237" s="15"/>
      <c r="PTE237" s="15"/>
      <c r="PTF237" s="15"/>
      <c r="PTG237" s="16"/>
      <c r="PTH237" s="16"/>
      <c r="PTI237" s="16"/>
      <c r="PTJ237" s="16"/>
      <c r="PTK237" s="16"/>
      <c r="PTL237" s="15"/>
      <c r="PTM237" s="15"/>
      <c r="PTN237" s="10"/>
      <c r="PTO237" s="10"/>
      <c r="PTP237" s="19"/>
      <c r="PTQ237" s="19"/>
      <c r="PTT237" s="16"/>
      <c r="PTU237" s="15"/>
      <c r="PTV237" s="15"/>
      <c r="PTW237" s="15"/>
      <c r="PTX237" s="16"/>
      <c r="PTY237" s="16"/>
      <c r="PTZ237" s="16"/>
      <c r="PUA237" s="16"/>
      <c r="PUB237" s="16"/>
      <c r="PUC237" s="15"/>
      <c r="PUD237" s="15"/>
      <c r="PUE237" s="10"/>
      <c r="PUF237" s="10"/>
      <c r="PUG237" s="19"/>
      <c r="PUH237" s="19"/>
      <c r="PUK237" s="16"/>
      <c r="PUL237" s="15"/>
      <c r="PUM237" s="15"/>
      <c r="PUN237" s="15"/>
      <c r="PUO237" s="16"/>
      <c r="PUP237" s="16"/>
      <c r="PUQ237" s="16"/>
      <c r="PUR237" s="16"/>
      <c r="PUS237" s="16"/>
      <c r="PUT237" s="15"/>
      <c r="PUU237" s="15"/>
      <c r="PUV237" s="10"/>
      <c r="PUW237" s="10"/>
      <c r="PUX237" s="19"/>
      <c r="PUY237" s="19"/>
      <c r="PVB237" s="16"/>
      <c r="PVC237" s="15"/>
      <c r="PVD237" s="15"/>
      <c r="PVE237" s="15"/>
      <c r="PVF237" s="16"/>
      <c r="PVG237" s="16"/>
      <c r="PVH237" s="16"/>
      <c r="PVI237" s="16"/>
      <c r="PVJ237" s="16"/>
      <c r="PVK237" s="15"/>
      <c r="PVL237" s="15"/>
      <c r="PVM237" s="10"/>
      <c r="PVN237" s="10"/>
      <c r="PVO237" s="19"/>
      <c r="PVP237" s="19"/>
      <c r="PVS237" s="16"/>
      <c r="PVT237" s="15"/>
      <c r="PVU237" s="15"/>
      <c r="PVV237" s="15"/>
      <c r="PVW237" s="16"/>
      <c r="PVX237" s="16"/>
      <c r="PVY237" s="16"/>
      <c r="PVZ237" s="16"/>
      <c r="PWA237" s="16"/>
      <c r="PWB237" s="15"/>
      <c r="PWC237" s="15"/>
      <c r="PWD237" s="10"/>
      <c r="PWE237" s="10"/>
      <c r="PWF237" s="19"/>
      <c r="PWG237" s="19"/>
      <c r="PWJ237" s="16"/>
      <c r="PWK237" s="15"/>
      <c r="PWL237" s="15"/>
      <c r="PWM237" s="15"/>
      <c r="PWN237" s="16"/>
      <c r="PWO237" s="16"/>
      <c r="PWP237" s="16"/>
      <c r="PWQ237" s="16"/>
      <c r="PWR237" s="16"/>
      <c r="PWS237" s="15"/>
      <c r="PWT237" s="15"/>
      <c r="PWU237" s="10"/>
      <c r="PWV237" s="10"/>
      <c r="PWW237" s="19"/>
      <c r="PWX237" s="19"/>
      <c r="PXA237" s="16"/>
      <c r="PXB237" s="15"/>
      <c r="PXC237" s="15"/>
      <c r="PXD237" s="15"/>
      <c r="PXE237" s="16"/>
      <c r="PXF237" s="16"/>
      <c r="PXG237" s="16"/>
      <c r="PXH237" s="16"/>
      <c r="PXI237" s="16"/>
      <c r="PXJ237" s="15"/>
      <c r="PXK237" s="15"/>
      <c r="PXL237" s="10"/>
      <c r="PXM237" s="10"/>
      <c r="PXN237" s="19"/>
      <c r="PXO237" s="19"/>
      <c r="PXR237" s="16"/>
      <c r="PXS237" s="15"/>
      <c r="PXT237" s="15"/>
      <c r="PXU237" s="15"/>
      <c r="PXV237" s="16"/>
      <c r="PXW237" s="16"/>
      <c r="PXX237" s="16"/>
      <c r="PXY237" s="16"/>
      <c r="PXZ237" s="16"/>
      <c r="PYA237" s="15"/>
      <c r="PYB237" s="15"/>
      <c r="PYC237" s="10"/>
      <c r="PYD237" s="10"/>
      <c r="PYE237" s="19"/>
      <c r="PYF237" s="19"/>
      <c r="PYI237" s="16"/>
      <c r="PYJ237" s="15"/>
      <c r="PYK237" s="15"/>
      <c r="PYL237" s="15"/>
      <c r="PYM237" s="16"/>
      <c r="PYN237" s="16"/>
      <c r="PYO237" s="16"/>
      <c r="PYP237" s="16"/>
      <c r="PYQ237" s="16"/>
      <c r="PYR237" s="15"/>
      <c r="PYS237" s="15"/>
      <c r="PYT237" s="10"/>
      <c r="PYU237" s="10"/>
      <c r="PYV237" s="19"/>
      <c r="PYW237" s="19"/>
      <c r="PYZ237" s="16"/>
      <c r="PZA237" s="15"/>
      <c r="PZB237" s="15"/>
      <c r="PZC237" s="15"/>
      <c r="PZD237" s="16"/>
      <c r="PZE237" s="16"/>
      <c r="PZF237" s="16"/>
      <c r="PZG237" s="16"/>
      <c r="PZH237" s="16"/>
      <c r="PZI237" s="15"/>
      <c r="PZJ237" s="15"/>
      <c r="PZK237" s="10"/>
      <c r="PZL237" s="10"/>
      <c r="PZM237" s="19"/>
      <c r="PZN237" s="19"/>
      <c r="PZQ237" s="16"/>
      <c r="PZR237" s="15"/>
      <c r="PZS237" s="15"/>
      <c r="PZT237" s="15"/>
      <c r="PZU237" s="16"/>
      <c r="PZV237" s="16"/>
      <c r="PZW237" s="16"/>
      <c r="PZX237" s="16"/>
      <c r="PZY237" s="16"/>
      <c r="PZZ237" s="15"/>
      <c r="QAA237" s="15"/>
      <c r="QAB237" s="10"/>
      <c r="QAC237" s="10"/>
      <c r="QAD237" s="19"/>
      <c r="QAE237" s="19"/>
      <c r="QAH237" s="16"/>
      <c r="QAI237" s="15"/>
      <c r="QAJ237" s="15"/>
      <c r="QAK237" s="15"/>
      <c r="QAL237" s="16"/>
      <c r="QAM237" s="16"/>
      <c r="QAN237" s="16"/>
      <c r="QAO237" s="16"/>
      <c r="QAP237" s="16"/>
      <c r="QAQ237" s="15"/>
      <c r="QAR237" s="15"/>
      <c r="QAS237" s="10"/>
      <c r="QAT237" s="10"/>
      <c r="QAU237" s="19"/>
      <c r="QAV237" s="19"/>
      <c r="QAY237" s="16"/>
      <c r="QAZ237" s="15"/>
      <c r="QBA237" s="15"/>
      <c r="QBB237" s="15"/>
      <c r="QBC237" s="16"/>
      <c r="QBD237" s="16"/>
      <c r="QBE237" s="16"/>
      <c r="QBF237" s="16"/>
      <c r="QBG237" s="16"/>
      <c r="QBH237" s="15"/>
      <c r="QBI237" s="15"/>
      <c r="QBJ237" s="10"/>
      <c r="QBK237" s="10"/>
      <c r="QBL237" s="19"/>
      <c r="QBM237" s="19"/>
      <c r="QBP237" s="16"/>
      <c r="QBQ237" s="15"/>
      <c r="QBR237" s="15"/>
      <c r="QBS237" s="15"/>
      <c r="QBT237" s="16"/>
      <c r="QBU237" s="16"/>
      <c r="QBV237" s="16"/>
      <c r="QBW237" s="16"/>
      <c r="QBX237" s="16"/>
      <c r="QBY237" s="15"/>
      <c r="QBZ237" s="15"/>
      <c r="QCA237" s="10"/>
      <c r="QCB237" s="10"/>
      <c r="QCC237" s="19"/>
      <c r="QCD237" s="19"/>
      <c r="QCG237" s="16"/>
      <c r="QCH237" s="15"/>
      <c r="QCI237" s="15"/>
      <c r="QCJ237" s="15"/>
      <c r="QCK237" s="16"/>
      <c r="QCL237" s="16"/>
      <c r="QCM237" s="16"/>
      <c r="QCN237" s="16"/>
      <c r="QCO237" s="16"/>
      <c r="QCP237" s="15"/>
      <c r="QCQ237" s="15"/>
      <c r="QCR237" s="10"/>
      <c r="QCS237" s="10"/>
      <c r="QCT237" s="19"/>
      <c r="QCU237" s="19"/>
      <c r="QCX237" s="16"/>
      <c r="QCY237" s="15"/>
      <c r="QCZ237" s="15"/>
      <c r="QDA237" s="15"/>
      <c r="QDB237" s="16"/>
      <c r="QDC237" s="16"/>
      <c r="QDD237" s="16"/>
      <c r="QDE237" s="16"/>
      <c r="QDF237" s="16"/>
      <c r="QDG237" s="15"/>
      <c r="QDH237" s="15"/>
      <c r="QDI237" s="10"/>
      <c r="QDJ237" s="10"/>
      <c r="QDK237" s="19"/>
      <c r="QDL237" s="19"/>
      <c r="QDO237" s="16"/>
      <c r="QDP237" s="15"/>
      <c r="QDQ237" s="15"/>
      <c r="QDR237" s="15"/>
      <c r="QDS237" s="16"/>
      <c r="QDT237" s="16"/>
      <c r="QDU237" s="16"/>
      <c r="QDV237" s="16"/>
      <c r="QDW237" s="16"/>
      <c r="QDX237" s="15"/>
      <c r="QDY237" s="15"/>
      <c r="QDZ237" s="10"/>
      <c r="QEA237" s="10"/>
      <c r="QEB237" s="19"/>
      <c r="QEC237" s="19"/>
      <c r="QEF237" s="16"/>
      <c r="QEG237" s="15"/>
      <c r="QEH237" s="15"/>
      <c r="QEI237" s="15"/>
      <c r="QEJ237" s="16"/>
      <c r="QEK237" s="16"/>
      <c r="QEL237" s="16"/>
      <c r="QEM237" s="16"/>
      <c r="QEN237" s="16"/>
      <c r="QEO237" s="15"/>
      <c r="QEP237" s="15"/>
      <c r="QEQ237" s="10"/>
      <c r="QER237" s="10"/>
      <c r="QES237" s="19"/>
      <c r="QET237" s="19"/>
      <c r="QEW237" s="16"/>
      <c r="QEX237" s="15"/>
      <c r="QEY237" s="15"/>
      <c r="QEZ237" s="15"/>
      <c r="QFA237" s="16"/>
      <c r="QFB237" s="16"/>
      <c r="QFC237" s="16"/>
      <c r="QFD237" s="16"/>
      <c r="QFE237" s="16"/>
      <c r="QFF237" s="15"/>
      <c r="QFG237" s="15"/>
      <c r="QFH237" s="10"/>
      <c r="QFI237" s="10"/>
      <c r="QFJ237" s="19"/>
      <c r="QFK237" s="19"/>
      <c r="QFN237" s="16"/>
      <c r="QFO237" s="15"/>
      <c r="QFP237" s="15"/>
      <c r="QFQ237" s="15"/>
      <c r="QFR237" s="16"/>
      <c r="QFS237" s="16"/>
      <c r="QFT237" s="16"/>
      <c r="QFU237" s="16"/>
      <c r="QFV237" s="16"/>
      <c r="QFW237" s="15"/>
      <c r="QFX237" s="15"/>
      <c r="QFY237" s="10"/>
      <c r="QFZ237" s="10"/>
      <c r="QGA237" s="19"/>
      <c r="QGB237" s="19"/>
      <c r="QGE237" s="16"/>
      <c r="QGF237" s="15"/>
      <c r="QGG237" s="15"/>
      <c r="QGH237" s="15"/>
      <c r="QGI237" s="16"/>
      <c r="QGJ237" s="16"/>
      <c r="QGK237" s="16"/>
      <c r="QGL237" s="16"/>
      <c r="QGM237" s="16"/>
      <c r="QGN237" s="15"/>
      <c r="QGO237" s="15"/>
      <c r="QGP237" s="10"/>
      <c r="QGQ237" s="10"/>
      <c r="QGR237" s="19"/>
      <c r="QGS237" s="19"/>
      <c r="QGV237" s="16"/>
      <c r="QGW237" s="15"/>
      <c r="QGX237" s="15"/>
      <c r="QGY237" s="15"/>
      <c r="QGZ237" s="16"/>
      <c r="QHA237" s="16"/>
      <c r="QHB237" s="16"/>
      <c r="QHC237" s="16"/>
      <c r="QHD237" s="16"/>
      <c r="QHE237" s="15"/>
      <c r="QHF237" s="15"/>
      <c r="QHG237" s="10"/>
      <c r="QHH237" s="10"/>
      <c r="QHI237" s="19"/>
      <c r="QHJ237" s="19"/>
      <c r="QHM237" s="16"/>
      <c r="QHN237" s="15"/>
      <c r="QHO237" s="15"/>
      <c r="QHP237" s="15"/>
      <c r="QHQ237" s="16"/>
      <c r="QHR237" s="16"/>
      <c r="QHS237" s="16"/>
      <c r="QHT237" s="16"/>
      <c r="QHU237" s="16"/>
      <c r="QHV237" s="15"/>
      <c r="QHW237" s="15"/>
      <c r="QHX237" s="10"/>
      <c r="QHY237" s="10"/>
      <c r="QHZ237" s="19"/>
      <c r="QIA237" s="19"/>
      <c r="QID237" s="16"/>
      <c r="QIE237" s="15"/>
      <c r="QIF237" s="15"/>
      <c r="QIG237" s="15"/>
      <c r="QIH237" s="16"/>
      <c r="QII237" s="16"/>
      <c r="QIJ237" s="16"/>
      <c r="QIK237" s="16"/>
      <c r="QIL237" s="16"/>
      <c r="QIM237" s="15"/>
      <c r="QIN237" s="15"/>
      <c r="QIO237" s="10"/>
      <c r="QIP237" s="10"/>
      <c r="QIQ237" s="19"/>
      <c r="QIR237" s="19"/>
      <c r="QIU237" s="16"/>
      <c r="QIV237" s="15"/>
      <c r="QIW237" s="15"/>
      <c r="QIX237" s="15"/>
      <c r="QIY237" s="16"/>
      <c r="QIZ237" s="16"/>
      <c r="QJA237" s="16"/>
      <c r="QJB237" s="16"/>
      <c r="QJC237" s="16"/>
      <c r="QJD237" s="15"/>
      <c r="QJE237" s="15"/>
      <c r="QJF237" s="10"/>
      <c r="QJG237" s="10"/>
      <c r="QJH237" s="19"/>
      <c r="QJI237" s="19"/>
      <c r="QJL237" s="16"/>
      <c r="QJM237" s="15"/>
      <c r="QJN237" s="15"/>
      <c r="QJO237" s="15"/>
      <c r="QJP237" s="16"/>
      <c r="QJQ237" s="16"/>
      <c r="QJR237" s="16"/>
      <c r="QJS237" s="16"/>
      <c r="QJT237" s="16"/>
      <c r="QJU237" s="15"/>
      <c r="QJV237" s="15"/>
      <c r="QJW237" s="10"/>
      <c r="QJX237" s="10"/>
      <c r="QJY237" s="19"/>
      <c r="QJZ237" s="19"/>
      <c r="QKC237" s="16"/>
      <c r="QKD237" s="15"/>
      <c r="QKE237" s="15"/>
      <c r="QKF237" s="15"/>
      <c r="QKG237" s="16"/>
      <c r="QKH237" s="16"/>
      <c r="QKI237" s="16"/>
      <c r="QKJ237" s="16"/>
      <c r="QKK237" s="16"/>
      <c r="QKL237" s="15"/>
      <c r="QKM237" s="15"/>
      <c r="QKN237" s="10"/>
      <c r="QKO237" s="10"/>
      <c r="QKP237" s="19"/>
      <c r="QKQ237" s="19"/>
      <c r="QKT237" s="16"/>
      <c r="QKU237" s="15"/>
      <c r="QKV237" s="15"/>
      <c r="QKW237" s="15"/>
      <c r="QKX237" s="16"/>
      <c r="QKY237" s="16"/>
      <c r="QKZ237" s="16"/>
      <c r="QLA237" s="16"/>
      <c r="QLB237" s="16"/>
      <c r="QLC237" s="15"/>
      <c r="QLD237" s="15"/>
      <c r="QLE237" s="10"/>
      <c r="QLF237" s="10"/>
      <c r="QLG237" s="19"/>
      <c r="QLH237" s="19"/>
      <c r="QLK237" s="16"/>
      <c r="QLL237" s="15"/>
      <c r="QLM237" s="15"/>
      <c r="QLN237" s="15"/>
      <c r="QLO237" s="16"/>
      <c r="QLP237" s="16"/>
      <c r="QLQ237" s="16"/>
      <c r="QLR237" s="16"/>
      <c r="QLS237" s="16"/>
      <c r="QLT237" s="15"/>
      <c r="QLU237" s="15"/>
      <c r="QLV237" s="10"/>
      <c r="QLW237" s="10"/>
      <c r="QLX237" s="19"/>
      <c r="QLY237" s="19"/>
      <c r="QMB237" s="16"/>
      <c r="QMC237" s="15"/>
      <c r="QMD237" s="15"/>
      <c r="QME237" s="15"/>
      <c r="QMF237" s="16"/>
      <c r="QMG237" s="16"/>
      <c r="QMH237" s="16"/>
      <c r="QMI237" s="16"/>
      <c r="QMJ237" s="16"/>
      <c r="QMK237" s="15"/>
      <c r="QML237" s="15"/>
      <c r="QMM237" s="10"/>
      <c r="QMN237" s="10"/>
      <c r="QMO237" s="19"/>
      <c r="QMP237" s="19"/>
      <c r="QMS237" s="16"/>
      <c r="QMT237" s="15"/>
      <c r="QMU237" s="15"/>
      <c r="QMV237" s="15"/>
      <c r="QMW237" s="16"/>
      <c r="QMX237" s="16"/>
      <c r="QMY237" s="16"/>
      <c r="QMZ237" s="16"/>
      <c r="QNA237" s="16"/>
      <c r="QNB237" s="15"/>
      <c r="QNC237" s="15"/>
      <c r="QND237" s="10"/>
      <c r="QNE237" s="10"/>
      <c r="QNF237" s="19"/>
      <c r="QNG237" s="19"/>
      <c r="QNJ237" s="16"/>
      <c r="QNK237" s="15"/>
      <c r="QNL237" s="15"/>
      <c r="QNM237" s="15"/>
      <c r="QNN237" s="16"/>
      <c r="QNO237" s="16"/>
      <c r="QNP237" s="16"/>
      <c r="QNQ237" s="16"/>
      <c r="QNR237" s="16"/>
      <c r="QNS237" s="15"/>
      <c r="QNT237" s="15"/>
      <c r="QNU237" s="10"/>
      <c r="QNV237" s="10"/>
      <c r="QNW237" s="19"/>
      <c r="QNX237" s="19"/>
      <c r="QOA237" s="16"/>
      <c r="QOB237" s="15"/>
      <c r="QOC237" s="15"/>
      <c r="QOD237" s="15"/>
      <c r="QOE237" s="16"/>
      <c r="QOF237" s="16"/>
      <c r="QOG237" s="16"/>
      <c r="QOH237" s="16"/>
      <c r="QOI237" s="16"/>
      <c r="QOJ237" s="15"/>
      <c r="QOK237" s="15"/>
      <c r="QOL237" s="10"/>
      <c r="QOM237" s="10"/>
      <c r="QON237" s="19"/>
      <c r="QOO237" s="19"/>
      <c r="QOR237" s="16"/>
      <c r="QOS237" s="15"/>
      <c r="QOT237" s="15"/>
      <c r="QOU237" s="15"/>
      <c r="QOV237" s="16"/>
      <c r="QOW237" s="16"/>
      <c r="QOX237" s="16"/>
      <c r="QOY237" s="16"/>
      <c r="QOZ237" s="16"/>
      <c r="QPA237" s="15"/>
      <c r="QPB237" s="15"/>
      <c r="QPC237" s="10"/>
      <c r="QPD237" s="10"/>
      <c r="QPE237" s="19"/>
      <c r="QPF237" s="19"/>
      <c r="QPI237" s="16"/>
      <c r="QPJ237" s="15"/>
      <c r="QPK237" s="15"/>
      <c r="QPL237" s="15"/>
      <c r="QPM237" s="16"/>
      <c r="QPN237" s="16"/>
      <c r="QPO237" s="16"/>
      <c r="QPP237" s="16"/>
      <c r="QPQ237" s="16"/>
      <c r="QPR237" s="15"/>
      <c r="QPS237" s="15"/>
      <c r="QPT237" s="10"/>
      <c r="QPU237" s="10"/>
      <c r="QPV237" s="19"/>
      <c r="QPW237" s="19"/>
      <c r="QPZ237" s="16"/>
      <c r="QQA237" s="15"/>
      <c r="QQB237" s="15"/>
      <c r="QQC237" s="15"/>
      <c r="QQD237" s="16"/>
      <c r="QQE237" s="16"/>
      <c r="QQF237" s="16"/>
      <c r="QQG237" s="16"/>
      <c r="QQH237" s="16"/>
      <c r="QQI237" s="15"/>
      <c r="QQJ237" s="15"/>
      <c r="QQK237" s="10"/>
      <c r="QQL237" s="10"/>
      <c r="QQM237" s="19"/>
      <c r="QQN237" s="19"/>
      <c r="QQQ237" s="16"/>
      <c r="QQR237" s="15"/>
      <c r="QQS237" s="15"/>
      <c r="QQT237" s="15"/>
      <c r="QQU237" s="16"/>
      <c r="QQV237" s="16"/>
      <c r="QQW237" s="16"/>
      <c r="QQX237" s="16"/>
      <c r="QQY237" s="16"/>
      <c r="QQZ237" s="15"/>
      <c r="QRA237" s="15"/>
      <c r="QRB237" s="10"/>
      <c r="QRC237" s="10"/>
      <c r="QRD237" s="19"/>
      <c r="QRE237" s="19"/>
      <c r="QRH237" s="16"/>
      <c r="QRI237" s="15"/>
      <c r="QRJ237" s="15"/>
      <c r="QRK237" s="15"/>
      <c r="QRL237" s="16"/>
      <c r="QRM237" s="16"/>
      <c r="QRN237" s="16"/>
      <c r="QRO237" s="16"/>
      <c r="QRP237" s="16"/>
      <c r="QRQ237" s="15"/>
      <c r="QRR237" s="15"/>
      <c r="QRS237" s="10"/>
      <c r="QRT237" s="10"/>
      <c r="QRU237" s="19"/>
      <c r="QRV237" s="19"/>
      <c r="QRY237" s="16"/>
      <c r="QRZ237" s="15"/>
      <c r="QSA237" s="15"/>
      <c r="QSB237" s="15"/>
      <c r="QSC237" s="16"/>
      <c r="QSD237" s="16"/>
      <c r="QSE237" s="16"/>
      <c r="QSF237" s="16"/>
      <c r="QSG237" s="16"/>
      <c r="QSH237" s="15"/>
      <c r="QSI237" s="15"/>
      <c r="QSJ237" s="10"/>
      <c r="QSK237" s="10"/>
      <c r="QSL237" s="19"/>
      <c r="QSM237" s="19"/>
      <c r="QSP237" s="16"/>
      <c r="QSQ237" s="15"/>
      <c r="QSR237" s="15"/>
      <c r="QSS237" s="15"/>
      <c r="QST237" s="16"/>
      <c r="QSU237" s="16"/>
      <c r="QSV237" s="16"/>
      <c r="QSW237" s="16"/>
      <c r="QSX237" s="16"/>
      <c r="QSY237" s="15"/>
      <c r="QSZ237" s="15"/>
      <c r="QTA237" s="10"/>
      <c r="QTB237" s="10"/>
      <c r="QTC237" s="19"/>
      <c r="QTD237" s="19"/>
      <c r="QTG237" s="16"/>
      <c r="QTH237" s="15"/>
      <c r="QTI237" s="15"/>
      <c r="QTJ237" s="15"/>
      <c r="QTK237" s="16"/>
      <c r="QTL237" s="16"/>
      <c r="QTM237" s="16"/>
      <c r="QTN237" s="16"/>
      <c r="QTO237" s="16"/>
      <c r="QTP237" s="15"/>
      <c r="QTQ237" s="15"/>
      <c r="QTR237" s="10"/>
      <c r="QTS237" s="10"/>
      <c r="QTT237" s="19"/>
      <c r="QTU237" s="19"/>
      <c r="QTX237" s="16"/>
      <c r="QTY237" s="15"/>
      <c r="QTZ237" s="15"/>
      <c r="QUA237" s="15"/>
      <c r="QUB237" s="16"/>
      <c r="QUC237" s="16"/>
      <c r="QUD237" s="16"/>
      <c r="QUE237" s="16"/>
      <c r="QUF237" s="16"/>
      <c r="QUG237" s="15"/>
      <c r="QUH237" s="15"/>
      <c r="QUI237" s="10"/>
      <c r="QUJ237" s="10"/>
      <c r="QUK237" s="19"/>
      <c r="QUL237" s="19"/>
      <c r="QUO237" s="16"/>
      <c r="QUP237" s="15"/>
      <c r="QUQ237" s="15"/>
      <c r="QUR237" s="15"/>
      <c r="QUS237" s="16"/>
      <c r="QUT237" s="16"/>
      <c r="QUU237" s="16"/>
      <c r="QUV237" s="16"/>
      <c r="QUW237" s="16"/>
      <c r="QUX237" s="15"/>
      <c r="QUY237" s="15"/>
      <c r="QUZ237" s="10"/>
      <c r="QVA237" s="10"/>
      <c r="QVB237" s="19"/>
      <c r="QVC237" s="19"/>
      <c r="QVF237" s="16"/>
      <c r="QVG237" s="15"/>
      <c r="QVH237" s="15"/>
      <c r="QVI237" s="15"/>
      <c r="QVJ237" s="16"/>
      <c r="QVK237" s="16"/>
      <c r="QVL237" s="16"/>
      <c r="QVM237" s="16"/>
      <c r="QVN237" s="16"/>
      <c r="QVO237" s="15"/>
      <c r="QVP237" s="15"/>
      <c r="QVQ237" s="10"/>
      <c r="QVR237" s="10"/>
      <c r="QVS237" s="19"/>
      <c r="QVT237" s="19"/>
      <c r="QVW237" s="16"/>
      <c r="QVX237" s="15"/>
      <c r="QVY237" s="15"/>
      <c r="QVZ237" s="15"/>
      <c r="QWA237" s="16"/>
      <c r="QWB237" s="16"/>
      <c r="QWC237" s="16"/>
      <c r="QWD237" s="16"/>
      <c r="QWE237" s="16"/>
      <c r="QWF237" s="15"/>
      <c r="QWG237" s="15"/>
      <c r="QWH237" s="10"/>
      <c r="QWI237" s="10"/>
      <c r="QWJ237" s="19"/>
      <c r="QWK237" s="19"/>
      <c r="QWN237" s="16"/>
      <c r="QWO237" s="15"/>
      <c r="QWP237" s="15"/>
      <c r="QWQ237" s="15"/>
      <c r="QWR237" s="16"/>
      <c r="QWS237" s="16"/>
      <c r="QWT237" s="16"/>
      <c r="QWU237" s="16"/>
      <c r="QWV237" s="16"/>
      <c r="QWW237" s="15"/>
      <c r="QWX237" s="15"/>
      <c r="QWY237" s="10"/>
      <c r="QWZ237" s="10"/>
      <c r="QXA237" s="19"/>
      <c r="QXB237" s="19"/>
      <c r="QXE237" s="16"/>
      <c r="QXF237" s="15"/>
      <c r="QXG237" s="15"/>
      <c r="QXH237" s="15"/>
      <c r="QXI237" s="16"/>
      <c r="QXJ237" s="16"/>
      <c r="QXK237" s="16"/>
      <c r="QXL237" s="16"/>
      <c r="QXM237" s="16"/>
      <c r="QXN237" s="15"/>
      <c r="QXO237" s="15"/>
      <c r="QXP237" s="10"/>
      <c r="QXQ237" s="10"/>
      <c r="QXR237" s="19"/>
      <c r="QXS237" s="19"/>
      <c r="QXV237" s="16"/>
      <c r="QXW237" s="15"/>
      <c r="QXX237" s="15"/>
      <c r="QXY237" s="15"/>
      <c r="QXZ237" s="16"/>
      <c r="QYA237" s="16"/>
      <c r="QYB237" s="16"/>
      <c r="QYC237" s="16"/>
      <c r="QYD237" s="16"/>
      <c r="QYE237" s="15"/>
      <c r="QYF237" s="15"/>
      <c r="QYG237" s="10"/>
      <c r="QYH237" s="10"/>
      <c r="QYI237" s="19"/>
      <c r="QYJ237" s="19"/>
      <c r="QYM237" s="16"/>
      <c r="QYN237" s="15"/>
      <c r="QYO237" s="15"/>
      <c r="QYP237" s="15"/>
      <c r="QYQ237" s="16"/>
      <c r="QYR237" s="16"/>
      <c r="QYS237" s="16"/>
      <c r="QYT237" s="16"/>
      <c r="QYU237" s="16"/>
      <c r="QYV237" s="15"/>
      <c r="QYW237" s="15"/>
      <c r="QYX237" s="10"/>
      <c r="QYY237" s="10"/>
      <c r="QYZ237" s="19"/>
      <c r="QZA237" s="19"/>
      <c r="QZD237" s="16"/>
      <c r="QZE237" s="15"/>
      <c r="QZF237" s="15"/>
      <c r="QZG237" s="15"/>
      <c r="QZH237" s="16"/>
      <c r="QZI237" s="16"/>
      <c r="QZJ237" s="16"/>
      <c r="QZK237" s="16"/>
      <c r="QZL237" s="16"/>
      <c r="QZM237" s="15"/>
      <c r="QZN237" s="15"/>
      <c r="QZO237" s="10"/>
      <c r="QZP237" s="10"/>
      <c r="QZQ237" s="19"/>
      <c r="QZR237" s="19"/>
      <c r="QZU237" s="16"/>
      <c r="QZV237" s="15"/>
      <c r="QZW237" s="15"/>
      <c r="QZX237" s="15"/>
      <c r="QZY237" s="16"/>
      <c r="QZZ237" s="16"/>
      <c r="RAA237" s="16"/>
      <c r="RAB237" s="16"/>
      <c r="RAC237" s="16"/>
      <c r="RAD237" s="15"/>
      <c r="RAE237" s="15"/>
      <c r="RAF237" s="10"/>
      <c r="RAG237" s="10"/>
      <c r="RAH237" s="19"/>
      <c r="RAI237" s="19"/>
      <c r="RAL237" s="16"/>
      <c r="RAM237" s="15"/>
      <c r="RAN237" s="15"/>
      <c r="RAO237" s="15"/>
      <c r="RAP237" s="16"/>
      <c r="RAQ237" s="16"/>
      <c r="RAR237" s="16"/>
      <c r="RAS237" s="16"/>
      <c r="RAT237" s="16"/>
      <c r="RAU237" s="15"/>
      <c r="RAV237" s="15"/>
      <c r="RAW237" s="10"/>
      <c r="RAX237" s="10"/>
      <c r="RAY237" s="19"/>
      <c r="RAZ237" s="19"/>
      <c r="RBC237" s="16"/>
      <c r="RBD237" s="15"/>
      <c r="RBE237" s="15"/>
      <c r="RBF237" s="15"/>
      <c r="RBG237" s="16"/>
      <c r="RBH237" s="16"/>
      <c r="RBI237" s="16"/>
      <c r="RBJ237" s="16"/>
      <c r="RBK237" s="16"/>
      <c r="RBL237" s="15"/>
      <c r="RBM237" s="15"/>
      <c r="RBN237" s="10"/>
      <c r="RBO237" s="10"/>
      <c r="RBP237" s="19"/>
      <c r="RBQ237" s="19"/>
      <c r="RBT237" s="16"/>
      <c r="RBU237" s="15"/>
      <c r="RBV237" s="15"/>
      <c r="RBW237" s="15"/>
      <c r="RBX237" s="16"/>
      <c r="RBY237" s="16"/>
      <c r="RBZ237" s="16"/>
      <c r="RCA237" s="16"/>
      <c r="RCB237" s="16"/>
      <c r="RCC237" s="15"/>
      <c r="RCD237" s="15"/>
      <c r="RCE237" s="10"/>
      <c r="RCF237" s="10"/>
      <c r="RCG237" s="19"/>
      <c r="RCH237" s="19"/>
      <c r="RCK237" s="16"/>
      <c r="RCL237" s="15"/>
      <c r="RCM237" s="15"/>
      <c r="RCN237" s="15"/>
      <c r="RCO237" s="16"/>
      <c r="RCP237" s="16"/>
      <c r="RCQ237" s="16"/>
      <c r="RCR237" s="16"/>
      <c r="RCS237" s="16"/>
      <c r="RCT237" s="15"/>
      <c r="RCU237" s="15"/>
      <c r="RCV237" s="10"/>
      <c r="RCW237" s="10"/>
      <c r="RCX237" s="19"/>
      <c r="RCY237" s="19"/>
      <c r="RDB237" s="16"/>
      <c r="RDC237" s="15"/>
      <c r="RDD237" s="15"/>
      <c r="RDE237" s="15"/>
      <c r="RDF237" s="16"/>
      <c r="RDG237" s="16"/>
      <c r="RDH237" s="16"/>
      <c r="RDI237" s="16"/>
      <c r="RDJ237" s="16"/>
      <c r="RDK237" s="15"/>
      <c r="RDL237" s="15"/>
      <c r="RDM237" s="10"/>
      <c r="RDN237" s="10"/>
      <c r="RDO237" s="19"/>
      <c r="RDP237" s="19"/>
      <c r="RDS237" s="16"/>
      <c r="RDT237" s="15"/>
      <c r="RDU237" s="15"/>
      <c r="RDV237" s="15"/>
      <c r="RDW237" s="16"/>
      <c r="RDX237" s="16"/>
      <c r="RDY237" s="16"/>
      <c r="RDZ237" s="16"/>
      <c r="REA237" s="16"/>
      <c r="REB237" s="15"/>
      <c r="REC237" s="15"/>
      <c r="RED237" s="10"/>
      <c r="REE237" s="10"/>
      <c r="REF237" s="19"/>
      <c r="REG237" s="19"/>
      <c r="REJ237" s="16"/>
      <c r="REK237" s="15"/>
      <c r="REL237" s="15"/>
      <c r="REM237" s="15"/>
      <c r="REN237" s="16"/>
      <c r="REO237" s="16"/>
      <c r="REP237" s="16"/>
      <c r="REQ237" s="16"/>
      <c r="RER237" s="16"/>
      <c r="RES237" s="15"/>
      <c r="RET237" s="15"/>
      <c r="REU237" s="10"/>
      <c r="REV237" s="10"/>
      <c r="REW237" s="19"/>
      <c r="REX237" s="19"/>
      <c r="RFA237" s="16"/>
      <c r="RFB237" s="15"/>
      <c r="RFC237" s="15"/>
      <c r="RFD237" s="15"/>
      <c r="RFE237" s="16"/>
      <c r="RFF237" s="16"/>
      <c r="RFG237" s="16"/>
      <c r="RFH237" s="16"/>
      <c r="RFI237" s="16"/>
      <c r="RFJ237" s="15"/>
      <c r="RFK237" s="15"/>
      <c r="RFL237" s="10"/>
      <c r="RFM237" s="10"/>
      <c r="RFN237" s="19"/>
      <c r="RFO237" s="19"/>
      <c r="RFR237" s="16"/>
      <c r="RFS237" s="15"/>
      <c r="RFT237" s="15"/>
      <c r="RFU237" s="15"/>
      <c r="RFV237" s="16"/>
      <c r="RFW237" s="16"/>
      <c r="RFX237" s="16"/>
      <c r="RFY237" s="16"/>
      <c r="RFZ237" s="16"/>
      <c r="RGA237" s="15"/>
      <c r="RGB237" s="15"/>
      <c r="RGC237" s="10"/>
      <c r="RGD237" s="10"/>
      <c r="RGE237" s="19"/>
      <c r="RGF237" s="19"/>
      <c r="RGI237" s="16"/>
      <c r="RGJ237" s="15"/>
      <c r="RGK237" s="15"/>
      <c r="RGL237" s="15"/>
      <c r="RGM237" s="16"/>
      <c r="RGN237" s="16"/>
      <c r="RGO237" s="16"/>
      <c r="RGP237" s="16"/>
      <c r="RGQ237" s="16"/>
      <c r="RGR237" s="15"/>
      <c r="RGS237" s="15"/>
      <c r="RGT237" s="10"/>
      <c r="RGU237" s="10"/>
      <c r="RGV237" s="19"/>
      <c r="RGW237" s="19"/>
      <c r="RGZ237" s="16"/>
      <c r="RHA237" s="15"/>
      <c r="RHB237" s="15"/>
      <c r="RHC237" s="15"/>
      <c r="RHD237" s="16"/>
      <c r="RHE237" s="16"/>
      <c r="RHF237" s="16"/>
      <c r="RHG237" s="16"/>
      <c r="RHH237" s="16"/>
      <c r="RHI237" s="15"/>
      <c r="RHJ237" s="15"/>
      <c r="RHK237" s="10"/>
      <c r="RHL237" s="10"/>
      <c r="RHM237" s="19"/>
      <c r="RHN237" s="19"/>
      <c r="RHQ237" s="16"/>
      <c r="RHR237" s="15"/>
      <c r="RHS237" s="15"/>
      <c r="RHT237" s="15"/>
      <c r="RHU237" s="16"/>
      <c r="RHV237" s="16"/>
      <c r="RHW237" s="16"/>
      <c r="RHX237" s="16"/>
      <c r="RHY237" s="16"/>
      <c r="RHZ237" s="15"/>
      <c r="RIA237" s="15"/>
      <c r="RIB237" s="10"/>
      <c r="RIC237" s="10"/>
      <c r="RID237" s="19"/>
      <c r="RIE237" s="19"/>
      <c r="RIH237" s="16"/>
      <c r="RII237" s="15"/>
      <c r="RIJ237" s="15"/>
      <c r="RIK237" s="15"/>
      <c r="RIL237" s="16"/>
      <c r="RIM237" s="16"/>
      <c r="RIN237" s="16"/>
      <c r="RIO237" s="16"/>
      <c r="RIP237" s="16"/>
      <c r="RIQ237" s="15"/>
      <c r="RIR237" s="15"/>
      <c r="RIS237" s="10"/>
      <c r="RIT237" s="10"/>
      <c r="RIU237" s="19"/>
      <c r="RIV237" s="19"/>
      <c r="RIY237" s="16"/>
      <c r="RIZ237" s="15"/>
      <c r="RJA237" s="15"/>
      <c r="RJB237" s="15"/>
      <c r="RJC237" s="16"/>
      <c r="RJD237" s="16"/>
      <c r="RJE237" s="16"/>
      <c r="RJF237" s="16"/>
      <c r="RJG237" s="16"/>
      <c r="RJH237" s="15"/>
      <c r="RJI237" s="15"/>
      <c r="RJJ237" s="10"/>
      <c r="RJK237" s="10"/>
      <c r="RJL237" s="19"/>
      <c r="RJM237" s="19"/>
      <c r="RJP237" s="16"/>
      <c r="RJQ237" s="15"/>
      <c r="RJR237" s="15"/>
      <c r="RJS237" s="15"/>
      <c r="RJT237" s="16"/>
      <c r="RJU237" s="16"/>
      <c r="RJV237" s="16"/>
      <c r="RJW237" s="16"/>
      <c r="RJX237" s="16"/>
      <c r="RJY237" s="15"/>
      <c r="RJZ237" s="15"/>
      <c r="RKA237" s="10"/>
      <c r="RKB237" s="10"/>
      <c r="RKC237" s="19"/>
      <c r="RKD237" s="19"/>
      <c r="RKG237" s="16"/>
      <c r="RKH237" s="15"/>
      <c r="RKI237" s="15"/>
      <c r="RKJ237" s="15"/>
      <c r="RKK237" s="16"/>
      <c r="RKL237" s="16"/>
      <c r="RKM237" s="16"/>
      <c r="RKN237" s="16"/>
      <c r="RKO237" s="16"/>
      <c r="RKP237" s="15"/>
      <c r="RKQ237" s="15"/>
      <c r="RKR237" s="10"/>
      <c r="RKS237" s="10"/>
      <c r="RKT237" s="19"/>
      <c r="RKU237" s="19"/>
      <c r="RKX237" s="16"/>
      <c r="RKY237" s="15"/>
      <c r="RKZ237" s="15"/>
      <c r="RLA237" s="15"/>
      <c r="RLB237" s="16"/>
      <c r="RLC237" s="16"/>
      <c r="RLD237" s="16"/>
      <c r="RLE237" s="16"/>
      <c r="RLF237" s="16"/>
      <c r="RLG237" s="15"/>
      <c r="RLH237" s="15"/>
      <c r="RLI237" s="10"/>
      <c r="RLJ237" s="10"/>
      <c r="RLK237" s="19"/>
      <c r="RLL237" s="19"/>
      <c r="RLO237" s="16"/>
      <c r="RLP237" s="15"/>
      <c r="RLQ237" s="15"/>
      <c r="RLR237" s="15"/>
      <c r="RLS237" s="16"/>
      <c r="RLT237" s="16"/>
      <c r="RLU237" s="16"/>
      <c r="RLV237" s="16"/>
      <c r="RLW237" s="16"/>
      <c r="RLX237" s="15"/>
      <c r="RLY237" s="15"/>
      <c r="RLZ237" s="10"/>
      <c r="RMA237" s="10"/>
      <c r="RMB237" s="19"/>
      <c r="RMC237" s="19"/>
      <c r="RMF237" s="16"/>
      <c r="RMG237" s="15"/>
      <c r="RMH237" s="15"/>
      <c r="RMI237" s="15"/>
      <c r="RMJ237" s="16"/>
      <c r="RMK237" s="16"/>
      <c r="RML237" s="16"/>
      <c r="RMM237" s="16"/>
      <c r="RMN237" s="16"/>
      <c r="RMO237" s="15"/>
      <c r="RMP237" s="15"/>
      <c r="RMQ237" s="10"/>
      <c r="RMR237" s="10"/>
      <c r="RMS237" s="19"/>
      <c r="RMT237" s="19"/>
      <c r="RMW237" s="16"/>
      <c r="RMX237" s="15"/>
      <c r="RMY237" s="15"/>
      <c r="RMZ237" s="15"/>
      <c r="RNA237" s="16"/>
      <c r="RNB237" s="16"/>
      <c r="RNC237" s="16"/>
      <c r="RND237" s="16"/>
      <c r="RNE237" s="16"/>
      <c r="RNF237" s="15"/>
      <c r="RNG237" s="15"/>
      <c r="RNH237" s="10"/>
      <c r="RNI237" s="10"/>
      <c r="RNJ237" s="19"/>
      <c r="RNK237" s="19"/>
      <c r="RNN237" s="16"/>
      <c r="RNO237" s="15"/>
      <c r="RNP237" s="15"/>
      <c r="RNQ237" s="15"/>
      <c r="RNR237" s="16"/>
      <c r="RNS237" s="16"/>
      <c r="RNT237" s="16"/>
      <c r="RNU237" s="16"/>
      <c r="RNV237" s="16"/>
      <c r="RNW237" s="15"/>
      <c r="RNX237" s="15"/>
      <c r="RNY237" s="10"/>
      <c r="RNZ237" s="10"/>
      <c r="ROA237" s="19"/>
      <c r="ROB237" s="19"/>
      <c r="ROE237" s="16"/>
      <c r="ROF237" s="15"/>
      <c r="ROG237" s="15"/>
      <c r="ROH237" s="15"/>
      <c r="ROI237" s="16"/>
      <c r="ROJ237" s="16"/>
      <c r="ROK237" s="16"/>
      <c r="ROL237" s="16"/>
      <c r="ROM237" s="16"/>
      <c r="RON237" s="15"/>
      <c r="ROO237" s="15"/>
      <c r="ROP237" s="10"/>
      <c r="ROQ237" s="10"/>
      <c r="ROR237" s="19"/>
      <c r="ROS237" s="19"/>
      <c r="ROV237" s="16"/>
      <c r="ROW237" s="15"/>
      <c r="ROX237" s="15"/>
      <c r="ROY237" s="15"/>
      <c r="ROZ237" s="16"/>
      <c r="RPA237" s="16"/>
      <c r="RPB237" s="16"/>
      <c r="RPC237" s="16"/>
      <c r="RPD237" s="16"/>
      <c r="RPE237" s="15"/>
      <c r="RPF237" s="15"/>
      <c r="RPG237" s="10"/>
      <c r="RPH237" s="10"/>
      <c r="RPI237" s="19"/>
      <c r="RPJ237" s="19"/>
      <c r="RPM237" s="16"/>
      <c r="RPN237" s="15"/>
      <c r="RPO237" s="15"/>
      <c r="RPP237" s="15"/>
      <c r="RPQ237" s="16"/>
      <c r="RPR237" s="16"/>
      <c r="RPS237" s="16"/>
      <c r="RPT237" s="16"/>
      <c r="RPU237" s="16"/>
      <c r="RPV237" s="15"/>
      <c r="RPW237" s="15"/>
      <c r="RPX237" s="10"/>
      <c r="RPY237" s="10"/>
      <c r="RPZ237" s="19"/>
      <c r="RQA237" s="19"/>
      <c r="RQD237" s="16"/>
      <c r="RQE237" s="15"/>
      <c r="RQF237" s="15"/>
      <c r="RQG237" s="15"/>
      <c r="RQH237" s="16"/>
      <c r="RQI237" s="16"/>
      <c r="RQJ237" s="16"/>
      <c r="RQK237" s="16"/>
      <c r="RQL237" s="16"/>
      <c r="RQM237" s="15"/>
      <c r="RQN237" s="15"/>
      <c r="RQO237" s="10"/>
      <c r="RQP237" s="10"/>
      <c r="RQQ237" s="19"/>
      <c r="RQR237" s="19"/>
      <c r="RQU237" s="16"/>
      <c r="RQV237" s="15"/>
      <c r="RQW237" s="15"/>
      <c r="RQX237" s="15"/>
      <c r="RQY237" s="16"/>
      <c r="RQZ237" s="16"/>
      <c r="RRA237" s="16"/>
      <c r="RRB237" s="16"/>
      <c r="RRC237" s="16"/>
      <c r="RRD237" s="15"/>
      <c r="RRE237" s="15"/>
      <c r="RRF237" s="10"/>
      <c r="RRG237" s="10"/>
      <c r="RRH237" s="19"/>
      <c r="RRI237" s="19"/>
      <c r="RRL237" s="16"/>
      <c r="RRM237" s="15"/>
      <c r="RRN237" s="15"/>
      <c r="RRO237" s="15"/>
      <c r="RRP237" s="16"/>
      <c r="RRQ237" s="16"/>
      <c r="RRR237" s="16"/>
      <c r="RRS237" s="16"/>
      <c r="RRT237" s="16"/>
      <c r="RRU237" s="15"/>
      <c r="RRV237" s="15"/>
      <c r="RRW237" s="10"/>
      <c r="RRX237" s="10"/>
      <c r="RRY237" s="19"/>
      <c r="RRZ237" s="19"/>
      <c r="RSC237" s="16"/>
      <c r="RSD237" s="15"/>
      <c r="RSE237" s="15"/>
      <c r="RSF237" s="15"/>
      <c r="RSG237" s="16"/>
      <c r="RSH237" s="16"/>
      <c r="RSI237" s="16"/>
      <c r="RSJ237" s="16"/>
      <c r="RSK237" s="16"/>
      <c r="RSL237" s="15"/>
      <c r="RSM237" s="15"/>
      <c r="RSN237" s="10"/>
      <c r="RSO237" s="10"/>
      <c r="RSP237" s="19"/>
      <c r="RSQ237" s="19"/>
      <c r="RST237" s="16"/>
      <c r="RSU237" s="15"/>
      <c r="RSV237" s="15"/>
      <c r="RSW237" s="15"/>
      <c r="RSX237" s="16"/>
      <c r="RSY237" s="16"/>
      <c r="RSZ237" s="16"/>
      <c r="RTA237" s="16"/>
      <c r="RTB237" s="16"/>
      <c r="RTC237" s="15"/>
      <c r="RTD237" s="15"/>
      <c r="RTE237" s="10"/>
      <c r="RTF237" s="10"/>
      <c r="RTG237" s="19"/>
      <c r="RTH237" s="19"/>
      <c r="RTK237" s="16"/>
      <c r="RTL237" s="15"/>
      <c r="RTM237" s="15"/>
      <c r="RTN237" s="15"/>
      <c r="RTO237" s="16"/>
      <c r="RTP237" s="16"/>
      <c r="RTQ237" s="16"/>
      <c r="RTR237" s="16"/>
      <c r="RTS237" s="16"/>
      <c r="RTT237" s="15"/>
      <c r="RTU237" s="15"/>
      <c r="RTV237" s="10"/>
      <c r="RTW237" s="10"/>
      <c r="RTX237" s="19"/>
      <c r="RTY237" s="19"/>
      <c r="RUB237" s="16"/>
      <c r="RUC237" s="15"/>
      <c r="RUD237" s="15"/>
      <c r="RUE237" s="15"/>
      <c r="RUF237" s="16"/>
      <c r="RUG237" s="16"/>
      <c r="RUH237" s="16"/>
      <c r="RUI237" s="16"/>
      <c r="RUJ237" s="16"/>
      <c r="RUK237" s="15"/>
      <c r="RUL237" s="15"/>
      <c r="RUM237" s="10"/>
      <c r="RUN237" s="10"/>
      <c r="RUO237" s="19"/>
      <c r="RUP237" s="19"/>
      <c r="RUS237" s="16"/>
      <c r="RUT237" s="15"/>
      <c r="RUU237" s="15"/>
      <c r="RUV237" s="15"/>
      <c r="RUW237" s="16"/>
      <c r="RUX237" s="16"/>
      <c r="RUY237" s="16"/>
      <c r="RUZ237" s="16"/>
      <c r="RVA237" s="16"/>
      <c r="RVB237" s="15"/>
      <c r="RVC237" s="15"/>
      <c r="RVD237" s="10"/>
      <c r="RVE237" s="10"/>
      <c r="RVF237" s="19"/>
      <c r="RVG237" s="19"/>
      <c r="RVJ237" s="16"/>
      <c r="RVK237" s="15"/>
      <c r="RVL237" s="15"/>
      <c r="RVM237" s="15"/>
      <c r="RVN237" s="16"/>
      <c r="RVO237" s="16"/>
      <c r="RVP237" s="16"/>
      <c r="RVQ237" s="16"/>
      <c r="RVR237" s="16"/>
      <c r="RVS237" s="15"/>
      <c r="RVT237" s="15"/>
      <c r="RVU237" s="10"/>
      <c r="RVV237" s="10"/>
      <c r="RVW237" s="19"/>
      <c r="RVX237" s="19"/>
      <c r="RWA237" s="16"/>
      <c r="RWB237" s="15"/>
      <c r="RWC237" s="15"/>
      <c r="RWD237" s="15"/>
      <c r="RWE237" s="16"/>
      <c r="RWF237" s="16"/>
      <c r="RWG237" s="16"/>
      <c r="RWH237" s="16"/>
      <c r="RWI237" s="16"/>
      <c r="RWJ237" s="15"/>
      <c r="RWK237" s="15"/>
      <c r="RWL237" s="10"/>
      <c r="RWM237" s="10"/>
      <c r="RWN237" s="19"/>
      <c r="RWO237" s="19"/>
      <c r="RWR237" s="16"/>
      <c r="RWS237" s="15"/>
      <c r="RWT237" s="15"/>
      <c r="RWU237" s="15"/>
      <c r="RWV237" s="16"/>
      <c r="RWW237" s="16"/>
      <c r="RWX237" s="16"/>
      <c r="RWY237" s="16"/>
      <c r="RWZ237" s="16"/>
      <c r="RXA237" s="15"/>
      <c r="RXB237" s="15"/>
      <c r="RXC237" s="10"/>
      <c r="RXD237" s="10"/>
      <c r="RXE237" s="19"/>
      <c r="RXF237" s="19"/>
      <c r="RXI237" s="16"/>
      <c r="RXJ237" s="15"/>
      <c r="RXK237" s="15"/>
      <c r="RXL237" s="15"/>
      <c r="RXM237" s="16"/>
      <c r="RXN237" s="16"/>
      <c r="RXO237" s="16"/>
      <c r="RXP237" s="16"/>
      <c r="RXQ237" s="16"/>
      <c r="RXR237" s="15"/>
      <c r="RXS237" s="15"/>
      <c r="RXT237" s="10"/>
      <c r="RXU237" s="10"/>
      <c r="RXV237" s="19"/>
      <c r="RXW237" s="19"/>
      <c r="RXZ237" s="16"/>
      <c r="RYA237" s="15"/>
      <c r="RYB237" s="15"/>
      <c r="RYC237" s="15"/>
      <c r="RYD237" s="16"/>
      <c r="RYE237" s="16"/>
      <c r="RYF237" s="16"/>
      <c r="RYG237" s="16"/>
      <c r="RYH237" s="16"/>
      <c r="RYI237" s="15"/>
      <c r="RYJ237" s="15"/>
      <c r="RYK237" s="10"/>
      <c r="RYL237" s="10"/>
      <c r="RYM237" s="19"/>
      <c r="RYN237" s="19"/>
      <c r="RYQ237" s="16"/>
      <c r="RYR237" s="15"/>
      <c r="RYS237" s="15"/>
      <c r="RYT237" s="15"/>
      <c r="RYU237" s="16"/>
      <c r="RYV237" s="16"/>
      <c r="RYW237" s="16"/>
      <c r="RYX237" s="16"/>
      <c r="RYY237" s="16"/>
      <c r="RYZ237" s="15"/>
      <c r="RZA237" s="15"/>
      <c r="RZB237" s="10"/>
      <c r="RZC237" s="10"/>
      <c r="RZD237" s="19"/>
      <c r="RZE237" s="19"/>
      <c r="RZH237" s="16"/>
      <c r="RZI237" s="15"/>
      <c r="RZJ237" s="15"/>
      <c r="RZK237" s="15"/>
      <c r="RZL237" s="16"/>
      <c r="RZM237" s="16"/>
      <c r="RZN237" s="16"/>
      <c r="RZO237" s="16"/>
      <c r="RZP237" s="16"/>
      <c r="RZQ237" s="15"/>
      <c r="RZR237" s="15"/>
      <c r="RZS237" s="10"/>
      <c r="RZT237" s="10"/>
      <c r="RZU237" s="19"/>
      <c r="RZV237" s="19"/>
      <c r="RZY237" s="16"/>
      <c r="RZZ237" s="15"/>
      <c r="SAA237" s="15"/>
      <c r="SAB237" s="15"/>
      <c r="SAC237" s="16"/>
      <c r="SAD237" s="16"/>
      <c r="SAE237" s="16"/>
      <c r="SAF237" s="16"/>
      <c r="SAG237" s="16"/>
      <c r="SAH237" s="15"/>
      <c r="SAI237" s="15"/>
      <c r="SAJ237" s="10"/>
      <c r="SAK237" s="10"/>
      <c r="SAL237" s="19"/>
      <c r="SAM237" s="19"/>
      <c r="SAP237" s="16"/>
      <c r="SAQ237" s="15"/>
      <c r="SAR237" s="15"/>
      <c r="SAS237" s="15"/>
      <c r="SAT237" s="16"/>
      <c r="SAU237" s="16"/>
      <c r="SAV237" s="16"/>
      <c r="SAW237" s="16"/>
      <c r="SAX237" s="16"/>
      <c r="SAY237" s="15"/>
      <c r="SAZ237" s="15"/>
      <c r="SBA237" s="10"/>
      <c r="SBB237" s="10"/>
      <c r="SBC237" s="19"/>
      <c r="SBD237" s="19"/>
      <c r="SBG237" s="16"/>
      <c r="SBH237" s="15"/>
      <c r="SBI237" s="15"/>
      <c r="SBJ237" s="15"/>
      <c r="SBK237" s="16"/>
      <c r="SBL237" s="16"/>
      <c r="SBM237" s="16"/>
      <c r="SBN237" s="16"/>
      <c r="SBO237" s="16"/>
      <c r="SBP237" s="15"/>
      <c r="SBQ237" s="15"/>
      <c r="SBR237" s="10"/>
      <c r="SBS237" s="10"/>
      <c r="SBT237" s="19"/>
      <c r="SBU237" s="19"/>
      <c r="SBX237" s="16"/>
      <c r="SBY237" s="15"/>
      <c r="SBZ237" s="15"/>
      <c r="SCA237" s="15"/>
      <c r="SCB237" s="16"/>
      <c r="SCC237" s="16"/>
      <c r="SCD237" s="16"/>
      <c r="SCE237" s="16"/>
      <c r="SCF237" s="16"/>
      <c r="SCG237" s="15"/>
      <c r="SCH237" s="15"/>
      <c r="SCI237" s="10"/>
      <c r="SCJ237" s="10"/>
      <c r="SCK237" s="19"/>
      <c r="SCL237" s="19"/>
      <c r="SCO237" s="16"/>
      <c r="SCP237" s="15"/>
      <c r="SCQ237" s="15"/>
      <c r="SCR237" s="15"/>
      <c r="SCS237" s="16"/>
      <c r="SCT237" s="16"/>
      <c r="SCU237" s="16"/>
      <c r="SCV237" s="16"/>
      <c r="SCW237" s="16"/>
      <c r="SCX237" s="15"/>
      <c r="SCY237" s="15"/>
      <c r="SCZ237" s="10"/>
      <c r="SDA237" s="10"/>
      <c r="SDB237" s="19"/>
      <c r="SDC237" s="19"/>
      <c r="SDF237" s="16"/>
      <c r="SDG237" s="15"/>
      <c r="SDH237" s="15"/>
      <c r="SDI237" s="15"/>
      <c r="SDJ237" s="16"/>
      <c r="SDK237" s="16"/>
      <c r="SDL237" s="16"/>
      <c r="SDM237" s="16"/>
      <c r="SDN237" s="16"/>
      <c r="SDO237" s="15"/>
      <c r="SDP237" s="15"/>
      <c r="SDQ237" s="10"/>
      <c r="SDR237" s="10"/>
      <c r="SDS237" s="19"/>
      <c r="SDT237" s="19"/>
      <c r="SDW237" s="16"/>
      <c r="SDX237" s="15"/>
      <c r="SDY237" s="15"/>
      <c r="SDZ237" s="15"/>
      <c r="SEA237" s="16"/>
      <c r="SEB237" s="16"/>
      <c r="SEC237" s="16"/>
      <c r="SED237" s="16"/>
      <c r="SEE237" s="16"/>
      <c r="SEF237" s="15"/>
      <c r="SEG237" s="15"/>
      <c r="SEH237" s="10"/>
      <c r="SEI237" s="10"/>
      <c r="SEJ237" s="19"/>
      <c r="SEK237" s="19"/>
      <c r="SEN237" s="16"/>
      <c r="SEO237" s="15"/>
      <c r="SEP237" s="15"/>
      <c r="SEQ237" s="15"/>
      <c r="SER237" s="16"/>
      <c r="SES237" s="16"/>
      <c r="SET237" s="16"/>
      <c r="SEU237" s="16"/>
      <c r="SEV237" s="16"/>
      <c r="SEW237" s="15"/>
      <c r="SEX237" s="15"/>
      <c r="SEY237" s="10"/>
      <c r="SEZ237" s="10"/>
      <c r="SFA237" s="19"/>
      <c r="SFB237" s="19"/>
      <c r="SFE237" s="16"/>
      <c r="SFF237" s="15"/>
      <c r="SFG237" s="15"/>
      <c r="SFH237" s="15"/>
      <c r="SFI237" s="16"/>
      <c r="SFJ237" s="16"/>
      <c r="SFK237" s="16"/>
      <c r="SFL237" s="16"/>
      <c r="SFM237" s="16"/>
      <c r="SFN237" s="15"/>
      <c r="SFO237" s="15"/>
      <c r="SFP237" s="10"/>
      <c r="SFQ237" s="10"/>
      <c r="SFR237" s="19"/>
      <c r="SFS237" s="19"/>
      <c r="SFV237" s="16"/>
      <c r="SFW237" s="15"/>
      <c r="SFX237" s="15"/>
      <c r="SFY237" s="15"/>
      <c r="SFZ237" s="16"/>
      <c r="SGA237" s="16"/>
      <c r="SGB237" s="16"/>
      <c r="SGC237" s="16"/>
      <c r="SGD237" s="16"/>
      <c r="SGE237" s="15"/>
      <c r="SGF237" s="15"/>
      <c r="SGG237" s="10"/>
      <c r="SGH237" s="10"/>
      <c r="SGI237" s="19"/>
      <c r="SGJ237" s="19"/>
      <c r="SGM237" s="16"/>
      <c r="SGN237" s="15"/>
      <c r="SGO237" s="15"/>
      <c r="SGP237" s="15"/>
      <c r="SGQ237" s="16"/>
      <c r="SGR237" s="16"/>
      <c r="SGS237" s="16"/>
      <c r="SGT237" s="16"/>
      <c r="SGU237" s="16"/>
      <c r="SGV237" s="15"/>
      <c r="SGW237" s="15"/>
      <c r="SGX237" s="10"/>
      <c r="SGY237" s="10"/>
      <c r="SGZ237" s="19"/>
      <c r="SHA237" s="19"/>
      <c r="SHD237" s="16"/>
      <c r="SHE237" s="15"/>
      <c r="SHF237" s="15"/>
      <c r="SHG237" s="15"/>
      <c r="SHH237" s="16"/>
      <c r="SHI237" s="16"/>
      <c r="SHJ237" s="16"/>
      <c r="SHK237" s="16"/>
      <c r="SHL237" s="16"/>
      <c r="SHM237" s="15"/>
      <c r="SHN237" s="15"/>
      <c r="SHO237" s="10"/>
      <c r="SHP237" s="10"/>
      <c r="SHQ237" s="19"/>
      <c r="SHR237" s="19"/>
      <c r="SHU237" s="16"/>
      <c r="SHV237" s="15"/>
      <c r="SHW237" s="15"/>
      <c r="SHX237" s="15"/>
      <c r="SHY237" s="16"/>
      <c r="SHZ237" s="16"/>
      <c r="SIA237" s="16"/>
      <c r="SIB237" s="16"/>
      <c r="SIC237" s="16"/>
      <c r="SID237" s="15"/>
      <c r="SIE237" s="15"/>
      <c r="SIF237" s="10"/>
      <c r="SIG237" s="10"/>
      <c r="SIH237" s="19"/>
      <c r="SII237" s="19"/>
      <c r="SIL237" s="16"/>
      <c r="SIM237" s="15"/>
      <c r="SIN237" s="15"/>
      <c r="SIO237" s="15"/>
      <c r="SIP237" s="16"/>
      <c r="SIQ237" s="16"/>
      <c r="SIR237" s="16"/>
      <c r="SIS237" s="16"/>
      <c r="SIT237" s="16"/>
      <c r="SIU237" s="15"/>
      <c r="SIV237" s="15"/>
      <c r="SIW237" s="10"/>
      <c r="SIX237" s="10"/>
      <c r="SIY237" s="19"/>
      <c r="SIZ237" s="19"/>
      <c r="SJC237" s="16"/>
      <c r="SJD237" s="15"/>
      <c r="SJE237" s="15"/>
      <c r="SJF237" s="15"/>
      <c r="SJG237" s="16"/>
      <c r="SJH237" s="16"/>
      <c r="SJI237" s="16"/>
      <c r="SJJ237" s="16"/>
      <c r="SJK237" s="16"/>
      <c r="SJL237" s="15"/>
      <c r="SJM237" s="15"/>
      <c r="SJN237" s="10"/>
      <c r="SJO237" s="10"/>
      <c r="SJP237" s="19"/>
      <c r="SJQ237" s="19"/>
      <c r="SJT237" s="16"/>
      <c r="SJU237" s="15"/>
      <c r="SJV237" s="15"/>
      <c r="SJW237" s="15"/>
      <c r="SJX237" s="16"/>
      <c r="SJY237" s="16"/>
      <c r="SJZ237" s="16"/>
      <c r="SKA237" s="16"/>
      <c r="SKB237" s="16"/>
      <c r="SKC237" s="15"/>
      <c r="SKD237" s="15"/>
      <c r="SKE237" s="10"/>
      <c r="SKF237" s="10"/>
      <c r="SKG237" s="19"/>
      <c r="SKH237" s="19"/>
      <c r="SKK237" s="16"/>
      <c r="SKL237" s="15"/>
      <c r="SKM237" s="15"/>
      <c r="SKN237" s="15"/>
      <c r="SKO237" s="16"/>
      <c r="SKP237" s="16"/>
      <c r="SKQ237" s="16"/>
      <c r="SKR237" s="16"/>
      <c r="SKS237" s="16"/>
      <c r="SKT237" s="15"/>
      <c r="SKU237" s="15"/>
      <c r="SKV237" s="10"/>
      <c r="SKW237" s="10"/>
      <c r="SKX237" s="19"/>
      <c r="SKY237" s="19"/>
      <c r="SLB237" s="16"/>
      <c r="SLC237" s="15"/>
      <c r="SLD237" s="15"/>
      <c r="SLE237" s="15"/>
      <c r="SLF237" s="16"/>
      <c r="SLG237" s="16"/>
      <c r="SLH237" s="16"/>
      <c r="SLI237" s="16"/>
      <c r="SLJ237" s="16"/>
      <c r="SLK237" s="15"/>
      <c r="SLL237" s="15"/>
      <c r="SLM237" s="10"/>
      <c r="SLN237" s="10"/>
      <c r="SLO237" s="19"/>
      <c r="SLP237" s="19"/>
      <c r="SLS237" s="16"/>
      <c r="SLT237" s="15"/>
      <c r="SLU237" s="15"/>
      <c r="SLV237" s="15"/>
      <c r="SLW237" s="16"/>
      <c r="SLX237" s="16"/>
      <c r="SLY237" s="16"/>
      <c r="SLZ237" s="16"/>
      <c r="SMA237" s="16"/>
      <c r="SMB237" s="15"/>
      <c r="SMC237" s="15"/>
      <c r="SMD237" s="10"/>
      <c r="SME237" s="10"/>
      <c r="SMF237" s="19"/>
      <c r="SMG237" s="19"/>
      <c r="SMJ237" s="16"/>
      <c r="SMK237" s="15"/>
      <c r="SML237" s="15"/>
      <c r="SMM237" s="15"/>
      <c r="SMN237" s="16"/>
      <c r="SMO237" s="16"/>
      <c r="SMP237" s="16"/>
      <c r="SMQ237" s="16"/>
      <c r="SMR237" s="16"/>
      <c r="SMS237" s="15"/>
      <c r="SMT237" s="15"/>
      <c r="SMU237" s="10"/>
      <c r="SMV237" s="10"/>
      <c r="SMW237" s="19"/>
      <c r="SMX237" s="19"/>
      <c r="SNA237" s="16"/>
      <c r="SNB237" s="15"/>
      <c r="SNC237" s="15"/>
      <c r="SND237" s="15"/>
      <c r="SNE237" s="16"/>
      <c r="SNF237" s="16"/>
      <c r="SNG237" s="16"/>
      <c r="SNH237" s="16"/>
      <c r="SNI237" s="16"/>
      <c r="SNJ237" s="15"/>
      <c r="SNK237" s="15"/>
      <c r="SNL237" s="10"/>
      <c r="SNM237" s="10"/>
      <c r="SNN237" s="19"/>
      <c r="SNO237" s="19"/>
      <c r="SNR237" s="16"/>
      <c r="SNS237" s="15"/>
      <c r="SNT237" s="15"/>
      <c r="SNU237" s="15"/>
      <c r="SNV237" s="16"/>
      <c r="SNW237" s="16"/>
      <c r="SNX237" s="16"/>
      <c r="SNY237" s="16"/>
      <c r="SNZ237" s="16"/>
      <c r="SOA237" s="15"/>
      <c r="SOB237" s="15"/>
      <c r="SOC237" s="10"/>
      <c r="SOD237" s="10"/>
      <c r="SOE237" s="19"/>
      <c r="SOF237" s="19"/>
      <c r="SOI237" s="16"/>
      <c r="SOJ237" s="15"/>
      <c r="SOK237" s="15"/>
      <c r="SOL237" s="15"/>
      <c r="SOM237" s="16"/>
      <c r="SON237" s="16"/>
      <c r="SOO237" s="16"/>
      <c r="SOP237" s="16"/>
      <c r="SOQ237" s="16"/>
      <c r="SOR237" s="15"/>
      <c r="SOS237" s="15"/>
      <c r="SOT237" s="10"/>
      <c r="SOU237" s="10"/>
      <c r="SOV237" s="19"/>
      <c r="SOW237" s="19"/>
      <c r="SOZ237" s="16"/>
      <c r="SPA237" s="15"/>
      <c r="SPB237" s="15"/>
      <c r="SPC237" s="15"/>
      <c r="SPD237" s="16"/>
      <c r="SPE237" s="16"/>
      <c r="SPF237" s="16"/>
      <c r="SPG237" s="16"/>
      <c r="SPH237" s="16"/>
      <c r="SPI237" s="15"/>
      <c r="SPJ237" s="15"/>
      <c r="SPK237" s="10"/>
      <c r="SPL237" s="10"/>
      <c r="SPM237" s="19"/>
      <c r="SPN237" s="19"/>
      <c r="SPQ237" s="16"/>
      <c r="SPR237" s="15"/>
      <c r="SPS237" s="15"/>
      <c r="SPT237" s="15"/>
      <c r="SPU237" s="16"/>
      <c r="SPV237" s="16"/>
      <c r="SPW237" s="16"/>
      <c r="SPX237" s="16"/>
      <c r="SPY237" s="16"/>
      <c r="SPZ237" s="15"/>
      <c r="SQA237" s="15"/>
      <c r="SQB237" s="10"/>
      <c r="SQC237" s="10"/>
      <c r="SQD237" s="19"/>
      <c r="SQE237" s="19"/>
      <c r="SQH237" s="16"/>
      <c r="SQI237" s="15"/>
      <c r="SQJ237" s="15"/>
      <c r="SQK237" s="15"/>
      <c r="SQL237" s="16"/>
      <c r="SQM237" s="16"/>
      <c r="SQN237" s="16"/>
      <c r="SQO237" s="16"/>
      <c r="SQP237" s="16"/>
      <c r="SQQ237" s="15"/>
      <c r="SQR237" s="15"/>
      <c r="SQS237" s="10"/>
      <c r="SQT237" s="10"/>
      <c r="SQU237" s="19"/>
      <c r="SQV237" s="19"/>
      <c r="SQY237" s="16"/>
      <c r="SQZ237" s="15"/>
      <c r="SRA237" s="15"/>
      <c r="SRB237" s="15"/>
      <c r="SRC237" s="16"/>
      <c r="SRD237" s="16"/>
      <c r="SRE237" s="16"/>
      <c r="SRF237" s="16"/>
      <c r="SRG237" s="16"/>
      <c r="SRH237" s="15"/>
      <c r="SRI237" s="15"/>
      <c r="SRJ237" s="10"/>
      <c r="SRK237" s="10"/>
      <c r="SRL237" s="19"/>
      <c r="SRM237" s="19"/>
      <c r="SRP237" s="16"/>
      <c r="SRQ237" s="15"/>
      <c r="SRR237" s="15"/>
      <c r="SRS237" s="15"/>
      <c r="SRT237" s="16"/>
      <c r="SRU237" s="16"/>
      <c r="SRV237" s="16"/>
      <c r="SRW237" s="16"/>
      <c r="SRX237" s="16"/>
      <c r="SRY237" s="15"/>
      <c r="SRZ237" s="15"/>
      <c r="SSA237" s="10"/>
      <c r="SSB237" s="10"/>
      <c r="SSC237" s="19"/>
      <c r="SSD237" s="19"/>
      <c r="SSG237" s="16"/>
      <c r="SSH237" s="15"/>
      <c r="SSI237" s="15"/>
      <c r="SSJ237" s="15"/>
      <c r="SSK237" s="16"/>
      <c r="SSL237" s="16"/>
      <c r="SSM237" s="16"/>
      <c r="SSN237" s="16"/>
      <c r="SSO237" s="16"/>
      <c r="SSP237" s="15"/>
      <c r="SSQ237" s="15"/>
      <c r="SSR237" s="10"/>
      <c r="SSS237" s="10"/>
      <c r="SST237" s="19"/>
      <c r="SSU237" s="19"/>
      <c r="SSX237" s="16"/>
      <c r="SSY237" s="15"/>
      <c r="SSZ237" s="15"/>
      <c r="STA237" s="15"/>
      <c r="STB237" s="16"/>
      <c r="STC237" s="16"/>
      <c r="STD237" s="16"/>
      <c r="STE237" s="16"/>
      <c r="STF237" s="16"/>
      <c r="STG237" s="15"/>
      <c r="STH237" s="15"/>
      <c r="STI237" s="10"/>
      <c r="STJ237" s="10"/>
      <c r="STK237" s="19"/>
      <c r="STL237" s="19"/>
      <c r="STO237" s="16"/>
      <c r="STP237" s="15"/>
      <c r="STQ237" s="15"/>
      <c r="STR237" s="15"/>
      <c r="STS237" s="16"/>
      <c r="STT237" s="16"/>
      <c r="STU237" s="16"/>
      <c r="STV237" s="16"/>
      <c r="STW237" s="16"/>
      <c r="STX237" s="15"/>
      <c r="STY237" s="15"/>
      <c r="STZ237" s="10"/>
      <c r="SUA237" s="10"/>
      <c r="SUB237" s="19"/>
      <c r="SUC237" s="19"/>
      <c r="SUF237" s="16"/>
      <c r="SUG237" s="15"/>
      <c r="SUH237" s="15"/>
      <c r="SUI237" s="15"/>
      <c r="SUJ237" s="16"/>
      <c r="SUK237" s="16"/>
      <c r="SUL237" s="16"/>
      <c r="SUM237" s="16"/>
      <c r="SUN237" s="16"/>
      <c r="SUO237" s="15"/>
      <c r="SUP237" s="15"/>
      <c r="SUQ237" s="10"/>
      <c r="SUR237" s="10"/>
      <c r="SUS237" s="19"/>
      <c r="SUT237" s="19"/>
      <c r="SUW237" s="16"/>
      <c r="SUX237" s="15"/>
      <c r="SUY237" s="15"/>
      <c r="SUZ237" s="15"/>
      <c r="SVA237" s="16"/>
      <c r="SVB237" s="16"/>
      <c r="SVC237" s="16"/>
      <c r="SVD237" s="16"/>
      <c r="SVE237" s="16"/>
      <c r="SVF237" s="15"/>
      <c r="SVG237" s="15"/>
      <c r="SVH237" s="10"/>
      <c r="SVI237" s="10"/>
      <c r="SVJ237" s="19"/>
      <c r="SVK237" s="19"/>
      <c r="SVN237" s="16"/>
      <c r="SVO237" s="15"/>
      <c r="SVP237" s="15"/>
      <c r="SVQ237" s="15"/>
      <c r="SVR237" s="16"/>
      <c r="SVS237" s="16"/>
      <c r="SVT237" s="16"/>
      <c r="SVU237" s="16"/>
      <c r="SVV237" s="16"/>
      <c r="SVW237" s="15"/>
      <c r="SVX237" s="15"/>
      <c r="SVY237" s="10"/>
      <c r="SVZ237" s="10"/>
      <c r="SWA237" s="19"/>
      <c r="SWB237" s="19"/>
      <c r="SWE237" s="16"/>
      <c r="SWF237" s="15"/>
      <c r="SWG237" s="15"/>
      <c r="SWH237" s="15"/>
      <c r="SWI237" s="16"/>
      <c r="SWJ237" s="16"/>
      <c r="SWK237" s="16"/>
      <c r="SWL237" s="16"/>
      <c r="SWM237" s="16"/>
      <c r="SWN237" s="15"/>
      <c r="SWO237" s="15"/>
      <c r="SWP237" s="10"/>
      <c r="SWQ237" s="10"/>
      <c r="SWR237" s="19"/>
      <c r="SWS237" s="19"/>
      <c r="SWV237" s="16"/>
      <c r="SWW237" s="15"/>
      <c r="SWX237" s="15"/>
      <c r="SWY237" s="15"/>
      <c r="SWZ237" s="16"/>
      <c r="SXA237" s="16"/>
      <c r="SXB237" s="16"/>
      <c r="SXC237" s="16"/>
      <c r="SXD237" s="16"/>
      <c r="SXE237" s="15"/>
      <c r="SXF237" s="15"/>
      <c r="SXG237" s="10"/>
      <c r="SXH237" s="10"/>
      <c r="SXI237" s="19"/>
      <c r="SXJ237" s="19"/>
      <c r="SXM237" s="16"/>
      <c r="SXN237" s="15"/>
      <c r="SXO237" s="15"/>
      <c r="SXP237" s="15"/>
      <c r="SXQ237" s="16"/>
      <c r="SXR237" s="16"/>
      <c r="SXS237" s="16"/>
      <c r="SXT237" s="16"/>
      <c r="SXU237" s="16"/>
      <c r="SXV237" s="15"/>
      <c r="SXW237" s="15"/>
      <c r="SXX237" s="10"/>
      <c r="SXY237" s="10"/>
      <c r="SXZ237" s="19"/>
      <c r="SYA237" s="19"/>
      <c r="SYD237" s="16"/>
      <c r="SYE237" s="15"/>
      <c r="SYF237" s="15"/>
      <c r="SYG237" s="15"/>
      <c r="SYH237" s="16"/>
      <c r="SYI237" s="16"/>
      <c r="SYJ237" s="16"/>
      <c r="SYK237" s="16"/>
      <c r="SYL237" s="16"/>
      <c r="SYM237" s="15"/>
      <c r="SYN237" s="15"/>
      <c r="SYO237" s="10"/>
      <c r="SYP237" s="10"/>
      <c r="SYQ237" s="19"/>
      <c r="SYR237" s="19"/>
      <c r="SYU237" s="16"/>
      <c r="SYV237" s="15"/>
      <c r="SYW237" s="15"/>
      <c r="SYX237" s="15"/>
      <c r="SYY237" s="16"/>
      <c r="SYZ237" s="16"/>
      <c r="SZA237" s="16"/>
      <c r="SZB237" s="16"/>
      <c r="SZC237" s="16"/>
      <c r="SZD237" s="15"/>
      <c r="SZE237" s="15"/>
      <c r="SZF237" s="10"/>
      <c r="SZG237" s="10"/>
      <c r="SZH237" s="19"/>
      <c r="SZI237" s="19"/>
      <c r="SZL237" s="16"/>
      <c r="SZM237" s="15"/>
      <c r="SZN237" s="15"/>
      <c r="SZO237" s="15"/>
      <c r="SZP237" s="16"/>
      <c r="SZQ237" s="16"/>
      <c r="SZR237" s="16"/>
      <c r="SZS237" s="16"/>
      <c r="SZT237" s="16"/>
      <c r="SZU237" s="15"/>
      <c r="SZV237" s="15"/>
      <c r="SZW237" s="10"/>
      <c r="SZX237" s="10"/>
      <c r="SZY237" s="19"/>
      <c r="SZZ237" s="19"/>
      <c r="TAC237" s="16"/>
      <c r="TAD237" s="15"/>
      <c r="TAE237" s="15"/>
      <c r="TAF237" s="15"/>
      <c r="TAG237" s="16"/>
      <c r="TAH237" s="16"/>
      <c r="TAI237" s="16"/>
      <c r="TAJ237" s="16"/>
      <c r="TAK237" s="16"/>
      <c r="TAL237" s="15"/>
      <c r="TAM237" s="15"/>
      <c r="TAN237" s="10"/>
      <c r="TAO237" s="10"/>
      <c r="TAP237" s="19"/>
      <c r="TAQ237" s="19"/>
      <c r="TAT237" s="16"/>
      <c r="TAU237" s="15"/>
      <c r="TAV237" s="15"/>
      <c r="TAW237" s="15"/>
      <c r="TAX237" s="16"/>
      <c r="TAY237" s="16"/>
      <c r="TAZ237" s="16"/>
      <c r="TBA237" s="16"/>
      <c r="TBB237" s="16"/>
      <c r="TBC237" s="15"/>
      <c r="TBD237" s="15"/>
      <c r="TBE237" s="10"/>
      <c r="TBF237" s="10"/>
      <c r="TBG237" s="19"/>
      <c r="TBH237" s="19"/>
      <c r="TBK237" s="16"/>
      <c r="TBL237" s="15"/>
      <c r="TBM237" s="15"/>
      <c r="TBN237" s="15"/>
      <c r="TBO237" s="16"/>
      <c r="TBP237" s="16"/>
      <c r="TBQ237" s="16"/>
      <c r="TBR237" s="16"/>
      <c r="TBS237" s="16"/>
      <c r="TBT237" s="15"/>
      <c r="TBU237" s="15"/>
      <c r="TBV237" s="10"/>
      <c r="TBW237" s="10"/>
      <c r="TBX237" s="19"/>
      <c r="TBY237" s="19"/>
      <c r="TCB237" s="16"/>
      <c r="TCC237" s="15"/>
      <c r="TCD237" s="15"/>
      <c r="TCE237" s="15"/>
      <c r="TCF237" s="16"/>
      <c r="TCG237" s="16"/>
      <c r="TCH237" s="16"/>
      <c r="TCI237" s="16"/>
      <c r="TCJ237" s="16"/>
      <c r="TCK237" s="15"/>
      <c r="TCL237" s="15"/>
      <c r="TCM237" s="10"/>
      <c r="TCN237" s="10"/>
      <c r="TCO237" s="19"/>
      <c r="TCP237" s="19"/>
      <c r="TCS237" s="16"/>
      <c r="TCT237" s="15"/>
      <c r="TCU237" s="15"/>
      <c r="TCV237" s="15"/>
      <c r="TCW237" s="16"/>
      <c r="TCX237" s="16"/>
      <c r="TCY237" s="16"/>
      <c r="TCZ237" s="16"/>
      <c r="TDA237" s="16"/>
      <c r="TDB237" s="15"/>
      <c r="TDC237" s="15"/>
      <c r="TDD237" s="10"/>
      <c r="TDE237" s="10"/>
      <c r="TDF237" s="19"/>
      <c r="TDG237" s="19"/>
      <c r="TDJ237" s="16"/>
      <c r="TDK237" s="15"/>
      <c r="TDL237" s="15"/>
      <c r="TDM237" s="15"/>
      <c r="TDN237" s="16"/>
      <c r="TDO237" s="16"/>
      <c r="TDP237" s="16"/>
      <c r="TDQ237" s="16"/>
      <c r="TDR237" s="16"/>
      <c r="TDS237" s="15"/>
      <c r="TDT237" s="15"/>
      <c r="TDU237" s="10"/>
      <c r="TDV237" s="10"/>
      <c r="TDW237" s="19"/>
      <c r="TDX237" s="19"/>
      <c r="TEA237" s="16"/>
      <c r="TEB237" s="15"/>
      <c r="TEC237" s="15"/>
      <c r="TED237" s="15"/>
      <c r="TEE237" s="16"/>
      <c r="TEF237" s="16"/>
      <c r="TEG237" s="16"/>
      <c r="TEH237" s="16"/>
      <c r="TEI237" s="16"/>
      <c r="TEJ237" s="15"/>
      <c r="TEK237" s="15"/>
      <c r="TEL237" s="10"/>
      <c r="TEM237" s="10"/>
      <c r="TEN237" s="19"/>
      <c r="TEO237" s="19"/>
      <c r="TER237" s="16"/>
      <c r="TES237" s="15"/>
      <c r="TET237" s="15"/>
      <c r="TEU237" s="15"/>
      <c r="TEV237" s="16"/>
      <c r="TEW237" s="16"/>
      <c r="TEX237" s="16"/>
      <c r="TEY237" s="16"/>
      <c r="TEZ237" s="16"/>
      <c r="TFA237" s="15"/>
      <c r="TFB237" s="15"/>
      <c r="TFC237" s="10"/>
      <c r="TFD237" s="10"/>
      <c r="TFE237" s="19"/>
      <c r="TFF237" s="19"/>
      <c r="TFI237" s="16"/>
      <c r="TFJ237" s="15"/>
      <c r="TFK237" s="15"/>
      <c r="TFL237" s="15"/>
      <c r="TFM237" s="16"/>
      <c r="TFN237" s="16"/>
      <c r="TFO237" s="16"/>
      <c r="TFP237" s="16"/>
      <c r="TFQ237" s="16"/>
      <c r="TFR237" s="15"/>
      <c r="TFS237" s="15"/>
      <c r="TFT237" s="10"/>
      <c r="TFU237" s="10"/>
      <c r="TFV237" s="19"/>
      <c r="TFW237" s="19"/>
      <c r="TFZ237" s="16"/>
      <c r="TGA237" s="15"/>
      <c r="TGB237" s="15"/>
      <c r="TGC237" s="15"/>
      <c r="TGD237" s="16"/>
      <c r="TGE237" s="16"/>
      <c r="TGF237" s="16"/>
      <c r="TGG237" s="16"/>
      <c r="TGH237" s="16"/>
      <c r="TGI237" s="15"/>
      <c r="TGJ237" s="15"/>
      <c r="TGK237" s="10"/>
      <c r="TGL237" s="10"/>
      <c r="TGM237" s="19"/>
      <c r="TGN237" s="19"/>
      <c r="TGQ237" s="16"/>
      <c r="TGR237" s="15"/>
      <c r="TGS237" s="15"/>
      <c r="TGT237" s="15"/>
      <c r="TGU237" s="16"/>
      <c r="TGV237" s="16"/>
      <c r="TGW237" s="16"/>
      <c r="TGX237" s="16"/>
      <c r="TGY237" s="16"/>
      <c r="TGZ237" s="15"/>
      <c r="THA237" s="15"/>
      <c r="THB237" s="10"/>
      <c r="THC237" s="10"/>
      <c r="THD237" s="19"/>
      <c r="THE237" s="19"/>
      <c r="THH237" s="16"/>
      <c r="THI237" s="15"/>
      <c r="THJ237" s="15"/>
      <c r="THK237" s="15"/>
      <c r="THL237" s="16"/>
      <c r="THM237" s="16"/>
      <c r="THN237" s="16"/>
      <c r="THO237" s="16"/>
      <c r="THP237" s="16"/>
      <c r="THQ237" s="15"/>
      <c r="THR237" s="15"/>
      <c r="THS237" s="10"/>
      <c r="THT237" s="10"/>
      <c r="THU237" s="19"/>
      <c r="THV237" s="19"/>
      <c r="THY237" s="16"/>
      <c r="THZ237" s="15"/>
      <c r="TIA237" s="15"/>
      <c r="TIB237" s="15"/>
      <c r="TIC237" s="16"/>
      <c r="TID237" s="16"/>
      <c r="TIE237" s="16"/>
      <c r="TIF237" s="16"/>
      <c r="TIG237" s="16"/>
      <c r="TIH237" s="15"/>
      <c r="TII237" s="15"/>
      <c r="TIJ237" s="10"/>
      <c r="TIK237" s="10"/>
      <c r="TIL237" s="19"/>
      <c r="TIM237" s="19"/>
      <c r="TIP237" s="16"/>
      <c r="TIQ237" s="15"/>
      <c r="TIR237" s="15"/>
      <c r="TIS237" s="15"/>
      <c r="TIT237" s="16"/>
      <c r="TIU237" s="16"/>
      <c r="TIV237" s="16"/>
      <c r="TIW237" s="16"/>
      <c r="TIX237" s="16"/>
      <c r="TIY237" s="15"/>
      <c r="TIZ237" s="15"/>
      <c r="TJA237" s="10"/>
      <c r="TJB237" s="10"/>
      <c r="TJC237" s="19"/>
      <c r="TJD237" s="19"/>
      <c r="TJG237" s="16"/>
      <c r="TJH237" s="15"/>
      <c r="TJI237" s="15"/>
      <c r="TJJ237" s="15"/>
      <c r="TJK237" s="16"/>
      <c r="TJL237" s="16"/>
      <c r="TJM237" s="16"/>
      <c r="TJN237" s="16"/>
      <c r="TJO237" s="16"/>
      <c r="TJP237" s="15"/>
      <c r="TJQ237" s="15"/>
      <c r="TJR237" s="10"/>
      <c r="TJS237" s="10"/>
      <c r="TJT237" s="19"/>
      <c r="TJU237" s="19"/>
      <c r="TJX237" s="16"/>
      <c r="TJY237" s="15"/>
      <c r="TJZ237" s="15"/>
      <c r="TKA237" s="15"/>
      <c r="TKB237" s="16"/>
      <c r="TKC237" s="16"/>
      <c r="TKD237" s="16"/>
      <c r="TKE237" s="16"/>
      <c r="TKF237" s="16"/>
      <c r="TKG237" s="15"/>
      <c r="TKH237" s="15"/>
      <c r="TKI237" s="10"/>
      <c r="TKJ237" s="10"/>
      <c r="TKK237" s="19"/>
      <c r="TKL237" s="19"/>
      <c r="TKO237" s="16"/>
      <c r="TKP237" s="15"/>
      <c r="TKQ237" s="15"/>
      <c r="TKR237" s="15"/>
      <c r="TKS237" s="16"/>
      <c r="TKT237" s="16"/>
      <c r="TKU237" s="16"/>
      <c r="TKV237" s="16"/>
      <c r="TKW237" s="16"/>
      <c r="TKX237" s="15"/>
      <c r="TKY237" s="15"/>
      <c r="TKZ237" s="10"/>
      <c r="TLA237" s="10"/>
      <c r="TLB237" s="19"/>
      <c r="TLC237" s="19"/>
      <c r="TLF237" s="16"/>
      <c r="TLG237" s="15"/>
      <c r="TLH237" s="15"/>
      <c r="TLI237" s="15"/>
      <c r="TLJ237" s="16"/>
      <c r="TLK237" s="16"/>
      <c r="TLL237" s="16"/>
      <c r="TLM237" s="16"/>
      <c r="TLN237" s="16"/>
      <c r="TLO237" s="15"/>
      <c r="TLP237" s="15"/>
      <c r="TLQ237" s="10"/>
      <c r="TLR237" s="10"/>
      <c r="TLS237" s="19"/>
      <c r="TLT237" s="19"/>
      <c r="TLW237" s="16"/>
      <c r="TLX237" s="15"/>
      <c r="TLY237" s="15"/>
      <c r="TLZ237" s="15"/>
      <c r="TMA237" s="16"/>
      <c r="TMB237" s="16"/>
      <c r="TMC237" s="16"/>
      <c r="TMD237" s="16"/>
      <c r="TME237" s="16"/>
      <c r="TMF237" s="15"/>
      <c r="TMG237" s="15"/>
      <c r="TMH237" s="10"/>
      <c r="TMI237" s="10"/>
      <c r="TMJ237" s="19"/>
      <c r="TMK237" s="19"/>
      <c r="TMN237" s="16"/>
      <c r="TMO237" s="15"/>
      <c r="TMP237" s="15"/>
      <c r="TMQ237" s="15"/>
      <c r="TMR237" s="16"/>
      <c r="TMS237" s="16"/>
      <c r="TMT237" s="16"/>
      <c r="TMU237" s="16"/>
      <c r="TMV237" s="16"/>
      <c r="TMW237" s="15"/>
      <c r="TMX237" s="15"/>
      <c r="TMY237" s="10"/>
      <c r="TMZ237" s="10"/>
      <c r="TNA237" s="19"/>
      <c r="TNB237" s="19"/>
      <c r="TNE237" s="16"/>
      <c r="TNF237" s="15"/>
      <c r="TNG237" s="15"/>
      <c r="TNH237" s="15"/>
      <c r="TNI237" s="16"/>
      <c r="TNJ237" s="16"/>
      <c r="TNK237" s="16"/>
      <c r="TNL237" s="16"/>
      <c r="TNM237" s="16"/>
      <c r="TNN237" s="15"/>
      <c r="TNO237" s="15"/>
      <c r="TNP237" s="10"/>
      <c r="TNQ237" s="10"/>
      <c r="TNR237" s="19"/>
      <c r="TNS237" s="19"/>
      <c r="TNV237" s="16"/>
      <c r="TNW237" s="15"/>
      <c r="TNX237" s="15"/>
      <c r="TNY237" s="15"/>
      <c r="TNZ237" s="16"/>
      <c r="TOA237" s="16"/>
      <c r="TOB237" s="16"/>
      <c r="TOC237" s="16"/>
      <c r="TOD237" s="16"/>
      <c r="TOE237" s="15"/>
      <c r="TOF237" s="15"/>
      <c r="TOG237" s="10"/>
      <c r="TOH237" s="10"/>
      <c r="TOI237" s="19"/>
      <c r="TOJ237" s="19"/>
      <c r="TOM237" s="16"/>
      <c r="TON237" s="15"/>
      <c r="TOO237" s="15"/>
      <c r="TOP237" s="15"/>
      <c r="TOQ237" s="16"/>
      <c r="TOR237" s="16"/>
      <c r="TOS237" s="16"/>
      <c r="TOT237" s="16"/>
      <c r="TOU237" s="16"/>
      <c r="TOV237" s="15"/>
      <c r="TOW237" s="15"/>
      <c r="TOX237" s="10"/>
      <c r="TOY237" s="10"/>
      <c r="TOZ237" s="19"/>
      <c r="TPA237" s="19"/>
      <c r="TPD237" s="16"/>
      <c r="TPE237" s="15"/>
      <c r="TPF237" s="15"/>
      <c r="TPG237" s="15"/>
      <c r="TPH237" s="16"/>
      <c r="TPI237" s="16"/>
      <c r="TPJ237" s="16"/>
      <c r="TPK237" s="16"/>
      <c r="TPL237" s="16"/>
      <c r="TPM237" s="15"/>
      <c r="TPN237" s="15"/>
      <c r="TPO237" s="10"/>
      <c r="TPP237" s="10"/>
      <c r="TPQ237" s="19"/>
      <c r="TPR237" s="19"/>
      <c r="TPU237" s="16"/>
      <c r="TPV237" s="15"/>
      <c r="TPW237" s="15"/>
      <c r="TPX237" s="15"/>
      <c r="TPY237" s="16"/>
      <c r="TPZ237" s="16"/>
      <c r="TQA237" s="16"/>
      <c r="TQB237" s="16"/>
      <c r="TQC237" s="16"/>
      <c r="TQD237" s="15"/>
      <c r="TQE237" s="15"/>
      <c r="TQF237" s="10"/>
      <c r="TQG237" s="10"/>
      <c r="TQH237" s="19"/>
      <c r="TQI237" s="19"/>
      <c r="TQL237" s="16"/>
      <c r="TQM237" s="15"/>
      <c r="TQN237" s="15"/>
      <c r="TQO237" s="15"/>
      <c r="TQP237" s="16"/>
      <c r="TQQ237" s="16"/>
      <c r="TQR237" s="16"/>
      <c r="TQS237" s="16"/>
      <c r="TQT237" s="16"/>
      <c r="TQU237" s="15"/>
      <c r="TQV237" s="15"/>
      <c r="TQW237" s="10"/>
      <c r="TQX237" s="10"/>
      <c r="TQY237" s="19"/>
      <c r="TQZ237" s="19"/>
      <c r="TRC237" s="16"/>
      <c r="TRD237" s="15"/>
      <c r="TRE237" s="15"/>
      <c r="TRF237" s="15"/>
      <c r="TRG237" s="16"/>
      <c r="TRH237" s="16"/>
      <c r="TRI237" s="16"/>
      <c r="TRJ237" s="16"/>
      <c r="TRK237" s="16"/>
      <c r="TRL237" s="15"/>
      <c r="TRM237" s="15"/>
      <c r="TRN237" s="10"/>
      <c r="TRO237" s="10"/>
      <c r="TRP237" s="19"/>
      <c r="TRQ237" s="19"/>
      <c r="TRT237" s="16"/>
      <c r="TRU237" s="15"/>
      <c r="TRV237" s="15"/>
      <c r="TRW237" s="15"/>
      <c r="TRX237" s="16"/>
      <c r="TRY237" s="16"/>
      <c r="TRZ237" s="16"/>
      <c r="TSA237" s="16"/>
      <c r="TSB237" s="16"/>
      <c r="TSC237" s="15"/>
      <c r="TSD237" s="15"/>
      <c r="TSE237" s="10"/>
      <c r="TSF237" s="10"/>
      <c r="TSG237" s="19"/>
      <c r="TSH237" s="19"/>
      <c r="TSK237" s="16"/>
      <c r="TSL237" s="15"/>
      <c r="TSM237" s="15"/>
      <c r="TSN237" s="15"/>
      <c r="TSO237" s="16"/>
      <c r="TSP237" s="16"/>
      <c r="TSQ237" s="16"/>
      <c r="TSR237" s="16"/>
      <c r="TSS237" s="16"/>
      <c r="TST237" s="15"/>
      <c r="TSU237" s="15"/>
      <c r="TSV237" s="10"/>
      <c r="TSW237" s="10"/>
      <c r="TSX237" s="19"/>
      <c r="TSY237" s="19"/>
      <c r="TTB237" s="16"/>
      <c r="TTC237" s="15"/>
      <c r="TTD237" s="15"/>
      <c r="TTE237" s="15"/>
      <c r="TTF237" s="16"/>
      <c r="TTG237" s="16"/>
      <c r="TTH237" s="16"/>
      <c r="TTI237" s="16"/>
      <c r="TTJ237" s="16"/>
      <c r="TTK237" s="15"/>
      <c r="TTL237" s="15"/>
      <c r="TTM237" s="10"/>
      <c r="TTN237" s="10"/>
      <c r="TTO237" s="19"/>
      <c r="TTP237" s="19"/>
      <c r="TTS237" s="16"/>
      <c r="TTT237" s="15"/>
      <c r="TTU237" s="15"/>
      <c r="TTV237" s="15"/>
      <c r="TTW237" s="16"/>
      <c r="TTX237" s="16"/>
      <c r="TTY237" s="16"/>
      <c r="TTZ237" s="16"/>
      <c r="TUA237" s="16"/>
      <c r="TUB237" s="15"/>
      <c r="TUC237" s="15"/>
      <c r="TUD237" s="10"/>
      <c r="TUE237" s="10"/>
      <c r="TUF237" s="19"/>
      <c r="TUG237" s="19"/>
      <c r="TUJ237" s="16"/>
      <c r="TUK237" s="15"/>
      <c r="TUL237" s="15"/>
      <c r="TUM237" s="15"/>
      <c r="TUN237" s="16"/>
      <c r="TUO237" s="16"/>
      <c r="TUP237" s="16"/>
      <c r="TUQ237" s="16"/>
      <c r="TUR237" s="16"/>
      <c r="TUS237" s="15"/>
      <c r="TUT237" s="15"/>
      <c r="TUU237" s="10"/>
      <c r="TUV237" s="10"/>
      <c r="TUW237" s="19"/>
      <c r="TUX237" s="19"/>
      <c r="TVA237" s="16"/>
      <c r="TVB237" s="15"/>
      <c r="TVC237" s="15"/>
      <c r="TVD237" s="15"/>
      <c r="TVE237" s="16"/>
      <c r="TVF237" s="16"/>
      <c r="TVG237" s="16"/>
      <c r="TVH237" s="16"/>
      <c r="TVI237" s="16"/>
      <c r="TVJ237" s="15"/>
      <c r="TVK237" s="15"/>
      <c r="TVL237" s="10"/>
      <c r="TVM237" s="10"/>
      <c r="TVN237" s="19"/>
      <c r="TVO237" s="19"/>
      <c r="TVR237" s="16"/>
      <c r="TVS237" s="15"/>
      <c r="TVT237" s="15"/>
      <c r="TVU237" s="15"/>
      <c r="TVV237" s="16"/>
      <c r="TVW237" s="16"/>
      <c r="TVX237" s="16"/>
      <c r="TVY237" s="16"/>
      <c r="TVZ237" s="16"/>
      <c r="TWA237" s="15"/>
      <c r="TWB237" s="15"/>
      <c r="TWC237" s="10"/>
      <c r="TWD237" s="10"/>
      <c r="TWE237" s="19"/>
      <c r="TWF237" s="19"/>
      <c r="TWI237" s="16"/>
      <c r="TWJ237" s="15"/>
      <c r="TWK237" s="15"/>
      <c r="TWL237" s="15"/>
      <c r="TWM237" s="16"/>
      <c r="TWN237" s="16"/>
      <c r="TWO237" s="16"/>
      <c r="TWP237" s="16"/>
      <c r="TWQ237" s="16"/>
      <c r="TWR237" s="15"/>
      <c r="TWS237" s="15"/>
      <c r="TWT237" s="10"/>
      <c r="TWU237" s="10"/>
      <c r="TWV237" s="19"/>
      <c r="TWW237" s="19"/>
      <c r="TWZ237" s="16"/>
      <c r="TXA237" s="15"/>
      <c r="TXB237" s="15"/>
      <c r="TXC237" s="15"/>
      <c r="TXD237" s="16"/>
      <c r="TXE237" s="16"/>
      <c r="TXF237" s="16"/>
      <c r="TXG237" s="16"/>
      <c r="TXH237" s="16"/>
      <c r="TXI237" s="15"/>
      <c r="TXJ237" s="15"/>
      <c r="TXK237" s="10"/>
      <c r="TXL237" s="10"/>
      <c r="TXM237" s="19"/>
      <c r="TXN237" s="19"/>
      <c r="TXQ237" s="16"/>
      <c r="TXR237" s="15"/>
      <c r="TXS237" s="15"/>
      <c r="TXT237" s="15"/>
      <c r="TXU237" s="16"/>
      <c r="TXV237" s="16"/>
      <c r="TXW237" s="16"/>
      <c r="TXX237" s="16"/>
      <c r="TXY237" s="16"/>
      <c r="TXZ237" s="15"/>
      <c r="TYA237" s="15"/>
      <c r="TYB237" s="10"/>
      <c r="TYC237" s="10"/>
      <c r="TYD237" s="19"/>
      <c r="TYE237" s="19"/>
      <c r="TYH237" s="16"/>
      <c r="TYI237" s="15"/>
      <c r="TYJ237" s="15"/>
      <c r="TYK237" s="15"/>
      <c r="TYL237" s="16"/>
      <c r="TYM237" s="16"/>
      <c r="TYN237" s="16"/>
      <c r="TYO237" s="16"/>
      <c r="TYP237" s="16"/>
      <c r="TYQ237" s="15"/>
      <c r="TYR237" s="15"/>
      <c r="TYS237" s="10"/>
      <c r="TYT237" s="10"/>
      <c r="TYU237" s="19"/>
      <c r="TYV237" s="19"/>
      <c r="TYY237" s="16"/>
      <c r="TYZ237" s="15"/>
      <c r="TZA237" s="15"/>
      <c r="TZB237" s="15"/>
      <c r="TZC237" s="16"/>
      <c r="TZD237" s="16"/>
      <c r="TZE237" s="16"/>
      <c r="TZF237" s="16"/>
      <c r="TZG237" s="16"/>
      <c r="TZH237" s="15"/>
      <c r="TZI237" s="15"/>
      <c r="TZJ237" s="10"/>
      <c r="TZK237" s="10"/>
      <c r="TZL237" s="19"/>
      <c r="TZM237" s="19"/>
      <c r="TZP237" s="16"/>
      <c r="TZQ237" s="15"/>
      <c r="TZR237" s="15"/>
      <c r="TZS237" s="15"/>
      <c r="TZT237" s="16"/>
      <c r="TZU237" s="16"/>
      <c r="TZV237" s="16"/>
      <c r="TZW237" s="16"/>
      <c r="TZX237" s="16"/>
      <c r="TZY237" s="15"/>
      <c r="TZZ237" s="15"/>
      <c r="UAA237" s="10"/>
      <c r="UAB237" s="10"/>
      <c r="UAC237" s="19"/>
      <c r="UAD237" s="19"/>
      <c r="UAG237" s="16"/>
      <c r="UAH237" s="15"/>
      <c r="UAI237" s="15"/>
      <c r="UAJ237" s="15"/>
      <c r="UAK237" s="16"/>
      <c r="UAL237" s="16"/>
      <c r="UAM237" s="16"/>
      <c r="UAN237" s="16"/>
      <c r="UAO237" s="16"/>
      <c r="UAP237" s="15"/>
      <c r="UAQ237" s="15"/>
      <c r="UAR237" s="10"/>
      <c r="UAS237" s="10"/>
      <c r="UAT237" s="19"/>
      <c r="UAU237" s="19"/>
      <c r="UAX237" s="16"/>
      <c r="UAY237" s="15"/>
      <c r="UAZ237" s="15"/>
      <c r="UBA237" s="15"/>
      <c r="UBB237" s="16"/>
      <c r="UBC237" s="16"/>
      <c r="UBD237" s="16"/>
      <c r="UBE237" s="16"/>
      <c r="UBF237" s="16"/>
      <c r="UBG237" s="15"/>
      <c r="UBH237" s="15"/>
      <c r="UBI237" s="10"/>
      <c r="UBJ237" s="10"/>
      <c r="UBK237" s="19"/>
      <c r="UBL237" s="19"/>
      <c r="UBO237" s="16"/>
      <c r="UBP237" s="15"/>
      <c r="UBQ237" s="15"/>
      <c r="UBR237" s="15"/>
      <c r="UBS237" s="16"/>
      <c r="UBT237" s="16"/>
      <c r="UBU237" s="16"/>
      <c r="UBV237" s="16"/>
      <c r="UBW237" s="16"/>
      <c r="UBX237" s="15"/>
      <c r="UBY237" s="15"/>
      <c r="UBZ237" s="10"/>
      <c r="UCA237" s="10"/>
      <c r="UCB237" s="19"/>
      <c r="UCC237" s="19"/>
      <c r="UCF237" s="16"/>
      <c r="UCG237" s="15"/>
      <c r="UCH237" s="15"/>
      <c r="UCI237" s="15"/>
      <c r="UCJ237" s="16"/>
      <c r="UCK237" s="16"/>
      <c r="UCL237" s="16"/>
      <c r="UCM237" s="16"/>
      <c r="UCN237" s="16"/>
      <c r="UCO237" s="15"/>
      <c r="UCP237" s="15"/>
      <c r="UCQ237" s="10"/>
      <c r="UCR237" s="10"/>
      <c r="UCS237" s="19"/>
      <c r="UCT237" s="19"/>
      <c r="UCW237" s="16"/>
      <c r="UCX237" s="15"/>
      <c r="UCY237" s="15"/>
      <c r="UCZ237" s="15"/>
      <c r="UDA237" s="16"/>
      <c r="UDB237" s="16"/>
      <c r="UDC237" s="16"/>
      <c r="UDD237" s="16"/>
      <c r="UDE237" s="16"/>
      <c r="UDF237" s="15"/>
      <c r="UDG237" s="15"/>
      <c r="UDH237" s="10"/>
      <c r="UDI237" s="10"/>
      <c r="UDJ237" s="19"/>
      <c r="UDK237" s="19"/>
      <c r="UDN237" s="16"/>
      <c r="UDO237" s="15"/>
      <c r="UDP237" s="15"/>
      <c r="UDQ237" s="15"/>
      <c r="UDR237" s="16"/>
      <c r="UDS237" s="16"/>
      <c r="UDT237" s="16"/>
      <c r="UDU237" s="16"/>
      <c r="UDV237" s="16"/>
      <c r="UDW237" s="15"/>
      <c r="UDX237" s="15"/>
      <c r="UDY237" s="10"/>
      <c r="UDZ237" s="10"/>
      <c r="UEA237" s="19"/>
      <c r="UEB237" s="19"/>
      <c r="UEE237" s="16"/>
      <c r="UEF237" s="15"/>
      <c r="UEG237" s="15"/>
      <c r="UEH237" s="15"/>
      <c r="UEI237" s="16"/>
      <c r="UEJ237" s="16"/>
      <c r="UEK237" s="16"/>
      <c r="UEL237" s="16"/>
      <c r="UEM237" s="16"/>
      <c r="UEN237" s="15"/>
      <c r="UEO237" s="15"/>
      <c r="UEP237" s="10"/>
      <c r="UEQ237" s="10"/>
      <c r="UER237" s="19"/>
      <c r="UES237" s="19"/>
      <c r="UEV237" s="16"/>
      <c r="UEW237" s="15"/>
      <c r="UEX237" s="15"/>
      <c r="UEY237" s="15"/>
      <c r="UEZ237" s="16"/>
      <c r="UFA237" s="16"/>
      <c r="UFB237" s="16"/>
      <c r="UFC237" s="16"/>
      <c r="UFD237" s="16"/>
      <c r="UFE237" s="15"/>
      <c r="UFF237" s="15"/>
      <c r="UFG237" s="10"/>
      <c r="UFH237" s="10"/>
      <c r="UFI237" s="19"/>
      <c r="UFJ237" s="19"/>
      <c r="UFM237" s="16"/>
      <c r="UFN237" s="15"/>
      <c r="UFO237" s="15"/>
      <c r="UFP237" s="15"/>
      <c r="UFQ237" s="16"/>
      <c r="UFR237" s="16"/>
      <c r="UFS237" s="16"/>
      <c r="UFT237" s="16"/>
      <c r="UFU237" s="16"/>
      <c r="UFV237" s="15"/>
      <c r="UFW237" s="15"/>
      <c r="UFX237" s="10"/>
      <c r="UFY237" s="10"/>
      <c r="UFZ237" s="19"/>
      <c r="UGA237" s="19"/>
      <c r="UGD237" s="16"/>
      <c r="UGE237" s="15"/>
      <c r="UGF237" s="15"/>
      <c r="UGG237" s="15"/>
      <c r="UGH237" s="16"/>
      <c r="UGI237" s="16"/>
      <c r="UGJ237" s="16"/>
      <c r="UGK237" s="16"/>
      <c r="UGL237" s="16"/>
      <c r="UGM237" s="15"/>
      <c r="UGN237" s="15"/>
      <c r="UGO237" s="10"/>
      <c r="UGP237" s="10"/>
      <c r="UGQ237" s="19"/>
      <c r="UGR237" s="19"/>
      <c r="UGU237" s="16"/>
      <c r="UGV237" s="15"/>
      <c r="UGW237" s="15"/>
      <c r="UGX237" s="15"/>
      <c r="UGY237" s="16"/>
      <c r="UGZ237" s="16"/>
      <c r="UHA237" s="16"/>
      <c r="UHB237" s="16"/>
      <c r="UHC237" s="16"/>
      <c r="UHD237" s="15"/>
      <c r="UHE237" s="15"/>
      <c r="UHF237" s="10"/>
      <c r="UHG237" s="10"/>
      <c r="UHH237" s="19"/>
      <c r="UHI237" s="19"/>
      <c r="UHL237" s="16"/>
      <c r="UHM237" s="15"/>
      <c r="UHN237" s="15"/>
      <c r="UHO237" s="15"/>
      <c r="UHP237" s="16"/>
      <c r="UHQ237" s="16"/>
      <c r="UHR237" s="16"/>
      <c r="UHS237" s="16"/>
      <c r="UHT237" s="16"/>
      <c r="UHU237" s="15"/>
      <c r="UHV237" s="15"/>
      <c r="UHW237" s="10"/>
      <c r="UHX237" s="10"/>
      <c r="UHY237" s="19"/>
      <c r="UHZ237" s="19"/>
      <c r="UIC237" s="16"/>
      <c r="UID237" s="15"/>
      <c r="UIE237" s="15"/>
      <c r="UIF237" s="15"/>
      <c r="UIG237" s="16"/>
      <c r="UIH237" s="16"/>
      <c r="UII237" s="16"/>
      <c r="UIJ237" s="16"/>
      <c r="UIK237" s="16"/>
      <c r="UIL237" s="15"/>
      <c r="UIM237" s="15"/>
      <c r="UIN237" s="10"/>
      <c r="UIO237" s="10"/>
      <c r="UIP237" s="19"/>
      <c r="UIQ237" s="19"/>
      <c r="UIT237" s="16"/>
      <c r="UIU237" s="15"/>
      <c r="UIV237" s="15"/>
      <c r="UIW237" s="15"/>
      <c r="UIX237" s="16"/>
      <c r="UIY237" s="16"/>
      <c r="UIZ237" s="16"/>
      <c r="UJA237" s="16"/>
      <c r="UJB237" s="16"/>
      <c r="UJC237" s="15"/>
      <c r="UJD237" s="15"/>
      <c r="UJE237" s="10"/>
      <c r="UJF237" s="10"/>
      <c r="UJG237" s="19"/>
      <c r="UJH237" s="19"/>
      <c r="UJK237" s="16"/>
      <c r="UJL237" s="15"/>
      <c r="UJM237" s="15"/>
      <c r="UJN237" s="15"/>
      <c r="UJO237" s="16"/>
      <c r="UJP237" s="16"/>
      <c r="UJQ237" s="16"/>
      <c r="UJR237" s="16"/>
      <c r="UJS237" s="16"/>
      <c r="UJT237" s="15"/>
      <c r="UJU237" s="15"/>
      <c r="UJV237" s="10"/>
      <c r="UJW237" s="10"/>
      <c r="UJX237" s="19"/>
      <c r="UJY237" s="19"/>
      <c r="UKB237" s="16"/>
      <c r="UKC237" s="15"/>
      <c r="UKD237" s="15"/>
      <c r="UKE237" s="15"/>
      <c r="UKF237" s="16"/>
      <c r="UKG237" s="16"/>
      <c r="UKH237" s="16"/>
      <c r="UKI237" s="16"/>
      <c r="UKJ237" s="16"/>
      <c r="UKK237" s="15"/>
      <c r="UKL237" s="15"/>
      <c r="UKM237" s="10"/>
      <c r="UKN237" s="10"/>
      <c r="UKO237" s="19"/>
      <c r="UKP237" s="19"/>
      <c r="UKS237" s="16"/>
      <c r="UKT237" s="15"/>
      <c r="UKU237" s="15"/>
      <c r="UKV237" s="15"/>
      <c r="UKW237" s="16"/>
      <c r="UKX237" s="16"/>
      <c r="UKY237" s="16"/>
      <c r="UKZ237" s="16"/>
      <c r="ULA237" s="16"/>
      <c r="ULB237" s="15"/>
      <c r="ULC237" s="15"/>
      <c r="ULD237" s="10"/>
      <c r="ULE237" s="10"/>
      <c r="ULF237" s="19"/>
      <c r="ULG237" s="19"/>
      <c r="ULJ237" s="16"/>
      <c r="ULK237" s="15"/>
      <c r="ULL237" s="15"/>
      <c r="ULM237" s="15"/>
      <c r="ULN237" s="16"/>
      <c r="ULO237" s="16"/>
      <c r="ULP237" s="16"/>
      <c r="ULQ237" s="16"/>
      <c r="ULR237" s="16"/>
      <c r="ULS237" s="15"/>
      <c r="ULT237" s="15"/>
      <c r="ULU237" s="10"/>
      <c r="ULV237" s="10"/>
      <c r="ULW237" s="19"/>
      <c r="ULX237" s="19"/>
      <c r="UMA237" s="16"/>
      <c r="UMB237" s="15"/>
      <c r="UMC237" s="15"/>
      <c r="UMD237" s="15"/>
      <c r="UME237" s="16"/>
      <c r="UMF237" s="16"/>
      <c r="UMG237" s="16"/>
      <c r="UMH237" s="16"/>
      <c r="UMI237" s="16"/>
      <c r="UMJ237" s="15"/>
      <c r="UMK237" s="15"/>
      <c r="UML237" s="10"/>
      <c r="UMM237" s="10"/>
      <c r="UMN237" s="19"/>
      <c r="UMO237" s="19"/>
      <c r="UMR237" s="16"/>
      <c r="UMS237" s="15"/>
      <c r="UMT237" s="15"/>
      <c r="UMU237" s="15"/>
      <c r="UMV237" s="16"/>
      <c r="UMW237" s="16"/>
      <c r="UMX237" s="16"/>
      <c r="UMY237" s="16"/>
      <c r="UMZ237" s="16"/>
      <c r="UNA237" s="15"/>
      <c r="UNB237" s="15"/>
      <c r="UNC237" s="10"/>
      <c r="UND237" s="10"/>
      <c r="UNE237" s="19"/>
      <c r="UNF237" s="19"/>
      <c r="UNI237" s="16"/>
      <c r="UNJ237" s="15"/>
      <c r="UNK237" s="15"/>
      <c r="UNL237" s="15"/>
      <c r="UNM237" s="16"/>
      <c r="UNN237" s="16"/>
      <c r="UNO237" s="16"/>
      <c r="UNP237" s="16"/>
      <c r="UNQ237" s="16"/>
      <c r="UNR237" s="15"/>
      <c r="UNS237" s="15"/>
      <c r="UNT237" s="10"/>
      <c r="UNU237" s="10"/>
      <c r="UNV237" s="19"/>
      <c r="UNW237" s="19"/>
      <c r="UNZ237" s="16"/>
      <c r="UOA237" s="15"/>
      <c r="UOB237" s="15"/>
      <c r="UOC237" s="15"/>
      <c r="UOD237" s="16"/>
      <c r="UOE237" s="16"/>
      <c r="UOF237" s="16"/>
      <c r="UOG237" s="16"/>
      <c r="UOH237" s="16"/>
      <c r="UOI237" s="15"/>
      <c r="UOJ237" s="15"/>
      <c r="UOK237" s="10"/>
      <c r="UOL237" s="10"/>
      <c r="UOM237" s="19"/>
      <c r="UON237" s="19"/>
      <c r="UOQ237" s="16"/>
      <c r="UOR237" s="15"/>
      <c r="UOS237" s="15"/>
      <c r="UOT237" s="15"/>
      <c r="UOU237" s="16"/>
      <c r="UOV237" s="16"/>
      <c r="UOW237" s="16"/>
      <c r="UOX237" s="16"/>
      <c r="UOY237" s="16"/>
      <c r="UOZ237" s="15"/>
      <c r="UPA237" s="15"/>
      <c r="UPB237" s="10"/>
      <c r="UPC237" s="10"/>
      <c r="UPD237" s="19"/>
      <c r="UPE237" s="19"/>
      <c r="UPH237" s="16"/>
      <c r="UPI237" s="15"/>
      <c r="UPJ237" s="15"/>
      <c r="UPK237" s="15"/>
      <c r="UPL237" s="16"/>
      <c r="UPM237" s="16"/>
      <c r="UPN237" s="16"/>
      <c r="UPO237" s="16"/>
      <c r="UPP237" s="16"/>
      <c r="UPQ237" s="15"/>
      <c r="UPR237" s="15"/>
      <c r="UPS237" s="10"/>
      <c r="UPT237" s="10"/>
      <c r="UPU237" s="19"/>
      <c r="UPV237" s="19"/>
      <c r="UPY237" s="16"/>
      <c r="UPZ237" s="15"/>
      <c r="UQA237" s="15"/>
      <c r="UQB237" s="15"/>
      <c r="UQC237" s="16"/>
      <c r="UQD237" s="16"/>
      <c r="UQE237" s="16"/>
      <c r="UQF237" s="16"/>
      <c r="UQG237" s="16"/>
      <c r="UQH237" s="15"/>
      <c r="UQI237" s="15"/>
      <c r="UQJ237" s="10"/>
      <c r="UQK237" s="10"/>
      <c r="UQL237" s="19"/>
      <c r="UQM237" s="19"/>
      <c r="UQP237" s="16"/>
      <c r="UQQ237" s="15"/>
      <c r="UQR237" s="15"/>
      <c r="UQS237" s="15"/>
      <c r="UQT237" s="16"/>
      <c r="UQU237" s="16"/>
      <c r="UQV237" s="16"/>
      <c r="UQW237" s="16"/>
      <c r="UQX237" s="16"/>
      <c r="UQY237" s="15"/>
      <c r="UQZ237" s="15"/>
      <c r="URA237" s="10"/>
      <c r="URB237" s="10"/>
      <c r="URC237" s="19"/>
      <c r="URD237" s="19"/>
      <c r="URG237" s="16"/>
      <c r="URH237" s="15"/>
      <c r="URI237" s="15"/>
      <c r="URJ237" s="15"/>
      <c r="URK237" s="16"/>
      <c r="URL237" s="16"/>
      <c r="URM237" s="16"/>
      <c r="URN237" s="16"/>
      <c r="URO237" s="16"/>
      <c r="URP237" s="15"/>
      <c r="URQ237" s="15"/>
      <c r="URR237" s="10"/>
      <c r="URS237" s="10"/>
      <c r="URT237" s="19"/>
      <c r="URU237" s="19"/>
      <c r="URX237" s="16"/>
      <c r="URY237" s="15"/>
      <c r="URZ237" s="15"/>
      <c r="USA237" s="15"/>
      <c r="USB237" s="16"/>
      <c r="USC237" s="16"/>
      <c r="USD237" s="16"/>
      <c r="USE237" s="16"/>
      <c r="USF237" s="16"/>
      <c r="USG237" s="15"/>
      <c r="USH237" s="15"/>
      <c r="USI237" s="10"/>
      <c r="USJ237" s="10"/>
      <c r="USK237" s="19"/>
      <c r="USL237" s="19"/>
      <c r="USO237" s="16"/>
      <c r="USP237" s="15"/>
      <c r="USQ237" s="15"/>
      <c r="USR237" s="15"/>
      <c r="USS237" s="16"/>
      <c r="UST237" s="16"/>
      <c r="USU237" s="16"/>
      <c r="USV237" s="16"/>
      <c r="USW237" s="16"/>
      <c r="USX237" s="15"/>
      <c r="USY237" s="15"/>
      <c r="USZ237" s="10"/>
      <c r="UTA237" s="10"/>
      <c r="UTB237" s="19"/>
      <c r="UTC237" s="19"/>
      <c r="UTF237" s="16"/>
      <c r="UTG237" s="15"/>
      <c r="UTH237" s="15"/>
      <c r="UTI237" s="15"/>
      <c r="UTJ237" s="16"/>
      <c r="UTK237" s="16"/>
      <c r="UTL237" s="16"/>
      <c r="UTM237" s="16"/>
      <c r="UTN237" s="16"/>
      <c r="UTO237" s="15"/>
      <c r="UTP237" s="15"/>
      <c r="UTQ237" s="10"/>
      <c r="UTR237" s="10"/>
      <c r="UTS237" s="19"/>
      <c r="UTT237" s="19"/>
      <c r="UTW237" s="16"/>
      <c r="UTX237" s="15"/>
      <c r="UTY237" s="15"/>
      <c r="UTZ237" s="15"/>
      <c r="UUA237" s="16"/>
      <c r="UUB237" s="16"/>
      <c r="UUC237" s="16"/>
      <c r="UUD237" s="16"/>
      <c r="UUE237" s="16"/>
      <c r="UUF237" s="15"/>
      <c r="UUG237" s="15"/>
      <c r="UUH237" s="10"/>
      <c r="UUI237" s="10"/>
      <c r="UUJ237" s="19"/>
      <c r="UUK237" s="19"/>
      <c r="UUN237" s="16"/>
      <c r="UUO237" s="15"/>
      <c r="UUP237" s="15"/>
      <c r="UUQ237" s="15"/>
      <c r="UUR237" s="16"/>
      <c r="UUS237" s="16"/>
      <c r="UUT237" s="16"/>
      <c r="UUU237" s="16"/>
      <c r="UUV237" s="16"/>
      <c r="UUW237" s="15"/>
      <c r="UUX237" s="15"/>
      <c r="UUY237" s="10"/>
      <c r="UUZ237" s="10"/>
      <c r="UVA237" s="19"/>
      <c r="UVB237" s="19"/>
      <c r="UVE237" s="16"/>
      <c r="UVF237" s="15"/>
      <c r="UVG237" s="15"/>
      <c r="UVH237" s="15"/>
      <c r="UVI237" s="16"/>
      <c r="UVJ237" s="16"/>
      <c r="UVK237" s="16"/>
      <c r="UVL237" s="16"/>
      <c r="UVM237" s="16"/>
      <c r="UVN237" s="15"/>
      <c r="UVO237" s="15"/>
      <c r="UVP237" s="10"/>
      <c r="UVQ237" s="10"/>
      <c r="UVR237" s="19"/>
      <c r="UVS237" s="19"/>
      <c r="UVV237" s="16"/>
      <c r="UVW237" s="15"/>
      <c r="UVX237" s="15"/>
      <c r="UVY237" s="15"/>
      <c r="UVZ237" s="16"/>
      <c r="UWA237" s="16"/>
      <c r="UWB237" s="16"/>
      <c r="UWC237" s="16"/>
      <c r="UWD237" s="16"/>
      <c r="UWE237" s="15"/>
      <c r="UWF237" s="15"/>
      <c r="UWG237" s="10"/>
      <c r="UWH237" s="10"/>
      <c r="UWI237" s="19"/>
      <c r="UWJ237" s="19"/>
      <c r="UWM237" s="16"/>
      <c r="UWN237" s="15"/>
      <c r="UWO237" s="15"/>
      <c r="UWP237" s="15"/>
      <c r="UWQ237" s="16"/>
      <c r="UWR237" s="16"/>
      <c r="UWS237" s="16"/>
      <c r="UWT237" s="16"/>
      <c r="UWU237" s="16"/>
      <c r="UWV237" s="15"/>
      <c r="UWW237" s="15"/>
      <c r="UWX237" s="10"/>
      <c r="UWY237" s="10"/>
      <c r="UWZ237" s="19"/>
      <c r="UXA237" s="19"/>
      <c r="UXD237" s="16"/>
      <c r="UXE237" s="15"/>
      <c r="UXF237" s="15"/>
      <c r="UXG237" s="15"/>
      <c r="UXH237" s="16"/>
      <c r="UXI237" s="16"/>
      <c r="UXJ237" s="16"/>
      <c r="UXK237" s="16"/>
      <c r="UXL237" s="16"/>
      <c r="UXM237" s="15"/>
      <c r="UXN237" s="15"/>
      <c r="UXO237" s="10"/>
      <c r="UXP237" s="10"/>
      <c r="UXQ237" s="19"/>
      <c r="UXR237" s="19"/>
      <c r="UXU237" s="16"/>
      <c r="UXV237" s="15"/>
      <c r="UXW237" s="15"/>
      <c r="UXX237" s="15"/>
      <c r="UXY237" s="16"/>
      <c r="UXZ237" s="16"/>
      <c r="UYA237" s="16"/>
      <c r="UYB237" s="16"/>
      <c r="UYC237" s="16"/>
      <c r="UYD237" s="15"/>
      <c r="UYE237" s="15"/>
      <c r="UYF237" s="10"/>
      <c r="UYG237" s="10"/>
      <c r="UYH237" s="19"/>
      <c r="UYI237" s="19"/>
      <c r="UYL237" s="16"/>
      <c r="UYM237" s="15"/>
      <c r="UYN237" s="15"/>
      <c r="UYO237" s="15"/>
      <c r="UYP237" s="16"/>
      <c r="UYQ237" s="16"/>
      <c r="UYR237" s="16"/>
      <c r="UYS237" s="16"/>
      <c r="UYT237" s="16"/>
      <c r="UYU237" s="15"/>
      <c r="UYV237" s="15"/>
      <c r="UYW237" s="10"/>
      <c r="UYX237" s="10"/>
      <c r="UYY237" s="19"/>
      <c r="UYZ237" s="19"/>
      <c r="UZC237" s="16"/>
      <c r="UZD237" s="15"/>
      <c r="UZE237" s="15"/>
      <c r="UZF237" s="15"/>
      <c r="UZG237" s="16"/>
      <c r="UZH237" s="16"/>
      <c r="UZI237" s="16"/>
      <c r="UZJ237" s="16"/>
      <c r="UZK237" s="16"/>
      <c r="UZL237" s="15"/>
      <c r="UZM237" s="15"/>
      <c r="UZN237" s="10"/>
      <c r="UZO237" s="10"/>
      <c r="UZP237" s="19"/>
      <c r="UZQ237" s="19"/>
      <c r="UZT237" s="16"/>
      <c r="UZU237" s="15"/>
      <c r="UZV237" s="15"/>
      <c r="UZW237" s="15"/>
      <c r="UZX237" s="16"/>
      <c r="UZY237" s="16"/>
      <c r="UZZ237" s="16"/>
      <c r="VAA237" s="16"/>
      <c r="VAB237" s="16"/>
      <c r="VAC237" s="15"/>
      <c r="VAD237" s="15"/>
      <c r="VAE237" s="10"/>
      <c r="VAF237" s="10"/>
      <c r="VAG237" s="19"/>
      <c r="VAH237" s="19"/>
      <c r="VAK237" s="16"/>
      <c r="VAL237" s="15"/>
      <c r="VAM237" s="15"/>
      <c r="VAN237" s="15"/>
      <c r="VAO237" s="16"/>
      <c r="VAP237" s="16"/>
      <c r="VAQ237" s="16"/>
      <c r="VAR237" s="16"/>
      <c r="VAS237" s="16"/>
      <c r="VAT237" s="15"/>
      <c r="VAU237" s="15"/>
      <c r="VAV237" s="10"/>
      <c r="VAW237" s="10"/>
      <c r="VAX237" s="19"/>
      <c r="VAY237" s="19"/>
      <c r="VBB237" s="16"/>
      <c r="VBC237" s="15"/>
      <c r="VBD237" s="15"/>
      <c r="VBE237" s="15"/>
      <c r="VBF237" s="16"/>
      <c r="VBG237" s="16"/>
      <c r="VBH237" s="16"/>
      <c r="VBI237" s="16"/>
      <c r="VBJ237" s="16"/>
      <c r="VBK237" s="15"/>
      <c r="VBL237" s="15"/>
      <c r="VBM237" s="10"/>
      <c r="VBN237" s="10"/>
      <c r="VBO237" s="19"/>
      <c r="VBP237" s="19"/>
      <c r="VBS237" s="16"/>
      <c r="VBT237" s="15"/>
      <c r="VBU237" s="15"/>
      <c r="VBV237" s="15"/>
      <c r="VBW237" s="16"/>
      <c r="VBX237" s="16"/>
      <c r="VBY237" s="16"/>
      <c r="VBZ237" s="16"/>
      <c r="VCA237" s="16"/>
      <c r="VCB237" s="15"/>
      <c r="VCC237" s="15"/>
      <c r="VCD237" s="10"/>
      <c r="VCE237" s="10"/>
      <c r="VCF237" s="19"/>
      <c r="VCG237" s="19"/>
      <c r="VCJ237" s="16"/>
      <c r="VCK237" s="15"/>
      <c r="VCL237" s="15"/>
      <c r="VCM237" s="15"/>
      <c r="VCN237" s="16"/>
      <c r="VCO237" s="16"/>
      <c r="VCP237" s="16"/>
      <c r="VCQ237" s="16"/>
      <c r="VCR237" s="16"/>
      <c r="VCS237" s="15"/>
      <c r="VCT237" s="15"/>
      <c r="VCU237" s="10"/>
      <c r="VCV237" s="10"/>
      <c r="VCW237" s="19"/>
      <c r="VCX237" s="19"/>
      <c r="VDA237" s="16"/>
      <c r="VDB237" s="15"/>
      <c r="VDC237" s="15"/>
      <c r="VDD237" s="15"/>
      <c r="VDE237" s="16"/>
      <c r="VDF237" s="16"/>
      <c r="VDG237" s="16"/>
      <c r="VDH237" s="16"/>
      <c r="VDI237" s="16"/>
      <c r="VDJ237" s="15"/>
      <c r="VDK237" s="15"/>
      <c r="VDL237" s="10"/>
      <c r="VDM237" s="10"/>
      <c r="VDN237" s="19"/>
      <c r="VDO237" s="19"/>
      <c r="VDR237" s="16"/>
      <c r="VDS237" s="15"/>
      <c r="VDT237" s="15"/>
      <c r="VDU237" s="15"/>
      <c r="VDV237" s="16"/>
      <c r="VDW237" s="16"/>
      <c r="VDX237" s="16"/>
      <c r="VDY237" s="16"/>
      <c r="VDZ237" s="16"/>
      <c r="VEA237" s="15"/>
      <c r="VEB237" s="15"/>
      <c r="VEC237" s="10"/>
      <c r="VED237" s="10"/>
      <c r="VEE237" s="19"/>
      <c r="VEF237" s="19"/>
      <c r="VEI237" s="16"/>
      <c r="VEJ237" s="15"/>
      <c r="VEK237" s="15"/>
      <c r="VEL237" s="15"/>
      <c r="VEM237" s="16"/>
      <c r="VEN237" s="16"/>
      <c r="VEO237" s="16"/>
      <c r="VEP237" s="16"/>
      <c r="VEQ237" s="16"/>
      <c r="VER237" s="15"/>
      <c r="VES237" s="15"/>
      <c r="VET237" s="10"/>
      <c r="VEU237" s="10"/>
      <c r="VEV237" s="19"/>
      <c r="VEW237" s="19"/>
      <c r="VEZ237" s="16"/>
      <c r="VFA237" s="15"/>
      <c r="VFB237" s="15"/>
      <c r="VFC237" s="15"/>
      <c r="VFD237" s="16"/>
      <c r="VFE237" s="16"/>
      <c r="VFF237" s="16"/>
      <c r="VFG237" s="16"/>
      <c r="VFH237" s="16"/>
      <c r="VFI237" s="15"/>
      <c r="VFJ237" s="15"/>
      <c r="VFK237" s="10"/>
      <c r="VFL237" s="10"/>
      <c r="VFM237" s="19"/>
      <c r="VFN237" s="19"/>
      <c r="VFQ237" s="16"/>
      <c r="VFR237" s="15"/>
      <c r="VFS237" s="15"/>
      <c r="VFT237" s="15"/>
      <c r="VFU237" s="16"/>
      <c r="VFV237" s="16"/>
      <c r="VFW237" s="16"/>
      <c r="VFX237" s="16"/>
      <c r="VFY237" s="16"/>
      <c r="VFZ237" s="15"/>
      <c r="VGA237" s="15"/>
      <c r="VGB237" s="10"/>
      <c r="VGC237" s="10"/>
      <c r="VGD237" s="19"/>
      <c r="VGE237" s="19"/>
      <c r="VGH237" s="16"/>
      <c r="VGI237" s="15"/>
      <c r="VGJ237" s="15"/>
      <c r="VGK237" s="15"/>
      <c r="VGL237" s="16"/>
      <c r="VGM237" s="16"/>
      <c r="VGN237" s="16"/>
      <c r="VGO237" s="16"/>
      <c r="VGP237" s="16"/>
      <c r="VGQ237" s="15"/>
      <c r="VGR237" s="15"/>
      <c r="VGS237" s="10"/>
      <c r="VGT237" s="10"/>
      <c r="VGU237" s="19"/>
      <c r="VGV237" s="19"/>
      <c r="VGY237" s="16"/>
      <c r="VGZ237" s="15"/>
      <c r="VHA237" s="15"/>
      <c r="VHB237" s="15"/>
      <c r="VHC237" s="16"/>
      <c r="VHD237" s="16"/>
      <c r="VHE237" s="16"/>
      <c r="VHF237" s="16"/>
      <c r="VHG237" s="16"/>
      <c r="VHH237" s="15"/>
      <c r="VHI237" s="15"/>
      <c r="VHJ237" s="10"/>
      <c r="VHK237" s="10"/>
      <c r="VHL237" s="19"/>
      <c r="VHM237" s="19"/>
      <c r="VHP237" s="16"/>
      <c r="VHQ237" s="15"/>
      <c r="VHR237" s="15"/>
      <c r="VHS237" s="15"/>
      <c r="VHT237" s="16"/>
      <c r="VHU237" s="16"/>
      <c r="VHV237" s="16"/>
      <c r="VHW237" s="16"/>
      <c r="VHX237" s="16"/>
      <c r="VHY237" s="15"/>
      <c r="VHZ237" s="15"/>
      <c r="VIA237" s="10"/>
      <c r="VIB237" s="10"/>
      <c r="VIC237" s="19"/>
      <c r="VID237" s="19"/>
      <c r="VIG237" s="16"/>
      <c r="VIH237" s="15"/>
      <c r="VII237" s="15"/>
      <c r="VIJ237" s="15"/>
      <c r="VIK237" s="16"/>
      <c r="VIL237" s="16"/>
      <c r="VIM237" s="16"/>
      <c r="VIN237" s="16"/>
      <c r="VIO237" s="16"/>
      <c r="VIP237" s="15"/>
      <c r="VIQ237" s="15"/>
      <c r="VIR237" s="10"/>
      <c r="VIS237" s="10"/>
      <c r="VIT237" s="19"/>
      <c r="VIU237" s="19"/>
      <c r="VIX237" s="16"/>
      <c r="VIY237" s="15"/>
      <c r="VIZ237" s="15"/>
      <c r="VJA237" s="15"/>
      <c r="VJB237" s="16"/>
      <c r="VJC237" s="16"/>
      <c r="VJD237" s="16"/>
      <c r="VJE237" s="16"/>
      <c r="VJF237" s="16"/>
      <c r="VJG237" s="15"/>
      <c r="VJH237" s="15"/>
      <c r="VJI237" s="10"/>
      <c r="VJJ237" s="10"/>
      <c r="VJK237" s="19"/>
      <c r="VJL237" s="19"/>
      <c r="VJO237" s="16"/>
      <c r="VJP237" s="15"/>
      <c r="VJQ237" s="15"/>
      <c r="VJR237" s="15"/>
      <c r="VJS237" s="16"/>
      <c r="VJT237" s="16"/>
      <c r="VJU237" s="16"/>
      <c r="VJV237" s="16"/>
      <c r="VJW237" s="16"/>
      <c r="VJX237" s="15"/>
      <c r="VJY237" s="15"/>
      <c r="VJZ237" s="10"/>
      <c r="VKA237" s="10"/>
      <c r="VKB237" s="19"/>
      <c r="VKC237" s="19"/>
      <c r="VKF237" s="16"/>
      <c r="VKG237" s="15"/>
      <c r="VKH237" s="15"/>
      <c r="VKI237" s="15"/>
      <c r="VKJ237" s="16"/>
      <c r="VKK237" s="16"/>
      <c r="VKL237" s="16"/>
      <c r="VKM237" s="16"/>
      <c r="VKN237" s="16"/>
      <c r="VKO237" s="15"/>
      <c r="VKP237" s="15"/>
      <c r="VKQ237" s="10"/>
      <c r="VKR237" s="10"/>
      <c r="VKS237" s="19"/>
      <c r="VKT237" s="19"/>
      <c r="VKW237" s="16"/>
      <c r="VKX237" s="15"/>
      <c r="VKY237" s="15"/>
      <c r="VKZ237" s="15"/>
      <c r="VLA237" s="16"/>
      <c r="VLB237" s="16"/>
      <c r="VLC237" s="16"/>
      <c r="VLD237" s="16"/>
      <c r="VLE237" s="16"/>
      <c r="VLF237" s="15"/>
      <c r="VLG237" s="15"/>
      <c r="VLH237" s="10"/>
      <c r="VLI237" s="10"/>
      <c r="VLJ237" s="19"/>
      <c r="VLK237" s="19"/>
      <c r="VLN237" s="16"/>
      <c r="VLO237" s="15"/>
      <c r="VLP237" s="15"/>
      <c r="VLQ237" s="15"/>
      <c r="VLR237" s="16"/>
      <c r="VLS237" s="16"/>
      <c r="VLT237" s="16"/>
      <c r="VLU237" s="16"/>
      <c r="VLV237" s="16"/>
      <c r="VLW237" s="15"/>
      <c r="VLX237" s="15"/>
      <c r="VLY237" s="10"/>
      <c r="VLZ237" s="10"/>
      <c r="VMA237" s="19"/>
      <c r="VMB237" s="19"/>
      <c r="VME237" s="16"/>
      <c r="VMF237" s="15"/>
      <c r="VMG237" s="15"/>
      <c r="VMH237" s="15"/>
      <c r="VMI237" s="16"/>
      <c r="VMJ237" s="16"/>
      <c r="VMK237" s="16"/>
      <c r="VML237" s="16"/>
      <c r="VMM237" s="16"/>
      <c r="VMN237" s="15"/>
      <c r="VMO237" s="15"/>
      <c r="VMP237" s="10"/>
      <c r="VMQ237" s="10"/>
      <c r="VMR237" s="19"/>
      <c r="VMS237" s="19"/>
      <c r="VMV237" s="16"/>
      <c r="VMW237" s="15"/>
      <c r="VMX237" s="15"/>
      <c r="VMY237" s="15"/>
      <c r="VMZ237" s="16"/>
      <c r="VNA237" s="16"/>
      <c r="VNB237" s="16"/>
      <c r="VNC237" s="16"/>
      <c r="VND237" s="16"/>
      <c r="VNE237" s="15"/>
      <c r="VNF237" s="15"/>
      <c r="VNG237" s="10"/>
      <c r="VNH237" s="10"/>
      <c r="VNI237" s="19"/>
      <c r="VNJ237" s="19"/>
      <c r="VNM237" s="16"/>
      <c r="VNN237" s="15"/>
      <c r="VNO237" s="15"/>
      <c r="VNP237" s="15"/>
      <c r="VNQ237" s="16"/>
      <c r="VNR237" s="16"/>
      <c r="VNS237" s="16"/>
      <c r="VNT237" s="16"/>
      <c r="VNU237" s="16"/>
      <c r="VNV237" s="15"/>
      <c r="VNW237" s="15"/>
      <c r="VNX237" s="10"/>
      <c r="VNY237" s="10"/>
      <c r="VNZ237" s="19"/>
      <c r="VOA237" s="19"/>
      <c r="VOD237" s="16"/>
      <c r="VOE237" s="15"/>
      <c r="VOF237" s="15"/>
      <c r="VOG237" s="15"/>
      <c r="VOH237" s="16"/>
      <c r="VOI237" s="16"/>
      <c r="VOJ237" s="16"/>
      <c r="VOK237" s="16"/>
      <c r="VOL237" s="16"/>
      <c r="VOM237" s="15"/>
      <c r="VON237" s="15"/>
      <c r="VOO237" s="10"/>
      <c r="VOP237" s="10"/>
      <c r="VOQ237" s="19"/>
      <c r="VOR237" s="19"/>
      <c r="VOU237" s="16"/>
      <c r="VOV237" s="15"/>
      <c r="VOW237" s="15"/>
      <c r="VOX237" s="15"/>
      <c r="VOY237" s="16"/>
      <c r="VOZ237" s="16"/>
      <c r="VPA237" s="16"/>
      <c r="VPB237" s="16"/>
      <c r="VPC237" s="16"/>
      <c r="VPD237" s="15"/>
      <c r="VPE237" s="15"/>
      <c r="VPF237" s="10"/>
      <c r="VPG237" s="10"/>
      <c r="VPH237" s="19"/>
      <c r="VPI237" s="19"/>
      <c r="VPL237" s="16"/>
      <c r="VPM237" s="15"/>
      <c r="VPN237" s="15"/>
      <c r="VPO237" s="15"/>
      <c r="VPP237" s="16"/>
      <c r="VPQ237" s="16"/>
      <c r="VPR237" s="16"/>
      <c r="VPS237" s="16"/>
      <c r="VPT237" s="16"/>
      <c r="VPU237" s="15"/>
      <c r="VPV237" s="15"/>
      <c r="VPW237" s="10"/>
      <c r="VPX237" s="10"/>
      <c r="VPY237" s="19"/>
      <c r="VPZ237" s="19"/>
      <c r="VQC237" s="16"/>
      <c r="VQD237" s="15"/>
      <c r="VQE237" s="15"/>
      <c r="VQF237" s="15"/>
      <c r="VQG237" s="16"/>
      <c r="VQH237" s="16"/>
      <c r="VQI237" s="16"/>
      <c r="VQJ237" s="16"/>
      <c r="VQK237" s="16"/>
      <c r="VQL237" s="15"/>
      <c r="VQM237" s="15"/>
      <c r="VQN237" s="10"/>
      <c r="VQO237" s="10"/>
      <c r="VQP237" s="19"/>
      <c r="VQQ237" s="19"/>
      <c r="VQT237" s="16"/>
      <c r="VQU237" s="15"/>
      <c r="VQV237" s="15"/>
      <c r="VQW237" s="15"/>
      <c r="VQX237" s="16"/>
      <c r="VQY237" s="16"/>
      <c r="VQZ237" s="16"/>
      <c r="VRA237" s="16"/>
      <c r="VRB237" s="16"/>
      <c r="VRC237" s="15"/>
      <c r="VRD237" s="15"/>
      <c r="VRE237" s="10"/>
      <c r="VRF237" s="10"/>
      <c r="VRG237" s="19"/>
      <c r="VRH237" s="19"/>
      <c r="VRK237" s="16"/>
      <c r="VRL237" s="15"/>
      <c r="VRM237" s="15"/>
      <c r="VRN237" s="15"/>
      <c r="VRO237" s="16"/>
      <c r="VRP237" s="16"/>
      <c r="VRQ237" s="16"/>
      <c r="VRR237" s="16"/>
      <c r="VRS237" s="16"/>
      <c r="VRT237" s="15"/>
      <c r="VRU237" s="15"/>
      <c r="VRV237" s="10"/>
      <c r="VRW237" s="10"/>
      <c r="VRX237" s="19"/>
      <c r="VRY237" s="19"/>
      <c r="VSB237" s="16"/>
      <c r="VSC237" s="15"/>
      <c r="VSD237" s="15"/>
      <c r="VSE237" s="15"/>
      <c r="VSF237" s="16"/>
      <c r="VSG237" s="16"/>
      <c r="VSH237" s="16"/>
      <c r="VSI237" s="16"/>
      <c r="VSJ237" s="16"/>
      <c r="VSK237" s="15"/>
      <c r="VSL237" s="15"/>
      <c r="VSM237" s="10"/>
      <c r="VSN237" s="10"/>
      <c r="VSO237" s="19"/>
      <c r="VSP237" s="19"/>
      <c r="VSS237" s="16"/>
      <c r="VST237" s="15"/>
      <c r="VSU237" s="15"/>
      <c r="VSV237" s="15"/>
      <c r="VSW237" s="16"/>
      <c r="VSX237" s="16"/>
      <c r="VSY237" s="16"/>
      <c r="VSZ237" s="16"/>
      <c r="VTA237" s="16"/>
      <c r="VTB237" s="15"/>
      <c r="VTC237" s="15"/>
      <c r="VTD237" s="10"/>
      <c r="VTE237" s="10"/>
      <c r="VTF237" s="19"/>
      <c r="VTG237" s="19"/>
      <c r="VTJ237" s="16"/>
      <c r="VTK237" s="15"/>
      <c r="VTL237" s="15"/>
      <c r="VTM237" s="15"/>
      <c r="VTN237" s="16"/>
      <c r="VTO237" s="16"/>
      <c r="VTP237" s="16"/>
      <c r="VTQ237" s="16"/>
      <c r="VTR237" s="16"/>
      <c r="VTS237" s="15"/>
      <c r="VTT237" s="15"/>
      <c r="VTU237" s="10"/>
      <c r="VTV237" s="10"/>
      <c r="VTW237" s="19"/>
      <c r="VTX237" s="19"/>
      <c r="VUA237" s="16"/>
      <c r="VUB237" s="15"/>
      <c r="VUC237" s="15"/>
      <c r="VUD237" s="15"/>
      <c r="VUE237" s="16"/>
      <c r="VUF237" s="16"/>
      <c r="VUG237" s="16"/>
      <c r="VUH237" s="16"/>
      <c r="VUI237" s="16"/>
      <c r="VUJ237" s="15"/>
      <c r="VUK237" s="15"/>
      <c r="VUL237" s="10"/>
      <c r="VUM237" s="10"/>
      <c r="VUN237" s="19"/>
      <c r="VUO237" s="19"/>
      <c r="VUR237" s="16"/>
      <c r="VUS237" s="15"/>
      <c r="VUT237" s="15"/>
      <c r="VUU237" s="15"/>
      <c r="VUV237" s="16"/>
      <c r="VUW237" s="16"/>
      <c r="VUX237" s="16"/>
      <c r="VUY237" s="16"/>
      <c r="VUZ237" s="16"/>
      <c r="VVA237" s="15"/>
      <c r="VVB237" s="15"/>
      <c r="VVC237" s="10"/>
      <c r="VVD237" s="10"/>
      <c r="VVE237" s="19"/>
      <c r="VVF237" s="19"/>
      <c r="VVI237" s="16"/>
      <c r="VVJ237" s="15"/>
      <c r="VVK237" s="15"/>
      <c r="VVL237" s="15"/>
      <c r="VVM237" s="16"/>
      <c r="VVN237" s="16"/>
      <c r="VVO237" s="16"/>
      <c r="VVP237" s="16"/>
      <c r="VVQ237" s="16"/>
      <c r="VVR237" s="15"/>
      <c r="VVS237" s="15"/>
      <c r="VVT237" s="10"/>
      <c r="VVU237" s="10"/>
      <c r="VVV237" s="19"/>
      <c r="VVW237" s="19"/>
      <c r="VVZ237" s="16"/>
      <c r="VWA237" s="15"/>
      <c r="VWB237" s="15"/>
      <c r="VWC237" s="15"/>
      <c r="VWD237" s="16"/>
      <c r="VWE237" s="16"/>
      <c r="VWF237" s="16"/>
      <c r="VWG237" s="16"/>
      <c r="VWH237" s="16"/>
      <c r="VWI237" s="15"/>
      <c r="VWJ237" s="15"/>
      <c r="VWK237" s="10"/>
      <c r="VWL237" s="10"/>
      <c r="VWM237" s="19"/>
      <c r="VWN237" s="19"/>
      <c r="VWQ237" s="16"/>
      <c r="VWR237" s="15"/>
      <c r="VWS237" s="15"/>
      <c r="VWT237" s="15"/>
      <c r="VWU237" s="16"/>
      <c r="VWV237" s="16"/>
      <c r="VWW237" s="16"/>
      <c r="VWX237" s="16"/>
      <c r="VWY237" s="16"/>
      <c r="VWZ237" s="15"/>
      <c r="VXA237" s="15"/>
      <c r="VXB237" s="10"/>
      <c r="VXC237" s="10"/>
      <c r="VXD237" s="19"/>
      <c r="VXE237" s="19"/>
      <c r="VXH237" s="16"/>
      <c r="VXI237" s="15"/>
      <c r="VXJ237" s="15"/>
      <c r="VXK237" s="15"/>
      <c r="VXL237" s="16"/>
      <c r="VXM237" s="16"/>
      <c r="VXN237" s="16"/>
      <c r="VXO237" s="16"/>
      <c r="VXP237" s="16"/>
      <c r="VXQ237" s="15"/>
      <c r="VXR237" s="15"/>
      <c r="VXS237" s="10"/>
      <c r="VXT237" s="10"/>
      <c r="VXU237" s="19"/>
      <c r="VXV237" s="19"/>
      <c r="VXY237" s="16"/>
      <c r="VXZ237" s="15"/>
      <c r="VYA237" s="15"/>
      <c r="VYB237" s="15"/>
      <c r="VYC237" s="16"/>
      <c r="VYD237" s="16"/>
      <c r="VYE237" s="16"/>
      <c r="VYF237" s="16"/>
      <c r="VYG237" s="16"/>
      <c r="VYH237" s="15"/>
      <c r="VYI237" s="15"/>
      <c r="VYJ237" s="10"/>
      <c r="VYK237" s="10"/>
      <c r="VYL237" s="19"/>
      <c r="VYM237" s="19"/>
      <c r="VYP237" s="16"/>
      <c r="VYQ237" s="15"/>
      <c r="VYR237" s="15"/>
      <c r="VYS237" s="15"/>
      <c r="VYT237" s="16"/>
      <c r="VYU237" s="16"/>
      <c r="VYV237" s="16"/>
      <c r="VYW237" s="16"/>
      <c r="VYX237" s="16"/>
      <c r="VYY237" s="15"/>
      <c r="VYZ237" s="15"/>
      <c r="VZA237" s="10"/>
      <c r="VZB237" s="10"/>
      <c r="VZC237" s="19"/>
      <c r="VZD237" s="19"/>
      <c r="VZG237" s="16"/>
      <c r="VZH237" s="15"/>
      <c r="VZI237" s="15"/>
      <c r="VZJ237" s="15"/>
      <c r="VZK237" s="16"/>
      <c r="VZL237" s="16"/>
      <c r="VZM237" s="16"/>
      <c r="VZN237" s="16"/>
      <c r="VZO237" s="16"/>
      <c r="VZP237" s="15"/>
      <c r="VZQ237" s="15"/>
      <c r="VZR237" s="10"/>
      <c r="VZS237" s="10"/>
      <c r="VZT237" s="19"/>
      <c r="VZU237" s="19"/>
      <c r="VZX237" s="16"/>
      <c r="VZY237" s="15"/>
      <c r="VZZ237" s="15"/>
      <c r="WAA237" s="15"/>
      <c r="WAB237" s="16"/>
      <c r="WAC237" s="16"/>
      <c r="WAD237" s="16"/>
      <c r="WAE237" s="16"/>
      <c r="WAF237" s="16"/>
      <c r="WAG237" s="15"/>
      <c r="WAH237" s="15"/>
      <c r="WAI237" s="10"/>
      <c r="WAJ237" s="10"/>
      <c r="WAK237" s="19"/>
      <c r="WAL237" s="19"/>
      <c r="WAO237" s="16"/>
      <c r="WAP237" s="15"/>
      <c r="WAQ237" s="15"/>
      <c r="WAR237" s="15"/>
      <c r="WAS237" s="16"/>
      <c r="WAT237" s="16"/>
      <c r="WAU237" s="16"/>
      <c r="WAV237" s="16"/>
      <c r="WAW237" s="16"/>
      <c r="WAX237" s="15"/>
      <c r="WAY237" s="15"/>
      <c r="WAZ237" s="10"/>
      <c r="WBA237" s="10"/>
      <c r="WBB237" s="19"/>
      <c r="WBC237" s="19"/>
      <c r="WBF237" s="16"/>
      <c r="WBG237" s="15"/>
      <c r="WBH237" s="15"/>
      <c r="WBI237" s="15"/>
      <c r="WBJ237" s="16"/>
      <c r="WBK237" s="16"/>
      <c r="WBL237" s="16"/>
      <c r="WBM237" s="16"/>
      <c r="WBN237" s="16"/>
      <c r="WBO237" s="15"/>
      <c r="WBP237" s="15"/>
      <c r="WBQ237" s="10"/>
      <c r="WBR237" s="10"/>
      <c r="WBS237" s="19"/>
      <c r="WBT237" s="19"/>
      <c r="WBW237" s="16"/>
      <c r="WBX237" s="15"/>
      <c r="WBY237" s="15"/>
      <c r="WBZ237" s="15"/>
      <c r="WCA237" s="16"/>
      <c r="WCB237" s="16"/>
      <c r="WCC237" s="16"/>
      <c r="WCD237" s="16"/>
      <c r="WCE237" s="16"/>
      <c r="WCF237" s="15"/>
      <c r="WCG237" s="15"/>
      <c r="WCH237" s="10"/>
      <c r="WCI237" s="10"/>
      <c r="WCJ237" s="19"/>
      <c r="WCK237" s="19"/>
      <c r="WCN237" s="16"/>
      <c r="WCO237" s="15"/>
      <c r="WCP237" s="15"/>
      <c r="WCQ237" s="15"/>
      <c r="WCR237" s="16"/>
      <c r="WCS237" s="16"/>
      <c r="WCT237" s="16"/>
      <c r="WCU237" s="16"/>
      <c r="WCV237" s="16"/>
      <c r="WCW237" s="15"/>
      <c r="WCX237" s="15"/>
      <c r="WCY237" s="10"/>
      <c r="WCZ237" s="10"/>
      <c r="WDA237" s="19"/>
      <c r="WDB237" s="19"/>
      <c r="WDE237" s="16"/>
      <c r="WDF237" s="15"/>
      <c r="WDG237" s="15"/>
      <c r="WDH237" s="15"/>
      <c r="WDI237" s="16"/>
      <c r="WDJ237" s="16"/>
      <c r="WDK237" s="16"/>
      <c r="WDL237" s="16"/>
      <c r="WDM237" s="16"/>
      <c r="WDN237" s="15"/>
      <c r="WDO237" s="15"/>
      <c r="WDP237" s="10"/>
      <c r="WDQ237" s="10"/>
      <c r="WDR237" s="19"/>
      <c r="WDS237" s="19"/>
      <c r="WDV237" s="16"/>
      <c r="WDW237" s="15"/>
      <c r="WDX237" s="15"/>
      <c r="WDY237" s="15"/>
      <c r="WDZ237" s="16"/>
      <c r="WEA237" s="16"/>
      <c r="WEB237" s="16"/>
      <c r="WEC237" s="16"/>
      <c r="WED237" s="16"/>
      <c r="WEE237" s="15"/>
      <c r="WEF237" s="15"/>
      <c r="WEG237" s="10"/>
      <c r="WEH237" s="10"/>
      <c r="WEI237" s="19"/>
      <c r="WEJ237" s="19"/>
      <c r="WEM237" s="16"/>
      <c r="WEN237" s="15"/>
      <c r="WEO237" s="15"/>
      <c r="WEP237" s="15"/>
      <c r="WEQ237" s="16"/>
      <c r="WER237" s="16"/>
      <c r="WES237" s="16"/>
      <c r="WET237" s="16"/>
      <c r="WEU237" s="16"/>
      <c r="WEV237" s="15"/>
      <c r="WEW237" s="15"/>
      <c r="WEX237" s="10"/>
      <c r="WEY237" s="10"/>
      <c r="WEZ237" s="19"/>
      <c r="WFA237" s="19"/>
      <c r="WFD237" s="16"/>
      <c r="WFE237" s="15"/>
      <c r="WFF237" s="15"/>
      <c r="WFG237" s="15"/>
      <c r="WFH237" s="16"/>
      <c r="WFI237" s="16"/>
      <c r="WFJ237" s="16"/>
      <c r="WFK237" s="16"/>
      <c r="WFL237" s="16"/>
      <c r="WFM237" s="15"/>
      <c r="WFN237" s="15"/>
      <c r="WFO237" s="10"/>
      <c r="WFP237" s="10"/>
      <c r="WFQ237" s="19"/>
      <c r="WFR237" s="19"/>
      <c r="WFU237" s="16"/>
      <c r="WFV237" s="15"/>
      <c r="WFW237" s="15"/>
      <c r="WFX237" s="15"/>
      <c r="WFY237" s="16"/>
      <c r="WFZ237" s="16"/>
      <c r="WGA237" s="16"/>
      <c r="WGB237" s="16"/>
      <c r="WGC237" s="16"/>
      <c r="WGD237" s="15"/>
      <c r="WGE237" s="15"/>
      <c r="WGF237" s="10"/>
      <c r="WGG237" s="10"/>
      <c r="WGH237" s="19"/>
      <c r="WGI237" s="19"/>
      <c r="WGL237" s="16"/>
      <c r="WGM237" s="15"/>
      <c r="WGN237" s="15"/>
      <c r="WGO237" s="15"/>
      <c r="WGP237" s="16"/>
      <c r="WGQ237" s="16"/>
      <c r="WGR237" s="16"/>
      <c r="WGS237" s="16"/>
      <c r="WGT237" s="16"/>
      <c r="WGU237" s="15"/>
      <c r="WGV237" s="15"/>
      <c r="WGW237" s="10"/>
      <c r="WGX237" s="10"/>
      <c r="WGY237" s="19"/>
      <c r="WGZ237" s="19"/>
      <c r="WHC237" s="16"/>
      <c r="WHD237" s="15"/>
      <c r="WHE237" s="15"/>
      <c r="WHF237" s="15"/>
      <c r="WHG237" s="16"/>
      <c r="WHH237" s="16"/>
      <c r="WHI237" s="16"/>
      <c r="WHJ237" s="16"/>
      <c r="WHK237" s="16"/>
      <c r="WHL237" s="15"/>
      <c r="WHM237" s="15"/>
      <c r="WHN237" s="10"/>
      <c r="WHO237" s="10"/>
      <c r="WHP237" s="19"/>
      <c r="WHQ237" s="19"/>
      <c r="WHT237" s="16"/>
      <c r="WHU237" s="15"/>
      <c r="WHV237" s="15"/>
      <c r="WHW237" s="15"/>
      <c r="WHX237" s="16"/>
      <c r="WHY237" s="16"/>
      <c r="WHZ237" s="16"/>
      <c r="WIA237" s="16"/>
      <c r="WIB237" s="16"/>
      <c r="WIC237" s="15"/>
      <c r="WID237" s="15"/>
      <c r="WIE237" s="10"/>
      <c r="WIF237" s="10"/>
      <c r="WIG237" s="19"/>
      <c r="WIH237" s="19"/>
      <c r="WIK237" s="16"/>
      <c r="WIL237" s="15"/>
      <c r="WIM237" s="15"/>
      <c r="WIN237" s="15"/>
      <c r="WIO237" s="16"/>
      <c r="WIP237" s="16"/>
      <c r="WIQ237" s="16"/>
      <c r="WIR237" s="16"/>
      <c r="WIS237" s="16"/>
      <c r="WIT237" s="15"/>
      <c r="WIU237" s="15"/>
      <c r="WIV237" s="10"/>
      <c r="WIW237" s="10"/>
      <c r="WIX237" s="19"/>
      <c r="WIY237" s="19"/>
      <c r="WJB237" s="16"/>
      <c r="WJC237" s="15"/>
      <c r="WJD237" s="15"/>
      <c r="WJE237" s="15"/>
      <c r="WJF237" s="16"/>
      <c r="WJG237" s="16"/>
      <c r="WJH237" s="16"/>
      <c r="WJI237" s="16"/>
      <c r="WJJ237" s="16"/>
      <c r="WJK237" s="15"/>
      <c r="WJL237" s="15"/>
      <c r="WJM237" s="10"/>
      <c r="WJN237" s="10"/>
      <c r="WJO237" s="19"/>
      <c r="WJP237" s="19"/>
      <c r="WJS237" s="16"/>
      <c r="WJT237" s="15"/>
      <c r="WJU237" s="15"/>
      <c r="WJV237" s="15"/>
      <c r="WJW237" s="16"/>
      <c r="WJX237" s="16"/>
      <c r="WJY237" s="16"/>
      <c r="WJZ237" s="16"/>
      <c r="WKA237" s="16"/>
      <c r="WKB237" s="15"/>
      <c r="WKC237" s="15"/>
      <c r="WKD237" s="10"/>
      <c r="WKE237" s="10"/>
      <c r="WKF237" s="19"/>
      <c r="WKG237" s="19"/>
      <c r="WKJ237" s="16"/>
      <c r="WKK237" s="15"/>
      <c r="WKL237" s="15"/>
      <c r="WKM237" s="15"/>
      <c r="WKN237" s="16"/>
      <c r="WKO237" s="16"/>
      <c r="WKP237" s="16"/>
      <c r="WKQ237" s="16"/>
      <c r="WKR237" s="16"/>
      <c r="WKS237" s="15"/>
      <c r="WKT237" s="15"/>
      <c r="WKU237" s="10"/>
      <c r="WKV237" s="10"/>
      <c r="WKW237" s="19"/>
      <c r="WKX237" s="19"/>
      <c r="WLA237" s="16"/>
      <c r="WLB237" s="15"/>
      <c r="WLC237" s="15"/>
      <c r="WLD237" s="15"/>
      <c r="WLE237" s="16"/>
      <c r="WLF237" s="16"/>
      <c r="WLG237" s="16"/>
      <c r="WLH237" s="16"/>
      <c r="WLI237" s="16"/>
      <c r="WLJ237" s="15"/>
      <c r="WLK237" s="15"/>
      <c r="WLL237" s="10"/>
      <c r="WLM237" s="10"/>
      <c r="WLN237" s="19"/>
      <c r="WLO237" s="19"/>
      <c r="WLR237" s="16"/>
      <c r="WLS237" s="15"/>
      <c r="WLT237" s="15"/>
      <c r="WLU237" s="15"/>
      <c r="WLV237" s="16"/>
      <c r="WLW237" s="16"/>
      <c r="WLX237" s="16"/>
      <c r="WLY237" s="16"/>
      <c r="WLZ237" s="16"/>
      <c r="WMA237" s="15"/>
      <c r="WMB237" s="15"/>
      <c r="WMC237" s="10"/>
      <c r="WMD237" s="10"/>
      <c r="WME237" s="19"/>
      <c r="WMF237" s="19"/>
      <c r="WMI237" s="16"/>
      <c r="WMJ237" s="15"/>
      <c r="WMK237" s="15"/>
      <c r="WML237" s="15"/>
      <c r="WMM237" s="16"/>
      <c r="WMN237" s="16"/>
      <c r="WMO237" s="16"/>
      <c r="WMP237" s="16"/>
      <c r="WMQ237" s="16"/>
      <c r="WMR237" s="15"/>
      <c r="WMS237" s="15"/>
      <c r="WMT237" s="10"/>
      <c r="WMU237" s="10"/>
      <c r="WMV237" s="19"/>
      <c r="WMW237" s="19"/>
      <c r="WMZ237" s="16"/>
      <c r="WNA237" s="15"/>
      <c r="WNB237" s="15"/>
      <c r="WNC237" s="15"/>
      <c r="WND237" s="16"/>
      <c r="WNE237" s="16"/>
      <c r="WNF237" s="16"/>
      <c r="WNG237" s="16"/>
      <c r="WNH237" s="16"/>
      <c r="WNI237" s="15"/>
      <c r="WNJ237" s="15"/>
      <c r="WNK237" s="10"/>
      <c r="WNL237" s="10"/>
      <c r="WNM237" s="19"/>
      <c r="WNN237" s="19"/>
      <c r="WNQ237" s="16"/>
      <c r="WNR237" s="15"/>
      <c r="WNS237" s="15"/>
      <c r="WNT237" s="15"/>
      <c r="WNU237" s="16"/>
      <c r="WNV237" s="16"/>
      <c r="WNW237" s="16"/>
      <c r="WNX237" s="16"/>
      <c r="WNY237" s="16"/>
      <c r="WNZ237" s="15"/>
      <c r="WOA237" s="15"/>
      <c r="WOB237" s="10"/>
      <c r="WOC237" s="10"/>
      <c r="WOD237" s="19"/>
      <c r="WOE237" s="19"/>
      <c r="WOH237" s="16"/>
      <c r="WOI237" s="15"/>
      <c r="WOJ237" s="15"/>
      <c r="WOK237" s="15"/>
      <c r="WOL237" s="16"/>
      <c r="WOM237" s="16"/>
      <c r="WON237" s="16"/>
      <c r="WOO237" s="16"/>
      <c r="WOP237" s="16"/>
      <c r="WOQ237" s="15"/>
      <c r="WOR237" s="15"/>
      <c r="WOS237" s="10"/>
      <c r="WOT237" s="10"/>
      <c r="WOU237" s="19"/>
      <c r="WOV237" s="19"/>
      <c r="WOY237" s="16"/>
      <c r="WOZ237" s="15"/>
      <c r="WPA237" s="15"/>
      <c r="WPB237" s="15"/>
      <c r="WPC237" s="16"/>
      <c r="WPD237" s="16"/>
      <c r="WPE237" s="16"/>
      <c r="WPF237" s="16"/>
      <c r="WPG237" s="16"/>
      <c r="WPH237" s="15"/>
      <c r="WPI237" s="15"/>
      <c r="WPJ237" s="10"/>
      <c r="WPK237" s="10"/>
      <c r="WPL237" s="19"/>
      <c r="WPM237" s="19"/>
      <c r="WPP237" s="16"/>
      <c r="WPQ237" s="15"/>
      <c r="WPR237" s="15"/>
      <c r="WPS237" s="15"/>
      <c r="WPT237" s="16"/>
      <c r="WPU237" s="16"/>
      <c r="WPV237" s="16"/>
      <c r="WPW237" s="16"/>
      <c r="WPX237" s="16"/>
      <c r="WPY237" s="15"/>
      <c r="WPZ237" s="15"/>
      <c r="WQA237" s="10"/>
      <c r="WQB237" s="10"/>
      <c r="WQC237" s="19"/>
      <c r="WQD237" s="19"/>
      <c r="WQG237" s="16"/>
      <c r="WQH237" s="15"/>
      <c r="WQI237" s="15"/>
      <c r="WQJ237" s="15"/>
      <c r="WQK237" s="16"/>
      <c r="WQL237" s="16"/>
      <c r="WQM237" s="16"/>
      <c r="WQN237" s="16"/>
      <c r="WQO237" s="16"/>
      <c r="WQP237" s="15"/>
      <c r="WQQ237" s="15"/>
      <c r="WQR237" s="10"/>
      <c r="WQS237" s="10"/>
      <c r="WQT237" s="19"/>
      <c r="WQU237" s="19"/>
      <c r="WQX237" s="16"/>
      <c r="WQY237" s="15"/>
      <c r="WQZ237" s="15"/>
      <c r="WRA237" s="15"/>
      <c r="WRB237" s="16"/>
      <c r="WRC237" s="16"/>
      <c r="WRD237" s="16"/>
      <c r="WRE237" s="16"/>
      <c r="WRF237" s="16"/>
      <c r="WRG237" s="15"/>
      <c r="WRH237" s="15"/>
      <c r="WRI237" s="10"/>
      <c r="WRJ237" s="10"/>
      <c r="WRK237" s="19"/>
      <c r="WRL237" s="19"/>
      <c r="WRO237" s="16"/>
      <c r="WRP237" s="15"/>
      <c r="WRQ237" s="15"/>
      <c r="WRR237" s="15"/>
      <c r="WRS237" s="16"/>
      <c r="WRT237" s="16"/>
      <c r="WRU237" s="16"/>
      <c r="WRV237" s="16"/>
      <c r="WRW237" s="16"/>
      <c r="WRX237" s="15"/>
      <c r="WRY237" s="15"/>
      <c r="WRZ237" s="10"/>
      <c r="WSA237" s="10"/>
      <c r="WSB237" s="19"/>
      <c r="WSC237" s="19"/>
      <c r="WSF237" s="16"/>
      <c r="WSG237" s="15"/>
      <c r="WSH237" s="15"/>
      <c r="WSI237" s="15"/>
      <c r="WSJ237" s="16"/>
      <c r="WSK237" s="16"/>
      <c r="WSL237" s="16"/>
      <c r="WSM237" s="16"/>
      <c r="WSN237" s="16"/>
      <c r="WSO237" s="15"/>
      <c r="WSP237" s="15"/>
      <c r="WSQ237" s="10"/>
      <c r="WSR237" s="10"/>
      <c r="WSS237" s="19"/>
      <c r="WST237" s="19"/>
      <c r="WSW237" s="16"/>
      <c r="WSX237" s="15"/>
      <c r="WSY237" s="15"/>
      <c r="WSZ237" s="15"/>
      <c r="WTA237" s="16"/>
      <c r="WTB237" s="16"/>
      <c r="WTC237" s="16"/>
      <c r="WTD237" s="16"/>
      <c r="WTE237" s="16"/>
      <c r="WTF237" s="15"/>
      <c r="WTG237" s="15"/>
      <c r="WTH237" s="10"/>
      <c r="WTI237" s="10"/>
      <c r="WTJ237" s="19"/>
      <c r="WTK237" s="19"/>
      <c r="WTN237" s="16"/>
      <c r="WTO237" s="15"/>
      <c r="WTP237" s="15"/>
      <c r="WTQ237" s="15"/>
      <c r="WTR237" s="16"/>
      <c r="WTS237" s="16"/>
      <c r="WTT237" s="16"/>
      <c r="WTU237" s="16"/>
      <c r="WTV237" s="16"/>
      <c r="WTW237" s="15"/>
      <c r="WTX237" s="15"/>
      <c r="WTY237" s="10"/>
      <c r="WTZ237" s="10"/>
      <c r="WUA237" s="19"/>
      <c r="WUB237" s="19"/>
      <c r="WUE237" s="16"/>
      <c r="WUF237" s="15"/>
      <c r="WUG237" s="15"/>
      <c r="WUH237" s="15"/>
      <c r="WUI237" s="16"/>
      <c r="WUJ237" s="16"/>
      <c r="WUK237" s="16"/>
      <c r="WUL237" s="16"/>
      <c r="WUM237" s="16"/>
      <c r="WUN237" s="15"/>
      <c r="WUO237" s="15"/>
      <c r="WUP237" s="10"/>
      <c r="WUQ237" s="10"/>
      <c r="WUR237" s="19"/>
      <c r="WUS237" s="19"/>
      <c r="WUV237" s="16"/>
      <c r="WUW237" s="15"/>
      <c r="WUX237" s="15"/>
      <c r="WUY237" s="15"/>
      <c r="WUZ237" s="16"/>
      <c r="WVA237" s="16"/>
      <c r="WVB237" s="16"/>
      <c r="WVC237" s="16"/>
      <c r="WVD237" s="16"/>
      <c r="WVE237" s="15"/>
      <c r="WVF237" s="15"/>
      <c r="WVG237" s="10"/>
      <c r="WVH237" s="10"/>
      <c r="WVI237" s="19"/>
      <c r="WVJ237" s="19"/>
      <c r="WVM237" s="16"/>
      <c r="WVN237" s="15"/>
      <c r="WVO237" s="15"/>
      <c r="WVP237" s="15"/>
      <c r="WVQ237" s="16"/>
      <c r="WVR237" s="16"/>
      <c r="WVS237" s="16"/>
      <c r="WVT237" s="16"/>
      <c r="WVU237" s="16"/>
      <c r="WVV237" s="15"/>
      <c r="WVW237" s="15"/>
      <c r="WVX237" s="10"/>
      <c r="WVY237" s="10"/>
      <c r="WVZ237" s="19"/>
      <c r="WWA237" s="19"/>
      <c r="WWD237" s="16"/>
      <c r="WWE237" s="15"/>
      <c r="WWF237" s="15"/>
      <c r="WWG237" s="15"/>
      <c r="WWH237" s="16"/>
      <c r="WWI237" s="16"/>
      <c r="WWJ237" s="16"/>
      <c r="WWK237" s="16"/>
      <c r="WWL237" s="16"/>
      <c r="WWM237" s="15"/>
      <c r="WWN237" s="15"/>
      <c r="WWO237" s="10"/>
      <c r="WWP237" s="10"/>
      <c r="WWQ237" s="19"/>
      <c r="WWR237" s="19"/>
      <c r="WWU237" s="16"/>
      <c r="WWV237" s="15"/>
      <c r="WWW237" s="15"/>
      <c r="WWX237" s="15"/>
      <c r="WWY237" s="16"/>
      <c r="WWZ237" s="16"/>
      <c r="WXA237" s="16"/>
      <c r="WXB237" s="16"/>
      <c r="WXC237" s="16"/>
      <c r="WXD237" s="15"/>
      <c r="WXE237" s="15"/>
      <c r="WXF237" s="10"/>
      <c r="WXG237" s="10"/>
      <c r="WXH237" s="19"/>
      <c r="WXI237" s="19"/>
      <c r="WXL237" s="16"/>
      <c r="WXM237" s="15"/>
      <c r="WXN237" s="15"/>
      <c r="WXO237" s="15"/>
      <c r="WXP237" s="16"/>
      <c r="WXQ237" s="16"/>
      <c r="WXR237" s="16"/>
      <c r="WXS237" s="16"/>
      <c r="WXT237" s="16"/>
      <c r="WXU237" s="15"/>
      <c r="WXV237" s="15"/>
      <c r="WXW237" s="10"/>
      <c r="WXX237" s="10"/>
      <c r="WXY237" s="19"/>
      <c r="WXZ237" s="19"/>
      <c r="WYC237" s="16"/>
      <c r="WYD237" s="15"/>
      <c r="WYE237" s="15"/>
      <c r="WYF237" s="15"/>
      <c r="WYG237" s="16"/>
      <c r="WYH237" s="16"/>
      <c r="WYI237" s="16"/>
      <c r="WYJ237" s="16"/>
      <c r="WYK237" s="16"/>
      <c r="WYL237" s="15"/>
      <c r="WYM237" s="15"/>
      <c r="WYN237" s="10"/>
      <c r="WYO237" s="10"/>
      <c r="WYP237" s="19"/>
      <c r="WYQ237" s="19"/>
      <c r="WYT237" s="16"/>
      <c r="WYU237" s="15"/>
      <c r="WYV237" s="15"/>
      <c r="WYW237" s="15"/>
      <c r="WYX237" s="16"/>
      <c r="WYY237" s="16"/>
      <c r="WYZ237" s="16"/>
      <c r="WZA237" s="16"/>
      <c r="WZB237" s="16"/>
      <c r="WZC237" s="15"/>
      <c r="WZD237" s="15"/>
      <c r="WZE237" s="10"/>
      <c r="WZF237" s="10"/>
      <c r="WZG237" s="19"/>
      <c r="WZH237" s="19"/>
      <c r="WZK237" s="16"/>
      <c r="WZL237" s="15"/>
      <c r="WZM237" s="15"/>
      <c r="WZN237" s="15"/>
      <c r="WZO237" s="16"/>
      <c r="WZP237" s="16"/>
      <c r="WZQ237" s="16"/>
      <c r="WZR237" s="16"/>
      <c r="WZS237" s="16"/>
      <c r="WZT237" s="15"/>
      <c r="WZU237" s="15"/>
      <c r="WZV237" s="10"/>
      <c r="WZW237" s="10"/>
      <c r="WZX237" s="19"/>
      <c r="WZY237" s="19"/>
      <c r="XAB237" s="16"/>
      <c r="XAC237" s="15"/>
      <c r="XAD237" s="15"/>
      <c r="XAE237" s="15"/>
      <c r="XAF237" s="16"/>
      <c r="XAG237" s="16"/>
      <c r="XAH237" s="16"/>
      <c r="XAI237" s="16"/>
      <c r="XAJ237" s="16"/>
      <c r="XAK237" s="15"/>
      <c r="XAL237" s="15"/>
      <c r="XAM237" s="10"/>
      <c r="XAN237" s="10"/>
      <c r="XAO237" s="19"/>
      <c r="XAP237" s="19"/>
      <c r="XAS237" s="16"/>
      <c r="XAT237" s="15"/>
      <c r="XAU237" s="15"/>
      <c r="XAV237" s="15"/>
      <c r="XAW237" s="16"/>
      <c r="XAX237" s="16"/>
      <c r="XAY237" s="16"/>
      <c r="XAZ237" s="16"/>
      <c r="XBA237" s="16"/>
      <c r="XBB237" s="15"/>
      <c r="XBC237" s="15"/>
      <c r="XBD237" s="10"/>
      <c r="XBE237" s="10"/>
      <c r="XBF237" s="19"/>
      <c r="XBG237" s="19"/>
      <c r="XBJ237" s="16"/>
      <c r="XBK237" s="15"/>
      <c r="XBL237" s="15"/>
      <c r="XBM237" s="15"/>
      <c r="XBN237" s="16"/>
      <c r="XBO237" s="16"/>
      <c r="XBP237" s="16"/>
      <c r="XBQ237" s="16"/>
      <c r="XBR237" s="16"/>
      <c r="XBS237" s="15"/>
      <c r="XBT237" s="15"/>
      <c r="XBU237" s="10"/>
      <c r="XBV237" s="10"/>
      <c r="XBW237" s="19"/>
      <c r="XBX237" s="19"/>
      <c r="XCA237" s="16"/>
      <c r="XCB237" s="15"/>
      <c r="XCC237" s="15"/>
      <c r="XCD237" s="15"/>
      <c r="XCE237" s="16"/>
      <c r="XCF237" s="16"/>
      <c r="XCG237" s="16"/>
      <c r="XCH237" s="16"/>
      <c r="XCI237" s="16"/>
      <c r="XCJ237" s="15"/>
      <c r="XCK237" s="15"/>
      <c r="XCL237" s="10"/>
      <c r="XCM237" s="10"/>
      <c r="XCN237" s="19"/>
      <c r="XCO237" s="19"/>
      <c r="XCR237" s="16"/>
      <c r="XCS237" s="15"/>
      <c r="XCT237" s="15"/>
      <c r="XCU237" s="15"/>
      <c r="XCV237" s="16"/>
      <c r="XCW237" s="16"/>
      <c r="XCX237" s="16"/>
      <c r="XCY237" s="16"/>
      <c r="XCZ237" s="16"/>
      <c r="XDA237" s="15"/>
      <c r="XDB237" s="15"/>
      <c r="XDC237" s="10"/>
      <c r="XDD237" s="10"/>
      <c r="XDE237" s="19"/>
      <c r="XDF237" s="19"/>
      <c r="XDI237" s="16"/>
      <c r="XDJ237" s="15"/>
      <c r="XDK237" s="15"/>
      <c r="XDL237" s="15"/>
      <c r="XDM237" s="16"/>
      <c r="XDN237" s="16"/>
      <c r="XDO237" s="16"/>
      <c r="XDP237" s="16"/>
      <c r="XDQ237" s="16"/>
      <c r="XDR237" s="15"/>
      <c r="XDS237" s="15"/>
      <c r="XDT237" s="10"/>
      <c r="XDU237" s="10"/>
      <c r="XDV237" s="19"/>
      <c r="XDW237" s="19"/>
      <c r="XDZ237" s="16"/>
      <c r="XEA237" s="15"/>
      <c r="XEB237" s="15"/>
      <c r="XEC237" s="15"/>
      <c r="XED237" s="16"/>
      <c r="XEE237" s="16"/>
      <c r="XEF237" s="16"/>
      <c r="XEG237" s="16"/>
      <c r="XEH237" s="16"/>
      <c r="XEI237" s="15"/>
      <c r="XEJ237" s="15"/>
      <c r="XEK237" s="10"/>
      <c r="XEL237" s="10"/>
      <c r="XEM237" s="19"/>
      <c r="XEN237" s="19"/>
      <c r="XEQ237" s="16"/>
      <c r="XER237" s="15"/>
      <c r="XES237" s="15"/>
      <c r="XET237" s="15"/>
      <c r="XEU237" s="16"/>
      <c r="XEV237" s="16"/>
      <c r="XEW237" s="16"/>
      <c r="XEX237" s="16"/>
      <c r="XEY237" s="16"/>
      <c r="XEZ237" s="15"/>
      <c r="XFA237" s="15"/>
      <c r="XFB237" s="10"/>
      <c r="XFC237" s="10"/>
      <c r="XFD237" s="19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1210</v>
      </c>
      <c r="E238" s="32" t="s">
        <v>164</v>
      </c>
      <c r="F238" s="32" t="s">
        <v>1211</v>
      </c>
      <c r="G238" s="32" t="s">
        <v>1213</v>
      </c>
      <c r="H238" s="32" t="s">
        <v>352</v>
      </c>
      <c r="I238" s="31" t="s">
        <v>1212</v>
      </c>
      <c r="J238" s="31">
        <v>99</v>
      </c>
      <c r="K238" s="33" t="s">
        <v>718</v>
      </c>
      <c r="L238" s="33" t="s">
        <v>689</v>
      </c>
      <c r="M238" s="34" t="s">
        <v>1378</v>
      </c>
      <c r="N238" s="34" t="s">
        <v>1714</v>
      </c>
      <c r="O238" s="35">
        <v>1</v>
      </c>
      <c r="P238" s="35"/>
      <c r="Q238" s="32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0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965</v>
      </c>
      <c r="E239" s="32" t="s">
        <v>164</v>
      </c>
      <c r="F239" s="32" t="s">
        <v>963</v>
      </c>
      <c r="G239" s="32" t="s">
        <v>1092</v>
      </c>
      <c r="H239" s="32" t="s">
        <v>352</v>
      </c>
      <c r="I239" s="31" t="s">
        <v>964</v>
      </c>
      <c r="J239" s="31">
        <v>1</v>
      </c>
      <c r="K239" s="33" t="s">
        <v>943</v>
      </c>
      <c r="L239" s="33" t="s">
        <v>685</v>
      </c>
      <c r="M239" s="34" t="s">
        <v>1379</v>
      </c>
      <c r="N239" s="34" t="s">
        <v>1719</v>
      </c>
      <c r="O239" s="35">
        <v>1</v>
      </c>
      <c r="P239" s="35"/>
      <c r="Q239" s="32"/>
      <c r="R239" s="15"/>
      <c r="S239" s="1">
        <f t="shared" si="121"/>
        <v>1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  <c r="AJ239" s="15"/>
      <c r="AK239" s="15"/>
      <c r="AL239" s="15"/>
      <c r="AM239" s="15"/>
      <c r="AN239" s="15"/>
      <c r="AO239" s="15"/>
      <c r="AP239" s="15"/>
      <c r="AQ239" s="15"/>
      <c r="AR239" s="15"/>
      <c r="AS239" s="10"/>
      <c r="AT239" s="10"/>
      <c r="AU239" s="21"/>
      <c r="AV239" s="21"/>
      <c r="AY239" s="21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0"/>
      <c r="BK239" s="10"/>
      <c r="BL239" s="21"/>
      <c r="BM239" s="21"/>
      <c r="BP239" s="21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0"/>
      <c r="CB239" s="10"/>
      <c r="CC239" s="21"/>
      <c r="CD239" s="21"/>
      <c r="CG239" s="21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0"/>
      <c r="CS239" s="10"/>
      <c r="CT239" s="21"/>
      <c r="CU239" s="21"/>
      <c r="CX239" s="21"/>
      <c r="CY239" s="15"/>
      <c r="CZ239" s="15"/>
      <c r="DA239" s="15"/>
      <c r="DB239" s="15"/>
      <c r="DC239" s="15"/>
      <c r="DD239" s="15"/>
      <c r="DE239" s="15"/>
      <c r="DF239" s="15"/>
      <c r="DG239" s="15"/>
      <c r="DH239" s="15"/>
      <c r="DI239" s="10"/>
      <c r="DJ239" s="10"/>
      <c r="DK239" s="21"/>
      <c r="DL239" s="21"/>
      <c r="DO239" s="21"/>
      <c r="DP239" s="15"/>
      <c r="DQ239" s="15"/>
      <c r="DR239" s="15"/>
      <c r="DS239" s="15"/>
      <c r="DT239" s="15"/>
      <c r="DU239" s="15"/>
      <c r="DV239" s="15"/>
      <c r="DW239" s="15"/>
      <c r="DX239" s="15"/>
      <c r="DY239" s="15"/>
      <c r="DZ239" s="10"/>
      <c r="EA239" s="10"/>
      <c r="EB239" s="21"/>
      <c r="EC239" s="21"/>
      <c r="EF239" s="21"/>
      <c r="EG239" s="15"/>
      <c r="EH239" s="15"/>
      <c r="EI239" s="15"/>
      <c r="EJ239" s="15"/>
      <c r="EK239" s="15"/>
      <c r="EL239" s="15"/>
      <c r="EM239" s="15"/>
      <c r="EN239" s="15"/>
      <c r="EO239" s="15"/>
      <c r="EP239" s="15"/>
      <c r="EQ239" s="10"/>
      <c r="ER239" s="10"/>
      <c r="ES239" s="21"/>
      <c r="ET239" s="21"/>
      <c r="EW239" s="21"/>
      <c r="EX239" s="15"/>
      <c r="EY239" s="15"/>
      <c r="EZ239" s="15"/>
      <c r="FA239" s="15"/>
      <c r="FB239" s="15"/>
      <c r="FC239" s="15"/>
      <c r="FD239" s="15"/>
      <c r="FE239" s="15"/>
      <c r="FF239" s="15"/>
      <c r="FG239" s="15"/>
      <c r="FH239" s="10"/>
      <c r="FI239" s="10"/>
      <c r="FJ239" s="21"/>
      <c r="FK239" s="21"/>
      <c r="FN239" s="21"/>
      <c r="FO239" s="15"/>
      <c r="FP239" s="15"/>
      <c r="FQ239" s="15"/>
      <c r="FR239" s="15"/>
      <c r="FS239" s="15"/>
      <c r="FT239" s="15"/>
      <c r="FU239" s="15"/>
      <c r="FV239" s="15"/>
      <c r="FW239" s="15"/>
      <c r="FX239" s="15"/>
      <c r="FY239" s="10"/>
      <c r="FZ239" s="10"/>
      <c r="GA239" s="21"/>
      <c r="GB239" s="21"/>
      <c r="GE239" s="21"/>
      <c r="GF239" s="15"/>
      <c r="GG239" s="15"/>
      <c r="GH239" s="15"/>
      <c r="GI239" s="15"/>
      <c r="GJ239" s="15"/>
      <c r="GK239" s="15"/>
      <c r="GL239" s="15"/>
      <c r="GM239" s="15"/>
      <c r="GN239" s="15"/>
      <c r="GO239" s="15"/>
      <c r="GP239" s="10"/>
      <c r="GQ239" s="10"/>
      <c r="GR239" s="21"/>
      <c r="GS239" s="21"/>
      <c r="GV239" s="21"/>
      <c r="GW239" s="15"/>
      <c r="GX239" s="15"/>
      <c r="GY239" s="15"/>
      <c r="GZ239" s="15"/>
      <c r="HA239" s="15"/>
      <c r="HB239" s="15"/>
      <c r="HC239" s="15"/>
      <c r="HD239" s="15"/>
      <c r="HE239" s="15"/>
      <c r="HF239" s="15"/>
      <c r="HG239" s="10"/>
      <c r="HH239" s="10"/>
      <c r="HI239" s="21"/>
      <c r="HJ239" s="21"/>
      <c r="HM239" s="21"/>
      <c r="HN239" s="15"/>
      <c r="HO239" s="15"/>
      <c r="HP239" s="15"/>
      <c r="HQ239" s="15"/>
      <c r="HR239" s="15"/>
      <c r="HS239" s="15"/>
      <c r="HT239" s="15"/>
      <c r="HU239" s="15"/>
      <c r="HV239" s="15"/>
      <c r="HW239" s="15"/>
      <c r="HX239" s="10"/>
      <c r="HY239" s="10"/>
      <c r="HZ239" s="21"/>
      <c r="IA239" s="21"/>
      <c r="ID239" s="21"/>
      <c r="IE239" s="15"/>
      <c r="IF239" s="15"/>
      <c r="IG239" s="15"/>
      <c r="IH239" s="15"/>
      <c r="II239" s="15"/>
      <c r="IJ239" s="15"/>
      <c r="IK239" s="15"/>
      <c r="IL239" s="15"/>
      <c r="IM239" s="15"/>
      <c r="IN239" s="15"/>
      <c r="IO239" s="10"/>
      <c r="IP239" s="10"/>
      <c r="IQ239" s="21"/>
      <c r="IR239" s="21"/>
      <c r="IU239" s="21"/>
      <c r="IV239" s="15"/>
      <c r="IW239" s="15"/>
      <c r="IX239" s="15"/>
      <c r="IY239" s="15"/>
      <c r="IZ239" s="15"/>
      <c r="JA239" s="15"/>
      <c r="JB239" s="15"/>
      <c r="JC239" s="15"/>
      <c r="JD239" s="15"/>
      <c r="JE239" s="15"/>
      <c r="JF239" s="10"/>
      <c r="JG239" s="10"/>
      <c r="JH239" s="21"/>
      <c r="JI239" s="21"/>
      <c r="JL239" s="21"/>
      <c r="JM239" s="15"/>
      <c r="JN239" s="15"/>
      <c r="JO239" s="15"/>
      <c r="JP239" s="15"/>
      <c r="JQ239" s="15"/>
      <c r="JR239" s="15"/>
      <c r="JS239" s="15"/>
      <c r="JT239" s="15"/>
      <c r="JU239" s="15"/>
      <c r="JV239" s="15"/>
      <c r="JW239" s="10"/>
      <c r="JX239" s="10"/>
      <c r="JY239" s="21"/>
      <c r="JZ239" s="21"/>
      <c r="KC239" s="21"/>
      <c r="KD239" s="15"/>
      <c r="KE239" s="15"/>
      <c r="KF239" s="15"/>
      <c r="KG239" s="15"/>
      <c r="KH239" s="15"/>
      <c r="KI239" s="15"/>
      <c r="KJ239" s="15"/>
      <c r="KK239" s="15"/>
      <c r="KL239" s="15"/>
      <c r="KM239" s="15"/>
      <c r="KN239" s="10"/>
      <c r="KO239" s="10"/>
      <c r="KP239" s="21"/>
      <c r="KQ239" s="21"/>
      <c r="KT239" s="21"/>
      <c r="KU239" s="15"/>
      <c r="KV239" s="15"/>
      <c r="KW239" s="15"/>
      <c r="KX239" s="15"/>
      <c r="KY239" s="15"/>
      <c r="KZ239" s="15"/>
      <c r="LA239" s="15"/>
      <c r="LB239" s="15"/>
      <c r="LC239" s="15"/>
      <c r="LD239" s="15"/>
      <c r="LE239" s="10"/>
      <c r="LF239" s="10"/>
      <c r="LG239" s="21"/>
      <c r="LH239" s="21"/>
      <c r="LK239" s="21"/>
      <c r="LL239" s="15"/>
      <c r="LM239" s="15"/>
      <c r="LN239" s="15"/>
      <c r="LO239" s="15"/>
      <c r="LP239" s="15"/>
      <c r="LQ239" s="15"/>
      <c r="LR239" s="15"/>
      <c r="LS239" s="15"/>
      <c r="LT239" s="15"/>
      <c r="LU239" s="15"/>
      <c r="LV239" s="10"/>
      <c r="LW239" s="10"/>
      <c r="LX239" s="21"/>
      <c r="LY239" s="21"/>
      <c r="MB239" s="21"/>
      <c r="MC239" s="15"/>
      <c r="MD239" s="15"/>
      <c r="ME239" s="15"/>
      <c r="MF239" s="15"/>
      <c r="MG239" s="15"/>
      <c r="MH239" s="15"/>
      <c r="MI239" s="15"/>
      <c r="MJ239" s="15"/>
      <c r="MK239" s="15"/>
      <c r="ML239" s="15"/>
      <c r="MM239" s="10"/>
      <c r="MN239" s="10"/>
      <c r="MO239" s="21"/>
      <c r="MP239" s="21"/>
      <c r="MS239" s="21"/>
      <c r="MT239" s="15"/>
      <c r="MU239" s="15"/>
      <c r="MV239" s="15"/>
      <c r="MW239" s="15"/>
      <c r="MX239" s="15"/>
      <c r="MY239" s="15"/>
      <c r="MZ239" s="15"/>
      <c r="NA239" s="15"/>
      <c r="NB239" s="15"/>
      <c r="NC239" s="15"/>
      <c r="ND239" s="10"/>
      <c r="NE239" s="10"/>
      <c r="NF239" s="21"/>
      <c r="NG239" s="21"/>
      <c r="NJ239" s="21"/>
      <c r="NK239" s="15"/>
      <c r="NL239" s="15"/>
      <c r="NM239" s="15"/>
      <c r="NN239" s="15"/>
      <c r="NO239" s="15"/>
      <c r="NP239" s="15"/>
      <c r="NQ239" s="15"/>
      <c r="NR239" s="15"/>
      <c r="NS239" s="15"/>
      <c r="NT239" s="15"/>
      <c r="NU239" s="10"/>
      <c r="NV239" s="10"/>
      <c r="NW239" s="21"/>
      <c r="NX239" s="21"/>
      <c r="OA239" s="21"/>
      <c r="OB239" s="15"/>
      <c r="OC239" s="15"/>
      <c r="OD239" s="15"/>
      <c r="OE239" s="15"/>
      <c r="OF239" s="15"/>
      <c r="OG239" s="15"/>
      <c r="OH239" s="15"/>
      <c r="OI239" s="15"/>
      <c r="OJ239" s="15"/>
      <c r="OK239" s="15"/>
      <c r="OL239" s="10"/>
      <c r="OM239" s="10"/>
      <c r="ON239" s="21"/>
      <c r="OO239" s="21"/>
      <c r="OR239" s="21"/>
      <c r="OS239" s="15"/>
      <c r="OT239" s="15"/>
      <c r="OU239" s="15"/>
      <c r="OV239" s="15"/>
      <c r="OW239" s="15"/>
      <c r="OX239" s="15"/>
      <c r="OY239" s="15"/>
      <c r="OZ239" s="15"/>
      <c r="PA239" s="15"/>
      <c r="PB239" s="15"/>
      <c r="PC239" s="10"/>
      <c r="PD239" s="10"/>
      <c r="PE239" s="21"/>
      <c r="PF239" s="21"/>
      <c r="PI239" s="21"/>
      <c r="PJ239" s="15"/>
      <c r="PK239" s="15"/>
      <c r="PL239" s="15"/>
      <c r="PM239" s="15"/>
      <c r="PN239" s="15"/>
      <c r="PO239" s="15"/>
      <c r="PP239" s="15"/>
      <c r="PQ239" s="15"/>
      <c r="PR239" s="15"/>
      <c r="PS239" s="15"/>
      <c r="PT239" s="10"/>
      <c r="PU239" s="10"/>
      <c r="PV239" s="21"/>
      <c r="PW239" s="21"/>
      <c r="PZ239" s="21"/>
      <c r="QA239" s="15"/>
      <c r="QB239" s="15"/>
      <c r="QC239" s="15"/>
      <c r="QD239" s="15"/>
      <c r="QE239" s="15"/>
      <c r="QF239" s="15"/>
      <c r="QG239" s="15"/>
      <c r="QH239" s="15"/>
      <c r="QI239" s="15"/>
      <c r="QJ239" s="15"/>
      <c r="QK239" s="10"/>
      <c r="QL239" s="10"/>
      <c r="QM239" s="21"/>
      <c r="QN239" s="21"/>
      <c r="QQ239" s="21"/>
      <c r="QR239" s="15"/>
      <c r="QS239" s="15"/>
      <c r="QT239" s="15"/>
      <c r="QU239" s="15"/>
      <c r="QV239" s="15"/>
      <c r="QW239" s="15"/>
      <c r="QX239" s="15"/>
      <c r="QY239" s="15"/>
      <c r="QZ239" s="15"/>
      <c r="RA239" s="15"/>
      <c r="RB239" s="10"/>
      <c r="RC239" s="10"/>
      <c r="RD239" s="21"/>
      <c r="RE239" s="21"/>
      <c r="RH239" s="21"/>
      <c r="RI239" s="15"/>
      <c r="RJ239" s="15"/>
      <c r="RK239" s="15"/>
      <c r="RL239" s="15"/>
      <c r="RM239" s="15"/>
      <c r="RN239" s="15"/>
      <c r="RO239" s="15"/>
      <c r="RP239" s="15"/>
      <c r="RQ239" s="15"/>
      <c r="RR239" s="15"/>
      <c r="RS239" s="10"/>
      <c r="RT239" s="10"/>
      <c r="RU239" s="21"/>
      <c r="RV239" s="21"/>
      <c r="RY239" s="21"/>
      <c r="RZ239" s="15"/>
      <c r="SA239" s="15"/>
      <c r="SB239" s="15"/>
      <c r="SC239" s="15"/>
      <c r="SD239" s="15"/>
      <c r="SE239" s="15"/>
      <c r="SF239" s="15"/>
      <c r="SG239" s="15"/>
      <c r="SH239" s="15"/>
      <c r="SI239" s="15"/>
      <c r="SJ239" s="10"/>
      <c r="SK239" s="10"/>
      <c r="SL239" s="21"/>
      <c r="SM239" s="21"/>
      <c r="SP239" s="21"/>
      <c r="SQ239" s="15"/>
      <c r="SR239" s="15"/>
      <c r="SS239" s="15"/>
      <c r="ST239" s="15"/>
      <c r="SU239" s="15"/>
      <c r="SV239" s="15"/>
      <c r="SW239" s="15"/>
      <c r="SX239" s="15"/>
      <c r="SY239" s="15"/>
      <c r="SZ239" s="15"/>
      <c r="TA239" s="10"/>
      <c r="TB239" s="10"/>
      <c r="TC239" s="21"/>
      <c r="TD239" s="21"/>
      <c r="TG239" s="21"/>
      <c r="TH239" s="15"/>
      <c r="TI239" s="15"/>
      <c r="TJ239" s="15"/>
      <c r="TK239" s="15"/>
      <c r="TL239" s="15"/>
      <c r="TM239" s="15"/>
      <c r="TN239" s="15"/>
      <c r="TO239" s="15"/>
      <c r="TP239" s="15"/>
      <c r="TQ239" s="15"/>
      <c r="TR239" s="10"/>
      <c r="TS239" s="10"/>
      <c r="TT239" s="21"/>
      <c r="TU239" s="21"/>
      <c r="TX239" s="21"/>
      <c r="TY239" s="15"/>
      <c r="TZ239" s="15"/>
      <c r="UA239" s="15"/>
      <c r="UB239" s="15"/>
      <c r="UC239" s="15"/>
      <c r="UD239" s="15"/>
      <c r="UE239" s="15"/>
      <c r="UF239" s="15"/>
      <c r="UG239" s="15"/>
      <c r="UH239" s="15"/>
      <c r="UI239" s="10"/>
      <c r="UJ239" s="10"/>
      <c r="UK239" s="21"/>
      <c r="UL239" s="21"/>
      <c r="UO239" s="21"/>
      <c r="UP239" s="15"/>
      <c r="UQ239" s="15"/>
      <c r="UR239" s="15"/>
      <c r="US239" s="15"/>
      <c r="UT239" s="15"/>
      <c r="UU239" s="15"/>
      <c r="UV239" s="15"/>
      <c r="UW239" s="15"/>
      <c r="UX239" s="15"/>
      <c r="UY239" s="15"/>
      <c r="UZ239" s="10"/>
      <c r="VA239" s="10"/>
      <c r="VB239" s="21"/>
      <c r="VC239" s="21"/>
      <c r="VF239" s="21"/>
      <c r="VG239" s="15"/>
      <c r="VH239" s="15"/>
      <c r="VI239" s="15"/>
      <c r="VJ239" s="15"/>
      <c r="VK239" s="15"/>
      <c r="VL239" s="15"/>
      <c r="VM239" s="15"/>
      <c r="VN239" s="15"/>
      <c r="VO239" s="15"/>
      <c r="VP239" s="15"/>
      <c r="VQ239" s="10"/>
      <c r="VR239" s="10"/>
      <c r="VS239" s="21"/>
      <c r="VT239" s="21"/>
      <c r="VW239" s="21"/>
      <c r="VX239" s="15"/>
      <c r="VY239" s="15"/>
      <c r="VZ239" s="15"/>
      <c r="WA239" s="15"/>
      <c r="WB239" s="15"/>
      <c r="WC239" s="15"/>
      <c r="WD239" s="15"/>
      <c r="WE239" s="15"/>
      <c r="WF239" s="15"/>
      <c r="WG239" s="15"/>
      <c r="WH239" s="10"/>
      <c r="WI239" s="10"/>
      <c r="WJ239" s="21"/>
      <c r="WK239" s="21"/>
      <c r="WN239" s="21"/>
      <c r="WO239" s="15"/>
      <c r="WP239" s="15"/>
      <c r="WQ239" s="15"/>
      <c r="WR239" s="15"/>
      <c r="WS239" s="15"/>
      <c r="WT239" s="15"/>
      <c r="WU239" s="15"/>
      <c r="WV239" s="15"/>
      <c r="WW239" s="15"/>
      <c r="WX239" s="15"/>
      <c r="WY239" s="10"/>
      <c r="WZ239" s="10"/>
      <c r="XA239" s="21"/>
      <c r="XB239" s="21"/>
      <c r="XE239" s="21"/>
      <c r="XF239" s="15"/>
      <c r="XG239" s="15"/>
      <c r="XH239" s="15"/>
      <c r="XI239" s="15"/>
      <c r="XJ239" s="15"/>
      <c r="XK239" s="15"/>
      <c r="XL239" s="15"/>
      <c r="XM239" s="15"/>
      <c r="XN239" s="15"/>
      <c r="XO239" s="15"/>
      <c r="XP239" s="10"/>
      <c r="XQ239" s="10"/>
      <c r="XR239" s="21"/>
      <c r="XS239" s="21"/>
      <c r="XV239" s="21"/>
      <c r="XW239" s="15"/>
      <c r="XX239" s="15"/>
      <c r="XY239" s="15"/>
      <c r="XZ239" s="15"/>
      <c r="YA239" s="15"/>
      <c r="YB239" s="15"/>
      <c r="YC239" s="15"/>
      <c r="YD239" s="15"/>
      <c r="YE239" s="15"/>
      <c r="YF239" s="15"/>
      <c r="YG239" s="10"/>
      <c r="YH239" s="10"/>
      <c r="YI239" s="21"/>
      <c r="YJ239" s="21"/>
      <c r="YM239" s="21"/>
      <c r="YN239" s="15"/>
      <c r="YO239" s="15"/>
      <c r="YP239" s="15"/>
      <c r="YQ239" s="15"/>
      <c r="YR239" s="15"/>
      <c r="YS239" s="15"/>
      <c r="YT239" s="15"/>
      <c r="YU239" s="15"/>
      <c r="YV239" s="15"/>
      <c r="YW239" s="15"/>
      <c r="YX239" s="10"/>
      <c r="YY239" s="10"/>
      <c r="YZ239" s="21"/>
      <c r="ZA239" s="21"/>
      <c r="ZD239" s="21"/>
      <c r="ZE239" s="15"/>
      <c r="ZF239" s="15"/>
      <c r="ZG239" s="15"/>
      <c r="ZH239" s="15"/>
      <c r="ZI239" s="15"/>
      <c r="ZJ239" s="15"/>
      <c r="ZK239" s="15"/>
      <c r="ZL239" s="15"/>
      <c r="ZM239" s="15"/>
      <c r="ZN239" s="15"/>
      <c r="ZO239" s="10"/>
      <c r="ZP239" s="10"/>
      <c r="ZQ239" s="21"/>
      <c r="ZR239" s="21"/>
      <c r="ZU239" s="21"/>
      <c r="ZV239" s="15"/>
      <c r="ZW239" s="15"/>
      <c r="ZX239" s="15"/>
      <c r="ZY239" s="15"/>
      <c r="ZZ239" s="15"/>
      <c r="AAA239" s="15"/>
      <c r="AAB239" s="15"/>
      <c r="AAC239" s="15"/>
      <c r="AAD239" s="15"/>
      <c r="AAE239" s="15"/>
      <c r="AAF239" s="10"/>
      <c r="AAG239" s="10"/>
      <c r="AAH239" s="21"/>
      <c r="AAI239" s="21"/>
      <c r="AAL239" s="21"/>
      <c r="AAM239" s="15"/>
      <c r="AAN239" s="15"/>
      <c r="AAO239" s="15"/>
      <c r="AAP239" s="15"/>
      <c r="AAQ239" s="15"/>
      <c r="AAR239" s="15"/>
      <c r="AAS239" s="15"/>
      <c r="AAT239" s="15"/>
      <c r="AAU239" s="15"/>
      <c r="AAV239" s="15"/>
      <c r="AAW239" s="10"/>
      <c r="AAX239" s="10"/>
      <c r="AAY239" s="21"/>
      <c r="AAZ239" s="21"/>
      <c r="ABC239" s="21"/>
      <c r="ABD239" s="15"/>
      <c r="ABE239" s="15"/>
      <c r="ABF239" s="15"/>
      <c r="ABG239" s="15"/>
      <c r="ABH239" s="15"/>
      <c r="ABI239" s="15"/>
      <c r="ABJ239" s="15"/>
      <c r="ABK239" s="15"/>
      <c r="ABL239" s="15"/>
      <c r="ABM239" s="15"/>
      <c r="ABN239" s="10"/>
      <c r="ABO239" s="10"/>
      <c r="ABP239" s="21"/>
      <c r="ABQ239" s="21"/>
      <c r="ABT239" s="21"/>
      <c r="ABU239" s="15"/>
      <c r="ABV239" s="15"/>
      <c r="ABW239" s="15"/>
      <c r="ABX239" s="15"/>
      <c r="ABY239" s="15"/>
      <c r="ABZ239" s="15"/>
      <c r="ACA239" s="15"/>
      <c r="ACB239" s="15"/>
      <c r="ACC239" s="15"/>
      <c r="ACD239" s="15"/>
      <c r="ACE239" s="10"/>
      <c r="ACF239" s="10"/>
      <c r="ACG239" s="21"/>
      <c r="ACH239" s="21"/>
      <c r="ACK239" s="21"/>
      <c r="ACL239" s="15"/>
      <c r="ACM239" s="15"/>
      <c r="ACN239" s="15"/>
      <c r="ACO239" s="15"/>
      <c r="ACP239" s="15"/>
      <c r="ACQ239" s="15"/>
      <c r="ACR239" s="15"/>
      <c r="ACS239" s="15"/>
      <c r="ACT239" s="15"/>
      <c r="ACU239" s="15"/>
      <c r="ACV239" s="10"/>
      <c r="ACW239" s="10"/>
      <c r="ACX239" s="21"/>
      <c r="ACY239" s="21"/>
      <c r="ADB239" s="21"/>
      <c r="ADC239" s="15"/>
      <c r="ADD239" s="15"/>
      <c r="ADE239" s="15"/>
      <c r="ADF239" s="15"/>
      <c r="ADG239" s="15"/>
      <c r="ADH239" s="15"/>
      <c r="ADI239" s="15"/>
      <c r="ADJ239" s="15"/>
      <c r="ADK239" s="15"/>
      <c r="ADL239" s="15"/>
      <c r="ADM239" s="10"/>
      <c r="ADN239" s="10"/>
      <c r="ADO239" s="21"/>
      <c r="ADP239" s="21"/>
      <c r="ADS239" s="21"/>
      <c r="ADT239" s="15"/>
      <c r="ADU239" s="15"/>
      <c r="ADV239" s="15"/>
      <c r="ADW239" s="15"/>
      <c r="ADX239" s="15"/>
      <c r="ADY239" s="15"/>
      <c r="ADZ239" s="15"/>
      <c r="AEA239" s="15"/>
      <c r="AEB239" s="15"/>
      <c r="AEC239" s="15"/>
      <c r="AED239" s="10"/>
      <c r="AEE239" s="10"/>
      <c r="AEF239" s="21"/>
      <c r="AEG239" s="21"/>
      <c r="AEJ239" s="21"/>
      <c r="AEK239" s="15"/>
      <c r="AEL239" s="15"/>
      <c r="AEM239" s="15"/>
      <c r="AEN239" s="15"/>
      <c r="AEO239" s="15"/>
      <c r="AEP239" s="15"/>
      <c r="AEQ239" s="15"/>
      <c r="AER239" s="15"/>
      <c r="AES239" s="15"/>
      <c r="AET239" s="15"/>
      <c r="AEU239" s="10"/>
      <c r="AEV239" s="10"/>
      <c r="AEW239" s="21"/>
      <c r="AEX239" s="21"/>
      <c r="AFA239" s="21"/>
      <c r="AFB239" s="15"/>
      <c r="AFC239" s="15"/>
      <c r="AFD239" s="15"/>
      <c r="AFE239" s="15"/>
      <c r="AFF239" s="15"/>
      <c r="AFG239" s="15"/>
      <c r="AFH239" s="15"/>
      <c r="AFI239" s="15"/>
      <c r="AFJ239" s="15"/>
      <c r="AFK239" s="15"/>
      <c r="AFL239" s="10"/>
      <c r="AFM239" s="10"/>
      <c r="AFN239" s="21"/>
      <c r="AFO239" s="21"/>
      <c r="AFR239" s="21"/>
      <c r="AFS239" s="15"/>
      <c r="AFT239" s="15"/>
      <c r="AFU239" s="15"/>
      <c r="AFV239" s="15"/>
      <c r="AFW239" s="15"/>
      <c r="AFX239" s="15"/>
      <c r="AFY239" s="15"/>
      <c r="AFZ239" s="15"/>
      <c r="AGA239" s="15"/>
      <c r="AGB239" s="15"/>
      <c r="AGC239" s="10"/>
      <c r="AGD239" s="10"/>
      <c r="AGE239" s="21"/>
      <c r="AGF239" s="21"/>
      <c r="AGI239" s="21"/>
      <c r="AGJ239" s="15"/>
      <c r="AGK239" s="15"/>
      <c r="AGL239" s="15"/>
      <c r="AGM239" s="15"/>
      <c r="AGN239" s="15"/>
      <c r="AGO239" s="15"/>
      <c r="AGP239" s="15"/>
      <c r="AGQ239" s="15"/>
      <c r="AGR239" s="15"/>
      <c r="AGS239" s="15"/>
      <c r="AGT239" s="10"/>
      <c r="AGU239" s="10"/>
      <c r="AGV239" s="21"/>
      <c r="AGW239" s="21"/>
      <c r="AGZ239" s="21"/>
      <c r="AHA239" s="15"/>
      <c r="AHB239" s="15"/>
      <c r="AHC239" s="15"/>
      <c r="AHD239" s="15"/>
      <c r="AHE239" s="15"/>
      <c r="AHF239" s="15"/>
      <c r="AHG239" s="15"/>
      <c r="AHH239" s="15"/>
      <c r="AHI239" s="15"/>
      <c r="AHJ239" s="15"/>
      <c r="AHK239" s="10"/>
      <c r="AHL239" s="10"/>
      <c r="AHM239" s="21"/>
      <c r="AHN239" s="21"/>
      <c r="AHQ239" s="21"/>
      <c r="AHR239" s="15"/>
      <c r="AHS239" s="15"/>
      <c r="AHT239" s="15"/>
      <c r="AHU239" s="15"/>
      <c r="AHV239" s="15"/>
      <c r="AHW239" s="15"/>
      <c r="AHX239" s="15"/>
      <c r="AHY239" s="15"/>
      <c r="AHZ239" s="15"/>
      <c r="AIA239" s="15"/>
      <c r="AIB239" s="10"/>
      <c r="AIC239" s="10"/>
      <c r="AID239" s="21"/>
      <c r="AIE239" s="21"/>
      <c r="AIH239" s="21"/>
      <c r="AII239" s="15"/>
      <c r="AIJ239" s="15"/>
      <c r="AIK239" s="15"/>
      <c r="AIL239" s="15"/>
      <c r="AIM239" s="15"/>
      <c r="AIN239" s="15"/>
      <c r="AIO239" s="15"/>
      <c r="AIP239" s="15"/>
      <c r="AIQ239" s="15"/>
      <c r="AIR239" s="15"/>
      <c r="AIS239" s="10"/>
      <c r="AIT239" s="10"/>
      <c r="AIU239" s="21"/>
      <c r="AIV239" s="21"/>
      <c r="AIY239" s="21"/>
      <c r="AIZ239" s="15"/>
      <c r="AJA239" s="15"/>
      <c r="AJB239" s="15"/>
      <c r="AJC239" s="15"/>
      <c r="AJD239" s="15"/>
      <c r="AJE239" s="15"/>
      <c r="AJF239" s="15"/>
      <c r="AJG239" s="15"/>
      <c r="AJH239" s="15"/>
      <c r="AJI239" s="15"/>
      <c r="AJJ239" s="10"/>
      <c r="AJK239" s="10"/>
      <c r="AJL239" s="21"/>
      <c r="AJM239" s="21"/>
      <c r="AJP239" s="21"/>
      <c r="AJQ239" s="15"/>
      <c r="AJR239" s="15"/>
      <c r="AJS239" s="15"/>
      <c r="AJT239" s="15"/>
      <c r="AJU239" s="15"/>
      <c r="AJV239" s="15"/>
      <c r="AJW239" s="15"/>
      <c r="AJX239" s="15"/>
      <c r="AJY239" s="15"/>
      <c r="AJZ239" s="15"/>
      <c r="AKA239" s="10"/>
      <c r="AKB239" s="10"/>
      <c r="AKC239" s="21"/>
      <c r="AKD239" s="21"/>
      <c r="AKG239" s="21"/>
      <c r="AKH239" s="15"/>
      <c r="AKI239" s="15"/>
      <c r="AKJ239" s="15"/>
      <c r="AKK239" s="15"/>
      <c r="AKL239" s="15"/>
      <c r="AKM239" s="15"/>
      <c r="AKN239" s="15"/>
      <c r="AKO239" s="15"/>
      <c r="AKP239" s="15"/>
      <c r="AKQ239" s="15"/>
      <c r="AKR239" s="10"/>
      <c r="AKS239" s="10"/>
      <c r="AKT239" s="21"/>
      <c r="AKU239" s="21"/>
      <c r="AKX239" s="21"/>
      <c r="AKY239" s="15"/>
      <c r="AKZ239" s="15"/>
      <c r="ALA239" s="15"/>
      <c r="ALB239" s="15"/>
      <c r="ALC239" s="15"/>
      <c r="ALD239" s="15"/>
      <c r="ALE239" s="15"/>
      <c r="ALF239" s="15"/>
      <c r="ALG239" s="15"/>
      <c r="ALH239" s="15"/>
      <c r="ALI239" s="10"/>
      <c r="ALJ239" s="10"/>
      <c r="ALK239" s="21"/>
      <c r="ALL239" s="21"/>
      <c r="ALO239" s="21"/>
      <c r="ALP239" s="15"/>
      <c r="ALQ239" s="15"/>
      <c r="ALR239" s="15"/>
      <c r="ALS239" s="15"/>
      <c r="ALT239" s="15"/>
      <c r="ALU239" s="15"/>
      <c r="ALV239" s="15"/>
      <c r="ALW239" s="15"/>
      <c r="ALX239" s="15"/>
      <c r="ALY239" s="15"/>
      <c r="ALZ239" s="10"/>
      <c r="AMA239" s="10"/>
      <c r="AMB239" s="21"/>
      <c r="AMC239" s="21"/>
      <c r="AMF239" s="21"/>
      <c r="AMG239" s="15"/>
      <c r="AMH239" s="15"/>
      <c r="AMI239" s="15"/>
      <c r="AMJ239" s="15"/>
      <c r="AMK239" s="15"/>
      <c r="AML239" s="15"/>
      <c r="AMM239" s="15"/>
      <c r="AMN239" s="15"/>
      <c r="AMO239" s="15"/>
      <c r="AMP239" s="15"/>
      <c r="AMQ239" s="10"/>
      <c r="AMR239" s="10"/>
      <c r="AMS239" s="21"/>
      <c r="AMT239" s="21"/>
      <c r="AMW239" s="21"/>
      <c r="AMX239" s="15"/>
      <c r="AMY239" s="15"/>
      <c r="AMZ239" s="15"/>
      <c r="ANA239" s="15"/>
      <c r="ANB239" s="15"/>
      <c r="ANC239" s="15"/>
      <c r="AND239" s="15"/>
      <c r="ANE239" s="15"/>
      <c r="ANF239" s="15"/>
      <c r="ANG239" s="15"/>
      <c r="ANH239" s="10"/>
      <c r="ANI239" s="10"/>
      <c r="ANJ239" s="21"/>
      <c r="ANK239" s="21"/>
      <c r="ANN239" s="21"/>
      <c r="ANO239" s="15"/>
      <c r="ANP239" s="15"/>
      <c r="ANQ239" s="15"/>
      <c r="ANR239" s="15"/>
      <c r="ANS239" s="15"/>
      <c r="ANT239" s="15"/>
      <c r="ANU239" s="15"/>
      <c r="ANV239" s="15"/>
      <c r="ANW239" s="15"/>
      <c r="ANX239" s="15"/>
      <c r="ANY239" s="10"/>
      <c r="ANZ239" s="10"/>
      <c r="AOA239" s="21"/>
      <c r="AOB239" s="21"/>
      <c r="AOE239" s="21"/>
      <c r="AOF239" s="15"/>
      <c r="AOG239" s="15"/>
      <c r="AOH239" s="15"/>
      <c r="AOI239" s="15"/>
      <c r="AOJ239" s="15"/>
      <c r="AOK239" s="15"/>
      <c r="AOL239" s="15"/>
      <c r="AOM239" s="15"/>
      <c r="AON239" s="15"/>
      <c r="AOO239" s="15"/>
      <c r="AOP239" s="10"/>
      <c r="AOQ239" s="10"/>
      <c r="AOR239" s="21"/>
      <c r="AOS239" s="21"/>
      <c r="AOV239" s="21"/>
      <c r="AOW239" s="15"/>
      <c r="AOX239" s="15"/>
      <c r="AOY239" s="15"/>
      <c r="AOZ239" s="15"/>
      <c r="APA239" s="15"/>
      <c r="APB239" s="15"/>
      <c r="APC239" s="15"/>
      <c r="APD239" s="15"/>
      <c r="APE239" s="15"/>
      <c r="APF239" s="15"/>
      <c r="APG239" s="10"/>
      <c r="APH239" s="10"/>
      <c r="API239" s="21"/>
      <c r="APJ239" s="21"/>
      <c r="APM239" s="21"/>
      <c r="APN239" s="15"/>
      <c r="APO239" s="15"/>
      <c r="APP239" s="15"/>
      <c r="APQ239" s="15"/>
      <c r="APR239" s="15"/>
      <c r="APS239" s="15"/>
      <c r="APT239" s="15"/>
      <c r="APU239" s="15"/>
      <c r="APV239" s="15"/>
      <c r="APW239" s="15"/>
      <c r="APX239" s="10"/>
      <c r="APY239" s="10"/>
      <c r="APZ239" s="21"/>
      <c r="AQA239" s="21"/>
      <c r="AQD239" s="21"/>
      <c r="AQE239" s="15"/>
      <c r="AQF239" s="15"/>
      <c r="AQG239" s="15"/>
      <c r="AQH239" s="15"/>
      <c r="AQI239" s="15"/>
      <c r="AQJ239" s="15"/>
      <c r="AQK239" s="15"/>
      <c r="AQL239" s="15"/>
      <c r="AQM239" s="15"/>
      <c r="AQN239" s="15"/>
      <c r="AQO239" s="10"/>
      <c r="AQP239" s="10"/>
      <c r="AQQ239" s="21"/>
      <c r="AQR239" s="21"/>
      <c r="AQU239" s="21"/>
      <c r="AQV239" s="15"/>
      <c r="AQW239" s="15"/>
      <c r="AQX239" s="15"/>
      <c r="AQY239" s="15"/>
      <c r="AQZ239" s="15"/>
      <c r="ARA239" s="15"/>
      <c r="ARB239" s="15"/>
      <c r="ARC239" s="15"/>
      <c r="ARD239" s="15"/>
      <c r="ARE239" s="15"/>
      <c r="ARF239" s="10"/>
      <c r="ARG239" s="10"/>
      <c r="ARH239" s="21"/>
      <c r="ARI239" s="21"/>
      <c r="ARL239" s="21"/>
      <c r="ARM239" s="15"/>
      <c r="ARN239" s="15"/>
      <c r="ARO239" s="15"/>
      <c r="ARP239" s="15"/>
      <c r="ARQ239" s="15"/>
      <c r="ARR239" s="15"/>
      <c r="ARS239" s="15"/>
      <c r="ART239" s="15"/>
      <c r="ARU239" s="15"/>
      <c r="ARV239" s="15"/>
      <c r="ARW239" s="10"/>
      <c r="ARX239" s="10"/>
      <c r="ARY239" s="21"/>
      <c r="ARZ239" s="21"/>
      <c r="ASC239" s="21"/>
      <c r="ASD239" s="15"/>
      <c r="ASE239" s="15"/>
      <c r="ASF239" s="15"/>
      <c r="ASG239" s="15"/>
      <c r="ASH239" s="15"/>
      <c r="ASI239" s="15"/>
      <c r="ASJ239" s="15"/>
      <c r="ASK239" s="15"/>
      <c r="ASL239" s="15"/>
      <c r="ASM239" s="15"/>
      <c r="ASN239" s="10"/>
      <c r="ASO239" s="10"/>
      <c r="ASP239" s="21"/>
      <c r="ASQ239" s="21"/>
      <c r="AST239" s="21"/>
      <c r="ASU239" s="15"/>
      <c r="ASV239" s="15"/>
      <c r="ASW239" s="15"/>
      <c r="ASX239" s="15"/>
      <c r="ASY239" s="15"/>
      <c r="ASZ239" s="15"/>
      <c r="ATA239" s="15"/>
      <c r="ATB239" s="15"/>
      <c r="ATC239" s="15"/>
      <c r="ATD239" s="15"/>
      <c r="ATE239" s="10"/>
      <c r="ATF239" s="10"/>
      <c r="ATG239" s="21"/>
      <c r="ATH239" s="21"/>
      <c r="ATK239" s="21"/>
      <c r="ATL239" s="15"/>
      <c r="ATM239" s="15"/>
      <c r="ATN239" s="15"/>
      <c r="ATO239" s="15"/>
      <c r="ATP239" s="15"/>
      <c r="ATQ239" s="15"/>
      <c r="ATR239" s="15"/>
      <c r="ATS239" s="15"/>
      <c r="ATT239" s="15"/>
      <c r="ATU239" s="15"/>
      <c r="ATV239" s="10"/>
      <c r="ATW239" s="10"/>
      <c r="ATX239" s="21"/>
      <c r="ATY239" s="21"/>
      <c r="AUB239" s="21"/>
      <c r="AUC239" s="15"/>
      <c r="AUD239" s="15"/>
      <c r="AUE239" s="15"/>
      <c r="AUF239" s="15"/>
      <c r="AUG239" s="15"/>
      <c r="AUH239" s="15"/>
      <c r="AUI239" s="15"/>
      <c r="AUJ239" s="15"/>
      <c r="AUK239" s="15"/>
      <c r="AUL239" s="15"/>
      <c r="AUM239" s="10"/>
      <c r="AUN239" s="10"/>
      <c r="AUO239" s="21"/>
      <c r="AUP239" s="21"/>
      <c r="AUS239" s="21"/>
      <c r="AUT239" s="15"/>
      <c r="AUU239" s="15"/>
      <c r="AUV239" s="15"/>
      <c r="AUW239" s="15"/>
      <c r="AUX239" s="15"/>
      <c r="AUY239" s="15"/>
      <c r="AUZ239" s="15"/>
      <c r="AVA239" s="15"/>
      <c r="AVB239" s="15"/>
      <c r="AVC239" s="15"/>
      <c r="AVD239" s="10"/>
      <c r="AVE239" s="10"/>
      <c r="AVF239" s="21"/>
      <c r="AVG239" s="21"/>
      <c r="AVJ239" s="21"/>
      <c r="AVK239" s="15"/>
      <c r="AVL239" s="15"/>
      <c r="AVM239" s="15"/>
      <c r="AVN239" s="15"/>
      <c r="AVO239" s="15"/>
      <c r="AVP239" s="15"/>
      <c r="AVQ239" s="15"/>
      <c r="AVR239" s="15"/>
      <c r="AVS239" s="15"/>
      <c r="AVT239" s="15"/>
      <c r="AVU239" s="10"/>
      <c r="AVV239" s="10"/>
      <c r="AVW239" s="21"/>
      <c r="AVX239" s="21"/>
      <c r="AWA239" s="21"/>
      <c r="AWB239" s="15"/>
      <c r="AWC239" s="15"/>
      <c r="AWD239" s="15"/>
      <c r="AWE239" s="15"/>
      <c r="AWF239" s="15"/>
      <c r="AWG239" s="15"/>
      <c r="AWH239" s="15"/>
      <c r="AWI239" s="15"/>
      <c r="AWJ239" s="15"/>
      <c r="AWK239" s="15"/>
      <c r="AWL239" s="10"/>
      <c r="AWM239" s="10"/>
      <c r="AWN239" s="21"/>
      <c r="AWO239" s="21"/>
      <c r="AWR239" s="21"/>
      <c r="AWS239" s="15"/>
      <c r="AWT239" s="15"/>
      <c r="AWU239" s="15"/>
      <c r="AWV239" s="15"/>
      <c r="AWW239" s="15"/>
      <c r="AWX239" s="15"/>
      <c r="AWY239" s="15"/>
      <c r="AWZ239" s="15"/>
      <c r="AXA239" s="15"/>
      <c r="AXB239" s="15"/>
      <c r="AXC239" s="10"/>
      <c r="AXD239" s="10"/>
      <c r="AXE239" s="21"/>
      <c r="AXF239" s="21"/>
      <c r="AXI239" s="21"/>
      <c r="AXJ239" s="15"/>
      <c r="AXK239" s="15"/>
      <c r="AXL239" s="15"/>
      <c r="AXM239" s="15"/>
      <c r="AXN239" s="15"/>
      <c r="AXO239" s="15"/>
      <c r="AXP239" s="15"/>
      <c r="AXQ239" s="15"/>
      <c r="AXR239" s="15"/>
      <c r="AXS239" s="15"/>
      <c r="AXT239" s="10"/>
      <c r="AXU239" s="10"/>
      <c r="AXV239" s="21"/>
      <c r="AXW239" s="21"/>
      <c r="AXZ239" s="21"/>
      <c r="AYA239" s="15"/>
      <c r="AYB239" s="15"/>
      <c r="AYC239" s="15"/>
      <c r="AYD239" s="15"/>
      <c r="AYE239" s="15"/>
      <c r="AYF239" s="15"/>
      <c r="AYG239" s="15"/>
      <c r="AYH239" s="15"/>
      <c r="AYI239" s="15"/>
      <c r="AYJ239" s="15"/>
      <c r="AYK239" s="10"/>
      <c r="AYL239" s="10"/>
      <c r="AYM239" s="21"/>
      <c r="AYN239" s="21"/>
      <c r="AYQ239" s="21"/>
      <c r="AYR239" s="15"/>
      <c r="AYS239" s="15"/>
      <c r="AYT239" s="15"/>
      <c r="AYU239" s="15"/>
      <c r="AYV239" s="15"/>
      <c r="AYW239" s="15"/>
      <c r="AYX239" s="15"/>
      <c r="AYY239" s="15"/>
      <c r="AYZ239" s="15"/>
      <c r="AZA239" s="15"/>
      <c r="AZB239" s="10"/>
      <c r="AZC239" s="10"/>
      <c r="AZD239" s="21"/>
      <c r="AZE239" s="21"/>
      <c r="AZH239" s="21"/>
      <c r="AZI239" s="15"/>
      <c r="AZJ239" s="15"/>
      <c r="AZK239" s="15"/>
      <c r="AZL239" s="15"/>
      <c r="AZM239" s="15"/>
      <c r="AZN239" s="15"/>
      <c r="AZO239" s="15"/>
      <c r="AZP239" s="15"/>
      <c r="AZQ239" s="15"/>
      <c r="AZR239" s="15"/>
      <c r="AZS239" s="10"/>
      <c r="AZT239" s="10"/>
      <c r="AZU239" s="21"/>
      <c r="AZV239" s="21"/>
      <c r="AZY239" s="21"/>
      <c r="AZZ239" s="15"/>
      <c r="BAA239" s="15"/>
      <c r="BAB239" s="15"/>
      <c r="BAC239" s="15"/>
      <c r="BAD239" s="15"/>
      <c r="BAE239" s="15"/>
      <c r="BAF239" s="15"/>
      <c r="BAG239" s="15"/>
      <c r="BAH239" s="15"/>
      <c r="BAI239" s="15"/>
      <c r="BAJ239" s="10"/>
      <c r="BAK239" s="10"/>
      <c r="BAL239" s="21"/>
      <c r="BAM239" s="21"/>
      <c r="BAP239" s="21"/>
      <c r="BAQ239" s="15"/>
      <c r="BAR239" s="15"/>
      <c r="BAS239" s="15"/>
      <c r="BAT239" s="15"/>
      <c r="BAU239" s="15"/>
      <c r="BAV239" s="15"/>
      <c r="BAW239" s="15"/>
      <c r="BAX239" s="15"/>
      <c r="BAY239" s="15"/>
      <c r="BAZ239" s="15"/>
      <c r="BBA239" s="10"/>
      <c r="BBB239" s="10"/>
      <c r="BBC239" s="21"/>
      <c r="BBD239" s="21"/>
      <c r="BBG239" s="21"/>
      <c r="BBH239" s="15"/>
      <c r="BBI239" s="15"/>
      <c r="BBJ239" s="15"/>
      <c r="BBK239" s="15"/>
      <c r="BBL239" s="15"/>
      <c r="BBM239" s="15"/>
      <c r="BBN239" s="15"/>
      <c r="BBO239" s="15"/>
      <c r="BBP239" s="15"/>
      <c r="BBQ239" s="15"/>
      <c r="BBR239" s="10"/>
      <c r="BBS239" s="10"/>
      <c r="BBT239" s="21"/>
      <c r="BBU239" s="21"/>
      <c r="BBX239" s="21"/>
      <c r="BBY239" s="15"/>
      <c r="BBZ239" s="15"/>
      <c r="BCA239" s="15"/>
      <c r="BCB239" s="15"/>
      <c r="BCC239" s="15"/>
      <c r="BCD239" s="15"/>
      <c r="BCE239" s="15"/>
      <c r="BCF239" s="15"/>
      <c r="BCG239" s="15"/>
      <c r="BCH239" s="15"/>
      <c r="BCI239" s="10"/>
      <c r="BCJ239" s="10"/>
      <c r="BCK239" s="21"/>
      <c r="BCL239" s="21"/>
      <c r="BCO239" s="21"/>
      <c r="BCP239" s="15"/>
      <c r="BCQ239" s="15"/>
      <c r="BCR239" s="15"/>
      <c r="BCS239" s="15"/>
      <c r="BCT239" s="15"/>
      <c r="BCU239" s="15"/>
      <c r="BCV239" s="15"/>
      <c r="BCW239" s="15"/>
      <c r="BCX239" s="15"/>
      <c r="BCY239" s="15"/>
      <c r="BCZ239" s="10"/>
      <c r="BDA239" s="10"/>
      <c r="BDB239" s="21"/>
      <c r="BDC239" s="21"/>
      <c r="BDF239" s="21"/>
      <c r="BDG239" s="15"/>
      <c r="BDH239" s="15"/>
      <c r="BDI239" s="15"/>
      <c r="BDJ239" s="15"/>
      <c r="BDK239" s="15"/>
      <c r="BDL239" s="15"/>
      <c r="BDM239" s="15"/>
      <c r="BDN239" s="15"/>
      <c r="BDO239" s="15"/>
      <c r="BDP239" s="15"/>
      <c r="BDQ239" s="10"/>
      <c r="BDR239" s="10"/>
      <c r="BDS239" s="21"/>
      <c r="BDT239" s="21"/>
      <c r="BDW239" s="21"/>
      <c r="BDX239" s="15"/>
      <c r="BDY239" s="15"/>
      <c r="BDZ239" s="15"/>
      <c r="BEA239" s="15"/>
      <c r="BEB239" s="15"/>
      <c r="BEC239" s="15"/>
      <c r="BED239" s="15"/>
      <c r="BEE239" s="15"/>
      <c r="BEF239" s="15"/>
      <c r="BEG239" s="15"/>
      <c r="BEH239" s="10"/>
      <c r="BEI239" s="10"/>
      <c r="BEJ239" s="21"/>
      <c r="BEK239" s="21"/>
      <c r="BEN239" s="21"/>
      <c r="BEO239" s="15"/>
      <c r="BEP239" s="15"/>
      <c r="BEQ239" s="15"/>
      <c r="BER239" s="15"/>
      <c r="BES239" s="15"/>
      <c r="BET239" s="15"/>
      <c r="BEU239" s="15"/>
      <c r="BEV239" s="15"/>
      <c r="BEW239" s="15"/>
      <c r="BEX239" s="15"/>
      <c r="BEY239" s="10"/>
      <c r="BEZ239" s="10"/>
      <c r="BFA239" s="21"/>
      <c r="BFB239" s="21"/>
      <c r="BFE239" s="21"/>
      <c r="BFF239" s="15"/>
      <c r="BFG239" s="15"/>
      <c r="BFH239" s="15"/>
      <c r="BFI239" s="15"/>
      <c r="BFJ239" s="15"/>
      <c r="BFK239" s="15"/>
      <c r="BFL239" s="15"/>
      <c r="BFM239" s="15"/>
      <c r="BFN239" s="15"/>
      <c r="BFO239" s="15"/>
      <c r="BFP239" s="10"/>
      <c r="BFQ239" s="10"/>
      <c r="BFR239" s="21"/>
      <c r="BFS239" s="21"/>
      <c r="BFV239" s="21"/>
      <c r="BFW239" s="15"/>
      <c r="BFX239" s="15"/>
      <c r="BFY239" s="15"/>
      <c r="BFZ239" s="15"/>
      <c r="BGA239" s="15"/>
      <c r="BGB239" s="15"/>
      <c r="BGC239" s="15"/>
      <c r="BGD239" s="15"/>
      <c r="BGE239" s="15"/>
      <c r="BGF239" s="15"/>
      <c r="BGG239" s="10"/>
      <c r="BGH239" s="10"/>
      <c r="BGI239" s="21"/>
      <c r="BGJ239" s="21"/>
      <c r="BGM239" s="21"/>
      <c r="BGN239" s="15"/>
      <c r="BGO239" s="15"/>
      <c r="BGP239" s="15"/>
      <c r="BGQ239" s="15"/>
      <c r="BGR239" s="15"/>
      <c r="BGS239" s="15"/>
      <c r="BGT239" s="15"/>
      <c r="BGU239" s="15"/>
      <c r="BGV239" s="15"/>
      <c r="BGW239" s="15"/>
      <c r="BGX239" s="10"/>
      <c r="BGY239" s="10"/>
      <c r="BGZ239" s="21"/>
      <c r="BHA239" s="21"/>
      <c r="BHD239" s="21"/>
      <c r="BHE239" s="15"/>
      <c r="BHF239" s="15"/>
      <c r="BHG239" s="15"/>
      <c r="BHH239" s="15"/>
      <c r="BHI239" s="15"/>
      <c r="BHJ239" s="15"/>
      <c r="BHK239" s="15"/>
      <c r="BHL239" s="15"/>
      <c r="BHM239" s="15"/>
      <c r="BHN239" s="15"/>
      <c r="BHO239" s="10"/>
      <c r="BHP239" s="10"/>
      <c r="BHQ239" s="21"/>
      <c r="BHR239" s="21"/>
      <c r="BHU239" s="21"/>
      <c r="BHV239" s="15"/>
      <c r="BHW239" s="15"/>
      <c r="BHX239" s="15"/>
      <c r="BHY239" s="15"/>
      <c r="BHZ239" s="15"/>
      <c r="BIA239" s="15"/>
      <c r="BIB239" s="15"/>
      <c r="BIC239" s="15"/>
      <c r="BID239" s="15"/>
      <c r="BIE239" s="15"/>
      <c r="BIF239" s="10"/>
      <c r="BIG239" s="10"/>
      <c r="BIH239" s="21"/>
      <c r="BII239" s="21"/>
      <c r="BIL239" s="21"/>
      <c r="BIM239" s="15"/>
      <c r="BIN239" s="15"/>
      <c r="BIO239" s="15"/>
      <c r="BIP239" s="15"/>
      <c r="BIQ239" s="15"/>
      <c r="BIR239" s="15"/>
      <c r="BIS239" s="15"/>
      <c r="BIT239" s="15"/>
      <c r="BIU239" s="15"/>
      <c r="BIV239" s="15"/>
      <c r="BIW239" s="10"/>
      <c r="BIX239" s="10"/>
      <c r="BIY239" s="21"/>
      <c r="BIZ239" s="21"/>
      <c r="BJC239" s="21"/>
      <c r="BJD239" s="15"/>
      <c r="BJE239" s="15"/>
      <c r="BJF239" s="15"/>
      <c r="BJG239" s="15"/>
      <c r="BJH239" s="15"/>
      <c r="BJI239" s="15"/>
      <c r="BJJ239" s="15"/>
      <c r="BJK239" s="15"/>
      <c r="BJL239" s="15"/>
      <c r="BJM239" s="15"/>
      <c r="BJN239" s="10"/>
      <c r="BJO239" s="10"/>
      <c r="BJP239" s="21"/>
      <c r="BJQ239" s="21"/>
      <c r="BJT239" s="21"/>
      <c r="BJU239" s="15"/>
      <c r="BJV239" s="15"/>
      <c r="BJW239" s="15"/>
      <c r="BJX239" s="15"/>
      <c r="BJY239" s="15"/>
      <c r="BJZ239" s="15"/>
      <c r="BKA239" s="15"/>
      <c r="BKB239" s="15"/>
      <c r="BKC239" s="15"/>
      <c r="BKD239" s="15"/>
      <c r="BKE239" s="10"/>
      <c r="BKF239" s="10"/>
      <c r="BKG239" s="21"/>
      <c r="BKH239" s="21"/>
      <c r="BKK239" s="21"/>
      <c r="BKL239" s="15"/>
      <c r="BKM239" s="15"/>
      <c r="BKN239" s="15"/>
      <c r="BKO239" s="15"/>
      <c r="BKP239" s="15"/>
      <c r="BKQ239" s="15"/>
      <c r="BKR239" s="15"/>
      <c r="BKS239" s="15"/>
      <c r="BKT239" s="15"/>
      <c r="BKU239" s="15"/>
      <c r="BKV239" s="10"/>
      <c r="BKW239" s="10"/>
      <c r="BKX239" s="21"/>
      <c r="BKY239" s="21"/>
      <c r="BLB239" s="21"/>
      <c r="BLC239" s="15"/>
      <c r="BLD239" s="15"/>
      <c r="BLE239" s="15"/>
      <c r="BLF239" s="15"/>
      <c r="BLG239" s="15"/>
      <c r="BLH239" s="15"/>
      <c r="BLI239" s="15"/>
      <c r="BLJ239" s="15"/>
      <c r="BLK239" s="15"/>
      <c r="BLL239" s="15"/>
      <c r="BLM239" s="10"/>
      <c r="BLN239" s="10"/>
      <c r="BLO239" s="21"/>
      <c r="BLP239" s="21"/>
      <c r="BLS239" s="21"/>
      <c r="BLT239" s="15"/>
      <c r="BLU239" s="15"/>
      <c r="BLV239" s="15"/>
      <c r="BLW239" s="15"/>
      <c r="BLX239" s="15"/>
      <c r="BLY239" s="15"/>
      <c r="BLZ239" s="15"/>
      <c r="BMA239" s="15"/>
      <c r="BMB239" s="15"/>
      <c r="BMC239" s="15"/>
      <c r="BMD239" s="10"/>
      <c r="BME239" s="10"/>
      <c r="BMF239" s="21"/>
      <c r="BMG239" s="21"/>
      <c r="BMJ239" s="21"/>
      <c r="BMK239" s="15"/>
      <c r="BML239" s="15"/>
      <c r="BMM239" s="15"/>
      <c r="BMN239" s="15"/>
      <c r="BMO239" s="15"/>
      <c r="BMP239" s="15"/>
      <c r="BMQ239" s="15"/>
      <c r="BMR239" s="15"/>
      <c r="BMS239" s="15"/>
      <c r="BMT239" s="15"/>
      <c r="BMU239" s="10"/>
      <c r="BMV239" s="10"/>
      <c r="BMW239" s="21"/>
      <c r="BMX239" s="21"/>
      <c r="BNA239" s="21"/>
      <c r="BNB239" s="15"/>
      <c r="BNC239" s="15"/>
      <c r="BND239" s="15"/>
      <c r="BNE239" s="15"/>
      <c r="BNF239" s="15"/>
      <c r="BNG239" s="15"/>
      <c r="BNH239" s="15"/>
      <c r="BNI239" s="15"/>
      <c r="BNJ239" s="15"/>
      <c r="BNK239" s="15"/>
      <c r="BNL239" s="10"/>
      <c r="BNM239" s="10"/>
      <c r="BNN239" s="21"/>
      <c r="BNO239" s="21"/>
      <c r="BNR239" s="21"/>
      <c r="BNS239" s="15"/>
      <c r="BNT239" s="15"/>
      <c r="BNU239" s="15"/>
      <c r="BNV239" s="15"/>
      <c r="BNW239" s="15"/>
      <c r="BNX239" s="15"/>
      <c r="BNY239" s="15"/>
      <c r="BNZ239" s="15"/>
      <c r="BOA239" s="15"/>
      <c r="BOB239" s="15"/>
      <c r="BOC239" s="10"/>
      <c r="BOD239" s="10"/>
      <c r="BOE239" s="21"/>
      <c r="BOF239" s="21"/>
      <c r="BOI239" s="21"/>
      <c r="BOJ239" s="15"/>
      <c r="BOK239" s="15"/>
      <c r="BOL239" s="15"/>
      <c r="BOM239" s="15"/>
      <c r="BON239" s="15"/>
      <c r="BOO239" s="15"/>
      <c r="BOP239" s="15"/>
      <c r="BOQ239" s="15"/>
      <c r="BOR239" s="15"/>
      <c r="BOS239" s="15"/>
      <c r="BOT239" s="10"/>
      <c r="BOU239" s="10"/>
      <c r="BOV239" s="21"/>
      <c r="BOW239" s="21"/>
      <c r="BOZ239" s="21"/>
      <c r="BPA239" s="15"/>
      <c r="BPB239" s="15"/>
      <c r="BPC239" s="15"/>
      <c r="BPD239" s="15"/>
      <c r="BPE239" s="15"/>
      <c r="BPF239" s="15"/>
      <c r="BPG239" s="15"/>
      <c r="BPH239" s="15"/>
      <c r="BPI239" s="15"/>
      <c r="BPJ239" s="15"/>
      <c r="BPK239" s="10"/>
      <c r="BPL239" s="10"/>
      <c r="BPM239" s="21"/>
      <c r="BPN239" s="21"/>
      <c r="BPQ239" s="21"/>
      <c r="BPR239" s="15"/>
      <c r="BPS239" s="15"/>
      <c r="BPT239" s="15"/>
      <c r="BPU239" s="15"/>
      <c r="BPV239" s="15"/>
      <c r="BPW239" s="15"/>
      <c r="BPX239" s="15"/>
      <c r="BPY239" s="15"/>
      <c r="BPZ239" s="15"/>
      <c r="BQA239" s="15"/>
      <c r="BQB239" s="10"/>
      <c r="BQC239" s="10"/>
      <c r="BQD239" s="21"/>
      <c r="BQE239" s="21"/>
      <c r="BQH239" s="21"/>
      <c r="BQI239" s="15"/>
      <c r="BQJ239" s="15"/>
      <c r="BQK239" s="15"/>
      <c r="BQL239" s="15"/>
      <c r="BQM239" s="15"/>
      <c r="BQN239" s="15"/>
      <c r="BQO239" s="15"/>
      <c r="BQP239" s="15"/>
      <c r="BQQ239" s="15"/>
      <c r="BQR239" s="15"/>
      <c r="BQS239" s="10"/>
      <c r="BQT239" s="10"/>
      <c r="BQU239" s="21"/>
      <c r="BQV239" s="21"/>
      <c r="BQY239" s="21"/>
      <c r="BQZ239" s="15"/>
      <c r="BRA239" s="15"/>
      <c r="BRB239" s="15"/>
      <c r="BRC239" s="15"/>
      <c r="BRD239" s="15"/>
      <c r="BRE239" s="15"/>
      <c r="BRF239" s="15"/>
      <c r="BRG239" s="15"/>
      <c r="BRH239" s="15"/>
      <c r="BRI239" s="15"/>
      <c r="BRJ239" s="10"/>
      <c r="BRK239" s="10"/>
      <c r="BRL239" s="21"/>
      <c r="BRM239" s="21"/>
      <c r="BRP239" s="21"/>
      <c r="BRQ239" s="15"/>
      <c r="BRR239" s="15"/>
      <c r="BRS239" s="15"/>
      <c r="BRT239" s="15"/>
      <c r="BRU239" s="15"/>
      <c r="BRV239" s="15"/>
      <c r="BRW239" s="15"/>
      <c r="BRX239" s="15"/>
      <c r="BRY239" s="15"/>
      <c r="BRZ239" s="15"/>
      <c r="BSA239" s="10"/>
      <c r="BSB239" s="10"/>
      <c r="BSC239" s="21"/>
      <c r="BSD239" s="21"/>
      <c r="BSG239" s="21"/>
      <c r="BSH239" s="15"/>
      <c r="BSI239" s="15"/>
      <c r="BSJ239" s="15"/>
      <c r="BSK239" s="15"/>
      <c r="BSL239" s="15"/>
      <c r="BSM239" s="15"/>
      <c r="BSN239" s="15"/>
      <c r="BSO239" s="15"/>
      <c r="BSP239" s="15"/>
      <c r="BSQ239" s="15"/>
      <c r="BSR239" s="10"/>
      <c r="BSS239" s="10"/>
      <c r="BST239" s="21"/>
      <c r="BSU239" s="21"/>
      <c r="BSX239" s="21"/>
      <c r="BSY239" s="15"/>
      <c r="BSZ239" s="15"/>
      <c r="BTA239" s="15"/>
      <c r="BTB239" s="15"/>
      <c r="BTC239" s="15"/>
      <c r="BTD239" s="15"/>
      <c r="BTE239" s="15"/>
      <c r="BTF239" s="15"/>
      <c r="BTG239" s="15"/>
      <c r="BTH239" s="15"/>
      <c r="BTI239" s="10"/>
      <c r="BTJ239" s="10"/>
      <c r="BTK239" s="21"/>
      <c r="BTL239" s="21"/>
      <c r="BTO239" s="21"/>
      <c r="BTP239" s="15"/>
      <c r="BTQ239" s="15"/>
      <c r="BTR239" s="15"/>
      <c r="BTS239" s="15"/>
      <c r="BTT239" s="15"/>
      <c r="BTU239" s="15"/>
      <c r="BTV239" s="15"/>
      <c r="BTW239" s="15"/>
      <c r="BTX239" s="15"/>
      <c r="BTY239" s="15"/>
      <c r="BTZ239" s="10"/>
      <c r="BUA239" s="10"/>
      <c r="BUB239" s="21"/>
      <c r="BUC239" s="21"/>
      <c r="BUF239" s="21"/>
      <c r="BUG239" s="15"/>
      <c r="BUH239" s="15"/>
      <c r="BUI239" s="15"/>
      <c r="BUJ239" s="15"/>
      <c r="BUK239" s="15"/>
      <c r="BUL239" s="15"/>
      <c r="BUM239" s="15"/>
      <c r="BUN239" s="15"/>
      <c r="BUO239" s="15"/>
      <c r="BUP239" s="15"/>
      <c r="BUQ239" s="10"/>
      <c r="BUR239" s="10"/>
      <c r="BUS239" s="21"/>
      <c r="BUT239" s="21"/>
      <c r="BUW239" s="21"/>
      <c r="BUX239" s="15"/>
      <c r="BUY239" s="15"/>
      <c r="BUZ239" s="15"/>
      <c r="BVA239" s="15"/>
      <c r="BVB239" s="15"/>
      <c r="BVC239" s="15"/>
      <c r="BVD239" s="15"/>
      <c r="BVE239" s="15"/>
      <c r="BVF239" s="15"/>
      <c r="BVG239" s="15"/>
      <c r="BVH239" s="10"/>
      <c r="BVI239" s="10"/>
      <c r="BVJ239" s="21"/>
      <c r="BVK239" s="21"/>
      <c r="BVN239" s="21"/>
      <c r="BVO239" s="15"/>
      <c r="BVP239" s="15"/>
      <c r="BVQ239" s="15"/>
      <c r="BVR239" s="15"/>
      <c r="BVS239" s="15"/>
      <c r="BVT239" s="15"/>
      <c r="BVU239" s="15"/>
      <c r="BVV239" s="15"/>
      <c r="BVW239" s="15"/>
      <c r="BVX239" s="15"/>
      <c r="BVY239" s="10"/>
      <c r="BVZ239" s="10"/>
      <c r="BWA239" s="21"/>
      <c r="BWB239" s="21"/>
      <c r="BWE239" s="21"/>
      <c r="BWF239" s="15"/>
      <c r="BWG239" s="15"/>
      <c r="BWH239" s="15"/>
      <c r="BWI239" s="15"/>
      <c r="BWJ239" s="15"/>
      <c r="BWK239" s="15"/>
      <c r="BWL239" s="15"/>
      <c r="BWM239" s="15"/>
      <c r="BWN239" s="15"/>
      <c r="BWO239" s="15"/>
      <c r="BWP239" s="10"/>
      <c r="BWQ239" s="10"/>
      <c r="BWR239" s="21"/>
      <c r="BWS239" s="21"/>
      <c r="BWV239" s="21"/>
      <c r="BWW239" s="15"/>
      <c r="BWX239" s="15"/>
      <c r="BWY239" s="15"/>
      <c r="BWZ239" s="15"/>
      <c r="BXA239" s="15"/>
      <c r="BXB239" s="15"/>
      <c r="BXC239" s="15"/>
      <c r="BXD239" s="15"/>
      <c r="BXE239" s="15"/>
      <c r="BXF239" s="15"/>
      <c r="BXG239" s="10"/>
      <c r="BXH239" s="10"/>
      <c r="BXI239" s="21"/>
      <c r="BXJ239" s="21"/>
      <c r="BXM239" s="21"/>
      <c r="BXN239" s="15"/>
      <c r="BXO239" s="15"/>
      <c r="BXP239" s="15"/>
      <c r="BXQ239" s="15"/>
      <c r="BXR239" s="15"/>
      <c r="BXS239" s="15"/>
      <c r="BXT239" s="15"/>
      <c r="BXU239" s="15"/>
      <c r="BXV239" s="15"/>
      <c r="BXW239" s="15"/>
      <c r="BXX239" s="10"/>
      <c r="BXY239" s="10"/>
      <c r="BXZ239" s="21"/>
      <c r="BYA239" s="21"/>
      <c r="BYD239" s="21"/>
      <c r="BYE239" s="15"/>
      <c r="BYF239" s="15"/>
      <c r="BYG239" s="15"/>
      <c r="BYH239" s="15"/>
      <c r="BYI239" s="15"/>
      <c r="BYJ239" s="15"/>
      <c r="BYK239" s="15"/>
      <c r="BYL239" s="15"/>
      <c r="BYM239" s="15"/>
      <c r="BYN239" s="15"/>
      <c r="BYO239" s="10"/>
      <c r="BYP239" s="10"/>
      <c r="BYQ239" s="21"/>
      <c r="BYR239" s="21"/>
      <c r="BYU239" s="21"/>
      <c r="BYV239" s="15"/>
      <c r="BYW239" s="15"/>
      <c r="BYX239" s="15"/>
      <c r="BYY239" s="15"/>
      <c r="BYZ239" s="15"/>
      <c r="BZA239" s="15"/>
      <c r="BZB239" s="15"/>
      <c r="BZC239" s="15"/>
      <c r="BZD239" s="15"/>
      <c r="BZE239" s="15"/>
      <c r="BZF239" s="10"/>
      <c r="BZG239" s="10"/>
      <c r="BZH239" s="21"/>
      <c r="BZI239" s="21"/>
      <c r="BZL239" s="21"/>
      <c r="BZM239" s="15"/>
      <c r="BZN239" s="15"/>
      <c r="BZO239" s="15"/>
      <c r="BZP239" s="15"/>
      <c r="BZQ239" s="15"/>
      <c r="BZR239" s="15"/>
      <c r="BZS239" s="15"/>
      <c r="BZT239" s="15"/>
      <c r="BZU239" s="15"/>
      <c r="BZV239" s="15"/>
      <c r="BZW239" s="10"/>
      <c r="BZX239" s="10"/>
      <c r="BZY239" s="21"/>
      <c r="BZZ239" s="21"/>
      <c r="CAC239" s="21"/>
      <c r="CAD239" s="15"/>
      <c r="CAE239" s="15"/>
      <c r="CAF239" s="15"/>
      <c r="CAG239" s="15"/>
      <c r="CAH239" s="15"/>
      <c r="CAI239" s="15"/>
      <c r="CAJ239" s="15"/>
      <c r="CAK239" s="15"/>
      <c r="CAL239" s="15"/>
      <c r="CAM239" s="15"/>
      <c r="CAN239" s="10"/>
      <c r="CAO239" s="10"/>
      <c r="CAP239" s="21"/>
      <c r="CAQ239" s="21"/>
      <c r="CAT239" s="21"/>
      <c r="CAU239" s="15"/>
      <c r="CAV239" s="15"/>
      <c r="CAW239" s="15"/>
      <c r="CAX239" s="15"/>
      <c r="CAY239" s="15"/>
      <c r="CAZ239" s="15"/>
      <c r="CBA239" s="15"/>
      <c r="CBB239" s="15"/>
      <c r="CBC239" s="15"/>
      <c r="CBD239" s="15"/>
      <c r="CBE239" s="10"/>
      <c r="CBF239" s="10"/>
      <c r="CBG239" s="21"/>
      <c r="CBH239" s="21"/>
      <c r="CBK239" s="21"/>
      <c r="CBL239" s="15"/>
      <c r="CBM239" s="15"/>
      <c r="CBN239" s="15"/>
      <c r="CBO239" s="15"/>
      <c r="CBP239" s="15"/>
      <c r="CBQ239" s="15"/>
      <c r="CBR239" s="15"/>
      <c r="CBS239" s="15"/>
      <c r="CBT239" s="15"/>
      <c r="CBU239" s="15"/>
      <c r="CBV239" s="10"/>
      <c r="CBW239" s="10"/>
      <c r="CBX239" s="21"/>
      <c r="CBY239" s="21"/>
      <c r="CCB239" s="21"/>
      <c r="CCC239" s="15"/>
      <c r="CCD239" s="15"/>
      <c r="CCE239" s="15"/>
      <c r="CCF239" s="15"/>
      <c r="CCG239" s="15"/>
      <c r="CCH239" s="15"/>
      <c r="CCI239" s="15"/>
      <c r="CCJ239" s="15"/>
      <c r="CCK239" s="15"/>
      <c r="CCL239" s="15"/>
      <c r="CCM239" s="10"/>
      <c r="CCN239" s="10"/>
      <c r="CCO239" s="21"/>
      <c r="CCP239" s="21"/>
      <c r="CCS239" s="21"/>
      <c r="CCT239" s="15"/>
      <c r="CCU239" s="15"/>
      <c r="CCV239" s="15"/>
      <c r="CCW239" s="15"/>
      <c r="CCX239" s="15"/>
      <c r="CCY239" s="15"/>
      <c r="CCZ239" s="15"/>
      <c r="CDA239" s="15"/>
      <c r="CDB239" s="15"/>
      <c r="CDC239" s="15"/>
      <c r="CDD239" s="10"/>
      <c r="CDE239" s="10"/>
      <c r="CDF239" s="21"/>
      <c r="CDG239" s="21"/>
      <c r="CDJ239" s="21"/>
      <c r="CDK239" s="15"/>
      <c r="CDL239" s="15"/>
      <c r="CDM239" s="15"/>
      <c r="CDN239" s="15"/>
      <c r="CDO239" s="15"/>
      <c r="CDP239" s="15"/>
      <c r="CDQ239" s="15"/>
      <c r="CDR239" s="15"/>
      <c r="CDS239" s="15"/>
      <c r="CDT239" s="15"/>
      <c r="CDU239" s="10"/>
      <c r="CDV239" s="10"/>
      <c r="CDW239" s="21"/>
      <c r="CDX239" s="21"/>
      <c r="CEA239" s="21"/>
      <c r="CEB239" s="15"/>
      <c r="CEC239" s="15"/>
      <c r="CED239" s="15"/>
      <c r="CEE239" s="15"/>
      <c r="CEF239" s="15"/>
      <c r="CEG239" s="15"/>
      <c r="CEH239" s="15"/>
      <c r="CEI239" s="15"/>
      <c r="CEJ239" s="15"/>
      <c r="CEK239" s="15"/>
      <c r="CEL239" s="10"/>
      <c r="CEM239" s="10"/>
      <c r="CEN239" s="21"/>
      <c r="CEO239" s="21"/>
      <c r="CER239" s="21"/>
      <c r="CES239" s="15"/>
      <c r="CET239" s="15"/>
      <c r="CEU239" s="15"/>
      <c r="CEV239" s="15"/>
      <c r="CEW239" s="15"/>
      <c r="CEX239" s="15"/>
      <c r="CEY239" s="15"/>
      <c r="CEZ239" s="15"/>
      <c r="CFA239" s="15"/>
      <c r="CFB239" s="15"/>
      <c r="CFC239" s="10"/>
      <c r="CFD239" s="10"/>
      <c r="CFE239" s="21"/>
      <c r="CFF239" s="21"/>
      <c r="CFI239" s="21"/>
      <c r="CFJ239" s="15"/>
      <c r="CFK239" s="15"/>
      <c r="CFL239" s="15"/>
      <c r="CFM239" s="15"/>
      <c r="CFN239" s="15"/>
      <c r="CFO239" s="15"/>
      <c r="CFP239" s="15"/>
      <c r="CFQ239" s="15"/>
      <c r="CFR239" s="15"/>
      <c r="CFS239" s="15"/>
      <c r="CFT239" s="10"/>
      <c r="CFU239" s="10"/>
      <c r="CFV239" s="21"/>
      <c r="CFW239" s="21"/>
      <c r="CFZ239" s="21"/>
      <c r="CGA239" s="15"/>
      <c r="CGB239" s="15"/>
      <c r="CGC239" s="15"/>
      <c r="CGD239" s="15"/>
      <c r="CGE239" s="15"/>
      <c r="CGF239" s="15"/>
      <c r="CGG239" s="15"/>
      <c r="CGH239" s="15"/>
      <c r="CGI239" s="15"/>
      <c r="CGJ239" s="15"/>
      <c r="CGK239" s="10"/>
      <c r="CGL239" s="10"/>
      <c r="CGM239" s="21"/>
      <c r="CGN239" s="21"/>
      <c r="CGQ239" s="21"/>
      <c r="CGR239" s="15"/>
      <c r="CGS239" s="15"/>
      <c r="CGT239" s="15"/>
      <c r="CGU239" s="15"/>
      <c r="CGV239" s="15"/>
      <c r="CGW239" s="15"/>
      <c r="CGX239" s="15"/>
      <c r="CGY239" s="15"/>
      <c r="CGZ239" s="15"/>
      <c r="CHA239" s="15"/>
      <c r="CHB239" s="10"/>
      <c r="CHC239" s="10"/>
      <c r="CHD239" s="21"/>
      <c r="CHE239" s="21"/>
      <c r="CHH239" s="21"/>
      <c r="CHI239" s="15"/>
      <c r="CHJ239" s="15"/>
      <c r="CHK239" s="15"/>
      <c r="CHL239" s="15"/>
      <c r="CHM239" s="15"/>
      <c r="CHN239" s="15"/>
      <c r="CHO239" s="15"/>
      <c r="CHP239" s="15"/>
      <c r="CHQ239" s="15"/>
      <c r="CHR239" s="15"/>
      <c r="CHS239" s="10"/>
      <c r="CHT239" s="10"/>
      <c r="CHU239" s="21"/>
      <c r="CHV239" s="21"/>
      <c r="CHY239" s="21"/>
      <c r="CHZ239" s="15"/>
      <c r="CIA239" s="15"/>
      <c r="CIB239" s="15"/>
      <c r="CIC239" s="15"/>
      <c r="CID239" s="15"/>
      <c r="CIE239" s="15"/>
      <c r="CIF239" s="15"/>
      <c r="CIG239" s="15"/>
      <c r="CIH239" s="15"/>
      <c r="CII239" s="15"/>
      <c r="CIJ239" s="10"/>
      <c r="CIK239" s="10"/>
      <c r="CIL239" s="21"/>
      <c r="CIM239" s="21"/>
      <c r="CIP239" s="21"/>
      <c r="CIQ239" s="15"/>
      <c r="CIR239" s="15"/>
      <c r="CIS239" s="15"/>
      <c r="CIT239" s="15"/>
      <c r="CIU239" s="15"/>
      <c r="CIV239" s="15"/>
      <c r="CIW239" s="15"/>
      <c r="CIX239" s="15"/>
      <c r="CIY239" s="15"/>
      <c r="CIZ239" s="15"/>
      <c r="CJA239" s="10"/>
      <c r="CJB239" s="10"/>
      <c r="CJC239" s="21"/>
      <c r="CJD239" s="21"/>
      <c r="CJG239" s="21"/>
      <c r="CJH239" s="15"/>
      <c r="CJI239" s="15"/>
      <c r="CJJ239" s="15"/>
      <c r="CJK239" s="15"/>
      <c r="CJL239" s="15"/>
      <c r="CJM239" s="15"/>
      <c r="CJN239" s="15"/>
      <c r="CJO239" s="15"/>
      <c r="CJP239" s="15"/>
      <c r="CJQ239" s="15"/>
      <c r="CJR239" s="10"/>
      <c r="CJS239" s="10"/>
      <c r="CJT239" s="21"/>
      <c r="CJU239" s="21"/>
      <c r="CJX239" s="21"/>
      <c r="CJY239" s="15"/>
      <c r="CJZ239" s="15"/>
      <c r="CKA239" s="15"/>
      <c r="CKB239" s="15"/>
      <c r="CKC239" s="15"/>
      <c r="CKD239" s="15"/>
      <c r="CKE239" s="15"/>
      <c r="CKF239" s="15"/>
      <c r="CKG239" s="15"/>
      <c r="CKH239" s="15"/>
      <c r="CKI239" s="10"/>
      <c r="CKJ239" s="10"/>
      <c r="CKK239" s="21"/>
      <c r="CKL239" s="21"/>
      <c r="CKO239" s="21"/>
      <c r="CKP239" s="15"/>
      <c r="CKQ239" s="15"/>
      <c r="CKR239" s="15"/>
      <c r="CKS239" s="15"/>
      <c r="CKT239" s="15"/>
      <c r="CKU239" s="15"/>
      <c r="CKV239" s="15"/>
      <c r="CKW239" s="15"/>
      <c r="CKX239" s="15"/>
      <c r="CKY239" s="15"/>
      <c r="CKZ239" s="10"/>
      <c r="CLA239" s="10"/>
      <c r="CLB239" s="21"/>
      <c r="CLC239" s="21"/>
      <c r="CLF239" s="21"/>
      <c r="CLG239" s="15"/>
      <c r="CLH239" s="15"/>
      <c r="CLI239" s="15"/>
      <c r="CLJ239" s="15"/>
      <c r="CLK239" s="15"/>
      <c r="CLL239" s="15"/>
      <c r="CLM239" s="15"/>
      <c r="CLN239" s="15"/>
      <c r="CLO239" s="15"/>
      <c r="CLP239" s="15"/>
      <c r="CLQ239" s="10"/>
      <c r="CLR239" s="10"/>
      <c r="CLS239" s="21"/>
      <c r="CLT239" s="21"/>
      <c r="CLW239" s="21"/>
      <c r="CLX239" s="15"/>
      <c r="CLY239" s="15"/>
      <c r="CLZ239" s="15"/>
      <c r="CMA239" s="15"/>
      <c r="CMB239" s="15"/>
      <c r="CMC239" s="15"/>
      <c r="CMD239" s="15"/>
      <c r="CME239" s="15"/>
      <c r="CMF239" s="15"/>
      <c r="CMG239" s="15"/>
      <c r="CMH239" s="10"/>
      <c r="CMI239" s="10"/>
      <c r="CMJ239" s="21"/>
      <c r="CMK239" s="21"/>
      <c r="CMN239" s="21"/>
      <c r="CMO239" s="15"/>
      <c r="CMP239" s="15"/>
      <c r="CMQ239" s="15"/>
      <c r="CMR239" s="15"/>
      <c r="CMS239" s="15"/>
      <c r="CMT239" s="15"/>
      <c r="CMU239" s="15"/>
      <c r="CMV239" s="15"/>
      <c r="CMW239" s="15"/>
      <c r="CMX239" s="15"/>
      <c r="CMY239" s="10"/>
      <c r="CMZ239" s="10"/>
      <c r="CNA239" s="21"/>
      <c r="CNB239" s="21"/>
      <c r="CNE239" s="21"/>
      <c r="CNF239" s="15"/>
      <c r="CNG239" s="15"/>
      <c r="CNH239" s="15"/>
      <c r="CNI239" s="15"/>
      <c r="CNJ239" s="15"/>
      <c r="CNK239" s="15"/>
      <c r="CNL239" s="15"/>
      <c r="CNM239" s="15"/>
      <c r="CNN239" s="15"/>
      <c r="CNO239" s="15"/>
      <c r="CNP239" s="10"/>
      <c r="CNQ239" s="10"/>
      <c r="CNR239" s="21"/>
      <c r="CNS239" s="21"/>
      <c r="CNV239" s="21"/>
      <c r="CNW239" s="15"/>
      <c r="CNX239" s="15"/>
      <c r="CNY239" s="15"/>
      <c r="CNZ239" s="15"/>
      <c r="COA239" s="15"/>
      <c r="COB239" s="15"/>
      <c r="COC239" s="15"/>
      <c r="COD239" s="15"/>
      <c r="COE239" s="15"/>
      <c r="COF239" s="15"/>
      <c r="COG239" s="10"/>
      <c r="COH239" s="10"/>
      <c r="COI239" s="21"/>
      <c r="COJ239" s="21"/>
      <c r="COM239" s="21"/>
      <c r="CON239" s="15"/>
      <c r="COO239" s="15"/>
      <c r="COP239" s="15"/>
      <c r="COQ239" s="15"/>
      <c r="COR239" s="15"/>
      <c r="COS239" s="15"/>
      <c r="COT239" s="15"/>
      <c r="COU239" s="15"/>
      <c r="COV239" s="15"/>
      <c r="COW239" s="15"/>
      <c r="COX239" s="10"/>
      <c r="COY239" s="10"/>
      <c r="COZ239" s="21"/>
      <c r="CPA239" s="21"/>
      <c r="CPD239" s="21"/>
      <c r="CPE239" s="15"/>
      <c r="CPF239" s="15"/>
      <c r="CPG239" s="15"/>
      <c r="CPH239" s="15"/>
      <c r="CPI239" s="15"/>
      <c r="CPJ239" s="15"/>
      <c r="CPK239" s="15"/>
      <c r="CPL239" s="15"/>
      <c r="CPM239" s="15"/>
      <c r="CPN239" s="15"/>
      <c r="CPO239" s="10"/>
      <c r="CPP239" s="10"/>
      <c r="CPQ239" s="21"/>
      <c r="CPR239" s="21"/>
      <c r="CPU239" s="21"/>
      <c r="CPV239" s="15"/>
      <c r="CPW239" s="15"/>
      <c r="CPX239" s="15"/>
      <c r="CPY239" s="15"/>
      <c r="CPZ239" s="15"/>
      <c r="CQA239" s="15"/>
      <c r="CQB239" s="15"/>
      <c r="CQC239" s="15"/>
      <c r="CQD239" s="15"/>
      <c r="CQE239" s="15"/>
      <c r="CQF239" s="10"/>
      <c r="CQG239" s="10"/>
      <c r="CQH239" s="21"/>
      <c r="CQI239" s="21"/>
      <c r="CQL239" s="21"/>
      <c r="CQM239" s="15"/>
      <c r="CQN239" s="15"/>
      <c r="CQO239" s="15"/>
      <c r="CQP239" s="15"/>
      <c r="CQQ239" s="15"/>
      <c r="CQR239" s="15"/>
      <c r="CQS239" s="15"/>
      <c r="CQT239" s="15"/>
      <c r="CQU239" s="15"/>
      <c r="CQV239" s="15"/>
      <c r="CQW239" s="10"/>
      <c r="CQX239" s="10"/>
      <c r="CQY239" s="21"/>
      <c r="CQZ239" s="21"/>
      <c r="CRC239" s="21"/>
      <c r="CRD239" s="15"/>
      <c r="CRE239" s="15"/>
      <c r="CRF239" s="15"/>
      <c r="CRG239" s="15"/>
      <c r="CRH239" s="15"/>
      <c r="CRI239" s="15"/>
      <c r="CRJ239" s="15"/>
      <c r="CRK239" s="15"/>
      <c r="CRL239" s="15"/>
      <c r="CRM239" s="15"/>
      <c r="CRN239" s="10"/>
      <c r="CRO239" s="10"/>
      <c r="CRP239" s="21"/>
      <c r="CRQ239" s="21"/>
      <c r="CRT239" s="21"/>
      <c r="CRU239" s="15"/>
      <c r="CRV239" s="15"/>
      <c r="CRW239" s="15"/>
      <c r="CRX239" s="15"/>
      <c r="CRY239" s="15"/>
      <c r="CRZ239" s="15"/>
      <c r="CSA239" s="15"/>
      <c r="CSB239" s="15"/>
      <c r="CSC239" s="15"/>
      <c r="CSD239" s="15"/>
      <c r="CSE239" s="10"/>
      <c r="CSF239" s="10"/>
      <c r="CSG239" s="21"/>
      <c r="CSH239" s="21"/>
      <c r="CSK239" s="21"/>
      <c r="CSL239" s="15"/>
      <c r="CSM239" s="15"/>
      <c r="CSN239" s="15"/>
      <c r="CSO239" s="15"/>
      <c r="CSP239" s="15"/>
      <c r="CSQ239" s="15"/>
      <c r="CSR239" s="15"/>
      <c r="CSS239" s="15"/>
      <c r="CST239" s="15"/>
      <c r="CSU239" s="15"/>
      <c r="CSV239" s="10"/>
      <c r="CSW239" s="10"/>
      <c r="CSX239" s="21"/>
      <c r="CSY239" s="21"/>
      <c r="CTB239" s="21"/>
      <c r="CTC239" s="15"/>
      <c r="CTD239" s="15"/>
      <c r="CTE239" s="15"/>
      <c r="CTF239" s="15"/>
      <c r="CTG239" s="15"/>
      <c r="CTH239" s="15"/>
      <c r="CTI239" s="15"/>
      <c r="CTJ239" s="15"/>
      <c r="CTK239" s="15"/>
      <c r="CTL239" s="15"/>
      <c r="CTM239" s="10"/>
      <c r="CTN239" s="10"/>
      <c r="CTO239" s="21"/>
      <c r="CTP239" s="21"/>
      <c r="CTS239" s="21"/>
      <c r="CTT239" s="15"/>
      <c r="CTU239" s="15"/>
      <c r="CTV239" s="15"/>
      <c r="CTW239" s="15"/>
      <c r="CTX239" s="15"/>
      <c r="CTY239" s="15"/>
      <c r="CTZ239" s="15"/>
      <c r="CUA239" s="15"/>
      <c r="CUB239" s="15"/>
      <c r="CUC239" s="15"/>
      <c r="CUD239" s="10"/>
      <c r="CUE239" s="10"/>
      <c r="CUF239" s="21"/>
      <c r="CUG239" s="21"/>
      <c r="CUJ239" s="21"/>
      <c r="CUK239" s="15"/>
      <c r="CUL239" s="15"/>
      <c r="CUM239" s="15"/>
      <c r="CUN239" s="15"/>
      <c r="CUO239" s="15"/>
      <c r="CUP239" s="15"/>
      <c r="CUQ239" s="15"/>
      <c r="CUR239" s="15"/>
      <c r="CUS239" s="15"/>
      <c r="CUT239" s="15"/>
      <c r="CUU239" s="10"/>
      <c r="CUV239" s="10"/>
      <c r="CUW239" s="21"/>
      <c r="CUX239" s="21"/>
      <c r="CVA239" s="21"/>
      <c r="CVB239" s="15"/>
      <c r="CVC239" s="15"/>
      <c r="CVD239" s="15"/>
      <c r="CVE239" s="15"/>
      <c r="CVF239" s="15"/>
      <c r="CVG239" s="15"/>
      <c r="CVH239" s="15"/>
      <c r="CVI239" s="15"/>
      <c r="CVJ239" s="15"/>
      <c r="CVK239" s="15"/>
      <c r="CVL239" s="10"/>
      <c r="CVM239" s="10"/>
      <c r="CVN239" s="21"/>
      <c r="CVO239" s="21"/>
      <c r="CVR239" s="21"/>
      <c r="CVS239" s="15"/>
      <c r="CVT239" s="15"/>
      <c r="CVU239" s="15"/>
      <c r="CVV239" s="15"/>
      <c r="CVW239" s="15"/>
      <c r="CVX239" s="15"/>
      <c r="CVY239" s="15"/>
      <c r="CVZ239" s="15"/>
      <c r="CWA239" s="15"/>
      <c r="CWB239" s="15"/>
      <c r="CWC239" s="10"/>
      <c r="CWD239" s="10"/>
      <c r="CWE239" s="21"/>
      <c r="CWF239" s="21"/>
      <c r="CWI239" s="21"/>
      <c r="CWJ239" s="15"/>
      <c r="CWK239" s="15"/>
      <c r="CWL239" s="15"/>
      <c r="CWM239" s="15"/>
      <c r="CWN239" s="15"/>
      <c r="CWO239" s="15"/>
      <c r="CWP239" s="15"/>
      <c r="CWQ239" s="15"/>
      <c r="CWR239" s="15"/>
      <c r="CWS239" s="15"/>
      <c r="CWT239" s="10"/>
      <c r="CWU239" s="10"/>
      <c r="CWV239" s="21"/>
      <c r="CWW239" s="21"/>
      <c r="CWZ239" s="21"/>
      <c r="CXA239" s="15"/>
      <c r="CXB239" s="15"/>
      <c r="CXC239" s="15"/>
      <c r="CXD239" s="15"/>
      <c r="CXE239" s="15"/>
      <c r="CXF239" s="15"/>
      <c r="CXG239" s="15"/>
      <c r="CXH239" s="15"/>
      <c r="CXI239" s="15"/>
      <c r="CXJ239" s="15"/>
      <c r="CXK239" s="10"/>
      <c r="CXL239" s="10"/>
      <c r="CXM239" s="21"/>
      <c r="CXN239" s="21"/>
      <c r="CXQ239" s="21"/>
      <c r="CXR239" s="15"/>
      <c r="CXS239" s="15"/>
      <c r="CXT239" s="15"/>
      <c r="CXU239" s="15"/>
      <c r="CXV239" s="15"/>
      <c r="CXW239" s="15"/>
      <c r="CXX239" s="15"/>
      <c r="CXY239" s="15"/>
      <c r="CXZ239" s="15"/>
      <c r="CYA239" s="15"/>
      <c r="CYB239" s="10"/>
      <c r="CYC239" s="10"/>
      <c r="CYD239" s="21"/>
      <c r="CYE239" s="21"/>
      <c r="CYH239" s="21"/>
      <c r="CYI239" s="15"/>
      <c r="CYJ239" s="15"/>
      <c r="CYK239" s="15"/>
      <c r="CYL239" s="15"/>
      <c r="CYM239" s="15"/>
      <c r="CYN239" s="15"/>
      <c r="CYO239" s="15"/>
      <c r="CYP239" s="15"/>
      <c r="CYQ239" s="15"/>
      <c r="CYR239" s="15"/>
      <c r="CYS239" s="10"/>
      <c r="CYT239" s="10"/>
      <c r="CYU239" s="21"/>
      <c r="CYV239" s="21"/>
      <c r="CYY239" s="21"/>
      <c r="CYZ239" s="15"/>
      <c r="CZA239" s="15"/>
      <c r="CZB239" s="15"/>
      <c r="CZC239" s="15"/>
      <c r="CZD239" s="15"/>
      <c r="CZE239" s="15"/>
      <c r="CZF239" s="15"/>
      <c r="CZG239" s="15"/>
      <c r="CZH239" s="15"/>
      <c r="CZI239" s="15"/>
      <c r="CZJ239" s="10"/>
      <c r="CZK239" s="10"/>
      <c r="CZL239" s="21"/>
      <c r="CZM239" s="21"/>
      <c r="CZP239" s="21"/>
      <c r="CZQ239" s="15"/>
      <c r="CZR239" s="15"/>
      <c r="CZS239" s="15"/>
      <c r="CZT239" s="15"/>
      <c r="CZU239" s="15"/>
      <c r="CZV239" s="15"/>
      <c r="CZW239" s="15"/>
      <c r="CZX239" s="15"/>
      <c r="CZY239" s="15"/>
      <c r="CZZ239" s="15"/>
      <c r="DAA239" s="10"/>
      <c r="DAB239" s="10"/>
      <c r="DAC239" s="21"/>
      <c r="DAD239" s="21"/>
      <c r="DAG239" s="21"/>
      <c r="DAH239" s="15"/>
      <c r="DAI239" s="15"/>
      <c r="DAJ239" s="15"/>
      <c r="DAK239" s="15"/>
      <c r="DAL239" s="15"/>
      <c r="DAM239" s="15"/>
      <c r="DAN239" s="15"/>
      <c r="DAO239" s="15"/>
      <c r="DAP239" s="15"/>
      <c r="DAQ239" s="15"/>
      <c r="DAR239" s="10"/>
      <c r="DAS239" s="10"/>
      <c r="DAT239" s="21"/>
      <c r="DAU239" s="21"/>
      <c r="DAX239" s="21"/>
      <c r="DAY239" s="15"/>
      <c r="DAZ239" s="15"/>
      <c r="DBA239" s="15"/>
      <c r="DBB239" s="15"/>
      <c r="DBC239" s="15"/>
      <c r="DBD239" s="15"/>
      <c r="DBE239" s="15"/>
      <c r="DBF239" s="15"/>
      <c r="DBG239" s="15"/>
      <c r="DBH239" s="15"/>
      <c r="DBI239" s="10"/>
      <c r="DBJ239" s="10"/>
      <c r="DBK239" s="21"/>
      <c r="DBL239" s="21"/>
      <c r="DBO239" s="21"/>
      <c r="DBP239" s="15"/>
      <c r="DBQ239" s="15"/>
      <c r="DBR239" s="15"/>
      <c r="DBS239" s="15"/>
      <c r="DBT239" s="15"/>
      <c r="DBU239" s="15"/>
      <c r="DBV239" s="15"/>
      <c r="DBW239" s="15"/>
      <c r="DBX239" s="15"/>
      <c r="DBY239" s="15"/>
      <c r="DBZ239" s="10"/>
      <c r="DCA239" s="10"/>
      <c r="DCB239" s="21"/>
      <c r="DCC239" s="21"/>
      <c r="DCF239" s="21"/>
      <c r="DCG239" s="15"/>
      <c r="DCH239" s="15"/>
      <c r="DCI239" s="15"/>
      <c r="DCJ239" s="15"/>
      <c r="DCK239" s="15"/>
      <c r="DCL239" s="15"/>
      <c r="DCM239" s="15"/>
      <c r="DCN239" s="15"/>
      <c r="DCO239" s="15"/>
      <c r="DCP239" s="15"/>
      <c r="DCQ239" s="10"/>
      <c r="DCR239" s="10"/>
      <c r="DCS239" s="21"/>
      <c r="DCT239" s="21"/>
      <c r="DCW239" s="21"/>
      <c r="DCX239" s="15"/>
      <c r="DCY239" s="15"/>
      <c r="DCZ239" s="15"/>
      <c r="DDA239" s="15"/>
      <c r="DDB239" s="15"/>
      <c r="DDC239" s="15"/>
      <c r="DDD239" s="15"/>
      <c r="DDE239" s="15"/>
      <c r="DDF239" s="15"/>
      <c r="DDG239" s="15"/>
      <c r="DDH239" s="10"/>
      <c r="DDI239" s="10"/>
      <c r="DDJ239" s="21"/>
      <c r="DDK239" s="21"/>
      <c r="DDN239" s="21"/>
      <c r="DDO239" s="15"/>
      <c r="DDP239" s="15"/>
      <c r="DDQ239" s="15"/>
      <c r="DDR239" s="15"/>
      <c r="DDS239" s="15"/>
      <c r="DDT239" s="15"/>
      <c r="DDU239" s="15"/>
      <c r="DDV239" s="15"/>
      <c r="DDW239" s="15"/>
      <c r="DDX239" s="15"/>
      <c r="DDY239" s="10"/>
      <c r="DDZ239" s="10"/>
      <c r="DEA239" s="21"/>
      <c r="DEB239" s="21"/>
      <c r="DEE239" s="21"/>
      <c r="DEF239" s="15"/>
      <c r="DEG239" s="15"/>
      <c r="DEH239" s="15"/>
      <c r="DEI239" s="15"/>
      <c r="DEJ239" s="15"/>
      <c r="DEK239" s="15"/>
      <c r="DEL239" s="15"/>
      <c r="DEM239" s="15"/>
      <c r="DEN239" s="15"/>
      <c r="DEO239" s="15"/>
      <c r="DEP239" s="10"/>
      <c r="DEQ239" s="10"/>
      <c r="DER239" s="21"/>
      <c r="DES239" s="21"/>
      <c r="DEV239" s="21"/>
      <c r="DEW239" s="15"/>
      <c r="DEX239" s="15"/>
      <c r="DEY239" s="15"/>
      <c r="DEZ239" s="15"/>
      <c r="DFA239" s="15"/>
      <c r="DFB239" s="15"/>
      <c r="DFC239" s="15"/>
      <c r="DFD239" s="15"/>
      <c r="DFE239" s="15"/>
      <c r="DFF239" s="15"/>
      <c r="DFG239" s="10"/>
      <c r="DFH239" s="10"/>
      <c r="DFI239" s="21"/>
      <c r="DFJ239" s="21"/>
      <c r="DFM239" s="21"/>
      <c r="DFN239" s="15"/>
      <c r="DFO239" s="15"/>
      <c r="DFP239" s="15"/>
      <c r="DFQ239" s="15"/>
      <c r="DFR239" s="15"/>
      <c r="DFS239" s="15"/>
      <c r="DFT239" s="15"/>
      <c r="DFU239" s="15"/>
      <c r="DFV239" s="15"/>
      <c r="DFW239" s="15"/>
      <c r="DFX239" s="10"/>
      <c r="DFY239" s="10"/>
      <c r="DFZ239" s="21"/>
      <c r="DGA239" s="21"/>
      <c r="DGD239" s="21"/>
      <c r="DGE239" s="15"/>
      <c r="DGF239" s="15"/>
      <c r="DGG239" s="15"/>
      <c r="DGH239" s="15"/>
      <c r="DGI239" s="15"/>
      <c r="DGJ239" s="15"/>
      <c r="DGK239" s="15"/>
      <c r="DGL239" s="15"/>
      <c r="DGM239" s="15"/>
      <c r="DGN239" s="15"/>
      <c r="DGO239" s="10"/>
      <c r="DGP239" s="10"/>
      <c r="DGQ239" s="21"/>
      <c r="DGR239" s="21"/>
      <c r="DGU239" s="21"/>
      <c r="DGV239" s="15"/>
      <c r="DGW239" s="15"/>
      <c r="DGX239" s="15"/>
      <c r="DGY239" s="15"/>
      <c r="DGZ239" s="15"/>
      <c r="DHA239" s="15"/>
      <c r="DHB239" s="15"/>
      <c r="DHC239" s="15"/>
      <c r="DHD239" s="15"/>
      <c r="DHE239" s="15"/>
      <c r="DHF239" s="10"/>
      <c r="DHG239" s="10"/>
      <c r="DHH239" s="21"/>
      <c r="DHI239" s="21"/>
      <c r="DHL239" s="21"/>
      <c r="DHM239" s="15"/>
      <c r="DHN239" s="15"/>
      <c r="DHO239" s="15"/>
      <c r="DHP239" s="15"/>
      <c r="DHQ239" s="15"/>
      <c r="DHR239" s="15"/>
      <c r="DHS239" s="15"/>
      <c r="DHT239" s="15"/>
      <c r="DHU239" s="15"/>
      <c r="DHV239" s="15"/>
      <c r="DHW239" s="10"/>
      <c r="DHX239" s="10"/>
      <c r="DHY239" s="21"/>
      <c r="DHZ239" s="21"/>
      <c r="DIC239" s="21"/>
      <c r="DID239" s="15"/>
      <c r="DIE239" s="15"/>
      <c r="DIF239" s="15"/>
      <c r="DIG239" s="15"/>
      <c r="DIH239" s="15"/>
      <c r="DII239" s="15"/>
      <c r="DIJ239" s="15"/>
      <c r="DIK239" s="15"/>
      <c r="DIL239" s="15"/>
      <c r="DIM239" s="15"/>
      <c r="DIN239" s="10"/>
      <c r="DIO239" s="10"/>
      <c r="DIP239" s="21"/>
      <c r="DIQ239" s="21"/>
      <c r="DIT239" s="21"/>
      <c r="DIU239" s="15"/>
      <c r="DIV239" s="15"/>
      <c r="DIW239" s="15"/>
      <c r="DIX239" s="15"/>
      <c r="DIY239" s="15"/>
      <c r="DIZ239" s="15"/>
      <c r="DJA239" s="15"/>
      <c r="DJB239" s="15"/>
      <c r="DJC239" s="15"/>
      <c r="DJD239" s="15"/>
      <c r="DJE239" s="10"/>
      <c r="DJF239" s="10"/>
      <c r="DJG239" s="21"/>
      <c r="DJH239" s="21"/>
      <c r="DJK239" s="21"/>
      <c r="DJL239" s="15"/>
      <c r="DJM239" s="15"/>
      <c r="DJN239" s="15"/>
      <c r="DJO239" s="15"/>
      <c r="DJP239" s="15"/>
      <c r="DJQ239" s="15"/>
      <c r="DJR239" s="15"/>
      <c r="DJS239" s="15"/>
      <c r="DJT239" s="15"/>
      <c r="DJU239" s="15"/>
      <c r="DJV239" s="10"/>
      <c r="DJW239" s="10"/>
      <c r="DJX239" s="21"/>
      <c r="DJY239" s="21"/>
      <c r="DKB239" s="21"/>
      <c r="DKC239" s="15"/>
      <c r="DKD239" s="15"/>
      <c r="DKE239" s="15"/>
      <c r="DKF239" s="15"/>
      <c r="DKG239" s="15"/>
      <c r="DKH239" s="15"/>
      <c r="DKI239" s="15"/>
      <c r="DKJ239" s="15"/>
      <c r="DKK239" s="15"/>
      <c r="DKL239" s="15"/>
      <c r="DKM239" s="10"/>
      <c r="DKN239" s="10"/>
      <c r="DKO239" s="21"/>
      <c r="DKP239" s="21"/>
      <c r="DKS239" s="21"/>
      <c r="DKT239" s="15"/>
      <c r="DKU239" s="15"/>
      <c r="DKV239" s="15"/>
      <c r="DKW239" s="15"/>
      <c r="DKX239" s="15"/>
      <c r="DKY239" s="15"/>
      <c r="DKZ239" s="15"/>
      <c r="DLA239" s="15"/>
      <c r="DLB239" s="15"/>
      <c r="DLC239" s="15"/>
      <c r="DLD239" s="10"/>
      <c r="DLE239" s="10"/>
      <c r="DLF239" s="21"/>
      <c r="DLG239" s="21"/>
      <c r="DLJ239" s="21"/>
      <c r="DLK239" s="15"/>
      <c r="DLL239" s="15"/>
      <c r="DLM239" s="15"/>
      <c r="DLN239" s="15"/>
      <c r="DLO239" s="15"/>
      <c r="DLP239" s="15"/>
      <c r="DLQ239" s="15"/>
      <c r="DLR239" s="15"/>
      <c r="DLS239" s="15"/>
      <c r="DLT239" s="15"/>
      <c r="DLU239" s="10"/>
      <c r="DLV239" s="10"/>
      <c r="DLW239" s="21"/>
      <c r="DLX239" s="21"/>
      <c r="DMA239" s="21"/>
      <c r="DMB239" s="15"/>
      <c r="DMC239" s="15"/>
      <c r="DMD239" s="15"/>
      <c r="DME239" s="15"/>
      <c r="DMF239" s="15"/>
      <c r="DMG239" s="15"/>
      <c r="DMH239" s="15"/>
      <c r="DMI239" s="15"/>
      <c r="DMJ239" s="15"/>
      <c r="DMK239" s="15"/>
      <c r="DML239" s="10"/>
      <c r="DMM239" s="10"/>
      <c r="DMN239" s="21"/>
      <c r="DMO239" s="21"/>
      <c r="DMR239" s="21"/>
      <c r="DMS239" s="15"/>
      <c r="DMT239" s="15"/>
      <c r="DMU239" s="15"/>
      <c r="DMV239" s="15"/>
      <c r="DMW239" s="15"/>
      <c r="DMX239" s="15"/>
      <c r="DMY239" s="15"/>
      <c r="DMZ239" s="15"/>
      <c r="DNA239" s="15"/>
      <c r="DNB239" s="15"/>
      <c r="DNC239" s="10"/>
      <c r="DND239" s="10"/>
      <c r="DNE239" s="21"/>
      <c r="DNF239" s="21"/>
      <c r="DNI239" s="21"/>
      <c r="DNJ239" s="15"/>
      <c r="DNK239" s="15"/>
      <c r="DNL239" s="15"/>
      <c r="DNM239" s="15"/>
      <c r="DNN239" s="15"/>
      <c r="DNO239" s="15"/>
      <c r="DNP239" s="15"/>
      <c r="DNQ239" s="15"/>
      <c r="DNR239" s="15"/>
      <c r="DNS239" s="15"/>
      <c r="DNT239" s="10"/>
      <c r="DNU239" s="10"/>
      <c r="DNV239" s="21"/>
      <c r="DNW239" s="21"/>
      <c r="DNZ239" s="21"/>
      <c r="DOA239" s="15"/>
      <c r="DOB239" s="15"/>
      <c r="DOC239" s="15"/>
      <c r="DOD239" s="15"/>
      <c r="DOE239" s="15"/>
      <c r="DOF239" s="15"/>
      <c r="DOG239" s="15"/>
      <c r="DOH239" s="15"/>
      <c r="DOI239" s="15"/>
      <c r="DOJ239" s="15"/>
      <c r="DOK239" s="10"/>
      <c r="DOL239" s="10"/>
      <c r="DOM239" s="21"/>
      <c r="DON239" s="21"/>
      <c r="DOQ239" s="21"/>
      <c r="DOR239" s="15"/>
      <c r="DOS239" s="15"/>
      <c r="DOT239" s="15"/>
      <c r="DOU239" s="15"/>
      <c r="DOV239" s="15"/>
      <c r="DOW239" s="15"/>
      <c r="DOX239" s="15"/>
      <c r="DOY239" s="15"/>
      <c r="DOZ239" s="15"/>
      <c r="DPA239" s="15"/>
      <c r="DPB239" s="10"/>
      <c r="DPC239" s="10"/>
      <c r="DPD239" s="21"/>
      <c r="DPE239" s="21"/>
      <c r="DPH239" s="21"/>
      <c r="DPI239" s="15"/>
      <c r="DPJ239" s="15"/>
      <c r="DPK239" s="15"/>
      <c r="DPL239" s="15"/>
      <c r="DPM239" s="15"/>
      <c r="DPN239" s="15"/>
      <c r="DPO239" s="15"/>
      <c r="DPP239" s="15"/>
      <c r="DPQ239" s="15"/>
      <c r="DPR239" s="15"/>
      <c r="DPS239" s="10"/>
      <c r="DPT239" s="10"/>
      <c r="DPU239" s="21"/>
      <c r="DPV239" s="21"/>
      <c r="DPY239" s="21"/>
      <c r="DPZ239" s="15"/>
      <c r="DQA239" s="15"/>
      <c r="DQB239" s="15"/>
      <c r="DQC239" s="15"/>
      <c r="DQD239" s="15"/>
      <c r="DQE239" s="15"/>
      <c r="DQF239" s="15"/>
      <c r="DQG239" s="15"/>
      <c r="DQH239" s="15"/>
      <c r="DQI239" s="15"/>
      <c r="DQJ239" s="10"/>
      <c r="DQK239" s="10"/>
      <c r="DQL239" s="21"/>
      <c r="DQM239" s="21"/>
      <c r="DQP239" s="21"/>
      <c r="DQQ239" s="15"/>
      <c r="DQR239" s="15"/>
      <c r="DQS239" s="15"/>
      <c r="DQT239" s="15"/>
      <c r="DQU239" s="15"/>
      <c r="DQV239" s="15"/>
      <c r="DQW239" s="15"/>
      <c r="DQX239" s="15"/>
      <c r="DQY239" s="15"/>
      <c r="DQZ239" s="15"/>
      <c r="DRA239" s="10"/>
      <c r="DRB239" s="10"/>
      <c r="DRC239" s="21"/>
      <c r="DRD239" s="21"/>
      <c r="DRG239" s="21"/>
      <c r="DRH239" s="15"/>
      <c r="DRI239" s="15"/>
      <c r="DRJ239" s="15"/>
      <c r="DRK239" s="15"/>
      <c r="DRL239" s="15"/>
      <c r="DRM239" s="15"/>
      <c r="DRN239" s="15"/>
      <c r="DRO239" s="15"/>
      <c r="DRP239" s="15"/>
      <c r="DRQ239" s="15"/>
      <c r="DRR239" s="10"/>
      <c r="DRS239" s="10"/>
      <c r="DRT239" s="21"/>
      <c r="DRU239" s="21"/>
      <c r="DRX239" s="21"/>
      <c r="DRY239" s="15"/>
      <c r="DRZ239" s="15"/>
      <c r="DSA239" s="15"/>
      <c r="DSB239" s="15"/>
      <c r="DSC239" s="15"/>
      <c r="DSD239" s="15"/>
      <c r="DSE239" s="15"/>
      <c r="DSF239" s="15"/>
      <c r="DSG239" s="15"/>
      <c r="DSH239" s="15"/>
      <c r="DSI239" s="10"/>
      <c r="DSJ239" s="10"/>
      <c r="DSK239" s="21"/>
      <c r="DSL239" s="21"/>
      <c r="DSO239" s="21"/>
      <c r="DSP239" s="15"/>
      <c r="DSQ239" s="15"/>
      <c r="DSR239" s="15"/>
      <c r="DSS239" s="15"/>
      <c r="DST239" s="15"/>
      <c r="DSU239" s="15"/>
      <c r="DSV239" s="15"/>
      <c r="DSW239" s="15"/>
      <c r="DSX239" s="15"/>
      <c r="DSY239" s="15"/>
      <c r="DSZ239" s="10"/>
      <c r="DTA239" s="10"/>
      <c r="DTB239" s="21"/>
      <c r="DTC239" s="21"/>
      <c r="DTF239" s="21"/>
      <c r="DTG239" s="15"/>
      <c r="DTH239" s="15"/>
      <c r="DTI239" s="15"/>
      <c r="DTJ239" s="15"/>
      <c r="DTK239" s="15"/>
      <c r="DTL239" s="15"/>
      <c r="DTM239" s="15"/>
      <c r="DTN239" s="15"/>
      <c r="DTO239" s="15"/>
      <c r="DTP239" s="15"/>
      <c r="DTQ239" s="10"/>
      <c r="DTR239" s="10"/>
      <c r="DTS239" s="21"/>
      <c r="DTT239" s="21"/>
      <c r="DTW239" s="21"/>
      <c r="DTX239" s="15"/>
      <c r="DTY239" s="15"/>
      <c r="DTZ239" s="15"/>
      <c r="DUA239" s="15"/>
      <c r="DUB239" s="15"/>
      <c r="DUC239" s="15"/>
      <c r="DUD239" s="15"/>
      <c r="DUE239" s="15"/>
      <c r="DUF239" s="15"/>
      <c r="DUG239" s="15"/>
      <c r="DUH239" s="10"/>
      <c r="DUI239" s="10"/>
      <c r="DUJ239" s="21"/>
      <c r="DUK239" s="21"/>
      <c r="DUN239" s="21"/>
      <c r="DUO239" s="15"/>
      <c r="DUP239" s="15"/>
      <c r="DUQ239" s="15"/>
      <c r="DUR239" s="15"/>
      <c r="DUS239" s="15"/>
      <c r="DUT239" s="15"/>
      <c r="DUU239" s="15"/>
      <c r="DUV239" s="15"/>
      <c r="DUW239" s="15"/>
      <c r="DUX239" s="15"/>
      <c r="DUY239" s="10"/>
      <c r="DUZ239" s="10"/>
      <c r="DVA239" s="21"/>
      <c r="DVB239" s="21"/>
      <c r="DVE239" s="21"/>
      <c r="DVF239" s="15"/>
      <c r="DVG239" s="15"/>
      <c r="DVH239" s="15"/>
      <c r="DVI239" s="15"/>
      <c r="DVJ239" s="15"/>
      <c r="DVK239" s="15"/>
      <c r="DVL239" s="15"/>
      <c r="DVM239" s="15"/>
      <c r="DVN239" s="15"/>
      <c r="DVO239" s="15"/>
      <c r="DVP239" s="10"/>
      <c r="DVQ239" s="10"/>
      <c r="DVR239" s="21"/>
      <c r="DVS239" s="21"/>
      <c r="DVV239" s="21"/>
      <c r="DVW239" s="15"/>
      <c r="DVX239" s="15"/>
      <c r="DVY239" s="15"/>
      <c r="DVZ239" s="15"/>
      <c r="DWA239" s="15"/>
      <c r="DWB239" s="15"/>
      <c r="DWC239" s="15"/>
      <c r="DWD239" s="15"/>
      <c r="DWE239" s="15"/>
      <c r="DWF239" s="15"/>
      <c r="DWG239" s="10"/>
      <c r="DWH239" s="10"/>
      <c r="DWI239" s="21"/>
      <c r="DWJ239" s="21"/>
      <c r="DWM239" s="21"/>
      <c r="DWN239" s="15"/>
      <c r="DWO239" s="15"/>
      <c r="DWP239" s="15"/>
      <c r="DWQ239" s="15"/>
      <c r="DWR239" s="15"/>
      <c r="DWS239" s="15"/>
      <c r="DWT239" s="15"/>
      <c r="DWU239" s="15"/>
      <c r="DWV239" s="15"/>
      <c r="DWW239" s="15"/>
      <c r="DWX239" s="10"/>
      <c r="DWY239" s="10"/>
      <c r="DWZ239" s="21"/>
      <c r="DXA239" s="21"/>
      <c r="DXD239" s="21"/>
      <c r="DXE239" s="15"/>
      <c r="DXF239" s="15"/>
      <c r="DXG239" s="15"/>
      <c r="DXH239" s="15"/>
      <c r="DXI239" s="15"/>
      <c r="DXJ239" s="15"/>
      <c r="DXK239" s="15"/>
      <c r="DXL239" s="15"/>
      <c r="DXM239" s="15"/>
      <c r="DXN239" s="15"/>
      <c r="DXO239" s="10"/>
      <c r="DXP239" s="10"/>
      <c r="DXQ239" s="21"/>
      <c r="DXR239" s="21"/>
      <c r="DXU239" s="21"/>
      <c r="DXV239" s="15"/>
      <c r="DXW239" s="15"/>
      <c r="DXX239" s="15"/>
      <c r="DXY239" s="15"/>
      <c r="DXZ239" s="15"/>
      <c r="DYA239" s="15"/>
      <c r="DYB239" s="15"/>
      <c r="DYC239" s="15"/>
      <c r="DYD239" s="15"/>
      <c r="DYE239" s="15"/>
      <c r="DYF239" s="10"/>
      <c r="DYG239" s="10"/>
      <c r="DYH239" s="21"/>
      <c r="DYI239" s="21"/>
      <c r="DYL239" s="21"/>
      <c r="DYM239" s="15"/>
      <c r="DYN239" s="15"/>
      <c r="DYO239" s="15"/>
      <c r="DYP239" s="15"/>
      <c r="DYQ239" s="15"/>
      <c r="DYR239" s="15"/>
      <c r="DYS239" s="15"/>
      <c r="DYT239" s="15"/>
      <c r="DYU239" s="15"/>
      <c r="DYV239" s="15"/>
      <c r="DYW239" s="10"/>
      <c r="DYX239" s="10"/>
      <c r="DYY239" s="21"/>
      <c r="DYZ239" s="21"/>
      <c r="DZC239" s="21"/>
      <c r="DZD239" s="15"/>
      <c r="DZE239" s="15"/>
      <c r="DZF239" s="15"/>
      <c r="DZG239" s="15"/>
      <c r="DZH239" s="15"/>
      <c r="DZI239" s="15"/>
      <c r="DZJ239" s="15"/>
      <c r="DZK239" s="15"/>
      <c r="DZL239" s="15"/>
      <c r="DZM239" s="15"/>
      <c r="DZN239" s="10"/>
      <c r="DZO239" s="10"/>
      <c r="DZP239" s="21"/>
      <c r="DZQ239" s="21"/>
      <c r="DZT239" s="21"/>
      <c r="DZU239" s="15"/>
      <c r="DZV239" s="15"/>
      <c r="DZW239" s="15"/>
      <c r="DZX239" s="15"/>
      <c r="DZY239" s="15"/>
      <c r="DZZ239" s="15"/>
      <c r="EAA239" s="15"/>
      <c r="EAB239" s="15"/>
      <c r="EAC239" s="15"/>
      <c r="EAD239" s="15"/>
      <c r="EAE239" s="10"/>
      <c r="EAF239" s="10"/>
      <c r="EAG239" s="21"/>
      <c r="EAH239" s="21"/>
      <c r="EAK239" s="21"/>
      <c r="EAL239" s="15"/>
      <c r="EAM239" s="15"/>
      <c r="EAN239" s="15"/>
      <c r="EAO239" s="15"/>
      <c r="EAP239" s="15"/>
      <c r="EAQ239" s="15"/>
      <c r="EAR239" s="15"/>
      <c r="EAS239" s="15"/>
      <c r="EAT239" s="15"/>
      <c r="EAU239" s="15"/>
      <c r="EAV239" s="10"/>
      <c r="EAW239" s="10"/>
      <c r="EAX239" s="21"/>
      <c r="EAY239" s="21"/>
      <c r="EBB239" s="21"/>
      <c r="EBC239" s="15"/>
      <c r="EBD239" s="15"/>
      <c r="EBE239" s="15"/>
      <c r="EBF239" s="15"/>
      <c r="EBG239" s="15"/>
      <c r="EBH239" s="15"/>
      <c r="EBI239" s="15"/>
      <c r="EBJ239" s="15"/>
      <c r="EBK239" s="15"/>
      <c r="EBL239" s="15"/>
      <c r="EBM239" s="10"/>
      <c r="EBN239" s="10"/>
      <c r="EBO239" s="21"/>
      <c r="EBP239" s="21"/>
      <c r="EBS239" s="21"/>
      <c r="EBT239" s="15"/>
      <c r="EBU239" s="15"/>
      <c r="EBV239" s="15"/>
      <c r="EBW239" s="15"/>
      <c r="EBX239" s="15"/>
      <c r="EBY239" s="15"/>
      <c r="EBZ239" s="15"/>
      <c r="ECA239" s="15"/>
      <c r="ECB239" s="15"/>
      <c r="ECC239" s="15"/>
      <c r="ECD239" s="10"/>
      <c r="ECE239" s="10"/>
      <c r="ECF239" s="21"/>
      <c r="ECG239" s="21"/>
      <c r="ECJ239" s="21"/>
      <c r="ECK239" s="15"/>
      <c r="ECL239" s="15"/>
      <c r="ECM239" s="15"/>
      <c r="ECN239" s="15"/>
      <c r="ECO239" s="15"/>
      <c r="ECP239" s="15"/>
      <c r="ECQ239" s="15"/>
      <c r="ECR239" s="15"/>
      <c r="ECS239" s="15"/>
      <c r="ECT239" s="15"/>
      <c r="ECU239" s="10"/>
      <c r="ECV239" s="10"/>
      <c r="ECW239" s="21"/>
      <c r="ECX239" s="21"/>
      <c r="EDA239" s="21"/>
      <c r="EDB239" s="15"/>
      <c r="EDC239" s="15"/>
      <c r="EDD239" s="15"/>
      <c r="EDE239" s="15"/>
      <c r="EDF239" s="15"/>
      <c r="EDG239" s="15"/>
      <c r="EDH239" s="15"/>
      <c r="EDI239" s="15"/>
      <c r="EDJ239" s="15"/>
      <c r="EDK239" s="15"/>
      <c r="EDL239" s="10"/>
      <c r="EDM239" s="10"/>
      <c r="EDN239" s="21"/>
      <c r="EDO239" s="21"/>
      <c r="EDR239" s="21"/>
      <c r="EDS239" s="15"/>
      <c r="EDT239" s="15"/>
      <c r="EDU239" s="15"/>
      <c r="EDV239" s="15"/>
      <c r="EDW239" s="15"/>
      <c r="EDX239" s="15"/>
      <c r="EDY239" s="15"/>
      <c r="EDZ239" s="15"/>
      <c r="EEA239" s="15"/>
      <c r="EEB239" s="15"/>
      <c r="EEC239" s="10"/>
      <c r="EED239" s="10"/>
      <c r="EEE239" s="21"/>
      <c r="EEF239" s="21"/>
      <c r="EEI239" s="21"/>
      <c r="EEJ239" s="15"/>
      <c r="EEK239" s="15"/>
      <c r="EEL239" s="15"/>
      <c r="EEM239" s="15"/>
      <c r="EEN239" s="15"/>
      <c r="EEO239" s="15"/>
      <c r="EEP239" s="15"/>
      <c r="EEQ239" s="15"/>
      <c r="EER239" s="15"/>
      <c r="EES239" s="15"/>
      <c r="EET239" s="10"/>
      <c r="EEU239" s="10"/>
      <c r="EEV239" s="21"/>
      <c r="EEW239" s="21"/>
      <c r="EEZ239" s="21"/>
      <c r="EFA239" s="15"/>
      <c r="EFB239" s="15"/>
      <c r="EFC239" s="15"/>
      <c r="EFD239" s="15"/>
      <c r="EFE239" s="15"/>
      <c r="EFF239" s="15"/>
      <c r="EFG239" s="15"/>
      <c r="EFH239" s="15"/>
      <c r="EFI239" s="15"/>
      <c r="EFJ239" s="15"/>
      <c r="EFK239" s="10"/>
      <c r="EFL239" s="10"/>
      <c r="EFM239" s="21"/>
      <c r="EFN239" s="21"/>
      <c r="EFQ239" s="21"/>
      <c r="EFR239" s="15"/>
      <c r="EFS239" s="15"/>
      <c r="EFT239" s="15"/>
      <c r="EFU239" s="15"/>
      <c r="EFV239" s="15"/>
      <c r="EFW239" s="15"/>
      <c r="EFX239" s="15"/>
      <c r="EFY239" s="15"/>
      <c r="EFZ239" s="15"/>
      <c r="EGA239" s="15"/>
      <c r="EGB239" s="10"/>
      <c r="EGC239" s="10"/>
      <c r="EGD239" s="21"/>
      <c r="EGE239" s="21"/>
      <c r="EGH239" s="21"/>
      <c r="EGI239" s="15"/>
      <c r="EGJ239" s="15"/>
      <c r="EGK239" s="15"/>
      <c r="EGL239" s="15"/>
      <c r="EGM239" s="15"/>
      <c r="EGN239" s="15"/>
      <c r="EGO239" s="15"/>
      <c r="EGP239" s="15"/>
      <c r="EGQ239" s="15"/>
      <c r="EGR239" s="15"/>
      <c r="EGS239" s="10"/>
      <c r="EGT239" s="10"/>
      <c r="EGU239" s="21"/>
      <c r="EGV239" s="21"/>
      <c r="EGY239" s="21"/>
      <c r="EGZ239" s="15"/>
      <c r="EHA239" s="15"/>
      <c r="EHB239" s="15"/>
      <c r="EHC239" s="15"/>
      <c r="EHD239" s="15"/>
      <c r="EHE239" s="15"/>
      <c r="EHF239" s="15"/>
      <c r="EHG239" s="15"/>
      <c r="EHH239" s="15"/>
      <c r="EHI239" s="15"/>
      <c r="EHJ239" s="10"/>
      <c r="EHK239" s="10"/>
      <c r="EHL239" s="21"/>
      <c r="EHM239" s="21"/>
      <c r="EHP239" s="21"/>
      <c r="EHQ239" s="15"/>
      <c r="EHR239" s="15"/>
      <c r="EHS239" s="15"/>
      <c r="EHT239" s="15"/>
      <c r="EHU239" s="15"/>
      <c r="EHV239" s="15"/>
      <c r="EHW239" s="15"/>
      <c r="EHX239" s="15"/>
      <c r="EHY239" s="15"/>
      <c r="EHZ239" s="15"/>
      <c r="EIA239" s="10"/>
      <c r="EIB239" s="10"/>
      <c r="EIC239" s="21"/>
      <c r="EID239" s="21"/>
      <c r="EIG239" s="21"/>
      <c r="EIH239" s="15"/>
      <c r="EII239" s="15"/>
      <c r="EIJ239" s="15"/>
      <c r="EIK239" s="15"/>
      <c r="EIL239" s="15"/>
      <c r="EIM239" s="15"/>
      <c r="EIN239" s="15"/>
      <c r="EIO239" s="15"/>
      <c r="EIP239" s="15"/>
      <c r="EIQ239" s="15"/>
      <c r="EIR239" s="10"/>
      <c r="EIS239" s="10"/>
      <c r="EIT239" s="21"/>
      <c r="EIU239" s="21"/>
      <c r="EIX239" s="21"/>
      <c r="EIY239" s="15"/>
      <c r="EIZ239" s="15"/>
      <c r="EJA239" s="15"/>
      <c r="EJB239" s="15"/>
      <c r="EJC239" s="15"/>
      <c r="EJD239" s="15"/>
      <c r="EJE239" s="15"/>
      <c r="EJF239" s="15"/>
      <c r="EJG239" s="15"/>
      <c r="EJH239" s="15"/>
      <c r="EJI239" s="10"/>
      <c r="EJJ239" s="10"/>
      <c r="EJK239" s="21"/>
      <c r="EJL239" s="21"/>
      <c r="EJO239" s="21"/>
      <c r="EJP239" s="15"/>
      <c r="EJQ239" s="15"/>
      <c r="EJR239" s="15"/>
      <c r="EJS239" s="15"/>
      <c r="EJT239" s="15"/>
      <c r="EJU239" s="15"/>
      <c r="EJV239" s="15"/>
      <c r="EJW239" s="15"/>
      <c r="EJX239" s="15"/>
      <c r="EJY239" s="15"/>
      <c r="EJZ239" s="10"/>
      <c r="EKA239" s="10"/>
      <c r="EKB239" s="21"/>
      <c r="EKC239" s="21"/>
      <c r="EKF239" s="21"/>
      <c r="EKG239" s="15"/>
      <c r="EKH239" s="15"/>
      <c r="EKI239" s="15"/>
      <c r="EKJ239" s="15"/>
      <c r="EKK239" s="15"/>
      <c r="EKL239" s="15"/>
      <c r="EKM239" s="15"/>
      <c r="EKN239" s="15"/>
      <c r="EKO239" s="15"/>
      <c r="EKP239" s="15"/>
      <c r="EKQ239" s="10"/>
      <c r="EKR239" s="10"/>
      <c r="EKS239" s="21"/>
      <c r="EKT239" s="21"/>
      <c r="EKW239" s="21"/>
      <c r="EKX239" s="15"/>
      <c r="EKY239" s="15"/>
      <c r="EKZ239" s="15"/>
      <c r="ELA239" s="15"/>
      <c r="ELB239" s="15"/>
      <c r="ELC239" s="15"/>
      <c r="ELD239" s="15"/>
      <c r="ELE239" s="15"/>
      <c r="ELF239" s="15"/>
      <c r="ELG239" s="15"/>
      <c r="ELH239" s="10"/>
      <c r="ELI239" s="10"/>
      <c r="ELJ239" s="21"/>
      <c r="ELK239" s="21"/>
      <c r="ELN239" s="21"/>
      <c r="ELO239" s="15"/>
      <c r="ELP239" s="15"/>
      <c r="ELQ239" s="15"/>
      <c r="ELR239" s="15"/>
      <c r="ELS239" s="15"/>
      <c r="ELT239" s="15"/>
      <c r="ELU239" s="15"/>
      <c r="ELV239" s="15"/>
      <c r="ELW239" s="15"/>
      <c r="ELX239" s="15"/>
      <c r="ELY239" s="10"/>
      <c r="ELZ239" s="10"/>
      <c r="EMA239" s="21"/>
      <c r="EMB239" s="21"/>
      <c r="EME239" s="21"/>
      <c r="EMF239" s="15"/>
      <c r="EMG239" s="15"/>
      <c r="EMH239" s="15"/>
      <c r="EMI239" s="15"/>
      <c r="EMJ239" s="15"/>
      <c r="EMK239" s="15"/>
      <c r="EML239" s="15"/>
      <c r="EMM239" s="15"/>
      <c r="EMN239" s="15"/>
      <c r="EMO239" s="15"/>
      <c r="EMP239" s="10"/>
      <c r="EMQ239" s="10"/>
      <c r="EMR239" s="21"/>
      <c r="EMS239" s="21"/>
      <c r="EMV239" s="21"/>
      <c r="EMW239" s="15"/>
      <c r="EMX239" s="15"/>
      <c r="EMY239" s="15"/>
      <c r="EMZ239" s="15"/>
      <c r="ENA239" s="15"/>
      <c r="ENB239" s="15"/>
      <c r="ENC239" s="15"/>
      <c r="END239" s="15"/>
      <c r="ENE239" s="15"/>
      <c r="ENF239" s="15"/>
      <c r="ENG239" s="10"/>
      <c r="ENH239" s="10"/>
      <c r="ENI239" s="21"/>
      <c r="ENJ239" s="21"/>
      <c r="ENM239" s="21"/>
      <c r="ENN239" s="15"/>
      <c r="ENO239" s="15"/>
      <c r="ENP239" s="15"/>
      <c r="ENQ239" s="15"/>
      <c r="ENR239" s="15"/>
      <c r="ENS239" s="15"/>
      <c r="ENT239" s="15"/>
      <c r="ENU239" s="15"/>
      <c r="ENV239" s="15"/>
      <c r="ENW239" s="15"/>
      <c r="ENX239" s="10"/>
      <c r="ENY239" s="10"/>
      <c r="ENZ239" s="21"/>
      <c r="EOA239" s="21"/>
      <c r="EOD239" s="21"/>
      <c r="EOE239" s="15"/>
      <c r="EOF239" s="15"/>
      <c r="EOG239" s="15"/>
      <c r="EOH239" s="15"/>
      <c r="EOI239" s="15"/>
      <c r="EOJ239" s="15"/>
      <c r="EOK239" s="15"/>
      <c r="EOL239" s="15"/>
      <c r="EOM239" s="15"/>
      <c r="EON239" s="15"/>
      <c r="EOO239" s="10"/>
      <c r="EOP239" s="10"/>
      <c r="EOQ239" s="21"/>
      <c r="EOR239" s="21"/>
      <c r="EOU239" s="21"/>
      <c r="EOV239" s="15"/>
      <c r="EOW239" s="15"/>
      <c r="EOX239" s="15"/>
      <c r="EOY239" s="15"/>
      <c r="EOZ239" s="15"/>
      <c r="EPA239" s="15"/>
      <c r="EPB239" s="15"/>
      <c r="EPC239" s="15"/>
      <c r="EPD239" s="15"/>
      <c r="EPE239" s="15"/>
      <c r="EPF239" s="10"/>
      <c r="EPG239" s="10"/>
      <c r="EPH239" s="21"/>
      <c r="EPI239" s="21"/>
      <c r="EPL239" s="21"/>
      <c r="EPM239" s="15"/>
      <c r="EPN239" s="15"/>
      <c r="EPO239" s="15"/>
      <c r="EPP239" s="15"/>
      <c r="EPQ239" s="15"/>
      <c r="EPR239" s="15"/>
      <c r="EPS239" s="15"/>
      <c r="EPT239" s="15"/>
      <c r="EPU239" s="15"/>
      <c r="EPV239" s="15"/>
      <c r="EPW239" s="10"/>
      <c r="EPX239" s="10"/>
      <c r="EPY239" s="21"/>
      <c r="EPZ239" s="21"/>
      <c r="EQC239" s="21"/>
      <c r="EQD239" s="15"/>
      <c r="EQE239" s="15"/>
      <c r="EQF239" s="15"/>
      <c r="EQG239" s="15"/>
      <c r="EQH239" s="15"/>
      <c r="EQI239" s="15"/>
      <c r="EQJ239" s="15"/>
      <c r="EQK239" s="15"/>
      <c r="EQL239" s="15"/>
      <c r="EQM239" s="15"/>
      <c r="EQN239" s="10"/>
      <c r="EQO239" s="10"/>
      <c r="EQP239" s="21"/>
      <c r="EQQ239" s="21"/>
      <c r="EQT239" s="21"/>
      <c r="EQU239" s="15"/>
      <c r="EQV239" s="15"/>
      <c r="EQW239" s="15"/>
      <c r="EQX239" s="15"/>
      <c r="EQY239" s="15"/>
      <c r="EQZ239" s="15"/>
      <c r="ERA239" s="15"/>
      <c r="ERB239" s="15"/>
      <c r="ERC239" s="15"/>
      <c r="ERD239" s="15"/>
      <c r="ERE239" s="10"/>
      <c r="ERF239" s="10"/>
      <c r="ERG239" s="21"/>
      <c r="ERH239" s="21"/>
      <c r="ERK239" s="21"/>
      <c r="ERL239" s="15"/>
      <c r="ERM239" s="15"/>
      <c r="ERN239" s="15"/>
      <c r="ERO239" s="15"/>
      <c r="ERP239" s="15"/>
      <c r="ERQ239" s="15"/>
      <c r="ERR239" s="15"/>
      <c r="ERS239" s="15"/>
      <c r="ERT239" s="15"/>
      <c r="ERU239" s="15"/>
      <c r="ERV239" s="10"/>
      <c r="ERW239" s="10"/>
      <c r="ERX239" s="21"/>
      <c r="ERY239" s="21"/>
      <c r="ESB239" s="21"/>
      <c r="ESC239" s="15"/>
      <c r="ESD239" s="15"/>
      <c r="ESE239" s="15"/>
      <c r="ESF239" s="15"/>
      <c r="ESG239" s="15"/>
      <c r="ESH239" s="15"/>
      <c r="ESI239" s="15"/>
      <c r="ESJ239" s="15"/>
      <c r="ESK239" s="15"/>
      <c r="ESL239" s="15"/>
      <c r="ESM239" s="10"/>
      <c r="ESN239" s="10"/>
      <c r="ESO239" s="21"/>
      <c r="ESP239" s="21"/>
      <c r="ESS239" s="21"/>
      <c r="EST239" s="15"/>
      <c r="ESU239" s="15"/>
      <c r="ESV239" s="15"/>
      <c r="ESW239" s="15"/>
      <c r="ESX239" s="15"/>
      <c r="ESY239" s="15"/>
      <c r="ESZ239" s="15"/>
      <c r="ETA239" s="15"/>
      <c r="ETB239" s="15"/>
      <c r="ETC239" s="15"/>
      <c r="ETD239" s="10"/>
      <c r="ETE239" s="10"/>
      <c r="ETF239" s="21"/>
      <c r="ETG239" s="21"/>
      <c r="ETJ239" s="21"/>
      <c r="ETK239" s="15"/>
      <c r="ETL239" s="15"/>
      <c r="ETM239" s="15"/>
      <c r="ETN239" s="15"/>
      <c r="ETO239" s="15"/>
      <c r="ETP239" s="15"/>
      <c r="ETQ239" s="15"/>
      <c r="ETR239" s="15"/>
      <c r="ETS239" s="15"/>
      <c r="ETT239" s="15"/>
      <c r="ETU239" s="10"/>
      <c r="ETV239" s="10"/>
      <c r="ETW239" s="21"/>
      <c r="ETX239" s="21"/>
      <c r="EUA239" s="21"/>
      <c r="EUB239" s="15"/>
      <c r="EUC239" s="15"/>
      <c r="EUD239" s="15"/>
      <c r="EUE239" s="15"/>
      <c r="EUF239" s="15"/>
      <c r="EUG239" s="15"/>
      <c r="EUH239" s="15"/>
      <c r="EUI239" s="15"/>
      <c r="EUJ239" s="15"/>
      <c r="EUK239" s="15"/>
      <c r="EUL239" s="10"/>
      <c r="EUM239" s="10"/>
      <c r="EUN239" s="21"/>
      <c r="EUO239" s="21"/>
      <c r="EUR239" s="21"/>
      <c r="EUS239" s="15"/>
      <c r="EUT239" s="15"/>
      <c r="EUU239" s="15"/>
      <c r="EUV239" s="15"/>
      <c r="EUW239" s="15"/>
      <c r="EUX239" s="15"/>
      <c r="EUY239" s="15"/>
      <c r="EUZ239" s="15"/>
      <c r="EVA239" s="15"/>
      <c r="EVB239" s="15"/>
      <c r="EVC239" s="10"/>
      <c r="EVD239" s="10"/>
      <c r="EVE239" s="21"/>
      <c r="EVF239" s="21"/>
      <c r="EVI239" s="21"/>
      <c r="EVJ239" s="15"/>
      <c r="EVK239" s="15"/>
      <c r="EVL239" s="15"/>
      <c r="EVM239" s="15"/>
      <c r="EVN239" s="15"/>
      <c r="EVO239" s="15"/>
      <c r="EVP239" s="15"/>
      <c r="EVQ239" s="15"/>
      <c r="EVR239" s="15"/>
      <c r="EVS239" s="15"/>
      <c r="EVT239" s="10"/>
      <c r="EVU239" s="10"/>
      <c r="EVV239" s="21"/>
      <c r="EVW239" s="21"/>
      <c r="EVZ239" s="21"/>
      <c r="EWA239" s="15"/>
      <c r="EWB239" s="15"/>
      <c r="EWC239" s="15"/>
      <c r="EWD239" s="15"/>
      <c r="EWE239" s="15"/>
      <c r="EWF239" s="15"/>
      <c r="EWG239" s="15"/>
      <c r="EWH239" s="15"/>
      <c r="EWI239" s="15"/>
      <c r="EWJ239" s="15"/>
      <c r="EWK239" s="10"/>
      <c r="EWL239" s="10"/>
      <c r="EWM239" s="21"/>
      <c r="EWN239" s="21"/>
      <c r="EWQ239" s="21"/>
      <c r="EWR239" s="15"/>
      <c r="EWS239" s="15"/>
      <c r="EWT239" s="15"/>
      <c r="EWU239" s="15"/>
      <c r="EWV239" s="15"/>
      <c r="EWW239" s="15"/>
      <c r="EWX239" s="15"/>
      <c r="EWY239" s="15"/>
      <c r="EWZ239" s="15"/>
      <c r="EXA239" s="15"/>
      <c r="EXB239" s="10"/>
      <c r="EXC239" s="10"/>
      <c r="EXD239" s="21"/>
      <c r="EXE239" s="21"/>
      <c r="EXH239" s="21"/>
      <c r="EXI239" s="15"/>
      <c r="EXJ239" s="15"/>
      <c r="EXK239" s="15"/>
      <c r="EXL239" s="15"/>
      <c r="EXM239" s="15"/>
      <c r="EXN239" s="15"/>
      <c r="EXO239" s="15"/>
      <c r="EXP239" s="15"/>
      <c r="EXQ239" s="15"/>
      <c r="EXR239" s="15"/>
      <c r="EXS239" s="10"/>
      <c r="EXT239" s="10"/>
      <c r="EXU239" s="21"/>
      <c r="EXV239" s="21"/>
      <c r="EXY239" s="21"/>
      <c r="EXZ239" s="15"/>
      <c r="EYA239" s="15"/>
      <c r="EYB239" s="15"/>
      <c r="EYC239" s="15"/>
      <c r="EYD239" s="15"/>
      <c r="EYE239" s="15"/>
      <c r="EYF239" s="15"/>
      <c r="EYG239" s="15"/>
      <c r="EYH239" s="15"/>
      <c r="EYI239" s="15"/>
      <c r="EYJ239" s="10"/>
      <c r="EYK239" s="10"/>
      <c r="EYL239" s="21"/>
      <c r="EYM239" s="21"/>
      <c r="EYP239" s="21"/>
      <c r="EYQ239" s="15"/>
      <c r="EYR239" s="15"/>
      <c r="EYS239" s="15"/>
      <c r="EYT239" s="15"/>
      <c r="EYU239" s="15"/>
      <c r="EYV239" s="15"/>
      <c r="EYW239" s="15"/>
      <c r="EYX239" s="15"/>
      <c r="EYY239" s="15"/>
      <c r="EYZ239" s="15"/>
      <c r="EZA239" s="10"/>
      <c r="EZB239" s="10"/>
      <c r="EZC239" s="21"/>
      <c r="EZD239" s="21"/>
      <c r="EZG239" s="21"/>
      <c r="EZH239" s="15"/>
      <c r="EZI239" s="15"/>
      <c r="EZJ239" s="15"/>
      <c r="EZK239" s="15"/>
      <c r="EZL239" s="15"/>
      <c r="EZM239" s="15"/>
      <c r="EZN239" s="15"/>
      <c r="EZO239" s="15"/>
      <c r="EZP239" s="15"/>
      <c r="EZQ239" s="15"/>
      <c r="EZR239" s="10"/>
      <c r="EZS239" s="10"/>
      <c r="EZT239" s="21"/>
      <c r="EZU239" s="21"/>
      <c r="EZX239" s="21"/>
      <c r="EZY239" s="15"/>
      <c r="EZZ239" s="15"/>
      <c r="FAA239" s="15"/>
      <c r="FAB239" s="15"/>
      <c r="FAC239" s="15"/>
      <c r="FAD239" s="15"/>
      <c r="FAE239" s="15"/>
      <c r="FAF239" s="15"/>
      <c r="FAG239" s="15"/>
      <c r="FAH239" s="15"/>
      <c r="FAI239" s="10"/>
      <c r="FAJ239" s="10"/>
      <c r="FAK239" s="21"/>
      <c r="FAL239" s="21"/>
      <c r="FAO239" s="21"/>
      <c r="FAP239" s="15"/>
      <c r="FAQ239" s="15"/>
      <c r="FAR239" s="15"/>
      <c r="FAS239" s="15"/>
      <c r="FAT239" s="15"/>
      <c r="FAU239" s="15"/>
      <c r="FAV239" s="15"/>
      <c r="FAW239" s="15"/>
      <c r="FAX239" s="15"/>
      <c r="FAY239" s="15"/>
      <c r="FAZ239" s="10"/>
      <c r="FBA239" s="10"/>
      <c r="FBB239" s="21"/>
      <c r="FBC239" s="21"/>
      <c r="FBF239" s="21"/>
      <c r="FBG239" s="15"/>
      <c r="FBH239" s="15"/>
      <c r="FBI239" s="15"/>
      <c r="FBJ239" s="15"/>
      <c r="FBK239" s="15"/>
      <c r="FBL239" s="15"/>
      <c r="FBM239" s="15"/>
      <c r="FBN239" s="15"/>
      <c r="FBO239" s="15"/>
      <c r="FBP239" s="15"/>
      <c r="FBQ239" s="10"/>
      <c r="FBR239" s="10"/>
      <c r="FBS239" s="21"/>
      <c r="FBT239" s="21"/>
      <c r="FBW239" s="21"/>
      <c r="FBX239" s="15"/>
      <c r="FBY239" s="15"/>
      <c r="FBZ239" s="15"/>
      <c r="FCA239" s="15"/>
      <c r="FCB239" s="15"/>
      <c r="FCC239" s="15"/>
      <c r="FCD239" s="15"/>
      <c r="FCE239" s="15"/>
      <c r="FCF239" s="15"/>
      <c r="FCG239" s="15"/>
      <c r="FCH239" s="10"/>
      <c r="FCI239" s="10"/>
      <c r="FCJ239" s="21"/>
      <c r="FCK239" s="21"/>
      <c r="FCN239" s="21"/>
      <c r="FCO239" s="15"/>
      <c r="FCP239" s="15"/>
      <c r="FCQ239" s="15"/>
      <c r="FCR239" s="15"/>
      <c r="FCS239" s="15"/>
      <c r="FCT239" s="15"/>
      <c r="FCU239" s="15"/>
      <c r="FCV239" s="15"/>
      <c r="FCW239" s="15"/>
      <c r="FCX239" s="15"/>
      <c r="FCY239" s="10"/>
      <c r="FCZ239" s="10"/>
      <c r="FDA239" s="21"/>
      <c r="FDB239" s="21"/>
      <c r="FDE239" s="21"/>
      <c r="FDF239" s="15"/>
      <c r="FDG239" s="15"/>
      <c r="FDH239" s="15"/>
      <c r="FDI239" s="15"/>
      <c r="FDJ239" s="15"/>
      <c r="FDK239" s="15"/>
      <c r="FDL239" s="15"/>
      <c r="FDM239" s="15"/>
      <c r="FDN239" s="15"/>
      <c r="FDO239" s="15"/>
      <c r="FDP239" s="10"/>
      <c r="FDQ239" s="10"/>
      <c r="FDR239" s="21"/>
      <c r="FDS239" s="21"/>
      <c r="FDV239" s="21"/>
      <c r="FDW239" s="15"/>
      <c r="FDX239" s="15"/>
      <c r="FDY239" s="15"/>
      <c r="FDZ239" s="15"/>
      <c r="FEA239" s="15"/>
      <c r="FEB239" s="15"/>
      <c r="FEC239" s="15"/>
      <c r="FED239" s="15"/>
      <c r="FEE239" s="15"/>
      <c r="FEF239" s="15"/>
      <c r="FEG239" s="10"/>
      <c r="FEH239" s="10"/>
      <c r="FEI239" s="21"/>
      <c r="FEJ239" s="21"/>
      <c r="FEM239" s="21"/>
      <c r="FEN239" s="15"/>
      <c r="FEO239" s="15"/>
      <c r="FEP239" s="15"/>
      <c r="FEQ239" s="15"/>
      <c r="FER239" s="15"/>
      <c r="FES239" s="15"/>
      <c r="FET239" s="15"/>
      <c r="FEU239" s="15"/>
      <c r="FEV239" s="15"/>
      <c r="FEW239" s="15"/>
      <c r="FEX239" s="10"/>
      <c r="FEY239" s="10"/>
      <c r="FEZ239" s="21"/>
      <c r="FFA239" s="21"/>
      <c r="FFD239" s="21"/>
      <c r="FFE239" s="15"/>
      <c r="FFF239" s="15"/>
      <c r="FFG239" s="15"/>
      <c r="FFH239" s="15"/>
      <c r="FFI239" s="15"/>
      <c r="FFJ239" s="15"/>
      <c r="FFK239" s="15"/>
      <c r="FFL239" s="15"/>
      <c r="FFM239" s="15"/>
      <c r="FFN239" s="15"/>
      <c r="FFO239" s="10"/>
      <c r="FFP239" s="10"/>
      <c r="FFQ239" s="21"/>
      <c r="FFR239" s="21"/>
      <c r="FFU239" s="21"/>
      <c r="FFV239" s="15"/>
      <c r="FFW239" s="15"/>
      <c r="FFX239" s="15"/>
      <c r="FFY239" s="15"/>
      <c r="FFZ239" s="15"/>
      <c r="FGA239" s="15"/>
      <c r="FGB239" s="15"/>
      <c r="FGC239" s="15"/>
      <c r="FGD239" s="15"/>
      <c r="FGE239" s="15"/>
      <c r="FGF239" s="10"/>
      <c r="FGG239" s="10"/>
      <c r="FGH239" s="21"/>
      <c r="FGI239" s="21"/>
      <c r="FGL239" s="21"/>
      <c r="FGM239" s="15"/>
      <c r="FGN239" s="15"/>
      <c r="FGO239" s="15"/>
      <c r="FGP239" s="15"/>
      <c r="FGQ239" s="15"/>
      <c r="FGR239" s="15"/>
      <c r="FGS239" s="15"/>
      <c r="FGT239" s="15"/>
      <c r="FGU239" s="15"/>
      <c r="FGV239" s="15"/>
      <c r="FGW239" s="10"/>
      <c r="FGX239" s="10"/>
      <c r="FGY239" s="21"/>
      <c r="FGZ239" s="21"/>
      <c r="FHC239" s="21"/>
      <c r="FHD239" s="15"/>
      <c r="FHE239" s="15"/>
      <c r="FHF239" s="15"/>
      <c r="FHG239" s="15"/>
      <c r="FHH239" s="15"/>
      <c r="FHI239" s="15"/>
      <c r="FHJ239" s="15"/>
      <c r="FHK239" s="15"/>
      <c r="FHL239" s="15"/>
      <c r="FHM239" s="15"/>
      <c r="FHN239" s="10"/>
      <c r="FHO239" s="10"/>
      <c r="FHP239" s="21"/>
      <c r="FHQ239" s="21"/>
      <c r="FHT239" s="21"/>
      <c r="FHU239" s="15"/>
      <c r="FHV239" s="15"/>
      <c r="FHW239" s="15"/>
      <c r="FHX239" s="15"/>
      <c r="FHY239" s="15"/>
      <c r="FHZ239" s="15"/>
      <c r="FIA239" s="15"/>
      <c r="FIB239" s="15"/>
      <c r="FIC239" s="15"/>
      <c r="FID239" s="15"/>
      <c r="FIE239" s="10"/>
      <c r="FIF239" s="10"/>
      <c r="FIG239" s="21"/>
      <c r="FIH239" s="21"/>
      <c r="FIK239" s="21"/>
      <c r="FIL239" s="15"/>
      <c r="FIM239" s="15"/>
      <c r="FIN239" s="15"/>
      <c r="FIO239" s="15"/>
      <c r="FIP239" s="15"/>
      <c r="FIQ239" s="15"/>
      <c r="FIR239" s="15"/>
      <c r="FIS239" s="15"/>
      <c r="FIT239" s="15"/>
      <c r="FIU239" s="15"/>
      <c r="FIV239" s="10"/>
      <c r="FIW239" s="10"/>
      <c r="FIX239" s="21"/>
      <c r="FIY239" s="21"/>
      <c r="FJB239" s="21"/>
      <c r="FJC239" s="15"/>
      <c r="FJD239" s="15"/>
      <c r="FJE239" s="15"/>
      <c r="FJF239" s="15"/>
      <c r="FJG239" s="15"/>
      <c r="FJH239" s="15"/>
      <c r="FJI239" s="15"/>
      <c r="FJJ239" s="15"/>
      <c r="FJK239" s="15"/>
      <c r="FJL239" s="15"/>
      <c r="FJM239" s="10"/>
      <c r="FJN239" s="10"/>
      <c r="FJO239" s="21"/>
      <c r="FJP239" s="21"/>
      <c r="FJS239" s="21"/>
      <c r="FJT239" s="15"/>
      <c r="FJU239" s="15"/>
      <c r="FJV239" s="15"/>
      <c r="FJW239" s="15"/>
      <c r="FJX239" s="15"/>
      <c r="FJY239" s="15"/>
      <c r="FJZ239" s="15"/>
      <c r="FKA239" s="15"/>
      <c r="FKB239" s="15"/>
      <c r="FKC239" s="15"/>
      <c r="FKD239" s="10"/>
      <c r="FKE239" s="10"/>
      <c r="FKF239" s="21"/>
      <c r="FKG239" s="21"/>
      <c r="FKJ239" s="21"/>
      <c r="FKK239" s="15"/>
      <c r="FKL239" s="15"/>
      <c r="FKM239" s="15"/>
      <c r="FKN239" s="15"/>
      <c r="FKO239" s="15"/>
      <c r="FKP239" s="15"/>
      <c r="FKQ239" s="15"/>
      <c r="FKR239" s="15"/>
      <c r="FKS239" s="15"/>
      <c r="FKT239" s="15"/>
      <c r="FKU239" s="10"/>
      <c r="FKV239" s="10"/>
      <c r="FKW239" s="21"/>
      <c r="FKX239" s="21"/>
      <c r="FLA239" s="21"/>
      <c r="FLB239" s="15"/>
      <c r="FLC239" s="15"/>
      <c r="FLD239" s="15"/>
      <c r="FLE239" s="15"/>
      <c r="FLF239" s="15"/>
      <c r="FLG239" s="15"/>
      <c r="FLH239" s="15"/>
      <c r="FLI239" s="15"/>
      <c r="FLJ239" s="15"/>
      <c r="FLK239" s="15"/>
      <c r="FLL239" s="10"/>
      <c r="FLM239" s="10"/>
      <c r="FLN239" s="21"/>
      <c r="FLO239" s="21"/>
      <c r="FLR239" s="21"/>
      <c r="FLS239" s="15"/>
      <c r="FLT239" s="15"/>
      <c r="FLU239" s="15"/>
      <c r="FLV239" s="15"/>
      <c r="FLW239" s="15"/>
      <c r="FLX239" s="15"/>
      <c r="FLY239" s="15"/>
      <c r="FLZ239" s="15"/>
      <c r="FMA239" s="15"/>
      <c r="FMB239" s="15"/>
      <c r="FMC239" s="10"/>
      <c r="FMD239" s="10"/>
      <c r="FME239" s="21"/>
      <c r="FMF239" s="21"/>
      <c r="FMI239" s="21"/>
      <c r="FMJ239" s="15"/>
      <c r="FMK239" s="15"/>
      <c r="FML239" s="15"/>
      <c r="FMM239" s="15"/>
      <c r="FMN239" s="15"/>
      <c r="FMO239" s="15"/>
      <c r="FMP239" s="15"/>
      <c r="FMQ239" s="15"/>
      <c r="FMR239" s="15"/>
      <c r="FMS239" s="15"/>
      <c r="FMT239" s="10"/>
      <c r="FMU239" s="10"/>
      <c r="FMV239" s="21"/>
      <c r="FMW239" s="21"/>
      <c r="FMZ239" s="21"/>
      <c r="FNA239" s="15"/>
      <c r="FNB239" s="15"/>
      <c r="FNC239" s="15"/>
      <c r="FND239" s="15"/>
      <c r="FNE239" s="15"/>
      <c r="FNF239" s="15"/>
      <c r="FNG239" s="15"/>
      <c r="FNH239" s="15"/>
      <c r="FNI239" s="15"/>
      <c r="FNJ239" s="15"/>
      <c r="FNK239" s="10"/>
      <c r="FNL239" s="10"/>
      <c r="FNM239" s="21"/>
      <c r="FNN239" s="21"/>
      <c r="FNQ239" s="21"/>
      <c r="FNR239" s="15"/>
      <c r="FNS239" s="15"/>
      <c r="FNT239" s="15"/>
      <c r="FNU239" s="15"/>
      <c r="FNV239" s="15"/>
      <c r="FNW239" s="15"/>
      <c r="FNX239" s="15"/>
      <c r="FNY239" s="15"/>
      <c r="FNZ239" s="15"/>
      <c r="FOA239" s="15"/>
      <c r="FOB239" s="10"/>
      <c r="FOC239" s="10"/>
      <c r="FOD239" s="21"/>
      <c r="FOE239" s="21"/>
      <c r="FOH239" s="21"/>
      <c r="FOI239" s="15"/>
      <c r="FOJ239" s="15"/>
      <c r="FOK239" s="15"/>
      <c r="FOL239" s="15"/>
      <c r="FOM239" s="15"/>
      <c r="FON239" s="15"/>
      <c r="FOO239" s="15"/>
      <c r="FOP239" s="15"/>
      <c r="FOQ239" s="15"/>
      <c r="FOR239" s="15"/>
      <c r="FOS239" s="10"/>
      <c r="FOT239" s="10"/>
      <c r="FOU239" s="21"/>
      <c r="FOV239" s="21"/>
      <c r="FOY239" s="21"/>
      <c r="FOZ239" s="15"/>
      <c r="FPA239" s="15"/>
      <c r="FPB239" s="15"/>
      <c r="FPC239" s="15"/>
      <c r="FPD239" s="15"/>
      <c r="FPE239" s="15"/>
      <c r="FPF239" s="15"/>
      <c r="FPG239" s="15"/>
      <c r="FPH239" s="15"/>
      <c r="FPI239" s="15"/>
      <c r="FPJ239" s="10"/>
      <c r="FPK239" s="10"/>
      <c r="FPL239" s="21"/>
      <c r="FPM239" s="21"/>
      <c r="FPP239" s="21"/>
      <c r="FPQ239" s="15"/>
      <c r="FPR239" s="15"/>
      <c r="FPS239" s="15"/>
      <c r="FPT239" s="15"/>
      <c r="FPU239" s="15"/>
      <c r="FPV239" s="15"/>
      <c r="FPW239" s="15"/>
      <c r="FPX239" s="15"/>
      <c r="FPY239" s="15"/>
      <c r="FPZ239" s="15"/>
      <c r="FQA239" s="10"/>
      <c r="FQB239" s="10"/>
      <c r="FQC239" s="21"/>
      <c r="FQD239" s="21"/>
      <c r="FQG239" s="21"/>
      <c r="FQH239" s="15"/>
      <c r="FQI239" s="15"/>
      <c r="FQJ239" s="15"/>
      <c r="FQK239" s="15"/>
      <c r="FQL239" s="15"/>
      <c r="FQM239" s="15"/>
      <c r="FQN239" s="15"/>
      <c r="FQO239" s="15"/>
      <c r="FQP239" s="15"/>
      <c r="FQQ239" s="15"/>
      <c r="FQR239" s="10"/>
      <c r="FQS239" s="10"/>
      <c r="FQT239" s="21"/>
      <c r="FQU239" s="21"/>
      <c r="FQX239" s="21"/>
      <c r="FQY239" s="15"/>
      <c r="FQZ239" s="15"/>
      <c r="FRA239" s="15"/>
      <c r="FRB239" s="15"/>
      <c r="FRC239" s="15"/>
      <c r="FRD239" s="15"/>
      <c r="FRE239" s="15"/>
      <c r="FRF239" s="15"/>
      <c r="FRG239" s="15"/>
      <c r="FRH239" s="15"/>
      <c r="FRI239" s="10"/>
      <c r="FRJ239" s="10"/>
      <c r="FRK239" s="21"/>
      <c r="FRL239" s="21"/>
      <c r="FRO239" s="21"/>
      <c r="FRP239" s="15"/>
      <c r="FRQ239" s="15"/>
      <c r="FRR239" s="15"/>
      <c r="FRS239" s="15"/>
      <c r="FRT239" s="15"/>
      <c r="FRU239" s="15"/>
      <c r="FRV239" s="15"/>
      <c r="FRW239" s="15"/>
      <c r="FRX239" s="15"/>
      <c r="FRY239" s="15"/>
      <c r="FRZ239" s="10"/>
      <c r="FSA239" s="10"/>
      <c r="FSB239" s="21"/>
      <c r="FSC239" s="21"/>
      <c r="FSF239" s="21"/>
      <c r="FSG239" s="15"/>
      <c r="FSH239" s="15"/>
      <c r="FSI239" s="15"/>
      <c r="FSJ239" s="15"/>
      <c r="FSK239" s="15"/>
      <c r="FSL239" s="15"/>
      <c r="FSM239" s="15"/>
      <c r="FSN239" s="15"/>
      <c r="FSO239" s="15"/>
      <c r="FSP239" s="15"/>
      <c r="FSQ239" s="10"/>
      <c r="FSR239" s="10"/>
      <c r="FSS239" s="21"/>
      <c r="FST239" s="21"/>
      <c r="FSW239" s="21"/>
      <c r="FSX239" s="15"/>
      <c r="FSY239" s="15"/>
      <c r="FSZ239" s="15"/>
      <c r="FTA239" s="15"/>
      <c r="FTB239" s="15"/>
      <c r="FTC239" s="15"/>
      <c r="FTD239" s="15"/>
      <c r="FTE239" s="15"/>
      <c r="FTF239" s="15"/>
      <c r="FTG239" s="15"/>
      <c r="FTH239" s="10"/>
      <c r="FTI239" s="10"/>
      <c r="FTJ239" s="21"/>
      <c r="FTK239" s="21"/>
      <c r="FTN239" s="21"/>
      <c r="FTO239" s="15"/>
      <c r="FTP239" s="15"/>
      <c r="FTQ239" s="15"/>
      <c r="FTR239" s="15"/>
      <c r="FTS239" s="15"/>
      <c r="FTT239" s="15"/>
      <c r="FTU239" s="15"/>
      <c r="FTV239" s="15"/>
      <c r="FTW239" s="15"/>
      <c r="FTX239" s="15"/>
      <c r="FTY239" s="10"/>
      <c r="FTZ239" s="10"/>
      <c r="FUA239" s="21"/>
      <c r="FUB239" s="21"/>
      <c r="FUE239" s="21"/>
      <c r="FUF239" s="15"/>
      <c r="FUG239" s="15"/>
      <c r="FUH239" s="15"/>
      <c r="FUI239" s="15"/>
      <c r="FUJ239" s="15"/>
      <c r="FUK239" s="15"/>
      <c r="FUL239" s="15"/>
      <c r="FUM239" s="15"/>
      <c r="FUN239" s="15"/>
      <c r="FUO239" s="15"/>
      <c r="FUP239" s="10"/>
      <c r="FUQ239" s="10"/>
      <c r="FUR239" s="21"/>
      <c r="FUS239" s="21"/>
      <c r="FUV239" s="21"/>
      <c r="FUW239" s="15"/>
      <c r="FUX239" s="15"/>
      <c r="FUY239" s="15"/>
      <c r="FUZ239" s="15"/>
      <c r="FVA239" s="15"/>
      <c r="FVB239" s="15"/>
      <c r="FVC239" s="15"/>
      <c r="FVD239" s="15"/>
      <c r="FVE239" s="15"/>
      <c r="FVF239" s="15"/>
      <c r="FVG239" s="10"/>
      <c r="FVH239" s="10"/>
      <c r="FVI239" s="21"/>
      <c r="FVJ239" s="21"/>
      <c r="FVM239" s="21"/>
      <c r="FVN239" s="15"/>
      <c r="FVO239" s="15"/>
      <c r="FVP239" s="15"/>
      <c r="FVQ239" s="15"/>
      <c r="FVR239" s="15"/>
      <c r="FVS239" s="15"/>
      <c r="FVT239" s="15"/>
      <c r="FVU239" s="15"/>
      <c r="FVV239" s="15"/>
      <c r="FVW239" s="15"/>
      <c r="FVX239" s="10"/>
      <c r="FVY239" s="10"/>
      <c r="FVZ239" s="21"/>
      <c r="FWA239" s="21"/>
      <c r="FWD239" s="21"/>
      <c r="FWE239" s="15"/>
      <c r="FWF239" s="15"/>
      <c r="FWG239" s="15"/>
      <c r="FWH239" s="15"/>
      <c r="FWI239" s="15"/>
      <c r="FWJ239" s="15"/>
      <c r="FWK239" s="15"/>
      <c r="FWL239" s="15"/>
      <c r="FWM239" s="15"/>
      <c r="FWN239" s="15"/>
      <c r="FWO239" s="10"/>
      <c r="FWP239" s="10"/>
      <c r="FWQ239" s="21"/>
      <c r="FWR239" s="21"/>
      <c r="FWU239" s="21"/>
      <c r="FWV239" s="15"/>
      <c r="FWW239" s="15"/>
      <c r="FWX239" s="15"/>
      <c r="FWY239" s="15"/>
      <c r="FWZ239" s="15"/>
      <c r="FXA239" s="15"/>
      <c r="FXB239" s="15"/>
      <c r="FXC239" s="15"/>
      <c r="FXD239" s="15"/>
      <c r="FXE239" s="15"/>
      <c r="FXF239" s="10"/>
      <c r="FXG239" s="10"/>
      <c r="FXH239" s="21"/>
      <c r="FXI239" s="21"/>
      <c r="FXL239" s="21"/>
      <c r="FXM239" s="15"/>
      <c r="FXN239" s="15"/>
      <c r="FXO239" s="15"/>
      <c r="FXP239" s="15"/>
      <c r="FXQ239" s="15"/>
      <c r="FXR239" s="15"/>
      <c r="FXS239" s="15"/>
      <c r="FXT239" s="15"/>
      <c r="FXU239" s="15"/>
      <c r="FXV239" s="15"/>
      <c r="FXW239" s="10"/>
      <c r="FXX239" s="10"/>
      <c r="FXY239" s="21"/>
      <c r="FXZ239" s="21"/>
      <c r="FYC239" s="21"/>
      <c r="FYD239" s="15"/>
      <c r="FYE239" s="15"/>
      <c r="FYF239" s="15"/>
      <c r="FYG239" s="15"/>
      <c r="FYH239" s="15"/>
      <c r="FYI239" s="15"/>
      <c r="FYJ239" s="15"/>
      <c r="FYK239" s="15"/>
      <c r="FYL239" s="15"/>
      <c r="FYM239" s="15"/>
      <c r="FYN239" s="10"/>
      <c r="FYO239" s="10"/>
      <c r="FYP239" s="21"/>
      <c r="FYQ239" s="21"/>
      <c r="FYT239" s="21"/>
      <c r="FYU239" s="15"/>
      <c r="FYV239" s="15"/>
      <c r="FYW239" s="15"/>
      <c r="FYX239" s="15"/>
      <c r="FYY239" s="15"/>
      <c r="FYZ239" s="15"/>
      <c r="FZA239" s="15"/>
      <c r="FZB239" s="15"/>
      <c r="FZC239" s="15"/>
      <c r="FZD239" s="15"/>
      <c r="FZE239" s="10"/>
      <c r="FZF239" s="10"/>
      <c r="FZG239" s="21"/>
      <c r="FZH239" s="21"/>
      <c r="FZK239" s="21"/>
      <c r="FZL239" s="15"/>
      <c r="FZM239" s="15"/>
      <c r="FZN239" s="15"/>
      <c r="FZO239" s="15"/>
      <c r="FZP239" s="15"/>
      <c r="FZQ239" s="15"/>
      <c r="FZR239" s="15"/>
      <c r="FZS239" s="15"/>
      <c r="FZT239" s="15"/>
      <c r="FZU239" s="15"/>
      <c r="FZV239" s="10"/>
      <c r="FZW239" s="10"/>
      <c r="FZX239" s="21"/>
      <c r="FZY239" s="21"/>
      <c r="GAB239" s="21"/>
      <c r="GAC239" s="15"/>
      <c r="GAD239" s="15"/>
      <c r="GAE239" s="15"/>
      <c r="GAF239" s="15"/>
      <c r="GAG239" s="15"/>
      <c r="GAH239" s="15"/>
      <c r="GAI239" s="15"/>
      <c r="GAJ239" s="15"/>
      <c r="GAK239" s="15"/>
      <c r="GAL239" s="15"/>
      <c r="GAM239" s="10"/>
      <c r="GAN239" s="10"/>
      <c r="GAO239" s="21"/>
      <c r="GAP239" s="21"/>
      <c r="GAS239" s="21"/>
      <c r="GAT239" s="15"/>
      <c r="GAU239" s="15"/>
      <c r="GAV239" s="15"/>
      <c r="GAW239" s="15"/>
      <c r="GAX239" s="15"/>
      <c r="GAY239" s="15"/>
      <c r="GAZ239" s="15"/>
      <c r="GBA239" s="15"/>
      <c r="GBB239" s="15"/>
      <c r="GBC239" s="15"/>
      <c r="GBD239" s="10"/>
      <c r="GBE239" s="10"/>
      <c r="GBF239" s="21"/>
      <c r="GBG239" s="21"/>
      <c r="GBJ239" s="21"/>
      <c r="GBK239" s="15"/>
      <c r="GBL239" s="15"/>
      <c r="GBM239" s="15"/>
      <c r="GBN239" s="15"/>
      <c r="GBO239" s="15"/>
      <c r="GBP239" s="15"/>
      <c r="GBQ239" s="15"/>
      <c r="GBR239" s="15"/>
      <c r="GBS239" s="15"/>
      <c r="GBT239" s="15"/>
      <c r="GBU239" s="10"/>
      <c r="GBV239" s="10"/>
      <c r="GBW239" s="21"/>
      <c r="GBX239" s="21"/>
      <c r="GCA239" s="21"/>
      <c r="GCB239" s="15"/>
      <c r="GCC239" s="15"/>
      <c r="GCD239" s="15"/>
      <c r="GCE239" s="15"/>
      <c r="GCF239" s="15"/>
      <c r="GCG239" s="15"/>
      <c r="GCH239" s="15"/>
      <c r="GCI239" s="15"/>
      <c r="GCJ239" s="15"/>
      <c r="GCK239" s="15"/>
      <c r="GCL239" s="10"/>
      <c r="GCM239" s="10"/>
      <c r="GCN239" s="21"/>
      <c r="GCO239" s="21"/>
      <c r="GCR239" s="21"/>
      <c r="GCS239" s="15"/>
      <c r="GCT239" s="15"/>
      <c r="GCU239" s="15"/>
      <c r="GCV239" s="15"/>
      <c r="GCW239" s="15"/>
      <c r="GCX239" s="15"/>
      <c r="GCY239" s="15"/>
      <c r="GCZ239" s="15"/>
      <c r="GDA239" s="15"/>
      <c r="GDB239" s="15"/>
      <c r="GDC239" s="10"/>
      <c r="GDD239" s="10"/>
      <c r="GDE239" s="21"/>
      <c r="GDF239" s="21"/>
      <c r="GDI239" s="21"/>
      <c r="GDJ239" s="15"/>
      <c r="GDK239" s="15"/>
      <c r="GDL239" s="15"/>
      <c r="GDM239" s="15"/>
      <c r="GDN239" s="15"/>
      <c r="GDO239" s="15"/>
      <c r="GDP239" s="15"/>
      <c r="GDQ239" s="15"/>
      <c r="GDR239" s="15"/>
      <c r="GDS239" s="15"/>
      <c r="GDT239" s="10"/>
      <c r="GDU239" s="10"/>
      <c r="GDV239" s="21"/>
      <c r="GDW239" s="21"/>
      <c r="GDZ239" s="21"/>
      <c r="GEA239" s="15"/>
      <c r="GEB239" s="15"/>
      <c r="GEC239" s="15"/>
      <c r="GED239" s="15"/>
      <c r="GEE239" s="15"/>
      <c r="GEF239" s="15"/>
      <c r="GEG239" s="15"/>
      <c r="GEH239" s="15"/>
      <c r="GEI239" s="15"/>
      <c r="GEJ239" s="15"/>
      <c r="GEK239" s="10"/>
      <c r="GEL239" s="10"/>
      <c r="GEM239" s="21"/>
      <c r="GEN239" s="21"/>
      <c r="GEQ239" s="21"/>
      <c r="GER239" s="15"/>
      <c r="GES239" s="15"/>
      <c r="GET239" s="15"/>
      <c r="GEU239" s="15"/>
      <c r="GEV239" s="15"/>
      <c r="GEW239" s="15"/>
      <c r="GEX239" s="15"/>
      <c r="GEY239" s="15"/>
      <c r="GEZ239" s="15"/>
      <c r="GFA239" s="15"/>
      <c r="GFB239" s="10"/>
      <c r="GFC239" s="10"/>
      <c r="GFD239" s="21"/>
      <c r="GFE239" s="21"/>
      <c r="GFH239" s="21"/>
      <c r="GFI239" s="15"/>
      <c r="GFJ239" s="15"/>
      <c r="GFK239" s="15"/>
      <c r="GFL239" s="15"/>
      <c r="GFM239" s="15"/>
      <c r="GFN239" s="15"/>
      <c r="GFO239" s="15"/>
      <c r="GFP239" s="15"/>
      <c r="GFQ239" s="15"/>
      <c r="GFR239" s="15"/>
      <c r="GFS239" s="10"/>
      <c r="GFT239" s="10"/>
      <c r="GFU239" s="21"/>
      <c r="GFV239" s="21"/>
      <c r="GFY239" s="21"/>
      <c r="GFZ239" s="15"/>
      <c r="GGA239" s="15"/>
      <c r="GGB239" s="15"/>
      <c r="GGC239" s="15"/>
      <c r="GGD239" s="15"/>
      <c r="GGE239" s="15"/>
      <c r="GGF239" s="15"/>
      <c r="GGG239" s="15"/>
      <c r="GGH239" s="15"/>
      <c r="GGI239" s="15"/>
      <c r="GGJ239" s="10"/>
      <c r="GGK239" s="10"/>
      <c r="GGL239" s="21"/>
      <c r="GGM239" s="21"/>
      <c r="GGP239" s="21"/>
      <c r="GGQ239" s="15"/>
      <c r="GGR239" s="15"/>
      <c r="GGS239" s="15"/>
      <c r="GGT239" s="15"/>
      <c r="GGU239" s="15"/>
      <c r="GGV239" s="15"/>
      <c r="GGW239" s="15"/>
      <c r="GGX239" s="15"/>
      <c r="GGY239" s="15"/>
      <c r="GGZ239" s="15"/>
      <c r="GHA239" s="10"/>
      <c r="GHB239" s="10"/>
      <c r="GHC239" s="21"/>
      <c r="GHD239" s="21"/>
      <c r="GHG239" s="21"/>
      <c r="GHH239" s="15"/>
      <c r="GHI239" s="15"/>
      <c r="GHJ239" s="15"/>
      <c r="GHK239" s="15"/>
      <c r="GHL239" s="15"/>
      <c r="GHM239" s="15"/>
      <c r="GHN239" s="15"/>
      <c r="GHO239" s="15"/>
      <c r="GHP239" s="15"/>
      <c r="GHQ239" s="15"/>
      <c r="GHR239" s="10"/>
      <c r="GHS239" s="10"/>
      <c r="GHT239" s="21"/>
      <c r="GHU239" s="21"/>
      <c r="GHX239" s="21"/>
      <c r="GHY239" s="15"/>
      <c r="GHZ239" s="15"/>
      <c r="GIA239" s="15"/>
      <c r="GIB239" s="15"/>
      <c r="GIC239" s="15"/>
      <c r="GID239" s="15"/>
      <c r="GIE239" s="15"/>
      <c r="GIF239" s="15"/>
      <c r="GIG239" s="15"/>
      <c r="GIH239" s="15"/>
      <c r="GII239" s="10"/>
      <c r="GIJ239" s="10"/>
      <c r="GIK239" s="21"/>
      <c r="GIL239" s="21"/>
      <c r="GIO239" s="21"/>
      <c r="GIP239" s="15"/>
      <c r="GIQ239" s="15"/>
      <c r="GIR239" s="15"/>
      <c r="GIS239" s="15"/>
      <c r="GIT239" s="15"/>
      <c r="GIU239" s="15"/>
      <c r="GIV239" s="15"/>
      <c r="GIW239" s="15"/>
      <c r="GIX239" s="15"/>
      <c r="GIY239" s="15"/>
      <c r="GIZ239" s="10"/>
      <c r="GJA239" s="10"/>
      <c r="GJB239" s="21"/>
      <c r="GJC239" s="21"/>
      <c r="GJF239" s="21"/>
      <c r="GJG239" s="15"/>
      <c r="GJH239" s="15"/>
      <c r="GJI239" s="15"/>
      <c r="GJJ239" s="15"/>
      <c r="GJK239" s="15"/>
      <c r="GJL239" s="15"/>
      <c r="GJM239" s="15"/>
      <c r="GJN239" s="15"/>
      <c r="GJO239" s="15"/>
      <c r="GJP239" s="15"/>
      <c r="GJQ239" s="10"/>
      <c r="GJR239" s="10"/>
      <c r="GJS239" s="21"/>
      <c r="GJT239" s="21"/>
      <c r="GJW239" s="21"/>
      <c r="GJX239" s="15"/>
      <c r="GJY239" s="15"/>
      <c r="GJZ239" s="15"/>
      <c r="GKA239" s="15"/>
      <c r="GKB239" s="15"/>
      <c r="GKC239" s="15"/>
      <c r="GKD239" s="15"/>
      <c r="GKE239" s="15"/>
      <c r="GKF239" s="15"/>
      <c r="GKG239" s="15"/>
      <c r="GKH239" s="10"/>
      <c r="GKI239" s="10"/>
      <c r="GKJ239" s="21"/>
      <c r="GKK239" s="21"/>
      <c r="GKN239" s="21"/>
      <c r="GKO239" s="15"/>
      <c r="GKP239" s="15"/>
      <c r="GKQ239" s="15"/>
      <c r="GKR239" s="15"/>
      <c r="GKS239" s="15"/>
      <c r="GKT239" s="15"/>
      <c r="GKU239" s="15"/>
      <c r="GKV239" s="15"/>
      <c r="GKW239" s="15"/>
      <c r="GKX239" s="15"/>
      <c r="GKY239" s="10"/>
      <c r="GKZ239" s="10"/>
      <c r="GLA239" s="21"/>
      <c r="GLB239" s="21"/>
      <c r="GLE239" s="21"/>
      <c r="GLF239" s="15"/>
      <c r="GLG239" s="15"/>
      <c r="GLH239" s="15"/>
      <c r="GLI239" s="15"/>
      <c r="GLJ239" s="15"/>
      <c r="GLK239" s="15"/>
      <c r="GLL239" s="15"/>
      <c r="GLM239" s="15"/>
      <c r="GLN239" s="15"/>
      <c r="GLO239" s="15"/>
      <c r="GLP239" s="10"/>
      <c r="GLQ239" s="10"/>
      <c r="GLR239" s="21"/>
      <c r="GLS239" s="21"/>
      <c r="GLV239" s="21"/>
      <c r="GLW239" s="15"/>
      <c r="GLX239" s="15"/>
      <c r="GLY239" s="15"/>
      <c r="GLZ239" s="15"/>
      <c r="GMA239" s="15"/>
      <c r="GMB239" s="15"/>
      <c r="GMC239" s="15"/>
      <c r="GMD239" s="15"/>
      <c r="GME239" s="15"/>
      <c r="GMF239" s="15"/>
      <c r="GMG239" s="10"/>
      <c r="GMH239" s="10"/>
      <c r="GMI239" s="21"/>
      <c r="GMJ239" s="21"/>
      <c r="GMM239" s="21"/>
      <c r="GMN239" s="15"/>
      <c r="GMO239" s="15"/>
      <c r="GMP239" s="15"/>
      <c r="GMQ239" s="15"/>
      <c r="GMR239" s="15"/>
      <c r="GMS239" s="15"/>
      <c r="GMT239" s="15"/>
      <c r="GMU239" s="15"/>
      <c r="GMV239" s="15"/>
      <c r="GMW239" s="15"/>
      <c r="GMX239" s="10"/>
      <c r="GMY239" s="10"/>
      <c r="GMZ239" s="21"/>
      <c r="GNA239" s="21"/>
      <c r="GND239" s="21"/>
      <c r="GNE239" s="15"/>
      <c r="GNF239" s="15"/>
      <c r="GNG239" s="15"/>
      <c r="GNH239" s="15"/>
      <c r="GNI239" s="15"/>
      <c r="GNJ239" s="15"/>
      <c r="GNK239" s="15"/>
      <c r="GNL239" s="15"/>
      <c r="GNM239" s="15"/>
      <c r="GNN239" s="15"/>
      <c r="GNO239" s="10"/>
      <c r="GNP239" s="10"/>
      <c r="GNQ239" s="21"/>
      <c r="GNR239" s="21"/>
      <c r="GNU239" s="21"/>
      <c r="GNV239" s="15"/>
      <c r="GNW239" s="15"/>
      <c r="GNX239" s="15"/>
      <c r="GNY239" s="15"/>
      <c r="GNZ239" s="15"/>
      <c r="GOA239" s="15"/>
      <c r="GOB239" s="15"/>
      <c r="GOC239" s="15"/>
      <c r="GOD239" s="15"/>
      <c r="GOE239" s="15"/>
      <c r="GOF239" s="10"/>
      <c r="GOG239" s="10"/>
      <c r="GOH239" s="21"/>
      <c r="GOI239" s="21"/>
      <c r="GOL239" s="21"/>
      <c r="GOM239" s="15"/>
      <c r="GON239" s="15"/>
      <c r="GOO239" s="15"/>
      <c r="GOP239" s="15"/>
      <c r="GOQ239" s="15"/>
      <c r="GOR239" s="15"/>
      <c r="GOS239" s="15"/>
      <c r="GOT239" s="15"/>
      <c r="GOU239" s="15"/>
      <c r="GOV239" s="15"/>
      <c r="GOW239" s="10"/>
      <c r="GOX239" s="10"/>
      <c r="GOY239" s="21"/>
      <c r="GOZ239" s="21"/>
      <c r="GPC239" s="21"/>
      <c r="GPD239" s="15"/>
      <c r="GPE239" s="15"/>
      <c r="GPF239" s="15"/>
      <c r="GPG239" s="15"/>
      <c r="GPH239" s="15"/>
      <c r="GPI239" s="15"/>
      <c r="GPJ239" s="15"/>
      <c r="GPK239" s="15"/>
      <c r="GPL239" s="15"/>
      <c r="GPM239" s="15"/>
      <c r="GPN239" s="10"/>
      <c r="GPO239" s="10"/>
      <c r="GPP239" s="21"/>
      <c r="GPQ239" s="21"/>
      <c r="GPT239" s="21"/>
      <c r="GPU239" s="15"/>
      <c r="GPV239" s="15"/>
      <c r="GPW239" s="15"/>
      <c r="GPX239" s="15"/>
      <c r="GPY239" s="15"/>
      <c r="GPZ239" s="15"/>
      <c r="GQA239" s="15"/>
      <c r="GQB239" s="15"/>
      <c r="GQC239" s="15"/>
      <c r="GQD239" s="15"/>
      <c r="GQE239" s="10"/>
      <c r="GQF239" s="10"/>
      <c r="GQG239" s="21"/>
      <c r="GQH239" s="21"/>
      <c r="GQK239" s="21"/>
      <c r="GQL239" s="15"/>
      <c r="GQM239" s="15"/>
      <c r="GQN239" s="15"/>
      <c r="GQO239" s="15"/>
      <c r="GQP239" s="15"/>
      <c r="GQQ239" s="15"/>
      <c r="GQR239" s="15"/>
      <c r="GQS239" s="15"/>
      <c r="GQT239" s="15"/>
      <c r="GQU239" s="15"/>
      <c r="GQV239" s="10"/>
      <c r="GQW239" s="10"/>
      <c r="GQX239" s="21"/>
      <c r="GQY239" s="21"/>
      <c r="GRB239" s="21"/>
      <c r="GRC239" s="15"/>
      <c r="GRD239" s="15"/>
      <c r="GRE239" s="15"/>
      <c r="GRF239" s="15"/>
      <c r="GRG239" s="15"/>
      <c r="GRH239" s="15"/>
      <c r="GRI239" s="15"/>
      <c r="GRJ239" s="15"/>
      <c r="GRK239" s="15"/>
      <c r="GRL239" s="15"/>
      <c r="GRM239" s="10"/>
      <c r="GRN239" s="10"/>
      <c r="GRO239" s="21"/>
      <c r="GRP239" s="21"/>
      <c r="GRS239" s="21"/>
      <c r="GRT239" s="15"/>
      <c r="GRU239" s="15"/>
      <c r="GRV239" s="15"/>
      <c r="GRW239" s="15"/>
      <c r="GRX239" s="15"/>
      <c r="GRY239" s="15"/>
      <c r="GRZ239" s="15"/>
      <c r="GSA239" s="15"/>
      <c r="GSB239" s="15"/>
      <c r="GSC239" s="15"/>
      <c r="GSD239" s="10"/>
      <c r="GSE239" s="10"/>
      <c r="GSF239" s="21"/>
      <c r="GSG239" s="21"/>
      <c r="GSJ239" s="21"/>
      <c r="GSK239" s="15"/>
      <c r="GSL239" s="15"/>
      <c r="GSM239" s="15"/>
      <c r="GSN239" s="15"/>
      <c r="GSO239" s="15"/>
      <c r="GSP239" s="15"/>
      <c r="GSQ239" s="15"/>
      <c r="GSR239" s="15"/>
      <c r="GSS239" s="15"/>
      <c r="GST239" s="15"/>
      <c r="GSU239" s="10"/>
      <c r="GSV239" s="10"/>
      <c r="GSW239" s="21"/>
      <c r="GSX239" s="21"/>
      <c r="GTA239" s="21"/>
      <c r="GTB239" s="15"/>
      <c r="GTC239" s="15"/>
      <c r="GTD239" s="15"/>
      <c r="GTE239" s="15"/>
      <c r="GTF239" s="15"/>
      <c r="GTG239" s="15"/>
      <c r="GTH239" s="15"/>
      <c r="GTI239" s="15"/>
      <c r="GTJ239" s="15"/>
      <c r="GTK239" s="15"/>
      <c r="GTL239" s="10"/>
      <c r="GTM239" s="10"/>
      <c r="GTN239" s="21"/>
      <c r="GTO239" s="21"/>
      <c r="GTR239" s="21"/>
      <c r="GTS239" s="15"/>
      <c r="GTT239" s="15"/>
      <c r="GTU239" s="15"/>
      <c r="GTV239" s="15"/>
      <c r="GTW239" s="15"/>
      <c r="GTX239" s="15"/>
      <c r="GTY239" s="15"/>
      <c r="GTZ239" s="15"/>
      <c r="GUA239" s="15"/>
      <c r="GUB239" s="15"/>
      <c r="GUC239" s="10"/>
      <c r="GUD239" s="10"/>
      <c r="GUE239" s="21"/>
      <c r="GUF239" s="21"/>
      <c r="GUI239" s="21"/>
      <c r="GUJ239" s="15"/>
      <c r="GUK239" s="15"/>
      <c r="GUL239" s="15"/>
      <c r="GUM239" s="15"/>
      <c r="GUN239" s="15"/>
      <c r="GUO239" s="15"/>
      <c r="GUP239" s="15"/>
      <c r="GUQ239" s="15"/>
      <c r="GUR239" s="15"/>
      <c r="GUS239" s="15"/>
      <c r="GUT239" s="10"/>
      <c r="GUU239" s="10"/>
      <c r="GUV239" s="21"/>
      <c r="GUW239" s="21"/>
      <c r="GUZ239" s="21"/>
      <c r="GVA239" s="15"/>
      <c r="GVB239" s="15"/>
      <c r="GVC239" s="15"/>
      <c r="GVD239" s="15"/>
      <c r="GVE239" s="15"/>
      <c r="GVF239" s="15"/>
      <c r="GVG239" s="15"/>
      <c r="GVH239" s="15"/>
      <c r="GVI239" s="15"/>
      <c r="GVJ239" s="15"/>
      <c r="GVK239" s="10"/>
      <c r="GVL239" s="10"/>
      <c r="GVM239" s="21"/>
      <c r="GVN239" s="21"/>
      <c r="GVQ239" s="21"/>
      <c r="GVR239" s="15"/>
      <c r="GVS239" s="15"/>
      <c r="GVT239" s="15"/>
      <c r="GVU239" s="15"/>
      <c r="GVV239" s="15"/>
      <c r="GVW239" s="15"/>
      <c r="GVX239" s="15"/>
      <c r="GVY239" s="15"/>
      <c r="GVZ239" s="15"/>
      <c r="GWA239" s="15"/>
      <c r="GWB239" s="10"/>
      <c r="GWC239" s="10"/>
      <c r="GWD239" s="21"/>
      <c r="GWE239" s="21"/>
      <c r="GWH239" s="21"/>
      <c r="GWI239" s="15"/>
      <c r="GWJ239" s="15"/>
      <c r="GWK239" s="15"/>
      <c r="GWL239" s="15"/>
      <c r="GWM239" s="15"/>
      <c r="GWN239" s="15"/>
      <c r="GWO239" s="15"/>
      <c r="GWP239" s="15"/>
      <c r="GWQ239" s="15"/>
      <c r="GWR239" s="15"/>
      <c r="GWS239" s="10"/>
      <c r="GWT239" s="10"/>
      <c r="GWU239" s="21"/>
      <c r="GWV239" s="21"/>
      <c r="GWY239" s="21"/>
      <c r="GWZ239" s="15"/>
      <c r="GXA239" s="15"/>
      <c r="GXB239" s="15"/>
      <c r="GXC239" s="15"/>
      <c r="GXD239" s="15"/>
      <c r="GXE239" s="15"/>
      <c r="GXF239" s="15"/>
      <c r="GXG239" s="15"/>
      <c r="GXH239" s="15"/>
      <c r="GXI239" s="15"/>
      <c r="GXJ239" s="10"/>
      <c r="GXK239" s="10"/>
      <c r="GXL239" s="21"/>
      <c r="GXM239" s="21"/>
      <c r="GXP239" s="21"/>
      <c r="GXQ239" s="15"/>
      <c r="GXR239" s="15"/>
      <c r="GXS239" s="15"/>
      <c r="GXT239" s="15"/>
      <c r="GXU239" s="15"/>
      <c r="GXV239" s="15"/>
      <c r="GXW239" s="15"/>
      <c r="GXX239" s="15"/>
      <c r="GXY239" s="15"/>
      <c r="GXZ239" s="15"/>
      <c r="GYA239" s="10"/>
      <c r="GYB239" s="10"/>
      <c r="GYC239" s="21"/>
      <c r="GYD239" s="21"/>
      <c r="GYG239" s="21"/>
      <c r="GYH239" s="15"/>
      <c r="GYI239" s="15"/>
      <c r="GYJ239" s="15"/>
      <c r="GYK239" s="15"/>
      <c r="GYL239" s="15"/>
      <c r="GYM239" s="15"/>
      <c r="GYN239" s="15"/>
      <c r="GYO239" s="15"/>
      <c r="GYP239" s="15"/>
      <c r="GYQ239" s="15"/>
      <c r="GYR239" s="10"/>
      <c r="GYS239" s="10"/>
      <c r="GYT239" s="21"/>
      <c r="GYU239" s="21"/>
      <c r="GYX239" s="21"/>
      <c r="GYY239" s="15"/>
      <c r="GYZ239" s="15"/>
      <c r="GZA239" s="15"/>
      <c r="GZB239" s="15"/>
      <c r="GZC239" s="15"/>
      <c r="GZD239" s="15"/>
      <c r="GZE239" s="15"/>
      <c r="GZF239" s="15"/>
      <c r="GZG239" s="15"/>
      <c r="GZH239" s="15"/>
      <c r="GZI239" s="10"/>
      <c r="GZJ239" s="10"/>
      <c r="GZK239" s="21"/>
      <c r="GZL239" s="21"/>
      <c r="GZO239" s="21"/>
      <c r="GZP239" s="15"/>
      <c r="GZQ239" s="15"/>
      <c r="GZR239" s="15"/>
      <c r="GZS239" s="15"/>
      <c r="GZT239" s="15"/>
      <c r="GZU239" s="15"/>
      <c r="GZV239" s="15"/>
      <c r="GZW239" s="15"/>
      <c r="GZX239" s="15"/>
      <c r="GZY239" s="15"/>
      <c r="GZZ239" s="10"/>
      <c r="HAA239" s="10"/>
      <c r="HAB239" s="21"/>
      <c r="HAC239" s="21"/>
      <c r="HAF239" s="21"/>
      <c r="HAG239" s="15"/>
      <c r="HAH239" s="15"/>
      <c r="HAI239" s="15"/>
      <c r="HAJ239" s="15"/>
      <c r="HAK239" s="15"/>
      <c r="HAL239" s="15"/>
      <c r="HAM239" s="15"/>
      <c r="HAN239" s="15"/>
      <c r="HAO239" s="15"/>
      <c r="HAP239" s="15"/>
      <c r="HAQ239" s="10"/>
      <c r="HAR239" s="10"/>
      <c r="HAS239" s="21"/>
      <c r="HAT239" s="21"/>
      <c r="HAW239" s="21"/>
      <c r="HAX239" s="15"/>
      <c r="HAY239" s="15"/>
      <c r="HAZ239" s="15"/>
      <c r="HBA239" s="15"/>
      <c r="HBB239" s="15"/>
      <c r="HBC239" s="15"/>
      <c r="HBD239" s="15"/>
      <c r="HBE239" s="15"/>
      <c r="HBF239" s="15"/>
      <c r="HBG239" s="15"/>
      <c r="HBH239" s="10"/>
      <c r="HBI239" s="10"/>
      <c r="HBJ239" s="21"/>
      <c r="HBK239" s="21"/>
      <c r="HBN239" s="21"/>
      <c r="HBO239" s="15"/>
      <c r="HBP239" s="15"/>
      <c r="HBQ239" s="15"/>
      <c r="HBR239" s="15"/>
      <c r="HBS239" s="15"/>
      <c r="HBT239" s="15"/>
      <c r="HBU239" s="15"/>
      <c r="HBV239" s="15"/>
      <c r="HBW239" s="15"/>
      <c r="HBX239" s="15"/>
      <c r="HBY239" s="10"/>
      <c r="HBZ239" s="10"/>
      <c r="HCA239" s="21"/>
      <c r="HCB239" s="21"/>
      <c r="HCE239" s="21"/>
      <c r="HCF239" s="15"/>
      <c r="HCG239" s="15"/>
      <c r="HCH239" s="15"/>
      <c r="HCI239" s="15"/>
      <c r="HCJ239" s="15"/>
      <c r="HCK239" s="15"/>
      <c r="HCL239" s="15"/>
      <c r="HCM239" s="15"/>
      <c r="HCN239" s="15"/>
      <c r="HCO239" s="15"/>
      <c r="HCP239" s="10"/>
      <c r="HCQ239" s="10"/>
      <c r="HCR239" s="21"/>
      <c r="HCS239" s="21"/>
      <c r="HCV239" s="21"/>
      <c r="HCW239" s="15"/>
      <c r="HCX239" s="15"/>
      <c r="HCY239" s="15"/>
      <c r="HCZ239" s="15"/>
      <c r="HDA239" s="15"/>
      <c r="HDB239" s="15"/>
      <c r="HDC239" s="15"/>
      <c r="HDD239" s="15"/>
      <c r="HDE239" s="15"/>
      <c r="HDF239" s="15"/>
      <c r="HDG239" s="10"/>
      <c r="HDH239" s="10"/>
      <c r="HDI239" s="21"/>
      <c r="HDJ239" s="21"/>
      <c r="HDM239" s="21"/>
      <c r="HDN239" s="15"/>
      <c r="HDO239" s="15"/>
      <c r="HDP239" s="15"/>
      <c r="HDQ239" s="15"/>
      <c r="HDR239" s="15"/>
      <c r="HDS239" s="15"/>
      <c r="HDT239" s="15"/>
      <c r="HDU239" s="15"/>
      <c r="HDV239" s="15"/>
      <c r="HDW239" s="15"/>
      <c r="HDX239" s="10"/>
      <c r="HDY239" s="10"/>
      <c r="HDZ239" s="21"/>
      <c r="HEA239" s="21"/>
      <c r="HED239" s="21"/>
      <c r="HEE239" s="15"/>
      <c r="HEF239" s="15"/>
      <c r="HEG239" s="15"/>
      <c r="HEH239" s="15"/>
      <c r="HEI239" s="15"/>
      <c r="HEJ239" s="15"/>
      <c r="HEK239" s="15"/>
      <c r="HEL239" s="15"/>
      <c r="HEM239" s="15"/>
      <c r="HEN239" s="15"/>
      <c r="HEO239" s="10"/>
      <c r="HEP239" s="10"/>
      <c r="HEQ239" s="21"/>
      <c r="HER239" s="21"/>
      <c r="HEU239" s="21"/>
      <c r="HEV239" s="15"/>
      <c r="HEW239" s="15"/>
      <c r="HEX239" s="15"/>
      <c r="HEY239" s="15"/>
      <c r="HEZ239" s="15"/>
      <c r="HFA239" s="15"/>
      <c r="HFB239" s="15"/>
      <c r="HFC239" s="15"/>
      <c r="HFD239" s="15"/>
      <c r="HFE239" s="15"/>
      <c r="HFF239" s="10"/>
      <c r="HFG239" s="10"/>
      <c r="HFH239" s="21"/>
      <c r="HFI239" s="21"/>
      <c r="HFL239" s="21"/>
      <c r="HFM239" s="15"/>
      <c r="HFN239" s="15"/>
      <c r="HFO239" s="15"/>
      <c r="HFP239" s="15"/>
      <c r="HFQ239" s="15"/>
      <c r="HFR239" s="15"/>
      <c r="HFS239" s="15"/>
      <c r="HFT239" s="15"/>
      <c r="HFU239" s="15"/>
      <c r="HFV239" s="15"/>
      <c r="HFW239" s="10"/>
      <c r="HFX239" s="10"/>
      <c r="HFY239" s="21"/>
      <c r="HFZ239" s="21"/>
      <c r="HGC239" s="21"/>
      <c r="HGD239" s="15"/>
      <c r="HGE239" s="15"/>
      <c r="HGF239" s="15"/>
      <c r="HGG239" s="15"/>
      <c r="HGH239" s="15"/>
      <c r="HGI239" s="15"/>
      <c r="HGJ239" s="15"/>
      <c r="HGK239" s="15"/>
      <c r="HGL239" s="15"/>
      <c r="HGM239" s="15"/>
      <c r="HGN239" s="10"/>
      <c r="HGO239" s="10"/>
      <c r="HGP239" s="21"/>
      <c r="HGQ239" s="21"/>
      <c r="HGT239" s="21"/>
      <c r="HGU239" s="15"/>
      <c r="HGV239" s="15"/>
      <c r="HGW239" s="15"/>
      <c r="HGX239" s="15"/>
      <c r="HGY239" s="15"/>
      <c r="HGZ239" s="15"/>
      <c r="HHA239" s="15"/>
      <c r="HHB239" s="15"/>
      <c r="HHC239" s="15"/>
      <c r="HHD239" s="15"/>
      <c r="HHE239" s="10"/>
      <c r="HHF239" s="10"/>
      <c r="HHG239" s="21"/>
      <c r="HHH239" s="21"/>
      <c r="HHK239" s="21"/>
      <c r="HHL239" s="15"/>
      <c r="HHM239" s="15"/>
      <c r="HHN239" s="15"/>
      <c r="HHO239" s="15"/>
      <c r="HHP239" s="15"/>
      <c r="HHQ239" s="15"/>
      <c r="HHR239" s="15"/>
      <c r="HHS239" s="15"/>
      <c r="HHT239" s="15"/>
      <c r="HHU239" s="15"/>
      <c r="HHV239" s="10"/>
      <c r="HHW239" s="10"/>
      <c r="HHX239" s="21"/>
      <c r="HHY239" s="21"/>
      <c r="HIB239" s="21"/>
      <c r="HIC239" s="15"/>
      <c r="HID239" s="15"/>
      <c r="HIE239" s="15"/>
      <c r="HIF239" s="15"/>
      <c r="HIG239" s="15"/>
      <c r="HIH239" s="15"/>
      <c r="HII239" s="15"/>
      <c r="HIJ239" s="15"/>
      <c r="HIK239" s="15"/>
      <c r="HIL239" s="15"/>
      <c r="HIM239" s="10"/>
      <c r="HIN239" s="10"/>
      <c r="HIO239" s="21"/>
      <c r="HIP239" s="21"/>
      <c r="HIS239" s="21"/>
      <c r="HIT239" s="15"/>
      <c r="HIU239" s="15"/>
      <c r="HIV239" s="15"/>
      <c r="HIW239" s="15"/>
      <c r="HIX239" s="15"/>
      <c r="HIY239" s="15"/>
      <c r="HIZ239" s="15"/>
      <c r="HJA239" s="15"/>
      <c r="HJB239" s="15"/>
      <c r="HJC239" s="15"/>
      <c r="HJD239" s="10"/>
      <c r="HJE239" s="10"/>
      <c r="HJF239" s="21"/>
      <c r="HJG239" s="21"/>
      <c r="HJJ239" s="21"/>
      <c r="HJK239" s="15"/>
      <c r="HJL239" s="15"/>
      <c r="HJM239" s="15"/>
      <c r="HJN239" s="15"/>
      <c r="HJO239" s="15"/>
      <c r="HJP239" s="15"/>
      <c r="HJQ239" s="15"/>
      <c r="HJR239" s="15"/>
      <c r="HJS239" s="15"/>
      <c r="HJT239" s="15"/>
      <c r="HJU239" s="10"/>
      <c r="HJV239" s="10"/>
      <c r="HJW239" s="21"/>
      <c r="HJX239" s="21"/>
      <c r="HKA239" s="21"/>
      <c r="HKB239" s="15"/>
      <c r="HKC239" s="15"/>
      <c r="HKD239" s="15"/>
      <c r="HKE239" s="15"/>
      <c r="HKF239" s="15"/>
      <c r="HKG239" s="15"/>
      <c r="HKH239" s="15"/>
      <c r="HKI239" s="15"/>
      <c r="HKJ239" s="15"/>
      <c r="HKK239" s="15"/>
      <c r="HKL239" s="10"/>
      <c r="HKM239" s="10"/>
      <c r="HKN239" s="21"/>
      <c r="HKO239" s="21"/>
      <c r="HKR239" s="21"/>
      <c r="HKS239" s="15"/>
      <c r="HKT239" s="15"/>
      <c r="HKU239" s="15"/>
      <c r="HKV239" s="15"/>
      <c r="HKW239" s="15"/>
      <c r="HKX239" s="15"/>
      <c r="HKY239" s="15"/>
      <c r="HKZ239" s="15"/>
      <c r="HLA239" s="15"/>
      <c r="HLB239" s="15"/>
      <c r="HLC239" s="10"/>
      <c r="HLD239" s="10"/>
      <c r="HLE239" s="21"/>
      <c r="HLF239" s="21"/>
      <c r="HLI239" s="21"/>
      <c r="HLJ239" s="15"/>
      <c r="HLK239" s="15"/>
      <c r="HLL239" s="15"/>
      <c r="HLM239" s="15"/>
      <c r="HLN239" s="15"/>
      <c r="HLO239" s="15"/>
      <c r="HLP239" s="15"/>
      <c r="HLQ239" s="15"/>
      <c r="HLR239" s="15"/>
      <c r="HLS239" s="15"/>
      <c r="HLT239" s="10"/>
      <c r="HLU239" s="10"/>
      <c r="HLV239" s="21"/>
      <c r="HLW239" s="21"/>
      <c r="HLZ239" s="21"/>
      <c r="HMA239" s="15"/>
      <c r="HMB239" s="15"/>
      <c r="HMC239" s="15"/>
      <c r="HMD239" s="15"/>
      <c r="HME239" s="15"/>
      <c r="HMF239" s="15"/>
      <c r="HMG239" s="15"/>
      <c r="HMH239" s="15"/>
      <c r="HMI239" s="15"/>
      <c r="HMJ239" s="15"/>
      <c r="HMK239" s="10"/>
      <c r="HML239" s="10"/>
      <c r="HMM239" s="21"/>
      <c r="HMN239" s="21"/>
      <c r="HMQ239" s="21"/>
      <c r="HMR239" s="15"/>
      <c r="HMS239" s="15"/>
      <c r="HMT239" s="15"/>
      <c r="HMU239" s="15"/>
      <c r="HMV239" s="15"/>
      <c r="HMW239" s="15"/>
      <c r="HMX239" s="15"/>
      <c r="HMY239" s="15"/>
      <c r="HMZ239" s="15"/>
      <c r="HNA239" s="15"/>
      <c r="HNB239" s="10"/>
      <c r="HNC239" s="10"/>
      <c r="HND239" s="21"/>
      <c r="HNE239" s="21"/>
      <c r="HNH239" s="21"/>
      <c r="HNI239" s="15"/>
      <c r="HNJ239" s="15"/>
      <c r="HNK239" s="15"/>
      <c r="HNL239" s="15"/>
      <c r="HNM239" s="15"/>
      <c r="HNN239" s="15"/>
      <c r="HNO239" s="15"/>
      <c r="HNP239" s="15"/>
      <c r="HNQ239" s="15"/>
      <c r="HNR239" s="15"/>
      <c r="HNS239" s="10"/>
      <c r="HNT239" s="10"/>
      <c r="HNU239" s="21"/>
      <c r="HNV239" s="21"/>
      <c r="HNY239" s="21"/>
      <c r="HNZ239" s="15"/>
      <c r="HOA239" s="15"/>
      <c r="HOB239" s="15"/>
      <c r="HOC239" s="15"/>
      <c r="HOD239" s="15"/>
      <c r="HOE239" s="15"/>
      <c r="HOF239" s="15"/>
      <c r="HOG239" s="15"/>
      <c r="HOH239" s="15"/>
      <c r="HOI239" s="15"/>
      <c r="HOJ239" s="10"/>
      <c r="HOK239" s="10"/>
      <c r="HOL239" s="21"/>
      <c r="HOM239" s="21"/>
      <c r="HOP239" s="21"/>
      <c r="HOQ239" s="15"/>
      <c r="HOR239" s="15"/>
      <c r="HOS239" s="15"/>
      <c r="HOT239" s="15"/>
      <c r="HOU239" s="15"/>
      <c r="HOV239" s="15"/>
      <c r="HOW239" s="15"/>
      <c r="HOX239" s="15"/>
      <c r="HOY239" s="15"/>
      <c r="HOZ239" s="15"/>
      <c r="HPA239" s="10"/>
      <c r="HPB239" s="10"/>
      <c r="HPC239" s="21"/>
      <c r="HPD239" s="21"/>
      <c r="HPG239" s="21"/>
      <c r="HPH239" s="15"/>
      <c r="HPI239" s="15"/>
      <c r="HPJ239" s="15"/>
      <c r="HPK239" s="15"/>
      <c r="HPL239" s="15"/>
      <c r="HPM239" s="15"/>
      <c r="HPN239" s="15"/>
      <c r="HPO239" s="15"/>
      <c r="HPP239" s="15"/>
      <c r="HPQ239" s="15"/>
      <c r="HPR239" s="10"/>
      <c r="HPS239" s="10"/>
      <c r="HPT239" s="21"/>
      <c r="HPU239" s="21"/>
      <c r="HPX239" s="21"/>
      <c r="HPY239" s="15"/>
      <c r="HPZ239" s="15"/>
      <c r="HQA239" s="15"/>
      <c r="HQB239" s="15"/>
      <c r="HQC239" s="15"/>
      <c r="HQD239" s="15"/>
      <c r="HQE239" s="15"/>
      <c r="HQF239" s="15"/>
      <c r="HQG239" s="15"/>
      <c r="HQH239" s="15"/>
      <c r="HQI239" s="10"/>
      <c r="HQJ239" s="10"/>
      <c r="HQK239" s="21"/>
      <c r="HQL239" s="21"/>
      <c r="HQO239" s="21"/>
      <c r="HQP239" s="15"/>
      <c r="HQQ239" s="15"/>
      <c r="HQR239" s="15"/>
      <c r="HQS239" s="15"/>
      <c r="HQT239" s="15"/>
      <c r="HQU239" s="15"/>
      <c r="HQV239" s="15"/>
      <c r="HQW239" s="15"/>
      <c r="HQX239" s="15"/>
      <c r="HQY239" s="15"/>
      <c r="HQZ239" s="10"/>
      <c r="HRA239" s="10"/>
      <c r="HRB239" s="21"/>
      <c r="HRC239" s="21"/>
      <c r="HRF239" s="21"/>
      <c r="HRG239" s="15"/>
      <c r="HRH239" s="15"/>
      <c r="HRI239" s="15"/>
      <c r="HRJ239" s="15"/>
      <c r="HRK239" s="15"/>
      <c r="HRL239" s="15"/>
      <c r="HRM239" s="15"/>
      <c r="HRN239" s="15"/>
      <c r="HRO239" s="15"/>
      <c r="HRP239" s="15"/>
      <c r="HRQ239" s="10"/>
      <c r="HRR239" s="10"/>
      <c r="HRS239" s="21"/>
      <c r="HRT239" s="21"/>
      <c r="HRW239" s="21"/>
      <c r="HRX239" s="15"/>
      <c r="HRY239" s="15"/>
      <c r="HRZ239" s="15"/>
      <c r="HSA239" s="15"/>
      <c r="HSB239" s="15"/>
      <c r="HSC239" s="15"/>
      <c r="HSD239" s="15"/>
      <c r="HSE239" s="15"/>
      <c r="HSF239" s="15"/>
      <c r="HSG239" s="15"/>
      <c r="HSH239" s="10"/>
      <c r="HSI239" s="10"/>
      <c r="HSJ239" s="21"/>
      <c r="HSK239" s="21"/>
      <c r="HSN239" s="21"/>
      <c r="HSO239" s="15"/>
      <c r="HSP239" s="15"/>
      <c r="HSQ239" s="15"/>
      <c r="HSR239" s="15"/>
      <c r="HSS239" s="15"/>
      <c r="HST239" s="15"/>
      <c r="HSU239" s="15"/>
      <c r="HSV239" s="15"/>
      <c r="HSW239" s="15"/>
      <c r="HSX239" s="15"/>
      <c r="HSY239" s="10"/>
      <c r="HSZ239" s="10"/>
      <c r="HTA239" s="21"/>
      <c r="HTB239" s="21"/>
      <c r="HTE239" s="21"/>
      <c r="HTF239" s="15"/>
      <c r="HTG239" s="15"/>
      <c r="HTH239" s="15"/>
      <c r="HTI239" s="15"/>
      <c r="HTJ239" s="15"/>
      <c r="HTK239" s="15"/>
      <c r="HTL239" s="15"/>
      <c r="HTM239" s="15"/>
      <c r="HTN239" s="15"/>
      <c r="HTO239" s="15"/>
      <c r="HTP239" s="10"/>
      <c r="HTQ239" s="10"/>
      <c r="HTR239" s="21"/>
      <c r="HTS239" s="21"/>
      <c r="HTV239" s="21"/>
      <c r="HTW239" s="15"/>
      <c r="HTX239" s="15"/>
      <c r="HTY239" s="15"/>
      <c r="HTZ239" s="15"/>
      <c r="HUA239" s="15"/>
      <c r="HUB239" s="15"/>
      <c r="HUC239" s="15"/>
      <c r="HUD239" s="15"/>
      <c r="HUE239" s="15"/>
      <c r="HUF239" s="15"/>
      <c r="HUG239" s="10"/>
      <c r="HUH239" s="10"/>
      <c r="HUI239" s="21"/>
      <c r="HUJ239" s="21"/>
      <c r="HUM239" s="21"/>
      <c r="HUN239" s="15"/>
      <c r="HUO239" s="15"/>
      <c r="HUP239" s="15"/>
      <c r="HUQ239" s="15"/>
      <c r="HUR239" s="15"/>
      <c r="HUS239" s="15"/>
      <c r="HUT239" s="15"/>
      <c r="HUU239" s="15"/>
      <c r="HUV239" s="15"/>
      <c r="HUW239" s="15"/>
      <c r="HUX239" s="10"/>
      <c r="HUY239" s="10"/>
      <c r="HUZ239" s="21"/>
      <c r="HVA239" s="21"/>
      <c r="HVD239" s="21"/>
      <c r="HVE239" s="15"/>
      <c r="HVF239" s="15"/>
      <c r="HVG239" s="15"/>
      <c r="HVH239" s="15"/>
      <c r="HVI239" s="15"/>
      <c r="HVJ239" s="15"/>
      <c r="HVK239" s="15"/>
      <c r="HVL239" s="15"/>
      <c r="HVM239" s="15"/>
      <c r="HVN239" s="15"/>
      <c r="HVO239" s="10"/>
      <c r="HVP239" s="10"/>
      <c r="HVQ239" s="21"/>
      <c r="HVR239" s="21"/>
      <c r="HVU239" s="21"/>
      <c r="HVV239" s="15"/>
      <c r="HVW239" s="15"/>
      <c r="HVX239" s="15"/>
      <c r="HVY239" s="15"/>
      <c r="HVZ239" s="15"/>
      <c r="HWA239" s="15"/>
      <c r="HWB239" s="15"/>
      <c r="HWC239" s="15"/>
      <c r="HWD239" s="15"/>
      <c r="HWE239" s="15"/>
      <c r="HWF239" s="10"/>
      <c r="HWG239" s="10"/>
      <c r="HWH239" s="21"/>
      <c r="HWI239" s="21"/>
      <c r="HWL239" s="21"/>
      <c r="HWM239" s="15"/>
      <c r="HWN239" s="15"/>
      <c r="HWO239" s="15"/>
      <c r="HWP239" s="15"/>
      <c r="HWQ239" s="15"/>
      <c r="HWR239" s="15"/>
      <c r="HWS239" s="15"/>
      <c r="HWT239" s="15"/>
      <c r="HWU239" s="15"/>
      <c r="HWV239" s="15"/>
      <c r="HWW239" s="10"/>
      <c r="HWX239" s="10"/>
      <c r="HWY239" s="21"/>
      <c r="HWZ239" s="21"/>
      <c r="HXC239" s="21"/>
      <c r="HXD239" s="15"/>
      <c r="HXE239" s="15"/>
      <c r="HXF239" s="15"/>
      <c r="HXG239" s="15"/>
      <c r="HXH239" s="15"/>
      <c r="HXI239" s="15"/>
      <c r="HXJ239" s="15"/>
      <c r="HXK239" s="15"/>
      <c r="HXL239" s="15"/>
      <c r="HXM239" s="15"/>
      <c r="HXN239" s="10"/>
      <c r="HXO239" s="10"/>
      <c r="HXP239" s="21"/>
      <c r="HXQ239" s="21"/>
      <c r="HXT239" s="21"/>
      <c r="HXU239" s="15"/>
      <c r="HXV239" s="15"/>
      <c r="HXW239" s="15"/>
      <c r="HXX239" s="15"/>
      <c r="HXY239" s="15"/>
      <c r="HXZ239" s="15"/>
      <c r="HYA239" s="15"/>
      <c r="HYB239" s="15"/>
      <c r="HYC239" s="15"/>
      <c r="HYD239" s="15"/>
      <c r="HYE239" s="10"/>
      <c r="HYF239" s="10"/>
      <c r="HYG239" s="21"/>
      <c r="HYH239" s="21"/>
      <c r="HYK239" s="21"/>
      <c r="HYL239" s="15"/>
      <c r="HYM239" s="15"/>
      <c r="HYN239" s="15"/>
      <c r="HYO239" s="15"/>
      <c r="HYP239" s="15"/>
      <c r="HYQ239" s="15"/>
      <c r="HYR239" s="15"/>
      <c r="HYS239" s="15"/>
      <c r="HYT239" s="15"/>
      <c r="HYU239" s="15"/>
      <c r="HYV239" s="10"/>
      <c r="HYW239" s="10"/>
      <c r="HYX239" s="21"/>
      <c r="HYY239" s="21"/>
      <c r="HZB239" s="21"/>
      <c r="HZC239" s="15"/>
      <c r="HZD239" s="15"/>
      <c r="HZE239" s="15"/>
      <c r="HZF239" s="15"/>
      <c r="HZG239" s="15"/>
      <c r="HZH239" s="15"/>
      <c r="HZI239" s="15"/>
      <c r="HZJ239" s="15"/>
      <c r="HZK239" s="15"/>
      <c r="HZL239" s="15"/>
      <c r="HZM239" s="10"/>
      <c r="HZN239" s="10"/>
      <c r="HZO239" s="21"/>
      <c r="HZP239" s="21"/>
      <c r="HZS239" s="21"/>
      <c r="HZT239" s="15"/>
      <c r="HZU239" s="15"/>
      <c r="HZV239" s="15"/>
      <c r="HZW239" s="15"/>
      <c r="HZX239" s="15"/>
      <c r="HZY239" s="15"/>
      <c r="HZZ239" s="15"/>
      <c r="IAA239" s="15"/>
      <c r="IAB239" s="15"/>
      <c r="IAC239" s="15"/>
      <c r="IAD239" s="10"/>
      <c r="IAE239" s="10"/>
      <c r="IAF239" s="21"/>
      <c r="IAG239" s="21"/>
      <c r="IAJ239" s="21"/>
      <c r="IAK239" s="15"/>
      <c r="IAL239" s="15"/>
      <c r="IAM239" s="15"/>
      <c r="IAN239" s="15"/>
      <c r="IAO239" s="15"/>
      <c r="IAP239" s="15"/>
      <c r="IAQ239" s="15"/>
      <c r="IAR239" s="15"/>
      <c r="IAS239" s="15"/>
      <c r="IAT239" s="15"/>
      <c r="IAU239" s="10"/>
      <c r="IAV239" s="10"/>
      <c r="IAW239" s="21"/>
      <c r="IAX239" s="21"/>
      <c r="IBA239" s="21"/>
      <c r="IBB239" s="15"/>
      <c r="IBC239" s="15"/>
      <c r="IBD239" s="15"/>
      <c r="IBE239" s="15"/>
      <c r="IBF239" s="15"/>
      <c r="IBG239" s="15"/>
      <c r="IBH239" s="15"/>
      <c r="IBI239" s="15"/>
      <c r="IBJ239" s="15"/>
      <c r="IBK239" s="15"/>
      <c r="IBL239" s="10"/>
      <c r="IBM239" s="10"/>
      <c r="IBN239" s="21"/>
      <c r="IBO239" s="21"/>
      <c r="IBR239" s="21"/>
      <c r="IBS239" s="15"/>
      <c r="IBT239" s="15"/>
      <c r="IBU239" s="15"/>
      <c r="IBV239" s="15"/>
      <c r="IBW239" s="15"/>
      <c r="IBX239" s="15"/>
      <c r="IBY239" s="15"/>
      <c r="IBZ239" s="15"/>
      <c r="ICA239" s="15"/>
      <c r="ICB239" s="15"/>
      <c r="ICC239" s="10"/>
      <c r="ICD239" s="10"/>
      <c r="ICE239" s="21"/>
      <c r="ICF239" s="21"/>
      <c r="ICI239" s="21"/>
      <c r="ICJ239" s="15"/>
      <c r="ICK239" s="15"/>
      <c r="ICL239" s="15"/>
      <c r="ICM239" s="15"/>
      <c r="ICN239" s="15"/>
      <c r="ICO239" s="15"/>
      <c r="ICP239" s="15"/>
      <c r="ICQ239" s="15"/>
      <c r="ICR239" s="15"/>
      <c r="ICS239" s="15"/>
      <c r="ICT239" s="10"/>
      <c r="ICU239" s="10"/>
      <c r="ICV239" s="21"/>
      <c r="ICW239" s="21"/>
      <c r="ICZ239" s="21"/>
      <c r="IDA239" s="15"/>
      <c r="IDB239" s="15"/>
      <c r="IDC239" s="15"/>
      <c r="IDD239" s="15"/>
      <c r="IDE239" s="15"/>
      <c r="IDF239" s="15"/>
      <c r="IDG239" s="15"/>
      <c r="IDH239" s="15"/>
      <c r="IDI239" s="15"/>
      <c r="IDJ239" s="15"/>
      <c r="IDK239" s="10"/>
      <c r="IDL239" s="10"/>
      <c r="IDM239" s="21"/>
      <c r="IDN239" s="21"/>
      <c r="IDQ239" s="21"/>
      <c r="IDR239" s="15"/>
      <c r="IDS239" s="15"/>
      <c r="IDT239" s="15"/>
      <c r="IDU239" s="15"/>
      <c r="IDV239" s="15"/>
      <c r="IDW239" s="15"/>
      <c r="IDX239" s="15"/>
      <c r="IDY239" s="15"/>
      <c r="IDZ239" s="15"/>
      <c r="IEA239" s="15"/>
      <c r="IEB239" s="10"/>
      <c r="IEC239" s="10"/>
      <c r="IED239" s="21"/>
      <c r="IEE239" s="21"/>
      <c r="IEH239" s="21"/>
      <c r="IEI239" s="15"/>
      <c r="IEJ239" s="15"/>
      <c r="IEK239" s="15"/>
      <c r="IEL239" s="15"/>
      <c r="IEM239" s="15"/>
      <c r="IEN239" s="15"/>
      <c r="IEO239" s="15"/>
      <c r="IEP239" s="15"/>
      <c r="IEQ239" s="15"/>
      <c r="IER239" s="15"/>
      <c r="IES239" s="10"/>
      <c r="IET239" s="10"/>
      <c r="IEU239" s="21"/>
      <c r="IEV239" s="21"/>
      <c r="IEY239" s="21"/>
      <c r="IEZ239" s="15"/>
      <c r="IFA239" s="15"/>
      <c r="IFB239" s="15"/>
      <c r="IFC239" s="15"/>
      <c r="IFD239" s="15"/>
      <c r="IFE239" s="15"/>
      <c r="IFF239" s="15"/>
      <c r="IFG239" s="15"/>
      <c r="IFH239" s="15"/>
      <c r="IFI239" s="15"/>
      <c r="IFJ239" s="10"/>
      <c r="IFK239" s="10"/>
      <c r="IFL239" s="21"/>
      <c r="IFM239" s="21"/>
      <c r="IFP239" s="21"/>
      <c r="IFQ239" s="15"/>
      <c r="IFR239" s="15"/>
      <c r="IFS239" s="15"/>
      <c r="IFT239" s="15"/>
      <c r="IFU239" s="15"/>
      <c r="IFV239" s="15"/>
      <c r="IFW239" s="15"/>
      <c r="IFX239" s="15"/>
      <c r="IFY239" s="15"/>
      <c r="IFZ239" s="15"/>
      <c r="IGA239" s="10"/>
      <c r="IGB239" s="10"/>
      <c r="IGC239" s="21"/>
      <c r="IGD239" s="21"/>
      <c r="IGG239" s="21"/>
      <c r="IGH239" s="15"/>
      <c r="IGI239" s="15"/>
      <c r="IGJ239" s="15"/>
      <c r="IGK239" s="15"/>
      <c r="IGL239" s="15"/>
      <c r="IGM239" s="15"/>
      <c r="IGN239" s="15"/>
      <c r="IGO239" s="15"/>
      <c r="IGP239" s="15"/>
      <c r="IGQ239" s="15"/>
      <c r="IGR239" s="10"/>
      <c r="IGS239" s="10"/>
      <c r="IGT239" s="21"/>
      <c r="IGU239" s="21"/>
      <c r="IGX239" s="21"/>
      <c r="IGY239" s="15"/>
      <c r="IGZ239" s="15"/>
      <c r="IHA239" s="15"/>
      <c r="IHB239" s="15"/>
      <c r="IHC239" s="15"/>
      <c r="IHD239" s="15"/>
      <c r="IHE239" s="15"/>
      <c r="IHF239" s="15"/>
      <c r="IHG239" s="15"/>
      <c r="IHH239" s="15"/>
      <c r="IHI239" s="10"/>
      <c r="IHJ239" s="10"/>
      <c r="IHK239" s="21"/>
      <c r="IHL239" s="21"/>
      <c r="IHO239" s="21"/>
      <c r="IHP239" s="15"/>
      <c r="IHQ239" s="15"/>
      <c r="IHR239" s="15"/>
      <c r="IHS239" s="15"/>
      <c r="IHT239" s="15"/>
      <c r="IHU239" s="15"/>
      <c r="IHV239" s="15"/>
      <c r="IHW239" s="15"/>
      <c r="IHX239" s="15"/>
      <c r="IHY239" s="15"/>
      <c r="IHZ239" s="10"/>
      <c r="IIA239" s="10"/>
      <c r="IIB239" s="21"/>
      <c r="IIC239" s="21"/>
      <c r="IIF239" s="21"/>
      <c r="IIG239" s="15"/>
      <c r="IIH239" s="15"/>
      <c r="III239" s="15"/>
      <c r="IIJ239" s="15"/>
      <c r="IIK239" s="15"/>
      <c r="IIL239" s="15"/>
      <c r="IIM239" s="15"/>
      <c r="IIN239" s="15"/>
      <c r="IIO239" s="15"/>
      <c r="IIP239" s="15"/>
      <c r="IIQ239" s="10"/>
      <c r="IIR239" s="10"/>
      <c r="IIS239" s="21"/>
      <c r="IIT239" s="21"/>
      <c r="IIW239" s="21"/>
      <c r="IIX239" s="15"/>
      <c r="IIY239" s="15"/>
      <c r="IIZ239" s="15"/>
      <c r="IJA239" s="15"/>
      <c r="IJB239" s="15"/>
      <c r="IJC239" s="15"/>
      <c r="IJD239" s="15"/>
      <c r="IJE239" s="15"/>
      <c r="IJF239" s="15"/>
      <c r="IJG239" s="15"/>
      <c r="IJH239" s="10"/>
      <c r="IJI239" s="10"/>
      <c r="IJJ239" s="21"/>
      <c r="IJK239" s="21"/>
      <c r="IJN239" s="21"/>
      <c r="IJO239" s="15"/>
      <c r="IJP239" s="15"/>
      <c r="IJQ239" s="15"/>
      <c r="IJR239" s="15"/>
      <c r="IJS239" s="15"/>
      <c r="IJT239" s="15"/>
      <c r="IJU239" s="15"/>
      <c r="IJV239" s="15"/>
      <c r="IJW239" s="15"/>
      <c r="IJX239" s="15"/>
      <c r="IJY239" s="10"/>
      <c r="IJZ239" s="10"/>
      <c r="IKA239" s="21"/>
      <c r="IKB239" s="21"/>
      <c r="IKE239" s="21"/>
      <c r="IKF239" s="15"/>
      <c r="IKG239" s="15"/>
      <c r="IKH239" s="15"/>
      <c r="IKI239" s="15"/>
      <c r="IKJ239" s="15"/>
      <c r="IKK239" s="15"/>
      <c r="IKL239" s="15"/>
      <c r="IKM239" s="15"/>
      <c r="IKN239" s="15"/>
      <c r="IKO239" s="15"/>
      <c r="IKP239" s="10"/>
      <c r="IKQ239" s="10"/>
      <c r="IKR239" s="21"/>
      <c r="IKS239" s="21"/>
      <c r="IKV239" s="21"/>
      <c r="IKW239" s="15"/>
      <c r="IKX239" s="15"/>
      <c r="IKY239" s="15"/>
      <c r="IKZ239" s="15"/>
      <c r="ILA239" s="15"/>
      <c r="ILB239" s="15"/>
      <c r="ILC239" s="15"/>
      <c r="ILD239" s="15"/>
      <c r="ILE239" s="15"/>
      <c r="ILF239" s="15"/>
      <c r="ILG239" s="10"/>
      <c r="ILH239" s="10"/>
      <c r="ILI239" s="21"/>
      <c r="ILJ239" s="21"/>
      <c r="ILM239" s="21"/>
      <c r="ILN239" s="15"/>
      <c r="ILO239" s="15"/>
      <c r="ILP239" s="15"/>
      <c r="ILQ239" s="15"/>
      <c r="ILR239" s="15"/>
      <c r="ILS239" s="15"/>
      <c r="ILT239" s="15"/>
      <c r="ILU239" s="15"/>
      <c r="ILV239" s="15"/>
      <c r="ILW239" s="15"/>
      <c r="ILX239" s="10"/>
      <c r="ILY239" s="10"/>
      <c r="ILZ239" s="21"/>
      <c r="IMA239" s="21"/>
      <c r="IMD239" s="21"/>
      <c r="IME239" s="15"/>
      <c r="IMF239" s="15"/>
      <c r="IMG239" s="15"/>
      <c r="IMH239" s="15"/>
      <c r="IMI239" s="15"/>
      <c r="IMJ239" s="15"/>
      <c r="IMK239" s="15"/>
      <c r="IML239" s="15"/>
      <c r="IMM239" s="15"/>
      <c r="IMN239" s="15"/>
      <c r="IMO239" s="10"/>
      <c r="IMP239" s="10"/>
      <c r="IMQ239" s="21"/>
      <c r="IMR239" s="21"/>
      <c r="IMU239" s="21"/>
      <c r="IMV239" s="15"/>
      <c r="IMW239" s="15"/>
      <c r="IMX239" s="15"/>
      <c r="IMY239" s="15"/>
      <c r="IMZ239" s="15"/>
      <c r="INA239" s="15"/>
      <c r="INB239" s="15"/>
      <c r="INC239" s="15"/>
      <c r="IND239" s="15"/>
      <c r="INE239" s="15"/>
      <c r="INF239" s="10"/>
      <c r="ING239" s="10"/>
      <c r="INH239" s="21"/>
      <c r="INI239" s="21"/>
      <c r="INL239" s="21"/>
      <c r="INM239" s="15"/>
      <c r="INN239" s="15"/>
      <c r="INO239" s="15"/>
      <c r="INP239" s="15"/>
      <c r="INQ239" s="15"/>
      <c r="INR239" s="15"/>
      <c r="INS239" s="15"/>
      <c r="INT239" s="15"/>
      <c r="INU239" s="15"/>
      <c r="INV239" s="15"/>
      <c r="INW239" s="10"/>
      <c r="INX239" s="10"/>
      <c r="INY239" s="21"/>
      <c r="INZ239" s="21"/>
      <c r="IOC239" s="21"/>
      <c r="IOD239" s="15"/>
      <c r="IOE239" s="15"/>
      <c r="IOF239" s="15"/>
      <c r="IOG239" s="15"/>
      <c r="IOH239" s="15"/>
      <c r="IOI239" s="15"/>
      <c r="IOJ239" s="15"/>
      <c r="IOK239" s="15"/>
      <c r="IOL239" s="15"/>
      <c r="IOM239" s="15"/>
      <c r="ION239" s="10"/>
      <c r="IOO239" s="10"/>
      <c r="IOP239" s="21"/>
      <c r="IOQ239" s="21"/>
      <c r="IOT239" s="21"/>
      <c r="IOU239" s="15"/>
      <c r="IOV239" s="15"/>
      <c r="IOW239" s="15"/>
      <c r="IOX239" s="15"/>
      <c r="IOY239" s="15"/>
      <c r="IOZ239" s="15"/>
      <c r="IPA239" s="15"/>
      <c r="IPB239" s="15"/>
      <c r="IPC239" s="15"/>
      <c r="IPD239" s="15"/>
      <c r="IPE239" s="10"/>
      <c r="IPF239" s="10"/>
      <c r="IPG239" s="21"/>
      <c r="IPH239" s="21"/>
      <c r="IPK239" s="21"/>
      <c r="IPL239" s="15"/>
      <c r="IPM239" s="15"/>
      <c r="IPN239" s="15"/>
      <c r="IPO239" s="15"/>
      <c r="IPP239" s="15"/>
      <c r="IPQ239" s="15"/>
      <c r="IPR239" s="15"/>
      <c r="IPS239" s="15"/>
      <c r="IPT239" s="15"/>
      <c r="IPU239" s="15"/>
      <c r="IPV239" s="10"/>
      <c r="IPW239" s="10"/>
      <c r="IPX239" s="21"/>
      <c r="IPY239" s="21"/>
      <c r="IQB239" s="21"/>
      <c r="IQC239" s="15"/>
      <c r="IQD239" s="15"/>
      <c r="IQE239" s="15"/>
      <c r="IQF239" s="15"/>
      <c r="IQG239" s="15"/>
      <c r="IQH239" s="15"/>
      <c r="IQI239" s="15"/>
      <c r="IQJ239" s="15"/>
      <c r="IQK239" s="15"/>
      <c r="IQL239" s="15"/>
      <c r="IQM239" s="10"/>
      <c r="IQN239" s="10"/>
      <c r="IQO239" s="21"/>
      <c r="IQP239" s="21"/>
      <c r="IQS239" s="21"/>
      <c r="IQT239" s="15"/>
      <c r="IQU239" s="15"/>
      <c r="IQV239" s="15"/>
      <c r="IQW239" s="15"/>
      <c r="IQX239" s="15"/>
      <c r="IQY239" s="15"/>
      <c r="IQZ239" s="15"/>
      <c r="IRA239" s="15"/>
      <c r="IRB239" s="15"/>
      <c r="IRC239" s="15"/>
      <c r="IRD239" s="10"/>
      <c r="IRE239" s="10"/>
      <c r="IRF239" s="21"/>
      <c r="IRG239" s="21"/>
      <c r="IRJ239" s="21"/>
      <c r="IRK239" s="15"/>
      <c r="IRL239" s="15"/>
      <c r="IRM239" s="15"/>
      <c r="IRN239" s="15"/>
      <c r="IRO239" s="15"/>
      <c r="IRP239" s="15"/>
      <c r="IRQ239" s="15"/>
      <c r="IRR239" s="15"/>
      <c r="IRS239" s="15"/>
      <c r="IRT239" s="15"/>
      <c r="IRU239" s="10"/>
      <c r="IRV239" s="10"/>
      <c r="IRW239" s="21"/>
      <c r="IRX239" s="21"/>
      <c r="ISA239" s="21"/>
      <c r="ISB239" s="15"/>
      <c r="ISC239" s="15"/>
      <c r="ISD239" s="15"/>
      <c r="ISE239" s="15"/>
      <c r="ISF239" s="15"/>
      <c r="ISG239" s="15"/>
      <c r="ISH239" s="15"/>
      <c r="ISI239" s="15"/>
      <c r="ISJ239" s="15"/>
      <c r="ISK239" s="15"/>
      <c r="ISL239" s="10"/>
      <c r="ISM239" s="10"/>
      <c r="ISN239" s="21"/>
      <c r="ISO239" s="21"/>
      <c r="ISR239" s="21"/>
      <c r="ISS239" s="15"/>
      <c r="IST239" s="15"/>
      <c r="ISU239" s="15"/>
      <c r="ISV239" s="15"/>
      <c r="ISW239" s="15"/>
      <c r="ISX239" s="15"/>
      <c r="ISY239" s="15"/>
      <c r="ISZ239" s="15"/>
      <c r="ITA239" s="15"/>
      <c r="ITB239" s="15"/>
      <c r="ITC239" s="10"/>
      <c r="ITD239" s="10"/>
      <c r="ITE239" s="21"/>
      <c r="ITF239" s="21"/>
      <c r="ITI239" s="21"/>
      <c r="ITJ239" s="15"/>
      <c r="ITK239" s="15"/>
      <c r="ITL239" s="15"/>
      <c r="ITM239" s="15"/>
      <c r="ITN239" s="15"/>
      <c r="ITO239" s="15"/>
      <c r="ITP239" s="15"/>
      <c r="ITQ239" s="15"/>
      <c r="ITR239" s="15"/>
      <c r="ITS239" s="15"/>
      <c r="ITT239" s="10"/>
      <c r="ITU239" s="10"/>
      <c r="ITV239" s="21"/>
      <c r="ITW239" s="21"/>
      <c r="ITZ239" s="21"/>
      <c r="IUA239" s="15"/>
      <c r="IUB239" s="15"/>
      <c r="IUC239" s="15"/>
      <c r="IUD239" s="15"/>
      <c r="IUE239" s="15"/>
      <c r="IUF239" s="15"/>
      <c r="IUG239" s="15"/>
      <c r="IUH239" s="15"/>
      <c r="IUI239" s="15"/>
      <c r="IUJ239" s="15"/>
      <c r="IUK239" s="10"/>
      <c r="IUL239" s="10"/>
      <c r="IUM239" s="21"/>
      <c r="IUN239" s="21"/>
      <c r="IUQ239" s="21"/>
      <c r="IUR239" s="15"/>
      <c r="IUS239" s="15"/>
      <c r="IUT239" s="15"/>
      <c r="IUU239" s="15"/>
      <c r="IUV239" s="15"/>
      <c r="IUW239" s="15"/>
      <c r="IUX239" s="15"/>
      <c r="IUY239" s="15"/>
      <c r="IUZ239" s="15"/>
      <c r="IVA239" s="15"/>
      <c r="IVB239" s="10"/>
      <c r="IVC239" s="10"/>
      <c r="IVD239" s="21"/>
      <c r="IVE239" s="21"/>
      <c r="IVH239" s="21"/>
      <c r="IVI239" s="15"/>
      <c r="IVJ239" s="15"/>
      <c r="IVK239" s="15"/>
      <c r="IVL239" s="15"/>
      <c r="IVM239" s="15"/>
      <c r="IVN239" s="15"/>
      <c r="IVO239" s="15"/>
      <c r="IVP239" s="15"/>
      <c r="IVQ239" s="15"/>
      <c r="IVR239" s="15"/>
      <c r="IVS239" s="10"/>
      <c r="IVT239" s="10"/>
      <c r="IVU239" s="21"/>
      <c r="IVV239" s="21"/>
      <c r="IVY239" s="21"/>
      <c r="IVZ239" s="15"/>
      <c r="IWA239" s="15"/>
      <c r="IWB239" s="15"/>
      <c r="IWC239" s="15"/>
      <c r="IWD239" s="15"/>
      <c r="IWE239" s="15"/>
      <c r="IWF239" s="15"/>
      <c r="IWG239" s="15"/>
      <c r="IWH239" s="15"/>
      <c r="IWI239" s="15"/>
      <c r="IWJ239" s="10"/>
      <c r="IWK239" s="10"/>
      <c r="IWL239" s="21"/>
      <c r="IWM239" s="21"/>
      <c r="IWP239" s="21"/>
      <c r="IWQ239" s="15"/>
      <c r="IWR239" s="15"/>
      <c r="IWS239" s="15"/>
      <c r="IWT239" s="15"/>
      <c r="IWU239" s="15"/>
      <c r="IWV239" s="15"/>
      <c r="IWW239" s="15"/>
      <c r="IWX239" s="15"/>
      <c r="IWY239" s="15"/>
      <c r="IWZ239" s="15"/>
      <c r="IXA239" s="10"/>
      <c r="IXB239" s="10"/>
      <c r="IXC239" s="21"/>
      <c r="IXD239" s="21"/>
      <c r="IXG239" s="21"/>
      <c r="IXH239" s="15"/>
      <c r="IXI239" s="15"/>
      <c r="IXJ239" s="15"/>
      <c r="IXK239" s="15"/>
      <c r="IXL239" s="15"/>
      <c r="IXM239" s="15"/>
      <c r="IXN239" s="15"/>
      <c r="IXO239" s="15"/>
      <c r="IXP239" s="15"/>
      <c r="IXQ239" s="15"/>
      <c r="IXR239" s="10"/>
      <c r="IXS239" s="10"/>
      <c r="IXT239" s="21"/>
      <c r="IXU239" s="21"/>
      <c r="IXX239" s="21"/>
      <c r="IXY239" s="15"/>
      <c r="IXZ239" s="15"/>
      <c r="IYA239" s="15"/>
      <c r="IYB239" s="15"/>
      <c r="IYC239" s="15"/>
      <c r="IYD239" s="15"/>
      <c r="IYE239" s="15"/>
      <c r="IYF239" s="15"/>
      <c r="IYG239" s="15"/>
      <c r="IYH239" s="15"/>
      <c r="IYI239" s="10"/>
      <c r="IYJ239" s="10"/>
      <c r="IYK239" s="21"/>
      <c r="IYL239" s="21"/>
      <c r="IYO239" s="21"/>
      <c r="IYP239" s="15"/>
      <c r="IYQ239" s="15"/>
      <c r="IYR239" s="15"/>
      <c r="IYS239" s="15"/>
      <c r="IYT239" s="15"/>
      <c r="IYU239" s="15"/>
      <c r="IYV239" s="15"/>
      <c r="IYW239" s="15"/>
      <c r="IYX239" s="15"/>
      <c r="IYY239" s="15"/>
      <c r="IYZ239" s="10"/>
      <c r="IZA239" s="10"/>
      <c r="IZB239" s="21"/>
      <c r="IZC239" s="21"/>
      <c r="IZF239" s="21"/>
      <c r="IZG239" s="15"/>
      <c r="IZH239" s="15"/>
      <c r="IZI239" s="15"/>
      <c r="IZJ239" s="15"/>
      <c r="IZK239" s="15"/>
      <c r="IZL239" s="15"/>
      <c r="IZM239" s="15"/>
      <c r="IZN239" s="15"/>
      <c r="IZO239" s="15"/>
      <c r="IZP239" s="15"/>
      <c r="IZQ239" s="10"/>
      <c r="IZR239" s="10"/>
      <c r="IZS239" s="21"/>
      <c r="IZT239" s="21"/>
      <c r="IZW239" s="21"/>
      <c r="IZX239" s="15"/>
      <c r="IZY239" s="15"/>
      <c r="IZZ239" s="15"/>
      <c r="JAA239" s="15"/>
      <c r="JAB239" s="15"/>
      <c r="JAC239" s="15"/>
      <c r="JAD239" s="15"/>
      <c r="JAE239" s="15"/>
      <c r="JAF239" s="15"/>
      <c r="JAG239" s="15"/>
      <c r="JAH239" s="10"/>
      <c r="JAI239" s="10"/>
      <c r="JAJ239" s="21"/>
      <c r="JAK239" s="21"/>
      <c r="JAN239" s="21"/>
      <c r="JAO239" s="15"/>
      <c r="JAP239" s="15"/>
      <c r="JAQ239" s="15"/>
      <c r="JAR239" s="15"/>
      <c r="JAS239" s="15"/>
      <c r="JAT239" s="15"/>
      <c r="JAU239" s="15"/>
      <c r="JAV239" s="15"/>
      <c r="JAW239" s="15"/>
      <c r="JAX239" s="15"/>
      <c r="JAY239" s="10"/>
      <c r="JAZ239" s="10"/>
      <c r="JBA239" s="21"/>
      <c r="JBB239" s="21"/>
      <c r="JBE239" s="21"/>
      <c r="JBF239" s="15"/>
      <c r="JBG239" s="15"/>
      <c r="JBH239" s="15"/>
      <c r="JBI239" s="15"/>
      <c r="JBJ239" s="15"/>
      <c r="JBK239" s="15"/>
      <c r="JBL239" s="15"/>
      <c r="JBM239" s="15"/>
      <c r="JBN239" s="15"/>
      <c r="JBO239" s="15"/>
      <c r="JBP239" s="10"/>
      <c r="JBQ239" s="10"/>
      <c r="JBR239" s="21"/>
      <c r="JBS239" s="21"/>
      <c r="JBV239" s="21"/>
      <c r="JBW239" s="15"/>
      <c r="JBX239" s="15"/>
      <c r="JBY239" s="15"/>
      <c r="JBZ239" s="15"/>
      <c r="JCA239" s="15"/>
      <c r="JCB239" s="15"/>
      <c r="JCC239" s="15"/>
      <c r="JCD239" s="15"/>
      <c r="JCE239" s="15"/>
      <c r="JCF239" s="15"/>
      <c r="JCG239" s="10"/>
      <c r="JCH239" s="10"/>
      <c r="JCI239" s="21"/>
      <c r="JCJ239" s="21"/>
      <c r="JCM239" s="21"/>
      <c r="JCN239" s="15"/>
      <c r="JCO239" s="15"/>
      <c r="JCP239" s="15"/>
      <c r="JCQ239" s="15"/>
      <c r="JCR239" s="15"/>
      <c r="JCS239" s="15"/>
      <c r="JCT239" s="15"/>
      <c r="JCU239" s="15"/>
      <c r="JCV239" s="15"/>
      <c r="JCW239" s="15"/>
      <c r="JCX239" s="10"/>
      <c r="JCY239" s="10"/>
      <c r="JCZ239" s="21"/>
      <c r="JDA239" s="21"/>
      <c r="JDD239" s="21"/>
      <c r="JDE239" s="15"/>
      <c r="JDF239" s="15"/>
      <c r="JDG239" s="15"/>
      <c r="JDH239" s="15"/>
      <c r="JDI239" s="15"/>
      <c r="JDJ239" s="15"/>
      <c r="JDK239" s="15"/>
      <c r="JDL239" s="15"/>
      <c r="JDM239" s="15"/>
      <c r="JDN239" s="15"/>
      <c r="JDO239" s="10"/>
      <c r="JDP239" s="10"/>
      <c r="JDQ239" s="21"/>
      <c r="JDR239" s="21"/>
      <c r="JDU239" s="21"/>
      <c r="JDV239" s="15"/>
      <c r="JDW239" s="15"/>
      <c r="JDX239" s="15"/>
      <c r="JDY239" s="15"/>
      <c r="JDZ239" s="15"/>
      <c r="JEA239" s="15"/>
      <c r="JEB239" s="15"/>
      <c r="JEC239" s="15"/>
      <c r="JED239" s="15"/>
      <c r="JEE239" s="15"/>
      <c r="JEF239" s="10"/>
      <c r="JEG239" s="10"/>
      <c r="JEH239" s="21"/>
      <c r="JEI239" s="21"/>
      <c r="JEL239" s="21"/>
      <c r="JEM239" s="15"/>
      <c r="JEN239" s="15"/>
      <c r="JEO239" s="15"/>
      <c r="JEP239" s="15"/>
      <c r="JEQ239" s="15"/>
      <c r="JER239" s="15"/>
      <c r="JES239" s="15"/>
      <c r="JET239" s="15"/>
      <c r="JEU239" s="15"/>
      <c r="JEV239" s="15"/>
      <c r="JEW239" s="10"/>
      <c r="JEX239" s="10"/>
      <c r="JEY239" s="21"/>
      <c r="JEZ239" s="21"/>
      <c r="JFC239" s="21"/>
      <c r="JFD239" s="15"/>
      <c r="JFE239" s="15"/>
      <c r="JFF239" s="15"/>
      <c r="JFG239" s="15"/>
      <c r="JFH239" s="15"/>
      <c r="JFI239" s="15"/>
      <c r="JFJ239" s="15"/>
      <c r="JFK239" s="15"/>
      <c r="JFL239" s="15"/>
      <c r="JFM239" s="15"/>
      <c r="JFN239" s="10"/>
      <c r="JFO239" s="10"/>
      <c r="JFP239" s="21"/>
      <c r="JFQ239" s="21"/>
      <c r="JFT239" s="21"/>
      <c r="JFU239" s="15"/>
      <c r="JFV239" s="15"/>
      <c r="JFW239" s="15"/>
      <c r="JFX239" s="15"/>
      <c r="JFY239" s="15"/>
      <c r="JFZ239" s="15"/>
      <c r="JGA239" s="15"/>
      <c r="JGB239" s="15"/>
      <c r="JGC239" s="15"/>
      <c r="JGD239" s="15"/>
      <c r="JGE239" s="10"/>
      <c r="JGF239" s="10"/>
      <c r="JGG239" s="21"/>
      <c r="JGH239" s="21"/>
      <c r="JGK239" s="21"/>
      <c r="JGL239" s="15"/>
      <c r="JGM239" s="15"/>
      <c r="JGN239" s="15"/>
      <c r="JGO239" s="15"/>
      <c r="JGP239" s="15"/>
      <c r="JGQ239" s="15"/>
      <c r="JGR239" s="15"/>
      <c r="JGS239" s="15"/>
      <c r="JGT239" s="15"/>
      <c r="JGU239" s="15"/>
      <c r="JGV239" s="10"/>
      <c r="JGW239" s="10"/>
      <c r="JGX239" s="21"/>
      <c r="JGY239" s="21"/>
      <c r="JHB239" s="21"/>
      <c r="JHC239" s="15"/>
      <c r="JHD239" s="15"/>
      <c r="JHE239" s="15"/>
      <c r="JHF239" s="15"/>
      <c r="JHG239" s="15"/>
      <c r="JHH239" s="15"/>
      <c r="JHI239" s="15"/>
      <c r="JHJ239" s="15"/>
      <c r="JHK239" s="15"/>
      <c r="JHL239" s="15"/>
      <c r="JHM239" s="10"/>
      <c r="JHN239" s="10"/>
      <c r="JHO239" s="21"/>
      <c r="JHP239" s="21"/>
      <c r="JHS239" s="21"/>
      <c r="JHT239" s="15"/>
      <c r="JHU239" s="15"/>
      <c r="JHV239" s="15"/>
      <c r="JHW239" s="15"/>
      <c r="JHX239" s="15"/>
      <c r="JHY239" s="15"/>
      <c r="JHZ239" s="15"/>
      <c r="JIA239" s="15"/>
      <c r="JIB239" s="15"/>
      <c r="JIC239" s="15"/>
      <c r="JID239" s="10"/>
      <c r="JIE239" s="10"/>
      <c r="JIF239" s="21"/>
      <c r="JIG239" s="21"/>
      <c r="JIJ239" s="21"/>
      <c r="JIK239" s="15"/>
      <c r="JIL239" s="15"/>
      <c r="JIM239" s="15"/>
      <c r="JIN239" s="15"/>
      <c r="JIO239" s="15"/>
      <c r="JIP239" s="15"/>
      <c r="JIQ239" s="15"/>
      <c r="JIR239" s="15"/>
      <c r="JIS239" s="15"/>
      <c r="JIT239" s="15"/>
      <c r="JIU239" s="10"/>
      <c r="JIV239" s="10"/>
      <c r="JIW239" s="21"/>
      <c r="JIX239" s="21"/>
      <c r="JJA239" s="21"/>
      <c r="JJB239" s="15"/>
      <c r="JJC239" s="15"/>
      <c r="JJD239" s="15"/>
      <c r="JJE239" s="15"/>
      <c r="JJF239" s="15"/>
      <c r="JJG239" s="15"/>
      <c r="JJH239" s="15"/>
      <c r="JJI239" s="15"/>
      <c r="JJJ239" s="15"/>
      <c r="JJK239" s="15"/>
      <c r="JJL239" s="10"/>
      <c r="JJM239" s="10"/>
      <c r="JJN239" s="21"/>
      <c r="JJO239" s="21"/>
      <c r="JJR239" s="21"/>
      <c r="JJS239" s="15"/>
      <c r="JJT239" s="15"/>
      <c r="JJU239" s="15"/>
      <c r="JJV239" s="15"/>
      <c r="JJW239" s="15"/>
      <c r="JJX239" s="15"/>
      <c r="JJY239" s="15"/>
      <c r="JJZ239" s="15"/>
      <c r="JKA239" s="15"/>
      <c r="JKB239" s="15"/>
      <c r="JKC239" s="10"/>
      <c r="JKD239" s="10"/>
      <c r="JKE239" s="21"/>
      <c r="JKF239" s="21"/>
      <c r="JKI239" s="21"/>
      <c r="JKJ239" s="15"/>
      <c r="JKK239" s="15"/>
      <c r="JKL239" s="15"/>
      <c r="JKM239" s="15"/>
      <c r="JKN239" s="15"/>
      <c r="JKO239" s="15"/>
      <c r="JKP239" s="15"/>
      <c r="JKQ239" s="15"/>
      <c r="JKR239" s="15"/>
      <c r="JKS239" s="15"/>
      <c r="JKT239" s="10"/>
      <c r="JKU239" s="10"/>
      <c r="JKV239" s="21"/>
      <c r="JKW239" s="21"/>
      <c r="JKZ239" s="21"/>
      <c r="JLA239" s="15"/>
      <c r="JLB239" s="15"/>
      <c r="JLC239" s="15"/>
      <c r="JLD239" s="15"/>
      <c r="JLE239" s="15"/>
      <c r="JLF239" s="15"/>
      <c r="JLG239" s="15"/>
      <c r="JLH239" s="15"/>
      <c r="JLI239" s="15"/>
      <c r="JLJ239" s="15"/>
      <c r="JLK239" s="10"/>
      <c r="JLL239" s="10"/>
      <c r="JLM239" s="21"/>
      <c r="JLN239" s="21"/>
      <c r="JLQ239" s="21"/>
      <c r="JLR239" s="15"/>
      <c r="JLS239" s="15"/>
      <c r="JLT239" s="15"/>
      <c r="JLU239" s="15"/>
      <c r="JLV239" s="15"/>
      <c r="JLW239" s="15"/>
      <c r="JLX239" s="15"/>
      <c r="JLY239" s="15"/>
      <c r="JLZ239" s="15"/>
      <c r="JMA239" s="15"/>
      <c r="JMB239" s="10"/>
      <c r="JMC239" s="10"/>
      <c r="JMD239" s="21"/>
      <c r="JME239" s="21"/>
      <c r="JMH239" s="21"/>
      <c r="JMI239" s="15"/>
      <c r="JMJ239" s="15"/>
      <c r="JMK239" s="15"/>
      <c r="JML239" s="15"/>
      <c r="JMM239" s="15"/>
      <c r="JMN239" s="15"/>
      <c r="JMO239" s="15"/>
      <c r="JMP239" s="15"/>
      <c r="JMQ239" s="15"/>
      <c r="JMR239" s="15"/>
      <c r="JMS239" s="10"/>
      <c r="JMT239" s="10"/>
      <c r="JMU239" s="21"/>
      <c r="JMV239" s="21"/>
      <c r="JMY239" s="21"/>
      <c r="JMZ239" s="15"/>
      <c r="JNA239" s="15"/>
      <c r="JNB239" s="15"/>
      <c r="JNC239" s="15"/>
      <c r="JND239" s="15"/>
      <c r="JNE239" s="15"/>
      <c r="JNF239" s="15"/>
      <c r="JNG239" s="15"/>
      <c r="JNH239" s="15"/>
      <c r="JNI239" s="15"/>
      <c r="JNJ239" s="10"/>
      <c r="JNK239" s="10"/>
      <c r="JNL239" s="21"/>
      <c r="JNM239" s="21"/>
      <c r="JNP239" s="21"/>
      <c r="JNQ239" s="15"/>
      <c r="JNR239" s="15"/>
      <c r="JNS239" s="15"/>
      <c r="JNT239" s="15"/>
      <c r="JNU239" s="15"/>
      <c r="JNV239" s="15"/>
      <c r="JNW239" s="15"/>
      <c r="JNX239" s="15"/>
      <c r="JNY239" s="15"/>
      <c r="JNZ239" s="15"/>
      <c r="JOA239" s="10"/>
      <c r="JOB239" s="10"/>
      <c r="JOC239" s="21"/>
      <c r="JOD239" s="21"/>
      <c r="JOG239" s="21"/>
      <c r="JOH239" s="15"/>
      <c r="JOI239" s="15"/>
      <c r="JOJ239" s="15"/>
      <c r="JOK239" s="15"/>
      <c r="JOL239" s="15"/>
      <c r="JOM239" s="15"/>
      <c r="JON239" s="15"/>
      <c r="JOO239" s="15"/>
      <c r="JOP239" s="15"/>
      <c r="JOQ239" s="15"/>
      <c r="JOR239" s="10"/>
      <c r="JOS239" s="10"/>
      <c r="JOT239" s="21"/>
      <c r="JOU239" s="21"/>
      <c r="JOX239" s="21"/>
      <c r="JOY239" s="15"/>
      <c r="JOZ239" s="15"/>
      <c r="JPA239" s="15"/>
      <c r="JPB239" s="15"/>
      <c r="JPC239" s="15"/>
      <c r="JPD239" s="15"/>
      <c r="JPE239" s="15"/>
      <c r="JPF239" s="15"/>
      <c r="JPG239" s="15"/>
      <c r="JPH239" s="15"/>
      <c r="JPI239" s="10"/>
      <c r="JPJ239" s="10"/>
      <c r="JPK239" s="21"/>
      <c r="JPL239" s="21"/>
      <c r="JPO239" s="21"/>
      <c r="JPP239" s="15"/>
      <c r="JPQ239" s="15"/>
      <c r="JPR239" s="15"/>
      <c r="JPS239" s="15"/>
      <c r="JPT239" s="15"/>
      <c r="JPU239" s="15"/>
      <c r="JPV239" s="15"/>
      <c r="JPW239" s="15"/>
      <c r="JPX239" s="15"/>
      <c r="JPY239" s="15"/>
      <c r="JPZ239" s="10"/>
      <c r="JQA239" s="10"/>
      <c r="JQB239" s="21"/>
      <c r="JQC239" s="21"/>
      <c r="JQF239" s="21"/>
      <c r="JQG239" s="15"/>
      <c r="JQH239" s="15"/>
      <c r="JQI239" s="15"/>
      <c r="JQJ239" s="15"/>
      <c r="JQK239" s="15"/>
      <c r="JQL239" s="15"/>
      <c r="JQM239" s="15"/>
      <c r="JQN239" s="15"/>
      <c r="JQO239" s="15"/>
      <c r="JQP239" s="15"/>
      <c r="JQQ239" s="10"/>
      <c r="JQR239" s="10"/>
      <c r="JQS239" s="21"/>
      <c r="JQT239" s="21"/>
      <c r="JQW239" s="21"/>
      <c r="JQX239" s="15"/>
      <c r="JQY239" s="15"/>
      <c r="JQZ239" s="15"/>
      <c r="JRA239" s="15"/>
      <c r="JRB239" s="15"/>
      <c r="JRC239" s="15"/>
      <c r="JRD239" s="15"/>
      <c r="JRE239" s="15"/>
      <c r="JRF239" s="15"/>
      <c r="JRG239" s="15"/>
      <c r="JRH239" s="10"/>
      <c r="JRI239" s="10"/>
      <c r="JRJ239" s="21"/>
      <c r="JRK239" s="21"/>
      <c r="JRN239" s="21"/>
      <c r="JRO239" s="15"/>
      <c r="JRP239" s="15"/>
      <c r="JRQ239" s="15"/>
      <c r="JRR239" s="15"/>
      <c r="JRS239" s="15"/>
      <c r="JRT239" s="15"/>
      <c r="JRU239" s="15"/>
      <c r="JRV239" s="15"/>
      <c r="JRW239" s="15"/>
      <c r="JRX239" s="15"/>
      <c r="JRY239" s="10"/>
      <c r="JRZ239" s="10"/>
      <c r="JSA239" s="21"/>
      <c r="JSB239" s="21"/>
      <c r="JSE239" s="21"/>
      <c r="JSF239" s="15"/>
      <c r="JSG239" s="15"/>
      <c r="JSH239" s="15"/>
      <c r="JSI239" s="15"/>
      <c r="JSJ239" s="15"/>
      <c r="JSK239" s="15"/>
      <c r="JSL239" s="15"/>
      <c r="JSM239" s="15"/>
      <c r="JSN239" s="15"/>
      <c r="JSO239" s="15"/>
      <c r="JSP239" s="10"/>
      <c r="JSQ239" s="10"/>
      <c r="JSR239" s="21"/>
      <c r="JSS239" s="21"/>
      <c r="JSV239" s="21"/>
      <c r="JSW239" s="15"/>
      <c r="JSX239" s="15"/>
      <c r="JSY239" s="15"/>
      <c r="JSZ239" s="15"/>
      <c r="JTA239" s="15"/>
      <c r="JTB239" s="15"/>
      <c r="JTC239" s="15"/>
      <c r="JTD239" s="15"/>
      <c r="JTE239" s="15"/>
      <c r="JTF239" s="15"/>
      <c r="JTG239" s="10"/>
      <c r="JTH239" s="10"/>
      <c r="JTI239" s="21"/>
      <c r="JTJ239" s="21"/>
      <c r="JTM239" s="21"/>
      <c r="JTN239" s="15"/>
      <c r="JTO239" s="15"/>
      <c r="JTP239" s="15"/>
      <c r="JTQ239" s="15"/>
      <c r="JTR239" s="15"/>
      <c r="JTS239" s="15"/>
      <c r="JTT239" s="15"/>
      <c r="JTU239" s="15"/>
      <c r="JTV239" s="15"/>
      <c r="JTW239" s="15"/>
      <c r="JTX239" s="10"/>
      <c r="JTY239" s="10"/>
      <c r="JTZ239" s="21"/>
      <c r="JUA239" s="21"/>
      <c r="JUD239" s="21"/>
      <c r="JUE239" s="15"/>
      <c r="JUF239" s="15"/>
      <c r="JUG239" s="15"/>
      <c r="JUH239" s="15"/>
      <c r="JUI239" s="15"/>
      <c r="JUJ239" s="15"/>
      <c r="JUK239" s="15"/>
      <c r="JUL239" s="15"/>
      <c r="JUM239" s="15"/>
      <c r="JUN239" s="15"/>
      <c r="JUO239" s="10"/>
      <c r="JUP239" s="10"/>
      <c r="JUQ239" s="21"/>
      <c r="JUR239" s="21"/>
      <c r="JUU239" s="21"/>
      <c r="JUV239" s="15"/>
      <c r="JUW239" s="15"/>
      <c r="JUX239" s="15"/>
      <c r="JUY239" s="15"/>
      <c r="JUZ239" s="15"/>
      <c r="JVA239" s="15"/>
      <c r="JVB239" s="15"/>
      <c r="JVC239" s="15"/>
      <c r="JVD239" s="15"/>
      <c r="JVE239" s="15"/>
      <c r="JVF239" s="10"/>
      <c r="JVG239" s="10"/>
      <c r="JVH239" s="21"/>
      <c r="JVI239" s="21"/>
      <c r="JVL239" s="21"/>
      <c r="JVM239" s="15"/>
      <c r="JVN239" s="15"/>
      <c r="JVO239" s="15"/>
      <c r="JVP239" s="15"/>
      <c r="JVQ239" s="15"/>
      <c r="JVR239" s="15"/>
      <c r="JVS239" s="15"/>
      <c r="JVT239" s="15"/>
      <c r="JVU239" s="15"/>
      <c r="JVV239" s="15"/>
      <c r="JVW239" s="10"/>
      <c r="JVX239" s="10"/>
      <c r="JVY239" s="21"/>
      <c r="JVZ239" s="21"/>
      <c r="JWC239" s="21"/>
      <c r="JWD239" s="15"/>
      <c r="JWE239" s="15"/>
      <c r="JWF239" s="15"/>
      <c r="JWG239" s="15"/>
      <c r="JWH239" s="15"/>
      <c r="JWI239" s="15"/>
      <c r="JWJ239" s="15"/>
      <c r="JWK239" s="15"/>
      <c r="JWL239" s="15"/>
      <c r="JWM239" s="15"/>
      <c r="JWN239" s="10"/>
      <c r="JWO239" s="10"/>
      <c r="JWP239" s="21"/>
      <c r="JWQ239" s="21"/>
      <c r="JWT239" s="21"/>
      <c r="JWU239" s="15"/>
      <c r="JWV239" s="15"/>
      <c r="JWW239" s="15"/>
      <c r="JWX239" s="15"/>
      <c r="JWY239" s="15"/>
      <c r="JWZ239" s="15"/>
      <c r="JXA239" s="15"/>
      <c r="JXB239" s="15"/>
      <c r="JXC239" s="15"/>
      <c r="JXD239" s="15"/>
      <c r="JXE239" s="10"/>
      <c r="JXF239" s="10"/>
      <c r="JXG239" s="21"/>
      <c r="JXH239" s="21"/>
      <c r="JXK239" s="21"/>
      <c r="JXL239" s="15"/>
      <c r="JXM239" s="15"/>
      <c r="JXN239" s="15"/>
      <c r="JXO239" s="15"/>
      <c r="JXP239" s="15"/>
      <c r="JXQ239" s="15"/>
      <c r="JXR239" s="15"/>
      <c r="JXS239" s="15"/>
      <c r="JXT239" s="15"/>
      <c r="JXU239" s="15"/>
      <c r="JXV239" s="10"/>
      <c r="JXW239" s="10"/>
      <c r="JXX239" s="21"/>
      <c r="JXY239" s="21"/>
      <c r="JYB239" s="21"/>
      <c r="JYC239" s="15"/>
      <c r="JYD239" s="15"/>
      <c r="JYE239" s="15"/>
      <c r="JYF239" s="15"/>
      <c r="JYG239" s="15"/>
      <c r="JYH239" s="15"/>
      <c r="JYI239" s="15"/>
      <c r="JYJ239" s="15"/>
      <c r="JYK239" s="15"/>
      <c r="JYL239" s="15"/>
      <c r="JYM239" s="10"/>
      <c r="JYN239" s="10"/>
      <c r="JYO239" s="21"/>
      <c r="JYP239" s="21"/>
      <c r="JYS239" s="21"/>
      <c r="JYT239" s="15"/>
      <c r="JYU239" s="15"/>
      <c r="JYV239" s="15"/>
      <c r="JYW239" s="15"/>
      <c r="JYX239" s="15"/>
      <c r="JYY239" s="15"/>
      <c r="JYZ239" s="15"/>
      <c r="JZA239" s="15"/>
      <c r="JZB239" s="15"/>
      <c r="JZC239" s="15"/>
      <c r="JZD239" s="10"/>
      <c r="JZE239" s="10"/>
      <c r="JZF239" s="21"/>
      <c r="JZG239" s="21"/>
      <c r="JZJ239" s="21"/>
      <c r="JZK239" s="15"/>
      <c r="JZL239" s="15"/>
      <c r="JZM239" s="15"/>
      <c r="JZN239" s="15"/>
      <c r="JZO239" s="15"/>
      <c r="JZP239" s="15"/>
      <c r="JZQ239" s="15"/>
      <c r="JZR239" s="15"/>
      <c r="JZS239" s="15"/>
      <c r="JZT239" s="15"/>
      <c r="JZU239" s="10"/>
      <c r="JZV239" s="10"/>
      <c r="JZW239" s="21"/>
      <c r="JZX239" s="21"/>
      <c r="KAA239" s="21"/>
      <c r="KAB239" s="15"/>
      <c r="KAC239" s="15"/>
      <c r="KAD239" s="15"/>
      <c r="KAE239" s="15"/>
      <c r="KAF239" s="15"/>
      <c r="KAG239" s="15"/>
      <c r="KAH239" s="15"/>
      <c r="KAI239" s="15"/>
      <c r="KAJ239" s="15"/>
      <c r="KAK239" s="15"/>
      <c r="KAL239" s="10"/>
      <c r="KAM239" s="10"/>
      <c r="KAN239" s="21"/>
      <c r="KAO239" s="21"/>
      <c r="KAR239" s="21"/>
      <c r="KAS239" s="15"/>
      <c r="KAT239" s="15"/>
      <c r="KAU239" s="15"/>
      <c r="KAV239" s="15"/>
      <c r="KAW239" s="15"/>
      <c r="KAX239" s="15"/>
      <c r="KAY239" s="15"/>
      <c r="KAZ239" s="15"/>
      <c r="KBA239" s="15"/>
      <c r="KBB239" s="15"/>
      <c r="KBC239" s="10"/>
      <c r="KBD239" s="10"/>
      <c r="KBE239" s="21"/>
      <c r="KBF239" s="21"/>
      <c r="KBI239" s="21"/>
      <c r="KBJ239" s="15"/>
      <c r="KBK239" s="15"/>
      <c r="KBL239" s="15"/>
      <c r="KBM239" s="15"/>
      <c r="KBN239" s="15"/>
      <c r="KBO239" s="15"/>
      <c r="KBP239" s="15"/>
      <c r="KBQ239" s="15"/>
      <c r="KBR239" s="15"/>
      <c r="KBS239" s="15"/>
      <c r="KBT239" s="10"/>
      <c r="KBU239" s="10"/>
      <c r="KBV239" s="21"/>
      <c r="KBW239" s="21"/>
      <c r="KBZ239" s="21"/>
      <c r="KCA239" s="15"/>
      <c r="KCB239" s="15"/>
      <c r="KCC239" s="15"/>
      <c r="KCD239" s="15"/>
      <c r="KCE239" s="15"/>
      <c r="KCF239" s="15"/>
      <c r="KCG239" s="15"/>
      <c r="KCH239" s="15"/>
      <c r="KCI239" s="15"/>
      <c r="KCJ239" s="15"/>
      <c r="KCK239" s="10"/>
      <c r="KCL239" s="10"/>
      <c r="KCM239" s="21"/>
      <c r="KCN239" s="21"/>
      <c r="KCQ239" s="21"/>
      <c r="KCR239" s="15"/>
      <c r="KCS239" s="15"/>
      <c r="KCT239" s="15"/>
      <c r="KCU239" s="15"/>
      <c r="KCV239" s="15"/>
      <c r="KCW239" s="15"/>
      <c r="KCX239" s="15"/>
      <c r="KCY239" s="15"/>
      <c r="KCZ239" s="15"/>
      <c r="KDA239" s="15"/>
      <c r="KDB239" s="10"/>
      <c r="KDC239" s="10"/>
      <c r="KDD239" s="21"/>
      <c r="KDE239" s="21"/>
      <c r="KDH239" s="21"/>
      <c r="KDI239" s="15"/>
      <c r="KDJ239" s="15"/>
      <c r="KDK239" s="15"/>
      <c r="KDL239" s="15"/>
      <c r="KDM239" s="15"/>
      <c r="KDN239" s="15"/>
      <c r="KDO239" s="15"/>
      <c r="KDP239" s="15"/>
      <c r="KDQ239" s="15"/>
      <c r="KDR239" s="15"/>
      <c r="KDS239" s="10"/>
      <c r="KDT239" s="10"/>
      <c r="KDU239" s="21"/>
      <c r="KDV239" s="21"/>
      <c r="KDY239" s="21"/>
      <c r="KDZ239" s="15"/>
      <c r="KEA239" s="15"/>
      <c r="KEB239" s="15"/>
      <c r="KEC239" s="15"/>
      <c r="KED239" s="15"/>
      <c r="KEE239" s="15"/>
      <c r="KEF239" s="15"/>
      <c r="KEG239" s="15"/>
      <c r="KEH239" s="15"/>
      <c r="KEI239" s="15"/>
      <c r="KEJ239" s="10"/>
      <c r="KEK239" s="10"/>
      <c r="KEL239" s="21"/>
      <c r="KEM239" s="21"/>
      <c r="KEP239" s="21"/>
      <c r="KEQ239" s="15"/>
      <c r="KER239" s="15"/>
      <c r="KES239" s="15"/>
      <c r="KET239" s="15"/>
      <c r="KEU239" s="15"/>
      <c r="KEV239" s="15"/>
      <c r="KEW239" s="15"/>
      <c r="KEX239" s="15"/>
      <c r="KEY239" s="15"/>
      <c r="KEZ239" s="15"/>
      <c r="KFA239" s="10"/>
      <c r="KFB239" s="10"/>
      <c r="KFC239" s="21"/>
      <c r="KFD239" s="21"/>
      <c r="KFG239" s="21"/>
      <c r="KFH239" s="15"/>
      <c r="KFI239" s="15"/>
      <c r="KFJ239" s="15"/>
      <c r="KFK239" s="15"/>
      <c r="KFL239" s="15"/>
      <c r="KFM239" s="15"/>
      <c r="KFN239" s="15"/>
      <c r="KFO239" s="15"/>
      <c r="KFP239" s="15"/>
      <c r="KFQ239" s="15"/>
      <c r="KFR239" s="10"/>
      <c r="KFS239" s="10"/>
      <c r="KFT239" s="21"/>
      <c r="KFU239" s="21"/>
      <c r="KFX239" s="21"/>
      <c r="KFY239" s="15"/>
      <c r="KFZ239" s="15"/>
      <c r="KGA239" s="15"/>
      <c r="KGB239" s="15"/>
      <c r="KGC239" s="15"/>
      <c r="KGD239" s="15"/>
      <c r="KGE239" s="15"/>
      <c r="KGF239" s="15"/>
      <c r="KGG239" s="15"/>
      <c r="KGH239" s="15"/>
      <c r="KGI239" s="10"/>
      <c r="KGJ239" s="10"/>
      <c r="KGK239" s="21"/>
      <c r="KGL239" s="21"/>
      <c r="KGO239" s="21"/>
      <c r="KGP239" s="15"/>
      <c r="KGQ239" s="15"/>
      <c r="KGR239" s="15"/>
      <c r="KGS239" s="15"/>
      <c r="KGT239" s="15"/>
      <c r="KGU239" s="15"/>
      <c r="KGV239" s="15"/>
      <c r="KGW239" s="15"/>
      <c r="KGX239" s="15"/>
      <c r="KGY239" s="15"/>
      <c r="KGZ239" s="10"/>
      <c r="KHA239" s="10"/>
      <c r="KHB239" s="21"/>
      <c r="KHC239" s="21"/>
      <c r="KHF239" s="21"/>
      <c r="KHG239" s="15"/>
      <c r="KHH239" s="15"/>
      <c r="KHI239" s="15"/>
      <c r="KHJ239" s="15"/>
      <c r="KHK239" s="15"/>
      <c r="KHL239" s="15"/>
      <c r="KHM239" s="15"/>
      <c r="KHN239" s="15"/>
      <c r="KHO239" s="15"/>
      <c r="KHP239" s="15"/>
      <c r="KHQ239" s="10"/>
      <c r="KHR239" s="10"/>
      <c r="KHS239" s="21"/>
      <c r="KHT239" s="21"/>
      <c r="KHW239" s="21"/>
      <c r="KHX239" s="15"/>
      <c r="KHY239" s="15"/>
      <c r="KHZ239" s="15"/>
      <c r="KIA239" s="15"/>
      <c r="KIB239" s="15"/>
      <c r="KIC239" s="15"/>
      <c r="KID239" s="15"/>
      <c r="KIE239" s="15"/>
      <c r="KIF239" s="15"/>
      <c r="KIG239" s="15"/>
      <c r="KIH239" s="10"/>
      <c r="KII239" s="10"/>
      <c r="KIJ239" s="21"/>
      <c r="KIK239" s="21"/>
      <c r="KIN239" s="21"/>
      <c r="KIO239" s="15"/>
      <c r="KIP239" s="15"/>
      <c r="KIQ239" s="15"/>
      <c r="KIR239" s="15"/>
      <c r="KIS239" s="15"/>
      <c r="KIT239" s="15"/>
      <c r="KIU239" s="15"/>
      <c r="KIV239" s="15"/>
      <c r="KIW239" s="15"/>
      <c r="KIX239" s="15"/>
      <c r="KIY239" s="10"/>
      <c r="KIZ239" s="10"/>
      <c r="KJA239" s="21"/>
      <c r="KJB239" s="21"/>
      <c r="KJE239" s="21"/>
      <c r="KJF239" s="15"/>
      <c r="KJG239" s="15"/>
      <c r="KJH239" s="15"/>
      <c r="KJI239" s="15"/>
      <c r="KJJ239" s="15"/>
      <c r="KJK239" s="15"/>
      <c r="KJL239" s="15"/>
      <c r="KJM239" s="15"/>
      <c r="KJN239" s="15"/>
      <c r="KJO239" s="15"/>
      <c r="KJP239" s="10"/>
      <c r="KJQ239" s="10"/>
      <c r="KJR239" s="21"/>
      <c r="KJS239" s="21"/>
      <c r="KJV239" s="21"/>
      <c r="KJW239" s="15"/>
      <c r="KJX239" s="15"/>
      <c r="KJY239" s="15"/>
      <c r="KJZ239" s="15"/>
      <c r="KKA239" s="15"/>
      <c r="KKB239" s="15"/>
      <c r="KKC239" s="15"/>
      <c r="KKD239" s="15"/>
      <c r="KKE239" s="15"/>
      <c r="KKF239" s="15"/>
      <c r="KKG239" s="10"/>
      <c r="KKH239" s="10"/>
      <c r="KKI239" s="21"/>
      <c r="KKJ239" s="21"/>
      <c r="KKM239" s="21"/>
      <c r="KKN239" s="15"/>
      <c r="KKO239" s="15"/>
      <c r="KKP239" s="15"/>
      <c r="KKQ239" s="15"/>
      <c r="KKR239" s="15"/>
      <c r="KKS239" s="15"/>
      <c r="KKT239" s="15"/>
      <c r="KKU239" s="15"/>
      <c r="KKV239" s="15"/>
      <c r="KKW239" s="15"/>
      <c r="KKX239" s="10"/>
      <c r="KKY239" s="10"/>
      <c r="KKZ239" s="21"/>
      <c r="KLA239" s="21"/>
      <c r="KLD239" s="21"/>
      <c r="KLE239" s="15"/>
      <c r="KLF239" s="15"/>
      <c r="KLG239" s="15"/>
      <c r="KLH239" s="15"/>
      <c r="KLI239" s="15"/>
      <c r="KLJ239" s="15"/>
      <c r="KLK239" s="15"/>
      <c r="KLL239" s="15"/>
      <c r="KLM239" s="15"/>
      <c r="KLN239" s="15"/>
      <c r="KLO239" s="10"/>
      <c r="KLP239" s="10"/>
      <c r="KLQ239" s="21"/>
      <c r="KLR239" s="21"/>
      <c r="KLU239" s="21"/>
      <c r="KLV239" s="15"/>
      <c r="KLW239" s="15"/>
      <c r="KLX239" s="15"/>
      <c r="KLY239" s="15"/>
      <c r="KLZ239" s="15"/>
      <c r="KMA239" s="15"/>
      <c r="KMB239" s="15"/>
      <c r="KMC239" s="15"/>
      <c r="KMD239" s="15"/>
      <c r="KME239" s="15"/>
      <c r="KMF239" s="10"/>
      <c r="KMG239" s="10"/>
      <c r="KMH239" s="21"/>
      <c r="KMI239" s="21"/>
      <c r="KML239" s="21"/>
      <c r="KMM239" s="15"/>
      <c r="KMN239" s="15"/>
      <c r="KMO239" s="15"/>
      <c r="KMP239" s="15"/>
      <c r="KMQ239" s="15"/>
      <c r="KMR239" s="15"/>
      <c r="KMS239" s="15"/>
      <c r="KMT239" s="15"/>
      <c r="KMU239" s="15"/>
      <c r="KMV239" s="15"/>
      <c r="KMW239" s="10"/>
      <c r="KMX239" s="10"/>
      <c r="KMY239" s="21"/>
      <c r="KMZ239" s="21"/>
      <c r="KNC239" s="21"/>
      <c r="KND239" s="15"/>
      <c r="KNE239" s="15"/>
      <c r="KNF239" s="15"/>
      <c r="KNG239" s="15"/>
      <c r="KNH239" s="15"/>
      <c r="KNI239" s="15"/>
      <c r="KNJ239" s="15"/>
      <c r="KNK239" s="15"/>
      <c r="KNL239" s="15"/>
      <c r="KNM239" s="15"/>
      <c r="KNN239" s="10"/>
      <c r="KNO239" s="10"/>
      <c r="KNP239" s="21"/>
      <c r="KNQ239" s="21"/>
      <c r="KNT239" s="21"/>
      <c r="KNU239" s="15"/>
      <c r="KNV239" s="15"/>
      <c r="KNW239" s="15"/>
      <c r="KNX239" s="15"/>
      <c r="KNY239" s="15"/>
      <c r="KNZ239" s="15"/>
      <c r="KOA239" s="15"/>
      <c r="KOB239" s="15"/>
      <c r="KOC239" s="15"/>
      <c r="KOD239" s="15"/>
      <c r="KOE239" s="10"/>
      <c r="KOF239" s="10"/>
      <c r="KOG239" s="21"/>
      <c r="KOH239" s="21"/>
      <c r="KOK239" s="21"/>
      <c r="KOL239" s="15"/>
      <c r="KOM239" s="15"/>
      <c r="KON239" s="15"/>
      <c r="KOO239" s="15"/>
      <c r="KOP239" s="15"/>
      <c r="KOQ239" s="15"/>
      <c r="KOR239" s="15"/>
      <c r="KOS239" s="15"/>
      <c r="KOT239" s="15"/>
      <c r="KOU239" s="15"/>
      <c r="KOV239" s="10"/>
      <c r="KOW239" s="10"/>
      <c r="KOX239" s="21"/>
      <c r="KOY239" s="21"/>
      <c r="KPB239" s="21"/>
      <c r="KPC239" s="15"/>
      <c r="KPD239" s="15"/>
      <c r="KPE239" s="15"/>
      <c r="KPF239" s="15"/>
      <c r="KPG239" s="15"/>
      <c r="KPH239" s="15"/>
      <c r="KPI239" s="15"/>
      <c r="KPJ239" s="15"/>
      <c r="KPK239" s="15"/>
      <c r="KPL239" s="15"/>
      <c r="KPM239" s="10"/>
      <c r="KPN239" s="10"/>
      <c r="KPO239" s="21"/>
      <c r="KPP239" s="21"/>
      <c r="KPS239" s="21"/>
      <c r="KPT239" s="15"/>
      <c r="KPU239" s="15"/>
      <c r="KPV239" s="15"/>
      <c r="KPW239" s="15"/>
      <c r="KPX239" s="15"/>
      <c r="KPY239" s="15"/>
      <c r="KPZ239" s="15"/>
      <c r="KQA239" s="15"/>
      <c r="KQB239" s="15"/>
      <c r="KQC239" s="15"/>
      <c r="KQD239" s="10"/>
      <c r="KQE239" s="10"/>
      <c r="KQF239" s="21"/>
      <c r="KQG239" s="21"/>
      <c r="KQJ239" s="21"/>
      <c r="KQK239" s="15"/>
      <c r="KQL239" s="15"/>
      <c r="KQM239" s="15"/>
      <c r="KQN239" s="15"/>
      <c r="KQO239" s="15"/>
      <c r="KQP239" s="15"/>
      <c r="KQQ239" s="15"/>
      <c r="KQR239" s="15"/>
      <c r="KQS239" s="15"/>
      <c r="KQT239" s="15"/>
      <c r="KQU239" s="10"/>
      <c r="KQV239" s="10"/>
      <c r="KQW239" s="21"/>
      <c r="KQX239" s="21"/>
      <c r="KRA239" s="21"/>
      <c r="KRB239" s="15"/>
      <c r="KRC239" s="15"/>
      <c r="KRD239" s="15"/>
      <c r="KRE239" s="15"/>
      <c r="KRF239" s="15"/>
      <c r="KRG239" s="15"/>
      <c r="KRH239" s="15"/>
      <c r="KRI239" s="15"/>
      <c r="KRJ239" s="15"/>
      <c r="KRK239" s="15"/>
      <c r="KRL239" s="10"/>
      <c r="KRM239" s="10"/>
      <c r="KRN239" s="21"/>
      <c r="KRO239" s="21"/>
      <c r="KRR239" s="21"/>
      <c r="KRS239" s="15"/>
      <c r="KRT239" s="15"/>
      <c r="KRU239" s="15"/>
      <c r="KRV239" s="15"/>
      <c r="KRW239" s="15"/>
      <c r="KRX239" s="15"/>
      <c r="KRY239" s="15"/>
      <c r="KRZ239" s="15"/>
      <c r="KSA239" s="15"/>
      <c r="KSB239" s="15"/>
      <c r="KSC239" s="10"/>
      <c r="KSD239" s="10"/>
      <c r="KSE239" s="21"/>
      <c r="KSF239" s="21"/>
      <c r="KSI239" s="21"/>
      <c r="KSJ239" s="15"/>
      <c r="KSK239" s="15"/>
      <c r="KSL239" s="15"/>
      <c r="KSM239" s="15"/>
      <c r="KSN239" s="15"/>
      <c r="KSO239" s="15"/>
      <c r="KSP239" s="15"/>
      <c r="KSQ239" s="15"/>
      <c r="KSR239" s="15"/>
      <c r="KSS239" s="15"/>
      <c r="KST239" s="10"/>
      <c r="KSU239" s="10"/>
      <c r="KSV239" s="21"/>
      <c r="KSW239" s="21"/>
      <c r="KSZ239" s="21"/>
      <c r="KTA239" s="15"/>
      <c r="KTB239" s="15"/>
      <c r="KTC239" s="15"/>
      <c r="KTD239" s="15"/>
      <c r="KTE239" s="15"/>
      <c r="KTF239" s="15"/>
      <c r="KTG239" s="15"/>
      <c r="KTH239" s="15"/>
      <c r="KTI239" s="15"/>
      <c r="KTJ239" s="15"/>
      <c r="KTK239" s="10"/>
      <c r="KTL239" s="10"/>
      <c r="KTM239" s="21"/>
      <c r="KTN239" s="21"/>
      <c r="KTQ239" s="21"/>
      <c r="KTR239" s="15"/>
      <c r="KTS239" s="15"/>
      <c r="KTT239" s="15"/>
      <c r="KTU239" s="15"/>
      <c r="KTV239" s="15"/>
      <c r="KTW239" s="15"/>
      <c r="KTX239" s="15"/>
      <c r="KTY239" s="15"/>
      <c r="KTZ239" s="15"/>
      <c r="KUA239" s="15"/>
      <c r="KUB239" s="10"/>
      <c r="KUC239" s="10"/>
      <c r="KUD239" s="21"/>
      <c r="KUE239" s="21"/>
      <c r="KUH239" s="21"/>
      <c r="KUI239" s="15"/>
      <c r="KUJ239" s="15"/>
      <c r="KUK239" s="15"/>
      <c r="KUL239" s="15"/>
      <c r="KUM239" s="15"/>
      <c r="KUN239" s="15"/>
      <c r="KUO239" s="15"/>
      <c r="KUP239" s="15"/>
      <c r="KUQ239" s="15"/>
      <c r="KUR239" s="15"/>
      <c r="KUS239" s="10"/>
      <c r="KUT239" s="10"/>
      <c r="KUU239" s="21"/>
      <c r="KUV239" s="21"/>
      <c r="KUY239" s="21"/>
      <c r="KUZ239" s="15"/>
      <c r="KVA239" s="15"/>
      <c r="KVB239" s="15"/>
      <c r="KVC239" s="15"/>
      <c r="KVD239" s="15"/>
      <c r="KVE239" s="15"/>
      <c r="KVF239" s="15"/>
      <c r="KVG239" s="15"/>
      <c r="KVH239" s="15"/>
      <c r="KVI239" s="15"/>
      <c r="KVJ239" s="10"/>
      <c r="KVK239" s="10"/>
      <c r="KVL239" s="21"/>
      <c r="KVM239" s="21"/>
      <c r="KVP239" s="21"/>
      <c r="KVQ239" s="15"/>
      <c r="KVR239" s="15"/>
      <c r="KVS239" s="15"/>
      <c r="KVT239" s="15"/>
      <c r="KVU239" s="15"/>
      <c r="KVV239" s="15"/>
      <c r="KVW239" s="15"/>
      <c r="KVX239" s="15"/>
      <c r="KVY239" s="15"/>
      <c r="KVZ239" s="15"/>
      <c r="KWA239" s="10"/>
      <c r="KWB239" s="10"/>
      <c r="KWC239" s="21"/>
      <c r="KWD239" s="21"/>
      <c r="KWG239" s="21"/>
      <c r="KWH239" s="15"/>
      <c r="KWI239" s="15"/>
      <c r="KWJ239" s="15"/>
      <c r="KWK239" s="15"/>
      <c r="KWL239" s="15"/>
      <c r="KWM239" s="15"/>
      <c r="KWN239" s="15"/>
      <c r="KWO239" s="15"/>
      <c r="KWP239" s="15"/>
      <c r="KWQ239" s="15"/>
      <c r="KWR239" s="10"/>
      <c r="KWS239" s="10"/>
      <c r="KWT239" s="21"/>
      <c r="KWU239" s="21"/>
      <c r="KWX239" s="21"/>
      <c r="KWY239" s="15"/>
      <c r="KWZ239" s="15"/>
      <c r="KXA239" s="15"/>
      <c r="KXB239" s="15"/>
      <c r="KXC239" s="15"/>
      <c r="KXD239" s="15"/>
      <c r="KXE239" s="15"/>
      <c r="KXF239" s="15"/>
      <c r="KXG239" s="15"/>
      <c r="KXH239" s="15"/>
      <c r="KXI239" s="10"/>
      <c r="KXJ239" s="10"/>
      <c r="KXK239" s="21"/>
      <c r="KXL239" s="21"/>
      <c r="KXO239" s="21"/>
      <c r="KXP239" s="15"/>
      <c r="KXQ239" s="15"/>
      <c r="KXR239" s="15"/>
      <c r="KXS239" s="15"/>
      <c r="KXT239" s="15"/>
      <c r="KXU239" s="15"/>
      <c r="KXV239" s="15"/>
      <c r="KXW239" s="15"/>
      <c r="KXX239" s="15"/>
      <c r="KXY239" s="15"/>
      <c r="KXZ239" s="10"/>
      <c r="KYA239" s="10"/>
      <c r="KYB239" s="21"/>
      <c r="KYC239" s="21"/>
      <c r="KYF239" s="21"/>
      <c r="KYG239" s="15"/>
      <c r="KYH239" s="15"/>
      <c r="KYI239" s="15"/>
      <c r="KYJ239" s="15"/>
      <c r="KYK239" s="15"/>
      <c r="KYL239" s="15"/>
      <c r="KYM239" s="15"/>
      <c r="KYN239" s="15"/>
      <c r="KYO239" s="15"/>
      <c r="KYP239" s="15"/>
      <c r="KYQ239" s="10"/>
      <c r="KYR239" s="10"/>
      <c r="KYS239" s="21"/>
      <c r="KYT239" s="21"/>
      <c r="KYW239" s="21"/>
      <c r="KYX239" s="15"/>
      <c r="KYY239" s="15"/>
      <c r="KYZ239" s="15"/>
      <c r="KZA239" s="15"/>
      <c r="KZB239" s="15"/>
      <c r="KZC239" s="15"/>
      <c r="KZD239" s="15"/>
      <c r="KZE239" s="15"/>
      <c r="KZF239" s="15"/>
      <c r="KZG239" s="15"/>
      <c r="KZH239" s="10"/>
      <c r="KZI239" s="10"/>
      <c r="KZJ239" s="21"/>
      <c r="KZK239" s="21"/>
      <c r="KZN239" s="21"/>
      <c r="KZO239" s="15"/>
      <c r="KZP239" s="15"/>
      <c r="KZQ239" s="15"/>
      <c r="KZR239" s="15"/>
      <c r="KZS239" s="15"/>
      <c r="KZT239" s="15"/>
      <c r="KZU239" s="15"/>
      <c r="KZV239" s="15"/>
      <c r="KZW239" s="15"/>
      <c r="KZX239" s="15"/>
      <c r="KZY239" s="10"/>
      <c r="KZZ239" s="10"/>
      <c r="LAA239" s="21"/>
      <c r="LAB239" s="21"/>
      <c r="LAE239" s="21"/>
      <c r="LAF239" s="15"/>
      <c r="LAG239" s="15"/>
      <c r="LAH239" s="15"/>
      <c r="LAI239" s="15"/>
      <c r="LAJ239" s="15"/>
      <c r="LAK239" s="15"/>
      <c r="LAL239" s="15"/>
      <c r="LAM239" s="15"/>
      <c r="LAN239" s="15"/>
      <c r="LAO239" s="15"/>
      <c r="LAP239" s="10"/>
      <c r="LAQ239" s="10"/>
      <c r="LAR239" s="21"/>
      <c r="LAS239" s="21"/>
      <c r="LAV239" s="21"/>
      <c r="LAW239" s="15"/>
      <c r="LAX239" s="15"/>
      <c r="LAY239" s="15"/>
      <c r="LAZ239" s="15"/>
      <c r="LBA239" s="15"/>
      <c r="LBB239" s="15"/>
      <c r="LBC239" s="15"/>
      <c r="LBD239" s="15"/>
      <c r="LBE239" s="15"/>
      <c r="LBF239" s="15"/>
      <c r="LBG239" s="10"/>
      <c r="LBH239" s="10"/>
      <c r="LBI239" s="21"/>
      <c r="LBJ239" s="21"/>
      <c r="LBM239" s="21"/>
      <c r="LBN239" s="15"/>
      <c r="LBO239" s="15"/>
      <c r="LBP239" s="15"/>
      <c r="LBQ239" s="15"/>
      <c r="LBR239" s="15"/>
      <c r="LBS239" s="15"/>
      <c r="LBT239" s="15"/>
      <c r="LBU239" s="15"/>
      <c r="LBV239" s="15"/>
      <c r="LBW239" s="15"/>
      <c r="LBX239" s="10"/>
      <c r="LBY239" s="10"/>
      <c r="LBZ239" s="21"/>
      <c r="LCA239" s="21"/>
      <c r="LCD239" s="21"/>
      <c r="LCE239" s="15"/>
      <c r="LCF239" s="15"/>
      <c r="LCG239" s="15"/>
      <c r="LCH239" s="15"/>
      <c r="LCI239" s="15"/>
      <c r="LCJ239" s="15"/>
      <c r="LCK239" s="15"/>
      <c r="LCL239" s="15"/>
      <c r="LCM239" s="15"/>
      <c r="LCN239" s="15"/>
      <c r="LCO239" s="10"/>
      <c r="LCP239" s="10"/>
      <c r="LCQ239" s="21"/>
      <c r="LCR239" s="21"/>
      <c r="LCU239" s="21"/>
      <c r="LCV239" s="15"/>
      <c r="LCW239" s="15"/>
      <c r="LCX239" s="15"/>
      <c r="LCY239" s="15"/>
      <c r="LCZ239" s="15"/>
      <c r="LDA239" s="15"/>
      <c r="LDB239" s="15"/>
      <c r="LDC239" s="15"/>
      <c r="LDD239" s="15"/>
      <c r="LDE239" s="15"/>
      <c r="LDF239" s="10"/>
      <c r="LDG239" s="10"/>
      <c r="LDH239" s="21"/>
      <c r="LDI239" s="21"/>
      <c r="LDL239" s="21"/>
      <c r="LDM239" s="15"/>
      <c r="LDN239" s="15"/>
      <c r="LDO239" s="15"/>
      <c r="LDP239" s="15"/>
      <c r="LDQ239" s="15"/>
      <c r="LDR239" s="15"/>
      <c r="LDS239" s="15"/>
      <c r="LDT239" s="15"/>
      <c r="LDU239" s="15"/>
      <c r="LDV239" s="15"/>
      <c r="LDW239" s="10"/>
      <c r="LDX239" s="10"/>
      <c r="LDY239" s="21"/>
      <c r="LDZ239" s="21"/>
      <c r="LEC239" s="21"/>
      <c r="LED239" s="15"/>
      <c r="LEE239" s="15"/>
      <c r="LEF239" s="15"/>
      <c r="LEG239" s="15"/>
      <c r="LEH239" s="15"/>
      <c r="LEI239" s="15"/>
      <c r="LEJ239" s="15"/>
      <c r="LEK239" s="15"/>
      <c r="LEL239" s="15"/>
      <c r="LEM239" s="15"/>
      <c r="LEN239" s="10"/>
      <c r="LEO239" s="10"/>
      <c r="LEP239" s="21"/>
      <c r="LEQ239" s="21"/>
      <c r="LET239" s="21"/>
      <c r="LEU239" s="15"/>
      <c r="LEV239" s="15"/>
      <c r="LEW239" s="15"/>
      <c r="LEX239" s="15"/>
      <c r="LEY239" s="15"/>
      <c r="LEZ239" s="15"/>
      <c r="LFA239" s="15"/>
      <c r="LFB239" s="15"/>
      <c r="LFC239" s="15"/>
      <c r="LFD239" s="15"/>
      <c r="LFE239" s="10"/>
      <c r="LFF239" s="10"/>
      <c r="LFG239" s="21"/>
      <c r="LFH239" s="21"/>
      <c r="LFK239" s="21"/>
      <c r="LFL239" s="15"/>
      <c r="LFM239" s="15"/>
      <c r="LFN239" s="15"/>
      <c r="LFO239" s="15"/>
      <c r="LFP239" s="15"/>
      <c r="LFQ239" s="15"/>
      <c r="LFR239" s="15"/>
      <c r="LFS239" s="15"/>
      <c r="LFT239" s="15"/>
      <c r="LFU239" s="15"/>
      <c r="LFV239" s="10"/>
      <c r="LFW239" s="10"/>
      <c r="LFX239" s="21"/>
      <c r="LFY239" s="21"/>
      <c r="LGB239" s="21"/>
      <c r="LGC239" s="15"/>
      <c r="LGD239" s="15"/>
      <c r="LGE239" s="15"/>
      <c r="LGF239" s="15"/>
      <c r="LGG239" s="15"/>
      <c r="LGH239" s="15"/>
      <c r="LGI239" s="15"/>
      <c r="LGJ239" s="15"/>
      <c r="LGK239" s="15"/>
      <c r="LGL239" s="15"/>
      <c r="LGM239" s="10"/>
      <c r="LGN239" s="10"/>
      <c r="LGO239" s="21"/>
      <c r="LGP239" s="21"/>
      <c r="LGS239" s="21"/>
      <c r="LGT239" s="15"/>
      <c r="LGU239" s="15"/>
      <c r="LGV239" s="15"/>
      <c r="LGW239" s="15"/>
      <c r="LGX239" s="15"/>
      <c r="LGY239" s="15"/>
      <c r="LGZ239" s="15"/>
      <c r="LHA239" s="15"/>
      <c r="LHB239" s="15"/>
      <c r="LHC239" s="15"/>
      <c r="LHD239" s="10"/>
      <c r="LHE239" s="10"/>
      <c r="LHF239" s="21"/>
      <c r="LHG239" s="21"/>
      <c r="LHJ239" s="21"/>
      <c r="LHK239" s="15"/>
      <c r="LHL239" s="15"/>
      <c r="LHM239" s="15"/>
      <c r="LHN239" s="15"/>
      <c r="LHO239" s="15"/>
      <c r="LHP239" s="15"/>
      <c r="LHQ239" s="15"/>
      <c r="LHR239" s="15"/>
      <c r="LHS239" s="15"/>
      <c r="LHT239" s="15"/>
      <c r="LHU239" s="10"/>
      <c r="LHV239" s="10"/>
      <c r="LHW239" s="21"/>
      <c r="LHX239" s="21"/>
      <c r="LIA239" s="21"/>
      <c r="LIB239" s="15"/>
      <c r="LIC239" s="15"/>
      <c r="LID239" s="15"/>
      <c r="LIE239" s="15"/>
      <c r="LIF239" s="15"/>
      <c r="LIG239" s="15"/>
      <c r="LIH239" s="15"/>
      <c r="LII239" s="15"/>
      <c r="LIJ239" s="15"/>
      <c r="LIK239" s="15"/>
      <c r="LIL239" s="10"/>
      <c r="LIM239" s="10"/>
      <c r="LIN239" s="21"/>
      <c r="LIO239" s="21"/>
      <c r="LIR239" s="21"/>
      <c r="LIS239" s="15"/>
      <c r="LIT239" s="15"/>
      <c r="LIU239" s="15"/>
      <c r="LIV239" s="15"/>
      <c r="LIW239" s="15"/>
      <c r="LIX239" s="15"/>
      <c r="LIY239" s="15"/>
      <c r="LIZ239" s="15"/>
      <c r="LJA239" s="15"/>
      <c r="LJB239" s="15"/>
      <c r="LJC239" s="10"/>
      <c r="LJD239" s="10"/>
      <c r="LJE239" s="21"/>
      <c r="LJF239" s="21"/>
      <c r="LJI239" s="21"/>
      <c r="LJJ239" s="15"/>
      <c r="LJK239" s="15"/>
      <c r="LJL239" s="15"/>
      <c r="LJM239" s="15"/>
      <c r="LJN239" s="15"/>
      <c r="LJO239" s="15"/>
      <c r="LJP239" s="15"/>
      <c r="LJQ239" s="15"/>
      <c r="LJR239" s="15"/>
      <c r="LJS239" s="15"/>
      <c r="LJT239" s="10"/>
      <c r="LJU239" s="10"/>
      <c r="LJV239" s="21"/>
      <c r="LJW239" s="21"/>
      <c r="LJZ239" s="21"/>
      <c r="LKA239" s="15"/>
      <c r="LKB239" s="15"/>
      <c r="LKC239" s="15"/>
      <c r="LKD239" s="15"/>
      <c r="LKE239" s="15"/>
      <c r="LKF239" s="15"/>
      <c r="LKG239" s="15"/>
      <c r="LKH239" s="15"/>
      <c r="LKI239" s="15"/>
      <c r="LKJ239" s="15"/>
      <c r="LKK239" s="10"/>
      <c r="LKL239" s="10"/>
      <c r="LKM239" s="21"/>
      <c r="LKN239" s="21"/>
      <c r="LKQ239" s="21"/>
      <c r="LKR239" s="15"/>
      <c r="LKS239" s="15"/>
      <c r="LKT239" s="15"/>
      <c r="LKU239" s="15"/>
      <c r="LKV239" s="15"/>
      <c r="LKW239" s="15"/>
      <c r="LKX239" s="15"/>
      <c r="LKY239" s="15"/>
      <c r="LKZ239" s="15"/>
      <c r="LLA239" s="15"/>
      <c r="LLB239" s="10"/>
      <c r="LLC239" s="10"/>
      <c r="LLD239" s="21"/>
      <c r="LLE239" s="21"/>
      <c r="LLH239" s="21"/>
      <c r="LLI239" s="15"/>
      <c r="LLJ239" s="15"/>
      <c r="LLK239" s="15"/>
      <c r="LLL239" s="15"/>
      <c r="LLM239" s="15"/>
      <c r="LLN239" s="15"/>
      <c r="LLO239" s="15"/>
      <c r="LLP239" s="15"/>
      <c r="LLQ239" s="15"/>
      <c r="LLR239" s="15"/>
      <c r="LLS239" s="10"/>
      <c r="LLT239" s="10"/>
      <c r="LLU239" s="21"/>
      <c r="LLV239" s="21"/>
      <c r="LLY239" s="21"/>
      <c r="LLZ239" s="15"/>
      <c r="LMA239" s="15"/>
      <c r="LMB239" s="15"/>
      <c r="LMC239" s="15"/>
      <c r="LMD239" s="15"/>
      <c r="LME239" s="15"/>
      <c r="LMF239" s="15"/>
      <c r="LMG239" s="15"/>
      <c r="LMH239" s="15"/>
      <c r="LMI239" s="15"/>
      <c r="LMJ239" s="10"/>
      <c r="LMK239" s="10"/>
      <c r="LML239" s="21"/>
      <c r="LMM239" s="21"/>
      <c r="LMP239" s="21"/>
      <c r="LMQ239" s="15"/>
      <c r="LMR239" s="15"/>
      <c r="LMS239" s="15"/>
      <c r="LMT239" s="15"/>
      <c r="LMU239" s="15"/>
      <c r="LMV239" s="15"/>
      <c r="LMW239" s="15"/>
      <c r="LMX239" s="15"/>
      <c r="LMY239" s="15"/>
      <c r="LMZ239" s="15"/>
      <c r="LNA239" s="10"/>
      <c r="LNB239" s="10"/>
      <c r="LNC239" s="21"/>
      <c r="LND239" s="21"/>
      <c r="LNG239" s="21"/>
      <c r="LNH239" s="15"/>
      <c r="LNI239" s="15"/>
      <c r="LNJ239" s="15"/>
      <c r="LNK239" s="15"/>
      <c r="LNL239" s="15"/>
      <c r="LNM239" s="15"/>
      <c r="LNN239" s="15"/>
      <c r="LNO239" s="15"/>
      <c r="LNP239" s="15"/>
      <c r="LNQ239" s="15"/>
      <c r="LNR239" s="10"/>
      <c r="LNS239" s="10"/>
      <c r="LNT239" s="21"/>
      <c r="LNU239" s="21"/>
      <c r="LNX239" s="21"/>
      <c r="LNY239" s="15"/>
      <c r="LNZ239" s="15"/>
      <c r="LOA239" s="15"/>
      <c r="LOB239" s="15"/>
      <c r="LOC239" s="15"/>
      <c r="LOD239" s="15"/>
      <c r="LOE239" s="15"/>
      <c r="LOF239" s="15"/>
      <c r="LOG239" s="15"/>
      <c r="LOH239" s="15"/>
      <c r="LOI239" s="10"/>
      <c r="LOJ239" s="10"/>
      <c r="LOK239" s="21"/>
      <c r="LOL239" s="21"/>
      <c r="LOO239" s="21"/>
      <c r="LOP239" s="15"/>
      <c r="LOQ239" s="15"/>
      <c r="LOR239" s="15"/>
      <c r="LOS239" s="15"/>
      <c r="LOT239" s="15"/>
      <c r="LOU239" s="15"/>
      <c r="LOV239" s="15"/>
      <c r="LOW239" s="15"/>
      <c r="LOX239" s="15"/>
      <c r="LOY239" s="15"/>
      <c r="LOZ239" s="10"/>
      <c r="LPA239" s="10"/>
      <c r="LPB239" s="21"/>
      <c r="LPC239" s="21"/>
      <c r="LPF239" s="21"/>
      <c r="LPG239" s="15"/>
      <c r="LPH239" s="15"/>
      <c r="LPI239" s="15"/>
      <c r="LPJ239" s="15"/>
      <c r="LPK239" s="15"/>
      <c r="LPL239" s="15"/>
      <c r="LPM239" s="15"/>
      <c r="LPN239" s="15"/>
      <c r="LPO239" s="15"/>
      <c r="LPP239" s="15"/>
      <c r="LPQ239" s="10"/>
      <c r="LPR239" s="10"/>
      <c r="LPS239" s="21"/>
      <c r="LPT239" s="21"/>
      <c r="LPW239" s="21"/>
      <c r="LPX239" s="15"/>
      <c r="LPY239" s="15"/>
      <c r="LPZ239" s="15"/>
      <c r="LQA239" s="15"/>
      <c r="LQB239" s="15"/>
      <c r="LQC239" s="15"/>
      <c r="LQD239" s="15"/>
      <c r="LQE239" s="15"/>
      <c r="LQF239" s="15"/>
      <c r="LQG239" s="15"/>
      <c r="LQH239" s="10"/>
      <c r="LQI239" s="10"/>
      <c r="LQJ239" s="21"/>
      <c r="LQK239" s="21"/>
      <c r="LQN239" s="21"/>
      <c r="LQO239" s="15"/>
      <c r="LQP239" s="15"/>
      <c r="LQQ239" s="15"/>
      <c r="LQR239" s="15"/>
      <c r="LQS239" s="15"/>
      <c r="LQT239" s="15"/>
      <c r="LQU239" s="15"/>
      <c r="LQV239" s="15"/>
      <c r="LQW239" s="15"/>
      <c r="LQX239" s="15"/>
      <c r="LQY239" s="10"/>
      <c r="LQZ239" s="10"/>
      <c r="LRA239" s="21"/>
      <c r="LRB239" s="21"/>
      <c r="LRE239" s="21"/>
      <c r="LRF239" s="15"/>
      <c r="LRG239" s="15"/>
      <c r="LRH239" s="15"/>
      <c r="LRI239" s="15"/>
      <c r="LRJ239" s="15"/>
      <c r="LRK239" s="15"/>
      <c r="LRL239" s="15"/>
      <c r="LRM239" s="15"/>
      <c r="LRN239" s="15"/>
      <c r="LRO239" s="15"/>
      <c r="LRP239" s="10"/>
      <c r="LRQ239" s="10"/>
      <c r="LRR239" s="21"/>
      <c r="LRS239" s="21"/>
      <c r="LRV239" s="21"/>
      <c r="LRW239" s="15"/>
      <c r="LRX239" s="15"/>
      <c r="LRY239" s="15"/>
      <c r="LRZ239" s="15"/>
      <c r="LSA239" s="15"/>
      <c r="LSB239" s="15"/>
      <c r="LSC239" s="15"/>
      <c r="LSD239" s="15"/>
      <c r="LSE239" s="15"/>
      <c r="LSF239" s="15"/>
      <c r="LSG239" s="10"/>
      <c r="LSH239" s="10"/>
      <c r="LSI239" s="21"/>
      <c r="LSJ239" s="21"/>
      <c r="LSM239" s="21"/>
      <c r="LSN239" s="15"/>
      <c r="LSO239" s="15"/>
      <c r="LSP239" s="15"/>
      <c r="LSQ239" s="15"/>
      <c r="LSR239" s="15"/>
      <c r="LSS239" s="15"/>
      <c r="LST239" s="15"/>
      <c r="LSU239" s="15"/>
      <c r="LSV239" s="15"/>
      <c r="LSW239" s="15"/>
      <c r="LSX239" s="10"/>
      <c r="LSY239" s="10"/>
      <c r="LSZ239" s="21"/>
      <c r="LTA239" s="21"/>
      <c r="LTD239" s="21"/>
      <c r="LTE239" s="15"/>
      <c r="LTF239" s="15"/>
      <c r="LTG239" s="15"/>
      <c r="LTH239" s="15"/>
      <c r="LTI239" s="15"/>
      <c r="LTJ239" s="15"/>
      <c r="LTK239" s="15"/>
      <c r="LTL239" s="15"/>
      <c r="LTM239" s="15"/>
      <c r="LTN239" s="15"/>
      <c r="LTO239" s="10"/>
      <c r="LTP239" s="10"/>
      <c r="LTQ239" s="21"/>
      <c r="LTR239" s="21"/>
      <c r="LTU239" s="21"/>
      <c r="LTV239" s="15"/>
      <c r="LTW239" s="15"/>
      <c r="LTX239" s="15"/>
      <c r="LTY239" s="15"/>
      <c r="LTZ239" s="15"/>
      <c r="LUA239" s="15"/>
      <c r="LUB239" s="15"/>
      <c r="LUC239" s="15"/>
      <c r="LUD239" s="15"/>
      <c r="LUE239" s="15"/>
      <c r="LUF239" s="10"/>
      <c r="LUG239" s="10"/>
      <c r="LUH239" s="21"/>
      <c r="LUI239" s="21"/>
      <c r="LUL239" s="21"/>
      <c r="LUM239" s="15"/>
      <c r="LUN239" s="15"/>
      <c r="LUO239" s="15"/>
      <c r="LUP239" s="15"/>
      <c r="LUQ239" s="15"/>
      <c r="LUR239" s="15"/>
      <c r="LUS239" s="15"/>
      <c r="LUT239" s="15"/>
      <c r="LUU239" s="15"/>
      <c r="LUV239" s="15"/>
      <c r="LUW239" s="10"/>
      <c r="LUX239" s="10"/>
      <c r="LUY239" s="21"/>
      <c r="LUZ239" s="21"/>
      <c r="LVC239" s="21"/>
      <c r="LVD239" s="15"/>
      <c r="LVE239" s="15"/>
      <c r="LVF239" s="15"/>
      <c r="LVG239" s="15"/>
      <c r="LVH239" s="15"/>
      <c r="LVI239" s="15"/>
      <c r="LVJ239" s="15"/>
      <c r="LVK239" s="15"/>
      <c r="LVL239" s="15"/>
      <c r="LVM239" s="15"/>
      <c r="LVN239" s="10"/>
      <c r="LVO239" s="10"/>
      <c r="LVP239" s="21"/>
      <c r="LVQ239" s="21"/>
      <c r="LVT239" s="21"/>
      <c r="LVU239" s="15"/>
      <c r="LVV239" s="15"/>
      <c r="LVW239" s="15"/>
      <c r="LVX239" s="15"/>
      <c r="LVY239" s="15"/>
      <c r="LVZ239" s="15"/>
      <c r="LWA239" s="15"/>
      <c r="LWB239" s="15"/>
      <c r="LWC239" s="15"/>
      <c r="LWD239" s="15"/>
      <c r="LWE239" s="10"/>
      <c r="LWF239" s="10"/>
      <c r="LWG239" s="21"/>
      <c r="LWH239" s="21"/>
      <c r="LWK239" s="21"/>
      <c r="LWL239" s="15"/>
      <c r="LWM239" s="15"/>
      <c r="LWN239" s="15"/>
      <c r="LWO239" s="15"/>
      <c r="LWP239" s="15"/>
      <c r="LWQ239" s="15"/>
      <c r="LWR239" s="15"/>
      <c r="LWS239" s="15"/>
      <c r="LWT239" s="15"/>
      <c r="LWU239" s="15"/>
      <c r="LWV239" s="10"/>
      <c r="LWW239" s="10"/>
      <c r="LWX239" s="21"/>
      <c r="LWY239" s="21"/>
      <c r="LXB239" s="21"/>
      <c r="LXC239" s="15"/>
      <c r="LXD239" s="15"/>
      <c r="LXE239" s="15"/>
      <c r="LXF239" s="15"/>
      <c r="LXG239" s="15"/>
      <c r="LXH239" s="15"/>
      <c r="LXI239" s="15"/>
      <c r="LXJ239" s="15"/>
      <c r="LXK239" s="15"/>
      <c r="LXL239" s="15"/>
      <c r="LXM239" s="10"/>
      <c r="LXN239" s="10"/>
      <c r="LXO239" s="21"/>
      <c r="LXP239" s="21"/>
      <c r="LXS239" s="21"/>
      <c r="LXT239" s="15"/>
      <c r="LXU239" s="15"/>
      <c r="LXV239" s="15"/>
      <c r="LXW239" s="15"/>
      <c r="LXX239" s="15"/>
      <c r="LXY239" s="15"/>
      <c r="LXZ239" s="15"/>
      <c r="LYA239" s="15"/>
      <c r="LYB239" s="15"/>
      <c r="LYC239" s="15"/>
      <c r="LYD239" s="10"/>
      <c r="LYE239" s="10"/>
      <c r="LYF239" s="21"/>
      <c r="LYG239" s="21"/>
      <c r="LYJ239" s="21"/>
      <c r="LYK239" s="15"/>
      <c r="LYL239" s="15"/>
      <c r="LYM239" s="15"/>
      <c r="LYN239" s="15"/>
      <c r="LYO239" s="15"/>
      <c r="LYP239" s="15"/>
      <c r="LYQ239" s="15"/>
      <c r="LYR239" s="15"/>
      <c r="LYS239" s="15"/>
      <c r="LYT239" s="15"/>
      <c r="LYU239" s="10"/>
      <c r="LYV239" s="10"/>
      <c r="LYW239" s="21"/>
      <c r="LYX239" s="21"/>
      <c r="LZA239" s="21"/>
      <c r="LZB239" s="15"/>
      <c r="LZC239" s="15"/>
      <c r="LZD239" s="15"/>
      <c r="LZE239" s="15"/>
      <c r="LZF239" s="15"/>
      <c r="LZG239" s="15"/>
      <c r="LZH239" s="15"/>
      <c r="LZI239" s="15"/>
      <c r="LZJ239" s="15"/>
      <c r="LZK239" s="15"/>
      <c r="LZL239" s="10"/>
      <c r="LZM239" s="10"/>
      <c r="LZN239" s="21"/>
      <c r="LZO239" s="21"/>
      <c r="LZR239" s="21"/>
      <c r="LZS239" s="15"/>
      <c r="LZT239" s="15"/>
      <c r="LZU239" s="15"/>
      <c r="LZV239" s="15"/>
      <c r="LZW239" s="15"/>
      <c r="LZX239" s="15"/>
      <c r="LZY239" s="15"/>
      <c r="LZZ239" s="15"/>
      <c r="MAA239" s="15"/>
      <c r="MAB239" s="15"/>
      <c r="MAC239" s="10"/>
      <c r="MAD239" s="10"/>
      <c r="MAE239" s="21"/>
      <c r="MAF239" s="21"/>
      <c r="MAI239" s="21"/>
      <c r="MAJ239" s="15"/>
      <c r="MAK239" s="15"/>
      <c r="MAL239" s="15"/>
      <c r="MAM239" s="15"/>
      <c r="MAN239" s="15"/>
      <c r="MAO239" s="15"/>
      <c r="MAP239" s="15"/>
      <c r="MAQ239" s="15"/>
      <c r="MAR239" s="15"/>
      <c r="MAS239" s="15"/>
      <c r="MAT239" s="10"/>
      <c r="MAU239" s="10"/>
      <c r="MAV239" s="21"/>
      <c r="MAW239" s="21"/>
      <c r="MAZ239" s="21"/>
      <c r="MBA239" s="15"/>
      <c r="MBB239" s="15"/>
      <c r="MBC239" s="15"/>
      <c r="MBD239" s="15"/>
      <c r="MBE239" s="15"/>
      <c r="MBF239" s="15"/>
      <c r="MBG239" s="15"/>
      <c r="MBH239" s="15"/>
      <c r="MBI239" s="15"/>
      <c r="MBJ239" s="15"/>
      <c r="MBK239" s="10"/>
      <c r="MBL239" s="10"/>
      <c r="MBM239" s="21"/>
      <c r="MBN239" s="21"/>
      <c r="MBQ239" s="21"/>
      <c r="MBR239" s="15"/>
      <c r="MBS239" s="15"/>
      <c r="MBT239" s="15"/>
      <c r="MBU239" s="15"/>
      <c r="MBV239" s="15"/>
      <c r="MBW239" s="15"/>
      <c r="MBX239" s="15"/>
      <c r="MBY239" s="15"/>
      <c r="MBZ239" s="15"/>
      <c r="MCA239" s="15"/>
      <c r="MCB239" s="10"/>
      <c r="MCC239" s="10"/>
      <c r="MCD239" s="21"/>
      <c r="MCE239" s="21"/>
      <c r="MCH239" s="21"/>
      <c r="MCI239" s="15"/>
      <c r="MCJ239" s="15"/>
      <c r="MCK239" s="15"/>
      <c r="MCL239" s="15"/>
      <c r="MCM239" s="15"/>
      <c r="MCN239" s="15"/>
      <c r="MCO239" s="15"/>
      <c r="MCP239" s="15"/>
      <c r="MCQ239" s="15"/>
      <c r="MCR239" s="15"/>
      <c r="MCS239" s="10"/>
      <c r="MCT239" s="10"/>
      <c r="MCU239" s="21"/>
      <c r="MCV239" s="21"/>
      <c r="MCY239" s="21"/>
      <c r="MCZ239" s="15"/>
      <c r="MDA239" s="15"/>
      <c r="MDB239" s="15"/>
      <c r="MDC239" s="15"/>
      <c r="MDD239" s="15"/>
      <c r="MDE239" s="15"/>
      <c r="MDF239" s="15"/>
      <c r="MDG239" s="15"/>
      <c r="MDH239" s="15"/>
      <c r="MDI239" s="15"/>
      <c r="MDJ239" s="10"/>
      <c r="MDK239" s="10"/>
      <c r="MDL239" s="21"/>
      <c r="MDM239" s="21"/>
      <c r="MDP239" s="21"/>
      <c r="MDQ239" s="15"/>
      <c r="MDR239" s="15"/>
      <c r="MDS239" s="15"/>
      <c r="MDT239" s="15"/>
      <c r="MDU239" s="15"/>
      <c r="MDV239" s="15"/>
      <c r="MDW239" s="15"/>
      <c r="MDX239" s="15"/>
      <c r="MDY239" s="15"/>
      <c r="MDZ239" s="15"/>
      <c r="MEA239" s="10"/>
      <c r="MEB239" s="10"/>
      <c r="MEC239" s="21"/>
      <c r="MED239" s="21"/>
      <c r="MEG239" s="21"/>
      <c r="MEH239" s="15"/>
      <c r="MEI239" s="15"/>
      <c r="MEJ239" s="15"/>
      <c r="MEK239" s="15"/>
      <c r="MEL239" s="15"/>
      <c r="MEM239" s="15"/>
      <c r="MEN239" s="15"/>
      <c r="MEO239" s="15"/>
      <c r="MEP239" s="15"/>
      <c r="MEQ239" s="15"/>
      <c r="MER239" s="10"/>
      <c r="MES239" s="10"/>
      <c r="MET239" s="21"/>
      <c r="MEU239" s="21"/>
      <c r="MEX239" s="21"/>
      <c r="MEY239" s="15"/>
      <c r="MEZ239" s="15"/>
      <c r="MFA239" s="15"/>
      <c r="MFB239" s="15"/>
      <c r="MFC239" s="15"/>
      <c r="MFD239" s="15"/>
      <c r="MFE239" s="15"/>
      <c r="MFF239" s="15"/>
      <c r="MFG239" s="15"/>
      <c r="MFH239" s="15"/>
      <c r="MFI239" s="10"/>
      <c r="MFJ239" s="10"/>
      <c r="MFK239" s="21"/>
      <c r="MFL239" s="21"/>
      <c r="MFO239" s="21"/>
      <c r="MFP239" s="15"/>
      <c r="MFQ239" s="15"/>
      <c r="MFR239" s="15"/>
      <c r="MFS239" s="15"/>
      <c r="MFT239" s="15"/>
      <c r="MFU239" s="15"/>
      <c r="MFV239" s="15"/>
      <c r="MFW239" s="15"/>
      <c r="MFX239" s="15"/>
      <c r="MFY239" s="15"/>
      <c r="MFZ239" s="10"/>
      <c r="MGA239" s="10"/>
      <c r="MGB239" s="21"/>
      <c r="MGC239" s="21"/>
      <c r="MGF239" s="21"/>
      <c r="MGG239" s="15"/>
      <c r="MGH239" s="15"/>
      <c r="MGI239" s="15"/>
      <c r="MGJ239" s="15"/>
      <c r="MGK239" s="15"/>
      <c r="MGL239" s="15"/>
      <c r="MGM239" s="15"/>
      <c r="MGN239" s="15"/>
      <c r="MGO239" s="15"/>
      <c r="MGP239" s="15"/>
      <c r="MGQ239" s="10"/>
      <c r="MGR239" s="10"/>
      <c r="MGS239" s="21"/>
      <c r="MGT239" s="21"/>
      <c r="MGW239" s="21"/>
      <c r="MGX239" s="15"/>
      <c r="MGY239" s="15"/>
      <c r="MGZ239" s="15"/>
      <c r="MHA239" s="15"/>
      <c r="MHB239" s="15"/>
      <c r="MHC239" s="15"/>
      <c r="MHD239" s="15"/>
      <c r="MHE239" s="15"/>
      <c r="MHF239" s="15"/>
      <c r="MHG239" s="15"/>
      <c r="MHH239" s="10"/>
      <c r="MHI239" s="10"/>
      <c r="MHJ239" s="21"/>
      <c r="MHK239" s="21"/>
      <c r="MHN239" s="21"/>
      <c r="MHO239" s="15"/>
      <c r="MHP239" s="15"/>
      <c r="MHQ239" s="15"/>
      <c r="MHR239" s="15"/>
      <c r="MHS239" s="15"/>
      <c r="MHT239" s="15"/>
      <c r="MHU239" s="15"/>
      <c r="MHV239" s="15"/>
      <c r="MHW239" s="15"/>
      <c r="MHX239" s="15"/>
      <c r="MHY239" s="10"/>
      <c r="MHZ239" s="10"/>
      <c r="MIA239" s="21"/>
      <c r="MIB239" s="21"/>
      <c r="MIE239" s="21"/>
      <c r="MIF239" s="15"/>
      <c r="MIG239" s="15"/>
      <c r="MIH239" s="15"/>
      <c r="MII239" s="15"/>
      <c r="MIJ239" s="15"/>
      <c r="MIK239" s="15"/>
      <c r="MIL239" s="15"/>
      <c r="MIM239" s="15"/>
      <c r="MIN239" s="15"/>
      <c r="MIO239" s="15"/>
      <c r="MIP239" s="10"/>
      <c r="MIQ239" s="10"/>
      <c r="MIR239" s="21"/>
      <c r="MIS239" s="21"/>
      <c r="MIV239" s="21"/>
      <c r="MIW239" s="15"/>
      <c r="MIX239" s="15"/>
      <c r="MIY239" s="15"/>
      <c r="MIZ239" s="15"/>
      <c r="MJA239" s="15"/>
      <c r="MJB239" s="15"/>
      <c r="MJC239" s="15"/>
      <c r="MJD239" s="15"/>
      <c r="MJE239" s="15"/>
      <c r="MJF239" s="15"/>
      <c r="MJG239" s="10"/>
      <c r="MJH239" s="10"/>
      <c r="MJI239" s="21"/>
      <c r="MJJ239" s="21"/>
      <c r="MJM239" s="21"/>
      <c r="MJN239" s="15"/>
      <c r="MJO239" s="15"/>
      <c r="MJP239" s="15"/>
      <c r="MJQ239" s="15"/>
      <c r="MJR239" s="15"/>
      <c r="MJS239" s="15"/>
      <c r="MJT239" s="15"/>
      <c r="MJU239" s="15"/>
      <c r="MJV239" s="15"/>
      <c r="MJW239" s="15"/>
      <c r="MJX239" s="10"/>
      <c r="MJY239" s="10"/>
      <c r="MJZ239" s="21"/>
      <c r="MKA239" s="21"/>
      <c r="MKD239" s="21"/>
      <c r="MKE239" s="15"/>
      <c r="MKF239" s="15"/>
      <c r="MKG239" s="15"/>
      <c r="MKH239" s="15"/>
      <c r="MKI239" s="15"/>
      <c r="MKJ239" s="15"/>
      <c r="MKK239" s="15"/>
      <c r="MKL239" s="15"/>
      <c r="MKM239" s="15"/>
      <c r="MKN239" s="15"/>
      <c r="MKO239" s="10"/>
      <c r="MKP239" s="10"/>
      <c r="MKQ239" s="21"/>
      <c r="MKR239" s="21"/>
      <c r="MKU239" s="21"/>
      <c r="MKV239" s="15"/>
      <c r="MKW239" s="15"/>
      <c r="MKX239" s="15"/>
      <c r="MKY239" s="15"/>
      <c r="MKZ239" s="15"/>
      <c r="MLA239" s="15"/>
      <c r="MLB239" s="15"/>
      <c r="MLC239" s="15"/>
      <c r="MLD239" s="15"/>
      <c r="MLE239" s="15"/>
      <c r="MLF239" s="10"/>
      <c r="MLG239" s="10"/>
      <c r="MLH239" s="21"/>
      <c r="MLI239" s="21"/>
      <c r="MLL239" s="21"/>
      <c r="MLM239" s="15"/>
      <c r="MLN239" s="15"/>
      <c r="MLO239" s="15"/>
      <c r="MLP239" s="15"/>
      <c r="MLQ239" s="15"/>
      <c r="MLR239" s="15"/>
      <c r="MLS239" s="15"/>
      <c r="MLT239" s="15"/>
      <c r="MLU239" s="15"/>
      <c r="MLV239" s="15"/>
      <c r="MLW239" s="10"/>
      <c r="MLX239" s="10"/>
      <c r="MLY239" s="21"/>
      <c r="MLZ239" s="21"/>
      <c r="MMC239" s="21"/>
      <c r="MMD239" s="15"/>
      <c r="MME239" s="15"/>
      <c r="MMF239" s="15"/>
      <c r="MMG239" s="15"/>
      <c r="MMH239" s="15"/>
      <c r="MMI239" s="15"/>
      <c r="MMJ239" s="15"/>
      <c r="MMK239" s="15"/>
      <c r="MML239" s="15"/>
      <c r="MMM239" s="15"/>
      <c r="MMN239" s="10"/>
      <c r="MMO239" s="10"/>
      <c r="MMP239" s="21"/>
      <c r="MMQ239" s="21"/>
      <c r="MMT239" s="21"/>
      <c r="MMU239" s="15"/>
      <c r="MMV239" s="15"/>
      <c r="MMW239" s="15"/>
      <c r="MMX239" s="15"/>
      <c r="MMY239" s="15"/>
      <c r="MMZ239" s="15"/>
      <c r="MNA239" s="15"/>
      <c r="MNB239" s="15"/>
      <c r="MNC239" s="15"/>
      <c r="MND239" s="15"/>
      <c r="MNE239" s="10"/>
      <c r="MNF239" s="10"/>
      <c r="MNG239" s="21"/>
      <c r="MNH239" s="21"/>
      <c r="MNK239" s="21"/>
      <c r="MNL239" s="15"/>
      <c r="MNM239" s="15"/>
      <c r="MNN239" s="15"/>
      <c r="MNO239" s="15"/>
      <c r="MNP239" s="15"/>
      <c r="MNQ239" s="15"/>
      <c r="MNR239" s="15"/>
      <c r="MNS239" s="15"/>
      <c r="MNT239" s="15"/>
      <c r="MNU239" s="15"/>
      <c r="MNV239" s="10"/>
      <c r="MNW239" s="10"/>
      <c r="MNX239" s="21"/>
      <c r="MNY239" s="21"/>
      <c r="MOB239" s="21"/>
      <c r="MOC239" s="15"/>
      <c r="MOD239" s="15"/>
      <c r="MOE239" s="15"/>
      <c r="MOF239" s="15"/>
      <c r="MOG239" s="15"/>
      <c r="MOH239" s="15"/>
      <c r="MOI239" s="15"/>
      <c r="MOJ239" s="15"/>
      <c r="MOK239" s="15"/>
      <c r="MOL239" s="15"/>
      <c r="MOM239" s="10"/>
      <c r="MON239" s="10"/>
      <c r="MOO239" s="21"/>
      <c r="MOP239" s="21"/>
      <c r="MOS239" s="21"/>
      <c r="MOT239" s="15"/>
      <c r="MOU239" s="15"/>
      <c r="MOV239" s="15"/>
      <c r="MOW239" s="15"/>
      <c r="MOX239" s="15"/>
      <c r="MOY239" s="15"/>
      <c r="MOZ239" s="15"/>
      <c r="MPA239" s="15"/>
      <c r="MPB239" s="15"/>
      <c r="MPC239" s="15"/>
      <c r="MPD239" s="10"/>
      <c r="MPE239" s="10"/>
      <c r="MPF239" s="21"/>
      <c r="MPG239" s="21"/>
      <c r="MPJ239" s="21"/>
      <c r="MPK239" s="15"/>
      <c r="MPL239" s="15"/>
      <c r="MPM239" s="15"/>
      <c r="MPN239" s="15"/>
      <c r="MPO239" s="15"/>
      <c r="MPP239" s="15"/>
      <c r="MPQ239" s="15"/>
      <c r="MPR239" s="15"/>
      <c r="MPS239" s="15"/>
      <c r="MPT239" s="15"/>
      <c r="MPU239" s="10"/>
      <c r="MPV239" s="10"/>
      <c r="MPW239" s="21"/>
      <c r="MPX239" s="21"/>
      <c r="MQA239" s="21"/>
      <c r="MQB239" s="15"/>
      <c r="MQC239" s="15"/>
      <c r="MQD239" s="15"/>
      <c r="MQE239" s="15"/>
      <c r="MQF239" s="15"/>
      <c r="MQG239" s="15"/>
      <c r="MQH239" s="15"/>
      <c r="MQI239" s="15"/>
      <c r="MQJ239" s="15"/>
      <c r="MQK239" s="15"/>
      <c r="MQL239" s="10"/>
      <c r="MQM239" s="10"/>
      <c r="MQN239" s="21"/>
      <c r="MQO239" s="21"/>
      <c r="MQR239" s="21"/>
      <c r="MQS239" s="15"/>
      <c r="MQT239" s="15"/>
      <c r="MQU239" s="15"/>
      <c r="MQV239" s="15"/>
      <c r="MQW239" s="15"/>
      <c r="MQX239" s="15"/>
      <c r="MQY239" s="15"/>
      <c r="MQZ239" s="15"/>
      <c r="MRA239" s="15"/>
      <c r="MRB239" s="15"/>
      <c r="MRC239" s="10"/>
      <c r="MRD239" s="10"/>
      <c r="MRE239" s="21"/>
      <c r="MRF239" s="21"/>
      <c r="MRI239" s="21"/>
      <c r="MRJ239" s="15"/>
      <c r="MRK239" s="15"/>
      <c r="MRL239" s="15"/>
      <c r="MRM239" s="15"/>
      <c r="MRN239" s="15"/>
      <c r="MRO239" s="15"/>
      <c r="MRP239" s="15"/>
      <c r="MRQ239" s="15"/>
      <c r="MRR239" s="15"/>
      <c r="MRS239" s="15"/>
      <c r="MRT239" s="10"/>
      <c r="MRU239" s="10"/>
      <c r="MRV239" s="21"/>
      <c r="MRW239" s="21"/>
      <c r="MRZ239" s="21"/>
      <c r="MSA239" s="15"/>
      <c r="MSB239" s="15"/>
      <c r="MSC239" s="15"/>
      <c r="MSD239" s="15"/>
      <c r="MSE239" s="15"/>
      <c r="MSF239" s="15"/>
      <c r="MSG239" s="15"/>
      <c r="MSH239" s="15"/>
      <c r="MSI239" s="15"/>
      <c r="MSJ239" s="15"/>
      <c r="MSK239" s="10"/>
      <c r="MSL239" s="10"/>
      <c r="MSM239" s="21"/>
      <c r="MSN239" s="21"/>
      <c r="MSQ239" s="21"/>
      <c r="MSR239" s="15"/>
      <c r="MSS239" s="15"/>
      <c r="MST239" s="15"/>
      <c r="MSU239" s="15"/>
      <c r="MSV239" s="15"/>
      <c r="MSW239" s="15"/>
      <c r="MSX239" s="15"/>
      <c r="MSY239" s="15"/>
      <c r="MSZ239" s="15"/>
      <c r="MTA239" s="15"/>
      <c r="MTB239" s="10"/>
      <c r="MTC239" s="10"/>
      <c r="MTD239" s="21"/>
      <c r="MTE239" s="21"/>
      <c r="MTH239" s="21"/>
      <c r="MTI239" s="15"/>
      <c r="MTJ239" s="15"/>
      <c r="MTK239" s="15"/>
      <c r="MTL239" s="15"/>
      <c r="MTM239" s="15"/>
      <c r="MTN239" s="15"/>
      <c r="MTO239" s="15"/>
      <c r="MTP239" s="15"/>
      <c r="MTQ239" s="15"/>
      <c r="MTR239" s="15"/>
      <c r="MTS239" s="10"/>
      <c r="MTT239" s="10"/>
      <c r="MTU239" s="21"/>
      <c r="MTV239" s="21"/>
      <c r="MTY239" s="21"/>
      <c r="MTZ239" s="15"/>
      <c r="MUA239" s="15"/>
      <c r="MUB239" s="15"/>
      <c r="MUC239" s="15"/>
      <c r="MUD239" s="15"/>
      <c r="MUE239" s="15"/>
      <c r="MUF239" s="15"/>
      <c r="MUG239" s="15"/>
      <c r="MUH239" s="15"/>
      <c r="MUI239" s="15"/>
      <c r="MUJ239" s="10"/>
      <c r="MUK239" s="10"/>
      <c r="MUL239" s="21"/>
      <c r="MUM239" s="21"/>
      <c r="MUP239" s="21"/>
      <c r="MUQ239" s="15"/>
      <c r="MUR239" s="15"/>
      <c r="MUS239" s="15"/>
      <c r="MUT239" s="15"/>
      <c r="MUU239" s="15"/>
      <c r="MUV239" s="15"/>
      <c r="MUW239" s="15"/>
      <c r="MUX239" s="15"/>
      <c r="MUY239" s="15"/>
      <c r="MUZ239" s="15"/>
      <c r="MVA239" s="10"/>
      <c r="MVB239" s="10"/>
      <c r="MVC239" s="21"/>
      <c r="MVD239" s="21"/>
      <c r="MVG239" s="21"/>
      <c r="MVH239" s="15"/>
      <c r="MVI239" s="15"/>
      <c r="MVJ239" s="15"/>
      <c r="MVK239" s="15"/>
      <c r="MVL239" s="15"/>
      <c r="MVM239" s="15"/>
      <c r="MVN239" s="15"/>
      <c r="MVO239" s="15"/>
      <c r="MVP239" s="15"/>
      <c r="MVQ239" s="15"/>
      <c r="MVR239" s="10"/>
      <c r="MVS239" s="10"/>
      <c r="MVT239" s="21"/>
      <c r="MVU239" s="21"/>
      <c r="MVX239" s="21"/>
      <c r="MVY239" s="15"/>
      <c r="MVZ239" s="15"/>
      <c r="MWA239" s="15"/>
      <c r="MWB239" s="15"/>
      <c r="MWC239" s="15"/>
      <c r="MWD239" s="15"/>
      <c r="MWE239" s="15"/>
      <c r="MWF239" s="15"/>
      <c r="MWG239" s="15"/>
      <c r="MWH239" s="15"/>
      <c r="MWI239" s="10"/>
      <c r="MWJ239" s="10"/>
      <c r="MWK239" s="21"/>
      <c r="MWL239" s="21"/>
      <c r="MWO239" s="21"/>
      <c r="MWP239" s="15"/>
      <c r="MWQ239" s="15"/>
      <c r="MWR239" s="15"/>
      <c r="MWS239" s="15"/>
      <c r="MWT239" s="15"/>
      <c r="MWU239" s="15"/>
      <c r="MWV239" s="15"/>
      <c r="MWW239" s="15"/>
      <c r="MWX239" s="15"/>
      <c r="MWY239" s="15"/>
      <c r="MWZ239" s="10"/>
      <c r="MXA239" s="10"/>
      <c r="MXB239" s="21"/>
      <c r="MXC239" s="21"/>
      <c r="MXF239" s="21"/>
      <c r="MXG239" s="15"/>
      <c r="MXH239" s="15"/>
      <c r="MXI239" s="15"/>
      <c r="MXJ239" s="15"/>
      <c r="MXK239" s="15"/>
      <c r="MXL239" s="15"/>
      <c r="MXM239" s="15"/>
      <c r="MXN239" s="15"/>
      <c r="MXO239" s="15"/>
      <c r="MXP239" s="15"/>
      <c r="MXQ239" s="10"/>
      <c r="MXR239" s="10"/>
      <c r="MXS239" s="21"/>
      <c r="MXT239" s="21"/>
      <c r="MXW239" s="21"/>
      <c r="MXX239" s="15"/>
      <c r="MXY239" s="15"/>
      <c r="MXZ239" s="15"/>
      <c r="MYA239" s="15"/>
      <c r="MYB239" s="15"/>
      <c r="MYC239" s="15"/>
      <c r="MYD239" s="15"/>
      <c r="MYE239" s="15"/>
      <c r="MYF239" s="15"/>
      <c r="MYG239" s="15"/>
      <c r="MYH239" s="10"/>
      <c r="MYI239" s="10"/>
      <c r="MYJ239" s="21"/>
      <c r="MYK239" s="21"/>
      <c r="MYN239" s="21"/>
      <c r="MYO239" s="15"/>
      <c r="MYP239" s="15"/>
      <c r="MYQ239" s="15"/>
      <c r="MYR239" s="15"/>
      <c r="MYS239" s="15"/>
      <c r="MYT239" s="15"/>
      <c r="MYU239" s="15"/>
      <c r="MYV239" s="15"/>
      <c r="MYW239" s="15"/>
      <c r="MYX239" s="15"/>
      <c r="MYY239" s="10"/>
      <c r="MYZ239" s="10"/>
      <c r="MZA239" s="21"/>
      <c r="MZB239" s="21"/>
      <c r="MZE239" s="21"/>
      <c r="MZF239" s="15"/>
      <c r="MZG239" s="15"/>
      <c r="MZH239" s="15"/>
      <c r="MZI239" s="15"/>
      <c r="MZJ239" s="15"/>
      <c r="MZK239" s="15"/>
      <c r="MZL239" s="15"/>
      <c r="MZM239" s="15"/>
      <c r="MZN239" s="15"/>
      <c r="MZO239" s="15"/>
      <c r="MZP239" s="10"/>
      <c r="MZQ239" s="10"/>
      <c r="MZR239" s="21"/>
      <c r="MZS239" s="21"/>
      <c r="MZV239" s="21"/>
      <c r="MZW239" s="15"/>
      <c r="MZX239" s="15"/>
      <c r="MZY239" s="15"/>
      <c r="MZZ239" s="15"/>
      <c r="NAA239" s="15"/>
      <c r="NAB239" s="15"/>
      <c r="NAC239" s="15"/>
      <c r="NAD239" s="15"/>
      <c r="NAE239" s="15"/>
      <c r="NAF239" s="15"/>
      <c r="NAG239" s="10"/>
      <c r="NAH239" s="10"/>
      <c r="NAI239" s="21"/>
      <c r="NAJ239" s="21"/>
      <c r="NAM239" s="21"/>
      <c r="NAN239" s="15"/>
      <c r="NAO239" s="15"/>
      <c r="NAP239" s="15"/>
      <c r="NAQ239" s="15"/>
      <c r="NAR239" s="15"/>
      <c r="NAS239" s="15"/>
      <c r="NAT239" s="15"/>
      <c r="NAU239" s="15"/>
      <c r="NAV239" s="15"/>
      <c r="NAW239" s="15"/>
      <c r="NAX239" s="10"/>
      <c r="NAY239" s="10"/>
      <c r="NAZ239" s="21"/>
      <c r="NBA239" s="21"/>
      <c r="NBD239" s="21"/>
      <c r="NBE239" s="15"/>
      <c r="NBF239" s="15"/>
      <c r="NBG239" s="15"/>
      <c r="NBH239" s="15"/>
      <c r="NBI239" s="15"/>
      <c r="NBJ239" s="15"/>
      <c r="NBK239" s="15"/>
      <c r="NBL239" s="15"/>
      <c r="NBM239" s="15"/>
      <c r="NBN239" s="15"/>
      <c r="NBO239" s="10"/>
      <c r="NBP239" s="10"/>
      <c r="NBQ239" s="21"/>
      <c r="NBR239" s="21"/>
      <c r="NBU239" s="21"/>
      <c r="NBV239" s="15"/>
      <c r="NBW239" s="15"/>
      <c r="NBX239" s="15"/>
      <c r="NBY239" s="15"/>
      <c r="NBZ239" s="15"/>
      <c r="NCA239" s="15"/>
      <c r="NCB239" s="15"/>
      <c r="NCC239" s="15"/>
      <c r="NCD239" s="15"/>
      <c r="NCE239" s="15"/>
      <c r="NCF239" s="10"/>
      <c r="NCG239" s="10"/>
      <c r="NCH239" s="21"/>
      <c r="NCI239" s="21"/>
      <c r="NCL239" s="21"/>
      <c r="NCM239" s="15"/>
      <c r="NCN239" s="15"/>
      <c r="NCO239" s="15"/>
      <c r="NCP239" s="15"/>
      <c r="NCQ239" s="15"/>
      <c r="NCR239" s="15"/>
      <c r="NCS239" s="15"/>
      <c r="NCT239" s="15"/>
      <c r="NCU239" s="15"/>
      <c r="NCV239" s="15"/>
      <c r="NCW239" s="10"/>
      <c r="NCX239" s="10"/>
      <c r="NCY239" s="21"/>
      <c r="NCZ239" s="21"/>
      <c r="NDC239" s="21"/>
      <c r="NDD239" s="15"/>
      <c r="NDE239" s="15"/>
      <c r="NDF239" s="15"/>
      <c r="NDG239" s="15"/>
      <c r="NDH239" s="15"/>
      <c r="NDI239" s="15"/>
      <c r="NDJ239" s="15"/>
      <c r="NDK239" s="15"/>
      <c r="NDL239" s="15"/>
      <c r="NDM239" s="15"/>
      <c r="NDN239" s="10"/>
      <c r="NDO239" s="10"/>
      <c r="NDP239" s="21"/>
      <c r="NDQ239" s="21"/>
      <c r="NDT239" s="21"/>
      <c r="NDU239" s="15"/>
      <c r="NDV239" s="15"/>
      <c r="NDW239" s="15"/>
      <c r="NDX239" s="15"/>
      <c r="NDY239" s="15"/>
      <c r="NDZ239" s="15"/>
      <c r="NEA239" s="15"/>
      <c r="NEB239" s="15"/>
      <c r="NEC239" s="15"/>
      <c r="NED239" s="15"/>
      <c r="NEE239" s="10"/>
      <c r="NEF239" s="10"/>
      <c r="NEG239" s="21"/>
      <c r="NEH239" s="21"/>
      <c r="NEK239" s="21"/>
      <c r="NEL239" s="15"/>
      <c r="NEM239" s="15"/>
      <c r="NEN239" s="15"/>
      <c r="NEO239" s="15"/>
      <c r="NEP239" s="15"/>
      <c r="NEQ239" s="15"/>
      <c r="NER239" s="15"/>
      <c r="NES239" s="15"/>
      <c r="NET239" s="15"/>
      <c r="NEU239" s="15"/>
      <c r="NEV239" s="10"/>
      <c r="NEW239" s="10"/>
      <c r="NEX239" s="21"/>
      <c r="NEY239" s="21"/>
      <c r="NFB239" s="21"/>
      <c r="NFC239" s="15"/>
      <c r="NFD239" s="15"/>
      <c r="NFE239" s="15"/>
      <c r="NFF239" s="15"/>
      <c r="NFG239" s="15"/>
      <c r="NFH239" s="15"/>
      <c r="NFI239" s="15"/>
      <c r="NFJ239" s="15"/>
      <c r="NFK239" s="15"/>
      <c r="NFL239" s="15"/>
      <c r="NFM239" s="10"/>
      <c r="NFN239" s="10"/>
      <c r="NFO239" s="21"/>
      <c r="NFP239" s="21"/>
      <c r="NFS239" s="21"/>
      <c r="NFT239" s="15"/>
      <c r="NFU239" s="15"/>
      <c r="NFV239" s="15"/>
      <c r="NFW239" s="15"/>
      <c r="NFX239" s="15"/>
      <c r="NFY239" s="15"/>
      <c r="NFZ239" s="15"/>
      <c r="NGA239" s="15"/>
      <c r="NGB239" s="15"/>
      <c r="NGC239" s="15"/>
      <c r="NGD239" s="10"/>
      <c r="NGE239" s="10"/>
      <c r="NGF239" s="21"/>
      <c r="NGG239" s="21"/>
      <c r="NGJ239" s="21"/>
      <c r="NGK239" s="15"/>
      <c r="NGL239" s="15"/>
      <c r="NGM239" s="15"/>
      <c r="NGN239" s="15"/>
      <c r="NGO239" s="15"/>
      <c r="NGP239" s="15"/>
      <c r="NGQ239" s="15"/>
      <c r="NGR239" s="15"/>
      <c r="NGS239" s="15"/>
      <c r="NGT239" s="15"/>
      <c r="NGU239" s="10"/>
      <c r="NGV239" s="10"/>
      <c r="NGW239" s="21"/>
      <c r="NGX239" s="21"/>
      <c r="NHA239" s="21"/>
      <c r="NHB239" s="15"/>
      <c r="NHC239" s="15"/>
      <c r="NHD239" s="15"/>
      <c r="NHE239" s="15"/>
      <c r="NHF239" s="15"/>
      <c r="NHG239" s="15"/>
      <c r="NHH239" s="15"/>
      <c r="NHI239" s="15"/>
      <c r="NHJ239" s="15"/>
      <c r="NHK239" s="15"/>
      <c r="NHL239" s="10"/>
      <c r="NHM239" s="10"/>
      <c r="NHN239" s="21"/>
      <c r="NHO239" s="21"/>
      <c r="NHR239" s="21"/>
      <c r="NHS239" s="15"/>
      <c r="NHT239" s="15"/>
      <c r="NHU239" s="15"/>
      <c r="NHV239" s="15"/>
      <c r="NHW239" s="15"/>
      <c r="NHX239" s="15"/>
      <c r="NHY239" s="15"/>
      <c r="NHZ239" s="15"/>
      <c r="NIA239" s="15"/>
      <c r="NIB239" s="15"/>
      <c r="NIC239" s="10"/>
      <c r="NID239" s="10"/>
      <c r="NIE239" s="21"/>
      <c r="NIF239" s="21"/>
      <c r="NII239" s="21"/>
      <c r="NIJ239" s="15"/>
      <c r="NIK239" s="15"/>
      <c r="NIL239" s="15"/>
      <c r="NIM239" s="15"/>
      <c r="NIN239" s="15"/>
      <c r="NIO239" s="15"/>
      <c r="NIP239" s="15"/>
      <c r="NIQ239" s="15"/>
      <c r="NIR239" s="15"/>
      <c r="NIS239" s="15"/>
      <c r="NIT239" s="10"/>
      <c r="NIU239" s="10"/>
      <c r="NIV239" s="21"/>
      <c r="NIW239" s="21"/>
      <c r="NIZ239" s="21"/>
      <c r="NJA239" s="15"/>
      <c r="NJB239" s="15"/>
      <c r="NJC239" s="15"/>
      <c r="NJD239" s="15"/>
      <c r="NJE239" s="15"/>
      <c r="NJF239" s="15"/>
      <c r="NJG239" s="15"/>
      <c r="NJH239" s="15"/>
      <c r="NJI239" s="15"/>
      <c r="NJJ239" s="15"/>
      <c r="NJK239" s="10"/>
      <c r="NJL239" s="10"/>
      <c r="NJM239" s="21"/>
      <c r="NJN239" s="21"/>
      <c r="NJQ239" s="21"/>
      <c r="NJR239" s="15"/>
      <c r="NJS239" s="15"/>
      <c r="NJT239" s="15"/>
      <c r="NJU239" s="15"/>
      <c r="NJV239" s="15"/>
      <c r="NJW239" s="15"/>
      <c r="NJX239" s="15"/>
      <c r="NJY239" s="15"/>
      <c r="NJZ239" s="15"/>
      <c r="NKA239" s="15"/>
      <c r="NKB239" s="10"/>
      <c r="NKC239" s="10"/>
      <c r="NKD239" s="21"/>
      <c r="NKE239" s="21"/>
      <c r="NKH239" s="21"/>
      <c r="NKI239" s="15"/>
      <c r="NKJ239" s="15"/>
      <c r="NKK239" s="15"/>
      <c r="NKL239" s="15"/>
      <c r="NKM239" s="15"/>
      <c r="NKN239" s="15"/>
      <c r="NKO239" s="15"/>
      <c r="NKP239" s="15"/>
      <c r="NKQ239" s="15"/>
      <c r="NKR239" s="15"/>
      <c r="NKS239" s="10"/>
      <c r="NKT239" s="10"/>
      <c r="NKU239" s="21"/>
      <c r="NKV239" s="21"/>
      <c r="NKY239" s="21"/>
      <c r="NKZ239" s="15"/>
      <c r="NLA239" s="15"/>
      <c r="NLB239" s="15"/>
      <c r="NLC239" s="15"/>
      <c r="NLD239" s="15"/>
      <c r="NLE239" s="15"/>
      <c r="NLF239" s="15"/>
      <c r="NLG239" s="15"/>
      <c r="NLH239" s="15"/>
      <c r="NLI239" s="15"/>
      <c r="NLJ239" s="10"/>
      <c r="NLK239" s="10"/>
      <c r="NLL239" s="21"/>
      <c r="NLM239" s="21"/>
      <c r="NLP239" s="21"/>
      <c r="NLQ239" s="15"/>
      <c r="NLR239" s="15"/>
      <c r="NLS239" s="15"/>
      <c r="NLT239" s="15"/>
      <c r="NLU239" s="15"/>
      <c r="NLV239" s="15"/>
      <c r="NLW239" s="15"/>
      <c r="NLX239" s="15"/>
      <c r="NLY239" s="15"/>
      <c r="NLZ239" s="15"/>
      <c r="NMA239" s="10"/>
      <c r="NMB239" s="10"/>
      <c r="NMC239" s="21"/>
      <c r="NMD239" s="21"/>
      <c r="NMG239" s="21"/>
      <c r="NMH239" s="15"/>
      <c r="NMI239" s="15"/>
      <c r="NMJ239" s="15"/>
      <c r="NMK239" s="15"/>
      <c r="NML239" s="15"/>
      <c r="NMM239" s="15"/>
      <c r="NMN239" s="15"/>
      <c r="NMO239" s="15"/>
      <c r="NMP239" s="15"/>
      <c r="NMQ239" s="15"/>
      <c r="NMR239" s="10"/>
      <c r="NMS239" s="10"/>
      <c r="NMT239" s="21"/>
      <c r="NMU239" s="21"/>
      <c r="NMX239" s="21"/>
      <c r="NMY239" s="15"/>
      <c r="NMZ239" s="15"/>
      <c r="NNA239" s="15"/>
      <c r="NNB239" s="15"/>
      <c r="NNC239" s="15"/>
      <c r="NND239" s="15"/>
      <c r="NNE239" s="15"/>
      <c r="NNF239" s="15"/>
      <c r="NNG239" s="15"/>
      <c r="NNH239" s="15"/>
      <c r="NNI239" s="10"/>
      <c r="NNJ239" s="10"/>
      <c r="NNK239" s="21"/>
      <c r="NNL239" s="21"/>
      <c r="NNO239" s="21"/>
      <c r="NNP239" s="15"/>
      <c r="NNQ239" s="15"/>
      <c r="NNR239" s="15"/>
      <c r="NNS239" s="15"/>
      <c r="NNT239" s="15"/>
      <c r="NNU239" s="15"/>
      <c r="NNV239" s="15"/>
      <c r="NNW239" s="15"/>
      <c r="NNX239" s="15"/>
      <c r="NNY239" s="15"/>
      <c r="NNZ239" s="10"/>
      <c r="NOA239" s="10"/>
      <c r="NOB239" s="21"/>
      <c r="NOC239" s="21"/>
      <c r="NOF239" s="21"/>
      <c r="NOG239" s="15"/>
      <c r="NOH239" s="15"/>
      <c r="NOI239" s="15"/>
      <c r="NOJ239" s="15"/>
      <c r="NOK239" s="15"/>
      <c r="NOL239" s="15"/>
      <c r="NOM239" s="15"/>
      <c r="NON239" s="15"/>
      <c r="NOO239" s="15"/>
      <c r="NOP239" s="15"/>
      <c r="NOQ239" s="10"/>
      <c r="NOR239" s="10"/>
      <c r="NOS239" s="21"/>
      <c r="NOT239" s="21"/>
      <c r="NOW239" s="21"/>
      <c r="NOX239" s="15"/>
      <c r="NOY239" s="15"/>
      <c r="NOZ239" s="15"/>
      <c r="NPA239" s="15"/>
      <c r="NPB239" s="15"/>
      <c r="NPC239" s="15"/>
      <c r="NPD239" s="15"/>
      <c r="NPE239" s="15"/>
      <c r="NPF239" s="15"/>
      <c r="NPG239" s="15"/>
      <c r="NPH239" s="10"/>
      <c r="NPI239" s="10"/>
      <c r="NPJ239" s="21"/>
      <c r="NPK239" s="21"/>
      <c r="NPN239" s="21"/>
      <c r="NPO239" s="15"/>
      <c r="NPP239" s="15"/>
      <c r="NPQ239" s="15"/>
      <c r="NPR239" s="15"/>
      <c r="NPS239" s="15"/>
      <c r="NPT239" s="15"/>
      <c r="NPU239" s="15"/>
      <c r="NPV239" s="15"/>
      <c r="NPW239" s="15"/>
      <c r="NPX239" s="15"/>
      <c r="NPY239" s="10"/>
      <c r="NPZ239" s="10"/>
      <c r="NQA239" s="21"/>
      <c r="NQB239" s="21"/>
      <c r="NQE239" s="21"/>
      <c r="NQF239" s="15"/>
      <c r="NQG239" s="15"/>
      <c r="NQH239" s="15"/>
      <c r="NQI239" s="15"/>
      <c r="NQJ239" s="15"/>
      <c r="NQK239" s="15"/>
      <c r="NQL239" s="15"/>
      <c r="NQM239" s="15"/>
      <c r="NQN239" s="15"/>
      <c r="NQO239" s="15"/>
      <c r="NQP239" s="10"/>
      <c r="NQQ239" s="10"/>
      <c r="NQR239" s="21"/>
      <c r="NQS239" s="21"/>
      <c r="NQV239" s="21"/>
      <c r="NQW239" s="15"/>
      <c r="NQX239" s="15"/>
      <c r="NQY239" s="15"/>
      <c r="NQZ239" s="15"/>
      <c r="NRA239" s="15"/>
      <c r="NRB239" s="15"/>
      <c r="NRC239" s="15"/>
      <c r="NRD239" s="15"/>
      <c r="NRE239" s="15"/>
      <c r="NRF239" s="15"/>
      <c r="NRG239" s="10"/>
      <c r="NRH239" s="10"/>
      <c r="NRI239" s="21"/>
      <c r="NRJ239" s="21"/>
      <c r="NRM239" s="21"/>
      <c r="NRN239" s="15"/>
      <c r="NRO239" s="15"/>
      <c r="NRP239" s="15"/>
      <c r="NRQ239" s="15"/>
      <c r="NRR239" s="15"/>
      <c r="NRS239" s="15"/>
      <c r="NRT239" s="15"/>
      <c r="NRU239" s="15"/>
      <c r="NRV239" s="15"/>
      <c r="NRW239" s="15"/>
      <c r="NRX239" s="10"/>
      <c r="NRY239" s="10"/>
      <c r="NRZ239" s="21"/>
      <c r="NSA239" s="21"/>
      <c r="NSD239" s="21"/>
      <c r="NSE239" s="15"/>
      <c r="NSF239" s="15"/>
      <c r="NSG239" s="15"/>
      <c r="NSH239" s="15"/>
      <c r="NSI239" s="15"/>
      <c r="NSJ239" s="15"/>
      <c r="NSK239" s="15"/>
      <c r="NSL239" s="15"/>
      <c r="NSM239" s="15"/>
      <c r="NSN239" s="15"/>
      <c r="NSO239" s="10"/>
      <c r="NSP239" s="10"/>
      <c r="NSQ239" s="21"/>
      <c r="NSR239" s="21"/>
      <c r="NSU239" s="21"/>
      <c r="NSV239" s="15"/>
      <c r="NSW239" s="15"/>
      <c r="NSX239" s="15"/>
      <c r="NSY239" s="15"/>
      <c r="NSZ239" s="15"/>
      <c r="NTA239" s="15"/>
      <c r="NTB239" s="15"/>
      <c r="NTC239" s="15"/>
      <c r="NTD239" s="15"/>
      <c r="NTE239" s="15"/>
      <c r="NTF239" s="10"/>
      <c r="NTG239" s="10"/>
      <c r="NTH239" s="21"/>
      <c r="NTI239" s="21"/>
      <c r="NTL239" s="21"/>
      <c r="NTM239" s="15"/>
      <c r="NTN239" s="15"/>
      <c r="NTO239" s="15"/>
      <c r="NTP239" s="15"/>
      <c r="NTQ239" s="15"/>
      <c r="NTR239" s="15"/>
      <c r="NTS239" s="15"/>
      <c r="NTT239" s="15"/>
      <c r="NTU239" s="15"/>
      <c r="NTV239" s="15"/>
      <c r="NTW239" s="10"/>
      <c r="NTX239" s="10"/>
      <c r="NTY239" s="21"/>
      <c r="NTZ239" s="21"/>
      <c r="NUC239" s="21"/>
      <c r="NUD239" s="15"/>
      <c r="NUE239" s="15"/>
      <c r="NUF239" s="15"/>
      <c r="NUG239" s="15"/>
      <c r="NUH239" s="15"/>
      <c r="NUI239" s="15"/>
      <c r="NUJ239" s="15"/>
      <c r="NUK239" s="15"/>
      <c r="NUL239" s="15"/>
      <c r="NUM239" s="15"/>
      <c r="NUN239" s="10"/>
      <c r="NUO239" s="10"/>
      <c r="NUP239" s="21"/>
      <c r="NUQ239" s="21"/>
      <c r="NUT239" s="21"/>
      <c r="NUU239" s="15"/>
      <c r="NUV239" s="15"/>
      <c r="NUW239" s="15"/>
      <c r="NUX239" s="15"/>
      <c r="NUY239" s="15"/>
      <c r="NUZ239" s="15"/>
      <c r="NVA239" s="15"/>
      <c r="NVB239" s="15"/>
      <c r="NVC239" s="15"/>
      <c r="NVD239" s="15"/>
      <c r="NVE239" s="10"/>
      <c r="NVF239" s="10"/>
      <c r="NVG239" s="21"/>
      <c r="NVH239" s="21"/>
      <c r="NVK239" s="21"/>
      <c r="NVL239" s="15"/>
      <c r="NVM239" s="15"/>
      <c r="NVN239" s="15"/>
      <c r="NVO239" s="15"/>
      <c r="NVP239" s="15"/>
      <c r="NVQ239" s="15"/>
      <c r="NVR239" s="15"/>
      <c r="NVS239" s="15"/>
      <c r="NVT239" s="15"/>
      <c r="NVU239" s="15"/>
      <c r="NVV239" s="10"/>
      <c r="NVW239" s="10"/>
      <c r="NVX239" s="21"/>
      <c r="NVY239" s="21"/>
      <c r="NWB239" s="21"/>
      <c r="NWC239" s="15"/>
      <c r="NWD239" s="15"/>
      <c r="NWE239" s="15"/>
      <c r="NWF239" s="15"/>
      <c r="NWG239" s="15"/>
      <c r="NWH239" s="15"/>
      <c r="NWI239" s="15"/>
      <c r="NWJ239" s="15"/>
      <c r="NWK239" s="15"/>
      <c r="NWL239" s="15"/>
      <c r="NWM239" s="10"/>
      <c r="NWN239" s="10"/>
      <c r="NWO239" s="21"/>
      <c r="NWP239" s="21"/>
      <c r="NWS239" s="21"/>
      <c r="NWT239" s="15"/>
      <c r="NWU239" s="15"/>
      <c r="NWV239" s="15"/>
      <c r="NWW239" s="15"/>
      <c r="NWX239" s="15"/>
      <c r="NWY239" s="15"/>
      <c r="NWZ239" s="15"/>
      <c r="NXA239" s="15"/>
      <c r="NXB239" s="15"/>
      <c r="NXC239" s="15"/>
      <c r="NXD239" s="10"/>
      <c r="NXE239" s="10"/>
      <c r="NXF239" s="21"/>
      <c r="NXG239" s="21"/>
      <c r="NXJ239" s="21"/>
      <c r="NXK239" s="15"/>
      <c r="NXL239" s="15"/>
      <c r="NXM239" s="15"/>
      <c r="NXN239" s="15"/>
      <c r="NXO239" s="15"/>
      <c r="NXP239" s="15"/>
      <c r="NXQ239" s="15"/>
      <c r="NXR239" s="15"/>
      <c r="NXS239" s="15"/>
      <c r="NXT239" s="15"/>
      <c r="NXU239" s="10"/>
      <c r="NXV239" s="10"/>
      <c r="NXW239" s="21"/>
      <c r="NXX239" s="21"/>
      <c r="NYA239" s="21"/>
      <c r="NYB239" s="15"/>
      <c r="NYC239" s="15"/>
      <c r="NYD239" s="15"/>
      <c r="NYE239" s="15"/>
      <c r="NYF239" s="15"/>
      <c r="NYG239" s="15"/>
      <c r="NYH239" s="15"/>
      <c r="NYI239" s="15"/>
      <c r="NYJ239" s="15"/>
      <c r="NYK239" s="15"/>
      <c r="NYL239" s="10"/>
      <c r="NYM239" s="10"/>
      <c r="NYN239" s="21"/>
      <c r="NYO239" s="21"/>
      <c r="NYR239" s="21"/>
      <c r="NYS239" s="15"/>
      <c r="NYT239" s="15"/>
      <c r="NYU239" s="15"/>
      <c r="NYV239" s="15"/>
      <c r="NYW239" s="15"/>
      <c r="NYX239" s="15"/>
      <c r="NYY239" s="15"/>
      <c r="NYZ239" s="15"/>
      <c r="NZA239" s="15"/>
      <c r="NZB239" s="15"/>
      <c r="NZC239" s="10"/>
      <c r="NZD239" s="10"/>
      <c r="NZE239" s="21"/>
      <c r="NZF239" s="21"/>
      <c r="NZI239" s="21"/>
      <c r="NZJ239" s="15"/>
      <c r="NZK239" s="15"/>
      <c r="NZL239" s="15"/>
      <c r="NZM239" s="15"/>
      <c r="NZN239" s="15"/>
      <c r="NZO239" s="15"/>
      <c r="NZP239" s="15"/>
      <c r="NZQ239" s="15"/>
      <c r="NZR239" s="15"/>
      <c r="NZS239" s="15"/>
      <c r="NZT239" s="10"/>
      <c r="NZU239" s="10"/>
      <c r="NZV239" s="21"/>
      <c r="NZW239" s="21"/>
      <c r="NZZ239" s="21"/>
      <c r="OAA239" s="15"/>
      <c r="OAB239" s="15"/>
      <c r="OAC239" s="15"/>
      <c r="OAD239" s="15"/>
      <c r="OAE239" s="15"/>
      <c r="OAF239" s="15"/>
      <c r="OAG239" s="15"/>
      <c r="OAH239" s="15"/>
      <c r="OAI239" s="15"/>
      <c r="OAJ239" s="15"/>
      <c r="OAK239" s="10"/>
      <c r="OAL239" s="10"/>
      <c r="OAM239" s="21"/>
      <c r="OAN239" s="21"/>
      <c r="OAQ239" s="21"/>
      <c r="OAR239" s="15"/>
      <c r="OAS239" s="15"/>
      <c r="OAT239" s="15"/>
      <c r="OAU239" s="15"/>
      <c r="OAV239" s="15"/>
      <c r="OAW239" s="15"/>
      <c r="OAX239" s="15"/>
      <c r="OAY239" s="15"/>
      <c r="OAZ239" s="15"/>
      <c r="OBA239" s="15"/>
      <c r="OBB239" s="10"/>
      <c r="OBC239" s="10"/>
      <c r="OBD239" s="21"/>
      <c r="OBE239" s="21"/>
      <c r="OBH239" s="21"/>
      <c r="OBI239" s="15"/>
      <c r="OBJ239" s="15"/>
      <c r="OBK239" s="15"/>
      <c r="OBL239" s="15"/>
      <c r="OBM239" s="15"/>
      <c r="OBN239" s="15"/>
      <c r="OBO239" s="15"/>
      <c r="OBP239" s="15"/>
      <c r="OBQ239" s="15"/>
      <c r="OBR239" s="15"/>
      <c r="OBS239" s="10"/>
      <c r="OBT239" s="10"/>
      <c r="OBU239" s="21"/>
      <c r="OBV239" s="21"/>
      <c r="OBY239" s="21"/>
      <c r="OBZ239" s="15"/>
      <c r="OCA239" s="15"/>
      <c r="OCB239" s="15"/>
      <c r="OCC239" s="15"/>
      <c r="OCD239" s="15"/>
      <c r="OCE239" s="15"/>
      <c r="OCF239" s="15"/>
      <c r="OCG239" s="15"/>
      <c r="OCH239" s="15"/>
      <c r="OCI239" s="15"/>
      <c r="OCJ239" s="10"/>
      <c r="OCK239" s="10"/>
      <c r="OCL239" s="21"/>
      <c r="OCM239" s="21"/>
      <c r="OCP239" s="21"/>
      <c r="OCQ239" s="15"/>
      <c r="OCR239" s="15"/>
      <c r="OCS239" s="15"/>
      <c r="OCT239" s="15"/>
      <c r="OCU239" s="15"/>
      <c r="OCV239" s="15"/>
      <c r="OCW239" s="15"/>
      <c r="OCX239" s="15"/>
      <c r="OCY239" s="15"/>
      <c r="OCZ239" s="15"/>
      <c r="ODA239" s="10"/>
      <c r="ODB239" s="10"/>
      <c r="ODC239" s="21"/>
      <c r="ODD239" s="21"/>
      <c r="ODG239" s="21"/>
      <c r="ODH239" s="15"/>
      <c r="ODI239" s="15"/>
      <c r="ODJ239" s="15"/>
      <c r="ODK239" s="15"/>
      <c r="ODL239" s="15"/>
      <c r="ODM239" s="15"/>
      <c r="ODN239" s="15"/>
      <c r="ODO239" s="15"/>
      <c r="ODP239" s="15"/>
      <c r="ODQ239" s="15"/>
      <c r="ODR239" s="10"/>
      <c r="ODS239" s="10"/>
      <c r="ODT239" s="21"/>
      <c r="ODU239" s="21"/>
      <c r="ODX239" s="21"/>
      <c r="ODY239" s="15"/>
      <c r="ODZ239" s="15"/>
      <c r="OEA239" s="15"/>
      <c r="OEB239" s="15"/>
      <c r="OEC239" s="15"/>
      <c r="OED239" s="15"/>
      <c r="OEE239" s="15"/>
      <c r="OEF239" s="15"/>
      <c r="OEG239" s="15"/>
      <c r="OEH239" s="15"/>
      <c r="OEI239" s="10"/>
      <c r="OEJ239" s="10"/>
      <c r="OEK239" s="21"/>
      <c r="OEL239" s="21"/>
      <c r="OEO239" s="21"/>
      <c r="OEP239" s="15"/>
      <c r="OEQ239" s="15"/>
      <c r="OER239" s="15"/>
      <c r="OES239" s="15"/>
      <c r="OET239" s="15"/>
      <c r="OEU239" s="15"/>
      <c r="OEV239" s="15"/>
      <c r="OEW239" s="15"/>
      <c r="OEX239" s="15"/>
      <c r="OEY239" s="15"/>
      <c r="OEZ239" s="10"/>
      <c r="OFA239" s="10"/>
      <c r="OFB239" s="21"/>
      <c r="OFC239" s="21"/>
      <c r="OFF239" s="21"/>
      <c r="OFG239" s="15"/>
      <c r="OFH239" s="15"/>
      <c r="OFI239" s="15"/>
      <c r="OFJ239" s="15"/>
      <c r="OFK239" s="15"/>
      <c r="OFL239" s="15"/>
      <c r="OFM239" s="15"/>
      <c r="OFN239" s="15"/>
      <c r="OFO239" s="15"/>
      <c r="OFP239" s="15"/>
      <c r="OFQ239" s="10"/>
      <c r="OFR239" s="10"/>
      <c r="OFS239" s="21"/>
      <c r="OFT239" s="21"/>
      <c r="OFW239" s="21"/>
      <c r="OFX239" s="15"/>
      <c r="OFY239" s="15"/>
      <c r="OFZ239" s="15"/>
      <c r="OGA239" s="15"/>
      <c r="OGB239" s="15"/>
      <c r="OGC239" s="15"/>
      <c r="OGD239" s="15"/>
      <c r="OGE239" s="15"/>
      <c r="OGF239" s="15"/>
      <c r="OGG239" s="15"/>
      <c r="OGH239" s="10"/>
      <c r="OGI239" s="10"/>
      <c r="OGJ239" s="21"/>
      <c r="OGK239" s="21"/>
      <c r="OGN239" s="21"/>
      <c r="OGO239" s="15"/>
      <c r="OGP239" s="15"/>
      <c r="OGQ239" s="15"/>
      <c r="OGR239" s="15"/>
      <c r="OGS239" s="15"/>
      <c r="OGT239" s="15"/>
      <c r="OGU239" s="15"/>
      <c r="OGV239" s="15"/>
      <c r="OGW239" s="15"/>
      <c r="OGX239" s="15"/>
      <c r="OGY239" s="10"/>
      <c r="OGZ239" s="10"/>
      <c r="OHA239" s="21"/>
      <c r="OHB239" s="21"/>
      <c r="OHE239" s="21"/>
      <c r="OHF239" s="15"/>
      <c r="OHG239" s="15"/>
      <c r="OHH239" s="15"/>
      <c r="OHI239" s="15"/>
      <c r="OHJ239" s="15"/>
      <c r="OHK239" s="15"/>
      <c r="OHL239" s="15"/>
      <c r="OHM239" s="15"/>
      <c r="OHN239" s="15"/>
      <c r="OHO239" s="15"/>
      <c r="OHP239" s="10"/>
      <c r="OHQ239" s="10"/>
      <c r="OHR239" s="21"/>
      <c r="OHS239" s="21"/>
      <c r="OHV239" s="21"/>
      <c r="OHW239" s="15"/>
      <c r="OHX239" s="15"/>
      <c r="OHY239" s="15"/>
      <c r="OHZ239" s="15"/>
      <c r="OIA239" s="15"/>
      <c r="OIB239" s="15"/>
      <c r="OIC239" s="15"/>
      <c r="OID239" s="15"/>
      <c r="OIE239" s="15"/>
      <c r="OIF239" s="15"/>
      <c r="OIG239" s="10"/>
      <c r="OIH239" s="10"/>
      <c r="OII239" s="21"/>
      <c r="OIJ239" s="21"/>
      <c r="OIM239" s="21"/>
      <c r="OIN239" s="15"/>
      <c r="OIO239" s="15"/>
      <c r="OIP239" s="15"/>
      <c r="OIQ239" s="15"/>
      <c r="OIR239" s="15"/>
      <c r="OIS239" s="15"/>
      <c r="OIT239" s="15"/>
      <c r="OIU239" s="15"/>
      <c r="OIV239" s="15"/>
      <c r="OIW239" s="15"/>
      <c r="OIX239" s="10"/>
      <c r="OIY239" s="10"/>
      <c r="OIZ239" s="21"/>
      <c r="OJA239" s="21"/>
      <c r="OJD239" s="21"/>
      <c r="OJE239" s="15"/>
      <c r="OJF239" s="15"/>
      <c r="OJG239" s="15"/>
      <c r="OJH239" s="15"/>
      <c r="OJI239" s="15"/>
      <c r="OJJ239" s="15"/>
      <c r="OJK239" s="15"/>
      <c r="OJL239" s="15"/>
      <c r="OJM239" s="15"/>
      <c r="OJN239" s="15"/>
      <c r="OJO239" s="10"/>
      <c r="OJP239" s="10"/>
      <c r="OJQ239" s="21"/>
      <c r="OJR239" s="21"/>
      <c r="OJU239" s="21"/>
      <c r="OJV239" s="15"/>
      <c r="OJW239" s="15"/>
      <c r="OJX239" s="15"/>
      <c r="OJY239" s="15"/>
      <c r="OJZ239" s="15"/>
      <c r="OKA239" s="15"/>
      <c r="OKB239" s="15"/>
      <c r="OKC239" s="15"/>
      <c r="OKD239" s="15"/>
      <c r="OKE239" s="15"/>
      <c r="OKF239" s="10"/>
      <c r="OKG239" s="10"/>
      <c r="OKH239" s="21"/>
      <c r="OKI239" s="21"/>
      <c r="OKL239" s="21"/>
      <c r="OKM239" s="15"/>
      <c r="OKN239" s="15"/>
      <c r="OKO239" s="15"/>
      <c r="OKP239" s="15"/>
      <c r="OKQ239" s="15"/>
      <c r="OKR239" s="15"/>
      <c r="OKS239" s="15"/>
      <c r="OKT239" s="15"/>
      <c r="OKU239" s="15"/>
      <c r="OKV239" s="15"/>
      <c r="OKW239" s="10"/>
      <c r="OKX239" s="10"/>
      <c r="OKY239" s="21"/>
      <c r="OKZ239" s="21"/>
      <c r="OLC239" s="21"/>
      <c r="OLD239" s="15"/>
      <c r="OLE239" s="15"/>
      <c r="OLF239" s="15"/>
      <c r="OLG239" s="15"/>
      <c r="OLH239" s="15"/>
      <c r="OLI239" s="15"/>
      <c r="OLJ239" s="15"/>
      <c r="OLK239" s="15"/>
      <c r="OLL239" s="15"/>
      <c r="OLM239" s="15"/>
      <c r="OLN239" s="10"/>
      <c r="OLO239" s="10"/>
      <c r="OLP239" s="21"/>
      <c r="OLQ239" s="21"/>
      <c r="OLT239" s="21"/>
      <c r="OLU239" s="15"/>
      <c r="OLV239" s="15"/>
      <c r="OLW239" s="15"/>
      <c r="OLX239" s="15"/>
      <c r="OLY239" s="15"/>
      <c r="OLZ239" s="15"/>
      <c r="OMA239" s="15"/>
      <c r="OMB239" s="15"/>
      <c r="OMC239" s="15"/>
      <c r="OMD239" s="15"/>
      <c r="OME239" s="10"/>
      <c r="OMF239" s="10"/>
      <c r="OMG239" s="21"/>
      <c r="OMH239" s="21"/>
      <c r="OMK239" s="21"/>
      <c r="OML239" s="15"/>
      <c r="OMM239" s="15"/>
      <c r="OMN239" s="15"/>
      <c r="OMO239" s="15"/>
      <c r="OMP239" s="15"/>
      <c r="OMQ239" s="15"/>
      <c r="OMR239" s="15"/>
      <c r="OMS239" s="15"/>
      <c r="OMT239" s="15"/>
      <c r="OMU239" s="15"/>
      <c r="OMV239" s="10"/>
      <c r="OMW239" s="10"/>
      <c r="OMX239" s="21"/>
      <c r="OMY239" s="21"/>
      <c r="ONB239" s="21"/>
      <c r="ONC239" s="15"/>
      <c r="OND239" s="15"/>
      <c r="ONE239" s="15"/>
      <c r="ONF239" s="15"/>
      <c r="ONG239" s="15"/>
      <c r="ONH239" s="15"/>
      <c r="ONI239" s="15"/>
      <c r="ONJ239" s="15"/>
      <c r="ONK239" s="15"/>
      <c r="ONL239" s="15"/>
      <c r="ONM239" s="10"/>
      <c r="ONN239" s="10"/>
      <c r="ONO239" s="21"/>
      <c r="ONP239" s="21"/>
      <c r="ONS239" s="21"/>
      <c r="ONT239" s="15"/>
      <c r="ONU239" s="15"/>
      <c r="ONV239" s="15"/>
      <c r="ONW239" s="15"/>
      <c r="ONX239" s="15"/>
      <c r="ONY239" s="15"/>
      <c r="ONZ239" s="15"/>
      <c r="OOA239" s="15"/>
      <c r="OOB239" s="15"/>
      <c r="OOC239" s="15"/>
      <c r="OOD239" s="10"/>
      <c r="OOE239" s="10"/>
      <c r="OOF239" s="21"/>
      <c r="OOG239" s="21"/>
      <c r="OOJ239" s="21"/>
      <c r="OOK239" s="15"/>
      <c r="OOL239" s="15"/>
      <c r="OOM239" s="15"/>
      <c r="OON239" s="15"/>
      <c r="OOO239" s="15"/>
      <c r="OOP239" s="15"/>
      <c r="OOQ239" s="15"/>
      <c r="OOR239" s="15"/>
      <c r="OOS239" s="15"/>
      <c r="OOT239" s="15"/>
      <c r="OOU239" s="10"/>
      <c r="OOV239" s="10"/>
      <c r="OOW239" s="21"/>
      <c r="OOX239" s="21"/>
      <c r="OPA239" s="21"/>
      <c r="OPB239" s="15"/>
      <c r="OPC239" s="15"/>
      <c r="OPD239" s="15"/>
      <c r="OPE239" s="15"/>
      <c r="OPF239" s="15"/>
      <c r="OPG239" s="15"/>
      <c r="OPH239" s="15"/>
      <c r="OPI239" s="15"/>
      <c r="OPJ239" s="15"/>
      <c r="OPK239" s="15"/>
      <c r="OPL239" s="10"/>
      <c r="OPM239" s="10"/>
      <c r="OPN239" s="21"/>
      <c r="OPO239" s="21"/>
      <c r="OPR239" s="21"/>
      <c r="OPS239" s="15"/>
      <c r="OPT239" s="15"/>
      <c r="OPU239" s="15"/>
      <c r="OPV239" s="15"/>
      <c r="OPW239" s="15"/>
      <c r="OPX239" s="15"/>
      <c r="OPY239" s="15"/>
      <c r="OPZ239" s="15"/>
      <c r="OQA239" s="15"/>
      <c r="OQB239" s="15"/>
      <c r="OQC239" s="10"/>
      <c r="OQD239" s="10"/>
      <c r="OQE239" s="21"/>
      <c r="OQF239" s="21"/>
      <c r="OQI239" s="21"/>
      <c r="OQJ239" s="15"/>
      <c r="OQK239" s="15"/>
      <c r="OQL239" s="15"/>
      <c r="OQM239" s="15"/>
      <c r="OQN239" s="15"/>
      <c r="OQO239" s="15"/>
      <c r="OQP239" s="15"/>
      <c r="OQQ239" s="15"/>
      <c r="OQR239" s="15"/>
      <c r="OQS239" s="15"/>
      <c r="OQT239" s="10"/>
      <c r="OQU239" s="10"/>
      <c r="OQV239" s="21"/>
      <c r="OQW239" s="21"/>
      <c r="OQZ239" s="21"/>
      <c r="ORA239" s="15"/>
      <c r="ORB239" s="15"/>
      <c r="ORC239" s="15"/>
      <c r="ORD239" s="15"/>
      <c r="ORE239" s="15"/>
      <c r="ORF239" s="15"/>
      <c r="ORG239" s="15"/>
      <c r="ORH239" s="15"/>
      <c r="ORI239" s="15"/>
      <c r="ORJ239" s="15"/>
      <c r="ORK239" s="10"/>
      <c r="ORL239" s="10"/>
      <c r="ORM239" s="21"/>
      <c r="ORN239" s="21"/>
      <c r="ORQ239" s="21"/>
      <c r="ORR239" s="15"/>
      <c r="ORS239" s="15"/>
      <c r="ORT239" s="15"/>
      <c r="ORU239" s="15"/>
      <c r="ORV239" s="15"/>
      <c r="ORW239" s="15"/>
      <c r="ORX239" s="15"/>
      <c r="ORY239" s="15"/>
      <c r="ORZ239" s="15"/>
      <c r="OSA239" s="15"/>
      <c r="OSB239" s="10"/>
      <c r="OSC239" s="10"/>
      <c r="OSD239" s="21"/>
      <c r="OSE239" s="21"/>
      <c r="OSH239" s="21"/>
      <c r="OSI239" s="15"/>
      <c r="OSJ239" s="15"/>
      <c r="OSK239" s="15"/>
      <c r="OSL239" s="15"/>
      <c r="OSM239" s="15"/>
      <c r="OSN239" s="15"/>
      <c r="OSO239" s="15"/>
      <c r="OSP239" s="15"/>
      <c r="OSQ239" s="15"/>
      <c r="OSR239" s="15"/>
      <c r="OSS239" s="10"/>
      <c r="OST239" s="10"/>
      <c r="OSU239" s="21"/>
      <c r="OSV239" s="21"/>
      <c r="OSY239" s="21"/>
      <c r="OSZ239" s="15"/>
      <c r="OTA239" s="15"/>
      <c r="OTB239" s="15"/>
      <c r="OTC239" s="15"/>
      <c r="OTD239" s="15"/>
      <c r="OTE239" s="15"/>
      <c r="OTF239" s="15"/>
      <c r="OTG239" s="15"/>
      <c r="OTH239" s="15"/>
      <c r="OTI239" s="15"/>
      <c r="OTJ239" s="10"/>
      <c r="OTK239" s="10"/>
      <c r="OTL239" s="21"/>
      <c r="OTM239" s="21"/>
      <c r="OTP239" s="21"/>
      <c r="OTQ239" s="15"/>
      <c r="OTR239" s="15"/>
      <c r="OTS239" s="15"/>
      <c r="OTT239" s="15"/>
      <c r="OTU239" s="15"/>
      <c r="OTV239" s="15"/>
      <c r="OTW239" s="15"/>
      <c r="OTX239" s="15"/>
      <c r="OTY239" s="15"/>
      <c r="OTZ239" s="15"/>
      <c r="OUA239" s="10"/>
      <c r="OUB239" s="10"/>
      <c r="OUC239" s="21"/>
      <c r="OUD239" s="21"/>
      <c r="OUG239" s="21"/>
      <c r="OUH239" s="15"/>
      <c r="OUI239" s="15"/>
      <c r="OUJ239" s="15"/>
      <c r="OUK239" s="15"/>
      <c r="OUL239" s="15"/>
      <c r="OUM239" s="15"/>
      <c r="OUN239" s="15"/>
      <c r="OUO239" s="15"/>
      <c r="OUP239" s="15"/>
      <c r="OUQ239" s="15"/>
      <c r="OUR239" s="10"/>
      <c r="OUS239" s="10"/>
      <c r="OUT239" s="21"/>
      <c r="OUU239" s="21"/>
      <c r="OUX239" s="21"/>
      <c r="OUY239" s="15"/>
      <c r="OUZ239" s="15"/>
      <c r="OVA239" s="15"/>
      <c r="OVB239" s="15"/>
      <c r="OVC239" s="15"/>
      <c r="OVD239" s="15"/>
      <c r="OVE239" s="15"/>
      <c r="OVF239" s="15"/>
      <c r="OVG239" s="15"/>
      <c r="OVH239" s="15"/>
      <c r="OVI239" s="10"/>
      <c r="OVJ239" s="10"/>
      <c r="OVK239" s="21"/>
      <c r="OVL239" s="21"/>
      <c r="OVO239" s="21"/>
      <c r="OVP239" s="15"/>
      <c r="OVQ239" s="15"/>
      <c r="OVR239" s="15"/>
      <c r="OVS239" s="15"/>
      <c r="OVT239" s="15"/>
      <c r="OVU239" s="15"/>
      <c r="OVV239" s="15"/>
      <c r="OVW239" s="15"/>
      <c r="OVX239" s="15"/>
      <c r="OVY239" s="15"/>
      <c r="OVZ239" s="10"/>
      <c r="OWA239" s="10"/>
      <c r="OWB239" s="21"/>
      <c r="OWC239" s="21"/>
      <c r="OWF239" s="21"/>
      <c r="OWG239" s="15"/>
      <c r="OWH239" s="15"/>
      <c r="OWI239" s="15"/>
      <c r="OWJ239" s="15"/>
      <c r="OWK239" s="15"/>
      <c r="OWL239" s="15"/>
      <c r="OWM239" s="15"/>
      <c r="OWN239" s="15"/>
      <c r="OWO239" s="15"/>
      <c r="OWP239" s="15"/>
      <c r="OWQ239" s="10"/>
      <c r="OWR239" s="10"/>
      <c r="OWS239" s="21"/>
      <c r="OWT239" s="21"/>
      <c r="OWW239" s="21"/>
      <c r="OWX239" s="15"/>
      <c r="OWY239" s="15"/>
      <c r="OWZ239" s="15"/>
      <c r="OXA239" s="15"/>
      <c r="OXB239" s="15"/>
      <c r="OXC239" s="15"/>
      <c r="OXD239" s="15"/>
      <c r="OXE239" s="15"/>
      <c r="OXF239" s="15"/>
      <c r="OXG239" s="15"/>
      <c r="OXH239" s="10"/>
      <c r="OXI239" s="10"/>
      <c r="OXJ239" s="21"/>
      <c r="OXK239" s="21"/>
      <c r="OXN239" s="21"/>
      <c r="OXO239" s="15"/>
      <c r="OXP239" s="15"/>
      <c r="OXQ239" s="15"/>
      <c r="OXR239" s="15"/>
      <c r="OXS239" s="15"/>
      <c r="OXT239" s="15"/>
      <c r="OXU239" s="15"/>
      <c r="OXV239" s="15"/>
      <c r="OXW239" s="15"/>
      <c r="OXX239" s="15"/>
      <c r="OXY239" s="10"/>
      <c r="OXZ239" s="10"/>
      <c r="OYA239" s="21"/>
      <c r="OYB239" s="21"/>
      <c r="OYE239" s="21"/>
      <c r="OYF239" s="15"/>
      <c r="OYG239" s="15"/>
      <c r="OYH239" s="15"/>
      <c r="OYI239" s="15"/>
      <c r="OYJ239" s="15"/>
      <c r="OYK239" s="15"/>
      <c r="OYL239" s="15"/>
      <c r="OYM239" s="15"/>
      <c r="OYN239" s="15"/>
      <c r="OYO239" s="15"/>
      <c r="OYP239" s="10"/>
      <c r="OYQ239" s="10"/>
      <c r="OYR239" s="21"/>
      <c r="OYS239" s="21"/>
      <c r="OYV239" s="21"/>
      <c r="OYW239" s="15"/>
      <c r="OYX239" s="15"/>
      <c r="OYY239" s="15"/>
      <c r="OYZ239" s="15"/>
      <c r="OZA239" s="15"/>
      <c r="OZB239" s="15"/>
      <c r="OZC239" s="15"/>
      <c r="OZD239" s="15"/>
      <c r="OZE239" s="15"/>
      <c r="OZF239" s="15"/>
      <c r="OZG239" s="10"/>
      <c r="OZH239" s="10"/>
      <c r="OZI239" s="21"/>
      <c r="OZJ239" s="21"/>
      <c r="OZM239" s="21"/>
      <c r="OZN239" s="15"/>
      <c r="OZO239" s="15"/>
      <c r="OZP239" s="15"/>
      <c r="OZQ239" s="15"/>
      <c r="OZR239" s="15"/>
      <c r="OZS239" s="15"/>
      <c r="OZT239" s="15"/>
      <c r="OZU239" s="15"/>
      <c r="OZV239" s="15"/>
      <c r="OZW239" s="15"/>
      <c r="OZX239" s="10"/>
      <c r="OZY239" s="10"/>
      <c r="OZZ239" s="21"/>
      <c r="PAA239" s="21"/>
      <c r="PAD239" s="21"/>
      <c r="PAE239" s="15"/>
      <c r="PAF239" s="15"/>
      <c r="PAG239" s="15"/>
      <c r="PAH239" s="15"/>
      <c r="PAI239" s="15"/>
      <c r="PAJ239" s="15"/>
      <c r="PAK239" s="15"/>
      <c r="PAL239" s="15"/>
      <c r="PAM239" s="15"/>
      <c r="PAN239" s="15"/>
      <c r="PAO239" s="10"/>
      <c r="PAP239" s="10"/>
      <c r="PAQ239" s="21"/>
      <c r="PAR239" s="21"/>
      <c r="PAU239" s="21"/>
      <c r="PAV239" s="15"/>
      <c r="PAW239" s="15"/>
      <c r="PAX239" s="15"/>
      <c r="PAY239" s="15"/>
      <c r="PAZ239" s="15"/>
      <c r="PBA239" s="15"/>
      <c r="PBB239" s="15"/>
      <c r="PBC239" s="15"/>
      <c r="PBD239" s="15"/>
      <c r="PBE239" s="15"/>
      <c r="PBF239" s="10"/>
      <c r="PBG239" s="10"/>
      <c r="PBH239" s="21"/>
      <c r="PBI239" s="21"/>
      <c r="PBL239" s="21"/>
      <c r="PBM239" s="15"/>
      <c r="PBN239" s="15"/>
      <c r="PBO239" s="15"/>
      <c r="PBP239" s="15"/>
      <c r="PBQ239" s="15"/>
      <c r="PBR239" s="15"/>
      <c r="PBS239" s="15"/>
      <c r="PBT239" s="15"/>
      <c r="PBU239" s="15"/>
      <c r="PBV239" s="15"/>
      <c r="PBW239" s="10"/>
      <c r="PBX239" s="10"/>
      <c r="PBY239" s="21"/>
      <c r="PBZ239" s="21"/>
      <c r="PCC239" s="21"/>
      <c r="PCD239" s="15"/>
      <c r="PCE239" s="15"/>
      <c r="PCF239" s="15"/>
      <c r="PCG239" s="15"/>
      <c r="PCH239" s="15"/>
      <c r="PCI239" s="15"/>
      <c r="PCJ239" s="15"/>
      <c r="PCK239" s="15"/>
      <c r="PCL239" s="15"/>
      <c r="PCM239" s="15"/>
      <c r="PCN239" s="10"/>
      <c r="PCO239" s="10"/>
      <c r="PCP239" s="21"/>
      <c r="PCQ239" s="21"/>
      <c r="PCT239" s="21"/>
      <c r="PCU239" s="15"/>
      <c r="PCV239" s="15"/>
      <c r="PCW239" s="15"/>
      <c r="PCX239" s="15"/>
      <c r="PCY239" s="15"/>
      <c r="PCZ239" s="15"/>
      <c r="PDA239" s="15"/>
      <c r="PDB239" s="15"/>
      <c r="PDC239" s="15"/>
      <c r="PDD239" s="15"/>
      <c r="PDE239" s="10"/>
      <c r="PDF239" s="10"/>
      <c r="PDG239" s="21"/>
      <c r="PDH239" s="21"/>
      <c r="PDK239" s="21"/>
      <c r="PDL239" s="15"/>
      <c r="PDM239" s="15"/>
      <c r="PDN239" s="15"/>
      <c r="PDO239" s="15"/>
      <c r="PDP239" s="15"/>
      <c r="PDQ239" s="15"/>
      <c r="PDR239" s="15"/>
      <c r="PDS239" s="15"/>
      <c r="PDT239" s="15"/>
      <c r="PDU239" s="15"/>
      <c r="PDV239" s="10"/>
      <c r="PDW239" s="10"/>
      <c r="PDX239" s="21"/>
      <c r="PDY239" s="21"/>
      <c r="PEB239" s="21"/>
      <c r="PEC239" s="15"/>
      <c r="PED239" s="15"/>
      <c r="PEE239" s="15"/>
      <c r="PEF239" s="15"/>
      <c r="PEG239" s="15"/>
      <c r="PEH239" s="15"/>
      <c r="PEI239" s="15"/>
      <c r="PEJ239" s="15"/>
      <c r="PEK239" s="15"/>
      <c r="PEL239" s="15"/>
      <c r="PEM239" s="10"/>
      <c r="PEN239" s="10"/>
      <c r="PEO239" s="21"/>
      <c r="PEP239" s="21"/>
      <c r="PES239" s="21"/>
      <c r="PET239" s="15"/>
      <c r="PEU239" s="15"/>
      <c r="PEV239" s="15"/>
      <c r="PEW239" s="15"/>
      <c r="PEX239" s="15"/>
      <c r="PEY239" s="15"/>
      <c r="PEZ239" s="15"/>
      <c r="PFA239" s="15"/>
      <c r="PFB239" s="15"/>
      <c r="PFC239" s="15"/>
      <c r="PFD239" s="10"/>
      <c r="PFE239" s="10"/>
      <c r="PFF239" s="21"/>
      <c r="PFG239" s="21"/>
      <c r="PFJ239" s="21"/>
      <c r="PFK239" s="15"/>
      <c r="PFL239" s="15"/>
      <c r="PFM239" s="15"/>
      <c r="PFN239" s="15"/>
      <c r="PFO239" s="15"/>
      <c r="PFP239" s="15"/>
      <c r="PFQ239" s="15"/>
      <c r="PFR239" s="15"/>
      <c r="PFS239" s="15"/>
      <c r="PFT239" s="15"/>
      <c r="PFU239" s="10"/>
      <c r="PFV239" s="10"/>
      <c r="PFW239" s="21"/>
      <c r="PFX239" s="21"/>
      <c r="PGA239" s="21"/>
      <c r="PGB239" s="15"/>
      <c r="PGC239" s="15"/>
      <c r="PGD239" s="15"/>
      <c r="PGE239" s="15"/>
      <c r="PGF239" s="15"/>
      <c r="PGG239" s="15"/>
      <c r="PGH239" s="15"/>
      <c r="PGI239" s="15"/>
      <c r="PGJ239" s="15"/>
      <c r="PGK239" s="15"/>
      <c r="PGL239" s="10"/>
      <c r="PGM239" s="10"/>
      <c r="PGN239" s="21"/>
      <c r="PGO239" s="21"/>
      <c r="PGR239" s="21"/>
      <c r="PGS239" s="15"/>
      <c r="PGT239" s="15"/>
      <c r="PGU239" s="15"/>
      <c r="PGV239" s="15"/>
      <c r="PGW239" s="15"/>
      <c r="PGX239" s="15"/>
      <c r="PGY239" s="15"/>
      <c r="PGZ239" s="15"/>
      <c r="PHA239" s="15"/>
      <c r="PHB239" s="15"/>
      <c r="PHC239" s="10"/>
      <c r="PHD239" s="10"/>
      <c r="PHE239" s="21"/>
      <c r="PHF239" s="21"/>
      <c r="PHI239" s="21"/>
      <c r="PHJ239" s="15"/>
      <c r="PHK239" s="15"/>
      <c r="PHL239" s="15"/>
      <c r="PHM239" s="15"/>
      <c r="PHN239" s="15"/>
      <c r="PHO239" s="15"/>
      <c r="PHP239" s="15"/>
      <c r="PHQ239" s="15"/>
      <c r="PHR239" s="15"/>
      <c r="PHS239" s="15"/>
      <c r="PHT239" s="10"/>
      <c r="PHU239" s="10"/>
      <c r="PHV239" s="21"/>
      <c r="PHW239" s="21"/>
      <c r="PHZ239" s="21"/>
      <c r="PIA239" s="15"/>
      <c r="PIB239" s="15"/>
      <c r="PIC239" s="15"/>
      <c r="PID239" s="15"/>
      <c r="PIE239" s="15"/>
      <c r="PIF239" s="15"/>
      <c r="PIG239" s="15"/>
      <c r="PIH239" s="15"/>
      <c r="PII239" s="15"/>
      <c r="PIJ239" s="15"/>
      <c r="PIK239" s="10"/>
      <c r="PIL239" s="10"/>
      <c r="PIM239" s="21"/>
      <c r="PIN239" s="21"/>
      <c r="PIQ239" s="21"/>
      <c r="PIR239" s="15"/>
      <c r="PIS239" s="15"/>
      <c r="PIT239" s="15"/>
      <c r="PIU239" s="15"/>
      <c r="PIV239" s="15"/>
      <c r="PIW239" s="15"/>
      <c r="PIX239" s="15"/>
      <c r="PIY239" s="15"/>
      <c r="PIZ239" s="15"/>
      <c r="PJA239" s="15"/>
      <c r="PJB239" s="10"/>
      <c r="PJC239" s="10"/>
      <c r="PJD239" s="21"/>
      <c r="PJE239" s="21"/>
      <c r="PJH239" s="21"/>
      <c r="PJI239" s="15"/>
      <c r="PJJ239" s="15"/>
      <c r="PJK239" s="15"/>
      <c r="PJL239" s="15"/>
      <c r="PJM239" s="15"/>
      <c r="PJN239" s="15"/>
      <c r="PJO239" s="15"/>
      <c r="PJP239" s="15"/>
      <c r="PJQ239" s="15"/>
      <c r="PJR239" s="15"/>
      <c r="PJS239" s="10"/>
      <c r="PJT239" s="10"/>
      <c r="PJU239" s="21"/>
      <c r="PJV239" s="21"/>
      <c r="PJY239" s="21"/>
      <c r="PJZ239" s="15"/>
      <c r="PKA239" s="15"/>
      <c r="PKB239" s="15"/>
      <c r="PKC239" s="15"/>
      <c r="PKD239" s="15"/>
      <c r="PKE239" s="15"/>
      <c r="PKF239" s="15"/>
      <c r="PKG239" s="15"/>
      <c r="PKH239" s="15"/>
      <c r="PKI239" s="15"/>
      <c r="PKJ239" s="10"/>
      <c r="PKK239" s="10"/>
      <c r="PKL239" s="21"/>
      <c r="PKM239" s="21"/>
      <c r="PKP239" s="21"/>
      <c r="PKQ239" s="15"/>
      <c r="PKR239" s="15"/>
      <c r="PKS239" s="15"/>
      <c r="PKT239" s="15"/>
      <c r="PKU239" s="15"/>
      <c r="PKV239" s="15"/>
      <c r="PKW239" s="15"/>
      <c r="PKX239" s="15"/>
      <c r="PKY239" s="15"/>
      <c r="PKZ239" s="15"/>
      <c r="PLA239" s="10"/>
      <c r="PLB239" s="10"/>
      <c r="PLC239" s="21"/>
      <c r="PLD239" s="21"/>
      <c r="PLG239" s="21"/>
      <c r="PLH239" s="15"/>
      <c r="PLI239" s="15"/>
      <c r="PLJ239" s="15"/>
      <c r="PLK239" s="15"/>
      <c r="PLL239" s="15"/>
      <c r="PLM239" s="15"/>
      <c r="PLN239" s="15"/>
      <c r="PLO239" s="15"/>
      <c r="PLP239" s="15"/>
      <c r="PLQ239" s="15"/>
      <c r="PLR239" s="10"/>
      <c r="PLS239" s="10"/>
      <c r="PLT239" s="21"/>
      <c r="PLU239" s="21"/>
      <c r="PLX239" s="21"/>
      <c r="PLY239" s="15"/>
      <c r="PLZ239" s="15"/>
      <c r="PMA239" s="15"/>
      <c r="PMB239" s="15"/>
      <c r="PMC239" s="15"/>
      <c r="PMD239" s="15"/>
      <c r="PME239" s="15"/>
      <c r="PMF239" s="15"/>
      <c r="PMG239" s="15"/>
      <c r="PMH239" s="15"/>
      <c r="PMI239" s="10"/>
      <c r="PMJ239" s="10"/>
      <c r="PMK239" s="21"/>
      <c r="PML239" s="21"/>
      <c r="PMO239" s="21"/>
      <c r="PMP239" s="15"/>
      <c r="PMQ239" s="15"/>
      <c r="PMR239" s="15"/>
      <c r="PMS239" s="15"/>
      <c r="PMT239" s="15"/>
      <c r="PMU239" s="15"/>
      <c r="PMV239" s="15"/>
      <c r="PMW239" s="15"/>
      <c r="PMX239" s="15"/>
      <c r="PMY239" s="15"/>
      <c r="PMZ239" s="10"/>
      <c r="PNA239" s="10"/>
      <c r="PNB239" s="21"/>
      <c r="PNC239" s="21"/>
      <c r="PNF239" s="21"/>
      <c r="PNG239" s="15"/>
      <c r="PNH239" s="15"/>
      <c r="PNI239" s="15"/>
      <c r="PNJ239" s="15"/>
      <c r="PNK239" s="15"/>
      <c r="PNL239" s="15"/>
      <c r="PNM239" s="15"/>
      <c r="PNN239" s="15"/>
      <c r="PNO239" s="15"/>
      <c r="PNP239" s="15"/>
      <c r="PNQ239" s="10"/>
      <c r="PNR239" s="10"/>
      <c r="PNS239" s="21"/>
      <c r="PNT239" s="21"/>
      <c r="PNW239" s="21"/>
      <c r="PNX239" s="15"/>
      <c r="PNY239" s="15"/>
      <c r="PNZ239" s="15"/>
      <c r="POA239" s="15"/>
      <c r="POB239" s="15"/>
      <c r="POC239" s="15"/>
      <c r="POD239" s="15"/>
      <c r="POE239" s="15"/>
      <c r="POF239" s="15"/>
      <c r="POG239" s="15"/>
      <c r="POH239" s="10"/>
      <c r="POI239" s="10"/>
      <c r="POJ239" s="21"/>
      <c r="POK239" s="21"/>
      <c r="PON239" s="21"/>
      <c r="POO239" s="15"/>
      <c r="POP239" s="15"/>
      <c r="POQ239" s="15"/>
      <c r="POR239" s="15"/>
      <c r="POS239" s="15"/>
      <c r="POT239" s="15"/>
      <c r="POU239" s="15"/>
      <c r="POV239" s="15"/>
      <c r="POW239" s="15"/>
      <c r="POX239" s="15"/>
      <c r="POY239" s="10"/>
      <c r="POZ239" s="10"/>
      <c r="PPA239" s="21"/>
      <c r="PPB239" s="21"/>
      <c r="PPE239" s="21"/>
      <c r="PPF239" s="15"/>
      <c r="PPG239" s="15"/>
      <c r="PPH239" s="15"/>
      <c r="PPI239" s="15"/>
      <c r="PPJ239" s="15"/>
      <c r="PPK239" s="15"/>
      <c r="PPL239" s="15"/>
      <c r="PPM239" s="15"/>
      <c r="PPN239" s="15"/>
      <c r="PPO239" s="15"/>
      <c r="PPP239" s="10"/>
      <c r="PPQ239" s="10"/>
      <c r="PPR239" s="21"/>
      <c r="PPS239" s="21"/>
      <c r="PPV239" s="21"/>
      <c r="PPW239" s="15"/>
      <c r="PPX239" s="15"/>
      <c r="PPY239" s="15"/>
      <c r="PPZ239" s="15"/>
      <c r="PQA239" s="15"/>
      <c r="PQB239" s="15"/>
      <c r="PQC239" s="15"/>
      <c r="PQD239" s="15"/>
      <c r="PQE239" s="15"/>
      <c r="PQF239" s="15"/>
      <c r="PQG239" s="10"/>
      <c r="PQH239" s="10"/>
      <c r="PQI239" s="21"/>
      <c r="PQJ239" s="21"/>
      <c r="PQM239" s="21"/>
      <c r="PQN239" s="15"/>
      <c r="PQO239" s="15"/>
      <c r="PQP239" s="15"/>
      <c r="PQQ239" s="15"/>
      <c r="PQR239" s="15"/>
      <c r="PQS239" s="15"/>
      <c r="PQT239" s="15"/>
      <c r="PQU239" s="15"/>
      <c r="PQV239" s="15"/>
      <c r="PQW239" s="15"/>
      <c r="PQX239" s="10"/>
      <c r="PQY239" s="10"/>
      <c r="PQZ239" s="21"/>
      <c r="PRA239" s="21"/>
      <c r="PRD239" s="21"/>
      <c r="PRE239" s="15"/>
      <c r="PRF239" s="15"/>
      <c r="PRG239" s="15"/>
      <c r="PRH239" s="15"/>
      <c r="PRI239" s="15"/>
      <c r="PRJ239" s="15"/>
      <c r="PRK239" s="15"/>
      <c r="PRL239" s="15"/>
      <c r="PRM239" s="15"/>
      <c r="PRN239" s="15"/>
      <c r="PRO239" s="10"/>
      <c r="PRP239" s="10"/>
      <c r="PRQ239" s="21"/>
      <c r="PRR239" s="21"/>
      <c r="PRU239" s="21"/>
      <c r="PRV239" s="15"/>
      <c r="PRW239" s="15"/>
      <c r="PRX239" s="15"/>
      <c r="PRY239" s="15"/>
      <c r="PRZ239" s="15"/>
      <c r="PSA239" s="15"/>
      <c r="PSB239" s="15"/>
      <c r="PSC239" s="15"/>
      <c r="PSD239" s="15"/>
      <c r="PSE239" s="15"/>
      <c r="PSF239" s="10"/>
      <c r="PSG239" s="10"/>
      <c r="PSH239" s="21"/>
      <c r="PSI239" s="21"/>
      <c r="PSL239" s="21"/>
      <c r="PSM239" s="15"/>
      <c r="PSN239" s="15"/>
      <c r="PSO239" s="15"/>
      <c r="PSP239" s="15"/>
      <c r="PSQ239" s="15"/>
      <c r="PSR239" s="15"/>
      <c r="PSS239" s="15"/>
      <c r="PST239" s="15"/>
      <c r="PSU239" s="15"/>
      <c r="PSV239" s="15"/>
      <c r="PSW239" s="10"/>
      <c r="PSX239" s="10"/>
      <c r="PSY239" s="21"/>
      <c r="PSZ239" s="21"/>
      <c r="PTC239" s="21"/>
      <c r="PTD239" s="15"/>
      <c r="PTE239" s="15"/>
      <c r="PTF239" s="15"/>
      <c r="PTG239" s="15"/>
      <c r="PTH239" s="15"/>
      <c r="PTI239" s="15"/>
      <c r="PTJ239" s="15"/>
      <c r="PTK239" s="15"/>
      <c r="PTL239" s="15"/>
      <c r="PTM239" s="15"/>
      <c r="PTN239" s="10"/>
      <c r="PTO239" s="10"/>
      <c r="PTP239" s="21"/>
      <c r="PTQ239" s="21"/>
      <c r="PTT239" s="21"/>
      <c r="PTU239" s="15"/>
      <c r="PTV239" s="15"/>
      <c r="PTW239" s="15"/>
      <c r="PTX239" s="15"/>
      <c r="PTY239" s="15"/>
      <c r="PTZ239" s="15"/>
      <c r="PUA239" s="15"/>
      <c r="PUB239" s="15"/>
      <c r="PUC239" s="15"/>
      <c r="PUD239" s="15"/>
      <c r="PUE239" s="10"/>
      <c r="PUF239" s="10"/>
      <c r="PUG239" s="21"/>
      <c r="PUH239" s="21"/>
      <c r="PUK239" s="21"/>
      <c r="PUL239" s="15"/>
      <c r="PUM239" s="15"/>
      <c r="PUN239" s="15"/>
      <c r="PUO239" s="15"/>
      <c r="PUP239" s="15"/>
      <c r="PUQ239" s="15"/>
      <c r="PUR239" s="15"/>
      <c r="PUS239" s="15"/>
      <c r="PUT239" s="15"/>
      <c r="PUU239" s="15"/>
      <c r="PUV239" s="10"/>
      <c r="PUW239" s="10"/>
      <c r="PUX239" s="21"/>
      <c r="PUY239" s="21"/>
      <c r="PVB239" s="21"/>
      <c r="PVC239" s="15"/>
      <c r="PVD239" s="15"/>
      <c r="PVE239" s="15"/>
      <c r="PVF239" s="15"/>
      <c r="PVG239" s="15"/>
      <c r="PVH239" s="15"/>
      <c r="PVI239" s="15"/>
      <c r="PVJ239" s="15"/>
      <c r="PVK239" s="15"/>
      <c r="PVL239" s="15"/>
      <c r="PVM239" s="10"/>
      <c r="PVN239" s="10"/>
      <c r="PVO239" s="21"/>
      <c r="PVP239" s="21"/>
      <c r="PVS239" s="21"/>
      <c r="PVT239" s="15"/>
      <c r="PVU239" s="15"/>
      <c r="PVV239" s="15"/>
      <c r="PVW239" s="15"/>
      <c r="PVX239" s="15"/>
      <c r="PVY239" s="15"/>
      <c r="PVZ239" s="15"/>
      <c r="PWA239" s="15"/>
      <c r="PWB239" s="15"/>
      <c r="PWC239" s="15"/>
      <c r="PWD239" s="10"/>
      <c r="PWE239" s="10"/>
      <c r="PWF239" s="21"/>
      <c r="PWG239" s="21"/>
      <c r="PWJ239" s="21"/>
      <c r="PWK239" s="15"/>
      <c r="PWL239" s="15"/>
      <c r="PWM239" s="15"/>
      <c r="PWN239" s="15"/>
      <c r="PWO239" s="15"/>
      <c r="PWP239" s="15"/>
      <c r="PWQ239" s="15"/>
      <c r="PWR239" s="15"/>
      <c r="PWS239" s="15"/>
      <c r="PWT239" s="15"/>
      <c r="PWU239" s="10"/>
      <c r="PWV239" s="10"/>
      <c r="PWW239" s="21"/>
      <c r="PWX239" s="21"/>
      <c r="PXA239" s="21"/>
      <c r="PXB239" s="15"/>
      <c r="PXC239" s="15"/>
      <c r="PXD239" s="15"/>
      <c r="PXE239" s="15"/>
      <c r="PXF239" s="15"/>
      <c r="PXG239" s="15"/>
      <c r="PXH239" s="15"/>
      <c r="PXI239" s="15"/>
      <c r="PXJ239" s="15"/>
      <c r="PXK239" s="15"/>
      <c r="PXL239" s="10"/>
      <c r="PXM239" s="10"/>
      <c r="PXN239" s="21"/>
      <c r="PXO239" s="21"/>
      <c r="PXR239" s="21"/>
      <c r="PXS239" s="15"/>
      <c r="PXT239" s="15"/>
      <c r="PXU239" s="15"/>
      <c r="PXV239" s="15"/>
      <c r="PXW239" s="15"/>
      <c r="PXX239" s="15"/>
      <c r="PXY239" s="15"/>
      <c r="PXZ239" s="15"/>
      <c r="PYA239" s="15"/>
      <c r="PYB239" s="15"/>
      <c r="PYC239" s="10"/>
      <c r="PYD239" s="10"/>
      <c r="PYE239" s="21"/>
      <c r="PYF239" s="21"/>
      <c r="PYI239" s="21"/>
      <c r="PYJ239" s="15"/>
      <c r="PYK239" s="15"/>
      <c r="PYL239" s="15"/>
      <c r="PYM239" s="15"/>
      <c r="PYN239" s="15"/>
      <c r="PYO239" s="15"/>
      <c r="PYP239" s="15"/>
      <c r="PYQ239" s="15"/>
      <c r="PYR239" s="15"/>
      <c r="PYS239" s="15"/>
      <c r="PYT239" s="10"/>
      <c r="PYU239" s="10"/>
      <c r="PYV239" s="21"/>
      <c r="PYW239" s="21"/>
      <c r="PYZ239" s="21"/>
      <c r="PZA239" s="15"/>
      <c r="PZB239" s="15"/>
      <c r="PZC239" s="15"/>
      <c r="PZD239" s="15"/>
      <c r="PZE239" s="15"/>
      <c r="PZF239" s="15"/>
      <c r="PZG239" s="15"/>
      <c r="PZH239" s="15"/>
      <c r="PZI239" s="15"/>
      <c r="PZJ239" s="15"/>
      <c r="PZK239" s="10"/>
      <c r="PZL239" s="10"/>
      <c r="PZM239" s="21"/>
      <c r="PZN239" s="21"/>
      <c r="PZQ239" s="21"/>
      <c r="PZR239" s="15"/>
      <c r="PZS239" s="15"/>
      <c r="PZT239" s="15"/>
      <c r="PZU239" s="15"/>
      <c r="PZV239" s="15"/>
      <c r="PZW239" s="15"/>
      <c r="PZX239" s="15"/>
      <c r="PZY239" s="15"/>
      <c r="PZZ239" s="15"/>
      <c r="QAA239" s="15"/>
      <c r="QAB239" s="10"/>
      <c r="QAC239" s="10"/>
      <c r="QAD239" s="21"/>
      <c r="QAE239" s="21"/>
      <c r="QAH239" s="21"/>
      <c r="QAI239" s="15"/>
      <c r="QAJ239" s="15"/>
      <c r="QAK239" s="15"/>
      <c r="QAL239" s="15"/>
      <c r="QAM239" s="15"/>
      <c r="QAN239" s="15"/>
      <c r="QAO239" s="15"/>
      <c r="QAP239" s="15"/>
      <c r="QAQ239" s="15"/>
      <c r="QAR239" s="15"/>
      <c r="QAS239" s="10"/>
      <c r="QAT239" s="10"/>
      <c r="QAU239" s="21"/>
      <c r="QAV239" s="21"/>
      <c r="QAY239" s="21"/>
      <c r="QAZ239" s="15"/>
      <c r="QBA239" s="15"/>
      <c r="QBB239" s="15"/>
      <c r="QBC239" s="15"/>
      <c r="QBD239" s="15"/>
      <c r="QBE239" s="15"/>
      <c r="QBF239" s="15"/>
      <c r="QBG239" s="15"/>
      <c r="QBH239" s="15"/>
      <c r="QBI239" s="15"/>
      <c r="QBJ239" s="10"/>
      <c r="QBK239" s="10"/>
      <c r="QBL239" s="21"/>
      <c r="QBM239" s="21"/>
      <c r="QBP239" s="21"/>
      <c r="QBQ239" s="15"/>
      <c r="QBR239" s="15"/>
      <c r="QBS239" s="15"/>
      <c r="QBT239" s="15"/>
      <c r="QBU239" s="15"/>
      <c r="QBV239" s="15"/>
      <c r="QBW239" s="15"/>
      <c r="QBX239" s="15"/>
      <c r="QBY239" s="15"/>
      <c r="QBZ239" s="15"/>
      <c r="QCA239" s="10"/>
      <c r="QCB239" s="10"/>
      <c r="QCC239" s="21"/>
      <c r="QCD239" s="21"/>
      <c r="QCG239" s="21"/>
      <c r="QCH239" s="15"/>
      <c r="QCI239" s="15"/>
      <c r="QCJ239" s="15"/>
      <c r="QCK239" s="15"/>
      <c r="QCL239" s="15"/>
      <c r="QCM239" s="15"/>
      <c r="QCN239" s="15"/>
      <c r="QCO239" s="15"/>
      <c r="QCP239" s="15"/>
      <c r="QCQ239" s="15"/>
      <c r="QCR239" s="10"/>
      <c r="QCS239" s="10"/>
      <c r="QCT239" s="21"/>
      <c r="QCU239" s="21"/>
      <c r="QCX239" s="21"/>
      <c r="QCY239" s="15"/>
      <c r="QCZ239" s="15"/>
      <c r="QDA239" s="15"/>
      <c r="QDB239" s="15"/>
      <c r="QDC239" s="15"/>
      <c r="QDD239" s="15"/>
      <c r="QDE239" s="15"/>
      <c r="QDF239" s="15"/>
      <c r="QDG239" s="15"/>
      <c r="QDH239" s="15"/>
      <c r="QDI239" s="10"/>
      <c r="QDJ239" s="10"/>
      <c r="QDK239" s="21"/>
      <c r="QDL239" s="21"/>
      <c r="QDO239" s="21"/>
      <c r="QDP239" s="15"/>
      <c r="QDQ239" s="15"/>
      <c r="QDR239" s="15"/>
      <c r="QDS239" s="15"/>
      <c r="QDT239" s="15"/>
      <c r="QDU239" s="15"/>
      <c r="QDV239" s="15"/>
      <c r="QDW239" s="15"/>
      <c r="QDX239" s="15"/>
      <c r="QDY239" s="15"/>
      <c r="QDZ239" s="10"/>
      <c r="QEA239" s="10"/>
      <c r="QEB239" s="21"/>
      <c r="QEC239" s="21"/>
      <c r="QEF239" s="21"/>
      <c r="QEG239" s="15"/>
      <c r="QEH239" s="15"/>
      <c r="QEI239" s="15"/>
      <c r="QEJ239" s="15"/>
      <c r="QEK239" s="15"/>
      <c r="QEL239" s="15"/>
      <c r="QEM239" s="15"/>
      <c r="QEN239" s="15"/>
      <c r="QEO239" s="15"/>
      <c r="QEP239" s="15"/>
      <c r="QEQ239" s="10"/>
      <c r="QER239" s="10"/>
      <c r="QES239" s="21"/>
      <c r="QET239" s="21"/>
      <c r="QEW239" s="21"/>
      <c r="QEX239" s="15"/>
      <c r="QEY239" s="15"/>
      <c r="QEZ239" s="15"/>
      <c r="QFA239" s="15"/>
      <c r="QFB239" s="15"/>
      <c r="QFC239" s="15"/>
      <c r="QFD239" s="15"/>
      <c r="QFE239" s="15"/>
      <c r="QFF239" s="15"/>
      <c r="QFG239" s="15"/>
      <c r="QFH239" s="10"/>
      <c r="QFI239" s="10"/>
      <c r="QFJ239" s="21"/>
      <c r="QFK239" s="21"/>
      <c r="QFN239" s="21"/>
      <c r="QFO239" s="15"/>
      <c r="QFP239" s="15"/>
      <c r="QFQ239" s="15"/>
      <c r="QFR239" s="15"/>
      <c r="QFS239" s="15"/>
      <c r="QFT239" s="15"/>
      <c r="QFU239" s="15"/>
      <c r="QFV239" s="15"/>
      <c r="QFW239" s="15"/>
      <c r="QFX239" s="15"/>
      <c r="QFY239" s="10"/>
      <c r="QFZ239" s="10"/>
      <c r="QGA239" s="21"/>
      <c r="QGB239" s="21"/>
      <c r="QGE239" s="21"/>
      <c r="QGF239" s="15"/>
      <c r="QGG239" s="15"/>
      <c r="QGH239" s="15"/>
      <c r="QGI239" s="15"/>
      <c r="QGJ239" s="15"/>
      <c r="QGK239" s="15"/>
      <c r="QGL239" s="15"/>
      <c r="QGM239" s="15"/>
      <c r="QGN239" s="15"/>
      <c r="QGO239" s="15"/>
      <c r="QGP239" s="10"/>
      <c r="QGQ239" s="10"/>
      <c r="QGR239" s="21"/>
      <c r="QGS239" s="21"/>
      <c r="QGV239" s="21"/>
      <c r="QGW239" s="15"/>
      <c r="QGX239" s="15"/>
      <c r="QGY239" s="15"/>
      <c r="QGZ239" s="15"/>
      <c r="QHA239" s="15"/>
      <c r="QHB239" s="15"/>
      <c r="QHC239" s="15"/>
      <c r="QHD239" s="15"/>
      <c r="QHE239" s="15"/>
      <c r="QHF239" s="15"/>
      <c r="QHG239" s="10"/>
      <c r="QHH239" s="10"/>
      <c r="QHI239" s="21"/>
      <c r="QHJ239" s="21"/>
      <c r="QHM239" s="21"/>
      <c r="QHN239" s="15"/>
      <c r="QHO239" s="15"/>
      <c r="QHP239" s="15"/>
      <c r="QHQ239" s="15"/>
      <c r="QHR239" s="15"/>
      <c r="QHS239" s="15"/>
      <c r="QHT239" s="15"/>
      <c r="QHU239" s="15"/>
      <c r="QHV239" s="15"/>
      <c r="QHW239" s="15"/>
      <c r="QHX239" s="10"/>
      <c r="QHY239" s="10"/>
      <c r="QHZ239" s="21"/>
      <c r="QIA239" s="21"/>
      <c r="QID239" s="21"/>
      <c r="QIE239" s="15"/>
      <c r="QIF239" s="15"/>
      <c r="QIG239" s="15"/>
      <c r="QIH239" s="15"/>
      <c r="QII239" s="15"/>
      <c r="QIJ239" s="15"/>
      <c r="QIK239" s="15"/>
      <c r="QIL239" s="15"/>
      <c r="QIM239" s="15"/>
      <c r="QIN239" s="15"/>
      <c r="QIO239" s="10"/>
      <c r="QIP239" s="10"/>
      <c r="QIQ239" s="21"/>
      <c r="QIR239" s="21"/>
      <c r="QIU239" s="21"/>
      <c r="QIV239" s="15"/>
      <c r="QIW239" s="15"/>
      <c r="QIX239" s="15"/>
      <c r="QIY239" s="15"/>
      <c r="QIZ239" s="15"/>
      <c r="QJA239" s="15"/>
      <c r="QJB239" s="15"/>
      <c r="QJC239" s="15"/>
      <c r="QJD239" s="15"/>
      <c r="QJE239" s="15"/>
      <c r="QJF239" s="10"/>
      <c r="QJG239" s="10"/>
      <c r="QJH239" s="21"/>
      <c r="QJI239" s="21"/>
      <c r="QJL239" s="21"/>
      <c r="QJM239" s="15"/>
      <c r="QJN239" s="15"/>
      <c r="QJO239" s="15"/>
      <c r="QJP239" s="15"/>
      <c r="QJQ239" s="15"/>
      <c r="QJR239" s="15"/>
      <c r="QJS239" s="15"/>
      <c r="QJT239" s="15"/>
      <c r="QJU239" s="15"/>
      <c r="QJV239" s="15"/>
      <c r="QJW239" s="10"/>
      <c r="QJX239" s="10"/>
      <c r="QJY239" s="21"/>
      <c r="QJZ239" s="21"/>
      <c r="QKC239" s="21"/>
      <c r="QKD239" s="15"/>
      <c r="QKE239" s="15"/>
      <c r="QKF239" s="15"/>
      <c r="QKG239" s="15"/>
      <c r="QKH239" s="15"/>
      <c r="QKI239" s="15"/>
      <c r="QKJ239" s="15"/>
      <c r="QKK239" s="15"/>
      <c r="QKL239" s="15"/>
      <c r="QKM239" s="15"/>
      <c r="QKN239" s="10"/>
      <c r="QKO239" s="10"/>
      <c r="QKP239" s="21"/>
      <c r="QKQ239" s="21"/>
      <c r="QKT239" s="21"/>
      <c r="QKU239" s="15"/>
      <c r="QKV239" s="15"/>
      <c r="QKW239" s="15"/>
      <c r="QKX239" s="15"/>
      <c r="QKY239" s="15"/>
      <c r="QKZ239" s="15"/>
      <c r="QLA239" s="15"/>
      <c r="QLB239" s="15"/>
      <c r="QLC239" s="15"/>
      <c r="QLD239" s="15"/>
      <c r="QLE239" s="10"/>
      <c r="QLF239" s="10"/>
      <c r="QLG239" s="21"/>
      <c r="QLH239" s="21"/>
      <c r="QLK239" s="21"/>
      <c r="QLL239" s="15"/>
      <c r="QLM239" s="15"/>
      <c r="QLN239" s="15"/>
      <c r="QLO239" s="15"/>
      <c r="QLP239" s="15"/>
      <c r="QLQ239" s="15"/>
      <c r="QLR239" s="15"/>
      <c r="QLS239" s="15"/>
      <c r="QLT239" s="15"/>
      <c r="QLU239" s="15"/>
      <c r="QLV239" s="10"/>
      <c r="QLW239" s="10"/>
      <c r="QLX239" s="21"/>
      <c r="QLY239" s="21"/>
      <c r="QMB239" s="21"/>
      <c r="QMC239" s="15"/>
      <c r="QMD239" s="15"/>
      <c r="QME239" s="15"/>
      <c r="QMF239" s="15"/>
      <c r="QMG239" s="15"/>
      <c r="QMH239" s="15"/>
      <c r="QMI239" s="15"/>
      <c r="QMJ239" s="15"/>
      <c r="QMK239" s="15"/>
      <c r="QML239" s="15"/>
      <c r="QMM239" s="10"/>
      <c r="QMN239" s="10"/>
      <c r="QMO239" s="21"/>
      <c r="QMP239" s="21"/>
      <c r="QMS239" s="21"/>
      <c r="QMT239" s="15"/>
      <c r="QMU239" s="15"/>
      <c r="QMV239" s="15"/>
      <c r="QMW239" s="15"/>
      <c r="QMX239" s="15"/>
      <c r="QMY239" s="15"/>
      <c r="QMZ239" s="15"/>
      <c r="QNA239" s="15"/>
      <c r="QNB239" s="15"/>
      <c r="QNC239" s="15"/>
      <c r="QND239" s="10"/>
      <c r="QNE239" s="10"/>
      <c r="QNF239" s="21"/>
      <c r="QNG239" s="21"/>
      <c r="QNJ239" s="21"/>
      <c r="QNK239" s="15"/>
      <c r="QNL239" s="15"/>
      <c r="QNM239" s="15"/>
      <c r="QNN239" s="15"/>
      <c r="QNO239" s="15"/>
      <c r="QNP239" s="15"/>
      <c r="QNQ239" s="15"/>
      <c r="QNR239" s="15"/>
      <c r="QNS239" s="15"/>
      <c r="QNT239" s="15"/>
      <c r="QNU239" s="10"/>
      <c r="QNV239" s="10"/>
      <c r="QNW239" s="21"/>
      <c r="QNX239" s="21"/>
      <c r="QOA239" s="21"/>
      <c r="QOB239" s="15"/>
      <c r="QOC239" s="15"/>
      <c r="QOD239" s="15"/>
      <c r="QOE239" s="15"/>
      <c r="QOF239" s="15"/>
      <c r="QOG239" s="15"/>
      <c r="QOH239" s="15"/>
      <c r="QOI239" s="15"/>
      <c r="QOJ239" s="15"/>
      <c r="QOK239" s="15"/>
      <c r="QOL239" s="10"/>
      <c r="QOM239" s="10"/>
      <c r="QON239" s="21"/>
      <c r="QOO239" s="21"/>
      <c r="QOR239" s="21"/>
      <c r="QOS239" s="15"/>
      <c r="QOT239" s="15"/>
      <c r="QOU239" s="15"/>
      <c r="QOV239" s="15"/>
      <c r="QOW239" s="15"/>
      <c r="QOX239" s="15"/>
      <c r="QOY239" s="15"/>
      <c r="QOZ239" s="15"/>
      <c r="QPA239" s="15"/>
      <c r="QPB239" s="15"/>
      <c r="QPC239" s="10"/>
      <c r="QPD239" s="10"/>
      <c r="QPE239" s="21"/>
      <c r="QPF239" s="21"/>
      <c r="QPI239" s="21"/>
      <c r="QPJ239" s="15"/>
      <c r="QPK239" s="15"/>
      <c r="QPL239" s="15"/>
      <c r="QPM239" s="15"/>
      <c r="QPN239" s="15"/>
      <c r="QPO239" s="15"/>
      <c r="QPP239" s="15"/>
      <c r="QPQ239" s="15"/>
      <c r="QPR239" s="15"/>
      <c r="QPS239" s="15"/>
      <c r="QPT239" s="10"/>
      <c r="QPU239" s="10"/>
      <c r="QPV239" s="21"/>
      <c r="QPW239" s="21"/>
      <c r="QPZ239" s="21"/>
      <c r="QQA239" s="15"/>
      <c r="QQB239" s="15"/>
      <c r="QQC239" s="15"/>
      <c r="QQD239" s="15"/>
      <c r="QQE239" s="15"/>
      <c r="QQF239" s="15"/>
      <c r="QQG239" s="15"/>
      <c r="QQH239" s="15"/>
      <c r="QQI239" s="15"/>
      <c r="QQJ239" s="15"/>
      <c r="QQK239" s="10"/>
      <c r="QQL239" s="10"/>
      <c r="QQM239" s="21"/>
      <c r="QQN239" s="21"/>
      <c r="QQQ239" s="21"/>
      <c r="QQR239" s="15"/>
      <c r="QQS239" s="15"/>
      <c r="QQT239" s="15"/>
      <c r="QQU239" s="15"/>
      <c r="QQV239" s="15"/>
      <c r="QQW239" s="15"/>
      <c r="QQX239" s="15"/>
      <c r="QQY239" s="15"/>
      <c r="QQZ239" s="15"/>
      <c r="QRA239" s="15"/>
      <c r="QRB239" s="10"/>
      <c r="QRC239" s="10"/>
      <c r="QRD239" s="21"/>
      <c r="QRE239" s="21"/>
      <c r="QRH239" s="21"/>
      <c r="QRI239" s="15"/>
      <c r="QRJ239" s="15"/>
      <c r="QRK239" s="15"/>
      <c r="QRL239" s="15"/>
      <c r="QRM239" s="15"/>
      <c r="QRN239" s="15"/>
      <c r="QRO239" s="15"/>
      <c r="QRP239" s="15"/>
      <c r="QRQ239" s="15"/>
      <c r="QRR239" s="15"/>
      <c r="QRS239" s="10"/>
      <c r="QRT239" s="10"/>
      <c r="QRU239" s="21"/>
      <c r="QRV239" s="21"/>
      <c r="QRY239" s="21"/>
      <c r="QRZ239" s="15"/>
      <c r="QSA239" s="15"/>
      <c r="QSB239" s="15"/>
      <c r="QSC239" s="15"/>
      <c r="QSD239" s="15"/>
      <c r="QSE239" s="15"/>
      <c r="QSF239" s="15"/>
      <c r="QSG239" s="15"/>
      <c r="QSH239" s="15"/>
      <c r="QSI239" s="15"/>
      <c r="QSJ239" s="10"/>
      <c r="QSK239" s="10"/>
      <c r="QSL239" s="21"/>
      <c r="QSM239" s="21"/>
      <c r="QSP239" s="21"/>
      <c r="QSQ239" s="15"/>
      <c r="QSR239" s="15"/>
      <c r="QSS239" s="15"/>
      <c r="QST239" s="15"/>
      <c r="QSU239" s="15"/>
      <c r="QSV239" s="15"/>
      <c r="QSW239" s="15"/>
      <c r="QSX239" s="15"/>
      <c r="QSY239" s="15"/>
      <c r="QSZ239" s="15"/>
      <c r="QTA239" s="10"/>
      <c r="QTB239" s="10"/>
      <c r="QTC239" s="21"/>
      <c r="QTD239" s="21"/>
      <c r="QTG239" s="21"/>
      <c r="QTH239" s="15"/>
      <c r="QTI239" s="15"/>
      <c r="QTJ239" s="15"/>
      <c r="QTK239" s="15"/>
      <c r="QTL239" s="15"/>
      <c r="QTM239" s="15"/>
      <c r="QTN239" s="15"/>
      <c r="QTO239" s="15"/>
      <c r="QTP239" s="15"/>
      <c r="QTQ239" s="15"/>
      <c r="QTR239" s="10"/>
      <c r="QTS239" s="10"/>
      <c r="QTT239" s="21"/>
      <c r="QTU239" s="21"/>
      <c r="QTX239" s="21"/>
      <c r="QTY239" s="15"/>
      <c r="QTZ239" s="15"/>
      <c r="QUA239" s="15"/>
      <c r="QUB239" s="15"/>
      <c r="QUC239" s="15"/>
      <c r="QUD239" s="15"/>
      <c r="QUE239" s="15"/>
      <c r="QUF239" s="15"/>
      <c r="QUG239" s="15"/>
      <c r="QUH239" s="15"/>
      <c r="QUI239" s="10"/>
      <c r="QUJ239" s="10"/>
      <c r="QUK239" s="21"/>
      <c r="QUL239" s="21"/>
      <c r="QUO239" s="21"/>
      <c r="QUP239" s="15"/>
      <c r="QUQ239" s="15"/>
      <c r="QUR239" s="15"/>
      <c r="QUS239" s="15"/>
      <c r="QUT239" s="15"/>
      <c r="QUU239" s="15"/>
      <c r="QUV239" s="15"/>
      <c r="QUW239" s="15"/>
      <c r="QUX239" s="15"/>
      <c r="QUY239" s="15"/>
      <c r="QUZ239" s="10"/>
      <c r="QVA239" s="10"/>
      <c r="QVB239" s="21"/>
      <c r="QVC239" s="21"/>
      <c r="QVF239" s="21"/>
      <c r="QVG239" s="15"/>
      <c r="QVH239" s="15"/>
      <c r="QVI239" s="15"/>
      <c r="QVJ239" s="15"/>
      <c r="QVK239" s="15"/>
      <c r="QVL239" s="15"/>
      <c r="QVM239" s="15"/>
      <c r="QVN239" s="15"/>
      <c r="QVO239" s="15"/>
      <c r="QVP239" s="15"/>
      <c r="QVQ239" s="10"/>
      <c r="QVR239" s="10"/>
      <c r="QVS239" s="21"/>
      <c r="QVT239" s="21"/>
      <c r="QVW239" s="21"/>
      <c r="QVX239" s="15"/>
      <c r="QVY239" s="15"/>
      <c r="QVZ239" s="15"/>
      <c r="QWA239" s="15"/>
      <c r="QWB239" s="15"/>
      <c r="QWC239" s="15"/>
      <c r="QWD239" s="15"/>
      <c r="QWE239" s="15"/>
      <c r="QWF239" s="15"/>
      <c r="QWG239" s="15"/>
      <c r="QWH239" s="10"/>
      <c r="QWI239" s="10"/>
      <c r="QWJ239" s="21"/>
      <c r="QWK239" s="21"/>
      <c r="QWN239" s="21"/>
      <c r="QWO239" s="15"/>
      <c r="QWP239" s="15"/>
      <c r="QWQ239" s="15"/>
      <c r="QWR239" s="15"/>
      <c r="QWS239" s="15"/>
      <c r="QWT239" s="15"/>
      <c r="QWU239" s="15"/>
      <c r="QWV239" s="15"/>
      <c r="QWW239" s="15"/>
      <c r="QWX239" s="15"/>
      <c r="QWY239" s="10"/>
      <c r="QWZ239" s="10"/>
      <c r="QXA239" s="21"/>
      <c r="QXB239" s="21"/>
      <c r="QXE239" s="21"/>
      <c r="QXF239" s="15"/>
      <c r="QXG239" s="15"/>
      <c r="QXH239" s="15"/>
      <c r="QXI239" s="15"/>
      <c r="QXJ239" s="15"/>
      <c r="QXK239" s="15"/>
      <c r="QXL239" s="15"/>
      <c r="QXM239" s="15"/>
      <c r="QXN239" s="15"/>
      <c r="QXO239" s="15"/>
      <c r="QXP239" s="10"/>
      <c r="QXQ239" s="10"/>
      <c r="QXR239" s="21"/>
      <c r="QXS239" s="21"/>
      <c r="QXV239" s="21"/>
      <c r="QXW239" s="15"/>
      <c r="QXX239" s="15"/>
      <c r="QXY239" s="15"/>
      <c r="QXZ239" s="15"/>
      <c r="QYA239" s="15"/>
      <c r="QYB239" s="15"/>
      <c r="QYC239" s="15"/>
      <c r="QYD239" s="15"/>
      <c r="QYE239" s="15"/>
      <c r="QYF239" s="15"/>
      <c r="QYG239" s="10"/>
      <c r="QYH239" s="10"/>
      <c r="QYI239" s="21"/>
      <c r="QYJ239" s="21"/>
      <c r="QYM239" s="21"/>
      <c r="QYN239" s="15"/>
      <c r="QYO239" s="15"/>
      <c r="QYP239" s="15"/>
      <c r="QYQ239" s="15"/>
      <c r="QYR239" s="15"/>
      <c r="QYS239" s="15"/>
      <c r="QYT239" s="15"/>
      <c r="QYU239" s="15"/>
      <c r="QYV239" s="15"/>
      <c r="QYW239" s="15"/>
      <c r="QYX239" s="10"/>
      <c r="QYY239" s="10"/>
      <c r="QYZ239" s="21"/>
      <c r="QZA239" s="21"/>
      <c r="QZD239" s="21"/>
      <c r="QZE239" s="15"/>
      <c r="QZF239" s="15"/>
      <c r="QZG239" s="15"/>
      <c r="QZH239" s="15"/>
      <c r="QZI239" s="15"/>
      <c r="QZJ239" s="15"/>
      <c r="QZK239" s="15"/>
      <c r="QZL239" s="15"/>
      <c r="QZM239" s="15"/>
      <c r="QZN239" s="15"/>
      <c r="QZO239" s="10"/>
      <c r="QZP239" s="10"/>
      <c r="QZQ239" s="21"/>
      <c r="QZR239" s="21"/>
      <c r="QZU239" s="21"/>
      <c r="QZV239" s="15"/>
      <c r="QZW239" s="15"/>
      <c r="QZX239" s="15"/>
      <c r="QZY239" s="15"/>
      <c r="QZZ239" s="15"/>
      <c r="RAA239" s="15"/>
      <c r="RAB239" s="15"/>
      <c r="RAC239" s="15"/>
      <c r="RAD239" s="15"/>
      <c r="RAE239" s="15"/>
      <c r="RAF239" s="10"/>
      <c r="RAG239" s="10"/>
      <c r="RAH239" s="21"/>
      <c r="RAI239" s="21"/>
      <c r="RAL239" s="21"/>
      <c r="RAM239" s="15"/>
      <c r="RAN239" s="15"/>
      <c r="RAO239" s="15"/>
      <c r="RAP239" s="15"/>
      <c r="RAQ239" s="15"/>
      <c r="RAR239" s="15"/>
      <c r="RAS239" s="15"/>
      <c r="RAT239" s="15"/>
      <c r="RAU239" s="15"/>
      <c r="RAV239" s="15"/>
      <c r="RAW239" s="10"/>
      <c r="RAX239" s="10"/>
      <c r="RAY239" s="21"/>
      <c r="RAZ239" s="21"/>
      <c r="RBC239" s="21"/>
      <c r="RBD239" s="15"/>
      <c r="RBE239" s="15"/>
      <c r="RBF239" s="15"/>
      <c r="RBG239" s="15"/>
      <c r="RBH239" s="15"/>
      <c r="RBI239" s="15"/>
      <c r="RBJ239" s="15"/>
      <c r="RBK239" s="15"/>
      <c r="RBL239" s="15"/>
      <c r="RBM239" s="15"/>
      <c r="RBN239" s="10"/>
      <c r="RBO239" s="10"/>
      <c r="RBP239" s="21"/>
      <c r="RBQ239" s="21"/>
      <c r="RBT239" s="21"/>
      <c r="RBU239" s="15"/>
      <c r="RBV239" s="15"/>
      <c r="RBW239" s="15"/>
      <c r="RBX239" s="15"/>
      <c r="RBY239" s="15"/>
      <c r="RBZ239" s="15"/>
      <c r="RCA239" s="15"/>
      <c r="RCB239" s="15"/>
      <c r="RCC239" s="15"/>
      <c r="RCD239" s="15"/>
      <c r="RCE239" s="10"/>
      <c r="RCF239" s="10"/>
      <c r="RCG239" s="21"/>
      <c r="RCH239" s="21"/>
      <c r="RCK239" s="21"/>
      <c r="RCL239" s="15"/>
      <c r="RCM239" s="15"/>
      <c r="RCN239" s="15"/>
      <c r="RCO239" s="15"/>
      <c r="RCP239" s="15"/>
      <c r="RCQ239" s="15"/>
      <c r="RCR239" s="15"/>
      <c r="RCS239" s="15"/>
      <c r="RCT239" s="15"/>
      <c r="RCU239" s="15"/>
      <c r="RCV239" s="10"/>
      <c r="RCW239" s="10"/>
      <c r="RCX239" s="21"/>
      <c r="RCY239" s="21"/>
      <c r="RDB239" s="21"/>
      <c r="RDC239" s="15"/>
      <c r="RDD239" s="15"/>
      <c r="RDE239" s="15"/>
      <c r="RDF239" s="15"/>
      <c r="RDG239" s="15"/>
      <c r="RDH239" s="15"/>
      <c r="RDI239" s="15"/>
      <c r="RDJ239" s="15"/>
      <c r="RDK239" s="15"/>
      <c r="RDL239" s="15"/>
      <c r="RDM239" s="10"/>
      <c r="RDN239" s="10"/>
      <c r="RDO239" s="21"/>
      <c r="RDP239" s="21"/>
      <c r="RDS239" s="21"/>
      <c r="RDT239" s="15"/>
      <c r="RDU239" s="15"/>
      <c r="RDV239" s="15"/>
      <c r="RDW239" s="15"/>
      <c r="RDX239" s="15"/>
      <c r="RDY239" s="15"/>
      <c r="RDZ239" s="15"/>
      <c r="REA239" s="15"/>
      <c r="REB239" s="15"/>
      <c r="REC239" s="15"/>
      <c r="RED239" s="10"/>
      <c r="REE239" s="10"/>
      <c r="REF239" s="21"/>
      <c r="REG239" s="21"/>
      <c r="REJ239" s="21"/>
      <c r="REK239" s="15"/>
      <c r="REL239" s="15"/>
      <c r="REM239" s="15"/>
      <c r="REN239" s="15"/>
      <c r="REO239" s="15"/>
      <c r="REP239" s="15"/>
      <c r="REQ239" s="15"/>
      <c r="RER239" s="15"/>
      <c r="RES239" s="15"/>
      <c r="RET239" s="15"/>
      <c r="REU239" s="10"/>
      <c r="REV239" s="10"/>
      <c r="REW239" s="21"/>
      <c r="REX239" s="21"/>
      <c r="RFA239" s="21"/>
      <c r="RFB239" s="15"/>
      <c r="RFC239" s="15"/>
      <c r="RFD239" s="15"/>
      <c r="RFE239" s="15"/>
      <c r="RFF239" s="15"/>
      <c r="RFG239" s="15"/>
      <c r="RFH239" s="15"/>
      <c r="RFI239" s="15"/>
      <c r="RFJ239" s="15"/>
      <c r="RFK239" s="15"/>
      <c r="RFL239" s="10"/>
      <c r="RFM239" s="10"/>
      <c r="RFN239" s="21"/>
      <c r="RFO239" s="21"/>
      <c r="RFR239" s="21"/>
      <c r="RFS239" s="15"/>
      <c r="RFT239" s="15"/>
      <c r="RFU239" s="15"/>
      <c r="RFV239" s="15"/>
      <c r="RFW239" s="15"/>
      <c r="RFX239" s="15"/>
      <c r="RFY239" s="15"/>
      <c r="RFZ239" s="15"/>
      <c r="RGA239" s="15"/>
      <c r="RGB239" s="15"/>
      <c r="RGC239" s="10"/>
      <c r="RGD239" s="10"/>
      <c r="RGE239" s="21"/>
      <c r="RGF239" s="21"/>
      <c r="RGI239" s="21"/>
      <c r="RGJ239" s="15"/>
      <c r="RGK239" s="15"/>
      <c r="RGL239" s="15"/>
      <c r="RGM239" s="15"/>
      <c r="RGN239" s="15"/>
      <c r="RGO239" s="15"/>
      <c r="RGP239" s="15"/>
      <c r="RGQ239" s="15"/>
      <c r="RGR239" s="15"/>
      <c r="RGS239" s="15"/>
      <c r="RGT239" s="10"/>
      <c r="RGU239" s="10"/>
      <c r="RGV239" s="21"/>
      <c r="RGW239" s="21"/>
      <c r="RGZ239" s="21"/>
      <c r="RHA239" s="15"/>
      <c r="RHB239" s="15"/>
      <c r="RHC239" s="15"/>
      <c r="RHD239" s="15"/>
      <c r="RHE239" s="15"/>
      <c r="RHF239" s="15"/>
      <c r="RHG239" s="15"/>
      <c r="RHH239" s="15"/>
      <c r="RHI239" s="15"/>
      <c r="RHJ239" s="15"/>
      <c r="RHK239" s="10"/>
      <c r="RHL239" s="10"/>
      <c r="RHM239" s="21"/>
      <c r="RHN239" s="21"/>
      <c r="RHQ239" s="21"/>
      <c r="RHR239" s="15"/>
      <c r="RHS239" s="15"/>
      <c r="RHT239" s="15"/>
      <c r="RHU239" s="15"/>
      <c r="RHV239" s="15"/>
      <c r="RHW239" s="15"/>
      <c r="RHX239" s="15"/>
      <c r="RHY239" s="15"/>
      <c r="RHZ239" s="15"/>
      <c r="RIA239" s="15"/>
      <c r="RIB239" s="10"/>
      <c r="RIC239" s="10"/>
      <c r="RID239" s="21"/>
      <c r="RIE239" s="21"/>
      <c r="RIH239" s="21"/>
      <c r="RII239" s="15"/>
      <c r="RIJ239" s="15"/>
      <c r="RIK239" s="15"/>
      <c r="RIL239" s="15"/>
      <c r="RIM239" s="15"/>
      <c r="RIN239" s="15"/>
      <c r="RIO239" s="15"/>
      <c r="RIP239" s="15"/>
      <c r="RIQ239" s="15"/>
      <c r="RIR239" s="15"/>
      <c r="RIS239" s="10"/>
      <c r="RIT239" s="10"/>
      <c r="RIU239" s="21"/>
      <c r="RIV239" s="21"/>
      <c r="RIY239" s="21"/>
      <c r="RIZ239" s="15"/>
      <c r="RJA239" s="15"/>
      <c r="RJB239" s="15"/>
      <c r="RJC239" s="15"/>
      <c r="RJD239" s="15"/>
      <c r="RJE239" s="15"/>
      <c r="RJF239" s="15"/>
      <c r="RJG239" s="15"/>
      <c r="RJH239" s="15"/>
      <c r="RJI239" s="15"/>
      <c r="RJJ239" s="10"/>
      <c r="RJK239" s="10"/>
      <c r="RJL239" s="21"/>
      <c r="RJM239" s="21"/>
      <c r="RJP239" s="21"/>
      <c r="RJQ239" s="15"/>
      <c r="RJR239" s="15"/>
      <c r="RJS239" s="15"/>
      <c r="RJT239" s="15"/>
      <c r="RJU239" s="15"/>
      <c r="RJV239" s="15"/>
      <c r="RJW239" s="15"/>
      <c r="RJX239" s="15"/>
      <c r="RJY239" s="15"/>
      <c r="RJZ239" s="15"/>
      <c r="RKA239" s="10"/>
      <c r="RKB239" s="10"/>
      <c r="RKC239" s="21"/>
      <c r="RKD239" s="21"/>
      <c r="RKG239" s="21"/>
      <c r="RKH239" s="15"/>
      <c r="RKI239" s="15"/>
      <c r="RKJ239" s="15"/>
      <c r="RKK239" s="15"/>
      <c r="RKL239" s="15"/>
      <c r="RKM239" s="15"/>
      <c r="RKN239" s="15"/>
      <c r="RKO239" s="15"/>
      <c r="RKP239" s="15"/>
      <c r="RKQ239" s="15"/>
      <c r="RKR239" s="10"/>
      <c r="RKS239" s="10"/>
      <c r="RKT239" s="21"/>
      <c r="RKU239" s="21"/>
      <c r="RKX239" s="21"/>
      <c r="RKY239" s="15"/>
      <c r="RKZ239" s="15"/>
      <c r="RLA239" s="15"/>
      <c r="RLB239" s="15"/>
      <c r="RLC239" s="15"/>
      <c r="RLD239" s="15"/>
      <c r="RLE239" s="15"/>
      <c r="RLF239" s="15"/>
      <c r="RLG239" s="15"/>
      <c r="RLH239" s="15"/>
      <c r="RLI239" s="10"/>
      <c r="RLJ239" s="10"/>
      <c r="RLK239" s="21"/>
      <c r="RLL239" s="21"/>
      <c r="RLO239" s="21"/>
      <c r="RLP239" s="15"/>
      <c r="RLQ239" s="15"/>
      <c r="RLR239" s="15"/>
      <c r="RLS239" s="15"/>
      <c r="RLT239" s="15"/>
      <c r="RLU239" s="15"/>
      <c r="RLV239" s="15"/>
      <c r="RLW239" s="15"/>
      <c r="RLX239" s="15"/>
      <c r="RLY239" s="15"/>
      <c r="RLZ239" s="10"/>
      <c r="RMA239" s="10"/>
      <c r="RMB239" s="21"/>
      <c r="RMC239" s="21"/>
      <c r="RMF239" s="21"/>
      <c r="RMG239" s="15"/>
      <c r="RMH239" s="15"/>
      <c r="RMI239" s="15"/>
      <c r="RMJ239" s="15"/>
      <c r="RMK239" s="15"/>
      <c r="RML239" s="15"/>
      <c r="RMM239" s="15"/>
      <c r="RMN239" s="15"/>
      <c r="RMO239" s="15"/>
      <c r="RMP239" s="15"/>
      <c r="RMQ239" s="10"/>
      <c r="RMR239" s="10"/>
      <c r="RMS239" s="21"/>
      <c r="RMT239" s="21"/>
      <c r="RMW239" s="21"/>
      <c r="RMX239" s="15"/>
      <c r="RMY239" s="15"/>
      <c r="RMZ239" s="15"/>
      <c r="RNA239" s="15"/>
      <c r="RNB239" s="15"/>
      <c r="RNC239" s="15"/>
      <c r="RND239" s="15"/>
      <c r="RNE239" s="15"/>
      <c r="RNF239" s="15"/>
      <c r="RNG239" s="15"/>
      <c r="RNH239" s="10"/>
      <c r="RNI239" s="10"/>
      <c r="RNJ239" s="21"/>
      <c r="RNK239" s="21"/>
      <c r="RNN239" s="21"/>
      <c r="RNO239" s="15"/>
      <c r="RNP239" s="15"/>
      <c r="RNQ239" s="15"/>
      <c r="RNR239" s="15"/>
      <c r="RNS239" s="15"/>
      <c r="RNT239" s="15"/>
      <c r="RNU239" s="15"/>
      <c r="RNV239" s="15"/>
      <c r="RNW239" s="15"/>
      <c r="RNX239" s="15"/>
      <c r="RNY239" s="10"/>
      <c r="RNZ239" s="10"/>
      <c r="ROA239" s="21"/>
      <c r="ROB239" s="21"/>
      <c r="ROE239" s="21"/>
      <c r="ROF239" s="15"/>
      <c r="ROG239" s="15"/>
      <c r="ROH239" s="15"/>
      <c r="ROI239" s="15"/>
      <c r="ROJ239" s="15"/>
      <c r="ROK239" s="15"/>
      <c r="ROL239" s="15"/>
      <c r="ROM239" s="15"/>
      <c r="RON239" s="15"/>
      <c r="ROO239" s="15"/>
      <c r="ROP239" s="10"/>
      <c r="ROQ239" s="10"/>
      <c r="ROR239" s="21"/>
      <c r="ROS239" s="21"/>
      <c r="ROV239" s="21"/>
      <c r="ROW239" s="15"/>
      <c r="ROX239" s="15"/>
      <c r="ROY239" s="15"/>
      <c r="ROZ239" s="15"/>
      <c r="RPA239" s="15"/>
      <c r="RPB239" s="15"/>
      <c r="RPC239" s="15"/>
      <c r="RPD239" s="15"/>
      <c r="RPE239" s="15"/>
      <c r="RPF239" s="15"/>
      <c r="RPG239" s="10"/>
      <c r="RPH239" s="10"/>
      <c r="RPI239" s="21"/>
      <c r="RPJ239" s="21"/>
      <c r="RPM239" s="21"/>
      <c r="RPN239" s="15"/>
      <c r="RPO239" s="15"/>
      <c r="RPP239" s="15"/>
      <c r="RPQ239" s="15"/>
      <c r="RPR239" s="15"/>
      <c r="RPS239" s="15"/>
      <c r="RPT239" s="15"/>
      <c r="RPU239" s="15"/>
      <c r="RPV239" s="15"/>
      <c r="RPW239" s="15"/>
      <c r="RPX239" s="10"/>
      <c r="RPY239" s="10"/>
      <c r="RPZ239" s="21"/>
      <c r="RQA239" s="21"/>
      <c r="RQD239" s="21"/>
      <c r="RQE239" s="15"/>
      <c r="RQF239" s="15"/>
      <c r="RQG239" s="15"/>
      <c r="RQH239" s="15"/>
      <c r="RQI239" s="15"/>
      <c r="RQJ239" s="15"/>
      <c r="RQK239" s="15"/>
      <c r="RQL239" s="15"/>
      <c r="RQM239" s="15"/>
      <c r="RQN239" s="15"/>
      <c r="RQO239" s="10"/>
      <c r="RQP239" s="10"/>
      <c r="RQQ239" s="21"/>
      <c r="RQR239" s="21"/>
      <c r="RQU239" s="21"/>
      <c r="RQV239" s="15"/>
      <c r="RQW239" s="15"/>
      <c r="RQX239" s="15"/>
      <c r="RQY239" s="15"/>
      <c r="RQZ239" s="15"/>
      <c r="RRA239" s="15"/>
      <c r="RRB239" s="15"/>
      <c r="RRC239" s="15"/>
      <c r="RRD239" s="15"/>
      <c r="RRE239" s="15"/>
      <c r="RRF239" s="10"/>
      <c r="RRG239" s="10"/>
      <c r="RRH239" s="21"/>
      <c r="RRI239" s="21"/>
      <c r="RRL239" s="21"/>
      <c r="RRM239" s="15"/>
      <c r="RRN239" s="15"/>
      <c r="RRO239" s="15"/>
      <c r="RRP239" s="15"/>
      <c r="RRQ239" s="15"/>
      <c r="RRR239" s="15"/>
      <c r="RRS239" s="15"/>
      <c r="RRT239" s="15"/>
      <c r="RRU239" s="15"/>
      <c r="RRV239" s="15"/>
      <c r="RRW239" s="10"/>
      <c r="RRX239" s="10"/>
      <c r="RRY239" s="21"/>
      <c r="RRZ239" s="21"/>
      <c r="RSC239" s="21"/>
      <c r="RSD239" s="15"/>
      <c r="RSE239" s="15"/>
      <c r="RSF239" s="15"/>
      <c r="RSG239" s="15"/>
      <c r="RSH239" s="15"/>
      <c r="RSI239" s="15"/>
      <c r="RSJ239" s="15"/>
      <c r="RSK239" s="15"/>
      <c r="RSL239" s="15"/>
      <c r="RSM239" s="15"/>
      <c r="RSN239" s="10"/>
      <c r="RSO239" s="10"/>
      <c r="RSP239" s="21"/>
      <c r="RSQ239" s="21"/>
      <c r="RST239" s="21"/>
      <c r="RSU239" s="15"/>
      <c r="RSV239" s="15"/>
      <c r="RSW239" s="15"/>
      <c r="RSX239" s="15"/>
      <c r="RSY239" s="15"/>
      <c r="RSZ239" s="15"/>
      <c r="RTA239" s="15"/>
      <c r="RTB239" s="15"/>
      <c r="RTC239" s="15"/>
      <c r="RTD239" s="15"/>
      <c r="RTE239" s="10"/>
      <c r="RTF239" s="10"/>
      <c r="RTG239" s="21"/>
      <c r="RTH239" s="21"/>
      <c r="RTK239" s="21"/>
      <c r="RTL239" s="15"/>
      <c r="RTM239" s="15"/>
      <c r="RTN239" s="15"/>
      <c r="RTO239" s="15"/>
      <c r="RTP239" s="15"/>
      <c r="RTQ239" s="15"/>
      <c r="RTR239" s="15"/>
      <c r="RTS239" s="15"/>
      <c r="RTT239" s="15"/>
      <c r="RTU239" s="15"/>
      <c r="RTV239" s="10"/>
      <c r="RTW239" s="10"/>
      <c r="RTX239" s="21"/>
      <c r="RTY239" s="21"/>
      <c r="RUB239" s="21"/>
      <c r="RUC239" s="15"/>
      <c r="RUD239" s="15"/>
      <c r="RUE239" s="15"/>
      <c r="RUF239" s="15"/>
      <c r="RUG239" s="15"/>
      <c r="RUH239" s="15"/>
      <c r="RUI239" s="15"/>
      <c r="RUJ239" s="15"/>
      <c r="RUK239" s="15"/>
      <c r="RUL239" s="15"/>
      <c r="RUM239" s="10"/>
      <c r="RUN239" s="10"/>
      <c r="RUO239" s="21"/>
      <c r="RUP239" s="21"/>
      <c r="RUS239" s="21"/>
      <c r="RUT239" s="15"/>
      <c r="RUU239" s="15"/>
      <c r="RUV239" s="15"/>
      <c r="RUW239" s="15"/>
      <c r="RUX239" s="15"/>
      <c r="RUY239" s="15"/>
      <c r="RUZ239" s="15"/>
      <c r="RVA239" s="15"/>
      <c r="RVB239" s="15"/>
      <c r="RVC239" s="15"/>
      <c r="RVD239" s="10"/>
      <c r="RVE239" s="10"/>
      <c r="RVF239" s="21"/>
      <c r="RVG239" s="21"/>
      <c r="RVJ239" s="21"/>
      <c r="RVK239" s="15"/>
      <c r="RVL239" s="15"/>
      <c r="RVM239" s="15"/>
      <c r="RVN239" s="15"/>
      <c r="RVO239" s="15"/>
      <c r="RVP239" s="15"/>
      <c r="RVQ239" s="15"/>
      <c r="RVR239" s="15"/>
      <c r="RVS239" s="15"/>
      <c r="RVT239" s="15"/>
      <c r="RVU239" s="10"/>
      <c r="RVV239" s="10"/>
      <c r="RVW239" s="21"/>
      <c r="RVX239" s="21"/>
      <c r="RWA239" s="21"/>
      <c r="RWB239" s="15"/>
      <c r="RWC239" s="15"/>
      <c r="RWD239" s="15"/>
      <c r="RWE239" s="15"/>
      <c r="RWF239" s="15"/>
      <c r="RWG239" s="15"/>
      <c r="RWH239" s="15"/>
      <c r="RWI239" s="15"/>
      <c r="RWJ239" s="15"/>
      <c r="RWK239" s="15"/>
      <c r="RWL239" s="10"/>
      <c r="RWM239" s="10"/>
      <c r="RWN239" s="21"/>
      <c r="RWO239" s="21"/>
      <c r="RWR239" s="21"/>
      <c r="RWS239" s="15"/>
      <c r="RWT239" s="15"/>
      <c r="RWU239" s="15"/>
      <c r="RWV239" s="15"/>
      <c r="RWW239" s="15"/>
      <c r="RWX239" s="15"/>
      <c r="RWY239" s="15"/>
      <c r="RWZ239" s="15"/>
      <c r="RXA239" s="15"/>
      <c r="RXB239" s="15"/>
      <c r="RXC239" s="10"/>
      <c r="RXD239" s="10"/>
      <c r="RXE239" s="21"/>
      <c r="RXF239" s="21"/>
      <c r="RXI239" s="21"/>
      <c r="RXJ239" s="15"/>
      <c r="RXK239" s="15"/>
      <c r="RXL239" s="15"/>
      <c r="RXM239" s="15"/>
      <c r="RXN239" s="15"/>
      <c r="RXO239" s="15"/>
      <c r="RXP239" s="15"/>
      <c r="RXQ239" s="15"/>
      <c r="RXR239" s="15"/>
      <c r="RXS239" s="15"/>
      <c r="RXT239" s="10"/>
      <c r="RXU239" s="10"/>
      <c r="RXV239" s="21"/>
      <c r="RXW239" s="21"/>
      <c r="RXZ239" s="21"/>
      <c r="RYA239" s="15"/>
      <c r="RYB239" s="15"/>
      <c r="RYC239" s="15"/>
      <c r="RYD239" s="15"/>
      <c r="RYE239" s="15"/>
      <c r="RYF239" s="15"/>
      <c r="RYG239" s="15"/>
      <c r="RYH239" s="15"/>
      <c r="RYI239" s="15"/>
      <c r="RYJ239" s="15"/>
      <c r="RYK239" s="10"/>
      <c r="RYL239" s="10"/>
      <c r="RYM239" s="21"/>
      <c r="RYN239" s="21"/>
      <c r="RYQ239" s="21"/>
      <c r="RYR239" s="15"/>
      <c r="RYS239" s="15"/>
      <c r="RYT239" s="15"/>
      <c r="RYU239" s="15"/>
      <c r="RYV239" s="15"/>
      <c r="RYW239" s="15"/>
      <c r="RYX239" s="15"/>
      <c r="RYY239" s="15"/>
      <c r="RYZ239" s="15"/>
      <c r="RZA239" s="15"/>
      <c r="RZB239" s="10"/>
      <c r="RZC239" s="10"/>
      <c r="RZD239" s="21"/>
      <c r="RZE239" s="21"/>
      <c r="RZH239" s="21"/>
      <c r="RZI239" s="15"/>
      <c r="RZJ239" s="15"/>
      <c r="RZK239" s="15"/>
      <c r="RZL239" s="15"/>
      <c r="RZM239" s="15"/>
      <c r="RZN239" s="15"/>
      <c r="RZO239" s="15"/>
      <c r="RZP239" s="15"/>
      <c r="RZQ239" s="15"/>
      <c r="RZR239" s="15"/>
      <c r="RZS239" s="10"/>
      <c r="RZT239" s="10"/>
      <c r="RZU239" s="21"/>
      <c r="RZV239" s="21"/>
      <c r="RZY239" s="21"/>
      <c r="RZZ239" s="15"/>
      <c r="SAA239" s="15"/>
      <c r="SAB239" s="15"/>
      <c r="SAC239" s="15"/>
      <c r="SAD239" s="15"/>
      <c r="SAE239" s="15"/>
      <c r="SAF239" s="15"/>
      <c r="SAG239" s="15"/>
      <c r="SAH239" s="15"/>
      <c r="SAI239" s="15"/>
      <c r="SAJ239" s="10"/>
      <c r="SAK239" s="10"/>
      <c r="SAL239" s="21"/>
      <c r="SAM239" s="21"/>
      <c r="SAP239" s="21"/>
      <c r="SAQ239" s="15"/>
      <c r="SAR239" s="15"/>
      <c r="SAS239" s="15"/>
      <c r="SAT239" s="15"/>
      <c r="SAU239" s="15"/>
      <c r="SAV239" s="15"/>
      <c r="SAW239" s="15"/>
      <c r="SAX239" s="15"/>
      <c r="SAY239" s="15"/>
      <c r="SAZ239" s="15"/>
      <c r="SBA239" s="10"/>
      <c r="SBB239" s="10"/>
      <c r="SBC239" s="21"/>
      <c r="SBD239" s="21"/>
      <c r="SBG239" s="21"/>
      <c r="SBH239" s="15"/>
      <c r="SBI239" s="15"/>
      <c r="SBJ239" s="15"/>
      <c r="SBK239" s="15"/>
      <c r="SBL239" s="15"/>
      <c r="SBM239" s="15"/>
      <c r="SBN239" s="15"/>
      <c r="SBO239" s="15"/>
      <c r="SBP239" s="15"/>
      <c r="SBQ239" s="15"/>
      <c r="SBR239" s="10"/>
      <c r="SBS239" s="10"/>
      <c r="SBT239" s="21"/>
      <c r="SBU239" s="21"/>
      <c r="SBX239" s="21"/>
      <c r="SBY239" s="15"/>
      <c r="SBZ239" s="15"/>
      <c r="SCA239" s="15"/>
      <c r="SCB239" s="15"/>
      <c r="SCC239" s="15"/>
      <c r="SCD239" s="15"/>
      <c r="SCE239" s="15"/>
      <c r="SCF239" s="15"/>
      <c r="SCG239" s="15"/>
      <c r="SCH239" s="15"/>
      <c r="SCI239" s="10"/>
      <c r="SCJ239" s="10"/>
      <c r="SCK239" s="21"/>
      <c r="SCL239" s="21"/>
      <c r="SCO239" s="21"/>
      <c r="SCP239" s="15"/>
      <c r="SCQ239" s="15"/>
      <c r="SCR239" s="15"/>
      <c r="SCS239" s="15"/>
      <c r="SCT239" s="15"/>
      <c r="SCU239" s="15"/>
      <c r="SCV239" s="15"/>
      <c r="SCW239" s="15"/>
      <c r="SCX239" s="15"/>
      <c r="SCY239" s="15"/>
      <c r="SCZ239" s="10"/>
      <c r="SDA239" s="10"/>
      <c r="SDB239" s="21"/>
      <c r="SDC239" s="21"/>
      <c r="SDF239" s="21"/>
      <c r="SDG239" s="15"/>
      <c r="SDH239" s="15"/>
      <c r="SDI239" s="15"/>
      <c r="SDJ239" s="15"/>
      <c r="SDK239" s="15"/>
      <c r="SDL239" s="15"/>
      <c r="SDM239" s="15"/>
      <c r="SDN239" s="15"/>
      <c r="SDO239" s="15"/>
      <c r="SDP239" s="15"/>
      <c r="SDQ239" s="10"/>
      <c r="SDR239" s="10"/>
      <c r="SDS239" s="21"/>
      <c r="SDT239" s="21"/>
      <c r="SDW239" s="21"/>
      <c r="SDX239" s="15"/>
      <c r="SDY239" s="15"/>
      <c r="SDZ239" s="15"/>
      <c r="SEA239" s="15"/>
      <c r="SEB239" s="15"/>
      <c r="SEC239" s="15"/>
      <c r="SED239" s="15"/>
      <c r="SEE239" s="15"/>
      <c r="SEF239" s="15"/>
      <c r="SEG239" s="15"/>
      <c r="SEH239" s="10"/>
      <c r="SEI239" s="10"/>
      <c r="SEJ239" s="21"/>
      <c r="SEK239" s="21"/>
      <c r="SEN239" s="21"/>
      <c r="SEO239" s="15"/>
      <c r="SEP239" s="15"/>
      <c r="SEQ239" s="15"/>
      <c r="SER239" s="15"/>
      <c r="SES239" s="15"/>
      <c r="SET239" s="15"/>
      <c r="SEU239" s="15"/>
      <c r="SEV239" s="15"/>
      <c r="SEW239" s="15"/>
      <c r="SEX239" s="15"/>
      <c r="SEY239" s="10"/>
      <c r="SEZ239" s="10"/>
      <c r="SFA239" s="21"/>
      <c r="SFB239" s="21"/>
      <c r="SFE239" s="21"/>
      <c r="SFF239" s="15"/>
      <c r="SFG239" s="15"/>
      <c r="SFH239" s="15"/>
      <c r="SFI239" s="15"/>
      <c r="SFJ239" s="15"/>
      <c r="SFK239" s="15"/>
      <c r="SFL239" s="15"/>
      <c r="SFM239" s="15"/>
      <c r="SFN239" s="15"/>
      <c r="SFO239" s="15"/>
      <c r="SFP239" s="10"/>
      <c r="SFQ239" s="10"/>
      <c r="SFR239" s="21"/>
      <c r="SFS239" s="21"/>
      <c r="SFV239" s="21"/>
      <c r="SFW239" s="15"/>
      <c r="SFX239" s="15"/>
      <c r="SFY239" s="15"/>
      <c r="SFZ239" s="15"/>
      <c r="SGA239" s="15"/>
      <c r="SGB239" s="15"/>
      <c r="SGC239" s="15"/>
      <c r="SGD239" s="15"/>
      <c r="SGE239" s="15"/>
      <c r="SGF239" s="15"/>
      <c r="SGG239" s="10"/>
      <c r="SGH239" s="10"/>
      <c r="SGI239" s="21"/>
      <c r="SGJ239" s="21"/>
      <c r="SGM239" s="21"/>
      <c r="SGN239" s="15"/>
      <c r="SGO239" s="15"/>
      <c r="SGP239" s="15"/>
      <c r="SGQ239" s="15"/>
      <c r="SGR239" s="15"/>
      <c r="SGS239" s="15"/>
      <c r="SGT239" s="15"/>
      <c r="SGU239" s="15"/>
      <c r="SGV239" s="15"/>
      <c r="SGW239" s="15"/>
      <c r="SGX239" s="10"/>
      <c r="SGY239" s="10"/>
      <c r="SGZ239" s="21"/>
      <c r="SHA239" s="21"/>
      <c r="SHD239" s="21"/>
      <c r="SHE239" s="15"/>
      <c r="SHF239" s="15"/>
      <c r="SHG239" s="15"/>
      <c r="SHH239" s="15"/>
      <c r="SHI239" s="15"/>
      <c r="SHJ239" s="15"/>
      <c r="SHK239" s="15"/>
      <c r="SHL239" s="15"/>
      <c r="SHM239" s="15"/>
      <c r="SHN239" s="15"/>
      <c r="SHO239" s="10"/>
      <c r="SHP239" s="10"/>
      <c r="SHQ239" s="21"/>
      <c r="SHR239" s="21"/>
      <c r="SHU239" s="21"/>
      <c r="SHV239" s="15"/>
      <c r="SHW239" s="15"/>
      <c r="SHX239" s="15"/>
      <c r="SHY239" s="15"/>
      <c r="SHZ239" s="15"/>
      <c r="SIA239" s="15"/>
      <c r="SIB239" s="15"/>
      <c r="SIC239" s="15"/>
      <c r="SID239" s="15"/>
      <c r="SIE239" s="15"/>
      <c r="SIF239" s="10"/>
      <c r="SIG239" s="10"/>
      <c r="SIH239" s="21"/>
      <c r="SII239" s="21"/>
      <c r="SIL239" s="21"/>
      <c r="SIM239" s="15"/>
      <c r="SIN239" s="15"/>
      <c r="SIO239" s="15"/>
      <c r="SIP239" s="15"/>
      <c r="SIQ239" s="15"/>
      <c r="SIR239" s="15"/>
      <c r="SIS239" s="15"/>
      <c r="SIT239" s="15"/>
      <c r="SIU239" s="15"/>
      <c r="SIV239" s="15"/>
      <c r="SIW239" s="10"/>
      <c r="SIX239" s="10"/>
      <c r="SIY239" s="21"/>
      <c r="SIZ239" s="21"/>
      <c r="SJC239" s="21"/>
      <c r="SJD239" s="15"/>
      <c r="SJE239" s="15"/>
      <c r="SJF239" s="15"/>
      <c r="SJG239" s="15"/>
      <c r="SJH239" s="15"/>
      <c r="SJI239" s="15"/>
      <c r="SJJ239" s="15"/>
      <c r="SJK239" s="15"/>
      <c r="SJL239" s="15"/>
      <c r="SJM239" s="15"/>
      <c r="SJN239" s="10"/>
      <c r="SJO239" s="10"/>
      <c r="SJP239" s="21"/>
      <c r="SJQ239" s="21"/>
      <c r="SJT239" s="21"/>
      <c r="SJU239" s="15"/>
      <c r="SJV239" s="15"/>
      <c r="SJW239" s="15"/>
      <c r="SJX239" s="15"/>
      <c r="SJY239" s="15"/>
      <c r="SJZ239" s="15"/>
      <c r="SKA239" s="15"/>
      <c r="SKB239" s="15"/>
      <c r="SKC239" s="15"/>
      <c r="SKD239" s="15"/>
      <c r="SKE239" s="10"/>
      <c r="SKF239" s="10"/>
      <c r="SKG239" s="21"/>
      <c r="SKH239" s="21"/>
      <c r="SKK239" s="21"/>
      <c r="SKL239" s="15"/>
      <c r="SKM239" s="15"/>
      <c r="SKN239" s="15"/>
      <c r="SKO239" s="15"/>
      <c r="SKP239" s="15"/>
      <c r="SKQ239" s="15"/>
      <c r="SKR239" s="15"/>
      <c r="SKS239" s="15"/>
      <c r="SKT239" s="15"/>
      <c r="SKU239" s="15"/>
      <c r="SKV239" s="10"/>
      <c r="SKW239" s="10"/>
      <c r="SKX239" s="21"/>
      <c r="SKY239" s="21"/>
      <c r="SLB239" s="21"/>
      <c r="SLC239" s="15"/>
      <c r="SLD239" s="15"/>
      <c r="SLE239" s="15"/>
      <c r="SLF239" s="15"/>
      <c r="SLG239" s="15"/>
      <c r="SLH239" s="15"/>
      <c r="SLI239" s="15"/>
      <c r="SLJ239" s="15"/>
      <c r="SLK239" s="15"/>
      <c r="SLL239" s="15"/>
      <c r="SLM239" s="10"/>
      <c r="SLN239" s="10"/>
      <c r="SLO239" s="21"/>
      <c r="SLP239" s="21"/>
      <c r="SLS239" s="21"/>
      <c r="SLT239" s="15"/>
      <c r="SLU239" s="15"/>
      <c r="SLV239" s="15"/>
      <c r="SLW239" s="15"/>
      <c r="SLX239" s="15"/>
      <c r="SLY239" s="15"/>
      <c r="SLZ239" s="15"/>
      <c r="SMA239" s="15"/>
      <c r="SMB239" s="15"/>
      <c r="SMC239" s="15"/>
      <c r="SMD239" s="10"/>
      <c r="SME239" s="10"/>
      <c r="SMF239" s="21"/>
      <c r="SMG239" s="21"/>
      <c r="SMJ239" s="21"/>
      <c r="SMK239" s="15"/>
      <c r="SML239" s="15"/>
      <c r="SMM239" s="15"/>
      <c r="SMN239" s="15"/>
      <c r="SMO239" s="15"/>
      <c r="SMP239" s="15"/>
      <c r="SMQ239" s="15"/>
      <c r="SMR239" s="15"/>
      <c r="SMS239" s="15"/>
      <c r="SMT239" s="15"/>
      <c r="SMU239" s="10"/>
      <c r="SMV239" s="10"/>
      <c r="SMW239" s="21"/>
      <c r="SMX239" s="21"/>
      <c r="SNA239" s="21"/>
      <c r="SNB239" s="15"/>
      <c r="SNC239" s="15"/>
      <c r="SND239" s="15"/>
      <c r="SNE239" s="15"/>
      <c r="SNF239" s="15"/>
      <c r="SNG239" s="15"/>
      <c r="SNH239" s="15"/>
      <c r="SNI239" s="15"/>
      <c r="SNJ239" s="15"/>
      <c r="SNK239" s="15"/>
      <c r="SNL239" s="10"/>
      <c r="SNM239" s="10"/>
      <c r="SNN239" s="21"/>
      <c r="SNO239" s="21"/>
      <c r="SNR239" s="21"/>
      <c r="SNS239" s="15"/>
      <c r="SNT239" s="15"/>
      <c r="SNU239" s="15"/>
      <c r="SNV239" s="15"/>
      <c r="SNW239" s="15"/>
      <c r="SNX239" s="15"/>
      <c r="SNY239" s="15"/>
      <c r="SNZ239" s="15"/>
      <c r="SOA239" s="15"/>
      <c r="SOB239" s="15"/>
      <c r="SOC239" s="10"/>
      <c r="SOD239" s="10"/>
      <c r="SOE239" s="21"/>
      <c r="SOF239" s="21"/>
      <c r="SOI239" s="21"/>
      <c r="SOJ239" s="15"/>
      <c r="SOK239" s="15"/>
      <c r="SOL239" s="15"/>
      <c r="SOM239" s="15"/>
      <c r="SON239" s="15"/>
      <c r="SOO239" s="15"/>
      <c r="SOP239" s="15"/>
      <c r="SOQ239" s="15"/>
      <c r="SOR239" s="15"/>
      <c r="SOS239" s="15"/>
      <c r="SOT239" s="10"/>
      <c r="SOU239" s="10"/>
      <c r="SOV239" s="21"/>
      <c r="SOW239" s="21"/>
      <c r="SOZ239" s="21"/>
      <c r="SPA239" s="15"/>
      <c r="SPB239" s="15"/>
      <c r="SPC239" s="15"/>
      <c r="SPD239" s="15"/>
      <c r="SPE239" s="15"/>
      <c r="SPF239" s="15"/>
      <c r="SPG239" s="15"/>
      <c r="SPH239" s="15"/>
      <c r="SPI239" s="15"/>
      <c r="SPJ239" s="15"/>
      <c r="SPK239" s="10"/>
      <c r="SPL239" s="10"/>
      <c r="SPM239" s="21"/>
      <c r="SPN239" s="21"/>
      <c r="SPQ239" s="21"/>
      <c r="SPR239" s="15"/>
      <c r="SPS239" s="15"/>
      <c r="SPT239" s="15"/>
      <c r="SPU239" s="15"/>
      <c r="SPV239" s="15"/>
      <c r="SPW239" s="15"/>
      <c r="SPX239" s="15"/>
      <c r="SPY239" s="15"/>
      <c r="SPZ239" s="15"/>
      <c r="SQA239" s="15"/>
      <c r="SQB239" s="10"/>
      <c r="SQC239" s="10"/>
      <c r="SQD239" s="21"/>
      <c r="SQE239" s="21"/>
      <c r="SQH239" s="21"/>
      <c r="SQI239" s="15"/>
      <c r="SQJ239" s="15"/>
      <c r="SQK239" s="15"/>
      <c r="SQL239" s="15"/>
      <c r="SQM239" s="15"/>
      <c r="SQN239" s="15"/>
      <c r="SQO239" s="15"/>
      <c r="SQP239" s="15"/>
      <c r="SQQ239" s="15"/>
      <c r="SQR239" s="15"/>
      <c r="SQS239" s="10"/>
      <c r="SQT239" s="10"/>
      <c r="SQU239" s="21"/>
      <c r="SQV239" s="21"/>
      <c r="SQY239" s="21"/>
      <c r="SQZ239" s="15"/>
      <c r="SRA239" s="15"/>
      <c r="SRB239" s="15"/>
      <c r="SRC239" s="15"/>
      <c r="SRD239" s="15"/>
      <c r="SRE239" s="15"/>
      <c r="SRF239" s="15"/>
      <c r="SRG239" s="15"/>
      <c r="SRH239" s="15"/>
      <c r="SRI239" s="15"/>
      <c r="SRJ239" s="10"/>
      <c r="SRK239" s="10"/>
      <c r="SRL239" s="21"/>
      <c r="SRM239" s="21"/>
      <c r="SRP239" s="21"/>
      <c r="SRQ239" s="15"/>
      <c r="SRR239" s="15"/>
      <c r="SRS239" s="15"/>
      <c r="SRT239" s="15"/>
      <c r="SRU239" s="15"/>
      <c r="SRV239" s="15"/>
      <c r="SRW239" s="15"/>
      <c r="SRX239" s="15"/>
      <c r="SRY239" s="15"/>
      <c r="SRZ239" s="15"/>
      <c r="SSA239" s="10"/>
      <c r="SSB239" s="10"/>
      <c r="SSC239" s="21"/>
      <c r="SSD239" s="21"/>
      <c r="SSG239" s="21"/>
      <c r="SSH239" s="15"/>
      <c r="SSI239" s="15"/>
      <c r="SSJ239" s="15"/>
      <c r="SSK239" s="15"/>
      <c r="SSL239" s="15"/>
      <c r="SSM239" s="15"/>
      <c r="SSN239" s="15"/>
      <c r="SSO239" s="15"/>
      <c r="SSP239" s="15"/>
      <c r="SSQ239" s="15"/>
      <c r="SSR239" s="10"/>
      <c r="SSS239" s="10"/>
      <c r="SST239" s="21"/>
      <c r="SSU239" s="21"/>
      <c r="SSX239" s="21"/>
      <c r="SSY239" s="15"/>
      <c r="SSZ239" s="15"/>
      <c r="STA239" s="15"/>
      <c r="STB239" s="15"/>
      <c r="STC239" s="15"/>
      <c r="STD239" s="15"/>
      <c r="STE239" s="15"/>
      <c r="STF239" s="15"/>
      <c r="STG239" s="15"/>
      <c r="STH239" s="15"/>
      <c r="STI239" s="10"/>
      <c r="STJ239" s="10"/>
      <c r="STK239" s="21"/>
      <c r="STL239" s="21"/>
      <c r="STO239" s="21"/>
      <c r="STP239" s="15"/>
      <c r="STQ239" s="15"/>
      <c r="STR239" s="15"/>
      <c r="STS239" s="15"/>
      <c r="STT239" s="15"/>
      <c r="STU239" s="15"/>
      <c r="STV239" s="15"/>
      <c r="STW239" s="15"/>
      <c r="STX239" s="15"/>
      <c r="STY239" s="15"/>
      <c r="STZ239" s="10"/>
      <c r="SUA239" s="10"/>
      <c r="SUB239" s="21"/>
      <c r="SUC239" s="21"/>
      <c r="SUF239" s="21"/>
      <c r="SUG239" s="15"/>
      <c r="SUH239" s="15"/>
      <c r="SUI239" s="15"/>
      <c r="SUJ239" s="15"/>
      <c r="SUK239" s="15"/>
      <c r="SUL239" s="15"/>
      <c r="SUM239" s="15"/>
      <c r="SUN239" s="15"/>
      <c r="SUO239" s="15"/>
      <c r="SUP239" s="15"/>
      <c r="SUQ239" s="10"/>
      <c r="SUR239" s="10"/>
      <c r="SUS239" s="21"/>
      <c r="SUT239" s="21"/>
      <c r="SUW239" s="21"/>
      <c r="SUX239" s="15"/>
      <c r="SUY239" s="15"/>
      <c r="SUZ239" s="15"/>
      <c r="SVA239" s="15"/>
      <c r="SVB239" s="15"/>
      <c r="SVC239" s="15"/>
      <c r="SVD239" s="15"/>
      <c r="SVE239" s="15"/>
      <c r="SVF239" s="15"/>
      <c r="SVG239" s="15"/>
      <c r="SVH239" s="10"/>
      <c r="SVI239" s="10"/>
      <c r="SVJ239" s="21"/>
      <c r="SVK239" s="21"/>
      <c r="SVN239" s="21"/>
      <c r="SVO239" s="15"/>
      <c r="SVP239" s="15"/>
      <c r="SVQ239" s="15"/>
      <c r="SVR239" s="15"/>
      <c r="SVS239" s="15"/>
      <c r="SVT239" s="15"/>
      <c r="SVU239" s="15"/>
      <c r="SVV239" s="15"/>
      <c r="SVW239" s="15"/>
      <c r="SVX239" s="15"/>
      <c r="SVY239" s="10"/>
      <c r="SVZ239" s="10"/>
      <c r="SWA239" s="21"/>
      <c r="SWB239" s="21"/>
      <c r="SWE239" s="21"/>
      <c r="SWF239" s="15"/>
      <c r="SWG239" s="15"/>
      <c r="SWH239" s="15"/>
      <c r="SWI239" s="15"/>
      <c r="SWJ239" s="15"/>
      <c r="SWK239" s="15"/>
      <c r="SWL239" s="15"/>
      <c r="SWM239" s="15"/>
      <c r="SWN239" s="15"/>
      <c r="SWO239" s="15"/>
      <c r="SWP239" s="10"/>
      <c r="SWQ239" s="10"/>
      <c r="SWR239" s="21"/>
      <c r="SWS239" s="21"/>
      <c r="SWV239" s="21"/>
      <c r="SWW239" s="15"/>
      <c r="SWX239" s="15"/>
      <c r="SWY239" s="15"/>
      <c r="SWZ239" s="15"/>
      <c r="SXA239" s="15"/>
      <c r="SXB239" s="15"/>
      <c r="SXC239" s="15"/>
      <c r="SXD239" s="15"/>
      <c r="SXE239" s="15"/>
      <c r="SXF239" s="15"/>
      <c r="SXG239" s="10"/>
      <c r="SXH239" s="10"/>
      <c r="SXI239" s="21"/>
      <c r="SXJ239" s="21"/>
      <c r="SXM239" s="21"/>
      <c r="SXN239" s="15"/>
      <c r="SXO239" s="15"/>
      <c r="SXP239" s="15"/>
      <c r="SXQ239" s="15"/>
      <c r="SXR239" s="15"/>
      <c r="SXS239" s="15"/>
      <c r="SXT239" s="15"/>
      <c r="SXU239" s="15"/>
      <c r="SXV239" s="15"/>
      <c r="SXW239" s="15"/>
      <c r="SXX239" s="10"/>
      <c r="SXY239" s="10"/>
      <c r="SXZ239" s="21"/>
      <c r="SYA239" s="21"/>
      <c r="SYD239" s="21"/>
      <c r="SYE239" s="15"/>
      <c r="SYF239" s="15"/>
      <c r="SYG239" s="15"/>
      <c r="SYH239" s="15"/>
      <c r="SYI239" s="15"/>
      <c r="SYJ239" s="15"/>
      <c r="SYK239" s="15"/>
      <c r="SYL239" s="15"/>
      <c r="SYM239" s="15"/>
      <c r="SYN239" s="15"/>
      <c r="SYO239" s="10"/>
      <c r="SYP239" s="10"/>
      <c r="SYQ239" s="21"/>
      <c r="SYR239" s="21"/>
      <c r="SYU239" s="21"/>
      <c r="SYV239" s="15"/>
      <c r="SYW239" s="15"/>
      <c r="SYX239" s="15"/>
      <c r="SYY239" s="15"/>
      <c r="SYZ239" s="15"/>
      <c r="SZA239" s="15"/>
      <c r="SZB239" s="15"/>
      <c r="SZC239" s="15"/>
      <c r="SZD239" s="15"/>
      <c r="SZE239" s="15"/>
      <c r="SZF239" s="10"/>
      <c r="SZG239" s="10"/>
      <c r="SZH239" s="21"/>
      <c r="SZI239" s="21"/>
      <c r="SZL239" s="21"/>
      <c r="SZM239" s="15"/>
      <c r="SZN239" s="15"/>
      <c r="SZO239" s="15"/>
      <c r="SZP239" s="15"/>
      <c r="SZQ239" s="15"/>
      <c r="SZR239" s="15"/>
      <c r="SZS239" s="15"/>
      <c r="SZT239" s="15"/>
      <c r="SZU239" s="15"/>
      <c r="SZV239" s="15"/>
      <c r="SZW239" s="10"/>
      <c r="SZX239" s="10"/>
      <c r="SZY239" s="21"/>
      <c r="SZZ239" s="21"/>
      <c r="TAC239" s="21"/>
      <c r="TAD239" s="15"/>
      <c r="TAE239" s="15"/>
      <c r="TAF239" s="15"/>
      <c r="TAG239" s="15"/>
      <c r="TAH239" s="15"/>
      <c r="TAI239" s="15"/>
      <c r="TAJ239" s="15"/>
      <c r="TAK239" s="15"/>
      <c r="TAL239" s="15"/>
      <c r="TAM239" s="15"/>
      <c r="TAN239" s="10"/>
      <c r="TAO239" s="10"/>
      <c r="TAP239" s="21"/>
      <c r="TAQ239" s="21"/>
      <c r="TAT239" s="21"/>
      <c r="TAU239" s="15"/>
      <c r="TAV239" s="15"/>
      <c r="TAW239" s="15"/>
      <c r="TAX239" s="15"/>
      <c r="TAY239" s="15"/>
      <c r="TAZ239" s="15"/>
      <c r="TBA239" s="15"/>
      <c r="TBB239" s="15"/>
      <c r="TBC239" s="15"/>
      <c r="TBD239" s="15"/>
      <c r="TBE239" s="10"/>
      <c r="TBF239" s="10"/>
      <c r="TBG239" s="21"/>
      <c r="TBH239" s="21"/>
      <c r="TBK239" s="21"/>
      <c r="TBL239" s="15"/>
      <c r="TBM239" s="15"/>
      <c r="TBN239" s="15"/>
      <c r="TBO239" s="15"/>
      <c r="TBP239" s="15"/>
      <c r="TBQ239" s="15"/>
      <c r="TBR239" s="15"/>
      <c r="TBS239" s="15"/>
      <c r="TBT239" s="15"/>
      <c r="TBU239" s="15"/>
      <c r="TBV239" s="10"/>
      <c r="TBW239" s="10"/>
      <c r="TBX239" s="21"/>
      <c r="TBY239" s="21"/>
      <c r="TCB239" s="21"/>
      <c r="TCC239" s="15"/>
      <c r="TCD239" s="15"/>
      <c r="TCE239" s="15"/>
      <c r="TCF239" s="15"/>
      <c r="TCG239" s="15"/>
      <c r="TCH239" s="15"/>
      <c r="TCI239" s="15"/>
      <c r="TCJ239" s="15"/>
      <c r="TCK239" s="15"/>
      <c r="TCL239" s="15"/>
      <c r="TCM239" s="10"/>
      <c r="TCN239" s="10"/>
      <c r="TCO239" s="21"/>
      <c r="TCP239" s="21"/>
      <c r="TCS239" s="21"/>
      <c r="TCT239" s="15"/>
      <c r="TCU239" s="15"/>
      <c r="TCV239" s="15"/>
      <c r="TCW239" s="15"/>
      <c r="TCX239" s="15"/>
      <c r="TCY239" s="15"/>
      <c r="TCZ239" s="15"/>
      <c r="TDA239" s="15"/>
      <c r="TDB239" s="15"/>
      <c r="TDC239" s="15"/>
      <c r="TDD239" s="10"/>
      <c r="TDE239" s="10"/>
      <c r="TDF239" s="21"/>
      <c r="TDG239" s="21"/>
      <c r="TDJ239" s="21"/>
      <c r="TDK239" s="15"/>
      <c r="TDL239" s="15"/>
      <c r="TDM239" s="15"/>
      <c r="TDN239" s="15"/>
      <c r="TDO239" s="15"/>
      <c r="TDP239" s="15"/>
      <c r="TDQ239" s="15"/>
      <c r="TDR239" s="15"/>
      <c r="TDS239" s="15"/>
      <c r="TDT239" s="15"/>
      <c r="TDU239" s="10"/>
      <c r="TDV239" s="10"/>
      <c r="TDW239" s="21"/>
      <c r="TDX239" s="21"/>
      <c r="TEA239" s="21"/>
      <c r="TEB239" s="15"/>
      <c r="TEC239" s="15"/>
      <c r="TED239" s="15"/>
      <c r="TEE239" s="15"/>
      <c r="TEF239" s="15"/>
      <c r="TEG239" s="15"/>
      <c r="TEH239" s="15"/>
      <c r="TEI239" s="15"/>
      <c r="TEJ239" s="15"/>
      <c r="TEK239" s="15"/>
      <c r="TEL239" s="10"/>
      <c r="TEM239" s="10"/>
      <c r="TEN239" s="21"/>
      <c r="TEO239" s="21"/>
      <c r="TER239" s="21"/>
      <c r="TES239" s="15"/>
      <c r="TET239" s="15"/>
      <c r="TEU239" s="15"/>
      <c r="TEV239" s="15"/>
      <c r="TEW239" s="15"/>
      <c r="TEX239" s="15"/>
      <c r="TEY239" s="15"/>
      <c r="TEZ239" s="15"/>
      <c r="TFA239" s="15"/>
      <c r="TFB239" s="15"/>
      <c r="TFC239" s="10"/>
      <c r="TFD239" s="10"/>
      <c r="TFE239" s="21"/>
      <c r="TFF239" s="21"/>
      <c r="TFI239" s="21"/>
      <c r="TFJ239" s="15"/>
      <c r="TFK239" s="15"/>
      <c r="TFL239" s="15"/>
      <c r="TFM239" s="15"/>
      <c r="TFN239" s="15"/>
      <c r="TFO239" s="15"/>
      <c r="TFP239" s="15"/>
      <c r="TFQ239" s="15"/>
      <c r="TFR239" s="15"/>
      <c r="TFS239" s="15"/>
      <c r="TFT239" s="10"/>
      <c r="TFU239" s="10"/>
      <c r="TFV239" s="21"/>
      <c r="TFW239" s="21"/>
      <c r="TFZ239" s="21"/>
      <c r="TGA239" s="15"/>
      <c r="TGB239" s="15"/>
      <c r="TGC239" s="15"/>
      <c r="TGD239" s="15"/>
      <c r="TGE239" s="15"/>
      <c r="TGF239" s="15"/>
      <c r="TGG239" s="15"/>
      <c r="TGH239" s="15"/>
      <c r="TGI239" s="15"/>
      <c r="TGJ239" s="15"/>
      <c r="TGK239" s="10"/>
      <c r="TGL239" s="10"/>
      <c r="TGM239" s="21"/>
      <c r="TGN239" s="21"/>
      <c r="TGQ239" s="21"/>
      <c r="TGR239" s="15"/>
      <c r="TGS239" s="15"/>
      <c r="TGT239" s="15"/>
      <c r="TGU239" s="15"/>
      <c r="TGV239" s="15"/>
      <c r="TGW239" s="15"/>
      <c r="TGX239" s="15"/>
      <c r="TGY239" s="15"/>
      <c r="TGZ239" s="15"/>
      <c r="THA239" s="15"/>
      <c r="THB239" s="10"/>
      <c r="THC239" s="10"/>
      <c r="THD239" s="21"/>
      <c r="THE239" s="21"/>
      <c r="THH239" s="21"/>
      <c r="THI239" s="15"/>
      <c r="THJ239" s="15"/>
      <c r="THK239" s="15"/>
      <c r="THL239" s="15"/>
      <c r="THM239" s="15"/>
      <c r="THN239" s="15"/>
      <c r="THO239" s="15"/>
      <c r="THP239" s="15"/>
      <c r="THQ239" s="15"/>
      <c r="THR239" s="15"/>
      <c r="THS239" s="10"/>
      <c r="THT239" s="10"/>
      <c r="THU239" s="21"/>
      <c r="THV239" s="21"/>
      <c r="THY239" s="21"/>
      <c r="THZ239" s="15"/>
      <c r="TIA239" s="15"/>
      <c r="TIB239" s="15"/>
      <c r="TIC239" s="15"/>
      <c r="TID239" s="15"/>
      <c r="TIE239" s="15"/>
      <c r="TIF239" s="15"/>
      <c r="TIG239" s="15"/>
      <c r="TIH239" s="15"/>
      <c r="TII239" s="15"/>
      <c r="TIJ239" s="10"/>
      <c r="TIK239" s="10"/>
      <c r="TIL239" s="21"/>
      <c r="TIM239" s="21"/>
      <c r="TIP239" s="21"/>
      <c r="TIQ239" s="15"/>
      <c r="TIR239" s="15"/>
      <c r="TIS239" s="15"/>
      <c r="TIT239" s="15"/>
      <c r="TIU239" s="15"/>
      <c r="TIV239" s="15"/>
      <c r="TIW239" s="15"/>
      <c r="TIX239" s="15"/>
      <c r="TIY239" s="15"/>
      <c r="TIZ239" s="15"/>
      <c r="TJA239" s="10"/>
      <c r="TJB239" s="10"/>
      <c r="TJC239" s="21"/>
      <c r="TJD239" s="21"/>
      <c r="TJG239" s="21"/>
      <c r="TJH239" s="15"/>
      <c r="TJI239" s="15"/>
      <c r="TJJ239" s="15"/>
      <c r="TJK239" s="15"/>
      <c r="TJL239" s="15"/>
      <c r="TJM239" s="15"/>
      <c r="TJN239" s="15"/>
      <c r="TJO239" s="15"/>
      <c r="TJP239" s="15"/>
      <c r="TJQ239" s="15"/>
      <c r="TJR239" s="10"/>
      <c r="TJS239" s="10"/>
      <c r="TJT239" s="21"/>
      <c r="TJU239" s="21"/>
      <c r="TJX239" s="21"/>
      <c r="TJY239" s="15"/>
      <c r="TJZ239" s="15"/>
      <c r="TKA239" s="15"/>
      <c r="TKB239" s="15"/>
      <c r="TKC239" s="15"/>
      <c r="TKD239" s="15"/>
      <c r="TKE239" s="15"/>
      <c r="TKF239" s="15"/>
      <c r="TKG239" s="15"/>
      <c r="TKH239" s="15"/>
      <c r="TKI239" s="10"/>
      <c r="TKJ239" s="10"/>
      <c r="TKK239" s="21"/>
      <c r="TKL239" s="21"/>
      <c r="TKO239" s="21"/>
      <c r="TKP239" s="15"/>
      <c r="TKQ239" s="15"/>
      <c r="TKR239" s="15"/>
      <c r="TKS239" s="15"/>
      <c r="TKT239" s="15"/>
      <c r="TKU239" s="15"/>
      <c r="TKV239" s="15"/>
      <c r="TKW239" s="15"/>
      <c r="TKX239" s="15"/>
      <c r="TKY239" s="15"/>
      <c r="TKZ239" s="10"/>
      <c r="TLA239" s="10"/>
      <c r="TLB239" s="21"/>
      <c r="TLC239" s="21"/>
      <c r="TLF239" s="21"/>
      <c r="TLG239" s="15"/>
      <c r="TLH239" s="15"/>
      <c r="TLI239" s="15"/>
      <c r="TLJ239" s="15"/>
      <c r="TLK239" s="15"/>
      <c r="TLL239" s="15"/>
      <c r="TLM239" s="15"/>
      <c r="TLN239" s="15"/>
      <c r="TLO239" s="15"/>
      <c r="TLP239" s="15"/>
      <c r="TLQ239" s="10"/>
      <c r="TLR239" s="10"/>
      <c r="TLS239" s="21"/>
      <c r="TLT239" s="21"/>
      <c r="TLW239" s="21"/>
      <c r="TLX239" s="15"/>
      <c r="TLY239" s="15"/>
      <c r="TLZ239" s="15"/>
      <c r="TMA239" s="15"/>
      <c r="TMB239" s="15"/>
      <c r="TMC239" s="15"/>
      <c r="TMD239" s="15"/>
      <c r="TME239" s="15"/>
      <c r="TMF239" s="15"/>
      <c r="TMG239" s="15"/>
      <c r="TMH239" s="10"/>
      <c r="TMI239" s="10"/>
      <c r="TMJ239" s="21"/>
      <c r="TMK239" s="21"/>
      <c r="TMN239" s="21"/>
      <c r="TMO239" s="15"/>
      <c r="TMP239" s="15"/>
      <c r="TMQ239" s="15"/>
      <c r="TMR239" s="15"/>
      <c r="TMS239" s="15"/>
      <c r="TMT239" s="15"/>
      <c r="TMU239" s="15"/>
      <c r="TMV239" s="15"/>
      <c r="TMW239" s="15"/>
      <c r="TMX239" s="15"/>
      <c r="TMY239" s="10"/>
      <c r="TMZ239" s="10"/>
      <c r="TNA239" s="21"/>
      <c r="TNB239" s="21"/>
      <c r="TNE239" s="21"/>
      <c r="TNF239" s="15"/>
      <c r="TNG239" s="15"/>
      <c r="TNH239" s="15"/>
      <c r="TNI239" s="15"/>
      <c r="TNJ239" s="15"/>
      <c r="TNK239" s="15"/>
      <c r="TNL239" s="15"/>
      <c r="TNM239" s="15"/>
      <c r="TNN239" s="15"/>
      <c r="TNO239" s="15"/>
      <c r="TNP239" s="10"/>
      <c r="TNQ239" s="10"/>
      <c r="TNR239" s="21"/>
      <c r="TNS239" s="21"/>
      <c r="TNV239" s="21"/>
      <c r="TNW239" s="15"/>
      <c r="TNX239" s="15"/>
      <c r="TNY239" s="15"/>
      <c r="TNZ239" s="15"/>
      <c r="TOA239" s="15"/>
      <c r="TOB239" s="15"/>
      <c r="TOC239" s="15"/>
      <c r="TOD239" s="15"/>
      <c r="TOE239" s="15"/>
      <c r="TOF239" s="15"/>
      <c r="TOG239" s="10"/>
      <c r="TOH239" s="10"/>
      <c r="TOI239" s="21"/>
      <c r="TOJ239" s="21"/>
      <c r="TOM239" s="21"/>
      <c r="TON239" s="15"/>
      <c r="TOO239" s="15"/>
      <c r="TOP239" s="15"/>
      <c r="TOQ239" s="15"/>
      <c r="TOR239" s="15"/>
      <c r="TOS239" s="15"/>
      <c r="TOT239" s="15"/>
      <c r="TOU239" s="15"/>
      <c r="TOV239" s="15"/>
      <c r="TOW239" s="15"/>
      <c r="TOX239" s="10"/>
      <c r="TOY239" s="10"/>
      <c r="TOZ239" s="21"/>
      <c r="TPA239" s="21"/>
      <c r="TPD239" s="21"/>
      <c r="TPE239" s="15"/>
      <c r="TPF239" s="15"/>
      <c r="TPG239" s="15"/>
      <c r="TPH239" s="15"/>
      <c r="TPI239" s="15"/>
      <c r="TPJ239" s="15"/>
      <c r="TPK239" s="15"/>
      <c r="TPL239" s="15"/>
      <c r="TPM239" s="15"/>
      <c r="TPN239" s="15"/>
      <c r="TPO239" s="10"/>
      <c r="TPP239" s="10"/>
      <c r="TPQ239" s="21"/>
      <c r="TPR239" s="21"/>
      <c r="TPU239" s="21"/>
      <c r="TPV239" s="15"/>
      <c r="TPW239" s="15"/>
      <c r="TPX239" s="15"/>
      <c r="TPY239" s="15"/>
      <c r="TPZ239" s="15"/>
      <c r="TQA239" s="15"/>
      <c r="TQB239" s="15"/>
      <c r="TQC239" s="15"/>
      <c r="TQD239" s="15"/>
      <c r="TQE239" s="15"/>
      <c r="TQF239" s="10"/>
      <c r="TQG239" s="10"/>
      <c r="TQH239" s="21"/>
      <c r="TQI239" s="21"/>
      <c r="TQL239" s="21"/>
      <c r="TQM239" s="15"/>
      <c r="TQN239" s="15"/>
      <c r="TQO239" s="15"/>
      <c r="TQP239" s="15"/>
      <c r="TQQ239" s="15"/>
      <c r="TQR239" s="15"/>
      <c r="TQS239" s="15"/>
      <c r="TQT239" s="15"/>
      <c r="TQU239" s="15"/>
      <c r="TQV239" s="15"/>
      <c r="TQW239" s="10"/>
      <c r="TQX239" s="10"/>
      <c r="TQY239" s="21"/>
      <c r="TQZ239" s="21"/>
      <c r="TRC239" s="21"/>
      <c r="TRD239" s="15"/>
      <c r="TRE239" s="15"/>
      <c r="TRF239" s="15"/>
      <c r="TRG239" s="15"/>
      <c r="TRH239" s="15"/>
      <c r="TRI239" s="15"/>
      <c r="TRJ239" s="15"/>
      <c r="TRK239" s="15"/>
      <c r="TRL239" s="15"/>
      <c r="TRM239" s="15"/>
      <c r="TRN239" s="10"/>
      <c r="TRO239" s="10"/>
      <c r="TRP239" s="21"/>
      <c r="TRQ239" s="21"/>
      <c r="TRT239" s="21"/>
      <c r="TRU239" s="15"/>
      <c r="TRV239" s="15"/>
      <c r="TRW239" s="15"/>
      <c r="TRX239" s="15"/>
      <c r="TRY239" s="15"/>
      <c r="TRZ239" s="15"/>
      <c r="TSA239" s="15"/>
      <c r="TSB239" s="15"/>
      <c r="TSC239" s="15"/>
      <c r="TSD239" s="15"/>
      <c r="TSE239" s="10"/>
      <c r="TSF239" s="10"/>
      <c r="TSG239" s="21"/>
      <c r="TSH239" s="21"/>
      <c r="TSK239" s="21"/>
      <c r="TSL239" s="15"/>
      <c r="TSM239" s="15"/>
      <c r="TSN239" s="15"/>
      <c r="TSO239" s="15"/>
      <c r="TSP239" s="15"/>
      <c r="TSQ239" s="15"/>
      <c r="TSR239" s="15"/>
      <c r="TSS239" s="15"/>
      <c r="TST239" s="15"/>
      <c r="TSU239" s="15"/>
      <c r="TSV239" s="10"/>
      <c r="TSW239" s="10"/>
      <c r="TSX239" s="21"/>
      <c r="TSY239" s="21"/>
      <c r="TTB239" s="21"/>
      <c r="TTC239" s="15"/>
      <c r="TTD239" s="15"/>
      <c r="TTE239" s="15"/>
      <c r="TTF239" s="15"/>
      <c r="TTG239" s="15"/>
      <c r="TTH239" s="15"/>
      <c r="TTI239" s="15"/>
      <c r="TTJ239" s="15"/>
      <c r="TTK239" s="15"/>
      <c r="TTL239" s="15"/>
      <c r="TTM239" s="10"/>
      <c r="TTN239" s="10"/>
      <c r="TTO239" s="21"/>
      <c r="TTP239" s="21"/>
      <c r="TTS239" s="21"/>
      <c r="TTT239" s="15"/>
      <c r="TTU239" s="15"/>
      <c r="TTV239" s="15"/>
      <c r="TTW239" s="15"/>
      <c r="TTX239" s="15"/>
      <c r="TTY239" s="15"/>
      <c r="TTZ239" s="15"/>
      <c r="TUA239" s="15"/>
      <c r="TUB239" s="15"/>
      <c r="TUC239" s="15"/>
      <c r="TUD239" s="10"/>
      <c r="TUE239" s="10"/>
      <c r="TUF239" s="21"/>
      <c r="TUG239" s="21"/>
      <c r="TUJ239" s="21"/>
      <c r="TUK239" s="15"/>
      <c r="TUL239" s="15"/>
      <c r="TUM239" s="15"/>
      <c r="TUN239" s="15"/>
      <c r="TUO239" s="15"/>
      <c r="TUP239" s="15"/>
      <c r="TUQ239" s="15"/>
      <c r="TUR239" s="15"/>
      <c r="TUS239" s="15"/>
      <c r="TUT239" s="15"/>
      <c r="TUU239" s="10"/>
      <c r="TUV239" s="10"/>
      <c r="TUW239" s="21"/>
      <c r="TUX239" s="21"/>
      <c r="TVA239" s="21"/>
      <c r="TVB239" s="15"/>
      <c r="TVC239" s="15"/>
      <c r="TVD239" s="15"/>
      <c r="TVE239" s="15"/>
      <c r="TVF239" s="15"/>
      <c r="TVG239" s="15"/>
      <c r="TVH239" s="15"/>
      <c r="TVI239" s="15"/>
      <c r="TVJ239" s="15"/>
      <c r="TVK239" s="15"/>
      <c r="TVL239" s="10"/>
      <c r="TVM239" s="10"/>
      <c r="TVN239" s="21"/>
      <c r="TVO239" s="21"/>
      <c r="TVR239" s="21"/>
      <c r="TVS239" s="15"/>
      <c r="TVT239" s="15"/>
      <c r="TVU239" s="15"/>
      <c r="TVV239" s="15"/>
      <c r="TVW239" s="15"/>
      <c r="TVX239" s="15"/>
      <c r="TVY239" s="15"/>
      <c r="TVZ239" s="15"/>
      <c r="TWA239" s="15"/>
      <c r="TWB239" s="15"/>
      <c r="TWC239" s="10"/>
      <c r="TWD239" s="10"/>
      <c r="TWE239" s="21"/>
      <c r="TWF239" s="21"/>
      <c r="TWI239" s="21"/>
      <c r="TWJ239" s="15"/>
      <c r="TWK239" s="15"/>
      <c r="TWL239" s="15"/>
      <c r="TWM239" s="15"/>
      <c r="TWN239" s="15"/>
      <c r="TWO239" s="15"/>
      <c r="TWP239" s="15"/>
      <c r="TWQ239" s="15"/>
      <c r="TWR239" s="15"/>
      <c r="TWS239" s="15"/>
      <c r="TWT239" s="10"/>
      <c r="TWU239" s="10"/>
      <c r="TWV239" s="21"/>
      <c r="TWW239" s="21"/>
      <c r="TWZ239" s="21"/>
      <c r="TXA239" s="15"/>
      <c r="TXB239" s="15"/>
      <c r="TXC239" s="15"/>
      <c r="TXD239" s="15"/>
      <c r="TXE239" s="15"/>
      <c r="TXF239" s="15"/>
      <c r="TXG239" s="15"/>
      <c r="TXH239" s="15"/>
      <c r="TXI239" s="15"/>
      <c r="TXJ239" s="15"/>
      <c r="TXK239" s="10"/>
      <c r="TXL239" s="10"/>
      <c r="TXM239" s="21"/>
      <c r="TXN239" s="21"/>
      <c r="TXQ239" s="21"/>
      <c r="TXR239" s="15"/>
      <c r="TXS239" s="15"/>
      <c r="TXT239" s="15"/>
      <c r="TXU239" s="15"/>
      <c r="TXV239" s="15"/>
      <c r="TXW239" s="15"/>
      <c r="TXX239" s="15"/>
      <c r="TXY239" s="15"/>
      <c r="TXZ239" s="15"/>
      <c r="TYA239" s="15"/>
      <c r="TYB239" s="10"/>
      <c r="TYC239" s="10"/>
      <c r="TYD239" s="21"/>
      <c r="TYE239" s="21"/>
      <c r="TYH239" s="21"/>
      <c r="TYI239" s="15"/>
      <c r="TYJ239" s="15"/>
      <c r="TYK239" s="15"/>
      <c r="TYL239" s="15"/>
      <c r="TYM239" s="15"/>
      <c r="TYN239" s="15"/>
      <c r="TYO239" s="15"/>
      <c r="TYP239" s="15"/>
      <c r="TYQ239" s="15"/>
      <c r="TYR239" s="15"/>
      <c r="TYS239" s="10"/>
      <c r="TYT239" s="10"/>
      <c r="TYU239" s="21"/>
      <c r="TYV239" s="21"/>
      <c r="TYY239" s="21"/>
      <c r="TYZ239" s="15"/>
      <c r="TZA239" s="15"/>
      <c r="TZB239" s="15"/>
      <c r="TZC239" s="15"/>
      <c r="TZD239" s="15"/>
      <c r="TZE239" s="15"/>
      <c r="TZF239" s="15"/>
      <c r="TZG239" s="15"/>
      <c r="TZH239" s="15"/>
      <c r="TZI239" s="15"/>
      <c r="TZJ239" s="10"/>
      <c r="TZK239" s="10"/>
      <c r="TZL239" s="21"/>
      <c r="TZM239" s="21"/>
      <c r="TZP239" s="21"/>
      <c r="TZQ239" s="15"/>
      <c r="TZR239" s="15"/>
      <c r="TZS239" s="15"/>
      <c r="TZT239" s="15"/>
      <c r="TZU239" s="15"/>
      <c r="TZV239" s="15"/>
      <c r="TZW239" s="15"/>
      <c r="TZX239" s="15"/>
      <c r="TZY239" s="15"/>
      <c r="TZZ239" s="15"/>
      <c r="UAA239" s="10"/>
      <c r="UAB239" s="10"/>
      <c r="UAC239" s="21"/>
      <c r="UAD239" s="21"/>
      <c r="UAG239" s="21"/>
      <c r="UAH239" s="15"/>
      <c r="UAI239" s="15"/>
      <c r="UAJ239" s="15"/>
      <c r="UAK239" s="15"/>
      <c r="UAL239" s="15"/>
      <c r="UAM239" s="15"/>
      <c r="UAN239" s="15"/>
      <c r="UAO239" s="15"/>
      <c r="UAP239" s="15"/>
      <c r="UAQ239" s="15"/>
      <c r="UAR239" s="10"/>
      <c r="UAS239" s="10"/>
      <c r="UAT239" s="21"/>
      <c r="UAU239" s="21"/>
      <c r="UAX239" s="21"/>
      <c r="UAY239" s="15"/>
      <c r="UAZ239" s="15"/>
      <c r="UBA239" s="15"/>
      <c r="UBB239" s="15"/>
      <c r="UBC239" s="15"/>
      <c r="UBD239" s="15"/>
      <c r="UBE239" s="15"/>
      <c r="UBF239" s="15"/>
      <c r="UBG239" s="15"/>
      <c r="UBH239" s="15"/>
      <c r="UBI239" s="10"/>
      <c r="UBJ239" s="10"/>
      <c r="UBK239" s="21"/>
      <c r="UBL239" s="21"/>
      <c r="UBO239" s="21"/>
      <c r="UBP239" s="15"/>
      <c r="UBQ239" s="15"/>
      <c r="UBR239" s="15"/>
      <c r="UBS239" s="15"/>
      <c r="UBT239" s="15"/>
      <c r="UBU239" s="15"/>
      <c r="UBV239" s="15"/>
      <c r="UBW239" s="15"/>
      <c r="UBX239" s="15"/>
      <c r="UBY239" s="15"/>
      <c r="UBZ239" s="10"/>
      <c r="UCA239" s="10"/>
      <c r="UCB239" s="21"/>
      <c r="UCC239" s="21"/>
      <c r="UCF239" s="21"/>
      <c r="UCG239" s="15"/>
      <c r="UCH239" s="15"/>
      <c r="UCI239" s="15"/>
      <c r="UCJ239" s="15"/>
      <c r="UCK239" s="15"/>
      <c r="UCL239" s="15"/>
      <c r="UCM239" s="15"/>
      <c r="UCN239" s="15"/>
      <c r="UCO239" s="15"/>
      <c r="UCP239" s="15"/>
      <c r="UCQ239" s="10"/>
      <c r="UCR239" s="10"/>
      <c r="UCS239" s="21"/>
      <c r="UCT239" s="21"/>
      <c r="UCW239" s="21"/>
      <c r="UCX239" s="15"/>
      <c r="UCY239" s="15"/>
      <c r="UCZ239" s="15"/>
      <c r="UDA239" s="15"/>
      <c r="UDB239" s="15"/>
      <c r="UDC239" s="15"/>
      <c r="UDD239" s="15"/>
      <c r="UDE239" s="15"/>
      <c r="UDF239" s="15"/>
      <c r="UDG239" s="15"/>
      <c r="UDH239" s="10"/>
      <c r="UDI239" s="10"/>
      <c r="UDJ239" s="21"/>
      <c r="UDK239" s="21"/>
      <c r="UDN239" s="21"/>
      <c r="UDO239" s="15"/>
      <c r="UDP239" s="15"/>
      <c r="UDQ239" s="15"/>
      <c r="UDR239" s="15"/>
      <c r="UDS239" s="15"/>
      <c r="UDT239" s="15"/>
      <c r="UDU239" s="15"/>
      <c r="UDV239" s="15"/>
      <c r="UDW239" s="15"/>
      <c r="UDX239" s="15"/>
      <c r="UDY239" s="10"/>
      <c r="UDZ239" s="10"/>
      <c r="UEA239" s="21"/>
      <c r="UEB239" s="21"/>
      <c r="UEE239" s="21"/>
      <c r="UEF239" s="15"/>
      <c r="UEG239" s="15"/>
      <c r="UEH239" s="15"/>
      <c r="UEI239" s="15"/>
      <c r="UEJ239" s="15"/>
      <c r="UEK239" s="15"/>
      <c r="UEL239" s="15"/>
      <c r="UEM239" s="15"/>
      <c r="UEN239" s="15"/>
      <c r="UEO239" s="15"/>
      <c r="UEP239" s="10"/>
      <c r="UEQ239" s="10"/>
      <c r="UER239" s="21"/>
      <c r="UES239" s="21"/>
      <c r="UEV239" s="21"/>
      <c r="UEW239" s="15"/>
      <c r="UEX239" s="15"/>
      <c r="UEY239" s="15"/>
      <c r="UEZ239" s="15"/>
      <c r="UFA239" s="15"/>
      <c r="UFB239" s="15"/>
      <c r="UFC239" s="15"/>
      <c r="UFD239" s="15"/>
      <c r="UFE239" s="15"/>
      <c r="UFF239" s="15"/>
      <c r="UFG239" s="10"/>
      <c r="UFH239" s="10"/>
      <c r="UFI239" s="21"/>
      <c r="UFJ239" s="21"/>
      <c r="UFM239" s="21"/>
      <c r="UFN239" s="15"/>
      <c r="UFO239" s="15"/>
      <c r="UFP239" s="15"/>
      <c r="UFQ239" s="15"/>
      <c r="UFR239" s="15"/>
      <c r="UFS239" s="15"/>
      <c r="UFT239" s="15"/>
      <c r="UFU239" s="15"/>
      <c r="UFV239" s="15"/>
      <c r="UFW239" s="15"/>
      <c r="UFX239" s="10"/>
      <c r="UFY239" s="10"/>
      <c r="UFZ239" s="21"/>
      <c r="UGA239" s="21"/>
      <c r="UGD239" s="21"/>
      <c r="UGE239" s="15"/>
      <c r="UGF239" s="15"/>
      <c r="UGG239" s="15"/>
      <c r="UGH239" s="15"/>
      <c r="UGI239" s="15"/>
      <c r="UGJ239" s="15"/>
      <c r="UGK239" s="15"/>
      <c r="UGL239" s="15"/>
      <c r="UGM239" s="15"/>
      <c r="UGN239" s="15"/>
      <c r="UGO239" s="10"/>
      <c r="UGP239" s="10"/>
      <c r="UGQ239" s="21"/>
      <c r="UGR239" s="21"/>
      <c r="UGU239" s="21"/>
      <c r="UGV239" s="15"/>
      <c r="UGW239" s="15"/>
      <c r="UGX239" s="15"/>
      <c r="UGY239" s="15"/>
      <c r="UGZ239" s="15"/>
      <c r="UHA239" s="15"/>
      <c r="UHB239" s="15"/>
      <c r="UHC239" s="15"/>
      <c r="UHD239" s="15"/>
      <c r="UHE239" s="15"/>
      <c r="UHF239" s="10"/>
      <c r="UHG239" s="10"/>
      <c r="UHH239" s="21"/>
      <c r="UHI239" s="21"/>
      <c r="UHL239" s="21"/>
      <c r="UHM239" s="15"/>
      <c r="UHN239" s="15"/>
      <c r="UHO239" s="15"/>
      <c r="UHP239" s="15"/>
      <c r="UHQ239" s="15"/>
      <c r="UHR239" s="15"/>
      <c r="UHS239" s="15"/>
      <c r="UHT239" s="15"/>
      <c r="UHU239" s="15"/>
      <c r="UHV239" s="15"/>
      <c r="UHW239" s="10"/>
      <c r="UHX239" s="10"/>
      <c r="UHY239" s="21"/>
      <c r="UHZ239" s="21"/>
      <c r="UIC239" s="21"/>
      <c r="UID239" s="15"/>
      <c r="UIE239" s="15"/>
      <c r="UIF239" s="15"/>
      <c r="UIG239" s="15"/>
      <c r="UIH239" s="15"/>
      <c r="UII239" s="15"/>
      <c r="UIJ239" s="15"/>
      <c r="UIK239" s="15"/>
      <c r="UIL239" s="15"/>
      <c r="UIM239" s="15"/>
      <c r="UIN239" s="10"/>
      <c r="UIO239" s="10"/>
      <c r="UIP239" s="21"/>
      <c r="UIQ239" s="21"/>
      <c r="UIT239" s="21"/>
      <c r="UIU239" s="15"/>
      <c r="UIV239" s="15"/>
      <c r="UIW239" s="15"/>
      <c r="UIX239" s="15"/>
      <c r="UIY239" s="15"/>
      <c r="UIZ239" s="15"/>
      <c r="UJA239" s="15"/>
      <c r="UJB239" s="15"/>
      <c r="UJC239" s="15"/>
      <c r="UJD239" s="15"/>
      <c r="UJE239" s="10"/>
      <c r="UJF239" s="10"/>
      <c r="UJG239" s="21"/>
      <c r="UJH239" s="21"/>
      <c r="UJK239" s="21"/>
      <c r="UJL239" s="15"/>
      <c r="UJM239" s="15"/>
      <c r="UJN239" s="15"/>
      <c r="UJO239" s="15"/>
      <c r="UJP239" s="15"/>
      <c r="UJQ239" s="15"/>
      <c r="UJR239" s="15"/>
      <c r="UJS239" s="15"/>
      <c r="UJT239" s="15"/>
      <c r="UJU239" s="15"/>
      <c r="UJV239" s="10"/>
      <c r="UJW239" s="10"/>
      <c r="UJX239" s="21"/>
      <c r="UJY239" s="21"/>
      <c r="UKB239" s="21"/>
      <c r="UKC239" s="15"/>
      <c r="UKD239" s="15"/>
      <c r="UKE239" s="15"/>
      <c r="UKF239" s="15"/>
      <c r="UKG239" s="15"/>
      <c r="UKH239" s="15"/>
      <c r="UKI239" s="15"/>
      <c r="UKJ239" s="15"/>
      <c r="UKK239" s="15"/>
      <c r="UKL239" s="15"/>
      <c r="UKM239" s="10"/>
      <c r="UKN239" s="10"/>
      <c r="UKO239" s="21"/>
      <c r="UKP239" s="21"/>
      <c r="UKS239" s="21"/>
      <c r="UKT239" s="15"/>
      <c r="UKU239" s="15"/>
      <c r="UKV239" s="15"/>
      <c r="UKW239" s="15"/>
      <c r="UKX239" s="15"/>
      <c r="UKY239" s="15"/>
      <c r="UKZ239" s="15"/>
      <c r="ULA239" s="15"/>
      <c r="ULB239" s="15"/>
      <c r="ULC239" s="15"/>
      <c r="ULD239" s="10"/>
      <c r="ULE239" s="10"/>
      <c r="ULF239" s="21"/>
      <c r="ULG239" s="21"/>
      <c r="ULJ239" s="21"/>
      <c r="ULK239" s="15"/>
      <c r="ULL239" s="15"/>
      <c r="ULM239" s="15"/>
      <c r="ULN239" s="15"/>
      <c r="ULO239" s="15"/>
      <c r="ULP239" s="15"/>
      <c r="ULQ239" s="15"/>
      <c r="ULR239" s="15"/>
      <c r="ULS239" s="15"/>
      <c r="ULT239" s="15"/>
      <c r="ULU239" s="10"/>
      <c r="ULV239" s="10"/>
      <c r="ULW239" s="21"/>
      <c r="ULX239" s="21"/>
      <c r="UMA239" s="21"/>
      <c r="UMB239" s="15"/>
      <c r="UMC239" s="15"/>
      <c r="UMD239" s="15"/>
      <c r="UME239" s="15"/>
      <c r="UMF239" s="15"/>
      <c r="UMG239" s="15"/>
      <c r="UMH239" s="15"/>
      <c r="UMI239" s="15"/>
      <c r="UMJ239" s="15"/>
      <c r="UMK239" s="15"/>
      <c r="UML239" s="10"/>
      <c r="UMM239" s="10"/>
      <c r="UMN239" s="21"/>
      <c r="UMO239" s="21"/>
      <c r="UMR239" s="21"/>
      <c r="UMS239" s="15"/>
      <c r="UMT239" s="15"/>
      <c r="UMU239" s="15"/>
      <c r="UMV239" s="15"/>
      <c r="UMW239" s="15"/>
      <c r="UMX239" s="15"/>
      <c r="UMY239" s="15"/>
      <c r="UMZ239" s="15"/>
      <c r="UNA239" s="15"/>
      <c r="UNB239" s="15"/>
      <c r="UNC239" s="10"/>
      <c r="UND239" s="10"/>
      <c r="UNE239" s="21"/>
      <c r="UNF239" s="21"/>
      <c r="UNI239" s="21"/>
      <c r="UNJ239" s="15"/>
      <c r="UNK239" s="15"/>
      <c r="UNL239" s="15"/>
      <c r="UNM239" s="15"/>
      <c r="UNN239" s="15"/>
      <c r="UNO239" s="15"/>
      <c r="UNP239" s="15"/>
      <c r="UNQ239" s="15"/>
      <c r="UNR239" s="15"/>
      <c r="UNS239" s="15"/>
      <c r="UNT239" s="10"/>
      <c r="UNU239" s="10"/>
      <c r="UNV239" s="21"/>
      <c r="UNW239" s="21"/>
      <c r="UNZ239" s="21"/>
      <c r="UOA239" s="15"/>
      <c r="UOB239" s="15"/>
      <c r="UOC239" s="15"/>
      <c r="UOD239" s="15"/>
      <c r="UOE239" s="15"/>
      <c r="UOF239" s="15"/>
      <c r="UOG239" s="15"/>
      <c r="UOH239" s="15"/>
      <c r="UOI239" s="15"/>
      <c r="UOJ239" s="15"/>
      <c r="UOK239" s="10"/>
      <c r="UOL239" s="10"/>
      <c r="UOM239" s="21"/>
      <c r="UON239" s="21"/>
      <c r="UOQ239" s="21"/>
      <c r="UOR239" s="15"/>
      <c r="UOS239" s="15"/>
      <c r="UOT239" s="15"/>
      <c r="UOU239" s="15"/>
      <c r="UOV239" s="15"/>
      <c r="UOW239" s="15"/>
      <c r="UOX239" s="15"/>
      <c r="UOY239" s="15"/>
      <c r="UOZ239" s="15"/>
      <c r="UPA239" s="15"/>
      <c r="UPB239" s="10"/>
      <c r="UPC239" s="10"/>
      <c r="UPD239" s="21"/>
      <c r="UPE239" s="21"/>
      <c r="UPH239" s="21"/>
      <c r="UPI239" s="15"/>
      <c r="UPJ239" s="15"/>
      <c r="UPK239" s="15"/>
      <c r="UPL239" s="15"/>
      <c r="UPM239" s="15"/>
      <c r="UPN239" s="15"/>
      <c r="UPO239" s="15"/>
      <c r="UPP239" s="15"/>
      <c r="UPQ239" s="15"/>
      <c r="UPR239" s="15"/>
      <c r="UPS239" s="10"/>
      <c r="UPT239" s="10"/>
      <c r="UPU239" s="21"/>
      <c r="UPV239" s="21"/>
      <c r="UPY239" s="21"/>
      <c r="UPZ239" s="15"/>
      <c r="UQA239" s="15"/>
      <c r="UQB239" s="15"/>
      <c r="UQC239" s="15"/>
      <c r="UQD239" s="15"/>
      <c r="UQE239" s="15"/>
      <c r="UQF239" s="15"/>
      <c r="UQG239" s="15"/>
      <c r="UQH239" s="15"/>
      <c r="UQI239" s="15"/>
      <c r="UQJ239" s="10"/>
      <c r="UQK239" s="10"/>
      <c r="UQL239" s="21"/>
      <c r="UQM239" s="21"/>
      <c r="UQP239" s="21"/>
      <c r="UQQ239" s="15"/>
      <c r="UQR239" s="15"/>
      <c r="UQS239" s="15"/>
      <c r="UQT239" s="15"/>
      <c r="UQU239" s="15"/>
      <c r="UQV239" s="15"/>
      <c r="UQW239" s="15"/>
      <c r="UQX239" s="15"/>
      <c r="UQY239" s="15"/>
      <c r="UQZ239" s="15"/>
      <c r="URA239" s="10"/>
      <c r="URB239" s="10"/>
      <c r="URC239" s="21"/>
      <c r="URD239" s="21"/>
      <c r="URG239" s="21"/>
      <c r="URH239" s="15"/>
      <c r="URI239" s="15"/>
      <c r="URJ239" s="15"/>
      <c r="URK239" s="15"/>
      <c r="URL239" s="15"/>
      <c r="URM239" s="15"/>
      <c r="URN239" s="15"/>
      <c r="URO239" s="15"/>
      <c r="URP239" s="15"/>
      <c r="URQ239" s="15"/>
      <c r="URR239" s="10"/>
      <c r="URS239" s="10"/>
      <c r="URT239" s="21"/>
      <c r="URU239" s="21"/>
      <c r="URX239" s="21"/>
      <c r="URY239" s="15"/>
      <c r="URZ239" s="15"/>
      <c r="USA239" s="15"/>
      <c r="USB239" s="15"/>
      <c r="USC239" s="15"/>
      <c r="USD239" s="15"/>
      <c r="USE239" s="15"/>
      <c r="USF239" s="15"/>
      <c r="USG239" s="15"/>
      <c r="USH239" s="15"/>
      <c r="USI239" s="10"/>
      <c r="USJ239" s="10"/>
      <c r="USK239" s="21"/>
      <c r="USL239" s="21"/>
      <c r="USO239" s="21"/>
      <c r="USP239" s="15"/>
      <c r="USQ239" s="15"/>
      <c r="USR239" s="15"/>
      <c r="USS239" s="15"/>
      <c r="UST239" s="15"/>
      <c r="USU239" s="15"/>
      <c r="USV239" s="15"/>
      <c r="USW239" s="15"/>
      <c r="USX239" s="15"/>
      <c r="USY239" s="15"/>
      <c r="USZ239" s="10"/>
      <c r="UTA239" s="10"/>
      <c r="UTB239" s="21"/>
      <c r="UTC239" s="21"/>
      <c r="UTF239" s="21"/>
      <c r="UTG239" s="15"/>
      <c r="UTH239" s="15"/>
      <c r="UTI239" s="15"/>
      <c r="UTJ239" s="15"/>
      <c r="UTK239" s="15"/>
      <c r="UTL239" s="15"/>
      <c r="UTM239" s="15"/>
      <c r="UTN239" s="15"/>
      <c r="UTO239" s="15"/>
      <c r="UTP239" s="15"/>
      <c r="UTQ239" s="10"/>
      <c r="UTR239" s="10"/>
      <c r="UTS239" s="21"/>
      <c r="UTT239" s="21"/>
      <c r="UTW239" s="21"/>
      <c r="UTX239" s="15"/>
      <c r="UTY239" s="15"/>
      <c r="UTZ239" s="15"/>
      <c r="UUA239" s="15"/>
      <c r="UUB239" s="15"/>
      <c r="UUC239" s="15"/>
      <c r="UUD239" s="15"/>
      <c r="UUE239" s="15"/>
      <c r="UUF239" s="15"/>
      <c r="UUG239" s="15"/>
      <c r="UUH239" s="10"/>
      <c r="UUI239" s="10"/>
      <c r="UUJ239" s="21"/>
      <c r="UUK239" s="21"/>
      <c r="UUN239" s="21"/>
      <c r="UUO239" s="15"/>
      <c r="UUP239" s="15"/>
      <c r="UUQ239" s="15"/>
      <c r="UUR239" s="15"/>
      <c r="UUS239" s="15"/>
      <c r="UUT239" s="15"/>
      <c r="UUU239" s="15"/>
      <c r="UUV239" s="15"/>
      <c r="UUW239" s="15"/>
      <c r="UUX239" s="15"/>
      <c r="UUY239" s="10"/>
      <c r="UUZ239" s="10"/>
      <c r="UVA239" s="21"/>
      <c r="UVB239" s="21"/>
      <c r="UVE239" s="21"/>
      <c r="UVF239" s="15"/>
      <c r="UVG239" s="15"/>
      <c r="UVH239" s="15"/>
      <c r="UVI239" s="15"/>
      <c r="UVJ239" s="15"/>
      <c r="UVK239" s="15"/>
      <c r="UVL239" s="15"/>
      <c r="UVM239" s="15"/>
      <c r="UVN239" s="15"/>
      <c r="UVO239" s="15"/>
      <c r="UVP239" s="10"/>
      <c r="UVQ239" s="10"/>
      <c r="UVR239" s="21"/>
      <c r="UVS239" s="21"/>
      <c r="UVV239" s="21"/>
      <c r="UVW239" s="15"/>
      <c r="UVX239" s="15"/>
      <c r="UVY239" s="15"/>
      <c r="UVZ239" s="15"/>
      <c r="UWA239" s="15"/>
      <c r="UWB239" s="15"/>
      <c r="UWC239" s="15"/>
      <c r="UWD239" s="15"/>
      <c r="UWE239" s="15"/>
      <c r="UWF239" s="15"/>
      <c r="UWG239" s="10"/>
      <c r="UWH239" s="10"/>
      <c r="UWI239" s="21"/>
      <c r="UWJ239" s="21"/>
      <c r="UWM239" s="21"/>
      <c r="UWN239" s="15"/>
      <c r="UWO239" s="15"/>
      <c r="UWP239" s="15"/>
      <c r="UWQ239" s="15"/>
      <c r="UWR239" s="15"/>
      <c r="UWS239" s="15"/>
      <c r="UWT239" s="15"/>
      <c r="UWU239" s="15"/>
      <c r="UWV239" s="15"/>
      <c r="UWW239" s="15"/>
      <c r="UWX239" s="10"/>
      <c r="UWY239" s="10"/>
      <c r="UWZ239" s="21"/>
      <c r="UXA239" s="21"/>
      <c r="UXD239" s="21"/>
      <c r="UXE239" s="15"/>
      <c r="UXF239" s="15"/>
      <c r="UXG239" s="15"/>
      <c r="UXH239" s="15"/>
      <c r="UXI239" s="15"/>
      <c r="UXJ239" s="15"/>
      <c r="UXK239" s="15"/>
      <c r="UXL239" s="15"/>
      <c r="UXM239" s="15"/>
      <c r="UXN239" s="15"/>
      <c r="UXO239" s="10"/>
      <c r="UXP239" s="10"/>
      <c r="UXQ239" s="21"/>
      <c r="UXR239" s="21"/>
      <c r="UXU239" s="21"/>
      <c r="UXV239" s="15"/>
      <c r="UXW239" s="15"/>
      <c r="UXX239" s="15"/>
      <c r="UXY239" s="15"/>
      <c r="UXZ239" s="15"/>
      <c r="UYA239" s="15"/>
      <c r="UYB239" s="15"/>
      <c r="UYC239" s="15"/>
      <c r="UYD239" s="15"/>
      <c r="UYE239" s="15"/>
      <c r="UYF239" s="10"/>
      <c r="UYG239" s="10"/>
      <c r="UYH239" s="21"/>
      <c r="UYI239" s="21"/>
      <c r="UYL239" s="21"/>
      <c r="UYM239" s="15"/>
      <c r="UYN239" s="15"/>
      <c r="UYO239" s="15"/>
      <c r="UYP239" s="15"/>
      <c r="UYQ239" s="15"/>
      <c r="UYR239" s="15"/>
      <c r="UYS239" s="15"/>
      <c r="UYT239" s="15"/>
      <c r="UYU239" s="15"/>
      <c r="UYV239" s="15"/>
      <c r="UYW239" s="10"/>
      <c r="UYX239" s="10"/>
      <c r="UYY239" s="21"/>
      <c r="UYZ239" s="21"/>
      <c r="UZC239" s="21"/>
      <c r="UZD239" s="15"/>
      <c r="UZE239" s="15"/>
      <c r="UZF239" s="15"/>
      <c r="UZG239" s="15"/>
      <c r="UZH239" s="15"/>
      <c r="UZI239" s="15"/>
      <c r="UZJ239" s="15"/>
      <c r="UZK239" s="15"/>
      <c r="UZL239" s="15"/>
      <c r="UZM239" s="15"/>
      <c r="UZN239" s="10"/>
      <c r="UZO239" s="10"/>
      <c r="UZP239" s="21"/>
      <c r="UZQ239" s="21"/>
      <c r="UZT239" s="21"/>
      <c r="UZU239" s="15"/>
      <c r="UZV239" s="15"/>
      <c r="UZW239" s="15"/>
      <c r="UZX239" s="15"/>
      <c r="UZY239" s="15"/>
      <c r="UZZ239" s="15"/>
      <c r="VAA239" s="15"/>
      <c r="VAB239" s="15"/>
      <c r="VAC239" s="15"/>
      <c r="VAD239" s="15"/>
      <c r="VAE239" s="10"/>
      <c r="VAF239" s="10"/>
      <c r="VAG239" s="21"/>
      <c r="VAH239" s="21"/>
      <c r="VAK239" s="21"/>
      <c r="VAL239" s="15"/>
      <c r="VAM239" s="15"/>
      <c r="VAN239" s="15"/>
      <c r="VAO239" s="15"/>
      <c r="VAP239" s="15"/>
      <c r="VAQ239" s="15"/>
      <c r="VAR239" s="15"/>
      <c r="VAS239" s="15"/>
      <c r="VAT239" s="15"/>
      <c r="VAU239" s="15"/>
      <c r="VAV239" s="10"/>
      <c r="VAW239" s="10"/>
      <c r="VAX239" s="21"/>
      <c r="VAY239" s="21"/>
      <c r="VBB239" s="21"/>
      <c r="VBC239" s="15"/>
      <c r="VBD239" s="15"/>
      <c r="VBE239" s="15"/>
      <c r="VBF239" s="15"/>
      <c r="VBG239" s="15"/>
      <c r="VBH239" s="15"/>
      <c r="VBI239" s="15"/>
      <c r="VBJ239" s="15"/>
      <c r="VBK239" s="15"/>
      <c r="VBL239" s="15"/>
      <c r="VBM239" s="10"/>
      <c r="VBN239" s="10"/>
      <c r="VBO239" s="21"/>
      <c r="VBP239" s="21"/>
      <c r="VBS239" s="21"/>
      <c r="VBT239" s="15"/>
      <c r="VBU239" s="15"/>
      <c r="VBV239" s="15"/>
      <c r="VBW239" s="15"/>
      <c r="VBX239" s="15"/>
      <c r="VBY239" s="15"/>
      <c r="VBZ239" s="15"/>
      <c r="VCA239" s="15"/>
      <c r="VCB239" s="15"/>
      <c r="VCC239" s="15"/>
      <c r="VCD239" s="10"/>
      <c r="VCE239" s="10"/>
      <c r="VCF239" s="21"/>
      <c r="VCG239" s="21"/>
      <c r="VCJ239" s="21"/>
      <c r="VCK239" s="15"/>
      <c r="VCL239" s="15"/>
      <c r="VCM239" s="15"/>
      <c r="VCN239" s="15"/>
      <c r="VCO239" s="15"/>
      <c r="VCP239" s="15"/>
      <c r="VCQ239" s="15"/>
      <c r="VCR239" s="15"/>
      <c r="VCS239" s="15"/>
      <c r="VCT239" s="15"/>
      <c r="VCU239" s="10"/>
      <c r="VCV239" s="10"/>
      <c r="VCW239" s="21"/>
      <c r="VCX239" s="21"/>
      <c r="VDA239" s="21"/>
      <c r="VDB239" s="15"/>
      <c r="VDC239" s="15"/>
      <c r="VDD239" s="15"/>
      <c r="VDE239" s="15"/>
      <c r="VDF239" s="15"/>
      <c r="VDG239" s="15"/>
      <c r="VDH239" s="15"/>
      <c r="VDI239" s="15"/>
      <c r="VDJ239" s="15"/>
      <c r="VDK239" s="15"/>
      <c r="VDL239" s="10"/>
      <c r="VDM239" s="10"/>
      <c r="VDN239" s="21"/>
      <c r="VDO239" s="21"/>
      <c r="VDR239" s="21"/>
      <c r="VDS239" s="15"/>
      <c r="VDT239" s="15"/>
      <c r="VDU239" s="15"/>
      <c r="VDV239" s="15"/>
      <c r="VDW239" s="15"/>
      <c r="VDX239" s="15"/>
      <c r="VDY239" s="15"/>
      <c r="VDZ239" s="15"/>
      <c r="VEA239" s="15"/>
      <c r="VEB239" s="15"/>
      <c r="VEC239" s="10"/>
      <c r="VED239" s="10"/>
      <c r="VEE239" s="21"/>
      <c r="VEF239" s="21"/>
      <c r="VEI239" s="21"/>
      <c r="VEJ239" s="15"/>
      <c r="VEK239" s="15"/>
      <c r="VEL239" s="15"/>
      <c r="VEM239" s="15"/>
      <c r="VEN239" s="15"/>
      <c r="VEO239" s="15"/>
      <c r="VEP239" s="15"/>
      <c r="VEQ239" s="15"/>
      <c r="VER239" s="15"/>
      <c r="VES239" s="15"/>
      <c r="VET239" s="10"/>
      <c r="VEU239" s="10"/>
      <c r="VEV239" s="21"/>
      <c r="VEW239" s="21"/>
      <c r="VEZ239" s="21"/>
      <c r="VFA239" s="15"/>
      <c r="VFB239" s="15"/>
      <c r="VFC239" s="15"/>
      <c r="VFD239" s="15"/>
      <c r="VFE239" s="15"/>
      <c r="VFF239" s="15"/>
      <c r="VFG239" s="15"/>
      <c r="VFH239" s="15"/>
      <c r="VFI239" s="15"/>
      <c r="VFJ239" s="15"/>
      <c r="VFK239" s="10"/>
      <c r="VFL239" s="10"/>
      <c r="VFM239" s="21"/>
      <c r="VFN239" s="21"/>
      <c r="VFQ239" s="21"/>
      <c r="VFR239" s="15"/>
      <c r="VFS239" s="15"/>
      <c r="VFT239" s="15"/>
      <c r="VFU239" s="15"/>
      <c r="VFV239" s="15"/>
      <c r="VFW239" s="15"/>
      <c r="VFX239" s="15"/>
      <c r="VFY239" s="15"/>
      <c r="VFZ239" s="15"/>
      <c r="VGA239" s="15"/>
      <c r="VGB239" s="10"/>
      <c r="VGC239" s="10"/>
      <c r="VGD239" s="21"/>
      <c r="VGE239" s="21"/>
      <c r="VGH239" s="21"/>
      <c r="VGI239" s="15"/>
      <c r="VGJ239" s="15"/>
      <c r="VGK239" s="15"/>
      <c r="VGL239" s="15"/>
      <c r="VGM239" s="15"/>
      <c r="VGN239" s="15"/>
      <c r="VGO239" s="15"/>
      <c r="VGP239" s="15"/>
      <c r="VGQ239" s="15"/>
      <c r="VGR239" s="15"/>
      <c r="VGS239" s="10"/>
      <c r="VGT239" s="10"/>
      <c r="VGU239" s="21"/>
      <c r="VGV239" s="21"/>
      <c r="VGY239" s="21"/>
      <c r="VGZ239" s="15"/>
      <c r="VHA239" s="15"/>
      <c r="VHB239" s="15"/>
      <c r="VHC239" s="15"/>
      <c r="VHD239" s="15"/>
      <c r="VHE239" s="15"/>
      <c r="VHF239" s="15"/>
      <c r="VHG239" s="15"/>
      <c r="VHH239" s="15"/>
      <c r="VHI239" s="15"/>
      <c r="VHJ239" s="10"/>
      <c r="VHK239" s="10"/>
      <c r="VHL239" s="21"/>
      <c r="VHM239" s="21"/>
      <c r="VHP239" s="21"/>
      <c r="VHQ239" s="15"/>
      <c r="VHR239" s="15"/>
      <c r="VHS239" s="15"/>
      <c r="VHT239" s="15"/>
      <c r="VHU239" s="15"/>
      <c r="VHV239" s="15"/>
      <c r="VHW239" s="15"/>
      <c r="VHX239" s="15"/>
      <c r="VHY239" s="15"/>
      <c r="VHZ239" s="15"/>
      <c r="VIA239" s="10"/>
      <c r="VIB239" s="10"/>
      <c r="VIC239" s="21"/>
      <c r="VID239" s="21"/>
      <c r="VIG239" s="21"/>
      <c r="VIH239" s="15"/>
      <c r="VII239" s="15"/>
      <c r="VIJ239" s="15"/>
      <c r="VIK239" s="15"/>
      <c r="VIL239" s="15"/>
      <c r="VIM239" s="15"/>
      <c r="VIN239" s="15"/>
      <c r="VIO239" s="15"/>
      <c r="VIP239" s="15"/>
      <c r="VIQ239" s="15"/>
      <c r="VIR239" s="10"/>
      <c r="VIS239" s="10"/>
      <c r="VIT239" s="21"/>
      <c r="VIU239" s="21"/>
      <c r="VIX239" s="21"/>
      <c r="VIY239" s="15"/>
      <c r="VIZ239" s="15"/>
      <c r="VJA239" s="15"/>
      <c r="VJB239" s="15"/>
      <c r="VJC239" s="15"/>
      <c r="VJD239" s="15"/>
      <c r="VJE239" s="15"/>
      <c r="VJF239" s="15"/>
      <c r="VJG239" s="15"/>
      <c r="VJH239" s="15"/>
      <c r="VJI239" s="10"/>
      <c r="VJJ239" s="10"/>
      <c r="VJK239" s="21"/>
      <c r="VJL239" s="21"/>
      <c r="VJO239" s="21"/>
      <c r="VJP239" s="15"/>
      <c r="VJQ239" s="15"/>
      <c r="VJR239" s="15"/>
      <c r="VJS239" s="15"/>
      <c r="VJT239" s="15"/>
      <c r="VJU239" s="15"/>
      <c r="VJV239" s="15"/>
      <c r="VJW239" s="15"/>
      <c r="VJX239" s="15"/>
      <c r="VJY239" s="15"/>
      <c r="VJZ239" s="10"/>
      <c r="VKA239" s="10"/>
      <c r="VKB239" s="21"/>
      <c r="VKC239" s="21"/>
      <c r="VKF239" s="21"/>
      <c r="VKG239" s="15"/>
      <c r="VKH239" s="15"/>
      <c r="VKI239" s="15"/>
      <c r="VKJ239" s="15"/>
      <c r="VKK239" s="15"/>
      <c r="VKL239" s="15"/>
      <c r="VKM239" s="15"/>
      <c r="VKN239" s="15"/>
      <c r="VKO239" s="15"/>
      <c r="VKP239" s="15"/>
      <c r="VKQ239" s="10"/>
      <c r="VKR239" s="10"/>
      <c r="VKS239" s="21"/>
      <c r="VKT239" s="21"/>
      <c r="VKW239" s="21"/>
      <c r="VKX239" s="15"/>
      <c r="VKY239" s="15"/>
      <c r="VKZ239" s="15"/>
      <c r="VLA239" s="15"/>
      <c r="VLB239" s="15"/>
      <c r="VLC239" s="15"/>
      <c r="VLD239" s="15"/>
      <c r="VLE239" s="15"/>
      <c r="VLF239" s="15"/>
      <c r="VLG239" s="15"/>
      <c r="VLH239" s="10"/>
      <c r="VLI239" s="10"/>
      <c r="VLJ239" s="21"/>
      <c r="VLK239" s="21"/>
      <c r="VLN239" s="21"/>
      <c r="VLO239" s="15"/>
      <c r="VLP239" s="15"/>
      <c r="VLQ239" s="15"/>
      <c r="VLR239" s="15"/>
      <c r="VLS239" s="15"/>
      <c r="VLT239" s="15"/>
      <c r="VLU239" s="15"/>
      <c r="VLV239" s="15"/>
      <c r="VLW239" s="15"/>
      <c r="VLX239" s="15"/>
      <c r="VLY239" s="10"/>
      <c r="VLZ239" s="10"/>
      <c r="VMA239" s="21"/>
      <c r="VMB239" s="21"/>
      <c r="VME239" s="21"/>
      <c r="VMF239" s="15"/>
      <c r="VMG239" s="15"/>
      <c r="VMH239" s="15"/>
      <c r="VMI239" s="15"/>
      <c r="VMJ239" s="15"/>
      <c r="VMK239" s="15"/>
      <c r="VML239" s="15"/>
      <c r="VMM239" s="15"/>
      <c r="VMN239" s="15"/>
      <c r="VMO239" s="15"/>
      <c r="VMP239" s="10"/>
      <c r="VMQ239" s="10"/>
      <c r="VMR239" s="21"/>
      <c r="VMS239" s="21"/>
      <c r="VMV239" s="21"/>
      <c r="VMW239" s="15"/>
      <c r="VMX239" s="15"/>
      <c r="VMY239" s="15"/>
      <c r="VMZ239" s="15"/>
      <c r="VNA239" s="15"/>
      <c r="VNB239" s="15"/>
      <c r="VNC239" s="15"/>
      <c r="VND239" s="15"/>
      <c r="VNE239" s="15"/>
      <c r="VNF239" s="15"/>
      <c r="VNG239" s="10"/>
      <c r="VNH239" s="10"/>
      <c r="VNI239" s="21"/>
      <c r="VNJ239" s="21"/>
      <c r="VNM239" s="21"/>
      <c r="VNN239" s="15"/>
      <c r="VNO239" s="15"/>
      <c r="VNP239" s="15"/>
      <c r="VNQ239" s="15"/>
      <c r="VNR239" s="15"/>
      <c r="VNS239" s="15"/>
      <c r="VNT239" s="15"/>
      <c r="VNU239" s="15"/>
      <c r="VNV239" s="15"/>
      <c r="VNW239" s="15"/>
      <c r="VNX239" s="10"/>
      <c r="VNY239" s="10"/>
      <c r="VNZ239" s="21"/>
      <c r="VOA239" s="21"/>
      <c r="VOD239" s="21"/>
      <c r="VOE239" s="15"/>
      <c r="VOF239" s="15"/>
      <c r="VOG239" s="15"/>
      <c r="VOH239" s="15"/>
      <c r="VOI239" s="15"/>
      <c r="VOJ239" s="15"/>
      <c r="VOK239" s="15"/>
      <c r="VOL239" s="15"/>
      <c r="VOM239" s="15"/>
      <c r="VON239" s="15"/>
      <c r="VOO239" s="10"/>
      <c r="VOP239" s="10"/>
      <c r="VOQ239" s="21"/>
      <c r="VOR239" s="21"/>
      <c r="VOU239" s="21"/>
      <c r="VOV239" s="15"/>
      <c r="VOW239" s="15"/>
      <c r="VOX239" s="15"/>
      <c r="VOY239" s="15"/>
      <c r="VOZ239" s="15"/>
      <c r="VPA239" s="15"/>
      <c r="VPB239" s="15"/>
      <c r="VPC239" s="15"/>
      <c r="VPD239" s="15"/>
      <c r="VPE239" s="15"/>
      <c r="VPF239" s="10"/>
      <c r="VPG239" s="10"/>
      <c r="VPH239" s="21"/>
      <c r="VPI239" s="21"/>
      <c r="VPL239" s="21"/>
      <c r="VPM239" s="15"/>
      <c r="VPN239" s="15"/>
      <c r="VPO239" s="15"/>
      <c r="VPP239" s="15"/>
      <c r="VPQ239" s="15"/>
      <c r="VPR239" s="15"/>
      <c r="VPS239" s="15"/>
      <c r="VPT239" s="15"/>
      <c r="VPU239" s="15"/>
      <c r="VPV239" s="15"/>
      <c r="VPW239" s="10"/>
      <c r="VPX239" s="10"/>
      <c r="VPY239" s="21"/>
      <c r="VPZ239" s="21"/>
      <c r="VQC239" s="21"/>
      <c r="VQD239" s="15"/>
      <c r="VQE239" s="15"/>
      <c r="VQF239" s="15"/>
      <c r="VQG239" s="15"/>
      <c r="VQH239" s="15"/>
      <c r="VQI239" s="15"/>
      <c r="VQJ239" s="15"/>
      <c r="VQK239" s="15"/>
      <c r="VQL239" s="15"/>
      <c r="VQM239" s="15"/>
      <c r="VQN239" s="10"/>
      <c r="VQO239" s="10"/>
      <c r="VQP239" s="21"/>
      <c r="VQQ239" s="21"/>
      <c r="VQT239" s="21"/>
      <c r="VQU239" s="15"/>
      <c r="VQV239" s="15"/>
      <c r="VQW239" s="15"/>
      <c r="VQX239" s="15"/>
      <c r="VQY239" s="15"/>
      <c r="VQZ239" s="15"/>
      <c r="VRA239" s="15"/>
      <c r="VRB239" s="15"/>
      <c r="VRC239" s="15"/>
      <c r="VRD239" s="15"/>
      <c r="VRE239" s="10"/>
      <c r="VRF239" s="10"/>
      <c r="VRG239" s="21"/>
      <c r="VRH239" s="21"/>
      <c r="VRK239" s="21"/>
      <c r="VRL239" s="15"/>
      <c r="VRM239" s="15"/>
      <c r="VRN239" s="15"/>
      <c r="VRO239" s="15"/>
      <c r="VRP239" s="15"/>
      <c r="VRQ239" s="15"/>
      <c r="VRR239" s="15"/>
      <c r="VRS239" s="15"/>
      <c r="VRT239" s="15"/>
      <c r="VRU239" s="15"/>
      <c r="VRV239" s="10"/>
      <c r="VRW239" s="10"/>
      <c r="VRX239" s="21"/>
      <c r="VRY239" s="21"/>
      <c r="VSB239" s="21"/>
      <c r="VSC239" s="15"/>
      <c r="VSD239" s="15"/>
      <c r="VSE239" s="15"/>
      <c r="VSF239" s="15"/>
      <c r="VSG239" s="15"/>
      <c r="VSH239" s="15"/>
      <c r="VSI239" s="15"/>
      <c r="VSJ239" s="15"/>
      <c r="VSK239" s="15"/>
      <c r="VSL239" s="15"/>
      <c r="VSM239" s="10"/>
      <c r="VSN239" s="10"/>
      <c r="VSO239" s="21"/>
      <c r="VSP239" s="21"/>
      <c r="VSS239" s="21"/>
      <c r="VST239" s="15"/>
      <c r="VSU239" s="15"/>
      <c r="VSV239" s="15"/>
      <c r="VSW239" s="15"/>
      <c r="VSX239" s="15"/>
      <c r="VSY239" s="15"/>
      <c r="VSZ239" s="15"/>
      <c r="VTA239" s="15"/>
      <c r="VTB239" s="15"/>
      <c r="VTC239" s="15"/>
      <c r="VTD239" s="10"/>
      <c r="VTE239" s="10"/>
      <c r="VTF239" s="21"/>
      <c r="VTG239" s="21"/>
      <c r="VTJ239" s="21"/>
      <c r="VTK239" s="15"/>
      <c r="VTL239" s="15"/>
      <c r="VTM239" s="15"/>
      <c r="VTN239" s="15"/>
      <c r="VTO239" s="15"/>
      <c r="VTP239" s="15"/>
      <c r="VTQ239" s="15"/>
      <c r="VTR239" s="15"/>
      <c r="VTS239" s="15"/>
      <c r="VTT239" s="15"/>
      <c r="VTU239" s="10"/>
      <c r="VTV239" s="10"/>
      <c r="VTW239" s="21"/>
      <c r="VTX239" s="21"/>
      <c r="VUA239" s="21"/>
      <c r="VUB239" s="15"/>
      <c r="VUC239" s="15"/>
      <c r="VUD239" s="15"/>
      <c r="VUE239" s="15"/>
      <c r="VUF239" s="15"/>
      <c r="VUG239" s="15"/>
      <c r="VUH239" s="15"/>
      <c r="VUI239" s="15"/>
      <c r="VUJ239" s="15"/>
      <c r="VUK239" s="15"/>
      <c r="VUL239" s="10"/>
      <c r="VUM239" s="10"/>
      <c r="VUN239" s="21"/>
      <c r="VUO239" s="21"/>
      <c r="VUR239" s="21"/>
      <c r="VUS239" s="15"/>
      <c r="VUT239" s="15"/>
      <c r="VUU239" s="15"/>
      <c r="VUV239" s="15"/>
      <c r="VUW239" s="15"/>
      <c r="VUX239" s="15"/>
      <c r="VUY239" s="15"/>
      <c r="VUZ239" s="15"/>
      <c r="VVA239" s="15"/>
      <c r="VVB239" s="15"/>
      <c r="VVC239" s="10"/>
      <c r="VVD239" s="10"/>
      <c r="VVE239" s="21"/>
      <c r="VVF239" s="21"/>
      <c r="VVI239" s="21"/>
      <c r="VVJ239" s="15"/>
      <c r="VVK239" s="15"/>
      <c r="VVL239" s="15"/>
      <c r="VVM239" s="15"/>
      <c r="VVN239" s="15"/>
      <c r="VVO239" s="15"/>
      <c r="VVP239" s="15"/>
      <c r="VVQ239" s="15"/>
      <c r="VVR239" s="15"/>
      <c r="VVS239" s="15"/>
      <c r="VVT239" s="10"/>
      <c r="VVU239" s="10"/>
      <c r="VVV239" s="21"/>
      <c r="VVW239" s="21"/>
      <c r="VVZ239" s="21"/>
      <c r="VWA239" s="15"/>
      <c r="VWB239" s="15"/>
      <c r="VWC239" s="15"/>
      <c r="VWD239" s="15"/>
      <c r="VWE239" s="15"/>
      <c r="VWF239" s="15"/>
      <c r="VWG239" s="15"/>
      <c r="VWH239" s="15"/>
      <c r="VWI239" s="15"/>
      <c r="VWJ239" s="15"/>
      <c r="VWK239" s="10"/>
      <c r="VWL239" s="10"/>
      <c r="VWM239" s="21"/>
      <c r="VWN239" s="21"/>
      <c r="VWQ239" s="21"/>
      <c r="VWR239" s="15"/>
      <c r="VWS239" s="15"/>
      <c r="VWT239" s="15"/>
      <c r="VWU239" s="15"/>
      <c r="VWV239" s="15"/>
      <c r="VWW239" s="15"/>
      <c r="VWX239" s="15"/>
      <c r="VWY239" s="15"/>
      <c r="VWZ239" s="15"/>
      <c r="VXA239" s="15"/>
      <c r="VXB239" s="10"/>
      <c r="VXC239" s="10"/>
      <c r="VXD239" s="21"/>
      <c r="VXE239" s="21"/>
      <c r="VXH239" s="21"/>
      <c r="VXI239" s="15"/>
      <c r="VXJ239" s="15"/>
      <c r="VXK239" s="15"/>
      <c r="VXL239" s="15"/>
      <c r="VXM239" s="15"/>
      <c r="VXN239" s="15"/>
      <c r="VXO239" s="15"/>
      <c r="VXP239" s="15"/>
      <c r="VXQ239" s="15"/>
      <c r="VXR239" s="15"/>
      <c r="VXS239" s="10"/>
      <c r="VXT239" s="10"/>
      <c r="VXU239" s="21"/>
      <c r="VXV239" s="21"/>
      <c r="VXY239" s="21"/>
      <c r="VXZ239" s="15"/>
      <c r="VYA239" s="15"/>
      <c r="VYB239" s="15"/>
      <c r="VYC239" s="15"/>
      <c r="VYD239" s="15"/>
      <c r="VYE239" s="15"/>
      <c r="VYF239" s="15"/>
      <c r="VYG239" s="15"/>
      <c r="VYH239" s="15"/>
      <c r="VYI239" s="15"/>
      <c r="VYJ239" s="10"/>
      <c r="VYK239" s="10"/>
      <c r="VYL239" s="21"/>
      <c r="VYM239" s="21"/>
      <c r="VYP239" s="21"/>
      <c r="VYQ239" s="15"/>
      <c r="VYR239" s="15"/>
      <c r="VYS239" s="15"/>
      <c r="VYT239" s="15"/>
      <c r="VYU239" s="15"/>
      <c r="VYV239" s="15"/>
      <c r="VYW239" s="15"/>
      <c r="VYX239" s="15"/>
      <c r="VYY239" s="15"/>
      <c r="VYZ239" s="15"/>
      <c r="VZA239" s="10"/>
      <c r="VZB239" s="10"/>
      <c r="VZC239" s="21"/>
      <c r="VZD239" s="21"/>
      <c r="VZG239" s="21"/>
      <c r="VZH239" s="15"/>
      <c r="VZI239" s="15"/>
      <c r="VZJ239" s="15"/>
      <c r="VZK239" s="15"/>
      <c r="VZL239" s="15"/>
      <c r="VZM239" s="15"/>
      <c r="VZN239" s="15"/>
      <c r="VZO239" s="15"/>
      <c r="VZP239" s="15"/>
      <c r="VZQ239" s="15"/>
      <c r="VZR239" s="10"/>
      <c r="VZS239" s="10"/>
      <c r="VZT239" s="21"/>
      <c r="VZU239" s="21"/>
      <c r="VZX239" s="21"/>
      <c r="VZY239" s="15"/>
      <c r="VZZ239" s="15"/>
      <c r="WAA239" s="15"/>
      <c r="WAB239" s="15"/>
      <c r="WAC239" s="15"/>
      <c r="WAD239" s="15"/>
      <c r="WAE239" s="15"/>
      <c r="WAF239" s="15"/>
      <c r="WAG239" s="15"/>
      <c r="WAH239" s="15"/>
      <c r="WAI239" s="10"/>
      <c r="WAJ239" s="10"/>
      <c r="WAK239" s="21"/>
      <c r="WAL239" s="21"/>
      <c r="WAO239" s="21"/>
      <c r="WAP239" s="15"/>
      <c r="WAQ239" s="15"/>
      <c r="WAR239" s="15"/>
      <c r="WAS239" s="15"/>
      <c r="WAT239" s="15"/>
      <c r="WAU239" s="15"/>
      <c r="WAV239" s="15"/>
      <c r="WAW239" s="15"/>
      <c r="WAX239" s="15"/>
      <c r="WAY239" s="15"/>
      <c r="WAZ239" s="10"/>
      <c r="WBA239" s="10"/>
      <c r="WBB239" s="21"/>
      <c r="WBC239" s="21"/>
      <c r="WBF239" s="21"/>
      <c r="WBG239" s="15"/>
      <c r="WBH239" s="15"/>
      <c r="WBI239" s="15"/>
      <c r="WBJ239" s="15"/>
      <c r="WBK239" s="15"/>
      <c r="WBL239" s="15"/>
      <c r="WBM239" s="15"/>
      <c r="WBN239" s="15"/>
      <c r="WBO239" s="15"/>
      <c r="WBP239" s="15"/>
      <c r="WBQ239" s="10"/>
      <c r="WBR239" s="10"/>
      <c r="WBS239" s="21"/>
      <c r="WBT239" s="21"/>
      <c r="WBW239" s="21"/>
      <c r="WBX239" s="15"/>
      <c r="WBY239" s="15"/>
      <c r="WBZ239" s="15"/>
      <c r="WCA239" s="15"/>
      <c r="WCB239" s="15"/>
      <c r="WCC239" s="15"/>
      <c r="WCD239" s="15"/>
      <c r="WCE239" s="15"/>
      <c r="WCF239" s="15"/>
      <c r="WCG239" s="15"/>
      <c r="WCH239" s="10"/>
      <c r="WCI239" s="10"/>
      <c r="WCJ239" s="21"/>
      <c r="WCK239" s="21"/>
      <c r="WCN239" s="21"/>
      <c r="WCO239" s="15"/>
      <c r="WCP239" s="15"/>
      <c r="WCQ239" s="15"/>
      <c r="WCR239" s="15"/>
      <c r="WCS239" s="15"/>
      <c r="WCT239" s="15"/>
      <c r="WCU239" s="15"/>
      <c r="WCV239" s="15"/>
      <c r="WCW239" s="15"/>
      <c r="WCX239" s="15"/>
      <c r="WCY239" s="10"/>
      <c r="WCZ239" s="10"/>
      <c r="WDA239" s="21"/>
      <c r="WDB239" s="21"/>
      <c r="WDE239" s="21"/>
      <c r="WDF239" s="15"/>
      <c r="WDG239" s="15"/>
      <c r="WDH239" s="15"/>
      <c r="WDI239" s="15"/>
      <c r="WDJ239" s="15"/>
      <c r="WDK239" s="15"/>
      <c r="WDL239" s="15"/>
      <c r="WDM239" s="15"/>
      <c r="WDN239" s="15"/>
      <c r="WDO239" s="15"/>
      <c r="WDP239" s="10"/>
      <c r="WDQ239" s="10"/>
      <c r="WDR239" s="21"/>
      <c r="WDS239" s="21"/>
      <c r="WDV239" s="21"/>
      <c r="WDW239" s="15"/>
      <c r="WDX239" s="15"/>
      <c r="WDY239" s="15"/>
      <c r="WDZ239" s="15"/>
      <c r="WEA239" s="15"/>
      <c r="WEB239" s="15"/>
      <c r="WEC239" s="15"/>
      <c r="WED239" s="15"/>
      <c r="WEE239" s="15"/>
      <c r="WEF239" s="15"/>
      <c r="WEG239" s="10"/>
      <c r="WEH239" s="10"/>
      <c r="WEI239" s="21"/>
      <c r="WEJ239" s="21"/>
      <c r="WEM239" s="21"/>
      <c r="WEN239" s="15"/>
      <c r="WEO239" s="15"/>
      <c r="WEP239" s="15"/>
      <c r="WEQ239" s="15"/>
      <c r="WER239" s="15"/>
      <c r="WES239" s="15"/>
      <c r="WET239" s="15"/>
      <c r="WEU239" s="15"/>
      <c r="WEV239" s="15"/>
      <c r="WEW239" s="15"/>
      <c r="WEX239" s="10"/>
      <c r="WEY239" s="10"/>
      <c r="WEZ239" s="21"/>
      <c r="WFA239" s="21"/>
      <c r="WFD239" s="21"/>
      <c r="WFE239" s="15"/>
      <c r="WFF239" s="15"/>
      <c r="WFG239" s="15"/>
      <c r="WFH239" s="15"/>
      <c r="WFI239" s="15"/>
      <c r="WFJ239" s="15"/>
      <c r="WFK239" s="15"/>
      <c r="WFL239" s="15"/>
      <c r="WFM239" s="15"/>
      <c r="WFN239" s="15"/>
      <c r="WFO239" s="10"/>
      <c r="WFP239" s="10"/>
      <c r="WFQ239" s="21"/>
      <c r="WFR239" s="21"/>
      <c r="WFU239" s="21"/>
      <c r="WFV239" s="15"/>
      <c r="WFW239" s="15"/>
      <c r="WFX239" s="15"/>
      <c r="WFY239" s="15"/>
      <c r="WFZ239" s="15"/>
      <c r="WGA239" s="15"/>
      <c r="WGB239" s="15"/>
      <c r="WGC239" s="15"/>
      <c r="WGD239" s="15"/>
      <c r="WGE239" s="15"/>
      <c r="WGF239" s="10"/>
      <c r="WGG239" s="10"/>
      <c r="WGH239" s="21"/>
      <c r="WGI239" s="21"/>
      <c r="WGL239" s="21"/>
      <c r="WGM239" s="15"/>
      <c r="WGN239" s="15"/>
      <c r="WGO239" s="15"/>
      <c r="WGP239" s="15"/>
      <c r="WGQ239" s="15"/>
      <c r="WGR239" s="15"/>
      <c r="WGS239" s="15"/>
      <c r="WGT239" s="15"/>
      <c r="WGU239" s="15"/>
      <c r="WGV239" s="15"/>
      <c r="WGW239" s="10"/>
      <c r="WGX239" s="10"/>
      <c r="WGY239" s="21"/>
      <c r="WGZ239" s="21"/>
      <c r="WHC239" s="21"/>
      <c r="WHD239" s="15"/>
      <c r="WHE239" s="15"/>
      <c r="WHF239" s="15"/>
      <c r="WHG239" s="15"/>
      <c r="WHH239" s="15"/>
      <c r="WHI239" s="15"/>
      <c r="WHJ239" s="15"/>
      <c r="WHK239" s="15"/>
      <c r="WHL239" s="15"/>
      <c r="WHM239" s="15"/>
      <c r="WHN239" s="10"/>
      <c r="WHO239" s="10"/>
      <c r="WHP239" s="21"/>
      <c r="WHQ239" s="21"/>
      <c r="WHT239" s="21"/>
      <c r="WHU239" s="15"/>
      <c r="WHV239" s="15"/>
      <c r="WHW239" s="15"/>
      <c r="WHX239" s="15"/>
      <c r="WHY239" s="15"/>
      <c r="WHZ239" s="15"/>
      <c r="WIA239" s="15"/>
      <c r="WIB239" s="15"/>
      <c r="WIC239" s="15"/>
      <c r="WID239" s="15"/>
      <c r="WIE239" s="10"/>
      <c r="WIF239" s="10"/>
      <c r="WIG239" s="21"/>
      <c r="WIH239" s="21"/>
      <c r="WIK239" s="21"/>
      <c r="WIL239" s="15"/>
      <c r="WIM239" s="15"/>
      <c r="WIN239" s="15"/>
      <c r="WIO239" s="15"/>
      <c r="WIP239" s="15"/>
      <c r="WIQ239" s="15"/>
      <c r="WIR239" s="15"/>
      <c r="WIS239" s="15"/>
      <c r="WIT239" s="15"/>
      <c r="WIU239" s="15"/>
      <c r="WIV239" s="10"/>
      <c r="WIW239" s="10"/>
      <c r="WIX239" s="21"/>
      <c r="WIY239" s="21"/>
      <c r="WJB239" s="21"/>
      <c r="WJC239" s="15"/>
      <c r="WJD239" s="15"/>
      <c r="WJE239" s="15"/>
      <c r="WJF239" s="15"/>
      <c r="WJG239" s="15"/>
      <c r="WJH239" s="15"/>
      <c r="WJI239" s="15"/>
      <c r="WJJ239" s="15"/>
      <c r="WJK239" s="15"/>
      <c r="WJL239" s="15"/>
      <c r="WJM239" s="10"/>
      <c r="WJN239" s="10"/>
      <c r="WJO239" s="21"/>
      <c r="WJP239" s="21"/>
      <c r="WJS239" s="21"/>
      <c r="WJT239" s="15"/>
      <c r="WJU239" s="15"/>
      <c r="WJV239" s="15"/>
      <c r="WJW239" s="15"/>
      <c r="WJX239" s="15"/>
      <c r="WJY239" s="15"/>
      <c r="WJZ239" s="15"/>
      <c r="WKA239" s="15"/>
      <c r="WKB239" s="15"/>
      <c r="WKC239" s="15"/>
      <c r="WKD239" s="10"/>
      <c r="WKE239" s="10"/>
      <c r="WKF239" s="21"/>
      <c r="WKG239" s="21"/>
      <c r="WKJ239" s="21"/>
      <c r="WKK239" s="15"/>
      <c r="WKL239" s="15"/>
      <c r="WKM239" s="15"/>
      <c r="WKN239" s="15"/>
      <c r="WKO239" s="15"/>
      <c r="WKP239" s="15"/>
      <c r="WKQ239" s="15"/>
      <c r="WKR239" s="15"/>
      <c r="WKS239" s="15"/>
      <c r="WKT239" s="15"/>
      <c r="WKU239" s="10"/>
      <c r="WKV239" s="10"/>
      <c r="WKW239" s="21"/>
      <c r="WKX239" s="21"/>
      <c r="WLA239" s="21"/>
      <c r="WLB239" s="15"/>
      <c r="WLC239" s="15"/>
      <c r="WLD239" s="15"/>
      <c r="WLE239" s="15"/>
      <c r="WLF239" s="15"/>
      <c r="WLG239" s="15"/>
      <c r="WLH239" s="15"/>
      <c r="WLI239" s="15"/>
      <c r="WLJ239" s="15"/>
      <c r="WLK239" s="15"/>
      <c r="WLL239" s="10"/>
      <c r="WLM239" s="10"/>
      <c r="WLN239" s="21"/>
      <c r="WLO239" s="21"/>
      <c r="WLR239" s="21"/>
      <c r="WLS239" s="15"/>
      <c r="WLT239" s="15"/>
      <c r="WLU239" s="15"/>
      <c r="WLV239" s="15"/>
      <c r="WLW239" s="15"/>
      <c r="WLX239" s="15"/>
      <c r="WLY239" s="15"/>
      <c r="WLZ239" s="15"/>
      <c r="WMA239" s="15"/>
      <c r="WMB239" s="15"/>
      <c r="WMC239" s="10"/>
      <c r="WMD239" s="10"/>
      <c r="WME239" s="21"/>
      <c r="WMF239" s="21"/>
      <c r="WMI239" s="21"/>
      <c r="WMJ239" s="15"/>
      <c r="WMK239" s="15"/>
      <c r="WML239" s="15"/>
      <c r="WMM239" s="15"/>
      <c r="WMN239" s="15"/>
      <c r="WMO239" s="15"/>
      <c r="WMP239" s="15"/>
      <c r="WMQ239" s="15"/>
      <c r="WMR239" s="15"/>
      <c r="WMS239" s="15"/>
      <c r="WMT239" s="10"/>
      <c r="WMU239" s="10"/>
      <c r="WMV239" s="21"/>
      <c r="WMW239" s="21"/>
      <c r="WMZ239" s="21"/>
      <c r="WNA239" s="15"/>
      <c r="WNB239" s="15"/>
      <c r="WNC239" s="15"/>
      <c r="WND239" s="15"/>
      <c r="WNE239" s="15"/>
      <c r="WNF239" s="15"/>
      <c r="WNG239" s="15"/>
      <c r="WNH239" s="15"/>
      <c r="WNI239" s="15"/>
      <c r="WNJ239" s="15"/>
      <c r="WNK239" s="10"/>
      <c r="WNL239" s="10"/>
      <c r="WNM239" s="21"/>
      <c r="WNN239" s="21"/>
      <c r="WNQ239" s="21"/>
      <c r="WNR239" s="15"/>
      <c r="WNS239" s="15"/>
      <c r="WNT239" s="15"/>
      <c r="WNU239" s="15"/>
      <c r="WNV239" s="15"/>
      <c r="WNW239" s="15"/>
      <c r="WNX239" s="15"/>
      <c r="WNY239" s="15"/>
      <c r="WNZ239" s="15"/>
      <c r="WOA239" s="15"/>
      <c r="WOB239" s="10"/>
      <c r="WOC239" s="10"/>
      <c r="WOD239" s="21"/>
      <c r="WOE239" s="21"/>
      <c r="WOH239" s="21"/>
      <c r="WOI239" s="15"/>
      <c r="WOJ239" s="15"/>
      <c r="WOK239" s="15"/>
      <c r="WOL239" s="15"/>
      <c r="WOM239" s="15"/>
      <c r="WON239" s="15"/>
      <c r="WOO239" s="15"/>
      <c r="WOP239" s="15"/>
      <c r="WOQ239" s="15"/>
      <c r="WOR239" s="15"/>
      <c r="WOS239" s="10"/>
      <c r="WOT239" s="10"/>
      <c r="WOU239" s="21"/>
      <c r="WOV239" s="21"/>
      <c r="WOY239" s="21"/>
      <c r="WOZ239" s="15"/>
      <c r="WPA239" s="15"/>
      <c r="WPB239" s="15"/>
      <c r="WPC239" s="15"/>
      <c r="WPD239" s="15"/>
      <c r="WPE239" s="15"/>
      <c r="WPF239" s="15"/>
      <c r="WPG239" s="15"/>
      <c r="WPH239" s="15"/>
      <c r="WPI239" s="15"/>
      <c r="WPJ239" s="10"/>
      <c r="WPK239" s="10"/>
      <c r="WPL239" s="21"/>
      <c r="WPM239" s="21"/>
      <c r="WPP239" s="21"/>
      <c r="WPQ239" s="15"/>
      <c r="WPR239" s="15"/>
      <c r="WPS239" s="15"/>
      <c r="WPT239" s="15"/>
      <c r="WPU239" s="15"/>
      <c r="WPV239" s="15"/>
      <c r="WPW239" s="15"/>
      <c r="WPX239" s="15"/>
      <c r="WPY239" s="15"/>
      <c r="WPZ239" s="15"/>
      <c r="WQA239" s="10"/>
      <c r="WQB239" s="10"/>
      <c r="WQC239" s="21"/>
      <c r="WQD239" s="21"/>
      <c r="WQG239" s="21"/>
      <c r="WQH239" s="15"/>
      <c r="WQI239" s="15"/>
      <c r="WQJ239" s="15"/>
      <c r="WQK239" s="15"/>
      <c r="WQL239" s="15"/>
      <c r="WQM239" s="15"/>
      <c r="WQN239" s="15"/>
      <c r="WQO239" s="15"/>
      <c r="WQP239" s="15"/>
      <c r="WQQ239" s="15"/>
      <c r="WQR239" s="10"/>
      <c r="WQS239" s="10"/>
      <c r="WQT239" s="21"/>
      <c r="WQU239" s="21"/>
      <c r="WQX239" s="21"/>
      <c r="WQY239" s="15"/>
      <c r="WQZ239" s="15"/>
      <c r="WRA239" s="15"/>
      <c r="WRB239" s="15"/>
      <c r="WRC239" s="15"/>
      <c r="WRD239" s="15"/>
      <c r="WRE239" s="15"/>
      <c r="WRF239" s="15"/>
      <c r="WRG239" s="15"/>
      <c r="WRH239" s="15"/>
      <c r="WRI239" s="10"/>
      <c r="WRJ239" s="10"/>
      <c r="WRK239" s="21"/>
      <c r="WRL239" s="21"/>
      <c r="WRO239" s="21"/>
      <c r="WRP239" s="15"/>
      <c r="WRQ239" s="15"/>
      <c r="WRR239" s="15"/>
      <c r="WRS239" s="15"/>
      <c r="WRT239" s="15"/>
      <c r="WRU239" s="15"/>
      <c r="WRV239" s="15"/>
      <c r="WRW239" s="15"/>
      <c r="WRX239" s="15"/>
      <c r="WRY239" s="15"/>
      <c r="WRZ239" s="10"/>
      <c r="WSA239" s="10"/>
      <c r="WSB239" s="21"/>
      <c r="WSC239" s="21"/>
      <c r="WSF239" s="21"/>
      <c r="WSG239" s="15"/>
      <c r="WSH239" s="15"/>
      <c r="WSI239" s="15"/>
      <c r="WSJ239" s="15"/>
      <c r="WSK239" s="15"/>
      <c r="WSL239" s="15"/>
      <c r="WSM239" s="15"/>
      <c r="WSN239" s="15"/>
      <c r="WSO239" s="15"/>
      <c r="WSP239" s="15"/>
      <c r="WSQ239" s="10"/>
      <c r="WSR239" s="10"/>
      <c r="WSS239" s="21"/>
      <c r="WST239" s="21"/>
      <c r="WSW239" s="21"/>
      <c r="WSX239" s="15"/>
      <c r="WSY239" s="15"/>
      <c r="WSZ239" s="15"/>
      <c r="WTA239" s="15"/>
      <c r="WTB239" s="15"/>
      <c r="WTC239" s="15"/>
      <c r="WTD239" s="15"/>
      <c r="WTE239" s="15"/>
      <c r="WTF239" s="15"/>
      <c r="WTG239" s="15"/>
      <c r="WTH239" s="10"/>
      <c r="WTI239" s="10"/>
      <c r="WTJ239" s="21"/>
      <c r="WTK239" s="21"/>
      <c r="WTN239" s="21"/>
      <c r="WTO239" s="15"/>
      <c r="WTP239" s="15"/>
      <c r="WTQ239" s="15"/>
      <c r="WTR239" s="15"/>
      <c r="WTS239" s="15"/>
      <c r="WTT239" s="15"/>
      <c r="WTU239" s="15"/>
      <c r="WTV239" s="15"/>
      <c r="WTW239" s="15"/>
      <c r="WTX239" s="15"/>
      <c r="WTY239" s="10"/>
      <c r="WTZ239" s="10"/>
      <c r="WUA239" s="21"/>
      <c r="WUB239" s="21"/>
      <c r="WUE239" s="21"/>
      <c r="WUF239" s="15"/>
      <c r="WUG239" s="15"/>
      <c r="WUH239" s="15"/>
      <c r="WUI239" s="15"/>
      <c r="WUJ239" s="15"/>
      <c r="WUK239" s="15"/>
      <c r="WUL239" s="15"/>
      <c r="WUM239" s="15"/>
      <c r="WUN239" s="15"/>
      <c r="WUO239" s="15"/>
      <c r="WUP239" s="10"/>
      <c r="WUQ239" s="10"/>
      <c r="WUR239" s="21"/>
      <c r="WUS239" s="21"/>
      <c r="WUV239" s="21"/>
      <c r="WUW239" s="15"/>
      <c r="WUX239" s="15"/>
      <c r="WUY239" s="15"/>
      <c r="WUZ239" s="15"/>
      <c r="WVA239" s="15"/>
      <c r="WVB239" s="15"/>
      <c r="WVC239" s="15"/>
      <c r="WVD239" s="15"/>
      <c r="WVE239" s="15"/>
      <c r="WVF239" s="15"/>
      <c r="WVG239" s="10"/>
      <c r="WVH239" s="10"/>
      <c r="WVI239" s="21"/>
      <c r="WVJ239" s="21"/>
      <c r="WVM239" s="21"/>
      <c r="WVN239" s="15"/>
      <c r="WVO239" s="15"/>
      <c r="WVP239" s="15"/>
      <c r="WVQ239" s="15"/>
      <c r="WVR239" s="15"/>
      <c r="WVS239" s="15"/>
      <c r="WVT239" s="15"/>
      <c r="WVU239" s="15"/>
      <c r="WVV239" s="15"/>
      <c r="WVW239" s="15"/>
      <c r="WVX239" s="10"/>
      <c r="WVY239" s="10"/>
      <c r="WVZ239" s="21"/>
      <c r="WWA239" s="21"/>
      <c r="WWD239" s="21"/>
      <c r="WWE239" s="15"/>
      <c r="WWF239" s="15"/>
      <c r="WWG239" s="15"/>
      <c r="WWH239" s="15"/>
      <c r="WWI239" s="15"/>
      <c r="WWJ239" s="15"/>
      <c r="WWK239" s="15"/>
      <c r="WWL239" s="15"/>
      <c r="WWM239" s="15"/>
      <c r="WWN239" s="15"/>
      <c r="WWO239" s="10"/>
      <c r="WWP239" s="10"/>
      <c r="WWQ239" s="21"/>
      <c r="WWR239" s="21"/>
      <c r="WWU239" s="21"/>
      <c r="WWV239" s="15"/>
      <c r="WWW239" s="15"/>
      <c r="WWX239" s="15"/>
      <c r="WWY239" s="15"/>
      <c r="WWZ239" s="15"/>
      <c r="WXA239" s="15"/>
      <c r="WXB239" s="15"/>
      <c r="WXC239" s="15"/>
      <c r="WXD239" s="15"/>
      <c r="WXE239" s="15"/>
      <c r="WXF239" s="10"/>
      <c r="WXG239" s="10"/>
      <c r="WXH239" s="21"/>
      <c r="WXI239" s="21"/>
      <c r="WXL239" s="21"/>
      <c r="WXM239" s="15"/>
      <c r="WXN239" s="15"/>
      <c r="WXO239" s="15"/>
      <c r="WXP239" s="15"/>
      <c r="WXQ239" s="15"/>
      <c r="WXR239" s="15"/>
      <c r="WXS239" s="15"/>
      <c r="WXT239" s="15"/>
      <c r="WXU239" s="15"/>
      <c r="WXV239" s="15"/>
      <c r="WXW239" s="10"/>
      <c r="WXX239" s="10"/>
      <c r="WXY239" s="21"/>
      <c r="WXZ239" s="21"/>
      <c r="WYC239" s="21"/>
      <c r="WYD239" s="15"/>
      <c r="WYE239" s="15"/>
      <c r="WYF239" s="15"/>
      <c r="WYG239" s="15"/>
      <c r="WYH239" s="15"/>
      <c r="WYI239" s="15"/>
      <c r="WYJ239" s="15"/>
      <c r="WYK239" s="15"/>
      <c r="WYL239" s="15"/>
      <c r="WYM239" s="15"/>
      <c r="WYN239" s="10"/>
      <c r="WYO239" s="10"/>
      <c r="WYP239" s="21"/>
      <c r="WYQ239" s="21"/>
      <c r="WYT239" s="21"/>
      <c r="WYU239" s="15"/>
      <c r="WYV239" s="15"/>
      <c r="WYW239" s="15"/>
      <c r="WYX239" s="15"/>
      <c r="WYY239" s="15"/>
      <c r="WYZ239" s="15"/>
      <c r="WZA239" s="15"/>
      <c r="WZB239" s="15"/>
      <c r="WZC239" s="15"/>
      <c r="WZD239" s="15"/>
      <c r="WZE239" s="10"/>
      <c r="WZF239" s="10"/>
      <c r="WZG239" s="21"/>
      <c r="WZH239" s="21"/>
      <c r="WZK239" s="21"/>
      <c r="WZL239" s="15"/>
      <c r="WZM239" s="15"/>
      <c r="WZN239" s="15"/>
      <c r="WZO239" s="15"/>
      <c r="WZP239" s="15"/>
      <c r="WZQ239" s="15"/>
      <c r="WZR239" s="15"/>
      <c r="WZS239" s="15"/>
      <c r="WZT239" s="15"/>
      <c r="WZU239" s="15"/>
      <c r="WZV239" s="10"/>
      <c r="WZW239" s="10"/>
      <c r="WZX239" s="21"/>
      <c r="WZY239" s="21"/>
      <c r="XAB239" s="21"/>
      <c r="XAC239" s="15"/>
      <c r="XAD239" s="15"/>
      <c r="XAE239" s="15"/>
      <c r="XAF239" s="15"/>
      <c r="XAG239" s="15"/>
      <c r="XAH239" s="15"/>
      <c r="XAI239" s="15"/>
      <c r="XAJ239" s="15"/>
      <c r="XAK239" s="15"/>
      <c r="XAL239" s="15"/>
      <c r="XAM239" s="10"/>
      <c r="XAN239" s="10"/>
      <c r="XAO239" s="21"/>
      <c r="XAP239" s="21"/>
      <c r="XAS239" s="21"/>
      <c r="XAT239" s="15"/>
      <c r="XAU239" s="15"/>
      <c r="XAV239" s="15"/>
      <c r="XAW239" s="15"/>
      <c r="XAX239" s="15"/>
      <c r="XAY239" s="15"/>
      <c r="XAZ239" s="15"/>
      <c r="XBA239" s="15"/>
      <c r="XBB239" s="15"/>
      <c r="XBC239" s="15"/>
      <c r="XBD239" s="10"/>
      <c r="XBE239" s="10"/>
      <c r="XBF239" s="21"/>
      <c r="XBG239" s="21"/>
      <c r="XBJ239" s="21"/>
      <c r="XBK239" s="15"/>
      <c r="XBL239" s="15"/>
      <c r="XBM239" s="15"/>
      <c r="XBN239" s="15"/>
      <c r="XBO239" s="15"/>
      <c r="XBP239" s="15"/>
      <c r="XBQ239" s="15"/>
      <c r="XBR239" s="15"/>
      <c r="XBS239" s="15"/>
      <c r="XBT239" s="15"/>
      <c r="XBU239" s="10"/>
      <c r="XBV239" s="10"/>
      <c r="XBW239" s="21"/>
      <c r="XBX239" s="21"/>
      <c r="XCA239" s="21"/>
      <c r="XCB239" s="15"/>
      <c r="XCC239" s="15"/>
      <c r="XCD239" s="15"/>
      <c r="XCE239" s="15"/>
      <c r="XCF239" s="15"/>
      <c r="XCG239" s="15"/>
      <c r="XCH239" s="15"/>
      <c r="XCI239" s="15"/>
      <c r="XCJ239" s="15"/>
      <c r="XCK239" s="15"/>
      <c r="XCL239" s="10"/>
      <c r="XCM239" s="10"/>
      <c r="XCN239" s="21"/>
      <c r="XCO239" s="21"/>
      <c r="XCR239" s="21"/>
      <c r="XCS239" s="15"/>
      <c r="XCT239" s="15"/>
      <c r="XCU239" s="15"/>
      <c r="XCV239" s="15"/>
      <c r="XCW239" s="15"/>
      <c r="XCX239" s="15"/>
      <c r="XCY239" s="15"/>
      <c r="XCZ239" s="15"/>
      <c r="XDA239" s="15"/>
      <c r="XDB239" s="15"/>
      <c r="XDC239" s="10"/>
      <c r="XDD239" s="10"/>
      <c r="XDE239" s="21"/>
      <c r="XDF239" s="21"/>
      <c r="XDI239" s="21"/>
      <c r="XDJ239" s="15"/>
      <c r="XDK239" s="15"/>
      <c r="XDL239" s="15"/>
      <c r="XDM239" s="15"/>
      <c r="XDN239" s="15"/>
      <c r="XDO239" s="15"/>
      <c r="XDP239" s="15"/>
      <c r="XDQ239" s="15"/>
      <c r="XDR239" s="15"/>
      <c r="XDS239" s="15"/>
      <c r="XDT239" s="10"/>
      <c r="XDU239" s="10"/>
      <c r="XDV239" s="21"/>
      <c r="XDW239" s="21"/>
      <c r="XDZ239" s="21"/>
      <c r="XEA239" s="15"/>
      <c r="XEB239" s="15"/>
      <c r="XEC239" s="15"/>
      <c r="XED239" s="15"/>
      <c r="XEE239" s="15"/>
      <c r="XEF239" s="15"/>
      <c r="XEG239" s="15"/>
      <c r="XEH239" s="15"/>
      <c r="XEI239" s="15"/>
      <c r="XEJ239" s="15"/>
      <c r="XEK239" s="10"/>
      <c r="XEL239" s="10"/>
      <c r="XEM239" s="21"/>
      <c r="XEN239" s="21"/>
      <c r="XEQ239" s="21"/>
      <c r="XER239" s="15"/>
      <c r="XES239" s="15"/>
      <c r="XET239" s="15"/>
      <c r="XEU239" s="15"/>
      <c r="XEV239" s="15"/>
      <c r="XEW239" s="15"/>
      <c r="XEX239" s="15"/>
      <c r="XEY239" s="15"/>
      <c r="XEZ239" s="15"/>
      <c r="XFA239" s="15"/>
      <c r="XFB239" s="10"/>
      <c r="XFC239" s="10"/>
      <c r="XFD239" s="21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517</v>
      </c>
      <c r="E240" s="32" t="s">
        <v>166</v>
      </c>
      <c r="F240" s="32" t="s">
        <v>518</v>
      </c>
      <c r="G240" s="32" t="s">
        <v>519</v>
      </c>
      <c r="H240" s="32" t="s">
        <v>352</v>
      </c>
      <c r="I240" s="31" t="s">
        <v>520</v>
      </c>
      <c r="J240" s="31">
        <v>99</v>
      </c>
      <c r="K240" s="33" t="s">
        <v>698</v>
      </c>
      <c r="L240" s="33">
        <v>40</v>
      </c>
      <c r="M240" s="34" t="s">
        <v>959</v>
      </c>
      <c r="N240" s="34" t="s">
        <v>1820</v>
      </c>
      <c r="O240" s="35">
        <v>1</v>
      </c>
      <c r="P240" s="35"/>
      <c r="Q240" s="32"/>
      <c r="S240" s="1">
        <f t="shared" si="121"/>
        <v>0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</row>
    <row r="241" spans="1:35" ht="13.9" customHeight="1" x14ac:dyDescent="0.25">
      <c r="A241" s="38">
        <v>0</v>
      </c>
      <c r="B241" s="38">
        <v>1</v>
      </c>
      <c r="C241" s="38">
        <v>6</v>
      </c>
      <c r="D241" s="39" t="s">
        <v>1808</v>
      </c>
      <c r="E241" s="39" t="s">
        <v>1809</v>
      </c>
      <c r="F241" s="39" t="s">
        <v>1810</v>
      </c>
      <c r="G241" s="39"/>
      <c r="H241" s="39" t="s">
        <v>352</v>
      </c>
      <c r="I241" s="38" t="s">
        <v>1811</v>
      </c>
      <c r="J241" s="38"/>
      <c r="K241" s="40" t="s">
        <v>699</v>
      </c>
      <c r="L241" s="40"/>
      <c r="M241" s="41"/>
      <c r="N241" s="42"/>
      <c r="O241" s="43"/>
      <c r="P241" s="43">
        <v>1</v>
      </c>
      <c r="Q241" s="39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0</v>
      </c>
      <c r="AF241" s="1">
        <f t="shared" si="117"/>
        <v>0</v>
      </c>
      <c r="AG241" s="1">
        <f t="shared" si="118"/>
        <v>0</v>
      </c>
      <c r="AH241" s="1">
        <f t="shared" si="119"/>
        <v>1</v>
      </c>
      <c r="AI241" s="1">
        <f t="shared" si="120"/>
        <v>0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2061</v>
      </c>
      <c r="E242" s="32" t="s">
        <v>166</v>
      </c>
      <c r="F242" s="32" t="s">
        <v>2062</v>
      </c>
      <c r="G242" s="32"/>
      <c r="H242" s="32" t="s">
        <v>352</v>
      </c>
      <c r="I242" s="31" t="s">
        <v>2063</v>
      </c>
      <c r="J242" s="31"/>
      <c r="K242" s="33" t="s">
        <v>699</v>
      </c>
      <c r="L242" s="33"/>
      <c r="M242" s="34"/>
      <c r="N242" s="34" t="s">
        <v>1719</v>
      </c>
      <c r="O242" s="35">
        <v>1</v>
      </c>
      <c r="P242" s="35"/>
      <c r="Q242" s="32" t="s">
        <v>2064</v>
      </c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1</v>
      </c>
      <c r="AF242" s="1">
        <f t="shared" si="117"/>
        <v>0</v>
      </c>
      <c r="AG242" s="1">
        <f t="shared" si="118"/>
        <v>1</v>
      </c>
      <c r="AH242" s="1">
        <f t="shared" si="119"/>
        <v>0</v>
      </c>
      <c r="AI242" s="1">
        <f t="shared" si="120"/>
        <v>1</v>
      </c>
    </row>
    <row r="243" spans="1:35" ht="13.9" customHeight="1" x14ac:dyDescent="0.25">
      <c r="A243" s="31">
        <v>0</v>
      </c>
      <c r="B243" s="31">
        <v>1</v>
      </c>
      <c r="C243" s="31">
        <v>6</v>
      </c>
      <c r="D243" s="32" t="s">
        <v>1455</v>
      </c>
      <c r="E243" s="32" t="s">
        <v>166</v>
      </c>
      <c r="F243" s="32" t="s">
        <v>1457</v>
      </c>
      <c r="G243" s="32" t="s">
        <v>1458</v>
      </c>
      <c r="H243" s="32" t="s">
        <v>352</v>
      </c>
      <c r="I243" s="31" t="s">
        <v>1456</v>
      </c>
      <c r="J243" s="31">
        <v>99</v>
      </c>
      <c r="K243" s="33" t="s">
        <v>699</v>
      </c>
      <c r="L243" s="33">
        <v>62</v>
      </c>
      <c r="M243" s="34"/>
      <c r="N243" s="34" t="s">
        <v>1720</v>
      </c>
      <c r="O243" s="35">
        <v>1</v>
      </c>
      <c r="P243" s="35"/>
      <c r="Q243" s="32"/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1177</v>
      </c>
      <c r="E244" s="32" t="s">
        <v>164</v>
      </c>
      <c r="F244" s="32" t="s">
        <v>1644</v>
      </c>
      <c r="G244" s="32" t="s">
        <v>212</v>
      </c>
      <c r="H244" s="32" t="s">
        <v>352</v>
      </c>
      <c r="I244" s="31" t="s">
        <v>1178</v>
      </c>
      <c r="J244" s="31">
        <v>1</v>
      </c>
      <c r="K244" s="33" t="s">
        <v>949</v>
      </c>
      <c r="L244" s="33" t="s">
        <v>683</v>
      </c>
      <c r="M244" s="34" t="s">
        <v>1546</v>
      </c>
      <c r="N244" s="34" t="s">
        <v>1726</v>
      </c>
      <c r="O244" s="35">
        <v>1</v>
      </c>
      <c r="P244" s="35"/>
      <c r="Q244" s="32"/>
      <c r="S244" s="1">
        <f t="shared" si="121"/>
        <v>1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2040</v>
      </c>
      <c r="E245" s="32" t="s">
        <v>2041</v>
      </c>
      <c r="F245" s="32" t="s">
        <v>2042</v>
      </c>
      <c r="G245" s="32" t="s">
        <v>207</v>
      </c>
      <c r="H245" s="32" t="s">
        <v>352</v>
      </c>
      <c r="I245" s="31" t="s">
        <v>2043</v>
      </c>
      <c r="J245" s="31">
        <v>3</v>
      </c>
      <c r="K245" s="33" t="s">
        <v>699</v>
      </c>
      <c r="L245" s="33">
        <v>30</v>
      </c>
      <c r="M245" s="34" t="s">
        <v>2044</v>
      </c>
      <c r="N245" s="34" t="s">
        <v>1820</v>
      </c>
      <c r="O245" s="35">
        <v>1</v>
      </c>
      <c r="P245" s="35"/>
      <c r="Q245" s="32"/>
      <c r="S245" s="1">
        <f t="shared" si="121"/>
        <v>0</v>
      </c>
      <c r="T245" s="1">
        <f t="shared" si="122"/>
        <v>0</v>
      </c>
      <c r="U245" s="1">
        <f t="shared" si="123"/>
        <v>1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97</v>
      </c>
      <c r="E246" s="32" t="s">
        <v>166</v>
      </c>
      <c r="F246" s="32" t="s">
        <v>294</v>
      </c>
      <c r="G246" s="32" t="s">
        <v>283</v>
      </c>
      <c r="H246" s="32" t="s">
        <v>352</v>
      </c>
      <c r="I246" s="31" t="s">
        <v>1105</v>
      </c>
      <c r="J246" s="31">
        <v>10</v>
      </c>
      <c r="K246" s="33" t="s">
        <v>943</v>
      </c>
      <c r="L246" s="33" t="s">
        <v>690</v>
      </c>
      <c r="M246" s="34" t="s">
        <v>701</v>
      </c>
      <c r="N246" s="34" t="s">
        <v>1720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0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1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599</v>
      </c>
      <c r="E247" s="32" t="s">
        <v>164</v>
      </c>
      <c r="F247" s="32" t="s">
        <v>601</v>
      </c>
      <c r="G247" s="32" t="s">
        <v>39</v>
      </c>
      <c r="H247" s="32" t="s">
        <v>352</v>
      </c>
      <c r="I247" s="31" t="s">
        <v>600</v>
      </c>
      <c r="J247" s="31">
        <v>99</v>
      </c>
      <c r="K247" s="33" t="s">
        <v>943</v>
      </c>
      <c r="L247" s="33" t="s">
        <v>689</v>
      </c>
      <c r="M247" s="34" t="s">
        <v>957</v>
      </c>
      <c r="N247" s="34" t="s">
        <v>1720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0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1146</v>
      </c>
      <c r="E248" s="32" t="s">
        <v>164</v>
      </c>
      <c r="F248" s="32" t="s">
        <v>1148</v>
      </c>
      <c r="G248" s="32" t="s">
        <v>219</v>
      </c>
      <c r="H248" s="32" t="s">
        <v>352</v>
      </c>
      <c r="I248" s="31" t="s">
        <v>1147</v>
      </c>
      <c r="J248" s="31">
        <v>8</v>
      </c>
      <c r="K248" s="33" t="s">
        <v>698</v>
      </c>
      <c r="L248" s="33" t="s">
        <v>1686</v>
      </c>
      <c r="M248" s="34" t="s">
        <v>1380</v>
      </c>
      <c r="N248" s="34" t="s">
        <v>1719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1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560</v>
      </c>
      <c r="E249" s="32" t="s">
        <v>166</v>
      </c>
      <c r="F249" s="32" t="s">
        <v>657</v>
      </c>
      <c r="G249" s="32" t="s">
        <v>201</v>
      </c>
      <c r="H249" s="32" t="s">
        <v>352</v>
      </c>
      <c r="I249" s="31" t="s">
        <v>579</v>
      </c>
      <c r="J249" s="31">
        <v>10</v>
      </c>
      <c r="K249" s="33" t="s">
        <v>949</v>
      </c>
      <c r="L249" s="33" t="s">
        <v>689</v>
      </c>
      <c r="M249" s="34" t="s">
        <v>701</v>
      </c>
      <c r="N249" s="34" t="s">
        <v>1719</v>
      </c>
      <c r="O249" s="35">
        <v>1</v>
      </c>
      <c r="P249" s="35"/>
      <c r="Q249" s="36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0</v>
      </c>
      <c r="AA249" s="1">
        <f t="shared" si="129"/>
        <v>0</v>
      </c>
      <c r="AB249" s="1">
        <f t="shared" si="130"/>
        <v>1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ht="14.25" customHeight="1" x14ac:dyDescent="0.25">
      <c r="A250" s="44">
        <v>0</v>
      </c>
      <c r="B250" s="44">
        <v>1</v>
      </c>
      <c r="C250" s="44">
        <v>6</v>
      </c>
      <c r="D250" s="45" t="s">
        <v>886</v>
      </c>
      <c r="E250" s="45" t="s">
        <v>166</v>
      </c>
      <c r="F250" s="45" t="s">
        <v>926</v>
      </c>
      <c r="G250" s="45" t="s">
        <v>927</v>
      </c>
      <c r="H250" s="45" t="s">
        <v>352</v>
      </c>
      <c r="I250" s="44" t="s">
        <v>940</v>
      </c>
      <c r="J250" s="44">
        <v>99</v>
      </c>
      <c r="K250" s="46" t="s">
        <v>698</v>
      </c>
      <c r="L250" s="46" t="s">
        <v>685</v>
      </c>
      <c r="M250" s="47" t="s">
        <v>1381</v>
      </c>
      <c r="N250" s="47" t="s">
        <v>1711</v>
      </c>
      <c r="O250" s="48"/>
      <c r="P250" s="48"/>
      <c r="Q250" s="45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0</v>
      </c>
      <c r="AD250" s="1">
        <f t="shared" si="131"/>
        <v>0</v>
      </c>
      <c r="AE250" s="1">
        <f t="shared" si="132"/>
        <v>0</v>
      </c>
      <c r="AF250" s="1">
        <f t="shared" si="117"/>
        <v>0</v>
      </c>
      <c r="AG250" s="1">
        <f t="shared" si="118"/>
        <v>0</v>
      </c>
      <c r="AH250" s="1">
        <f t="shared" si="119"/>
        <v>0</v>
      </c>
      <c r="AI250" s="1">
        <f t="shared" si="120"/>
        <v>1</v>
      </c>
    </row>
    <row r="251" spans="1:35" ht="14.25" customHeight="1" x14ac:dyDescent="0.25">
      <c r="A251" s="31">
        <v>0</v>
      </c>
      <c r="B251" s="31">
        <v>1</v>
      </c>
      <c r="C251" s="31">
        <v>6</v>
      </c>
      <c r="D251" s="32" t="s">
        <v>99</v>
      </c>
      <c r="E251" s="32" t="s">
        <v>166</v>
      </c>
      <c r="F251" s="32" t="s">
        <v>658</v>
      </c>
      <c r="G251" s="32" t="s">
        <v>660</v>
      </c>
      <c r="H251" s="32" t="s">
        <v>352</v>
      </c>
      <c r="I251" s="31" t="s">
        <v>444</v>
      </c>
      <c r="J251" s="31">
        <v>99</v>
      </c>
      <c r="K251" s="33" t="s">
        <v>718</v>
      </c>
      <c r="L251" s="33" t="s">
        <v>692</v>
      </c>
      <c r="M251" s="34" t="s">
        <v>703</v>
      </c>
      <c r="N251" s="34" t="s">
        <v>1720</v>
      </c>
      <c r="O251" s="35">
        <v>1</v>
      </c>
      <c r="P251" s="35"/>
      <c r="Q251" s="32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1</v>
      </c>
      <c r="AF251" s="1">
        <f t="shared" si="117"/>
        <v>0</v>
      </c>
      <c r="AG251" s="1">
        <f t="shared" si="118"/>
        <v>1</v>
      </c>
      <c r="AH251" s="1">
        <f t="shared" si="119"/>
        <v>0</v>
      </c>
      <c r="AI251" s="1">
        <f t="shared" si="12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86</v>
      </c>
      <c r="E252" s="32" t="s">
        <v>29</v>
      </c>
      <c r="F252" s="32" t="s">
        <v>659</v>
      </c>
      <c r="G252" s="32" t="s">
        <v>660</v>
      </c>
      <c r="H252" s="32" t="s">
        <v>352</v>
      </c>
      <c r="I252" s="31" t="s">
        <v>627</v>
      </c>
      <c r="J252" s="31">
        <v>99</v>
      </c>
      <c r="K252" s="33" t="s">
        <v>941</v>
      </c>
      <c r="L252" s="33" t="s">
        <v>689</v>
      </c>
      <c r="M252" s="34" t="s">
        <v>1382</v>
      </c>
      <c r="N252" s="34" t="s">
        <v>1700</v>
      </c>
      <c r="O252" s="35">
        <v>1</v>
      </c>
      <c r="P252" s="35">
        <v>1</v>
      </c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1</v>
      </c>
      <c r="AE252" s="1">
        <f t="shared" si="132"/>
        <v>0</v>
      </c>
      <c r="AF252" s="1">
        <f t="shared" si="117"/>
        <v>1</v>
      </c>
      <c r="AG252" s="1">
        <f t="shared" si="118"/>
        <v>0</v>
      </c>
      <c r="AH252" s="1">
        <f t="shared" si="119"/>
        <v>1</v>
      </c>
      <c r="AI252" s="1">
        <f t="shared" si="120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646</v>
      </c>
      <c r="E253" s="32" t="s">
        <v>29</v>
      </c>
      <c r="F253" s="32" t="s">
        <v>622</v>
      </c>
      <c r="G253" s="32" t="s">
        <v>231</v>
      </c>
      <c r="H253" s="32" t="s">
        <v>352</v>
      </c>
      <c r="I253" s="31" t="s">
        <v>623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1820</v>
      </c>
      <c r="O253" s="35">
        <v>1</v>
      </c>
      <c r="P253" s="35"/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0</v>
      </c>
      <c r="AE253" s="1">
        <f t="shared" si="132"/>
        <v>1</v>
      </c>
      <c r="AF253" s="1">
        <f t="shared" si="117"/>
        <v>0</v>
      </c>
      <c r="AG253" s="1">
        <f t="shared" si="118"/>
        <v>1</v>
      </c>
      <c r="AH253" s="1">
        <f t="shared" si="119"/>
        <v>0</v>
      </c>
      <c r="AI253" s="1">
        <f t="shared" si="120"/>
        <v>1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970</v>
      </c>
      <c r="E254" s="16" t="s">
        <v>29</v>
      </c>
      <c r="F254" s="16" t="s">
        <v>971</v>
      </c>
      <c r="G254" s="16" t="s">
        <v>972</v>
      </c>
      <c r="H254" s="16" t="s">
        <v>352</v>
      </c>
      <c r="I254" s="15" t="s">
        <v>969</v>
      </c>
      <c r="J254" s="15">
        <v>99</v>
      </c>
      <c r="K254" s="10" t="s">
        <v>699</v>
      </c>
      <c r="L254" s="10">
        <v>20</v>
      </c>
      <c r="M254" s="19" t="s">
        <v>960</v>
      </c>
      <c r="N254" s="19"/>
      <c r="Q254" s="16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0</v>
      </c>
      <c r="AF254" s="1">
        <f t="shared" si="117"/>
        <v>0</v>
      </c>
      <c r="AG254" s="1">
        <f t="shared" si="118"/>
        <v>0</v>
      </c>
      <c r="AH254" s="1">
        <f t="shared" si="119"/>
        <v>0</v>
      </c>
      <c r="AI254" s="1">
        <f t="shared" si="120"/>
        <v>1</v>
      </c>
    </row>
    <row r="255" spans="1:35" ht="14.25" customHeight="1" x14ac:dyDescent="0.25">
      <c r="A255" s="38">
        <v>0</v>
      </c>
      <c r="B255" s="38">
        <v>1</v>
      </c>
      <c r="C255" s="38">
        <v>7</v>
      </c>
      <c r="D255" s="39" t="s">
        <v>587</v>
      </c>
      <c r="E255" s="39" t="s">
        <v>29</v>
      </c>
      <c r="F255" s="39" t="s">
        <v>588</v>
      </c>
      <c r="G255" s="39" t="s">
        <v>1060</v>
      </c>
      <c r="H255" s="39" t="s">
        <v>352</v>
      </c>
      <c r="I255" s="38" t="s">
        <v>589</v>
      </c>
      <c r="J255" s="38">
        <v>99</v>
      </c>
      <c r="K255" s="40" t="s">
        <v>699</v>
      </c>
      <c r="L255" s="40">
        <v>35</v>
      </c>
      <c r="M255" s="41" t="s">
        <v>1382</v>
      </c>
      <c r="N255" s="41"/>
      <c r="O255" s="43"/>
      <c r="P255" s="43">
        <v>1</v>
      </c>
      <c r="Q255" s="39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1</v>
      </c>
      <c r="AI255" s="1">
        <f t="shared" si="120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1601</v>
      </c>
      <c r="E256" s="32" t="s">
        <v>29</v>
      </c>
      <c r="F256" s="32" t="s">
        <v>1655</v>
      </c>
      <c r="G256" s="32" t="s">
        <v>310</v>
      </c>
      <c r="H256" s="32" t="s">
        <v>352</v>
      </c>
      <c r="I256" s="31" t="s">
        <v>1602</v>
      </c>
      <c r="J256" s="31"/>
      <c r="K256" s="33" t="s">
        <v>709</v>
      </c>
      <c r="L256" s="33">
        <v>45</v>
      </c>
      <c r="M256" s="34" t="s">
        <v>1771</v>
      </c>
      <c r="N256" s="34" t="s">
        <v>1706</v>
      </c>
      <c r="O256" s="35">
        <v>1</v>
      </c>
      <c r="P256" s="35">
        <v>1</v>
      </c>
      <c r="Q256" s="32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1</v>
      </c>
      <c r="AE256" s="1">
        <f t="shared" si="132"/>
        <v>0</v>
      </c>
      <c r="AF256" s="1">
        <f t="shared" si="117"/>
        <v>1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850</v>
      </c>
      <c r="E257" s="32" t="s">
        <v>29</v>
      </c>
      <c r="F257" s="32" t="s">
        <v>851</v>
      </c>
      <c r="G257" s="32" t="s">
        <v>201</v>
      </c>
      <c r="H257" s="32" t="s">
        <v>352</v>
      </c>
      <c r="I257" s="31" t="s">
        <v>852</v>
      </c>
      <c r="J257" s="31">
        <v>10</v>
      </c>
      <c r="K257" s="33" t="s">
        <v>709</v>
      </c>
      <c r="L257" s="33" t="s">
        <v>689</v>
      </c>
      <c r="M257" s="34" t="s">
        <v>1382</v>
      </c>
      <c r="N257" s="34" t="s">
        <v>1726</v>
      </c>
      <c r="O257" s="35">
        <v>1</v>
      </c>
      <c r="P257" s="35"/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1</v>
      </c>
      <c r="AD257" s="1">
        <f t="shared" si="131"/>
        <v>0</v>
      </c>
      <c r="AE257" s="1">
        <f t="shared" si="132"/>
        <v>1</v>
      </c>
      <c r="AF257" s="1">
        <f t="shared" si="117"/>
        <v>0</v>
      </c>
      <c r="AG257" s="1">
        <f t="shared" si="118"/>
        <v>1</v>
      </c>
      <c r="AH257" s="1">
        <f t="shared" si="119"/>
        <v>0</v>
      </c>
      <c r="AI257" s="1">
        <f t="shared" si="12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279</v>
      </c>
      <c r="G258" s="32" t="s">
        <v>229</v>
      </c>
      <c r="H258" s="32" t="s">
        <v>352</v>
      </c>
      <c r="I258" s="31" t="s">
        <v>433</v>
      </c>
      <c r="J258" s="31">
        <v>7</v>
      </c>
      <c r="K258" s="33" t="s">
        <v>709</v>
      </c>
      <c r="L258" s="33" t="s">
        <v>692</v>
      </c>
      <c r="M258" s="34" t="s">
        <v>960</v>
      </c>
      <c r="N258" s="34" t="s">
        <v>1700</v>
      </c>
      <c r="O258" s="35">
        <v>1</v>
      </c>
      <c r="P258" s="35">
        <v>1</v>
      </c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1</v>
      </c>
      <c r="Z258" s="1">
        <f t="shared" si="128"/>
        <v>0</v>
      </c>
      <c r="AA258" s="1">
        <f t="shared" si="129"/>
        <v>0</v>
      </c>
      <c r="AB258" s="1">
        <f t="shared" si="130"/>
        <v>0</v>
      </c>
      <c r="AD258" s="1">
        <f t="shared" si="131"/>
        <v>1</v>
      </c>
      <c r="AE258" s="1">
        <f t="shared" si="132"/>
        <v>0</v>
      </c>
      <c r="AF258" s="1">
        <f t="shared" si="117"/>
        <v>1</v>
      </c>
      <c r="AG258" s="1">
        <f t="shared" si="118"/>
        <v>0</v>
      </c>
      <c r="AH258" s="1">
        <f t="shared" si="119"/>
        <v>1</v>
      </c>
      <c r="AI258" s="1">
        <f t="shared" si="120"/>
        <v>0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1575</v>
      </c>
      <c r="G259" s="32" t="s">
        <v>39</v>
      </c>
      <c r="H259" s="32" t="s">
        <v>352</v>
      </c>
      <c r="I259" s="31" t="s">
        <v>1576</v>
      </c>
      <c r="J259" s="31">
        <v>99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0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0</v>
      </c>
      <c r="AG259" s="1">
        <f t="shared" si="118"/>
        <v>0</v>
      </c>
      <c r="AH259" s="1">
        <f t="shared" si="119"/>
        <v>0</v>
      </c>
      <c r="AI259" s="1">
        <f t="shared" si="12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1459</v>
      </c>
      <c r="E260" s="32" t="s">
        <v>29</v>
      </c>
      <c r="F260" s="32" t="s">
        <v>991</v>
      </c>
      <c r="G260" s="32" t="s">
        <v>1089</v>
      </c>
      <c r="H260" s="32" t="s">
        <v>352</v>
      </c>
      <c r="I260" s="31" t="s">
        <v>1097</v>
      </c>
      <c r="J260" s="31">
        <v>10</v>
      </c>
      <c r="K260" s="33" t="s">
        <v>709</v>
      </c>
      <c r="L260" s="33" t="s">
        <v>690</v>
      </c>
      <c r="M260" s="34" t="s">
        <v>960</v>
      </c>
      <c r="N260" s="34" t="s">
        <v>1714</v>
      </c>
      <c r="O260" s="35">
        <v>1</v>
      </c>
      <c r="P260" s="35"/>
      <c r="Q260" s="32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1</v>
      </c>
      <c r="AD260" s="1">
        <f t="shared" si="131"/>
        <v>0</v>
      </c>
      <c r="AE260" s="1">
        <f t="shared" si="132"/>
        <v>1</v>
      </c>
      <c r="AF260" s="1">
        <f t="shared" si="117"/>
        <v>0</v>
      </c>
      <c r="AG260" s="1">
        <f t="shared" si="118"/>
        <v>1</v>
      </c>
      <c r="AH260" s="1">
        <f t="shared" si="119"/>
        <v>0</v>
      </c>
      <c r="AI260" s="1">
        <f t="shared" si="12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1460</v>
      </c>
      <c r="E261" s="32" t="s">
        <v>29</v>
      </c>
      <c r="F261" s="36" t="s">
        <v>989</v>
      </c>
      <c r="G261" s="36" t="s">
        <v>239</v>
      </c>
      <c r="H261" s="36" t="s">
        <v>352</v>
      </c>
      <c r="I261" s="37" t="s">
        <v>990</v>
      </c>
      <c r="J261" s="31">
        <v>1</v>
      </c>
      <c r="K261" s="33" t="s">
        <v>948</v>
      </c>
      <c r="L261" s="33" t="s">
        <v>690</v>
      </c>
      <c r="M261" s="34" t="s">
        <v>960</v>
      </c>
      <c r="N261" s="34" t="s">
        <v>1772</v>
      </c>
      <c r="O261" s="35">
        <v>1</v>
      </c>
      <c r="P261" s="35"/>
      <c r="Q261" s="36"/>
      <c r="S261" s="1">
        <f t="shared" si="121"/>
        <v>1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0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887</v>
      </c>
      <c r="E262" s="32" t="s">
        <v>29</v>
      </c>
      <c r="F262" s="36" t="s">
        <v>888</v>
      </c>
      <c r="G262" s="36" t="s">
        <v>39</v>
      </c>
      <c r="H262" s="36" t="s">
        <v>353</v>
      </c>
      <c r="I262" s="37" t="s">
        <v>889</v>
      </c>
      <c r="J262" s="31">
        <v>11</v>
      </c>
      <c r="K262" s="33" t="s">
        <v>699</v>
      </c>
      <c r="L262" s="33">
        <v>35</v>
      </c>
      <c r="M262" s="34" t="s">
        <v>1382</v>
      </c>
      <c r="N262" s="34" t="s">
        <v>1917</v>
      </c>
      <c r="O262" s="35">
        <v>1</v>
      </c>
      <c r="P262" s="35"/>
      <c r="Q262" s="36" t="s">
        <v>1874</v>
      </c>
      <c r="S262" s="1">
        <f t="shared" si="121"/>
        <v>0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1071</v>
      </c>
      <c r="E263" s="32" t="s">
        <v>29</v>
      </c>
      <c r="F263" s="36" t="s">
        <v>973</v>
      </c>
      <c r="G263" s="36" t="s">
        <v>202</v>
      </c>
      <c r="H263" s="36" t="s">
        <v>352</v>
      </c>
      <c r="I263" s="37" t="s">
        <v>974</v>
      </c>
      <c r="J263" s="31">
        <v>99</v>
      </c>
      <c r="K263" s="33" t="s">
        <v>709</v>
      </c>
      <c r="L263" s="33" t="s">
        <v>690</v>
      </c>
      <c r="M263" s="34" t="s">
        <v>1417</v>
      </c>
      <c r="N263" s="34" t="s">
        <v>1700</v>
      </c>
      <c r="O263" s="35">
        <v>1</v>
      </c>
      <c r="P263" s="35">
        <v>1</v>
      </c>
      <c r="Q263" s="36"/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1</v>
      </c>
      <c r="AE263" s="1">
        <f t="shared" si="132"/>
        <v>0</v>
      </c>
      <c r="AF263" s="1">
        <f t="shared" si="117"/>
        <v>1</v>
      </c>
      <c r="AG263" s="1">
        <f t="shared" si="118"/>
        <v>0</v>
      </c>
      <c r="AH263" s="1">
        <f t="shared" si="119"/>
        <v>1</v>
      </c>
      <c r="AI263" s="1">
        <f t="shared" si="120"/>
        <v>0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747</v>
      </c>
      <c r="E264" s="16" t="s">
        <v>29</v>
      </c>
      <c r="F264" s="16" t="s">
        <v>748</v>
      </c>
      <c r="G264" s="16" t="s">
        <v>749</v>
      </c>
      <c r="H264" s="16" t="s">
        <v>352</v>
      </c>
      <c r="I264" s="15" t="s">
        <v>750</v>
      </c>
      <c r="J264" s="15">
        <v>99</v>
      </c>
      <c r="K264" s="10" t="s">
        <v>699</v>
      </c>
      <c r="L264" s="10">
        <v>20</v>
      </c>
      <c r="M264" s="19" t="s">
        <v>1107</v>
      </c>
      <c r="N264" s="17"/>
      <c r="Q264" s="1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0</v>
      </c>
      <c r="AE264" s="1">
        <f t="shared" si="132"/>
        <v>0</v>
      </c>
      <c r="AF264" s="1">
        <f t="shared" si="117"/>
        <v>0</v>
      </c>
      <c r="AG264" s="1">
        <f t="shared" si="118"/>
        <v>0</v>
      </c>
      <c r="AH264" s="1">
        <f t="shared" si="119"/>
        <v>0</v>
      </c>
      <c r="AI264" s="1">
        <f t="shared" si="12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819</v>
      </c>
      <c r="E265" s="32" t="s">
        <v>29</v>
      </c>
      <c r="F265" s="36" t="s">
        <v>820</v>
      </c>
      <c r="G265" s="36" t="s">
        <v>917</v>
      </c>
      <c r="H265" s="36" t="s">
        <v>352</v>
      </c>
      <c r="I265" s="37" t="s">
        <v>821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1796</v>
      </c>
      <c r="O265" s="35">
        <v>1</v>
      </c>
      <c r="P265" s="35"/>
      <c r="Q265" s="3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1</v>
      </c>
      <c r="AF265" s="1">
        <f t="shared" si="117"/>
        <v>0</v>
      </c>
      <c r="AG265" s="1">
        <f t="shared" si="118"/>
        <v>1</v>
      </c>
      <c r="AH265" s="1">
        <f t="shared" si="119"/>
        <v>0</v>
      </c>
      <c r="AI265" s="1">
        <f t="shared" si="120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1693</v>
      </c>
      <c r="E266" s="32" t="s">
        <v>29</v>
      </c>
      <c r="F266" s="36" t="s">
        <v>1694</v>
      </c>
      <c r="G266" s="36" t="s">
        <v>248</v>
      </c>
      <c r="H266" s="36" t="s">
        <v>352</v>
      </c>
      <c r="I266" s="37" t="s">
        <v>1695</v>
      </c>
      <c r="J266" s="31"/>
      <c r="K266" s="33" t="s">
        <v>699</v>
      </c>
      <c r="L266" s="33"/>
      <c r="M266" s="34"/>
      <c r="N266" s="34" t="s">
        <v>1700</v>
      </c>
      <c r="O266" s="35">
        <v>1</v>
      </c>
      <c r="P266" s="35">
        <v>1</v>
      </c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1</v>
      </c>
      <c r="AE266" s="1">
        <f t="shared" si="132"/>
        <v>0</v>
      </c>
      <c r="AF266" s="1">
        <f t="shared" si="117"/>
        <v>1</v>
      </c>
      <c r="AG266" s="1">
        <f t="shared" si="118"/>
        <v>0</v>
      </c>
      <c r="AH266" s="1">
        <f t="shared" si="119"/>
        <v>1</v>
      </c>
      <c r="AI266" s="1">
        <f t="shared" si="12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890</v>
      </c>
      <c r="E267" s="32" t="s">
        <v>29</v>
      </c>
      <c r="F267" s="32" t="s">
        <v>891</v>
      </c>
      <c r="G267" s="32" t="s">
        <v>227</v>
      </c>
      <c r="H267" s="32" t="s">
        <v>352</v>
      </c>
      <c r="I267" s="31" t="s">
        <v>892</v>
      </c>
      <c r="J267" s="31">
        <v>99</v>
      </c>
      <c r="K267" s="33" t="s">
        <v>709</v>
      </c>
      <c r="L267" s="33" t="s">
        <v>690</v>
      </c>
      <c r="M267" s="34" t="s">
        <v>1383</v>
      </c>
      <c r="N267" s="34" t="s">
        <v>1719</v>
      </c>
      <c r="O267" s="35">
        <v>1</v>
      </c>
      <c r="P267" s="35"/>
      <c r="Q267" s="32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0</v>
      </c>
      <c r="AE267" s="1">
        <f t="shared" si="132"/>
        <v>1</v>
      </c>
      <c r="AF267" s="1">
        <f t="shared" si="117"/>
        <v>0</v>
      </c>
      <c r="AG267" s="1">
        <f t="shared" si="118"/>
        <v>1</v>
      </c>
      <c r="AH267" s="1">
        <f t="shared" si="119"/>
        <v>0</v>
      </c>
      <c r="AI267" s="1">
        <f t="shared" si="12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2" t="s">
        <v>88</v>
      </c>
      <c r="E268" s="32" t="s">
        <v>29</v>
      </c>
      <c r="F268" s="32" t="s">
        <v>280</v>
      </c>
      <c r="G268" s="32" t="s">
        <v>281</v>
      </c>
      <c r="H268" s="32" t="s">
        <v>352</v>
      </c>
      <c r="I268" s="31" t="s">
        <v>931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1820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1610</v>
      </c>
      <c r="E269" s="32" t="s">
        <v>29</v>
      </c>
      <c r="F269" s="36" t="s">
        <v>1509</v>
      </c>
      <c r="G269" s="36" t="s">
        <v>39</v>
      </c>
      <c r="H269" s="36" t="s">
        <v>875</v>
      </c>
      <c r="I269" s="37" t="s">
        <v>1510</v>
      </c>
      <c r="J269" s="31">
        <v>17</v>
      </c>
      <c r="K269" s="33" t="s">
        <v>709</v>
      </c>
      <c r="L269" s="33" t="s">
        <v>693</v>
      </c>
      <c r="M269" s="34" t="s">
        <v>1432</v>
      </c>
      <c r="N269" s="34" t="s">
        <v>1700</v>
      </c>
      <c r="O269" s="35">
        <v>1</v>
      </c>
      <c r="P269" s="35">
        <v>1</v>
      </c>
      <c r="Q269" s="36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1</v>
      </c>
      <c r="AE269" s="1">
        <f t="shared" si="132"/>
        <v>0</v>
      </c>
      <c r="AF269" s="1">
        <f t="shared" si="117"/>
        <v>1</v>
      </c>
      <c r="AG269" s="1">
        <f t="shared" si="118"/>
        <v>0</v>
      </c>
      <c r="AH269" s="1">
        <f t="shared" si="119"/>
        <v>1</v>
      </c>
      <c r="AI269" s="1">
        <f t="shared" si="120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1429</v>
      </c>
      <c r="E270" s="32" t="s">
        <v>29</v>
      </c>
      <c r="F270" s="32" t="s">
        <v>1430</v>
      </c>
      <c r="G270" s="32" t="s">
        <v>319</v>
      </c>
      <c r="H270" s="32" t="s">
        <v>352</v>
      </c>
      <c r="I270" s="31" t="s">
        <v>1431</v>
      </c>
      <c r="J270" s="31">
        <v>99</v>
      </c>
      <c r="K270" s="33" t="s">
        <v>699</v>
      </c>
      <c r="L270" s="33">
        <v>30</v>
      </c>
      <c r="M270" s="34" t="s">
        <v>1432</v>
      </c>
      <c r="N270" s="34" t="s">
        <v>1796</v>
      </c>
      <c r="O270" s="35">
        <v>1</v>
      </c>
      <c r="P270" s="35"/>
      <c r="Q270" s="32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0</v>
      </c>
      <c r="AE270" s="1">
        <f t="shared" si="132"/>
        <v>1</v>
      </c>
      <c r="AF270" s="1">
        <f t="shared" si="117"/>
        <v>0</v>
      </c>
      <c r="AG270" s="1">
        <f t="shared" si="118"/>
        <v>1</v>
      </c>
      <c r="AH270" s="1">
        <f t="shared" si="119"/>
        <v>0</v>
      </c>
      <c r="AI270" s="1">
        <f t="shared" si="120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838</v>
      </c>
      <c r="G271" s="36" t="s">
        <v>221</v>
      </c>
      <c r="H271" s="36" t="s">
        <v>352</v>
      </c>
      <c r="I271" s="37" t="s">
        <v>839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1820</v>
      </c>
      <c r="O271" s="35">
        <v>1</v>
      </c>
      <c r="P271" s="35"/>
      <c r="Q271" s="36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31">
        <v>1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919</v>
      </c>
      <c r="G272" s="36" t="s">
        <v>278</v>
      </c>
      <c r="H272" s="36" t="s">
        <v>352</v>
      </c>
      <c r="I272" s="37" t="s">
        <v>840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1820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1197</v>
      </c>
      <c r="E273" s="32" t="s">
        <v>29</v>
      </c>
      <c r="F273" s="32" t="s">
        <v>1198</v>
      </c>
      <c r="G273" s="32" t="s">
        <v>237</v>
      </c>
      <c r="H273" s="32" t="s">
        <v>352</v>
      </c>
      <c r="I273" s="31" t="s">
        <v>1339</v>
      </c>
      <c r="J273" s="31">
        <v>99</v>
      </c>
      <c r="K273" s="33" t="s">
        <v>709</v>
      </c>
      <c r="L273" s="33" t="s">
        <v>690</v>
      </c>
      <c r="M273" s="34" t="s">
        <v>1384</v>
      </c>
      <c r="N273" s="34" t="s">
        <v>1726</v>
      </c>
      <c r="O273" s="35">
        <v>1</v>
      </c>
      <c r="P273" s="35"/>
      <c r="Q273" s="32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1</v>
      </c>
      <c r="AH273" s="1">
        <f t="shared" si="119"/>
        <v>0</v>
      </c>
      <c r="AI273" s="1">
        <f t="shared" si="12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1214</v>
      </c>
      <c r="E274" s="32" t="s">
        <v>29</v>
      </c>
      <c r="F274" s="36" t="s">
        <v>1215</v>
      </c>
      <c r="G274" s="36" t="s">
        <v>237</v>
      </c>
      <c r="H274" s="36" t="s">
        <v>352</v>
      </c>
      <c r="I274" s="37" t="s">
        <v>1216</v>
      </c>
      <c r="J274" s="31">
        <v>99</v>
      </c>
      <c r="K274" s="33" t="s">
        <v>709</v>
      </c>
      <c r="L274" s="33" t="s">
        <v>689</v>
      </c>
      <c r="M274" s="34" t="s">
        <v>1384</v>
      </c>
      <c r="N274" s="34" t="s">
        <v>1796</v>
      </c>
      <c r="O274" s="35">
        <v>1</v>
      </c>
      <c r="P274" s="35"/>
      <c r="Q274" s="36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ref="AF274:AF338" si="133">+O274*P274*(1-A274)</f>
        <v>0</v>
      </c>
      <c r="AG274" s="1">
        <f t="shared" ref="AG274:AG338" si="134">O274*(1-P274)*(1-A274)</f>
        <v>1</v>
      </c>
      <c r="AH274" s="1">
        <f t="shared" ref="AH274:AH338" si="135">+P274*(1-A274)</f>
        <v>0</v>
      </c>
      <c r="AI274" s="1">
        <f t="shared" ref="AI274:AI338" si="136">+(1-A274)*(1-P274)</f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92</v>
      </c>
      <c r="E275" s="32" t="s">
        <v>29</v>
      </c>
      <c r="F275" s="36" t="s">
        <v>286</v>
      </c>
      <c r="G275" s="36" t="s">
        <v>189</v>
      </c>
      <c r="H275" s="36" t="s">
        <v>352</v>
      </c>
      <c r="I275" s="37" t="s">
        <v>438</v>
      </c>
      <c r="J275" s="31">
        <v>99</v>
      </c>
      <c r="K275" s="33" t="s">
        <v>709</v>
      </c>
      <c r="L275" s="33" t="s">
        <v>690</v>
      </c>
      <c r="M275" s="34" t="s">
        <v>1385</v>
      </c>
      <c r="N275" s="34" t="s">
        <v>1721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si="133"/>
        <v>0</v>
      </c>
      <c r="AG275" s="1">
        <f t="shared" si="134"/>
        <v>1</v>
      </c>
      <c r="AH275" s="1">
        <f t="shared" si="135"/>
        <v>0</v>
      </c>
      <c r="AI275" s="1">
        <f t="shared" si="13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862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1714</v>
      </c>
      <c r="O276" s="35">
        <v>1</v>
      </c>
      <c r="P276" s="35"/>
      <c r="Q276" s="32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1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1055</v>
      </c>
      <c r="G277" s="32" t="s">
        <v>319</v>
      </c>
      <c r="H277" s="32" t="s">
        <v>352</v>
      </c>
      <c r="I277" s="31" t="s">
        <v>1056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1714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0</v>
      </c>
      <c r="AH277" s="1">
        <f t="shared" si="135"/>
        <v>0</v>
      </c>
      <c r="AI277" s="1">
        <f t="shared" si="136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1992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ref="S278:S342" si="137">IF(J278=$S$7,1,0)</f>
        <v>0</v>
      </c>
      <c r="T278" s="1">
        <f t="shared" ref="T278:T342" si="138">IF(J278=$T$7,1,0)</f>
        <v>0</v>
      </c>
      <c r="U278" s="1">
        <f t="shared" ref="U278:U342" si="139">IF(J278=$U$7,1,0)</f>
        <v>0</v>
      </c>
      <c r="V278" s="1">
        <f t="shared" ref="V278:V342" si="140">IF(J278=$V$7,1,0)</f>
        <v>0</v>
      </c>
      <c r="W278" s="1">
        <f t="shared" ref="W278:W342" si="141">IF(J278=$W$7,1,0)</f>
        <v>0</v>
      </c>
      <c r="X278" s="1">
        <f t="shared" ref="X278:X342" si="142">IF(J278=$X$7,1,0)</f>
        <v>0</v>
      </c>
      <c r="Y278" s="1">
        <f t="shared" ref="Y278:Y342" si="143">IF(J278=$Y$7,1,0)</f>
        <v>0</v>
      </c>
      <c r="Z278" s="1">
        <f t="shared" ref="Z278:Z342" si="144">IF(J278=$Z$7,1,0)</f>
        <v>0</v>
      </c>
      <c r="AA278" s="1">
        <f t="shared" ref="AA278:AA342" si="145">IF(J278=$AA$7,1,0)</f>
        <v>1</v>
      </c>
      <c r="AB278" s="1">
        <f t="shared" ref="AB278:AB342" si="146">IF(J278=$AB$7,1,0)</f>
        <v>0</v>
      </c>
      <c r="AD278" s="1">
        <f t="shared" ref="AD278:AD342" si="147">+O278*P278</f>
        <v>0</v>
      </c>
      <c r="AE278" s="1">
        <f t="shared" ref="AE278:AE342" si="148">O278*(1-P278)</f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1994</v>
      </c>
      <c r="G279" s="32" t="s">
        <v>208</v>
      </c>
      <c r="H279" s="32" t="s">
        <v>352</v>
      </c>
      <c r="I279" s="31" t="s">
        <v>1993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si="137"/>
        <v>0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95</v>
      </c>
      <c r="E280" s="32" t="s">
        <v>29</v>
      </c>
      <c r="F280" s="36" t="s">
        <v>290</v>
      </c>
      <c r="G280" s="36" t="s">
        <v>291</v>
      </c>
      <c r="H280" s="36" t="s">
        <v>352</v>
      </c>
      <c r="I280" s="37" t="s">
        <v>1104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1719</v>
      </c>
      <c r="O280" s="35">
        <v>1</v>
      </c>
      <c r="P280" s="35"/>
      <c r="Q280" s="36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528</v>
      </c>
      <c r="E281" s="32" t="s">
        <v>29</v>
      </c>
      <c r="F281" s="36" t="s">
        <v>661</v>
      </c>
      <c r="G281" s="36" t="s">
        <v>39</v>
      </c>
      <c r="H281" s="36" t="s">
        <v>529</v>
      </c>
      <c r="I281" s="37" t="s">
        <v>1663</v>
      </c>
      <c r="J281" s="31">
        <v>14</v>
      </c>
      <c r="K281" s="33" t="s">
        <v>941</v>
      </c>
      <c r="L281" s="33">
        <v>40</v>
      </c>
      <c r="M281" s="34" t="s">
        <v>704</v>
      </c>
      <c r="N281" s="34" t="s">
        <v>1708</v>
      </c>
      <c r="O281" s="35"/>
      <c r="P281" s="35"/>
      <c r="Q281" s="36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1301</v>
      </c>
      <c r="E282" s="32" t="s">
        <v>29</v>
      </c>
      <c r="F282" s="36" t="s">
        <v>1325</v>
      </c>
      <c r="G282" s="36" t="s">
        <v>39</v>
      </c>
      <c r="H282" s="36" t="s">
        <v>352</v>
      </c>
      <c r="I282" s="37" t="s">
        <v>1134</v>
      </c>
      <c r="J282" s="31">
        <v>99</v>
      </c>
      <c r="K282" s="33" t="s">
        <v>709</v>
      </c>
      <c r="L282" s="33" t="s">
        <v>689</v>
      </c>
      <c r="M282" s="34" t="s">
        <v>1386</v>
      </c>
      <c r="N282" s="34" t="s">
        <v>1706</v>
      </c>
      <c r="O282" s="35">
        <v>1</v>
      </c>
      <c r="P282" s="35">
        <v>1</v>
      </c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1</v>
      </c>
      <c r="AE282" s="1">
        <f t="shared" si="148"/>
        <v>0</v>
      </c>
      <c r="AF282" s="1">
        <f t="shared" si="133"/>
        <v>1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96</v>
      </c>
      <c r="E283" s="32" t="s">
        <v>29</v>
      </c>
      <c r="F283" s="32" t="s">
        <v>293</v>
      </c>
      <c r="G283" s="32" t="s">
        <v>262</v>
      </c>
      <c r="H283" s="32" t="s">
        <v>352</v>
      </c>
      <c r="I283" s="31" t="s">
        <v>442</v>
      </c>
      <c r="J283" s="31">
        <v>1</v>
      </c>
      <c r="K283" s="33" t="s">
        <v>709</v>
      </c>
      <c r="L283" s="33" t="s">
        <v>690</v>
      </c>
      <c r="M283" s="34" t="s">
        <v>704</v>
      </c>
      <c r="N283" s="34" t="s">
        <v>1714</v>
      </c>
      <c r="O283" s="35">
        <v>1</v>
      </c>
      <c r="P283" s="35"/>
      <c r="Q283" s="32"/>
      <c r="S283" s="1">
        <f t="shared" si="137"/>
        <v>1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1</v>
      </c>
      <c r="AH283" s="1">
        <f t="shared" si="135"/>
        <v>0</v>
      </c>
      <c r="AI283" s="1">
        <f t="shared" si="13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751</v>
      </c>
      <c r="E284" s="16" t="s">
        <v>29</v>
      </c>
      <c r="F284" s="20" t="s">
        <v>2070</v>
      </c>
      <c r="G284" s="16" t="s">
        <v>39</v>
      </c>
      <c r="H284" s="20" t="s">
        <v>365</v>
      </c>
      <c r="I284" s="21" t="s">
        <v>2071</v>
      </c>
      <c r="J284" s="15">
        <v>18</v>
      </c>
      <c r="K284" s="10" t="s">
        <v>699</v>
      </c>
      <c r="L284" s="10" t="s">
        <v>693</v>
      </c>
      <c r="M284" s="19" t="s">
        <v>704</v>
      </c>
      <c r="N284" s="17"/>
      <c r="Q284" s="16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0</v>
      </c>
      <c r="AF284" s="1">
        <f t="shared" si="133"/>
        <v>0</v>
      </c>
      <c r="AG284" s="1">
        <f t="shared" si="134"/>
        <v>0</v>
      </c>
      <c r="AH284" s="1">
        <f t="shared" si="135"/>
        <v>0</v>
      </c>
      <c r="AI284" s="1">
        <f t="shared" si="13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6" t="s">
        <v>1493</v>
      </c>
      <c r="E285" s="32" t="s">
        <v>29</v>
      </c>
      <c r="F285" s="36" t="s">
        <v>1645</v>
      </c>
      <c r="G285" s="36" t="s">
        <v>1646</v>
      </c>
      <c r="H285" s="36" t="s">
        <v>352</v>
      </c>
      <c r="I285" s="37" t="s">
        <v>1494</v>
      </c>
      <c r="J285" s="31">
        <v>99</v>
      </c>
      <c r="K285" s="33" t="s">
        <v>709</v>
      </c>
      <c r="L285" s="33" t="s">
        <v>39</v>
      </c>
      <c r="M285" s="34" t="s">
        <v>39</v>
      </c>
      <c r="N285" s="34" t="s">
        <v>1700</v>
      </c>
      <c r="O285" s="35">
        <v>1</v>
      </c>
      <c r="P285" s="35">
        <v>1</v>
      </c>
      <c r="Q285" s="3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1</v>
      </c>
      <c r="AE285" s="1">
        <f t="shared" si="148"/>
        <v>0</v>
      </c>
      <c r="AF285" s="1">
        <f t="shared" si="133"/>
        <v>1</v>
      </c>
      <c r="AG285" s="1">
        <f t="shared" si="134"/>
        <v>0</v>
      </c>
      <c r="AH285" s="1">
        <f t="shared" si="135"/>
        <v>1</v>
      </c>
      <c r="AI285" s="1">
        <f t="shared" si="136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1128</v>
      </c>
      <c r="E286" s="32" t="s">
        <v>29</v>
      </c>
      <c r="F286" s="32" t="s">
        <v>1129</v>
      </c>
      <c r="G286" s="32" t="s">
        <v>1131</v>
      </c>
      <c r="H286" s="32" t="s">
        <v>352</v>
      </c>
      <c r="I286" s="31" t="s">
        <v>1130</v>
      </c>
      <c r="J286" s="31">
        <v>99</v>
      </c>
      <c r="K286" s="33" t="s">
        <v>699</v>
      </c>
      <c r="L286" s="33">
        <v>30</v>
      </c>
      <c r="M286" s="34" t="s">
        <v>1387</v>
      </c>
      <c r="N286" s="34" t="s">
        <v>1820</v>
      </c>
      <c r="O286" s="35">
        <v>1</v>
      </c>
      <c r="P286" s="35"/>
      <c r="Q286" s="32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0</v>
      </c>
      <c r="AE286" s="1">
        <f t="shared" si="148"/>
        <v>1</v>
      </c>
      <c r="AF286" s="1">
        <f t="shared" si="133"/>
        <v>0</v>
      </c>
      <c r="AG286" s="1">
        <f t="shared" si="134"/>
        <v>1</v>
      </c>
      <c r="AH286" s="1">
        <f t="shared" si="135"/>
        <v>0</v>
      </c>
      <c r="AI286" s="1">
        <f t="shared" si="136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98</v>
      </c>
      <c r="E287" s="32" t="s">
        <v>29</v>
      </c>
      <c r="F287" s="32" t="s">
        <v>295</v>
      </c>
      <c r="G287" s="32" t="s">
        <v>196</v>
      </c>
      <c r="H287" s="32" t="s">
        <v>352</v>
      </c>
      <c r="I287" s="31" t="s">
        <v>443</v>
      </c>
      <c r="J287" s="31">
        <v>9</v>
      </c>
      <c r="K287" s="33" t="s">
        <v>699</v>
      </c>
      <c r="L287" s="33">
        <v>30</v>
      </c>
      <c r="M287" s="34" t="s">
        <v>704</v>
      </c>
      <c r="N287" s="34" t="s">
        <v>1714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1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794</v>
      </c>
      <c r="E288" s="32" t="s">
        <v>29</v>
      </c>
      <c r="F288" s="32" t="s">
        <v>773</v>
      </c>
      <c r="G288" s="32" t="s">
        <v>795</v>
      </c>
      <c r="H288" s="32" t="s">
        <v>352</v>
      </c>
      <c r="I288" s="31" t="s">
        <v>939</v>
      </c>
      <c r="J288" s="31">
        <v>99</v>
      </c>
      <c r="K288" s="33" t="s">
        <v>709</v>
      </c>
      <c r="L288" s="33" t="s">
        <v>690</v>
      </c>
      <c r="M288" s="34" t="s">
        <v>704</v>
      </c>
      <c r="N288" s="34" t="s">
        <v>1796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1304</v>
      </c>
      <c r="E289" s="32" t="s">
        <v>29</v>
      </c>
      <c r="F289" s="32" t="s">
        <v>1327</v>
      </c>
      <c r="G289" s="32" t="s">
        <v>1165</v>
      </c>
      <c r="H289" s="32" t="s">
        <v>352</v>
      </c>
      <c r="I289" s="31" t="s">
        <v>1665</v>
      </c>
      <c r="J289" s="31">
        <v>99</v>
      </c>
      <c r="K289" s="33" t="s">
        <v>709</v>
      </c>
      <c r="L289" s="33" t="s">
        <v>690</v>
      </c>
      <c r="M289" s="34" t="s">
        <v>1388</v>
      </c>
      <c r="N289" s="34" t="s">
        <v>1732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1259</v>
      </c>
      <c r="E290" s="16" t="s">
        <v>29</v>
      </c>
      <c r="F290" s="16" t="s">
        <v>1260</v>
      </c>
      <c r="G290" s="16" t="s">
        <v>1261</v>
      </c>
      <c r="H290" s="16" t="s">
        <v>352</v>
      </c>
      <c r="I290" s="15" t="s">
        <v>1262</v>
      </c>
      <c r="J290" s="15">
        <v>99</v>
      </c>
      <c r="K290" s="10" t="s">
        <v>709</v>
      </c>
      <c r="L290" s="10" t="s">
        <v>690</v>
      </c>
      <c r="M290" s="19" t="s">
        <v>704</v>
      </c>
      <c r="N290" s="17"/>
      <c r="Q290" s="16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0</v>
      </c>
      <c r="AF290" s="1">
        <f t="shared" si="133"/>
        <v>0</v>
      </c>
      <c r="AG290" s="1">
        <f t="shared" si="134"/>
        <v>0</v>
      </c>
      <c r="AH290" s="1">
        <f t="shared" si="135"/>
        <v>0</v>
      </c>
      <c r="AI290" s="1">
        <f t="shared" si="136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705</v>
      </c>
      <c r="E291" s="32" t="s">
        <v>29</v>
      </c>
      <c r="F291" s="32" t="s">
        <v>706</v>
      </c>
      <c r="G291" s="32" t="s">
        <v>183</v>
      </c>
      <c r="H291" s="32" t="s">
        <v>352</v>
      </c>
      <c r="I291" s="31" t="s">
        <v>707</v>
      </c>
      <c r="J291" s="31">
        <v>99</v>
      </c>
      <c r="K291" s="33" t="s">
        <v>942</v>
      </c>
      <c r="L291" s="33" t="s">
        <v>39</v>
      </c>
      <c r="M291" s="34" t="s">
        <v>39</v>
      </c>
      <c r="N291" s="34" t="s">
        <v>1706</v>
      </c>
      <c r="O291" s="35">
        <v>1</v>
      </c>
      <c r="P291" s="35">
        <v>1</v>
      </c>
      <c r="Q291" s="32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1</v>
      </c>
      <c r="AE291" s="1">
        <f t="shared" si="148"/>
        <v>0</v>
      </c>
      <c r="AF291" s="1">
        <f t="shared" si="133"/>
        <v>1</v>
      </c>
      <c r="AG291" s="1">
        <f t="shared" si="134"/>
        <v>0</v>
      </c>
      <c r="AH291" s="1">
        <f t="shared" si="135"/>
        <v>1</v>
      </c>
      <c r="AI291" s="1">
        <f t="shared" si="136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2101</v>
      </c>
      <c r="E292" s="36" t="s">
        <v>29</v>
      </c>
      <c r="F292" s="36" t="s">
        <v>2102</v>
      </c>
      <c r="G292" s="36" t="s">
        <v>239</v>
      </c>
      <c r="H292" s="36" t="s">
        <v>352</v>
      </c>
      <c r="I292" s="37" t="s">
        <v>2103</v>
      </c>
      <c r="J292" s="31">
        <v>1</v>
      </c>
      <c r="K292" s="33" t="s">
        <v>699</v>
      </c>
      <c r="L292" s="33"/>
      <c r="M292" s="34"/>
      <c r="N292" s="34" t="s">
        <v>1719</v>
      </c>
      <c r="O292" s="35">
        <v>1</v>
      </c>
      <c r="P292" s="35"/>
      <c r="Q292" s="32" t="s">
        <v>2104</v>
      </c>
      <c r="S292" s="1">
        <f t="shared" si="137"/>
        <v>1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ref="AD292" si="149">+O292*P292</f>
        <v>0</v>
      </c>
      <c r="AE292" s="1">
        <f t="shared" ref="AE292" si="150">O292*(1-P292)</f>
        <v>1</v>
      </c>
      <c r="AF292" s="1">
        <f t="shared" ref="AF292" si="151">+O292*P292*(1-A292)</f>
        <v>0</v>
      </c>
      <c r="AG292" s="1">
        <f t="shared" ref="AG292" si="152">O292*(1-P292)*(1-A292)</f>
        <v>1</v>
      </c>
      <c r="AH292" s="1">
        <f t="shared" ref="AH292" si="153">+P292*(1-A292)</f>
        <v>0</v>
      </c>
      <c r="AI292" s="1">
        <f t="shared" ref="AI292" si="154">+(1-A292)*(1-P292)</f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532</v>
      </c>
      <c r="E293" s="32" t="s">
        <v>34</v>
      </c>
      <c r="F293" s="32" t="s">
        <v>533</v>
      </c>
      <c r="G293" s="32" t="s">
        <v>219</v>
      </c>
      <c r="H293" s="32" t="s">
        <v>352</v>
      </c>
      <c r="I293" s="31" t="s">
        <v>534</v>
      </c>
      <c r="J293" s="31">
        <v>8</v>
      </c>
      <c r="K293" s="33" t="s">
        <v>709</v>
      </c>
      <c r="L293" s="33" t="s">
        <v>709</v>
      </c>
      <c r="M293" s="34" t="s">
        <v>710</v>
      </c>
      <c r="N293" s="34" t="s">
        <v>1719</v>
      </c>
      <c r="O293" s="35">
        <v>1</v>
      </c>
      <c r="P293" s="35"/>
      <c r="Q293" s="32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1</v>
      </c>
      <c r="AA293" s="1">
        <f t="shared" si="145"/>
        <v>0</v>
      </c>
      <c r="AB293" s="1">
        <f t="shared" si="146"/>
        <v>0</v>
      </c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1270</v>
      </c>
      <c r="E294" s="32" t="s">
        <v>557</v>
      </c>
      <c r="F294" s="32" t="s">
        <v>1271</v>
      </c>
      <c r="G294" s="32" t="s">
        <v>229</v>
      </c>
      <c r="H294" s="32" t="s">
        <v>352</v>
      </c>
      <c r="I294" s="31" t="s">
        <v>1272</v>
      </c>
      <c r="J294" s="31">
        <v>7</v>
      </c>
      <c r="K294" s="33" t="s">
        <v>709</v>
      </c>
      <c r="L294" s="33" t="s">
        <v>709</v>
      </c>
      <c r="M294" s="34" t="s">
        <v>710</v>
      </c>
      <c r="N294" s="34" t="s">
        <v>1727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1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1306</v>
      </c>
      <c r="E295" s="32" t="s">
        <v>557</v>
      </c>
      <c r="F295" s="32" t="s">
        <v>1955</v>
      </c>
      <c r="G295" s="32" t="s">
        <v>212</v>
      </c>
      <c r="H295" s="32" t="s">
        <v>352</v>
      </c>
      <c r="I295" s="31" t="s">
        <v>1140</v>
      </c>
      <c r="J295" s="31">
        <v>1</v>
      </c>
      <c r="K295" s="33" t="s">
        <v>941</v>
      </c>
      <c r="L295" s="33" t="s">
        <v>709</v>
      </c>
      <c r="M295" s="34" t="s">
        <v>710</v>
      </c>
      <c r="N295" s="34" t="s">
        <v>1732</v>
      </c>
      <c r="O295" s="35">
        <v>1</v>
      </c>
      <c r="P295" s="35"/>
      <c r="Q295" s="32"/>
      <c r="S295" s="1">
        <f t="shared" si="137"/>
        <v>1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1307</v>
      </c>
      <c r="E296" s="32" t="s">
        <v>557</v>
      </c>
      <c r="F296" s="32" t="s">
        <v>1135</v>
      </c>
      <c r="G296" s="32" t="s">
        <v>283</v>
      </c>
      <c r="H296" s="32" t="s">
        <v>352</v>
      </c>
      <c r="I296" s="31" t="s">
        <v>1136</v>
      </c>
      <c r="J296" s="31">
        <v>10</v>
      </c>
      <c r="K296" s="33" t="s">
        <v>941</v>
      </c>
      <c r="L296" s="33" t="s">
        <v>709</v>
      </c>
      <c r="M296" s="34" t="s">
        <v>710</v>
      </c>
      <c r="N296" s="34" t="s">
        <v>1732</v>
      </c>
      <c r="O296" s="35">
        <v>1</v>
      </c>
      <c r="P296" s="35"/>
      <c r="Q296" s="32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1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2035</v>
      </c>
      <c r="E297" s="32" t="s">
        <v>36</v>
      </c>
      <c r="F297" s="32" t="s">
        <v>2036</v>
      </c>
      <c r="G297" s="32" t="s">
        <v>1458</v>
      </c>
      <c r="H297" s="32" t="s">
        <v>352</v>
      </c>
      <c r="I297" s="31" t="s">
        <v>2038</v>
      </c>
      <c r="J297" s="31">
        <v>99</v>
      </c>
      <c r="K297" s="33" t="s">
        <v>699</v>
      </c>
      <c r="L297" s="33">
        <v>7</v>
      </c>
      <c r="M297" s="34" t="s">
        <v>2037</v>
      </c>
      <c r="N297" s="34" t="s">
        <v>1706</v>
      </c>
      <c r="O297" s="35">
        <v>1</v>
      </c>
      <c r="P297" s="35">
        <v>1</v>
      </c>
      <c r="Q297" s="32" t="s">
        <v>2039</v>
      </c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D297" s="1">
        <f t="shared" si="147"/>
        <v>1</v>
      </c>
      <c r="AE297" s="1">
        <f t="shared" si="148"/>
        <v>0</v>
      </c>
      <c r="AF297" s="1">
        <f t="shared" si="133"/>
        <v>1</v>
      </c>
      <c r="AG297" s="1">
        <f t="shared" si="134"/>
        <v>0</v>
      </c>
      <c r="AH297" s="1">
        <f t="shared" si="135"/>
        <v>1</v>
      </c>
      <c r="AI297" s="1">
        <f t="shared" si="136"/>
        <v>0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508</v>
      </c>
      <c r="E298" s="16" t="s">
        <v>34</v>
      </c>
      <c r="F298" s="16" t="s">
        <v>507</v>
      </c>
      <c r="G298" s="16" t="s">
        <v>542</v>
      </c>
      <c r="H298" s="16" t="s">
        <v>352</v>
      </c>
      <c r="I298" s="15" t="s">
        <v>1342</v>
      </c>
      <c r="J298" s="15">
        <v>99</v>
      </c>
      <c r="K298" s="10" t="s">
        <v>942</v>
      </c>
      <c r="L298" s="10" t="s">
        <v>709</v>
      </c>
      <c r="M298" s="19" t="s">
        <v>710</v>
      </c>
      <c r="N298" s="19"/>
      <c r="Q298" s="20" t="s">
        <v>1979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0</v>
      </c>
      <c r="AE298" s="1">
        <f t="shared" si="148"/>
        <v>0</v>
      </c>
      <c r="AF298" s="1">
        <f t="shared" si="133"/>
        <v>0</v>
      </c>
      <c r="AG298" s="1">
        <f t="shared" si="134"/>
        <v>0</v>
      </c>
      <c r="AH298" s="1">
        <f t="shared" si="135"/>
        <v>0</v>
      </c>
      <c r="AI298" s="1">
        <f t="shared" si="136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1029</v>
      </c>
      <c r="E299" s="32" t="s">
        <v>36</v>
      </c>
      <c r="F299" s="32" t="s">
        <v>1633</v>
      </c>
      <c r="G299" s="32" t="s">
        <v>624</v>
      </c>
      <c r="H299" s="32" t="s">
        <v>352</v>
      </c>
      <c r="I299" s="31" t="s">
        <v>1030</v>
      </c>
      <c r="J299" s="31">
        <v>99</v>
      </c>
      <c r="K299" s="33" t="s">
        <v>946</v>
      </c>
      <c r="L299" s="33" t="s">
        <v>709</v>
      </c>
      <c r="M299" s="34" t="s">
        <v>710</v>
      </c>
      <c r="N299" s="34" t="s">
        <v>1706</v>
      </c>
      <c r="O299" s="35">
        <v>1</v>
      </c>
      <c r="P299" s="35">
        <v>1</v>
      </c>
      <c r="Q299" s="32" t="s">
        <v>1870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1</v>
      </c>
      <c r="AE299" s="1">
        <f t="shared" si="148"/>
        <v>0</v>
      </c>
      <c r="AF299" s="1">
        <f t="shared" si="133"/>
        <v>1</v>
      </c>
      <c r="AG299" s="1">
        <f t="shared" si="134"/>
        <v>0</v>
      </c>
      <c r="AH299" s="1">
        <f t="shared" si="135"/>
        <v>1</v>
      </c>
      <c r="AI299" s="1">
        <f t="shared" si="136"/>
        <v>0</v>
      </c>
    </row>
    <row r="300" spans="1:35" ht="14.25" customHeight="1" x14ac:dyDescent="0.25">
      <c r="A300" s="31">
        <v>1</v>
      </c>
      <c r="B300" s="31">
        <v>2</v>
      </c>
      <c r="C300" s="31">
        <v>1</v>
      </c>
      <c r="D300" s="32" t="s">
        <v>49</v>
      </c>
      <c r="E300" s="32" t="s">
        <v>1294</v>
      </c>
      <c r="F300" s="32" t="s">
        <v>190</v>
      </c>
      <c r="G300" s="32" t="s">
        <v>191</v>
      </c>
      <c r="H300" s="32" t="s">
        <v>352</v>
      </c>
      <c r="I300" s="31" t="s">
        <v>384</v>
      </c>
      <c r="J300" s="31">
        <v>99</v>
      </c>
      <c r="K300" s="33" t="s">
        <v>708</v>
      </c>
      <c r="L300" s="33" t="s">
        <v>709</v>
      </c>
      <c r="M300" s="34" t="s">
        <v>710</v>
      </c>
      <c r="N300" s="34" t="s">
        <v>1727</v>
      </c>
      <c r="O300" s="35">
        <v>1</v>
      </c>
      <c r="P300" s="35"/>
      <c r="Q300" s="32"/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0</v>
      </c>
      <c r="AH300" s="1">
        <f t="shared" si="135"/>
        <v>0</v>
      </c>
      <c r="AI300" s="1">
        <f t="shared" si="136"/>
        <v>0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1061</v>
      </c>
      <c r="E301" s="32" t="s">
        <v>1294</v>
      </c>
      <c r="F301" s="32" t="s">
        <v>1076</v>
      </c>
      <c r="G301" s="32" t="s">
        <v>201</v>
      </c>
      <c r="H301" s="32" t="s">
        <v>352</v>
      </c>
      <c r="I301" s="31" t="s">
        <v>384</v>
      </c>
      <c r="J301" s="31">
        <v>10</v>
      </c>
      <c r="K301" s="33" t="s">
        <v>708</v>
      </c>
      <c r="L301" s="33" t="s">
        <v>709</v>
      </c>
      <c r="M301" s="34" t="s">
        <v>710</v>
      </c>
      <c r="N301" s="34" t="s">
        <v>1727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1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1</v>
      </c>
      <c r="AH301" s="1">
        <f t="shared" si="135"/>
        <v>0</v>
      </c>
      <c r="AI301" s="1">
        <f t="shared" si="13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1253</v>
      </c>
      <c r="E302" s="32" t="s">
        <v>557</v>
      </c>
      <c r="F302" s="32" t="s">
        <v>1254</v>
      </c>
      <c r="G302" s="32" t="s">
        <v>257</v>
      </c>
      <c r="H302" s="32" t="s">
        <v>352</v>
      </c>
      <c r="I302" s="31" t="s">
        <v>1255</v>
      </c>
      <c r="J302" s="31">
        <v>8</v>
      </c>
      <c r="K302" s="33" t="s">
        <v>941</v>
      </c>
      <c r="L302" s="33" t="s">
        <v>709</v>
      </c>
      <c r="M302" s="34" t="s">
        <v>710</v>
      </c>
      <c r="N302" s="34" t="s">
        <v>1719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1</v>
      </c>
      <c r="AA302" s="1">
        <f t="shared" si="145"/>
        <v>0</v>
      </c>
      <c r="AB302" s="1">
        <f t="shared" si="146"/>
        <v>0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48</v>
      </c>
      <c r="E303" s="45" t="s">
        <v>574</v>
      </c>
      <c r="F303" s="45" t="s">
        <v>188</v>
      </c>
      <c r="G303" s="45" t="s">
        <v>298</v>
      </c>
      <c r="H303" s="45" t="s">
        <v>352</v>
      </c>
      <c r="I303" s="44" t="s">
        <v>383</v>
      </c>
      <c r="J303" s="44">
        <v>99</v>
      </c>
      <c r="K303" s="46" t="s">
        <v>709</v>
      </c>
      <c r="L303" s="46" t="s">
        <v>709</v>
      </c>
      <c r="M303" s="47" t="s">
        <v>710</v>
      </c>
      <c r="N303" s="47" t="s">
        <v>1718</v>
      </c>
      <c r="O303" s="48"/>
      <c r="P303" s="48"/>
      <c r="Q303" s="45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0</v>
      </c>
      <c r="AF303" s="1">
        <f t="shared" si="133"/>
        <v>0</v>
      </c>
      <c r="AG303" s="1">
        <f t="shared" si="134"/>
        <v>0</v>
      </c>
      <c r="AH303" s="1">
        <f t="shared" si="135"/>
        <v>0</v>
      </c>
      <c r="AI303" s="1">
        <f t="shared" si="13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57</v>
      </c>
      <c r="E304" s="32" t="s">
        <v>161</v>
      </c>
      <c r="F304" s="32" t="s">
        <v>662</v>
      </c>
      <c r="G304" s="32" t="s">
        <v>220</v>
      </c>
      <c r="H304" s="32" t="s">
        <v>352</v>
      </c>
      <c r="I304" s="31" t="s">
        <v>394</v>
      </c>
      <c r="J304" s="31">
        <v>99</v>
      </c>
      <c r="K304" s="33" t="s">
        <v>948</v>
      </c>
      <c r="L304" s="33" t="s">
        <v>709</v>
      </c>
      <c r="M304" s="34" t="s">
        <v>710</v>
      </c>
      <c r="N304" s="34" t="s">
        <v>1714</v>
      </c>
      <c r="O304" s="35">
        <v>1</v>
      </c>
      <c r="P304" s="35"/>
      <c r="Q304" s="32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1</v>
      </c>
      <c r="AF304" s="1">
        <f t="shared" si="133"/>
        <v>0</v>
      </c>
      <c r="AG304" s="1">
        <f t="shared" si="134"/>
        <v>1</v>
      </c>
      <c r="AH304" s="1">
        <f t="shared" si="135"/>
        <v>0</v>
      </c>
      <c r="AI304" s="1">
        <f t="shared" si="13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511</v>
      </c>
      <c r="E305" s="32" t="s">
        <v>557</v>
      </c>
      <c r="F305" s="32" t="s">
        <v>228</v>
      </c>
      <c r="G305" s="32" t="s">
        <v>229</v>
      </c>
      <c r="H305" s="32" t="s">
        <v>352</v>
      </c>
      <c r="I305" s="31" t="s">
        <v>398</v>
      </c>
      <c r="J305" s="31">
        <v>7</v>
      </c>
      <c r="K305" s="33" t="s">
        <v>941</v>
      </c>
      <c r="L305" s="33" t="s">
        <v>709</v>
      </c>
      <c r="M305" s="34" t="s">
        <v>710</v>
      </c>
      <c r="N305" s="34" t="s">
        <v>1720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1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556</v>
      </c>
      <c r="E306" s="45" t="s">
        <v>557</v>
      </c>
      <c r="F306" s="45" t="s">
        <v>558</v>
      </c>
      <c r="G306" s="45" t="s">
        <v>207</v>
      </c>
      <c r="H306" s="45" t="s">
        <v>352</v>
      </c>
      <c r="I306" s="44" t="s">
        <v>559</v>
      </c>
      <c r="J306" s="44">
        <v>3</v>
      </c>
      <c r="K306" s="46" t="s">
        <v>708</v>
      </c>
      <c r="L306" s="46" t="s">
        <v>709</v>
      </c>
      <c r="M306" s="47" t="s">
        <v>710</v>
      </c>
      <c r="N306" s="47" t="s">
        <v>1718</v>
      </c>
      <c r="O306" s="48"/>
      <c r="P306" s="48"/>
      <c r="Q306" s="45"/>
      <c r="S306" s="1">
        <f t="shared" si="137"/>
        <v>0</v>
      </c>
      <c r="T306" s="1">
        <f t="shared" si="138"/>
        <v>0</v>
      </c>
      <c r="U306" s="1">
        <f t="shared" si="139"/>
        <v>1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0</v>
      </c>
      <c r="AF306" s="1">
        <f t="shared" si="133"/>
        <v>0</v>
      </c>
      <c r="AG306" s="1">
        <f t="shared" si="134"/>
        <v>0</v>
      </c>
      <c r="AH306" s="1">
        <f t="shared" si="135"/>
        <v>0</v>
      </c>
      <c r="AI306" s="1">
        <f t="shared" si="136"/>
        <v>1</v>
      </c>
    </row>
    <row r="307" spans="1:35" ht="14.25" customHeight="1" x14ac:dyDescent="0.25">
      <c r="A307" s="37">
        <v>0</v>
      </c>
      <c r="B307" s="37">
        <v>2</v>
      </c>
      <c r="C307" s="37">
        <v>1</v>
      </c>
      <c r="D307" s="36" t="s">
        <v>1040</v>
      </c>
      <c r="E307" s="36" t="s">
        <v>32</v>
      </c>
      <c r="F307" s="36" t="s">
        <v>1257</v>
      </c>
      <c r="G307" s="36" t="s">
        <v>531</v>
      </c>
      <c r="H307" s="36" t="s">
        <v>352</v>
      </c>
      <c r="I307" s="37" t="s">
        <v>1258</v>
      </c>
      <c r="J307" s="37">
        <v>6</v>
      </c>
      <c r="K307" s="50" t="s">
        <v>709</v>
      </c>
      <c r="L307" s="33" t="s">
        <v>709</v>
      </c>
      <c r="M307" s="34" t="s">
        <v>710</v>
      </c>
      <c r="N307" s="34" t="s">
        <v>1719</v>
      </c>
      <c r="O307" s="35">
        <v>1</v>
      </c>
      <c r="P307" s="35"/>
      <c r="Q307" s="36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1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1</v>
      </c>
      <c r="AF307" s="1">
        <f t="shared" si="133"/>
        <v>0</v>
      </c>
      <c r="AG307" s="1">
        <f t="shared" si="134"/>
        <v>1</v>
      </c>
      <c r="AH307" s="1">
        <f t="shared" si="135"/>
        <v>0</v>
      </c>
      <c r="AI307" s="1">
        <f t="shared" si="13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57" t="s">
        <v>906</v>
      </c>
      <c r="E308" s="45" t="s">
        <v>1313</v>
      </c>
      <c r="F308" s="45" t="s">
        <v>780</v>
      </c>
      <c r="G308" s="45" t="s">
        <v>256</v>
      </c>
      <c r="H308" s="45" t="s">
        <v>352</v>
      </c>
      <c r="I308" s="44" t="s">
        <v>932</v>
      </c>
      <c r="J308" s="44">
        <v>99</v>
      </c>
      <c r="K308" s="46" t="s">
        <v>708</v>
      </c>
      <c r="L308" s="46" t="s">
        <v>709</v>
      </c>
      <c r="M308" s="47" t="s">
        <v>710</v>
      </c>
      <c r="N308" s="47" t="s">
        <v>1707</v>
      </c>
      <c r="O308" s="48"/>
      <c r="P308" s="48"/>
      <c r="Q308" s="45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0</v>
      </c>
      <c r="AF308" s="1">
        <f t="shared" si="133"/>
        <v>0</v>
      </c>
      <c r="AG308" s="1">
        <f t="shared" si="134"/>
        <v>0</v>
      </c>
      <c r="AH308" s="1">
        <f t="shared" si="135"/>
        <v>0</v>
      </c>
      <c r="AI308" s="1">
        <f t="shared" si="136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1742</v>
      </c>
      <c r="E309" s="36" t="s">
        <v>1743</v>
      </c>
      <c r="F309" s="36" t="s">
        <v>1744</v>
      </c>
      <c r="G309" s="36" t="s">
        <v>179</v>
      </c>
      <c r="H309" s="36" t="s">
        <v>352</v>
      </c>
      <c r="I309" s="37" t="s">
        <v>1745</v>
      </c>
      <c r="J309" s="37"/>
      <c r="K309" s="50" t="s">
        <v>699</v>
      </c>
      <c r="L309" s="33">
        <v>4</v>
      </c>
      <c r="M309" s="34" t="s">
        <v>710</v>
      </c>
      <c r="N309" s="34" t="s">
        <v>1714</v>
      </c>
      <c r="O309" s="35">
        <v>1</v>
      </c>
      <c r="P309" s="35"/>
      <c r="Q309" s="36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615</v>
      </c>
      <c r="E310" s="32" t="s">
        <v>616</v>
      </c>
      <c r="F310" s="32" t="s">
        <v>617</v>
      </c>
      <c r="G310" s="32" t="s">
        <v>618</v>
      </c>
      <c r="H310" s="32" t="s">
        <v>352</v>
      </c>
      <c r="I310" s="31" t="s">
        <v>619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1727</v>
      </c>
      <c r="O310" s="35">
        <v>1</v>
      </c>
      <c r="P310" s="35"/>
      <c r="Q310" s="32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1067</v>
      </c>
      <c r="E311" s="32" t="s">
        <v>1314</v>
      </c>
      <c r="F311" s="32" t="s">
        <v>1637</v>
      </c>
      <c r="G311" s="32" t="s">
        <v>189</v>
      </c>
      <c r="H311" s="32" t="s">
        <v>352</v>
      </c>
      <c r="I311" s="31" t="s">
        <v>1832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1714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647</v>
      </c>
      <c r="E312" s="16" t="s">
        <v>36</v>
      </c>
      <c r="F312" s="16" t="s">
        <v>663</v>
      </c>
      <c r="G312" s="16" t="s">
        <v>200</v>
      </c>
      <c r="H312" s="16" t="s">
        <v>352</v>
      </c>
      <c r="I312" s="15" t="s">
        <v>992</v>
      </c>
      <c r="J312" s="15">
        <v>99</v>
      </c>
      <c r="K312" s="10" t="s">
        <v>699</v>
      </c>
      <c r="L312" s="10">
        <v>4</v>
      </c>
      <c r="M312" s="19" t="s">
        <v>710</v>
      </c>
      <c r="N312" s="17"/>
      <c r="Q312" s="16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1244</v>
      </c>
      <c r="E313" s="45" t="s">
        <v>1245</v>
      </c>
      <c r="F313" s="45" t="s">
        <v>1246</v>
      </c>
      <c r="G313" s="45" t="s">
        <v>1149</v>
      </c>
      <c r="H313" s="45" t="s">
        <v>352</v>
      </c>
      <c r="I313" s="44" t="s">
        <v>1247</v>
      </c>
      <c r="J313" s="44">
        <v>11</v>
      </c>
      <c r="K313" s="46" t="s">
        <v>699</v>
      </c>
      <c r="L313" s="46">
        <v>6</v>
      </c>
      <c r="M313" s="47" t="s">
        <v>1701</v>
      </c>
      <c r="N313" s="47" t="s">
        <v>1780</v>
      </c>
      <c r="O313" s="48"/>
      <c r="P313" s="48"/>
      <c r="Q313" s="45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1110</v>
      </c>
      <c r="E314" s="32" t="s">
        <v>1294</v>
      </c>
      <c r="F314" s="32" t="s">
        <v>1108</v>
      </c>
      <c r="G314" s="32" t="s">
        <v>229</v>
      </c>
      <c r="H314" s="32" t="s">
        <v>352</v>
      </c>
      <c r="I314" s="31" t="s">
        <v>1109</v>
      </c>
      <c r="J314" s="31">
        <v>7</v>
      </c>
      <c r="K314" s="33" t="s">
        <v>709</v>
      </c>
      <c r="L314" s="33" t="s">
        <v>1682</v>
      </c>
      <c r="M314" s="34" t="s">
        <v>710</v>
      </c>
      <c r="N314" s="34" t="s">
        <v>1727</v>
      </c>
      <c r="O314" s="35">
        <v>1</v>
      </c>
      <c r="P314" s="35"/>
      <c r="Q314" s="32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1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1</v>
      </c>
      <c r="AF314" s="1">
        <f t="shared" si="133"/>
        <v>0</v>
      </c>
      <c r="AG314" s="1">
        <f t="shared" si="134"/>
        <v>1</v>
      </c>
      <c r="AH314" s="1">
        <f t="shared" si="135"/>
        <v>0</v>
      </c>
      <c r="AI314" s="1">
        <f t="shared" si="136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995</v>
      </c>
      <c r="E315" s="32" t="s">
        <v>1316</v>
      </c>
      <c r="F315" s="32" t="s">
        <v>996</v>
      </c>
      <c r="G315" s="32" t="s">
        <v>1087</v>
      </c>
      <c r="H315" s="32" t="s">
        <v>352</v>
      </c>
      <c r="I315" s="31" t="s">
        <v>406</v>
      </c>
      <c r="J315" s="31">
        <v>99</v>
      </c>
      <c r="K315" s="33" t="s">
        <v>709</v>
      </c>
      <c r="L315" s="33" t="s">
        <v>709</v>
      </c>
      <c r="M315" s="34" t="s">
        <v>710</v>
      </c>
      <c r="N315" s="34" t="s">
        <v>1714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1117</v>
      </c>
      <c r="E316" s="32" t="s">
        <v>557</v>
      </c>
      <c r="F316" s="32" t="s">
        <v>1333</v>
      </c>
      <c r="G316" s="32" t="s">
        <v>264</v>
      </c>
      <c r="H316" s="32" t="s">
        <v>352</v>
      </c>
      <c r="I316" s="31" t="s">
        <v>1118</v>
      </c>
      <c r="J316" s="31">
        <v>8</v>
      </c>
      <c r="K316" s="33" t="s">
        <v>708</v>
      </c>
      <c r="L316" s="33" t="s">
        <v>1682</v>
      </c>
      <c r="M316" s="34" t="s">
        <v>710</v>
      </c>
      <c r="N316" s="34" t="s">
        <v>1719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1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1266</v>
      </c>
      <c r="E317" s="32" t="s">
        <v>1314</v>
      </c>
      <c r="F317" s="32" t="s">
        <v>1263</v>
      </c>
      <c r="G317" s="32" t="s">
        <v>1264</v>
      </c>
      <c r="H317" s="32" t="s">
        <v>352</v>
      </c>
      <c r="I317" s="31" t="s">
        <v>1265</v>
      </c>
      <c r="J317" s="31">
        <v>1</v>
      </c>
      <c r="K317" s="33" t="s">
        <v>708</v>
      </c>
      <c r="L317" s="33" t="s">
        <v>709</v>
      </c>
      <c r="M317" s="34" t="s">
        <v>710</v>
      </c>
      <c r="N317" s="34" t="s">
        <v>1732</v>
      </c>
      <c r="O317" s="35">
        <v>1</v>
      </c>
      <c r="P317" s="35"/>
      <c r="Q317" s="32" t="s">
        <v>1873</v>
      </c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52</v>
      </c>
      <c r="E318" s="32" t="s">
        <v>32</v>
      </c>
      <c r="F318" s="32" t="s">
        <v>205</v>
      </c>
      <c r="G318" s="32" t="s">
        <v>206</v>
      </c>
      <c r="H318" s="32" t="s">
        <v>352</v>
      </c>
      <c r="I318" s="31" t="s">
        <v>389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1917</v>
      </c>
      <c r="O318" s="35">
        <v>1</v>
      </c>
      <c r="P318" s="35"/>
      <c r="Q318" s="32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73</v>
      </c>
      <c r="E319" s="32" t="s">
        <v>557</v>
      </c>
      <c r="F319" s="32" t="s">
        <v>1037</v>
      </c>
      <c r="G319" s="32" t="s">
        <v>189</v>
      </c>
      <c r="H319" s="32" t="s">
        <v>352</v>
      </c>
      <c r="I319" s="31" t="s">
        <v>419</v>
      </c>
      <c r="J319" s="31">
        <v>99</v>
      </c>
      <c r="K319" s="33" t="s">
        <v>941</v>
      </c>
      <c r="L319" s="33" t="s">
        <v>709</v>
      </c>
      <c r="M319" s="34" t="s">
        <v>710</v>
      </c>
      <c r="N319" s="34" t="s">
        <v>1714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47</v>
      </c>
      <c r="E320" s="32" t="s">
        <v>32</v>
      </c>
      <c r="F320" s="32" t="s">
        <v>186</v>
      </c>
      <c r="G320" s="32" t="s">
        <v>179</v>
      </c>
      <c r="H320" s="32" t="s">
        <v>352</v>
      </c>
      <c r="I320" s="31" t="s">
        <v>381</v>
      </c>
      <c r="J320" s="31">
        <v>10</v>
      </c>
      <c r="K320" s="33" t="s">
        <v>942</v>
      </c>
      <c r="L320" s="33" t="s">
        <v>709</v>
      </c>
      <c r="M320" s="34" t="s">
        <v>710</v>
      </c>
      <c r="N320" s="34" t="s">
        <v>1714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1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648</v>
      </c>
      <c r="E321" s="45" t="s">
        <v>159</v>
      </c>
      <c r="F321" s="45" t="s">
        <v>187</v>
      </c>
      <c r="G321" s="45" t="s">
        <v>664</v>
      </c>
      <c r="H321" s="45" t="s">
        <v>352</v>
      </c>
      <c r="I321" s="44" t="s">
        <v>382</v>
      </c>
      <c r="J321" s="44">
        <v>99</v>
      </c>
      <c r="K321" s="46" t="s">
        <v>708</v>
      </c>
      <c r="L321" s="46" t="s">
        <v>709</v>
      </c>
      <c r="M321" s="47" t="s">
        <v>710</v>
      </c>
      <c r="N321" s="47" t="s">
        <v>1710</v>
      </c>
      <c r="O321" s="48"/>
      <c r="P321" s="48"/>
      <c r="Q321" s="45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0</v>
      </c>
      <c r="AD321" s="1">
        <f t="shared" si="147"/>
        <v>0</v>
      </c>
      <c r="AE321" s="1">
        <f t="shared" si="148"/>
        <v>0</v>
      </c>
      <c r="AF321" s="1">
        <f t="shared" si="133"/>
        <v>0</v>
      </c>
      <c r="AG321" s="1">
        <f t="shared" si="134"/>
        <v>0</v>
      </c>
      <c r="AH321" s="1">
        <f t="shared" si="135"/>
        <v>0</v>
      </c>
      <c r="AI321" s="1">
        <f t="shared" si="136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1284</v>
      </c>
      <c r="E322" s="32" t="s">
        <v>36</v>
      </c>
      <c r="F322" s="32" t="s">
        <v>1285</v>
      </c>
      <c r="G322" s="32" t="s">
        <v>257</v>
      </c>
      <c r="H322" s="32" t="s">
        <v>352</v>
      </c>
      <c r="I322" s="31" t="s">
        <v>1286</v>
      </c>
      <c r="J322" s="31">
        <v>8</v>
      </c>
      <c r="K322" s="33" t="s">
        <v>946</v>
      </c>
      <c r="L322" s="33" t="s">
        <v>709</v>
      </c>
      <c r="M322" s="34" t="s">
        <v>710</v>
      </c>
      <c r="N322" s="34" t="s">
        <v>1706</v>
      </c>
      <c r="O322" s="35">
        <v>1</v>
      </c>
      <c r="P322" s="35">
        <v>1</v>
      </c>
      <c r="Q322" s="32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1</v>
      </c>
      <c r="AA322" s="1">
        <f t="shared" si="145"/>
        <v>0</v>
      </c>
      <c r="AB322" s="1">
        <f t="shared" si="146"/>
        <v>0</v>
      </c>
      <c r="AD322" s="1">
        <f t="shared" si="147"/>
        <v>1</v>
      </c>
      <c r="AE322" s="1">
        <f t="shared" si="148"/>
        <v>0</v>
      </c>
      <c r="AF322" s="1">
        <f t="shared" si="133"/>
        <v>1</v>
      </c>
      <c r="AG322" s="1">
        <f t="shared" si="134"/>
        <v>0</v>
      </c>
      <c r="AH322" s="1">
        <f t="shared" si="135"/>
        <v>1</v>
      </c>
      <c r="AI322" s="1">
        <f t="shared" si="136"/>
        <v>0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54</v>
      </c>
      <c r="E323" s="32" t="s">
        <v>557</v>
      </c>
      <c r="F323" s="32" t="s">
        <v>211</v>
      </c>
      <c r="G323" s="32" t="s">
        <v>212</v>
      </c>
      <c r="H323" s="32" t="s">
        <v>352</v>
      </c>
      <c r="I323" s="31" t="s">
        <v>391</v>
      </c>
      <c r="J323" s="31">
        <v>1</v>
      </c>
      <c r="K323" s="33" t="s">
        <v>942</v>
      </c>
      <c r="L323" s="33" t="s">
        <v>709</v>
      </c>
      <c r="M323" s="34" t="s">
        <v>39</v>
      </c>
      <c r="N323" s="34" t="s">
        <v>1714</v>
      </c>
      <c r="O323" s="35">
        <v>1</v>
      </c>
      <c r="P323" s="35"/>
      <c r="Q323" s="32"/>
      <c r="S323" s="1">
        <f t="shared" si="137"/>
        <v>1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D323" s="1">
        <f t="shared" si="147"/>
        <v>0</v>
      </c>
      <c r="AE323" s="1">
        <f t="shared" si="148"/>
        <v>1</v>
      </c>
      <c r="AF323" s="1">
        <f t="shared" si="133"/>
        <v>0</v>
      </c>
      <c r="AG323" s="1">
        <f t="shared" si="134"/>
        <v>1</v>
      </c>
      <c r="AH323" s="1">
        <f t="shared" si="135"/>
        <v>0</v>
      </c>
      <c r="AI323" s="1">
        <f t="shared" si="136"/>
        <v>1</v>
      </c>
    </row>
    <row r="324" spans="1:35" ht="14.25" customHeight="1" x14ac:dyDescent="0.25">
      <c r="A324" s="44">
        <v>0</v>
      </c>
      <c r="B324" s="44">
        <v>2</v>
      </c>
      <c r="C324" s="44">
        <v>1</v>
      </c>
      <c r="D324" s="45" t="s">
        <v>61</v>
      </c>
      <c r="E324" s="45" t="s">
        <v>539</v>
      </c>
      <c r="F324" s="45" t="s">
        <v>232</v>
      </c>
      <c r="G324" s="45" t="s">
        <v>203</v>
      </c>
      <c r="H324" s="45" t="s">
        <v>352</v>
      </c>
      <c r="I324" s="44" t="s">
        <v>399</v>
      </c>
      <c r="J324" s="44">
        <v>7</v>
      </c>
      <c r="K324" s="46" t="s">
        <v>708</v>
      </c>
      <c r="L324" s="46" t="s">
        <v>709</v>
      </c>
      <c r="M324" s="47" t="s">
        <v>710</v>
      </c>
      <c r="N324" s="47" t="s">
        <v>1711</v>
      </c>
      <c r="O324" s="48"/>
      <c r="P324" s="48"/>
      <c r="Q324" s="45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1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1621</v>
      </c>
      <c r="E325" s="32" t="s">
        <v>557</v>
      </c>
      <c r="F325" s="32" t="s">
        <v>1336</v>
      </c>
      <c r="G325" s="32" t="s">
        <v>1264</v>
      </c>
      <c r="H325" s="32" t="s">
        <v>352</v>
      </c>
      <c r="I325" s="31" t="s">
        <v>1151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1719</v>
      </c>
      <c r="O325" s="35">
        <v>1</v>
      </c>
      <c r="P325" s="35"/>
      <c r="Q325" s="32" t="s">
        <v>1872</v>
      </c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1</v>
      </c>
      <c r="AF325" s="1">
        <f t="shared" si="133"/>
        <v>0</v>
      </c>
      <c r="AG325" s="1">
        <f t="shared" si="134"/>
        <v>1</v>
      </c>
      <c r="AH325" s="1">
        <f t="shared" si="135"/>
        <v>0</v>
      </c>
      <c r="AI325" s="1">
        <f t="shared" si="136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1753</v>
      </c>
      <c r="E326" s="32" t="s">
        <v>1754</v>
      </c>
      <c r="F326" s="32" t="s">
        <v>1755</v>
      </c>
      <c r="G326" s="32" t="s">
        <v>1756</v>
      </c>
      <c r="H326" s="32" t="s">
        <v>352</v>
      </c>
      <c r="I326" s="31"/>
      <c r="J326" s="31">
        <v>1</v>
      </c>
      <c r="K326" s="33" t="s">
        <v>699</v>
      </c>
      <c r="L326" s="33"/>
      <c r="M326" s="34"/>
      <c r="N326" s="34" t="s">
        <v>1714</v>
      </c>
      <c r="O326" s="35">
        <v>1</v>
      </c>
      <c r="P326" s="35"/>
      <c r="Q326" s="32" t="s">
        <v>1880</v>
      </c>
      <c r="S326" s="1">
        <f t="shared" si="137"/>
        <v>1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1298</v>
      </c>
      <c r="E327" s="32" t="s">
        <v>1318</v>
      </c>
      <c r="F327" s="32" t="s">
        <v>1281</v>
      </c>
      <c r="G327" s="32" t="s">
        <v>1282</v>
      </c>
      <c r="H327" s="32" t="s">
        <v>352</v>
      </c>
      <c r="I327" s="31" t="s">
        <v>1283</v>
      </c>
      <c r="J327" s="31">
        <v>99</v>
      </c>
      <c r="K327" s="33" t="s">
        <v>942</v>
      </c>
      <c r="L327" s="33" t="s">
        <v>709</v>
      </c>
      <c r="M327" s="34" t="s">
        <v>710</v>
      </c>
      <c r="N327" s="34" t="s">
        <v>1890</v>
      </c>
      <c r="O327" s="35">
        <v>1</v>
      </c>
      <c r="P327" s="35"/>
      <c r="Q327" s="32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ht="14.25" customHeight="1" x14ac:dyDescent="0.25">
      <c r="A328" s="44">
        <v>0</v>
      </c>
      <c r="B328" s="44">
        <v>2</v>
      </c>
      <c r="C328" s="44">
        <v>1</v>
      </c>
      <c r="D328" s="45" t="s">
        <v>1293</v>
      </c>
      <c r="E328" s="45" t="s">
        <v>159</v>
      </c>
      <c r="F328" s="45" t="s">
        <v>1295</v>
      </c>
      <c r="G328" s="45" t="s">
        <v>1296</v>
      </c>
      <c r="H328" s="45" t="s">
        <v>352</v>
      </c>
      <c r="I328" s="44" t="s">
        <v>1297</v>
      </c>
      <c r="J328" s="44">
        <v>8</v>
      </c>
      <c r="K328" s="46" t="s">
        <v>709</v>
      </c>
      <c r="L328" s="46" t="s">
        <v>709</v>
      </c>
      <c r="M328" s="47" t="s">
        <v>710</v>
      </c>
      <c r="N328" s="47" t="s">
        <v>1718</v>
      </c>
      <c r="O328" s="48"/>
      <c r="P328" s="48"/>
      <c r="Q328" s="45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1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0</v>
      </c>
      <c r="AF328" s="1">
        <f t="shared" si="133"/>
        <v>0</v>
      </c>
      <c r="AG328" s="1">
        <f t="shared" si="134"/>
        <v>0</v>
      </c>
      <c r="AH328" s="1">
        <f t="shared" si="135"/>
        <v>0</v>
      </c>
      <c r="AI328" s="1">
        <f t="shared" si="136"/>
        <v>1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1620</v>
      </c>
      <c r="E329" s="45" t="s">
        <v>1152</v>
      </c>
      <c r="F329" s="45" t="s">
        <v>1653</v>
      </c>
      <c r="G329" s="45" t="s">
        <v>189</v>
      </c>
      <c r="H329" s="45" t="s">
        <v>352</v>
      </c>
      <c r="I329" s="44" t="s">
        <v>1581</v>
      </c>
      <c r="J329" s="44">
        <v>99</v>
      </c>
      <c r="K329" s="46" t="s">
        <v>709</v>
      </c>
      <c r="L329" s="46" t="s">
        <v>692</v>
      </c>
      <c r="M329" s="47" t="s">
        <v>1582</v>
      </c>
      <c r="N329" s="47" t="s">
        <v>1711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65</v>
      </c>
      <c r="E330" s="32" t="s">
        <v>163</v>
      </c>
      <c r="F330" s="32" t="s">
        <v>242</v>
      </c>
      <c r="G330" s="32" t="s">
        <v>199</v>
      </c>
      <c r="H330" s="32" t="s">
        <v>352</v>
      </c>
      <c r="I330" s="31" t="s">
        <v>405</v>
      </c>
      <c r="J330" s="31">
        <v>2</v>
      </c>
      <c r="K330" s="33" t="s">
        <v>942</v>
      </c>
      <c r="L330" s="33" t="s">
        <v>692</v>
      </c>
      <c r="M330" s="34" t="s">
        <v>711</v>
      </c>
      <c r="N330" s="34" t="s">
        <v>1714</v>
      </c>
      <c r="O330" s="35">
        <v>1</v>
      </c>
      <c r="P330" s="35"/>
      <c r="Q330" s="32"/>
      <c r="S330" s="1">
        <f t="shared" si="137"/>
        <v>0</v>
      </c>
      <c r="T330" s="1">
        <f t="shared" si="138"/>
        <v>1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1799</v>
      </c>
      <c r="E331" s="32" t="s">
        <v>1800</v>
      </c>
      <c r="F331" s="32" t="s">
        <v>1801</v>
      </c>
      <c r="G331" s="32" t="s">
        <v>195</v>
      </c>
      <c r="H331" s="32" t="s">
        <v>352</v>
      </c>
      <c r="I331" s="31" t="s">
        <v>1802</v>
      </c>
      <c r="J331" s="31"/>
      <c r="K331" s="33" t="s">
        <v>699</v>
      </c>
      <c r="L331" s="33">
        <v>20</v>
      </c>
      <c r="M331" s="34" t="s">
        <v>1803</v>
      </c>
      <c r="N331" s="34" t="s">
        <v>1719</v>
      </c>
      <c r="O331" s="35">
        <v>1</v>
      </c>
      <c r="P331" s="35"/>
      <c r="Q331" s="32"/>
      <c r="S331" s="1">
        <f t="shared" ref="S331:S335" si="155">IF(J331=$S$7,1,0)</f>
        <v>0</v>
      </c>
      <c r="T331" s="1">
        <f t="shared" ref="T331:T335" si="156">IF(J331=$T$7,1,0)</f>
        <v>0</v>
      </c>
      <c r="U331" s="1">
        <f t="shared" ref="U331:U335" si="157">IF(J331=$U$7,1,0)</f>
        <v>0</v>
      </c>
      <c r="V331" s="1">
        <f t="shared" ref="V331:V335" si="158">IF(J331=$V$7,1,0)</f>
        <v>0</v>
      </c>
      <c r="W331" s="1">
        <f t="shared" ref="W331:W335" si="159">IF(J331=$W$7,1,0)</f>
        <v>0</v>
      </c>
      <c r="X331" s="1">
        <f t="shared" ref="X331:X335" si="160">IF(J331=$X$7,1,0)</f>
        <v>0</v>
      </c>
      <c r="Y331" s="1">
        <f t="shared" ref="Y331:Y335" si="161">IF(J331=$Y$7,1,0)</f>
        <v>0</v>
      </c>
      <c r="Z331" s="1">
        <f t="shared" ref="Z331:Z335" si="162">IF(J331=$Z$7,1,0)</f>
        <v>0</v>
      </c>
      <c r="AA331" s="1">
        <f t="shared" ref="AA331:AA335" si="163">IF(J331=$AA$7,1,0)</f>
        <v>0</v>
      </c>
      <c r="AB331" s="1">
        <f t="shared" ref="AB331:AB335" si="164">IF(J331=$AB$7,1,0)</f>
        <v>0</v>
      </c>
      <c r="AD331" s="1">
        <f t="shared" ref="AD331:AD335" si="165">+O331*P331</f>
        <v>0</v>
      </c>
      <c r="AE331" s="1">
        <f t="shared" ref="AE331:AE335" si="166">O331*(1-P331)</f>
        <v>1</v>
      </c>
      <c r="AF331" s="1">
        <f t="shared" ref="AF331:AF335" si="167">+O331*P331*(1-A331)</f>
        <v>0</v>
      </c>
      <c r="AG331" s="1">
        <f t="shared" ref="AG331:AG335" si="168">O331*(1-P331)*(1-A331)</f>
        <v>1</v>
      </c>
      <c r="AH331" s="1">
        <f t="shared" ref="AH331:AH335" si="169">+P331*(1-A331)</f>
        <v>0</v>
      </c>
      <c r="AI331" s="1">
        <f t="shared" ref="AI331:AI335" si="170">+(1-A331)*(1-P331)</f>
        <v>1</v>
      </c>
    </row>
    <row r="332" spans="1:35" ht="14.25" customHeight="1" x14ac:dyDescent="0.25">
      <c r="A332" s="37">
        <v>0</v>
      </c>
      <c r="B332" s="37">
        <v>2</v>
      </c>
      <c r="C332" s="37">
        <v>2</v>
      </c>
      <c r="D332" s="36" t="s">
        <v>2111</v>
      </c>
      <c r="E332" s="36" t="s">
        <v>2109</v>
      </c>
      <c r="F332" s="36" t="s">
        <v>2110</v>
      </c>
      <c r="G332" s="36" t="s">
        <v>256</v>
      </c>
      <c r="H332" s="36" t="s">
        <v>352</v>
      </c>
      <c r="I332" s="37" t="s">
        <v>30</v>
      </c>
      <c r="J332" s="37">
        <v>2</v>
      </c>
      <c r="K332" s="33" t="s">
        <v>699</v>
      </c>
      <c r="L332" s="33"/>
      <c r="M332" s="34"/>
      <c r="N332" s="34" t="s">
        <v>1700</v>
      </c>
      <c r="O332" s="35">
        <v>1</v>
      </c>
      <c r="P332" s="35">
        <v>1</v>
      </c>
      <c r="Q332" s="36"/>
      <c r="S332" s="1">
        <f t="shared" si="155"/>
        <v>0</v>
      </c>
      <c r="T332" s="1">
        <f t="shared" si="156"/>
        <v>1</v>
      </c>
      <c r="U332" s="1">
        <f t="shared" si="157"/>
        <v>0</v>
      </c>
      <c r="V332" s="1">
        <f t="shared" si="158"/>
        <v>0</v>
      </c>
      <c r="W332" s="1">
        <f t="shared" si="159"/>
        <v>0</v>
      </c>
      <c r="X332" s="1">
        <f t="shared" si="160"/>
        <v>0</v>
      </c>
      <c r="Y332" s="1">
        <f t="shared" si="161"/>
        <v>0</v>
      </c>
      <c r="Z332" s="1">
        <f t="shared" si="162"/>
        <v>0</v>
      </c>
      <c r="AA332" s="1">
        <f t="shared" si="163"/>
        <v>0</v>
      </c>
      <c r="AB332" s="1">
        <f t="shared" si="164"/>
        <v>0</v>
      </c>
      <c r="AD332" s="1">
        <f t="shared" si="165"/>
        <v>1</v>
      </c>
      <c r="AE332" s="1">
        <f t="shared" si="166"/>
        <v>0</v>
      </c>
      <c r="AF332" s="1">
        <f t="shared" si="167"/>
        <v>1</v>
      </c>
      <c r="AG332" s="1">
        <f t="shared" si="168"/>
        <v>0</v>
      </c>
      <c r="AH332" s="1">
        <f t="shared" si="169"/>
        <v>1</v>
      </c>
      <c r="AI332" s="1">
        <f t="shared" si="170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1550</v>
      </c>
      <c r="E333" s="32" t="s">
        <v>1551</v>
      </c>
      <c r="F333" s="32" t="s">
        <v>1553</v>
      </c>
      <c r="G333" s="32" t="s">
        <v>1554</v>
      </c>
      <c r="H333" s="32" t="s">
        <v>352</v>
      </c>
      <c r="I333" s="31" t="s">
        <v>1552</v>
      </c>
      <c r="J333" s="31">
        <v>99</v>
      </c>
      <c r="K333" s="33" t="s">
        <v>699</v>
      </c>
      <c r="L333" s="33">
        <v>18</v>
      </c>
      <c r="M333" s="34" t="s">
        <v>1555</v>
      </c>
      <c r="N333" s="34" t="s">
        <v>1719</v>
      </c>
      <c r="O333" s="35">
        <v>1</v>
      </c>
      <c r="P333" s="35"/>
      <c r="Q333" s="32"/>
      <c r="S333" s="1">
        <f t="shared" si="155"/>
        <v>0</v>
      </c>
      <c r="T333" s="1">
        <f t="shared" si="156"/>
        <v>0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0</v>
      </c>
      <c r="AE333" s="1">
        <f t="shared" si="166"/>
        <v>1</v>
      </c>
      <c r="AF333" s="1">
        <f t="shared" si="167"/>
        <v>0</v>
      </c>
      <c r="AG333" s="1">
        <f t="shared" si="168"/>
        <v>1</v>
      </c>
      <c r="AH333" s="1">
        <f t="shared" si="169"/>
        <v>0</v>
      </c>
      <c r="AI333" s="1">
        <f t="shared" si="17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64</v>
      </c>
      <c r="E334" s="32" t="s">
        <v>33</v>
      </c>
      <c r="F334" s="32" t="s">
        <v>240</v>
      </c>
      <c r="G334" s="32" t="s">
        <v>241</v>
      </c>
      <c r="H334" s="32" t="s">
        <v>352</v>
      </c>
      <c r="I334" s="31" t="s">
        <v>404</v>
      </c>
      <c r="J334" s="31">
        <v>1</v>
      </c>
      <c r="K334" s="33" t="s">
        <v>948</v>
      </c>
      <c r="L334" s="33" t="s">
        <v>712</v>
      </c>
      <c r="M334" s="34" t="s">
        <v>713</v>
      </c>
      <c r="N334" s="34" t="s">
        <v>1714</v>
      </c>
      <c r="O334" s="35">
        <v>1</v>
      </c>
      <c r="P334" s="35"/>
      <c r="Q334" s="32"/>
      <c r="S334" s="1">
        <f t="shared" si="155"/>
        <v>1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62</v>
      </c>
      <c r="E335" s="32" t="s">
        <v>1073</v>
      </c>
      <c r="F335" s="32" t="s">
        <v>233</v>
      </c>
      <c r="G335" s="32" t="s">
        <v>234</v>
      </c>
      <c r="H335" s="32" t="s">
        <v>352</v>
      </c>
      <c r="I335" s="31" t="s">
        <v>1343</v>
      </c>
      <c r="J335" s="31">
        <v>99</v>
      </c>
      <c r="K335" s="33" t="s">
        <v>942</v>
      </c>
      <c r="L335" s="33" t="s">
        <v>712</v>
      </c>
      <c r="M335" s="34" t="s">
        <v>714</v>
      </c>
      <c r="N335" s="34" t="s">
        <v>1714</v>
      </c>
      <c r="O335" s="35">
        <v>1</v>
      </c>
      <c r="P335" s="35"/>
      <c r="Q335" s="32"/>
      <c r="S335" s="1">
        <f t="shared" si="155"/>
        <v>0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1689</v>
      </c>
      <c r="E336" s="32" t="s">
        <v>1691</v>
      </c>
      <c r="F336" s="32" t="s">
        <v>1690</v>
      </c>
      <c r="G336" s="32"/>
      <c r="H336" s="32" t="s">
        <v>352</v>
      </c>
      <c r="I336" s="31" t="s">
        <v>1692</v>
      </c>
      <c r="J336" s="31"/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2"/>
      <c r="S336" s="1">
        <f t="shared" si="137"/>
        <v>0</v>
      </c>
      <c r="T336" s="1">
        <f t="shared" si="138"/>
        <v>0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33"/>
        <v>1</v>
      </c>
      <c r="AG336" s="1">
        <f t="shared" si="134"/>
        <v>0</v>
      </c>
      <c r="AH336" s="1">
        <f t="shared" si="135"/>
        <v>1</v>
      </c>
      <c r="AI336" s="1">
        <f t="shared" si="136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778</v>
      </c>
      <c r="E337" s="32" t="s">
        <v>898</v>
      </c>
      <c r="F337" s="32" t="s">
        <v>1545</v>
      </c>
      <c r="G337" s="32" t="s">
        <v>229</v>
      </c>
      <c r="H337" s="32" t="s">
        <v>352</v>
      </c>
      <c r="I337" s="31" t="s">
        <v>1667</v>
      </c>
      <c r="J337" s="31">
        <v>7</v>
      </c>
      <c r="K337" s="33" t="s">
        <v>709</v>
      </c>
      <c r="L337" s="33">
        <v>20</v>
      </c>
      <c r="M337" s="34" t="s">
        <v>39</v>
      </c>
      <c r="N337" s="34" t="s">
        <v>1720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1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33"/>
        <v>0</v>
      </c>
      <c r="AG337" s="1">
        <f t="shared" si="134"/>
        <v>1</v>
      </c>
      <c r="AH337" s="1">
        <f t="shared" si="135"/>
        <v>0</v>
      </c>
      <c r="AI337" s="1">
        <f t="shared" si="13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845</v>
      </c>
      <c r="G338" s="32" t="s">
        <v>219</v>
      </c>
      <c r="H338" s="32" t="s">
        <v>352</v>
      </c>
      <c r="I338" s="31" t="s">
        <v>846</v>
      </c>
      <c r="J338" s="31">
        <v>8</v>
      </c>
      <c r="K338" s="33" t="s">
        <v>709</v>
      </c>
      <c r="L338" s="33" t="s">
        <v>712</v>
      </c>
      <c r="M338" s="34" t="s">
        <v>1389</v>
      </c>
      <c r="N338" s="34" t="s">
        <v>1714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1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ht="14.25" customHeight="1" x14ac:dyDescent="0.25">
      <c r="A339" s="31">
        <v>1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1332</v>
      </c>
      <c r="G339" s="32" t="s">
        <v>193</v>
      </c>
      <c r="H339" s="32" t="s">
        <v>352</v>
      </c>
      <c r="I339" s="31" t="s">
        <v>844</v>
      </c>
      <c r="J339" s="31">
        <v>9</v>
      </c>
      <c r="K339" s="33" t="s">
        <v>709</v>
      </c>
      <c r="L339" s="33" t="s">
        <v>712</v>
      </c>
      <c r="M339" s="34" t="s">
        <v>1389</v>
      </c>
      <c r="N339" s="34" t="s">
        <v>1714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1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ref="AF339:AF403" si="171">+O339*P339*(1-A339)</f>
        <v>0</v>
      </c>
      <c r="AG339" s="1">
        <f t="shared" ref="AG339:AG403" si="172">O339*(1-P339)*(1-A339)</f>
        <v>0</v>
      </c>
      <c r="AH339" s="1">
        <f t="shared" ref="AH339:AH403" si="173">+P339*(1-A339)</f>
        <v>0</v>
      </c>
      <c r="AI339" s="1">
        <f t="shared" ref="AI339:AI403" si="174">+(1-A339)*(1-P339)</f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907</v>
      </c>
      <c r="E340" s="32" t="s">
        <v>776</v>
      </c>
      <c r="F340" s="32" t="s">
        <v>777</v>
      </c>
      <c r="G340" s="32" t="s">
        <v>229</v>
      </c>
      <c r="H340" s="32" t="s">
        <v>352</v>
      </c>
      <c r="I340" s="31" t="s">
        <v>779</v>
      </c>
      <c r="J340" s="31">
        <v>7</v>
      </c>
      <c r="K340" s="33" t="s">
        <v>708</v>
      </c>
      <c r="L340" s="33">
        <v>15</v>
      </c>
      <c r="M340" s="34" t="s">
        <v>39</v>
      </c>
      <c r="N340" s="34" t="s">
        <v>1714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1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si="171"/>
        <v>0</v>
      </c>
      <c r="AG340" s="1">
        <f t="shared" si="172"/>
        <v>1</v>
      </c>
      <c r="AH340" s="1">
        <f t="shared" si="173"/>
        <v>0</v>
      </c>
      <c r="AI340" s="1">
        <f t="shared" si="17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83</v>
      </c>
      <c r="E341" s="32" t="s">
        <v>156</v>
      </c>
      <c r="F341" s="32" t="s">
        <v>1843</v>
      </c>
      <c r="G341" s="32" t="s">
        <v>208</v>
      </c>
      <c r="H341" s="32" t="s">
        <v>352</v>
      </c>
      <c r="I341" s="31" t="s">
        <v>430</v>
      </c>
      <c r="J341" s="31">
        <v>99</v>
      </c>
      <c r="K341" s="33" t="s">
        <v>941</v>
      </c>
      <c r="L341" s="33" t="s">
        <v>700</v>
      </c>
      <c r="M341" s="34" t="s">
        <v>715</v>
      </c>
      <c r="N341" s="34" t="s">
        <v>1714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1538</v>
      </c>
      <c r="E342" s="32" t="s">
        <v>1314</v>
      </c>
      <c r="F342" s="32" t="s">
        <v>1539</v>
      </c>
      <c r="G342" s="32" t="s">
        <v>1150</v>
      </c>
      <c r="H342" s="32" t="s">
        <v>352</v>
      </c>
      <c r="I342" s="31" t="s">
        <v>1540</v>
      </c>
      <c r="J342" s="31">
        <v>1</v>
      </c>
      <c r="K342" s="33" t="s">
        <v>709</v>
      </c>
      <c r="L342" s="33" t="s">
        <v>39</v>
      </c>
      <c r="M342" s="34" t="s">
        <v>39</v>
      </c>
      <c r="N342" s="34" t="s">
        <v>1700</v>
      </c>
      <c r="O342" s="35">
        <v>1</v>
      </c>
      <c r="P342" s="35">
        <v>1</v>
      </c>
      <c r="Q342" s="32"/>
      <c r="S342" s="1">
        <f t="shared" si="137"/>
        <v>1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1</v>
      </c>
      <c r="AE342" s="1">
        <f t="shared" si="148"/>
        <v>0</v>
      </c>
      <c r="AF342" s="1">
        <f t="shared" si="171"/>
        <v>1</v>
      </c>
      <c r="AG342" s="1">
        <f t="shared" si="172"/>
        <v>0</v>
      </c>
      <c r="AH342" s="1">
        <f t="shared" si="173"/>
        <v>1</v>
      </c>
      <c r="AI342" s="1">
        <f t="shared" si="174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1715</v>
      </c>
      <c r="E343" s="32" t="s">
        <v>27</v>
      </c>
      <c r="F343" s="32" t="s">
        <v>1031</v>
      </c>
      <c r="G343" s="32" t="s">
        <v>219</v>
      </c>
      <c r="H343" s="32" t="s">
        <v>352</v>
      </c>
      <c r="I343" s="31" t="s">
        <v>1032</v>
      </c>
      <c r="J343" s="31">
        <v>8</v>
      </c>
      <c r="K343" s="33" t="s">
        <v>709</v>
      </c>
      <c r="L343" s="33">
        <v>25</v>
      </c>
      <c r="M343" s="34" t="s">
        <v>1716</v>
      </c>
      <c r="N343" s="34" t="s">
        <v>1700</v>
      </c>
      <c r="O343" s="35">
        <v>1</v>
      </c>
      <c r="P343" s="35">
        <v>1</v>
      </c>
      <c r="Q343" s="32"/>
      <c r="S343" s="1">
        <f t="shared" ref="S343:S407" si="175">IF(J343=$S$7,1,0)</f>
        <v>0</v>
      </c>
      <c r="T343" s="1">
        <f t="shared" ref="T343:T407" si="176">IF(J343=$T$7,1,0)</f>
        <v>0</v>
      </c>
      <c r="U343" s="1">
        <f t="shared" ref="U343:U407" si="177">IF(J343=$U$7,1,0)</f>
        <v>0</v>
      </c>
      <c r="V343" s="1">
        <f t="shared" ref="V343:V407" si="178">IF(J343=$V$7,1,0)</f>
        <v>0</v>
      </c>
      <c r="W343" s="1">
        <f t="shared" ref="W343:W407" si="179">IF(J343=$W$7,1,0)</f>
        <v>0</v>
      </c>
      <c r="X343" s="1">
        <f t="shared" ref="X343:X407" si="180">IF(J343=$X$7,1,0)</f>
        <v>0</v>
      </c>
      <c r="Y343" s="1">
        <f t="shared" ref="Y343:Y407" si="181">IF(J343=$Y$7,1,0)</f>
        <v>0</v>
      </c>
      <c r="Z343" s="1">
        <f t="shared" ref="Z343:Z407" si="182">IF(J343=$Z$7,1,0)</f>
        <v>1</v>
      </c>
      <c r="AA343" s="1">
        <f t="shared" ref="AA343:AA407" si="183">IF(J343=$AA$7,1,0)</f>
        <v>0</v>
      </c>
      <c r="AB343" s="1">
        <f t="shared" ref="AB343:AB407" si="184">IF(J343=$AB$7,1,0)</f>
        <v>0</v>
      </c>
      <c r="AD343" s="1">
        <f t="shared" ref="AD343:AD407" si="185">+O343*P343</f>
        <v>1</v>
      </c>
      <c r="AE343" s="1">
        <f t="shared" ref="AE343:AE407" si="186">O343*(1-P343)</f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45</v>
      </c>
      <c r="E344" s="32" t="s">
        <v>44</v>
      </c>
      <c r="F344" s="32" t="s">
        <v>665</v>
      </c>
      <c r="G344" s="32" t="s">
        <v>179</v>
      </c>
      <c r="H344" s="32" t="s">
        <v>352</v>
      </c>
      <c r="I344" s="31" t="s">
        <v>937</v>
      </c>
      <c r="J344" s="31">
        <v>10</v>
      </c>
      <c r="K344" s="33" t="s">
        <v>709</v>
      </c>
      <c r="L344" s="33" t="s">
        <v>716</v>
      </c>
      <c r="M344" s="34" t="s">
        <v>717</v>
      </c>
      <c r="N344" s="34" t="s">
        <v>1700</v>
      </c>
      <c r="O344" s="35">
        <v>1</v>
      </c>
      <c r="P344" s="35">
        <v>1</v>
      </c>
      <c r="Q344" s="32"/>
      <c r="S344" s="1">
        <f t="shared" si="175"/>
        <v>0</v>
      </c>
      <c r="T344" s="1">
        <f t="shared" si="176"/>
        <v>0</v>
      </c>
      <c r="U344" s="1">
        <f t="shared" si="177"/>
        <v>0</v>
      </c>
      <c r="V344" s="1">
        <f t="shared" si="178"/>
        <v>0</v>
      </c>
      <c r="W344" s="1">
        <f t="shared" si="179"/>
        <v>0</v>
      </c>
      <c r="X344" s="1">
        <f t="shared" si="180"/>
        <v>0</v>
      </c>
      <c r="Y344" s="1">
        <f t="shared" si="181"/>
        <v>0</v>
      </c>
      <c r="Z344" s="1">
        <f t="shared" si="182"/>
        <v>0</v>
      </c>
      <c r="AA344" s="1">
        <f t="shared" si="183"/>
        <v>0</v>
      </c>
      <c r="AB344" s="1">
        <f t="shared" si="184"/>
        <v>1</v>
      </c>
      <c r="AD344" s="1">
        <f t="shared" si="185"/>
        <v>1</v>
      </c>
      <c r="AE344" s="1">
        <f t="shared" si="186"/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1423</v>
      </c>
      <c r="E345" s="32" t="s">
        <v>1627</v>
      </c>
      <c r="F345" s="32" t="s">
        <v>1642</v>
      </c>
      <c r="G345" s="32" t="s">
        <v>229</v>
      </c>
      <c r="H345" s="32" t="s">
        <v>352</v>
      </c>
      <c r="I345" s="31" t="s">
        <v>1424</v>
      </c>
      <c r="J345" s="31">
        <v>99</v>
      </c>
      <c r="K345" s="33" t="s">
        <v>942</v>
      </c>
      <c r="L345" s="33">
        <v>20</v>
      </c>
      <c r="M345" s="34" t="s">
        <v>39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0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ht="14.25" customHeight="1" x14ac:dyDescent="0.25">
      <c r="A346" s="59">
        <v>0</v>
      </c>
      <c r="B346" s="59">
        <v>2</v>
      </c>
      <c r="C346" s="59">
        <v>2</v>
      </c>
      <c r="D346" s="49" t="s">
        <v>1960</v>
      </c>
      <c r="E346" s="49" t="s">
        <v>2045</v>
      </c>
      <c r="F346" s="49" t="s">
        <v>1961</v>
      </c>
      <c r="G346" s="49" t="s">
        <v>178</v>
      </c>
      <c r="H346" s="49" t="s">
        <v>352</v>
      </c>
      <c r="I346" s="59" t="s">
        <v>1962</v>
      </c>
      <c r="J346" s="59"/>
      <c r="K346" s="59" t="s">
        <v>699</v>
      </c>
      <c r="L346" s="59"/>
      <c r="M346" s="49"/>
      <c r="N346" s="49"/>
      <c r="O346" s="60"/>
      <c r="P346" s="60">
        <v>1</v>
      </c>
      <c r="Q346" s="49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0</v>
      </c>
      <c r="AE346" s="1">
        <f t="shared" si="186"/>
        <v>0</v>
      </c>
      <c r="AF346" s="1">
        <f t="shared" si="171"/>
        <v>0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602</v>
      </c>
      <c r="E347" s="32" t="s">
        <v>603</v>
      </c>
      <c r="F347" s="32" t="s">
        <v>604</v>
      </c>
      <c r="G347" s="32" t="s">
        <v>256</v>
      </c>
      <c r="H347" s="32" t="s">
        <v>352</v>
      </c>
      <c r="I347" s="31" t="s">
        <v>605</v>
      </c>
      <c r="J347" s="31">
        <v>99</v>
      </c>
      <c r="K347" s="33" t="s">
        <v>942</v>
      </c>
      <c r="L347" s="33" t="s">
        <v>700</v>
      </c>
      <c r="M347" s="34" t="s">
        <v>1390</v>
      </c>
      <c r="N347" s="34" t="s">
        <v>1714</v>
      </c>
      <c r="O347" s="35">
        <v>1</v>
      </c>
      <c r="P347" s="35"/>
      <c r="Q347" s="32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1</v>
      </c>
      <c r="AF347" s="1">
        <f t="shared" si="171"/>
        <v>0</v>
      </c>
      <c r="AG347" s="1">
        <f t="shared" si="172"/>
        <v>1</v>
      </c>
      <c r="AH347" s="1">
        <f t="shared" si="173"/>
        <v>0</v>
      </c>
      <c r="AI347" s="1">
        <f t="shared" si="174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1896</v>
      </c>
      <c r="E348" s="32" t="s">
        <v>1897</v>
      </c>
      <c r="F348" s="32" t="s">
        <v>1898</v>
      </c>
      <c r="G348" s="32" t="s">
        <v>183</v>
      </c>
      <c r="H348" s="32" t="s">
        <v>352</v>
      </c>
      <c r="I348" s="31" t="s">
        <v>1900</v>
      </c>
      <c r="J348" s="31">
        <v>99</v>
      </c>
      <c r="K348" s="33" t="s">
        <v>699</v>
      </c>
      <c r="L348" s="33"/>
      <c r="M348" s="34"/>
      <c r="N348" s="34" t="s">
        <v>1700</v>
      </c>
      <c r="O348" s="35">
        <v>1</v>
      </c>
      <c r="P348" s="35">
        <v>1</v>
      </c>
      <c r="Q348" s="32" t="s">
        <v>1899</v>
      </c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1</v>
      </c>
      <c r="AE348" s="1">
        <f t="shared" si="186"/>
        <v>0</v>
      </c>
      <c r="AF348" s="1">
        <f t="shared" si="171"/>
        <v>1</v>
      </c>
      <c r="AG348" s="1">
        <f t="shared" si="172"/>
        <v>0</v>
      </c>
      <c r="AH348" s="1">
        <f t="shared" si="173"/>
        <v>1</v>
      </c>
      <c r="AI348" s="1">
        <f t="shared" si="174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1617</v>
      </c>
      <c r="E349" s="32" t="s">
        <v>1152</v>
      </c>
      <c r="F349" s="32" t="s">
        <v>1648</v>
      </c>
      <c r="G349" s="32" t="s">
        <v>179</v>
      </c>
      <c r="H349" s="32" t="s">
        <v>352</v>
      </c>
      <c r="I349" s="31" t="s">
        <v>1469</v>
      </c>
      <c r="J349" s="31">
        <v>10</v>
      </c>
      <c r="K349" s="33" t="s">
        <v>708</v>
      </c>
      <c r="L349" s="33">
        <v>15</v>
      </c>
      <c r="M349" s="34" t="s">
        <v>39</v>
      </c>
      <c r="N349" s="34" t="s">
        <v>1760</v>
      </c>
      <c r="O349" s="35">
        <v>1</v>
      </c>
      <c r="P349" s="35"/>
      <c r="Q349" s="32"/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1</v>
      </c>
      <c r="AD349" s="1">
        <f t="shared" si="185"/>
        <v>0</v>
      </c>
      <c r="AE349" s="1">
        <f t="shared" si="186"/>
        <v>1</v>
      </c>
      <c r="AF349" s="1">
        <f t="shared" si="171"/>
        <v>0</v>
      </c>
      <c r="AG349" s="1">
        <f t="shared" si="172"/>
        <v>1</v>
      </c>
      <c r="AH349" s="1">
        <f t="shared" si="173"/>
        <v>0</v>
      </c>
      <c r="AI349" s="1">
        <f t="shared" si="174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853</v>
      </c>
      <c r="E350" s="32" t="s">
        <v>540</v>
      </c>
      <c r="F350" s="32" t="s">
        <v>854</v>
      </c>
      <c r="G350" s="32" t="s">
        <v>312</v>
      </c>
      <c r="H350" s="32" t="s">
        <v>352</v>
      </c>
      <c r="I350" s="31" t="s">
        <v>855</v>
      </c>
      <c r="J350" s="31">
        <v>1</v>
      </c>
      <c r="K350" s="33" t="s">
        <v>708</v>
      </c>
      <c r="L350" s="33">
        <v>25</v>
      </c>
      <c r="M350" s="34" t="s">
        <v>39</v>
      </c>
      <c r="N350" s="34" t="s">
        <v>1714</v>
      </c>
      <c r="O350" s="35">
        <v>1</v>
      </c>
      <c r="P350" s="35"/>
      <c r="Q350" s="32"/>
      <c r="S350" s="1">
        <f t="shared" si="175"/>
        <v>1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0</v>
      </c>
      <c r="AD350" s="1">
        <f t="shared" si="185"/>
        <v>0</v>
      </c>
      <c r="AE350" s="1">
        <f t="shared" si="186"/>
        <v>1</v>
      </c>
      <c r="AF350" s="1">
        <f t="shared" si="171"/>
        <v>0</v>
      </c>
      <c r="AG350" s="1">
        <f t="shared" si="172"/>
        <v>1</v>
      </c>
      <c r="AH350" s="1">
        <f t="shared" si="173"/>
        <v>0</v>
      </c>
      <c r="AI350" s="1">
        <f t="shared" si="174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564</v>
      </c>
      <c r="E351" s="32" t="s">
        <v>38</v>
      </c>
      <c r="F351" s="32" t="s">
        <v>236</v>
      </c>
      <c r="G351" s="32" t="s">
        <v>535</v>
      </c>
      <c r="H351" s="32" t="s">
        <v>352</v>
      </c>
      <c r="I351" s="31" t="s">
        <v>401</v>
      </c>
      <c r="J351" s="31">
        <v>1</v>
      </c>
      <c r="K351" s="33" t="s">
        <v>708</v>
      </c>
      <c r="L351" s="33" t="s">
        <v>720</v>
      </c>
      <c r="M351" s="34" t="s">
        <v>721</v>
      </c>
      <c r="N351" s="34" t="s">
        <v>1700</v>
      </c>
      <c r="O351" s="35">
        <v>1</v>
      </c>
      <c r="P351" s="35">
        <v>1</v>
      </c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1</v>
      </c>
      <c r="AE351" s="1">
        <f t="shared" si="186"/>
        <v>0</v>
      </c>
      <c r="AF351" s="1">
        <f t="shared" si="171"/>
        <v>1</v>
      </c>
      <c r="AG351" s="1">
        <f t="shared" si="172"/>
        <v>0</v>
      </c>
      <c r="AH351" s="1">
        <f t="shared" si="173"/>
        <v>1</v>
      </c>
      <c r="AI351" s="1">
        <f t="shared" si="174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841</v>
      </c>
      <c r="E352" s="32" t="s">
        <v>34</v>
      </c>
      <c r="F352" s="32" t="s">
        <v>915</v>
      </c>
      <c r="G352" s="32" t="s">
        <v>634</v>
      </c>
      <c r="H352" s="32" t="s">
        <v>352</v>
      </c>
      <c r="I352" s="31" t="s">
        <v>842</v>
      </c>
      <c r="J352" s="31">
        <v>1</v>
      </c>
      <c r="K352" s="33" t="s">
        <v>941</v>
      </c>
      <c r="L352" s="33" t="s">
        <v>725</v>
      </c>
      <c r="M352" s="34" t="s">
        <v>719</v>
      </c>
      <c r="N352" s="34" t="s">
        <v>1714</v>
      </c>
      <c r="O352" s="35">
        <v>1</v>
      </c>
      <c r="P352" s="35"/>
      <c r="Q352" s="32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0</v>
      </c>
      <c r="AE352" s="1">
        <f t="shared" si="186"/>
        <v>1</v>
      </c>
      <c r="AF352" s="1">
        <f t="shared" si="171"/>
        <v>0</v>
      </c>
      <c r="AG352" s="1">
        <f t="shared" si="172"/>
        <v>1</v>
      </c>
      <c r="AH352" s="1">
        <f t="shared" si="173"/>
        <v>0</v>
      </c>
      <c r="AI352" s="1">
        <f t="shared" si="174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784</v>
      </c>
      <c r="E353" s="45" t="s">
        <v>32</v>
      </c>
      <c r="F353" s="45" t="s">
        <v>785</v>
      </c>
      <c r="G353" s="45" t="s">
        <v>250</v>
      </c>
      <c r="H353" s="45" t="s">
        <v>352</v>
      </c>
      <c r="I353" s="44" t="s">
        <v>786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1780</v>
      </c>
      <c r="O353" s="48"/>
      <c r="P353" s="48"/>
      <c r="Q353" s="45"/>
      <c r="S353" s="1">
        <f t="shared" si="175"/>
        <v>0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0</v>
      </c>
      <c r="AF353" s="1">
        <f t="shared" si="171"/>
        <v>0</v>
      </c>
      <c r="AG353" s="1">
        <f t="shared" si="172"/>
        <v>0</v>
      </c>
      <c r="AH353" s="1">
        <f t="shared" si="173"/>
        <v>0</v>
      </c>
      <c r="AI353" s="1">
        <f t="shared" si="174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56</v>
      </c>
      <c r="E354" s="45" t="s">
        <v>160</v>
      </c>
      <c r="F354" s="45" t="s">
        <v>218</v>
      </c>
      <c r="G354" s="45" t="s">
        <v>195</v>
      </c>
      <c r="H354" s="45" t="s">
        <v>352</v>
      </c>
      <c r="I354" s="44" t="s">
        <v>547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1773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1159</v>
      </c>
      <c r="E355" s="32" t="s">
        <v>1315</v>
      </c>
      <c r="F355" s="32" t="s">
        <v>1160</v>
      </c>
      <c r="G355" s="32" t="s">
        <v>300</v>
      </c>
      <c r="H355" s="32" t="s">
        <v>352</v>
      </c>
      <c r="I355" s="31" t="s">
        <v>1161</v>
      </c>
      <c r="J355" s="31">
        <v>1</v>
      </c>
      <c r="K355" s="33" t="s">
        <v>942</v>
      </c>
      <c r="L355" s="33" t="s">
        <v>689</v>
      </c>
      <c r="M355" s="34" t="s">
        <v>1391</v>
      </c>
      <c r="N355" s="34" t="s">
        <v>1714</v>
      </c>
      <c r="O355" s="35">
        <v>1</v>
      </c>
      <c r="P355" s="35"/>
      <c r="Q355" s="32"/>
      <c r="S355" s="1">
        <f t="shared" si="175"/>
        <v>1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1</v>
      </c>
      <c r="AF355" s="1">
        <f t="shared" si="171"/>
        <v>0</v>
      </c>
      <c r="AG355" s="1">
        <f t="shared" si="172"/>
        <v>1</v>
      </c>
      <c r="AH355" s="1">
        <f t="shared" si="173"/>
        <v>0</v>
      </c>
      <c r="AI355" s="1">
        <f t="shared" si="174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1156</v>
      </c>
      <c r="E356" s="32" t="s">
        <v>1315</v>
      </c>
      <c r="F356" s="32" t="s">
        <v>1157</v>
      </c>
      <c r="G356" s="32" t="s">
        <v>1043</v>
      </c>
      <c r="H356" s="32" t="s">
        <v>352</v>
      </c>
      <c r="I356" s="31" t="s">
        <v>1158</v>
      </c>
      <c r="J356" s="31">
        <v>1</v>
      </c>
      <c r="K356" s="33" t="s">
        <v>709</v>
      </c>
      <c r="L356" s="33" t="s">
        <v>689</v>
      </c>
      <c r="M356" s="34" t="s">
        <v>1391</v>
      </c>
      <c r="N356" s="34" t="s">
        <v>1714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1274</v>
      </c>
      <c r="E357" s="32" t="s">
        <v>32</v>
      </c>
      <c r="F357" s="32" t="s">
        <v>1275</v>
      </c>
      <c r="G357" s="32" t="s">
        <v>221</v>
      </c>
      <c r="H357" s="32" t="s">
        <v>352</v>
      </c>
      <c r="I357" s="31" t="s">
        <v>1662</v>
      </c>
      <c r="J357" s="31">
        <v>99</v>
      </c>
      <c r="K357" s="33" t="s">
        <v>709</v>
      </c>
      <c r="L357" s="33" t="s">
        <v>712</v>
      </c>
      <c r="M357" s="34" t="s">
        <v>1276</v>
      </c>
      <c r="N357" s="34" t="s">
        <v>1700</v>
      </c>
      <c r="O357" s="35">
        <v>1</v>
      </c>
      <c r="P357" s="35">
        <v>1</v>
      </c>
      <c r="Q357" s="32"/>
      <c r="S357" s="1">
        <f t="shared" si="175"/>
        <v>0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1</v>
      </c>
      <c r="AE357" s="1">
        <f t="shared" si="186"/>
        <v>0</v>
      </c>
      <c r="AF357" s="1">
        <f t="shared" si="171"/>
        <v>1</v>
      </c>
      <c r="AG357" s="1">
        <f t="shared" si="172"/>
        <v>0</v>
      </c>
      <c r="AH357" s="1">
        <f t="shared" si="173"/>
        <v>1</v>
      </c>
      <c r="AI357" s="1">
        <f t="shared" si="174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752</v>
      </c>
      <c r="E358" s="32" t="s">
        <v>902</v>
      </c>
      <c r="F358" s="32" t="s">
        <v>753</v>
      </c>
      <c r="G358" s="32" t="s">
        <v>219</v>
      </c>
      <c r="H358" s="32" t="s">
        <v>352</v>
      </c>
      <c r="I358" s="31" t="s">
        <v>754</v>
      </c>
      <c r="J358" s="31">
        <v>8</v>
      </c>
      <c r="K358" s="33" t="s">
        <v>942</v>
      </c>
      <c r="L358" s="33" t="s">
        <v>725</v>
      </c>
      <c r="M358" s="34" t="s">
        <v>719</v>
      </c>
      <c r="N358" s="34" t="s">
        <v>1719</v>
      </c>
      <c r="O358" s="35">
        <v>1</v>
      </c>
      <c r="P358" s="35"/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1</v>
      </c>
      <c r="AA358" s="1">
        <f t="shared" si="183"/>
        <v>0</v>
      </c>
      <c r="AB358" s="1">
        <f t="shared" si="184"/>
        <v>0</v>
      </c>
      <c r="AD358" s="1">
        <f t="shared" si="185"/>
        <v>0</v>
      </c>
      <c r="AE358" s="1">
        <f t="shared" si="186"/>
        <v>1</v>
      </c>
      <c r="AF358" s="1">
        <f t="shared" si="171"/>
        <v>0</v>
      </c>
      <c r="AG358" s="1">
        <f t="shared" si="172"/>
        <v>1</v>
      </c>
      <c r="AH358" s="1">
        <f t="shared" si="173"/>
        <v>0</v>
      </c>
      <c r="AI358" s="1">
        <f t="shared" si="174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1470</v>
      </c>
      <c r="E359" s="45" t="s">
        <v>1471</v>
      </c>
      <c r="F359" s="45" t="s">
        <v>1472</v>
      </c>
      <c r="G359" s="45" t="s">
        <v>237</v>
      </c>
      <c r="H359" s="45" t="s">
        <v>352</v>
      </c>
      <c r="I359" s="44" t="s">
        <v>1473</v>
      </c>
      <c r="J359" s="44">
        <v>4</v>
      </c>
      <c r="K359" s="46" t="s">
        <v>708</v>
      </c>
      <c r="L359" s="46">
        <v>15</v>
      </c>
      <c r="M359" s="47" t="s">
        <v>39</v>
      </c>
      <c r="N359" s="47" t="s">
        <v>1773</v>
      </c>
      <c r="O359" s="48"/>
      <c r="P359" s="48"/>
      <c r="Q359" s="45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1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0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0</v>
      </c>
      <c r="AF359" s="1">
        <f t="shared" si="171"/>
        <v>0</v>
      </c>
      <c r="AG359" s="1">
        <f t="shared" si="172"/>
        <v>0</v>
      </c>
      <c r="AH359" s="1">
        <f t="shared" si="173"/>
        <v>0</v>
      </c>
      <c r="AI359" s="1">
        <f t="shared" si="174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1527</v>
      </c>
      <c r="E360" s="32" t="s">
        <v>1528</v>
      </c>
      <c r="F360" s="32" t="s">
        <v>1529</v>
      </c>
      <c r="G360" s="32" t="s">
        <v>1530</v>
      </c>
      <c r="H360" s="32" t="s">
        <v>352</v>
      </c>
      <c r="I360" s="31" t="s">
        <v>1531</v>
      </c>
      <c r="J360" s="31">
        <v>7</v>
      </c>
      <c r="K360" s="33" t="s">
        <v>942</v>
      </c>
      <c r="L360" s="33">
        <v>10</v>
      </c>
      <c r="M360" s="34" t="s">
        <v>39</v>
      </c>
      <c r="N360" s="34" t="s">
        <v>1714</v>
      </c>
      <c r="O360" s="35">
        <v>1</v>
      </c>
      <c r="P360" s="35"/>
      <c r="Q360" s="32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0</v>
      </c>
      <c r="W360" s="1">
        <f t="shared" si="179"/>
        <v>0</v>
      </c>
      <c r="X360" s="1">
        <f t="shared" si="180"/>
        <v>0</v>
      </c>
      <c r="Y360" s="1">
        <f t="shared" si="181"/>
        <v>1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1</v>
      </c>
      <c r="AF360" s="1">
        <f t="shared" si="171"/>
        <v>0</v>
      </c>
      <c r="AG360" s="1">
        <f t="shared" si="172"/>
        <v>1</v>
      </c>
      <c r="AH360" s="1">
        <f t="shared" si="173"/>
        <v>0</v>
      </c>
      <c r="AI360" s="1">
        <f t="shared" si="174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832</v>
      </c>
      <c r="E361" s="32" t="s">
        <v>32</v>
      </c>
      <c r="F361" s="32" t="s">
        <v>834</v>
      </c>
      <c r="G361" s="32" t="s">
        <v>39</v>
      </c>
      <c r="H361" s="32" t="s">
        <v>352</v>
      </c>
      <c r="I361" s="31" t="s">
        <v>833</v>
      </c>
      <c r="J361" s="31">
        <v>1</v>
      </c>
      <c r="K361" s="33" t="s">
        <v>709</v>
      </c>
      <c r="L361" s="33" t="s">
        <v>690</v>
      </c>
      <c r="M361" s="34" t="s">
        <v>1391</v>
      </c>
      <c r="N361" s="34" t="s">
        <v>1714</v>
      </c>
      <c r="O361" s="35">
        <v>1</v>
      </c>
      <c r="P361" s="35"/>
      <c r="Q361" s="32"/>
      <c r="S361" s="1">
        <f t="shared" si="175"/>
        <v>1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0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755</v>
      </c>
      <c r="E362" s="16" t="s">
        <v>756</v>
      </c>
      <c r="F362" s="16" t="s">
        <v>757</v>
      </c>
      <c r="G362" s="16" t="s">
        <v>758</v>
      </c>
      <c r="H362" s="16" t="s">
        <v>352</v>
      </c>
      <c r="I362" s="15" t="s">
        <v>759</v>
      </c>
      <c r="J362" s="15">
        <v>99</v>
      </c>
      <c r="K362" s="10" t="s">
        <v>699</v>
      </c>
      <c r="L362" s="10">
        <v>15</v>
      </c>
      <c r="M362" s="19" t="s">
        <v>760</v>
      </c>
      <c r="N362" s="19"/>
      <c r="Q362" s="16"/>
      <c r="S362" s="1">
        <f t="shared" si="175"/>
        <v>0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0</v>
      </c>
      <c r="AF362" s="1">
        <f t="shared" si="171"/>
        <v>0</v>
      </c>
      <c r="AG362" s="1">
        <f t="shared" si="172"/>
        <v>0</v>
      </c>
      <c r="AH362" s="1">
        <f t="shared" si="173"/>
        <v>0</v>
      </c>
      <c r="AI362" s="1">
        <f t="shared" si="174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789</v>
      </c>
      <c r="E363" s="32" t="s">
        <v>897</v>
      </c>
      <c r="F363" s="32" t="s">
        <v>914</v>
      </c>
      <c r="G363" s="32" t="s">
        <v>207</v>
      </c>
      <c r="H363" s="32" t="s">
        <v>352</v>
      </c>
      <c r="I363" s="31" t="s">
        <v>1341</v>
      </c>
      <c r="J363" s="31">
        <v>3</v>
      </c>
      <c r="K363" s="33" t="s">
        <v>699</v>
      </c>
      <c r="L363" s="33">
        <v>20</v>
      </c>
      <c r="M363" s="34" t="s">
        <v>1393</v>
      </c>
      <c r="N363" s="34" t="s">
        <v>1796</v>
      </c>
      <c r="O363" s="35">
        <v>1</v>
      </c>
      <c r="P363" s="35"/>
      <c r="Q363" s="32"/>
      <c r="S363" s="1">
        <f t="shared" si="175"/>
        <v>0</v>
      </c>
      <c r="T363" s="1">
        <f t="shared" si="176"/>
        <v>0</v>
      </c>
      <c r="U363" s="1">
        <f t="shared" si="177"/>
        <v>1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1</v>
      </c>
      <c r="AF363" s="1">
        <f t="shared" si="171"/>
        <v>0</v>
      </c>
      <c r="AG363" s="1">
        <f t="shared" si="172"/>
        <v>1</v>
      </c>
      <c r="AH363" s="1">
        <f t="shared" si="173"/>
        <v>0</v>
      </c>
      <c r="AI363" s="1">
        <f t="shared" si="174"/>
        <v>1</v>
      </c>
    </row>
    <row r="364" spans="1:35" ht="14.25" customHeight="1" x14ac:dyDescent="0.25">
      <c r="A364" s="51">
        <v>0</v>
      </c>
      <c r="B364" s="51">
        <v>2</v>
      </c>
      <c r="C364" s="51">
        <v>4</v>
      </c>
      <c r="D364" s="52" t="s">
        <v>563</v>
      </c>
      <c r="E364" s="52" t="s">
        <v>37</v>
      </c>
      <c r="F364" s="52" t="s">
        <v>204</v>
      </c>
      <c r="G364" s="52" t="s">
        <v>39</v>
      </c>
      <c r="H364" s="52" t="s">
        <v>352</v>
      </c>
      <c r="I364" s="51" t="s">
        <v>387</v>
      </c>
      <c r="J364" s="51">
        <v>6</v>
      </c>
      <c r="K364" s="53" t="s">
        <v>699</v>
      </c>
      <c r="L364" s="53" t="s">
        <v>39</v>
      </c>
      <c r="M364" s="54" t="s">
        <v>39</v>
      </c>
      <c r="N364" s="55"/>
      <c r="O364" s="56"/>
      <c r="P364" s="56"/>
      <c r="Q364" s="52"/>
      <c r="S364" s="1">
        <f t="shared" si="175"/>
        <v>0</v>
      </c>
      <c r="T364" s="1">
        <f t="shared" si="176"/>
        <v>0</v>
      </c>
      <c r="U364" s="1">
        <f t="shared" si="177"/>
        <v>0</v>
      </c>
      <c r="V364" s="1">
        <f t="shared" si="178"/>
        <v>0</v>
      </c>
      <c r="W364" s="1">
        <f t="shared" si="179"/>
        <v>0</v>
      </c>
      <c r="X364" s="1">
        <f t="shared" si="180"/>
        <v>1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0</v>
      </c>
      <c r="AF364" s="1">
        <f t="shared" si="171"/>
        <v>0</v>
      </c>
      <c r="AG364" s="1">
        <f t="shared" si="172"/>
        <v>0</v>
      </c>
      <c r="AH364" s="1">
        <f t="shared" si="173"/>
        <v>0</v>
      </c>
      <c r="AI364" s="1">
        <f t="shared" si="17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649</v>
      </c>
      <c r="E365" s="45" t="s">
        <v>899</v>
      </c>
      <c r="F365" s="45" t="s">
        <v>620</v>
      </c>
      <c r="G365" s="45" t="s">
        <v>339</v>
      </c>
      <c r="H365" s="45" t="s">
        <v>352</v>
      </c>
      <c r="I365" s="44" t="s">
        <v>621</v>
      </c>
      <c r="J365" s="44">
        <v>10</v>
      </c>
      <c r="K365" s="46" t="s">
        <v>941</v>
      </c>
      <c r="L365" s="46" t="s">
        <v>700</v>
      </c>
      <c r="M365" s="47" t="s">
        <v>1394</v>
      </c>
      <c r="N365" s="47" t="s">
        <v>1707</v>
      </c>
      <c r="O365" s="48"/>
      <c r="P365" s="48"/>
      <c r="Q365" s="45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0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1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75</v>
      </c>
      <c r="E366" s="32" t="s">
        <v>35</v>
      </c>
      <c r="F366" s="32" t="s">
        <v>265</v>
      </c>
      <c r="G366" s="32" t="s">
        <v>212</v>
      </c>
      <c r="H366" s="32" t="s">
        <v>352</v>
      </c>
      <c r="I366" s="31" t="s">
        <v>933</v>
      </c>
      <c r="J366" s="31">
        <v>1</v>
      </c>
      <c r="K366" s="33" t="s">
        <v>709</v>
      </c>
      <c r="L366" s="33" t="s">
        <v>700</v>
      </c>
      <c r="M366" s="34" t="s">
        <v>1395</v>
      </c>
      <c r="N366" s="34" t="s">
        <v>1714</v>
      </c>
      <c r="O366" s="35">
        <v>1</v>
      </c>
      <c r="P366" s="35"/>
      <c r="Q366" s="32"/>
      <c r="S366" s="1">
        <f t="shared" si="175"/>
        <v>1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0</v>
      </c>
      <c r="AD366" s="1">
        <f t="shared" si="185"/>
        <v>0</v>
      </c>
      <c r="AE366" s="1">
        <f t="shared" si="186"/>
        <v>1</v>
      </c>
      <c r="AF366" s="1">
        <f t="shared" si="171"/>
        <v>0</v>
      </c>
      <c r="AG366" s="1">
        <f t="shared" si="172"/>
        <v>1</v>
      </c>
      <c r="AH366" s="1">
        <f t="shared" si="173"/>
        <v>0</v>
      </c>
      <c r="AI366" s="1">
        <f t="shared" si="17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908</v>
      </c>
      <c r="E367" s="32" t="s">
        <v>901</v>
      </c>
      <c r="F367" s="32" t="s">
        <v>773</v>
      </c>
      <c r="G367" s="32" t="s">
        <v>283</v>
      </c>
      <c r="H367" s="32" t="s">
        <v>352</v>
      </c>
      <c r="I367" s="31" t="s">
        <v>934</v>
      </c>
      <c r="J367" s="31">
        <v>4</v>
      </c>
      <c r="K367" s="33" t="s">
        <v>709</v>
      </c>
      <c r="L367" s="33" t="s">
        <v>692</v>
      </c>
      <c r="M367" s="34" t="s">
        <v>1396</v>
      </c>
      <c r="N367" s="34" t="s">
        <v>1720</v>
      </c>
      <c r="O367" s="35">
        <v>1</v>
      </c>
      <c r="P367" s="35"/>
      <c r="Q367" s="32"/>
      <c r="S367" s="1">
        <f t="shared" si="175"/>
        <v>0</v>
      </c>
      <c r="T367" s="1">
        <f t="shared" si="176"/>
        <v>0</v>
      </c>
      <c r="U367" s="1">
        <f t="shared" si="177"/>
        <v>0</v>
      </c>
      <c r="V367" s="1">
        <f t="shared" si="178"/>
        <v>1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625</v>
      </c>
      <c r="E368" s="16" t="s">
        <v>681</v>
      </c>
      <c r="F368" s="16" t="s">
        <v>666</v>
      </c>
      <c r="G368" s="16" t="s">
        <v>624</v>
      </c>
      <c r="H368" s="16" t="s">
        <v>352</v>
      </c>
      <c r="I368" s="15" t="s">
        <v>626</v>
      </c>
      <c r="J368" s="15">
        <v>99</v>
      </c>
      <c r="K368" s="10" t="s">
        <v>942</v>
      </c>
      <c r="L368" s="10" t="s">
        <v>39</v>
      </c>
      <c r="M368" s="19" t="s">
        <v>39</v>
      </c>
      <c r="N368" s="17"/>
      <c r="Q368" s="20" t="s">
        <v>1868</v>
      </c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0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0</v>
      </c>
      <c r="AF368" s="1">
        <f t="shared" si="171"/>
        <v>0</v>
      </c>
      <c r="AG368" s="1">
        <f t="shared" si="172"/>
        <v>0</v>
      </c>
      <c r="AH368" s="1">
        <f t="shared" si="173"/>
        <v>0</v>
      </c>
      <c r="AI368" s="1">
        <f t="shared" si="174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84</v>
      </c>
      <c r="E369" s="32" t="s">
        <v>35</v>
      </c>
      <c r="F369" s="32" t="s">
        <v>276</v>
      </c>
      <c r="G369" s="32" t="s">
        <v>223</v>
      </c>
      <c r="H369" s="32" t="s">
        <v>352</v>
      </c>
      <c r="I369" s="31" t="s">
        <v>431</v>
      </c>
      <c r="J369" s="31">
        <v>99</v>
      </c>
      <c r="K369" s="33" t="s">
        <v>941</v>
      </c>
      <c r="L369" s="33" t="s">
        <v>700</v>
      </c>
      <c r="M369" s="34" t="s">
        <v>722</v>
      </c>
      <c r="N369" s="34" t="s">
        <v>1732</v>
      </c>
      <c r="O369" s="35">
        <v>1</v>
      </c>
      <c r="P369" s="35"/>
      <c r="Q369" s="32"/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1</v>
      </c>
      <c r="AF369" s="1">
        <f t="shared" si="171"/>
        <v>0</v>
      </c>
      <c r="AG369" s="1">
        <f t="shared" si="172"/>
        <v>1</v>
      </c>
      <c r="AH369" s="1">
        <f t="shared" si="173"/>
        <v>0</v>
      </c>
      <c r="AI369" s="1">
        <f t="shared" si="174"/>
        <v>1</v>
      </c>
    </row>
    <row r="370" spans="1:35" ht="14.25" customHeight="1" x14ac:dyDescent="0.25">
      <c r="A370" s="44">
        <v>0</v>
      </c>
      <c r="B370" s="44">
        <v>2</v>
      </c>
      <c r="C370" s="44">
        <v>4</v>
      </c>
      <c r="D370" s="45" t="s">
        <v>870</v>
      </c>
      <c r="E370" s="45" t="s">
        <v>763</v>
      </c>
      <c r="F370" s="45" t="s">
        <v>868</v>
      </c>
      <c r="G370" s="45" t="s">
        <v>278</v>
      </c>
      <c r="H370" s="45" t="s">
        <v>352</v>
      </c>
      <c r="I370" s="44" t="s">
        <v>869</v>
      </c>
      <c r="J370" s="44">
        <v>99</v>
      </c>
      <c r="K370" s="46" t="s">
        <v>699</v>
      </c>
      <c r="L370" s="46">
        <v>25</v>
      </c>
      <c r="M370" s="47" t="s">
        <v>1397</v>
      </c>
      <c r="N370" s="47" t="s">
        <v>1780</v>
      </c>
      <c r="O370" s="48"/>
      <c r="P370" s="48"/>
      <c r="Q370" s="45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0</v>
      </c>
      <c r="AF370" s="1">
        <f t="shared" si="171"/>
        <v>0</v>
      </c>
      <c r="AG370" s="1">
        <f t="shared" si="172"/>
        <v>0</v>
      </c>
      <c r="AH370" s="1">
        <f t="shared" si="173"/>
        <v>0</v>
      </c>
      <c r="AI370" s="1">
        <f t="shared" si="174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911</v>
      </c>
      <c r="E371" s="32" t="s">
        <v>763</v>
      </c>
      <c r="F371" s="32" t="s">
        <v>835</v>
      </c>
      <c r="G371" s="32" t="s">
        <v>208</v>
      </c>
      <c r="H371" s="32" t="s">
        <v>352</v>
      </c>
      <c r="I371" s="31" t="s">
        <v>836</v>
      </c>
      <c r="J371" s="31">
        <v>99</v>
      </c>
      <c r="K371" s="33" t="s">
        <v>708</v>
      </c>
      <c r="L371" s="33" t="s">
        <v>700</v>
      </c>
      <c r="M371" s="34" t="s">
        <v>722</v>
      </c>
      <c r="N371" s="34" t="s">
        <v>1727</v>
      </c>
      <c r="O371" s="35">
        <v>1</v>
      </c>
      <c r="P371" s="35"/>
      <c r="Q371" s="32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1</v>
      </c>
      <c r="AF371" s="1">
        <f t="shared" si="171"/>
        <v>0</v>
      </c>
      <c r="AG371" s="1">
        <f t="shared" si="172"/>
        <v>1</v>
      </c>
      <c r="AH371" s="1">
        <f t="shared" si="173"/>
        <v>0</v>
      </c>
      <c r="AI371" s="1">
        <f t="shared" si="174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1995</v>
      </c>
      <c r="E372" s="32" t="s">
        <v>35</v>
      </c>
      <c r="F372" s="32" t="s">
        <v>1996</v>
      </c>
      <c r="G372" s="32" t="s">
        <v>208</v>
      </c>
      <c r="H372" s="32" t="s">
        <v>352</v>
      </c>
      <c r="I372" s="31" t="s">
        <v>1997</v>
      </c>
      <c r="J372" s="31">
        <v>99</v>
      </c>
      <c r="K372" s="33" t="s">
        <v>699</v>
      </c>
      <c r="L372" s="33">
        <v>25</v>
      </c>
      <c r="M372" s="34" t="s">
        <v>1999</v>
      </c>
      <c r="N372" s="34" t="s">
        <v>1820</v>
      </c>
      <c r="O372" s="35">
        <v>1</v>
      </c>
      <c r="P372" s="35"/>
      <c r="Q372" s="32" t="s">
        <v>1998</v>
      </c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1204</v>
      </c>
      <c r="E373" s="45" t="s">
        <v>1203</v>
      </c>
      <c r="F373" s="45" t="s">
        <v>1205</v>
      </c>
      <c r="G373" s="45" t="s">
        <v>531</v>
      </c>
      <c r="H373" s="45" t="s">
        <v>352</v>
      </c>
      <c r="I373" s="44" t="s">
        <v>1206</v>
      </c>
      <c r="J373" s="44">
        <v>99</v>
      </c>
      <c r="K373" s="46" t="s">
        <v>709</v>
      </c>
      <c r="L373" s="46" t="s">
        <v>690</v>
      </c>
      <c r="M373" s="47" t="s">
        <v>1398</v>
      </c>
      <c r="N373" s="47" t="s">
        <v>1718</v>
      </c>
      <c r="O373" s="48"/>
      <c r="P373" s="48"/>
      <c r="Q373" s="45"/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0</v>
      </c>
      <c r="AF373" s="1">
        <f t="shared" si="171"/>
        <v>0</v>
      </c>
      <c r="AG373" s="1">
        <f t="shared" si="172"/>
        <v>0</v>
      </c>
      <c r="AH373" s="1">
        <f t="shared" si="173"/>
        <v>0</v>
      </c>
      <c r="AI373" s="1">
        <f t="shared" si="174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814</v>
      </c>
      <c r="E374" s="32" t="s">
        <v>586</v>
      </c>
      <c r="F374" s="32" t="s">
        <v>815</v>
      </c>
      <c r="G374" s="32" t="s">
        <v>925</v>
      </c>
      <c r="H374" s="32" t="s">
        <v>352</v>
      </c>
      <c r="I374" s="31" t="s">
        <v>938</v>
      </c>
      <c r="J374" s="31">
        <v>7</v>
      </c>
      <c r="K374" s="33" t="s">
        <v>708</v>
      </c>
      <c r="L374" s="33" t="s">
        <v>39</v>
      </c>
      <c r="M374" s="34" t="s">
        <v>39</v>
      </c>
      <c r="N374" s="34" t="s">
        <v>1700</v>
      </c>
      <c r="O374" s="35">
        <v>1</v>
      </c>
      <c r="P374" s="35">
        <v>1</v>
      </c>
      <c r="Q374" s="32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1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1</v>
      </c>
      <c r="AE374" s="1">
        <f t="shared" si="186"/>
        <v>0</v>
      </c>
      <c r="AF374" s="1">
        <f t="shared" si="171"/>
        <v>1</v>
      </c>
      <c r="AG374" s="1">
        <f t="shared" si="172"/>
        <v>0</v>
      </c>
      <c r="AH374" s="1">
        <f t="shared" si="173"/>
        <v>1</v>
      </c>
      <c r="AI374" s="1">
        <f t="shared" si="174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1579</v>
      </c>
      <c r="E375" s="32" t="s">
        <v>1629</v>
      </c>
      <c r="F375" s="32" t="s">
        <v>1580</v>
      </c>
      <c r="G375" s="32" t="s">
        <v>331</v>
      </c>
      <c r="H375" s="32" t="s">
        <v>352</v>
      </c>
      <c r="I375" s="31" t="s">
        <v>30</v>
      </c>
      <c r="J375" s="31">
        <v>99</v>
      </c>
      <c r="K375" s="33" t="s">
        <v>709</v>
      </c>
      <c r="L375" s="33">
        <v>20</v>
      </c>
      <c r="M375" s="34" t="s">
        <v>39</v>
      </c>
      <c r="N375" s="34" t="s">
        <v>1726</v>
      </c>
      <c r="O375" s="35">
        <v>1</v>
      </c>
      <c r="P375" s="35"/>
      <c r="Q375" s="32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0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0</v>
      </c>
      <c r="AE375" s="1">
        <f t="shared" si="186"/>
        <v>1</v>
      </c>
      <c r="AF375" s="1">
        <f t="shared" si="171"/>
        <v>0</v>
      </c>
      <c r="AG375" s="1">
        <f t="shared" si="172"/>
        <v>1</v>
      </c>
      <c r="AH375" s="1">
        <f t="shared" si="173"/>
        <v>0</v>
      </c>
      <c r="AI375" s="1">
        <f t="shared" si="174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2" t="s">
        <v>58</v>
      </c>
      <c r="E376" s="32" t="s">
        <v>44</v>
      </c>
      <c r="F376" s="32" t="s">
        <v>667</v>
      </c>
      <c r="G376" s="32" t="s">
        <v>222</v>
      </c>
      <c r="H376" s="32" t="s">
        <v>352</v>
      </c>
      <c r="I376" s="31" t="s">
        <v>395</v>
      </c>
      <c r="J376" s="31">
        <v>8</v>
      </c>
      <c r="K376" s="33" t="s">
        <v>709</v>
      </c>
      <c r="L376" s="33" t="s">
        <v>712</v>
      </c>
      <c r="M376" s="34" t="s">
        <v>1399</v>
      </c>
      <c r="N376" s="34" t="s">
        <v>1719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1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ht="14.25" customHeight="1" x14ac:dyDescent="0.25">
      <c r="A377" s="44">
        <v>0</v>
      </c>
      <c r="B377" s="44">
        <v>2</v>
      </c>
      <c r="C377" s="44">
        <v>5</v>
      </c>
      <c r="D377" s="45" t="s">
        <v>823</v>
      </c>
      <c r="E377" s="45" t="s">
        <v>822</v>
      </c>
      <c r="F377" s="45" t="s">
        <v>913</v>
      </c>
      <c r="G377" s="45" t="s">
        <v>212</v>
      </c>
      <c r="H377" s="45" t="s">
        <v>352</v>
      </c>
      <c r="I377" s="44" t="s">
        <v>824</v>
      </c>
      <c r="J377" s="44">
        <v>1</v>
      </c>
      <c r="K377" s="46" t="s">
        <v>708</v>
      </c>
      <c r="L377" s="46" t="s">
        <v>689</v>
      </c>
      <c r="M377" s="47" t="s">
        <v>1400</v>
      </c>
      <c r="N377" s="47" t="s">
        <v>1708</v>
      </c>
      <c r="O377" s="48"/>
      <c r="P377" s="48"/>
      <c r="Q377" s="45"/>
      <c r="S377" s="1">
        <f t="shared" si="175"/>
        <v>1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0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0</v>
      </c>
      <c r="AF377" s="1">
        <f t="shared" si="171"/>
        <v>0</v>
      </c>
      <c r="AG377" s="1">
        <f t="shared" si="172"/>
        <v>0</v>
      </c>
      <c r="AH377" s="1">
        <f t="shared" si="173"/>
        <v>0</v>
      </c>
      <c r="AI377" s="1">
        <f t="shared" si="174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6" t="s">
        <v>2028</v>
      </c>
      <c r="E378" s="36" t="s">
        <v>169</v>
      </c>
      <c r="F378" s="36" t="s">
        <v>2029</v>
      </c>
      <c r="G378" s="36" t="s">
        <v>1508</v>
      </c>
      <c r="H378" s="36" t="s">
        <v>352</v>
      </c>
      <c r="I378" s="37" t="s">
        <v>2030</v>
      </c>
      <c r="J378" s="31">
        <v>5</v>
      </c>
      <c r="K378" s="33" t="s">
        <v>699</v>
      </c>
      <c r="L378" s="33"/>
      <c r="M378" s="34"/>
      <c r="N378" s="34" t="s">
        <v>1700</v>
      </c>
      <c r="O378" s="35">
        <v>1</v>
      </c>
      <c r="P378" s="35">
        <v>1</v>
      </c>
      <c r="Q378" s="36" t="s">
        <v>2031</v>
      </c>
      <c r="S378" s="1">
        <f t="shared" si="175"/>
        <v>0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1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1</v>
      </c>
      <c r="AE378" s="1">
        <f t="shared" si="186"/>
        <v>0</v>
      </c>
      <c r="AF378" s="1">
        <f t="shared" si="171"/>
        <v>1</v>
      </c>
      <c r="AG378" s="1">
        <f t="shared" si="172"/>
        <v>0</v>
      </c>
      <c r="AH378" s="1">
        <f t="shared" si="173"/>
        <v>1</v>
      </c>
      <c r="AI378" s="1">
        <f t="shared" si="174"/>
        <v>0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65</v>
      </c>
      <c r="E379" s="32" t="s">
        <v>163</v>
      </c>
      <c r="F379" s="32" t="s">
        <v>543</v>
      </c>
      <c r="G379" s="32" t="s">
        <v>193</v>
      </c>
      <c r="H379" s="32" t="s">
        <v>352</v>
      </c>
      <c r="I379" s="31" t="s">
        <v>548</v>
      </c>
      <c r="J379" s="31">
        <v>9</v>
      </c>
      <c r="K379" s="33" t="s">
        <v>709</v>
      </c>
      <c r="L379" s="33" t="s">
        <v>683</v>
      </c>
      <c r="M379" s="34" t="s">
        <v>1418</v>
      </c>
      <c r="N379" s="34" t="s">
        <v>1732</v>
      </c>
      <c r="O379" s="35">
        <v>1</v>
      </c>
      <c r="P379" s="35"/>
      <c r="Q379" s="32"/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0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1</v>
      </c>
      <c r="AB379" s="1">
        <f t="shared" si="184"/>
        <v>0</v>
      </c>
      <c r="AD379" s="1">
        <f t="shared" si="185"/>
        <v>0</v>
      </c>
      <c r="AE379" s="1">
        <f t="shared" si="186"/>
        <v>1</v>
      </c>
      <c r="AF379" s="1">
        <f t="shared" si="171"/>
        <v>0</v>
      </c>
      <c r="AG379" s="1">
        <f t="shared" si="172"/>
        <v>1</v>
      </c>
      <c r="AH379" s="1">
        <f t="shared" si="173"/>
        <v>0</v>
      </c>
      <c r="AI379" s="1">
        <f t="shared" si="174"/>
        <v>1</v>
      </c>
    </row>
    <row r="380" spans="1:35" ht="14.25" customHeight="1" x14ac:dyDescent="0.25">
      <c r="A380" s="44">
        <v>0</v>
      </c>
      <c r="B380" s="44">
        <v>2</v>
      </c>
      <c r="C380" s="44">
        <v>5</v>
      </c>
      <c r="D380" s="45" t="s">
        <v>1461</v>
      </c>
      <c r="E380" s="45" t="s">
        <v>35</v>
      </c>
      <c r="F380" s="57" t="s">
        <v>1844</v>
      </c>
      <c r="G380" s="45" t="s">
        <v>221</v>
      </c>
      <c r="H380" s="45" t="s">
        <v>352</v>
      </c>
      <c r="I380" s="44" t="s">
        <v>1659</v>
      </c>
      <c r="J380" s="44">
        <v>99</v>
      </c>
      <c r="K380" s="46" t="s">
        <v>709</v>
      </c>
      <c r="L380" s="46">
        <v>25</v>
      </c>
      <c r="M380" s="47" t="s">
        <v>39</v>
      </c>
      <c r="N380" s="47" t="s">
        <v>1710</v>
      </c>
      <c r="O380" s="48"/>
      <c r="P380" s="48"/>
      <c r="Q380" s="45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0</v>
      </c>
      <c r="AB380" s="1">
        <f t="shared" si="184"/>
        <v>0</v>
      </c>
      <c r="AD380" s="1">
        <f t="shared" si="185"/>
        <v>0</v>
      </c>
      <c r="AE380" s="1">
        <f t="shared" si="186"/>
        <v>0</v>
      </c>
      <c r="AF380" s="1">
        <f t="shared" si="171"/>
        <v>0</v>
      </c>
      <c r="AG380" s="1">
        <f t="shared" si="172"/>
        <v>0</v>
      </c>
      <c r="AH380" s="1">
        <f t="shared" si="173"/>
        <v>0</v>
      </c>
      <c r="AI380" s="1">
        <f t="shared" si="174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1790</v>
      </c>
      <c r="E381" s="32" t="s">
        <v>763</v>
      </c>
      <c r="F381" s="32" t="s">
        <v>1791</v>
      </c>
      <c r="G381" s="32" t="s">
        <v>223</v>
      </c>
      <c r="H381" s="32" t="s">
        <v>352</v>
      </c>
      <c r="I381" s="31" t="s">
        <v>1792</v>
      </c>
      <c r="J381" s="31">
        <v>99</v>
      </c>
      <c r="K381" s="33" t="s">
        <v>1793</v>
      </c>
      <c r="L381" s="33">
        <v>40</v>
      </c>
      <c r="M381" s="34" t="s">
        <v>1794</v>
      </c>
      <c r="N381" s="34" t="s">
        <v>1820</v>
      </c>
      <c r="O381" s="35">
        <v>1</v>
      </c>
      <c r="P381" s="35"/>
      <c r="Q381" s="32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1</v>
      </c>
      <c r="AF381" s="1">
        <f t="shared" si="171"/>
        <v>0</v>
      </c>
      <c r="AG381" s="1">
        <f t="shared" si="172"/>
        <v>1</v>
      </c>
      <c r="AH381" s="1">
        <f t="shared" si="173"/>
        <v>0</v>
      </c>
      <c r="AI381" s="1">
        <f t="shared" si="174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612</v>
      </c>
      <c r="E382" s="32" t="s">
        <v>682</v>
      </c>
      <c r="F382" s="32" t="s">
        <v>613</v>
      </c>
      <c r="G382" s="32" t="s">
        <v>285</v>
      </c>
      <c r="H382" s="32" t="s">
        <v>352</v>
      </c>
      <c r="I382" s="31" t="s">
        <v>614</v>
      </c>
      <c r="J382" s="31">
        <v>99</v>
      </c>
      <c r="K382" s="33" t="s">
        <v>708</v>
      </c>
      <c r="L382" s="33" t="s">
        <v>700</v>
      </c>
      <c r="M382" s="34" t="s">
        <v>1401</v>
      </c>
      <c r="N382" s="34" t="s">
        <v>1714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1463</v>
      </c>
      <c r="E383" s="32" t="s">
        <v>763</v>
      </c>
      <c r="F383" s="32" t="s">
        <v>1464</v>
      </c>
      <c r="G383" s="32" t="s">
        <v>195</v>
      </c>
      <c r="H383" s="32" t="s">
        <v>352</v>
      </c>
      <c r="I383" s="31" t="s">
        <v>1465</v>
      </c>
      <c r="J383" s="31">
        <v>99</v>
      </c>
      <c r="K383" s="33" t="s">
        <v>941</v>
      </c>
      <c r="L383" s="33" t="s">
        <v>689</v>
      </c>
      <c r="M383" s="34" t="s">
        <v>1392</v>
      </c>
      <c r="N383" s="34" t="s">
        <v>1714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768</v>
      </c>
      <c r="G384" s="32" t="s">
        <v>206</v>
      </c>
      <c r="H384" s="32" t="s">
        <v>352</v>
      </c>
      <c r="I384" s="31" t="s">
        <v>767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1714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ht="14.25" customHeight="1" x14ac:dyDescent="0.25">
      <c r="A385" s="31">
        <v>1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993</v>
      </c>
      <c r="G385" s="32" t="s">
        <v>189</v>
      </c>
      <c r="H385" s="32" t="s">
        <v>352</v>
      </c>
      <c r="I385" s="31" t="s">
        <v>994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1714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0</v>
      </c>
      <c r="AH385" s="1">
        <f t="shared" si="173"/>
        <v>0</v>
      </c>
      <c r="AI385" s="1">
        <f t="shared" si="174"/>
        <v>0</v>
      </c>
    </row>
    <row r="386" spans="1:35" ht="14.25" customHeight="1" x14ac:dyDescent="0.25">
      <c r="A386" s="15">
        <v>0</v>
      </c>
      <c r="B386" s="15">
        <v>2</v>
      </c>
      <c r="C386" s="15">
        <v>5</v>
      </c>
      <c r="D386" s="16" t="s">
        <v>905</v>
      </c>
      <c r="E386" s="16" t="s">
        <v>900</v>
      </c>
      <c r="F386" s="16" t="s">
        <v>918</v>
      </c>
      <c r="G386" s="16" t="s">
        <v>1329</v>
      </c>
      <c r="H386" s="16" t="s">
        <v>352</v>
      </c>
      <c r="I386" s="15" t="s">
        <v>761</v>
      </c>
      <c r="J386" s="15">
        <v>99</v>
      </c>
      <c r="K386" s="10" t="s">
        <v>699</v>
      </c>
      <c r="L386" s="10">
        <v>20</v>
      </c>
      <c r="M386" s="19" t="s">
        <v>1403</v>
      </c>
      <c r="N386" s="19"/>
      <c r="Q386" s="16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0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1892</v>
      </c>
      <c r="E387" s="32"/>
      <c r="F387" s="32" t="s">
        <v>1893</v>
      </c>
      <c r="G387" s="32" t="s">
        <v>207</v>
      </c>
      <c r="H387" s="32" t="s">
        <v>352</v>
      </c>
      <c r="I387" s="31" t="s">
        <v>1894</v>
      </c>
      <c r="J387" s="31">
        <v>3</v>
      </c>
      <c r="K387" s="33" t="s">
        <v>699</v>
      </c>
      <c r="L387" s="33"/>
      <c r="M387" s="34"/>
      <c r="N387" s="34" t="s">
        <v>1700</v>
      </c>
      <c r="O387" s="35">
        <v>1</v>
      </c>
      <c r="P387" s="35">
        <v>1</v>
      </c>
      <c r="Q387" s="32" t="s">
        <v>1895</v>
      </c>
      <c r="S387" s="1">
        <f t="shared" si="175"/>
        <v>0</v>
      </c>
      <c r="T387" s="1">
        <f t="shared" si="176"/>
        <v>0</v>
      </c>
      <c r="U387" s="1">
        <f t="shared" si="177"/>
        <v>1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1</v>
      </c>
      <c r="AE387" s="1">
        <f t="shared" si="186"/>
        <v>0</v>
      </c>
      <c r="AF387" s="1">
        <f t="shared" si="171"/>
        <v>1</v>
      </c>
      <c r="AG387" s="1">
        <f t="shared" si="172"/>
        <v>0</v>
      </c>
      <c r="AH387" s="1">
        <f t="shared" si="173"/>
        <v>1</v>
      </c>
      <c r="AI387" s="1">
        <f t="shared" si="174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1250</v>
      </c>
      <c r="E388" s="32" t="s">
        <v>1251</v>
      </c>
      <c r="F388" s="32" t="s">
        <v>1252</v>
      </c>
      <c r="G388" s="32" t="s">
        <v>219</v>
      </c>
      <c r="H388" s="32" t="s">
        <v>352</v>
      </c>
      <c r="I388" s="31" t="s">
        <v>1696</v>
      </c>
      <c r="J388" s="31">
        <v>8</v>
      </c>
      <c r="K388" s="33" t="s">
        <v>709</v>
      </c>
      <c r="L388" s="33" t="s">
        <v>39</v>
      </c>
      <c r="M388" s="34" t="s">
        <v>39</v>
      </c>
      <c r="N388" s="34" t="s">
        <v>1700</v>
      </c>
      <c r="O388" s="35">
        <v>1</v>
      </c>
      <c r="P388" s="35">
        <v>1</v>
      </c>
      <c r="Q388" s="32"/>
      <c r="S388" s="1">
        <f t="shared" si="175"/>
        <v>0</v>
      </c>
      <c r="T388" s="1">
        <f t="shared" si="176"/>
        <v>0</v>
      </c>
      <c r="U388" s="1">
        <f t="shared" si="177"/>
        <v>0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1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1069</v>
      </c>
      <c r="E389" s="32" t="s">
        <v>154</v>
      </c>
      <c r="F389" s="32" t="s">
        <v>1053</v>
      </c>
      <c r="G389" s="32" t="s">
        <v>319</v>
      </c>
      <c r="H389" s="32" t="s">
        <v>352</v>
      </c>
      <c r="I389" s="31" t="s">
        <v>1054</v>
      </c>
      <c r="J389" s="31">
        <v>99</v>
      </c>
      <c r="K389" s="33" t="s">
        <v>709</v>
      </c>
      <c r="L389" s="33" t="s">
        <v>690</v>
      </c>
      <c r="M389" s="34" t="s">
        <v>1404</v>
      </c>
      <c r="N389" s="34" t="s">
        <v>1727</v>
      </c>
      <c r="O389" s="35">
        <v>1</v>
      </c>
      <c r="P389" s="35"/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0</v>
      </c>
      <c r="AA389" s="1">
        <f t="shared" si="183"/>
        <v>0</v>
      </c>
      <c r="AB389" s="1">
        <f t="shared" si="184"/>
        <v>0</v>
      </c>
      <c r="AD389" s="1">
        <f t="shared" si="185"/>
        <v>0</v>
      </c>
      <c r="AE389" s="1">
        <f t="shared" si="186"/>
        <v>1</v>
      </c>
      <c r="AF389" s="1">
        <f t="shared" si="171"/>
        <v>0</v>
      </c>
      <c r="AG389" s="1">
        <f t="shared" si="172"/>
        <v>1</v>
      </c>
      <c r="AH389" s="1">
        <f t="shared" si="173"/>
        <v>0</v>
      </c>
      <c r="AI389" s="1">
        <f t="shared" si="174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787</v>
      </c>
      <c r="E390" s="32" t="s">
        <v>763</v>
      </c>
      <c r="F390" s="32" t="s">
        <v>921</v>
      </c>
      <c r="G390" s="32" t="s">
        <v>219</v>
      </c>
      <c r="H390" s="32" t="s">
        <v>352</v>
      </c>
      <c r="I390" s="31" t="s">
        <v>788</v>
      </c>
      <c r="J390" s="31">
        <v>8</v>
      </c>
      <c r="K390" s="33" t="s">
        <v>699</v>
      </c>
      <c r="L390" s="33">
        <v>20</v>
      </c>
      <c r="M390" s="34" t="s">
        <v>1395</v>
      </c>
      <c r="N390" s="34" t="s">
        <v>1796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1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79</v>
      </c>
      <c r="E391" s="32" t="s">
        <v>158</v>
      </c>
      <c r="F391" s="32" t="s">
        <v>267</v>
      </c>
      <c r="G391" s="32" t="s">
        <v>212</v>
      </c>
      <c r="H391" s="32" t="s">
        <v>352</v>
      </c>
      <c r="I391" s="31" t="s">
        <v>423</v>
      </c>
      <c r="J391" s="31">
        <v>1</v>
      </c>
      <c r="K391" s="33" t="s">
        <v>942</v>
      </c>
      <c r="L391" s="33" t="s">
        <v>700</v>
      </c>
      <c r="M391" s="34" t="s">
        <v>723</v>
      </c>
      <c r="N391" s="34" t="s">
        <v>1714</v>
      </c>
      <c r="O391" s="35">
        <v>1</v>
      </c>
      <c r="P391" s="35"/>
      <c r="Q391" s="32"/>
      <c r="S391" s="1">
        <f t="shared" si="175"/>
        <v>1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0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6" t="s">
        <v>2118</v>
      </c>
      <c r="E392" s="36" t="s">
        <v>822</v>
      </c>
      <c r="F392" s="36" t="s">
        <v>2119</v>
      </c>
      <c r="G392" s="36" t="s">
        <v>202</v>
      </c>
      <c r="H392" s="36" t="s">
        <v>352</v>
      </c>
      <c r="I392" s="37" t="s">
        <v>2120</v>
      </c>
      <c r="J392" s="31">
        <v>99</v>
      </c>
      <c r="K392" s="33" t="s">
        <v>699</v>
      </c>
      <c r="L392" s="33"/>
      <c r="M392" s="34"/>
      <c r="N392" s="34" t="s">
        <v>1700</v>
      </c>
      <c r="O392" s="35">
        <v>1</v>
      </c>
      <c r="P392" s="35">
        <v>1</v>
      </c>
      <c r="Q392" s="32"/>
      <c r="S392" s="1">
        <f t="shared" si="175"/>
        <v>0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1</v>
      </c>
      <c r="AE392" s="1">
        <f t="shared" si="186"/>
        <v>0</v>
      </c>
      <c r="AF392" s="1">
        <f t="shared" si="171"/>
        <v>1</v>
      </c>
      <c r="AG392" s="1">
        <f t="shared" si="172"/>
        <v>0</v>
      </c>
      <c r="AH392" s="1">
        <f t="shared" si="173"/>
        <v>1</v>
      </c>
      <c r="AI392" s="1">
        <f t="shared" si="174"/>
        <v>0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2054</v>
      </c>
      <c r="E393" s="32" t="s">
        <v>171</v>
      </c>
      <c r="F393" s="32" t="s">
        <v>2055</v>
      </c>
      <c r="G393" s="32" t="s">
        <v>206</v>
      </c>
      <c r="H393" s="32" t="s">
        <v>352</v>
      </c>
      <c r="I393" s="31" t="s">
        <v>2056</v>
      </c>
      <c r="J393" s="31">
        <v>99</v>
      </c>
      <c r="K393" s="33" t="s">
        <v>699</v>
      </c>
      <c r="L393" s="33">
        <v>30</v>
      </c>
      <c r="M393" s="34" t="s">
        <v>957</v>
      </c>
      <c r="N393" s="34" t="s">
        <v>1714</v>
      </c>
      <c r="O393" s="35">
        <v>1</v>
      </c>
      <c r="P393" s="35"/>
      <c r="Q393" s="32" t="s">
        <v>2057</v>
      </c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0</v>
      </c>
      <c r="AE393" s="1">
        <f t="shared" si="186"/>
        <v>1</v>
      </c>
      <c r="AF393" s="1">
        <f t="shared" si="171"/>
        <v>0</v>
      </c>
      <c r="AG393" s="1">
        <f t="shared" si="172"/>
        <v>1</v>
      </c>
      <c r="AH393" s="1">
        <f t="shared" si="173"/>
        <v>0</v>
      </c>
      <c r="AI393" s="1">
        <f t="shared" si="174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1616</v>
      </c>
      <c r="E394" s="32" t="s">
        <v>1628</v>
      </c>
      <c r="F394" s="32" t="s">
        <v>1525</v>
      </c>
      <c r="G394" s="32" t="s">
        <v>261</v>
      </c>
      <c r="H394" s="32" t="s">
        <v>352</v>
      </c>
      <c r="I394" s="31" t="s">
        <v>1526</v>
      </c>
      <c r="J394" s="31">
        <v>99</v>
      </c>
      <c r="K394" s="33" t="s">
        <v>942</v>
      </c>
      <c r="L394" s="33">
        <v>40</v>
      </c>
      <c r="M394" s="34" t="s">
        <v>39</v>
      </c>
      <c r="N394" s="34" t="s">
        <v>1796</v>
      </c>
      <c r="O394" s="35">
        <v>1</v>
      </c>
      <c r="P394" s="35"/>
      <c r="Q394" s="32"/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0</v>
      </c>
      <c r="AE394" s="1">
        <f t="shared" si="186"/>
        <v>1</v>
      </c>
      <c r="AF394" s="1">
        <f t="shared" si="171"/>
        <v>0</v>
      </c>
      <c r="AG394" s="1">
        <f t="shared" si="172"/>
        <v>1</v>
      </c>
      <c r="AH394" s="1">
        <f t="shared" si="173"/>
        <v>0</v>
      </c>
      <c r="AI394" s="1">
        <f t="shared" si="174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1277</v>
      </c>
      <c r="E395" s="32" t="s">
        <v>27</v>
      </c>
      <c r="F395" s="32" t="s">
        <v>1278</v>
      </c>
      <c r="G395" s="32" t="s">
        <v>1279</v>
      </c>
      <c r="H395" s="32" t="s">
        <v>352</v>
      </c>
      <c r="I395" s="31" t="s">
        <v>1280</v>
      </c>
      <c r="J395" s="31">
        <v>99</v>
      </c>
      <c r="K395" s="33" t="s">
        <v>942</v>
      </c>
      <c r="L395" s="33" t="s">
        <v>39</v>
      </c>
      <c r="M395" s="34" t="s">
        <v>39</v>
      </c>
      <c r="N395" s="34" t="s">
        <v>1700</v>
      </c>
      <c r="O395" s="35">
        <v>1</v>
      </c>
      <c r="P395" s="35">
        <v>1</v>
      </c>
      <c r="Q395" s="36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1</v>
      </c>
      <c r="AE395" s="1">
        <f t="shared" si="186"/>
        <v>0</v>
      </c>
      <c r="AF395" s="1">
        <f t="shared" si="171"/>
        <v>1</v>
      </c>
      <c r="AG395" s="1">
        <f t="shared" si="172"/>
        <v>0</v>
      </c>
      <c r="AH395" s="1">
        <f t="shared" si="173"/>
        <v>1</v>
      </c>
      <c r="AI395" s="1">
        <f t="shared" si="174"/>
        <v>0</v>
      </c>
    </row>
    <row r="396" spans="1:35" ht="14.25" customHeight="1" x14ac:dyDescent="0.25">
      <c r="A396" s="44">
        <v>0</v>
      </c>
      <c r="B396" s="44">
        <v>2</v>
      </c>
      <c r="C396" s="44">
        <v>5</v>
      </c>
      <c r="D396" s="45" t="s">
        <v>1577</v>
      </c>
      <c r="E396" s="45" t="s">
        <v>158</v>
      </c>
      <c r="F396" s="57" t="s">
        <v>2117</v>
      </c>
      <c r="G396" s="45" t="s">
        <v>1443</v>
      </c>
      <c r="H396" s="45" t="s">
        <v>352</v>
      </c>
      <c r="I396" s="44" t="s">
        <v>1444</v>
      </c>
      <c r="J396" s="44">
        <v>99</v>
      </c>
      <c r="K396" s="46" t="s">
        <v>709</v>
      </c>
      <c r="L396" s="46" t="s">
        <v>692</v>
      </c>
      <c r="M396" s="47" t="s">
        <v>1445</v>
      </c>
      <c r="N396" s="47" t="s">
        <v>1718</v>
      </c>
      <c r="O396" s="48"/>
      <c r="P396" s="48"/>
      <c r="Q396" s="45"/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0</v>
      </c>
      <c r="AE396" s="1">
        <f t="shared" si="186"/>
        <v>0</v>
      </c>
      <c r="AF396" s="1">
        <f t="shared" si="171"/>
        <v>0</v>
      </c>
      <c r="AG396" s="1">
        <f t="shared" si="172"/>
        <v>0</v>
      </c>
      <c r="AH396" s="1">
        <f t="shared" si="173"/>
        <v>0</v>
      </c>
      <c r="AI396" s="1">
        <f t="shared" si="174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2012</v>
      </c>
      <c r="E397" s="32" t="s">
        <v>2013</v>
      </c>
      <c r="F397" s="32" t="s">
        <v>2014</v>
      </c>
      <c r="G397" s="32" t="s">
        <v>2017</v>
      </c>
      <c r="H397" s="32" t="s">
        <v>352</v>
      </c>
      <c r="I397" s="31" t="s">
        <v>2015</v>
      </c>
      <c r="J397" s="31"/>
      <c r="K397" s="33" t="s">
        <v>1793</v>
      </c>
      <c r="L397" s="33"/>
      <c r="M397" s="34"/>
      <c r="N397" s="34" t="s">
        <v>1700</v>
      </c>
      <c r="O397" s="35">
        <v>1</v>
      </c>
      <c r="P397" s="35">
        <v>1</v>
      </c>
      <c r="Q397" s="32" t="s">
        <v>2016</v>
      </c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1</v>
      </c>
      <c r="AE397" s="1">
        <f t="shared" si="186"/>
        <v>0</v>
      </c>
      <c r="AF397" s="1">
        <f t="shared" si="171"/>
        <v>1</v>
      </c>
      <c r="AG397" s="1">
        <f t="shared" si="172"/>
        <v>0</v>
      </c>
      <c r="AH397" s="1">
        <f t="shared" si="173"/>
        <v>1</v>
      </c>
      <c r="AI397" s="1">
        <f t="shared" si="174"/>
        <v>0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1749</v>
      </c>
      <c r="E398" s="32" t="s">
        <v>154</v>
      </c>
      <c r="F398" s="32" t="s">
        <v>1750</v>
      </c>
      <c r="G398" s="32" t="s">
        <v>652</v>
      </c>
      <c r="H398" s="32" t="s">
        <v>352</v>
      </c>
      <c r="I398" s="31" t="s">
        <v>1751</v>
      </c>
      <c r="J398" s="31"/>
      <c r="K398" s="33" t="s">
        <v>699</v>
      </c>
      <c r="L398" s="33">
        <v>40</v>
      </c>
      <c r="M398" s="34" t="s">
        <v>1752</v>
      </c>
      <c r="N398" s="34" t="s">
        <v>1714</v>
      </c>
      <c r="O398" s="35">
        <v>1</v>
      </c>
      <c r="P398" s="35"/>
      <c r="Q398" s="32"/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0</v>
      </c>
      <c r="AD398" s="1">
        <f t="shared" si="185"/>
        <v>0</v>
      </c>
      <c r="AE398" s="1">
        <f t="shared" si="186"/>
        <v>1</v>
      </c>
      <c r="AF398" s="1">
        <f t="shared" si="171"/>
        <v>0</v>
      </c>
      <c r="AG398" s="1">
        <f t="shared" si="172"/>
        <v>1</v>
      </c>
      <c r="AH398" s="1">
        <f t="shared" si="173"/>
        <v>0</v>
      </c>
      <c r="AI398" s="1">
        <f t="shared" si="174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828</v>
      </c>
      <c r="E399" s="32" t="s">
        <v>822</v>
      </c>
      <c r="F399" s="32" t="s">
        <v>929</v>
      </c>
      <c r="G399" s="32" t="s">
        <v>179</v>
      </c>
      <c r="H399" s="32" t="s">
        <v>352</v>
      </c>
      <c r="I399" s="31" t="s">
        <v>1096</v>
      </c>
      <c r="J399" s="31">
        <v>10</v>
      </c>
      <c r="K399" s="33" t="s">
        <v>708</v>
      </c>
      <c r="L399" s="33" t="s">
        <v>689</v>
      </c>
      <c r="M399" s="34" t="s">
        <v>1405</v>
      </c>
      <c r="N399" s="34" t="s">
        <v>1726</v>
      </c>
      <c r="O399" s="35">
        <v>1</v>
      </c>
      <c r="P399" s="35"/>
      <c r="Q399" s="32"/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0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1</v>
      </c>
      <c r="AD399" s="1">
        <f t="shared" si="185"/>
        <v>0</v>
      </c>
      <c r="AE399" s="1">
        <f t="shared" si="186"/>
        <v>1</v>
      </c>
      <c r="AF399" s="1">
        <f t="shared" si="171"/>
        <v>0</v>
      </c>
      <c r="AG399" s="1">
        <f t="shared" si="172"/>
        <v>1</v>
      </c>
      <c r="AH399" s="1">
        <f t="shared" si="173"/>
        <v>0</v>
      </c>
      <c r="AI399" s="1">
        <f t="shared" si="174"/>
        <v>1</v>
      </c>
    </row>
    <row r="400" spans="1:35" ht="14.25" customHeight="1" x14ac:dyDescent="0.25">
      <c r="A400" s="51">
        <v>0</v>
      </c>
      <c r="B400" s="51">
        <v>2</v>
      </c>
      <c r="C400" s="51">
        <v>6</v>
      </c>
      <c r="D400" s="52" t="s">
        <v>1517</v>
      </c>
      <c r="E400" s="52" t="s">
        <v>27</v>
      </c>
      <c r="F400" s="52" t="s">
        <v>1519</v>
      </c>
      <c r="G400" s="52" t="s">
        <v>1508</v>
      </c>
      <c r="H400" s="52" t="s">
        <v>352</v>
      </c>
      <c r="I400" s="51" t="s">
        <v>1518</v>
      </c>
      <c r="J400" s="51">
        <v>5</v>
      </c>
      <c r="K400" s="53" t="s">
        <v>942</v>
      </c>
      <c r="L400" s="53" t="s">
        <v>39</v>
      </c>
      <c r="M400" s="54" t="s">
        <v>39</v>
      </c>
      <c r="N400" s="55"/>
      <c r="O400" s="56"/>
      <c r="P400" s="56"/>
      <c r="Q400" s="58" t="s">
        <v>1871</v>
      </c>
      <c r="S400" s="1">
        <f t="shared" si="175"/>
        <v>0</v>
      </c>
      <c r="T400" s="1">
        <f t="shared" si="176"/>
        <v>0</v>
      </c>
      <c r="U400" s="1">
        <f t="shared" si="177"/>
        <v>0</v>
      </c>
      <c r="V400" s="1">
        <f t="shared" si="178"/>
        <v>0</v>
      </c>
      <c r="W400" s="1">
        <f t="shared" si="179"/>
        <v>1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0</v>
      </c>
      <c r="AD400" s="1">
        <f t="shared" si="185"/>
        <v>0</v>
      </c>
      <c r="AE400" s="1">
        <f t="shared" si="186"/>
        <v>0</v>
      </c>
      <c r="AF400" s="1">
        <f t="shared" si="171"/>
        <v>0</v>
      </c>
      <c r="AG400" s="1">
        <f t="shared" si="172"/>
        <v>0</v>
      </c>
      <c r="AH400" s="1">
        <f t="shared" si="173"/>
        <v>0</v>
      </c>
      <c r="AI400" s="1">
        <f t="shared" si="174"/>
        <v>1</v>
      </c>
    </row>
    <row r="401" spans="1:35" ht="14.25" customHeight="1" x14ac:dyDescent="0.25">
      <c r="A401" s="31">
        <v>0</v>
      </c>
      <c r="B401" s="31">
        <v>2</v>
      </c>
      <c r="C401" s="31">
        <v>6</v>
      </c>
      <c r="D401" s="32" t="s">
        <v>515</v>
      </c>
      <c r="E401" s="32" t="s">
        <v>31</v>
      </c>
      <c r="F401" s="32" t="s">
        <v>668</v>
      </c>
      <c r="G401" s="32" t="s">
        <v>199</v>
      </c>
      <c r="H401" s="32" t="s">
        <v>352</v>
      </c>
      <c r="I401" s="31" t="s">
        <v>516</v>
      </c>
      <c r="J401" s="31">
        <v>2</v>
      </c>
      <c r="K401" s="33" t="s">
        <v>941</v>
      </c>
      <c r="L401" s="33" t="s">
        <v>690</v>
      </c>
      <c r="M401" s="34" t="s">
        <v>1406</v>
      </c>
      <c r="N401" s="34" t="s">
        <v>1714</v>
      </c>
      <c r="O401" s="35">
        <v>1</v>
      </c>
      <c r="P401" s="35"/>
      <c r="Q401" s="32"/>
      <c r="S401" s="1">
        <f t="shared" si="175"/>
        <v>0</v>
      </c>
      <c r="T401" s="1">
        <f t="shared" si="176"/>
        <v>1</v>
      </c>
      <c r="U401" s="1">
        <f t="shared" si="177"/>
        <v>0</v>
      </c>
      <c r="V401" s="1">
        <f t="shared" si="178"/>
        <v>0</v>
      </c>
      <c r="W401" s="1">
        <f t="shared" si="179"/>
        <v>0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1</v>
      </c>
      <c r="AF401" s="1">
        <f t="shared" si="171"/>
        <v>0</v>
      </c>
      <c r="AG401" s="1">
        <f t="shared" si="172"/>
        <v>1</v>
      </c>
      <c r="AH401" s="1">
        <f t="shared" si="173"/>
        <v>0</v>
      </c>
      <c r="AI401" s="1">
        <f t="shared" si="174"/>
        <v>1</v>
      </c>
    </row>
    <row r="402" spans="1:35" ht="14.25" customHeight="1" x14ac:dyDescent="0.25">
      <c r="A402" s="31">
        <v>0</v>
      </c>
      <c r="B402" s="31">
        <v>2</v>
      </c>
      <c r="C402" s="31">
        <v>6</v>
      </c>
      <c r="D402" s="32" t="s">
        <v>53</v>
      </c>
      <c r="E402" s="32" t="s">
        <v>31</v>
      </c>
      <c r="F402" s="32" t="s">
        <v>209</v>
      </c>
      <c r="G402" s="32" t="s">
        <v>210</v>
      </c>
      <c r="H402" s="32" t="s">
        <v>352</v>
      </c>
      <c r="I402" s="31" t="s">
        <v>390</v>
      </c>
      <c r="J402" s="31">
        <v>1</v>
      </c>
      <c r="K402" s="33" t="s">
        <v>708</v>
      </c>
      <c r="L402" s="33" t="s">
        <v>700</v>
      </c>
      <c r="M402" s="34" t="s">
        <v>724</v>
      </c>
      <c r="N402" s="34" t="s">
        <v>1714</v>
      </c>
      <c r="O402" s="35">
        <v>1</v>
      </c>
      <c r="P402" s="35"/>
      <c r="Q402" s="32"/>
      <c r="S402" s="1">
        <f t="shared" si="175"/>
        <v>1</v>
      </c>
      <c r="T402" s="1">
        <f t="shared" si="176"/>
        <v>0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ht="14.25" customHeight="1" x14ac:dyDescent="0.25">
      <c r="A403" s="31">
        <v>0</v>
      </c>
      <c r="B403" s="31">
        <v>2</v>
      </c>
      <c r="C403" s="31">
        <v>6</v>
      </c>
      <c r="D403" s="32" t="s">
        <v>1833</v>
      </c>
      <c r="E403" s="32" t="s">
        <v>1834</v>
      </c>
      <c r="F403" s="32" t="s">
        <v>1835</v>
      </c>
      <c r="G403" s="32"/>
      <c r="H403" s="32" t="s">
        <v>352</v>
      </c>
      <c r="I403" s="31" t="s">
        <v>1836</v>
      </c>
      <c r="J403" s="31">
        <v>99</v>
      </c>
      <c r="K403" s="33" t="s">
        <v>699</v>
      </c>
      <c r="L403" s="33">
        <v>25</v>
      </c>
      <c r="M403" s="34" t="s">
        <v>1837</v>
      </c>
      <c r="N403" s="34" t="s">
        <v>1714</v>
      </c>
      <c r="O403" s="35">
        <v>1</v>
      </c>
      <c r="P403" s="35"/>
      <c r="Q403" s="32" t="s">
        <v>2018</v>
      </c>
      <c r="S403" s="1">
        <f t="shared" si="175"/>
        <v>0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1</v>
      </c>
      <c r="AF403" s="1">
        <f t="shared" si="171"/>
        <v>0</v>
      </c>
      <c r="AG403" s="1">
        <f t="shared" si="172"/>
        <v>1</v>
      </c>
      <c r="AH403" s="1">
        <f t="shared" si="173"/>
        <v>0</v>
      </c>
      <c r="AI403" s="1">
        <f t="shared" si="174"/>
        <v>1</v>
      </c>
    </row>
    <row r="404" spans="1:35" ht="14.25" customHeight="1" x14ac:dyDescent="0.25">
      <c r="A404" s="44">
        <v>0</v>
      </c>
      <c r="B404" s="44">
        <v>2</v>
      </c>
      <c r="C404" s="44">
        <v>6</v>
      </c>
      <c r="D404" s="45" t="s">
        <v>80</v>
      </c>
      <c r="E404" s="45" t="s">
        <v>31</v>
      </c>
      <c r="F404" s="45" t="s">
        <v>269</v>
      </c>
      <c r="G404" s="45" t="s">
        <v>223</v>
      </c>
      <c r="H404" s="45" t="s">
        <v>352</v>
      </c>
      <c r="I404" s="44" t="s">
        <v>674</v>
      </c>
      <c r="J404" s="44">
        <v>99</v>
      </c>
      <c r="K404" s="46" t="s">
        <v>942</v>
      </c>
      <c r="L404" s="46" t="s">
        <v>690</v>
      </c>
      <c r="M404" s="47" t="s">
        <v>1407</v>
      </c>
      <c r="N404" s="47" t="s">
        <v>1780</v>
      </c>
      <c r="O404" s="48"/>
      <c r="P404" s="48"/>
      <c r="Q404" s="45"/>
      <c r="S404" s="1">
        <f t="shared" si="175"/>
        <v>0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0</v>
      </c>
      <c r="AF404" s="1">
        <f t="shared" ref="AF404:AF422" si="187">+O404*P404*(1-A404)</f>
        <v>0</v>
      </c>
      <c r="AG404" s="1">
        <f t="shared" ref="AG404:AG422" si="188">O404*(1-P404)*(1-A404)</f>
        <v>0</v>
      </c>
      <c r="AH404" s="1">
        <f t="shared" ref="AH404:AH422" si="189">+P404*(1-A404)</f>
        <v>0</v>
      </c>
      <c r="AI404" s="1">
        <f t="shared" ref="AI404:AI422" si="190">+(1-A404)*(1-P404)</f>
        <v>1</v>
      </c>
    </row>
    <row r="405" spans="1:35" ht="14.25" customHeight="1" x14ac:dyDescent="0.25">
      <c r="A405" s="44">
        <v>0</v>
      </c>
      <c r="B405" s="44">
        <v>2</v>
      </c>
      <c r="C405" s="44">
        <v>6</v>
      </c>
      <c r="D405" s="45" t="s">
        <v>635</v>
      </c>
      <c r="E405" s="45" t="s">
        <v>31</v>
      </c>
      <c r="F405" s="45" t="s">
        <v>636</v>
      </c>
      <c r="G405" s="45" t="s">
        <v>239</v>
      </c>
      <c r="H405" s="45" t="s">
        <v>352</v>
      </c>
      <c r="I405" s="44" t="s">
        <v>637</v>
      </c>
      <c r="J405" s="44">
        <v>1</v>
      </c>
      <c r="K405" s="46" t="s">
        <v>709</v>
      </c>
      <c r="L405" s="46" t="s">
        <v>690</v>
      </c>
      <c r="M405" s="47" t="s">
        <v>1408</v>
      </c>
      <c r="N405" s="47" t="s">
        <v>1708</v>
      </c>
      <c r="O405" s="48"/>
      <c r="P405" s="48"/>
      <c r="Q405" s="45"/>
      <c r="S405" s="1">
        <f t="shared" si="175"/>
        <v>1</v>
      </c>
      <c r="T405" s="1">
        <f t="shared" si="176"/>
        <v>0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si="187"/>
        <v>0</v>
      </c>
      <c r="AG405" s="1">
        <f t="shared" si="188"/>
        <v>0</v>
      </c>
      <c r="AH405" s="1">
        <f t="shared" si="189"/>
        <v>0</v>
      </c>
      <c r="AI405" s="1">
        <f t="shared" si="190"/>
        <v>1</v>
      </c>
    </row>
    <row r="406" spans="1:35" ht="14.25" customHeight="1" x14ac:dyDescent="0.25">
      <c r="A406" s="44">
        <v>0</v>
      </c>
      <c r="B406" s="44">
        <v>2</v>
      </c>
      <c r="C406" s="44">
        <v>6</v>
      </c>
      <c r="D406" s="45" t="s">
        <v>1119</v>
      </c>
      <c r="E406" s="45" t="s">
        <v>31</v>
      </c>
      <c r="F406" s="45" t="s">
        <v>668</v>
      </c>
      <c r="G406" s="45" t="s">
        <v>199</v>
      </c>
      <c r="H406" s="45" t="s">
        <v>352</v>
      </c>
      <c r="I406" s="44" t="s">
        <v>516</v>
      </c>
      <c r="J406" s="44">
        <v>2</v>
      </c>
      <c r="K406" s="46" t="s">
        <v>708</v>
      </c>
      <c r="L406" s="46" t="s">
        <v>690</v>
      </c>
      <c r="M406" s="47" t="s">
        <v>724</v>
      </c>
      <c r="N406" s="47" t="s">
        <v>1708</v>
      </c>
      <c r="O406" s="48"/>
      <c r="P406" s="48"/>
      <c r="Q406" s="45"/>
      <c r="S406" s="1">
        <f t="shared" si="175"/>
        <v>0</v>
      </c>
      <c r="T406" s="1">
        <f t="shared" si="176"/>
        <v>1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0</v>
      </c>
      <c r="AF406" s="1">
        <f t="shared" si="187"/>
        <v>0</v>
      </c>
      <c r="AG406" s="1">
        <f t="shared" si="188"/>
        <v>0</v>
      </c>
      <c r="AH406" s="1">
        <f t="shared" si="189"/>
        <v>0</v>
      </c>
      <c r="AI406" s="1">
        <f t="shared" si="190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1070</v>
      </c>
      <c r="E407" s="32" t="s">
        <v>158</v>
      </c>
      <c r="F407" s="32" t="s">
        <v>197</v>
      </c>
      <c r="G407" s="32" t="s">
        <v>198</v>
      </c>
      <c r="H407" s="32" t="s">
        <v>352</v>
      </c>
      <c r="I407" s="31" t="s">
        <v>386</v>
      </c>
      <c r="J407" s="31">
        <v>99</v>
      </c>
      <c r="K407" s="33" t="s">
        <v>708</v>
      </c>
      <c r="L407" s="33" t="s">
        <v>712</v>
      </c>
      <c r="M407" s="34" t="s">
        <v>726</v>
      </c>
      <c r="N407" s="34" t="s">
        <v>1720</v>
      </c>
      <c r="O407" s="35">
        <v>1</v>
      </c>
      <c r="P407" s="35"/>
      <c r="Q407" s="32"/>
      <c r="S407" s="1">
        <f t="shared" si="175"/>
        <v>0</v>
      </c>
      <c r="T407" s="1">
        <f t="shared" si="176"/>
        <v>0</v>
      </c>
      <c r="U407" s="1">
        <f t="shared" si="177"/>
        <v>0</v>
      </c>
      <c r="V407" s="1">
        <f t="shared" si="178"/>
        <v>0</v>
      </c>
      <c r="W407" s="1">
        <f t="shared" si="179"/>
        <v>0</v>
      </c>
      <c r="X407" s="1">
        <f t="shared" si="180"/>
        <v>0</v>
      </c>
      <c r="Y407" s="1">
        <f t="shared" si="181"/>
        <v>0</v>
      </c>
      <c r="Z407" s="1">
        <f t="shared" si="182"/>
        <v>0</v>
      </c>
      <c r="AA407" s="1">
        <f t="shared" si="183"/>
        <v>0</v>
      </c>
      <c r="AB407" s="1">
        <f t="shared" si="184"/>
        <v>0</v>
      </c>
      <c r="AD407" s="1">
        <f t="shared" si="185"/>
        <v>0</v>
      </c>
      <c r="AE407" s="1">
        <f t="shared" si="186"/>
        <v>1</v>
      </c>
      <c r="AF407" s="1">
        <f t="shared" si="187"/>
        <v>0</v>
      </c>
      <c r="AG407" s="1">
        <f t="shared" si="188"/>
        <v>1</v>
      </c>
      <c r="AH407" s="1">
        <f t="shared" si="189"/>
        <v>0</v>
      </c>
      <c r="AI407" s="1">
        <f t="shared" si="190"/>
        <v>1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505</v>
      </c>
      <c r="E408" s="32" t="s">
        <v>155</v>
      </c>
      <c r="F408" s="32" t="s">
        <v>506</v>
      </c>
      <c r="G408" s="32" t="s">
        <v>39</v>
      </c>
      <c r="H408" s="32" t="s">
        <v>352</v>
      </c>
      <c r="I408" s="31" t="s">
        <v>930</v>
      </c>
      <c r="J408" s="31">
        <v>7</v>
      </c>
      <c r="K408" s="33" t="s">
        <v>942</v>
      </c>
      <c r="L408" s="33" t="s">
        <v>39</v>
      </c>
      <c r="M408" s="34" t="s">
        <v>39</v>
      </c>
      <c r="N408" s="34" t="s">
        <v>1700</v>
      </c>
      <c r="O408" s="35">
        <v>1</v>
      </c>
      <c r="P408" s="35">
        <v>1</v>
      </c>
      <c r="Q408" s="32"/>
      <c r="S408" s="1">
        <f t="shared" ref="S408:S422" si="191">IF(J408=$S$7,1,0)</f>
        <v>0</v>
      </c>
      <c r="T408" s="1">
        <f t="shared" ref="T408:T422" si="192">IF(J408=$T$7,1,0)</f>
        <v>0</v>
      </c>
      <c r="U408" s="1">
        <f t="shared" ref="U408:U422" si="193">IF(J408=$U$7,1,0)</f>
        <v>0</v>
      </c>
      <c r="V408" s="1">
        <f t="shared" ref="V408:V422" si="194">IF(J408=$V$7,1,0)</f>
        <v>0</v>
      </c>
      <c r="W408" s="1">
        <f t="shared" ref="W408:W422" si="195">IF(J408=$W$7,1,0)</f>
        <v>0</v>
      </c>
      <c r="X408" s="1">
        <f t="shared" ref="X408:X422" si="196">IF(J408=$X$7,1,0)</f>
        <v>0</v>
      </c>
      <c r="Y408" s="1">
        <f t="shared" ref="Y408:Y422" si="197">IF(J408=$Y$7,1,0)</f>
        <v>1</v>
      </c>
      <c r="Z408" s="1">
        <f t="shared" ref="Z408:Z422" si="198">IF(J408=$Z$7,1,0)</f>
        <v>0</v>
      </c>
      <c r="AA408" s="1">
        <f t="shared" ref="AA408:AA422" si="199">IF(J408=$AA$7,1,0)</f>
        <v>0</v>
      </c>
      <c r="AB408" s="1">
        <f t="shared" ref="AB408:AB422" si="200">IF(J408=$AB$7,1,0)</f>
        <v>0</v>
      </c>
      <c r="AD408" s="1">
        <f t="shared" ref="AD408:AD422" si="201">+O408*P408</f>
        <v>1</v>
      </c>
      <c r="AE408" s="1">
        <f t="shared" ref="AE408:AE422" si="202">O408*(1-P408)</f>
        <v>0</v>
      </c>
      <c r="AF408" s="1">
        <f t="shared" si="187"/>
        <v>1</v>
      </c>
      <c r="AG408" s="1">
        <f t="shared" si="188"/>
        <v>0</v>
      </c>
      <c r="AH408" s="1">
        <f t="shared" si="189"/>
        <v>1</v>
      </c>
      <c r="AI408" s="1">
        <f t="shared" si="190"/>
        <v>0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70</v>
      </c>
      <c r="E409" s="32" t="s">
        <v>28</v>
      </c>
      <c r="F409" s="32" t="s">
        <v>669</v>
      </c>
      <c r="G409" s="32" t="s">
        <v>257</v>
      </c>
      <c r="H409" s="32" t="s">
        <v>352</v>
      </c>
      <c r="I409" s="31" t="s">
        <v>415</v>
      </c>
      <c r="J409" s="31">
        <v>8</v>
      </c>
      <c r="K409" s="33" t="s">
        <v>709</v>
      </c>
      <c r="L409" s="33" t="s">
        <v>709</v>
      </c>
      <c r="M409" s="34" t="s">
        <v>727</v>
      </c>
      <c r="N409" s="34" t="s">
        <v>1714</v>
      </c>
      <c r="O409" s="35">
        <v>1</v>
      </c>
      <c r="P409" s="35"/>
      <c r="Q409" s="32"/>
      <c r="S409" s="1">
        <f t="shared" si="191"/>
        <v>0</v>
      </c>
      <c r="T409" s="1">
        <f t="shared" si="192"/>
        <v>0</v>
      </c>
      <c r="U409" s="1">
        <f t="shared" si="193"/>
        <v>0</v>
      </c>
      <c r="V409" s="1">
        <f t="shared" si="194"/>
        <v>0</v>
      </c>
      <c r="W409" s="1">
        <f t="shared" si="195"/>
        <v>0</v>
      </c>
      <c r="X409" s="1">
        <f t="shared" si="196"/>
        <v>0</v>
      </c>
      <c r="Y409" s="1">
        <f t="shared" si="197"/>
        <v>0</v>
      </c>
      <c r="Z409" s="1">
        <f t="shared" si="198"/>
        <v>1</v>
      </c>
      <c r="AA409" s="1">
        <f t="shared" si="199"/>
        <v>0</v>
      </c>
      <c r="AB409" s="1">
        <f t="shared" si="200"/>
        <v>0</v>
      </c>
      <c r="AD409" s="1">
        <f t="shared" si="201"/>
        <v>0</v>
      </c>
      <c r="AE409" s="1">
        <f t="shared" si="202"/>
        <v>1</v>
      </c>
      <c r="AF409" s="1">
        <f t="shared" si="187"/>
        <v>0</v>
      </c>
      <c r="AG409" s="1">
        <f t="shared" si="188"/>
        <v>1</v>
      </c>
      <c r="AH409" s="1">
        <f t="shared" si="189"/>
        <v>0</v>
      </c>
      <c r="AI409" s="1">
        <f t="shared" si="190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650</v>
      </c>
      <c r="E410" s="32" t="s">
        <v>155</v>
      </c>
      <c r="F410" s="32" t="s">
        <v>581</v>
      </c>
      <c r="G410" s="32" t="s">
        <v>248</v>
      </c>
      <c r="H410" s="32" t="s">
        <v>352</v>
      </c>
      <c r="I410" s="31" t="s">
        <v>675</v>
      </c>
      <c r="J410" s="31">
        <v>7</v>
      </c>
      <c r="K410" s="33" t="s">
        <v>942</v>
      </c>
      <c r="L410" s="33" t="s">
        <v>39</v>
      </c>
      <c r="M410" s="34" t="s">
        <v>39</v>
      </c>
      <c r="N410" s="34" t="s">
        <v>1700</v>
      </c>
      <c r="O410" s="35">
        <v>1</v>
      </c>
      <c r="P410" s="35">
        <v>1</v>
      </c>
      <c r="Q410" s="32"/>
      <c r="S410" s="1">
        <f t="shared" si="191"/>
        <v>0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1</v>
      </c>
      <c r="Z410" s="1">
        <f t="shared" si="198"/>
        <v>0</v>
      </c>
      <c r="AA410" s="1">
        <f t="shared" si="199"/>
        <v>0</v>
      </c>
      <c r="AB410" s="1">
        <f t="shared" si="200"/>
        <v>0</v>
      </c>
      <c r="AD410" s="1">
        <f t="shared" si="201"/>
        <v>1</v>
      </c>
      <c r="AE410" s="1">
        <f t="shared" si="202"/>
        <v>0</v>
      </c>
      <c r="AF410" s="1">
        <f t="shared" si="187"/>
        <v>1</v>
      </c>
      <c r="AG410" s="1">
        <f t="shared" si="188"/>
        <v>0</v>
      </c>
      <c r="AH410" s="1">
        <f t="shared" si="189"/>
        <v>1</v>
      </c>
      <c r="AI410" s="1">
        <f t="shared" si="190"/>
        <v>0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1608</v>
      </c>
      <c r="E411" s="45" t="s">
        <v>155</v>
      </c>
      <c r="F411" s="45" t="s">
        <v>1631</v>
      </c>
      <c r="G411" s="45" t="s">
        <v>212</v>
      </c>
      <c r="H411" s="45" t="s">
        <v>352</v>
      </c>
      <c r="I411" s="44" t="s">
        <v>590</v>
      </c>
      <c r="J411" s="44">
        <v>1</v>
      </c>
      <c r="K411" s="46" t="s">
        <v>708</v>
      </c>
      <c r="L411" s="46" t="s">
        <v>718</v>
      </c>
      <c r="M411" s="47" t="s">
        <v>1409</v>
      </c>
      <c r="N411" s="47" t="s">
        <v>1708</v>
      </c>
      <c r="O411" s="48"/>
      <c r="P411" s="48"/>
      <c r="Q411" s="45"/>
      <c r="S411" s="1">
        <f t="shared" si="191"/>
        <v>1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0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0</v>
      </c>
      <c r="AE411" s="1">
        <f t="shared" si="202"/>
        <v>0</v>
      </c>
      <c r="AF411" s="1">
        <f t="shared" si="187"/>
        <v>0</v>
      </c>
      <c r="AG411" s="1">
        <f t="shared" si="188"/>
        <v>0</v>
      </c>
      <c r="AH411" s="1">
        <f t="shared" si="189"/>
        <v>0</v>
      </c>
      <c r="AI411" s="1">
        <f t="shared" si="190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1057</v>
      </c>
      <c r="E412" s="32" t="s">
        <v>1033</v>
      </c>
      <c r="F412" s="32" t="s">
        <v>1058</v>
      </c>
      <c r="G412" s="32" t="s">
        <v>212</v>
      </c>
      <c r="H412" s="32" t="s">
        <v>352</v>
      </c>
      <c r="I412" s="31" t="s">
        <v>1059</v>
      </c>
      <c r="J412" s="31">
        <v>1</v>
      </c>
      <c r="K412" s="33" t="s">
        <v>942</v>
      </c>
      <c r="L412" s="33" t="s">
        <v>718</v>
      </c>
      <c r="M412" s="34" t="s">
        <v>1410</v>
      </c>
      <c r="N412" s="34" t="s">
        <v>1714</v>
      </c>
      <c r="O412" s="35">
        <v>1</v>
      </c>
      <c r="P412" s="35"/>
      <c r="Q412" s="32" t="s">
        <v>1889</v>
      </c>
      <c r="S412" s="1">
        <f t="shared" si="191"/>
        <v>1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1</v>
      </c>
      <c r="AF412" s="1">
        <f t="shared" si="187"/>
        <v>0</v>
      </c>
      <c r="AG412" s="1">
        <f t="shared" si="188"/>
        <v>1</v>
      </c>
      <c r="AH412" s="1">
        <f t="shared" si="189"/>
        <v>0</v>
      </c>
      <c r="AI412" s="1">
        <f t="shared" si="190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1004</v>
      </c>
      <c r="E413" s="32" t="s">
        <v>155</v>
      </c>
      <c r="F413" s="32" t="s">
        <v>1075</v>
      </c>
      <c r="G413" s="32" t="s">
        <v>1085</v>
      </c>
      <c r="H413" s="32" t="s">
        <v>352</v>
      </c>
      <c r="I413" s="31" t="s">
        <v>1005</v>
      </c>
      <c r="J413" s="31">
        <v>99</v>
      </c>
      <c r="K413" s="33" t="s">
        <v>709</v>
      </c>
      <c r="L413" s="33" t="s">
        <v>718</v>
      </c>
      <c r="M413" s="34" t="s">
        <v>1410</v>
      </c>
      <c r="N413" s="34" t="s">
        <v>1719</v>
      </c>
      <c r="O413" s="35">
        <v>1</v>
      </c>
      <c r="P413" s="35"/>
      <c r="Q413" s="32"/>
      <c r="S413" s="1">
        <f t="shared" si="191"/>
        <v>0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1186</v>
      </c>
      <c r="E414" s="32" t="s">
        <v>1312</v>
      </c>
      <c r="F414" s="32" t="s">
        <v>1187</v>
      </c>
      <c r="G414" s="32" t="s">
        <v>39</v>
      </c>
      <c r="H414" s="32" t="s">
        <v>352</v>
      </c>
      <c r="I414" s="31" t="s">
        <v>1658</v>
      </c>
      <c r="J414" s="31">
        <v>99</v>
      </c>
      <c r="K414" s="33" t="s">
        <v>942</v>
      </c>
      <c r="L414" s="33" t="s">
        <v>725</v>
      </c>
      <c r="M414" s="34" t="s">
        <v>1411</v>
      </c>
      <c r="N414" s="34" t="s">
        <v>1719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0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640</v>
      </c>
      <c r="G415" s="32" t="s">
        <v>531</v>
      </c>
      <c r="H415" s="32" t="s">
        <v>352</v>
      </c>
      <c r="I415" s="31" t="s">
        <v>392</v>
      </c>
      <c r="J415" s="31">
        <v>6</v>
      </c>
      <c r="K415" s="33" t="s">
        <v>708</v>
      </c>
      <c r="L415" s="33" t="s">
        <v>709</v>
      </c>
      <c r="M415" s="34" t="s">
        <v>727</v>
      </c>
      <c r="N415" s="34" t="s">
        <v>1732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1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1</v>
      </c>
      <c r="AH415" s="1">
        <f t="shared" si="189"/>
        <v>0</v>
      </c>
      <c r="AI415" s="1">
        <f t="shared" si="190"/>
        <v>1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215</v>
      </c>
      <c r="G416" s="32" t="s">
        <v>39</v>
      </c>
      <c r="H416" s="32" t="s">
        <v>352</v>
      </c>
      <c r="I416" s="31" t="s">
        <v>30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1732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0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0</v>
      </c>
      <c r="AH416" s="1">
        <f t="shared" si="189"/>
        <v>0</v>
      </c>
      <c r="AI416" s="1">
        <f t="shared" si="190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214</v>
      </c>
      <c r="G417" s="32" t="s">
        <v>39</v>
      </c>
      <c r="H417" s="32" t="s">
        <v>352</v>
      </c>
      <c r="I417" s="31" t="s">
        <v>392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1732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216</v>
      </c>
      <c r="G418" s="32" t="s">
        <v>217</v>
      </c>
      <c r="H418" s="32" t="s">
        <v>352</v>
      </c>
      <c r="I418" s="31" t="s">
        <v>393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1732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0</v>
      </c>
      <c r="AH418" s="1">
        <f t="shared" si="189"/>
        <v>0</v>
      </c>
      <c r="AI418" s="1">
        <f t="shared" si="190"/>
        <v>0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6" t="s">
        <v>2020</v>
      </c>
      <c r="E419" s="36" t="s">
        <v>155</v>
      </c>
      <c r="F419" s="36" t="s">
        <v>2021</v>
      </c>
      <c r="G419" s="36" t="s">
        <v>219</v>
      </c>
      <c r="H419" s="36" t="s">
        <v>352</v>
      </c>
      <c r="I419" s="37" t="s">
        <v>2022</v>
      </c>
      <c r="J419" s="31">
        <v>99</v>
      </c>
      <c r="K419" s="33" t="s">
        <v>699</v>
      </c>
      <c r="L419" s="33">
        <v>10</v>
      </c>
      <c r="M419" s="34" t="s">
        <v>2023</v>
      </c>
      <c r="N419" s="34" t="s">
        <v>1719</v>
      </c>
      <c r="O419" s="35">
        <v>1</v>
      </c>
      <c r="P419" s="35"/>
      <c r="Q419" s="32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1</v>
      </c>
      <c r="AF419" s="1">
        <f t="shared" si="187"/>
        <v>0</v>
      </c>
      <c r="AG419" s="1">
        <f t="shared" si="188"/>
        <v>1</v>
      </c>
      <c r="AH419" s="1">
        <f t="shared" si="189"/>
        <v>0</v>
      </c>
      <c r="AI419" s="1">
        <f t="shared" si="19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6" t="s">
        <v>68</v>
      </c>
      <c r="E420" s="36" t="s">
        <v>28</v>
      </c>
      <c r="F420" s="36" t="s">
        <v>252</v>
      </c>
      <c r="G420" s="36" t="s">
        <v>253</v>
      </c>
      <c r="H420" s="36" t="s">
        <v>352</v>
      </c>
      <c r="I420" s="37" t="s">
        <v>412</v>
      </c>
      <c r="J420" s="31">
        <v>99</v>
      </c>
      <c r="K420" s="33" t="s">
        <v>709</v>
      </c>
      <c r="L420" s="33" t="s">
        <v>709</v>
      </c>
      <c r="M420" s="34" t="s">
        <v>727</v>
      </c>
      <c r="N420" s="34" t="s">
        <v>1796</v>
      </c>
      <c r="O420" s="35">
        <v>1</v>
      </c>
      <c r="P420" s="35"/>
      <c r="Q420" s="32"/>
      <c r="S420" s="1">
        <f t="shared" si="191"/>
        <v>0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0</v>
      </c>
      <c r="AE420" s="1">
        <f t="shared" si="202"/>
        <v>1</v>
      </c>
      <c r="AF420" s="1">
        <f t="shared" si="187"/>
        <v>0</v>
      </c>
      <c r="AG420" s="1">
        <f t="shared" si="188"/>
        <v>1</v>
      </c>
      <c r="AH420" s="1">
        <f t="shared" si="189"/>
        <v>0</v>
      </c>
      <c r="AI420" s="1">
        <f t="shared" si="19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1984</v>
      </c>
      <c r="E421" s="32" t="s">
        <v>28</v>
      </c>
      <c r="F421" s="32" t="s">
        <v>1986</v>
      </c>
      <c r="G421" s="32" t="s">
        <v>1091</v>
      </c>
      <c r="H421" s="32" t="s">
        <v>352</v>
      </c>
      <c r="I421" s="31" t="s">
        <v>1987</v>
      </c>
      <c r="J421" s="31">
        <v>1</v>
      </c>
      <c r="K421" s="33" t="s">
        <v>699</v>
      </c>
      <c r="L421" s="33"/>
      <c r="M421" s="34"/>
      <c r="N421" s="34" t="s">
        <v>1700</v>
      </c>
      <c r="O421" s="35">
        <v>1</v>
      </c>
      <c r="P421" s="35">
        <v>1</v>
      </c>
      <c r="Q421" s="32" t="s">
        <v>1989</v>
      </c>
      <c r="S421" s="1">
        <f t="shared" si="191"/>
        <v>1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0</v>
      </c>
      <c r="AA421" s="1">
        <f t="shared" si="199"/>
        <v>0</v>
      </c>
      <c r="AB421" s="1">
        <f t="shared" si="200"/>
        <v>0</v>
      </c>
      <c r="AD421" s="1">
        <f t="shared" si="201"/>
        <v>1</v>
      </c>
      <c r="AE421" s="1">
        <f t="shared" si="202"/>
        <v>0</v>
      </c>
      <c r="AF421" s="1">
        <f t="shared" si="187"/>
        <v>1</v>
      </c>
      <c r="AG421" s="1">
        <f t="shared" si="188"/>
        <v>0</v>
      </c>
      <c r="AH421" s="1">
        <f t="shared" si="189"/>
        <v>1</v>
      </c>
      <c r="AI421" s="1">
        <f t="shared" si="190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1984</v>
      </c>
      <c r="E422" s="32" t="s">
        <v>28</v>
      </c>
      <c r="F422" s="32" t="s">
        <v>1985</v>
      </c>
      <c r="G422" s="36" t="s">
        <v>1991</v>
      </c>
      <c r="H422" s="32" t="s">
        <v>352</v>
      </c>
      <c r="I422" s="31" t="s">
        <v>1988</v>
      </c>
      <c r="J422" s="31">
        <v>8</v>
      </c>
      <c r="K422" s="33" t="s">
        <v>699</v>
      </c>
      <c r="L422" s="33"/>
      <c r="M422" s="34"/>
      <c r="N422" s="34" t="s">
        <v>1700</v>
      </c>
      <c r="O422" s="35">
        <v>1</v>
      </c>
      <c r="P422" s="35">
        <v>1</v>
      </c>
      <c r="Q422" s="32" t="s">
        <v>1990</v>
      </c>
      <c r="S422" s="1">
        <f t="shared" si="191"/>
        <v>0</v>
      </c>
      <c r="T422" s="1">
        <f t="shared" si="192"/>
        <v>0</v>
      </c>
      <c r="U422" s="1">
        <f t="shared" si="193"/>
        <v>0</v>
      </c>
      <c r="V422" s="1">
        <f t="shared" si="194"/>
        <v>0</v>
      </c>
      <c r="W422" s="1">
        <f t="shared" si="195"/>
        <v>0</v>
      </c>
      <c r="X422" s="1">
        <f t="shared" si="196"/>
        <v>0</v>
      </c>
      <c r="Y422" s="1">
        <f t="shared" si="197"/>
        <v>0</v>
      </c>
      <c r="Z422" s="1">
        <f t="shared" si="198"/>
        <v>1</v>
      </c>
      <c r="AA422" s="1">
        <f t="shared" si="199"/>
        <v>0</v>
      </c>
      <c r="AB422" s="1">
        <f t="shared" si="200"/>
        <v>0</v>
      </c>
      <c r="AD422" s="1">
        <f t="shared" si="201"/>
        <v>1</v>
      </c>
      <c r="AE422" s="1">
        <f t="shared" si="202"/>
        <v>0</v>
      </c>
      <c r="AF422" s="1">
        <f t="shared" si="187"/>
        <v>0</v>
      </c>
      <c r="AG422" s="1">
        <f t="shared" si="188"/>
        <v>0</v>
      </c>
      <c r="AH422" s="1">
        <f t="shared" si="189"/>
        <v>0</v>
      </c>
      <c r="AI422" s="1">
        <f t="shared" si="190"/>
        <v>0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254</v>
      </c>
      <c r="G423" s="36" t="s">
        <v>206</v>
      </c>
      <c r="H423" s="32" t="s">
        <v>352</v>
      </c>
      <c r="I423" s="31" t="s">
        <v>413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1706</v>
      </c>
      <c r="O423" s="35">
        <v>1</v>
      </c>
      <c r="P423" s="35">
        <v>1</v>
      </c>
      <c r="Q423" s="32"/>
      <c r="S423" s="1">
        <f t="shared" ref="S423:S472" si="203">IF(J423=$S$7,1,0)</f>
        <v>0</v>
      </c>
      <c r="T423" s="1">
        <f t="shared" ref="T423:T472" si="204">IF(J423=$T$7,1,0)</f>
        <v>0</v>
      </c>
      <c r="U423" s="1">
        <f t="shared" ref="U423:U472" si="205">IF(J423=$U$7,1,0)</f>
        <v>0</v>
      </c>
      <c r="V423" s="1">
        <f t="shared" ref="V423:V472" si="206">IF(J423=$V$7,1,0)</f>
        <v>0</v>
      </c>
      <c r="W423" s="1">
        <f t="shared" ref="W423:W472" si="207">IF(J423=$W$7,1,0)</f>
        <v>0</v>
      </c>
      <c r="X423" s="1">
        <f t="shared" ref="X423:X472" si="208">IF(J423=$X$7,1,0)</f>
        <v>0</v>
      </c>
      <c r="Y423" s="1">
        <f t="shared" ref="Y423:Y472" si="209">IF(J423=$Y$7,1,0)</f>
        <v>0</v>
      </c>
      <c r="Z423" s="1">
        <f t="shared" ref="Z423:Z472" si="210">IF(J423=$Z$7,1,0)</f>
        <v>0</v>
      </c>
      <c r="AA423" s="1">
        <f t="shared" ref="AA423:AA472" si="211">IF(J423=$AA$7,1,0)</f>
        <v>0</v>
      </c>
      <c r="AB423" s="1">
        <f t="shared" ref="AB423:AB472" si="212">IF(J423=$AB$7,1,0)</f>
        <v>0</v>
      </c>
      <c r="AD423" s="1">
        <f t="shared" ref="AD423:AD472" si="213">+O423*P423</f>
        <v>1</v>
      </c>
      <c r="AE423" s="1">
        <f t="shared" ref="AE423:AE472" si="214">O423*(1-P423)</f>
        <v>0</v>
      </c>
      <c r="AF423" s="1">
        <f t="shared" ref="AF423:AF468" si="215">+O423*P423*(1-A423)</f>
        <v>1</v>
      </c>
      <c r="AG423" s="1">
        <f t="shared" ref="AG423:AG468" si="216">O423*(1-P423)*(1-A423)</f>
        <v>0</v>
      </c>
      <c r="AH423" s="1">
        <f t="shared" ref="AH423:AH468" si="217">+P423*(1-A423)</f>
        <v>1</v>
      </c>
      <c r="AI423" s="1">
        <f t="shared" ref="AI423:AI468" si="218">+(1-A423)*(1-P423)</f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1845</v>
      </c>
      <c r="G424" s="36" t="s">
        <v>255</v>
      </c>
      <c r="H424" s="32" t="s">
        <v>352</v>
      </c>
      <c r="I424" s="31" t="s">
        <v>414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si="203"/>
        <v>0</v>
      </c>
      <c r="T424" s="1">
        <f t="shared" si="204"/>
        <v>0</v>
      </c>
      <c r="U424" s="1">
        <f t="shared" si="205"/>
        <v>0</v>
      </c>
      <c r="V424" s="1">
        <f t="shared" si="206"/>
        <v>0</v>
      </c>
      <c r="W424" s="1">
        <f t="shared" si="207"/>
        <v>0</v>
      </c>
      <c r="X424" s="1">
        <f t="shared" si="208"/>
        <v>0</v>
      </c>
      <c r="Y424" s="1">
        <f t="shared" si="209"/>
        <v>0</v>
      </c>
      <c r="Z424" s="1">
        <f t="shared" si="210"/>
        <v>0</v>
      </c>
      <c r="AA424" s="1">
        <f t="shared" si="211"/>
        <v>0</v>
      </c>
      <c r="AB424" s="1">
        <f t="shared" si="212"/>
        <v>0</v>
      </c>
      <c r="AD424" s="1">
        <f t="shared" si="213"/>
        <v>1</v>
      </c>
      <c r="AE424" s="1">
        <f t="shared" si="214"/>
        <v>0</v>
      </c>
      <c r="AF424" s="1">
        <f t="shared" si="215"/>
        <v>0</v>
      </c>
      <c r="AG424" s="1">
        <f t="shared" si="216"/>
        <v>0</v>
      </c>
      <c r="AH424" s="1">
        <f t="shared" si="217"/>
        <v>0</v>
      </c>
      <c r="AI424" s="1">
        <f t="shared" si="218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566</v>
      </c>
      <c r="G425" s="36" t="s">
        <v>567</v>
      </c>
      <c r="H425" s="32" t="s">
        <v>352</v>
      </c>
      <c r="I425" s="31" t="s">
        <v>576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1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0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71</v>
      </c>
      <c r="E426" s="45" t="s">
        <v>28</v>
      </c>
      <c r="F426" s="45" t="s">
        <v>1328</v>
      </c>
      <c r="G426" s="45" t="s">
        <v>258</v>
      </c>
      <c r="H426" s="45" t="s">
        <v>352</v>
      </c>
      <c r="I426" s="44" t="s">
        <v>416</v>
      </c>
      <c r="J426" s="44">
        <v>99</v>
      </c>
      <c r="K426" s="46" t="s">
        <v>709</v>
      </c>
      <c r="L426" s="46" t="s">
        <v>709</v>
      </c>
      <c r="M426" s="47" t="s">
        <v>727</v>
      </c>
      <c r="N426" s="47" t="s">
        <v>1773</v>
      </c>
      <c r="O426" s="48"/>
      <c r="P426" s="48"/>
      <c r="Q426" s="45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0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1</v>
      </c>
    </row>
    <row r="427" spans="1:35" ht="14.25" customHeight="1" x14ac:dyDescent="0.25">
      <c r="A427" s="44">
        <v>0</v>
      </c>
      <c r="B427" s="44">
        <v>2</v>
      </c>
      <c r="C427" s="44">
        <v>7</v>
      </c>
      <c r="D427" s="45" t="s">
        <v>1049</v>
      </c>
      <c r="E427" s="45" t="s">
        <v>28</v>
      </c>
      <c r="F427" s="45" t="s">
        <v>1050</v>
      </c>
      <c r="G427" s="45" t="s">
        <v>1051</v>
      </c>
      <c r="H427" s="45" t="s">
        <v>352</v>
      </c>
      <c r="I427" s="44" t="s">
        <v>1052</v>
      </c>
      <c r="J427" s="44">
        <v>99</v>
      </c>
      <c r="K427" s="46" t="s">
        <v>709</v>
      </c>
      <c r="L427" s="46" t="s">
        <v>709</v>
      </c>
      <c r="M427" s="47" t="s">
        <v>727</v>
      </c>
      <c r="N427" s="47" t="s">
        <v>1773</v>
      </c>
      <c r="O427" s="48"/>
      <c r="P427" s="48"/>
      <c r="Q427" s="45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0</v>
      </c>
      <c r="AE427" s="1">
        <f t="shared" si="214"/>
        <v>0</v>
      </c>
      <c r="AF427" s="1">
        <f t="shared" si="215"/>
        <v>0</v>
      </c>
      <c r="AG427" s="1">
        <f t="shared" si="216"/>
        <v>0</v>
      </c>
      <c r="AH427" s="1">
        <f t="shared" si="217"/>
        <v>0</v>
      </c>
      <c r="AI427" s="1">
        <f t="shared" si="218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1777</v>
      </c>
      <c r="E428" s="32" t="s">
        <v>155</v>
      </c>
      <c r="F428" s="32" t="s">
        <v>1778</v>
      </c>
      <c r="G428" s="32"/>
      <c r="H428" s="32" t="s">
        <v>352</v>
      </c>
      <c r="I428" s="31" t="s">
        <v>1779</v>
      </c>
      <c r="J428" s="31">
        <v>99</v>
      </c>
      <c r="K428" s="33" t="s">
        <v>699</v>
      </c>
      <c r="L428" s="33"/>
      <c r="M428" s="34"/>
      <c r="N428" s="34" t="s">
        <v>1700</v>
      </c>
      <c r="O428" s="35">
        <v>1</v>
      </c>
      <c r="P428" s="35">
        <v>1</v>
      </c>
      <c r="Q428" s="32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1</v>
      </c>
      <c r="AE428" s="1">
        <f t="shared" si="214"/>
        <v>0</v>
      </c>
      <c r="AF428" s="1">
        <f t="shared" si="215"/>
        <v>1</v>
      </c>
      <c r="AG428" s="1">
        <f t="shared" si="216"/>
        <v>0</v>
      </c>
      <c r="AH428" s="1">
        <f t="shared" si="217"/>
        <v>1</v>
      </c>
      <c r="AI428" s="1">
        <f t="shared" si="218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1162</v>
      </c>
      <c r="E429" s="32" t="s">
        <v>155</v>
      </c>
      <c r="F429" s="32" t="s">
        <v>1163</v>
      </c>
      <c r="G429" s="32" t="s">
        <v>291</v>
      </c>
      <c r="H429" s="32" t="s">
        <v>352</v>
      </c>
      <c r="I429" s="31" t="s">
        <v>1164</v>
      </c>
      <c r="J429" s="31">
        <v>99</v>
      </c>
      <c r="K429" s="33" t="s">
        <v>709</v>
      </c>
      <c r="L429" s="33" t="s">
        <v>718</v>
      </c>
      <c r="M429" s="34" t="s">
        <v>1410</v>
      </c>
      <c r="N429" s="34" t="s">
        <v>1719</v>
      </c>
      <c r="O429" s="35">
        <v>1</v>
      </c>
      <c r="P429" s="35"/>
      <c r="Q429" s="32"/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0</v>
      </c>
      <c r="AE429" s="1">
        <f t="shared" si="214"/>
        <v>1</v>
      </c>
      <c r="AF429" s="1">
        <f t="shared" si="215"/>
        <v>0</v>
      </c>
      <c r="AG429" s="1">
        <f t="shared" si="216"/>
        <v>1</v>
      </c>
      <c r="AH429" s="1">
        <f t="shared" si="217"/>
        <v>0</v>
      </c>
      <c r="AI429" s="1">
        <f t="shared" si="21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1137</v>
      </c>
      <c r="E430" s="32" t="s">
        <v>1138</v>
      </c>
      <c r="F430" s="36" t="s">
        <v>1849</v>
      </c>
      <c r="G430" s="32" t="s">
        <v>624</v>
      </c>
      <c r="H430" s="32" t="s">
        <v>352</v>
      </c>
      <c r="I430" s="31" t="s">
        <v>1139</v>
      </c>
      <c r="J430" s="31">
        <v>99</v>
      </c>
      <c r="K430" s="33" t="s">
        <v>709</v>
      </c>
      <c r="L430" s="33" t="s">
        <v>709</v>
      </c>
      <c r="M430" s="34" t="s">
        <v>727</v>
      </c>
      <c r="N430" s="34" t="s">
        <v>1714</v>
      </c>
      <c r="O430" s="35">
        <v>1</v>
      </c>
      <c r="P430" s="35"/>
      <c r="Q430" s="36" t="s">
        <v>1869</v>
      </c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538</v>
      </c>
      <c r="E431" s="32" t="s">
        <v>157</v>
      </c>
      <c r="F431" s="32" t="s">
        <v>194</v>
      </c>
      <c r="G431" s="32" t="s">
        <v>195</v>
      </c>
      <c r="H431" s="32" t="s">
        <v>352</v>
      </c>
      <c r="I431" s="31" t="s">
        <v>546</v>
      </c>
      <c r="J431" s="31">
        <v>99</v>
      </c>
      <c r="K431" s="33" t="s">
        <v>942</v>
      </c>
      <c r="L431" s="33" t="s">
        <v>692</v>
      </c>
      <c r="M431" s="34" t="s">
        <v>1412</v>
      </c>
      <c r="N431" s="34" t="s">
        <v>1719</v>
      </c>
      <c r="O431" s="35">
        <v>1</v>
      </c>
      <c r="P431" s="35"/>
      <c r="Q431" s="32"/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0</v>
      </c>
      <c r="AD431" s="1">
        <f t="shared" si="213"/>
        <v>0</v>
      </c>
      <c r="AE431" s="1">
        <f t="shared" si="214"/>
        <v>1</v>
      </c>
      <c r="AF431" s="1">
        <f t="shared" si="215"/>
        <v>0</v>
      </c>
      <c r="AG431" s="1">
        <f t="shared" si="216"/>
        <v>1</v>
      </c>
      <c r="AH431" s="1">
        <f t="shared" si="217"/>
        <v>0</v>
      </c>
      <c r="AI431" s="1">
        <f t="shared" si="218"/>
        <v>1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46</v>
      </c>
      <c r="E432" s="45" t="s">
        <v>155</v>
      </c>
      <c r="F432" s="45" t="s">
        <v>182</v>
      </c>
      <c r="G432" s="45" t="s">
        <v>178</v>
      </c>
      <c r="H432" s="45" t="s">
        <v>352</v>
      </c>
      <c r="I432" s="44" t="s">
        <v>380</v>
      </c>
      <c r="J432" s="44">
        <v>10</v>
      </c>
      <c r="K432" s="46" t="s">
        <v>942</v>
      </c>
      <c r="L432" s="46" t="s">
        <v>718</v>
      </c>
      <c r="M432" s="47" t="s">
        <v>1410</v>
      </c>
      <c r="N432" s="47" t="s">
        <v>1780</v>
      </c>
      <c r="O432" s="48"/>
      <c r="P432" s="48"/>
      <c r="Q432" s="45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0</v>
      </c>
      <c r="Z432" s="1">
        <f t="shared" si="210"/>
        <v>0</v>
      </c>
      <c r="AA432" s="1">
        <f t="shared" si="211"/>
        <v>0</v>
      </c>
      <c r="AB432" s="1">
        <f t="shared" si="212"/>
        <v>1</v>
      </c>
      <c r="AD432" s="1">
        <f t="shared" si="213"/>
        <v>0</v>
      </c>
      <c r="AE432" s="1">
        <f t="shared" si="214"/>
        <v>0</v>
      </c>
      <c r="AF432" s="1">
        <f t="shared" si="215"/>
        <v>0</v>
      </c>
      <c r="AG432" s="1">
        <f t="shared" si="216"/>
        <v>0</v>
      </c>
      <c r="AH432" s="1">
        <f t="shared" si="217"/>
        <v>0</v>
      </c>
      <c r="AI432" s="1">
        <f t="shared" si="218"/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247</v>
      </c>
      <c r="G433" s="32" t="s">
        <v>248</v>
      </c>
      <c r="H433" s="32" t="s">
        <v>352</v>
      </c>
      <c r="I433" s="31" t="s">
        <v>409</v>
      </c>
      <c r="J433" s="31">
        <v>7</v>
      </c>
      <c r="K433" s="33" t="s">
        <v>709</v>
      </c>
      <c r="L433" s="33" t="s">
        <v>709</v>
      </c>
      <c r="M433" s="34" t="s">
        <v>727</v>
      </c>
      <c r="N433" s="34" t="s">
        <v>1720</v>
      </c>
      <c r="O433" s="35">
        <v>1</v>
      </c>
      <c r="P433" s="35"/>
      <c r="Q433" s="32"/>
      <c r="S433" s="1">
        <f t="shared" si="203"/>
        <v>0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1</v>
      </c>
      <c r="Z433" s="1">
        <f t="shared" si="210"/>
        <v>0</v>
      </c>
      <c r="AA433" s="1">
        <f t="shared" si="211"/>
        <v>0</v>
      </c>
      <c r="AB433" s="1">
        <f t="shared" si="212"/>
        <v>0</v>
      </c>
      <c r="AD433" s="1">
        <f t="shared" si="213"/>
        <v>0</v>
      </c>
      <c r="AE433" s="1">
        <f t="shared" si="214"/>
        <v>1</v>
      </c>
      <c r="AF433" s="1">
        <f t="shared" si="215"/>
        <v>0</v>
      </c>
      <c r="AG433" s="1">
        <f t="shared" si="216"/>
        <v>1</v>
      </c>
      <c r="AH433" s="1">
        <f t="shared" si="217"/>
        <v>0</v>
      </c>
      <c r="AI433" s="1">
        <f t="shared" si="218"/>
        <v>1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1026</v>
      </c>
      <c r="G434" s="32" t="s">
        <v>535</v>
      </c>
      <c r="H434" s="32" t="s">
        <v>352</v>
      </c>
      <c r="I434" s="31" t="s">
        <v>30</v>
      </c>
      <c r="J434" s="31">
        <v>1</v>
      </c>
      <c r="K434" s="33" t="s">
        <v>709</v>
      </c>
      <c r="L434" s="33" t="s">
        <v>709</v>
      </c>
      <c r="M434" s="34" t="s">
        <v>727</v>
      </c>
      <c r="N434" s="34" t="s">
        <v>1720</v>
      </c>
      <c r="O434" s="35">
        <v>1</v>
      </c>
      <c r="P434" s="35"/>
      <c r="Q434" s="32"/>
      <c r="S434" s="1">
        <f t="shared" si="203"/>
        <v>1</v>
      </c>
      <c r="T434" s="1">
        <f t="shared" si="204"/>
        <v>0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0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0</v>
      </c>
      <c r="AH434" s="1">
        <f t="shared" si="217"/>
        <v>0</v>
      </c>
      <c r="AI434" s="1">
        <f t="shared" si="218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249</v>
      </c>
      <c r="G435" s="32" t="s">
        <v>199</v>
      </c>
      <c r="H435" s="32" t="s">
        <v>352</v>
      </c>
      <c r="I435" s="31" t="s">
        <v>410</v>
      </c>
      <c r="J435" s="31">
        <v>2</v>
      </c>
      <c r="K435" s="33" t="s">
        <v>709</v>
      </c>
      <c r="L435" s="33" t="s">
        <v>709</v>
      </c>
      <c r="M435" s="34" t="s">
        <v>727</v>
      </c>
      <c r="N435" s="34" t="s">
        <v>1720</v>
      </c>
      <c r="O435" s="35">
        <v>1</v>
      </c>
      <c r="P435" s="35"/>
      <c r="Q435" s="32"/>
      <c r="S435" s="1">
        <f t="shared" si="203"/>
        <v>0</v>
      </c>
      <c r="T435" s="1">
        <f t="shared" si="204"/>
        <v>1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246</v>
      </c>
      <c r="G436" s="32" t="s">
        <v>1330</v>
      </c>
      <c r="H436" s="32" t="s">
        <v>352</v>
      </c>
      <c r="I436" s="31" t="s">
        <v>30</v>
      </c>
      <c r="J436" s="31">
        <v>1</v>
      </c>
      <c r="K436" s="33" t="s">
        <v>709</v>
      </c>
      <c r="L436" s="33" t="s">
        <v>709</v>
      </c>
      <c r="M436" s="34" t="s">
        <v>727</v>
      </c>
      <c r="N436" s="34" t="s">
        <v>1720</v>
      </c>
      <c r="O436" s="35">
        <v>1</v>
      </c>
      <c r="P436" s="35"/>
      <c r="Q436" s="32" t="s">
        <v>1888</v>
      </c>
      <c r="S436" s="1">
        <f t="shared" si="203"/>
        <v>1</v>
      </c>
      <c r="T436" s="1">
        <f t="shared" si="204"/>
        <v>0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0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251</v>
      </c>
      <c r="G437" s="32" t="s">
        <v>193</v>
      </c>
      <c r="H437" s="32" t="s">
        <v>352</v>
      </c>
      <c r="I437" s="31" t="s">
        <v>411</v>
      </c>
      <c r="J437" s="31">
        <v>9</v>
      </c>
      <c r="K437" s="33" t="s">
        <v>709</v>
      </c>
      <c r="L437" s="33" t="s">
        <v>709</v>
      </c>
      <c r="M437" s="34" t="s">
        <v>727</v>
      </c>
      <c r="N437" s="34" t="s">
        <v>1720</v>
      </c>
      <c r="O437" s="35">
        <v>1</v>
      </c>
      <c r="P437" s="35"/>
      <c r="Q437" s="32"/>
      <c r="S437" s="1">
        <f t="shared" si="203"/>
        <v>0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1</v>
      </c>
      <c r="AB437" s="1">
        <f t="shared" si="212"/>
        <v>0</v>
      </c>
      <c r="AD437" s="1">
        <f t="shared" si="213"/>
        <v>0</v>
      </c>
      <c r="AE437" s="1">
        <f t="shared" si="214"/>
        <v>1</v>
      </c>
      <c r="AF437" s="1">
        <f t="shared" si="215"/>
        <v>0</v>
      </c>
      <c r="AG437" s="1">
        <f t="shared" si="216"/>
        <v>0</v>
      </c>
      <c r="AH437" s="1">
        <f t="shared" si="217"/>
        <v>0</v>
      </c>
      <c r="AI437" s="1">
        <f t="shared" si="218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1010</v>
      </c>
      <c r="E438" s="32" t="s">
        <v>28</v>
      </c>
      <c r="F438" s="32" t="s">
        <v>1011</v>
      </c>
      <c r="G438" s="32" t="s">
        <v>193</v>
      </c>
      <c r="H438" s="32" t="s">
        <v>352</v>
      </c>
      <c r="I438" s="31" t="s">
        <v>1012</v>
      </c>
      <c r="J438" s="31">
        <v>9</v>
      </c>
      <c r="K438" s="33" t="s">
        <v>708</v>
      </c>
      <c r="L438" s="33" t="s">
        <v>709</v>
      </c>
      <c r="M438" s="34" t="s">
        <v>727</v>
      </c>
      <c r="N438" s="34" t="s">
        <v>1714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1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1</v>
      </c>
      <c r="AH438" s="1">
        <f t="shared" si="217"/>
        <v>0</v>
      </c>
      <c r="AI438" s="1">
        <f t="shared" si="218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1804</v>
      </c>
      <c r="E439" s="32" t="s">
        <v>1805</v>
      </c>
      <c r="F439" s="32" t="s">
        <v>1806</v>
      </c>
      <c r="G439" s="32" t="s">
        <v>206</v>
      </c>
      <c r="H439" s="32" t="s">
        <v>352</v>
      </c>
      <c r="I439" s="31" t="s">
        <v>30</v>
      </c>
      <c r="J439" s="31"/>
      <c r="K439" s="33" t="s">
        <v>699</v>
      </c>
      <c r="L439" s="33">
        <v>20</v>
      </c>
      <c r="M439" s="34" t="s">
        <v>1807</v>
      </c>
      <c r="N439" s="34" t="s">
        <v>1714</v>
      </c>
      <c r="O439" s="35">
        <v>1</v>
      </c>
      <c r="P439" s="35"/>
      <c r="Q439" s="32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0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1066</v>
      </c>
      <c r="E440" s="32" t="s">
        <v>540</v>
      </c>
      <c r="F440" s="32" t="s">
        <v>1047</v>
      </c>
      <c r="G440" s="32" t="s">
        <v>237</v>
      </c>
      <c r="H440" s="32" t="s">
        <v>352</v>
      </c>
      <c r="I440" s="31" t="s">
        <v>1048</v>
      </c>
      <c r="J440" s="31">
        <v>99</v>
      </c>
      <c r="K440" s="33" t="s">
        <v>942</v>
      </c>
      <c r="L440" s="33" t="s">
        <v>718</v>
      </c>
      <c r="M440" s="34" t="s">
        <v>1413</v>
      </c>
      <c r="N440" s="34" t="s">
        <v>1714</v>
      </c>
      <c r="O440" s="35">
        <v>1</v>
      </c>
      <c r="P440" s="35"/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0</v>
      </c>
      <c r="AE440" s="1">
        <f t="shared" si="214"/>
        <v>1</v>
      </c>
      <c r="AF440" s="1">
        <f t="shared" si="215"/>
        <v>0</v>
      </c>
      <c r="AG440" s="1">
        <f t="shared" si="216"/>
        <v>1</v>
      </c>
      <c r="AH440" s="1">
        <f t="shared" si="217"/>
        <v>0</v>
      </c>
      <c r="AI440" s="1">
        <f t="shared" si="218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1207</v>
      </c>
      <c r="E441" s="32" t="s">
        <v>155</v>
      </c>
      <c r="F441" s="32" t="s">
        <v>1208</v>
      </c>
      <c r="G441" s="32" t="s">
        <v>250</v>
      </c>
      <c r="H441" s="32" t="s">
        <v>352</v>
      </c>
      <c r="I441" s="31" t="s">
        <v>1209</v>
      </c>
      <c r="J441" s="31">
        <v>99</v>
      </c>
      <c r="K441" s="33" t="s">
        <v>709</v>
      </c>
      <c r="L441" s="33">
        <v>10</v>
      </c>
      <c r="M441" s="34" t="s">
        <v>1717</v>
      </c>
      <c r="N441" s="34" t="s">
        <v>1700</v>
      </c>
      <c r="O441" s="35">
        <v>1</v>
      </c>
      <c r="P441" s="35">
        <v>1</v>
      </c>
      <c r="Q441" s="32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0</v>
      </c>
      <c r="AD441" s="1">
        <f t="shared" si="213"/>
        <v>1</v>
      </c>
      <c r="AE441" s="1">
        <f t="shared" si="214"/>
        <v>0</v>
      </c>
      <c r="AF441" s="1">
        <f t="shared" si="215"/>
        <v>1</v>
      </c>
      <c r="AG441" s="1">
        <f t="shared" si="216"/>
        <v>0</v>
      </c>
      <c r="AH441" s="1">
        <f t="shared" si="217"/>
        <v>1</v>
      </c>
      <c r="AI441" s="1">
        <f t="shared" si="218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6" t="s">
        <v>1774</v>
      </c>
      <c r="E442" s="36" t="s">
        <v>28</v>
      </c>
      <c r="F442" s="36" t="s">
        <v>1775</v>
      </c>
      <c r="G442" s="36" t="s">
        <v>179</v>
      </c>
      <c r="H442" s="36" t="s">
        <v>352</v>
      </c>
      <c r="I442" s="37" t="s">
        <v>1776</v>
      </c>
      <c r="J442" s="31">
        <v>10</v>
      </c>
      <c r="K442" s="33" t="s">
        <v>699</v>
      </c>
      <c r="L442" s="33">
        <v>10</v>
      </c>
      <c r="M442" s="34"/>
      <c r="N442" s="34" t="s">
        <v>1700</v>
      </c>
      <c r="O442" s="35">
        <v>1</v>
      </c>
      <c r="P442" s="35">
        <v>1</v>
      </c>
      <c r="Q442" s="36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1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1559</v>
      </c>
      <c r="E443" s="36" t="s">
        <v>1625</v>
      </c>
      <c r="F443" s="36" t="s">
        <v>1560</v>
      </c>
      <c r="G443" s="36" t="s">
        <v>652</v>
      </c>
      <c r="H443" s="36" t="s">
        <v>352</v>
      </c>
      <c r="I443" s="37" t="s">
        <v>1561</v>
      </c>
      <c r="J443" s="37">
        <v>99</v>
      </c>
      <c r="K443" s="33" t="s">
        <v>709</v>
      </c>
      <c r="L443" s="33" t="s">
        <v>39</v>
      </c>
      <c r="M443" s="34" t="s">
        <v>39</v>
      </c>
      <c r="N443" s="34" t="s">
        <v>1700</v>
      </c>
      <c r="O443" s="35">
        <v>1</v>
      </c>
      <c r="P443" s="35">
        <v>1</v>
      </c>
      <c r="Q443" s="36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0</v>
      </c>
      <c r="AD443" s="1">
        <f t="shared" si="213"/>
        <v>1</v>
      </c>
      <c r="AE443" s="1">
        <f t="shared" si="214"/>
        <v>0</v>
      </c>
      <c r="AF443" s="1">
        <f t="shared" si="215"/>
        <v>1</v>
      </c>
      <c r="AG443" s="1">
        <f t="shared" si="216"/>
        <v>0</v>
      </c>
      <c r="AH443" s="1">
        <f t="shared" si="217"/>
        <v>1</v>
      </c>
      <c r="AI443" s="1">
        <f t="shared" si="218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1511</v>
      </c>
      <c r="E444" s="32" t="s">
        <v>28</v>
      </c>
      <c r="F444" s="32" t="s">
        <v>1636</v>
      </c>
      <c r="G444" s="32" t="s">
        <v>285</v>
      </c>
      <c r="H444" s="32" t="s">
        <v>352</v>
      </c>
      <c r="I444" s="31" t="s">
        <v>1661</v>
      </c>
      <c r="J444" s="31">
        <v>99</v>
      </c>
      <c r="K444" s="33" t="s">
        <v>709</v>
      </c>
      <c r="L444" s="33" t="s">
        <v>709</v>
      </c>
      <c r="M444" s="34" t="s">
        <v>727</v>
      </c>
      <c r="N444" s="34" t="s">
        <v>1714</v>
      </c>
      <c r="O444" s="35">
        <v>1</v>
      </c>
      <c r="P444" s="35"/>
      <c r="Q444" s="32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0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0</v>
      </c>
      <c r="AE444" s="1">
        <f t="shared" si="214"/>
        <v>1</v>
      </c>
      <c r="AF444" s="1">
        <f t="shared" si="215"/>
        <v>0</v>
      </c>
      <c r="AG444" s="1">
        <f t="shared" si="216"/>
        <v>1</v>
      </c>
      <c r="AH444" s="1">
        <f t="shared" si="217"/>
        <v>0</v>
      </c>
      <c r="AI444" s="1">
        <f t="shared" si="218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1308</v>
      </c>
      <c r="E445" s="32" t="s">
        <v>28</v>
      </c>
      <c r="F445" s="32" t="s">
        <v>568</v>
      </c>
      <c r="G445" s="32" t="s">
        <v>180</v>
      </c>
      <c r="H445" s="32" t="s">
        <v>352</v>
      </c>
      <c r="I445" s="31" t="s">
        <v>428</v>
      </c>
      <c r="J445" s="31">
        <v>7</v>
      </c>
      <c r="K445" s="33" t="s">
        <v>708</v>
      </c>
      <c r="L445" s="33" t="s">
        <v>709</v>
      </c>
      <c r="M445" s="34" t="s">
        <v>727</v>
      </c>
      <c r="N445" s="34" t="s">
        <v>1714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1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1846</v>
      </c>
      <c r="G446" s="32" t="s">
        <v>234</v>
      </c>
      <c r="H446" s="32" t="s">
        <v>352</v>
      </c>
      <c r="I446" s="31" t="s">
        <v>676</v>
      </c>
      <c r="J446" s="31">
        <v>99</v>
      </c>
      <c r="K446" s="33" t="s">
        <v>709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0</v>
      </c>
      <c r="Z446" s="1">
        <f t="shared" si="210"/>
        <v>0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1</v>
      </c>
      <c r="AH446" s="1">
        <f t="shared" si="217"/>
        <v>0</v>
      </c>
      <c r="AI446" s="1">
        <f t="shared" si="218"/>
        <v>1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260</v>
      </c>
      <c r="G447" s="32" t="s">
        <v>219</v>
      </c>
      <c r="H447" s="32" t="s">
        <v>352</v>
      </c>
      <c r="I447" s="31" t="s">
        <v>418</v>
      </c>
      <c r="J447" s="31">
        <v>8</v>
      </c>
      <c r="K447" s="33" t="s">
        <v>709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3"/>
        <v>0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1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0</v>
      </c>
      <c r="AH447" s="1">
        <f t="shared" si="217"/>
        <v>0</v>
      </c>
      <c r="AI447" s="1">
        <f t="shared" si="218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259</v>
      </c>
      <c r="G448" s="32" t="s">
        <v>177</v>
      </c>
      <c r="H448" s="32" t="s">
        <v>352</v>
      </c>
      <c r="I448" s="31" t="s">
        <v>417</v>
      </c>
      <c r="J448" s="31">
        <v>1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3"/>
        <v>1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0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1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0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16" t="s">
        <v>769</v>
      </c>
      <c r="E449" s="16" t="s">
        <v>28</v>
      </c>
      <c r="F449" s="16" t="s">
        <v>770</v>
      </c>
      <c r="G449" s="16" t="s">
        <v>278</v>
      </c>
      <c r="H449" s="16" t="s">
        <v>352</v>
      </c>
      <c r="I449" s="15" t="s">
        <v>771</v>
      </c>
      <c r="J449" s="15">
        <v>99</v>
      </c>
      <c r="K449" s="10" t="s">
        <v>709</v>
      </c>
      <c r="L449" s="10" t="s">
        <v>709</v>
      </c>
      <c r="M449" s="19" t="s">
        <v>727</v>
      </c>
      <c r="N449" s="17"/>
      <c r="Q449" s="16"/>
      <c r="S449" s="1">
        <f t="shared" si="203"/>
        <v>0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0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1</v>
      </c>
    </row>
    <row r="450" spans="1:35" ht="14.25" customHeight="1" x14ac:dyDescent="0.25">
      <c r="A450" s="15">
        <v>0</v>
      </c>
      <c r="B450" s="15">
        <v>2</v>
      </c>
      <c r="C450" s="15">
        <v>7</v>
      </c>
      <c r="D450" s="16" t="s">
        <v>85</v>
      </c>
      <c r="E450" s="16" t="s">
        <v>28</v>
      </c>
      <c r="F450" s="16" t="s">
        <v>277</v>
      </c>
      <c r="G450" s="16" t="s">
        <v>278</v>
      </c>
      <c r="H450" s="16" t="s">
        <v>352</v>
      </c>
      <c r="I450" s="15" t="s">
        <v>432</v>
      </c>
      <c r="J450" s="15">
        <v>99</v>
      </c>
      <c r="K450" s="10" t="s">
        <v>709</v>
      </c>
      <c r="L450" s="10" t="s">
        <v>709</v>
      </c>
      <c r="M450" s="19" t="s">
        <v>727</v>
      </c>
      <c r="N450" s="17"/>
      <c r="Q450" s="16"/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0</v>
      </c>
      <c r="AF450" s="1">
        <f t="shared" si="215"/>
        <v>0</v>
      </c>
      <c r="AG450" s="1">
        <f t="shared" si="216"/>
        <v>0</v>
      </c>
      <c r="AH450" s="1">
        <f t="shared" si="217"/>
        <v>0</v>
      </c>
      <c r="AI450" s="1">
        <f t="shared" si="218"/>
        <v>1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1908</v>
      </c>
      <c r="E451" s="36" t="s">
        <v>28</v>
      </c>
      <c r="F451" s="36" t="s">
        <v>1909</v>
      </c>
      <c r="G451" s="36" t="s">
        <v>184</v>
      </c>
      <c r="H451" s="36" t="s">
        <v>352</v>
      </c>
      <c r="I451" s="37" t="s">
        <v>1910</v>
      </c>
      <c r="J451" s="37">
        <v>99</v>
      </c>
      <c r="K451" s="33" t="s">
        <v>699</v>
      </c>
      <c r="L451" s="33">
        <v>4</v>
      </c>
      <c r="M451" s="34" t="s">
        <v>727</v>
      </c>
      <c r="N451" s="34" t="s">
        <v>1714</v>
      </c>
      <c r="O451" s="35">
        <v>1</v>
      </c>
      <c r="P451" s="35"/>
      <c r="Q451" s="36" t="s">
        <v>1911</v>
      </c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549</v>
      </c>
      <c r="E452" s="36" t="s">
        <v>28</v>
      </c>
      <c r="F452" s="36" t="s">
        <v>1847</v>
      </c>
      <c r="G452" s="36" t="s">
        <v>552</v>
      </c>
      <c r="H452" s="36" t="s">
        <v>352</v>
      </c>
      <c r="I452" s="37" t="s">
        <v>553</v>
      </c>
      <c r="J452" s="37">
        <v>99</v>
      </c>
      <c r="K452" s="33" t="s">
        <v>709</v>
      </c>
      <c r="L452" s="33" t="s">
        <v>709</v>
      </c>
      <c r="M452" s="34" t="s">
        <v>727</v>
      </c>
      <c r="N452" s="34" t="s">
        <v>1796</v>
      </c>
      <c r="O452" s="35">
        <v>1</v>
      </c>
      <c r="P452" s="35"/>
      <c r="Q452" s="36"/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1</v>
      </c>
      <c r="AH452" s="1">
        <f t="shared" si="217"/>
        <v>0</v>
      </c>
      <c r="AI452" s="1">
        <f t="shared" si="218"/>
        <v>1</v>
      </c>
    </row>
    <row r="453" spans="1:35" ht="14.25" customHeight="1" x14ac:dyDescent="0.25">
      <c r="A453" s="37">
        <v>1</v>
      </c>
      <c r="B453" s="37">
        <v>2</v>
      </c>
      <c r="C453" s="37">
        <v>7</v>
      </c>
      <c r="D453" s="36" t="s">
        <v>549</v>
      </c>
      <c r="E453" s="36" t="s">
        <v>28</v>
      </c>
      <c r="F453" s="36" t="s">
        <v>1848</v>
      </c>
      <c r="G453" s="36" t="s">
        <v>550</v>
      </c>
      <c r="H453" s="36" t="s">
        <v>352</v>
      </c>
      <c r="I453" s="37" t="s">
        <v>551</v>
      </c>
      <c r="J453" s="37">
        <v>99</v>
      </c>
      <c r="K453" s="33" t="s">
        <v>709</v>
      </c>
      <c r="L453" s="33" t="s">
        <v>709</v>
      </c>
      <c r="M453" s="34" t="s">
        <v>727</v>
      </c>
      <c r="N453" s="34" t="s">
        <v>1796</v>
      </c>
      <c r="O453" s="35">
        <v>1</v>
      </c>
      <c r="P453" s="35"/>
      <c r="Q453" s="36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0</v>
      </c>
      <c r="AH453" s="1">
        <f t="shared" si="217"/>
        <v>0</v>
      </c>
      <c r="AI453" s="1">
        <f t="shared" si="218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1166</v>
      </c>
      <c r="E454" s="32" t="s">
        <v>28</v>
      </c>
      <c r="F454" s="32" t="s">
        <v>1651</v>
      </c>
      <c r="G454" s="32" t="s">
        <v>234</v>
      </c>
      <c r="H454" s="32" t="s">
        <v>352</v>
      </c>
      <c r="I454" s="31" t="s">
        <v>1344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1714</v>
      </c>
      <c r="O454" s="35">
        <v>1</v>
      </c>
      <c r="P454" s="35"/>
      <c r="Q454" s="32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1</v>
      </c>
      <c r="AH454" s="1">
        <f t="shared" si="217"/>
        <v>0</v>
      </c>
      <c r="AI454" s="1">
        <f t="shared" si="218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1166</v>
      </c>
      <c r="E455" s="32" t="s">
        <v>28</v>
      </c>
      <c r="F455" s="32" t="s">
        <v>1652</v>
      </c>
      <c r="G455" s="32" t="s">
        <v>1331</v>
      </c>
      <c r="H455" s="32" t="s">
        <v>352</v>
      </c>
      <c r="I455" s="31" t="s">
        <v>1345</v>
      </c>
      <c r="J455" s="31">
        <v>99</v>
      </c>
      <c r="K455" s="33" t="s">
        <v>708</v>
      </c>
      <c r="L455" s="33" t="s">
        <v>709</v>
      </c>
      <c r="M455" s="34" t="s">
        <v>727</v>
      </c>
      <c r="N455" s="34" t="s">
        <v>1714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0</v>
      </c>
      <c r="AH455" s="1">
        <f t="shared" si="217"/>
        <v>0</v>
      </c>
      <c r="AI455" s="1">
        <f t="shared" si="218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1234</v>
      </c>
      <c r="E456" s="32" t="s">
        <v>28</v>
      </c>
      <c r="F456" s="32" t="s">
        <v>1233</v>
      </c>
      <c r="G456" s="32" t="s">
        <v>1218</v>
      </c>
      <c r="H456" s="32" t="s">
        <v>352</v>
      </c>
      <c r="I456" s="31" t="s">
        <v>1235</v>
      </c>
      <c r="J456" s="31">
        <v>99</v>
      </c>
      <c r="K456" s="33" t="s">
        <v>699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0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1</v>
      </c>
      <c r="AH456" s="1">
        <f t="shared" si="217"/>
        <v>0</v>
      </c>
      <c r="AI456" s="1">
        <f t="shared" si="218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1234</v>
      </c>
      <c r="E457" s="32" t="s">
        <v>28</v>
      </c>
      <c r="F457" s="32" t="s">
        <v>1232</v>
      </c>
      <c r="G457" s="32" t="s">
        <v>39</v>
      </c>
      <c r="H457" s="32" t="s">
        <v>352</v>
      </c>
      <c r="I457" s="31" t="s">
        <v>1236</v>
      </c>
      <c r="J457" s="31">
        <v>9</v>
      </c>
      <c r="K457" s="33" t="s">
        <v>699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0</v>
      </c>
      <c r="AA457" s="1">
        <f t="shared" si="211"/>
        <v>1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0</v>
      </c>
      <c r="AH457" s="1">
        <f t="shared" si="217"/>
        <v>0</v>
      </c>
      <c r="AI457" s="1">
        <f t="shared" si="218"/>
        <v>0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1234</v>
      </c>
      <c r="E458" s="32" t="s">
        <v>28</v>
      </c>
      <c r="F458" s="36" t="s">
        <v>1795</v>
      </c>
      <c r="G458" s="36" t="s">
        <v>257</v>
      </c>
      <c r="H458" s="32" t="s">
        <v>352</v>
      </c>
      <c r="I458" s="37" t="s">
        <v>30</v>
      </c>
      <c r="J458" s="31">
        <v>8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1</v>
      </c>
      <c r="AA458" s="1">
        <f t="shared" si="211"/>
        <v>0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0</v>
      </c>
      <c r="AH458" s="1">
        <f t="shared" si="217"/>
        <v>0</v>
      </c>
      <c r="AI458" s="1">
        <f t="shared" si="218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51</v>
      </c>
      <c r="E459" s="32" t="s">
        <v>28</v>
      </c>
      <c r="F459" s="32" t="s">
        <v>670</v>
      </c>
      <c r="G459" s="32" t="s">
        <v>184</v>
      </c>
      <c r="H459" s="32" t="s">
        <v>352</v>
      </c>
      <c r="I459" s="31" t="s">
        <v>388</v>
      </c>
      <c r="J459" s="31">
        <v>99</v>
      </c>
      <c r="K459" s="33" t="s">
        <v>708</v>
      </c>
      <c r="L459" s="33" t="s">
        <v>709</v>
      </c>
      <c r="M459" s="34" t="s">
        <v>727</v>
      </c>
      <c r="N459" s="34" t="s">
        <v>1720</v>
      </c>
      <c r="O459" s="35">
        <v>1</v>
      </c>
      <c r="P459" s="35"/>
      <c r="Q459" s="32"/>
      <c r="S459" s="1">
        <f t="shared" si="203"/>
        <v>0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0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1</v>
      </c>
      <c r="AF459" s="1">
        <f t="shared" si="215"/>
        <v>0</v>
      </c>
      <c r="AG459" s="1">
        <f t="shared" si="216"/>
        <v>1</v>
      </c>
      <c r="AH459" s="1">
        <f t="shared" si="217"/>
        <v>0</v>
      </c>
      <c r="AI459" s="1">
        <f t="shared" si="218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1068</v>
      </c>
      <c r="E460" s="32" t="s">
        <v>28</v>
      </c>
      <c r="F460" s="32" t="s">
        <v>985</v>
      </c>
      <c r="G460" s="32" t="s">
        <v>239</v>
      </c>
      <c r="H460" s="32" t="s">
        <v>352</v>
      </c>
      <c r="I460" s="31" t="s">
        <v>1093</v>
      </c>
      <c r="J460" s="31">
        <v>1</v>
      </c>
      <c r="K460" s="33" t="s">
        <v>708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203"/>
        <v>1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1</v>
      </c>
      <c r="AF460" s="1">
        <f t="shared" si="215"/>
        <v>0</v>
      </c>
      <c r="AG460" s="1">
        <f t="shared" si="216"/>
        <v>1</v>
      </c>
      <c r="AH460" s="1">
        <f t="shared" si="217"/>
        <v>0</v>
      </c>
      <c r="AI460" s="1">
        <f t="shared" si="218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1068</v>
      </c>
      <c r="E461" s="32" t="s">
        <v>28</v>
      </c>
      <c r="F461" s="32" t="s">
        <v>986</v>
      </c>
      <c r="G461" s="32" t="s">
        <v>1086</v>
      </c>
      <c r="H461" s="32" t="s">
        <v>352</v>
      </c>
      <c r="I461" s="31" t="s">
        <v>1094</v>
      </c>
      <c r="J461" s="31">
        <v>1</v>
      </c>
      <c r="K461" s="33" t="s">
        <v>708</v>
      </c>
      <c r="L461" s="33" t="s">
        <v>709</v>
      </c>
      <c r="M461" s="34" t="s">
        <v>727</v>
      </c>
      <c r="N461" s="34" t="s">
        <v>1714</v>
      </c>
      <c r="O461" s="35">
        <v>1</v>
      </c>
      <c r="P461" s="35"/>
      <c r="Q461" s="32"/>
      <c r="S461" s="1">
        <f t="shared" si="203"/>
        <v>1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0</v>
      </c>
      <c r="AH461" s="1">
        <f t="shared" si="217"/>
        <v>0</v>
      </c>
      <c r="AI461" s="1">
        <f t="shared" si="218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1612</v>
      </c>
      <c r="E462" s="32" t="s">
        <v>155</v>
      </c>
      <c r="F462" s="32" t="s">
        <v>1466</v>
      </c>
      <c r="G462" s="32" t="s">
        <v>1467</v>
      </c>
      <c r="H462" s="32" t="s">
        <v>352</v>
      </c>
      <c r="I462" s="31" t="s">
        <v>1468</v>
      </c>
      <c r="J462" s="31">
        <v>99</v>
      </c>
      <c r="K462" s="33" t="s">
        <v>942</v>
      </c>
      <c r="L462" s="33" t="s">
        <v>718</v>
      </c>
      <c r="M462" s="34" t="s">
        <v>728</v>
      </c>
      <c r="N462" s="34" t="s">
        <v>1719</v>
      </c>
      <c r="O462" s="35">
        <v>1</v>
      </c>
      <c r="P462" s="35"/>
      <c r="Q462" s="32"/>
      <c r="S462" s="1">
        <f t="shared" si="203"/>
        <v>0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0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1</v>
      </c>
      <c r="AH462" s="1">
        <f t="shared" si="217"/>
        <v>0</v>
      </c>
      <c r="AI462" s="1">
        <f t="shared" si="21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82</v>
      </c>
      <c r="E463" s="32" t="s">
        <v>28</v>
      </c>
      <c r="F463" s="32" t="s">
        <v>273</v>
      </c>
      <c r="G463" s="32" t="s">
        <v>274</v>
      </c>
      <c r="H463" s="32" t="s">
        <v>352</v>
      </c>
      <c r="I463" s="31" t="s">
        <v>427</v>
      </c>
      <c r="J463" s="31">
        <v>7</v>
      </c>
      <c r="K463" s="33" t="s">
        <v>942</v>
      </c>
      <c r="L463" s="33" t="s">
        <v>941</v>
      </c>
      <c r="M463" s="34" t="s">
        <v>955</v>
      </c>
      <c r="N463" s="34" t="s">
        <v>1820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1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76</v>
      </c>
      <c r="E464" s="32" t="s">
        <v>28</v>
      </c>
      <c r="F464" s="32" t="s">
        <v>1654</v>
      </c>
      <c r="G464" s="32" t="s">
        <v>189</v>
      </c>
      <c r="H464" s="32" t="s">
        <v>352</v>
      </c>
      <c r="I464" s="31" t="s">
        <v>421</v>
      </c>
      <c r="J464" s="31">
        <v>99</v>
      </c>
      <c r="K464" s="33" t="s">
        <v>941</v>
      </c>
      <c r="L464" s="33" t="s">
        <v>709</v>
      </c>
      <c r="M464" s="34" t="s">
        <v>727</v>
      </c>
      <c r="N464" s="34" t="s">
        <v>1714</v>
      </c>
      <c r="O464" s="35">
        <v>1</v>
      </c>
      <c r="P464" s="35"/>
      <c r="Q464" s="32"/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0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6" t="s">
        <v>2000</v>
      </c>
      <c r="E465" s="32" t="s">
        <v>2004</v>
      </c>
      <c r="F465" s="36" t="s">
        <v>2001</v>
      </c>
      <c r="G465" s="36" t="s">
        <v>2002</v>
      </c>
      <c r="H465" s="36" t="s">
        <v>352</v>
      </c>
      <c r="I465" s="37" t="s">
        <v>2003</v>
      </c>
      <c r="J465" s="31">
        <v>99</v>
      </c>
      <c r="K465" s="33" t="s">
        <v>699</v>
      </c>
      <c r="L465" s="33">
        <v>20</v>
      </c>
      <c r="M465" s="34" t="s">
        <v>2006</v>
      </c>
      <c r="N465" s="34" t="s">
        <v>1719</v>
      </c>
      <c r="O465" s="35">
        <v>1</v>
      </c>
      <c r="P465" s="35"/>
      <c r="Q465" s="36" t="s">
        <v>2005</v>
      </c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0</v>
      </c>
      <c r="AE465" s="1">
        <f t="shared" si="214"/>
        <v>1</v>
      </c>
      <c r="AF465" s="1">
        <f t="shared" si="215"/>
        <v>0</v>
      </c>
      <c r="AG465" s="1">
        <f t="shared" si="216"/>
        <v>1</v>
      </c>
      <c r="AH465" s="1">
        <f t="shared" si="217"/>
        <v>0</v>
      </c>
      <c r="AI465" s="1">
        <f t="shared" si="218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1614</v>
      </c>
      <c r="E466" s="32" t="s">
        <v>162</v>
      </c>
      <c r="F466" s="32" t="s">
        <v>243</v>
      </c>
      <c r="G466" s="32" t="s">
        <v>217</v>
      </c>
      <c r="H466" s="32" t="s">
        <v>352</v>
      </c>
      <c r="I466" s="31" t="s">
        <v>406</v>
      </c>
      <c r="J466" s="31">
        <v>99</v>
      </c>
      <c r="K466" s="33" t="s">
        <v>709</v>
      </c>
      <c r="L466" s="33" t="s">
        <v>718</v>
      </c>
      <c r="M466" s="34" t="s">
        <v>728</v>
      </c>
      <c r="N466" s="34" t="s">
        <v>1700</v>
      </c>
      <c r="O466" s="35">
        <v>1</v>
      </c>
      <c r="P466" s="35">
        <v>1</v>
      </c>
      <c r="Q466" s="32"/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1</v>
      </c>
      <c r="AE466" s="1">
        <f t="shared" si="214"/>
        <v>0</v>
      </c>
      <c r="AF466" s="1">
        <f t="shared" si="215"/>
        <v>1</v>
      </c>
      <c r="AG466" s="1">
        <f t="shared" si="216"/>
        <v>0</v>
      </c>
      <c r="AH466" s="1">
        <f t="shared" si="217"/>
        <v>1</v>
      </c>
      <c r="AI466" s="1">
        <f t="shared" si="218"/>
        <v>0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1512</v>
      </c>
      <c r="E467" s="32" t="s">
        <v>155</v>
      </c>
      <c r="F467" s="32" t="s">
        <v>1513</v>
      </c>
      <c r="G467" s="32" t="s">
        <v>39</v>
      </c>
      <c r="H467" s="32" t="s">
        <v>352</v>
      </c>
      <c r="I467" s="31" t="s">
        <v>1514</v>
      </c>
      <c r="J467" s="31">
        <v>99</v>
      </c>
      <c r="K467" s="33" t="s">
        <v>709</v>
      </c>
      <c r="L467" s="33" t="s">
        <v>718</v>
      </c>
      <c r="M467" s="34" t="s">
        <v>728</v>
      </c>
      <c r="N467" s="34" t="s">
        <v>1719</v>
      </c>
      <c r="O467" s="35">
        <v>1</v>
      </c>
      <c r="P467" s="35"/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0</v>
      </c>
      <c r="AE467" s="1">
        <f t="shared" si="214"/>
        <v>1</v>
      </c>
      <c r="AF467" s="1">
        <f t="shared" si="215"/>
        <v>0</v>
      </c>
      <c r="AG467" s="1">
        <f t="shared" si="216"/>
        <v>1</v>
      </c>
      <c r="AH467" s="1">
        <f t="shared" si="217"/>
        <v>0</v>
      </c>
      <c r="AI467" s="1">
        <f t="shared" si="218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961</v>
      </c>
      <c r="G468" s="32" t="s">
        <v>1088</v>
      </c>
      <c r="H468" s="32" t="s">
        <v>352</v>
      </c>
      <c r="I468" s="31" t="s">
        <v>1095</v>
      </c>
      <c r="J468" s="31">
        <v>99</v>
      </c>
      <c r="K468" s="33" t="s">
        <v>709</v>
      </c>
      <c r="L468" s="33" t="s">
        <v>709</v>
      </c>
      <c r="M468" s="34" t="s">
        <v>727</v>
      </c>
      <c r="N468" s="34" t="s">
        <v>1714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si="215"/>
        <v>0</v>
      </c>
      <c r="AG468" s="1">
        <f t="shared" si="216"/>
        <v>1</v>
      </c>
      <c r="AH468" s="1">
        <f t="shared" si="217"/>
        <v>0</v>
      </c>
      <c r="AI468" s="1">
        <f t="shared" si="218"/>
        <v>1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244</v>
      </c>
      <c r="G469" s="32" t="s">
        <v>223</v>
      </c>
      <c r="H469" s="32" t="s">
        <v>352</v>
      </c>
      <c r="I469" s="31" t="s">
        <v>407</v>
      </c>
      <c r="J469" s="31">
        <v>99</v>
      </c>
      <c r="K469" s="33" t="s">
        <v>709</v>
      </c>
      <c r="L469" s="33" t="s">
        <v>709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0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ref="AF469:AF505" si="219">+O469*P469*(1-A469)</f>
        <v>0</v>
      </c>
      <c r="AG469" s="1">
        <f t="shared" ref="AG469:AG505" si="220">O469*(1-P469)*(1-A469)</f>
        <v>0</v>
      </c>
      <c r="AH469" s="1">
        <f t="shared" ref="AH469:AH505" si="221">+P469*(1-A469)</f>
        <v>0</v>
      </c>
      <c r="AI469" s="1">
        <f t="shared" ref="AI469:AI505" si="222">+(1-A469)*(1-P469)</f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245</v>
      </c>
      <c r="G470" s="32" t="s">
        <v>219</v>
      </c>
      <c r="H470" s="32" t="s">
        <v>352</v>
      </c>
      <c r="I470" s="31" t="s">
        <v>408</v>
      </c>
      <c r="J470" s="31">
        <v>8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 t="s">
        <v>1983</v>
      </c>
      <c r="S470" s="1">
        <f t="shared" si="203"/>
        <v>0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1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1021</v>
      </c>
      <c r="G471" s="32" t="s">
        <v>39</v>
      </c>
      <c r="H471" s="32" t="s">
        <v>352</v>
      </c>
      <c r="I471" s="31" t="s">
        <v>1022</v>
      </c>
      <c r="J471" s="31">
        <v>1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/>
      <c r="S471" s="1">
        <f t="shared" si="203"/>
        <v>1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0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1023</v>
      </c>
      <c r="G472" s="32" t="s">
        <v>300</v>
      </c>
      <c r="H472" s="32" t="s">
        <v>352</v>
      </c>
      <c r="I472" s="31" t="s">
        <v>1024</v>
      </c>
      <c r="J472" s="31">
        <v>1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/>
      <c r="S472" s="1">
        <f t="shared" si="203"/>
        <v>1</v>
      </c>
      <c r="T472" s="1">
        <f t="shared" si="204"/>
        <v>0</v>
      </c>
      <c r="U472" s="1">
        <f t="shared" si="205"/>
        <v>0</v>
      </c>
      <c r="V472" s="1">
        <f t="shared" si="206"/>
        <v>0</v>
      </c>
      <c r="W472" s="1">
        <f t="shared" si="207"/>
        <v>0</v>
      </c>
      <c r="X472" s="1">
        <f t="shared" si="208"/>
        <v>0</v>
      </c>
      <c r="Y472" s="1">
        <f t="shared" si="209"/>
        <v>0</v>
      </c>
      <c r="Z472" s="1">
        <f t="shared" si="210"/>
        <v>0</v>
      </c>
      <c r="AA472" s="1">
        <f t="shared" si="211"/>
        <v>0</v>
      </c>
      <c r="AB472" s="1">
        <f t="shared" si="212"/>
        <v>0</v>
      </c>
      <c r="AD472" s="1">
        <f t="shared" si="213"/>
        <v>0</v>
      </c>
      <c r="AE472" s="1">
        <f t="shared" si="214"/>
        <v>1</v>
      </c>
      <c r="AF472" s="1">
        <f t="shared" si="219"/>
        <v>0</v>
      </c>
      <c r="AG472" s="1">
        <f t="shared" si="220"/>
        <v>0</v>
      </c>
      <c r="AH472" s="1">
        <f t="shared" si="221"/>
        <v>0</v>
      </c>
      <c r="AI472" s="1">
        <f t="shared" si="222"/>
        <v>0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1547</v>
      </c>
      <c r="E473" s="32" t="s">
        <v>155</v>
      </c>
      <c r="F473" s="32" t="s">
        <v>1548</v>
      </c>
      <c r="G473" s="32" t="s">
        <v>206</v>
      </c>
      <c r="H473" s="32" t="s">
        <v>352</v>
      </c>
      <c r="I473" s="31" t="s">
        <v>1549</v>
      </c>
      <c r="J473" s="31">
        <v>99</v>
      </c>
      <c r="K473" s="33" t="s">
        <v>708</v>
      </c>
      <c r="L473" s="33" t="s">
        <v>718</v>
      </c>
      <c r="M473" s="34" t="s">
        <v>728</v>
      </c>
      <c r="N473" s="34" t="s">
        <v>1917</v>
      </c>
      <c r="O473" s="35">
        <v>1</v>
      </c>
      <c r="P473" s="35"/>
      <c r="Q473" s="32"/>
      <c r="S473" s="1">
        <f t="shared" ref="S473:S505" si="223">IF(J473=$S$7,1,0)</f>
        <v>0</v>
      </c>
      <c r="T473" s="1">
        <f t="shared" ref="T473:T505" si="224">IF(J473=$T$7,1,0)</f>
        <v>0</v>
      </c>
      <c r="U473" s="1">
        <f t="shared" ref="U473:U505" si="225">IF(J473=$U$7,1,0)</f>
        <v>0</v>
      </c>
      <c r="V473" s="1">
        <f t="shared" ref="V473:V505" si="226">IF(J473=$V$7,1,0)</f>
        <v>0</v>
      </c>
      <c r="W473" s="1">
        <f t="shared" ref="W473:W505" si="227">IF(J473=$W$7,1,0)</f>
        <v>0</v>
      </c>
      <c r="X473" s="1">
        <f t="shared" ref="X473:X505" si="228">IF(J473=$X$7,1,0)</f>
        <v>0</v>
      </c>
      <c r="Y473" s="1">
        <f t="shared" ref="Y473:Y505" si="229">IF(J473=$Y$7,1,0)</f>
        <v>0</v>
      </c>
      <c r="Z473" s="1">
        <f t="shared" ref="Z473:Z505" si="230">IF(J473=$Z$7,1,0)</f>
        <v>0</v>
      </c>
      <c r="AA473" s="1">
        <f t="shared" ref="AA473:AA505" si="231">IF(J473=$AA$7,1,0)</f>
        <v>0</v>
      </c>
      <c r="AB473" s="1">
        <f t="shared" ref="AB473:AB505" si="232">IF(J473=$AB$7,1,0)</f>
        <v>0</v>
      </c>
      <c r="AD473" s="1">
        <f t="shared" ref="AD473:AD505" si="233">+O473*P473</f>
        <v>0</v>
      </c>
      <c r="AE473" s="1">
        <f t="shared" ref="AE473:AE505" si="234">O473*(1-P473)</f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73</v>
      </c>
      <c r="E474" s="32" t="s">
        <v>28</v>
      </c>
      <c r="F474" s="32" t="s">
        <v>263</v>
      </c>
      <c r="G474" s="32" t="s">
        <v>193</v>
      </c>
      <c r="H474" s="32" t="s">
        <v>352</v>
      </c>
      <c r="I474" s="31" t="s">
        <v>419</v>
      </c>
      <c r="J474" s="31">
        <v>9</v>
      </c>
      <c r="K474" s="33" t="s">
        <v>708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223"/>
        <v>0</v>
      </c>
      <c r="T474" s="1">
        <f t="shared" si="224"/>
        <v>0</v>
      </c>
      <c r="U474" s="1">
        <f t="shared" si="225"/>
        <v>0</v>
      </c>
      <c r="V474" s="1">
        <f t="shared" si="226"/>
        <v>0</v>
      </c>
      <c r="W474" s="1">
        <f t="shared" si="227"/>
        <v>0</v>
      </c>
      <c r="X474" s="1">
        <f t="shared" si="228"/>
        <v>0</v>
      </c>
      <c r="Y474" s="1">
        <f t="shared" si="229"/>
        <v>0</v>
      </c>
      <c r="Z474" s="1">
        <f t="shared" si="230"/>
        <v>0</v>
      </c>
      <c r="AA474" s="1">
        <f t="shared" si="231"/>
        <v>1</v>
      </c>
      <c r="AB474" s="1">
        <f t="shared" si="232"/>
        <v>0</v>
      </c>
      <c r="AD474" s="1">
        <f t="shared" si="233"/>
        <v>0</v>
      </c>
      <c r="AE474" s="1">
        <f t="shared" si="234"/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59</v>
      </c>
      <c r="E475" s="32" t="s">
        <v>162</v>
      </c>
      <c r="F475" s="32" t="s">
        <v>224</v>
      </c>
      <c r="G475" s="32" t="s">
        <v>225</v>
      </c>
      <c r="H475" s="32" t="s">
        <v>352</v>
      </c>
      <c r="I475" s="31" t="s">
        <v>396</v>
      </c>
      <c r="J475" s="31">
        <v>99</v>
      </c>
      <c r="K475" s="33" t="s">
        <v>709</v>
      </c>
      <c r="L475" s="33" t="s">
        <v>718</v>
      </c>
      <c r="M475" s="34" t="s">
        <v>728</v>
      </c>
      <c r="N475" s="34" t="s">
        <v>1721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0</v>
      </c>
      <c r="AA475" s="1">
        <f t="shared" si="231"/>
        <v>0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1062</v>
      </c>
      <c r="E476" s="32" t="s">
        <v>155</v>
      </c>
      <c r="F476" s="32" t="s">
        <v>1063</v>
      </c>
      <c r="G476" s="32" t="s">
        <v>219</v>
      </c>
      <c r="H476" s="32" t="s">
        <v>352</v>
      </c>
      <c r="I476" s="31" t="s">
        <v>1064</v>
      </c>
      <c r="J476" s="31">
        <v>8</v>
      </c>
      <c r="K476" s="33" t="s">
        <v>708</v>
      </c>
      <c r="L476" s="33" t="s">
        <v>718</v>
      </c>
      <c r="M476" s="34" t="s">
        <v>728</v>
      </c>
      <c r="N476" s="34" t="s">
        <v>1719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1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81</v>
      </c>
      <c r="E477" s="32" t="s">
        <v>155</v>
      </c>
      <c r="F477" s="32" t="s">
        <v>272</v>
      </c>
      <c r="G477" s="32" t="s">
        <v>253</v>
      </c>
      <c r="H477" s="32" t="s">
        <v>352</v>
      </c>
      <c r="I477" s="31" t="s">
        <v>426</v>
      </c>
      <c r="J477" s="31">
        <v>99</v>
      </c>
      <c r="K477" s="33" t="s">
        <v>709</v>
      </c>
      <c r="L477" s="33" t="s">
        <v>729</v>
      </c>
      <c r="M477" s="34" t="s">
        <v>730</v>
      </c>
      <c r="N477" s="34" t="s">
        <v>1727</v>
      </c>
      <c r="O477" s="35">
        <v>1</v>
      </c>
      <c r="P477" s="35"/>
      <c r="Q477" s="32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0</v>
      </c>
      <c r="AA477" s="1">
        <f t="shared" si="231"/>
        <v>0</v>
      </c>
      <c r="AB477" s="1">
        <f t="shared" si="232"/>
        <v>0</v>
      </c>
      <c r="AD477" s="1">
        <f t="shared" si="233"/>
        <v>0</v>
      </c>
      <c r="AE477" s="1">
        <f t="shared" si="234"/>
        <v>1</v>
      </c>
      <c r="AF477" s="1">
        <f t="shared" si="219"/>
        <v>0</v>
      </c>
      <c r="AG477" s="1">
        <f t="shared" si="220"/>
        <v>1</v>
      </c>
      <c r="AH477" s="1">
        <f t="shared" si="221"/>
        <v>0</v>
      </c>
      <c r="AI477" s="1">
        <f t="shared" si="222"/>
        <v>1</v>
      </c>
    </row>
    <row r="478" spans="1:35" ht="14.25" customHeight="1" x14ac:dyDescent="0.25">
      <c r="A478" s="37">
        <v>0</v>
      </c>
      <c r="B478" s="37">
        <v>2</v>
      </c>
      <c r="C478" s="37">
        <v>7</v>
      </c>
      <c r="D478" s="36" t="s">
        <v>1746</v>
      </c>
      <c r="E478" s="36" t="s">
        <v>1747</v>
      </c>
      <c r="F478" s="36" t="s">
        <v>1748</v>
      </c>
      <c r="G478" s="36" t="s">
        <v>189</v>
      </c>
      <c r="H478" s="36" t="s">
        <v>352</v>
      </c>
      <c r="I478" s="37"/>
      <c r="J478" s="37"/>
      <c r="K478" s="33" t="s">
        <v>699</v>
      </c>
      <c r="L478" s="33"/>
      <c r="M478" s="34"/>
      <c r="N478" s="34" t="s">
        <v>1700</v>
      </c>
      <c r="O478" s="35">
        <v>1</v>
      </c>
      <c r="P478" s="35">
        <v>1</v>
      </c>
      <c r="Q478" s="36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1</v>
      </c>
      <c r="AE478" s="1">
        <f t="shared" si="234"/>
        <v>0</v>
      </c>
      <c r="AF478" s="1">
        <f t="shared" si="219"/>
        <v>1</v>
      </c>
      <c r="AG478" s="1">
        <f t="shared" si="220"/>
        <v>0</v>
      </c>
      <c r="AH478" s="1">
        <f t="shared" si="221"/>
        <v>1</v>
      </c>
      <c r="AI478" s="1">
        <f t="shared" si="222"/>
        <v>0</v>
      </c>
    </row>
    <row r="479" spans="1:35" ht="14.25" customHeight="1" x14ac:dyDescent="0.25">
      <c r="A479" s="37">
        <v>0</v>
      </c>
      <c r="B479" s="37">
        <v>2</v>
      </c>
      <c r="C479" s="37">
        <v>7</v>
      </c>
      <c r="D479" s="36" t="s">
        <v>510</v>
      </c>
      <c r="E479" s="36" t="s">
        <v>155</v>
      </c>
      <c r="F479" s="36" t="s">
        <v>570</v>
      </c>
      <c r="G479" s="36" t="s">
        <v>319</v>
      </c>
      <c r="H479" s="36" t="s">
        <v>352</v>
      </c>
      <c r="I479" s="37" t="s">
        <v>577</v>
      </c>
      <c r="J479" s="37">
        <v>99</v>
      </c>
      <c r="K479" s="33" t="s">
        <v>941</v>
      </c>
      <c r="L479" s="33" t="s">
        <v>718</v>
      </c>
      <c r="M479" s="34" t="s">
        <v>728</v>
      </c>
      <c r="N479" s="34" t="s">
        <v>1732</v>
      </c>
      <c r="O479" s="35">
        <v>1</v>
      </c>
      <c r="P479" s="35"/>
      <c r="Q479" s="36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1</v>
      </c>
      <c r="AF479" s="1">
        <f t="shared" si="219"/>
        <v>0</v>
      </c>
      <c r="AG479" s="1">
        <f t="shared" si="220"/>
        <v>1</v>
      </c>
      <c r="AH479" s="1">
        <f t="shared" si="221"/>
        <v>0</v>
      </c>
      <c r="AI479" s="1">
        <f t="shared" si="222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74</v>
      </c>
      <c r="E480" s="32" t="s">
        <v>155</v>
      </c>
      <c r="F480" s="32" t="s">
        <v>671</v>
      </c>
      <c r="G480" s="32" t="s">
        <v>264</v>
      </c>
      <c r="H480" s="32" t="s">
        <v>352</v>
      </c>
      <c r="I480" s="31" t="s">
        <v>420</v>
      </c>
      <c r="J480" s="31">
        <v>99</v>
      </c>
      <c r="K480" s="33" t="s">
        <v>708</v>
      </c>
      <c r="L480" s="33" t="s">
        <v>725</v>
      </c>
      <c r="M480" s="34" t="s">
        <v>728</v>
      </c>
      <c r="N480" s="34" t="s">
        <v>1714</v>
      </c>
      <c r="O480" s="35">
        <v>1</v>
      </c>
      <c r="P480" s="35"/>
      <c r="Q480" s="32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0</v>
      </c>
      <c r="AE480" s="1">
        <f t="shared" si="234"/>
        <v>1</v>
      </c>
      <c r="AF480" s="1">
        <f t="shared" si="219"/>
        <v>0</v>
      </c>
      <c r="AG480" s="1">
        <f t="shared" si="220"/>
        <v>1</v>
      </c>
      <c r="AH480" s="1">
        <f t="shared" si="221"/>
        <v>0</v>
      </c>
      <c r="AI480" s="1">
        <f t="shared" si="222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1973</v>
      </c>
      <c r="E481" s="32" t="s">
        <v>155</v>
      </c>
      <c r="F481" s="32" t="s">
        <v>1974</v>
      </c>
      <c r="G481" s="32" t="s">
        <v>281</v>
      </c>
      <c r="H481" s="32" t="s">
        <v>352</v>
      </c>
      <c r="I481" s="31" t="s">
        <v>1975</v>
      </c>
      <c r="J481" s="31">
        <v>99</v>
      </c>
      <c r="K481" s="33" t="s">
        <v>699</v>
      </c>
      <c r="L481" s="33" t="s">
        <v>718</v>
      </c>
      <c r="M481" s="34" t="s">
        <v>728</v>
      </c>
      <c r="N481" s="34" t="s">
        <v>1700</v>
      </c>
      <c r="O481" s="35">
        <v>1</v>
      </c>
      <c r="P481" s="35">
        <v>1</v>
      </c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1</v>
      </c>
      <c r="AE481" s="1">
        <f t="shared" si="234"/>
        <v>0</v>
      </c>
      <c r="AF481" s="1">
        <f t="shared" si="219"/>
        <v>1</v>
      </c>
      <c r="AG481" s="1">
        <f t="shared" si="220"/>
        <v>0</v>
      </c>
      <c r="AH481" s="1">
        <f t="shared" si="221"/>
        <v>1</v>
      </c>
      <c r="AI481" s="1">
        <f t="shared" si="222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1973</v>
      </c>
      <c r="E482" s="32" t="s">
        <v>155</v>
      </c>
      <c r="F482" s="32" t="s">
        <v>1976</v>
      </c>
      <c r="G482" s="32" t="s">
        <v>1977</v>
      </c>
      <c r="H482" s="32" t="s">
        <v>352</v>
      </c>
      <c r="I482" s="31" t="s">
        <v>1978</v>
      </c>
      <c r="J482" s="31">
        <v>99</v>
      </c>
      <c r="K482" s="33" t="s">
        <v>699</v>
      </c>
      <c r="L482" s="33" t="s">
        <v>718</v>
      </c>
      <c r="M482" s="34" t="s">
        <v>728</v>
      </c>
      <c r="N482" s="34" t="s">
        <v>1700</v>
      </c>
      <c r="O482" s="35">
        <v>1</v>
      </c>
      <c r="P482" s="35">
        <v>1</v>
      </c>
      <c r="Q482" s="32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1</v>
      </c>
      <c r="AE482" s="1">
        <f t="shared" si="234"/>
        <v>0</v>
      </c>
      <c r="AF482" s="1">
        <f t="shared" si="219"/>
        <v>0</v>
      </c>
      <c r="AG482" s="1">
        <f t="shared" si="220"/>
        <v>0</v>
      </c>
      <c r="AH482" s="1">
        <f t="shared" si="221"/>
        <v>0</v>
      </c>
      <c r="AI482" s="1">
        <f t="shared" si="222"/>
        <v>0</v>
      </c>
    </row>
    <row r="483" spans="1:35" ht="14.25" customHeight="1" x14ac:dyDescent="0.25">
      <c r="A483" s="15">
        <v>0</v>
      </c>
      <c r="B483" s="15">
        <v>2</v>
      </c>
      <c r="C483" s="15">
        <v>7</v>
      </c>
      <c r="D483" s="20" t="s">
        <v>1829</v>
      </c>
      <c r="E483" s="16" t="s">
        <v>155</v>
      </c>
      <c r="F483" s="20" t="s">
        <v>1830</v>
      </c>
      <c r="G483" s="20" t="s">
        <v>281</v>
      </c>
      <c r="H483" s="20" t="s">
        <v>352</v>
      </c>
      <c r="I483" s="21" t="s">
        <v>1831</v>
      </c>
      <c r="J483" s="15">
        <v>99</v>
      </c>
      <c r="K483" s="10" t="s">
        <v>699</v>
      </c>
      <c r="L483" s="10" t="s">
        <v>718</v>
      </c>
      <c r="M483" s="19" t="s">
        <v>728</v>
      </c>
      <c r="N483" s="19"/>
      <c r="Q483" s="20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0</v>
      </c>
      <c r="AE483" s="1">
        <f t="shared" si="234"/>
        <v>0</v>
      </c>
      <c r="AF483" s="1">
        <f t="shared" si="219"/>
        <v>0</v>
      </c>
      <c r="AG483" s="1">
        <f t="shared" si="220"/>
        <v>0</v>
      </c>
      <c r="AH483" s="1">
        <f t="shared" si="221"/>
        <v>0</v>
      </c>
      <c r="AI483" s="1">
        <f t="shared" si="2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60</v>
      </c>
      <c r="E484" s="32" t="s">
        <v>162</v>
      </c>
      <c r="F484" s="32" t="s">
        <v>226</v>
      </c>
      <c r="G484" s="32" t="s">
        <v>189</v>
      </c>
      <c r="H484" s="32" t="s">
        <v>352</v>
      </c>
      <c r="I484" s="31" t="s">
        <v>397</v>
      </c>
      <c r="J484" s="31">
        <v>99</v>
      </c>
      <c r="K484" s="33" t="s">
        <v>709</v>
      </c>
      <c r="L484" s="33" t="s">
        <v>718</v>
      </c>
      <c r="M484" s="34" t="s">
        <v>728</v>
      </c>
      <c r="N484" s="34" t="s">
        <v>1719</v>
      </c>
      <c r="O484" s="35">
        <v>1</v>
      </c>
      <c r="P484" s="35"/>
      <c r="Q484" s="32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0</v>
      </c>
      <c r="AE484" s="1">
        <f t="shared" si="234"/>
        <v>1</v>
      </c>
      <c r="AF484" s="1">
        <f t="shared" si="219"/>
        <v>0</v>
      </c>
      <c r="AG484" s="1">
        <f t="shared" si="220"/>
        <v>1</v>
      </c>
      <c r="AH484" s="1">
        <f t="shared" si="221"/>
        <v>0</v>
      </c>
      <c r="AI484" s="1">
        <f t="shared" si="22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1309</v>
      </c>
      <c r="E485" s="32" t="s">
        <v>155</v>
      </c>
      <c r="F485" s="32" t="s">
        <v>1127</v>
      </c>
      <c r="G485" s="32" t="s">
        <v>191</v>
      </c>
      <c r="H485" s="32" t="s">
        <v>352</v>
      </c>
      <c r="I485" s="31" t="s">
        <v>1346</v>
      </c>
      <c r="J485" s="31">
        <v>99</v>
      </c>
      <c r="K485" s="33" t="s">
        <v>708</v>
      </c>
      <c r="L485" s="33" t="s">
        <v>39</v>
      </c>
      <c r="M485" s="34" t="s">
        <v>39</v>
      </c>
      <c r="N485" s="34" t="s">
        <v>1700</v>
      </c>
      <c r="O485" s="35">
        <v>1</v>
      </c>
      <c r="P485" s="35">
        <v>1</v>
      </c>
      <c r="Q485" s="32"/>
      <c r="S485" s="1">
        <f t="shared" si="223"/>
        <v>0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1</v>
      </c>
      <c r="AE485" s="1">
        <f t="shared" si="234"/>
        <v>0</v>
      </c>
      <c r="AF485" s="1">
        <f t="shared" si="219"/>
        <v>1</v>
      </c>
      <c r="AG485" s="1">
        <f t="shared" si="220"/>
        <v>0</v>
      </c>
      <c r="AH485" s="1">
        <f t="shared" si="221"/>
        <v>1</v>
      </c>
      <c r="AI485" s="1">
        <f t="shared" si="222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585</v>
      </c>
      <c r="E486" s="32" t="s">
        <v>1317</v>
      </c>
      <c r="F486" s="32" t="s">
        <v>672</v>
      </c>
      <c r="G486" s="32" t="s">
        <v>239</v>
      </c>
      <c r="H486" s="32" t="s">
        <v>352</v>
      </c>
      <c r="I486" s="31" t="s">
        <v>403</v>
      </c>
      <c r="J486" s="31">
        <v>1</v>
      </c>
      <c r="K486" s="33" t="s">
        <v>709</v>
      </c>
      <c r="L486" s="33" t="s">
        <v>1684</v>
      </c>
      <c r="M486" s="34" t="s">
        <v>1414</v>
      </c>
      <c r="N486" s="34" t="s">
        <v>1719</v>
      </c>
      <c r="O486" s="35">
        <v>1</v>
      </c>
      <c r="P486" s="35"/>
      <c r="Q486" s="32"/>
      <c r="S486" s="1">
        <f t="shared" si="223"/>
        <v>1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0</v>
      </c>
      <c r="AE486" s="1">
        <f t="shared" si="234"/>
        <v>1</v>
      </c>
      <c r="AF486" s="1">
        <f t="shared" si="219"/>
        <v>0</v>
      </c>
      <c r="AG486" s="1">
        <f t="shared" si="220"/>
        <v>1</v>
      </c>
      <c r="AH486" s="1">
        <f t="shared" si="221"/>
        <v>0</v>
      </c>
      <c r="AI486" s="1">
        <f t="shared" si="222"/>
        <v>1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585</v>
      </c>
      <c r="E487" s="32" t="s">
        <v>1317</v>
      </c>
      <c r="F487" s="32" t="s">
        <v>238</v>
      </c>
      <c r="G487" s="32" t="s">
        <v>177</v>
      </c>
      <c r="H487" s="32" t="s">
        <v>352</v>
      </c>
      <c r="I487" s="31" t="s">
        <v>402</v>
      </c>
      <c r="J487" s="31">
        <v>1</v>
      </c>
      <c r="K487" s="33" t="s">
        <v>709</v>
      </c>
      <c r="L487" s="33" t="s">
        <v>1684</v>
      </c>
      <c r="M487" s="34" t="s">
        <v>1414</v>
      </c>
      <c r="N487" s="34" t="s">
        <v>1719</v>
      </c>
      <c r="O487" s="35">
        <v>1</v>
      </c>
      <c r="P487" s="35"/>
      <c r="Q487" s="36" t="s">
        <v>1882</v>
      </c>
      <c r="S487" s="1">
        <f t="shared" si="223"/>
        <v>1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0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0</v>
      </c>
      <c r="AH487" s="1">
        <f t="shared" si="221"/>
        <v>0</v>
      </c>
      <c r="AI487" s="1">
        <f t="shared" si="222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1310</v>
      </c>
      <c r="E488" s="32" t="s">
        <v>155</v>
      </c>
      <c r="F488" s="32" t="s">
        <v>1334</v>
      </c>
      <c r="G488" s="32" t="s">
        <v>257</v>
      </c>
      <c r="H488" s="32" t="s">
        <v>352</v>
      </c>
      <c r="I488" s="31" t="s">
        <v>1220</v>
      </c>
      <c r="J488" s="31">
        <v>8</v>
      </c>
      <c r="K488" s="33" t="s">
        <v>942</v>
      </c>
      <c r="L488" s="33" t="s">
        <v>718</v>
      </c>
      <c r="M488" s="34" t="s">
        <v>728</v>
      </c>
      <c r="N488" s="34" t="s">
        <v>1719</v>
      </c>
      <c r="O488" s="35">
        <v>1</v>
      </c>
      <c r="P488" s="35"/>
      <c r="Q488" s="32"/>
      <c r="S488" s="1">
        <f t="shared" si="223"/>
        <v>0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1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1</v>
      </c>
      <c r="AH488" s="1">
        <f t="shared" si="221"/>
        <v>0</v>
      </c>
      <c r="AI488" s="1">
        <f t="shared" si="222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1310</v>
      </c>
      <c r="E489" s="32" t="s">
        <v>155</v>
      </c>
      <c r="F489" s="32" t="s">
        <v>1199</v>
      </c>
      <c r="G489" s="32" t="s">
        <v>217</v>
      </c>
      <c r="H489" s="32" t="s">
        <v>352</v>
      </c>
      <c r="I489" s="31" t="s">
        <v>1220</v>
      </c>
      <c r="J489" s="31">
        <v>99</v>
      </c>
      <c r="K489" s="33" t="s">
        <v>942</v>
      </c>
      <c r="L489" s="33" t="s">
        <v>718</v>
      </c>
      <c r="M489" s="34" t="s">
        <v>728</v>
      </c>
      <c r="N489" s="34" t="s">
        <v>1719</v>
      </c>
      <c r="O489" s="35">
        <v>1</v>
      </c>
      <c r="P489" s="35"/>
      <c r="Q489" s="32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0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1</v>
      </c>
      <c r="AF489" s="1">
        <f t="shared" si="219"/>
        <v>0</v>
      </c>
      <c r="AG489" s="1">
        <f t="shared" si="220"/>
        <v>0</v>
      </c>
      <c r="AH489" s="1">
        <f t="shared" si="221"/>
        <v>0</v>
      </c>
      <c r="AI489" s="1">
        <f t="shared" si="222"/>
        <v>0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1231</v>
      </c>
      <c r="G490" s="45" t="s">
        <v>219</v>
      </c>
      <c r="H490" s="45" t="s">
        <v>352</v>
      </c>
      <c r="I490" s="44" t="s">
        <v>1347</v>
      </c>
      <c r="J490" s="44">
        <v>8</v>
      </c>
      <c r="K490" s="46" t="s">
        <v>941</v>
      </c>
      <c r="L490" s="46" t="s">
        <v>718</v>
      </c>
      <c r="M490" s="47" t="s">
        <v>728</v>
      </c>
      <c r="N490" s="47" t="s">
        <v>1708</v>
      </c>
      <c r="O490" s="48"/>
      <c r="P490" s="48"/>
      <c r="Q490" s="45"/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1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0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1</v>
      </c>
    </row>
    <row r="491" spans="1:35" ht="14.25" customHeight="1" x14ac:dyDescent="0.25">
      <c r="A491" s="44">
        <v>1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1335</v>
      </c>
      <c r="G491" s="45" t="s">
        <v>39</v>
      </c>
      <c r="H491" s="45" t="s">
        <v>353</v>
      </c>
      <c r="I491" s="44" t="s">
        <v>1230</v>
      </c>
      <c r="J491" s="44">
        <v>99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57" t="s">
        <v>1875</v>
      </c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0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0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1498</v>
      </c>
      <c r="G492" s="45" t="s">
        <v>234</v>
      </c>
      <c r="H492" s="45" t="s">
        <v>352</v>
      </c>
      <c r="I492" s="44" t="s">
        <v>1664</v>
      </c>
      <c r="J492" s="44">
        <v>99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45"/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0</v>
      </c>
      <c r="AE492" s="1">
        <f t="shared" si="234"/>
        <v>0</v>
      </c>
      <c r="AF492" s="1">
        <f t="shared" si="219"/>
        <v>0</v>
      </c>
      <c r="AG492" s="1">
        <f t="shared" si="220"/>
        <v>0</v>
      </c>
      <c r="AH492" s="1">
        <f t="shared" si="221"/>
        <v>0</v>
      </c>
      <c r="AI492" s="1">
        <f t="shared" si="22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1821</v>
      </c>
      <c r="E493" s="32" t="s">
        <v>1822</v>
      </c>
      <c r="F493" s="32" t="s">
        <v>1823</v>
      </c>
      <c r="G493" s="32" t="s">
        <v>264</v>
      </c>
      <c r="H493" s="32" t="s">
        <v>352</v>
      </c>
      <c r="I493" s="31" t="s">
        <v>1824</v>
      </c>
      <c r="J493" s="31">
        <v>99</v>
      </c>
      <c r="K493" s="33" t="s">
        <v>699</v>
      </c>
      <c r="L493" s="33"/>
      <c r="M493" s="34"/>
      <c r="N493" s="34" t="s">
        <v>1700</v>
      </c>
      <c r="O493" s="35">
        <v>1</v>
      </c>
      <c r="P493" s="35">
        <v>1</v>
      </c>
      <c r="Q493" s="32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1</v>
      </c>
      <c r="AE493" s="1">
        <f t="shared" si="234"/>
        <v>0</v>
      </c>
      <c r="AF493" s="1">
        <f t="shared" si="219"/>
        <v>1</v>
      </c>
      <c r="AG493" s="1">
        <f t="shared" si="220"/>
        <v>0</v>
      </c>
      <c r="AH493" s="1">
        <f t="shared" si="221"/>
        <v>1</v>
      </c>
      <c r="AI493" s="1">
        <f t="shared" si="222"/>
        <v>0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1224</v>
      </c>
      <c r="E494" s="32" t="s">
        <v>28</v>
      </c>
      <c r="F494" s="32" t="s">
        <v>1217</v>
      </c>
      <c r="G494" s="32" t="s">
        <v>1218</v>
      </c>
      <c r="H494" s="32" t="s">
        <v>352</v>
      </c>
      <c r="I494" s="31" t="s">
        <v>1219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0</v>
      </c>
      <c r="AE494" s="1">
        <f t="shared" si="234"/>
        <v>1</v>
      </c>
      <c r="AF494" s="1">
        <f t="shared" si="219"/>
        <v>0</v>
      </c>
      <c r="AG494" s="1">
        <f t="shared" si="220"/>
        <v>1</v>
      </c>
      <c r="AH494" s="1">
        <f t="shared" si="221"/>
        <v>0</v>
      </c>
      <c r="AI494" s="1">
        <f t="shared" si="222"/>
        <v>1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1221</v>
      </c>
      <c r="E495" s="32" t="s">
        <v>28</v>
      </c>
      <c r="F495" s="32" t="s">
        <v>1222</v>
      </c>
      <c r="G495" s="32" t="s">
        <v>519</v>
      </c>
      <c r="H495" s="32" t="s">
        <v>352</v>
      </c>
      <c r="I495" s="31" t="s">
        <v>1223</v>
      </c>
      <c r="J495" s="31">
        <v>99</v>
      </c>
      <c r="K495" s="33" t="s">
        <v>708</v>
      </c>
      <c r="L495" s="33" t="s">
        <v>709</v>
      </c>
      <c r="M495" s="34" t="s">
        <v>727</v>
      </c>
      <c r="N495" s="34" t="s">
        <v>1714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0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0</v>
      </c>
      <c r="AH495" s="1">
        <f t="shared" si="221"/>
        <v>0</v>
      </c>
      <c r="AI495" s="1">
        <f t="shared" si="222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1817</v>
      </c>
      <c r="E496" s="32" t="s">
        <v>1152</v>
      </c>
      <c r="F496" s="32" t="s">
        <v>1818</v>
      </c>
      <c r="G496" s="32"/>
      <c r="H496" s="32" t="s">
        <v>352</v>
      </c>
      <c r="I496" s="31" t="s">
        <v>1819</v>
      </c>
      <c r="J496" s="31">
        <v>6</v>
      </c>
      <c r="K496" s="33" t="s">
        <v>699</v>
      </c>
      <c r="L496" s="33"/>
      <c r="M496" s="34"/>
      <c r="N496" s="34" t="s">
        <v>1719</v>
      </c>
      <c r="O496" s="35">
        <v>1</v>
      </c>
      <c r="P496" s="35"/>
      <c r="Q496" s="32"/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1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1</v>
      </c>
      <c r="AH496" s="1">
        <f t="shared" si="221"/>
        <v>0</v>
      </c>
      <c r="AI496" s="1">
        <f t="shared" si="222"/>
        <v>1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1433</v>
      </c>
      <c r="E497" s="32" t="s">
        <v>28</v>
      </c>
      <c r="F497" s="32" t="s">
        <v>1434</v>
      </c>
      <c r="G497" s="32" t="s">
        <v>1435</v>
      </c>
      <c r="H497" s="32" t="s">
        <v>352</v>
      </c>
      <c r="I497" s="31" t="s">
        <v>1436</v>
      </c>
      <c r="J497" s="31">
        <v>99</v>
      </c>
      <c r="K497" s="33" t="s">
        <v>708</v>
      </c>
      <c r="L497" s="33" t="s">
        <v>709</v>
      </c>
      <c r="M497" s="34" t="s">
        <v>727</v>
      </c>
      <c r="N497" s="34" t="s">
        <v>1714</v>
      </c>
      <c r="O497" s="35">
        <v>1</v>
      </c>
      <c r="P497" s="35"/>
      <c r="Q497" s="32" t="s">
        <v>1902</v>
      </c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0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2105</v>
      </c>
      <c r="E498" s="32" t="s">
        <v>155</v>
      </c>
      <c r="F498" s="32" t="s">
        <v>2106</v>
      </c>
      <c r="G498" s="32" t="s">
        <v>552</v>
      </c>
      <c r="H498" s="32" t="s">
        <v>352</v>
      </c>
      <c r="I498" s="31" t="s">
        <v>2107</v>
      </c>
      <c r="J498" s="31">
        <v>99</v>
      </c>
      <c r="K498" s="33" t="s">
        <v>699</v>
      </c>
      <c r="L498" s="33">
        <v>7</v>
      </c>
      <c r="M498" s="34" t="s">
        <v>728</v>
      </c>
      <c r="N498" s="34" t="s">
        <v>1719</v>
      </c>
      <c r="O498" s="35">
        <v>1</v>
      </c>
      <c r="P498" s="35"/>
      <c r="Q498" s="32"/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0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si="233"/>
        <v>0</v>
      </c>
      <c r="AE498" s="1">
        <f t="shared" si="234"/>
        <v>1</v>
      </c>
      <c r="AF498" s="1">
        <f t="shared" si="219"/>
        <v>0</v>
      </c>
      <c r="AG498" s="1">
        <f t="shared" si="220"/>
        <v>1</v>
      </c>
      <c r="AH498" s="1">
        <f t="shared" si="221"/>
        <v>0</v>
      </c>
      <c r="AI498" s="1">
        <f t="shared" si="222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2105</v>
      </c>
      <c r="E499" s="32" t="s">
        <v>155</v>
      </c>
      <c r="F499" s="32" t="s">
        <v>2108</v>
      </c>
      <c r="G499" s="32" t="s">
        <v>203</v>
      </c>
      <c r="H499" s="32" t="s">
        <v>352</v>
      </c>
      <c r="I499" s="31" t="s">
        <v>2107</v>
      </c>
      <c r="J499" s="31">
        <v>7</v>
      </c>
      <c r="K499" s="33" t="s">
        <v>699</v>
      </c>
      <c r="L499" s="33">
        <v>7</v>
      </c>
      <c r="M499" s="34" t="s">
        <v>728</v>
      </c>
      <c r="N499" s="34" t="s">
        <v>1719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1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ref="AD499" si="235">+O499*P499</f>
        <v>0</v>
      </c>
      <c r="AE499" s="1">
        <f t="shared" ref="AE499" si="236">O499*(1-P499)</f>
        <v>1</v>
      </c>
      <c r="AF499" s="1">
        <f t="shared" ref="AF499" si="237">+O499*P499*(1-A499)</f>
        <v>0</v>
      </c>
      <c r="AG499" s="1">
        <f t="shared" ref="AG499" si="238">O499*(1-P499)*(1-A499)</f>
        <v>0</v>
      </c>
      <c r="AH499" s="1">
        <f t="shared" ref="AH499" si="239">+P499*(1-A499)</f>
        <v>0</v>
      </c>
      <c r="AI499" s="1">
        <f t="shared" ref="AI499" si="240">+(1-A499)*(1-P499)</f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571</v>
      </c>
      <c r="G500" s="32" t="s">
        <v>234</v>
      </c>
      <c r="H500" s="32" t="s">
        <v>352</v>
      </c>
      <c r="I500" s="31" t="s">
        <v>578</v>
      </c>
      <c r="J500" s="31">
        <v>99</v>
      </c>
      <c r="K500" s="33" t="s">
        <v>708</v>
      </c>
      <c r="L500" s="33" t="s">
        <v>725</v>
      </c>
      <c r="M500" s="34" t="s">
        <v>1415</v>
      </c>
      <c r="N500" s="34" t="s">
        <v>1719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0</v>
      </c>
      <c r="Z500" s="1">
        <f t="shared" si="230"/>
        <v>0</v>
      </c>
      <c r="AA500" s="1">
        <f t="shared" si="231"/>
        <v>0</v>
      </c>
      <c r="AB500" s="1">
        <f t="shared" si="232"/>
        <v>0</v>
      </c>
      <c r="AD500" s="1">
        <f t="shared" si="233"/>
        <v>0</v>
      </c>
      <c r="AE500" s="1">
        <f t="shared" si="234"/>
        <v>1</v>
      </c>
      <c r="AF500" s="1">
        <f t="shared" si="219"/>
        <v>0</v>
      </c>
      <c r="AG500" s="1">
        <f t="shared" si="220"/>
        <v>1</v>
      </c>
      <c r="AH500" s="1">
        <f t="shared" si="221"/>
        <v>0</v>
      </c>
      <c r="AI500" s="1">
        <f t="shared" si="222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270</v>
      </c>
      <c r="G501" s="32" t="s">
        <v>179</v>
      </c>
      <c r="H501" s="32" t="s">
        <v>352</v>
      </c>
      <c r="I501" s="31" t="s">
        <v>424</v>
      </c>
      <c r="J501" s="31">
        <v>10</v>
      </c>
      <c r="K501" s="33" t="s">
        <v>708</v>
      </c>
      <c r="L501" s="33" t="s">
        <v>725</v>
      </c>
      <c r="M501" s="34" t="s">
        <v>1415</v>
      </c>
      <c r="N501" s="34" t="s">
        <v>1719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0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1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0</v>
      </c>
      <c r="AH501" s="1">
        <f t="shared" si="221"/>
        <v>0</v>
      </c>
      <c r="AI501" s="1">
        <f t="shared" si="222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271</v>
      </c>
      <c r="G502" s="32" t="s">
        <v>39</v>
      </c>
      <c r="H502" s="32" t="s">
        <v>352</v>
      </c>
      <c r="I502" s="31" t="s">
        <v>425</v>
      </c>
      <c r="J502" s="31">
        <v>5</v>
      </c>
      <c r="K502" s="33" t="s">
        <v>708</v>
      </c>
      <c r="L502" s="33" t="s">
        <v>725</v>
      </c>
      <c r="M502" s="34" t="s">
        <v>1415</v>
      </c>
      <c r="N502" s="34" t="s">
        <v>1719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1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0</v>
      </c>
      <c r="AB502" s="1">
        <f t="shared" si="232"/>
        <v>0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275</v>
      </c>
      <c r="G503" s="32" t="s">
        <v>193</v>
      </c>
      <c r="H503" s="32" t="s">
        <v>352</v>
      </c>
      <c r="I503" s="31" t="s">
        <v>429</v>
      </c>
      <c r="J503" s="31">
        <v>9</v>
      </c>
      <c r="K503" s="33" t="s">
        <v>708</v>
      </c>
      <c r="L503" s="33" t="s">
        <v>725</v>
      </c>
      <c r="M503" s="34" t="s">
        <v>1415</v>
      </c>
      <c r="N503" s="34" t="s">
        <v>1719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0</v>
      </c>
      <c r="W503" s="1">
        <f t="shared" si="227"/>
        <v>0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1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0</v>
      </c>
      <c r="AH503" s="1">
        <f t="shared" si="221"/>
        <v>0</v>
      </c>
      <c r="AI503" s="1">
        <f t="shared" si="222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1535</v>
      </c>
      <c r="E504" s="32" t="s">
        <v>28</v>
      </c>
      <c r="F504" s="32" t="s">
        <v>1536</v>
      </c>
      <c r="G504" s="32" t="s">
        <v>237</v>
      </c>
      <c r="H504" s="32" t="s">
        <v>352</v>
      </c>
      <c r="I504" s="31" t="s">
        <v>1668</v>
      </c>
      <c r="J504" s="31">
        <v>4</v>
      </c>
      <c r="K504" s="33" t="s">
        <v>709</v>
      </c>
      <c r="L504" s="33" t="s">
        <v>709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223"/>
        <v>0</v>
      </c>
      <c r="T504" s="1">
        <f t="shared" si="224"/>
        <v>0</v>
      </c>
      <c r="U504" s="1">
        <f t="shared" si="225"/>
        <v>0</v>
      </c>
      <c r="V504" s="1">
        <f t="shared" si="226"/>
        <v>1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0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1</v>
      </c>
      <c r="AH504" s="1">
        <f t="shared" si="221"/>
        <v>0</v>
      </c>
      <c r="AI504" s="1">
        <f t="shared" si="22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63</v>
      </c>
      <c r="E505" s="32" t="s">
        <v>44</v>
      </c>
      <c r="F505" s="32" t="s">
        <v>235</v>
      </c>
      <c r="G505" s="32" t="s">
        <v>199</v>
      </c>
      <c r="H505" s="32" t="s">
        <v>352</v>
      </c>
      <c r="I505" s="31" t="s">
        <v>400</v>
      </c>
      <c r="J505" s="31">
        <v>2</v>
      </c>
      <c r="K505" s="33" t="s">
        <v>709</v>
      </c>
      <c r="L505" s="33" t="s">
        <v>718</v>
      </c>
      <c r="M505" s="34" t="s">
        <v>731</v>
      </c>
      <c r="N505" s="34" t="s">
        <v>1714</v>
      </c>
      <c r="O505" s="35">
        <v>1</v>
      </c>
      <c r="P505" s="35"/>
      <c r="Q505" s="32"/>
      <c r="S505" s="1">
        <f t="shared" si="223"/>
        <v>0</v>
      </c>
      <c r="T505" s="1">
        <f t="shared" si="224"/>
        <v>1</v>
      </c>
      <c r="U505" s="1">
        <f t="shared" si="225"/>
        <v>0</v>
      </c>
      <c r="V505" s="1">
        <f t="shared" si="226"/>
        <v>0</v>
      </c>
      <c r="W505" s="1">
        <f t="shared" si="227"/>
        <v>0</v>
      </c>
      <c r="X505" s="1">
        <f t="shared" si="228"/>
        <v>0</v>
      </c>
      <c r="Y505" s="1">
        <f t="shared" si="229"/>
        <v>0</v>
      </c>
      <c r="Z505" s="1">
        <f t="shared" si="230"/>
        <v>0</v>
      </c>
      <c r="AA505" s="1">
        <f t="shared" si="231"/>
        <v>0</v>
      </c>
      <c r="AB505" s="1">
        <f t="shared" si="232"/>
        <v>0</v>
      </c>
      <c r="AD505" s="1">
        <f t="shared" si="233"/>
        <v>0</v>
      </c>
      <c r="AE505" s="1">
        <f t="shared" si="234"/>
        <v>1</v>
      </c>
      <c r="AF505" s="1">
        <f t="shared" si="219"/>
        <v>0</v>
      </c>
      <c r="AG505" s="1">
        <f t="shared" si="220"/>
        <v>1</v>
      </c>
      <c r="AH505" s="1">
        <f t="shared" si="221"/>
        <v>0</v>
      </c>
      <c r="AI505" s="1">
        <f t="shared" si="222"/>
        <v>1</v>
      </c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9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9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9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7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7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7"/>
      <c r="N804" s="17"/>
      <c r="Q804" s="16"/>
    </row>
  </sheetData>
  <autoFilter ref="A7:Q505" xr:uid="{AEE30112-88BB-441D-AEFC-A7A733AB1798}">
    <sortState xmlns:xlrd2="http://schemas.microsoft.com/office/spreadsheetml/2017/richdata2" ref="A8:Q505">
      <sortCondition ref="B8:B505"/>
      <sortCondition ref="C8:C505"/>
      <sortCondition ref="D8:D505"/>
      <sortCondition ref="A8:A505"/>
    </sortState>
  </autoFilter>
  <sortState xmlns:xlrd2="http://schemas.microsoft.com/office/spreadsheetml/2017/richdata2" ref="A8:Q505">
    <sortCondition ref="B8:B505"/>
    <sortCondition ref="C8:C505"/>
    <sortCondition ref="D8:D505"/>
    <sortCondition ref="A8:A50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2026-09-11T07:26:16Z</dcterms:modified>
</cp:coreProperties>
</file>